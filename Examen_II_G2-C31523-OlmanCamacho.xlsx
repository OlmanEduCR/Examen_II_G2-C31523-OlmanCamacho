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ecam\OneDrive\Desktop\Examen_II_G2-C31523-OlmanCamacho\"/>
    </mc:Choice>
  </mc:AlternateContent>
  <xr:revisionPtr revIDLastSave="0" documentId="13_ncr:1_{B6B6F190-5D6C-4CA4-A15C-87B1A3EC9E27}" xr6:coauthVersionLast="47" xr6:coauthVersionMax="47" xr10:uidLastSave="{00000000-0000-0000-0000-000000000000}"/>
  <bookViews>
    <workbookView xWindow="-120" yWindow="-120" windowWidth="29040" windowHeight="15720" activeTab="3" xr2:uid="{D75C0EDA-D81C-4A21-9DB6-D66BE960A580}"/>
  </bookViews>
  <sheets>
    <sheet name="moras" sheetId="2" r:id="rId1"/>
    <sheet name="Gráficos Categóricos" sheetId="3" r:id="rId2"/>
    <sheet name="Gráficos Categóricos-Morosos" sheetId="10" r:id="rId3"/>
    <sheet name="Gráficos Numéricos-Morosos" sheetId="11" r:id="rId4"/>
  </sheets>
  <definedNames>
    <definedName name="DatosExternos_1" localSheetId="0" hidden="1">moras!$A$1:$I$5001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0" l="1"/>
  <c r="C69" i="10"/>
  <c r="D69" i="10"/>
  <c r="D68" i="10"/>
  <c r="C68" i="10"/>
  <c r="E65" i="10"/>
  <c r="D65" i="10"/>
  <c r="C65" i="10"/>
  <c r="D55" i="10"/>
  <c r="D54" i="10"/>
  <c r="C54" i="10"/>
  <c r="E51" i="10"/>
  <c r="D51" i="10"/>
  <c r="C51" i="10"/>
  <c r="C41" i="10"/>
  <c r="D41" i="10"/>
  <c r="D40" i="10"/>
  <c r="C40" i="10"/>
  <c r="E37" i="10"/>
  <c r="D37" i="10"/>
  <c r="C37" i="10"/>
  <c r="D27" i="10"/>
  <c r="D28" i="10"/>
  <c r="D29" i="10"/>
  <c r="D30" i="10"/>
  <c r="D31" i="10"/>
  <c r="D26" i="10"/>
  <c r="C27" i="10"/>
  <c r="C28" i="10"/>
  <c r="C29" i="10"/>
  <c r="C30" i="10"/>
  <c r="C31" i="10"/>
  <c r="C26" i="10"/>
  <c r="E23" i="10"/>
  <c r="D9" i="10"/>
  <c r="D8" i="10"/>
  <c r="C9" i="10"/>
  <c r="C8" i="10"/>
  <c r="E5" i="10"/>
  <c r="D23" i="10"/>
  <c r="C23" i="10"/>
  <c r="D22" i="11"/>
  <c r="C22" i="11"/>
  <c r="D21" i="11"/>
  <c r="C21" i="11"/>
  <c r="D20" i="11"/>
  <c r="C20" i="11"/>
  <c r="D19" i="11"/>
  <c r="C19" i="11"/>
  <c r="D18" i="11"/>
  <c r="C18" i="11"/>
  <c r="C3" i="11"/>
  <c r="D4" i="11"/>
  <c r="D5" i="11"/>
  <c r="D6" i="11"/>
  <c r="D7" i="11"/>
  <c r="C7" i="11"/>
  <c r="D3" i="11"/>
  <c r="C4" i="11"/>
  <c r="C5" i="11"/>
  <c r="C6" i="11"/>
  <c r="O2" i="2"/>
  <c r="O22" i="2"/>
  <c r="O37" i="2"/>
  <c r="D64" i="10"/>
  <c r="D63" i="10"/>
  <c r="C64" i="10"/>
  <c r="C63" i="10"/>
  <c r="D50" i="10"/>
  <c r="D49" i="10"/>
  <c r="C50" i="10"/>
  <c r="C49" i="10"/>
  <c r="D36" i="10"/>
  <c r="D35" i="10"/>
  <c r="C36" i="10"/>
  <c r="C35" i="10"/>
  <c r="C3" i="10"/>
  <c r="D4" i="10"/>
  <c r="D3" i="10"/>
  <c r="C4" i="10"/>
  <c r="N2" i="2"/>
  <c r="P2" i="2" s="1"/>
  <c r="N3" i="2"/>
  <c r="P3" i="2" s="1"/>
  <c r="N4" i="2"/>
  <c r="P4" i="2" s="1"/>
  <c r="N5" i="2"/>
  <c r="P5" i="2" s="1"/>
  <c r="N6" i="2"/>
  <c r="P6" i="2" s="1"/>
  <c r="N7" i="2"/>
  <c r="P7" i="2" s="1"/>
  <c r="N8" i="2"/>
  <c r="P8" i="2" s="1"/>
  <c r="N9" i="2"/>
  <c r="P9" i="2" s="1"/>
  <c r="N10" i="2"/>
  <c r="P10" i="2" s="1"/>
  <c r="N11" i="2"/>
  <c r="P11" i="2" s="1"/>
  <c r="N12" i="2"/>
  <c r="P12" i="2" s="1"/>
  <c r="N13" i="2"/>
  <c r="P13" i="2" s="1"/>
  <c r="N14" i="2"/>
  <c r="P14" i="2" s="1"/>
  <c r="N15" i="2"/>
  <c r="P15" i="2" s="1"/>
  <c r="N16" i="2"/>
  <c r="P16" i="2" s="1"/>
  <c r="N17" i="2"/>
  <c r="P17" i="2" s="1"/>
  <c r="N18" i="2"/>
  <c r="P18" i="2" s="1"/>
  <c r="N19" i="2"/>
  <c r="P19" i="2" s="1"/>
  <c r="N20" i="2"/>
  <c r="P20" i="2" s="1"/>
  <c r="N21" i="2"/>
  <c r="P21" i="2" s="1"/>
  <c r="N22" i="2"/>
  <c r="P22" i="2" s="1"/>
  <c r="N23" i="2"/>
  <c r="P23" i="2" s="1"/>
  <c r="N24" i="2"/>
  <c r="P24" i="2" s="1"/>
  <c r="N25" i="2"/>
  <c r="P25" i="2" s="1"/>
  <c r="N26" i="2"/>
  <c r="P26" i="2" s="1"/>
  <c r="N27" i="2"/>
  <c r="P27" i="2" s="1"/>
  <c r="N28" i="2"/>
  <c r="P28" i="2" s="1"/>
  <c r="N29" i="2"/>
  <c r="P29" i="2" s="1"/>
  <c r="N30" i="2"/>
  <c r="P30" i="2" s="1"/>
  <c r="N31" i="2"/>
  <c r="P31" i="2" s="1"/>
  <c r="N32" i="2"/>
  <c r="P32" i="2" s="1"/>
  <c r="N33" i="2"/>
  <c r="P33" i="2" s="1"/>
  <c r="N34" i="2"/>
  <c r="P34" i="2" s="1"/>
  <c r="N35" i="2"/>
  <c r="P35" i="2" s="1"/>
  <c r="N36" i="2"/>
  <c r="P36" i="2" s="1"/>
  <c r="N37" i="2"/>
  <c r="P37" i="2" s="1"/>
  <c r="N38" i="2"/>
  <c r="P38" i="2" s="1"/>
  <c r="N39" i="2"/>
  <c r="P39" i="2" s="1"/>
  <c r="N40" i="2"/>
  <c r="P40" i="2" s="1"/>
  <c r="N41" i="2"/>
  <c r="P41" i="2" s="1"/>
  <c r="N42" i="2"/>
  <c r="P42" i="2" s="1"/>
  <c r="N43" i="2"/>
  <c r="P43" i="2" s="1"/>
  <c r="N44" i="2"/>
  <c r="P44" i="2" s="1"/>
  <c r="N45" i="2"/>
  <c r="P45" i="2" s="1"/>
  <c r="N46" i="2"/>
  <c r="P46" i="2" s="1"/>
  <c r="N47" i="2"/>
  <c r="P47" i="2" s="1"/>
  <c r="N48" i="2"/>
  <c r="P48" i="2" s="1"/>
  <c r="N49" i="2"/>
  <c r="P49" i="2" s="1"/>
  <c r="N50" i="2"/>
  <c r="P50" i="2" s="1"/>
  <c r="N52" i="2"/>
  <c r="P52" i="2" s="1"/>
  <c r="N54" i="2"/>
  <c r="P54" i="2" s="1"/>
  <c r="N55" i="2"/>
  <c r="P55" i="2" s="1"/>
  <c r="N56" i="2"/>
  <c r="P56" i="2" s="1"/>
  <c r="N57" i="2"/>
  <c r="P57" i="2" s="1"/>
  <c r="N58" i="2"/>
  <c r="P58" i="2" s="1"/>
  <c r="N59" i="2"/>
  <c r="P59" i="2" s="1"/>
  <c r="N60" i="2"/>
  <c r="P60" i="2" s="1"/>
  <c r="N61" i="2"/>
  <c r="P61" i="2" s="1"/>
  <c r="N62" i="2"/>
  <c r="P62" i="2" s="1"/>
  <c r="N63" i="2"/>
  <c r="P63" i="2" s="1"/>
  <c r="N64" i="2"/>
  <c r="P64" i="2" s="1"/>
  <c r="N65" i="2"/>
  <c r="P65" i="2" s="1"/>
  <c r="N66" i="2"/>
  <c r="P66" i="2" s="1"/>
  <c r="N67" i="2"/>
  <c r="P67" i="2" s="1"/>
  <c r="N68" i="2"/>
  <c r="P68" i="2" s="1"/>
  <c r="N69" i="2"/>
  <c r="P69" i="2" s="1"/>
  <c r="N70" i="2"/>
  <c r="P70" i="2" s="1"/>
  <c r="N72" i="2"/>
  <c r="P72" i="2" s="1"/>
  <c r="N73" i="2"/>
  <c r="P73" i="2" s="1"/>
  <c r="N74" i="2"/>
  <c r="P74" i="2" s="1"/>
  <c r="N75" i="2"/>
  <c r="P75" i="2" s="1"/>
  <c r="N76" i="2"/>
  <c r="P76" i="2" s="1"/>
  <c r="N77" i="2"/>
  <c r="P77" i="2" s="1"/>
  <c r="N78" i="2"/>
  <c r="P78" i="2" s="1"/>
  <c r="N79" i="2"/>
  <c r="P79" i="2" s="1"/>
  <c r="N80" i="2"/>
  <c r="P80" i="2" s="1"/>
  <c r="N81" i="2"/>
  <c r="P81" i="2" s="1"/>
  <c r="N82" i="2"/>
  <c r="P82" i="2" s="1"/>
  <c r="N83" i="2"/>
  <c r="P83" i="2" s="1"/>
  <c r="N84" i="2"/>
  <c r="P84" i="2" s="1"/>
  <c r="N85" i="2"/>
  <c r="P85" i="2" s="1"/>
  <c r="N86" i="2"/>
  <c r="P86" i="2" s="1"/>
  <c r="N87" i="2"/>
  <c r="P87" i="2" s="1"/>
  <c r="N88" i="2"/>
  <c r="P88" i="2" s="1"/>
  <c r="N89" i="2"/>
  <c r="P89" i="2" s="1"/>
  <c r="N90" i="2"/>
  <c r="P90" i="2" s="1"/>
  <c r="N91" i="2"/>
  <c r="P91" i="2" s="1"/>
  <c r="N92" i="2"/>
  <c r="P92" i="2" s="1"/>
  <c r="N93" i="2"/>
  <c r="P93" i="2" s="1"/>
  <c r="N94" i="2"/>
  <c r="P94" i="2" s="1"/>
  <c r="N95" i="2"/>
  <c r="P95" i="2" s="1"/>
  <c r="N96" i="2"/>
  <c r="P96" i="2" s="1"/>
  <c r="N97" i="2"/>
  <c r="P97" i="2" s="1"/>
  <c r="N98" i="2"/>
  <c r="P98" i="2" s="1"/>
  <c r="N99" i="2"/>
  <c r="P99" i="2" s="1"/>
  <c r="N100" i="2"/>
  <c r="P100" i="2" s="1"/>
  <c r="N101" i="2"/>
  <c r="P101" i="2" s="1"/>
  <c r="N102" i="2"/>
  <c r="P102" i="2" s="1"/>
  <c r="N103" i="2"/>
  <c r="P103" i="2" s="1"/>
  <c r="N104" i="2"/>
  <c r="P104" i="2" s="1"/>
  <c r="N105" i="2"/>
  <c r="P105" i="2" s="1"/>
  <c r="N106" i="2"/>
  <c r="P106" i="2" s="1"/>
  <c r="N107" i="2"/>
  <c r="P107" i="2" s="1"/>
  <c r="N108" i="2"/>
  <c r="P108" i="2" s="1"/>
  <c r="N109" i="2"/>
  <c r="P109" i="2" s="1"/>
  <c r="N110" i="2"/>
  <c r="P110" i="2" s="1"/>
  <c r="N111" i="2"/>
  <c r="P111" i="2" s="1"/>
  <c r="N112" i="2"/>
  <c r="P112" i="2" s="1"/>
  <c r="N113" i="2"/>
  <c r="P113" i="2" s="1"/>
  <c r="N114" i="2"/>
  <c r="P114" i="2" s="1"/>
  <c r="N115" i="2"/>
  <c r="P115" i="2" s="1"/>
  <c r="N116" i="2"/>
  <c r="P116" i="2" s="1"/>
  <c r="N117" i="2"/>
  <c r="P117" i="2" s="1"/>
  <c r="N118" i="2"/>
  <c r="P118" i="2" s="1"/>
  <c r="N119" i="2"/>
  <c r="P119" i="2" s="1"/>
  <c r="N120" i="2"/>
  <c r="P120" i="2" s="1"/>
  <c r="N121" i="2"/>
  <c r="P121" i="2" s="1"/>
  <c r="N122" i="2"/>
  <c r="P122" i="2" s="1"/>
  <c r="N123" i="2"/>
  <c r="P123" i="2" s="1"/>
  <c r="N124" i="2"/>
  <c r="P124" i="2" s="1"/>
  <c r="N125" i="2"/>
  <c r="P125" i="2" s="1"/>
  <c r="N126" i="2"/>
  <c r="P126" i="2" s="1"/>
  <c r="N127" i="2"/>
  <c r="P127" i="2" s="1"/>
  <c r="N128" i="2"/>
  <c r="P128" i="2" s="1"/>
  <c r="N129" i="2"/>
  <c r="P129" i="2" s="1"/>
  <c r="N130" i="2"/>
  <c r="P130" i="2" s="1"/>
  <c r="N131" i="2"/>
  <c r="P131" i="2" s="1"/>
  <c r="N132" i="2"/>
  <c r="P132" i="2" s="1"/>
  <c r="N133" i="2"/>
  <c r="P133" i="2" s="1"/>
  <c r="N134" i="2"/>
  <c r="P134" i="2" s="1"/>
  <c r="N135" i="2"/>
  <c r="P135" i="2" s="1"/>
  <c r="N136" i="2"/>
  <c r="P136" i="2" s="1"/>
  <c r="N137" i="2"/>
  <c r="P137" i="2" s="1"/>
  <c r="N138" i="2"/>
  <c r="P138" i="2" s="1"/>
  <c r="N139" i="2"/>
  <c r="P139" i="2" s="1"/>
  <c r="N140" i="2"/>
  <c r="P140" i="2" s="1"/>
  <c r="N141" i="2"/>
  <c r="P141" i="2" s="1"/>
  <c r="N142" i="2"/>
  <c r="P142" i="2" s="1"/>
  <c r="N143" i="2"/>
  <c r="P143" i="2" s="1"/>
  <c r="N144" i="2"/>
  <c r="P144" i="2" s="1"/>
  <c r="N145" i="2"/>
  <c r="P145" i="2" s="1"/>
  <c r="N146" i="2"/>
  <c r="P146" i="2" s="1"/>
  <c r="N147" i="2"/>
  <c r="P147" i="2" s="1"/>
  <c r="N148" i="2"/>
  <c r="P148" i="2" s="1"/>
  <c r="N149" i="2"/>
  <c r="P149" i="2" s="1"/>
  <c r="N150" i="2"/>
  <c r="P150" i="2" s="1"/>
  <c r="N151" i="2"/>
  <c r="P151" i="2" s="1"/>
  <c r="N152" i="2"/>
  <c r="P152" i="2" s="1"/>
  <c r="N153" i="2"/>
  <c r="P153" i="2" s="1"/>
  <c r="N154" i="2"/>
  <c r="P154" i="2" s="1"/>
  <c r="N155" i="2"/>
  <c r="P155" i="2" s="1"/>
  <c r="N156" i="2"/>
  <c r="P156" i="2" s="1"/>
  <c r="N157" i="2"/>
  <c r="P157" i="2" s="1"/>
  <c r="N158" i="2"/>
  <c r="P158" i="2" s="1"/>
  <c r="N159" i="2"/>
  <c r="P159" i="2" s="1"/>
  <c r="N160" i="2"/>
  <c r="P160" i="2" s="1"/>
  <c r="N161" i="2"/>
  <c r="P161" i="2" s="1"/>
  <c r="N162" i="2"/>
  <c r="P162" i="2" s="1"/>
  <c r="N163" i="2"/>
  <c r="P163" i="2" s="1"/>
  <c r="N164" i="2"/>
  <c r="P164" i="2" s="1"/>
  <c r="N165" i="2"/>
  <c r="P165" i="2" s="1"/>
  <c r="N166" i="2"/>
  <c r="P166" i="2" s="1"/>
  <c r="N167" i="2"/>
  <c r="P167" i="2" s="1"/>
  <c r="N168" i="2"/>
  <c r="P168" i="2" s="1"/>
  <c r="N169" i="2"/>
  <c r="P169" i="2" s="1"/>
  <c r="N170" i="2"/>
  <c r="P170" i="2" s="1"/>
  <c r="N171" i="2"/>
  <c r="P171" i="2" s="1"/>
  <c r="N172" i="2"/>
  <c r="P172" i="2" s="1"/>
  <c r="N173" i="2"/>
  <c r="P173" i="2" s="1"/>
  <c r="N174" i="2"/>
  <c r="P174" i="2" s="1"/>
  <c r="N175" i="2"/>
  <c r="P175" i="2" s="1"/>
  <c r="N176" i="2"/>
  <c r="P176" i="2" s="1"/>
  <c r="N177" i="2"/>
  <c r="P177" i="2" s="1"/>
  <c r="N178" i="2"/>
  <c r="P178" i="2" s="1"/>
  <c r="N179" i="2"/>
  <c r="P179" i="2" s="1"/>
  <c r="N180" i="2"/>
  <c r="P180" i="2" s="1"/>
  <c r="N181" i="2"/>
  <c r="P181" i="2" s="1"/>
  <c r="N182" i="2"/>
  <c r="P182" i="2" s="1"/>
  <c r="N183" i="2"/>
  <c r="P183" i="2" s="1"/>
  <c r="N184" i="2"/>
  <c r="P184" i="2" s="1"/>
  <c r="N185" i="2"/>
  <c r="P185" i="2" s="1"/>
  <c r="N186" i="2"/>
  <c r="P186" i="2" s="1"/>
  <c r="N187" i="2"/>
  <c r="P187" i="2" s="1"/>
  <c r="N188" i="2"/>
  <c r="P188" i="2" s="1"/>
  <c r="N189" i="2"/>
  <c r="P189" i="2" s="1"/>
  <c r="N190" i="2"/>
  <c r="P190" i="2" s="1"/>
  <c r="N191" i="2"/>
  <c r="P191" i="2" s="1"/>
  <c r="N192" i="2"/>
  <c r="P192" i="2" s="1"/>
  <c r="N193" i="2"/>
  <c r="P193" i="2" s="1"/>
  <c r="N194" i="2"/>
  <c r="P194" i="2" s="1"/>
  <c r="N195" i="2"/>
  <c r="P195" i="2" s="1"/>
  <c r="N196" i="2"/>
  <c r="P196" i="2" s="1"/>
  <c r="N197" i="2"/>
  <c r="P197" i="2" s="1"/>
  <c r="N198" i="2"/>
  <c r="P198" i="2" s="1"/>
  <c r="N199" i="2"/>
  <c r="P199" i="2" s="1"/>
  <c r="N200" i="2"/>
  <c r="P200" i="2" s="1"/>
  <c r="N201" i="2"/>
  <c r="P201" i="2" s="1"/>
  <c r="N202" i="2"/>
  <c r="P202" i="2" s="1"/>
  <c r="N203" i="2"/>
  <c r="P203" i="2" s="1"/>
  <c r="N204" i="2"/>
  <c r="P204" i="2" s="1"/>
  <c r="N205" i="2"/>
  <c r="P205" i="2" s="1"/>
  <c r="N206" i="2"/>
  <c r="P206" i="2" s="1"/>
  <c r="N207" i="2"/>
  <c r="P207" i="2" s="1"/>
  <c r="N208" i="2"/>
  <c r="P208" i="2" s="1"/>
  <c r="N209" i="2"/>
  <c r="P209" i="2" s="1"/>
  <c r="N210" i="2"/>
  <c r="P210" i="2" s="1"/>
  <c r="N211" i="2"/>
  <c r="P211" i="2" s="1"/>
  <c r="N212" i="2"/>
  <c r="P212" i="2" s="1"/>
  <c r="N213" i="2"/>
  <c r="P213" i="2" s="1"/>
  <c r="N214" i="2"/>
  <c r="P214" i="2" s="1"/>
  <c r="N215" i="2"/>
  <c r="P215" i="2" s="1"/>
  <c r="N216" i="2"/>
  <c r="P216" i="2" s="1"/>
  <c r="N217" i="2"/>
  <c r="P217" i="2" s="1"/>
  <c r="N218" i="2"/>
  <c r="P218" i="2" s="1"/>
  <c r="N219" i="2"/>
  <c r="P219" i="2" s="1"/>
  <c r="N220" i="2"/>
  <c r="P220" i="2" s="1"/>
  <c r="N221" i="2"/>
  <c r="P221" i="2" s="1"/>
  <c r="N222" i="2"/>
  <c r="P222" i="2" s="1"/>
  <c r="N223" i="2"/>
  <c r="P223" i="2" s="1"/>
  <c r="N224" i="2"/>
  <c r="P224" i="2" s="1"/>
  <c r="N225" i="2"/>
  <c r="P225" i="2" s="1"/>
  <c r="N226" i="2"/>
  <c r="P226" i="2" s="1"/>
  <c r="N227" i="2"/>
  <c r="P227" i="2" s="1"/>
  <c r="N228" i="2"/>
  <c r="P228" i="2" s="1"/>
  <c r="N229" i="2"/>
  <c r="P229" i="2" s="1"/>
  <c r="N230" i="2"/>
  <c r="P230" i="2" s="1"/>
  <c r="N231" i="2"/>
  <c r="P231" i="2" s="1"/>
  <c r="N232" i="2"/>
  <c r="P232" i="2" s="1"/>
  <c r="N233" i="2"/>
  <c r="P233" i="2" s="1"/>
  <c r="N234" i="2"/>
  <c r="P234" i="2" s="1"/>
  <c r="N235" i="2"/>
  <c r="P235" i="2" s="1"/>
  <c r="N236" i="2"/>
  <c r="P236" i="2" s="1"/>
  <c r="N237" i="2"/>
  <c r="P237" i="2" s="1"/>
  <c r="N238" i="2"/>
  <c r="P238" i="2" s="1"/>
  <c r="N239" i="2"/>
  <c r="P239" i="2" s="1"/>
  <c r="N240" i="2"/>
  <c r="P240" i="2" s="1"/>
  <c r="N241" i="2"/>
  <c r="P241" i="2" s="1"/>
  <c r="N242" i="2"/>
  <c r="P242" i="2" s="1"/>
  <c r="N243" i="2"/>
  <c r="P243" i="2" s="1"/>
  <c r="N244" i="2"/>
  <c r="P244" i="2" s="1"/>
  <c r="N245" i="2"/>
  <c r="P245" i="2" s="1"/>
  <c r="N246" i="2"/>
  <c r="P246" i="2" s="1"/>
  <c r="N247" i="2"/>
  <c r="P247" i="2" s="1"/>
  <c r="N248" i="2"/>
  <c r="P248" i="2" s="1"/>
  <c r="N249" i="2"/>
  <c r="P249" i="2" s="1"/>
  <c r="N250" i="2"/>
  <c r="P250" i="2" s="1"/>
  <c r="N251" i="2"/>
  <c r="P251" i="2" s="1"/>
  <c r="N252" i="2"/>
  <c r="P252" i="2" s="1"/>
  <c r="N253" i="2"/>
  <c r="P253" i="2" s="1"/>
  <c r="N254" i="2"/>
  <c r="P254" i="2" s="1"/>
  <c r="N255" i="2"/>
  <c r="P255" i="2" s="1"/>
  <c r="N256" i="2"/>
  <c r="P256" i="2" s="1"/>
  <c r="N257" i="2"/>
  <c r="P257" i="2" s="1"/>
  <c r="N258" i="2"/>
  <c r="P258" i="2" s="1"/>
  <c r="N259" i="2"/>
  <c r="P259" i="2" s="1"/>
  <c r="N260" i="2"/>
  <c r="P260" i="2" s="1"/>
  <c r="N261" i="2"/>
  <c r="P261" i="2" s="1"/>
  <c r="N262" i="2"/>
  <c r="P262" i="2" s="1"/>
  <c r="N263" i="2"/>
  <c r="P263" i="2" s="1"/>
  <c r="N264" i="2"/>
  <c r="P264" i="2" s="1"/>
  <c r="N265" i="2"/>
  <c r="P265" i="2" s="1"/>
  <c r="N266" i="2"/>
  <c r="P266" i="2" s="1"/>
  <c r="N267" i="2"/>
  <c r="P267" i="2" s="1"/>
  <c r="N268" i="2"/>
  <c r="P268" i="2" s="1"/>
  <c r="N269" i="2"/>
  <c r="P269" i="2" s="1"/>
  <c r="N270" i="2"/>
  <c r="P270" i="2" s="1"/>
  <c r="N271" i="2"/>
  <c r="P271" i="2" s="1"/>
  <c r="N272" i="2"/>
  <c r="P272" i="2" s="1"/>
  <c r="N273" i="2"/>
  <c r="P273" i="2" s="1"/>
  <c r="N274" i="2"/>
  <c r="P274" i="2" s="1"/>
  <c r="N275" i="2"/>
  <c r="P275" i="2" s="1"/>
  <c r="N276" i="2"/>
  <c r="P276" i="2" s="1"/>
  <c r="N277" i="2"/>
  <c r="P277" i="2" s="1"/>
  <c r="N278" i="2"/>
  <c r="P278" i="2" s="1"/>
  <c r="N279" i="2"/>
  <c r="P279" i="2" s="1"/>
  <c r="N280" i="2"/>
  <c r="P280" i="2" s="1"/>
  <c r="N281" i="2"/>
  <c r="P281" i="2" s="1"/>
  <c r="N282" i="2"/>
  <c r="P282" i="2" s="1"/>
  <c r="N283" i="2"/>
  <c r="P283" i="2" s="1"/>
  <c r="N284" i="2"/>
  <c r="P284" i="2" s="1"/>
  <c r="N285" i="2"/>
  <c r="P285" i="2" s="1"/>
  <c r="N286" i="2"/>
  <c r="P286" i="2" s="1"/>
  <c r="N287" i="2"/>
  <c r="P287" i="2" s="1"/>
  <c r="N288" i="2"/>
  <c r="P288" i="2" s="1"/>
  <c r="N289" i="2"/>
  <c r="P289" i="2" s="1"/>
  <c r="N290" i="2"/>
  <c r="P290" i="2" s="1"/>
  <c r="N291" i="2"/>
  <c r="P291" i="2" s="1"/>
  <c r="N292" i="2"/>
  <c r="P292" i="2" s="1"/>
  <c r="N293" i="2"/>
  <c r="P293" i="2" s="1"/>
  <c r="N294" i="2"/>
  <c r="P294" i="2" s="1"/>
  <c r="N295" i="2"/>
  <c r="P295" i="2" s="1"/>
  <c r="N296" i="2"/>
  <c r="P296" i="2" s="1"/>
  <c r="N297" i="2"/>
  <c r="P297" i="2" s="1"/>
  <c r="N298" i="2"/>
  <c r="P298" i="2" s="1"/>
  <c r="N299" i="2"/>
  <c r="P299" i="2" s="1"/>
  <c r="N300" i="2"/>
  <c r="P300" i="2" s="1"/>
  <c r="N301" i="2"/>
  <c r="P301" i="2" s="1"/>
  <c r="N302" i="2"/>
  <c r="P302" i="2" s="1"/>
  <c r="N303" i="2"/>
  <c r="P303" i="2" s="1"/>
  <c r="N304" i="2"/>
  <c r="P304" i="2" s="1"/>
  <c r="N305" i="2"/>
  <c r="P305" i="2" s="1"/>
  <c r="N306" i="2"/>
  <c r="P306" i="2" s="1"/>
  <c r="N307" i="2"/>
  <c r="P307" i="2" s="1"/>
  <c r="N308" i="2"/>
  <c r="P308" i="2" s="1"/>
  <c r="N309" i="2"/>
  <c r="P309" i="2" s="1"/>
  <c r="N310" i="2"/>
  <c r="P310" i="2" s="1"/>
  <c r="N311" i="2"/>
  <c r="P311" i="2" s="1"/>
  <c r="N312" i="2"/>
  <c r="P312" i="2" s="1"/>
  <c r="N313" i="2"/>
  <c r="P313" i="2" s="1"/>
  <c r="N314" i="2"/>
  <c r="P314" i="2" s="1"/>
  <c r="N315" i="2"/>
  <c r="P315" i="2" s="1"/>
  <c r="N316" i="2"/>
  <c r="P316" i="2" s="1"/>
  <c r="N317" i="2"/>
  <c r="P317" i="2" s="1"/>
  <c r="N318" i="2"/>
  <c r="P318" i="2" s="1"/>
  <c r="N319" i="2"/>
  <c r="P319" i="2" s="1"/>
  <c r="N320" i="2"/>
  <c r="P320" i="2" s="1"/>
  <c r="N321" i="2"/>
  <c r="P321" i="2" s="1"/>
  <c r="N322" i="2"/>
  <c r="P322" i="2" s="1"/>
  <c r="N323" i="2"/>
  <c r="P323" i="2" s="1"/>
  <c r="N324" i="2"/>
  <c r="P324" i="2" s="1"/>
  <c r="N325" i="2"/>
  <c r="P325" i="2" s="1"/>
  <c r="N326" i="2"/>
  <c r="P326" i="2" s="1"/>
  <c r="N327" i="2"/>
  <c r="P327" i="2" s="1"/>
  <c r="N328" i="2"/>
  <c r="P328" i="2" s="1"/>
  <c r="N329" i="2"/>
  <c r="P329" i="2" s="1"/>
  <c r="N330" i="2"/>
  <c r="P330" i="2" s="1"/>
  <c r="N331" i="2"/>
  <c r="P331" i="2" s="1"/>
  <c r="N332" i="2"/>
  <c r="P332" i="2" s="1"/>
  <c r="N333" i="2"/>
  <c r="P333" i="2" s="1"/>
  <c r="N334" i="2"/>
  <c r="P334" i="2" s="1"/>
  <c r="N335" i="2"/>
  <c r="P335" i="2" s="1"/>
  <c r="N336" i="2"/>
  <c r="P336" i="2" s="1"/>
  <c r="N337" i="2"/>
  <c r="P337" i="2" s="1"/>
  <c r="N338" i="2"/>
  <c r="P338" i="2" s="1"/>
  <c r="N339" i="2"/>
  <c r="P339" i="2" s="1"/>
  <c r="N340" i="2"/>
  <c r="P340" i="2" s="1"/>
  <c r="N341" i="2"/>
  <c r="P341" i="2" s="1"/>
  <c r="N342" i="2"/>
  <c r="P342" i="2" s="1"/>
  <c r="N343" i="2"/>
  <c r="P343" i="2" s="1"/>
  <c r="N344" i="2"/>
  <c r="P344" i="2" s="1"/>
  <c r="N345" i="2"/>
  <c r="P345" i="2" s="1"/>
  <c r="N346" i="2"/>
  <c r="P346" i="2" s="1"/>
  <c r="N347" i="2"/>
  <c r="P347" i="2" s="1"/>
  <c r="N348" i="2"/>
  <c r="P348" i="2" s="1"/>
  <c r="N349" i="2"/>
  <c r="P349" i="2" s="1"/>
  <c r="N350" i="2"/>
  <c r="P350" i="2" s="1"/>
  <c r="N351" i="2"/>
  <c r="P351" i="2" s="1"/>
  <c r="N352" i="2"/>
  <c r="P352" i="2" s="1"/>
  <c r="N353" i="2"/>
  <c r="P353" i="2" s="1"/>
  <c r="N354" i="2"/>
  <c r="P354" i="2" s="1"/>
  <c r="N355" i="2"/>
  <c r="P355" i="2" s="1"/>
  <c r="N356" i="2"/>
  <c r="P356" i="2" s="1"/>
  <c r="N357" i="2"/>
  <c r="P357" i="2" s="1"/>
  <c r="N358" i="2"/>
  <c r="P358" i="2" s="1"/>
  <c r="N359" i="2"/>
  <c r="P359" i="2" s="1"/>
  <c r="N360" i="2"/>
  <c r="P360" i="2" s="1"/>
  <c r="N361" i="2"/>
  <c r="P361" i="2" s="1"/>
  <c r="N362" i="2"/>
  <c r="P362" i="2" s="1"/>
  <c r="N363" i="2"/>
  <c r="P363" i="2" s="1"/>
  <c r="N364" i="2"/>
  <c r="P364" i="2" s="1"/>
  <c r="N365" i="2"/>
  <c r="P365" i="2" s="1"/>
  <c r="N366" i="2"/>
  <c r="P366" i="2" s="1"/>
  <c r="N367" i="2"/>
  <c r="P367" i="2" s="1"/>
  <c r="N368" i="2"/>
  <c r="P368" i="2" s="1"/>
  <c r="N369" i="2"/>
  <c r="P369" i="2" s="1"/>
  <c r="N370" i="2"/>
  <c r="P370" i="2" s="1"/>
  <c r="N371" i="2"/>
  <c r="P371" i="2" s="1"/>
  <c r="N372" i="2"/>
  <c r="P372" i="2" s="1"/>
  <c r="N373" i="2"/>
  <c r="P373" i="2" s="1"/>
  <c r="N374" i="2"/>
  <c r="P374" i="2" s="1"/>
  <c r="N375" i="2"/>
  <c r="P375" i="2" s="1"/>
  <c r="N376" i="2"/>
  <c r="P376" i="2" s="1"/>
  <c r="N377" i="2"/>
  <c r="P377" i="2" s="1"/>
  <c r="N378" i="2"/>
  <c r="P378" i="2" s="1"/>
  <c r="N379" i="2"/>
  <c r="P379" i="2" s="1"/>
  <c r="N380" i="2"/>
  <c r="P380" i="2" s="1"/>
  <c r="N381" i="2"/>
  <c r="P381" i="2" s="1"/>
  <c r="N382" i="2"/>
  <c r="P382" i="2" s="1"/>
  <c r="N383" i="2"/>
  <c r="P383" i="2" s="1"/>
  <c r="N384" i="2"/>
  <c r="P384" i="2" s="1"/>
  <c r="N385" i="2"/>
  <c r="P385" i="2" s="1"/>
  <c r="N386" i="2"/>
  <c r="P386" i="2" s="1"/>
  <c r="N387" i="2"/>
  <c r="P387" i="2" s="1"/>
  <c r="N388" i="2"/>
  <c r="P388" i="2" s="1"/>
  <c r="N389" i="2"/>
  <c r="P389" i="2" s="1"/>
  <c r="N390" i="2"/>
  <c r="P390" i="2" s="1"/>
  <c r="N391" i="2"/>
  <c r="P391" i="2" s="1"/>
  <c r="N392" i="2"/>
  <c r="P392" i="2" s="1"/>
  <c r="N393" i="2"/>
  <c r="P393" i="2" s="1"/>
  <c r="N394" i="2"/>
  <c r="P394" i="2" s="1"/>
  <c r="N395" i="2"/>
  <c r="P395" i="2" s="1"/>
  <c r="N396" i="2"/>
  <c r="P396" i="2" s="1"/>
  <c r="N397" i="2"/>
  <c r="P397" i="2" s="1"/>
  <c r="N398" i="2"/>
  <c r="P398" i="2" s="1"/>
  <c r="N399" i="2"/>
  <c r="P399" i="2" s="1"/>
  <c r="N400" i="2"/>
  <c r="P400" i="2" s="1"/>
  <c r="N401" i="2"/>
  <c r="P401" i="2" s="1"/>
  <c r="N402" i="2"/>
  <c r="P402" i="2" s="1"/>
  <c r="N403" i="2"/>
  <c r="P403" i="2" s="1"/>
  <c r="N404" i="2"/>
  <c r="P404" i="2" s="1"/>
  <c r="N405" i="2"/>
  <c r="P405" i="2" s="1"/>
  <c r="N406" i="2"/>
  <c r="P406" i="2" s="1"/>
  <c r="N407" i="2"/>
  <c r="P407" i="2" s="1"/>
  <c r="N408" i="2"/>
  <c r="P408" i="2" s="1"/>
  <c r="N409" i="2"/>
  <c r="P409" i="2" s="1"/>
  <c r="N410" i="2"/>
  <c r="P410" i="2" s="1"/>
  <c r="N411" i="2"/>
  <c r="P411" i="2" s="1"/>
  <c r="N412" i="2"/>
  <c r="P412" i="2" s="1"/>
  <c r="N413" i="2"/>
  <c r="P413" i="2" s="1"/>
  <c r="N414" i="2"/>
  <c r="P414" i="2" s="1"/>
  <c r="N415" i="2"/>
  <c r="P415" i="2" s="1"/>
  <c r="N416" i="2"/>
  <c r="P416" i="2" s="1"/>
  <c r="N417" i="2"/>
  <c r="P417" i="2" s="1"/>
  <c r="N418" i="2"/>
  <c r="P418" i="2" s="1"/>
  <c r="N419" i="2"/>
  <c r="P419" i="2" s="1"/>
  <c r="N420" i="2"/>
  <c r="P420" i="2" s="1"/>
  <c r="N421" i="2"/>
  <c r="P421" i="2" s="1"/>
  <c r="N422" i="2"/>
  <c r="P422" i="2" s="1"/>
  <c r="N423" i="2"/>
  <c r="P423" i="2" s="1"/>
  <c r="N424" i="2"/>
  <c r="P424" i="2" s="1"/>
  <c r="N425" i="2"/>
  <c r="P425" i="2" s="1"/>
  <c r="N426" i="2"/>
  <c r="P426" i="2" s="1"/>
  <c r="N427" i="2"/>
  <c r="P427" i="2" s="1"/>
  <c r="N428" i="2"/>
  <c r="P428" i="2" s="1"/>
  <c r="N429" i="2"/>
  <c r="P429" i="2" s="1"/>
  <c r="N430" i="2"/>
  <c r="P430" i="2" s="1"/>
  <c r="N431" i="2"/>
  <c r="P431" i="2" s="1"/>
  <c r="N432" i="2"/>
  <c r="P432" i="2" s="1"/>
  <c r="N433" i="2"/>
  <c r="P433" i="2" s="1"/>
  <c r="N434" i="2"/>
  <c r="P434" i="2" s="1"/>
  <c r="N435" i="2"/>
  <c r="P435" i="2" s="1"/>
  <c r="N436" i="2"/>
  <c r="P436" i="2" s="1"/>
  <c r="N437" i="2"/>
  <c r="P437" i="2" s="1"/>
  <c r="N438" i="2"/>
  <c r="P438" i="2" s="1"/>
  <c r="N439" i="2"/>
  <c r="P439" i="2" s="1"/>
  <c r="N440" i="2"/>
  <c r="P440" i="2" s="1"/>
  <c r="N441" i="2"/>
  <c r="P441" i="2" s="1"/>
  <c r="N442" i="2"/>
  <c r="P442" i="2" s="1"/>
  <c r="N443" i="2"/>
  <c r="P443" i="2" s="1"/>
  <c r="N444" i="2"/>
  <c r="P444" i="2" s="1"/>
  <c r="N445" i="2"/>
  <c r="P445" i="2" s="1"/>
  <c r="N446" i="2"/>
  <c r="P446" i="2" s="1"/>
  <c r="N447" i="2"/>
  <c r="P447" i="2" s="1"/>
  <c r="N448" i="2"/>
  <c r="P448" i="2" s="1"/>
  <c r="N449" i="2"/>
  <c r="P449" i="2" s="1"/>
  <c r="N450" i="2"/>
  <c r="P450" i="2" s="1"/>
  <c r="N451" i="2"/>
  <c r="P451" i="2" s="1"/>
  <c r="N452" i="2"/>
  <c r="P452" i="2" s="1"/>
  <c r="N453" i="2"/>
  <c r="P453" i="2" s="1"/>
  <c r="N454" i="2"/>
  <c r="P454" i="2" s="1"/>
  <c r="N455" i="2"/>
  <c r="P455" i="2" s="1"/>
  <c r="N456" i="2"/>
  <c r="P456" i="2" s="1"/>
  <c r="N457" i="2"/>
  <c r="P457" i="2" s="1"/>
  <c r="N458" i="2"/>
  <c r="P458" i="2" s="1"/>
  <c r="N459" i="2"/>
  <c r="P459" i="2" s="1"/>
  <c r="N460" i="2"/>
  <c r="P460" i="2" s="1"/>
  <c r="N461" i="2"/>
  <c r="P461" i="2" s="1"/>
  <c r="N462" i="2"/>
  <c r="P462" i="2" s="1"/>
  <c r="N463" i="2"/>
  <c r="P463" i="2" s="1"/>
  <c r="N464" i="2"/>
  <c r="P464" i="2" s="1"/>
  <c r="N465" i="2"/>
  <c r="P465" i="2" s="1"/>
  <c r="N466" i="2"/>
  <c r="P466" i="2" s="1"/>
  <c r="N467" i="2"/>
  <c r="P467" i="2" s="1"/>
  <c r="N468" i="2"/>
  <c r="P468" i="2" s="1"/>
  <c r="N469" i="2"/>
  <c r="P469" i="2" s="1"/>
  <c r="N470" i="2"/>
  <c r="P470" i="2" s="1"/>
  <c r="N471" i="2"/>
  <c r="P471" i="2" s="1"/>
  <c r="N472" i="2"/>
  <c r="P472" i="2" s="1"/>
  <c r="N473" i="2"/>
  <c r="P473" i="2" s="1"/>
  <c r="N474" i="2"/>
  <c r="P474" i="2" s="1"/>
  <c r="N475" i="2"/>
  <c r="P475" i="2" s="1"/>
  <c r="N476" i="2"/>
  <c r="P476" i="2" s="1"/>
  <c r="N477" i="2"/>
  <c r="P477" i="2" s="1"/>
  <c r="N478" i="2"/>
  <c r="P478" i="2" s="1"/>
  <c r="N479" i="2"/>
  <c r="P479" i="2" s="1"/>
  <c r="N480" i="2"/>
  <c r="P480" i="2" s="1"/>
  <c r="N481" i="2"/>
  <c r="P481" i="2" s="1"/>
  <c r="N482" i="2"/>
  <c r="P482" i="2" s="1"/>
  <c r="N483" i="2"/>
  <c r="P483" i="2" s="1"/>
  <c r="N484" i="2"/>
  <c r="P484" i="2" s="1"/>
  <c r="N485" i="2"/>
  <c r="P485" i="2" s="1"/>
  <c r="N486" i="2"/>
  <c r="P486" i="2" s="1"/>
  <c r="N487" i="2"/>
  <c r="P487" i="2" s="1"/>
  <c r="N488" i="2"/>
  <c r="P488" i="2" s="1"/>
  <c r="N489" i="2"/>
  <c r="P489" i="2" s="1"/>
  <c r="N490" i="2"/>
  <c r="P490" i="2" s="1"/>
  <c r="N491" i="2"/>
  <c r="P491" i="2" s="1"/>
  <c r="N492" i="2"/>
  <c r="P492" i="2" s="1"/>
  <c r="N493" i="2"/>
  <c r="P493" i="2" s="1"/>
  <c r="N494" i="2"/>
  <c r="P494" i="2" s="1"/>
  <c r="N495" i="2"/>
  <c r="P495" i="2" s="1"/>
  <c r="N496" i="2"/>
  <c r="P496" i="2" s="1"/>
  <c r="N497" i="2"/>
  <c r="P497" i="2" s="1"/>
  <c r="N498" i="2"/>
  <c r="P498" i="2" s="1"/>
  <c r="N499" i="2"/>
  <c r="P499" i="2" s="1"/>
  <c r="N500" i="2"/>
  <c r="P500" i="2" s="1"/>
  <c r="N501" i="2"/>
  <c r="P501" i="2" s="1"/>
  <c r="N502" i="2"/>
  <c r="P502" i="2" s="1"/>
  <c r="N503" i="2"/>
  <c r="P503" i="2" s="1"/>
  <c r="N504" i="2"/>
  <c r="P504" i="2" s="1"/>
  <c r="N505" i="2"/>
  <c r="P505" i="2" s="1"/>
  <c r="N506" i="2"/>
  <c r="P506" i="2" s="1"/>
  <c r="N507" i="2"/>
  <c r="P507" i="2" s="1"/>
  <c r="N508" i="2"/>
  <c r="P508" i="2" s="1"/>
  <c r="N509" i="2"/>
  <c r="P509" i="2" s="1"/>
  <c r="N510" i="2"/>
  <c r="P510" i="2" s="1"/>
  <c r="N511" i="2"/>
  <c r="P511" i="2" s="1"/>
  <c r="N512" i="2"/>
  <c r="P512" i="2" s="1"/>
  <c r="N513" i="2"/>
  <c r="P513" i="2" s="1"/>
  <c r="N514" i="2"/>
  <c r="P514" i="2" s="1"/>
  <c r="N515" i="2"/>
  <c r="P515" i="2" s="1"/>
  <c r="N516" i="2"/>
  <c r="P516" i="2" s="1"/>
  <c r="N517" i="2"/>
  <c r="P517" i="2" s="1"/>
  <c r="N518" i="2"/>
  <c r="P518" i="2" s="1"/>
  <c r="N519" i="2"/>
  <c r="P519" i="2" s="1"/>
  <c r="N520" i="2"/>
  <c r="P520" i="2" s="1"/>
  <c r="N521" i="2"/>
  <c r="P521" i="2" s="1"/>
  <c r="N522" i="2"/>
  <c r="P522" i="2" s="1"/>
  <c r="N523" i="2"/>
  <c r="P523" i="2" s="1"/>
  <c r="N524" i="2"/>
  <c r="P524" i="2" s="1"/>
  <c r="N525" i="2"/>
  <c r="P525" i="2" s="1"/>
  <c r="N526" i="2"/>
  <c r="P526" i="2" s="1"/>
  <c r="N527" i="2"/>
  <c r="P527" i="2" s="1"/>
  <c r="N528" i="2"/>
  <c r="P528" i="2" s="1"/>
  <c r="N529" i="2"/>
  <c r="P529" i="2" s="1"/>
  <c r="N530" i="2"/>
  <c r="P530" i="2" s="1"/>
  <c r="N531" i="2"/>
  <c r="P531" i="2" s="1"/>
  <c r="N532" i="2"/>
  <c r="P532" i="2" s="1"/>
  <c r="N533" i="2"/>
  <c r="P533" i="2" s="1"/>
  <c r="N534" i="2"/>
  <c r="P534" i="2" s="1"/>
  <c r="N535" i="2"/>
  <c r="P535" i="2" s="1"/>
  <c r="N536" i="2"/>
  <c r="P536" i="2" s="1"/>
  <c r="N537" i="2"/>
  <c r="P537" i="2" s="1"/>
  <c r="N538" i="2"/>
  <c r="P538" i="2" s="1"/>
  <c r="N539" i="2"/>
  <c r="P539" i="2" s="1"/>
  <c r="N540" i="2"/>
  <c r="P540" i="2" s="1"/>
  <c r="N541" i="2"/>
  <c r="P541" i="2" s="1"/>
  <c r="N542" i="2"/>
  <c r="P542" i="2" s="1"/>
  <c r="N543" i="2"/>
  <c r="P543" i="2" s="1"/>
  <c r="N544" i="2"/>
  <c r="P544" i="2" s="1"/>
  <c r="N545" i="2"/>
  <c r="P545" i="2" s="1"/>
  <c r="N546" i="2"/>
  <c r="P546" i="2" s="1"/>
  <c r="N547" i="2"/>
  <c r="P547" i="2" s="1"/>
  <c r="N548" i="2"/>
  <c r="P548" i="2" s="1"/>
  <c r="N549" i="2"/>
  <c r="P549" i="2" s="1"/>
  <c r="N550" i="2"/>
  <c r="P550" i="2" s="1"/>
  <c r="N551" i="2"/>
  <c r="P551" i="2" s="1"/>
  <c r="N552" i="2"/>
  <c r="P552" i="2" s="1"/>
  <c r="N553" i="2"/>
  <c r="P553" i="2" s="1"/>
  <c r="N554" i="2"/>
  <c r="P554" i="2" s="1"/>
  <c r="N555" i="2"/>
  <c r="P555" i="2" s="1"/>
  <c r="N556" i="2"/>
  <c r="P556" i="2" s="1"/>
  <c r="N557" i="2"/>
  <c r="P557" i="2" s="1"/>
  <c r="N558" i="2"/>
  <c r="P558" i="2" s="1"/>
  <c r="N559" i="2"/>
  <c r="P559" i="2" s="1"/>
  <c r="N560" i="2"/>
  <c r="P560" i="2" s="1"/>
  <c r="N561" i="2"/>
  <c r="P561" i="2" s="1"/>
  <c r="N562" i="2"/>
  <c r="P562" i="2" s="1"/>
  <c r="N563" i="2"/>
  <c r="P563" i="2" s="1"/>
  <c r="N564" i="2"/>
  <c r="P564" i="2" s="1"/>
  <c r="N565" i="2"/>
  <c r="P565" i="2" s="1"/>
  <c r="N566" i="2"/>
  <c r="P566" i="2" s="1"/>
  <c r="N567" i="2"/>
  <c r="P567" i="2" s="1"/>
  <c r="N568" i="2"/>
  <c r="P568" i="2" s="1"/>
  <c r="N569" i="2"/>
  <c r="P569" i="2" s="1"/>
  <c r="N570" i="2"/>
  <c r="P570" i="2" s="1"/>
  <c r="N571" i="2"/>
  <c r="P571" i="2" s="1"/>
  <c r="N572" i="2"/>
  <c r="P572" i="2" s="1"/>
  <c r="N573" i="2"/>
  <c r="P573" i="2" s="1"/>
  <c r="N574" i="2"/>
  <c r="P574" i="2" s="1"/>
  <c r="N575" i="2"/>
  <c r="P575" i="2" s="1"/>
  <c r="N576" i="2"/>
  <c r="P576" i="2" s="1"/>
  <c r="N577" i="2"/>
  <c r="P577" i="2" s="1"/>
  <c r="N578" i="2"/>
  <c r="P578" i="2" s="1"/>
  <c r="N579" i="2"/>
  <c r="P579" i="2" s="1"/>
  <c r="N580" i="2"/>
  <c r="P580" i="2" s="1"/>
  <c r="N581" i="2"/>
  <c r="P581" i="2" s="1"/>
  <c r="N582" i="2"/>
  <c r="P582" i="2" s="1"/>
  <c r="N583" i="2"/>
  <c r="P583" i="2" s="1"/>
  <c r="N584" i="2"/>
  <c r="P584" i="2" s="1"/>
  <c r="N585" i="2"/>
  <c r="P585" i="2" s="1"/>
  <c r="N586" i="2"/>
  <c r="P586" i="2" s="1"/>
  <c r="N587" i="2"/>
  <c r="P587" i="2" s="1"/>
  <c r="N588" i="2"/>
  <c r="P588" i="2" s="1"/>
  <c r="N589" i="2"/>
  <c r="P589" i="2" s="1"/>
  <c r="N590" i="2"/>
  <c r="P590" i="2" s="1"/>
  <c r="N591" i="2"/>
  <c r="P591" i="2" s="1"/>
  <c r="N592" i="2"/>
  <c r="P592" i="2" s="1"/>
  <c r="N593" i="2"/>
  <c r="P593" i="2" s="1"/>
  <c r="N594" i="2"/>
  <c r="P594" i="2" s="1"/>
  <c r="N595" i="2"/>
  <c r="P595" i="2" s="1"/>
  <c r="N596" i="2"/>
  <c r="P596" i="2" s="1"/>
  <c r="N597" i="2"/>
  <c r="P597" i="2" s="1"/>
  <c r="N598" i="2"/>
  <c r="P598" i="2" s="1"/>
  <c r="N599" i="2"/>
  <c r="P599" i="2" s="1"/>
  <c r="N600" i="2"/>
  <c r="P600" i="2" s="1"/>
  <c r="N601" i="2"/>
  <c r="P601" i="2" s="1"/>
  <c r="N602" i="2"/>
  <c r="P602" i="2" s="1"/>
  <c r="N603" i="2"/>
  <c r="P603" i="2" s="1"/>
  <c r="N604" i="2"/>
  <c r="P604" i="2" s="1"/>
  <c r="N605" i="2"/>
  <c r="P605" i="2" s="1"/>
  <c r="N606" i="2"/>
  <c r="P606" i="2" s="1"/>
  <c r="N607" i="2"/>
  <c r="P607" i="2" s="1"/>
  <c r="N608" i="2"/>
  <c r="P608" i="2" s="1"/>
  <c r="N609" i="2"/>
  <c r="P609" i="2" s="1"/>
  <c r="N610" i="2"/>
  <c r="P610" i="2" s="1"/>
  <c r="N611" i="2"/>
  <c r="P611" i="2" s="1"/>
  <c r="N612" i="2"/>
  <c r="P612" i="2" s="1"/>
  <c r="N613" i="2"/>
  <c r="P613" i="2" s="1"/>
  <c r="N614" i="2"/>
  <c r="P614" i="2" s="1"/>
  <c r="N615" i="2"/>
  <c r="P615" i="2" s="1"/>
  <c r="N616" i="2"/>
  <c r="P616" i="2" s="1"/>
  <c r="N617" i="2"/>
  <c r="P617" i="2" s="1"/>
  <c r="N618" i="2"/>
  <c r="P618" i="2" s="1"/>
  <c r="N619" i="2"/>
  <c r="P619" i="2" s="1"/>
  <c r="N620" i="2"/>
  <c r="P620" i="2" s="1"/>
  <c r="N621" i="2"/>
  <c r="P621" i="2" s="1"/>
  <c r="N622" i="2"/>
  <c r="P622" i="2" s="1"/>
  <c r="N623" i="2"/>
  <c r="P623" i="2" s="1"/>
  <c r="N624" i="2"/>
  <c r="P624" i="2" s="1"/>
  <c r="N625" i="2"/>
  <c r="P625" i="2" s="1"/>
  <c r="N626" i="2"/>
  <c r="P626" i="2" s="1"/>
  <c r="N627" i="2"/>
  <c r="P627" i="2" s="1"/>
  <c r="N628" i="2"/>
  <c r="P628" i="2" s="1"/>
  <c r="N629" i="2"/>
  <c r="P629" i="2" s="1"/>
  <c r="N630" i="2"/>
  <c r="P630" i="2" s="1"/>
  <c r="N631" i="2"/>
  <c r="P631" i="2" s="1"/>
  <c r="N632" i="2"/>
  <c r="P632" i="2" s="1"/>
  <c r="N633" i="2"/>
  <c r="P633" i="2" s="1"/>
  <c r="N634" i="2"/>
  <c r="P634" i="2" s="1"/>
  <c r="N635" i="2"/>
  <c r="P635" i="2" s="1"/>
  <c r="N636" i="2"/>
  <c r="P636" i="2" s="1"/>
  <c r="N637" i="2"/>
  <c r="P637" i="2" s="1"/>
  <c r="N638" i="2"/>
  <c r="P638" i="2" s="1"/>
  <c r="N639" i="2"/>
  <c r="P639" i="2" s="1"/>
  <c r="N640" i="2"/>
  <c r="P640" i="2" s="1"/>
  <c r="N641" i="2"/>
  <c r="P641" i="2" s="1"/>
  <c r="N642" i="2"/>
  <c r="P642" i="2" s="1"/>
  <c r="N643" i="2"/>
  <c r="P643" i="2" s="1"/>
  <c r="N644" i="2"/>
  <c r="P644" i="2" s="1"/>
  <c r="N645" i="2"/>
  <c r="P645" i="2" s="1"/>
  <c r="N646" i="2"/>
  <c r="P646" i="2" s="1"/>
  <c r="N647" i="2"/>
  <c r="P647" i="2" s="1"/>
  <c r="N648" i="2"/>
  <c r="P648" i="2" s="1"/>
  <c r="N649" i="2"/>
  <c r="P649" i="2" s="1"/>
  <c r="N650" i="2"/>
  <c r="P650" i="2" s="1"/>
  <c r="N651" i="2"/>
  <c r="P651" i="2" s="1"/>
  <c r="N652" i="2"/>
  <c r="P652" i="2" s="1"/>
  <c r="N653" i="2"/>
  <c r="P653" i="2" s="1"/>
  <c r="N654" i="2"/>
  <c r="P654" i="2" s="1"/>
  <c r="N655" i="2"/>
  <c r="P655" i="2" s="1"/>
  <c r="N656" i="2"/>
  <c r="P656" i="2" s="1"/>
  <c r="N657" i="2"/>
  <c r="P657" i="2" s="1"/>
  <c r="N658" i="2"/>
  <c r="P658" i="2" s="1"/>
  <c r="N659" i="2"/>
  <c r="P659" i="2" s="1"/>
  <c r="N660" i="2"/>
  <c r="P660" i="2" s="1"/>
  <c r="N661" i="2"/>
  <c r="P661" i="2" s="1"/>
  <c r="N662" i="2"/>
  <c r="P662" i="2" s="1"/>
  <c r="N663" i="2"/>
  <c r="P663" i="2" s="1"/>
  <c r="N664" i="2"/>
  <c r="P664" i="2" s="1"/>
  <c r="N665" i="2"/>
  <c r="P665" i="2" s="1"/>
  <c r="N666" i="2"/>
  <c r="P666" i="2" s="1"/>
  <c r="N667" i="2"/>
  <c r="P667" i="2" s="1"/>
  <c r="N668" i="2"/>
  <c r="P668" i="2" s="1"/>
  <c r="N669" i="2"/>
  <c r="P669" i="2" s="1"/>
  <c r="N670" i="2"/>
  <c r="P670" i="2" s="1"/>
  <c r="N671" i="2"/>
  <c r="P671" i="2" s="1"/>
  <c r="N672" i="2"/>
  <c r="P672" i="2" s="1"/>
  <c r="N673" i="2"/>
  <c r="P673" i="2" s="1"/>
  <c r="N674" i="2"/>
  <c r="P674" i="2" s="1"/>
  <c r="N675" i="2"/>
  <c r="P675" i="2" s="1"/>
  <c r="N676" i="2"/>
  <c r="P676" i="2" s="1"/>
  <c r="N677" i="2"/>
  <c r="P677" i="2" s="1"/>
  <c r="N678" i="2"/>
  <c r="P678" i="2" s="1"/>
  <c r="N679" i="2"/>
  <c r="P679" i="2" s="1"/>
  <c r="N680" i="2"/>
  <c r="P680" i="2" s="1"/>
  <c r="N681" i="2"/>
  <c r="P681" i="2" s="1"/>
  <c r="N682" i="2"/>
  <c r="P682" i="2" s="1"/>
  <c r="N683" i="2"/>
  <c r="P683" i="2" s="1"/>
  <c r="N684" i="2"/>
  <c r="P684" i="2" s="1"/>
  <c r="N685" i="2"/>
  <c r="P685" i="2" s="1"/>
  <c r="N686" i="2"/>
  <c r="P686" i="2" s="1"/>
  <c r="N687" i="2"/>
  <c r="P687" i="2" s="1"/>
  <c r="N688" i="2"/>
  <c r="P688" i="2" s="1"/>
  <c r="N689" i="2"/>
  <c r="P689" i="2" s="1"/>
  <c r="N690" i="2"/>
  <c r="P690" i="2" s="1"/>
  <c r="N691" i="2"/>
  <c r="P691" i="2" s="1"/>
  <c r="N692" i="2"/>
  <c r="P692" i="2" s="1"/>
  <c r="N693" i="2"/>
  <c r="P693" i="2" s="1"/>
  <c r="N694" i="2"/>
  <c r="P694" i="2" s="1"/>
  <c r="N695" i="2"/>
  <c r="P695" i="2" s="1"/>
  <c r="N696" i="2"/>
  <c r="P696" i="2" s="1"/>
  <c r="N697" i="2"/>
  <c r="P697" i="2" s="1"/>
  <c r="N698" i="2"/>
  <c r="P698" i="2" s="1"/>
  <c r="N699" i="2"/>
  <c r="P699" i="2" s="1"/>
  <c r="N700" i="2"/>
  <c r="P700" i="2" s="1"/>
  <c r="N701" i="2"/>
  <c r="P701" i="2" s="1"/>
  <c r="N702" i="2"/>
  <c r="P702" i="2" s="1"/>
  <c r="N703" i="2"/>
  <c r="P703" i="2" s="1"/>
  <c r="N704" i="2"/>
  <c r="P704" i="2" s="1"/>
  <c r="N705" i="2"/>
  <c r="P705" i="2" s="1"/>
  <c r="N706" i="2"/>
  <c r="P706" i="2" s="1"/>
  <c r="N707" i="2"/>
  <c r="P707" i="2" s="1"/>
  <c r="N708" i="2"/>
  <c r="P708" i="2" s="1"/>
  <c r="N709" i="2"/>
  <c r="P709" i="2" s="1"/>
  <c r="N710" i="2"/>
  <c r="P710" i="2" s="1"/>
  <c r="N711" i="2"/>
  <c r="P711" i="2" s="1"/>
  <c r="N712" i="2"/>
  <c r="P712" i="2" s="1"/>
  <c r="N713" i="2"/>
  <c r="P713" i="2" s="1"/>
  <c r="N714" i="2"/>
  <c r="P714" i="2" s="1"/>
  <c r="N715" i="2"/>
  <c r="P715" i="2" s="1"/>
  <c r="N716" i="2"/>
  <c r="P716" i="2" s="1"/>
  <c r="N717" i="2"/>
  <c r="P717" i="2" s="1"/>
  <c r="N718" i="2"/>
  <c r="P718" i="2" s="1"/>
  <c r="N719" i="2"/>
  <c r="P719" i="2" s="1"/>
  <c r="N720" i="2"/>
  <c r="P720" i="2" s="1"/>
  <c r="N721" i="2"/>
  <c r="P721" i="2" s="1"/>
  <c r="N722" i="2"/>
  <c r="P722" i="2" s="1"/>
  <c r="N723" i="2"/>
  <c r="P723" i="2" s="1"/>
  <c r="N724" i="2"/>
  <c r="P724" i="2" s="1"/>
  <c r="N725" i="2"/>
  <c r="P725" i="2" s="1"/>
  <c r="N726" i="2"/>
  <c r="P726" i="2" s="1"/>
  <c r="N727" i="2"/>
  <c r="P727" i="2" s="1"/>
  <c r="N728" i="2"/>
  <c r="P728" i="2" s="1"/>
  <c r="N729" i="2"/>
  <c r="P729" i="2" s="1"/>
  <c r="N730" i="2"/>
  <c r="P730" i="2" s="1"/>
  <c r="N731" i="2"/>
  <c r="P731" i="2" s="1"/>
  <c r="N732" i="2"/>
  <c r="P732" i="2" s="1"/>
  <c r="N733" i="2"/>
  <c r="P733" i="2" s="1"/>
  <c r="N734" i="2"/>
  <c r="P734" i="2" s="1"/>
  <c r="N735" i="2"/>
  <c r="P735" i="2" s="1"/>
  <c r="N736" i="2"/>
  <c r="P736" i="2" s="1"/>
  <c r="N737" i="2"/>
  <c r="P737" i="2" s="1"/>
  <c r="N738" i="2"/>
  <c r="P738" i="2" s="1"/>
  <c r="N739" i="2"/>
  <c r="P739" i="2" s="1"/>
  <c r="N740" i="2"/>
  <c r="P740" i="2" s="1"/>
  <c r="N741" i="2"/>
  <c r="P741" i="2" s="1"/>
  <c r="N742" i="2"/>
  <c r="P742" i="2" s="1"/>
  <c r="N743" i="2"/>
  <c r="P743" i="2" s="1"/>
  <c r="N744" i="2"/>
  <c r="P744" i="2" s="1"/>
  <c r="N745" i="2"/>
  <c r="P745" i="2" s="1"/>
  <c r="N746" i="2"/>
  <c r="P746" i="2" s="1"/>
  <c r="N747" i="2"/>
  <c r="P747" i="2" s="1"/>
  <c r="N748" i="2"/>
  <c r="P748" i="2" s="1"/>
  <c r="N749" i="2"/>
  <c r="P749" i="2" s="1"/>
  <c r="N750" i="2"/>
  <c r="P750" i="2" s="1"/>
  <c r="N751" i="2"/>
  <c r="P751" i="2" s="1"/>
  <c r="N752" i="2"/>
  <c r="P752" i="2" s="1"/>
  <c r="N753" i="2"/>
  <c r="P753" i="2" s="1"/>
  <c r="N754" i="2"/>
  <c r="P754" i="2" s="1"/>
  <c r="N755" i="2"/>
  <c r="P755" i="2" s="1"/>
  <c r="N756" i="2"/>
  <c r="P756" i="2" s="1"/>
  <c r="N757" i="2"/>
  <c r="P757" i="2" s="1"/>
  <c r="N758" i="2"/>
  <c r="P758" i="2" s="1"/>
  <c r="N759" i="2"/>
  <c r="P759" i="2" s="1"/>
  <c r="N760" i="2"/>
  <c r="P760" i="2" s="1"/>
  <c r="N761" i="2"/>
  <c r="P761" i="2" s="1"/>
  <c r="N762" i="2"/>
  <c r="P762" i="2" s="1"/>
  <c r="N763" i="2"/>
  <c r="P763" i="2" s="1"/>
  <c r="N764" i="2"/>
  <c r="P764" i="2" s="1"/>
  <c r="N765" i="2"/>
  <c r="P765" i="2" s="1"/>
  <c r="N766" i="2"/>
  <c r="P766" i="2" s="1"/>
  <c r="N767" i="2"/>
  <c r="P767" i="2" s="1"/>
  <c r="N768" i="2"/>
  <c r="P768" i="2" s="1"/>
  <c r="N769" i="2"/>
  <c r="P769" i="2" s="1"/>
  <c r="N770" i="2"/>
  <c r="P770" i="2" s="1"/>
  <c r="N771" i="2"/>
  <c r="P771" i="2" s="1"/>
  <c r="N772" i="2"/>
  <c r="P772" i="2" s="1"/>
  <c r="N773" i="2"/>
  <c r="P773" i="2" s="1"/>
  <c r="N774" i="2"/>
  <c r="P774" i="2" s="1"/>
  <c r="N775" i="2"/>
  <c r="P775" i="2" s="1"/>
  <c r="N776" i="2"/>
  <c r="P776" i="2" s="1"/>
  <c r="N777" i="2"/>
  <c r="P777" i="2" s="1"/>
  <c r="N778" i="2"/>
  <c r="P778" i="2" s="1"/>
  <c r="N779" i="2"/>
  <c r="P779" i="2" s="1"/>
  <c r="N780" i="2"/>
  <c r="P780" i="2" s="1"/>
  <c r="N781" i="2"/>
  <c r="P781" i="2" s="1"/>
  <c r="N782" i="2"/>
  <c r="P782" i="2" s="1"/>
  <c r="N783" i="2"/>
  <c r="P783" i="2" s="1"/>
  <c r="N784" i="2"/>
  <c r="P784" i="2" s="1"/>
  <c r="N785" i="2"/>
  <c r="P785" i="2" s="1"/>
  <c r="N786" i="2"/>
  <c r="P786" i="2" s="1"/>
  <c r="N787" i="2"/>
  <c r="P787" i="2" s="1"/>
  <c r="N788" i="2"/>
  <c r="P788" i="2" s="1"/>
  <c r="N789" i="2"/>
  <c r="P789" i="2" s="1"/>
  <c r="N790" i="2"/>
  <c r="P790" i="2" s="1"/>
  <c r="N791" i="2"/>
  <c r="P791" i="2" s="1"/>
  <c r="N792" i="2"/>
  <c r="P792" i="2" s="1"/>
  <c r="N793" i="2"/>
  <c r="P793" i="2" s="1"/>
  <c r="N794" i="2"/>
  <c r="P794" i="2" s="1"/>
  <c r="N795" i="2"/>
  <c r="P795" i="2" s="1"/>
  <c r="N796" i="2"/>
  <c r="P796" i="2" s="1"/>
  <c r="N797" i="2"/>
  <c r="P797" i="2" s="1"/>
  <c r="N798" i="2"/>
  <c r="P798" i="2" s="1"/>
  <c r="N799" i="2"/>
  <c r="P799" i="2" s="1"/>
  <c r="N800" i="2"/>
  <c r="P800" i="2" s="1"/>
  <c r="N801" i="2"/>
  <c r="P801" i="2" s="1"/>
  <c r="N802" i="2"/>
  <c r="P802" i="2" s="1"/>
  <c r="N803" i="2"/>
  <c r="P803" i="2" s="1"/>
  <c r="N804" i="2"/>
  <c r="P804" i="2" s="1"/>
  <c r="N805" i="2"/>
  <c r="P805" i="2" s="1"/>
  <c r="N806" i="2"/>
  <c r="P806" i="2" s="1"/>
  <c r="N807" i="2"/>
  <c r="P807" i="2" s="1"/>
  <c r="N808" i="2"/>
  <c r="P808" i="2" s="1"/>
  <c r="N809" i="2"/>
  <c r="P809" i="2" s="1"/>
  <c r="N810" i="2"/>
  <c r="P810" i="2" s="1"/>
  <c r="N811" i="2"/>
  <c r="P811" i="2" s="1"/>
  <c r="N812" i="2"/>
  <c r="P812" i="2" s="1"/>
  <c r="N813" i="2"/>
  <c r="P813" i="2" s="1"/>
  <c r="N814" i="2"/>
  <c r="P814" i="2" s="1"/>
  <c r="N815" i="2"/>
  <c r="P815" i="2" s="1"/>
  <c r="N816" i="2"/>
  <c r="P816" i="2" s="1"/>
  <c r="N817" i="2"/>
  <c r="P817" i="2" s="1"/>
  <c r="N818" i="2"/>
  <c r="P818" i="2" s="1"/>
  <c r="N819" i="2"/>
  <c r="P819" i="2" s="1"/>
  <c r="N820" i="2"/>
  <c r="P820" i="2" s="1"/>
  <c r="N821" i="2"/>
  <c r="P821" i="2" s="1"/>
  <c r="N822" i="2"/>
  <c r="P822" i="2" s="1"/>
  <c r="N823" i="2"/>
  <c r="P823" i="2" s="1"/>
  <c r="N824" i="2"/>
  <c r="P824" i="2" s="1"/>
  <c r="N825" i="2"/>
  <c r="P825" i="2" s="1"/>
  <c r="N826" i="2"/>
  <c r="P826" i="2" s="1"/>
  <c r="N827" i="2"/>
  <c r="P827" i="2" s="1"/>
  <c r="N828" i="2"/>
  <c r="P828" i="2" s="1"/>
  <c r="N829" i="2"/>
  <c r="P829" i="2" s="1"/>
  <c r="N830" i="2"/>
  <c r="P830" i="2" s="1"/>
  <c r="N831" i="2"/>
  <c r="P831" i="2" s="1"/>
  <c r="N832" i="2"/>
  <c r="P832" i="2" s="1"/>
  <c r="N833" i="2"/>
  <c r="P833" i="2" s="1"/>
  <c r="N834" i="2"/>
  <c r="P834" i="2" s="1"/>
  <c r="N835" i="2"/>
  <c r="P835" i="2" s="1"/>
  <c r="N836" i="2"/>
  <c r="P836" i="2" s="1"/>
  <c r="N837" i="2"/>
  <c r="P837" i="2" s="1"/>
  <c r="N838" i="2"/>
  <c r="P838" i="2" s="1"/>
  <c r="N839" i="2"/>
  <c r="P839" i="2" s="1"/>
  <c r="N840" i="2"/>
  <c r="P840" i="2" s="1"/>
  <c r="N841" i="2"/>
  <c r="P841" i="2" s="1"/>
  <c r="N842" i="2"/>
  <c r="P842" i="2" s="1"/>
  <c r="N843" i="2"/>
  <c r="P843" i="2" s="1"/>
  <c r="N844" i="2"/>
  <c r="P844" i="2" s="1"/>
  <c r="N845" i="2"/>
  <c r="P845" i="2" s="1"/>
  <c r="N846" i="2"/>
  <c r="P846" i="2" s="1"/>
  <c r="N847" i="2"/>
  <c r="P847" i="2" s="1"/>
  <c r="N848" i="2"/>
  <c r="P848" i="2" s="1"/>
  <c r="N849" i="2"/>
  <c r="P849" i="2" s="1"/>
  <c r="N850" i="2"/>
  <c r="P850" i="2" s="1"/>
  <c r="N851" i="2"/>
  <c r="P851" i="2" s="1"/>
  <c r="N852" i="2"/>
  <c r="P852" i="2" s="1"/>
  <c r="N853" i="2"/>
  <c r="P853" i="2" s="1"/>
  <c r="N854" i="2"/>
  <c r="P854" i="2" s="1"/>
  <c r="N855" i="2"/>
  <c r="P855" i="2" s="1"/>
  <c r="N856" i="2"/>
  <c r="P856" i="2" s="1"/>
  <c r="N857" i="2"/>
  <c r="P857" i="2" s="1"/>
  <c r="N858" i="2"/>
  <c r="P858" i="2" s="1"/>
  <c r="N859" i="2"/>
  <c r="P859" i="2" s="1"/>
  <c r="N860" i="2"/>
  <c r="P860" i="2" s="1"/>
  <c r="N861" i="2"/>
  <c r="P861" i="2" s="1"/>
  <c r="N862" i="2"/>
  <c r="P862" i="2" s="1"/>
  <c r="N863" i="2"/>
  <c r="P863" i="2" s="1"/>
  <c r="N864" i="2"/>
  <c r="P864" i="2" s="1"/>
  <c r="N865" i="2"/>
  <c r="P865" i="2" s="1"/>
  <c r="N866" i="2"/>
  <c r="P866" i="2" s="1"/>
  <c r="N867" i="2"/>
  <c r="P867" i="2" s="1"/>
  <c r="N868" i="2"/>
  <c r="P868" i="2" s="1"/>
  <c r="N869" i="2"/>
  <c r="P869" i="2" s="1"/>
  <c r="N870" i="2"/>
  <c r="P870" i="2" s="1"/>
  <c r="N871" i="2"/>
  <c r="P871" i="2" s="1"/>
  <c r="N872" i="2"/>
  <c r="P872" i="2" s="1"/>
  <c r="N873" i="2"/>
  <c r="P873" i="2" s="1"/>
  <c r="N874" i="2"/>
  <c r="P874" i="2" s="1"/>
  <c r="N875" i="2"/>
  <c r="P875" i="2" s="1"/>
  <c r="N876" i="2"/>
  <c r="P876" i="2" s="1"/>
  <c r="N877" i="2"/>
  <c r="P877" i="2" s="1"/>
  <c r="N878" i="2"/>
  <c r="P878" i="2" s="1"/>
  <c r="N879" i="2"/>
  <c r="P879" i="2" s="1"/>
  <c r="N880" i="2"/>
  <c r="P880" i="2" s="1"/>
  <c r="N881" i="2"/>
  <c r="P881" i="2" s="1"/>
  <c r="N882" i="2"/>
  <c r="P882" i="2" s="1"/>
  <c r="N883" i="2"/>
  <c r="P883" i="2" s="1"/>
  <c r="N884" i="2"/>
  <c r="P884" i="2" s="1"/>
  <c r="N885" i="2"/>
  <c r="P885" i="2" s="1"/>
  <c r="N886" i="2"/>
  <c r="P886" i="2" s="1"/>
  <c r="N887" i="2"/>
  <c r="P887" i="2" s="1"/>
  <c r="N888" i="2"/>
  <c r="P888" i="2" s="1"/>
  <c r="N889" i="2"/>
  <c r="P889" i="2" s="1"/>
  <c r="N890" i="2"/>
  <c r="P890" i="2" s="1"/>
  <c r="N891" i="2"/>
  <c r="P891" i="2" s="1"/>
  <c r="N892" i="2"/>
  <c r="P892" i="2" s="1"/>
  <c r="N893" i="2"/>
  <c r="P893" i="2" s="1"/>
  <c r="N894" i="2"/>
  <c r="P894" i="2" s="1"/>
  <c r="N895" i="2"/>
  <c r="P895" i="2" s="1"/>
  <c r="N896" i="2"/>
  <c r="P896" i="2" s="1"/>
  <c r="N897" i="2"/>
  <c r="P897" i="2" s="1"/>
  <c r="N898" i="2"/>
  <c r="P898" i="2" s="1"/>
  <c r="N899" i="2"/>
  <c r="P899" i="2" s="1"/>
  <c r="N900" i="2"/>
  <c r="P900" i="2" s="1"/>
  <c r="N901" i="2"/>
  <c r="P901" i="2" s="1"/>
  <c r="N902" i="2"/>
  <c r="P902" i="2" s="1"/>
  <c r="N903" i="2"/>
  <c r="P903" i="2" s="1"/>
  <c r="N904" i="2"/>
  <c r="P904" i="2" s="1"/>
  <c r="N905" i="2"/>
  <c r="P905" i="2" s="1"/>
  <c r="N906" i="2"/>
  <c r="P906" i="2" s="1"/>
  <c r="N907" i="2"/>
  <c r="P907" i="2" s="1"/>
  <c r="N908" i="2"/>
  <c r="P908" i="2" s="1"/>
  <c r="N909" i="2"/>
  <c r="P909" i="2" s="1"/>
  <c r="N910" i="2"/>
  <c r="P910" i="2" s="1"/>
  <c r="N911" i="2"/>
  <c r="P911" i="2" s="1"/>
  <c r="N912" i="2"/>
  <c r="P912" i="2" s="1"/>
  <c r="N913" i="2"/>
  <c r="P913" i="2" s="1"/>
  <c r="N914" i="2"/>
  <c r="P914" i="2" s="1"/>
  <c r="N915" i="2"/>
  <c r="P915" i="2" s="1"/>
  <c r="N916" i="2"/>
  <c r="P916" i="2" s="1"/>
  <c r="N917" i="2"/>
  <c r="P917" i="2" s="1"/>
  <c r="N918" i="2"/>
  <c r="P918" i="2" s="1"/>
  <c r="N919" i="2"/>
  <c r="P919" i="2" s="1"/>
  <c r="N920" i="2"/>
  <c r="P920" i="2" s="1"/>
  <c r="N921" i="2"/>
  <c r="P921" i="2" s="1"/>
  <c r="N922" i="2"/>
  <c r="P922" i="2" s="1"/>
  <c r="N923" i="2"/>
  <c r="P923" i="2" s="1"/>
  <c r="N924" i="2"/>
  <c r="P924" i="2" s="1"/>
  <c r="N925" i="2"/>
  <c r="P925" i="2" s="1"/>
  <c r="N926" i="2"/>
  <c r="P926" i="2" s="1"/>
  <c r="N927" i="2"/>
  <c r="P927" i="2" s="1"/>
  <c r="N928" i="2"/>
  <c r="P928" i="2" s="1"/>
  <c r="N929" i="2"/>
  <c r="P929" i="2" s="1"/>
  <c r="N930" i="2"/>
  <c r="P930" i="2" s="1"/>
  <c r="N931" i="2"/>
  <c r="P931" i="2" s="1"/>
  <c r="N932" i="2"/>
  <c r="P932" i="2" s="1"/>
  <c r="N933" i="2"/>
  <c r="P933" i="2" s="1"/>
  <c r="N934" i="2"/>
  <c r="P934" i="2" s="1"/>
  <c r="N935" i="2"/>
  <c r="P935" i="2" s="1"/>
  <c r="N936" i="2"/>
  <c r="P936" i="2" s="1"/>
  <c r="N937" i="2"/>
  <c r="P937" i="2" s="1"/>
  <c r="N938" i="2"/>
  <c r="P938" i="2" s="1"/>
  <c r="N939" i="2"/>
  <c r="P939" i="2" s="1"/>
  <c r="N940" i="2"/>
  <c r="P940" i="2" s="1"/>
  <c r="N941" i="2"/>
  <c r="P941" i="2" s="1"/>
  <c r="N942" i="2"/>
  <c r="P942" i="2" s="1"/>
  <c r="N943" i="2"/>
  <c r="P943" i="2" s="1"/>
  <c r="N944" i="2"/>
  <c r="P944" i="2" s="1"/>
  <c r="N945" i="2"/>
  <c r="P945" i="2" s="1"/>
  <c r="N946" i="2"/>
  <c r="P946" i="2" s="1"/>
  <c r="N947" i="2"/>
  <c r="P947" i="2" s="1"/>
  <c r="N948" i="2"/>
  <c r="P948" i="2" s="1"/>
  <c r="N949" i="2"/>
  <c r="P949" i="2" s="1"/>
  <c r="N950" i="2"/>
  <c r="P950" i="2" s="1"/>
  <c r="N951" i="2"/>
  <c r="P951" i="2" s="1"/>
  <c r="N952" i="2"/>
  <c r="P952" i="2" s="1"/>
  <c r="N953" i="2"/>
  <c r="P953" i="2" s="1"/>
  <c r="N954" i="2"/>
  <c r="P954" i="2" s="1"/>
  <c r="N955" i="2"/>
  <c r="P955" i="2" s="1"/>
  <c r="N956" i="2"/>
  <c r="P956" i="2" s="1"/>
  <c r="N957" i="2"/>
  <c r="P957" i="2" s="1"/>
  <c r="N958" i="2"/>
  <c r="P958" i="2" s="1"/>
  <c r="N959" i="2"/>
  <c r="P959" i="2" s="1"/>
  <c r="N960" i="2"/>
  <c r="P960" i="2" s="1"/>
  <c r="N961" i="2"/>
  <c r="P961" i="2" s="1"/>
  <c r="N962" i="2"/>
  <c r="P962" i="2" s="1"/>
  <c r="N963" i="2"/>
  <c r="P963" i="2" s="1"/>
  <c r="N964" i="2"/>
  <c r="P964" i="2" s="1"/>
  <c r="N965" i="2"/>
  <c r="P965" i="2" s="1"/>
  <c r="N966" i="2"/>
  <c r="P966" i="2" s="1"/>
  <c r="N967" i="2"/>
  <c r="P967" i="2" s="1"/>
  <c r="N968" i="2"/>
  <c r="P968" i="2" s="1"/>
  <c r="N969" i="2"/>
  <c r="P969" i="2" s="1"/>
  <c r="N970" i="2"/>
  <c r="P970" i="2" s="1"/>
  <c r="N971" i="2"/>
  <c r="P971" i="2" s="1"/>
  <c r="N972" i="2"/>
  <c r="P972" i="2" s="1"/>
  <c r="N973" i="2"/>
  <c r="P973" i="2" s="1"/>
  <c r="N974" i="2"/>
  <c r="P974" i="2" s="1"/>
  <c r="N975" i="2"/>
  <c r="P975" i="2" s="1"/>
  <c r="N976" i="2"/>
  <c r="P976" i="2" s="1"/>
  <c r="N977" i="2"/>
  <c r="P977" i="2" s="1"/>
  <c r="N978" i="2"/>
  <c r="P978" i="2" s="1"/>
  <c r="N979" i="2"/>
  <c r="P979" i="2" s="1"/>
  <c r="N980" i="2"/>
  <c r="P980" i="2" s="1"/>
  <c r="N981" i="2"/>
  <c r="P981" i="2" s="1"/>
  <c r="N982" i="2"/>
  <c r="P982" i="2" s="1"/>
  <c r="N983" i="2"/>
  <c r="P983" i="2" s="1"/>
  <c r="N984" i="2"/>
  <c r="P984" i="2" s="1"/>
  <c r="N985" i="2"/>
  <c r="P985" i="2" s="1"/>
  <c r="N986" i="2"/>
  <c r="P986" i="2" s="1"/>
  <c r="N987" i="2"/>
  <c r="P987" i="2" s="1"/>
  <c r="N988" i="2"/>
  <c r="P988" i="2" s="1"/>
  <c r="N989" i="2"/>
  <c r="P989" i="2" s="1"/>
  <c r="N990" i="2"/>
  <c r="P990" i="2" s="1"/>
  <c r="N991" i="2"/>
  <c r="P991" i="2" s="1"/>
  <c r="N992" i="2"/>
  <c r="P992" i="2" s="1"/>
  <c r="N993" i="2"/>
  <c r="P993" i="2" s="1"/>
  <c r="N994" i="2"/>
  <c r="P994" i="2" s="1"/>
  <c r="N995" i="2"/>
  <c r="P995" i="2" s="1"/>
  <c r="N996" i="2"/>
  <c r="P996" i="2" s="1"/>
  <c r="N997" i="2"/>
  <c r="P997" i="2" s="1"/>
  <c r="N998" i="2"/>
  <c r="P998" i="2" s="1"/>
  <c r="N999" i="2"/>
  <c r="P999" i="2" s="1"/>
  <c r="N1000" i="2"/>
  <c r="P1000" i="2" s="1"/>
  <c r="N1001" i="2"/>
  <c r="P1001" i="2" s="1"/>
  <c r="N1002" i="2"/>
  <c r="P1002" i="2" s="1"/>
  <c r="N1003" i="2"/>
  <c r="P1003" i="2" s="1"/>
  <c r="N1004" i="2"/>
  <c r="P1004" i="2" s="1"/>
  <c r="N1005" i="2"/>
  <c r="P1005" i="2" s="1"/>
  <c r="N1006" i="2"/>
  <c r="P1006" i="2" s="1"/>
  <c r="N1007" i="2"/>
  <c r="P1007" i="2" s="1"/>
  <c r="N1008" i="2"/>
  <c r="P1008" i="2" s="1"/>
  <c r="N1009" i="2"/>
  <c r="P1009" i="2" s="1"/>
  <c r="N1010" i="2"/>
  <c r="P1010" i="2" s="1"/>
  <c r="N1011" i="2"/>
  <c r="P1011" i="2" s="1"/>
  <c r="N1012" i="2"/>
  <c r="P1012" i="2" s="1"/>
  <c r="N1013" i="2"/>
  <c r="P1013" i="2" s="1"/>
  <c r="N1014" i="2"/>
  <c r="P1014" i="2" s="1"/>
  <c r="N1015" i="2"/>
  <c r="P1015" i="2" s="1"/>
  <c r="N1016" i="2"/>
  <c r="P1016" i="2" s="1"/>
  <c r="N1017" i="2"/>
  <c r="P1017" i="2" s="1"/>
  <c r="N1018" i="2"/>
  <c r="P1018" i="2" s="1"/>
  <c r="N1019" i="2"/>
  <c r="P1019" i="2" s="1"/>
  <c r="N1020" i="2"/>
  <c r="P1020" i="2" s="1"/>
  <c r="N1021" i="2"/>
  <c r="P1021" i="2" s="1"/>
  <c r="N1022" i="2"/>
  <c r="P1022" i="2" s="1"/>
  <c r="N1023" i="2"/>
  <c r="P1023" i="2" s="1"/>
  <c r="N1024" i="2"/>
  <c r="P1024" i="2" s="1"/>
  <c r="N1025" i="2"/>
  <c r="P1025" i="2" s="1"/>
  <c r="N1026" i="2"/>
  <c r="P1026" i="2" s="1"/>
  <c r="N1027" i="2"/>
  <c r="P1027" i="2" s="1"/>
  <c r="N1028" i="2"/>
  <c r="P1028" i="2" s="1"/>
  <c r="N1029" i="2"/>
  <c r="P1029" i="2" s="1"/>
  <c r="N1030" i="2"/>
  <c r="P1030" i="2" s="1"/>
  <c r="N1031" i="2"/>
  <c r="P1031" i="2" s="1"/>
  <c r="N1032" i="2"/>
  <c r="P1032" i="2" s="1"/>
  <c r="N1033" i="2"/>
  <c r="P1033" i="2" s="1"/>
  <c r="N1034" i="2"/>
  <c r="P1034" i="2" s="1"/>
  <c r="N1035" i="2"/>
  <c r="P1035" i="2" s="1"/>
  <c r="N1036" i="2"/>
  <c r="P1036" i="2" s="1"/>
  <c r="N1037" i="2"/>
  <c r="P1037" i="2" s="1"/>
  <c r="N1038" i="2"/>
  <c r="P1038" i="2" s="1"/>
  <c r="N1039" i="2"/>
  <c r="P1039" i="2" s="1"/>
  <c r="N1040" i="2"/>
  <c r="P1040" i="2" s="1"/>
  <c r="N1041" i="2"/>
  <c r="P1041" i="2" s="1"/>
  <c r="N1042" i="2"/>
  <c r="P1042" i="2" s="1"/>
  <c r="N1043" i="2"/>
  <c r="P1043" i="2" s="1"/>
  <c r="N1044" i="2"/>
  <c r="P1044" i="2" s="1"/>
  <c r="N1045" i="2"/>
  <c r="P1045" i="2" s="1"/>
  <c r="N1046" i="2"/>
  <c r="P1046" i="2" s="1"/>
  <c r="N1047" i="2"/>
  <c r="P1047" i="2" s="1"/>
  <c r="N1048" i="2"/>
  <c r="P1048" i="2" s="1"/>
  <c r="N1049" i="2"/>
  <c r="P1049" i="2" s="1"/>
  <c r="N1050" i="2"/>
  <c r="P1050" i="2" s="1"/>
  <c r="N1051" i="2"/>
  <c r="P1051" i="2" s="1"/>
  <c r="N1052" i="2"/>
  <c r="P1052" i="2" s="1"/>
  <c r="N1053" i="2"/>
  <c r="P1053" i="2" s="1"/>
  <c r="N1054" i="2"/>
  <c r="P1054" i="2" s="1"/>
  <c r="N1055" i="2"/>
  <c r="P1055" i="2" s="1"/>
  <c r="N1056" i="2"/>
  <c r="P1056" i="2" s="1"/>
  <c r="N1057" i="2"/>
  <c r="P1057" i="2" s="1"/>
  <c r="N1058" i="2"/>
  <c r="P1058" i="2" s="1"/>
  <c r="N1059" i="2"/>
  <c r="P1059" i="2" s="1"/>
  <c r="N1060" i="2"/>
  <c r="P1060" i="2" s="1"/>
  <c r="N1061" i="2"/>
  <c r="P1061" i="2" s="1"/>
  <c r="N1062" i="2"/>
  <c r="P1062" i="2" s="1"/>
  <c r="N1063" i="2"/>
  <c r="P1063" i="2" s="1"/>
  <c r="N1064" i="2"/>
  <c r="P1064" i="2" s="1"/>
  <c r="N1065" i="2"/>
  <c r="P1065" i="2" s="1"/>
  <c r="N1066" i="2"/>
  <c r="P1066" i="2" s="1"/>
  <c r="N1067" i="2"/>
  <c r="P1067" i="2" s="1"/>
  <c r="N1068" i="2"/>
  <c r="P1068" i="2" s="1"/>
  <c r="N1069" i="2"/>
  <c r="P1069" i="2" s="1"/>
  <c r="N1070" i="2"/>
  <c r="P1070" i="2" s="1"/>
  <c r="N1071" i="2"/>
  <c r="P1071" i="2" s="1"/>
  <c r="N1072" i="2"/>
  <c r="P1072" i="2" s="1"/>
  <c r="N1073" i="2"/>
  <c r="P1073" i="2" s="1"/>
  <c r="N1074" i="2"/>
  <c r="P1074" i="2" s="1"/>
  <c r="N1075" i="2"/>
  <c r="P1075" i="2" s="1"/>
  <c r="N1076" i="2"/>
  <c r="P1076" i="2" s="1"/>
  <c r="N1077" i="2"/>
  <c r="P1077" i="2" s="1"/>
  <c r="N1078" i="2"/>
  <c r="P1078" i="2" s="1"/>
  <c r="N1079" i="2"/>
  <c r="P1079" i="2" s="1"/>
  <c r="N1080" i="2"/>
  <c r="P1080" i="2" s="1"/>
  <c r="N1081" i="2"/>
  <c r="P1081" i="2" s="1"/>
  <c r="N1082" i="2"/>
  <c r="P1082" i="2" s="1"/>
  <c r="N1083" i="2"/>
  <c r="P1083" i="2" s="1"/>
  <c r="N1084" i="2"/>
  <c r="P1084" i="2" s="1"/>
  <c r="N1085" i="2"/>
  <c r="P1085" i="2" s="1"/>
  <c r="N1086" i="2"/>
  <c r="P1086" i="2" s="1"/>
  <c r="N1087" i="2"/>
  <c r="P1087" i="2" s="1"/>
  <c r="N1088" i="2"/>
  <c r="P1088" i="2" s="1"/>
  <c r="N1089" i="2"/>
  <c r="P1089" i="2" s="1"/>
  <c r="N1090" i="2"/>
  <c r="P1090" i="2" s="1"/>
  <c r="N1091" i="2"/>
  <c r="P1091" i="2" s="1"/>
  <c r="N1092" i="2"/>
  <c r="P1092" i="2" s="1"/>
  <c r="N1093" i="2"/>
  <c r="P1093" i="2" s="1"/>
  <c r="N1094" i="2"/>
  <c r="P1094" i="2" s="1"/>
  <c r="N1095" i="2"/>
  <c r="P1095" i="2" s="1"/>
  <c r="N1096" i="2"/>
  <c r="P1096" i="2" s="1"/>
  <c r="N1097" i="2"/>
  <c r="P1097" i="2" s="1"/>
  <c r="N1098" i="2"/>
  <c r="P1098" i="2" s="1"/>
  <c r="N1099" i="2"/>
  <c r="P1099" i="2" s="1"/>
  <c r="N1100" i="2"/>
  <c r="P1100" i="2" s="1"/>
  <c r="N1101" i="2"/>
  <c r="P1101" i="2" s="1"/>
  <c r="N1102" i="2"/>
  <c r="P1102" i="2" s="1"/>
  <c r="N1103" i="2"/>
  <c r="P1103" i="2" s="1"/>
  <c r="N1104" i="2"/>
  <c r="P1104" i="2" s="1"/>
  <c r="N1105" i="2"/>
  <c r="P1105" i="2" s="1"/>
  <c r="N1106" i="2"/>
  <c r="P1106" i="2" s="1"/>
  <c r="N1107" i="2"/>
  <c r="P1107" i="2" s="1"/>
  <c r="N1108" i="2"/>
  <c r="P1108" i="2" s="1"/>
  <c r="N1109" i="2"/>
  <c r="P1109" i="2" s="1"/>
  <c r="N1110" i="2"/>
  <c r="P1110" i="2" s="1"/>
  <c r="N1111" i="2"/>
  <c r="P1111" i="2" s="1"/>
  <c r="N1112" i="2"/>
  <c r="P1112" i="2" s="1"/>
  <c r="N1113" i="2"/>
  <c r="P1113" i="2" s="1"/>
  <c r="N1114" i="2"/>
  <c r="P1114" i="2" s="1"/>
  <c r="N1115" i="2"/>
  <c r="P1115" i="2" s="1"/>
  <c r="N1116" i="2"/>
  <c r="P1116" i="2" s="1"/>
  <c r="N1117" i="2"/>
  <c r="P1117" i="2" s="1"/>
  <c r="N1118" i="2"/>
  <c r="P1118" i="2" s="1"/>
  <c r="N1119" i="2"/>
  <c r="P1119" i="2" s="1"/>
  <c r="N1120" i="2"/>
  <c r="P1120" i="2" s="1"/>
  <c r="N1121" i="2"/>
  <c r="P1121" i="2" s="1"/>
  <c r="N1122" i="2"/>
  <c r="P1122" i="2" s="1"/>
  <c r="N1123" i="2"/>
  <c r="P1123" i="2" s="1"/>
  <c r="N1124" i="2"/>
  <c r="P1124" i="2" s="1"/>
  <c r="N1125" i="2"/>
  <c r="P1125" i="2" s="1"/>
  <c r="N1126" i="2"/>
  <c r="P1126" i="2" s="1"/>
  <c r="N1127" i="2"/>
  <c r="P1127" i="2" s="1"/>
  <c r="N1128" i="2"/>
  <c r="P1128" i="2" s="1"/>
  <c r="N1129" i="2"/>
  <c r="P1129" i="2" s="1"/>
  <c r="N1130" i="2"/>
  <c r="P1130" i="2" s="1"/>
  <c r="N1131" i="2"/>
  <c r="P1131" i="2" s="1"/>
  <c r="N1132" i="2"/>
  <c r="P1132" i="2" s="1"/>
  <c r="N1133" i="2"/>
  <c r="P1133" i="2" s="1"/>
  <c r="N1134" i="2"/>
  <c r="P1134" i="2" s="1"/>
  <c r="N1135" i="2"/>
  <c r="P1135" i="2" s="1"/>
  <c r="N1136" i="2"/>
  <c r="P1136" i="2" s="1"/>
  <c r="N1137" i="2"/>
  <c r="P1137" i="2" s="1"/>
  <c r="N1138" i="2"/>
  <c r="P1138" i="2" s="1"/>
  <c r="N1139" i="2"/>
  <c r="P1139" i="2" s="1"/>
  <c r="N1140" i="2"/>
  <c r="P1140" i="2" s="1"/>
  <c r="N1141" i="2"/>
  <c r="P1141" i="2" s="1"/>
  <c r="N1142" i="2"/>
  <c r="P1142" i="2" s="1"/>
  <c r="N1143" i="2"/>
  <c r="P1143" i="2" s="1"/>
  <c r="N1144" i="2"/>
  <c r="P1144" i="2" s="1"/>
  <c r="N1145" i="2"/>
  <c r="P1145" i="2" s="1"/>
  <c r="N1146" i="2"/>
  <c r="P1146" i="2" s="1"/>
  <c r="N1147" i="2"/>
  <c r="P1147" i="2" s="1"/>
  <c r="N1148" i="2"/>
  <c r="P1148" i="2" s="1"/>
  <c r="N1149" i="2"/>
  <c r="P1149" i="2" s="1"/>
  <c r="N1150" i="2"/>
  <c r="P1150" i="2" s="1"/>
  <c r="N1151" i="2"/>
  <c r="P1151" i="2" s="1"/>
  <c r="N1152" i="2"/>
  <c r="P1152" i="2" s="1"/>
  <c r="N1153" i="2"/>
  <c r="P1153" i="2" s="1"/>
  <c r="N1154" i="2"/>
  <c r="P1154" i="2" s="1"/>
  <c r="N1155" i="2"/>
  <c r="P1155" i="2" s="1"/>
  <c r="N1156" i="2"/>
  <c r="P1156" i="2" s="1"/>
  <c r="N1157" i="2"/>
  <c r="P1157" i="2" s="1"/>
  <c r="N1158" i="2"/>
  <c r="P1158" i="2" s="1"/>
  <c r="N1159" i="2"/>
  <c r="P1159" i="2" s="1"/>
  <c r="N1160" i="2"/>
  <c r="P1160" i="2" s="1"/>
  <c r="N1161" i="2"/>
  <c r="P1161" i="2" s="1"/>
  <c r="N1162" i="2"/>
  <c r="P1162" i="2" s="1"/>
  <c r="N1163" i="2"/>
  <c r="P1163" i="2" s="1"/>
  <c r="N1164" i="2"/>
  <c r="P1164" i="2" s="1"/>
  <c r="N1165" i="2"/>
  <c r="P1165" i="2" s="1"/>
  <c r="N1166" i="2"/>
  <c r="P1166" i="2" s="1"/>
  <c r="N1167" i="2"/>
  <c r="P1167" i="2" s="1"/>
  <c r="N1168" i="2"/>
  <c r="P1168" i="2" s="1"/>
  <c r="N1169" i="2"/>
  <c r="P1169" i="2" s="1"/>
  <c r="N1170" i="2"/>
  <c r="P1170" i="2" s="1"/>
  <c r="N1171" i="2"/>
  <c r="P1171" i="2" s="1"/>
  <c r="N1172" i="2"/>
  <c r="P1172" i="2" s="1"/>
  <c r="N1173" i="2"/>
  <c r="P1173" i="2" s="1"/>
  <c r="N1174" i="2"/>
  <c r="P1174" i="2" s="1"/>
  <c r="N1175" i="2"/>
  <c r="P1175" i="2" s="1"/>
  <c r="N1176" i="2"/>
  <c r="P1176" i="2" s="1"/>
  <c r="N1177" i="2"/>
  <c r="P1177" i="2" s="1"/>
  <c r="N1178" i="2"/>
  <c r="P1178" i="2" s="1"/>
  <c r="N1179" i="2"/>
  <c r="P1179" i="2" s="1"/>
  <c r="N1180" i="2"/>
  <c r="P1180" i="2" s="1"/>
  <c r="N1181" i="2"/>
  <c r="P1181" i="2" s="1"/>
  <c r="N1182" i="2"/>
  <c r="P1182" i="2" s="1"/>
  <c r="N1183" i="2"/>
  <c r="P1183" i="2" s="1"/>
  <c r="N1184" i="2"/>
  <c r="P1184" i="2" s="1"/>
  <c r="N1185" i="2"/>
  <c r="P1185" i="2" s="1"/>
  <c r="N1186" i="2"/>
  <c r="P1186" i="2" s="1"/>
  <c r="N1187" i="2"/>
  <c r="P1187" i="2" s="1"/>
  <c r="N1188" i="2"/>
  <c r="P1188" i="2" s="1"/>
  <c r="N1189" i="2"/>
  <c r="P1189" i="2" s="1"/>
  <c r="N1190" i="2"/>
  <c r="P1190" i="2" s="1"/>
  <c r="N1191" i="2"/>
  <c r="P1191" i="2" s="1"/>
  <c r="N1192" i="2"/>
  <c r="P1192" i="2" s="1"/>
  <c r="N1193" i="2"/>
  <c r="P1193" i="2" s="1"/>
  <c r="N1194" i="2"/>
  <c r="P1194" i="2" s="1"/>
  <c r="N1195" i="2"/>
  <c r="P1195" i="2" s="1"/>
  <c r="N1196" i="2"/>
  <c r="P1196" i="2" s="1"/>
  <c r="N1197" i="2"/>
  <c r="P1197" i="2" s="1"/>
  <c r="N1198" i="2"/>
  <c r="P1198" i="2" s="1"/>
  <c r="N1199" i="2"/>
  <c r="P1199" i="2" s="1"/>
  <c r="N1200" i="2"/>
  <c r="P1200" i="2" s="1"/>
  <c r="N1201" i="2"/>
  <c r="P1201" i="2" s="1"/>
  <c r="N1202" i="2"/>
  <c r="P1202" i="2" s="1"/>
  <c r="N1203" i="2"/>
  <c r="P1203" i="2" s="1"/>
  <c r="N1204" i="2"/>
  <c r="P1204" i="2" s="1"/>
  <c r="N1205" i="2"/>
  <c r="P1205" i="2" s="1"/>
  <c r="N1206" i="2"/>
  <c r="P1206" i="2" s="1"/>
  <c r="N1207" i="2"/>
  <c r="P1207" i="2" s="1"/>
  <c r="N1208" i="2"/>
  <c r="P1208" i="2" s="1"/>
  <c r="N1209" i="2"/>
  <c r="P1209" i="2" s="1"/>
  <c r="N1210" i="2"/>
  <c r="P1210" i="2" s="1"/>
  <c r="N1211" i="2"/>
  <c r="P1211" i="2" s="1"/>
  <c r="N1212" i="2"/>
  <c r="P1212" i="2" s="1"/>
  <c r="N1213" i="2"/>
  <c r="P1213" i="2" s="1"/>
  <c r="N1214" i="2"/>
  <c r="P1214" i="2" s="1"/>
  <c r="N1215" i="2"/>
  <c r="P1215" i="2" s="1"/>
  <c r="N1216" i="2"/>
  <c r="P1216" i="2" s="1"/>
  <c r="N1217" i="2"/>
  <c r="P1217" i="2" s="1"/>
  <c r="N1218" i="2"/>
  <c r="P1218" i="2" s="1"/>
  <c r="N1219" i="2"/>
  <c r="P1219" i="2" s="1"/>
  <c r="N1220" i="2"/>
  <c r="P1220" i="2" s="1"/>
  <c r="N1221" i="2"/>
  <c r="P1221" i="2" s="1"/>
  <c r="N1222" i="2"/>
  <c r="P1222" i="2" s="1"/>
  <c r="N1223" i="2"/>
  <c r="P1223" i="2" s="1"/>
  <c r="N1224" i="2"/>
  <c r="P1224" i="2" s="1"/>
  <c r="N1225" i="2"/>
  <c r="P1225" i="2" s="1"/>
  <c r="N1226" i="2"/>
  <c r="P1226" i="2" s="1"/>
  <c r="N1227" i="2"/>
  <c r="P1227" i="2" s="1"/>
  <c r="N1228" i="2"/>
  <c r="P1228" i="2" s="1"/>
  <c r="N1229" i="2"/>
  <c r="P1229" i="2" s="1"/>
  <c r="N1230" i="2"/>
  <c r="P1230" i="2" s="1"/>
  <c r="N1231" i="2"/>
  <c r="P1231" i="2" s="1"/>
  <c r="N1232" i="2"/>
  <c r="P1232" i="2" s="1"/>
  <c r="N1233" i="2"/>
  <c r="P1233" i="2" s="1"/>
  <c r="N1234" i="2"/>
  <c r="P1234" i="2" s="1"/>
  <c r="N1235" i="2"/>
  <c r="P1235" i="2" s="1"/>
  <c r="N1236" i="2"/>
  <c r="P1236" i="2" s="1"/>
  <c r="N1237" i="2"/>
  <c r="P1237" i="2" s="1"/>
  <c r="N1238" i="2"/>
  <c r="P1238" i="2" s="1"/>
  <c r="N1239" i="2"/>
  <c r="P1239" i="2" s="1"/>
  <c r="N1240" i="2"/>
  <c r="P1240" i="2" s="1"/>
  <c r="N1241" i="2"/>
  <c r="P1241" i="2" s="1"/>
  <c r="N1242" i="2"/>
  <c r="P1242" i="2" s="1"/>
  <c r="N1243" i="2"/>
  <c r="P1243" i="2" s="1"/>
  <c r="N1244" i="2"/>
  <c r="P1244" i="2" s="1"/>
  <c r="N1245" i="2"/>
  <c r="P1245" i="2" s="1"/>
  <c r="N1246" i="2"/>
  <c r="P1246" i="2" s="1"/>
  <c r="N1247" i="2"/>
  <c r="P1247" i="2" s="1"/>
  <c r="N1248" i="2"/>
  <c r="P1248" i="2" s="1"/>
  <c r="N1249" i="2"/>
  <c r="P1249" i="2" s="1"/>
  <c r="N1250" i="2"/>
  <c r="P1250" i="2" s="1"/>
  <c r="N1251" i="2"/>
  <c r="P1251" i="2" s="1"/>
  <c r="N1252" i="2"/>
  <c r="P1252" i="2" s="1"/>
  <c r="N1253" i="2"/>
  <c r="P1253" i="2" s="1"/>
  <c r="N1254" i="2"/>
  <c r="P1254" i="2" s="1"/>
  <c r="N1255" i="2"/>
  <c r="P1255" i="2" s="1"/>
  <c r="N1256" i="2"/>
  <c r="P1256" i="2" s="1"/>
  <c r="N1257" i="2"/>
  <c r="P1257" i="2" s="1"/>
  <c r="N1258" i="2"/>
  <c r="P1258" i="2" s="1"/>
  <c r="N1259" i="2"/>
  <c r="P1259" i="2" s="1"/>
  <c r="N1260" i="2"/>
  <c r="P1260" i="2" s="1"/>
  <c r="N1261" i="2"/>
  <c r="P1261" i="2" s="1"/>
  <c r="N1262" i="2"/>
  <c r="P1262" i="2" s="1"/>
  <c r="N1263" i="2"/>
  <c r="P1263" i="2" s="1"/>
  <c r="N1264" i="2"/>
  <c r="P1264" i="2" s="1"/>
  <c r="N1265" i="2"/>
  <c r="P1265" i="2" s="1"/>
  <c r="N1266" i="2"/>
  <c r="P1266" i="2" s="1"/>
  <c r="N1267" i="2"/>
  <c r="P1267" i="2" s="1"/>
  <c r="N1268" i="2"/>
  <c r="P1268" i="2" s="1"/>
  <c r="N1269" i="2"/>
  <c r="P1269" i="2" s="1"/>
  <c r="N1270" i="2"/>
  <c r="P1270" i="2" s="1"/>
  <c r="N1271" i="2"/>
  <c r="P1271" i="2" s="1"/>
  <c r="N1272" i="2"/>
  <c r="P1272" i="2" s="1"/>
  <c r="N1273" i="2"/>
  <c r="P1273" i="2" s="1"/>
  <c r="N1274" i="2"/>
  <c r="P1274" i="2" s="1"/>
  <c r="N1275" i="2"/>
  <c r="P1275" i="2" s="1"/>
  <c r="N1276" i="2"/>
  <c r="P1276" i="2" s="1"/>
  <c r="N1277" i="2"/>
  <c r="P1277" i="2" s="1"/>
  <c r="N1278" i="2"/>
  <c r="P1278" i="2" s="1"/>
  <c r="N1279" i="2"/>
  <c r="P1279" i="2" s="1"/>
  <c r="N1280" i="2"/>
  <c r="P1280" i="2" s="1"/>
  <c r="N1281" i="2"/>
  <c r="P1281" i="2" s="1"/>
  <c r="N1282" i="2"/>
  <c r="P1282" i="2" s="1"/>
  <c r="N1283" i="2"/>
  <c r="P1283" i="2" s="1"/>
  <c r="N1284" i="2"/>
  <c r="P1284" i="2" s="1"/>
  <c r="N1285" i="2"/>
  <c r="P1285" i="2" s="1"/>
  <c r="N1286" i="2"/>
  <c r="P1286" i="2" s="1"/>
  <c r="N1287" i="2"/>
  <c r="P1287" i="2" s="1"/>
  <c r="N1288" i="2"/>
  <c r="P1288" i="2" s="1"/>
  <c r="N1289" i="2"/>
  <c r="P1289" i="2" s="1"/>
  <c r="N1290" i="2"/>
  <c r="P1290" i="2" s="1"/>
  <c r="N1291" i="2"/>
  <c r="P1291" i="2" s="1"/>
  <c r="N1292" i="2"/>
  <c r="P1292" i="2" s="1"/>
  <c r="N1293" i="2"/>
  <c r="P1293" i="2" s="1"/>
  <c r="N1294" i="2"/>
  <c r="P1294" i="2" s="1"/>
  <c r="N1295" i="2"/>
  <c r="P1295" i="2" s="1"/>
  <c r="N1296" i="2"/>
  <c r="P1296" i="2" s="1"/>
  <c r="N1297" i="2"/>
  <c r="P1297" i="2" s="1"/>
  <c r="N1298" i="2"/>
  <c r="P1298" i="2" s="1"/>
  <c r="N1299" i="2"/>
  <c r="P1299" i="2" s="1"/>
  <c r="N1300" i="2"/>
  <c r="P1300" i="2" s="1"/>
  <c r="N1301" i="2"/>
  <c r="P1301" i="2" s="1"/>
  <c r="N1302" i="2"/>
  <c r="P1302" i="2" s="1"/>
  <c r="N1303" i="2"/>
  <c r="P1303" i="2" s="1"/>
  <c r="N1304" i="2"/>
  <c r="P1304" i="2" s="1"/>
  <c r="N1305" i="2"/>
  <c r="P1305" i="2" s="1"/>
  <c r="N1306" i="2"/>
  <c r="P1306" i="2" s="1"/>
  <c r="N1307" i="2"/>
  <c r="P1307" i="2" s="1"/>
  <c r="N1308" i="2"/>
  <c r="P1308" i="2" s="1"/>
  <c r="N1309" i="2"/>
  <c r="P1309" i="2" s="1"/>
  <c r="N1310" i="2"/>
  <c r="P1310" i="2" s="1"/>
  <c r="N1311" i="2"/>
  <c r="P1311" i="2" s="1"/>
  <c r="N1312" i="2"/>
  <c r="P1312" i="2" s="1"/>
  <c r="N1313" i="2"/>
  <c r="P1313" i="2" s="1"/>
  <c r="N1314" i="2"/>
  <c r="P1314" i="2" s="1"/>
  <c r="N1315" i="2"/>
  <c r="P1315" i="2" s="1"/>
  <c r="N1316" i="2"/>
  <c r="P1316" i="2" s="1"/>
  <c r="N1317" i="2"/>
  <c r="P1317" i="2" s="1"/>
  <c r="N1318" i="2"/>
  <c r="P1318" i="2" s="1"/>
  <c r="N1319" i="2"/>
  <c r="P1319" i="2" s="1"/>
  <c r="N1320" i="2"/>
  <c r="P1320" i="2" s="1"/>
  <c r="N1321" i="2"/>
  <c r="P1321" i="2" s="1"/>
  <c r="N1322" i="2"/>
  <c r="P1322" i="2" s="1"/>
  <c r="N1323" i="2"/>
  <c r="P1323" i="2" s="1"/>
  <c r="N1324" i="2"/>
  <c r="P1324" i="2" s="1"/>
  <c r="N1325" i="2"/>
  <c r="P1325" i="2" s="1"/>
  <c r="N1326" i="2"/>
  <c r="P1326" i="2" s="1"/>
  <c r="N1327" i="2"/>
  <c r="P1327" i="2" s="1"/>
  <c r="N1328" i="2"/>
  <c r="P1328" i="2" s="1"/>
  <c r="N1329" i="2"/>
  <c r="P1329" i="2" s="1"/>
  <c r="N1330" i="2"/>
  <c r="P1330" i="2" s="1"/>
  <c r="N1331" i="2"/>
  <c r="P1331" i="2" s="1"/>
  <c r="N1332" i="2"/>
  <c r="P1332" i="2" s="1"/>
  <c r="N1333" i="2"/>
  <c r="P1333" i="2" s="1"/>
  <c r="N1334" i="2"/>
  <c r="P1334" i="2" s="1"/>
  <c r="N1335" i="2"/>
  <c r="P1335" i="2" s="1"/>
  <c r="N1336" i="2"/>
  <c r="P1336" i="2" s="1"/>
  <c r="N1337" i="2"/>
  <c r="P1337" i="2" s="1"/>
  <c r="N1338" i="2"/>
  <c r="P1338" i="2" s="1"/>
  <c r="N1339" i="2"/>
  <c r="P1339" i="2" s="1"/>
  <c r="N1340" i="2"/>
  <c r="P1340" i="2" s="1"/>
  <c r="N1341" i="2"/>
  <c r="P1341" i="2" s="1"/>
  <c r="N1342" i="2"/>
  <c r="P1342" i="2" s="1"/>
  <c r="N1343" i="2"/>
  <c r="P1343" i="2" s="1"/>
  <c r="N1344" i="2"/>
  <c r="P1344" i="2" s="1"/>
  <c r="N1345" i="2"/>
  <c r="P1345" i="2" s="1"/>
  <c r="N1346" i="2"/>
  <c r="P1346" i="2" s="1"/>
  <c r="N1347" i="2"/>
  <c r="P1347" i="2" s="1"/>
  <c r="N1348" i="2"/>
  <c r="P1348" i="2" s="1"/>
  <c r="N1349" i="2"/>
  <c r="P1349" i="2" s="1"/>
  <c r="N1350" i="2"/>
  <c r="P1350" i="2" s="1"/>
  <c r="N1351" i="2"/>
  <c r="P1351" i="2" s="1"/>
  <c r="N1352" i="2"/>
  <c r="P1352" i="2" s="1"/>
  <c r="N1353" i="2"/>
  <c r="P1353" i="2" s="1"/>
  <c r="N1354" i="2"/>
  <c r="P1354" i="2" s="1"/>
  <c r="N1355" i="2"/>
  <c r="P1355" i="2" s="1"/>
  <c r="N1356" i="2"/>
  <c r="P1356" i="2" s="1"/>
  <c r="N1357" i="2"/>
  <c r="P1357" i="2" s="1"/>
  <c r="N1358" i="2"/>
  <c r="P1358" i="2" s="1"/>
  <c r="N1359" i="2"/>
  <c r="P1359" i="2" s="1"/>
  <c r="N1360" i="2"/>
  <c r="P1360" i="2" s="1"/>
  <c r="N1361" i="2"/>
  <c r="P1361" i="2" s="1"/>
  <c r="N1362" i="2"/>
  <c r="P1362" i="2" s="1"/>
  <c r="N1363" i="2"/>
  <c r="P1363" i="2" s="1"/>
  <c r="N1364" i="2"/>
  <c r="P1364" i="2" s="1"/>
  <c r="N1365" i="2"/>
  <c r="P1365" i="2" s="1"/>
  <c r="N1366" i="2"/>
  <c r="P1366" i="2" s="1"/>
  <c r="N1367" i="2"/>
  <c r="P1367" i="2" s="1"/>
  <c r="N1368" i="2"/>
  <c r="P1368" i="2" s="1"/>
  <c r="N1369" i="2"/>
  <c r="P1369" i="2" s="1"/>
  <c r="N1370" i="2"/>
  <c r="P1370" i="2" s="1"/>
  <c r="N1371" i="2"/>
  <c r="P1371" i="2" s="1"/>
  <c r="N1372" i="2"/>
  <c r="P1372" i="2" s="1"/>
  <c r="N1373" i="2"/>
  <c r="P1373" i="2" s="1"/>
  <c r="N1374" i="2"/>
  <c r="P1374" i="2" s="1"/>
  <c r="N1375" i="2"/>
  <c r="P1375" i="2" s="1"/>
  <c r="N1376" i="2"/>
  <c r="P1376" i="2" s="1"/>
  <c r="N1377" i="2"/>
  <c r="P1377" i="2" s="1"/>
  <c r="N1378" i="2"/>
  <c r="P1378" i="2" s="1"/>
  <c r="N1379" i="2"/>
  <c r="P1379" i="2" s="1"/>
  <c r="N1380" i="2"/>
  <c r="P1380" i="2" s="1"/>
  <c r="N1381" i="2"/>
  <c r="P1381" i="2" s="1"/>
  <c r="N1382" i="2"/>
  <c r="P1382" i="2" s="1"/>
  <c r="N1383" i="2"/>
  <c r="P1383" i="2" s="1"/>
  <c r="N1384" i="2"/>
  <c r="P1384" i="2" s="1"/>
  <c r="N1385" i="2"/>
  <c r="P1385" i="2" s="1"/>
  <c r="N1386" i="2"/>
  <c r="P1386" i="2" s="1"/>
  <c r="N1387" i="2"/>
  <c r="P1387" i="2" s="1"/>
  <c r="N1388" i="2"/>
  <c r="P1388" i="2" s="1"/>
  <c r="N1389" i="2"/>
  <c r="P1389" i="2" s="1"/>
  <c r="N1390" i="2"/>
  <c r="P1390" i="2" s="1"/>
  <c r="N1391" i="2"/>
  <c r="P1391" i="2" s="1"/>
  <c r="N1392" i="2"/>
  <c r="P1392" i="2" s="1"/>
  <c r="N1393" i="2"/>
  <c r="P1393" i="2" s="1"/>
  <c r="N1394" i="2"/>
  <c r="P1394" i="2" s="1"/>
  <c r="N1395" i="2"/>
  <c r="P1395" i="2" s="1"/>
  <c r="N1396" i="2"/>
  <c r="P1396" i="2" s="1"/>
  <c r="N1397" i="2"/>
  <c r="P1397" i="2" s="1"/>
  <c r="N1398" i="2"/>
  <c r="P1398" i="2" s="1"/>
  <c r="N1399" i="2"/>
  <c r="P1399" i="2" s="1"/>
  <c r="N1400" i="2"/>
  <c r="P1400" i="2" s="1"/>
  <c r="N1401" i="2"/>
  <c r="P1401" i="2" s="1"/>
  <c r="N1402" i="2"/>
  <c r="P1402" i="2" s="1"/>
  <c r="N1403" i="2"/>
  <c r="P1403" i="2" s="1"/>
  <c r="N1404" i="2"/>
  <c r="P1404" i="2" s="1"/>
  <c r="N1405" i="2"/>
  <c r="P1405" i="2" s="1"/>
  <c r="N1406" i="2"/>
  <c r="P1406" i="2" s="1"/>
  <c r="N1407" i="2"/>
  <c r="P1407" i="2" s="1"/>
  <c r="N1408" i="2"/>
  <c r="P1408" i="2" s="1"/>
  <c r="N1409" i="2"/>
  <c r="P1409" i="2" s="1"/>
  <c r="N1410" i="2"/>
  <c r="P1410" i="2" s="1"/>
  <c r="N1411" i="2"/>
  <c r="P1411" i="2" s="1"/>
  <c r="N1412" i="2"/>
  <c r="P1412" i="2" s="1"/>
  <c r="N1413" i="2"/>
  <c r="P1413" i="2" s="1"/>
  <c r="N1414" i="2"/>
  <c r="P1414" i="2" s="1"/>
  <c r="N1415" i="2"/>
  <c r="P1415" i="2" s="1"/>
  <c r="N1416" i="2"/>
  <c r="P1416" i="2" s="1"/>
  <c r="N1417" i="2"/>
  <c r="P1417" i="2" s="1"/>
  <c r="N1418" i="2"/>
  <c r="P1418" i="2" s="1"/>
  <c r="N1419" i="2"/>
  <c r="P1419" i="2" s="1"/>
  <c r="N1420" i="2"/>
  <c r="P1420" i="2" s="1"/>
  <c r="N1421" i="2"/>
  <c r="P1421" i="2" s="1"/>
  <c r="N1422" i="2"/>
  <c r="P1422" i="2" s="1"/>
  <c r="N1423" i="2"/>
  <c r="P1423" i="2" s="1"/>
  <c r="N1424" i="2"/>
  <c r="P1424" i="2" s="1"/>
  <c r="N1425" i="2"/>
  <c r="P1425" i="2" s="1"/>
  <c r="N1426" i="2"/>
  <c r="P1426" i="2" s="1"/>
  <c r="N1427" i="2"/>
  <c r="P1427" i="2" s="1"/>
  <c r="N1428" i="2"/>
  <c r="P1428" i="2" s="1"/>
  <c r="N1429" i="2"/>
  <c r="P1429" i="2" s="1"/>
  <c r="N1430" i="2"/>
  <c r="P1430" i="2" s="1"/>
  <c r="N1431" i="2"/>
  <c r="P1431" i="2" s="1"/>
  <c r="N1432" i="2"/>
  <c r="P1432" i="2" s="1"/>
  <c r="N1433" i="2"/>
  <c r="P1433" i="2" s="1"/>
  <c r="N1434" i="2"/>
  <c r="P1434" i="2" s="1"/>
  <c r="N1435" i="2"/>
  <c r="P1435" i="2" s="1"/>
  <c r="N1436" i="2"/>
  <c r="P1436" i="2" s="1"/>
  <c r="N1437" i="2"/>
  <c r="P1437" i="2" s="1"/>
  <c r="N1438" i="2"/>
  <c r="P1438" i="2" s="1"/>
  <c r="N1439" i="2"/>
  <c r="P1439" i="2" s="1"/>
  <c r="N1440" i="2"/>
  <c r="P1440" i="2" s="1"/>
  <c r="N1441" i="2"/>
  <c r="P1441" i="2" s="1"/>
  <c r="N1442" i="2"/>
  <c r="P1442" i="2" s="1"/>
  <c r="N1443" i="2"/>
  <c r="P1443" i="2" s="1"/>
  <c r="N1444" i="2"/>
  <c r="P1444" i="2" s="1"/>
  <c r="N1445" i="2"/>
  <c r="P1445" i="2" s="1"/>
  <c r="N1446" i="2"/>
  <c r="P1446" i="2" s="1"/>
  <c r="N1447" i="2"/>
  <c r="P1447" i="2" s="1"/>
  <c r="N1448" i="2"/>
  <c r="P1448" i="2" s="1"/>
  <c r="N1449" i="2"/>
  <c r="P1449" i="2" s="1"/>
  <c r="N1450" i="2"/>
  <c r="P1450" i="2" s="1"/>
  <c r="N1451" i="2"/>
  <c r="P1451" i="2" s="1"/>
  <c r="N1452" i="2"/>
  <c r="P1452" i="2" s="1"/>
  <c r="N1453" i="2"/>
  <c r="P1453" i="2" s="1"/>
  <c r="N1454" i="2"/>
  <c r="P1454" i="2" s="1"/>
  <c r="N1455" i="2"/>
  <c r="P1455" i="2" s="1"/>
  <c r="N1456" i="2"/>
  <c r="P1456" i="2" s="1"/>
  <c r="N1457" i="2"/>
  <c r="P1457" i="2" s="1"/>
  <c r="N1458" i="2"/>
  <c r="P1458" i="2" s="1"/>
  <c r="N1459" i="2"/>
  <c r="P1459" i="2" s="1"/>
  <c r="N1460" i="2"/>
  <c r="P1460" i="2" s="1"/>
  <c r="N1461" i="2"/>
  <c r="P1461" i="2" s="1"/>
  <c r="N1462" i="2"/>
  <c r="P1462" i="2" s="1"/>
  <c r="N1463" i="2"/>
  <c r="P1463" i="2" s="1"/>
  <c r="N1464" i="2"/>
  <c r="P1464" i="2" s="1"/>
  <c r="N1465" i="2"/>
  <c r="P1465" i="2" s="1"/>
  <c r="N1466" i="2"/>
  <c r="P1466" i="2" s="1"/>
  <c r="N1467" i="2"/>
  <c r="P1467" i="2" s="1"/>
  <c r="N1468" i="2"/>
  <c r="P1468" i="2" s="1"/>
  <c r="N1469" i="2"/>
  <c r="P1469" i="2" s="1"/>
  <c r="N1470" i="2"/>
  <c r="P1470" i="2" s="1"/>
  <c r="N1471" i="2"/>
  <c r="P1471" i="2" s="1"/>
  <c r="N1472" i="2"/>
  <c r="P1472" i="2" s="1"/>
  <c r="N1473" i="2"/>
  <c r="P1473" i="2" s="1"/>
  <c r="N1474" i="2"/>
  <c r="P1474" i="2" s="1"/>
  <c r="N1475" i="2"/>
  <c r="P1475" i="2" s="1"/>
  <c r="N1476" i="2"/>
  <c r="P1476" i="2" s="1"/>
  <c r="N1477" i="2"/>
  <c r="P1477" i="2" s="1"/>
  <c r="N1478" i="2"/>
  <c r="P1478" i="2" s="1"/>
  <c r="N1479" i="2"/>
  <c r="P1479" i="2" s="1"/>
  <c r="N1480" i="2"/>
  <c r="P1480" i="2" s="1"/>
  <c r="N1481" i="2"/>
  <c r="P1481" i="2" s="1"/>
  <c r="N1482" i="2"/>
  <c r="P1482" i="2" s="1"/>
  <c r="N1483" i="2"/>
  <c r="P1483" i="2" s="1"/>
  <c r="N1484" i="2"/>
  <c r="P1484" i="2" s="1"/>
  <c r="N1485" i="2"/>
  <c r="P1485" i="2" s="1"/>
  <c r="N1486" i="2"/>
  <c r="P1486" i="2" s="1"/>
  <c r="N1487" i="2"/>
  <c r="P1487" i="2" s="1"/>
  <c r="N1488" i="2"/>
  <c r="P1488" i="2" s="1"/>
  <c r="N1489" i="2"/>
  <c r="P1489" i="2" s="1"/>
  <c r="N1490" i="2"/>
  <c r="P1490" i="2" s="1"/>
  <c r="N1491" i="2"/>
  <c r="P1491" i="2" s="1"/>
  <c r="N1492" i="2"/>
  <c r="P1492" i="2" s="1"/>
  <c r="N1493" i="2"/>
  <c r="P1493" i="2" s="1"/>
  <c r="N1494" i="2"/>
  <c r="P1494" i="2" s="1"/>
  <c r="N1495" i="2"/>
  <c r="P1495" i="2" s="1"/>
  <c r="N1496" i="2"/>
  <c r="P1496" i="2" s="1"/>
  <c r="N1497" i="2"/>
  <c r="P1497" i="2" s="1"/>
  <c r="N1498" i="2"/>
  <c r="P1498" i="2" s="1"/>
  <c r="N1499" i="2"/>
  <c r="P1499" i="2" s="1"/>
  <c r="N1500" i="2"/>
  <c r="P1500" i="2" s="1"/>
  <c r="N1501" i="2"/>
  <c r="P1501" i="2" s="1"/>
  <c r="N1502" i="2"/>
  <c r="P1502" i="2" s="1"/>
  <c r="N1503" i="2"/>
  <c r="P1503" i="2" s="1"/>
  <c r="N1504" i="2"/>
  <c r="P1504" i="2" s="1"/>
  <c r="N1505" i="2"/>
  <c r="P1505" i="2" s="1"/>
  <c r="N1506" i="2"/>
  <c r="P1506" i="2" s="1"/>
  <c r="N1507" i="2"/>
  <c r="P1507" i="2" s="1"/>
  <c r="N1508" i="2"/>
  <c r="P1508" i="2" s="1"/>
  <c r="N1509" i="2"/>
  <c r="P1509" i="2" s="1"/>
  <c r="N1510" i="2"/>
  <c r="P1510" i="2" s="1"/>
  <c r="N1511" i="2"/>
  <c r="P1511" i="2" s="1"/>
  <c r="N1512" i="2"/>
  <c r="P1512" i="2" s="1"/>
  <c r="N1513" i="2"/>
  <c r="P1513" i="2" s="1"/>
  <c r="N1514" i="2"/>
  <c r="P1514" i="2" s="1"/>
  <c r="N1515" i="2"/>
  <c r="P1515" i="2" s="1"/>
  <c r="N1516" i="2"/>
  <c r="P1516" i="2" s="1"/>
  <c r="N1517" i="2"/>
  <c r="P1517" i="2" s="1"/>
  <c r="N1518" i="2"/>
  <c r="P1518" i="2" s="1"/>
  <c r="N1519" i="2"/>
  <c r="P1519" i="2" s="1"/>
  <c r="N1520" i="2"/>
  <c r="P1520" i="2" s="1"/>
  <c r="N1521" i="2"/>
  <c r="P1521" i="2" s="1"/>
  <c r="N1522" i="2"/>
  <c r="P1522" i="2" s="1"/>
  <c r="N1523" i="2"/>
  <c r="P1523" i="2" s="1"/>
  <c r="N1524" i="2"/>
  <c r="P1524" i="2" s="1"/>
  <c r="N1525" i="2"/>
  <c r="P1525" i="2" s="1"/>
  <c r="N1526" i="2"/>
  <c r="P1526" i="2" s="1"/>
  <c r="N1527" i="2"/>
  <c r="P1527" i="2" s="1"/>
  <c r="N1528" i="2"/>
  <c r="P1528" i="2" s="1"/>
  <c r="N1529" i="2"/>
  <c r="P1529" i="2" s="1"/>
  <c r="N1530" i="2"/>
  <c r="P1530" i="2" s="1"/>
  <c r="N1531" i="2"/>
  <c r="P1531" i="2" s="1"/>
  <c r="N1532" i="2"/>
  <c r="P1532" i="2" s="1"/>
  <c r="N1533" i="2"/>
  <c r="P1533" i="2" s="1"/>
  <c r="N1534" i="2"/>
  <c r="P1534" i="2" s="1"/>
  <c r="N1535" i="2"/>
  <c r="P1535" i="2" s="1"/>
  <c r="N1536" i="2"/>
  <c r="P1536" i="2" s="1"/>
  <c r="N1537" i="2"/>
  <c r="P1537" i="2" s="1"/>
  <c r="N1538" i="2"/>
  <c r="P1538" i="2" s="1"/>
  <c r="N1539" i="2"/>
  <c r="P1539" i="2" s="1"/>
  <c r="N1540" i="2"/>
  <c r="P1540" i="2" s="1"/>
  <c r="N1541" i="2"/>
  <c r="P1541" i="2" s="1"/>
  <c r="N1542" i="2"/>
  <c r="P1542" i="2" s="1"/>
  <c r="N1543" i="2"/>
  <c r="P1543" i="2" s="1"/>
  <c r="N1544" i="2"/>
  <c r="P1544" i="2" s="1"/>
  <c r="N1545" i="2"/>
  <c r="P1545" i="2" s="1"/>
  <c r="N1546" i="2"/>
  <c r="P1546" i="2" s="1"/>
  <c r="N1547" i="2"/>
  <c r="P1547" i="2" s="1"/>
  <c r="N1548" i="2"/>
  <c r="P1548" i="2" s="1"/>
  <c r="N1549" i="2"/>
  <c r="P1549" i="2" s="1"/>
  <c r="N1550" i="2"/>
  <c r="P1550" i="2" s="1"/>
  <c r="N1551" i="2"/>
  <c r="P1551" i="2" s="1"/>
  <c r="N1552" i="2"/>
  <c r="P1552" i="2" s="1"/>
  <c r="N1553" i="2"/>
  <c r="P1553" i="2" s="1"/>
  <c r="N1554" i="2"/>
  <c r="P1554" i="2" s="1"/>
  <c r="N1555" i="2"/>
  <c r="P1555" i="2" s="1"/>
  <c r="N1556" i="2"/>
  <c r="P1556" i="2" s="1"/>
  <c r="N1557" i="2"/>
  <c r="P1557" i="2" s="1"/>
  <c r="N1558" i="2"/>
  <c r="P1558" i="2" s="1"/>
  <c r="N1559" i="2"/>
  <c r="P1559" i="2" s="1"/>
  <c r="N1560" i="2"/>
  <c r="P1560" i="2" s="1"/>
  <c r="N1561" i="2"/>
  <c r="P1561" i="2" s="1"/>
  <c r="N1562" i="2"/>
  <c r="P1562" i="2" s="1"/>
  <c r="N1563" i="2"/>
  <c r="P1563" i="2" s="1"/>
  <c r="N1564" i="2"/>
  <c r="P1564" i="2" s="1"/>
  <c r="N1565" i="2"/>
  <c r="P1565" i="2" s="1"/>
  <c r="N1566" i="2"/>
  <c r="P1566" i="2" s="1"/>
  <c r="N1567" i="2"/>
  <c r="P1567" i="2" s="1"/>
  <c r="N1568" i="2"/>
  <c r="P1568" i="2" s="1"/>
  <c r="N1569" i="2"/>
  <c r="P1569" i="2" s="1"/>
  <c r="N1570" i="2"/>
  <c r="P1570" i="2" s="1"/>
  <c r="N1571" i="2"/>
  <c r="P1571" i="2" s="1"/>
  <c r="N1572" i="2"/>
  <c r="P1572" i="2" s="1"/>
  <c r="N1573" i="2"/>
  <c r="P1573" i="2" s="1"/>
  <c r="N1574" i="2"/>
  <c r="P1574" i="2" s="1"/>
  <c r="N1575" i="2"/>
  <c r="P1575" i="2" s="1"/>
  <c r="N1576" i="2"/>
  <c r="P1576" i="2" s="1"/>
  <c r="N1577" i="2"/>
  <c r="P1577" i="2" s="1"/>
  <c r="N1578" i="2"/>
  <c r="P1578" i="2" s="1"/>
  <c r="N1579" i="2"/>
  <c r="P1579" i="2" s="1"/>
  <c r="N1580" i="2"/>
  <c r="P1580" i="2" s="1"/>
  <c r="N1581" i="2"/>
  <c r="P1581" i="2" s="1"/>
  <c r="N1582" i="2"/>
  <c r="P1582" i="2" s="1"/>
  <c r="N1583" i="2"/>
  <c r="P1583" i="2" s="1"/>
  <c r="N1584" i="2"/>
  <c r="P1584" i="2" s="1"/>
  <c r="N1585" i="2"/>
  <c r="P1585" i="2" s="1"/>
  <c r="N1586" i="2"/>
  <c r="P1586" i="2" s="1"/>
  <c r="N1587" i="2"/>
  <c r="P1587" i="2" s="1"/>
  <c r="N1588" i="2"/>
  <c r="P1588" i="2" s="1"/>
  <c r="N1589" i="2"/>
  <c r="P1589" i="2" s="1"/>
  <c r="N1590" i="2"/>
  <c r="P1590" i="2" s="1"/>
  <c r="N1591" i="2"/>
  <c r="P1591" i="2" s="1"/>
  <c r="N1592" i="2"/>
  <c r="P1592" i="2" s="1"/>
  <c r="N1593" i="2"/>
  <c r="P1593" i="2" s="1"/>
  <c r="N1594" i="2"/>
  <c r="P1594" i="2" s="1"/>
  <c r="N1595" i="2"/>
  <c r="P1595" i="2" s="1"/>
  <c r="N1596" i="2"/>
  <c r="P1596" i="2" s="1"/>
  <c r="N1597" i="2"/>
  <c r="P1597" i="2" s="1"/>
  <c r="N1598" i="2"/>
  <c r="P1598" i="2" s="1"/>
  <c r="N1599" i="2"/>
  <c r="P1599" i="2" s="1"/>
  <c r="N1600" i="2"/>
  <c r="P1600" i="2" s="1"/>
  <c r="N1601" i="2"/>
  <c r="P1601" i="2" s="1"/>
  <c r="N1602" i="2"/>
  <c r="P1602" i="2" s="1"/>
  <c r="N1603" i="2"/>
  <c r="P1603" i="2" s="1"/>
  <c r="N1604" i="2"/>
  <c r="P1604" i="2" s="1"/>
  <c r="N1605" i="2"/>
  <c r="P1605" i="2" s="1"/>
  <c r="N1606" i="2"/>
  <c r="P1606" i="2" s="1"/>
  <c r="N1607" i="2"/>
  <c r="P1607" i="2" s="1"/>
  <c r="N1608" i="2"/>
  <c r="P1608" i="2" s="1"/>
  <c r="N1609" i="2"/>
  <c r="P1609" i="2" s="1"/>
  <c r="N1610" i="2"/>
  <c r="P1610" i="2" s="1"/>
  <c r="N1611" i="2"/>
  <c r="P1611" i="2" s="1"/>
  <c r="N1612" i="2"/>
  <c r="P1612" i="2" s="1"/>
  <c r="N1613" i="2"/>
  <c r="P1613" i="2" s="1"/>
  <c r="N1614" i="2"/>
  <c r="P1614" i="2" s="1"/>
  <c r="N1615" i="2"/>
  <c r="P1615" i="2" s="1"/>
  <c r="N1616" i="2"/>
  <c r="P1616" i="2" s="1"/>
  <c r="N1617" i="2"/>
  <c r="P1617" i="2" s="1"/>
  <c r="N1618" i="2"/>
  <c r="P1618" i="2" s="1"/>
  <c r="N1619" i="2"/>
  <c r="P1619" i="2" s="1"/>
  <c r="N1620" i="2"/>
  <c r="P1620" i="2" s="1"/>
  <c r="N1621" i="2"/>
  <c r="P1621" i="2" s="1"/>
  <c r="N1622" i="2"/>
  <c r="P1622" i="2" s="1"/>
  <c r="N1623" i="2"/>
  <c r="P1623" i="2" s="1"/>
  <c r="N1624" i="2"/>
  <c r="P1624" i="2" s="1"/>
  <c r="N1625" i="2"/>
  <c r="P1625" i="2" s="1"/>
  <c r="N1626" i="2"/>
  <c r="P1626" i="2" s="1"/>
  <c r="N1627" i="2"/>
  <c r="P1627" i="2" s="1"/>
  <c r="N1628" i="2"/>
  <c r="P1628" i="2" s="1"/>
  <c r="N1629" i="2"/>
  <c r="P1629" i="2" s="1"/>
  <c r="N1630" i="2"/>
  <c r="P1630" i="2" s="1"/>
  <c r="N1631" i="2"/>
  <c r="P1631" i="2" s="1"/>
  <c r="N1632" i="2"/>
  <c r="P1632" i="2" s="1"/>
  <c r="N1633" i="2"/>
  <c r="P1633" i="2" s="1"/>
  <c r="N1634" i="2"/>
  <c r="P1634" i="2" s="1"/>
  <c r="N1635" i="2"/>
  <c r="P1635" i="2" s="1"/>
  <c r="N1636" i="2"/>
  <c r="P1636" i="2" s="1"/>
  <c r="N1637" i="2"/>
  <c r="P1637" i="2" s="1"/>
  <c r="N1638" i="2"/>
  <c r="P1638" i="2" s="1"/>
  <c r="N1639" i="2"/>
  <c r="P1639" i="2" s="1"/>
  <c r="N1640" i="2"/>
  <c r="P1640" i="2" s="1"/>
  <c r="N1641" i="2"/>
  <c r="P1641" i="2" s="1"/>
  <c r="N1642" i="2"/>
  <c r="P1642" i="2" s="1"/>
  <c r="N1643" i="2"/>
  <c r="P1643" i="2" s="1"/>
  <c r="N1644" i="2"/>
  <c r="P1644" i="2" s="1"/>
  <c r="N1645" i="2"/>
  <c r="P1645" i="2" s="1"/>
  <c r="N1646" i="2"/>
  <c r="P1646" i="2" s="1"/>
  <c r="N1647" i="2"/>
  <c r="P1647" i="2" s="1"/>
  <c r="N1648" i="2"/>
  <c r="P1648" i="2" s="1"/>
  <c r="N1649" i="2"/>
  <c r="P1649" i="2" s="1"/>
  <c r="N1650" i="2"/>
  <c r="P1650" i="2" s="1"/>
  <c r="N1651" i="2"/>
  <c r="P1651" i="2" s="1"/>
  <c r="N1652" i="2"/>
  <c r="P1652" i="2" s="1"/>
  <c r="N1653" i="2"/>
  <c r="P1653" i="2" s="1"/>
  <c r="N1654" i="2"/>
  <c r="P1654" i="2" s="1"/>
  <c r="N1655" i="2"/>
  <c r="P1655" i="2" s="1"/>
  <c r="N1656" i="2"/>
  <c r="P1656" i="2" s="1"/>
  <c r="N1657" i="2"/>
  <c r="P1657" i="2" s="1"/>
  <c r="N1658" i="2"/>
  <c r="P1658" i="2" s="1"/>
  <c r="N1659" i="2"/>
  <c r="P1659" i="2" s="1"/>
  <c r="N1660" i="2"/>
  <c r="P1660" i="2" s="1"/>
  <c r="N1661" i="2"/>
  <c r="P1661" i="2" s="1"/>
  <c r="N1662" i="2"/>
  <c r="P1662" i="2" s="1"/>
  <c r="N1663" i="2"/>
  <c r="P1663" i="2" s="1"/>
  <c r="N1664" i="2"/>
  <c r="P1664" i="2" s="1"/>
  <c r="N1665" i="2"/>
  <c r="P1665" i="2" s="1"/>
  <c r="N1666" i="2"/>
  <c r="P1666" i="2" s="1"/>
  <c r="N1667" i="2"/>
  <c r="P1667" i="2" s="1"/>
  <c r="N1668" i="2"/>
  <c r="P1668" i="2" s="1"/>
  <c r="N1669" i="2"/>
  <c r="P1669" i="2" s="1"/>
  <c r="N1670" i="2"/>
  <c r="P1670" i="2" s="1"/>
  <c r="N1671" i="2"/>
  <c r="P1671" i="2" s="1"/>
  <c r="N1672" i="2"/>
  <c r="P1672" i="2" s="1"/>
  <c r="N1673" i="2"/>
  <c r="P1673" i="2" s="1"/>
  <c r="N1674" i="2"/>
  <c r="P1674" i="2" s="1"/>
  <c r="N1675" i="2"/>
  <c r="P1675" i="2" s="1"/>
  <c r="N1676" i="2"/>
  <c r="P1676" i="2" s="1"/>
  <c r="N1677" i="2"/>
  <c r="P1677" i="2" s="1"/>
  <c r="N1678" i="2"/>
  <c r="P1678" i="2" s="1"/>
  <c r="N1679" i="2"/>
  <c r="P1679" i="2" s="1"/>
  <c r="N1680" i="2"/>
  <c r="P1680" i="2" s="1"/>
  <c r="N1681" i="2"/>
  <c r="P1681" i="2" s="1"/>
  <c r="N1682" i="2"/>
  <c r="P1682" i="2" s="1"/>
  <c r="N1683" i="2"/>
  <c r="P1683" i="2" s="1"/>
  <c r="N1684" i="2"/>
  <c r="P1684" i="2" s="1"/>
  <c r="N1685" i="2"/>
  <c r="P1685" i="2" s="1"/>
  <c r="N1686" i="2"/>
  <c r="P1686" i="2" s="1"/>
  <c r="N1687" i="2"/>
  <c r="P1687" i="2" s="1"/>
  <c r="N1688" i="2"/>
  <c r="P1688" i="2" s="1"/>
  <c r="N1689" i="2"/>
  <c r="P1689" i="2" s="1"/>
  <c r="N1690" i="2"/>
  <c r="P1690" i="2" s="1"/>
  <c r="N1691" i="2"/>
  <c r="P1691" i="2" s="1"/>
  <c r="N1692" i="2"/>
  <c r="P1692" i="2" s="1"/>
  <c r="N1693" i="2"/>
  <c r="P1693" i="2" s="1"/>
  <c r="N1694" i="2"/>
  <c r="P1694" i="2" s="1"/>
  <c r="N1695" i="2"/>
  <c r="P1695" i="2" s="1"/>
  <c r="N1696" i="2"/>
  <c r="P1696" i="2" s="1"/>
  <c r="N1697" i="2"/>
  <c r="P1697" i="2" s="1"/>
  <c r="N1698" i="2"/>
  <c r="P1698" i="2" s="1"/>
  <c r="N1699" i="2"/>
  <c r="P1699" i="2" s="1"/>
  <c r="N1700" i="2"/>
  <c r="P1700" i="2" s="1"/>
  <c r="N1701" i="2"/>
  <c r="P1701" i="2" s="1"/>
  <c r="N1702" i="2"/>
  <c r="P1702" i="2" s="1"/>
  <c r="N1703" i="2"/>
  <c r="P1703" i="2" s="1"/>
  <c r="N1704" i="2"/>
  <c r="P1704" i="2" s="1"/>
  <c r="N1705" i="2"/>
  <c r="P1705" i="2" s="1"/>
  <c r="N1706" i="2"/>
  <c r="P1706" i="2" s="1"/>
  <c r="N1707" i="2"/>
  <c r="P1707" i="2" s="1"/>
  <c r="N1708" i="2"/>
  <c r="P1708" i="2" s="1"/>
  <c r="N1709" i="2"/>
  <c r="P1709" i="2" s="1"/>
  <c r="N1710" i="2"/>
  <c r="P1710" i="2" s="1"/>
  <c r="N1711" i="2"/>
  <c r="P1711" i="2" s="1"/>
  <c r="N1712" i="2"/>
  <c r="P1712" i="2" s="1"/>
  <c r="N1713" i="2"/>
  <c r="P1713" i="2" s="1"/>
  <c r="N1714" i="2"/>
  <c r="P1714" i="2" s="1"/>
  <c r="N1715" i="2"/>
  <c r="P1715" i="2" s="1"/>
  <c r="N1716" i="2"/>
  <c r="P1716" i="2" s="1"/>
  <c r="N1717" i="2"/>
  <c r="P1717" i="2" s="1"/>
  <c r="N1718" i="2"/>
  <c r="P1718" i="2" s="1"/>
  <c r="N1719" i="2"/>
  <c r="P1719" i="2" s="1"/>
  <c r="N1720" i="2"/>
  <c r="P1720" i="2" s="1"/>
  <c r="N1721" i="2"/>
  <c r="P1721" i="2" s="1"/>
  <c r="N1722" i="2"/>
  <c r="P1722" i="2" s="1"/>
  <c r="N1723" i="2"/>
  <c r="P1723" i="2" s="1"/>
  <c r="N1724" i="2"/>
  <c r="P1724" i="2" s="1"/>
  <c r="N1725" i="2"/>
  <c r="P1725" i="2" s="1"/>
  <c r="N1726" i="2"/>
  <c r="P1726" i="2" s="1"/>
  <c r="N1727" i="2"/>
  <c r="P1727" i="2" s="1"/>
  <c r="N1728" i="2"/>
  <c r="P1728" i="2" s="1"/>
  <c r="N1729" i="2"/>
  <c r="P1729" i="2" s="1"/>
  <c r="N1730" i="2"/>
  <c r="P1730" i="2" s="1"/>
  <c r="N1731" i="2"/>
  <c r="P1731" i="2" s="1"/>
  <c r="N1732" i="2"/>
  <c r="P1732" i="2" s="1"/>
  <c r="N1733" i="2"/>
  <c r="P1733" i="2" s="1"/>
  <c r="N1734" i="2"/>
  <c r="P1734" i="2" s="1"/>
  <c r="N1735" i="2"/>
  <c r="P1735" i="2" s="1"/>
  <c r="N1736" i="2"/>
  <c r="P1736" i="2" s="1"/>
  <c r="N1737" i="2"/>
  <c r="P1737" i="2" s="1"/>
  <c r="N1738" i="2"/>
  <c r="P1738" i="2" s="1"/>
  <c r="N1739" i="2"/>
  <c r="P1739" i="2" s="1"/>
  <c r="N1740" i="2"/>
  <c r="P1740" i="2" s="1"/>
  <c r="N1741" i="2"/>
  <c r="P1741" i="2" s="1"/>
  <c r="N1742" i="2"/>
  <c r="P1742" i="2" s="1"/>
  <c r="N1743" i="2"/>
  <c r="P1743" i="2" s="1"/>
  <c r="N1744" i="2"/>
  <c r="P1744" i="2" s="1"/>
  <c r="N1745" i="2"/>
  <c r="P1745" i="2" s="1"/>
  <c r="N1746" i="2"/>
  <c r="P1746" i="2" s="1"/>
  <c r="N1747" i="2"/>
  <c r="P1747" i="2" s="1"/>
  <c r="N1748" i="2"/>
  <c r="P1748" i="2" s="1"/>
  <c r="N1749" i="2"/>
  <c r="P1749" i="2" s="1"/>
  <c r="N1750" i="2"/>
  <c r="P1750" i="2" s="1"/>
  <c r="N1751" i="2"/>
  <c r="P1751" i="2" s="1"/>
  <c r="N1752" i="2"/>
  <c r="P1752" i="2" s="1"/>
  <c r="N1753" i="2"/>
  <c r="P1753" i="2" s="1"/>
  <c r="N1754" i="2"/>
  <c r="P1754" i="2" s="1"/>
  <c r="N1755" i="2"/>
  <c r="P1755" i="2" s="1"/>
  <c r="N1756" i="2"/>
  <c r="P1756" i="2" s="1"/>
  <c r="N1757" i="2"/>
  <c r="P1757" i="2" s="1"/>
  <c r="N1758" i="2"/>
  <c r="P1758" i="2" s="1"/>
  <c r="N1759" i="2"/>
  <c r="P1759" i="2" s="1"/>
  <c r="N1760" i="2"/>
  <c r="P1760" i="2" s="1"/>
  <c r="N1761" i="2"/>
  <c r="P1761" i="2" s="1"/>
  <c r="N1762" i="2"/>
  <c r="P1762" i="2" s="1"/>
  <c r="N1763" i="2"/>
  <c r="P1763" i="2" s="1"/>
  <c r="N1764" i="2"/>
  <c r="P1764" i="2" s="1"/>
  <c r="N1765" i="2"/>
  <c r="P1765" i="2" s="1"/>
  <c r="N1766" i="2"/>
  <c r="P1766" i="2" s="1"/>
  <c r="N1767" i="2"/>
  <c r="P1767" i="2" s="1"/>
  <c r="N1768" i="2"/>
  <c r="P1768" i="2" s="1"/>
  <c r="N1769" i="2"/>
  <c r="P1769" i="2" s="1"/>
  <c r="N1770" i="2"/>
  <c r="P1770" i="2" s="1"/>
  <c r="N1771" i="2"/>
  <c r="P1771" i="2" s="1"/>
  <c r="N1772" i="2"/>
  <c r="P1772" i="2" s="1"/>
  <c r="N1773" i="2"/>
  <c r="P1773" i="2" s="1"/>
  <c r="N1774" i="2"/>
  <c r="P1774" i="2" s="1"/>
  <c r="N1775" i="2"/>
  <c r="P1775" i="2" s="1"/>
  <c r="N1776" i="2"/>
  <c r="P1776" i="2" s="1"/>
  <c r="N1777" i="2"/>
  <c r="P1777" i="2" s="1"/>
  <c r="N1778" i="2"/>
  <c r="P1778" i="2" s="1"/>
  <c r="N1779" i="2"/>
  <c r="P1779" i="2" s="1"/>
  <c r="N1780" i="2"/>
  <c r="P1780" i="2" s="1"/>
  <c r="N1781" i="2"/>
  <c r="P1781" i="2" s="1"/>
  <c r="N1782" i="2"/>
  <c r="P1782" i="2" s="1"/>
  <c r="N1783" i="2"/>
  <c r="P1783" i="2" s="1"/>
  <c r="N1784" i="2"/>
  <c r="P1784" i="2" s="1"/>
  <c r="N1785" i="2"/>
  <c r="P1785" i="2" s="1"/>
  <c r="N1786" i="2"/>
  <c r="P1786" i="2" s="1"/>
  <c r="N1787" i="2"/>
  <c r="P1787" i="2" s="1"/>
  <c r="N1788" i="2"/>
  <c r="P1788" i="2" s="1"/>
  <c r="N1789" i="2"/>
  <c r="P1789" i="2" s="1"/>
  <c r="N1790" i="2"/>
  <c r="P1790" i="2" s="1"/>
  <c r="N1791" i="2"/>
  <c r="P1791" i="2" s="1"/>
  <c r="N1792" i="2"/>
  <c r="P1792" i="2" s="1"/>
  <c r="N1793" i="2"/>
  <c r="P1793" i="2" s="1"/>
  <c r="N1794" i="2"/>
  <c r="P1794" i="2" s="1"/>
  <c r="N1795" i="2"/>
  <c r="P1795" i="2" s="1"/>
  <c r="N1796" i="2"/>
  <c r="P1796" i="2" s="1"/>
  <c r="N1797" i="2"/>
  <c r="P1797" i="2" s="1"/>
  <c r="N1798" i="2"/>
  <c r="P1798" i="2" s="1"/>
  <c r="N1799" i="2"/>
  <c r="P1799" i="2" s="1"/>
  <c r="N1800" i="2"/>
  <c r="P1800" i="2" s="1"/>
  <c r="N1801" i="2"/>
  <c r="P1801" i="2" s="1"/>
  <c r="N1802" i="2"/>
  <c r="P1802" i="2" s="1"/>
  <c r="N1803" i="2"/>
  <c r="P1803" i="2" s="1"/>
  <c r="N1804" i="2"/>
  <c r="P1804" i="2" s="1"/>
  <c r="N1805" i="2"/>
  <c r="P1805" i="2" s="1"/>
  <c r="N1806" i="2"/>
  <c r="P1806" i="2" s="1"/>
  <c r="N1807" i="2"/>
  <c r="P1807" i="2" s="1"/>
  <c r="N1808" i="2"/>
  <c r="P1808" i="2" s="1"/>
  <c r="N1809" i="2"/>
  <c r="P1809" i="2" s="1"/>
  <c r="N1810" i="2"/>
  <c r="P1810" i="2" s="1"/>
  <c r="N1811" i="2"/>
  <c r="P1811" i="2" s="1"/>
  <c r="N1812" i="2"/>
  <c r="P1812" i="2" s="1"/>
  <c r="N1813" i="2"/>
  <c r="P1813" i="2" s="1"/>
  <c r="N1814" i="2"/>
  <c r="P1814" i="2" s="1"/>
  <c r="N1815" i="2"/>
  <c r="P1815" i="2" s="1"/>
  <c r="N1816" i="2"/>
  <c r="P1816" i="2" s="1"/>
  <c r="N1817" i="2"/>
  <c r="P1817" i="2" s="1"/>
  <c r="N1818" i="2"/>
  <c r="P1818" i="2" s="1"/>
  <c r="N1819" i="2"/>
  <c r="P1819" i="2" s="1"/>
  <c r="N1820" i="2"/>
  <c r="P1820" i="2" s="1"/>
  <c r="N1821" i="2"/>
  <c r="P1821" i="2" s="1"/>
  <c r="N1822" i="2"/>
  <c r="P1822" i="2" s="1"/>
  <c r="N1823" i="2"/>
  <c r="P1823" i="2" s="1"/>
  <c r="N1824" i="2"/>
  <c r="P1824" i="2" s="1"/>
  <c r="N1825" i="2"/>
  <c r="P1825" i="2" s="1"/>
  <c r="N1826" i="2"/>
  <c r="P1826" i="2" s="1"/>
  <c r="N1827" i="2"/>
  <c r="P1827" i="2" s="1"/>
  <c r="N1828" i="2"/>
  <c r="P1828" i="2" s="1"/>
  <c r="N1829" i="2"/>
  <c r="P1829" i="2" s="1"/>
  <c r="N1830" i="2"/>
  <c r="P1830" i="2" s="1"/>
  <c r="N1831" i="2"/>
  <c r="P1831" i="2" s="1"/>
  <c r="N1832" i="2"/>
  <c r="P1832" i="2" s="1"/>
  <c r="N1833" i="2"/>
  <c r="P1833" i="2" s="1"/>
  <c r="N1834" i="2"/>
  <c r="P1834" i="2" s="1"/>
  <c r="N1835" i="2"/>
  <c r="P1835" i="2" s="1"/>
  <c r="N1836" i="2"/>
  <c r="P1836" i="2" s="1"/>
  <c r="N1837" i="2"/>
  <c r="P1837" i="2" s="1"/>
  <c r="N1838" i="2"/>
  <c r="P1838" i="2" s="1"/>
  <c r="N1839" i="2"/>
  <c r="P1839" i="2" s="1"/>
  <c r="N1840" i="2"/>
  <c r="P1840" i="2" s="1"/>
  <c r="N1841" i="2"/>
  <c r="P1841" i="2" s="1"/>
  <c r="N1842" i="2"/>
  <c r="P1842" i="2" s="1"/>
  <c r="N1843" i="2"/>
  <c r="P1843" i="2" s="1"/>
  <c r="N1844" i="2"/>
  <c r="P1844" i="2" s="1"/>
  <c r="N1845" i="2"/>
  <c r="P1845" i="2" s="1"/>
  <c r="N1846" i="2"/>
  <c r="P1846" i="2" s="1"/>
  <c r="N1847" i="2"/>
  <c r="P1847" i="2" s="1"/>
  <c r="N1848" i="2"/>
  <c r="P1848" i="2" s="1"/>
  <c r="N1849" i="2"/>
  <c r="P1849" i="2" s="1"/>
  <c r="N1850" i="2"/>
  <c r="P1850" i="2" s="1"/>
  <c r="N1851" i="2"/>
  <c r="P1851" i="2" s="1"/>
  <c r="N1852" i="2"/>
  <c r="P1852" i="2" s="1"/>
  <c r="N1853" i="2"/>
  <c r="P1853" i="2" s="1"/>
  <c r="N1854" i="2"/>
  <c r="P1854" i="2" s="1"/>
  <c r="N1855" i="2"/>
  <c r="P1855" i="2" s="1"/>
  <c r="N1856" i="2"/>
  <c r="P1856" i="2" s="1"/>
  <c r="N1857" i="2"/>
  <c r="P1857" i="2" s="1"/>
  <c r="N1858" i="2"/>
  <c r="P1858" i="2" s="1"/>
  <c r="N1859" i="2"/>
  <c r="P1859" i="2" s="1"/>
  <c r="N1860" i="2"/>
  <c r="P1860" i="2" s="1"/>
  <c r="N1861" i="2"/>
  <c r="P1861" i="2" s="1"/>
  <c r="N1862" i="2"/>
  <c r="P1862" i="2" s="1"/>
  <c r="N1863" i="2"/>
  <c r="P1863" i="2" s="1"/>
  <c r="N1864" i="2"/>
  <c r="P1864" i="2" s="1"/>
  <c r="N1865" i="2"/>
  <c r="P1865" i="2" s="1"/>
  <c r="N1866" i="2"/>
  <c r="P1866" i="2" s="1"/>
  <c r="N1867" i="2"/>
  <c r="P1867" i="2" s="1"/>
  <c r="N1868" i="2"/>
  <c r="P1868" i="2" s="1"/>
  <c r="N1869" i="2"/>
  <c r="P1869" i="2" s="1"/>
  <c r="N1870" i="2"/>
  <c r="P1870" i="2" s="1"/>
  <c r="N1871" i="2"/>
  <c r="P1871" i="2" s="1"/>
  <c r="N1872" i="2"/>
  <c r="P1872" i="2" s="1"/>
  <c r="N1873" i="2"/>
  <c r="P1873" i="2" s="1"/>
  <c r="N1874" i="2"/>
  <c r="P1874" i="2" s="1"/>
  <c r="N1875" i="2"/>
  <c r="P1875" i="2" s="1"/>
  <c r="N1876" i="2"/>
  <c r="P1876" i="2" s="1"/>
  <c r="N1877" i="2"/>
  <c r="P1877" i="2" s="1"/>
  <c r="N1878" i="2"/>
  <c r="P1878" i="2" s="1"/>
  <c r="N1879" i="2"/>
  <c r="P1879" i="2" s="1"/>
  <c r="N1880" i="2"/>
  <c r="P1880" i="2" s="1"/>
  <c r="N1881" i="2"/>
  <c r="P1881" i="2" s="1"/>
  <c r="N1882" i="2"/>
  <c r="P1882" i="2" s="1"/>
  <c r="N1883" i="2"/>
  <c r="P1883" i="2" s="1"/>
  <c r="N1884" i="2"/>
  <c r="P1884" i="2" s="1"/>
  <c r="N1885" i="2"/>
  <c r="P1885" i="2" s="1"/>
  <c r="N1886" i="2"/>
  <c r="P1886" i="2" s="1"/>
  <c r="N1887" i="2"/>
  <c r="P1887" i="2" s="1"/>
  <c r="N1888" i="2"/>
  <c r="P1888" i="2" s="1"/>
  <c r="N1889" i="2"/>
  <c r="P1889" i="2" s="1"/>
  <c r="N1890" i="2"/>
  <c r="P1890" i="2" s="1"/>
  <c r="N1891" i="2"/>
  <c r="P1891" i="2" s="1"/>
  <c r="N1892" i="2"/>
  <c r="P1892" i="2" s="1"/>
  <c r="N1893" i="2"/>
  <c r="P1893" i="2" s="1"/>
  <c r="N1894" i="2"/>
  <c r="P1894" i="2" s="1"/>
  <c r="N1895" i="2"/>
  <c r="P1895" i="2" s="1"/>
  <c r="N1896" i="2"/>
  <c r="P1896" i="2" s="1"/>
  <c r="N1897" i="2"/>
  <c r="P1897" i="2" s="1"/>
  <c r="N1898" i="2"/>
  <c r="P1898" i="2" s="1"/>
  <c r="N1899" i="2"/>
  <c r="P1899" i="2" s="1"/>
  <c r="N1900" i="2"/>
  <c r="P1900" i="2" s="1"/>
  <c r="N1901" i="2"/>
  <c r="P1901" i="2" s="1"/>
  <c r="N1902" i="2"/>
  <c r="P1902" i="2" s="1"/>
  <c r="N1903" i="2"/>
  <c r="P1903" i="2" s="1"/>
  <c r="N1904" i="2"/>
  <c r="P1904" i="2" s="1"/>
  <c r="N1905" i="2"/>
  <c r="P1905" i="2" s="1"/>
  <c r="N1906" i="2"/>
  <c r="P1906" i="2" s="1"/>
  <c r="N1907" i="2"/>
  <c r="P1907" i="2" s="1"/>
  <c r="N1908" i="2"/>
  <c r="P1908" i="2" s="1"/>
  <c r="N1909" i="2"/>
  <c r="P1909" i="2" s="1"/>
  <c r="N1910" i="2"/>
  <c r="P1910" i="2" s="1"/>
  <c r="N1911" i="2"/>
  <c r="P1911" i="2" s="1"/>
  <c r="N1912" i="2"/>
  <c r="P1912" i="2" s="1"/>
  <c r="N1913" i="2"/>
  <c r="P1913" i="2" s="1"/>
  <c r="N1914" i="2"/>
  <c r="P1914" i="2" s="1"/>
  <c r="N1915" i="2"/>
  <c r="P1915" i="2" s="1"/>
  <c r="N1916" i="2"/>
  <c r="P1916" i="2" s="1"/>
  <c r="N1917" i="2"/>
  <c r="P1917" i="2" s="1"/>
  <c r="N1918" i="2"/>
  <c r="P1918" i="2" s="1"/>
  <c r="N1919" i="2"/>
  <c r="P1919" i="2" s="1"/>
  <c r="N1920" i="2"/>
  <c r="P1920" i="2" s="1"/>
  <c r="N1921" i="2"/>
  <c r="P1921" i="2" s="1"/>
  <c r="N1922" i="2"/>
  <c r="P1922" i="2" s="1"/>
  <c r="N1923" i="2"/>
  <c r="P1923" i="2" s="1"/>
  <c r="N1924" i="2"/>
  <c r="P1924" i="2" s="1"/>
  <c r="N1925" i="2"/>
  <c r="P1925" i="2" s="1"/>
  <c r="N1926" i="2"/>
  <c r="P1926" i="2" s="1"/>
  <c r="N1927" i="2"/>
  <c r="P1927" i="2" s="1"/>
  <c r="N1928" i="2"/>
  <c r="P1928" i="2" s="1"/>
  <c r="N1929" i="2"/>
  <c r="P1929" i="2" s="1"/>
  <c r="N1930" i="2"/>
  <c r="P1930" i="2" s="1"/>
  <c r="N1931" i="2"/>
  <c r="P1931" i="2" s="1"/>
  <c r="N1932" i="2"/>
  <c r="P1932" i="2" s="1"/>
  <c r="N1933" i="2"/>
  <c r="P1933" i="2" s="1"/>
  <c r="N1934" i="2"/>
  <c r="P1934" i="2" s="1"/>
  <c r="N1935" i="2"/>
  <c r="P1935" i="2" s="1"/>
  <c r="N1936" i="2"/>
  <c r="P1936" i="2" s="1"/>
  <c r="N1937" i="2"/>
  <c r="P1937" i="2" s="1"/>
  <c r="N1938" i="2"/>
  <c r="P1938" i="2" s="1"/>
  <c r="N1939" i="2"/>
  <c r="P1939" i="2" s="1"/>
  <c r="N1940" i="2"/>
  <c r="P1940" i="2" s="1"/>
  <c r="N1941" i="2"/>
  <c r="P1941" i="2" s="1"/>
  <c r="N1942" i="2"/>
  <c r="P1942" i="2" s="1"/>
  <c r="N1943" i="2"/>
  <c r="P1943" i="2" s="1"/>
  <c r="N1944" i="2"/>
  <c r="P1944" i="2" s="1"/>
  <c r="N1945" i="2"/>
  <c r="P1945" i="2" s="1"/>
  <c r="N1946" i="2"/>
  <c r="P1946" i="2" s="1"/>
  <c r="N1947" i="2"/>
  <c r="P1947" i="2" s="1"/>
  <c r="N1948" i="2"/>
  <c r="P1948" i="2" s="1"/>
  <c r="N1949" i="2"/>
  <c r="P1949" i="2" s="1"/>
  <c r="N1950" i="2"/>
  <c r="P1950" i="2" s="1"/>
  <c r="N1951" i="2"/>
  <c r="P1951" i="2" s="1"/>
  <c r="N1952" i="2"/>
  <c r="P1952" i="2" s="1"/>
  <c r="N1953" i="2"/>
  <c r="P1953" i="2" s="1"/>
  <c r="N1954" i="2"/>
  <c r="P1954" i="2" s="1"/>
  <c r="N1955" i="2"/>
  <c r="P1955" i="2" s="1"/>
  <c r="N1956" i="2"/>
  <c r="P1956" i="2" s="1"/>
  <c r="N1957" i="2"/>
  <c r="P1957" i="2" s="1"/>
  <c r="N1958" i="2"/>
  <c r="P1958" i="2" s="1"/>
  <c r="N1959" i="2"/>
  <c r="P1959" i="2" s="1"/>
  <c r="N1960" i="2"/>
  <c r="P1960" i="2" s="1"/>
  <c r="N1961" i="2"/>
  <c r="P1961" i="2" s="1"/>
  <c r="N1962" i="2"/>
  <c r="P1962" i="2" s="1"/>
  <c r="N1963" i="2"/>
  <c r="P1963" i="2" s="1"/>
  <c r="N1964" i="2"/>
  <c r="P1964" i="2" s="1"/>
  <c r="N1965" i="2"/>
  <c r="P1965" i="2" s="1"/>
  <c r="N1966" i="2"/>
  <c r="P1966" i="2" s="1"/>
  <c r="N1967" i="2"/>
  <c r="P1967" i="2" s="1"/>
  <c r="N1968" i="2"/>
  <c r="P1968" i="2" s="1"/>
  <c r="N1969" i="2"/>
  <c r="P1969" i="2" s="1"/>
  <c r="N1970" i="2"/>
  <c r="P1970" i="2" s="1"/>
  <c r="N1971" i="2"/>
  <c r="P1971" i="2" s="1"/>
  <c r="N1972" i="2"/>
  <c r="P1972" i="2" s="1"/>
  <c r="N1973" i="2"/>
  <c r="P1973" i="2" s="1"/>
  <c r="N1974" i="2"/>
  <c r="P1974" i="2" s="1"/>
  <c r="N1975" i="2"/>
  <c r="P1975" i="2" s="1"/>
  <c r="N1976" i="2"/>
  <c r="P1976" i="2" s="1"/>
  <c r="N1977" i="2"/>
  <c r="P1977" i="2" s="1"/>
  <c r="N1978" i="2"/>
  <c r="P1978" i="2" s="1"/>
  <c r="N1979" i="2"/>
  <c r="P1979" i="2" s="1"/>
  <c r="N1980" i="2"/>
  <c r="P1980" i="2" s="1"/>
  <c r="N1981" i="2"/>
  <c r="P1981" i="2" s="1"/>
  <c r="N1982" i="2"/>
  <c r="P1982" i="2" s="1"/>
  <c r="N1983" i="2"/>
  <c r="P1983" i="2" s="1"/>
  <c r="N1984" i="2"/>
  <c r="P1984" i="2" s="1"/>
  <c r="N1985" i="2"/>
  <c r="P1985" i="2" s="1"/>
  <c r="N1986" i="2"/>
  <c r="P1986" i="2" s="1"/>
  <c r="N1987" i="2"/>
  <c r="P1987" i="2" s="1"/>
  <c r="N1988" i="2"/>
  <c r="P1988" i="2" s="1"/>
  <c r="N1989" i="2"/>
  <c r="P1989" i="2" s="1"/>
  <c r="N1990" i="2"/>
  <c r="P1990" i="2" s="1"/>
  <c r="N1991" i="2"/>
  <c r="P1991" i="2" s="1"/>
  <c r="N1992" i="2"/>
  <c r="P1992" i="2" s="1"/>
  <c r="N1993" i="2"/>
  <c r="P1993" i="2" s="1"/>
  <c r="N1994" i="2"/>
  <c r="P1994" i="2" s="1"/>
  <c r="N1995" i="2"/>
  <c r="P1995" i="2" s="1"/>
  <c r="N1996" i="2"/>
  <c r="P1996" i="2" s="1"/>
  <c r="N1997" i="2"/>
  <c r="P1997" i="2" s="1"/>
  <c r="N1998" i="2"/>
  <c r="P1998" i="2" s="1"/>
  <c r="N1999" i="2"/>
  <c r="P1999" i="2" s="1"/>
  <c r="N2000" i="2"/>
  <c r="P2000" i="2" s="1"/>
  <c r="N2001" i="2"/>
  <c r="P2001" i="2" s="1"/>
  <c r="N2002" i="2"/>
  <c r="P2002" i="2" s="1"/>
  <c r="N2003" i="2"/>
  <c r="P2003" i="2" s="1"/>
  <c r="N2004" i="2"/>
  <c r="P2004" i="2" s="1"/>
  <c r="N2005" i="2"/>
  <c r="P2005" i="2" s="1"/>
  <c r="N2006" i="2"/>
  <c r="P2006" i="2" s="1"/>
  <c r="N2007" i="2"/>
  <c r="P2007" i="2" s="1"/>
  <c r="N2008" i="2"/>
  <c r="P2008" i="2" s="1"/>
  <c r="N2009" i="2"/>
  <c r="P2009" i="2" s="1"/>
  <c r="N2010" i="2"/>
  <c r="P2010" i="2" s="1"/>
  <c r="N2011" i="2"/>
  <c r="P2011" i="2" s="1"/>
  <c r="N2012" i="2"/>
  <c r="P2012" i="2" s="1"/>
  <c r="N2013" i="2"/>
  <c r="P2013" i="2" s="1"/>
  <c r="N2014" i="2"/>
  <c r="P2014" i="2" s="1"/>
  <c r="N2015" i="2"/>
  <c r="P2015" i="2" s="1"/>
  <c r="N2016" i="2"/>
  <c r="P2016" i="2" s="1"/>
  <c r="N2017" i="2"/>
  <c r="P2017" i="2" s="1"/>
  <c r="N2018" i="2"/>
  <c r="P2018" i="2" s="1"/>
  <c r="N2019" i="2"/>
  <c r="P2019" i="2" s="1"/>
  <c r="N2020" i="2"/>
  <c r="P2020" i="2" s="1"/>
  <c r="N2021" i="2"/>
  <c r="P2021" i="2" s="1"/>
  <c r="N2022" i="2"/>
  <c r="P2022" i="2" s="1"/>
  <c r="N2023" i="2"/>
  <c r="P2023" i="2" s="1"/>
  <c r="N2024" i="2"/>
  <c r="P2024" i="2" s="1"/>
  <c r="N2025" i="2"/>
  <c r="P2025" i="2" s="1"/>
  <c r="N2026" i="2"/>
  <c r="P2026" i="2" s="1"/>
  <c r="N2027" i="2"/>
  <c r="P2027" i="2" s="1"/>
  <c r="N2028" i="2"/>
  <c r="P2028" i="2" s="1"/>
  <c r="N2029" i="2"/>
  <c r="P2029" i="2" s="1"/>
  <c r="N2030" i="2"/>
  <c r="P2030" i="2" s="1"/>
  <c r="N2031" i="2"/>
  <c r="P2031" i="2" s="1"/>
  <c r="N2032" i="2"/>
  <c r="P2032" i="2" s="1"/>
  <c r="N2033" i="2"/>
  <c r="P2033" i="2" s="1"/>
  <c r="N2034" i="2"/>
  <c r="P2034" i="2" s="1"/>
  <c r="N2035" i="2"/>
  <c r="P2035" i="2" s="1"/>
  <c r="N2036" i="2"/>
  <c r="P2036" i="2" s="1"/>
  <c r="N2037" i="2"/>
  <c r="P2037" i="2" s="1"/>
  <c r="N2038" i="2"/>
  <c r="P2038" i="2" s="1"/>
  <c r="N2039" i="2"/>
  <c r="P2039" i="2" s="1"/>
  <c r="N2040" i="2"/>
  <c r="P2040" i="2" s="1"/>
  <c r="N2041" i="2"/>
  <c r="P2041" i="2" s="1"/>
  <c r="N2042" i="2"/>
  <c r="P2042" i="2" s="1"/>
  <c r="N2043" i="2"/>
  <c r="P2043" i="2" s="1"/>
  <c r="N2044" i="2"/>
  <c r="P2044" i="2" s="1"/>
  <c r="N2045" i="2"/>
  <c r="P2045" i="2" s="1"/>
  <c r="N2046" i="2"/>
  <c r="P2046" i="2" s="1"/>
  <c r="N2047" i="2"/>
  <c r="P2047" i="2" s="1"/>
  <c r="N2048" i="2"/>
  <c r="P2048" i="2" s="1"/>
  <c r="N2049" i="2"/>
  <c r="P2049" i="2" s="1"/>
  <c r="N2050" i="2"/>
  <c r="P2050" i="2" s="1"/>
  <c r="N2051" i="2"/>
  <c r="P2051" i="2" s="1"/>
  <c r="N2052" i="2"/>
  <c r="P2052" i="2" s="1"/>
  <c r="N2053" i="2"/>
  <c r="P2053" i="2" s="1"/>
  <c r="N2054" i="2"/>
  <c r="P2054" i="2" s="1"/>
  <c r="N2055" i="2"/>
  <c r="P2055" i="2" s="1"/>
  <c r="N2056" i="2"/>
  <c r="P2056" i="2" s="1"/>
  <c r="N2057" i="2"/>
  <c r="P2057" i="2" s="1"/>
  <c r="N2058" i="2"/>
  <c r="P2058" i="2" s="1"/>
  <c r="N2059" i="2"/>
  <c r="P2059" i="2" s="1"/>
  <c r="N2060" i="2"/>
  <c r="P2060" i="2" s="1"/>
  <c r="N2061" i="2"/>
  <c r="P2061" i="2" s="1"/>
  <c r="N2062" i="2"/>
  <c r="P2062" i="2" s="1"/>
  <c r="N2063" i="2"/>
  <c r="P2063" i="2" s="1"/>
  <c r="N2064" i="2"/>
  <c r="P2064" i="2" s="1"/>
  <c r="N2065" i="2"/>
  <c r="P2065" i="2" s="1"/>
  <c r="N2066" i="2"/>
  <c r="P2066" i="2" s="1"/>
  <c r="N2067" i="2"/>
  <c r="P2067" i="2" s="1"/>
  <c r="N2068" i="2"/>
  <c r="P2068" i="2" s="1"/>
  <c r="N2069" i="2"/>
  <c r="P2069" i="2" s="1"/>
  <c r="N2070" i="2"/>
  <c r="P2070" i="2" s="1"/>
  <c r="N2071" i="2"/>
  <c r="P2071" i="2" s="1"/>
  <c r="N2072" i="2"/>
  <c r="P2072" i="2" s="1"/>
  <c r="N2073" i="2"/>
  <c r="P2073" i="2" s="1"/>
  <c r="N2074" i="2"/>
  <c r="P2074" i="2" s="1"/>
  <c r="N2075" i="2"/>
  <c r="P2075" i="2" s="1"/>
  <c r="N2076" i="2"/>
  <c r="P2076" i="2" s="1"/>
  <c r="N2077" i="2"/>
  <c r="P2077" i="2" s="1"/>
  <c r="N2078" i="2"/>
  <c r="P2078" i="2" s="1"/>
  <c r="N2079" i="2"/>
  <c r="P2079" i="2" s="1"/>
  <c r="N2080" i="2"/>
  <c r="P2080" i="2" s="1"/>
  <c r="N2081" i="2"/>
  <c r="P2081" i="2" s="1"/>
  <c r="N2082" i="2"/>
  <c r="P2082" i="2" s="1"/>
  <c r="N2083" i="2"/>
  <c r="P2083" i="2" s="1"/>
  <c r="N2084" i="2"/>
  <c r="P2084" i="2" s="1"/>
  <c r="N2085" i="2"/>
  <c r="P2085" i="2" s="1"/>
  <c r="N2086" i="2"/>
  <c r="P2086" i="2" s="1"/>
  <c r="N2087" i="2"/>
  <c r="P2087" i="2" s="1"/>
  <c r="N2088" i="2"/>
  <c r="P2088" i="2" s="1"/>
  <c r="N2089" i="2"/>
  <c r="P2089" i="2" s="1"/>
  <c r="N2090" i="2"/>
  <c r="P2090" i="2" s="1"/>
  <c r="N2091" i="2"/>
  <c r="P2091" i="2" s="1"/>
  <c r="N2092" i="2"/>
  <c r="P2092" i="2" s="1"/>
  <c r="N2093" i="2"/>
  <c r="P2093" i="2" s="1"/>
  <c r="N2094" i="2"/>
  <c r="P2094" i="2" s="1"/>
  <c r="N2095" i="2"/>
  <c r="P2095" i="2" s="1"/>
  <c r="N2096" i="2"/>
  <c r="P2096" i="2" s="1"/>
  <c r="N2097" i="2"/>
  <c r="P2097" i="2" s="1"/>
  <c r="N2098" i="2"/>
  <c r="P2098" i="2" s="1"/>
  <c r="N2099" i="2"/>
  <c r="P2099" i="2" s="1"/>
  <c r="N2100" i="2"/>
  <c r="P2100" i="2" s="1"/>
  <c r="N2101" i="2"/>
  <c r="P2101" i="2" s="1"/>
  <c r="N2102" i="2"/>
  <c r="P2102" i="2" s="1"/>
  <c r="N2103" i="2"/>
  <c r="P2103" i="2" s="1"/>
  <c r="N2104" i="2"/>
  <c r="P2104" i="2" s="1"/>
  <c r="N2105" i="2"/>
  <c r="P2105" i="2" s="1"/>
  <c r="N2106" i="2"/>
  <c r="P2106" i="2" s="1"/>
  <c r="N2107" i="2"/>
  <c r="P2107" i="2" s="1"/>
  <c r="N2108" i="2"/>
  <c r="P2108" i="2" s="1"/>
  <c r="N2109" i="2"/>
  <c r="P2109" i="2" s="1"/>
  <c r="N2110" i="2"/>
  <c r="P2110" i="2" s="1"/>
  <c r="N2111" i="2"/>
  <c r="P2111" i="2" s="1"/>
  <c r="N2112" i="2"/>
  <c r="P2112" i="2" s="1"/>
  <c r="N2113" i="2"/>
  <c r="P2113" i="2" s="1"/>
  <c r="N2114" i="2"/>
  <c r="P2114" i="2" s="1"/>
  <c r="N2115" i="2"/>
  <c r="P2115" i="2" s="1"/>
  <c r="N2116" i="2"/>
  <c r="P2116" i="2" s="1"/>
  <c r="N2117" i="2"/>
  <c r="P2117" i="2" s="1"/>
  <c r="N2118" i="2"/>
  <c r="P2118" i="2" s="1"/>
  <c r="N2119" i="2"/>
  <c r="P2119" i="2" s="1"/>
  <c r="N2120" i="2"/>
  <c r="P2120" i="2" s="1"/>
  <c r="N2121" i="2"/>
  <c r="P2121" i="2" s="1"/>
  <c r="N2122" i="2"/>
  <c r="P2122" i="2" s="1"/>
  <c r="N2123" i="2"/>
  <c r="P2123" i="2" s="1"/>
  <c r="N2124" i="2"/>
  <c r="P2124" i="2" s="1"/>
  <c r="N2125" i="2"/>
  <c r="P2125" i="2" s="1"/>
  <c r="N2126" i="2"/>
  <c r="P2126" i="2" s="1"/>
  <c r="N2127" i="2"/>
  <c r="P2127" i="2" s="1"/>
  <c r="N2128" i="2"/>
  <c r="P2128" i="2" s="1"/>
  <c r="N2129" i="2"/>
  <c r="P2129" i="2" s="1"/>
  <c r="N2130" i="2"/>
  <c r="P2130" i="2" s="1"/>
  <c r="N2131" i="2"/>
  <c r="P2131" i="2" s="1"/>
  <c r="N2132" i="2"/>
  <c r="P2132" i="2" s="1"/>
  <c r="N2133" i="2"/>
  <c r="P2133" i="2" s="1"/>
  <c r="N2134" i="2"/>
  <c r="P2134" i="2" s="1"/>
  <c r="N2135" i="2"/>
  <c r="P2135" i="2" s="1"/>
  <c r="N2136" i="2"/>
  <c r="P2136" i="2" s="1"/>
  <c r="N2137" i="2"/>
  <c r="P2137" i="2" s="1"/>
  <c r="N2138" i="2"/>
  <c r="P2138" i="2" s="1"/>
  <c r="N2139" i="2"/>
  <c r="P2139" i="2" s="1"/>
  <c r="N2140" i="2"/>
  <c r="P2140" i="2" s="1"/>
  <c r="N2141" i="2"/>
  <c r="P2141" i="2" s="1"/>
  <c r="N2142" i="2"/>
  <c r="P2142" i="2" s="1"/>
  <c r="N2143" i="2"/>
  <c r="P2143" i="2" s="1"/>
  <c r="N2144" i="2"/>
  <c r="P2144" i="2" s="1"/>
  <c r="N2145" i="2"/>
  <c r="P2145" i="2" s="1"/>
  <c r="N2146" i="2"/>
  <c r="P2146" i="2" s="1"/>
  <c r="N2147" i="2"/>
  <c r="P2147" i="2" s="1"/>
  <c r="N2148" i="2"/>
  <c r="P2148" i="2" s="1"/>
  <c r="N2149" i="2"/>
  <c r="P2149" i="2" s="1"/>
  <c r="N2150" i="2"/>
  <c r="P2150" i="2" s="1"/>
  <c r="N2151" i="2"/>
  <c r="P2151" i="2" s="1"/>
  <c r="N2152" i="2"/>
  <c r="P2152" i="2" s="1"/>
  <c r="N2153" i="2"/>
  <c r="P2153" i="2" s="1"/>
  <c r="N2154" i="2"/>
  <c r="P2154" i="2" s="1"/>
  <c r="N2155" i="2"/>
  <c r="P2155" i="2" s="1"/>
  <c r="N2156" i="2"/>
  <c r="P2156" i="2" s="1"/>
  <c r="N2157" i="2"/>
  <c r="P2157" i="2" s="1"/>
  <c r="N2158" i="2"/>
  <c r="P2158" i="2" s="1"/>
  <c r="N2159" i="2"/>
  <c r="P2159" i="2" s="1"/>
  <c r="N2160" i="2"/>
  <c r="P2160" i="2" s="1"/>
  <c r="N2161" i="2"/>
  <c r="P2161" i="2" s="1"/>
  <c r="N2162" i="2"/>
  <c r="P2162" i="2" s="1"/>
  <c r="N2163" i="2"/>
  <c r="P2163" i="2" s="1"/>
  <c r="N2164" i="2"/>
  <c r="P2164" i="2" s="1"/>
  <c r="N2165" i="2"/>
  <c r="P2165" i="2" s="1"/>
  <c r="N2166" i="2"/>
  <c r="P2166" i="2" s="1"/>
  <c r="N2167" i="2"/>
  <c r="P2167" i="2" s="1"/>
  <c r="N2168" i="2"/>
  <c r="P2168" i="2" s="1"/>
  <c r="N2169" i="2"/>
  <c r="P2169" i="2" s="1"/>
  <c r="N2170" i="2"/>
  <c r="P2170" i="2" s="1"/>
  <c r="N2171" i="2"/>
  <c r="P2171" i="2" s="1"/>
  <c r="N2172" i="2"/>
  <c r="P2172" i="2" s="1"/>
  <c r="N2173" i="2"/>
  <c r="P2173" i="2" s="1"/>
  <c r="N2174" i="2"/>
  <c r="P2174" i="2" s="1"/>
  <c r="N2175" i="2"/>
  <c r="P2175" i="2" s="1"/>
  <c r="N2176" i="2"/>
  <c r="P2176" i="2" s="1"/>
  <c r="N2177" i="2"/>
  <c r="P2177" i="2" s="1"/>
  <c r="N2178" i="2"/>
  <c r="P2178" i="2" s="1"/>
  <c r="N2179" i="2"/>
  <c r="P2179" i="2" s="1"/>
  <c r="N2180" i="2"/>
  <c r="P2180" i="2" s="1"/>
  <c r="N2181" i="2"/>
  <c r="P2181" i="2" s="1"/>
  <c r="N2182" i="2"/>
  <c r="P2182" i="2" s="1"/>
  <c r="N2183" i="2"/>
  <c r="P2183" i="2" s="1"/>
  <c r="N2184" i="2"/>
  <c r="P2184" i="2" s="1"/>
  <c r="N2185" i="2"/>
  <c r="P2185" i="2" s="1"/>
  <c r="N2186" i="2"/>
  <c r="P2186" i="2" s="1"/>
  <c r="N2187" i="2"/>
  <c r="P2187" i="2" s="1"/>
  <c r="N2188" i="2"/>
  <c r="P2188" i="2" s="1"/>
  <c r="N2189" i="2"/>
  <c r="P2189" i="2" s="1"/>
  <c r="N2190" i="2"/>
  <c r="P2190" i="2" s="1"/>
  <c r="N2191" i="2"/>
  <c r="P2191" i="2" s="1"/>
  <c r="N2192" i="2"/>
  <c r="P2192" i="2" s="1"/>
  <c r="N2193" i="2"/>
  <c r="P2193" i="2" s="1"/>
  <c r="N2194" i="2"/>
  <c r="P2194" i="2" s="1"/>
  <c r="N2195" i="2"/>
  <c r="P2195" i="2" s="1"/>
  <c r="N2196" i="2"/>
  <c r="P2196" i="2" s="1"/>
  <c r="N2197" i="2"/>
  <c r="P2197" i="2" s="1"/>
  <c r="N2198" i="2"/>
  <c r="P2198" i="2" s="1"/>
  <c r="N2199" i="2"/>
  <c r="P2199" i="2" s="1"/>
  <c r="N2200" i="2"/>
  <c r="P2200" i="2" s="1"/>
  <c r="N2201" i="2"/>
  <c r="P2201" i="2" s="1"/>
  <c r="N2202" i="2"/>
  <c r="P2202" i="2" s="1"/>
  <c r="N2203" i="2"/>
  <c r="P2203" i="2" s="1"/>
  <c r="N2204" i="2"/>
  <c r="P2204" i="2" s="1"/>
  <c r="N2205" i="2"/>
  <c r="P2205" i="2" s="1"/>
  <c r="N2206" i="2"/>
  <c r="P2206" i="2" s="1"/>
  <c r="N2207" i="2"/>
  <c r="P2207" i="2" s="1"/>
  <c r="N2208" i="2"/>
  <c r="P2208" i="2" s="1"/>
  <c r="N2209" i="2"/>
  <c r="P2209" i="2" s="1"/>
  <c r="N2210" i="2"/>
  <c r="P2210" i="2" s="1"/>
  <c r="N2211" i="2"/>
  <c r="P2211" i="2" s="1"/>
  <c r="N2212" i="2"/>
  <c r="P2212" i="2" s="1"/>
  <c r="N2213" i="2"/>
  <c r="P2213" i="2" s="1"/>
  <c r="N2214" i="2"/>
  <c r="P2214" i="2" s="1"/>
  <c r="N2215" i="2"/>
  <c r="P2215" i="2" s="1"/>
  <c r="N2216" i="2"/>
  <c r="P2216" i="2" s="1"/>
  <c r="N2217" i="2"/>
  <c r="P2217" i="2" s="1"/>
  <c r="N2218" i="2"/>
  <c r="P2218" i="2" s="1"/>
  <c r="N2219" i="2"/>
  <c r="P2219" i="2" s="1"/>
  <c r="N2220" i="2"/>
  <c r="P2220" i="2" s="1"/>
  <c r="N2221" i="2"/>
  <c r="P2221" i="2" s="1"/>
  <c r="N2222" i="2"/>
  <c r="P2222" i="2" s="1"/>
  <c r="N2223" i="2"/>
  <c r="P2223" i="2" s="1"/>
  <c r="N2224" i="2"/>
  <c r="P2224" i="2" s="1"/>
  <c r="N2225" i="2"/>
  <c r="P2225" i="2" s="1"/>
  <c r="N2226" i="2"/>
  <c r="P2226" i="2" s="1"/>
  <c r="N2227" i="2"/>
  <c r="P2227" i="2" s="1"/>
  <c r="N2228" i="2"/>
  <c r="P2228" i="2" s="1"/>
  <c r="N2229" i="2"/>
  <c r="P2229" i="2" s="1"/>
  <c r="N2230" i="2"/>
  <c r="P2230" i="2" s="1"/>
  <c r="N2231" i="2"/>
  <c r="P2231" i="2" s="1"/>
  <c r="N2232" i="2"/>
  <c r="P2232" i="2" s="1"/>
  <c r="N2233" i="2"/>
  <c r="P2233" i="2" s="1"/>
  <c r="N2234" i="2"/>
  <c r="P2234" i="2" s="1"/>
  <c r="N2235" i="2"/>
  <c r="P2235" i="2" s="1"/>
  <c r="N2236" i="2"/>
  <c r="P2236" i="2" s="1"/>
  <c r="N2237" i="2"/>
  <c r="P2237" i="2" s="1"/>
  <c r="N2238" i="2"/>
  <c r="P2238" i="2" s="1"/>
  <c r="N2239" i="2"/>
  <c r="P2239" i="2" s="1"/>
  <c r="N2240" i="2"/>
  <c r="P2240" i="2" s="1"/>
  <c r="N2241" i="2"/>
  <c r="P2241" i="2" s="1"/>
  <c r="N2242" i="2"/>
  <c r="P2242" i="2" s="1"/>
  <c r="N2243" i="2"/>
  <c r="P2243" i="2" s="1"/>
  <c r="N2244" i="2"/>
  <c r="P2244" i="2" s="1"/>
  <c r="N2245" i="2"/>
  <c r="P2245" i="2" s="1"/>
  <c r="N2246" i="2"/>
  <c r="P2246" i="2" s="1"/>
  <c r="N2247" i="2"/>
  <c r="P2247" i="2" s="1"/>
  <c r="N2248" i="2"/>
  <c r="P2248" i="2" s="1"/>
  <c r="N2249" i="2"/>
  <c r="P2249" i="2" s="1"/>
  <c r="N2250" i="2"/>
  <c r="P2250" i="2" s="1"/>
  <c r="N2251" i="2"/>
  <c r="P2251" i="2" s="1"/>
  <c r="N2252" i="2"/>
  <c r="P2252" i="2" s="1"/>
  <c r="N2253" i="2"/>
  <c r="P2253" i="2" s="1"/>
  <c r="N2254" i="2"/>
  <c r="P2254" i="2" s="1"/>
  <c r="N2255" i="2"/>
  <c r="P2255" i="2" s="1"/>
  <c r="N2256" i="2"/>
  <c r="P2256" i="2" s="1"/>
  <c r="N2257" i="2"/>
  <c r="P2257" i="2" s="1"/>
  <c r="N2258" i="2"/>
  <c r="P2258" i="2" s="1"/>
  <c r="N2259" i="2"/>
  <c r="P2259" i="2" s="1"/>
  <c r="N2260" i="2"/>
  <c r="P2260" i="2" s="1"/>
  <c r="N2261" i="2"/>
  <c r="P2261" i="2" s="1"/>
  <c r="N2262" i="2"/>
  <c r="P2262" i="2" s="1"/>
  <c r="N2263" i="2"/>
  <c r="P2263" i="2" s="1"/>
  <c r="N2264" i="2"/>
  <c r="P2264" i="2" s="1"/>
  <c r="N2265" i="2"/>
  <c r="P2265" i="2" s="1"/>
  <c r="N2266" i="2"/>
  <c r="P2266" i="2" s="1"/>
  <c r="N2267" i="2"/>
  <c r="P2267" i="2" s="1"/>
  <c r="N2268" i="2"/>
  <c r="P2268" i="2" s="1"/>
  <c r="N2269" i="2"/>
  <c r="P2269" i="2" s="1"/>
  <c r="N2270" i="2"/>
  <c r="P2270" i="2" s="1"/>
  <c r="N2271" i="2"/>
  <c r="P2271" i="2" s="1"/>
  <c r="N2272" i="2"/>
  <c r="P2272" i="2" s="1"/>
  <c r="N2273" i="2"/>
  <c r="P2273" i="2" s="1"/>
  <c r="N2274" i="2"/>
  <c r="P2274" i="2" s="1"/>
  <c r="N2275" i="2"/>
  <c r="P2275" i="2" s="1"/>
  <c r="N2276" i="2"/>
  <c r="P2276" i="2" s="1"/>
  <c r="N2277" i="2"/>
  <c r="P2277" i="2" s="1"/>
  <c r="N2278" i="2"/>
  <c r="P2278" i="2" s="1"/>
  <c r="N2279" i="2"/>
  <c r="P2279" i="2" s="1"/>
  <c r="N2280" i="2"/>
  <c r="P2280" i="2" s="1"/>
  <c r="N2281" i="2"/>
  <c r="P2281" i="2" s="1"/>
  <c r="N2282" i="2"/>
  <c r="P2282" i="2" s="1"/>
  <c r="N2283" i="2"/>
  <c r="P2283" i="2" s="1"/>
  <c r="N2284" i="2"/>
  <c r="P2284" i="2" s="1"/>
  <c r="N2285" i="2"/>
  <c r="P2285" i="2" s="1"/>
  <c r="N2286" i="2"/>
  <c r="P2286" i="2" s="1"/>
  <c r="N2287" i="2"/>
  <c r="P2287" i="2" s="1"/>
  <c r="N2288" i="2"/>
  <c r="P2288" i="2" s="1"/>
  <c r="N2289" i="2"/>
  <c r="P2289" i="2" s="1"/>
  <c r="N2290" i="2"/>
  <c r="P2290" i="2" s="1"/>
  <c r="N2291" i="2"/>
  <c r="P2291" i="2" s="1"/>
  <c r="N2292" i="2"/>
  <c r="P2292" i="2" s="1"/>
  <c r="N2293" i="2"/>
  <c r="P2293" i="2" s="1"/>
  <c r="N2294" i="2"/>
  <c r="P2294" i="2" s="1"/>
  <c r="N2295" i="2"/>
  <c r="P2295" i="2" s="1"/>
  <c r="N2296" i="2"/>
  <c r="P2296" i="2" s="1"/>
  <c r="N2297" i="2"/>
  <c r="P2297" i="2" s="1"/>
  <c r="N2298" i="2"/>
  <c r="P2298" i="2" s="1"/>
  <c r="N2299" i="2"/>
  <c r="P2299" i="2" s="1"/>
  <c r="N2300" i="2"/>
  <c r="P2300" i="2" s="1"/>
  <c r="N2301" i="2"/>
  <c r="P2301" i="2" s="1"/>
  <c r="N2302" i="2"/>
  <c r="P2302" i="2" s="1"/>
  <c r="N2303" i="2"/>
  <c r="P2303" i="2" s="1"/>
  <c r="N2304" i="2"/>
  <c r="P2304" i="2" s="1"/>
  <c r="N2305" i="2"/>
  <c r="P2305" i="2" s="1"/>
  <c r="N2306" i="2"/>
  <c r="P2306" i="2" s="1"/>
  <c r="N2307" i="2"/>
  <c r="P2307" i="2" s="1"/>
  <c r="N2308" i="2"/>
  <c r="P2308" i="2" s="1"/>
  <c r="N2309" i="2"/>
  <c r="P2309" i="2" s="1"/>
  <c r="N2310" i="2"/>
  <c r="P2310" i="2" s="1"/>
  <c r="N2311" i="2"/>
  <c r="P2311" i="2" s="1"/>
  <c r="N2312" i="2"/>
  <c r="P2312" i="2" s="1"/>
  <c r="N2313" i="2"/>
  <c r="P2313" i="2" s="1"/>
  <c r="N2314" i="2"/>
  <c r="P2314" i="2" s="1"/>
  <c r="N2315" i="2"/>
  <c r="P2315" i="2" s="1"/>
  <c r="N2316" i="2"/>
  <c r="P2316" i="2" s="1"/>
  <c r="N2317" i="2"/>
  <c r="P2317" i="2" s="1"/>
  <c r="N2318" i="2"/>
  <c r="P2318" i="2" s="1"/>
  <c r="N2319" i="2"/>
  <c r="P2319" i="2" s="1"/>
  <c r="N2320" i="2"/>
  <c r="P2320" i="2" s="1"/>
  <c r="N2321" i="2"/>
  <c r="P2321" i="2" s="1"/>
  <c r="N2322" i="2"/>
  <c r="P2322" i="2" s="1"/>
  <c r="N2323" i="2"/>
  <c r="P2323" i="2" s="1"/>
  <c r="N2324" i="2"/>
  <c r="P2324" i="2" s="1"/>
  <c r="N2325" i="2"/>
  <c r="P2325" i="2" s="1"/>
  <c r="N2326" i="2"/>
  <c r="P2326" i="2" s="1"/>
  <c r="N2327" i="2"/>
  <c r="P2327" i="2" s="1"/>
  <c r="N2328" i="2"/>
  <c r="P2328" i="2" s="1"/>
  <c r="N2329" i="2"/>
  <c r="P2329" i="2" s="1"/>
  <c r="N2330" i="2"/>
  <c r="P2330" i="2" s="1"/>
  <c r="N2331" i="2"/>
  <c r="P2331" i="2" s="1"/>
  <c r="N2332" i="2"/>
  <c r="P2332" i="2" s="1"/>
  <c r="N2333" i="2"/>
  <c r="P2333" i="2" s="1"/>
  <c r="N2334" i="2"/>
  <c r="P2334" i="2" s="1"/>
  <c r="N2335" i="2"/>
  <c r="P2335" i="2" s="1"/>
  <c r="N2336" i="2"/>
  <c r="P2336" i="2" s="1"/>
  <c r="N2337" i="2"/>
  <c r="P2337" i="2" s="1"/>
  <c r="N2338" i="2"/>
  <c r="P2338" i="2" s="1"/>
  <c r="N2339" i="2"/>
  <c r="P2339" i="2" s="1"/>
  <c r="N2340" i="2"/>
  <c r="P2340" i="2" s="1"/>
  <c r="N2341" i="2"/>
  <c r="P2341" i="2" s="1"/>
  <c r="N2342" i="2"/>
  <c r="P2342" i="2" s="1"/>
  <c r="N2343" i="2"/>
  <c r="P2343" i="2" s="1"/>
  <c r="N2344" i="2"/>
  <c r="P2344" i="2" s="1"/>
  <c r="N2345" i="2"/>
  <c r="P2345" i="2" s="1"/>
  <c r="N2346" i="2"/>
  <c r="P2346" i="2" s="1"/>
  <c r="N2347" i="2"/>
  <c r="P2347" i="2" s="1"/>
  <c r="N2348" i="2"/>
  <c r="P2348" i="2" s="1"/>
  <c r="N2349" i="2"/>
  <c r="P2349" i="2" s="1"/>
  <c r="N2350" i="2"/>
  <c r="P2350" i="2" s="1"/>
  <c r="N2351" i="2"/>
  <c r="P2351" i="2" s="1"/>
  <c r="N2352" i="2"/>
  <c r="P2352" i="2" s="1"/>
  <c r="N2353" i="2"/>
  <c r="P2353" i="2" s="1"/>
  <c r="N2354" i="2"/>
  <c r="P2354" i="2" s="1"/>
  <c r="N2355" i="2"/>
  <c r="P2355" i="2" s="1"/>
  <c r="N2356" i="2"/>
  <c r="P2356" i="2" s="1"/>
  <c r="N2357" i="2"/>
  <c r="P2357" i="2" s="1"/>
  <c r="N2358" i="2"/>
  <c r="P2358" i="2" s="1"/>
  <c r="N2359" i="2"/>
  <c r="P2359" i="2" s="1"/>
  <c r="N2360" i="2"/>
  <c r="P2360" i="2" s="1"/>
  <c r="N2361" i="2"/>
  <c r="P2361" i="2" s="1"/>
  <c r="N2362" i="2"/>
  <c r="P2362" i="2" s="1"/>
  <c r="N2363" i="2"/>
  <c r="P2363" i="2" s="1"/>
  <c r="N2364" i="2"/>
  <c r="P2364" i="2" s="1"/>
  <c r="N2365" i="2"/>
  <c r="P2365" i="2" s="1"/>
  <c r="N2366" i="2"/>
  <c r="P2366" i="2" s="1"/>
  <c r="N2367" i="2"/>
  <c r="P2367" i="2" s="1"/>
  <c r="N2368" i="2"/>
  <c r="P2368" i="2" s="1"/>
  <c r="N2369" i="2"/>
  <c r="P2369" i="2" s="1"/>
  <c r="N2370" i="2"/>
  <c r="P2370" i="2" s="1"/>
  <c r="N2371" i="2"/>
  <c r="P2371" i="2" s="1"/>
  <c r="N2372" i="2"/>
  <c r="P2372" i="2" s="1"/>
  <c r="N2373" i="2"/>
  <c r="P2373" i="2" s="1"/>
  <c r="N2374" i="2"/>
  <c r="P2374" i="2" s="1"/>
  <c r="N2375" i="2"/>
  <c r="P2375" i="2" s="1"/>
  <c r="N2376" i="2"/>
  <c r="P2376" i="2" s="1"/>
  <c r="N2377" i="2"/>
  <c r="P2377" i="2" s="1"/>
  <c r="N2378" i="2"/>
  <c r="P2378" i="2" s="1"/>
  <c r="N2379" i="2"/>
  <c r="P2379" i="2" s="1"/>
  <c r="N2380" i="2"/>
  <c r="P2380" i="2" s="1"/>
  <c r="N2381" i="2"/>
  <c r="P2381" i="2" s="1"/>
  <c r="N2382" i="2"/>
  <c r="P2382" i="2" s="1"/>
  <c r="N2383" i="2"/>
  <c r="P2383" i="2" s="1"/>
  <c r="N2384" i="2"/>
  <c r="P2384" i="2" s="1"/>
  <c r="N2385" i="2"/>
  <c r="P2385" i="2" s="1"/>
  <c r="N2386" i="2"/>
  <c r="P2386" i="2" s="1"/>
  <c r="N2387" i="2"/>
  <c r="P2387" i="2" s="1"/>
  <c r="N2388" i="2"/>
  <c r="P2388" i="2" s="1"/>
  <c r="N2389" i="2"/>
  <c r="P2389" i="2" s="1"/>
  <c r="N2390" i="2"/>
  <c r="P2390" i="2" s="1"/>
  <c r="N2391" i="2"/>
  <c r="P2391" i="2" s="1"/>
  <c r="N2392" i="2"/>
  <c r="P2392" i="2" s="1"/>
  <c r="N2393" i="2"/>
  <c r="P2393" i="2" s="1"/>
  <c r="N2394" i="2"/>
  <c r="P2394" i="2" s="1"/>
  <c r="N2395" i="2"/>
  <c r="P2395" i="2" s="1"/>
  <c r="N2396" i="2"/>
  <c r="P2396" i="2" s="1"/>
  <c r="N2397" i="2"/>
  <c r="P2397" i="2" s="1"/>
  <c r="N2398" i="2"/>
  <c r="P2398" i="2" s="1"/>
  <c r="N2399" i="2"/>
  <c r="P2399" i="2" s="1"/>
  <c r="N2400" i="2"/>
  <c r="P2400" i="2" s="1"/>
  <c r="N2401" i="2"/>
  <c r="P2401" i="2" s="1"/>
  <c r="N2402" i="2"/>
  <c r="P2402" i="2" s="1"/>
  <c r="N2403" i="2"/>
  <c r="P2403" i="2" s="1"/>
  <c r="N2404" i="2"/>
  <c r="P2404" i="2" s="1"/>
  <c r="N2405" i="2"/>
  <c r="P2405" i="2" s="1"/>
  <c r="N2406" i="2"/>
  <c r="P2406" i="2" s="1"/>
  <c r="N2407" i="2"/>
  <c r="P2407" i="2" s="1"/>
  <c r="N2408" i="2"/>
  <c r="P2408" i="2" s="1"/>
  <c r="N2409" i="2"/>
  <c r="P2409" i="2" s="1"/>
  <c r="N2410" i="2"/>
  <c r="P2410" i="2" s="1"/>
  <c r="N2411" i="2"/>
  <c r="P2411" i="2" s="1"/>
  <c r="N2412" i="2"/>
  <c r="P2412" i="2" s="1"/>
  <c r="N2413" i="2"/>
  <c r="P2413" i="2" s="1"/>
  <c r="N2414" i="2"/>
  <c r="P2414" i="2" s="1"/>
  <c r="N2415" i="2"/>
  <c r="P2415" i="2" s="1"/>
  <c r="N2416" i="2"/>
  <c r="P2416" i="2" s="1"/>
  <c r="N2417" i="2"/>
  <c r="P2417" i="2" s="1"/>
  <c r="N2418" i="2"/>
  <c r="P2418" i="2" s="1"/>
  <c r="N2419" i="2"/>
  <c r="P2419" i="2" s="1"/>
  <c r="N2420" i="2"/>
  <c r="P2420" i="2" s="1"/>
  <c r="N2421" i="2"/>
  <c r="P2421" i="2" s="1"/>
  <c r="N2422" i="2"/>
  <c r="P2422" i="2" s="1"/>
  <c r="N2423" i="2"/>
  <c r="P2423" i="2" s="1"/>
  <c r="N2424" i="2"/>
  <c r="P2424" i="2" s="1"/>
  <c r="N2425" i="2"/>
  <c r="P2425" i="2" s="1"/>
  <c r="N2426" i="2"/>
  <c r="P2426" i="2" s="1"/>
  <c r="N2427" i="2"/>
  <c r="P2427" i="2" s="1"/>
  <c r="N2428" i="2"/>
  <c r="P2428" i="2" s="1"/>
  <c r="N2429" i="2"/>
  <c r="P2429" i="2" s="1"/>
  <c r="N2430" i="2"/>
  <c r="P2430" i="2" s="1"/>
  <c r="N2431" i="2"/>
  <c r="P2431" i="2" s="1"/>
  <c r="N2432" i="2"/>
  <c r="P2432" i="2" s="1"/>
  <c r="N2433" i="2"/>
  <c r="P2433" i="2" s="1"/>
  <c r="N2434" i="2"/>
  <c r="P2434" i="2" s="1"/>
  <c r="N2435" i="2"/>
  <c r="P2435" i="2" s="1"/>
  <c r="N2436" i="2"/>
  <c r="P2436" i="2" s="1"/>
  <c r="N2437" i="2"/>
  <c r="P2437" i="2" s="1"/>
  <c r="N2438" i="2"/>
  <c r="P2438" i="2" s="1"/>
  <c r="N2439" i="2"/>
  <c r="P2439" i="2" s="1"/>
  <c r="N2440" i="2"/>
  <c r="P2440" i="2" s="1"/>
  <c r="N2441" i="2"/>
  <c r="P2441" i="2" s="1"/>
  <c r="N2442" i="2"/>
  <c r="P2442" i="2" s="1"/>
  <c r="N2443" i="2"/>
  <c r="P2443" i="2" s="1"/>
  <c r="N2444" i="2"/>
  <c r="P2444" i="2" s="1"/>
  <c r="N2445" i="2"/>
  <c r="P2445" i="2" s="1"/>
  <c r="N2446" i="2"/>
  <c r="P2446" i="2" s="1"/>
  <c r="N2447" i="2"/>
  <c r="P2447" i="2" s="1"/>
  <c r="N2448" i="2"/>
  <c r="P2448" i="2" s="1"/>
  <c r="N2449" i="2"/>
  <c r="P2449" i="2" s="1"/>
  <c r="N2450" i="2"/>
  <c r="P2450" i="2" s="1"/>
  <c r="N2451" i="2"/>
  <c r="P2451" i="2" s="1"/>
  <c r="N2452" i="2"/>
  <c r="P2452" i="2" s="1"/>
  <c r="N2453" i="2"/>
  <c r="P2453" i="2" s="1"/>
  <c r="N2454" i="2"/>
  <c r="P2454" i="2" s="1"/>
  <c r="N2455" i="2"/>
  <c r="P2455" i="2" s="1"/>
  <c r="N2456" i="2"/>
  <c r="P2456" i="2" s="1"/>
  <c r="N2457" i="2"/>
  <c r="P2457" i="2" s="1"/>
  <c r="N2458" i="2"/>
  <c r="P2458" i="2" s="1"/>
  <c r="N2459" i="2"/>
  <c r="P2459" i="2" s="1"/>
  <c r="N2460" i="2"/>
  <c r="P2460" i="2" s="1"/>
  <c r="N2461" i="2"/>
  <c r="P2461" i="2" s="1"/>
  <c r="N2462" i="2"/>
  <c r="P2462" i="2" s="1"/>
  <c r="N2463" i="2"/>
  <c r="P2463" i="2" s="1"/>
  <c r="N2464" i="2"/>
  <c r="P2464" i="2" s="1"/>
  <c r="N2465" i="2"/>
  <c r="P2465" i="2" s="1"/>
  <c r="N2466" i="2"/>
  <c r="P2466" i="2" s="1"/>
  <c r="N2467" i="2"/>
  <c r="P2467" i="2" s="1"/>
  <c r="N2468" i="2"/>
  <c r="P2468" i="2" s="1"/>
  <c r="N2469" i="2"/>
  <c r="P2469" i="2" s="1"/>
  <c r="N2470" i="2"/>
  <c r="P2470" i="2" s="1"/>
  <c r="N2471" i="2"/>
  <c r="P2471" i="2" s="1"/>
  <c r="N2472" i="2"/>
  <c r="P2472" i="2" s="1"/>
  <c r="N2473" i="2"/>
  <c r="P2473" i="2" s="1"/>
  <c r="N2474" i="2"/>
  <c r="P2474" i="2" s="1"/>
  <c r="N2475" i="2"/>
  <c r="P2475" i="2" s="1"/>
  <c r="N2476" i="2"/>
  <c r="P2476" i="2" s="1"/>
  <c r="N2477" i="2"/>
  <c r="P2477" i="2" s="1"/>
  <c r="N2478" i="2"/>
  <c r="P2478" i="2" s="1"/>
  <c r="N2479" i="2"/>
  <c r="P2479" i="2" s="1"/>
  <c r="N2480" i="2"/>
  <c r="P2480" i="2" s="1"/>
  <c r="N2481" i="2"/>
  <c r="P2481" i="2" s="1"/>
  <c r="N2482" i="2"/>
  <c r="P2482" i="2" s="1"/>
  <c r="N2483" i="2"/>
  <c r="P2483" i="2" s="1"/>
  <c r="N2484" i="2"/>
  <c r="P2484" i="2" s="1"/>
  <c r="N2485" i="2"/>
  <c r="P2485" i="2" s="1"/>
  <c r="N2486" i="2"/>
  <c r="P2486" i="2" s="1"/>
  <c r="N2487" i="2"/>
  <c r="P2487" i="2" s="1"/>
  <c r="N2488" i="2"/>
  <c r="P2488" i="2" s="1"/>
  <c r="N2489" i="2"/>
  <c r="P2489" i="2" s="1"/>
  <c r="N2490" i="2"/>
  <c r="P2490" i="2" s="1"/>
  <c r="N2491" i="2"/>
  <c r="P2491" i="2" s="1"/>
  <c r="N2492" i="2"/>
  <c r="P2492" i="2" s="1"/>
  <c r="N2493" i="2"/>
  <c r="P2493" i="2" s="1"/>
  <c r="N2494" i="2"/>
  <c r="P2494" i="2" s="1"/>
  <c r="N2495" i="2"/>
  <c r="P2495" i="2" s="1"/>
  <c r="N2496" i="2"/>
  <c r="P2496" i="2" s="1"/>
  <c r="N2497" i="2"/>
  <c r="P2497" i="2" s="1"/>
  <c r="N2498" i="2"/>
  <c r="P2498" i="2" s="1"/>
  <c r="N2499" i="2"/>
  <c r="P2499" i="2" s="1"/>
  <c r="N2500" i="2"/>
  <c r="P2500" i="2" s="1"/>
  <c r="N2501" i="2"/>
  <c r="P2501" i="2" s="1"/>
  <c r="N2502" i="2"/>
  <c r="P2502" i="2" s="1"/>
  <c r="N2503" i="2"/>
  <c r="P2503" i="2" s="1"/>
  <c r="N2504" i="2"/>
  <c r="P2504" i="2" s="1"/>
  <c r="N2505" i="2"/>
  <c r="P2505" i="2" s="1"/>
  <c r="N2506" i="2"/>
  <c r="P2506" i="2" s="1"/>
  <c r="N2507" i="2"/>
  <c r="P2507" i="2" s="1"/>
  <c r="N2508" i="2"/>
  <c r="P2508" i="2" s="1"/>
  <c r="N2509" i="2"/>
  <c r="P2509" i="2" s="1"/>
  <c r="N2510" i="2"/>
  <c r="P2510" i="2" s="1"/>
  <c r="N2511" i="2"/>
  <c r="P2511" i="2" s="1"/>
  <c r="N2512" i="2"/>
  <c r="P2512" i="2" s="1"/>
  <c r="N2513" i="2"/>
  <c r="P2513" i="2" s="1"/>
  <c r="N2514" i="2"/>
  <c r="P2514" i="2" s="1"/>
  <c r="N2515" i="2"/>
  <c r="P2515" i="2" s="1"/>
  <c r="N2516" i="2"/>
  <c r="P2516" i="2" s="1"/>
  <c r="N2517" i="2"/>
  <c r="P2517" i="2" s="1"/>
  <c r="N2518" i="2"/>
  <c r="P2518" i="2" s="1"/>
  <c r="N2519" i="2"/>
  <c r="P2519" i="2" s="1"/>
  <c r="N2520" i="2"/>
  <c r="P2520" i="2" s="1"/>
  <c r="N2521" i="2"/>
  <c r="P2521" i="2" s="1"/>
  <c r="N2522" i="2"/>
  <c r="P2522" i="2" s="1"/>
  <c r="N2523" i="2"/>
  <c r="P2523" i="2" s="1"/>
  <c r="N2524" i="2"/>
  <c r="P2524" i="2" s="1"/>
  <c r="N2525" i="2"/>
  <c r="P2525" i="2" s="1"/>
  <c r="N2526" i="2"/>
  <c r="P2526" i="2" s="1"/>
  <c r="N2527" i="2"/>
  <c r="P2527" i="2" s="1"/>
  <c r="N2528" i="2"/>
  <c r="P2528" i="2" s="1"/>
  <c r="N2529" i="2"/>
  <c r="P2529" i="2" s="1"/>
  <c r="N2530" i="2"/>
  <c r="P2530" i="2" s="1"/>
  <c r="N2531" i="2"/>
  <c r="P2531" i="2" s="1"/>
  <c r="N2532" i="2"/>
  <c r="P2532" i="2" s="1"/>
  <c r="N2533" i="2"/>
  <c r="P2533" i="2" s="1"/>
  <c r="N2534" i="2"/>
  <c r="P2534" i="2" s="1"/>
  <c r="N2535" i="2"/>
  <c r="P2535" i="2" s="1"/>
  <c r="N2536" i="2"/>
  <c r="P2536" i="2" s="1"/>
  <c r="N2537" i="2"/>
  <c r="P2537" i="2" s="1"/>
  <c r="N2538" i="2"/>
  <c r="P2538" i="2" s="1"/>
  <c r="N2539" i="2"/>
  <c r="P2539" i="2" s="1"/>
  <c r="N2540" i="2"/>
  <c r="P2540" i="2" s="1"/>
  <c r="N2541" i="2"/>
  <c r="P2541" i="2" s="1"/>
  <c r="N2542" i="2"/>
  <c r="P2542" i="2" s="1"/>
  <c r="N2543" i="2"/>
  <c r="P2543" i="2" s="1"/>
  <c r="N2544" i="2"/>
  <c r="P2544" i="2" s="1"/>
  <c r="N2545" i="2"/>
  <c r="P2545" i="2" s="1"/>
  <c r="N2546" i="2"/>
  <c r="P2546" i="2" s="1"/>
  <c r="N2547" i="2"/>
  <c r="P2547" i="2" s="1"/>
  <c r="N2548" i="2"/>
  <c r="P2548" i="2" s="1"/>
  <c r="N2549" i="2"/>
  <c r="P2549" i="2" s="1"/>
  <c r="N2550" i="2"/>
  <c r="P2550" i="2" s="1"/>
  <c r="N2551" i="2"/>
  <c r="P2551" i="2" s="1"/>
  <c r="N2552" i="2"/>
  <c r="P2552" i="2" s="1"/>
  <c r="N2553" i="2"/>
  <c r="P2553" i="2" s="1"/>
  <c r="N2554" i="2"/>
  <c r="P2554" i="2" s="1"/>
  <c r="N2555" i="2"/>
  <c r="P2555" i="2" s="1"/>
  <c r="N2556" i="2"/>
  <c r="P2556" i="2" s="1"/>
  <c r="N2557" i="2"/>
  <c r="P2557" i="2" s="1"/>
  <c r="N2558" i="2"/>
  <c r="P2558" i="2" s="1"/>
  <c r="N2559" i="2"/>
  <c r="P2559" i="2" s="1"/>
  <c r="N2560" i="2"/>
  <c r="P2560" i="2" s="1"/>
  <c r="N2561" i="2"/>
  <c r="P2561" i="2" s="1"/>
  <c r="N2562" i="2"/>
  <c r="P2562" i="2" s="1"/>
  <c r="N2563" i="2"/>
  <c r="P2563" i="2" s="1"/>
  <c r="N2564" i="2"/>
  <c r="P2564" i="2" s="1"/>
  <c r="N2565" i="2"/>
  <c r="P2565" i="2" s="1"/>
  <c r="N2566" i="2"/>
  <c r="P2566" i="2" s="1"/>
  <c r="N2567" i="2"/>
  <c r="P2567" i="2" s="1"/>
  <c r="N2568" i="2"/>
  <c r="P2568" i="2" s="1"/>
  <c r="N2569" i="2"/>
  <c r="P2569" i="2" s="1"/>
  <c r="N2570" i="2"/>
  <c r="P2570" i="2" s="1"/>
  <c r="N2571" i="2"/>
  <c r="P2571" i="2" s="1"/>
  <c r="N2572" i="2"/>
  <c r="P2572" i="2" s="1"/>
  <c r="N2573" i="2"/>
  <c r="P2573" i="2" s="1"/>
  <c r="N2574" i="2"/>
  <c r="P2574" i="2" s="1"/>
  <c r="N2575" i="2"/>
  <c r="P2575" i="2" s="1"/>
  <c r="N2576" i="2"/>
  <c r="P2576" i="2" s="1"/>
  <c r="N2577" i="2"/>
  <c r="P2577" i="2" s="1"/>
  <c r="N2578" i="2"/>
  <c r="P2578" i="2" s="1"/>
  <c r="N2579" i="2"/>
  <c r="P2579" i="2" s="1"/>
  <c r="N2580" i="2"/>
  <c r="P2580" i="2" s="1"/>
  <c r="N2581" i="2"/>
  <c r="P2581" i="2" s="1"/>
  <c r="N2582" i="2"/>
  <c r="P2582" i="2" s="1"/>
  <c r="N2583" i="2"/>
  <c r="P2583" i="2" s="1"/>
  <c r="N2584" i="2"/>
  <c r="P2584" i="2" s="1"/>
  <c r="N2585" i="2"/>
  <c r="P2585" i="2" s="1"/>
  <c r="N2586" i="2"/>
  <c r="P2586" i="2" s="1"/>
  <c r="N2587" i="2"/>
  <c r="P2587" i="2" s="1"/>
  <c r="N2588" i="2"/>
  <c r="P2588" i="2" s="1"/>
  <c r="N2589" i="2"/>
  <c r="P2589" i="2" s="1"/>
  <c r="N2590" i="2"/>
  <c r="P2590" i="2" s="1"/>
  <c r="N2591" i="2"/>
  <c r="P2591" i="2" s="1"/>
  <c r="N2592" i="2"/>
  <c r="P2592" i="2" s="1"/>
  <c r="N2593" i="2"/>
  <c r="P2593" i="2" s="1"/>
  <c r="N2594" i="2"/>
  <c r="P2594" i="2" s="1"/>
  <c r="N2595" i="2"/>
  <c r="P2595" i="2" s="1"/>
  <c r="N2596" i="2"/>
  <c r="P2596" i="2" s="1"/>
  <c r="N2597" i="2"/>
  <c r="P2597" i="2" s="1"/>
  <c r="N2598" i="2"/>
  <c r="P2598" i="2" s="1"/>
  <c r="N2599" i="2"/>
  <c r="P2599" i="2" s="1"/>
  <c r="N2600" i="2"/>
  <c r="P2600" i="2" s="1"/>
  <c r="N2601" i="2"/>
  <c r="P2601" i="2" s="1"/>
  <c r="N2602" i="2"/>
  <c r="P2602" i="2" s="1"/>
  <c r="N2603" i="2"/>
  <c r="P2603" i="2" s="1"/>
  <c r="N2604" i="2"/>
  <c r="P2604" i="2" s="1"/>
  <c r="N2605" i="2"/>
  <c r="P2605" i="2" s="1"/>
  <c r="N2606" i="2"/>
  <c r="P2606" i="2" s="1"/>
  <c r="N2607" i="2"/>
  <c r="P2607" i="2" s="1"/>
  <c r="N2608" i="2"/>
  <c r="P2608" i="2" s="1"/>
  <c r="N2609" i="2"/>
  <c r="P2609" i="2" s="1"/>
  <c r="N2610" i="2"/>
  <c r="P2610" i="2" s="1"/>
  <c r="N2611" i="2"/>
  <c r="P2611" i="2" s="1"/>
  <c r="N2612" i="2"/>
  <c r="P2612" i="2" s="1"/>
  <c r="N2613" i="2"/>
  <c r="P2613" i="2" s="1"/>
  <c r="N2614" i="2"/>
  <c r="P2614" i="2" s="1"/>
  <c r="N2615" i="2"/>
  <c r="P2615" i="2" s="1"/>
  <c r="N2616" i="2"/>
  <c r="P2616" i="2" s="1"/>
  <c r="N2617" i="2"/>
  <c r="P2617" i="2" s="1"/>
  <c r="N2618" i="2"/>
  <c r="P2618" i="2" s="1"/>
  <c r="N2619" i="2"/>
  <c r="P2619" i="2" s="1"/>
  <c r="N2620" i="2"/>
  <c r="P2620" i="2" s="1"/>
  <c r="N2621" i="2"/>
  <c r="P2621" i="2" s="1"/>
  <c r="N2622" i="2"/>
  <c r="P2622" i="2" s="1"/>
  <c r="N2623" i="2"/>
  <c r="P2623" i="2" s="1"/>
  <c r="N2624" i="2"/>
  <c r="P2624" i="2" s="1"/>
  <c r="N2625" i="2"/>
  <c r="P2625" i="2" s="1"/>
  <c r="N2626" i="2"/>
  <c r="P2626" i="2" s="1"/>
  <c r="N2627" i="2"/>
  <c r="P2627" i="2" s="1"/>
  <c r="N2628" i="2"/>
  <c r="P2628" i="2" s="1"/>
  <c r="N2629" i="2"/>
  <c r="P2629" i="2" s="1"/>
  <c r="N2630" i="2"/>
  <c r="P2630" i="2" s="1"/>
  <c r="N2631" i="2"/>
  <c r="P2631" i="2" s="1"/>
  <c r="N2632" i="2"/>
  <c r="P2632" i="2" s="1"/>
  <c r="N2633" i="2"/>
  <c r="P2633" i="2" s="1"/>
  <c r="N2634" i="2"/>
  <c r="P2634" i="2" s="1"/>
  <c r="N2635" i="2"/>
  <c r="P2635" i="2" s="1"/>
  <c r="N2636" i="2"/>
  <c r="P2636" i="2" s="1"/>
  <c r="N2637" i="2"/>
  <c r="P2637" i="2" s="1"/>
  <c r="N2638" i="2"/>
  <c r="P2638" i="2" s="1"/>
  <c r="N2639" i="2"/>
  <c r="P2639" i="2" s="1"/>
  <c r="N2640" i="2"/>
  <c r="P2640" i="2" s="1"/>
  <c r="N2641" i="2"/>
  <c r="P2641" i="2" s="1"/>
  <c r="N2642" i="2"/>
  <c r="P2642" i="2" s="1"/>
  <c r="N2643" i="2"/>
  <c r="P2643" i="2" s="1"/>
  <c r="N2644" i="2"/>
  <c r="P2644" i="2" s="1"/>
  <c r="N2645" i="2"/>
  <c r="P2645" i="2" s="1"/>
  <c r="N2646" i="2"/>
  <c r="P2646" i="2" s="1"/>
  <c r="N2647" i="2"/>
  <c r="P2647" i="2" s="1"/>
  <c r="N2648" i="2"/>
  <c r="P2648" i="2" s="1"/>
  <c r="N2649" i="2"/>
  <c r="P2649" i="2" s="1"/>
  <c r="N2650" i="2"/>
  <c r="P2650" i="2" s="1"/>
  <c r="N2651" i="2"/>
  <c r="P2651" i="2" s="1"/>
  <c r="N2652" i="2"/>
  <c r="P2652" i="2" s="1"/>
  <c r="N2653" i="2"/>
  <c r="P2653" i="2" s="1"/>
  <c r="N2654" i="2"/>
  <c r="P2654" i="2" s="1"/>
  <c r="N2655" i="2"/>
  <c r="P2655" i="2" s="1"/>
  <c r="N2656" i="2"/>
  <c r="P2656" i="2" s="1"/>
  <c r="N2657" i="2"/>
  <c r="P2657" i="2" s="1"/>
  <c r="N2658" i="2"/>
  <c r="P2658" i="2" s="1"/>
  <c r="N2659" i="2"/>
  <c r="P2659" i="2" s="1"/>
  <c r="N2660" i="2"/>
  <c r="P2660" i="2" s="1"/>
  <c r="N2661" i="2"/>
  <c r="P2661" i="2" s="1"/>
  <c r="N2662" i="2"/>
  <c r="P2662" i="2" s="1"/>
  <c r="N2663" i="2"/>
  <c r="P2663" i="2" s="1"/>
  <c r="N2664" i="2"/>
  <c r="P2664" i="2" s="1"/>
  <c r="N2665" i="2"/>
  <c r="P2665" i="2" s="1"/>
  <c r="N2666" i="2"/>
  <c r="P2666" i="2" s="1"/>
  <c r="N2667" i="2"/>
  <c r="P2667" i="2" s="1"/>
  <c r="N2668" i="2"/>
  <c r="P2668" i="2" s="1"/>
  <c r="N2669" i="2"/>
  <c r="P2669" i="2" s="1"/>
  <c r="N2670" i="2"/>
  <c r="P2670" i="2" s="1"/>
  <c r="N2671" i="2"/>
  <c r="P2671" i="2" s="1"/>
  <c r="N2672" i="2"/>
  <c r="P2672" i="2" s="1"/>
  <c r="N2673" i="2"/>
  <c r="P2673" i="2" s="1"/>
  <c r="N2674" i="2"/>
  <c r="P2674" i="2" s="1"/>
  <c r="N2675" i="2"/>
  <c r="P2675" i="2" s="1"/>
  <c r="N2676" i="2"/>
  <c r="P2676" i="2" s="1"/>
  <c r="N2677" i="2"/>
  <c r="P2677" i="2" s="1"/>
  <c r="N2678" i="2"/>
  <c r="P2678" i="2" s="1"/>
  <c r="N2679" i="2"/>
  <c r="P2679" i="2" s="1"/>
  <c r="N2680" i="2"/>
  <c r="P2680" i="2" s="1"/>
  <c r="N2681" i="2"/>
  <c r="P2681" i="2" s="1"/>
  <c r="N2682" i="2"/>
  <c r="P2682" i="2" s="1"/>
  <c r="N2683" i="2"/>
  <c r="P2683" i="2" s="1"/>
  <c r="N2684" i="2"/>
  <c r="P2684" i="2" s="1"/>
  <c r="N2685" i="2"/>
  <c r="P2685" i="2" s="1"/>
  <c r="N2686" i="2"/>
  <c r="P2686" i="2" s="1"/>
  <c r="N2687" i="2"/>
  <c r="P2687" i="2" s="1"/>
  <c r="N2688" i="2"/>
  <c r="P2688" i="2" s="1"/>
  <c r="N2689" i="2"/>
  <c r="P2689" i="2" s="1"/>
  <c r="N2690" i="2"/>
  <c r="P2690" i="2" s="1"/>
  <c r="N2691" i="2"/>
  <c r="P2691" i="2" s="1"/>
  <c r="N2692" i="2"/>
  <c r="P2692" i="2" s="1"/>
  <c r="N2693" i="2"/>
  <c r="P2693" i="2" s="1"/>
  <c r="N2694" i="2"/>
  <c r="P2694" i="2" s="1"/>
  <c r="N2695" i="2"/>
  <c r="P2695" i="2" s="1"/>
  <c r="N2696" i="2"/>
  <c r="P2696" i="2" s="1"/>
  <c r="N2697" i="2"/>
  <c r="P2697" i="2" s="1"/>
  <c r="N2698" i="2"/>
  <c r="P2698" i="2" s="1"/>
  <c r="N2699" i="2"/>
  <c r="P2699" i="2" s="1"/>
  <c r="N2700" i="2"/>
  <c r="P2700" i="2" s="1"/>
  <c r="N2701" i="2"/>
  <c r="P2701" i="2" s="1"/>
  <c r="N2702" i="2"/>
  <c r="P2702" i="2" s="1"/>
  <c r="N2703" i="2"/>
  <c r="P2703" i="2" s="1"/>
  <c r="N2704" i="2"/>
  <c r="P2704" i="2" s="1"/>
  <c r="N2705" i="2"/>
  <c r="P2705" i="2" s="1"/>
  <c r="N2706" i="2"/>
  <c r="P2706" i="2" s="1"/>
  <c r="N2707" i="2"/>
  <c r="P2707" i="2" s="1"/>
  <c r="N2708" i="2"/>
  <c r="P2708" i="2" s="1"/>
  <c r="N2709" i="2"/>
  <c r="P2709" i="2" s="1"/>
  <c r="N2710" i="2"/>
  <c r="P2710" i="2" s="1"/>
  <c r="N2711" i="2"/>
  <c r="P2711" i="2" s="1"/>
  <c r="N2712" i="2"/>
  <c r="P2712" i="2" s="1"/>
  <c r="N2713" i="2"/>
  <c r="P2713" i="2" s="1"/>
  <c r="N2714" i="2"/>
  <c r="P2714" i="2" s="1"/>
  <c r="N2715" i="2"/>
  <c r="P2715" i="2" s="1"/>
  <c r="N2716" i="2"/>
  <c r="P2716" i="2" s="1"/>
  <c r="N2717" i="2"/>
  <c r="P2717" i="2" s="1"/>
  <c r="N2718" i="2"/>
  <c r="P2718" i="2" s="1"/>
  <c r="N2719" i="2"/>
  <c r="P2719" i="2" s="1"/>
  <c r="N2720" i="2"/>
  <c r="P2720" i="2" s="1"/>
  <c r="N2721" i="2"/>
  <c r="P2721" i="2" s="1"/>
  <c r="N2722" i="2"/>
  <c r="P2722" i="2" s="1"/>
  <c r="N2723" i="2"/>
  <c r="P2723" i="2" s="1"/>
  <c r="N2724" i="2"/>
  <c r="P2724" i="2" s="1"/>
  <c r="N2725" i="2"/>
  <c r="P2725" i="2" s="1"/>
  <c r="N2726" i="2"/>
  <c r="P2726" i="2" s="1"/>
  <c r="N2727" i="2"/>
  <c r="P2727" i="2" s="1"/>
  <c r="N2728" i="2"/>
  <c r="P2728" i="2" s="1"/>
  <c r="N2729" i="2"/>
  <c r="P2729" i="2" s="1"/>
  <c r="N2730" i="2"/>
  <c r="P2730" i="2" s="1"/>
  <c r="N2731" i="2"/>
  <c r="P2731" i="2" s="1"/>
  <c r="N2732" i="2"/>
  <c r="P2732" i="2" s="1"/>
  <c r="N2733" i="2"/>
  <c r="P2733" i="2" s="1"/>
  <c r="N2734" i="2"/>
  <c r="P2734" i="2" s="1"/>
  <c r="N2735" i="2"/>
  <c r="P2735" i="2" s="1"/>
  <c r="N2736" i="2"/>
  <c r="P2736" i="2" s="1"/>
  <c r="N2737" i="2"/>
  <c r="P2737" i="2" s="1"/>
  <c r="N2738" i="2"/>
  <c r="P2738" i="2" s="1"/>
  <c r="N2739" i="2"/>
  <c r="P2739" i="2" s="1"/>
  <c r="N2740" i="2"/>
  <c r="P2740" i="2" s="1"/>
  <c r="N2741" i="2"/>
  <c r="P2741" i="2" s="1"/>
  <c r="N2742" i="2"/>
  <c r="P2742" i="2" s="1"/>
  <c r="N2743" i="2"/>
  <c r="P2743" i="2" s="1"/>
  <c r="N2744" i="2"/>
  <c r="P2744" i="2" s="1"/>
  <c r="N2745" i="2"/>
  <c r="P2745" i="2" s="1"/>
  <c r="N2746" i="2"/>
  <c r="P2746" i="2" s="1"/>
  <c r="N2747" i="2"/>
  <c r="P2747" i="2" s="1"/>
  <c r="N2748" i="2"/>
  <c r="P2748" i="2" s="1"/>
  <c r="N2749" i="2"/>
  <c r="P2749" i="2" s="1"/>
  <c r="N2750" i="2"/>
  <c r="P2750" i="2" s="1"/>
  <c r="N2751" i="2"/>
  <c r="P2751" i="2" s="1"/>
  <c r="N2752" i="2"/>
  <c r="P2752" i="2" s="1"/>
  <c r="N2753" i="2"/>
  <c r="P2753" i="2" s="1"/>
  <c r="N2754" i="2"/>
  <c r="P2754" i="2" s="1"/>
  <c r="N2755" i="2"/>
  <c r="P2755" i="2" s="1"/>
  <c r="N2756" i="2"/>
  <c r="P2756" i="2" s="1"/>
  <c r="N2757" i="2"/>
  <c r="P2757" i="2" s="1"/>
  <c r="N2758" i="2"/>
  <c r="P2758" i="2" s="1"/>
  <c r="N2759" i="2"/>
  <c r="P2759" i="2" s="1"/>
  <c r="N2760" i="2"/>
  <c r="P2760" i="2" s="1"/>
  <c r="N2761" i="2"/>
  <c r="P2761" i="2" s="1"/>
  <c r="N2762" i="2"/>
  <c r="P2762" i="2" s="1"/>
  <c r="N2763" i="2"/>
  <c r="P2763" i="2" s="1"/>
  <c r="N2764" i="2"/>
  <c r="P2764" i="2" s="1"/>
  <c r="N2765" i="2"/>
  <c r="P2765" i="2" s="1"/>
  <c r="N2766" i="2"/>
  <c r="P2766" i="2" s="1"/>
  <c r="N2767" i="2"/>
  <c r="P2767" i="2" s="1"/>
  <c r="N2768" i="2"/>
  <c r="P2768" i="2" s="1"/>
  <c r="N2769" i="2"/>
  <c r="P2769" i="2" s="1"/>
  <c r="N2770" i="2"/>
  <c r="P2770" i="2" s="1"/>
  <c r="N2771" i="2"/>
  <c r="P2771" i="2" s="1"/>
  <c r="N2772" i="2"/>
  <c r="P2772" i="2" s="1"/>
  <c r="N2773" i="2"/>
  <c r="P2773" i="2" s="1"/>
  <c r="N2774" i="2"/>
  <c r="P2774" i="2" s="1"/>
  <c r="N2775" i="2"/>
  <c r="P2775" i="2" s="1"/>
  <c r="N2776" i="2"/>
  <c r="P2776" i="2" s="1"/>
  <c r="N2777" i="2"/>
  <c r="P2777" i="2" s="1"/>
  <c r="N2778" i="2"/>
  <c r="P2778" i="2" s="1"/>
  <c r="N2779" i="2"/>
  <c r="P2779" i="2" s="1"/>
  <c r="N2780" i="2"/>
  <c r="P2780" i="2" s="1"/>
  <c r="N2781" i="2"/>
  <c r="P2781" i="2" s="1"/>
  <c r="N2782" i="2"/>
  <c r="P2782" i="2" s="1"/>
  <c r="N2783" i="2"/>
  <c r="P2783" i="2" s="1"/>
  <c r="N2784" i="2"/>
  <c r="P2784" i="2" s="1"/>
  <c r="N2785" i="2"/>
  <c r="P2785" i="2" s="1"/>
  <c r="N2786" i="2"/>
  <c r="P2786" i="2" s="1"/>
  <c r="N2787" i="2"/>
  <c r="P2787" i="2" s="1"/>
  <c r="N2788" i="2"/>
  <c r="P2788" i="2" s="1"/>
  <c r="N2789" i="2"/>
  <c r="P2789" i="2" s="1"/>
  <c r="N2790" i="2"/>
  <c r="P2790" i="2" s="1"/>
  <c r="N2791" i="2"/>
  <c r="P2791" i="2" s="1"/>
  <c r="N2792" i="2"/>
  <c r="P2792" i="2" s="1"/>
  <c r="N2793" i="2"/>
  <c r="P2793" i="2" s="1"/>
  <c r="N2794" i="2"/>
  <c r="P2794" i="2" s="1"/>
  <c r="N2795" i="2"/>
  <c r="P2795" i="2" s="1"/>
  <c r="N2796" i="2"/>
  <c r="P2796" i="2" s="1"/>
  <c r="N2797" i="2"/>
  <c r="P2797" i="2" s="1"/>
  <c r="N2798" i="2"/>
  <c r="P2798" i="2" s="1"/>
  <c r="N2799" i="2"/>
  <c r="P2799" i="2" s="1"/>
  <c r="N2800" i="2"/>
  <c r="P2800" i="2" s="1"/>
  <c r="N2801" i="2"/>
  <c r="P2801" i="2" s="1"/>
  <c r="N2802" i="2"/>
  <c r="P2802" i="2" s="1"/>
  <c r="N2803" i="2"/>
  <c r="P2803" i="2" s="1"/>
  <c r="N2804" i="2"/>
  <c r="P2804" i="2" s="1"/>
  <c r="N2805" i="2"/>
  <c r="P2805" i="2" s="1"/>
  <c r="N2806" i="2"/>
  <c r="P2806" i="2" s="1"/>
  <c r="N2807" i="2"/>
  <c r="P2807" i="2" s="1"/>
  <c r="N2808" i="2"/>
  <c r="P2808" i="2" s="1"/>
  <c r="N2809" i="2"/>
  <c r="P2809" i="2" s="1"/>
  <c r="N2810" i="2"/>
  <c r="P2810" i="2" s="1"/>
  <c r="N2811" i="2"/>
  <c r="P2811" i="2" s="1"/>
  <c r="N2812" i="2"/>
  <c r="P2812" i="2" s="1"/>
  <c r="N2813" i="2"/>
  <c r="P2813" i="2" s="1"/>
  <c r="N2814" i="2"/>
  <c r="P2814" i="2" s="1"/>
  <c r="N2815" i="2"/>
  <c r="P2815" i="2" s="1"/>
  <c r="N2816" i="2"/>
  <c r="P2816" i="2" s="1"/>
  <c r="N2817" i="2"/>
  <c r="P2817" i="2" s="1"/>
  <c r="N2818" i="2"/>
  <c r="P2818" i="2" s="1"/>
  <c r="N2819" i="2"/>
  <c r="P2819" i="2" s="1"/>
  <c r="N2820" i="2"/>
  <c r="P2820" i="2" s="1"/>
  <c r="N2821" i="2"/>
  <c r="P2821" i="2" s="1"/>
  <c r="N2822" i="2"/>
  <c r="P2822" i="2" s="1"/>
  <c r="N2823" i="2"/>
  <c r="P2823" i="2" s="1"/>
  <c r="N2824" i="2"/>
  <c r="P2824" i="2" s="1"/>
  <c r="N2825" i="2"/>
  <c r="P2825" i="2" s="1"/>
  <c r="N2826" i="2"/>
  <c r="P2826" i="2" s="1"/>
  <c r="N2827" i="2"/>
  <c r="P2827" i="2" s="1"/>
  <c r="N2828" i="2"/>
  <c r="P2828" i="2" s="1"/>
  <c r="N2829" i="2"/>
  <c r="P2829" i="2" s="1"/>
  <c r="N2830" i="2"/>
  <c r="P2830" i="2" s="1"/>
  <c r="N2831" i="2"/>
  <c r="P2831" i="2" s="1"/>
  <c r="N2832" i="2"/>
  <c r="P2832" i="2" s="1"/>
  <c r="N2833" i="2"/>
  <c r="P2833" i="2" s="1"/>
  <c r="N2834" i="2"/>
  <c r="P2834" i="2" s="1"/>
  <c r="N2835" i="2"/>
  <c r="P2835" i="2" s="1"/>
  <c r="N2836" i="2"/>
  <c r="P2836" i="2" s="1"/>
  <c r="N2837" i="2"/>
  <c r="P2837" i="2" s="1"/>
  <c r="N2838" i="2"/>
  <c r="P2838" i="2" s="1"/>
  <c r="N2839" i="2"/>
  <c r="P2839" i="2" s="1"/>
  <c r="N2840" i="2"/>
  <c r="P2840" i="2" s="1"/>
  <c r="N2841" i="2"/>
  <c r="P2841" i="2" s="1"/>
  <c r="N2842" i="2"/>
  <c r="P2842" i="2" s="1"/>
  <c r="N2843" i="2"/>
  <c r="P2843" i="2" s="1"/>
  <c r="N2844" i="2"/>
  <c r="P2844" i="2" s="1"/>
  <c r="N2845" i="2"/>
  <c r="P2845" i="2" s="1"/>
  <c r="N2846" i="2"/>
  <c r="P2846" i="2" s="1"/>
  <c r="N2847" i="2"/>
  <c r="P2847" i="2" s="1"/>
  <c r="N2848" i="2"/>
  <c r="P2848" i="2" s="1"/>
  <c r="N2849" i="2"/>
  <c r="P2849" i="2" s="1"/>
  <c r="N2850" i="2"/>
  <c r="P2850" i="2" s="1"/>
  <c r="N2851" i="2"/>
  <c r="P2851" i="2" s="1"/>
  <c r="N2852" i="2"/>
  <c r="P2852" i="2" s="1"/>
  <c r="N2853" i="2"/>
  <c r="P2853" i="2" s="1"/>
  <c r="N2854" i="2"/>
  <c r="P2854" i="2" s="1"/>
  <c r="N2855" i="2"/>
  <c r="P2855" i="2" s="1"/>
  <c r="N2856" i="2"/>
  <c r="P2856" i="2" s="1"/>
  <c r="N2857" i="2"/>
  <c r="P2857" i="2" s="1"/>
  <c r="N2858" i="2"/>
  <c r="P2858" i="2" s="1"/>
  <c r="N2859" i="2"/>
  <c r="P2859" i="2" s="1"/>
  <c r="N2860" i="2"/>
  <c r="P2860" i="2" s="1"/>
  <c r="N2861" i="2"/>
  <c r="P2861" i="2" s="1"/>
  <c r="N2862" i="2"/>
  <c r="P2862" i="2" s="1"/>
  <c r="N2863" i="2"/>
  <c r="P2863" i="2" s="1"/>
  <c r="N2864" i="2"/>
  <c r="P2864" i="2" s="1"/>
  <c r="N2865" i="2"/>
  <c r="P2865" i="2" s="1"/>
  <c r="N2866" i="2"/>
  <c r="P2866" i="2" s="1"/>
  <c r="N2867" i="2"/>
  <c r="P2867" i="2" s="1"/>
  <c r="N2868" i="2"/>
  <c r="P2868" i="2" s="1"/>
  <c r="N2869" i="2"/>
  <c r="P2869" i="2" s="1"/>
  <c r="N2870" i="2"/>
  <c r="P2870" i="2" s="1"/>
  <c r="N2871" i="2"/>
  <c r="P2871" i="2" s="1"/>
  <c r="N2872" i="2"/>
  <c r="P2872" i="2" s="1"/>
  <c r="N2873" i="2"/>
  <c r="P2873" i="2" s="1"/>
  <c r="N2874" i="2"/>
  <c r="P2874" i="2" s="1"/>
  <c r="N2875" i="2"/>
  <c r="P2875" i="2" s="1"/>
  <c r="N2876" i="2"/>
  <c r="P2876" i="2" s="1"/>
  <c r="N2877" i="2"/>
  <c r="P2877" i="2" s="1"/>
  <c r="N2878" i="2"/>
  <c r="P2878" i="2" s="1"/>
  <c r="N2879" i="2"/>
  <c r="P2879" i="2" s="1"/>
  <c r="N2880" i="2"/>
  <c r="P2880" i="2" s="1"/>
  <c r="N2881" i="2"/>
  <c r="P2881" i="2" s="1"/>
  <c r="N2882" i="2"/>
  <c r="P2882" i="2" s="1"/>
  <c r="N2883" i="2"/>
  <c r="P2883" i="2" s="1"/>
  <c r="N2884" i="2"/>
  <c r="P2884" i="2" s="1"/>
  <c r="N2885" i="2"/>
  <c r="P2885" i="2" s="1"/>
  <c r="N2886" i="2"/>
  <c r="P2886" i="2" s="1"/>
  <c r="N2887" i="2"/>
  <c r="P2887" i="2" s="1"/>
  <c r="N2888" i="2"/>
  <c r="P2888" i="2" s="1"/>
  <c r="N2889" i="2"/>
  <c r="P2889" i="2" s="1"/>
  <c r="N2890" i="2"/>
  <c r="P2890" i="2" s="1"/>
  <c r="N2891" i="2"/>
  <c r="P2891" i="2" s="1"/>
  <c r="N2892" i="2"/>
  <c r="P2892" i="2" s="1"/>
  <c r="N2893" i="2"/>
  <c r="P2893" i="2" s="1"/>
  <c r="N2894" i="2"/>
  <c r="P2894" i="2" s="1"/>
  <c r="N2895" i="2"/>
  <c r="P2895" i="2" s="1"/>
  <c r="N2896" i="2"/>
  <c r="P2896" i="2" s="1"/>
  <c r="N2897" i="2"/>
  <c r="P2897" i="2" s="1"/>
  <c r="N2898" i="2"/>
  <c r="P2898" i="2" s="1"/>
  <c r="N2899" i="2"/>
  <c r="P2899" i="2" s="1"/>
  <c r="N2900" i="2"/>
  <c r="P2900" i="2" s="1"/>
  <c r="N2901" i="2"/>
  <c r="P2901" i="2" s="1"/>
  <c r="N2902" i="2"/>
  <c r="P2902" i="2" s="1"/>
  <c r="N2903" i="2"/>
  <c r="P2903" i="2" s="1"/>
  <c r="N2904" i="2"/>
  <c r="P2904" i="2" s="1"/>
  <c r="N2905" i="2"/>
  <c r="P2905" i="2" s="1"/>
  <c r="N2906" i="2"/>
  <c r="P2906" i="2" s="1"/>
  <c r="N2907" i="2"/>
  <c r="P2907" i="2" s="1"/>
  <c r="N2908" i="2"/>
  <c r="P2908" i="2" s="1"/>
  <c r="N2909" i="2"/>
  <c r="P2909" i="2" s="1"/>
  <c r="N2910" i="2"/>
  <c r="P2910" i="2" s="1"/>
  <c r="N2911" i="2"/>
  <c r="P2911" i="2" s="1"/>
  <c r="N2912" i="2"/>
  <c r="P2912" i="2" s="1"/>
  <c r="N2913" i="2"/>
  <c r="P2913" i="2" s="1"/>
  <c r="N2914" i="2"/>
  <c r="P2914" i="2" s="1"/>
  <c r="N2915" i="2"/>
  <c r="P2915" i="2" s="1"/>
  <c r="N2916" i="2"/>
  <c r="P2916" i="2" s="1"/>
  <c r="N2917" i="2"/>
  <c r="P2917" i="2" s="1"/>
  <c r="N2918" i="2"/>
  <c r="P2918" i="2" s="1"/>
  <c r="N2919" i="2"/>
  <c r="P2919" i="2" s="1"/>
  <c r="N2920" i="2"/>
  <c r="P2920" i="2" s="1"/>
  <c r="N2921" i="2"/>
  <c r="P2921" i="2" s="1"/>
  <c r="N2922" i="2"/>
  <c r="P2922" i="2" s="1"/>
  <c r="N2923" i="2"/>
  <c r="P2923" i="2" s="1"/>
  <c r="N2924" i="2"/>
  <c r="P2924" i="2" s="1"/>
  <c r="N2925" i="2"/>
  <c r="P2925" i="2" s="1"/>
  <c r="N2926" i="2"/>
  <c r="P2926" i="2" s="1"/>
  <c r="N2927" i="2"/>
  <c r="P2927" i="2" s="1"/>
  <c r="N2928" i="2"/>
  <c r="P2928" i="2" s="1"/>
  <c r="N2929" i="2"/>
  <c r="P2929" i="2" s="1"/>
  <c r="N2930" i="2"/>
  <c r="P2930" i="2" s="1"/>
  <c r="N2931" i="2"/>
  <c r="P2931" i="2" s="1"/>
  <c r="N2932" i="2"/>
  <c r="P2932" i="2" s="1"/>
  <c r="N2933" i="2"/>
  <c r="P2933" i="2" s="1"/>
  <c r="N2934" i="2"/>
  <c r="P2934" i="2" s="1"/>
  <c r="N2935" i="2"/>
  <c r="P2935" i="2" s="1"/>
  <c r="N2936" i="2"/>
  <c r="P2936" i="2" s="1"/>
  <c r="N2937" i="2"/>
  <c r="P2937" i="2" s="1"/>
  <c r="N2938" i="2"/>
  <c r="P2938" i="2" s="1"/>
  <c r="N2939" i="2"/>
  <c r="P2939" i="2" s="1"/>
  <c r="N2940" i="2"/>
  <c r="P2940" i="2" s="1"/>
  <c r="N2941" i="2"/>
  <c r="P2941" i="2" s="1"/>
  <c r="N2942" i="2"/>
  <c r="P2942" i="2" s="1"/>
  <c r="N2943" i="2"/>
  <c r="P2943" i="2" s="1"/>
  <c r="N2944" i="2"/>
  <c r="P2944" i="2" s="1"/>
  <c r="N2945" i="2"/>
  <c r="P2945" i="2" s="1"/>
  <c r="N2946" i="2"/>
  <c r="P2946" i="2" s="1"/>
  <c r="N2947" i="2"/>
  <c r="P2947" i="2" s="1"/>
  <c r="N2948" i="2"/>
  <c r="P2948" i="2" s="1"/>
  <c r="N2949" i="2"/>
  <c r="P2949" i="2" s="1"/>
  <c r="N2950" i="2"/>
  <c r="P2950" i="2" s="1"/>
  <c r="N2951" i="2"/>
  <c r="P2951" i="2" s="1"/>
  <c r="N2952" i="2"/>
  <c r="P2952" i="2" s="1"/>
  <c r="N2953" i="2"/>
  <c r="P2953" i="2" s="1"/>
  <c r="N2954" i="2"/>
  <c r="P2954" i="2" s="1"/>
  <c r="N2955" i="2"/>
  <c r="P2955" i="2" s="1"/>
  <c r="N2956" i="2"/>
  <c r="P2956" i="2" s="1"/>
  <c r="N2957" i="2"/>
  <c r="P2957" i="2" s="1"/>
  <c r="N2958" i="2"/>
  <c r="P2958" i="2" s="1"/>
  <c r="N2959" i="2"/>
  <c r="P2959" i="2" s="1"/>
  <c r="N2960" i="2"/>
  <c r="P2960" i="2" s="1"/>
  <c r="N2961" i="2"/>
  <c r="P2961" i="2" s="1"/>
  <c r="N2962" i="2"/>
  <c r="P2962" i="2" s="1"/>
  <c r="N2963" i="2"/>
  <c r="P2963" i="2" s="1"/>
  <c r="N2964" i="2"/>
  <c r="P2964" i="2" s="1"/>
  <c r="N2965" i="2"/>
  <c r="P2965" i="2" s="1"/>
  <c r="N2966" i="2"/>
  <c r="P2966" i="2" s="1"/>
  <c r="N2967" i="2"/>
  <c r="P2967" i="2" s="1"/>
  <c r="N2968" i="2"/>
  <c r="P2968" i="2" s="1"/>
  <c r="N2969" i="2"/>
  <c r="P2969" i="2" s="1"/>
  <c r="N2970" i="2"/>
  <c r="P2970" i="2" s="1"/>
  <c r="N2971" i="2"/>
  <c r="P2971" i="2" s="1"/>
  <c r="N2972" i="2"/>
  <c r="P2972" i="2" s="1"/>
  <c r="N2973" i="2"/>
  <c r="P2973" i="2" s="1"/>
  <c r="N2974" i="2"/>
  <c r="P2974" i="2" s="1"/>
  <c r="N2975" i="2"/>
  <c r="P2975" i="2" s="1"/>
  <c r="N2976" i="2"/>
  <c r="P2976" i="2" s="1"/>
  <c r="N2977" i="2"/>
  <c r="P2977" i="2" s="1"/>
  <c r="N2978" i="2"/>
  <c r="P2978" i="2" s="1"/>
  <c r="N2979" i="2"/>
  <c r="P2979" i="2" s="1"/>
  <c r="N2980" i="2"/>
  <c r="P2980" i="2" s="1"/>
  <c r="N2981" i="2"/>
  <c r="P2981" i="2" s="1"/>
  <c r="N2982" i="2"/>
  <c r="P2982" i="2" s="1"/>
  <c r="N2983" i="2"/>
  <c r="P2983" i="2" s="1"/>
  <c r="N2984" i="2"/>
  <c r="P2984" i="2" s="1"/>
  <c r="N2985" i="2"/>
  <c r="P2985" i="2" s="1"/>
  <c r="N2986" i="2"/>
  <c r="P2986" i="2" s="1"/>
  <c r="N2987" i="2"/>
  <c r="P2987" i="2" s="1"/>
  <c r="N2988" i="2"/>
  <c r="P2988" i="2" s="1"/>
  <c r="N2989" i="2"/>
  <c r="P2989" i="2" s="1"/>
  <c r="N2990" i="2"/>
  <c r="P2990" i="2" s="1"/>
  <c r="N2991" i="2"/>
  <c r="P2991" i="2" s="1"/>
  <c r="N2992" i="2"/>
  <c r="P2992" i="2" s="1"/>
  <c r="N2993" i="2"/>
  <c r="P2993" i="2" s="1"/>
  <c r="N2994" i="2"/>
  <c r="P2994" i="2" s="1"/>
  <c r="N2995" i="2"/>
  <c r="P2995" i="2" s="1"/>
  <c r="N2996" i="2"/>
  <c r="P2996" i="2" s="1"/>
  <c r="N2997" i="2"/>
  <c r="P2997" i="2" s="1"/>
  <c r="N2998" i="2"/>
  <c r="P2998" i="2" s="1"/>
  <c r="N2999" i="2"/>
  <c r="P2999" i="2" s="1"/>
  <c r="N3000" i="2"/>
  <c r="P3000" i="2" s="1"/>
  <c r="N3001" i="2"/>
  <c r="P3001" i="2" s="1"/>
  <c r="N3002" i="2"/>
  <c r="P3002" i="2" s="1"/>
  <c r="N3003" i="2"/>
  <c r="P3003" i="2" s="1"/>
  <c r="N3004" i="2"/>
  <c r="P3004" i="2" s="1"/>
  <c r="N3005" i="2"/>
  <c r="P3005" i="2" s="1"/>
  <c r="N3006" i="2"/>
  <c r="P3006" i="2" s="1"/>
  <c r="N3007" i="2"/>
  <c r="P3007" i="2" s="1"/>
  <c r="N3008" i="2"/>
  <c r="P3008" i="2" s="1"/>
  <c r="N3009" i="2"/>
  <c r="P3009" i="2" s="1"/>
  <c r="N3010" i="2"/>
  <c r="P3010" i="2" s="1"/>
  <c r="N3011" i="2"/>
  <c r="P3011" i="2" s="1"/>
  <c r="N3012" i="2"/>
  <c r="P3012" i="2" s="1"/>
  <c r="N3013" i="2"/>
  <c r="P3013" i="2" s="1"/>
  <c r="N3014" i="2"/>
  <c r="P3014" i="2" s="1"/>
  <c r="N3015" i="2"/>
  <c r="P3015" i="2" s="1"/>
  <c r="N3016" i="2"/>
  <c r="P3016" i="2" s="1"/>
  <c r="N3017" i="2"/>
  <c r="P3017" i="2" s="1"/>
  <c r="N3018" i="2"/>
  <c r="P3018" i="2" s="1"/>
  <c r="N3019" i="2"/>
  <c r="P3019" i="2" s="1"/>
  <c r="N3020" i="2"/>
  <c r="P3020" i="2" s="1"/>
  <c r="N3021" i="2"/>
  <c r="P3021" i="2" s="1"/>
  <c r="N3022" i="2"/>
  <c r="P3022" i="2" s="1"/>
  <c r="N3023" i="2"/>
  <c r="P3023" i="2" s="1"/>
  <c r="N3024" i="2"/>
  <c r="P3024" i="2" s="1"/>
  <c r="N3025" i="2"/>
  <c r="P3025" i="2" s="1"/>
  <c r="N3026" i="2"/>
  <c r="P3026" i="2" s="1"/>
  <c r="N3027" i="2"/>
  <c r="P3027" i="2" s="1"/>
  <c r="N3028" i="2"/>
  <c r="P3028" i="2" s="1"/>
  <c r="N3029" i="2"/>
  <c r="P3029" i="2" s="1"/>
  <c r="N3030" i="2"/>
  <c r="P3030" i="2" s="1"/>
  <c r="N3031" i="2"/>
  <c r="P3031" i="2" s="1"/>
  <c r="N3032" i="2"/>
  <c r="P3032" i="2" s="1"/>
  <c r="N3033" i="2"/>
  <c r="P3033" i="2" s="1"/>
  <c r="N3034" i="2"/>
  <c r="P3034" i="2" s="1"/>
  <c r="N3035" i="2"/>
  <c r="P3035" i="2" s="1"/>
  <c r="N3036" i="2"/>
  <c r="P3036" i="2" s="1"/>
  <c r="N3037" i="2"/>
  <c r="P3037" i="2" s="1"/>
  <c r="N3038" i="2"/>
  <c r="P3038" i="2" s="1"/>
  <c r="N3039" i="2"/>
  <c r="P3039" i="2" s="1"/>
  <c r="N3040" i="2"/>
  <c r="P3040" i="2" s="1"/>
  <c r="N3041" i="2"/>
  <c r="P3041" i="2" s="1"/>
  <c r="N3042" i="2"/>
  <c r="P3042" i="2" s="1"/>
  <c r="N3043" i="2"/>
  <c r="P3043" i="2" s="1"/>
  <c r="N3044" i="2"/>
  <c r="P3044" i="2" s="1"/>
  <c r="N3045" i="2"/>
  <c r="P3045" i="2" s="1"/>
  <c r="N3046" i="2"/>
  <c r="P3046" i="2" s="1"/>
  <c r="N3047" i="2"/>
  <c r="P3047" i="2" s="1"/>
  <c r="N3048" i="2"/>
  <c r="P3048" i="2" s="1"/>
  <c r="N3049" i="2"/>
  <c r="P3049" i="2" s="1"/>
  <c r="N3050" i="2"/>
  <c r="P3050" i="2" s="1"/>
  <c r="N3051" i="2"/>
  <c r="P3051" i="2" s="1"/>
  <c r="N3052" i="2"/>
  <c r="P3052" i="2" s="1"/>
  <c r="N3053" i="2"/>
  <c r="P3053" i="2" s="1"/>
  <c r="N3054" i="2"/>
  <c r="P3054" i="2" s="1"/>
  <c r="N3055" i="2"/>
  <c r="P3055" i="2" s="1"/>
  <c r="N3056" i="2"/>
  <c r="P3056" i="2" s="1"/>
  <c r="N3057" i="2"/>
  <c r="P3057" i="2" s="1"/>
  <c r="N3058" i="2"/>
  <c r="P3058" i="2" s="1"/>
  <c r="N3059" i="2"/>
  <c r="P3059" i="2" s="1"/>
  <c r="N3060" i="2"/>
  <c r="P3060" i="2" s="1"/>
  <c r="N3061" i="2"/>
  <c r="P3061" i="2" s="1"/>
  <c r="N3062" i="2"/>
  <c r="P3062" i="2" s="1"/>
  <c r="N3063" i="2"/>
  <c r="P3063" i="2" s="1"/>
  <c r="N3064" i="2"/>
  <c r="P3064" i="2" s="1"/>
  <c r="N3065" i="2"/>
  <c r="P3065" i="2" s="1"/>
  <c r="N3066" i="2"/>
  <c r="P3066" i="2" s="1"/>
  <c r="N3067" i="2"/>
  <c r="P3067" i="2" s="1"/>
  <c r="N3068" i="2"/>
  <c r="P3068" i="2" s="1"/>
  <c r="N3069" i="2"/>
  <c r="P3069" i="2" s="1"/>
  <c r="N3070" i="2"/>
  <c r="P3070" i="2" s="1"/>
  <c r="N3071" i="2"/>
  <c r="P3071" i="2" s="1"/>
  <c r="N3072" i="2"/>
  <c r="P3072" i="2" s="1"/>
  <c r="N3073" i="2"/>
  <c r="P3073" i="2" s="1"/>
  <c r="N3074" i="2"/>
  <c r="P3074" i="2" s="1"/>
  <c r="N3075" i="2"/>
  <c r="P3075" i="2" s="1"/>
  <c r="N3076" i="2"/>
  <c r="P3076" i="2" s="1"/>
  <c r="N3077" i="2"/>
  <c r="P3077" i="2" s="1"/>
  <c r="N3078" i="2"/>
  <c r="P3078" i="2" s="1"/>
  <c r="N3079" i="2"/>
  <c r="P3079" i="2" s="1"/>
  <c r="N3080" i="2"/>
  <c r="P3080" i="2" s="1"/>
  <c r="N3081" i="2"/>
  <c r="P3081" i="2" s="1"/>
  <c r="N3082" i="2"/>
  <c r="P3082" i="2" s="1"/>
  <c r="N3083" i="2"/>
  <c r="P3083" i="2" s="1"/>
  <c r="N3084" i="2"/>
  <c r="P3084" i="2" s="1"/>
  <c r="N3085" i="2"/>
  <c r="P3085" i="2" s="1"/>
  <c r="N3086" i="2"/>
  <c r="P3086" i="2" s="1"/>
  <c r="N3087" i="2"/>
  <c r="P3087" i="2" s="1"/>
  <c r="N3088" i="2"/>
  <c r="P3088" i="2" s="1"/>
  <c r="N3089" i="2"/>
  <c r="P3089" i="2" s="1"/>
  <c r="N3090" i="2"/>
  <c r="P3090" i="2" s="1"/>
  <c r="N3091" i="2"/>
  <c r="P3091" i="2" s="1"/>
  <c r="N3092" i="2"/>
  <c r="P3092" i="2" s="1"/>
  <c r="N3093" i="2"/>
  <c r="P3093" i="2" s="1"/>
  <c r="N3094" i="2"/>
  <c r="P3094" i="2" s="1"/>
  <c r="N3095" i="2"/>
  <c r="P3095" i="2" s="1"/>
  <c r="N3096" i="2"/>
  <c r="P3096" i="2" s="1"/>
  <c r="N3097" i="2"/>
  <c r="P3097" i="2" s="1"/>
  <c r="N3098" i="2"/>
  <c r="P3098" i="2" s="1"/>
  <c r="N3099" i="2"/>
  <c r="P3099" i="2" s="1"/>
  <c r="N3100" i="2"/>
  <c r="P3100" i="2" s="1"/>
  <c r="N3101" i="2"/>
  <c r="P3101" i="2" s="1"/>
  <c r="N3102" i="2"/>
  <c r="P3102" i="2" s="1"/>
  <c r="N3103" i="2"/>
  <c r="P3103" i="2" s="1"/>
  <c r="N3104" i="2"/>
  <c r="P3104" i="2" s="1"/>
  <c r="N3105" i="2"/>
  <c r="P3105" i="2" s="1"/>
  <c r="N3106" i="2"/>
  <c r="P3106" i="2" s="1"/>
  <c r="N3107" i="2"/>
  <c r="P3107" i="2" s="1"/>
  <c r="N3108" i="2"/>
  <c r="P3108" i="2" s="1"/>
  <c r="N3109" i="2"/>
  <c r="P3109" i="2" s="1"/>
  <c r="N3110" i="2"/>
  <c r="P3110" i="2" s="1"/>
  <c r="N3111" i="2"/>
  <c r="P3111" i="2" s="1"/>
  <c r="N3112" i="2"/>
  <c r="P3112" i="2" s="1"/>
  <c r="N3113" i="2"/>
  <c r="P3113" i="2" s="1"/>
  <c r="N3114" i="2"/>
  <c r="P3114" i="2" s="1"/>
  <c r="N3115" i="2"/>
  <c r="P3115" i="2" s="1"/>
  <c r="N3116" i="2"/>
  <c r="P3116" i="2" s="1"/>
  <c r="N3117" i="2"/>
  <c r="P3117" i="2" s="1"/>
  <c r="N3118" i="2"/>
  <c r="P3118" i="2" s="1"/>
  <c r="N3119" i="2"/>
  <c r="P3119" i="2" s="1"/>
  <c r="N3120" i="2"/>
  <c r="P3120" i="2" s="1"/>
  <c r="N3121" i="2"/>
  <c r="P3121" i="2" s="1"/>
  <c r="N3122" i="2"/>
  <c r="P3122" i="2" s="1"/>
  <c r="N3123" i="2"/>
  <c r="P3123" i="2" s="1"/>
  <c r="N3124" i="2"/>
  <c r="P3124" i="2" s="1"/>
  <c r="N3125" i="2"/>
  <c r="P3125" i="2" s="1"/>
  <c r="N3126" i="2"/>
  <c r="P3126" i="2" s="1"/>
  <c r="N3127" i="2"/>
  <c r="P3127" i="2" s="1"/>
  <c r="N3128" i="2"/>
  <c r="P3128" i="2" s="1"/>
  <c r="N3129" i="2"/>
  <c r="P3129" i="2" s="1"/>
  <c r="N3130" i="2"/>
  <c r="P3130" i="2" s="1"/>
  <c r="N3131" i="2"/>
  <c r="P3131" i="2" s="1"/>
  <c r="N3132" i="2"/>
  <c r="P3132" i="2" s="1"/>
  <c r="N3133" i="2"/>
  <c r="P3133" i="2" s="1"/>
  <c r="N3134" i="2"/>
  <c r="P3134" i="2" s="1"/>
  <c r="N3135" i="2"/>
  <c r="P3135" i="2" s="1"/>
  <c r="N3136" i="2"/>
  <c r="P3136" i="2" s="1"/>
  <c r="N3137" i="2"/>
  <c r="P3137" i="2" s="1"/>
  <c r="N3138" i="2"/>
  <c r="P3138" i="2" s="1"/>
  <c r="N3139" i="2"/>
  <c r="P3139" i="2" s="1"/>
  <c r="N3140" i="2"/>
  <c r="P3140" i="2" s="1"/>
  <c r="N3141" i="2"/>
  <c r="P3141" i="2" s="1"/>
  <c r="N3142" i="2"/>
  <c r="P3142" i="2" s="1"/>
  <c r="N3143" i="2"/>
  <c r="P3143" i="2" s="1"/>
  <c r="N3144" i="2"/>
  <c r="P3144" i="2" s="1"/>
  <c r="N3145" i="2"/>
  <c r="P3145" i="2" s="1"/>
  <c r="N3146" i="2"/>
  <c r="P3146" i="2" s="1"/>
  <c r="N3147" i="2"/>
  <c r="P3147" i="2" s="1"/>
  <c r="N3148" i="2"/>
  <c r="P3148" i="2" s="1"/>
  <c r="N3149" i="2"/>
  <c r="P3149" i="2" s="1"/>
  <c r="N3150" i="2"/>
  <c r="P3150" i="2" s="1"/>
  <c r="N3151" i="2"/>
  <c r="P3151" i="2" s="1"/>
  <c r="N3152" i="2"/>
  <c r="P3152" i="2" s="1"/>
  <c r="N3153" i="2"/>
  <c r="P3153" i="2" s="1"/>
  <c r="N3154" i="2"/>
  <c r="P3154" i="2" s="1"/>
  <c r="N3155" i="2"/>
  <c r="P3155" i="2" s="1"/>
  <c r="N3156" i="2"/>
  <c r="P3156" i="2" s="1"/>
  <c r="N3157" i="2"/>
  <c r="P3157" i="2" s="1"/>
  <c r="N3158" i="2"/>
  <c r="P3158" i="2" s="1"/>
  <c r="N3159" i="2"/>
  <c r="P3159" i="2" s="1"/>
  <c r="N3160" i="2"/>
  <c r="P3160" i="2" s="1"/>
  <c r="N3161" i="2"/>
  <c r="P3161" i="2" s="1"/>
  <c r="N3162" i="2"/>
  <c r="P3162" i="2" s="1"/>
  <c r="N3163" i="2"/>
  <c r="P3163" i="2" s="1"/>
  <c r="N3164" i="2"/>
  <c r="P3164" i="2" s="1"/>
  <c r="N3165" i="2"/>
  <c r="P3165" i="2" s="1"/>
  <c r="N3166" i="2"/>
  <c r="P3166" i="2" s="1"/>
  <c r="N3167" i="2"/>
  <c r="P3167" i="2" s="1"/>
  <c r="N3168" i="2"/>
  <c r="P3168" i="2" s="1"/>
  <c r="N3169" i="2"/>
  <c r="P3169" i="2" s="1"/>
  <c r="N3170" i="2"/>
  <c r="P3170" i="2" s="1"/>
  <c r="N3171" i="2"/>
  <c r="P3171" i="2" s="1"/>
  <c r="N3172" i="2"/>
  <c r="P3172" i="2" s="1"/>
  <c r="N3173" i="2"/>
  <c r="P3173" i="2" s="1"/>
  <c r="N3174" i="2"/>
  <c r="P3174" i="2" s="1"/>
  <c r="N3175" i="2"/>
  <c r="P3175" i="2" s="1"/>
  <c r="N3176" i="2"/>
  <c r="P3176" i="2" s="1"/>
  <c r="N3177" i="2"/>
  <c r="P3177" i="2" s="1"/>
  <c r="N3178" i="2"/>
  <c r="P3178" i="2" s="1"/>
  <c r="N3179" i="2"/>
  <c r="P3179" i="2" s="1"/>
  <c r="N3180" i="2"/>
  <c r="P3180" i="2" s="1"/>
  <c r="N3181" i="2"/>
  <c r="P3181" i="2" s="1"/>
  <c r="N3182" i="2"/>
  <c r="P3182" i="2" s="1"/>
  <c r="N3183" i="2"/>
  <c r="P3183" i="2" s="1"/>
  <c r="N3184" i="2"/>
  <c r="P3184" i="2" s="1"/>
  <c r="N3185" i="2"/>
  <c r="P3185" i="2" s="1"/>
  <c r="N3186" i="2"/>
  <c r="P3186" i="2" s="1"/>
  <c r="N3187" i="2"/>
  <c r="P3187" i="2" s="1"/>
  <c r="N3188" i="2"/>
  <c r="P3188" i="2" s="1"/>
  <c r="N3189" i="2"/>
  <c r="P3189" i="2" s="1"/>
  <c r="N3190" i="2"/>
  <c r="P3190" i="2" s="1"/>
  <c r="N3191" i="2"/>
  <c r="P3191" i="2" s="1"/>
  <c r="N3192" i="2"/>
  <c r="P3192" i="2" s="1"/>
  <c r="N3193" i="2"/>
  <c r="P3193" i="2" s="1"/>
  <c r="N3194" i="2"/>
  <c r="P3194" i="2" s="1"/>
  <c r="N3195" i="2"/>
  <c r="P3195" i="2" s="1"/>
  <c r="N3196" i="2"/>
  <c r="P3196" i="2" s="1"/>
  <c r="N3197" i="2"/>
  <c r="P3197" i="2" s="1"/>
  <c r="N3198" i="2"/>
  <c r="P3198" i="2" s="1"/>
  <c r="N3199" i="2"/>
  <c r="P3199" i="2" s="1"/>
  <c r="N3200" i="2"/>
  <c r="P3200" i="2" s="1"/>
  <c r="N3201" i="2"/>
  <c r="P3201" i="2" s="1"/>
  <c r="N3202" i="2"/>
  <c r="P3202" i="2" s="1"/>
  <c r="N3203" i="2"/>
  <c r="P3203" i="2" s="1"/>
  <c r="N3204" i="2"/>
  <c r="P3204" i="2" s="1"/>
  <c r="N3205" i="2"/>
  <c r="P3205" i="2" s="1"/>
  <c r="N3206" i="2"/>
  <c r="P3206" i="2" s="1"/>
  <c r="N3207" i="2"/>
  <c r="P3207" i="2" s="1"/>
  <c r="N3208" i="2"/>
  <c r="P3208" i="2" s="1"/>
  <c r="N3209" i="2"/>
  <c r="P3209" i="2" s="1"/>
  <c r="N3210" i="2"/>
  <c r="P3210" i="2" s="1"/>
  <c r="N3211" i="2"/>
  <c r="P3211" i="2" s="1"/>
  <c r="N3212" i="2"/>
  <c r="P3212" i="2" s="1"/>
  <c r="N3213" i="2"/>
  <c r="P3213" i="2" s="1"/>
  <c r="N3214" i="2"/>
  <c r="P3214" i="2" s="1"/>
  <c r="N3215" i="2"/>
  <c r="P3215" i="2" s="1"/>
  <c r="N3216" i="2"/>
  <c r="P3216" i="2" s="1"/>
  <c r="N3217" i="2"/>
  <c r="P3217" i="2" s="1"/>
  <c r="N3218" i="2"/>
  <c r="P3218" i="2" s="1"/>
  <c r="N3219" i="2"/>
  <c r="P3219" i="2" s="1"/>
  <c r="N3220" i="2"/>
  <c r="P3220" i="2" s="1"/>
  <c r="N3221" i="2"/>
  <c r="P3221" i="2" s="1"/>
  <c r="N3222" i="2"/>
  <c r="P3222" i="2" s="1"/>
  <c r="N3223" i="2"/>
  <c r="P3223" i="2" s="1"/>
  <c r="N3224" i="2"/>
  <c r="P3224" i="2" s="1"/>
  <c r="N3225" i="2"/>
  <c r="P3225" i="2" s="1"/>
  <c r="N3226" i="2"/>
  <c r="P3226" i="2" s="1"/>
  <c r="N3227" i="2"/>
  <c r="P3227" i="2" s="1"/>
  <c r="N3228" i="2"/>
  <c r="P3228" i="2" s="1"/>
  <c r="N3229" i="2"/>
  <c r="P3229" i="2" s="1"/>
  <c r="N3230" i="2"/>
  <c r="P3230" i="2" s="1"/>
  <c r="N3231" i="2"/>
  <c r="P3231" i="2" s="1"/>
  <c r="N3232" i="2"/>
  <c r="P3232" i="2" s="1"/>
  <c r="N3233" i="2"/>
  <c r="P3233" i="2" s="1"/>
  <c r="N3234" i="2"/>
  <c r="P3234" i="2" s="1"/>
  <c r="N3235" i="2"/>
  <c r="P3235" i="2" s="1"/>
  <c r="N3236" i="2"/>
  <c r="P3236" i="2" s="1"/>
  <c r="N3237" i="2"/>
  <c r="P3237" i="2" s="1"/>
  <c r="N3238" i="2"/>
  <c r="P3238" i="2" s="1"/>
  <c r="N3239" i="2"/>
  <c r="P3239" i="2" s="1"/>
  <c r="N3240" i="2"/>
  <c r="P3240" i="2" s="1"/>
  <c r="N3241" i="2"/>
  <c r="P3241" i="2" s="1"/>
  <c r="N3242" i="2"/>
  <c r="P3242" i="2" s="1"/>
  <c r="N3243" i="2"/>
  <c r="P3243" i="2" s="1"/>
  <c r="N3244" i="2"/>
  <c r="P3244" i="2" s="1"/>
  <c r="N3245" i="2"/>
  <c r="P3245" i="2" s="1"/>
  <c r="N3246" i="2"/>
  <c r="P3246" i="2" s="1"/>
  <c r="N3247" i="2"/>
  <c r="P3247" i="2" s="1"/>
  <c r="N3248" i="2"/>
  <c r="P3248" i="2" s="1"/>
  <c r="N3249" i="2"/>
  <c r="P3249" i="2" s="1"/>
  <c r="N3250" i="2"/>
  <c r="P3250" i="2" s="1"/>
  <c r="N3251" i="2"/>
  <c r="P3251" i="2" s="1"/>
  <c r="N3252" i="2"/>
  <c r="P3252" i="2" s="1"/>
  <c r="N3253" i="2"/>
  <c r="P3253" i="2" s="1"/>
  <c r="N3254" i="2"/>
  <c r="P3254" i="2" s="1"/>
  <c r="N3255" i="2"/>
  <c r="P3255" i="2" s="1"/>
  <c r="N3256" i="2"/>
  <c r="P3256" i="2" s="1"/>
  <c r="N3257" i="2"/>
  <c r="P3257" i="2" s="1"/>
  <c r="N3258" i="2"/>
  <c r="P3258" i="2" s="1"/>
  <c r="N3259" i="2"/>
  <c r="P3259" i="2" s="1"/>
  <c r="N3260" i="2"/>
  <c r="P3260" i="2" s="1"/>
  <c r="N3261" i="2"/>
  <c r="P3261" i="2" s="1"/>
  <c r="N3262" i="2"/>
  <c r="P3262" i="2" s="1"/>
  <c r="N3263" i="2"/>
  <c r="P3263" i="2" s="1"/>
  <c r="N3264" i="2"/>
  <c r="P3264" i="2" s="1"/>
  <c r="N3265" i="2"/>
  <c r="P3265" i="2" s="1"/>
  <c r="N3266" i="2"/>
  <c r="P3266" i="2" s="1"/>
  <c r="N3267" i="2"/>
  <c r="P3267" i="2" s="1"/>
  <c r="N3268" i="2"/>
  <c r="P3268" i="2" s="1"/>
  <c r="N3269" i="2"/>
  <c r="P3269" i="2" s="1"/>
  <c r="N3270" i="2"/>
  <c r="P3270" i="2" s="1"/>
  <c r="N3271" i="2"/>
  <c r="P3271" i="2" s="1"/>
  <c r="N3272" i="2"/>
  <c r="P3272" i="2" s="1"/>
  <c r="N3273" i="2"/>
  <c r="P3273" i="2" s="1"/>
  <c r="N3274" i="2"/>
  <c r="P3274" i="2" s="1"/>
  <c r="N3275" i="2"/>
  <c r="P3275" i="2" s="1"/>
  <c r="N3276" i="2"/>
  <c r="P3276" i="2" s="1"/>
  <c r="N3277" i="2"/>
  <c r="P3277" i="2" s="1"/>
  <c r="N3278" i="2"/>
  <c r="P3278" i="2" s="1"/>
  <c r="N3279" i="2"/>
  <c r="P3279" i="2" s="1"/>
  <c r="N3280" i="2"/>
  <c r="P3280" i="2" s="1"/>
  <c r="N3281" i="2"/>
  <c r="P3281" i="2" s="1"/>
  <c r="N3282" i="2"/>
  <c r="P3282" i="2" s="1"/>
  <c r="N3283" i="2"/>
  <c r="P3283" i="2" s="1"/>
  <c r="N3284" i="2"/>
  <c r="P3284" i="2" s="1"/>
  <c r="N3285" i="2"/>
  <c r="P3285" i="2" s="1"/>
  <c r="N3286" i="2"/>
  <c r="P3286" i="2" s="1"/>
  <c r="N3287" i="2"/>
  <c r="P3287" i="2" s="1"/>
  <c r="N3288" i="2"/>
  <c r="P3288" i="2" s="1"/>
  <c r="N3289" i="2"/>
  <c r="P3289" i="2" s="1"/>
  <c r="N3290" i="2"/>
  <c r="P3290" i="2" s="1"/>
  <c r="N3291" i="2"/>
  <c r="P3291" i="2" s="1"/>
  <c r="N3292" i="2"/>
  <c r="P3292" i="2" s="1"/>
  <c r="N3293" i="2"/>
  <c r="P3293" i="2" s="1"/>
  <c r="N3294" i="2"/>
  <c r="P3294" i="2" s="1"/>
  <c r="N3295" i="2"/>
  <c r="P3295" i="2" s="1"/>
  <c r="N3296" i="2"/>
  <c r="P3296" i="2" s="1"/>
  <c r="N3297" i="2"/>
  <c r="P3297" i="2" s="1"/>
  <c r="N3298" i="2"/>
  <c r="P3298" i="2" s="1"/>
  <c r="N3299" i="2"/>
  <c r="P3299" i="2" s="1"/>
  <c r="N3300" i="2"/>
  <c r="P3300" i="2" s="1"/>
  <c r="N3301" i="2"/>
  <c r="P3301" i="2" s="1"/>
  <c r="N3302" i="2"/>
  <c r="P3302" i="2" s="1"/>
  <c r="N3303" i="2"/>
  <c r="P3303" i="2" s="1"/>
  <c r="N3304" i="2"/>
  <c r="P3304" i="2" s="1"/>
  <c r="N3305" i="2"/>
  <c r="P3305" i="2" s="1"/>
  <c r="N3306" i="2"/>
  <c r="P3306" i="2" s="1"/>
  <c r="N3307" i="2"/>
  <c r="P3307" i="2" s="1"/>
  <c r="N3308" i="2"/>
  <c r="P3308" i="2" s="1"/>
  <c r="N3309" i="2"/>
  <c r="P3309" i="2" s="1"/>
  <c r="N3310" i="2"/>
  <c r="P3310" i="2" s="1"/>
  <c r="N3311" i="2"/>
  <c r="P3311" i="2" s="1"/>
  <c r="N3312" i="2"/>
  <c r="P3312" i="2" s="1"/>
  <c r="N3313" i="2"/>
  <c r="P3313" i="2" s="1"/>
  <c r="N3314" i="2"/>
  <c r="P3314" i="2" s="1"/>
  <c r="N3315" i="2"/>
  <c r="P3315" i="2" s="1"/>
  <c r="N3316" i="2"/>
  <c r="P3316" i="2" s="1"/>
  <c r="N3317" i="2"/>
  <c r="P3317" i="2" s="1"/>
  <c r="N3318" i="2"/>
  <c r="P3318" i="2" s="1"/>
  <c r="N3319" i="2"/>
  <c r="P3319" i="2" s="1"/>
  <c r="N3320" i="2"/>
  <c r="P3320" i="2" s="1"/>
  <c r="N3321" i="2"/>
  <c r="P3321" i="2" s="1"/>
  <c r="N3322" i="2"/>
  <c r="P3322" i="2" s="1"/>
  <c r="N3323" i="2"/>
  <c r="P3323" i="2" s="1"/>
  <c r="N3324" i="2"/>
  <c r="P3324" i="2" s="1"/>
  <c r="N3325" i="2"/>
  <c r="P3325" i="2" s="1"/>
  <c r="N3326" i="2"/>
  <c r="P3326" i="2" s="1"/>
  <c r="N3327" i="2"/>
  <c r="P3327" i="2" s="1"/>
  <c r="N3328" i="2"/>
  <c r="P3328" i="2" s="1"/>
  <c r="N3329" i="2"/>
  <c r="P3329" i="2" s="1"/>
  <c r="N3330" i="2"/>
  <c r="P3330" i="2" s="1"/>
  <c r="N3331" i="2"/>
  <c r="P3331" i="2" s="1"/>
  <c r="N3332" i="2"/>
  <c r="P3332" i="2" s="1"/>
  <c r="N3333" i="2"/>
  <c r="P3333" i="2" s="1"/>
  <c r="N3334" i="2"/>
  <c r="P3334" i="2" s="1"/>
  <c r="N3335" i="2"/>
  <c r="P3335" i="2" s="1"/>
  <c r="N3336" i="2"/>
  <c r="P3336" i="2" s="1"/>
  <c r="N3337" i="2"/>
  <c r="P3337" i="2" s="1"/>
  <c r="N3338" i="2"/>
  <c r="P3338" i="2" s="1"/>
  <c r="N3339" i="2"/>
  <c r="P3339" i="2" s="1"/>
  <c r="N3340" i="2"/>
  <c r="P3340" i="2" s="1"/>
  <c r="N3341" i="2"/>
  <c r="P3341" i="2" s="1"/>
  <c r="N3342" i="2"/>
  <c r="P3342" i="2" s="1"/>
  <c r="N3343" i="2"/>
  <c r="P3343" i="2" s="1"/>
  <c r="N3344" i="2"/>
  <c r="P3344" i="2" s="1"/>
  <c r="N3345" i="2"/>
  <c r="P3345" i="2" s="1"/>
  <c r="N3346" i="2"/>
  <c r="P3346" i="2" s="1"/>
  <c r="N3347" i="2"/>
  <c r="P3347" i="2" s="1"/>
  <c r="N3348" i="2"/>
  <c r="P3348" i="2" s="1"/>
  <c r="N3349" i="2"/>
  <c r="P3349" i="2" s="1"/>
  <c r="N3350" i="2"/>
  <c r="P3350" i="2" s="1"/>
  <c r="N3351" i="2"/>
  <c r="P3351" i="2" s="1"/>
  <c r="N3352" i="2"/>
  <c r="P3352" i="2" s="1"/>
  <c r="N3353" i="2"/>
  <c r="P3353" i="2" s="1"/>
  <c r="N3354" i="2"/>
  <c r="P3354" i="2" s="1"/>
  <c r="N3355" i="2"/>
  <c r="P3355" i="2" s="1"/>
  <c r="N3356" i="2"/>
  <c r="P3356" i="2" s="1"/>
  <c r="N3357" i="2"/>
  <c r="P3357" i="2" s="1"/>
  <c r="N3358" i="2"/>
  <c r="P3358" i="2" s="1"/>
  <c r="N3359" i="2"/>
  <c r="P3359" i="2" s="1"/>
  <c r="N3360" i="2"/>
  <c r="P3360" i="2" s="1"/>
  <c r="N3361" i="2"/>
  <c r="P3361" i="2" s="1"/>
  <c r="N3362" i="2"/>
  <c r="P3362" i="2" s="1"/>
  <c r="N3363" i="2"/>
  <c r="P3363" i="2" s="1"/>
  <c r="N3364" i="2"/>
  <c r="P3364" i="2" s="1"/>
  <c r="N3365" i="2"/>
  <c r="P3365" i="2" s="1"/>
  <c r="N3366" i="2"/>
  <c r="P3366" i="2" s="1"/>
  <c r="N3367" i="2"/>
  <c r="P3367" i="2" s="1"/>
  <c r="N3368" i="2"/>
  <c r="P3368" i="2" s="1"/>
  <c r="N3369" i="2"/>
  <c r="P3369" i="2" s="1"/>
  <c r="N3370" i="2"/>
  <c r="P3370" i="2" s="1"/>
  <c r="N3371" i="2"/>
  <c r="P3371" i="2" s="1"/>
  <c r="N3372" i="2"/>
  <c r="P3372" i="2" s="1"/>
  <c r="N3373" i="2"/>
  <c r="P3373" i="2" s="1"/>
  <c r="N3374" i="2"/>
  <c r="P3374" i="2" s="1"/>
  <c r="N3375" i="2"/>
  <c r="P3375" i="2" s="1"/>
  <c r="N3376" i="2"/>
  <c r="P3376" i="2" s="1"/>
  <c r="N3377" i="2"/>
  <c r="P3377" i="2" s="1"/>
  <c r="N3378" i="2"/>
  <c r="P3378" i="2" s="1"/>
  <c r="N3379" i="2"/>
  <c r="P3379" i="2" s="1"/>
  <c r="N3380" i="2"/>
  <c r="P3380" i="2" s="1"/>
  <c r="N3381" i="2"/>
  <c r="P3381" i="2" s="1"/>
  <c r="N3382" i="2"/>
  <c r="P3382" i="2" s="1"/>
  <c r="N3383" i="2"/>
  <c r="P3383" i="2" s="1"/>
  <c r="N3384" i="2"/>
  <c r="P3384" i="2" s="1"/>
  <c r="N3385" i="2"/>
  <c r="P3385" i="2" s="1"/>
  <c r="N3386" i="2"/>
  <c r="P3386" i="2" s="1"/>
  <c r="N3387" i="2"/>
  <c r="P3387" i="2" s="1"/>
  <c r="N3388" i="2"/>
  <c r="P3388" i="2" s="1"/>
  <c r="N3389" i="2"/>
  <c r="P3389" i="2" s="1"/>
  <c r="N3390" i="2"/>
  <c r="P3390" i="2" s="1"/>
  <c r="N3391" i="2"/>
  <c r="P3391" i="2" s="1"/>
  <c r="N3392" i="2"/>
  <c r="P3392" i="2" s="1"/>
  <c r="N3393" i="2"/>
  <c r="P3393" i="2" s="1"/>
  <c r="N3394" i="2"/>
  <c r="P3394" i="2" s="1"/>
  <c r="N3395" i="2"/>
  <c r="P3395" i="2" s="1"/>
  <c r="N3396" i="2"/>
  <c r="P3396" i="2" s="1"/>
  <c r="N3397" i="2"/>
  <c r="P3397" i="2" s="1"/>
  <c r="N3398" i="2"/>
  <c r="P3398" i="2" s="1"/>
  <c r="N3399" i="2"/>
  <c r="P3399" i="2" s="1"/>
  <c r="N3400" i="2"/>
  <c r="P3400" i="2" s="1"/>
  <c r="N3401" i="2"/>
  <c r="P3401" i="2" s="1"/>
  <c r="N3402" i="2"/>
  <c r="P3402" i="2" s="1"/>
  <c r="N3403" i="2"/>
  <c r="P3403" i="2" s="1"/>
  <c r="N3404" i="2"/>
  <c r="P3404" i="2" s="1"/>
  <c r="N3405" i="2"/>
  <c r="P3405" i="2" s="1"/>
  <c r="N3406" i="2"/>
  <c r="P3406" i="2" s="1"/>
  <c r="N3407" i="2"/>
  <c r="P3407" i="2" s="1"/>
  <c r="N3408" i="2"/>
  <c r="P3408" i="2" s="1"/>
  <c r="N3409" i="2"/>
  <c r="P3409" i="2" s="1"/>
  <c r="N3410" i="2"/>
  <c r="P3410" i="2" s="1"/>
  <c r="N3411" i="2"/>
  <c r="P3411" i="2" s="1"/>
  <c r="N3412" i="2"/>
  <c r="P3412" i="2" s="1"/>
  <c r="N3413" i="2"/>
  <c r="P3413" i="2" s="1"/>
  <c r="N3414" i="2"/>
  <c r="P3414" i="2" s="1"/>
  <c r="N3415" i="2"/>
  <c r="P3415" i="2" s="1"/>
  <c r="N3416" i="2"/>
  <c r="P3416" i="2" s="1"/>
  <c r="N3417" i="2"/>
  <c r="P3417" i="2" s="1"/>
  <c r="N3418" i="2"/>
  <c r="P3418" i="2" s="1"/>
  <c r="N3419" i="2"/>
  <c r="P3419" i="2" s="1"/>
  <c r="N3420" i="2"/>
  <c r="P3420" i="2" s="1"/>
  <c r="N3421" i="2"/>
  <c r="P3421" i="2" s="1"/>
  <c r="N3422" i="2"/>
  <c r="P3422" i="2" s="1"/>
  <c r="N3423" i="2"/>
  <c r="P3423" i="2" s="1"/>
  <c r="N3424" i="2"/>
  <c r="P3424" i="2" s="1"/>
  <c r="N3425" i="2"/>
  <c r="P3425" i="2" s="1"/>
  <c r="N3426" i="2"/>
  <c r="P3426" i="2" s="1"/>
  <c r="N3427" i="2"/>
  <c r="P3427" i="2" s="1"/>
  <c r="N3428" i="2"/>
  <c r="P3428" i="2" s="1"/>
  <c r="N3429" i="2"/>
  <c r="P3429" i="2" s="1"/>
  <c r="N3430" i="2"/>
  <c r="P3430" i="2" s="1"/>
  <c r="N3431" i="2"/>
  <c r="P3431" i="2" s="1"/>
  <c r="N3432" i="2"/>
  <c r="P3432" i="2" s="1"/>
  <c r="N3433" i="2"/>
  <c r="P3433" i="2" s="1"/>
  <c r="N3434" i="2"/>
  <c r="P3434" i="2" s="1"/>
  <c r="N3435" i="2"/>
  <c r="P3435" i="2" s="1"/>
  <c r="N3436" i="2"/>
  <c r="P3436" i="2" s="1"/>
  <c r="N3437" i="2"/>
  <c r="P3437" i="2" s="1"/>
  <c r="N3438" i="2"/>
  <c r="P3438" i="2" s="1"/>
  <c r="N3439" i="2"/>
  <c r="P3439" i="2" s="1"/>
  <c r="N3440" i="2"/>
  <c r="P3440" i="2" s="1"/>
  <c r="N3441" i="2"/>
  <c r="P3441" i="2" s="1"/>
  <c r="N3442" i="2"/>
  <c r="P3442" i="2" s="1"/>
  <c r="N3443" i="2"/>
  <c r="P3443" i="2" s="1"/>
  <c r="N3444" i="2"/>
  <c r="P3444" i="2" s="1"/>
  <c r="N3445" i="2"/>
  <c r="P3445" i="2" s="1"/>
  <c r="N3446" i="2"/>
  <c r="P3446" i="2" s="1"/>
  <c r="N3447" i="2"/>
  <c r="P3447" i="2" s="1"/>
  <c r="N3448" i="2"/>
  <c r="P3448" i="2" s="1"/>
  <c r="N3449" i="2"/>
  <c r="P3449" i="2" s="1"/>
  <c r="N3450" i="2"/>
  <c r="P3450" i="2" s="1"/>
  <c r="N3451" i="2"/>
  <c r="P3451" i="2" s="1"/>
  <c r="N3452" i="2"/>
  <c r="P3452" i="2" s="1"/>
  <c r="N3453" i="2"/>
  <c r="P3453" i="2" s="1"/>
  <c r="N3454" i="2"/>
  <c r="P3454" i="2" s="1"/>
  <c r="N3455" i="2"/>
  <c r="P3455" i="2" s="1"/>
  <c r="N3456" i="2"/>
  <c r="P3456" i="2" s="1"/>
  <c r="N3457" i="2"/>
  <c r="P3457" i="2" s="1"/>
  <c r="N3458" i="2"/>
  <c r="P3458" i="2" s="1"/>
  <c r="N3459" i="2"/>
  <c r="P3459" i="2" s="1"/>
  <c r="N3460" i="2"/>
  <c r="P3460" i="2" s="1"/>
  <c r="N3461" i="2"/>
  <c r="P3461" i="2" s="1"/>
  <c r="N3462" i="2"/>
  <c r="P3462" i="2" s="1"/>
  <c r="N3463" i="2"/>
  <c r="P3463" i="2" s="1"/>
  <c r="N3464" i="2"/>
  <c r="P3464" i="2" s="1"/>
  <c r="N3465" i="2"/>
  <c r="P3465" i="2" s="1"/>
  <c r="N3466" i="2"/>
  <c r="P3466" i="2" s="1"/>
  <c r="N3467" i="2"/>
  <c r="P3467" i="2" s="1"/>
  <c r="N3468" i="2"/>
  <c r="P3468" i="2" s="1"/>
  <c r="N3469" i="2"/>
  <c r="P3469" i="2" s="1"/>
  <c r="N3470" i="2"/>
  <c r="P3470" i="2" s="1"/>
  <c r="N3471" i="2"/>
  <c r="P3471" i="2" s="1"/>
  <c r="N3472" i="2"/>
  <c r="P3472" i="2" s="1"/>
  <c r="N3473" i="2"/>
  <c r="P3473" i="2" s="1"/>
  <c r="N3474" i="2"/>
  <c r="P3474" i="2" s="1"/>
  <c r="N3475" i="2"/>
  <c r="P3475" i="2" s="1"/>
  <c r="N3476" i="2"/>
  <c r="P3476" i="2" s="1"/>
  <c r="N3477" i="2"/>
  <c r="P3477" i="2" s="1"/>
  <c r="N3478" i="2"/>
  <c r="P3478" i="2" s="1"/>
  <c r="N3479" i="2"/>
  <c r="P3479" i="2" s="1"/>
  <c r="N3480" i="2"/>
  <c r="P3480" i="2" s="1"/>
  <c r="N3481" i="2"/>
  <c r="P3481" i="2" s="1"/>
  <c r="N3482" i="2"/>
  <c r="P3482" i="2" s="1"/>
  <c r="N3483" i="2"/>
  <c r="P3483" i="2" s="1"/>
  <c r="N3484" i="2"/>
  <c r="P3484" i="2" s="1"/>
  <c r="N3485" i="2"/>
  <c r="P3485" i="2" s="1"/>
  <c r="N3486" i="2"/>
  <c r="P3486" i="2" s="1"/>
  <c r="N3487" i="2"/>
  <c r="P3487" i="2" s="1"/>
  <c r="N3488" i="2"/>
  <c r="P3488" i="2" s="1"/>
  <c r="N3489" i="2"/>
  <c r="P3489" i="2" s="1"/>
  <c r="N3490" i="2"/>
  <c r="P3490" i="2" s="1"/>
  <c r="N3491" i="2"/>
  <c r="P3491" i="2" s="1"/>
  <c r="N3492" i="2"/>
  <c r="P3492" i="2" s="1"/>
  <c r="N3493" i="2"/>
  <c r="P3493" i="2" s="1"/>
  <c r="N3494" i="2"/>
  <c r="P3494" i="2" s="1"/>
  <c r="N3495" i="2"/>
  <c r="P3495" i="2" s="1"/>
  <c r="N3496" i="2"/>
  <c r="P3496" i="2" s="1"/>
  <c r="N3497" i="2"/>
  <c r="P3497" i="2" s="1"/>
  <c r="N3498" i="2"/>
  <c r="P3498" i="2" s="1"/>
  <c r="N3499" i="2"/>
  <c r="P3499" i="2" s="1"/>
  <c r="N3500" i="2"/>
  <c r="P3500" i="2" s="1"/>
  <c r="N3501" i="2"/>
  <c r="P3501" i="2" s="1"/>
  <c r="N3502" i="2"/>
  <c r="P3502" i="2" s="1"/>
  <c r="N3503" i="2"/>
  <c r="P3503" i="2" s="1"/>
  <c r="N3504" i="2"/>
  <c r="P3504" i="2" s="1"/>
  <c r="N3505" i="2"/>
  <c r="P3505" i="2" s="1"/>
  <c r="N3506" i="2"/>
  <c r="P3506" i="2" s="1"/>
  <c r="N3507" i="2"/>
  <c r="P3507" i="2" s="1"/>
  <c r="N3508" i="2"/>
  <c r="P3508" i="2" s="1"/>
  <c r="N3509" i="2"/>
  <c r="P3509" i="2" s="1"/>
  <c r="N3510" i="2"/>
  <c r="P3510" i="2" s="1"/>
  <c r="N3511" i="2"/>
  <c r="P3511" i="2" s="1"/>
  <c r="N3512" i="2"/>
  <c r="P3512" i="2" s="1"/>
  <c r="N3513" i="2"/>
  <c r="P3513" i="2" s="1"/>
  <c r="N3514" i="2"/>
  <c r="P3514" i="2" s="1"/>
  <c r="N3515" i="2"/>
  <c r="P3515" i="2" s="1"/>
  <c r="N3516" i="2"/>
  <c r="P3516" i="2" s="1"/>
  <c r="N3517" i="2"/>
  <c r="P3517" i="2" s="1"/>
  <c r="N3518" i="2"/>
  <c r="P3518" i="2" s="1"/>
  <c r="N3519" i="2"/>
  <c r="P3519" i="2" s="1"/>
  <c r="N3520" i="2"/>
  <c r="P3520" i="2" s="1"/>
  <c r="N3521" i="2"/>
  <c r="P3521" i="2" s="1"/>
  <c r="N3522" i="2"/>
  <c r="P3522" i="2" s="1"/>
  <c r="N3523" i="2"/>
  <c r="P3523" i="2" s="1"/>
  <c r="N3524" i="2"/>
  <c r="P3524" i="2" s="1"/>
  <c r="N3525" i="2"/>
  <c r="P3525" i="2" s="1"/>
  <c r="N3526" i="2"/>
  <c r="P3526" i="2" s="1"/>
  <c r="N3527" i="2"/>
  <c r="P3527" i="2" s="1"/>
  <c r="N3528" i="2"/>
  <c r="P3528" i="2" s="1"/>
  <c r="N3529" i="2"/>
  <c r="P3529" i="2" s="1"/>
  <c r="N3530" i="2"/>
  <c r="P3530" i="2" s="1"/>
  <c r="N3531" i="2"/>
  <c r="P3531" i="2" s="1"/>
  <c r="N3532" i="2"/>
  <c r="P3532" i="2" s="1"/>
  <c r="N3533" i="2"/>
  <c r="P3533" i="2" s="1"/>
  <c r="N3534" i="2"/>
  <c r="P3534" i="2" s="1"/>
  <c r="N3535" i="2"/>
  <c r="P3535" i="2" s="1"/>
  <c r="N3536" i="2"/>
  <c r="P3536" i="2" s="1"/>
  <c r="N3537" i="2"/>
  <c r="P3537" i="2" s="1"/>
  <c r="N3538" i="2"/>
  <c r="P3538" i="2" s="1"/>
  <c r="N3539" i="2"/>
  <c r="P3539" i="2" s="1"/>
  <c r="N3540" i="2"/>
  <c r="P3540" i="2" s="1"/>
  <c r="N3541" i="2"/>
  <c r="P3541" i="2" s="1"/>
  <c r="N3542" i="2"/>
  <c r="P3542" i="2" s="1"/>
  <c r="N3543" i="2"/>
  <c r="P3543" i="2" s="1"/>
  <c r="N3544" i="2"/>
  <c r="P3544" i="2" s="1"/>
  <c r="N3545" i="2"/>
  <c r="P3545" i="2" s="1"/>
  <c r="N3546" i="2"/>
  <c r="P3546" i="2" s="1"/>
  <c r="N3547" i="2"/>
  <c r="P3547" i="2" s="1"/>
  <c r="N3548" i="2"/>
  <c r="P3548" i="2" s="1"/>
  <c r="N3549" i="2"/>
  <c r="P3549" i="2" s="1"/>
  <c r="N3550" i="2"/>
  <c r="P3550" i="2" s="1"/>
  <c r="N3551" i="2"/>
  <c r="P3551" i="2" s="1"/>
  <c r="N3552" i="2"/>
  <c r="P3552" i="2" s="1"/>
  <c r="N3553" i="2"/>
  <c r="P3553" i="2" s="1"/>
  <c r="N3554" i="2"/>
  <c r="P3554" i="2" s="1"/>
  <c r="N3555" i="2"/>
  <c r="P3555" i="2" s="1"/>
  <c r="N3556" i="2"/>
  <c r="P3556" i="2" s="1"/>
  <c r="N3557" i="2"/>
  <c r="P3557" i="2" s="1"/>
  <c r="N3558" i="2"/>
  <c r="P3558" i="2" s="1"/>
  <c r="N3559" i="2"/>
  <c r="P3559" i="2" s="1"/>
  <c r="N3560" i="2"/>
  <c r="P3560" i="2" s="1"/>
  <c r="N3561" i="2"/>
  <c r="P3561" i="2" s="1"/>
  <c r="N3562" i="2"/>
  <c r="P3562" i="2" s="1"/>
  <c r="N3563" i="2"/>
  <c r="P3563" i="2" s="1"/>
  <c r="N3564" i="2"/>
  <c r="P3564" i="2" s="1"/>
  <c r="N3565" i="2"/>
  <c r="P3565" i="2" s="1"/>
  <c r="N3566" i="2"/>
  <c r="P3566" i="2" s="1"/>
  <c r="N3567" i="2"/>
  <c r="P3567" i="2" s="1"/>
  <c r="N3568" i="2"/>
  <c r="P3568" i="2" s="1"/>
  <c r="N3569" i="2"/>
  <c r="P3569" i="2" s="1"/>
  <c r="N3570" i="2"/>
  <c r="P3570" i="2" s="1"/>
  <c r="N3571" i="2"/>
  <c r="P3571" i="2" s="1"/>
  <c r="N3572" i="2"/>
  <c r="P3572" i="2" s="1"/>
  <c r="N3573" i="2"/>
  <c r="P3573" i="2" s="1"/>
  <c r="N3574" i="2"/>
  <c r="P3574" i="2" s="1"/>
  <c r="N3575" i="2"/>
  <c r="P3575" i="2" s="1"/>
  <c r="N3576" i="2"/>
  <c r="P3576" i="2" s="1"/>
  <c r="N3577" i="2"/>
  <c r="P3577" i="2" s="1"/>
  <c r="N3578" i="2"/>
  <c r="P3578" i="2" s="1"/>
  <c r="N3579" i="2"/>
  <c r="P3579" i="2" s="1"/>
  <c r="N3580" i="2"/>
  <c r="P3580" i="2" s="1"/>
  <c r="N3581" i="2"/>
  <c r="P3581" i="2" s="1"/>
  <c r="N3582" i="2"/>
  <c r="P3582" i="2" s="1"/>
  <c r="N3583" i="2"/>
  <c r="P3583" i="2" s="1"/>
  <c r="N3584" i="2"/>
  <c r="P3584" i="2" s="1"/>
  <c r="N3585" i="2"/>
  <c r="P3585" i="2" s="1"/>
  <c r="N3586" i="2"/>
  <c r="P3586" i="2" s="1"/>
  <c r="N3587" i="2"/>
  <c r="P3587" i="2" s="1"/>
  <c r="N3588" i="2"/>
  <c r="P3588" i="2" s="1"/>
  <c r="N3589" i="2"/>
  <c r="P3589" i="2" s="1"/>
  <c r="N3590" i="2"/>
  <c r="P3590" i="2" s="1"/>
  <c r="N3591" i="2"/>
  <c r="P3591" i="2" s="1"/>
  <c r="N3592" i="2"/>
  <c r="P3592" i="2" s="1"/>
  <c r="N3593" i="2"/>
  <c r="P3593" i="2" s="1"/>
  <c r="N3594" i="2"/>
  <c r="P3594" i="2" s="1"/>
  <c r="N3595" i="2"/>
  <c r="P3595" i="2" s="1"/>
  <c r="N3596" i="2"/>
  <c r="P3596" i="2" s="1"/>
  <c r="N3597" i="2"/>
  <c r="P3597" i="2" s="1"/>
  <c r="N3598" i="2"/>
  <c r="P3598" i="2" s="1"/>
  <c r="N3599" i="2"/>
  <c r="P3599" i="2" s="1"/>
  <c r="N3600" i="2"/>
  <c r="P3600" i="2" s="1"/>
  <c r="N3601" i="2"/>
  <c r="P3601" i="2" s="1"/>
  <c r="N3602" i="2"/>
  <c r="P3602" i="2" s="1"/>
  <c r="N3603" i="2"/>
  <c r="P3603" i="2" s="1"/>
  <c r="N3604" i="2"/>
  <c r="P3604" i="2" s="1"/>
  <c r="N3605" i="2"/>
  <c r="P3605" i="2" s="1"/>
  <c r="N3606" i="2"/>
  <c r="P3606" i="2" s="1"/>
  <c r="N3607" i="2"/>
  <c r="P3607" i="2" s="1"/>
  <c r="N3608" i="2"/>
  <c r="P3608" i="2" s="1"/>
  <c r="N3609" i="2"/>
  <c r="P3609" i="2" s="1"/>
  <c r="N3610" i="2"/>
  <c r="P3610" i="2" s="1"/>
  <c r="N3611" i="2"/>
  <c r="P3611" i="2" s="1"/>
  <c r="N3612" i="2"/>
  <c r="P3612" i="2" s="1"/>
  <c r="N3613" i="2"/>
  <c r="P3613" i="2" s="1"/>
  <c r="N3614" i="2"/>
  <c r="P3614" i="2" s="1"/>
  <c r="N3615" i="2"/>
  <c r="P3615" i="2" s="1"/>
  <c r="N3616" i="2"/>
  <c r="P3616" i="2" s="1"/>
  <c r="N3617" i="2"/>
  <c r="P3617" i="2" s="1"/>
  <c r="N3618" i="2"/>
  <c r="P3618" i="2" s="1"/>
  <c r="N3619" i="2"/>
  <c r="P3619" i="2" s="1"/>
  <c r="N3620" i="2"/>
  <c r="P3620" i="2" s="1"/>
  <c r="N3621" i="2"/>
  <c r="P3621" i="2" s="1"/>
  <c r="N3622" i="2"/>
  <c r="P3622" i="2" s="1"/>
  <c r="N3623" i="2"/>
  <c r="P3623" i="2" s="1"/>
  <c r="N3624" i="2"/>
  <c r="P3624" i="2" s="1"/>
  <c r="N3625" i="2"/>
  <c r="P3625" i="2" s="1"/>
  <c r="N3626" i="2"/>
  <c r="P3626" i="2" s="1"/>
  <c r="N3627" i="2"/>
  <c r="P3627" i="2" s="1"/>
  <c r="N3628" i="2"/>
  <c r="P3628" i="2" s="1"/>
  <c r="N3629" i="2"/>
  <c r="P3629" i="2" s="1"/>
  <c r="N3630" i="2"/>
  <c r="P3630" i="2" s="1"/>
  <c r="N3631" i="2"/>
  <c r="P3631" i="2" s="1"/>
  <c r="N3632" i="2"/>
  <c r="P3632" i="2" s="1"/>
  <c r="N3633" i="2"/>
  <c r="P3633" i="2" s="1"/>
  <c r="N3634" i="2"/>
  <c r="P3634" i="2" s="1"/>
  <c r="N3635" i="2"/>
  <c r="P3635" i="2" s="1"/>
  <c r="N3636" i="2"/>
  <c r="P3636" i="2" s="1"/>
  <c r="N3637" i="2"/>
  <c r="P3637" i="2" s="1"/>
  <c r="N3638" i="2"/>
  <c r="P3638" i="2" s="1"/>
  <c r="N3639" i="2"/>
  <c r="P3639" i="2" s="1"/>
  <c r="N3640" i="2"/>
  <c r="P3640" i="2" s="1"/>
  <c r="N3641" i="2"/>
  <c r="P3641" i="2" s="1"/>
  <c r="N3642" i="2"/>
  <c r="P3642" i="2" s="1"/>
  <c r="N3643" i="2"/>
  <c r="P3643" i="2" s="1"/>
  <c r="N3644" i="2"/>
  <c r="P3644" i="2" s="1"/>
  <c r="N3645" i="2"/>
  <c r="P3645" i="2" s="1"/>
  <c r="N3646" i="2"/>
  <c r="P3646" i="2" s="1"/>
  <c r="N3647" i="2"/>
  <c r="P3647" i="2" s="1"/>
  <c r="N3648" i="2"/>
  <c r="P3648" i="2" s="1"/>
  <c r="N3649" i="2"/>
  <c r="P3649" i="2" s="1"/>
  <c r="N3650" i="2"/>
  <c r="P3650" i="2" s="1"/>
  <c r="N3651" i="2"/>
  <c r="P3651" i="2" s="1"/>
  <c r="N3652" i="2"/>
  <c r="P3652" i="2" s="1"/>
  <c r="N3653" i="2"/>
  <c r="P3653" i="2" s="1"/>
  <c r="N3654" i="2"/>
  <c r="P3654" i="2" s="1"/>
  <c r="N3655" i="2"/>
  <c r="P3655" i="2" s="1"/>
  <c r="N3656" i="2"/>
  <c r="P3656" i="2" s="1"/>
  <c r="N3657" i="2"/>
  <c r="P3657" i="2" s="1"/>
  <c r="N3658" i="2"/>
  <c r="P3658" i="2" s="1"/>
  <c r="N3659" i="2"/>
  <c r="P3659" i="2" s="1"/>
  <c r="N3660" i="2"/>
  <c r="P3660" i="2" s="1"/>
  <c r="N3661" i="2"/>
  <c r="P3661" i="2" s="1"/>
  <c r="N3662" i="2"/>
  <c r="P3662" i="2" s="1"/>
  <c r="N3663" i="2"/>
  <c r="P3663" i="2" s="1"/>
  <c r="N3664" i="2"/>
  <c r="P3664" i="2" s="1"/>
  <c r="N3665" i="2"/>
  <c r="P3665" i="2" s="1"/>
  <c r="N3666" i="2"/>
  <c r="P3666" i="2" s="1"/>
  <c r="N3667" i="2"/>
  <c r="P3667" i="2" s="1"/>
  <c r="N3668" i="2"/>
  <c r="P3668" i="2" s="1"/>
  <c r="N3669" i="2"/>
  <c r="P3669" i="2" s="1"/>
  <c r="N3670" i="2"/>
  <c r="P3670" i="2" s="1"/>
  <c r="N3671" i="2"/>
  <c r="P3671" i="2" s="1"/>
  <c r="N3672" i="2"/>
  <c r="P3672" i="2" s="1"/>
  <c r="N3673" i="2"/>
  <c r="P3673" i="2" s="1"/>
  <c r="N3674" i="2"/>
  <c r="P3674" i="2" s="1"/>
  <c r="N3675" i="2"/>
  <c r="P3675" i="2" s="1"/>
  <c r="N3676" i="2"/>
  <c r="P3676" i="2" s="1"/>
  <c r="N3677" i="2"/>
  <c r="P3677" i="2" s="1"/>
  <c r="N3678" i="2"/>
  <c r="P3678" i="2" s="1"/>
  <c r="N3679" i="2"/>
  <c r="P3679" i="2" s="1"/>
  <c r="N3680" i="2"/>
  <c r="P3680" i="2" s="1"/>
  <c r="N3681" i="2"/>
  <c r="P3681" i="2" s="1"/>
  <c r="N3682" i="2"/>
  <c r="P3682" i="2" s="1"/>
  <c r="N3683" i="2"/>
  <c r="P3683" i="2" s="1"/>
  <c r="N3684" i="2"/>
  <c r="P3684" i="2" s="1"/>
  <c r="N3685" i="2"/>
  <c r="P3685" i="2" s="1"/>
  <c r="N3686" i="2"/>
  <c r="P3686" i="2" s="1"/>
  <c r="N3687" i="2"/>
  <c r="P3687" i="2" s="1"/>
  <c r="N3688" i="2"/>
  <c r="P3688" i="2" s="1"/>
  <c r="N3689" i="2"/>
  <c r="P3689" i="2" s="1"/>
  <c r="N3690" i="2"/>
  <c r="P3690" i="2" s="1"/>
  <c r="N3691" i="2"/>
  <c r="P3691" i="2" s="1"/>
  <c r="N3692" i="2"/>
  <c r="P3692" i="2" s="1"/>
  <c r="N3693" i="2"/>
  <c r="P3693" i="2" s="1"/>
  <c r="N3694" i="2"/>
  <c r="P3694" i="2" s="1"/>
  <c r="N3695" i="2"/>
  <c r="P3695" i="2" s="1"/>
  <c r="N3696" i="2"/>
  <c r="P3696" i="2" s="1"/>
  <c r="N3697" i="2"/>
  <c r="P3697" i="2" s="1"/>
  <c r="N3698" i="2"/>
  <c r="P3698" i="2" s="1"/>
  <c r="N3699" i="2"/>
  <c r="P3699" i="2" s="1"/>
  <c r="N3700" i="2"/>
  <c r="P3700" i="2" s="1"/>
  <c r="N3701" i="2"/>
  <c r="P3701" i="2" s="1"/>
  <c r="N3702" i="2"/>
  <c r="P3702" i="2" s="1"/>
  <c r="N3703" i="2"/>
  <c r="P3703" i="2" s="1"/>
  <c r="N3704" i="2"/>
  <c r="P3704" i="2" s="1"/>
  <c r="N3705" i="2"/>
  <c r="P3705" i="2" s="1"/>
  <c r="N3706" i="2"/>
  <c r="P3706" i="2" s="1"/>
  <c r="N3707" i="2"/>
  <c r="P3707" i="2" s="1"/>
  <c r="N3708" i="2"/>
  <c r="P3708" i="2" s="1"/>
  <c r="N3709" i="2"/>
  <c r="P3709" i="2" s="1"/>
  <c r="N3710" i="2"/>
  <c r="P3710" i="2" s="1"/>
  <c r="N3711" i="2"/>
  <c r="P3711" i="2" s="1"/>
  <c r="N3712" i="2"/>
  <c r="P3712" i="2" s="1"/>
  <c r="N3713" i="2"/>
  <c r="P3713" i="2" s="1"/>
  <c r="N3714" i="2"/>
  <c r="P3714" i="2" s="1"/>
  <c r="N3715" i="2"/>
  <c r="P3715" i="2" s="1"/>
  <c r="N3716" i="2"/>
  <c r="P3716" i="2" s="1"/>
  <c r="N3717" i="2"/>
  <c r="P3717" i="2" s="1"/>
  <c r="N3718" i="2"/>
  <c r="P3718" i="2" s="1"/>
  <c r="N3719" i="2"/>
  <c r="P3719" i="2" s="1"/>
  <c r="N3720" i="2"/>
  <c r="P3720" i="2" s="1"/>
  <c r="N3721" i="2"/>
  <c r="P3721" i="2" s="1"/>
  <c r="N3722" i="2"/>
  <c r="P3722" i="2" s="1"/>
  <c r="N3723" i="2"/>
  <c r="P3723" i="2" s="1"/>
  <c r="N3724" i="2"/>
  <c r="P3724" i="2" s="1"/>
  <c r="N3725" i="2"/>
  <c r="P3725" i="2" s="1"/>
  <c r="N3726" i="2"/>
  <c r="P3726" i="2" s="1"/>
  <c r="N3727" i="2"/>
  <c r="P3727" i="2" s="1"/>
  <c r="N3728" i="2"/>
  <c r="P3728" i="2" s="1"/>
  <c r="N3729" i="2"/>
  <c r="P3729" i="2" s="1"/>
  <c r="N3730" i="2"/>
  <c r="P3730" i="2" s="1"/>
  <c r="N3731" i="2"/>
  <c r="P3731" i="2" s="1"/>
  <c r="N3732" i="2"/>
  <c r="P3732" i="2" s="1"/>
  <c r="N3733" i="2"/>
  <c r="P3733" i="2" s="1"/>
  <c r="N3734" i="2"/>
  <c r="P3734" i="2" s="1"/>
  <c r="N3735" i="2"/>
  <c r="P3735" i="2" s="1"/>
  <c r="N3736" i="2"/>
  <c r="P3736" i="2" s="1"/>
  <c r="N3737" i="2"/>
  <c r="P3737" i="2" s="1"/>
  <c r="N3738" i="2"/>
  <c r="P3738" i="2" s="1"/>
  <c r="N3739" i="2"/>
  <c r="P3739" i="2" s="1"/>
  <c r="N3740" i="2"/>
  <c r="P3740" i="2" s="1"/>
  <c r="N3741" i="2"/>
  <c r="P3741" i="2" s="1"/>
  <c r="N3742" i="2"/>
  <c r="P3742" i="2" s="1"/>
  <c r="N3743" i="2"/>
  <c r="P3743" i="2" s="1"/>
  <c r="N3744" i="2"/>
  <c r="P3744" i="2" s="1"/>
  <c r="N3745" i="2"/>
  <c r="P3745" i="2" s="1"/>
  <c r="N3746" i="2"/>
  <c r="P3746" i="2" s="1"/>
  <c r="N3747" i="2"/>
  <c r="P3747" i="2" s="1"/>
  <c r="N3748" i="2"/>
  <c r="P3748" i="2" s="1"/>
  <c r="N3749" i="2"/>
  <c r="P3749" i="2" s="1"/>
  <c r="N3750" i="2"/>
  <c r="P3750" i="2" s="1"/>
  <c r="N3751" i="2"/>
  <c r="P3751" i="2" s="1"/>
  <c r="N3752" i="2"/>
  <c r="P3752" i="2" s="1"/>
  <c r="N3753" i="2"/>
  <c r="P3753" i="2" s="1"/>
  <c r="N3754" i="2"/>
  <c r="P3754" i="2" s="1"/>
  <c r="N3755" i="2"/>
  <c r="P3755" i="2" s="1"/>
  <c r="N3756" i="2"/>
  <c r="P3756" i="2" s="1"/>
  <c r="N3757" i="2"/>
  <c r="P3757" i="2" s="1"/>
  <c r="N3758" i="2"/>
  <c r="P3758" i="2" s="1"/>
  <c r="N3759" i="2"/>
  <c r="P3759" i="2" s="1"/>
  <c r="N3760" i="2"/>
  <c r="P3760" i="2" s="1"/>
  <c r="N3761" i="2"/>
  <c r="P3761" i="2" s="1"/>
  <c r="N3762" i="2"/>
  <c r="P3762" i="2" s="1"/>
  <c r="N3763" i="2"/>
  <c r="P3763" i="2" s="1"/>
  <c r="N3764" i="2"/>
  <c r="P3764" i="2" s="1"/>
  <c r="N3765" i="2"/>
  <c r="P3765" i="2" s="1"/>
  <c r="N3766" i="2"/>
  <c r="P3766" i="2" s="1"/>
  <c r="N3767" i="2"/>
  <c r="P3767" i="2" s="1"/>
  <c r="N3768" i="2"/>
  <c r="P3768" i="2" s="1"/>
  <c r="N3769" i="2"/>
  <c r="P3769" i="2" s="1"/>
  <c r="N3770" i="2"/>
  <c r="P3770" i="2" s="1"/>
  <c r="N3771" i="2"/>
  <c r="P3771" i="2" s="1"/>
  <c r="N3772" i="2"/>
  <c r="P3772" i="2" s="1"/>
  <c r="N3773" i="2"/>
  <c r="P3773" i="2" s="1"/>
  <c r="N3774" i="2"/>
  <c r="P3774" i="2" s="1"/>
  <c r="N3775" i="2"/>
  <c r="P3775" i="2" s="1"/>
  <c r="N3776" i="2"/>
  <c r="P3776" i="2" s="1"/>
  <c r="N3777" i="2"/>
  <c r="P3777" i="2" s="1"/>
  <c r="N3778" i="2"/>
  <c r="P3778" i="2" s="1"/>
  <c r="N3779" i="2"/>
  <c r="P3779" i="2" s="1"/>
  <c r="N3780" i="2"/>
  <c r="P3780" i="2" s="1"/>
  <c r="N3781" i="2"/>
  <c r="P3781" i="2" s="1"/>
  <c r="N3782" i="2"/>
  <c r="P3782" i="2" s="1"/>
  <c r="N3783" i="2"/>
  <c r="P3783" i="2" s="1"/>
  <c r="N3784" i="2"/>
  <c r="P3784" i="2" s="1"/>
  <c r="N3785" i="2"/>
  <c r="P3785" i="2" s="1"/>
  <c r="N3786" i="2"/>
  <c r="P3786" i="2" s="1"/>
  <c r="N3787" i="2"/>
  <c r="P3787" i="2" s="1"/>
  <c r="N3788" i="2"/>
  <c r="P3788" i="2" s="1"/>
  <c r="N3789" i="2"/>
  <c r="P3789" i="2" s="1"/>
  <c r="N3790" i="2"/>
  <c r="P3790" i="2" s="1"/>
  <c r="N3791" i="2"/>
  <c r="P3791" i="2" s="1"/>
  <c r="N3792" i="2"/>
  <c r="P3792" i="2" s="1"/>
  <c r="N3793" i="2"/>
  <c r="P3793" i="2" s="1"/>
  <c r="N3794" i="2"/>
  <c r="P3794" i="2" s="1"/>
  <c r="N3795" i="2"/>
  <c r="P3795" i="2" s="1"/>
  <c r="N3796" i="2"/>
  <c r="P3796" i="2" s="1"/>
  <c r="N3797" i="2"/>
  <c r="P3797" i="2" s="1"/>
  <c r="N3798" i="2"/>
  <c r="P3798" i="2" s="1"/>
  <c r="N3799" i="2"/>
  <c r="P3799" i="2" s="1"/>
  <c r="N3800" i="2"/>
  <c r="P3800" i="2" s="1"/>
  <c r="N3801" i="2"/>
  <c r="P3801" i="2" s="1"/>
  <c r="N3802" i="2"/>
  <c r="P3802" i="2" s="1"/>
  <c r="N3803" i="2"/>
  <c r="P3803" i="2" s="1"/>
  <c r="N3804" i="2"/>
  <c r="P3804" i="2" s="1"/>
  <c r="N3805" i="2"/>
  <c r="P3805" i="2" s="1"/>
  <c r="N3806" i="2"/>
  <c r="P3806" i="2" s="1"/>
  <c r="N3807" i="2"/>
  <c r="P3807" i="2" s="1"/>
  <c r="N3808" i="2"/>
  <c r="P3808" i="2" s="1"/>
  <c r="N3809" i="2"/>
  <c r="P3809" i="2" s="1"/>
  <c r="N3810" i="2"/>
  <c r="P3810" i="2" s="1"/>
  <c r="N3811" i="2"/>
  <c r="P3811" i="2" s="1"/>
  <c r="N3812" i="2"/>
  <c r="P3812" i="2" s="1"/>
  <c r="N3813" i="2"/>
  <c r="P3813" i="2" s="1"/>
  <c r="N3814" i="2"/>
  <c r="P3814" i="2" s="1"/>
  <c r="N3815" i="2"/>
  <c r="P3815" i="2" s="1"/>
  <c r="N3816" i="2"/>
  <c r="P3816" i="2" s="1"/>
  <c r="N3817" i="2"/>
  <c r="P3817" i="2" s="1"/>
  <c r="N3818" i="2"/>
  <c r="P3818" i="2" s="1"/>
  <c r="N3819" i="2"/>
  <c r="P3819" i="2" s="1"/>
  <c r="N3820" i="2"/>
  <c r="P3820" i="2" s="1"/>
  <c r="N3821" i="2"/>
  <c r="P3821" i="2" s="1"/>
  <c r="N3822" i="2"/>
  <c r="P3822" i="2" s="1"/>
  <c r="N3823" i="2"/>
  <c r="P3823" i="2" s="1"/>
  <c r="N3824" i="2"/>
  <c r="P3824" i="2" s="1"/>
  <c r="N3825" i="2"/>
  <c r="P3825" i="2" s="1"/>
  <c r="N3826" i="2"/>
  <c r="P3826" i="2" s="1"/>
  <c r="N3827" i="2"/>
  <c r="P3827" i="2" s="1"/>
  <c r="N3828" i="2"/>
  <c r="P3828" i="2" s="1"/>
  <c r="N3829" i="2"/>
  <c r="P3829" i="2" s="1"/>
  <c r="N3830" i="2"/>
  <c r="P3830" i="2" s="1"/>
  <c r="N3831" i="2"/>
  <c r="P3831" i="2" s="1"/>
  <c r="N3832" i="2"/>
  <c r="P3832" i="2" s="1"/>
  <c r="N3833" i="2"/>
  <c r="P3833" i="2" s="1"/>
  <c r="N3834" i="2"/>
  <c r="P3834" i="2" s="1"/>
  <c r="N3835" i="2"/>
  <c r="P3835" i="2" s="1"/>
  <c r="N3836" i="2"/>
  <c r="P3836" i="2" s="1"/>
  <c r="N3837" i="2"/>
  <c r="P3837" i="2" s="1"/>
  <c r="N3838" i="2"/>
  <c r="P3838" i="2" s="1"/>
  <c r="N3839" i="2"/>
  <c r="P3839" i="2" s="1"/>
  <c r="N3840" i="2"/>
  <c r="P3840" i="2" s="1"/>
  <c r="N3841" i="2"/>
  <c r="P3841" i="2" s="1"/>
  <c r="N3842" i="2"/>
  <c r="P3842" i="2" s="1"/>
  <c r="N3843" i="2"/>
  <c r="P3843" i="2" s="1"/>
  <c r="N3844" i="2"/>
  <c r="P3844" i="2" s="1"/>
  <c r="N3845" i="2"/>
  <c r="P3845" i="2" s="1"/>
  <c r="N3846" i="2"/>
  <c r="P3846" i="2" s="1"/>
  <c r="N3847" i="2"/>
  <c r="P3847" i="2" s="1"/>
  <c r="N3848" i="2"/>
  <c r="P3848" i="2" s="1"/>
  <c r="N3849" i="2"/>
  <c r="P3849" i="2" s="1"/>
  <c r="N3850" i="2"/>
  <c r="P3850" i="2" s="1"/>
  <c r="N3851" i="2"/>
  <c r="P3851" i="2" s="1"/>
  <c r="N3852" i="2"/>
  <c r="P3852" i="2" s="1"/>
  <c r="N3853" i="2"/>
  <c r="P3853" i="2" s="1"/>
  <c r="N3854" i="2"/>
  <c r="P3854" i="2" s="1"/>
  <c r="N3855" i="2"/>
  <c r="P3855" i="2" s="1"/>
  <c r="N3856" i="2"/>
  <c r="P3856" i="2" s="1"/>
  <c r="N3857" i="2"/>
  <c r="P3857" i="2" s="1"/>
  <c r="N3858" i="2"/>
  <c r="P3858" i="2" s="1"/>
  <c r="N3859" i="2"/>
  <c r="P3859" i="2" s="1"/>
  <c r="N3860" i="2"/>
  <c r="P3860" i="2" s="1"/>
  <c r="N3861" i="2"/>
  <c r="P3861" i="2" s="1"/>
  <c r="N3862" i="2"/>
  <c r="P3862" i="2" s="1"/>
  <c r="N3863" i="2"/>
  <c r="P3863" i="2" s="1"/>
  <c r="N3864" i="2"/>
  <c r="P3864" i="2" s="1"/>
  <c r="N3865" i="2"/>
  <c r="P3865" i="2" s="1"/>
  <c r="N3866" i="2"/>
  <c r="P3866" i="2" s="1"/>
  <c r="N3867" i="2"/>
  <c r="P3867" i="2" s="1"/>
  <c r="N3868" i="2"/>
  <c r="P3868" i="2" s="1"/>
  <c r="N3869" i="2"/>
  <c r="P3869" i="2" s="1"/>
  <c r="N3870" i="2"/>
  <c r="P3870" i="2" s="1"/>
  <c r="N3871" i="2"/>
  <c r="P3871" i="2" s="1"/>
  <c r="N3872" i="2"/>
  <c r="P3872" i="2" s="1"/>
  <c r="N3873" i="2"/>
  <c r="P3873" i="2" s="1"/>
  <c r="N3874" i="2"/>
  <c r="P3874" i="2" s="1"/>
  <c r="N3875" i="2"/>
  <c r="P3875" i="2" s="1"/>
  <c r="N3876" i="2"/>
  <c r="P3876" i="2" s="1"/>
  <c r="N3877" i="2"/>
  <c r="P3877" i="2" s="1"/>
  <c r="N3878" i="2"/>
  <c r="P3878" i="2" s="1"/>
  <c r="N3879" i="2"/>
  <c r="P3879" i="2" s="1"/>
  <c r="N3880" i="2"/>
  <c r="P3880" i="2" s="1"/>
  <c r="N3881" i="2"/>
  <c r="P3881" i="2" s="1"/>
  <c r="N3882" i="2"/>
  <c r="P3882" i="2" s="1"/>
  <c r="N3883" i="2"/>
  <c r="P3883" i="2" s="1"/>
  <c r="N3884" i="2"/>
  <c r="P3884" i="2" s="1"/>
  <c r="N3885" i="2"/>
  <c r="P3885" i="2" s="1"/>
  <c r="N3886" i="2"/>
  <c r="P3886" i="2" s="1"/>
  <c r="N3887" i="2"/>
  <c r="P3887" i="2" s="1"/>
  <c r="N3888" i="2"/>
  <c r="P3888" i="2" s="1"/>
  <c r="N3889" i="2"/>
  <c r="P3889" i="2" s="1"/>
  <c r="N3890" i="2"/>
  <c r="P3890" i="2" s="1"/>
  <c r="N3891" i="2"/>
  <c r="P3891" i="2" s="1"/>
  <c r="N3892" i="2"/>
  <c r="P3892" i="2" s="1"/>
  <c r="N3893" i="2"/>
  <c r="P3893" i="2" s="1"/>
  <c r="N3894" i="2"/>
  <c r="P3894" i="2" s="1"/>
  <c r="N3895" i="2"/>
  <c r="P3895" i="2" s="1"/>
  <c r="N3896" i="2"/>
  <c r="P3896" i="2" s="1"/>
  <c r="N3897" i="2"/>
  <c r="P3897" i="2" s="1"/>
  <c r="N3898" i="2"/>
  <c r="P3898" i="2" s="1"/>
  <c r="N3899" i="2"/>
  <c r="P3899" i="2" s="1"/>
  <c r="N3900" i="2"/>
  <c r="P3900" i="2" s="1"/>
  <c r="N3901" i="2"/>
  <c r="P3901" i="2" s="1"/>
  <c r="N3902" i="2"/>
  <c r="P3902" i="2" s="1"/>
  <c r="N3903" i="2"/>
  <c r="P3903" i="2" s="1"/>
  <c r="N3904" i="2"/>
  <c r="P3904" i="2" s="1"/>
  <c r="N3905" i="2"/>
  <c r="P3905" i="2" s="1"/>
  <c r="N3906" i="2"/>
  <c r="P3906" i="2" s="1"/>
  <c r="N3907" i="2"/>
  <c r="P3907" i="2" s="1"/>
  <c r="N3908" i="2"/>
  <c r="P3908" i="2" s="1"/>
  <c r="N3909" i="2"/>
  <c r="P3909" i="2" s="1"/>
  <c r="N3910" i="2"/>
  <c r="P3910" i="2" s="1"/>
  <c r="N3911" i="2"/>
  <c r="P3911" i="2" s="1"/>
  <c r="N3912" i="2"/>
  <c r="P3912" i="2" s="1"/>
  <c r="N3913" i="2"/>
  <c r="P3913" i="2" s="1"/>
  <c r="N3914" i="2"/>
  <c r="P3914" i="2" s="1"/>
  <c r="N3915" i="2"/>
  <c r="P3915" i="2" s="1"/>
  <c r="N3916" i="2"/>
  <c r="P3916" i="2" s="1"/>
  <c r="N3917" i="2"/>
  <c r="P3917" i="2" s="1"/>
  <c r="N3918" i="2"/>
  <c r="P3918" i="2" s="1"/>
  <c r="N3919" i="2"/>
  <c r="P3919" i="2" s="1"/>
  <c r="N3920" i="2"/>
  <c r="P3920" i="2" s="1"/>
  <c r="N3921" i="2"/>
  <c r="P3921" i="2" s="1"/>
  <c r="N3922" i="2"/>
  <c r="P3922" i="2" s="1"/>
  <c r="N3923" i="2"/>
  <c r="P3923" i="2" s="1"/>
  <c r="N3924" i="2"/>
  <c r="P3924" i="2" s="1"/>
  <c r="N3925" i="2"/>
  <c r="P3925" i="2" s="1"/>
  <c r="N3926" i="2"/>
  <c r="P3926" i="2" s="1"/>
  <c r="N3927" i="2"/>
  <c r="P3927" i="2" s="1"/>
  <c r="N3928" i="2"/>
  <c r="P3928" i="2" s="1"/>
  <c r="N3929" i="2"/>
  <c r="P3929" i="2" s="1"/>
  <c r="N3930" i="2"/>
  <c r="P3930" i="2" s="1"/>
  <c r="N3931" i="2"/>
  <c r="P3931" i="2" s="1"/>
  <c r="N3932" i="2"/>
  <c r="P3932" i="2" s="1"/>
  <c r="N3933" i="2"/>
  <c r="P3933" i="2" s="1"/>
  <c r="N3934" i="2"/>
  <c r="P3934" i="2" s="1"/>
  <c r="N3935" i="2"/>
  <c r="P3935" i="2" s="1"/>
  <c r="N3936" i="2"/>
  <c r="P3936" i="2" s="1"/>
  <c r="N3937" i="2"/>
  <c r="P3937" i="2" s="1"/>
  <c r="N3938" i="2"/>
  <c r="P3938" i="2" s="1"/>
  <c r="N3939" i="2"/>
  <c r="P3939" i="2" s="1"/>
  <c r="N3940" i="2"/>
  <c r="P3940" i="2" s="1"/>
  <c r="N3941" i="2"/>
  <c r="P3941" i="2" s="1"/>
  <c r="N3942" i="2"/>
  <c r="P3942" i="2" s="1"/>
  <c r="N3943" i="2"/>
  <c r="P3943" i="2" s="1"/>
  <c r="N3944" i="2"/>
  <c r="P3944" i="2" s="1"/>
  <c r="N3945" i="2"/>
  <c r="P3945" i="2" s="1"/>
  <c r="N3946" i="2"/>
  <c r="P3946" i="2" s="1"/>
  <c r="N3947" i="2"/>
  <c r="P3947" i="2" s="1"/>
  <c r="N3948" i="2"/>
  <c r="P3948" i="2" s="1"/>
  <c r="N3949" i="2"/>
  <c r="P3949" i="2" s="1"/>
  <c r="N3950" i="2"/>
  <c r="P3950" i="2" s="1"/>
  <c r="N3951" i="2"/>
  <c r="P3951" i="2" s="1"/>
  <c r="N3952" i="2"/>
  <c r="P3952" i="2" s="1"/>
  <c r="N3953" i="2"/>
  <c r="P3953" i="2" s="1"/>
  <c r="N3954" i="2"/>
  <c r="P3954" i="2" s="1"/>
  <c r="N3955" i="2"/>
  <c r="P3955" i="2" s="1"/>
  <c r="N3956" i="2"/>
  <c r="P3956" i="2" s="1"/>
  <c r="N3957" i="2"/>
  <c r="P3957" i="2" s="1"/>
  <c r="N3958" i="2"/>
  <c r="P3958" i="2" s="1"/>
  <c r="N3959" i="2"/>
  <c r="P3959" i="2" s="1"/>
  <c r="N3960" i="2"/>
  <c r="P3960" i="2" s="1"/>
  <c r="N3961" i="2"/>
  <c r="P3961" i="2" s="1"/>
  <c r="N3962" i="2"/>
  <c r="P3962" i="2" s="1"/>
  <c r="N3963" i="2"/>
  <c r="P3963" i="2" s="1"/>
  <c r="N3964" i="2"/>
  <c r="P3964" i="2" s="1"/>
  <c r="N3965" i="2"/>
  <c r="P3965" i="2" s="1"/>
  <c r="N3966" i="2"/>
  <c r="P3966" i="2" s="1"/>
  <c r="N3967" i="2"/>
  <c r="P3967" i="2" s="1"/>
  <c r="N3968" i="2"/>
  <c r="P3968" i="2" s="1"/>
  <c r="N3969" i="2"/>
  <c r="P3969" i="2" s="1"/>
  <c r="N3970" i="2"/>
  <c r="P3970" i="2" s="1"/>
  <c r="N3971" i="2"/>
  <c r="P3971" i="2" s="1"/>
  <c r="N3972" i="2"/>
  <c r="P3972" i="2" s="1"/>
  <c r="N3973" i="2"/>
  <c r="P3973" i="2" s="1"/>
  <c r="N3974" i="2"/>
  <c r="P3974" i="2" s="1"/>
  <c r="N3975" i="2"/>
  <c r="P3975" i="2" s="1"/>
  <c r="N3976" i="2"/>
  <c r="P3976" i="2" s="1"/>
  <c r="N3977" i="2"/>
  <c r="P3977" i="2" s="1"/>
  <c r="N3978" i="2"/>
  <c r="P3978" i="2" s="1"/>
  <c r="N3979" i="2"/>
  <c r="P3979" i="2" s="1"/>
  <c r="N3980" i="2"/>
  <c r="P3980" i="2" s="1"/>
  <c r="N3981" i="2"/>
  <c r="P3981" i="2" s="1"/>
  <c r="N3982" i="2"/>
  <c r="P3982" i="2" s="1"/>
  <c r="N3983" i="2"/>
  <c r="P3983" i="2" s="1"/>
  <c r="N3984" i="2"/>
  <c r="P3984" i="2" s="1"/>
  <c r="N3985" i="2"/>
  <c r="P3985" i="2" s="1"/>
  <c r="N3986" i="2"/>
  <c r="P3986" i="2" s="1"/>
  <c r="N3987" i="2"/>
  <c r="P3987" i="2" s="1"/>
  <c r="N3988" i="2"/>
  <c r="P3988" i="2" s="1"/>
  <c r="N3989" i="2"/>
  <c r="P3989" i="2" s="1"/>
  <c r="N3990" i="2"/>
  <c r="P3990" i="2" s="1"/>
  <c r="N3991" i="2"/>
  <c r="P3991" i="2" s="1"/>
  <c r="N3992" i="2"/>
  <c r="P3992" i="2" s="1"/>
  <c r="N3993" i="2"/>
  <c r="P3993" i="2" s="1"/>
  <c r="N3994" i="2"/>
  <c r="P3994" i="2" s="1"/>
  <c r="N3995" i="2"/>
  <c r="P3995" i="2" s="1"/>
  <c r="N3996" i="2"/>
  <c r="P3996" i="2" s="1"/>
  <c r="N3997" i="2"/>
  <c r="P3997" i="2" s="1"/>
  <c r="N3998" i="2"/>
  <c r="P3998" i="2" s="1"/>
  <c r="N3999" i="2"/>
  <c r="P3999" i="2" s="1"/>
  <c r="N4000" i="2"/>
  <c r="P4000" i="2" s="1"/>
  <c r="N4001" i="2"/>
  <c r="P4001" i="2" s="1"/>
  <c r="N4002" i="2"/>
  <c r="P4002" i="2" s="1"/>
  <c r="N4003" i="2"/>
  <c r="P4003" i="2" s="1"/>
  <c r="N4004" i="2"/>
  <c r="P4004" i="2" s="1"/>
  <c r="N4005" i="2"/>
  <c r="P4005" i="2" s="1"/>
  <c r="N4006" i="2"/>
  <c r="P4006" i="2" s="1"/>
  <c r="N4007" i="2"/>
  <c r="P4007" i="2" s="1"/>
  <c r="N4008" i="2"/>
  <c r="P4008" i="2" s="1"/>
  <c r="N4009" i="2"/>
  <c r="P4009" i="2" s="1"/>
  <c r="N4010" i="2"/>
  <c r="P4010" i="2" s="1"/>
  <c r="N4011" i="2"/>
  <c r="P4011" i="2" s="1"/>
  <c r="N4012" i="2"/>
  <c r="P4012" i="2" s="1"/>
  <c r="N4013" i="2"/>
  <c r="P4013" i="2" s="1"/>
  <c r="N4014" i="2"/>
  <c r="P4014" i="2" s="1"/>
  <c r="N4015" i="2"/>
  <c r="P4015" i="2" s="1"/>
  <c r="N4016" i="2"/>
  <c r="P4016" i="2" s="1"/>
  <c r="N4017" i="2"/>
  <c r="P4017" i="2" s="1"/>
  <c r="N4018" i="2"/>
  <c r="P4018" i="2" s="1"/>
  <c r="N4019" i="2"/>
  <c r="P4019" i="2" s="1"/>
  <c r="N4020" i="2"/>
  <c r="P4020" i="2" s="1"/>
  <c r="N4021" i="2"/>
  <c r="P4021" i="2" s="1"/>
  <c r="N4022" i="2"/>
  <c r="P4022" i="2" s="1"/>
  <c r="N4023" i="2"/>
  <c r="P4023" i="2" s="1"/>
  <c r="N4024" i="2"/>
  <c r="P4024" i="2" s="1"/>
  <c r="N4025" i="2"/>
  <c r="P4025" i="2" s="1"/>
  <c r="N4026" i="2"/>
  <c r="P4026" i="2" s="1"/>
  <c r="N4027" i="2"/>
  <c r="P4027" i="2" s="1"/>
  <c r="N4028" i="2"/>
  <c r="P4028" i="2" s="1"/>
  <c r="N4029" i="2"/>
  <c r="P4029" i="2" s="1"/>
  <c r="N4030" i="2"/>
  <c r="P4030" i="2" s="1"/>
  <c r="N4031" i="2"/>
  <c r="P4031" i="2" s="1"/>
  <c r="N4032" i="2"/>
  <c r="P4032" i="2" s="1"/>
  <c r="N4033" i="2"/>
  <c r="P4033" i="2" s="1"/>
  <c r="N4034" i="2"/>
  <c r="P4034" i="2" s="1"/>
  <c r="N4035" i="2"/>
  <c r="P4035" i="2" s="1"/>
  <c r="N4036" i="2"/>
  <c r="P4036" i="2" s="1"/>
  <c r="N4037" i="2"/>
  <c r="P4037" i="2" s="1"/>
  <c r="N4038" i="2"/>
  <c r="P4038" i="2" s="1"/>
  <c r="N4039" i="2"/>
  <c r="P4039" i="2" s="1"/>
  <c r="N4040" i="2"/>
  <c r="P4040" i="2" s="1"/>
  <c r="N4041" i="2"/>
  <c r="P4041" i="2" s="1"/>
  <c r="N4042" i="2"/>
  <c r="P4042" i="2" s="1"/>
  <c r="N4043" i="2"/>
  <c r="P4043" i="2" s="1"/>
  <c r="N4044" i="2"/>
  <c r="P4044" i="2" s="1"/>
  <c r="N4045" i="2"/>
  <c r="P4045" i="2" s="1"/>
  <c r="N4046" i="2"/>
  <c r="P4046" i="2" s="1"/>
  <c r="N4047" i="2"/>
  <c r="P4047" i="2" s="1"/>
  <c r="N4048" i="2"/>
  <c r="P4048" i="2" s="1"/>
  <c r="N4049" i="2"/>
  <c r="P4049" i="2" s="1"/>
  <c r="N4050" i="2"/>
  <c r="P4050" i="2" s="1"/>
  <c r="N4051" i="2"/>
  <c r="P4051" i="2" s="1"/>
  <c r="N4052" i="2"/>
  <c r="P4052" i="2" s="1"/>
  <c r="N4053" i="2"/>
  <c r="P4053" i="2" s="1"/>
  <c r="N4054" i="2"/>
  <c r="P4054" i="2" s="1"/>
  <c r="N4055" i="2"/>
  <c r="P4055" i="2" s="1"/>
  <c r="N4056" i="2"/>
  <c r="P4056" i="2" s="1"/>
  <c r="N4057" i="2"/>
  <c r="P4057" i="2" s="1"/>
  <c r="N4058" i="2"/>
  <c r="P4058" i="2" s="1"/>
  <c r="N4059" i="2"/>
  <c r="P4059" i="2" s="1"/>
  <c r="N4060" i="2"/>
  <c r="P4060" i="2" s="1"/>
  <c r="N4061" i="2"/>
  <c r="P4061" i="2" s="1"/>
  <c r="N4062" i="2"/>
  <c r="P4062" i="2" s="1"/>
  <c r="N4063" i="2"/>
  <c r="P4063" i="2" s="1"/>
  <c r="N4064" i="2"/>
  <c r="P4064" i="2" s="1"/>
  <c r="N4065" i="2"/>
  <c r="P4065" i="2" s="1"/>
  <c r="N4066" i="2"/>
  <c r="P4066" i="2" s="1"/>
  <c r="N4067" i="2"/>
  <c r="P4067" i="2" s="1"/>
  <c r="N4068" i="2"/>
  <c r="P4068" i="2" s="1"/>
  <c r="N4069" i="2"/>
  <c r="P4069" i="2" s="1"/>
  <c r="N4070" i="2"/>
  <c r="P4070" i="2" s="1"/>
  <c r="N4071" i="2"/>
  <c r="P4071" i="2" s="1"/>
  <c r="N4072" i="2"/>
  <c r="P4072" i="2" s="1"/>
  <c r="N4073" i="2"/>
  <c r="P4073" i="2" s="1"/>
  <c r="N4074" i="2"/>
  <c r="P4074" i="2" s="1"/>
  <c r="N4075" i="2"/>
  <c r="P4075" i="2" s="1"/>
  <c r="N4076" i="2"/>
  <c r="P4076" i="2" s="1"/>
  <c r="N4077" i="2"/>
  <c r="P4077" i="2" s="1"/>
  <c r="N4078" i="2"/>
  <c r="P4078" i="2" s="1"/>
  <c r="N4079" i="2"/>
  <c r="P4079" i="2" s="1"/>
  <c r="N4080" i="2"/>
  <c r="P4080" i="2" s="1"/>
  <c r="N4081" i="2"/>
  <c r="P4081" i="2" s="1"/>
  <c r="N4082" i="2"/>
  <c r="P4082" i="2" s="1"/>
  <c r="N4083" i="2"/>
  <c r="P4083" i="2" s="1"/>
  <c r="N4084" i="2"/>
  <c r="P4084" i="2" s="1"/>
  <c r="N4085" i="2"/>
  <c r="P4085" i="2" s="1"/>
  <c r="N4086" i="2"/>
  <c r="P4086" i="2" s="1"/>
  <c r="N4087" i="2"/>
  <c r="P4087" i="2" s="1"/>
  <c r="N4088" i="2"/>
  <c r="P4088" i="2" s="1"/>
  <c r="N4089" i="2"/>
  <c r="P4089" i="2" s="1"/>
  <c r="N4090" i="2"/>
  <c r="P4090" i="2" s="1"/>
  <c r="N4091" i="2"/>
  <c r="P4091" i="2" s="1"/>
  <c r="N4092" i="2"/>
  <c r="P4092" i="2" s="1"/>
  <c r="N4093" i="2"/>
  <c r="P4093" i="2" s="1"/>
  <c r="N4094" i="2"/>
  <c r="P4094" i="2" s="1"/>
  <c r="N4095" i="2"/>
  <c r="P4095" i="2" s="1"/>
  <c r="N4096" i="2"/>
  <c r="P4096" i="2" s="1"/>
  <c r="N4097" i="2"/>
  <c r="P4097" i="2" s="1"/>
  <c r="N4098" i="2"/>
  <c r="P4098" i="2" s="1"/>
  <c r="N4099" i="2"/>
  <c r="P4099" i="2" s="1"/>
  <c r="N4100" i="2"/>
  <c r="P4100" i="2" s="1"/>
  <c r="N4101" i="2"/>
  <c r="P4101" i="2" s="1"/>
  <c r="N4102" i="2"/>
  <c r="P4102" i="2" s="1"/>
  <c r="N4103" i="2"/>
  <c r="P4103" i="2" s="1"/>
  <c r="N4104" i="2"/>
  <c r="P4104" i="2" s="1"/>
  <c r="N4105" i="2"/>
  <c r="P4105" i="2" s="1"/>
  <c r="N4106" i="2"/>
  <c r="P4106" i="2" s="1"/>
  <c r="N4107" i="2"/>
  <c r="P4107" i="2" s="1"/>
  <c r="N4108" i="2"/>
  <c r="P4108" i="2" s="1"/>
  <c r="N4109" i="2"/>
  <c r="P4109" i="2" s="1"/>
  <c r="N4110" i="2"/>
  <c r="P4110" i="2" s="1"/>
  <c r="N4111" i="2"/>
  <c r="P4111" i="2" s="1"/>
  <c r="N4112" i="2"/>
  <c r="P4112" i="2" s="1"/>
  <c r="N4113" i="2"/>
  <c r="P4113" i="2" s="1"/>
  <c r="N4114" i="2"/>
  <c r="P4114" i="2" s="1"/>
  <c r="N4115" i="2"/>
  <c r="P4115" i="2" s="1"/>
  <c r="N4116" i="2"/>
  <c r="P4116" i="2" s="1"/>
  <c r="N4117" i="2"/>
  <c r="P4117" i="2" s="1"/>
  <c r="N4118" i="2"/>
  <c r="P4118" i="2" s="1"/>
  <c r="N4119" i="2"/>
  <c r="P4119" i="2" s="1"/>
  <c r="N4120" i="2"/>
  <c r="P4120" i="2" s="1"/>
  <c r="N4121" i="2"/>
  <c r="P4121" i="2" s="1"/>
  <c r="N4122" i="2"/>
  <c r="P4122" i="2" s="1"/>
  <c r="N4123" i="2"/>
  <c r="P4123" i="2" s="1"/>
  <c r="N4124" i="2"/>
  <c r="P4124" i="2" s="1"/>
  <c r="N4125" i="2"/>
  <c r="P4125" i="2" s="1"/>
  <c r="N4126" i="2"/>
  <c r="P4126" i="2" s="1"/>
  <c r="N4127" i="2"/>
  <c r="P4127" i="2" s="1"/>
  <c r="N4128" i="2"/>
  <c r="P4128" i="2" s="1"/>
  <c r="N4129" i="2"/>
  <c r="P4129" i="2" s="1"/>
  <c r="N4130" i="2"/>
  <c r="P4130" i="2" s="1"/>
  <c r="N4131" i="2"/>
  <c r="P4131" i="2" s="1"/>
  <c r="N4132" i="2"/>
  <c r="P4132" i="2" s="1"/>
  <c r="N4133" i="2"/>
  <c r="P4133" i="2" s="1"/>
  <c r="N4134" i="2"/>
  <c r="P4134" i="2" s="1"/>
  <c r="N4135" i="2"/>
  <c r="P4135" i="2" s="1"/>
  <c r="N4136" i="2"/>
  <c r="P4136" i="2" s="1"/>
  <c r="N4137" i="2"/>
  <c r="P4137" i="2" s="1"/>
  <c r="N4138" i="2"/>
  <c r="P4138" i="2" s="1"/>
  <c r="N4139" i="2"/>
  <c r="P4139" i="2" s="1"/>
  <c r="N4140" i="2"/>
  <c r="P4140" i="2" s="1"/>
  <c r="N4141" i="2"/>
  <c r="P4141" i="2" s="1"/>
  <c r="N4142" i="2"/>
  <c r="P4142" i="2" s="1"/>
  <c r="N4143" i="2"/>
  <c r="P4143" i="2" s="1"/>
  <c r="N4144" i="2"/>
  <c r="P4144" i="2" s="1"/>
  <c r="N4145" i="2"/>
  <c r="P4145" i="2" s="1"/>
  <c r="N4146" i="2"/>
  <c r="P4146" i="2" s="1"/>
  <c r="N4147" i="2"/>
  <c r="P4147" i="2" s="1"/>
  <c r="N4148" i="2"/>
  <c r="P4148" i="2" s="1"/>
  <c r="N4149" i="2"/>
  <c r="P4149" i="2" s="1"/>
  <c r="N4150" i="2"/>
  <c r="P4150" i="2" s="1"/>
  <c r="N4151" i="2"/>
  <c r="P4151" i="2" s="1"/>
  <c r="N4152" i="2"/>
  <c r="P4152" i="2" s="1"/>
  <c r="N4153" i="2"/>
  <c r="P4153" i="2" s="1"/>
  <c r="N4154" i="2"/>
  <c r="P4154" i="2" s="1"/>
  <c r="N4155" i="2"/>
  <c r="P4155" i="2" s="1"/>
  <c r="N4156" i="2"/>
  <c r="P4156" i="2" s="1"/>
  <c r="N4157" i="2"/>
  <c r="P4157" i="2" s="1"/>
  <c r="N4158" i="2"/>
  <c r="P4158" i="2" s="1"/>
  <c r="N4159" i="2"/>
  <c r="P4159" i="2" s="1"/>
  <c r="N4160" i="2"/>
  <c r="P4160" i="2" s="1"/>
  <c r="N4161" i="2"/>
  <c r="P4161" i="2" s="1"/>
  <c r="N4162" i="2"/>
  <c r="P4162" i="2" s="1"/>
  <c r="N4163" i="2"/>
  <c r="P4163" i="2" s="1"/>
  <c r="N4164" i="2"/>
  <c r="P4164" i="2" s="1"/>
  <c r="N4165" i="2"/>
  <c r="P4165" i="2" s="1"/>
  <c r="N4166" i="2"/>
  <c r="P4166" i="2" s="1"/>
  <c r="N4167" i="2"/>
  <c r="P4167" i="2" s="1"/>
  <c r="N4168" i="2"/>
  <c r="P4168" i="2" s="1"/>
  <c r="N4169" i="2"/>
  <c r="P4169" i="2" s="1"/>
  <c r="N4170" i="2"/>
  <c r="P4170" i="2" s="1"/>
  <c r="N4171" i="2"/>
  <c r="P4171" i="2" s="1"/>
  <c r="N4172" i="2"/>
  <c r="P4172" i="2" s="1"/>
  <c r="N4173" i="2"/>
  <c r="P4173" i="2" s="1"/>
  <c r="N4174" i="2"/>
  <c r="P4174" i="2" s="1"/>
  <c r="N4175" i="2"/>
  <c r="P4175" i="2" s="1"/>
  <c r="N4176" i="2"/>
  <c r="P4176" i="2" s="1"/>
  <c r="N4177" i="2"/>
  <c r="P4177" i="2" s="1"/>
  <c r="N4178" i="2"/>
  <c r="P4178" i="2" s="1"/>
  <c r="N4179" i="2"/>
  <c r="P4179" i="2" s="1"/>
  <c r="N4180" i="2"/>
  <c r="P4180" i="2" s="1"/>
  <c r="N4181" i="2"/>
  <c r="P4181" i="2" s="1"/>
  <c r="N4182" i="2"/>
  <c r="P4182" i="2" s="1"/>
  <c r="N4183" i="2"/>
  <c r="P4183" i="2" s="1"/>
  <c r="N4184" i="2"/>
  <c r="P4184" i="2" s="1"/>
  <c r="N4185" i="2"/>
  <c r="P4185" i="2" s="1"/>
  <c r="N4186" i="2"/>
  <c r="P4186" i="2" s="1"/>
  <c r="N4187" i="2"/>
  <c r="P4187" i="2" s="1"/>
  <c r="N4188" i="2"/>
  <c r="P4188" i="2" s="1"/>
  <c r="N4189" i="2"/>
  <c r="P4189" i="2" s="1"/>
  <c r="N4190" i="2"/>
  <c r="P4190" i="2" s="1"/>
  <c r="N4191" i="2"/>
  <c r="P4191" i="2" s="1"/>
  <c r="N4192" i="2"/>
  <c r="P4192" i="2" s="1"/>
  <c r="N4193" i="2"/>
  <c r="P4193" i="2" s="1"/>
  <c r="N4194" i="2"/>
  <c r="P4194" i="2" s="1"/>
  <c r="N4195" i="2"/>
  <c r="P4195" i="2" s="1"/>
  <c r="N4196" i="2"/>
  <c r="P4196" i="2" s="1"/>
  <c r="N4197" i="2"/>
  <c r="P4197" i="2" s="1"/>
  <c r="N4198" i="2"/>
  <c r="P4198" i="2" s="1"/>
  <c r="N4199" i="2"/>
  <c r="P4199" i="2" s="1"/>
  <c r="N4200" i="2"/>
  <c r="P4200" i="2" s="1"/>
  <c r="N4201" i="2"/>
  <c r="P4201" i="2" s="1"/>
  <c r="N4202" i="2"/>
  <c r="P4202" i="2" s="1"/>
  <c r="N4203" i="2"/>
  <c r="P4203" i="2" s="1"/>
  <c r="N4204" i="2"/>
  <c r="P4204" i="2" s="1"/>
  <c r="N4205" i="2"/>
  <c r="P4205" i="2" s="1"/>
  <c r="N4206" i="2"/>
  <c r="P4206" i="2" s="1"/>
  <c r="N4207" i="2"/>
  <c r="P4207" i="2" s="1"/>
  <c r="N4208" i="2"/>
  <c r="P4208" i="2" s="1"/>
  <c r="N4209" i="2"/>
  <c r="P4209" i="2" s="1"/>
  <c r="N4210" i="2"/>
  <c r="P4210" i="2" s="1"/>
  <c r="N4211" i="2"/>
  <c r="P4211" i="2" s="1"/>
  <c r="N4212" i="2"/>
  <c r="P4212" i="2" s="1"/>
  <c r="N4213" i="2"/>
  <c r="P4213" i="2" s="1"/>
  <c r="N4214" i="2"/>
  <c r="P4214" i="2" s="1"/>
  <c r="N4215" i="2"/>
  <c r="P4215" i="2" s="1"/>
  <c r="N4216" i="2"/>
  <c r="P4216" i="2" s="1"/>
  <c r="N4217" i="2"/>
  <c r="P4217" i="2" s="1"/>
  <c r="N4218" i="2"/>
  <c r="P4218" i="2" s="1"/>
  <c r="N4219" i="2"/>
  <c r="P4219" i="2" s="1"/>
  <c r="N4220" i="2"/>
  <c r="P4220" i="2" s="1"/>
  <c r="N4221" i="2"/>
  <c r="P4221" i="2" s="1"/>
  <c r="N4222" i="2"/>
  <c r="P4222" i="2" s="1"/>
  <c r="N4223" i="2"/>
  <c r="P4223" i="2" s="1"/>
  <c r="N4224" i="2"/>
  <c r="P4224" i="2" s="1"/>
  <c r="N4225" i="2"/>
  <c r="P4225" i="2" s="1"/>
  <c r="N4226" i="2"/>
  <c r="P4226" i="2" s="1"/>
  <c r="N4227" i="2"/>
  <c r="P4227" i="2" s="1"/>
  <c r="N4228" i="2"/>
  <c r="P4228" i="2" s="1"/>
  <c r="N4229" i="2"/>
  <c r="P4229" i="2" s="1"/>
  <c r="N4230" i="2"/>
  <c r="P4230" i="2" s="1"/>
  <c r="N4231" i="2"/>
  <c r="P4231" i="2" s="1"/>
  <c r="N4232" i="2"/>
  <c r="P4232" i="2" s="1"/>
  <c r="N4233" i="2"/>
  <c r="P4233" i="2" s="1"/>
  <c r="N4234" i="2"/>
  <c r="P4234" i="2" s="1"/>
  <c r="N4235" i="2"/>
  <c r="P4235" i="2" s="1"/>
  <c r="N4236" i="2"/>
  <c r="P4236" i="2" s="1"/>
  <c r="N4237" i="2"/>
  <c r="P4237" i="2" s="1"/>
  <c r="N4238" i="2"/>
  <c r="P4238" i="2" s="1"/>
  <c r="N4239" i="2"/>
  <c r="P4239" i="2" s="1"/>
  <c r="N4240" i="2"/>
  <c r="P4240" i="2" s="1"/>
  <c r="N4241" i="2"/>
  <c r="P4241" i="2" s="1"/>
  <c r="N4242" i="2"/>
  <c r="P4242" i="2" s="1"/>
  <c r="N4243" i="2"/>
  <c r="P4243" i="2" s="1"/>
  <c r="N4244" i="2"/>
  <c r="P4244" i="2" s="1"/>
  <c r="N4245" i="2"/>
  <c r="P4245" i="2" s="1"/>
  <c r="N4246" i="2"/>
  <c r="P4246" i="2" s="1"/>
  <c r="N4247" i="2"/>
  <c r="P4247" i="2" s="1"/>
  <c r="N4248" i="2"/>
  <c r="P4248" i="2" s="1"/>
  <c r="N4249" i="2"/>
  <c r="P4249" i="2" s="1"/>
  <c r="N4250" i="2"/>
  <c r="P4250" i="2" s="1"/>
  <c r="N4251" i="2"/>
  <c r="P4251" i="2" s="1"/>
  <c r="N4252" i="2"/>
  <c r="P4252" i="2" s="1"/>
  <c r="N4253" i="2"/>
  <c r="P4253" i="2" s="1"/>
  <c r="N4254" i="2"/>
  <c r="P4254" i="2" s="1"/>
  <c r="N4255" i="2"/>
  <c r="P4255" i="2" s="1"/>
  <c r="N4256" i="2"/>
  <c r="P4256" i="2" s="1"/>
  <c r="N4257" i="2"/>
  <c r="P4257" i="2" s="1"/>
  <c r="N4258" i="2"/>
  <c r="P4258" i="2" s="1"/>
  <c r="N4259" i="2"/>
  <c r="P4259" i="2" s="1"/>
  <c r="N4260" i="2"/>
  <c r="P4260" i="2" s="1"/>
  <c r="N4261" i="2"/>
  <c r="P4261" i="2" s="1"/>
  <c r="N4262" i="2"/>
  <c r="P4262" i="2" s="1"/>
  <c r="N4263" i="2"/>
  <c r="P4263" i="2" s="1"/>
  <c r="N4264" i="2"/>
  <c r="P4264" i="2" s="1"/>
  <c r="N4265" i="2"/>
  <c r="P4265" i="2" s="1"/>
  <c r="N4266" i="2"/>
  <c r="P4266" i="2" s="1"/>
  <c r="N4267" i="2"/>
  <c r="P4267" i="2" s="1"/>
  <c r="N4268" i="2"/>
  <c r="P4268" i="2" s="1"/>
  <c r="N4269" i="2"/>
  <c r="P4269" i="2" s="1"/>
  <c r="N4270" i="2"/>
  <c r="P4270" i="2" s="1"/>
  <c r="N4271" i="2"/>
  <c r="P4271" i="2" s="1"/>
  <c r="N4272" i="2"/>
  <c r="P4272" i="2" s="1"/>
  <c r="N4273" i="2"/>
  <c r="P4273" i="2" s="1"/>
  <c r="N4274" i="2"/>
  <c r="P4274" i="2" s="1"/>
  <c r="N4275" i="2"/>
  <c r="P4275" i="2" s="1"/>
  <c r="N4276" i="2"/>
  <c r="P4276" i="2" s="1"/>
  <c r="N4277" i="2"/>
  <c r="P4277" i="2" s="1"/>
  <c r="N4278" i="2"/>
  <c r="P4278" i="2" s="1"/>
  <c r="N4279" i="2"/>
  <c r="P4279" i="2" s="1"/>
  <c r="N4280" i="2"/>
  <c r="P4280" i="2" s="1"/>
  <c r="N4281" i="2"/>
  <c r="P4281" i="2" s="1"/>
  <c r="N4282" i="2"/>
  <c r="P4282" i="2" s="1"/>
  <c r="N4283" i="2"/>
  <c r="P4283" i="2" s="1"/>
  <c r="N4284" i="2"/>
  <c r="P4284" i="2" s="1"/>
  <c r="N4285" i="2"/>
  <c r="P4285" i="2" s="1"/>
  <c r="N4286" i="2"/>
  <c r="P4286" i="2" s="1"/>
  <c r="N4287" i="2"/>
  <c r="P4287" i="2" s="1"/>
  <c r="N4288" i="2"/>
  <c r="P4288" i="2" s="1"/>
  <c r="N4289" i="2"/>
  <c r="P4289" i="2" s="1"/>
  <c r="N4290" i="2"/>
  <c r="P4290" i="2" s="1"/>
  <c r="N4291" i="2"/>
  <c r="P4291" i="2" s="1"/>
  <c r="N4292" i="2"/>
  <c r="P4292" i="2" s="1"/>
  <c r="N4293" i="2"/>
  <c r="P4293" i="2" s="1"/>
  <c r="N4294" i="2"/>
  <c r="P4294" i="2" s="1"/>
  <c r="N4295" i="2"/>
  <c r="P4295" i="2" s="1"/>
  <c r="N4296" i="2"/>
  <c r="P4296" i="2" s="1"/>
  <c r="N4297" i="2"/>
  <c r="P4297" i="2" s="1"/>
  <c r="N4298" i="2"/>
  <c r="P4298" i="2" s="1"/>
  <c r="N4299" i="2"/>
  <c r="P4299" i="2" s="1"/>
  <c r="N4300" i="2"/>
  <c r="P4300" i="2" s="1"/>
  <c r="N4301" i="2"/>
  <c r="P4301" i="2" s="1"/>
  <c r="N4302" i="2"/>
  <c r="P4302" i="2" s="1"/>
  <c r="N4303" i="2"/>
  <c r="P4303" i="2" s="1"/>
  <c r="N4304" i="2"/>
  <c r="P4304" i="2" s="1"/>
  <c r="N4305" i="2"/>
  <c r="P4305" i="2" s="1"/>
  <c r="N4306" i="2"/>
  <c r="P4306" i="2" s="1"/>
  <c r="N4307" i="2"/>
  <c r="P4307" i="2" s="1"/>
  <c r="N4308" i="2"/>
  <c r="P4308" i="2" s="1"/>
  <c r="N4309" i="2"/>
  <c r="P4309" i="2" s="1"/>
  <c r="N4310" i="2"/>
  <c r="P4310" i="2" s="1"/>
  <c r="N4311" i="2"/>
  <c r="P4311" i="2" s="1"/>
  <c r="N4312" i="2"/>
  <c r="P4312" i="2" s="1"/>
  <c r="N4313" i="2"/>
  <c r="P4313" i="2" s="1"/>
  <c r="N4314" i="2"/>
  <c r="P4314" i="2" s="1"/>
  <c r="N4315" i="2"/>
  <c r="P4315" i="2" s="1"/>
  <c r="N4316" i="2"/>
  <c r="P4316" i="2" s="1"/>
  <c r="N4317" i="2"/>
  <c r="P4317" i="2" s="1"/>
  <c r="N4318" i="2"/>
  <c r="P4318" i="2" s="1"/>
  <c r="N4319" i="2"/>
  <c r="P4319" i="2" s="1"/>
  <c r="N4320" i="2"/>
  <c r="P4320" i="2" s="1"/>
  <c r="N4321" i="2"/>
  <c r="P4321" i="2" s="1"/>
  <c r="N4322" i="2"/>
  <c r="P4322" i="2" s="1"/>
  <c r="N4323" i="2"/>
  <c r="P4323" i="2" s="1"/>
  <c r="N4324" i="2"/>
  <c r="P4324" i="2" s="1"/>
  <c r="N4325" i="2"/>
  <c r="P4325" i="2" s="1"/>
  <c r="N4326" i="2"/>
  <c r="P4326" i="2" s="1"/>
  <c r="N4327" i="2"/>
  <c r="P4327" i="2" s="1"/>
  <c r="N4328" i="2"/>
  <c r="P4328" i="2" s="1"/>
  <c r="N4329" i="2"/>
  <c r="P4329" i="2" s="1"/>
  <c r="N4330" i="2"/>
  <c r="P4330" i="2" s="1"/>
  <c r="N4331" i="2"/>
  <c r="P4331" i="2" s="1"/>
  <c r="N4332" i="2"/>
  <c r="P4332" i="2" s="1"/>
  <c r="N4333" i="2"/>
  <c r="P4333" i="2" s="1"/>
  <c r="N4334" i="2"/>
  <c r="P4334" i="2" s="1"/>
  <c r="N4335" i="2"/>
  <c r="P4335" i="2" s="1"/>
  <c r="N4336" i="2"/>
  <c r="P4336" i="2" s="1"/>
  <c r="N4337" i="2"/>
  <c r="P4337" i="2" s="1"/>
  <c r="N4338" i="2"/>
  <c r="P4338" i="2" s="1"/>
  <c r="N4339" i="2"/>
  <c r="P4339" i="2" s="1"/>
  <c r="N4340" i="2"/>
  <c r="P4340" i="2" s="1"/>
  <c r="N4341" i="2"/>
  <c r="P4341" i="2" s="1"/>
  <c r="N4342" i="2"/>
  <c r="P4342" i="2" s="1"/>
  <c r="N4343" i="2"/>
  <c r="P4343" i="2" s="1"/>
  <c r="N4344" i="2"/>
  <c r="P4344" i="2" s="1"/>
  <c r="N4345" i="2"/>
  <c r="P4345" i="2" s="1"/>
  <c r="N4346" i="2"/>
  <c r="P4346" i="2" s="1"/>
  <c r="N4347" i="2"/>
  <c r="P4347" i="2" s="1"/>
  <c r="N4348" i="2"/>
  <c r="P4348" i="2" s="1"/>
  <c r="N4349" i="2"/>
  <c r="P4349" i="2" s="1"/>
  <c r="N4350" i="2"/>
  <c r="P4350" i="2" s="1"/>
  <c r="N4351" i="2"/>
  <c r="P4351" i="2" s="1"/>
  <c r="N4352" i="2"/>
  <c r="P4352" i="2" s="1"/>
  <c r="N4353" i="2"/>
  <c r="P4353" i="2" s="1"/>
  <c r="N4354" i="2"/>
  <c r="P4354" i="2" s="1"/>
  <c r="N4355" i="2"/>
  <c r="P4355" i="2" s="1"/>
  <c r="N4356" i="2"/>
  <c r="P4356" i="2" s="1"/>
  <c r="N4357" i="2"/>
  <c r="P4357" i="2" s="1"/>
  <c r="N4358" i="2"/>
  <c r="P4358" i="2" s="1"/>
  <c r="N4359" i="2"/>
  <c r="P4359" i="2" s="1"/>
  <c r="N4360" i="2"/>
  <c r="P4360" i="2" s="1"/>
  <c r="N4361" i="2"/>
  <c r="P4361" i="2" s="1"/>
  <c r="N4362" i="2"/>
  <c r="P4362" i="2" s="1"/>
  <c r="N4363" i="2"/>
  <c r="P4363" i="2" s="1"/>
  <c r="N4364" i="2"/>
  <c r="P4364" i="2" s="1"/>
  <c r="N4365" i="2"/>
  <c r="P4365" i="2" s="1"/>
  <c r="N4366" i="2"/>
  <c r="P4366" i="2" s="1"/>
  <c r="N4367" i="2"/>
  <c r="P4367" i="2" s="1"/>
  <c r="N4368" i="2"/>
  <c r="P4368" i="2" s="1"/>
  <c r="N4369" i="2"/>
  <c r="P4369" i="2" s="1"/>
  <c r="N4370" i="2"/>
  <c r="P4370" i="2" s="1"/>
  <c r="N4371" i="2"/>
  <c r="P4371" i="2" s="1"/>
  <c r="N4372" i="2"/>
  <c r="P4372" i="2" s="1"/>
  <c r="N4373" i="2"/>
  <c r="P4373" i="2" s="1"/>
  <c r="N4374" i="2"/>
  <c r="P4374" i="2" s="1"/>
  <c r="N4375" i="2"/>
  <c r="P4375" i="2" s="1"/>
  <c r="N4376" i="2"/>
  <c r="P4376" i="2" s="1"/>
  <c r="N4377" i="2"/>
  <c r="P4377" i="2" s="1"/>
  <c r="N4378" i="2"/>
  <c r="P4378" i="2" s="1"/>
  <c r="N4379" i="2"/>
  <c r="P4379" i="2" s="1"/>
  <c r="N4380" i="2"/>
  <c r="P4380" i="2" s="1"/>
  <c r="N4381" i="2"/>
  <c r="P4381" i="2" s="1"/>
  <c r="N4382" i="2"/>
  <c r="P4382" i="2" s="1"/>
  <c r="N4383" i="2"/>
  <c r="P4383" i="2" s="1"/>
  <c r="N4384" i="2"/>
  <c r="P4384" i="2" s="1"/>
  <c r="N4385" i="2"/>
  <c r="P4385" i="2" s="1"/>
  <c r="N4386" i="2"/>
  <c r="P4386" i="2" s="1"/>
  <c r="N4387" i="2"/>
  <c r="P4387" i="2" s="1"/>
  <c r="N4388" i="2"/>
  <c r="P4388" i="2" s="1"/>
  <c r="N4389" i="2"/>
  <c r="P4389" i="2" s="1"/>
  <c r="N4390" i="2"/>
  <c r="P4390" i="2" s="1"/>
  <c r="N4391" i="2"/>
  <c r="P4391" i="2" s="1"/>
  <c r="N4392" i="2"/>
  <c r="P4392" i="2" s="1"/>
  <c r="N4393" i="2"/>
  <c r="P4393" i="2" s="1"/>
  <c r="N4394" i="2"/>
  <c r="P4394" i="2" s="1"/>
  <c r="N4395" i="2"/>
  <c r="P4395" i="2" s="1"/>
  <c r="N4396" i="2"/>
  <c r="P4396" i="2" s="1"/>
  <c r="N4397" i="2"/>
  <c r="P4397" i="2" s="1"/>
  <c r="N4398" i="2"/>
  <c r="P4398" i="2" s="1"/>
  <c r="N4399" i="2"/>
  <c r="P4399" i="2" s="1"/>
  <c r="N4400" i="2"/>
  <c r="P4400" i="2" s="1"/>
  <c r="N4401" i="2"/>
  <c r="P4401" i="2" s="1"/>
  <c r="N4402" i="2"/>
  <c r="P4402" i="2" s="1"/>
  <c r="N4403" i="2"/>
  <c r="P4403" i="2" s="1"/>
  <c r="N4404" i="2"/>
  <c r="P4404" i="2" s="1"/>
  <c r="N4405" i="2"/>
  <c r="P4405" i="2" s="1"/>
  <c r="N4406" i="2"/>
  <c r="P4406" i="2" s="1"/>
  <c r="N4407" i="2"/>
  <c r="P4407" i="2" s="1"/>
  <c r="N4408" i="2"/>
  <c r="P4408" i="2" s="1"/>
  <c r="N4409" i="2"/>
  <c r="P4409" i="2" s="1"/>
  <c r="N4410" i="2"/>
  <c r="P4410" i="2" s="1"/>
  <c r="N4411" i="2"/>
  <c r="P4411" i="2" s="1"/>
  <c r="N4412" i="2"/>
  <c r="P4412" i="2" s="1"/>
  <c r="N4413" i="2"/>
  <c r="P4413" i="2" s="1"/>
  <c r="N4414" i="2"/>
  <c r="P4414" i="2" s="1"/>
  <c r="N4415" i="2"/>
  <c r="P4415" i="2" s="1"/>
  <c r="N4416" i="2"/>
  <c r="P4416" i="2" s="1"/>
  <c r="N4417" i="2"/>
  <c r="P4417" i="2" s="1"/>
  <c r="N4418" i="2"/>
  <c r="P4418" i="2" s="1"/>
  <c r="N4419" i="2"/>
  <c r="P4419" i="2" s="1"/>
  <c r="N4420" i="2"/>
  <c r="P4420" i="2" s="1"/>
  <c r="N4421" i="2"/>
  <c r="P4421" i="2" s="1"/>
  <c r="N4422" i="2"/>
  <c r="P4422" i="2" s="1"/>
  <c r="N4423" i="2"/>
  <c r="P4423" i="2" s="1"/>
  <c r="N4424" i="2"/>
  <c r="P4424" i="2" s="1"/>
  <c r="N4425" i="2"/>
  <c r="P4425" i="2" s="1"/>
  <c r="N4426" i="2"/>
  <c r="P4426" i="2" s="1"/>
  <c r="N4427" i="2"/>
  <c r="P4427" i="2" s="1"/>
  <c r="N4428" i="2"/>
  <c r="P4428" i="2" s="1"/>
  <c r="N4429" i="2"/>
  <c r="P4429" i="2" s="1"/>
  <c r="N4430" i="2"/>
  <c r="P4430" i="2" s="1"/>
  <c r="N4431" i="2"/>
  <c r="P4431" i="2" s="1"/>
  <c r="N4432" i="2"/>
  <c r="P4432" i="2" s="1"/>
  <c r="N4433" i="2"/>
  <c r="P4433" i="2" s="1"/>
  <c r="N4434" i="2"/>
  <c r="P4434" i="2" s="1"/>
  <c r="N4435" i="2"/>
  <c r="P4435" i="2" s="1"/>
  <c r="N4436" i="2"/>
  <c r="P4436" i="2" s="1"/>
  <c r="N4437" i="2"/>
  <c r="P4437" i="2" s="1"/>
  <c r="N4438" i="2"/>
  <c r="P4438" i="2" s="1"/>
  <c r="N4439" i="2"/>
  <c r="P4439" i="2" s="1"/>
  <c r="N4440" i="2"/>
  <c r="P4440" i="2" s="1"/>
  <c r="N4441" i="2"/>
  <c r="P4441" i="2" s="1"/>
  <c r="N4442" i="2"/>
  <c r="P4442" i="2" s="1"/>
  <c r="N4443" i="2"/>
  <c r="P4443" i="2" s="1"/>
  <c r="N4444" i="2"/>
  <c r="P4444" i="2" s="1"/>
  <c r="N4445" i="2"/>
  <c r="P4445" i="2" s="1"/>
  <c r="N4446" i="2"/>
  <c r="P4446" i="2" s="1"/>
  <c r="N4447" i="2"/>
  <c r="P4447" i="2" s="1"/>
  <c r="N4448" i="2"/>
  <c r="P4448" i="2" s="1"/>
  <c r="N4449" i="2"/>
  <c r="P4449" i="2" s="1"/>
  <c r="N4450" i="2"/>
  <c r="P4450" i="2" s="1"/>
  <c r="N4451" i="2"/>
  <c r="P4451" i="2" s="1"/>
  <c r="N4452" i="2"/>
  <c r="P4452" i="2" s="1"/>
  <c r="N4453" i="2"/>
  <c r="P4453" i="2" s="1"/>
  <c r="N4454" i="2"/>
  <c r="P4454" i="2" s="1"/>
  <c r="N4455" i="2"/>
  <c r="P4455" i="2" s="1"/>
  <c r="N4456" i="2"/>
  <c r="P4456" i="2" s="1"/>
  <c r="N4457" i="2"/>
  <c r="P4457" i="2" s="1"/>
  <c r="N4458" i="2"/>
  <c r="P4458" i="2" s="1"/>
  <c r="N4459" i="2"/>
  <c r="P4459" i="2" s="1"/>
  <c r="N4460" i="2"/>
  <c r="P4460" i="2" s="1"/>
  <c r="N4461" i="2"/>
  <c r="P4461" i="2" s="1"/>
  <c r="N4462" i="2"/>
  <c r="P4462" i="2" s="1"/>
  <c r="N4463" i="2"/>
  <c r="P4463" i="2" s="1"/>
  <c r="N4464" i="2"/>
  <c r="P4464" i="2" s="1"/>
  <c r="N4465" i="2"/>
  <c r="P4465" i="2" s="1"/>
  <c r="N4466" i="2"/>
  <c r="P4466" i="2" s="1"/>
  <c r="N4467" i="2"/>
  <c r="P4467" i="2" s="1"/>
  <c r="N4468" i="2"/>
  <c r="P4468" i="2" s="1"/>
  <c r="N4469" i="2"/>
  <c r="P4469" i="2" s="1"/>
  <c r="N4470" i="2"/>
  <c r="P4470" i="2" s="1"/>
  <c r="N4471" i="2"/>
  <c r="P4471" i="2" s="1"/>
  <c r="N4472" i="2"/>
  <c r="P4472" i="2" s="1"/>
  <c r="N4473" i="2"/>
  <c r="P4473" i="2" s="1"/>
  <c r="N4474" i="2"/>
  <c r="P4474" i="2" s="1"/>
  <c r="N4475" i="2"/>
  <c r="P4475" i="2" s="1"/>
  <c r="N4476" i="2"/>
  <c r="P4476" i="2" s="1"/>
  <c r="N4477" i="2"/>
  <c r="P4477" i="2" s="1"/>
  <c r="N4478" i="2"/>
  <c r="P4478" i="2" s="1"/>
  <c r="N4479" i="2"/>
  <c r="P4479" i="2" s="1"/>
  <c r="N4480" i="2"/>
  <c r="P4480" i="2" s="1"/>
  <c r="N4481" i="2"/>
  <c r="P4481" i="2" s="1"/>
  <c r="N4482" i="2"/>
  <c r="P4482" i="2" s="1"/>
  <c r="N4483" i="2"/>
  <c r="P4483" i="2" s="1"/>
  <c r="N4484" i="2"/>
  <c r="P4484" i="2" s="1"/>
  <c r="N4485" i="2"/>
  <c r="P4485" i="2" s="1"/>
  <c r="N4486" i="2"/>
  <c r="P4486" i="2" s="1"/>
  <c r="N4487" i="2"/>
  <c r="P4487" i="2" s="1"/>
  <c r="N4488" i="2"/>
  <c r="P4488" i="2" s="1"/>
  <c r="N4489" i="2"/>
  <c r="P4489" i="2" s="1"/>
  <c r="N4490" i="2"/>
  <c r="P4490" i="2" s="1"/>
  <c r="N4491" i="2"/>
  <c r="P4491" i="2" s="1"/>
  <c r="N4492" i="2"/>
  <c r="P4492" i="2" s="1"/>
  <c r="N4493" i="2"/>
  <c r="P4493" i="2" s="1"/>
  <c r="N4494" i="2"/>
  <c r="P4494" i="2" s="1"/>
  <c r="N4495" i="2"/>
  <c r="P4495" i="2" s="1"/>
  <c r="N4496" i="2"/>
  <c r="P4496" i="2" s="1"/>
  <c r="N4497" i="2"/>
  <c r="P4497" i="2" s="1"/>
  <c r="N4498" i="2"/>
  <c r="P4498" i="2" s="1"/>
  <c r="N4499" i="2"/>
  <c r="P4499" i="2" s="1"/>
  <c r="N4500" i="2"/>
  <c r="P4500" i="2" s="1"/>
  <c r="N4501" i="2"/>
  <c r="P4501" i="2" s="1"/>
  <c r="N4502" i="2"/>
  <c r="P4502" i="2" s="1"/>
  <c r="N4503" i="2"/>
  <c r="P4503" i="2" s="1"/>
  <c r="N4504" i="2"/>
  <c r="P4504" i="2" s="1"/>
  <c r="N4505" i="2"/>
  <c r="P4505" i="2" s="1"/>
  <c r="N4506" i="2"/>
  <c r="P4506" i="2" s="1"/>
  <c r="N4507" i="2"/>
  <c r="P4507" i="2" s="1"/>
  <c r="N4508" i="2"/>
  <c r="P4508" i="2" s="1"/>
  <c r="N4509" i="2"/>
  <c r="P4509" i="2" s="1"/>
  <c r="N4510" i="2"/>
  <c r="P4510" i="2" s="1"/>
  <c r="N4511" i="2"/>
  <c r="P4511" i="2" s="1"/>
  <c r="N4512" i="2"/>
  <c r="P4512" i="2" s="1"/>
  <c r="N4513" i="2"/>
  <c r="P4513" i="2" s="1"/>
  <c r="N4514" i="2"/>
  <c r="P4514" i="2" s="1"/>
  <c r="N4515" i="2"/>
  <c r="P4515" i="2" s="1"/>
  <c r="N4516" i="2"/>
  <c r="P4516" i="2" s="1"/>
  <c r="N4517" i="2"/>
  <c r="P4517" i="2" s="1"/>
  <c r="N4518" i="2"/>
  <c r="P4518" i="2" s="1"/>
  <c r="N4519" i="2"/>
  <c r="P4519" i="2" s="1"/>
  <c r="N4520" i="2"/>
  <c r="P4520" i="2" s="1"/>
  <c r="N4521" i="2"/>
  <c r="P4521" i="2" s="1"/>
  <c r="N4522" i="2"/>
  <c r="P4522" i="2" s="1"/>
  <c r="N4523" i="2"/>
  <c r="P4523" i="2" s="1"/>
  <c r="N4524" i="2"/>
  <c r="P4524" i="2" s="1"/>
  <c r="N4525" i="2"/>
  <c r="P4525" i="2" s="1"/>
  <c r="N4526" i="2"/>
  <c r="P4526" i="2" s="1"/>
  <c r="N4527" i="2"/>
  <c r="P4527" i="2" s="1"/>
  <c r="N4528" i="2"/>
  <c r="P4528" i="2" s="1"/>
  <c r="N4529" i="2"/>
  <c r="P4529" i="2" s="1"/>
  <c r="N4530" i="2"/>
  <c r="P4530" i="2" s="1"/>
  <c r="N4531" i="2"/>
  <c r="P4531" i="2" s="1"/>
  <c r="N4532" i="2"/>
  <c r="P4532" i="2" s="1"/>
  <c r="N4533" i="2"/>
  <c r="P4533" i="2" s="1"/>
  <c r="N4534" i="2"/>
  <c r="P4534" i="2" s="1"/>
  <c r="N4535" i="2"/>
  <c r="P4535" i="2" s="1"/>
  <c r="N4536" i="2"/>
  <c r="P4536" i="2" s="1"/>
  <c r="N4537" i="2"/>
  <c r="P4537" i="2" s="1"/>
  <c r="N4538" i="2"/>
  <c r="P4538" i="2" s="1"/>
  <c r="N4539" i="2"/>
  <c r="P4539" i="2" s="1"/>
  <c r="N4540" i="2"/>
  <c r="P4540" i="2" s="1"/>
  <c r="N4541" i="2"/>
  <c r="P4541" i="2" s="1"/>
  <c r="N4542" i="2"/>
  <c r="P4542" i="2" s="1"/>
  <c r="N4543" i="2"/>
  <c r="P4543" i="2" s="1"/>
  <c r="N4544" i="2"/>
  <c r="P4544" i="2" s="1"/>
  <c r="N4545" i="2"/>
  <c r="P4545" i="2" s="1"/>
  <c r="N4546" i="2"/>
  <c r="P4546" i="2" s="1"/>
  <c r="N4547" i="2"/>
  <c r="P4547" i="2" s="1"/>
  <c r="N4548" i="2"/>
  <c r="P4548" i="2" s="1"/>
  <c r="N4549" i="2"/>
  <c r="P4549" i="2" s="1"/>
  <c r="N4550" i="2"/>
  <c r="P4550" i="2" s="1"/>
  <c r="N4551" i="2"/>
  <c r="P4551" i="2" s="1"/>
  <c r="N4552" i="2"/>
  <c r="P4552" i="2" s="1"/>
  <c r="N4553" i="2"/>
  <c r="P4553" i="2" s="1"/>
  <c r="N4554" i="2"/>
  <c r="P4554" i="2" s="1"/>
  <c r="N4555" i="2"/>
  <c r="P4555" i="2" s="1"/>
  <c r="N4556" i="2"/>
  <c r="P4556" i="2" s="1"/>
  <c r="N4557" i="2"/>
  <c r="P4557" i="2" s="1"/>
  <c r="N4558" i="2"/>
  <c r="P4558" i="2" s="1"/>
  <c r="N4559" i="2"/>
  <c r="P4559" i="2" s="1"/>
  <c r="N4560" i="2"/>
  <c r="P4560" i="2" s="1"/>
  <c r="N4561" i="2"/>
  <c r="P4561" i="2" s="1"/>
  <c r="N4562" i="2"/>
  <c r="P4562" i="2" s="1"/>
  <c r="N4563" i="2"/>
  <c r="P4563" i="2" s="1"/>
  <c r="N4564" i="2"/>
  <c r="P4564" i="2" s="1"/>
  <c r="N4565" i="2"/>
  <c r="P4565" i="2" s="1"/>
  <c r="N4566" i="2"/>
  <c r="P4566" i="2" s="1"/>
  <c r="N4567" i="2"/>
  <c r="P4567" i="2" s="1"/>
  <c r="N4568" i="2"/>
  <c r="P4568" i="2" s="1"/>
  <c r="N4569" i="2"/>
  <c r="P4569" i="2" s="1"/>
  <c r="N4570" i="2"/>
  <c r="P4570" i="2" s="1"/>
  <c r="N4571" i="2"/>
  <c r="P4571" i="2" s="1"/>
  <c r="N4572" i="2"/>
  <c r="P4572" i="2" s="1"/>
  <c r="N4573" i="2"/>
  <c r="P4573" i="2" s="1"/>
  <c r="N4574" i="2"/>
  <c r="P4574" i="2" s="1"/>
  <c r="N4575" i="2"/>
  <c r="P4575" i="2" s="1"/>
  <c r="N4576" i="2"/>
  <c r="P4576" i="2" s="1"/>
  <c r="N4577" i="2"/>
  <c r="P4577" i="2" s="1"/>
  <c r="N4578" i="2"/>
  <c r="P4578" i="2" s="1"/>
  <c r="N4579" i="2"/>
  <c r="P4579" i="2" s="1"/>
  <c r="N4580" i="2"/>
  <c r="P4580" i="2" s="1"/>
  <c r="N4581" i="2"/>
  <c r="P4581" i="2" s="1"/>
  <c r="N4582" i="2"/>
  <c r="P4582" i="2" s="1"/>
  <c r="N4583" i="2"/>
  <c r="P4583" i="2" s="1"/>
  <c r="N4584" i="2"/>
  <c r="P4584" i="2" s="1"/>
  <c r="N4585" i="2"/>
  <c r="P4585" i="2" s="1"/>
  <c r="N4586" i="2"/>
  <c r="P4586" i="2" s="1"/>
  <c r="N4587" i="2"/>
  <c r="P4587" i="2" s="1"/>
  <c r="N4588" i="2"/>
  <c r="P4588" i="2" s="1"/>
  <c r="N4589" i="2"/>
  <c r="P4589" i="2" s="1"/>
  <c r="N4590" i="2"/>
  <c r="P4590" i="2" s="1"/>
  <c r="N4591" i="2"/>
  <c r="P4591" i="2" s="1"/>
  <c r="N4592" i="2"/>
  <c r="P4592" i="2" s="1"/>
  <c r="N4593" i="2"/>
  <c r="P4593" i="2" s="1"/>
  <c r="N4594" i="2"/>
  <c r="P4594" i="2" s="1"/>
  <c r="N4595" i="2"/>
  <c r="P4595" i="2" s="1"/>
  <c r="N4596" i="2"/>
  <c r="P4596" i="2" s="1"/>
  <c r="N4597" i="2"/>
  <c r="P4597" i="2" s="1"/>
  <c r="N4598" i="2"/>
  <c r="P4598" i="2" s="1"/>
  <c r="N4599" i="2"/>
  <c r="P4599" i="2" s="1"/>
  <c r="N4600" i="2"/>
  <c r="P4600" i="2" s="1"/>
  <c r="N4601" i="2"/>
  <c r="P4601" i="2" s="1"/>
  <c r="N4602" i="2"/>
  <c r="P4602" i="2" s="1"/>
  <c r="N4603" i="2"/>
  <c r="P4603" i="2" s="1"/>
  <c r="N4604" i="2"/>
  <c r="P4604" i="2" s="1"/>
  <c r="N4605" i="2"/>
  <c r="P4605" i="2" s="1"/>
  <c r="N4606" i="2"/>
  <c r="P4606" i="2" s="1"/>
  <c r="N4607" i="2"/>
  <c r="P4607" i="2" s="1"/>
  <c r="N4608" i="2"/>
  <c r="P4608" i="2" s="1"/>
  <c r="N4609" i="2"/>
  <c r="P4609" i="2" s="1"/>
  <c r="N4610" i="2"/>
  <c r="P4610" i="2" s="1"/>
  <c r="N4611" i="2"/>
  <c r="P4611" i="2" s="1"/>
  <c r="N4612" i="2"/>
  <c r="P4612" i="2" s="1"/>
  <c r="N4613" i="2"/>
  <c r="P4613" i="2" s="1"/>
  <c r="N4614" i="2"/>
  <c r="P4614" i="2" s="1"/>
  <c r="N4615" i="2"/>
  <c r="P4615" i="2" s="1"/>
  <c r="N4616" i="2"/>
  <c r="P4616" i="2" s="1"/>
  <c r="N4617" i="2"/>
  <c r="P4617" i="2" s="1"/>
  <c r="N4618" i="2"/>
  <c r="P4618" i="2" s="1"/>
  <c r="N4619" i="2"/>
  <c r="P4619" i="2" s="1"/>
  <c r="N4620" i="2"/>
  <c r="P4620" i="2" s="1"/>
  <c r="N4621" i="2"/>
  <c r="P4621" i="2" s="1"/>
  <c r="N4622" i="2"/>
  <c r="P4622" i="2" s="1"/>
  <c r="N4623" i="2"/>
  <c r="P4623" i="2" s="1"/>
  <c r="N4624" i="2"/>
  <c r="P4624" i="2" s="1"/>
  <c r="N4625" i="2"/>
  <c r="P4625" i="2" s="1"/>
  <c r="N4626" i="2"/>
  <c r="P4626" i="2" s="1"/>
  <c r="N4627" i="2"/>
  <c r="P4627" i="2" s="1"/>
  <c r="N4628" i="2"/>
  <c r="P4628" i="2" s="1"/>
  <c r="N4629" i="2"/>
  <c r="P4629" i="2" s="1"/>
  <c r="N4630" i="2"/>
  <c r="P4630" i="2" s="1"/>
  <c r="N4631" i="2"/>
  <c r="P4631" i="2" s="1"/>
  <c r="N4632" i="2"/>
  <c r="P4632" i="2" s="1"/>
  <c r="N4633" i="2"/>
  <c r="P4633" i="2" s="1"/>
  <c r="N4634" i="2"/>
  <c r="P4634" i="2" s="1"/>
  <c r="N4635" i="2"/>
  <c r="P4635" i="2" s="1"/>
  <c r="N4636" i="2"/>
  <c r="P4636" i="2" s="1"/>
  <c r="N4637" i="2"/>
  <c r="P4637" i="2" s="1"/>
  <c r="N4638" i="2"/>
  <c r="P4638" i="2" s="1"/>
  <c r="N4639" i="2"/>
  <c r="P4639" i="2" s="1"/>
  <c r="N4640" i="2"/>
  <c r="P4640" i="2" s="1"/>
  <c r="N4641" i="2"/>
  <c r="P4641" i="2" s="1"/>
  <c r="N4642" i="2"/>
  <c r="P4642" i="2" s="1"/>
  <c r="N4643" i="2"/>
  <c r="P4643" i="2" s="1"/>
  <c r="N4644" i="2"/>
  <c r="P4644" i="2" s="1"/>
  <c r="N4645" i="2"/>
  <c r="P4645" i="2" s="1"/>
  <c r="N4646" i="2"/>
  <c r="P4646" i="2" s="1"/>
  <c r="N4647" i="2"/>
  <c r="P4647" i="2" s="1"/>
  <c r="N4648" i="2"/>
  <c r="P4648" i="2" s="1"/>
  <c r="N4649" i="2"/>
  <c r="P4649" i="2" s="1"/>
  <c r="N4650" i="2"/>
  <c r="P4650" i="2" s="1"/>
  <c r="N4651" i="2"/>
  <c r="P4651" i="2" s="1"/>
  <c r="N4652" i="2"/>
  <c r="P4652" i="2" s="1"/>
  <c r="N4653" i="2"/>
  <c r="P4653" i="2" s="1"/>
  <c r="N4654" i="2"/>
  <c r="P4654" i="2" s="1"/>
  <c r="N4655" i="2"/>
  <c r="P4655" i="2" s="1"/>
  <c r="N4656" i="2"/>
  <c r="P4656" i="2" s="1"/>
  <c r="N4657" i="2"/>
  <c r="P4657" i="2" s="1"/>
  <c r="N4658" i="2"/>
  <c r="P4658" i="2" s="1"/>
  <c r="N4659" i="2"/>
  <c r="P4659" i="2" s="1"/>
  <c r="N4660" i="2"/>
  <c r="P4660" i="2" s="1"/>
  <c r="N4661" i="2"/>
  <c r="P4661" i="2" s="1"/>
  <c r="N4662" i="2"/>
  <c r="P4662" i="2" s="1"/>
  <c r="N4663" i="2"/>
  <c r="P4663" i="2" s="1"/>
  <c r="N4664" i="2"/>
  <c r="P4664" i="2" s="1"/>
  <c r="N4665" i="2"/>
  <c r="P4665" i="2" s="1"/>
  <c r="N4666" i="2"/>
  <c r="P4666" i="2" s="1"/>
  <c r="N4667" i="2"/>
  <c r="P4667" i="2" s="1"/>
  <c r="N4668" i="2"/>
  <c r="P4668" i="2" s="1"/>
  <c r="N4669" i="2"/>
  <c r="P4669" i="2" s="1"/>
  <c r="N4670" i="2"/>
  <c r="P4670" i="2" s="1"/>
  <c r="N4671" i="2"/>
  <c r="P4671" i="2" s="1"/>
  <c r="N4672" i="2"/>
  <c r="P4672" i="2" s="1"/>
  <c r="N4673" i="2"/>
  <c r="P4673" i="2" s="1"/>
  <c r="N4674" i="2"/>
  <c r="P4674" i="2" s="1"/>
  <c r="N4675" i="2"/>
  <c r="P4675" i="2" s="1"/>
  <c r="N4676" i="2"/>
  <c r="P4676" i="2" s="1"/>
  <c r="N4677" i="2"/>
  <c r="P4677" i="2" s="1"/>
  <c r="N4678" i="2"/>
  <c r="P4678" i="2" s="1"/>
  <c r="N4679" i="2"/>
  <c r="P4679" i="2" s="1"/>
  <c r="N4680" i="2"/>
  <c r="P4680" i="2" s="1"/>
  <c r="N4681" i="2"/>
  <c r="P4681" i="2" s="1"/>
  <c r="N4682" i="2"/>
  <c r="P4682" i="2" s="1"/>
  <c r="N4683" i="2"/>
  <c r="P4683" i="2" s="1"/>
  <c r="N4684" i="2"/>
  <c r="P4684" i="2" s="1"/>
  <c r="N4685" i="2"/>
  <c r="P4685" i="2" s="1"/>
  <c r="N4686" i="2"/>
  <c r="P4686" i="2" s="1"/>
  <c r="N4687" i="2"/>
  <c r="P4687" i="2" s="1"/>
  <c r="N4688" i="2"/>
  <c r="P4688" i="2" s="1"/>
  <c r="N4689" i="2"/>
  <c r="P4689" i="2" s="1"/>
  <c r="N4690" i="2"/>
  <c r="P4690" i="2" s="1"/>
  <c r="N4691" i="2"/>
  <c r="P4691" i="2" s="1"/>
  <c r="N4692" i="2"/>
  <c r="P4692" i="2" s="1"/>
  <c r="N4693" i="2"/>
  <c r="P4693" i="2" s="1"/>
  <c r="N4694" i="2"/>
  <c r="P4694" i="2" s="1"/>
  <c r="N4695" i="2"/>
  <c r="P4695" i="2" s="1"/>
  <c r="N4696" i="2"/>
  <c r="P4696" i="2" s="1"/>
  <c r="N4697" i="2"/>
  <c r="P4697" i="2" s="1"/>
  <c r="N4698" i="2"/>
  <c r="P4698" i="2" s="1"/>
  <c r="N4699" i="2"/>
  <c r="P4699" i="2" s="1"/>
  <c r="N4700" i="2"/>
  <c r="P4700" i="2" s="1"/>
  <c r="N4701" i="2"/>
  <c r="P4701" i="2" s="1"/>
  <c r="N4702" i="2"/>
  <c r="P4702" i="2" s="1"/>
  <c r="N4703" i="2"/>
  <c r="P4703" i="2" s="1"/>
  <c r="N4704" i="2"/>
  <c r="P4704" i="2" s="1"/>
  <c r="N4705" i="2"/>
  <c r="P4705" i="2" s="1"/>
  <c r="N4706" i="2"/>
  <c r="P4706" i="2" s="1"/>
  <c r="N4707" i="2"/>
  <c r="P4707" i="2" s="1"/>
  <c r="N4708" i="2"/>
  <c r="P4708" i="2" s="1"/>
  <c r="N4709" i="2"/>
  <c r="P4709" i="2" s="1"/>
  <c r="N4710" i="2"/>
  <c r="P4710" i="2" s="1"/>
  <c r="N4711" i="2"/>
  <c r="P4711" i="2" s="1"/>
  <c r="N4712" i="2"/>
  <c r="P4712" i="2" s="1"/>
  <c r="N4713" i="2"/>
  <c r="P4713" i="2" s="1"/>
  <c r="N4714" i="2"/>
  <c r="P4714" i="2" s="1"/>
  <c r="N4715" i="2"/>
  <c r="P4715" i="2" s="1"/>
  <c r="N4716" i="2"/>
  <c r="P4716" i="2" s="1"/>
  <c r="N4717" i="2"/>
  <c r="P4717" i="2" s="1"/>
  <c r="N4718" i="2"/>
  <c r="P4718" i="2" s="1"/>
  <c r="N4719" i="2"/>
  <c r="P4719" i="2" s="1"/>
  <c r="N4720" i="2"/>
  <c r="P4720" i="2" s="1"/>
  <c r="N4721" i="2"/>
  <c r="P4721" i="2" s="1"/>
  <c r="N4722" i="2"/>
  <c r="P4722" i="2" s="1"/>
  <c r="N4723" i="2"/>
  <c r="P4723" i="2" s="1"/>
  <c r="N4724" i="2"/>
  <c r="P4724" i="2" s="1"/>
  <c r="N4725" i="2"/>
  <c r="P4725" i="2" s="1"/>
  <c r="N4726" i="2"/>
  <c r="P4726" i="2" s="1"/>
  <c r="N4727" i="2"/>
  <c r="P4727" i="2" s="1"/>
  <c r="N4728" i="2"/>
  <c r="P4728" i="2" s="1"/>
  <c r="N4729" i="2"/>
  <c r="P4729" i="2" s="1"/>
  <c r="N4730" i="2"/>
  <c r="P4730" i="2" s="1"/>
  <c r="N4731" i="2"/>
  <c r="P4731" i="2" s="1"/>
  <c r="N4732" i="2"/>
  <c r="P4732" i="2" s="1"/>
  <c r="N4733" i="2"/>
  <c r="P4733" i="2" s="1"/>
  <c r="N4734" i="2"/>
  <c r="P4734" i="2" s="1"/>
  <c r="N4735" i="2"/>
  <c r="P4735" i="2" s="1"/>
  <c r="N4736" i="2"/>
  <c r="P4736" i="2" s="1"/>
  <c r="N4737" i="2"/>
  <c r="P4737" i="2" s="1"/>
  <c r="N4738" i="2"/>
  <c r="P4738" i="2" s="1"/>
  <c r="N4739" i="2"/>
  <c r="P4739" i="2" s="1"/>
  <c r="N4740" i="2"/>
  <c r="P4740" i="2" s="1"/>
  <c r="N4741" i="2"/>
  <c r="P4741" i="2" s="1"/>
  <c r="N4742" i="2"/>
  <c r="P4742" i="2" s="1"/>
  <c r="N4743" i="2"/>
  <c r="P4743" i="2" s="1"/>
  <c r="N4744" i="2"/>
  <c r="P4744" i="2" s="1"/>
  <c r="N4745" i="2"/>
  <c r="P4745" i="2" s="1"/>
  <c r="N4746" i="2"/>
  <c r="P4746" i="2" s="1"/>
  <c r="N4747" i="2"/>
  <c r="P4747" i="2" s="1"/>
  <c r="N4748" i="2"/>
  <c r="P4748" i="2" s="1"/>
  <c r="N4749" i="2"/>
  <c r="P4749" i="2" s="1"/>
  <c r="N4750" i="2"/>
  <c r="P4750" i="2" s="1"/>
  <c r="N4751" i="2"/>
  <c r="P4751" i="2" s="1"/>
  <c r="N4752" i="2"/>
  <c r="P4752" i="2" s="1"/>
  <c r="N4753" i="2"/>
  <c r="P4753" i="2" s="1"/>
  <c r="N4754" i="2"/>
  <c r="P4754" i="2" s="1"/>
  <c r="N4755" i="2"/>
  <c r="P4755" i="2" s="1"/>
  <c r="N4756" i="2"/>
  <c r="P4756" i="2" s="1"/>
  <c r="N4757" i="2"/>
  <c r="P4757" i="2" s="1"/>
  <c r="N4758" i="2"/>
  <c r="P4758" i="2" s="1"/>
  <c r="N4759" i="2"/>
  <c r="P4759" i="2" s="1"/>
  <c r="N4760" i="2"/>
  <c r="P4760" i="2" s="1"/>
  <c r="N4761" i="2"/>
  <c r="P4761" i="2" s="1"/>
  <c r="N4762" i="2"/>
  <c r="P4762" i="2" s="1"/>
  <c r="N4763" i="2"/>
  <c r="P4763" i="2" s="1"/>
  <c r="N4764" i="2"/>
  <c r="P4764" i="2" s="1"/>
  <c r="N4765" i="2"/>
  <c r="P4765" i="2" s="1"/>
  <c r="N4766" i="2"/>
  <c r="P4766" i="2" s="1"/>
  <c r="N4767" i="2"/>
  <c r="P4767" i="2" s="1"/>
  <c r="N4768" i="2"/>
  <c r="P4768" i="2" s="1"/>
  <c r="N4769" i="2"/>
  <c r="P4769" i="2" s="1"/>
  <c r="N4770" i="2"/>
  <c r="P4770" i="2" s="1"/>
  <c r="N4771" i="2"/>
  <c r="P4771" i="2" s="1"/>
  <c r="N4772" i="2"/>
  <c r="P4772" i="2" s="1"/>
  <c r="N4773" i="2"/>
  <c r="P4773" i="2" s="1"/>
  <c r="N4774" i="2"/>
  <c r="P4774" i="2" s="1"/>
  <c r="N4775" i="2"/>
  <c r="P4775" i="2" s="1"/>
  <c r="N4776" i="2"/>
  <c r="P4776" i="2" s="1"/>
  <c r="N4777" i="2"/>
  <c r="P4777" i="2" s="1"/>
  <c r="N4778" i="2"/>
  <c r="P4778" i="2" s="1"/>
  <c r="N4779" i="2"/>
  <c r="P4779" i="2" s="1"/>
  <c r="N4780" i="2"/>
  <c r="P4780" i="2" s="1"/>
  <c r="N4781" i="2"/>
  <c r="P4781" i="2" s="1"/>
  <c r="N4782" i="2"/>
  <c r="P4782" i="2" s="1"/>
  <c r="N4783" i="2"/>
  <c r="P4783" i="2" s="1"/>
  <c r="N4784" i="2"/>
  <c r="P4784" i="2" s="1"/>
  <c r="N4785" i="2"/>
  <c r="P4785" i="2" s="1"/>
  <c r="N4786" i="2"/>
  <c r="P4786" i="2" s="1"/>
  <c r="N4787" i="2"/>
  <c r="P4787" i="2" s="1"/>
  <c r="N4788" i="2"/>
  <c r="P4788" i="2" s="1"/>
  <c r="N4789" i="2"/>
  <c r="P4789" i="2" s="1"/>
  <c r="N4790" i="2"/>
  <c r="P4790" i="2" s="1"/>
  <c r="N4791" i="2"/>
  <c r="P4791" i="2" s="1"/>
  <c r="N4792" i="2"/>
  <c r="P4792" i="2" s="1"/>
  <c r="N4793" i="2"/>
  <c r="P4793" i="2" s="1"/>
  <c r="N4794" i="2"/>
  <c r="P4794" i="2" s="1"/>
  <c r="N4795" i="2"/>
  <c r="P4795" i="2" s="1"/>
  <c r="N4796" i="2"/>
  <c r="P4796" i="2" s="1"/>
  <c r="N4797" i="2"/>
  <c r="P4797" i="2" s="1"/>
  <c r="N4798" i="2"/>
  <c r="P4798" i="2" s="1"/>
  <c r="N4799" i="2"/>
  <c r="P4799" i="2" s="1"/>
  <c r="N4800" i="2"/>
  <c r="P4800" i="2" s="1"/>
  <c r="N4801" i="2"/>
  <c r="P4801" i="2" s="1"/>
  <c r="N4802" i="2"/>
  <c r="P4802" i="2" s="1"/>
  <c r="N4803" i="2"/>
  <c r="P4803" i="2" s="1"/>
  <c r="N4804" i="2"/>
  <c r="P4804" i="2" s="1"/>
  <c r="N4805" i="2"/>
  <c r="P4805" i="2" s="1"/>
  <c r="N4806" i="2"/>
  <c r="P4806" i="2" s="1"/>
  <c r="N4807" i="2"/>
  <c r="P4807" i="2" s="1"/>
  <c r="N4808" i="2"/>
  <c r="P4808" i="2" s="1"/>
  <c r="N4809" i="2"/>
  <c r="P4809" i="2" s="1"/>
  <c r="N4810" i="2"/>
  <c r="P4810" i="2" s="1"/>
  <c r="N4811" i="2"/>
  <c r="P4811" i="2" s="1"/>
  <c r="N4812" i="2"/>
  <c r="P4812" i="2" s="1"/>
  <c r="N4813" i="2"/>
  <c r="P4813" i="2" s="1"/>
  <c r="N4814" i="2"/>
  <c r="P4814" i="2" s="1"/>
  <c r="N4815" i="2"/>
  <c r="P4815" i="2" s="1"/>
  <c r="N4816" i="2"/>
  <c r="P4816" i="2" s="1"/>
  <c r="N4817" i="2"/>
  <c r="P4817" i="2" s="1"/>
  <c r="N4818" i="2"/>
  <c r="P4818" i="2" s="1"/>
  <c r="N4819" i="2"/>
  <c r="P4819" i="2" s="1"/>
  <c r="N4820" i="2"/>
  <c r="P4820" i="2" s="1"/>
  <c r="N4821" i="2"/>
  <c r="P4821" i="2" s="1"/>
  <c r="N4822" i="2"/>
  <c r="P4822" i="2" s="1"/>
  <c r="N4823" i="2"/>
  <c r="P4823" i="2" s="1"/>
  <c r="N4824" i="2"/>
  <c r="P4824" i="2" s="1"/>
  <c r="N4825" i="2"/>
  <c r="P4825" i="2" s="1"/>
  <c r="N4826" i="2"/>
  <c r="P4826" i="2" s="1"/>
  <c r="N4827" i="2"/>
  <c r="P4827" i="2" s="1"/>
  <c r="N4828" i="2"/>
  <c r="P4828" i="2" s="1"/>
  <c r="N4829" i="2"/>
  <c r="P4829" i="2" s="1"/>
  <c r="N4830" i="2"/>
  <c r="P4830" i="2" s="1"/>
  <c r="N4831" i="2"/>
  <c r="P4831" i="2" s="1"/>
  <c r="N4832" i="2"/>
  <c r="P4832" i="2" s="1"/>
  <c r="N4833" i="2"/>
  <c r="P4833" i="2" s="1"/>
  <c r="N4834" i="2"/>
  <c r="P4834" i="2" s="1"/>
  <c r="N4835" i="2"/>
  <c r="P4835" i="2" s="1"/>
  <c r="N4836" i="2"/>
  <c r="P4836" i="2" s="1"/>
  <c r="N4837" i="2"/>
  <c r="P4837" i="2" s="1"/>
  <c r="N4838" i="2"/>
  <c r="P4838" i="2" s="1"/>
  <c r="N4839" i="2"/>
  <c r="P4839" i="2" s="1"/>
  <c r="N4840" i="2"/>
  <c r="P4840" i="2" s="1"/>
  <c r="N4841" i="2"/>
  <c r="P4841" i="2" s="1"/>
  <c r="N4842" i="2"/>
  <c r="P4842" i="2" s="1"/>
  <c r="N4843" i="2"/>
  <c r="P4843" i="2" s="1"/>
  <c r="N4844" i="2"/>
  <c r="P4844" i="2" s="1"/>
  <c r="N4845" i="2"/>
  <c r="P4845" i="2" s="1"/>
  <c r="N4846" i="2"/>
  <c r="P4846" i="2" s="1"/>
  <c r="N4847" i="2"/>
  <c r="P4847" i="2" s="1"/>
  <c r="N4848" i="2"/>
  <c r="P4848" i="2" s="1"/>
  <c r="N4849" i="2"/>
  <c r="P4849" i="2" s="1"/>
  <c r="N4850" i="2"/>
  <c r="P4850" i="2" s="1"/>
  <c r="N4851" i="2"/>
  <c r="P4851" i="2" s="1"/>
  <c r="N4852" i="2"/>
  <c r="P4852" i="2" s="1"/>
  <c r="N4853" i="2"/>
  <c r="P4853" i="2" s="1"/>
  <c r="N4854" i="2"/>
  <c r="P4854" i="2" s="1"/>
  <c r="N4855" i="2"/>
  <c r="P4855" i="2" s="1"/>
  <c r="N4856" i="2"/>
  <c r="P4856" i="2" s="1"/>
  <c r="N4857" i="2"/>
  <c r="P4857" i="2" s="1"/>
  <c r="N4858" i="2"/>
  <c r="P4858" i="2" s="1"/>
  <c r="N4859" i="2"/>
  <c r="P4859" i="2" s="1"/>
  <c r="N4860" i="2"/>
  <c r="P4860" i="2" s="1"/>
  <c r="N4861" i="2"/>
  <c r="P4861" i="2" s="1"/>
  <c r="N4862" i="2"/>
  <c r="P4862" i="2" s="1"/>
  <c r="N4863" i="2"/>
  <c r="P4863" i="2" s="1"/>
  <c r="N4864" i="2"/>
  <c r="P4864" i="2" s="1"/>
  <c r="N4865" i="2"/>
  <c r="P4865" i="2" s="1"/>
  <c r="N4866" i="2"/>
  <c r="P4866" i="2" s="1"/>
  <c r="N4867" i="2"/>
  <c r="P4867" i="2" s="1"/>
  <c r="N4868" i="2"/>
  <c r="P4868" i="2" s="1"/>
  <c r="N4869" i="2"/>
  <c r="P4869" i="2" s="1"/>
  <c r="N4870" i="2"/>
  <c r="P4870" i="2" s="1"/>
  <c r="N4871" i="2"/>
  <c r="P4871" i="2" s="1"/>
  <c r="N4872" i="2"/>
  <c r="P4872" i="2" s="1"/>
  <c r="N4873" i="2"/>
  <c r="P4873" i="2" s="1"/>
  <c r="N4874" i="2"/>
  <c r="P4874" i="2" s="1"/>
  <c r="N4875" i="2"/>
  <c r="P4875" i="2" s="1"/>
  <c r="N4876" i="2"/>
  <c r="P4876" i="2" s="1"/>
  <c r="N4877" i="2"/>
  <c r="P4877" i="2" s="1"/>
  <c r="N4878" i="2"/>
  <c r="P4878" i="2" s="1"/>
  <c r="N4879" i="2"/>
  <c r="P4879" i="2" s="1"/>
  <c r="N4880" i="2"/>
  <c r="P4880" i="2" s="1"/>
  <c r="N4881" i="2"/>
  <c r="P4881" i="2" s="1"/>
  <c r="N4882" i="2"/>
  <c r="P4882" i="2" s="1"/>
  <c r="N4883" i="2"/>
  <c r="P4883" i="2" s="1"/>
  <c r="N4884" i="2"/>
  <c r="P4884" i="2" s="1"/>
  <c r="N4885" i="2"/>
  <c r="P4885" i="2" s="1"/>
  <c r="N4886" i="2"/>
  <c r="P4886" i="2" s="1"/>
  <c r="N4887" i="2"/>
  <c r="P4887" i="2" s="1"/>
  <c r="N4888" i="2"/>
  <c r="P4888" i="2" s="1"/>
  <c r="N4889" i="2"/>
  <c r="P4889" i="2" s="1"/>
  <c r="N4890" i="2"/>
  <c r="P4890" i="2" s="1"/>
  <c r="N4891" i="2"/>
  <c r="P4891" i="2" s="1"/>
  <c r="N4892" i="2"/>
  <c r="P4892" i="2" s="1"/>
  <c r="N4893" i="2"/>
  <c r="P4893" i="2" s="1"/>
  <c r="N4894" i="2"/>
  <c r="P4894" i="2" s="1"/>
  <c r="N4895" i="2"/>
  <c r="P4895" i="2" s="1"/>
  <c r="N4896" i="2"/>
  <c r="P4896" i="2" s="1"/>
  <c r="N4897" i="2"/>
  <c r="P4897" i="2" s="1"/>
  <c r="N4898" i="2"/>
  <c r="P4898" i="2" s="1"/>
  <c r="N4899" i="2"/>
  <c r="P4899" i="2" s="1"/>
  <c r="N4900" i="2"/>
  <c r="P4900" i="2" s="1"/>
  <c r="N4901" i="2"/>
  <c r="P4901" i="2" s="1"/>
  <c r="N4902" i="2"/>
  <c r="P4902" i="2" s="1"/>
  <c r="N4903" i="2"/>
  <c r="P4903" i="2" s="1"/>
  <c r="N4904" i="2"/>
  <c r="P4904" i="2" s="1"/>
  <c r="N4905" i="2"/>
  <c r="P4905" i="2" s="1"/>
  <c r="N4906" i="2"/>
  <c r="P4906" i="2" s="1"/>
  <c r="N4907" i="2"/>
  <c r="P4907" i="2" s="1"/>
  <c r="N4908" i="2"/>
  <c r="P4908" i="2" s="1"/>
  <c r="N4909" i="2"/>
  <c r="P4909" i="2" s="1"/>
  <c r="N4910" i="2"/>
  <c r="P4910" i="2" s="1"/>
  <c r="N4911" i="2"/>
  <c r="P4911" i="2" s="1"/>
  <c r="N4912" i="2"/>
  <c r="P4912" i="2" s="1"/>
  <c r="N4913" i="2"/>
  <c r="P4913" i="2" s="1"/>
  <c r="N4914" i="2"/>
  <c r="P4914" i="2" s="1"/>
  <c r="N4915" i="2"/>
  <c r="P4915" i="2" s="1"/>
  <c r="N4916" i="2"/>
  <c r="P4916" i="2" s="1"/>
  <c r="N4917" i="2"/>
  <c r="P4917" i="2" s="1"/>
  <c r="N4918" i="2"/>
  <c r="P4918" i="2" s="1"/>
  <c r="N4919" i="2"/>
  <c r="P4919" i="2" s="1"/>
  <c r="N4920" i="2"/>
  <c r="P4920" i="2" s="1"/>
  <c r="N4921" i="2"/>
  <c r="P4921" i="2" s="1"/>
  <c r="N4922" i="2"/>
  <c r="P4922" i="2" s="1"/>
  <c r="N4923" i="2"/>
  <c r="P4923" i="2" s="1"/>
  <c r="N4924" i="2"/>
  <c r="P4924" i="2" s="1"/>
  <c r="N4925" i="2"/>
  <c r="P4925" i="2" s="1"/>
  <c r="N4926" i="2"/>
  <c r="P4926" i="2" s="1"/>
  <c r="N4927" i="2"/>
  <c r="P4927" i="2" s="1"/>
  <c r="N4928" i="2"/>
  <c r="P4928" i="2" s="1"/>
  <c r="N4929" i="2"/>
  <c r="P4929" i="2" s="1"/>
  <c r="N4930" i="2"/>
  <c r="P4930" i="2" s="1"/>
  <c r="N4931" i="2"/>
  <c r="P4931" i="2" s="1"/>
  <c r="N4932" i="2"/>
  <c r="P4932" i="2" s="1"/>
  <c r="N4933" i="2"/>
  <c r="P4933" i="2" s="1"/>
  <c r="N4934" i="2"/>
  <c r="P4934" i="2" s="1"/>
  <c r="N4935" i="2"/>
  <c r="P4935" i="2" s="1"/>
  <c r="N4936" i="2"/>
  <c r="P4936" i="2" s="1"/>
  <c r="N4937" i="2"/>
  <c r="P4937" i="2" s="1"/>
  <c r="N4938" i="2"/>
  <c r="P4938" i="2" s="1"/>
  <c r="N4939" i="2"/>
  <c r="P4939" i="2" s="1"/>
  <c r="N4940" i="2"/>
  <c r="P4940" i="2" s="1"/>
  <c r="N4941" i="2"/>
  <c r="P4941" i="2" s="1"/>
  <c r="N4942" i="2"/>
  <c r="P4942" i="2" s="1"/>
  <c r="N4943" i="2"/>
  <c r="P4943" i="2" s="1"/>
  <c r="N4944" i="2"/>
  <c r="P4944" i="2" s="1"/>
  <c r="N4945" i="2"/>
  <c r="P4945" i="2" s="1"/>
  <c r="N4946" i="2"/>
  <c r="P4946" i="2" s="1"/>
  <c r="N4947" i="2"/>
  <c r="P4947" i="2" s="1"/>
  <c r="N4948" i="2"/>
  <c r="P4948" i="2" s="1"/>
  <c r="N4949" i="2"/>
  <c r="P4949" i="2" s="1"/>
  <c r="N4950" i="2"/>
  <c r="P4950" i="2" s="1"/>
  <c r="N4951" i="2"/>
  <c r="P4951" i="2" s="1"/>
  <c r="N4952" i="2"/>
  <c r="P4952" i="2" s="1"/>
  <c r="N4953" i="2"/>
  <c r="P4953" i="2" s="1"/>
  <c r="N4954" i="2"/>
  <c r="P4954" i="2" s="1"/>
  <c r="N4955" i="2"/>
  <c r="P4955" i="2" s="1"/>
  <c r="N4956" i="2"/>
  <c r="P4956" i="2" s="1"/>
  <c r="N4957" i="2"/>
  <c r="P4957" i="2" s="1"/>
  <c r="N4958" i="2"/>
  <c r="P4958" i="2" s="1"/>
  <c r="N4959" i="2"/>
  <c r="P4959" i="2" s="1"/>
  <c r="N4960" i="2"/>
  <c r="P4960" i="2" s="1"/>
  <c r="N4961" i="2"/>
  <c r="P4961" i="2" s="1"/>
  <c r="N4962" i="2"/>
  <c r="P4962" i="2" s="1"/>
  <c r="N4963" i="2"/>
  <c r="P4963" i="2" s="1"/>
  <c r="N4964" i="2"/>
  <c r="P4964" i="2" s="1"/>
  <c r="N4965" i="2"/>
  <c r="P4965" i="2" s="1"/>
  <c r="N4966" i="2"/>
  <c r="P4966" i="2" s="1"/>
  <c r="N4967" i="2"/>
  <c r="P4967" i="2" s="1"/>
  <c r="N4968" i="2"/>
  <c r="P4968" i="2" s="1"/>
  <c r="N4969" i="2"/>
  <c r="P4969" i="2" s="1"/>
  <c r="N4970" i="2"/>
  <c r="P4970" i="2" s="1"/>
  <c r="N4971" i="2"/>
  <c r="P4971" i="2" s="1"/>
  <c r="N4972" i="2"/>
  <c r="P4972" i="2" s="1"/>
  <c r="N4973" i="2"/>
  <c r="P4973" i="2" s="1"/>
  <c r="N4974" i="2"/>
  <c r="P4974" i="2" s="1"/>
  <c r="N4975" i="2"/>
  <c r="P4975" i="2" s="1"/>
  <c r="N4976" i="2"/>
  <c r="P4976" i="2" s="1"/>
  <c r="N4977" i="2"/>
  <c r="P4977" i="2" s="1"/>
  <c r="N4978" i="2"/>
  <c r="P4978" i="2" s="1"/>
  <c r="N4979" i="2"/>
  <c r="P4979" i="2" s="1"/>
  <c r="N4980" i="2"/>
  <c r="P4980" i="2" s="1"/>
  <c r="N4981" i="2"/>
  <c r="P4981" i="2" s="1"/>
  <c r="N4982" i="2"/>
  <c r="P4982" i="2" s="1"/>
  <c r="N4983" i="2"/>
  <c r="P4983" i="2" s="1"/>
  <c r="N4984" i="2"/>
  <c r="P4984" i="2" s="1"/>
  <c r="N4985" i="2"/>
  <c r="P4985" i="2" s="1"/>
  <c r="N4986" i="2"/>
  <c r="P4986" i="2" s="1"/>
  <c r="N4987" i="2"/>
  <c r="P4987" i="2" s="1"/>
  <c r="N4988" i="2"/>
  <c r="P4988" i="2" s="1"/>
  <c r="N4989" i="2"/>
  <c r="P4989" i="2" s="1"/>
  <c r="N4990" i="2"/>
  <c r="P4990" i="2" s="1"/>
  <c r="N4991" i="2"/>
  <c r="P4991" i="2" s="1"/>
  <c r="N4992" i="2"/>
  <c r="P4992" i="2" s="1"/>
  <c r="N4993" i="2"/>
  <c r="P4993" i="2" s="1"/>
  <c r="N4994" i="2"/>
  <c r="P4994" i="2" s="1"/>
  <c r="N4995" i="2"/>
  <c r="P4995" i="2" s="1"/>
  <c r="N4996" i="2"/>
  <c r="P4996" i="2" s="1"/>
  <c r="N4997" i="2"/>
  <c r="P4997" i="2" s="1"/>
  <c r="N4998" i="2"/>
  <c r="P4998" i="2" s="1"/>
  <c r="N4999" i="2"/>
  <c r="P4999" i="2" s="1"/>
  <c r="N5000" i="2"/>
  <c r="P5000" i="2" s="1"/>
  <c r="N5001" i="2"/>
  <c r="P5001" i="2" s="1"/>
  <c r="M152" i="2" a="1"/>
  <c r="M152" i="2" s="1"/>
  <c r="M73" i="2" a="1"/>
  <c r="M73" i="2" s="1"/>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2" i="2"/>
  <c r="M3" i="2"/>
  <c r="L3" i="2"/>
  <c r="O3" i="2" s="1"/>
  <c r="L4" i="2"/>
  <c r="O4" i="2" s="1"/>
  <c r="L5" i="2"/>
  <c r="O5" i="2" s="1"/>
  <c r="L6" i="2"/>
  <c r="O6" i="2" s="1"/>
  <c r="L7" i="2"/>
  <c r="O7" i="2" s="1"/>
  <c r="L8" i="2"/>
  <c r="O8" i="2" s="1"/>
  <c r="L9" i="2"/>
  <c r="O9" i="2" s="1"/>
  <c r="L10" i="2"/>
  <c r="O10" i="2" s="1"/>
  <c r="L11" i="2"/>
  <c r="O11" i="2" s="1"/>
  <c r="L12" i="2"/>
  <c r="O12" i="2" s="1"/>
  <c r="L13" i="2"/>
  <c r="O13" i="2" s="1"/>
  <c r="L14" i="2"/>
  <c r="O14" i="2" s="1"/>
  <c r="L15" i="2"/>
  <c r="O15" i="2" s="1"/>
  <c r="L16" i="2"/>
  <c r="O16" i="2" s="1"/>
  <c r="L17" i="2"/>
  <c r="O17" i="2" s="1"/>
  <c r="L18" i="2"/>
  <c r="O18" i="2" s="1"/>
  <c r="L19" i="2"/>
  <c r="O19" i="2" s="1"/>
  <c r="L20" i="2"/>
  <c r="O20" i="2" s="1"/>
  <c r="L21" i="2"/>
  <c r="O21" i="2" s="1"/>
  <c r="L23" i="2"/>
  <c r="O23" i="2" s="1"/>
  <c r="L24" i="2"/>
  <c r="O24" i="2" s="1"/>
  <c r="L25" i="2"/>
  <c r="O25" i="2" s="1"/>
  <c r="L26" i="2"/>
  <c r="O26" i="2" s="1"/>
  <c r="L27" i="2"/>
  <c r="O27" i="2" s="1"/>
  <c r="L28" i="2"/>
  <c r="O28" i="2" s="1"/>
  <c r="L29" i="2"/>
  <c r="O29" i="2" s="1"/>
  <c r="L30" i="2"/>
  <c r="O30" i="2" s="1"/>
  <c r="L31" i="2"/>
  <c r="O31" i="2" s="1"/>
  <c r="L32" i="2"/>
  <c r="O32" i="2" s="1"/>
  <c r="L33" i="2"/>
  <c r="O33" i="2" s="1"/>
  <c r="L34" i="2"/>
  <c r="O34" i="2" s="1"/>
  <c r="L35" i="2"/>
  <c r="O35" i="2" s="1"/>
  <c r="L36" i="2"/>
  <c r="O36" i="2" s="1"/>
  <c r="L38" i="2"/>
  <c r="O38" i="2" s="1"/>
  <c r="L39" i="2"/>
  <c r="O39" i="2" s="1"/>
  <c r="L40" i="2"/>
  <c r="O40" i="2" s="1"/>
  <c r="L41" i="2"/>
  <c r="O41" i="2" s="1"/>
  <c r="L42" i="2"/>
  <c r="O42" i="2" s="1"/>
  <c r="L43" i="2"/>
  <c r="O43" i="2" s="1"/>
  <c r="L44" i="2"/>
  <c r="O44" i="2" s="1"/>
  <c r="L45" i="2"/>
  <c r="O45" i="2" s="1"/>
  <c r="L46" i="2"/>
  <c r="O46" i="2" s="1"/>
  <c r="L47" i="2"/>
  <c r="O47" i="2" s="1"/>
  <c r="L48" i="2"/>
  <c r="O48" i="2" s="1"/>
  <c r="L49" i="2"/>
  <c r="O49" i="2" s="1"/>
  <c r="L50" i="2"/>
  <c r="O50" i="2" s="1"/>
  <c r="L51" i="2"/>
  <c r="O51" i="2" s="1"/>
  <c r="L52" i="2"/>
  <c r="O52" i="2" s="1"/>
  <c r="L53" i="2"/>
  <c r="O53" i="2" s="1"/>
  <c r="L54" i="2"/>
  <c r="O54" i="2" s="1"/>
  <c r="L55" i="2"/>
  <c r="O55" i="2" s="1"/>
  <c r="L56" i="2"/>
  <c r="O56" i="2" s="1"/>
  <c r="L57" i="2"/>
  <c r="O57" i="2" s="1"/>
  <c r="L58" i="2"/>
  <c r="O58" i="2" s="1"/>
  <c r="L59" i="2"/>
  <c r="O59" i="2" s="1"/>
  <c r="L60" i="2"/>
  <c r="O60" i="2" s="1"/>
  <c r="L61" i="2"/>
  <c r="O61" i="2" s="1"/>
  <c r="L62" i="2"/>
  <c r="O62" i="2" s="1"/>
  <c r="L63" i="2"/>
  <c r="O63" i="2" s="1"/>
  <c r="L64" i="2"/>
  <c r="O64" i="2" s="1"/>
  <c r="L65" i="2"/>
  <c r="O65" i="2" s="1"/>
  <c r="L66" i="2"/>
  <c r="O66" i="2" s="1"/>
  <c r="L67" i="2"/>
  <c r="O67" i="2" s="1"/>
  <c r="L68" i="2"/>
  <c r="O68" i="2" s="1"/>
  <c r="L69" i="2"/>
  <c r="O69" i="2" s="1"/>
  <c r="L70" i="2"/>
  <c r="O70" i="2" s="1"/>
  <c r="L71" i="2"/>
  <c r="O71" i="2" s="1"/>
  <c r="L72" i="2"/>
  <c r="O72" i="2" s="1"/>
  <c r="L73" i="2"/>
  <c r="O73" i="2" s="1"/>
  <c r="L74" i="2"/>
  <c r="O74" i="2" s="1"/>
  <c r="L75" i="2"/>
  <c r="O75" i="2" s="1"/>
  <c r="L76" i="2"/>
  <c r="O76" i="2" s="1"/>
  <c r="L77" i="2"/>
  <c r="O77" i="2" s="1"/>
  <c r="L78" i="2"/>
  <c r="O78" i="2" s="1"/>
  <c r="L79" i="2"/>
  <c r="O79" i="2" s="1"/>
  <c r="L80" i="2"/>
  <c r="O80" i="2" s="1"/>
  <c r="L81" i="2"/>
  <c r="O81" i="2" s="1"/>
  <c r="L82" i="2"/>
  <c r="O82" i="2" s="1"/>
  <c r="L83" i="2"/>
  <c r="O83" i="2" s="1"/>
  <c r="L84" i="2"/>
  <c r="O84" i="2" s="1"/>
  <c r="L85" i="2"/>
  <c r="O85" i="2" s="1"/>
  <c r="L86" i="2"/>
  <c r="O86" i="2" s="1"/>
  <c r="L87" i="2"/>
  <c r="O87" i="2" s="1"/>
  <c r="L88" i="2"/>
  <c r="O88" i="2" s="1"/>
  <c r="L89" i="2"/>
  <c r="O89" i="2" s="1"/>
  <c r="L90" i="2"/>
  <c r="O90" i="2" s="1"/>
  <c r="L91" i="2"/>
  <c r="O91" i="2" s="1"/>
  <c r="L92" i="2"/>
  <c r="O92" i="2" s="1"/>
  <c r="L93" i="2"/>
  <c r="O93" i="2" s="1"/>
  <c r="L94" i="2"/>
  <c r="O94" i="2" s="1"/>
  <c r="L95" i="2"/>
  <c r="O95" i="2" s="1"/>
  <c r="L96" i="2"/>
  <c r="O96" i="2" s="1"/>
  <c r="L97" i="2"/>
  <c r="O97" i="2" s="1"/>
  <c r="L98" i="2"/>
  <c r="O98" i="2" s="1"/>
  <c r="L99" i="2"/>
  <c r="O99" i="2" s="1"/>
  <c r="L100" i="2"/>
  <c r="O100" i="2" s="1"/>
  <c r="L101" i="2"/>
  <c r="O101" i="2" s="1"/>
  <c r="L102" i="2"/>
  <c r="O102" i="2" s="1"/>
  <c r="L103" i="2"/>
  <c r="O103" i="2" s="1"/>
  <c r="L104" i="2"/>
  <c r="O104" i="2" s="1"/>
  <c r="L105" i="2"/>
  <c r="O105" i="2" s="1"/>
  <c r="L106" i="2"/>
  <c r="O106" i="2" s="1"/>
  <c r="L107" i="2"/>
  <c r="O107" i="2" s="1"/>
  <c r="L108" i="2"/>
  <c r="O108" i="2" s="1"/>
  <c r="L109" i="2"/>
  <c r="O109" i="2" s="1"/>
  <c r="L110" i="2"/>
  <c r="O110" i="2" s="1"/>
  <c r="L111" i="2"/>
  <c r="O111" i="2" s="1"/>
  <c r="L112" i="2"/>
  <c r="O112" i="2" s="1"/>
  <c r="L113" i="2"/>
  <c r="O113" i="2" s="1"/>
  <c r="L114" i="2"/>
  <c r="O114" i="2" s="1"/>
  <c r="L115" i="2"/>
  <c r="O115" i="2" s="1"/>
  <c r="L116" i="2"/>
  <c r="O116" i="2" s="1"/>
  <c r="L117" i="2"/>
  <c r="O117" i="2" s="1"/>
  <c r="L118" i="2"/>
  <c r="O118" i="2" s="1"/>
  <c r="L119" i="2"/>
  <c r="O119" i="2" s="1"/>
  <c r="L120" i="2"/>
  <c r="O120" i="2" s="1"/>
  <c r="L121" i="2"/>
  <c r="O121" i="2" s="1"/>
  <c r="L122" i="2"/>
  <c r="O122" i="2" s="1"/>
  <c r="L123" i="2"/>
  <c r="O123" i="2" s="1"/>
  <c r="L124" i="2"/>
  <c r="O124" i="2" s="1"/>
  <c r="L125" i="2"/>
  <c r="O125" i="2" s="1"/>
  <c r="L126" i="2"/>
  <c r="O126" i="2" s="1"/>
  <c r="L127" i="2"/>
  <c r="O127" i="2" s="1"/>
  <c r="L128" i="2"/>
  <c r="O128" i="2" s="1"/>
  <c r="L129" i="2"/>
  <c r="O129" i="2" s="1"/>
  <c r="L130" i="2"/>
  <c r="O130" i="2" s="1"/>
  <c r="L131" i="2"/>
  <c r="O131" i="2" s="1"/>
  <c r="L132" i="2"/>
  <c r="O132" i="2" s="1"/>
  <c r="L133" i="2"/>
  <c r="O133" i="2" s="1"/>
  <c r="L134" i="2"/>
  <c r="O134" i="2" s="1"/>
  <c r="L135" i="2"/>
  <c r="O135" i="2" s="1"/>
  <c r="L136" i="2"/>
  <c r="O136" i="2" s="1"/>
  <c r="L137" i="2"/>
  <c r="O137" i="2" s="1"/>
  <c r="L138" i="2"/>
  <c r="O138" i="2" s="1"/>
  <c r="L139" i="2"/>
  <c r="O139" i="2" s="1"/>
  <c r="L140" i="2"/>
  <c r="O140" i="2" s="1"/>
  <c r="L141" i="2"/>
  <c r="O141" i="2" s="1"/>
  <c r="L142" i="2"/>
  <c r="O142" i="2" s="1"/>
  <c r="L143" i="2"/>
  <c r="O143" i="2" s="1"/>
  <c r="L144" i="2"/>
  <c r="O144" i="2" s="1"/>
  <c r="L145" i="2"/>
  <c r="O145" i="2" s="1"/>
  <c r="L146" i="2"/>
  <c r="O146" i="2" s="1"/>
  <c r="L147" i="2"/>
  <c r="O147" i="2" s="1"/>
  <c r="L148" i="2"/>
  <c r="O148" i="2" s="1"/>
  <c r="L149" i="2"/>
  <c r="O149" i="2" s="1"/>
  <c r="L150" i="2"/>
  <c r="O150" i="2" s="1"/>
  <c r="L151" i="2"/>
  <c r="O151" i="2" s="1"/>
  <c r="L152" i="2"/>
  <c r="O152" i="2" s="1"/>
  <c r="L153" i="2"/>
  <c r="O153" i="2" s="1"/>
  <c r="L154" i="2"/>
  <c r="O154" i="2" s="1"/>
  <c r="L155" i="2"/>
  <c r="O155" i="2" s="1"/>
  <c r="L156" i="2"/>
  <c r="O156" i="2" s="1"/>
  <c r="L157" i="2"/>
  <c r="O157" i="2" s="1"/>
  <c r="L158" i="2"/>
  <c r="O158" i="2" s="1"/>
  <c r="L159" i="2"/>
  <c r="O159" i="2" s="1"/>
  <c r="L160" i="2"/>
  <c r="O160" i="2" s="1"/>
  <c r="L161" i="2"/>
  <c r="O161" i="2" s="1"/>
  <c r="L162" i="2"/>
  <c r="O162" i="2" s="1"/>
  <c r="L163" i="2"/>
  <c r="O163" i="2" s="1"/>
  <c r="L164" i="2"/>
  <c r="O164" i="2" s="1"/>
  <c r="L165" i="2"/>
  <c r="O165" i="2" s="1"/>
  <c r="L166" i="2"/>
  <c r="O166" i="2" s="1"/>
  <c r="L167" i="2"/>
  <c r="O167" i="2" s="1"/>
  <c r="L168" i="2"/>
  <c r="O168" i="2" s="1"/>
  <c r="L169" i="2"/>
  <c r="O169" i="2" s="1"/>
  <c r="L170" i="2"/>
  <c r="O170" i="2" s="1"/>
  <c r="L171" i="2"/>
  <c r="O171" i="2" s="1"/>
  <c r="L172" i="2"/>
  <c r="O172" i="2" s="1"/>
  <c r="L173" i="2"/>
  <c r="O173" i="2" s="1"/>
  <c r="L174" i="2"/>
  <c r="O174" i="2" s="1"/>
  <c r="L175" i="2"/>
  <c r="O175" i="2" s="1"/>
  <c r="L176" i="2"/>
  <c r="O176" i="2" s="1"/>
  <c r="L177" i="2"/>
  <c r="O177" i="2" s="1"/>
  <c r="L178" i="2"/>
  <c r="O178" i="2" s="1"/>
  <c r="L179" i="2"/>
  <c r="O179" i="2" s="1"/>
  <c r="L180" i="2"/>
  <c r="O180" i="2" s="1"/>
  <c r="L181" i="2"/>
  <c r="O181" i="2" s="1"/>
  <c r="L182" i="2"/>
  <c r="O182" i="2" s="1"/>
  <c r="L183" i="2"/>
  <c r="O183" i="2" s="1"/>
  <c r="L184" i="2"/>
  <c r="O184" i="2" s="1"/>
  <c r="L185" i="2"/>
  <c r="O185" i="2" s="1"/>
  <c r="L186" i="2"/>
  <c r="O186" i="2" s="1"/>
  <c r="L187" i="2"/>
  <c r="O187" i="2" s="1"/>
  <c r="L188" i="2"/>
  <c r="O188" i="2" s="1"/>
  <c r="L189" i="2"/>
  <c r="O189" i="2" s="1"/>
  <c r="L190" i="2"/>
  <c r="O190" i="2" s="1"/>
  <c r="L191" i="2"/>
  <c r="O191" i="2" s="1"/>
  <c r="L192" i="2"/>
  <c r="O192" i="2" s="1"/>
  <c r="L193" i="2"/>
  <c r="O193" i="2" s="1"/>
  <c r="L194" i="2"/>
  <c r="O194" i="2" s="1"/>
  <c r="L195" i="2"/>
  <c r="O195" i="2" s="1"/>
  <c r="L196" i="2"/>
  <c r="O196" i="2" s="1"/>
  <c r="L197" i="2"/>
  <c r="O197" i="2" s="1"/>
  <c r="L198" i="2"/>
  <c r="O198" i="2" s="1"/>
  <c r="L199" i="2"/>
  <c r="O199" i="2" s="1"/>
  <c r="L200" i="2"/>
  <c r="O200" i="2" s="1"/>
  <c r="L201" i="2"/>
  <c r="O201" i="2" s="1"/>
  <c r="L202" i="2"/>
  <c r="O202" i="2" s="1"/>
  <c r="L203" i="2"/>
  <c r="O203" i="2" s="1"/>
  <c r="L204" i="2"/>
  <c r="O204" i="2" s="1"/>
  <c r="L205" i="2"/>
  <c r="O205" i="2" s="1"/>
  <c r="L206" i="2"/>
  <c r="O206" i="2" s="1"/>
  <c r="L207" i="2"/>
  <c r="O207" i="2" s="1"/>
  <c r="L208" i="2"/>
  <c r="O208" i="2" s="1"/>
  <c r="L209" i="2"/>
  <c r="O209" i="2" s="1"/>
  <c r="L210" i="2"/>
  <c r="O210" i="2" s="1"/>
  <c r="L211" i="2"/>
  <c r="O211" i="2" s="1"/>
  <c r="L212" i="2"/>
  <c r="O212" i="2" s="1"/>
  <c r="L213" i="2"/>
  <c r="O213" i="2" s="1"/>
  <c r="L214" i="2"/>
  <c r="O214" i="2" s="1"/>
  <c r="L215" i="2"/>
  <c r="O215" i="2" s="1"/>
  <c r="L216" i="2"/>
  <c r="O216" i="2" s="1"/>
  <c r="L217" i="2"/>
  <c r="O217" i="2" s="1"/>
  <c r="L218" i="2"/>
  <c r="O218" i="2" s="1"/>
  <c r="L219" i="2"/>
  <c r="O219" i="2" s="1"/>
  <c r="L220" i="2"/>
  <c r="O220" i="2" s="1"/>
  <c r="L221" i="2"/>
  <c r="O221" i="2" s="1"/>
  <c r="L222" i="2"/>
  <c r="O222" i="2" s="1"/>
  <c r="L223" i="2"/>
  <c r="O223" i="2" s="1"/>
  <c r="L224" i="2"/>
  <c r="O224" i="2" s="1"/>
  <c r="L225" i="2"/>
  <c r="O225" i="2" s="1"/>
  <c r="L226" i="2"/>
  <c r="O226" i="2" s="1"/>
  <c r="L227" i="2"/>
  <c r="O227" i="2" s="1"/>
  <c r="L228" i="2"/>
  <c r="O228" i="2" s="1"/>
  <c r="L229" i="2"/>
  <c r="O229" i="2" s="1"/>
  <c r="L230" i="2"/>
  <c r="O230" i="2" s="1"/>
  <c r="L231" i="2"/>
  <c r="O231" i="2" s="1"/>
  <c r="L232" i="2"/>
  <c r="O232" i="2" s="1"/>
  <c r="L233" i="2"/>
  <c r="O233" i="2" s="1"/>
  <c r="L234" i="2"/>
  <c r="O234" i="2" s="1"/>
  <c r="L235" i="2"/>
  <c r="O235" i="2" s="1"/>
  <c r="L236" i="2"/>
  <c r="O236" i="2" s="1"/>
  <c r="L237" i="2"/>
  <c r="O237" i="2" s="1"/>
  <c r="L238" i="2"/>
  <c r="O238" i="2" s="1"/>
  <c r="L239" i="2"/>
  <c r="O239" i="2" s="1"/>
  <c r="L240" i="2"/>
  <c r="O240" i="2" s="1"/>
  <c r="L241" i="2"/>
  <c r="O241" i="2" s="1"/>
  <c r="L242" i="2"/>
  <c r="O242" i="2" s="1"/>
  <c r="L243" i="2"/>
  <c r="O243" i="2" s="1"/>
  <c r="L244" i="2"/>
  <c r="O244" i="2" s="1"/>
  <c r="L245" i="2"/>
  <c r="O245" i="2" s="1"/>
  <c r="L246" i="2"/>
  <c r="O246" i="2" s="1"/>
  <c r="L247" i="2"/>
  <c r="O247" i="2" s="1"/>
  <c r="L248" i="2"/>
  <c r="O248" i="2" s="1"/>
  <c r="L249" i="2"/>
  <c r="O249" i="2" s="1"/>
  <c r="L250" i="2"/>
  <c r="O250" i="2" s="1"/>
  <c r="L251" i="2"/>
  <c r="O251" i="2" s="1"/>
  <c r="L252" i="2"/>
  <c r="O252" i="2" s="1"/>
  <c r="L253" i="2"/>
  <c r="O253" i="2" s="1"/>
  <c r="L254" i="2"/>
  <c r="O254" i="2" s="1"/>
  <c r="L255" i="2"/>
  <c r="O255" i="2" s="1"/>
  <c r="L256" i="2"/>
  <c r="O256" i="2" s="1"/>
  <c r="L257" i="2"/>
  <c r="O257" i="2" s="1"/>
  <c r="L258" i="2"/>
  <c r="O258" i="2" s="1"/>
  <c r="L259" i="2"/>
  <c r="O259" i="2" s="1"/>
  <c r="L260" i="2"/>
  <c r="O260" i="2" s="1"/>
  <c r="L261" i="2"/>
  <c r="O261" i="2" s="1"/>
  <c r="L262" i="2"/>
  <c r="O262" i="2" s="1"/>
  <c r="L263" i="2"/>
  <c r="O263" i="2" s="1"/>
  <c r="L264" i="2"/>
  <c r="O264" i="2" s="1"/>
  <c r="L265" i="2"/>
  <c r="O265" i="2" s="1"/>
  <c r="L266" i="2"/>
  <c r="O266" i="2" s="1"/>
  <c r="L267" i="2"/>
  <c r="O267" i="2" s="1"/>
  <c r="L268" i="2"/>
  <c r="O268" i="2" s="1"/>
  <c r="L269" i="2"/>
  <c r="O269" i="2" s="1"/>
  <c r="L270" i="2"/>
  <c r="O270" i="2" s="1"/>
  <c r="L271" i="2"/>
  <c r="O271" i="2" s="1"/>
  <c r="L272" i="2"/>
  <c r="O272" i="2" s="1"/>
  <c r="L273" i="2"/>
  <c r="O273" i="2" s="1"/>
  <c r="L274" i="2"/>
  <c r="O274" i="2" s="1"/>
  <c r="L275" i="2"/>
  <c r="O275" i="2" s="1"/>
  <c r="L276" i="2"/>
  <c r="O276" i="2" s="1"/>
  <c r="L277" i="2"/>
  <c r="O277" i="2" s="1"/>
  <c r="L278" i="2"/>
  <c r="O278" i="2" s="1"/>
  <c r="L279" i="2"/>
  <c r="O279" i="2" s="1"/>
  <c r="L280" i="2"/>
  <c r="O280" i="2" s="1"/>
  <c r="L281" i="2"/>
  <c r="O281" i="2" s="1"/>
  <c r="L282" i="2"/>
  <c r="O282" i="2" s="1"/>
  <c r="L283" i="2"/>
  <c r="O283" i="2" s="1"/>
  <c r="L284" i="2"/>
  <c r="O284" i="2" s="1"/>
  <c r="L285" i="2"/>
  <c r="O285" i="2" s="1"/>
  <c r="L286" i="2"/>
  <c r="O286" i="2" s="1"/>
  <c r="L287" i="2"/>
  <c r="O287" i="2" s="1"/>
  <c r="L288" i="2"/>
  <c r="O288" i="2" s="1"/>
  <c r="L289" i="2"/>
  <c r="O289" i="2" s="1"/>
  <c r="L290" i="2"/>
  <c r="O290" i="2" s="1"/>
  <c r="L291" i="2"/>
  <c r="O291" i="2" s="1"/>
  <c r="L292" i="2"/>
  <c r="O292" i="2" s="1"/>
  <c r="L293" i="2"/>
  <c r="O293" i="2" s="1"/>
  <c r="L294" i="2"/>
  <c r="O294" i="2" s="1"/>
  <c r="L295" i="2"/>
  <c r="O295" i="2" s="1"/>
  <c r="L296" i="2"/>
  <c r="O296" i="2" s="1"/>
  <c r="L297" i="2"/>
  <c r="O297" i="2" s="1"/>
  <c r="L298" i="2"/>
  <c r="O298" i="2" s="1"/>
  <c r="L299" i="2"/>
  <c r="O299" i="2" s="1"/>
  <c r="L300" i="2"/>
  <c r="O300" i="2" s="1"/>
  <c r="L301" i="2"/>
  <c r="O301" i="2" s="1"/>
  <c r="L302" i="2"/>
  <c r="O302" i="2" s="1"/>
  <c r="L303" i="2"/>
  <c r="O303" i="2" s="1"/>
  <c r="L304" i="2"/>
  <c r="O304" i="2" s="1"/>
  <c r="L305" i="2"/>
  <c r="O305" i="2" s="1"/>
  <c r="L306" i="2"/>
  <c r="O306" i="2" s="1"/>
  <c r="L307" i="2"/>
  <c r="O307" i="2" s="1"/>
  <c r="L308" i="2"/>
  <c r="O308" i="2" s="1"/>
  <c r="L309" i="2"/>
  <c r="O309" i="2" s="1"/>
  <c r="L310" i="2"/>
  <c r="O310" i="2" s="1"/>
  <c r="L311" i="2"/>
  <c r="O311" i="2" s="1"/>
  <c r="L312" i="2"/>
  <c r="O312" i="2" s="1"/>
  <c r="L313" i="2"/>
  <c r="O313" i="2" s="1"/>
  <c r="L314" i="2"/>
  <c r="O314" i="2" s="1"/>
  <c r="L315" i="2"/>
  <c r="O315" i="2" s="1"/>
  <c r="L316" i="2"/>
  <c r="O316" i="2" s="1"/>
  <c r="L317" i="2"/>
  <c r="O317" i="2" s="1"/>
  <c r="L318" i="2"/>
  <c r="O318" i="2" s="1"/>
  <c r="L319" i="2"/>
  <c r="O319" i="2" s="1"/>
  <c r="L320" i="2"/>
  <c r="O320" i="2" s="1"/>
  <c r="L321" i="2"/>
  <c r="O321" i="2" s="1"/>
  <c r="L322" i="2"/>
  <c r="O322" i="2" s="1"/>
  <c r="L323" i="2"/>
  <c r="O323" i="2" s="1"/>
  <c r="L324" i="2"/>
  <c r="O324" i="2" s="1"/>
  <c r="L325" i="2"/>
  <c r="O325" i="2" s="1"/>
  <c r="L326" i="2"/>
  <c r="O326" i="2" s="1"/>
  <c r="L327" i="2"/>
  <c r="O327" i="2" s="1"/>
  <c r="L328" i="2"/>
  <c r="O328" i="2" s="1"/>
  <c r="L329" i="2"/>
  <c r="O329" i="2" s="1"/>
  <c r="L330" i="2"/>
  <c r="O330" i="2" s="1"/>
  <c r="L331" i="2"/>
  <c r="O331" i="2" s="1"/>
  <c r="L332" i="2"/>
  <c r="O332" i="2" s="1"/>
  <c r="L333" i="2"/>
  <c r="O333" i="2" s="1"/>
  <c r="L334" i="2"/>
  <c r="O334" i="2" s="1"/>
  <c r="L335" i="2"/>
  <c r="O335" i="2" s="1"/>
  <c r="L336" i="2"/>
  <c r="O336" i="2" s="1"/>
  <c r="L337" i="2"/>
  <c r="O337" i="2" s="1"/>
  <c r="L338" i="2"/>
  <c r="O338" i="2" s="1"/>
  <c r="L339" i="2"/>
  <c r="O339" i="2" s="1"/>
  <c r="L340" i="2"/>
  <c r="O340" i="2" s="1"/>
  <c r="L341" i="2"/>
  <c r="O341" i="2" s="1"/>
  <c r="L342" i="2"/>
  <c r="O342" i="2" s="1"/>
  <c r="L343" i="2"/>
  <c r="O343" i="2" s="1"/>
  <c r="L344" i="2"/>
  <c r="O344" i="2" s="1"/>
  <c r="L345" i="2"/>
  <c r="O345" i="2" s="1"/>
  <c r="L346" i="2"/>
  <c r="O346" i="2" s="1"/>
  <c r="L347" i="2"/>
  <c r="O347" i="2" s="1"/>
  <c r="L348" i="2"/>
  <c r="O348" i="2" s="1"/>
  <c r="L349" i="2"/>
  <c r="O349" i="2" s="1"/>
  <c r="L350" i="2"/>
  <c r="O350" i="2" s="1"/>
  <c r="L351" i="2"/>
  <c r="O351" i="2" s="1"/>
  <c r="L352" i="2"/>
  <c r="O352" i="2" s="1"/>
  <c r="L353" i="2"/>
  <c r="O353" i="2" s="1"/>
  <c r="L354" i="2"/>
  <c r="O354" i="2" s="1"/>
  <c r="L355" i="2"/>
  <c r="O355" i="2" s="1"/>
  <c r="L356" i="2"/>
  <c r="O356" i="2" s="1"/>
  <c r="L357" i="2"/>
  <c r="O357" i="2" s="1"/>
  <c r="L358" i="2"/>
  <c r="O358" i="2" s="1"/>
  <c r="L359" i="2"/>
  <c r="O359" i="2" s="1"/>
  <c r="L360" i="2"/>
  <c r="O360" i="2" s="1"/>
  <c r="L361" i="2"/>
  <c r="O361" i="2" s="1"/>
  <c r="L362" i="2"/>
  <c r="O362" i="2" s="1"/>
  <c r="L363" i="2"/>
  <c r="O363" i="2" s="1"/>
  <c r="L364" i="2"/>
  <c r="O364" i="2" s="1"/>
  <c r="L365" i="2"/>
  <c r="O365" i="2" s="1"/>
  <c r="L366" i="2"/>
  <c r="O366" i="2" s="1"/>
  <c r="L367" i="2"/>
  <c r="O367" i="2" s="1"/>
  <c r="L368" i="2"/>
  <c r="O368" i="2" s="1"/>
  <c r="L369" i="2"/>
  <c r="O369" i="2" s="1"/>
  <c r="L370" i="2"/>
  <c r="O370" i="2" s="1"/>
  <c r="L371" i="2"/>
  <c r="O371" i="2" s="1"/>
  <c r="L372" i="2"/>
  <c r="O372" i="2" s="1"/>
  <c r="L373" i="2"/>
  <c r="O373" i="2" s="1"/>
  <c r="L374" i="2"/>
  <c r="O374" i="2" s="1"/>
  <c r="L375" i="2"/>
  <c r="O375" i="2" s="1"/>
  <c r="L376" i="2"/>
  <c r="O376" i="2" s="1"/>
  <c r="L377" i="2"/>
  <c r="O377" i="2" s="1"/>
  <c r="L378" i="2"/>
  <c r="O378" i="2" s="1"/>
  <c r="L379" i="2"/>
  <c r="O379" i="2" s="1"/>
  <c r="L380" i="2"/>
  <c r="O380" i="2" s="1"/>
  <c r="L381" i="2"/>
  <c r="O381" i="2" s="1"/>
  <c r="L382" i="2"/>
  <c r="O382" i="2" s="1"/>
  <c r="L383" i="2"/>
  <c r="O383" i="2" s="1"/>
  <c r="L384" i="2"/>
  <c r="O384" i="2" s="1"/>
  <c r="L385" i="2"/>
  <c r="O385" i="2" s="1"/>
  <c r="L386" i="2"/>
  <c r="O386" i="2" s="1"/>
  <c r="L387" i="2"/>
  <c r="O387" i="2" s="1"/>
  <c r="L388" i="2"/>
  <c r="O388" i="2" s="1"/>
  <c r="L389" i="2"/>
  <c r="O389" i="2" s="1"/>
  <c r="L390" i="2"/>
  <c r="O390" i="2" s="1"/>
  <c r="L391" i="2"/>
  <c r="O391" i="2" s="1"/>
  <c r="L392" i="2"/>
  <c r="O392" i="2" s="1"/>
  <c r="L393" i="2"/>
  <c r="O393" i="2" s="1"/>
  <c r="L394" i="2"/>
  <c r="O394" i="2" s="1"/>
  <c r="L395" i="2"/>
  <c r="O395" i="2" s="1"/>
  <c r="L396" i="2"/>
  <c r="O396" i="2" s="1"/>
  <c r="L397" i="2"/>
  <c r="O397" i="2" s="1"/>
  <c r="L398" i="2"/>
  <c r="O398" i="2" s="1"/>
  <c r="L399" i="2"/>
  <c r="O399" i="2" s="1"/>
  <c r="L400" i="2"/>
  <c r="O400" i="2" s="1"/>
  <c r="L401" i="2"/>
  <c r="O401" i="2" s="1"/>
  <c r="L402" i="2"/>
  <c r="O402" i="2" s="1"/>
  <c r="L403" i="2"/>
  <c r="O403" i="2" s="1"/>
  <c r="L404" i="2"/>
  <c r="O404" i="2" s="1"/>
  <c r="L405" i="2"/>
  <c r="O405" i="2" s="1"/>
  <c r="L406" i="2"/>
  <c r="O406" i="2" s="1"/>
  <c r="L407" i="2"/>
  <c r="O407" i="2" s="1"/>
  <c r="L408" i="2"/>
  <c r="O408" i="2" s="1"/>
  <c r="L409" i="2"/>
  <c r="O409" i="2" s="1"/>
  <c r="L410" i="2"/>
  <c r="O410" i="2" s="1"/>
  <c r="L411" i="2"/>
  <c r="O411" i="2" s="1"/>
  <c r="L412" i="2"/>
  <c r="O412" i="2" s="1"/>
  <c r="L413" i="2"/>
  <c r="O413" i="2" s="1"/>
  <c r="L414" i="2"/>
  <c r="O414" i="2" s="1"/>
  <c r="L415" i="2"/>
  <c r="O415" i="2" s="1"/>
  <c r="L416" i="2"/>
  <c r="O416" i="2" s="1"/>
  <c r="L417" i="2"/>
  <c r="O417" i="2" s="1"/>
  <c r="L418" i="2"/>
  <c r="O418" i="2" s="1"/>
  <c r="L419" i="2"/>
  <c r="O419" i="2" s="1"/>
  <c r="L420" i="2"/>
  <c r="O420" i="2" s="1"/>
  <c r="L421" i="2"/>
  <c r="O421" i="2" s="1"/>
  <c r="L422" i="2"/>
  <c r="O422" i="2" s="1"/>
  <c r="L423" i="2"/>
  <c r="O423" i="2" s="1"/>
  <c r="L424" i="2"/>
  <c r="O424" i="2" s="1"/>
  <c r="L425" i="2"/>
  <c r="O425" i="2" s="1"/>
  <c r="L426" i="2"/>
  <c r="O426" i="2" s="1"/>
  <c r="L427" i="2"/>
  <c r="O427" i="2" s="1"/>
  <c r="L428" i="2"/>
  <c r="O428" i="2" s="1"/>
  <c r="L429" i="2"/>
  <c r="O429" i="2" s="1"/>
  <c r="L430" i="2"/>
  <c r="O430" i="2" s="1"/>
  <c r="L431" i="2"/>
  <c r="O431" i="2" s="1"/>
  <c r="L432" i="2"/>
  <c r="O432" i="2" s="1"/>
  <c r="L433" i="2"/>
  <c r="O433" i="2" s="1"/>
  <c r="L434" i="2"/>
  <c r="O434" i="2" s="1"/>
  <c r="L435" i="2"/>
  <c r="O435" i="2" s="1"/>
  <c r="L436" i="2"/>
  <c r="O436" i="2" s="1"/>
  <c r="L437" i="2"/>
  <c r="O437" i="2" s="1"/>
  <c r="L438" i="2"/>
  <c r="O438" i="2" s="1"/>
  <c r="L439" i="2"/>
  <c r="O439" i="2" s="1"/>
  <c r="L440" i="2"/>
  <c r="O440" i="2" s="1"/>
  <c r="L441" i="2"/>
  <c r="O441" i="2" s="1"/>
  <c r="L442" i="2"/>
  <c r="O442" i="2" s="1"/>
  <c r="L443" i="2"/>
  <c r="O443" i="2" s="1"/>
  <c r="L444" i="2"/>
  <c r="O444" i="2" s="1"/>
  <c r="L445" i="2"/>
  <c r="O445" i="2" s="1"/>
  <c r="L446" i="2"/>
  <c r="O446" i="2" s="1"/>
  <c r="L447" i="2"/>
  <c r="O447" i="2" s="1"/>
  <c r="L448" i="2"/>
  <c r="O448" i="2" s="1"/>
  <c r="L449" i="2"/>
  <c r="O449" i="2" s="1"/>
  <c r="L450" i="2"/>
  <c r="O450" i="2" s="1"/>
  <c r="L451" i="2"/>
  <c r="O451" i="2" s="1"/>
  <c r="L452" i="2"/>
  <c r="O452" i="2" s="1"/>
  <c r="L453" i="2"/>
  <c r="O453" i="2" s="1"/>
  <c r="L454" i="2"/>
  <c r="O454" i="2" s="1"/>
  <c r="L455" i="2"/>
  <c r="O455" i="2" s="1"/>
  <c r="L456" i="2"/>
  <c r="O456" i="2" s="1"/>
  <c r="L457" i="2"/>
  <c r="O457" i="2" s="1"/>
  <c r="L458" i="2"/>
  <c r="O458" i="2" s="1"/>
  <c r="L459" i="2"/>
  <c r="O459" i="2" s="1"/>
  <c r="L460" i="2"/>
  <c r="O460" i="2" s="1"/>
  <c r="L461" i="2"/>
  <c r="O461" i="2" s="1"/>
  <c r="L462" i="2"/>
  <c r="O462" i="2" s="1"/>
  <c r="L463" i="2"/>
  <c r="O463" i="2" s="1"/>
  <c r="L464" i="2"/>
  <c r="O464" i="2" s="1"/>
  <c r="L465" i="2"/>
  <c r="O465" i="2" s="1"/>
  <c r="L466" i="2"/>
  <c r="O466" i="2" s="1"/>
  <c r="L467" i="2"/>
  <c r="O467" i="2" s="1"/>
  <c r="L468" i="2"/>
  <c r="O468" i="2" s="1"/>
  <c r="L469" i="2"/>
  <c r="O469" i="2" s="1"/>
  <c r="L470" i="2"/>
  <c r="O470" i="2" s="1"/>
  <c r="L471" i="2"/>
  <c r="O471" i="2" s="1"/>
  <c r="L472" i="2"/>
  <c r="O472" i="2" s="1"/>
  <c r="L473" i="2"/>
  <c r="O473" i="2" s="1"/>
  <c r="L474" i="2"/>
  <c r="O474" i="2" s="1"/>
  <c r="L475" i="2"/>
  <c r="O475" i="2" s="1"/>
  <c r="L476" i="2"/>
  <c r="O476" i="2" s="1"/>
  <c r="L477" i="2"/>
  <c r="O477" i="2" s="1"/>
  <c r="L478" i="2"/>
  <c r="O478" i="2" s="1"/>
  <c r="L479" i="2"/>
  <c r="O479" i="2" s="1"/>
  <c r="L480" i="2"/>
  <c r="O480" i="2" s="1"/>
  <c r="L481" i="2"/>
  <c r="O481" i="2" s="1"/>
  <c r="L482" i="2"/>
  <c r="O482" i="2" s="1"/>
  <c r="L483" i="2"/>
  <c r="O483" i="2" s="1"/>
  <c r="L484" i="2"/>
  <c r="O484" i="2" s="1"/>
  <c r="L485" i="2"/>
  <c r="O485" i="2" s="1"/>
  <c r="L486" i="2"/>
  <c r="O486" i="2" s="1"/>
  <c r="L487" i="2"/>
  <c r="O487" i="2" s="1"/>
  <c r="L488" i="2"/>
  <c r="O488" i="2" s="1"/>
  <c r="L489" i="2"/>
  <c r="O489" i="2" s="1"/>
  <c r="L490" i="2"/>
  <c r="O490" i="2" s="1"/>
  <c r="L491" i="2"/>
  <c r="O491" i="2" s="1"/>
  <c r="L492" i="2"/>
  <c r="O492" i="2" s="1"/>
  <c r="L493" i="2"/>
  <c r="O493" i="2" s="1"/>
  <c r="L494" i="2"/>
  <c r="O494" i="2" s="1"/>
  <c r="L495" i="2"/>
  <c r="O495" i="2" s="1"/>
  <c r="L496" i="2"/>
  <c r="O496" i="2" s="1"/>
  <c r="L497" i="2"/>
  <c r="O497" i="2" s="1"/>
  <c r="L498" i="2"/>
  <c r="O498" i="2" s="1"/>
  <c r="L499" i="2"/>
  <c r="O499" i="2" s="1"/>
  <c r="L500" i="2"/>
  <c r="O500" i="2" s="1"/>
  <c r="L501" i="2"/>
  <c r="O501" i="2" s="1"/>
  <c r="L502" i="2"/>
  <c r="O502" i="2" s="1"/>
  <c r="L503" i="2"/>
  <c r="O503" i="2" s="1"/>
  <c r="L504" i="2"/>
  <c r="O504" i="2" s="1"/>
  <c r="L505" i="2"/>
  <c r="O505" i="2" s="1"/>
  <c r="L506" i="2"/>
  <c r="O506" i="2" s="1"/>
  <c r="L507" i="2"/>
  <c r="O507" i="2" s="1"/>
  <c r="L508" i="2"/>
  <c r="O508" i="2" s="1"/>
  <c r="L509" i="2"/>
  <c r="O509" i="2" s="1"/>
  <c r="L510" i="2"/>
  <c r="O510" i="2" s="1"/>
  <c r="L511" i="2"/>
  <c r="O511" i="2" s="1"/>
  <c r="L512" i="2"/>
  <c r="O512" i="2" s="1"/>
  <c r="L513" i="2"/>
  <c r="O513" i="2" s="1"/>
  <c r="L514" i="2"/>
  <c r="O514" i="2" s="1"/>
  <c r="L515" i="2"/>
  <c r="O515" i="2" s="1"/>
  <c r="L516" i="2"/>
  <c r="O516" i="2" s="1"/>
  <c r="L517" i="2"/>
  <c r="O517" i="2" s="1"/>
  <c r="L518" i="2"/>
  <c r="O518" i="2" s="1"/>
  <c r="L519" i="2"/>
  <c r="O519" i="2" s="1"/>
  <c r="L520" i="2"/>
  <c r="O520" i="2" s="1"/>
  <c r="L521" i="2"/>
  <c r="O521" i="2" s="1"/>
  <c r="L522" i="2"/>
  <c r="O522" i="2" s="1"/>
  <c r="L523" i="2"/>
  <c r="O523" i="2" s="1"/>
  <c r="L524" i="2"/>
  <c r="O524" i="2" s="1"/>
  <c r="L525" i="2"/>
  <c r="O525" i="2" s="1"/>
  <c r="L526" i="2"/>
  <c r="O526" i="2" s="1"/>
  <c r="L527" i="2"/>
  <c r="O527" i="2" s="1"/>
  <c r="L528" i="2"/>
  <c r="O528" i="2" s="1"/>
  <c r="L529" i="2"/>
  <c r="O529" i="2" s="1"/>
  <c r="L530" i="2"/>
  <c r="O530" i="2" s="1"/>
  <c r="L531" i="2"/>
  <c r="O531" i="2" s="1"/>
  <c r="L532" i="2"/>
  <c r="O532" i="2" s="1"/>
  <c r="L533" i="2"/>
  <c r="O533" i="2" s="1"/>
  <c r="L534" i="2"/>
  <c r="O534" i="2" s="1"/>
  <c r="L535" i="2"/>
  <c r="O535" i="2" s="1"/>
  <c r="L536" i="2"/>
  <c r="O536" i="2" s="1"/>
  <c r="L537" i="2"/>
  <c r="O537" i="2" s="1"/>
  <c r="L538" i="2"/>
  <c r="O538" i="2" s="1"/>
  <c r="L539" i="2"/>
  <c r="O539" i="2" s="1"/>
  <c r="L540" i="2"/>
  <c r="O540" i="2" s="1"/>
  <c r="L541" i="2"/>
  <c r="O541" i="2" s="1"/>
  <c r="L542" i="2"/>
  <c r="O542" i="2" s="1"/>
  <c r="L543" i="2"/>
  <c r="O543" i="2" s="1"/>
  <c r="L544" i="2"/>
  <c r="O544" i="2" s="1"/>
  <c r="L545" i="2"/>
  <c r="O545" i="2" s="1"/>
  <c r="L546" i="2"/>
  <c r="O546" i="2" s="1"/>
  <c r="L547" i="2"/>
  <c r="O547" i="2" s="1"/>
  <c r="L548" i="2"/>
  <c r="O548" i="2" s="1"/>
  <c r="L549" i="2"/>
  <c r="O549" i="2" s="1"/>
  <c r="L550" i="2"/>
  <c r="O550" i="2" s="1"/>
  <c r="L551" i="2"/>
  <c r="O551" i="2" s="1"/>
  <c r="L552" i="2"/>
  <c r="O552" i="2" s="1"/>
  <c r="L553" i="2"/>
  <c r="O553" i="2" s="1"/>
  <c r="L554" i="2"/>
  <c r="O554" i="2" s="1"/>
  <c r="L555" i="2"/>
  <c r="O555" i="2" s="1"/>
  <c r="L556" i="2"/>
  <c r="O556" i="2" s="1"/>
  <c r="L557" i="2"/>
  <c r="O557" i="2" s="1"/>
  <c r="L558" i="2"/>
  <c r="O558" i="2" s="1"/>
  <c r="L559" i="2"/>
  <c r="O559" i="2" s="1"/>
  <c r="L560" i="2"/>
  <c r="O560" i="2" s="1"/>
  <c r="L561" i="2"/>
  <c r="O561" i="2" s="1"/>
  <c r="L562" i="2"/>
  <c r="O562" i="2" s="1"/>
  <c r="L563" i="2"/>
  <c r="O563" i="2" s="1"/>
  <c r="L564" i="2"/>
  <c r="O564" i="2" s="1"/>
  <c r="L565" i="2"/>
  <c r="O565" i="2" s="1"/>
  <c r="L566" i="2"/>
  <c r="O566" i="2" s="1"/>
  <c r="L567" i="2"/>
  <c r="O567" i="2" s="1"/>
  <c r="L568" i="2"/>
  <c r="O568" i="2" s="1"/>
  <c r="L569" i="2"/>
  <c r="O569" i="2" s="1"/>
  <c r="L570" i="2"/>
  <c r="O570" i="2" s="1"/>
  <c r="L571" i="2"/>
  <c r="O571" i="2" s="1"/>
  <c r="L572" i="2"/>
  <c r="O572" i="2" s="1"/>
  <c r="L573" i="2"/>
  <c r="O573" i="2" s="1"/>
  <c r="L574" i="2"/>
  <c r="O574" i="2" s="1"/>
  <c r="L575" i="2"/>
  <c r="O575" i="2" s="1"/>
  <c r="L576" i="2"/>
  <c r="O576" i="2" s="1"/>
  <c r="L577" i="2"/>
  <c r="O577" i="2" s="1"/>
  <c r="L578" i="2"/>
  <c r="O578" i="2" s="1"/>
  <c r="L579" i="2"/>
  <c r="O579" i="2" s="1"/>
  <c r="L580" i="2"/>
  <c r="O580" i="2" s="1"/>
  <c r="L581" i="2"/>
  <c r="O581" i="2" s="1"/>
  <c r="L582" i="2"/>
  <c r="O582" i="2" s="1"/>
  <c r="L583" i="2"/>
  <c r="O583" i="2" s="1"/>
  <c r="L584" i="2"/>
  <c r="O584" i="2" s="1"/>
  <c r="L585" i="2"/>
  <c r="O585" i="2" s="1"/>
  <c r="L586" i="2"/>
  <c r="O586" i="2" s="1"/>
  <c r="L587" i="2"/>
  <c r="O587" i="2" s="1"/>
  <c r="L588" i="2"/>
  <c r="O588" i="2" s="1"/>
  <c r="L589" i="2"/>
  <c r="O589" i="2" s="1"/>
  <c r="L590" i="2"/>
  <c r="O590" i="2" s="1"/>
  <c r="L591" i="2"/>
  <c r="O591" i="2" s="1"/>
  <c r="L592" i="2"/>
  <c r="O592" i="2" s="1"/>
  <c r="L593" i="2"/>
  <c r="O593" i="2" s="1"/>
  <c r="L594" i="2"/>
  <c r="O594" i="2" s="1"/>
  <c r="L595" i="2"/>
  <c r="O595" i="2" s="1"/>
  <c r="L596" i="2"/>
  <c r="O596" i="2" s="1"/>
  <c r="L597" i="2"/>
  <c r="O597" i="2" s="1"/>
  <c r="L598" i="2"/>
  <c r="O598" i="2" s="1"/>
  <c r="L599" i="2"/>
  <c r="O599" i="2" s="1"/>
  <c r="L600" i="2"/>
  <c r="O600" i="2" s="1"/>
  <c r="L601" i="2"/>
  <c r="O601" i="2" s="1"/>
  <c r="L602" i="2"/>
  <c r="O602" i="2" s="1"/>
  <c r="L603" i="2"/>
  <c r="O603" i="2" s="1"/>
  <c r="L604" i="2"/>
  <c r="O604" i="2" s="1"/>
  <c r="L605" i="2"/>
  <c r="O605" i="2" s="1"/>
  <c r="L606" i="2"/>
  <c r="O606" i="2" s="1"/>
  <c r="L607" i="2"/>
  <c r="O607" i="2" s="1"/>
  <c r="L608" i="2"/>
  <c r="O608" i="2" s="1"/>
  <c r="L609" i="2"/>
  <c r="O609" i="2" s="1"/>
  <c r="L610" i="2"/>
  <c r="O610" i="2" s="1"/>
  <c r="L611" i="2"/>
  <c r="O611" i="2" s="1"/>
  <c r="L612" i="2"/>
  <c r="O612" i="2" s="1"/>
  <c r="L613" i="2"/>
  <c r="O613" i="2" s="1"/>
  <c r="L614" i="2"/>
  <c r="O614" i="2" s="1"/>
  <c r="L615" i="2"/>
  <c r="O615" i="2" s="1"/>
  <c r="L616" i="2"/>
  <c r="O616" i="2" s="1"/>
  <c r="L617" i="2"/>
  <c r="O617" i="2" s="1"/>
  <c r="L618" i="2"/>
  <c r="O618" i="2" s="1"/>
  <c r="L619" i="2"/>
  <c r="O619" i="2" s="1"/>
  <c r="L620" i="2"/>
  <c r="O620" i="2" s="1"/>
  <c r="L621" i="2"/>
  <c r="O621" i="2" s="1"/>
  <c r="L622" i="2"/>
  <c r="O622" i="2" s="1"/>
  <c r="L623" i="2"/>
  <c r="O623" i="2" s="1"/>
  <c r="L624" i="2"/>
  <c r="O624" i="2" s="1"/>
  <c r="L625" i="2"/>
  <c r="O625" i="2" s="1"/>
  <c r="L626" i="2"/>
  <c r="O626" i="2" s="1"/>
  <c r="L627" i="2"/>
  <c r="O627" i="2" s="1"/>
  <c r="L628" i="2"/>
  <c r="O628" i="2" s="1"/>
  <c r="L629" i="2"/>
  <c r="O629" i="2" s="1"/>
  <c r="L630" i="2"/>
  <c r="O630" i="2" s="1"/>
  <c r="L631" i="2"/>
  <c r="O631" i="2" s="1"/>
  <c r="L632" i="2"/>
  <c r="O632" i="2" s="1"/>
  <c r="L633" i="2"/>
  <c r="O633" i="2" s="1"/>
  <c r="L634" i="2"/>
  <c r="O634" i="2" s="1"/>
  <c r="L635" i="2"/>
  <c r="O635" i="2" s="1"/>
  <c r="L636" i="2"/>
  <c r="O636" i="2" s="1"/>
  <c r="L637" i="2"/>
  <c r="O637" i="2" s="1"/>
  <c r="L638" i="2"/>
  <c r="O638" i="2" s="1"/>
  <c r="L639" i="2"/>
  <c r="O639" i="2" s="1"/>
  <c r="L640" i="2"/>
  <c r="O640" i="2" s="1"/>
  <c r="L641" i="2"/>
  <c r="O641" i="2" s="1"/>
  <c r="L642" i="2"/>
  <c r="O642" i="2" s="1"/>
  <c r="L643" i="2"/>
  <c r="O643" i="2" s="1"/>
  <c r="L644" i="2"/>
  <c r="O644" i="2" s="1"/>
  <c r="L645" i="2"/>
  <c r="O645" i="2" s="1"/>
  <c r="L646" i="2"/>
  <c r="O646" i="2" s="1"/>
  <c r="L647" i="2"/>
  <c r="O647" i="2" s="1"/>
  <c r="L648" i="2"/>
  <c r="O648" i="2" s="1"/>
  <c r="L649" i="2"/>
  <c r="O649" i="2" s="1"/>
  <c r="L650" i="2"/>
  <c r="O650" i="2" s="1"/>
  <c r="L651" i="2"/>
  <c r="O651" i="2" s="1"/>
  <c r="L652" i="2"/>
  <c r="O652" i="2" s="1"/>
  <c r="L653" i="2"/>
  <c r="O653" i="2" s="1"/>
  <c r="L654" i="2"/>
  <c r="O654" i="2" s="1"/>
  <c r="L655" i="2"/>
  <c r="O655" i="2" s="1"/>
  <c r="L656" i="2"/>
  <c r="O656" i="2" s="1"/>
  <c r="L657" i="2"/>
  <c r="O657" i="2" s="1"/>
  <c r="L658" i="2"/>
  <c r="O658" i="2" s="1"/>
  <c r="L659" i="2"/>
  <c r="O659" i="2" s="1"/>
  <c r="L660" i="2"/>
  <c r="O660" i="2" s="1"/>
  <c r="L661" i="2"/>
  <c r="O661" i="2" s="1"/>
  <c r="L662" i="2"/>
  <c r="O662" i="2" s="1"/>
  <c r="L663" i="2"/>
  <c r="O663" i="2" s="1"/>
  <c r="L664" i="2"/>
  <c r="O664" i="2" s="1"/>
  <c r="L665" i="2"/>
  <c r="O665" i="2" s="1"/>
  <c r="L666" i="2"/>
  <c r="O666" i="2" s="1"/>
  <c r="L667" i="2"/>
  <c r="O667" i="2" s="1"/>
  <c r="L668" i="2"/>
  <c r="O668" i="2" s="1"/>
  <c r="L669" i="2"/>
  <c r="O669" i="2" s="1"/>
  <c r="L670" i="2"/>
  <c r="O670" i="2" s="1"/>
  <c r="L671" i="2"/>
  <c r="O671" i="2" s="1"/>
  <c r="L672" i="2"/>
  <c r="O672" i="2" s="1"/>
  <c r="L673" i="2"/>
  <c r="O673" i="2" s="1"/>
  <c r="L674" i="2"/>
  <c r="O674" i="2" s="1"/>
  <c r="L675" i="2"/>
  <c r="O675" i="2" s="1"/>
  <c r="L676" i="2"/>
  <c r="O676" i="2" s="1"/>
  <c r="L677" i="2"/>
  <c r="O677" i="2" s="1"/>
  <c r="L678" i="2"/>
  <c r="O678" i="2" s="1"/>
  <c r="L679" i="2"/>
  <c r="O679" i="2" s="1"/>
  <c r="L680" i="2"/>
  <c r="O680" i="2" s="1"/>
  <c r="L681" i="2"/>
  <c r="O681" i="2" s="1"/>
  <c r="L682" i="2"/>
  <c r="O682" i="2" s="1"/>
  <c r="L683" i="2"/>
  <c r="O683" i="2" s="1"/>
  <c r="L684" i="2"/>
  <c r="O684" i="2" s="1"/>
  <c r="L685" i="2"/>
  <c r="O685" i="2" s="1"/>
  <c r="L686" i="2"/>
  <c r="O686" i="2" s="1"/>
  <c r="L687" i="2"/>
  <c r="O687" i="2" s="1"/>
  <c r="L688" i="2"/>
  <c r="O688" i="2" s="1"/>
  <c r="L689" i="2"/>
  <c r="O689" i="2" s="1"/>
  <c r="L690" i="2"/>
  <c r="O690" i="2" s="1"/>
  <c r="L691" i="2"/>
  <c r="O691" i="2" s="1"/>
  <c r="L692" i="2"/>
  <c r="O692" i="2" s="1"/>
  <c r="L693" i="2"/>
  <c r="O693" i="2" s="1"/>
  <c r="L694" i="2"/>
  <c r="O694" i="2" s="1"/>
  <c r="L695" i="2"/>
  <c r="O695" i="2" s="1"/>
  <c r="L696" i="2"/>
  <c r="O696" i="2" s="1"/>
  <c r="L697" i="2"/>
  <c r="O697" i="2" s="1"/>
  <c r="L698" i="2"/>
  <c r="O698" i="2" s="1"/>
  <c r="L699" i="2"/>
  <c r="O699" i="2" s="1"/>
  <c r="L700" i="2"/>
  <c r="O700" i="2" s="1"/>
  <c r="L701" i="2"/>
  <c r="O701" i="2" s="1"/>
  <c r="L702" i="2"/>
  <c r="O702" i="2" s="1"/>
  <c r="L703" i="2"/>
  <c r="O703" i="2" s="1"/>
  <c r="L704" i="2"/>
  <c r="O704" i="2" s="1"/>
  <c r="L705" i="2"/>
  <c r="O705" i="2" s="1"/>
  <c r="L706" i="2"/>
  <c r="O706" i="2" s="1"/>
  <c r="L707" i="2"/>
  <c r="O707" i="2" s="1"/>
  <c r="L708" i="2"/>
  <c r="O708" i="2" s="1"/>
  <c r="L709" i="2"/>
  <c r="O709" i="2" s="1"/>
  <c r="L710" i="2"/>
  <c r="O710" i="2" s="1"/>
  <c r="L711" i="2"/>
  <c r="O711" i="2" s="1"/>
  <c r="L712" i="2"/>
  <c r="O712" i="2" s="1"/>
  <c r="L713" i="2"/>
  <c r="O713" i="2" s="1"/>
  <c r="L714" i="2"/>
  <c r="O714" i="2" s="1"/>
  <c r="L715" i="2"/>
  <c r="O715" i="2" s="1"/>
  <c r="L716" i="2"/>
  <c r="O716" i="2" s="1"/>
  <c r="L717" i="2"/>
  <c r="O717" i="2" s="1"/>
  <c r="L718" i="2"/>
  <c r="O718" i="2" s="1"/>
  <c r="L719" i="2"/>
  <c r="O719" i="2" s="1"/>
  <c r="L720" i="2"/>
  <c r="O720" i="2" s="1"/>
  <c r="L721" i="2"/>
  <c r="O721" i="2" s="1"/>
  <c r="L722" i="2"/>
  <c r="O722" i="2" s="1"/>
  <c r="L723" i="2"/>
  <c r="O723" i="2" s="1"/>
  <c r="L724" i="2"/>
  <c r="O724" i="2" s="1"/>
  <c r="L725" i="2"/>
  <c r="O725" i="2" s="1"/>
  <c r="L726" i="2"/>
  <c r="O726" i="2" s="1"/>
  <c r="L727" i="2"/>
  <c r="O727" i="2" s="1"/>
  <c r="L728" i="2"/>
  <c r="O728" i="2" s="1"/>
  <c r="L729" i="2"/>
  <c r="O729" i="2" s="1"/>
  <c r="L730" i="2"/>
  <c r="O730" i="2" s="1"/>
  <c r="L731" i="2"/>
  <c r="O731" i="2" s="1"/>
  <c r="L732" i="2"/>
  <c r="O732" i="2" s="1"/>
  <c r="L733" i="2"/>
  <c r="O733" i="2" s="1"/>
  <c r="L734" i="2"/>
  <c r="O734" i="2" s="1"/>
  <c r="L735" i="2"/>
  <c r="O735" i="2" s="1"/>
  <c r="L736" i="2"/>
  <c r="O736" i="2" s="1"/>
  <c r="L737" i="2"/>
  <c r="O737" i="2" s="1"/>
  <c r="L738" i="2"/>
  <c r="O738" i="2" s="1"/>
  <c r="L739" i="2"/>
  <c r="O739" i="2" s="1"/>
  <c r="L740" i="2"/>
  <c r="O740" i="2" s="1"/>
  <c r="L741" i="2"/>
  <c r="O741" i="2" s="1"/>
  <c r="L742" i="2"/>
  <c r="O742" i="2" s="1"/>
  <c r="L743" i="2"/>
  <c r="O743" i="2" s="1"/>
  <c r="L744" i="2"/>
  <c r="O744" i="2" s="1"/>
  <c r="L745" i="2"/>
  <c r="O745" i="2" s="1"/>
  <c r="L746" i="2"/>
  <c r="O746" i="2" s="1"/>
  <c r="L747" i="2"/>
  <c r="O747" i="2" s="1"/>
  <c r="L748" i="2"/>
  <c r="O748" i="2" s="1"/>
  <c r="L749" i="2"/>
  <c r="O749" i="2" s="1"/>
  <c r="L750" i="2"/>
  <c r="O750" i="2" s="1"/>
  <c r="L751" i="2"/>
  <c r="O751" i="2" s="1"/>
  <c r="L752" i="2"/>
  <c r="O752" i="2" s="1"/>
  <c r="L753" i="2"/>
  <c r="O753" i="2" s="1"/>
  <c r="L754" i="2"/>
  <c r="O754" i="2" s="1"/>
  <c r="L755" i="2"/>
  <c r="O755" i="2" s="1"/>
  <c r="L756" i="2"/>
  <c r="O756" i="2" s="1"/>
  <c r="L757" i="2"/>
  <c r="O757" i="2" s="1"/>
  <c r="L758" i="2"/>
  <c r="O758" i="2" s="1"/>
  <c r="L759" i="2"/>
  <c r="O759" i="2" s="1"/>
  <c r="L760" i="2"/>
  <c r="O760" i="2" s="1"/>
  <c r="L761" i="2"/>
  <c r="O761" i="2" s="1"/>
  <c r="L762" i="2"/>
  <c r="O762" i="2" s="1"/>
  <c r="L763" i="2"/>
  <c r="O763" i="2" s="1"/>
  <c r="L764" i="2"/>
  <c r="O764" i="2" s="1"/>
  <c r="L765" i="2"/>
  <c r="O765" i="2" s="1"/>
  <c r="L766" i="2"/>
  <c r="O766" i="2" s="1"/>
  <c r="L767" i="2"/>
  <c r="O767" i="2" s="1"/>
  <c r="L768" i="2"/>
  <c r="O768" i="2" s="1"/>
  <c r="L769" i="2"/>
  <c r="O769" i="2" s="1"/>
  <c r="L770" i="2"/>
  <c r="O770" i="2" s="1"/>
  <c r="L771" i="2"/>
  <c r="O771" i="2" s="1"/>
  <c r="L772" i="2"/>
  <c r="O772" i="2" s="1"/>
  <c r="L773" i="2"/>
  <c r="O773" i="2" s="1"/>
  <c r="L774" i="2"/>
  <c r="O774" i="2" s="1"/>
  <c r="L775" i="2"/>
  <c r="O775" i="2" s="1"/>
  <c r="L776" i="2"/>
  <c r="O776" i="2" s="1"/>
  <c r="L777" i="2"/>
  <c r="O777" i="2" s="1"/>
  <c r="L778" i="2"/>
  <c r="O778" i="2" s="1"/>
  <c r="L779" i="2"/>
  <c r="O779" i="2" s="1"/>
  <c r="L780" i="2"/>
  <c r="O780" i="2" s="1"/>
  <c r="L781" i="2"/>
  <c r="O781" i="2" s="1"/>
  <c r="L782" i="2"/>
  <c r="O782" i="2" s="1"/>
  <c r="L783" i="2"/>
  <c r="O783" i="2" s="1"/>
  <c r="L784" i="2"/>
  <c r="O784" i="2" s="1"/>
  <c r="L785" i="2"/>
  <c r="O785" i="2" s="1"/>
  <c r="L786" i="2"/>
  <c r="O786" i="2" s="1"/>
  <c r="L787" i="2"/>
  <c r="O787" i="2" s="1"/>
  <c r="L788" i="2"/>
  <c r="O788" i="2" s="1"/>
  <c r="L789" i="2"/>
  <c r="O789" i="2" s="1"/>
  <c r="L790" i="2"/>
  <c r="O790" i="2" s="1"/>
  <c r="L791" i="2"/>
  <c r="O791" i="2" s="1"/>
  <c r="L792" i="2"/>
  <c r="O792" i="2" s="1"/>
  <c r="L793" i="2"/>
  <c r="O793" i="2" s="1"/>
  <c r="L794" i="2"/>
  <c r="O794" i="2" s="1"/>
  <c r="L795" i="2"/>
  <c r="O795" i="2" s="1"/>
  <c r="L796" i="2"/>
  <c r="O796" i="2" s="1"/>
  <c r="L797" i="2"/>
  <c r="O797" i="2" s="1"/>
  <c r="L798" i="2"/>
  <c r="O798" i="2" s="1"/>
  <c r="L799" i="2"/>
  <c r="O799" i="2" s="1"/>
  <c r="L800" i="2"/>
  <c r="O800" i="2" s="1"/>
  <c r="L801" i="2"/>
  <c r="O801" i="2" s="1"/>
  <c r="L802" i="2"/>
  <c r="O802" i="2" s="1"/>
  <c r="L803" i="2"/>
  <c r="O803" i="2" s="1"/>
  <c r="L804" i="2"/>
  <c r="O804" i="2" s="1"/>
  <c r="L805" i="2"/>
  <c r="O805" i="2" s="1"/>
  <c r="L806" i="2"/>
  <c r="O806" i="2" s="1"/>
  <c r="L807" i="2"/>
  <c r="O807" i="2" s="1"/>
  <c r="L808" i="2"/>
  <c r="O808" i="2" s="1"/>
  <c r="L809" i="2"/>
  <c r="O809" i="2" s="1"/>
  <c r="L810" i="2"/>
  <c r="O810" i="2" s="1"/>
  <c r="L811" i="2"/>
  <c r="O811" i="2" s="1"/>
  <c r="L812" i="2"/>
  <c r="O812" i="2" s="1"/>
  <c r="L813" i="2"/>
  <c r="O813" i="2" s="1"/>
  <c r="L814" i="2"/>
  <c r="O814" i="2" s="1"/>
  <c r="L815" i="2"/>
  <c r="O815" i="2" s="1"/>
  <c r="L816" i="2"/>
  <c r="O816" i="2" s="1"/>
  <c r="L817" i="2"/>
  <c r="O817" i="2" s="1"/>
  <c r="L818" i="2"/>
  <c r="O818" i="2" s="1"/>
  <c r="L819" i="2"/>
  <c r="O819" i="2" s="1"/>
  <c r="L820" i="2"/>
  <c r="O820" i="2" s="1"/>
  <c r="L821" i="2"/>
  <c r="O821" i="2" s="1"/>
  <c r="L822" i="2"/>
  <c r="O822" i="2" s="1"/>
  <c r="L823" i="2"/>
  <c r="O823" i="2" s="1"/>
  <c r="L824" i="2"/>
  <c r="O824" i="2" s="1"/>
  <c r="L825" i="2"/>
  <c r="O825" i="2" s="1"/>
  <c r="L826" i="2"/>
  <c r="O826" i="2" s="1"/>
  <c r="L827" i="2"/>
  <c r="O827" i="2" s="1"/>
  <c r="L828" i="2"/>
  <c r="O828" i="2" s="1"/>
  <c r="L829" i="2"/>
  <c r="O829" i="2" s="1"/>
  <c r="L830" i="2"/>
  <c r="O830" i="2" s="1"/>
  <c r="L831" i="2"/>
  <c r="O831" i="2" s="1"/>
  <c r="L832" i="2"/>
  <c r="O832" i="2" s="1"/>
  <c r="L833" i="2"/>
  <c r="O833" i="2" s="1"/>
  <c r="L834" i="2"/>
  <c r="O834" i="2" s="1"/>
  <c r="L835" i="2"/>
  <c r="O835" i="2" s="1"/>
  <c r="L836" i="2"/>
  <c r="O836" i="2" s="1"/>
  <c r="L837" i="2"/>
  <c r="O837" i="2" s="1"/>
  <c r="L838" i="2"/>
  <c r="O838" i="2" s="1"/>
  <c r="L839" i="2"/>
  <c r="O839" i="2" s="1"/>
  <c r="L840" i="2"/>
  <c r="O840" i="2" s="1"/>
  <c r="L841" i="2"/>
  <c r="O841" i="2" s="1"/>
  <c r="L842" i="2"/>
  <c r="O842" i="2" s="1"/>
  <c r="L843" i="2"/>
  <c r="O843" i="2" s="1"/>
  <c r="L844" i="2"/>
  <c r="O844" i="2" s="1"/>
  <c r="L845" i="2"/>
  <c r="O845" i="2" s="1"/>
  <c r="L846" i="2"/>
  <c r="O846" i="2" s="1"/>
  <c r="L847" i="2"/>
  <c r="O847" i="2" s="1"/>
  <c r="L848" i="2"/>
  <c r="O848" i="2" s="1"/>
  <c r="L849" i="2"/>
  <c r="O849" i="2" s="1"/>
  <c r="L850" i="2"/>
  <c r="O850" i="2" s="1"/>
  <c r="L851" i="2"/>
  <c r="O851" i="2" s="1"/>
  <c r="L852" i="2"/>
  <c r="O852" i="2" s="1"/>
  <c r="L853" i="2"/>
  <c r="O853" i="2" s="1"/>
  <c r="L854" i="2"/>
  <c r="O854" i="2" s="1"/>
  <c r="L855" i="2"/>
  <c r="O855" i="2" s="1"/>
  <c r="L856" i="2"/>
  <c r="O856" i="2" s="1"/>
  <c r="L857" i="2"/>
  <c r="O857" i="2" s="1"/>
  <c r="L858" i="2"/>
  <c r="O858" i="2" s="1"/>
  <c r="L859" i="2"/>
  <c r="O859" i="2" s="1"/>
  <c r="L860" i="2"/>
  <c r="O860" i="2" s="1"/>
  <c r="L861" i="2"/>
  <c r="O861" i="2" s="1"/>
  <c r="L862" i="2"/>
  <c r="O862" i="2" s="1"/>
  <c r="L863" i="2"/>
  <c r="O863" i="2" s="1"/>
  <c r="L864" i="2"/>
  <c r="O864" i="2" s="1"/>
  <c r="L865" i="2"/>
  <c r="O865" i="2" s="1"/>
  <c r="L866" i="2"/>
  <c r="O866" i="2" s="1"/>
  <c r="L867" i="2"/>
  <c r="O867" i="2" s="1"/>
  <c r="L868" i="2"/>
  <c r="O868" i="2" s="1"/>
  <c r="L869" i="2"/>
  <c r="O869" i="2" s="1"/>
  <c r="L870" i="2"/>
  <c r="O870" i="2" s="1"/>
  <c r="L871" i="2"/>
  <c r="O871" i="2" s="1"/>
  <c r="L872" i="2"/>
  <c r="O872" i="2" s="1"/>
  <c r="L873" i="2"/>
  <c r="O873" i="2" s="1"/>
  <c r="L874" i="2"/>
  <c r="O874" i="2" s="1"/>
  <c r="L875" i="2"/>
  <c r="O875" i="2" s="1"/>
  <c r="L876" i="2"/>
  <c r="O876" i="2" s="1"/>
  <c r="L877" i="2"/>
  <c r="O877" i="2" s="1"/>
  <c r="L878" i="2"/>
  <c r="O878" i="2" s="1"/>
  <c r="L879" i="2"/>
  <c r="O879" i="2" s="1"/>
  <c r="L880" i="2"/>
  <c r="O880" i="2" s="1"/>
  <c r="L881" i="2"/>
  <c r="O881" i="2" s="1"/>
  <c r="L882" i="2"/>
  <c r="O882" i="2" s="1"/>
  <c r="L883" i="2"/>
  <c r="O883" i="2" s="1"/>
  <c r="L884" i="2"/>
  <c r="O884" i="2" s="1"/>
  <c r="L885" i="2"/>
  <c r="O885" i="2" s="1"/>
  <c r="L886" i="2"/>
  <c r="O886" i="2" s="1"/>
  <c r="L887" i="2"/>
  <c r="O887" i="2" s="1"/>
  <c r="L888" i="2"/>
  <c r="O888" i="2" s="1"/>
  <c r="L889" i="2"/>
  <c r="O889" i="2" s="1"/>
  <c r="L890" i="2"/>
  <c r="O890" i="2" s="1"/>
  <c r="L891" i="2"/>
  <c r="O891" i="2" s="1"/>
  <c r="L892" i="2"/>
  <c r="O892" i="2" s="1"/>
  <c r="L893" i="2"/>
  <c r="O893" i="2" s="1"/>
  <c r="L894" i="2"/>
  <c r="O894" i="2" s="1"/>
  <c r="L895" i="2"/>
  <c r="O895" i="2" s="1"/>
  <c r="L896" i="2"/>
  <c r="O896" i="2" s="1"/>
  <c r="L897" i="2"/>
  <c r="O897" i="2" s="1"/>
  <c r="L898" i="2"/>
  <c r="O898" i="2" s="1"/>
  <c r="L899" i="2"/>
  <c r="O899" i="2" s="1"/>
  <c r="L900" i="2"/>
  <c r="O900" i="2" s="1"/>
  <c r="L901" i="2"/>
  <c r="O901" i="2" s="1"/>
  <c r="L902" i="2"/>
  <c r="O902" i="2" s="1"/>
  <c r="L903" i="2"/>
  <c r="O903" i="2" s="1"/>
  <c r="L904" i="2"/>
  <c r="O904" i="2" s="1"/>
  <c r="L905" i="2"/>
  <c r="O905" i="2" s="1"/>
  <c r="L906" i="2"/>
  <c r="O906" i="2" s="1"/>
  <c r="L907" i="2"/>
  <c r="O907" i="2" s="1"/>
  <c r="L908" i="2"/>
  <c r="O908" i="2" s="1"/>
  <c r="L909" i="2"/>
  <c r="O909" i="2" s="1"/>
  <c r="L910" i="2"/>
  <c r="O910" i="2" s="1"/>
  <c r="L911" i="2"/>
  <c r="O911" i="2" s="1"/>
  <c r="L912" i="2"/>
  <c r="O912" i="2" s="1"/>
  <c r="L913" i="2"/>
  <c r="O913" i="2" s="1"/>
  <c r="L914" i="2"/>
  <c r="O914" i="2" s="1"/>
  <c r="L915" i="2"/>
  <c r="O915" i="2" s="1"/>
  <c r="L916" i="2"/>
  <c r="O916" i="2" s="1"/>
  <c r="L917" i="2"/>
  <c r="O917" i="2" s="1"/>
  <c r="L918" i="2"/>
  <c r="O918" i="2" s="1"/>
  <c r="L919" i="2"/>
  <c r="O919" i="2" s="1"/>
  <c r="L920" i="2"/>
  <c r="O920" i="2" s="1"/>
  <c r="L921" i="2"/>
  <c r="O921" i="2" s="1"/>
  <c r="L922" i="2"/>
  <c r="O922" i="2" s="1"/>
  <c r="L923" i="2"/>
  <c r="O923" i="2" s="1"/>
  <c r="L924" i="2"/>
  <c r="O924" i="2" s="1"/>
  <c r="L925" i="2"/>
  <c r="O925" i="2" s="1"/>
  <c r="L926" i="2"/>
  <c r="O926" i="2" s="1"/>
  <c r="L927" i="2"/>
  <c r="O927" i="2" s="1"/>
  <c r="L928" i="2"/>
  <c r="O928" i="2" s="1"/>
  <c r="L929" i="2"/>
  <c r="O929" i="2" s="1"/>
  <c r="L930" i="2"/>
  <c r="O930" i="2" s="1"/>
  <c r="L931" i="2"/>
  <c r="O931" i="2" s="1"/>
  <c r="L932" i="2"/>
  <c r="O932" i="2" s="1"/>
  <c r="L933" i="2"/>
  <c r="O933" i="2" s="1"/>
  <c r="L934" i="2"/>
  <c r="O934" i="2" s="1"/>
  <c r="L935" i="2"/>
  <c r="O935" i="2" s="1"/>
  <c r="L936" i="2"/>
  <c r="O936" i="2" s="1"/>
  <c r="L937" i="2"/>
  <c r="O937" i="2" s="1"/>
  <c r="L938" i="2"/>
  <c r="O938" i="2" s="1"/>
  <c r="L939" i="2"/>
  <c r="O939" i="2" s="1"/>
  <c r="L940" i="2"/>
  <c r="O940" i="2" s="1"/>
  <c r="L941" i="2"/>
  <c r="O941" i="2" s="1"/>
  <c r="L942" i="2"/>
  <c r="O942" i="2" s="1"/>
  <c r="L943" i="2"/>
  <c r="O943" i="2" s="1"/>
  <c r="L944" i="2"/>
  <c r="O944" i="2" s="1"/>
  <c r="L945" i="2"/>
  <c r="O945" i="2" s="1"/>
  <c r="L946" i="2"/>
  <c r="O946" i="2" s="1"/>
  <c r="L947" i="2"/>
  <c r="O947" i="2" s="1"/>
  <c r="L948" i="2"/>
  <c r="O948" i="2" s="1"/>
  <c r="L949" i="2"/>
  <c r="O949" i="2" s="1"/>
  <c r="L950" i="2"/>
  <c r="O950" i="2" s="1"/>
  <c r="L951" i="2"/>
  <c r="O951" i="2" s="1"/>
  <c r="L952" i="2"/>
  <c r="O952" i="2" s="1"/>
  <c r="L953" i="2"/>
  <c r="O953" i="2" s="1"/>
  <c r="L954" i="2"/>
  <c r="O954" i="2" s="1"/>
  <c r="L955" i="2"/>
  <c r="O955" i="2" s="1"/>
  <c r="L956" i="2"/>
  <c r="O956" i="2" s="1"/>
  <c r="L957" i="2"/>
  <c r="O957" i="2" s="1"/>
  <c r="L958" i="2"/>
  <c r="O958" i="2" s="1"/>
  <c r="L959" i="2"/>
  <c r="O959" i="2" s="1"/>
  <c r="L960" i="2"/>
  <c r="O960" i="2" s="1"/>
  <c r="L961" i="2"/>
  <c r="O961" i="2" s="1"/>
  <c r="L962" i="2"/>
  <c r="O962" i="2" s="1"/>
  <c r="L963" i="2"/>
  <c r="O963" i="2" s="1"/>
  <c r="L964" i="2"/>
  <c r="O964" i="2" s="1"/>
  <c r="L965" i="2"/>
  <c r="O965" i="2" s="1"/>
  <c r="L966" i="2"/>
  <c r="O966" i="2" s="1"/>
  <c r="L967" i="2"/>
  <c r="O967" i="2" s="1"/>
  <c r="L968" i="2"/>
  <c r="O968" i="2" s="1"/>
  <c r="L969" i="2"/>
  <c r="O969" i="2" s="1"/>
  <c r="L970" i="2"/>
  <c r="O970" i="2" s="1"/>
  <c r="L971" i="2"/>
  <c r="O971" i="2" s="1"/>
  <c r="L972" i="2"/>
  <c r="O972" i="2" s="1"/>
  <c r="L973" i="2"/>
  <c r="O973" i="2" s="1"/>
  <c r="L974" i="2"/>
  <c r="O974" i="2" s="1"/>
  <c r="L975" i="2"/>
  <c r="O975" i="2" s="1"/>
  <c r="L976" i="2"/>
  <c r="O976" i="2" s="1"/>
  <c r="L977" i="2"/>
  <c r="O977" i="2" s="1"/>
  <c r="L978" i="2"/>
  <c r="O978" i="2" s="1"/>
  <c r="L979" i="2"/>
  <c r="O979" i="2" s="1"/>
  <c r="L980" i="2"/>
  <c r="O980" i="2" s="1"/>
  <c r="L981" i="2"/>
  <c r="O981" i="2" s="1"/>
  <c r="L982" i="2"/>
  <c r="O982" i="2" s="1"/>
  <c r="L983" i="2"/>
  <c r="O983" i="2" s="1"/>
  <c r="L984" i="2"/>
  <c r="O984" i="2" s="1"/>
  <c r="L985" i="2"/>
  <c r="O985" i="2" s="1"/>
  <c r="L986" i="2"/>
  <c r="O986" i="2" s="1"/>
  <c r="L987" i="2"/>
  <c r="O987" i="2" s="1"/>
  <c r="L988" i="2"/>
  <c r="O988" i="2" s="1"/>
  <c r="L989" i="2"/>
  <c r="O989" i="2" s="1"/>
  <c r="L990" i="2"/>
  <c r="O990" i="2" s="1"/>
  <c r="L991" i="2"/>
  <c r="O991" i="2" s="1"/>
  <c r="L992" i="2"/>
  <c r="O992" i="2" s="1"/>
  <c r="L993" i="2"/>
  <c r="O993" i="2" s="1"/>
  <c r="L994" i="2"/>
  <c r="O994" i="2" s="1"/>
  <c r="L995" i="2"/>
  <c r="O995" i="2" s="1"/>
  <c r="L996" i="2"/>
  <c r="O996" i="2" s="1"/>
  <c r="L997" i="2"/>
  <c r="O997" i="2" s="1"/>
  <c r="L998" i="2"/>
  <c r="O998" i="2" s="1"/>
  <c r="L999" i="2"/>
  <c r="O999" i="2" s="1"/>
  <c r="L1000" i="2"/>
  <c r="O1000" i="2" s="1"/>
  <c r="L1001" i="2"/>
  <c r="O1001" i="2" s="1"/>
  <c r="L1002" i="2"/>
  <c r="O1002" i="2" s="1"/>
  <c r="L1003" i="2"/>
  <c r="O1003" i="2" s="1"/>
  <c r="L1004" i="2"/>
  <c r="O1004" i="2" s="1"/>
  <c r="L1005" i="2"/>
  <c r="O1005" i="2" s="1"/>
  <c r="L1006" i="2"/>
  <c r="O1006" i="2" s="1"/>
  <c r="L1007" i="2"/>
  <c r="O1007" i="2" s="1"/>
  <c r="L1008" i="2"/>
  <c r="O1008" i="2" s="1"/>
  <c r="L1009" i="2"/>
  <c r="O1009" i="2" s="1"/>
  <c r="L1010" i="2"/>
  <c r="O1010" i="2" s="1"/>
  <c r="L1011" i="2"/>
  <c r="O1011" i="2" s="1"/>
  <c r="L1012" i="2"/>
  <c r="O1012" i="2" s="1"/>
  <c r="L1013" i="2"/>
  <c r="O1013" i="2" s="1"/>
  <c r="L1014" i="2"/>
  <c r="O1014" i="2" s="1"/>
  <c r="L1015" i="2"/>
  <c r="O1015" i="2" s="1"/>
  <c r="L1016" i="2"/>
  <c r="O1016" i="2" s="1"/>
  <c r="L1017" i="2"/>
  <c r="O1017" i="2" s="1"/>
  <c r="L1018" i="2"/>
  <c r="O1018" i="2" s="1"/>
  <c r="L1019" i="2"/>
  <c r="O1019" i="2" s="1"/>
  <c r="L1020" i="2"/>
  <c r="O1020" i="2" s="1"/>
  <c r="L1021" i="2"/>
  <c r="O1021" i="2" s="1"/>
  <c r="L1022" i="2"/>
  <c r="O1022" i="2" s="1"/>
  <c r="L1023" i="2"/>
  <c r="O1023" i="2" s="1"/>
  <c r="L1024" i="2"/>
  <c r="O1024" i="2" s="1"/>
  <c r="L1025" i="2"/>
  <c r="O1025" i="2" s="1"/>
  <c r="L1026" i="2"/>
  <c r="O1026" i="2" s="1"/>
  <c r="L1027" i="2"/>
  <c r="O1027" i="2" s="1"/>
  <c r="L1028" i="2"/>
  <c r="O1028" i="2" s="1"/>
  <c r="L1029" i="2"/>
  <c r="O1029" i="2" s="1"/>
  <c r="L1030" i="2"/>
  <c r="O1030" i="2" s="1"/>
  <c r="L1031" i="2"/>
  <c r="O1031" i="2" s="1"/>
  <c r="L1032" i="2"/>
  <c r="O1032" i="2" s="1"/>
  <c r="L1033" i="2"/>
  <c r="O1033" i="2" s="1"/>
  <c r="L1034" i="2"/>
  <c r="O1034" i="2" s="1"/>
  <c r="L1035" i="2"/>
  <c r="O1035" i="2" s="1"/>
  <c r="L1036" i="2"/>
  <c r="O1036" i="2" s="1"/>
  <c r="L1037" i="2"/>
  <c r="O1037" i="2" s="1"/>
  <c r="L1038" i="2"/>
  <c r="O1038" i="2" s="1"/>
  <c r="L1039" i="2"/>
  <c r="O1039" i="2" s="1"/>
  <c r="L1040" i="2"/>
  <c r="O1040" i="2" s="1"/>
  <c r="L1041" i="2"/>
  <c r="O1041" i="2" s="1"/>
  <c r="L1042" i="2"/>
  <c r="O1042" i="2" s="1"/>
  <c r="L1043" i="2"/>
  <c r="O1043" i="2" s="1"/>
  <c r="L1044" i="2"/>
  <c r="O1044" i="2" s="1"/>
  <c r="L1045" i="2"/>
  <c r="O1045" i="2" s="1"/>
  <c r="L1046" i="2"/>
  <c r="O1046" i="2" s="1"/>
  <c r="L1047" i="2"/>
  <c r="O1047" i="2" s="1"/>
  <c r="L1048" i="2"/>
  <c r="O1048" i="2" s="1"/>
  <c r="L1049" i="2"/>
  <c r="O1049" i="2" s="1"/>
  <c r="L1050" i="2"/>
  <c r="O1050" i="2" s="1"/>
  <c r="L1051" i="2"/>
  <c r="O1051" i="2" s="1"/>
  <c r="L1052" i="2"/>
  <c r="O1052" i="2" s="1"/>
  <c r="L1053" i="2"/>
  <c r="O1053" i="2" s="1"/>
  <c r="L1054" i="2"/>
  <c r="O1054" i="2" s="1"/>
  <c r="L1055" i="2"/>
  <c r="O1055" i="2" s="1"/>
  <c r="L1056" i="2"/>
  <c r="O1056" i="2" s="1"/>
  <c r="L1057" i="2"/>
  <c r="O1057" i="2" s="1"/>
  <c r="L1058" i="2"/>
  <c r="O1058" i="2" s="1"/>
  <c r="L1059" i="2"/>
  <c r="O1059" i="2" s="1"/>
  <c r="L1060" i="2"/>
  <c r="O1060" i="2" s="1"/>
  <c r="L1061" i="2"/>
  <c r="O1061" i="2" s="1"/>
  <c r="L1062" i="2"/>
  <c r="O1062" i="2" s="1"/>
  <c r="L1063" i="2"/>
  <c r="O1063" i="2" s="1"/>
  <c r="L1064" i="2"/>
  <c r="O1064" i="2" s="1"/>
  <c r="L1065" i="2"/>
  <c r="O1065" i="2" s="1"/>
  <c r="L1066" i="2"/>
  <c r="O1066" i="2" s="1"/>
  <c r="L1067" i="2"/>
  <c r="O1067" i="2" s="1"/>
  <c r="L1068" i="2"/>
  <c r="O1068" i="2" s="1"/>
  <c r="L1069" i="2"/>
  <c r="O1069" i="2" s="1"/>
  <c r="L1070" i="2"/>
  <c r="O1070" i="2" s="1"/>
  <c r="L1071" i="2"/>
  <c r="O1071" i="2" s="1"/>
  <c r="L1072" i="2"/>
  <c r="O1072" i="2" s="1"/>
  <c r="L1073" i="2"/>
  <c r="O1073" i="2" s="1"/>
  <c r="L1074" i="2"/>
  <c r="O1074" i="2" s="1"/>
  <c r="L1075" i="2"/>
  <c r="O1075" i="2" s="1"/>
  <c r="L1076" i="2"/>
  <c r="O1076" i="2" s="1"/>
  <c r="L1077" i="2"/>
  <c r="O1077" i="2" s="1"/>
  <c r="L1078" i="2"/>
  <c r="O1078" i="2" s="1"/>
  <c r="L1079" i="2"/>
  <c r="O1079" i="2" s="1"/>
  <c r="L1080" i="2"/>
  <c r="O1080" i="2" s="1"/>
  <c r="L1081" i="2"/>
  <c r="O1081" i="2" s="1"/>
  <c r="L1082" i="2"/>
  <c r="O1082" i="2" s="1"/>
  <c r="L1083" i="2"/>
  <c r="O1083" i="2" s="1"/>
  <c r="L1084" i="2"/>
  <c r="O1084" i="2" s="1"/>
  <c r="L1085" i="2"/>
  <c r="O1085" i="2" s="1"/>
  <c r="L1086" i="2"/>
  <c r="O1086" i="2" s="1"/>
  <c r="L1087" i="2"/>
  <c r="O1087" i="2" s="1"/>
  <c r="L1088" i="2"/>
  <c r="O1088" i="2" s="1"/>
  <c r="L1089" i="2"/>
  <c r="O1089" i="2" s="1"/>
  <c r="L1090" i="2"/>
  <c r="O1090" i="2" s="1"/>
  <c r="L1091" i="2"/>
  <c r="O1091" i="2" s="1"/>
  <c r="L1092" i="2"/>
  <c r="O1092" i="2" s="1"/>
  <c r="L1093" i="2"/>
  <c r="O1093" i="2" s="1"/>
  <c r="L1094" i="2"/>
  <c r="O1094" i="2" s="1"/>
  <c r="L1095" i="2"/>
  <c r="O1095" i="2" s="1"/>
  <c r="L1096" i="2"/>
  <c r="O1096" i="2" s="1"/>
  <c r="L1097" i="2"/>
  <c r="O1097" i="2" s="1"/>
  <c r="L1098" i="2"/>
  <c r="O1098" i="2" s="1"/>
  <c r="L1099" i="2"/>
  <c r="O1099" i="2" s="1"/>
  <c r="L1100" i="2"/>
  <c r="O1100" i="2" s="1"/>
  <c r="L1101" i="2"/>
  <c r="O1101" i="2" s="1"/>
  <c r="L1102" i="2"/>
  <c r="O1102" i="2" s="1"/>
  <c r="L1103" i="2"/>
  <c r="O1103" i="2" s="1"/>
  <c r="L1104" i="2"/>
  <c r="O1104" i="2" s="1"/>
  <c r="L1105" i="2"/>
  <c r="O1105" i="2" s="1"/>
  <c r="L1106" i="2"/>
  <c r="O1106" i="2" s="1"/>
  <c r="L1107" i="2"/>
  <c r="O1107" i="2" s="1"/>
  <c r="L1108" i="2"/>
  <c r="O1108" i="2" s="1"/>
  <c r="L1109" i="2"/>
  <c r="O1109" i="2" s="1"/>
  <c r="L1110" i="2"/>
  <c r="O1110" i="2" s="1"/>
  <c r="L1111" i="2"/>
  <c r="O1111" i="2" s="1"/>
  <c r="L1112" i="2"/>
  <c r="O1112" i="2" s="1"/>
  <c r="L1113" i="2"/>
  <c r="O1113" i="2" s="1"/>
  <c r="L1114" i="2"/>
  <c r="O1114" i="2" s="1"/>
  <c r="L1115" i="2"/>
  <c r="O1115" i="2" s="1"/>
  <c r="L1116" i="2"/>
  <c r="O1116" i="2" s="1"/>
  <c r="L1117" i="2"/>
  <c r="O1117" i="2" s="1"/>
  <c r="L1118" i="2"/>
  <c r="O1118" i="2" s="1"/>
  <c r="L1119" i="2"/>
  <c r="O1119" i="2" s="1"/>
  <c r="L1120" i="2"/>
  <c r="O1120" i="2" s="1"/>
  <c r="L1121" i="2"/>
  <c r="O1121" i="2" s="1"/>
  <c r="L1122" i="2"/>
  <c r="O1122" i="2" s="1"/>
  <c r="L1123" i="2"/>
  <c r="O1123" i="2" s="1"/>
  <c r="L1124" i="2"/>
  <c r="O1124" i="2" s="1"/>
  <c r="L1125" i="2"/>
  <c r="O1125" i="2" s="1"/>
  <c r="L1126" i="2"/>
  <c r="O1126" i="2" s="1"/>
  <c r="L1127" i="2"/>
  <c r="O1127" i="2" s="1"/>
  <c r="L1128" i="2"/>
  <c r="O1128" i="2" s="1"/>
  <c r="L1129" i="2"/>
  <c r="O1129" i="2" s="1"/>
  <c r="L1130" i="2"/>
  <c r="O1130" i="2" s="1"/>
  <c r="L1131" i="2"/>
  <c r="O1131" i="2" s="1"/>
  <c r="L1132" i="2"/>
  <c r="O1132" i="2" s="1"/>
  <c r="L1133" i="2"/>
  <c r="O1133" i="2" s="1"/>
  <c r="L1134" i="2"/>
  <c r="O1134" i="2" s="1"/>
  <c r="L1135" i="2"/>
  <c r="O1135" i="2" s="1"/>
  <c r="L1136" i="2"/>
  <c r="O1136" i="2" s="1"/>
  <c r="L1137" i="2"/>
  <c r="O1137" i="2" s="1"/>
  <c r="L1138" i="2"/>
  <c r="O1138" i="2" s="1"/>
  <c r="L1139" i="2"/>
  <c r="O1139" i="2" s="1"/>
  <c r="L1140" i="2"/>
  <c r="O1140" i="2" s="1"/>
  <c r="L1141" i="2"/>
  <c r="O1141" i="2" s="1"/>
  <c r="L1142" i="2"/>
  <c r="O1142" i="2" s="1"/>
  <c r="L1143" i="2"/>
  <c r="O1143" i="2" s="1"/>
  <c r="L1144" i="2"/>
  <c r="O1144" i="2" s="1"/>
  <c r="L1145" i="2"/>
  <c r="O1145" i="2" s="1"/>
  <c r="L1146" i="2"/>
  <c r="O1146" i="2" s="1"/>
  <c r="L1147" i="2"/>
  <c r="O1147" i="2" s="1"/>
  <c r="L1148" i="2"/>
  <c r="O1148" i="2" s="1"/>
  <c r="L1149" i="2"/>
  <c r="O1149" i="2" s="1"/>
  <c r="L1150" i="2"/>
  <c r="O1150" i="2" s="1"/>
  <c r="L1151" i="2"/>
  <c r="O1151" i="2" s="1"/>
  <c r="L1152" i="2"/>
  <c r="O1152" i="2" s="1"/>
  <c r="L1153" i="2"/>
  <c r="O1153" i="2" s="1"/>
  <c r="L1154" i="2"/>
  <c r="O1154" i="2" s="1"/>
  <c r="L1155" i="2"/>
  <c r="O1155" i="2" s="1"/>
  <c r="L1156" i="2"/>
  <c r="O1156" i="2" s="1"/>
  <c r="L1157" i="2"/>
  <c r="O1157" i="2" s="1"/>
  <c r="L1158" i="2"/>
  <c r="O1158" i="2" s="1"/>
  <c r="L1159" i="2"/>
  <c r="O1159" i="2" s="1"/>
  <c r="L1160" i="2"/>
  <c r="O1160" i="2" s="1"/>
  <c r="L1161" i="2"/>
  <c r="O1161" i="2" s="1"/>
  <c r="L1162" i="2"/>
  <c r="O1162" i="2" s="1"/>
  <c r="L1163" i="2"/>
  <c r="O1163" i="2" s="1"/>
  <c r="L1164" i="2"/>
  <c r="O1164" i="2" s="1"/>
  <c r="L1165" i="2"/>
  <c r="O1165" i="2" s="1"/>
  <c r="L1166" i="2"/>
  <c r="O1166" i="2" s="1"/>
  <c r="L1167" i="2"/>
  <c r="O1167" i="2" s="1"/>
  <c r="L1168" i="2"/>
  <c r="O1168" i="2" s="1"/>
  <c r="L1169" i="2"/>
  <c r="O1169" i="2" s="1"/>
  <c r="L1170" i="2"/>
  <c r="O1170" i="2" s="1"/>
  <c r="L1171" i="2"/>
  <c r="O1171" i="2" s="1"/>
  <c r="L1172" i="2"/>
  <c r="O1172" i="2" s="1"/>
  <c r="L1173" i="2"/>
  <c r="O1173" i="2" s="1"/>
  <c r="L1174" i="2"/>
  <c r="O1174" i="2" s="1"/>
  <c r="L1175" i="2"/>
  <c r="O1175" i="2" s="1"/>
  <c r="L1176" i="2"/>
  <c r="O1176" i="2" s="1"/>
  <c r="L1177" i="2"/>
  <c r="O1177" i="2" s="1"/>
  <c r="L1178" i="2"/>
  <c r="O1178" i="2" s="1"/>
  <c r="L1179" i="2"/>
  <c r="O1179" i="2" s="1"/>
  <c r="L1180" i="2"/>
  <c r="O1180" i="2" s="1"/>
  <c r="L1181" i="2"/>
  <c r="O1181" i="2" s="1"/>
  <c r="L1182" i="2"/>
  <c r="O1182" i="2" s="1"/>
  <c r="L1183" i="2"/>
  <c r="O1183" i="2" s="1"/>
  <c r="L1184" i="2"/>
  <c r="O1184" i="2" s="1"/>
  <c r="L1185" i="2"/>
  <c r="O1185" i="2" s="1"/>
  <c r="L1186" i="2"/>
  <c r="O1186" i="2" s="1"/>
  <c r="L1187" i="2"/>
  <c r="O1187" i="2" s="1"/>
  <c r="L1188" i="2"/>
  <c r="O1188" i="2" s="1"/>
  <c r="L1189" i="2"/>
  <c r="O1189" i="2" s="1"/>
  <c r="L1190" i="2"/>
  <c r="O1190" i="2" s="1"/>
  <c r="L1191" i="2"/>
  <c r="O1191" i="2" s="1"/>
  <c r="L1192" i="2"/>
  <c r="O1192" i="2" s="1"/>
  <c r="L1193" i="2"/>
  <c r="O1193" i="2" s="1"/>
  <c r="L1194" i="2"/>
  <c r="O1194" i="2" s="1"/>
  <c r="L1195" i="2"/>
  <c r="O1195" i="2" s="1"/>
  <c r="L1196" i="2"/>
  <c r="O1196" i="2" s="1"/>
  <c r="L1197" i="2"/>
  <c r="O1197" i="2" s="1"/>
  <c r="L1198" i="2"/>
  <c r="O1198" i="2" s="1"/>
  <c r="L1199" i="2"/>
  <c r="O1199" i="2" s="1"/>
  <c r="L1200" i="2"/>
  <c r="O1200" i="2" s="1"/>
  <c r="L1201" i="2"/>
  <c r="O1201" i="2" s="1"/>
  <c r="L1202" i="2"/>
  <c r="O1202" i="2" s="1"/>
  <c r="L1203" i="2"/>
  <c r="O1203" i="2" s="1"/>
  <c r="L1204" i="2"/>
  <c r="O1204" i="2" s="1"/>
  <c r="L1205" i="2"/>
  <c r="O1205" i="2" s="1"/>
  <c r="L1206" i="2"/>
  <c r="O1206" i="2" s="1"/>
  <c r="L1207" i="2"/>
  <c r="O1207" i="2" s="1"/>
  <c r="L1208" i="2"/>
  <c r="O1208" i="2" s="1"/>
  <c r="L1209" i="2"/>
  <c r="O1209" i="2" s="1"/>
  <c r="L1210" i="2"/>
  <c r="O1210" i="2" s="1"/>
  <c r="L1211" i="2"/>
  <c r="O1211" i="2" s="1"/>
  <c r="L1212" i="2"/>
  <c r="O1212" i="2" s="1"/>
  <c r="L1213" i="2"/>
  <c r="O1213" i="2" s="1"/>
  <c r="L1214" i="2"/>
  <c r="O1214" i="2" s="1"/>
  <c r="L1215" i="2"/>
  <c r="O1215" i="2" s="1"/>
  <c r="L1216" i="2"/>
  <c r="O1216" i="2" s="1"/>
  <c r="L1217" i="2"/>
  <c r="O1217" i="2" s="1"/>
  <c r="L1218" i="2"/>
  <c r="O1218" i="2" s="1"/>
  <c r="L1219" i="2"/>
  <c r="O1219" i="2" s="1"/>
  <c r="L1220" i="2"/>
  <c r="O1220" i="2" s="1"/>
  <c r="L1221" i="2"/>
  <c r="O1221" i="2" s="1"/>
  <c r="L1222" i="2"/>
  <c r="O1222" i="2" s="1"/>
  <c r="L1223" i="2"/>
  <c r="O1223" i="2" s="1"/>
  <c r="L1224" i="2"/>
  <c r="O1224" i="2" s="1"/>
  <c r="L1225" i="2"/>
  <c r="O1225" i="2" s="1"/>
  <c r="L1226" i="2"/>
  <c r="O1226" i="2" s="1"/>
  <c r="L1227" i="2"/>
  <c r="O1227" i="2" s="1"/>
  <c r="L1228" i="2"/>
  <c r="O1228" i="2" s="1"/>
  <c r="L1229" i="2"/>
  <c r="O1229" i="2" s="1"/>
  <c r="L1230" i="2"/>
  <c r="O1230" i="2" s="1"/>
  <c r="L1231" i="2"/>
  <c r="O1231" i="2" s="1"/>
  <c r="L1232" i="2"/>
  <c r="O1232" i="2" s="1"/>
  <c r="L1233" i="2"/>
  <c r="O1233" i="2" s="1"/>
  <c r="L1234" i="2"/>
  <c r="O1234" i="2" s="1"/>
  <c r="L1235" i="2"/>
  <c r="O1235" i="2" s="1"/>
  <c r="L1236" i="2"/>
  <c r="O1236" i="2" s="1"/>
  <c r="L1237" i="2"/>
  <c r="O1237" i="2" s="1"/>
  <c r="L1238" i="2"/>
  <c r="O1238" i="2" s="1"/>
  <c r="L1239" i="2"/>
  <c r="O1239" i="2" s="1"/>
  <c r="L1240" i="2"/>
  <c r="O1240" i="2" s="1"/>
  <c r="L1241" i="2"/>
  <c r="O1241" i="2" s="1"/>
  <c r="L1242" i="2"/>
  <c r="O1242" i="2" s="1"/>
  <c r="L1243" i="2"/>
  <c r="O1243" i="2" s="1"/>
  <c r="L1244" i="2"/>
  <c r="O1244" i="2" s="1"/>
  <c r="L1245" i="2"/>
  <c r="O1245" i="2" s="1"/>
  <c r="L1246" i="2"/>
  <c r="O1246" i="2" s="1"/>
  <c r="L1247" i="2"/>
  <c r="O1247" i="2" s="1"/>
  <c r="L1248" i="2"/>
  <c r="O1248" i="2" s="1"/>
  <c r="L1249" i="2"/>
  <c r="O1249" i="2" s="1"/>
  <c r="L1250" i="2"/>
  <c r="O1250" i="2" s="1"/>
  <c r="L1251" i="2"/>
  <c r="O1251" i="2" s="1"/>
  <c r="L1252" i="2"/>
  <c r="O1252" i="2" s="1"/>
  <c r="L1253" i="2"/>
  <c r="O1253" i="2" s="1"/>
  <c r="L1254" i="2"/>
  <c r="O1254" i="2" s="1"/>
  <c r="L1255" i="2"/>
  <c r="O1255" i="2" s="1"/>
  <c r="L1256" i="2"/>
  <c r="O1256" i="2" s="1"/>
  <c r="L1257" i="2"/>
  <c r="O1257" i="2" s="1"/>
  <c r="L1258" i="2"/>
  <c r="O1258" i="2" s="1"/>
  <c r="L1259" i="2"/>
  <c r="O1259" i="2" s="1"/>
  <c r="L1260" i="2"/>
  <c r="O1260" i="2" s="1"/>
  <c r="L1261" i="2"/>
  <c r="O1261" i="2" s="1"/>
  <c r="L1262" i="2"/>
  <c r="O1262" i="2" s="1"/>
  <c r="L1263" i="2"/>
  <c r="O1263" i="2" s="1"/>
  <c r="L1264" i="2"/>
  <c r="O1264" i="2" s="1"/>
  <c r="L1265" i="2"/>
  <c r="O1265" i="2" s="1"/>
  <c r="L1266" i="2"/>
  <c r="O1266" i="2" s="1"/>
  <c r="L1267" i="2"/>
  <c r="O1267" i="2" s="1"/>
  <c r="L1268" i="2"/>
  <c r="O1268" i="2" s="1"/>
  <c r="L1269" i="2"/>
  <c r="O1269" i="2" s="1"/>
  <c r="L1270" i="2"/>
  <c r="O1270" i="2" s="1"/>
  <c r="L1271" i="2"/>
  <c r="O1271" i="2" s="1"/>
  <c r="L1272" i="2"/>
  <c r="O1272" i="2" s="1"/>
  <c r="L1273" i="2"/>
  <c r="O1273" i="2" s="1"/>
  <c r="L1274" i="2"/>
  <c r="O1274" i="2" s="1"/>
  <c r="L1275" i="2"/>
  <c r="O1275" i="2" s="1"/>
  <c r="L1276" i="2"/>
  <c r="O1276" i="2" s="1"/>
  <c r="L1277" i="2"/>
  <c r="O1277" i="2" s="1"/>
  <c r="L1278" i="2"/>
  <c r="O1278" i="2" s="1"/>
  <c r="L1279" i="2"/>
  <c r="O1279" i="2" s="1"/>
  <c r="L1280" i="2"/>
  <c r="O1280" i="2" s="1"/>
  <c r="L1281" i="2"/>
  <c r="O1281" i="2" s="1"/>
  <c r="L1282" i="2"/>
  <c r="O1282" i="2" s="1"/>
  <c r="L1283" i="2"/>
  <c r="O1283" i="2" s="1"/>
  <c r="L1284" i="2"/>
  <c r="O1284" i="2" s="1"/>
  <c r="L1285" i="2"/>
  <c r="O1285" i="2" s="1"/>
  <c r="L1286" i="2"/>
  <c r="O1286" i="2" s="1"/>
  <c r="L1287" i="2"/>
  <c r="O1287" i="2" s="1"/>
  <c r="L1288" i="2"/>
  <c r="O1288" i="2" s="1"/>
  <c r="L1289" i="2"/>
  <c r="O1289" i="2" s="1"/>
  <c r="L1290" i="2"/>
  <c r="O1290" i="2" s="1"/>
  <c r="L1291" i="2"/>
  <c r="O1291" i="2" s="1"/>
  <c r="L1292" i="2"/>
  <c r="O1292" i="2" s="1"/>
  <c r="L1293" i="2"/>
  <c r="O1293" i="2" s="1"/>
  <c r="L1294" i="2"/>
  <c r="O1294" i="2" s="1"/>
  <c r="L1295" i="2"/>
  <c r="O1295" i="2" s="1"/>
  <c r="L1296" i="2"/>
  <c r="O1296" i="2" s="1"/>
  <c r="L1297" i="2"/>
  <c r="O1297" i="2" s="1"/>
  <c r="L1298" i="2"/>
  <c r="O1298" i="2" s="1"/>
  <c r="L1299" i="2"/>
  <c r="O1299" i="2" s="1"/>
  <c r="L1300" i="2"/>
  <c r="O1300" i="2" s="1"/>
  <c r="L1301" i="2"/>
  <c r="O1301" i="2" s="1"/>
  <c r="L1302" i="2"/>
  <c r="O1302" i="2" s="1"/>
  <c r="L1303" i="2"/>
  <c r="O1303" i="2" s="1"/>
  <c r="L1304" i="2"/>
  <c r="O1304" i="2" s="1"/>
  <c r="L1305" i="2"/>
  <c r="O1305" i="2" s="1"/>
  <c r="L1306" i="2"/>
  <c r="O1306" i="2" s="1"/>
  <c r="L1307" i="2"/>
  <c r="O1307" i="2" s="1"/>
  <c r="L1308" i="2"/>
  <c r="O1308" i="2" s="1"/>
  <c r="L1309" i="2"/>
  <c r="O1309" i="2" s="1"/>
  <c r="L1310" i="2"/>
  <c r="O1310" i="2" s="1"/>
  <c r="L1311" i="2"/>
  <c r="O1311" i="2" s="1"/>
  <c r="L1312" i="2"/>
  <c r="O1312" i="2" s="1"/>
  <c r="L1313" i="2"/>
  <c r="O1313" i="2" s="1"/>
  <c r="L1314" i="2"/>
  <c r="O1314" i="2" s="1"/>
  <c r="L1315" i="2"/>
  <c r="O1315" i="2" s="1"/>
  <c r="L1316" i="2"/>
  <c r="O1316" i="2" s="1"/>
  <c r="L1317" i="2"/>
  <c r="O1317" i="2" s="1"/>
  <c r="L1318" i="2"/>
  <c r="O1318" i="2" s="1"/>
  <c r="L1319" i="2"/>
  <c r="O1319" i="2" s="1"/>
  <c r="L1320" i="2"/>
  <c r="O1320" i="2" s="1"/>
  <c r="L1321" i="2"/>
  <c r="O1321" i="2" s="1"/>
  <c r="L1322" i="2"/>
  <c r="O1322" i="2" s="1"/>
  <c r="L1323" i="2"/>
  <c r="O1323" i="2" s="1"/>
  <c r="L1324" i="2"/>
  <c r="O1324" i="2" s="1"/>
  <c r="L1325" i="2"/>
  <c r="O1325" i="2" s="1"/>
  <c r="L1326" i="2"/>
  <c r="O1326" i="2" s="1"/>
  <c r="L1327" i="2"/>
  <c r="O1327" i="2" s="1"/>
  <c r="L1328" i="2"/>
  <c r="O1328" i="2" s="1"/>
  <c r="L1329" i="2"/>
  <c r="O1329" i="2" s="1"/>
  <c r="L1330" i="2"/>
  <c r="O1330" i="2" s="1"/>
  <c r="L1331" i="2"/>
  <c r="O1331" i="2" s="1"/>
  <c r="L1332" i="2"/>
  <c r="O1332" i="2" s="1"/>
  <c r="L1333" i="2"/>
  <c r="O1333" i="2" s="1"/>
  <c r="L1334" i="2"/>
  <c r="O1334" i="2" s="1"/>
  <c r="L1335" i="2"/>
  <c r="O1335" i="2" s="1"/>
  <c r="L1336" i="2"/>
  <c r="O1336" i="2" s="1"/>
  <c r="L1337" i="2"/>
  <c r="O1337" i="2" s="1"/>
  <c r="L1338" i="2"/>
  <c r="O1338" i="2" s="1"/>
  <c r="L1339" i="2"/>
  <c r="O1339" i="2" s="1"/>
  <c r="L1340" i="2"/>
  <c r="O1340" i="2" s="1"/>
  <c r="L1341" i="2"/>
  <c r="O1341" i="2" s="1"/>
  <c r="L1342" i="2"/>
  <c r="O1342" i="2" s="1"/>
  <c r="L1343" i="2"/>
  <c r="O1343" i="2" s="1"/>
  <c r="L1344" i="2"/>
  <c r="O1344" i="2" s="1"/>
  <c r="L1345" i="2"/>
  <c r="O1345" i="2" s="1"/>
  <c r="L1346" i="2"/>
  <c r="O1346" i="2" s="1"/>
  <c r="L1347" i="2"/>
  <c r="O1347" i="2" s="1"/>
  <c r="L1348" i="2"/>
  <c r="O1348" i="2" s="1"/>
  <c r="L1349" i="2"/>
  <c r="O1349" i="2" s="1"/>
  <c r="L1350" i="2"/>
  <c r="O1350" i="2" s="1"/>
  <c r="L1351" i="2"/>
  <c r="O1351" i="2" s="1"/>
  <c r="L1352" i="2"/>
  <c r="O1352" i="2" s="1"/>
  <c r="L1353" i="2"/>
  <c r="O1353" i="2" s="1"/>
  <c r="L1354" i="2"/>
  <c r="O1354" i="2" s="1"/>
  <c r="L1355" i="2"/>
  <c r="O1355" i="2" s="1"/>
  <c r="L1356" i="2"/>
  <c r="O1356" i="2" s="1"/>
  <c r="L1357" i="2"/>
  <c r="O1357" i="2" s="1"/>
  <c r="L1358" i="2"/>
  <c r="O1358" i="2" s="1"/>
  <c r="L1359" i="2"/>
  <c r="O1359" i="2" s="1"/>
  <c r="L1360" i="2"/>
  <c r="O1360" i="2" s="1"/>
  <c r="L1361" i="2"/>
  <c r="O1361" i="2" s="1"/>
  <c r="L1362" i="2"/>
  <c r="O1362" i="2" s="1"/>
  <c r="L1363" i="2"/>
  <c r="O1363" i="2" s="1"/>
  <c r="L1364" i="2"/>
  <c r="O1364" i="2" s="1"/>
  <c r="L1365" i="2"/>
  <c r="O1365" i="2" s="1"/>
  <c r="L1366" i="2"/>
  <c r="O1366" i="2" s="1"/>
  <c r="L1367" i="2"/>
  <c r="O1367" i="2" s="1"/>
  <c r="L1368" i="2"/>
  <c r="O1368" i="2" s="1"/>
  <c r="L1369" i="2"/>
  <c r="O1369" i="2" s="1"/>
  <c r="L1370" i="2"/>
  <c r="O1370" i="2" s="1"/>
  <c r="L1371" i="2"/>
  <c r="O1371" i="2" s="1"/>
  <c r="L1372" i="2"/>
  <c r="O1372" i="2" s="1"/>
  <c r="L1373" i="2"/>
  <c r="O1373" i="2" s="1"/>
  <c r="L1374" i="2"/>
  <c r="O1374" i="2" s="1"/>
  <c r="L1375" i="2"/>
  <c r="O1375" i="2" s="1"/>
  <c r="L1376" i="2"/>
  <c r="O1376" i="2" s="1"/>
  <c r="L1377" i="2"/>
  <c r="O1377" i="2" s="1"/>
  <c r="L1378" i="2"/>
  <c r="O1378" i="2" s="1"/>
  <c r="L1379" i="2"/>
  <c r="O1379" i="2" s="1"/>
  <c r="L1380" i="2"/>
  <c r="O1380" i="2" s="1"/>
  <c r="L1381" i="2"/>
  <c r="O1381" i="2" s="1"/>
  <c r="L1382" i="2"/>
  <c r="O1382" i="2" s="1"/>
  <c r="L1383" i="2"/>
  <c r="O1383" i="2" s="1"/>
  <c r="L1384" i="2"/>
  <c r="O1384" i="2" s="1"/>
  <c r="L1385" i="2"/>
  <c r="O1385" i="2" s="1"/>
  <c r="L1386" i="2"/>
  <c r="O1386" i="2" s="1"/>
  <c r="L1387" i="2"/>
  <c r="O1387" i="2" s="1"/>
  <c r="L1388" i="2"/>
  <c r="O1388" i="2" s="1"/>
  <c r="L1389" i="2"/>
  <c r="O1389" i="2" s="1"/>
  <c r="L1390" i="2"/>
  <c r="O1390" i="2" s="1"/>
  <c r="L1391" i="2"/>
  <c r="O1391" i="2" s="1"/>
  <c r="L1392" i="2"/>
  <c r="O1392" i="2" s="1"/>
  <c r="L1393" i="2"/>
  <c r="O1393" i="2" s="1"/>
  <c r="L1394" i="2"/>
  <c r="O1394" i="2" s="1"/>
  <c r="L1395" i="2"/>
  <c r="O1395" i="2" s="1"/>
  <c r="L1396" i="2"/>
  <c r="O1396" i="2" s="1"/>
  <c r="L1397" i="2"/>
  <c r="O1397" i="2" s="1"/>
  <c r="L1398" i="2"/>
  <c r="O1398" i="2" s="1"/>
  <c r="L1399" i="2"/>
  <c r="O1399" i="2" s="1"/>
  <c r="L1400" i="2"/>
  <c r="O1400" i="2" s="1"/>
  <c r="L1401" i="2"/>
  <c r="O1401" i="2" s="1"/>
  <c r="L1402" i="2"/>
  <c r="O1402" i="2" s="1"/>
  <c r="L1403" i="2"/>
  <c r="O1403" i="2" s="1"/>
  <c r="L1404" i="2"/>
  <c r="O1404" i="2" s="1"/>
  <c r="L1405" i="2"/>
  <c r="O1405" i="2" s="1"/>
  <c r="L1406" i="2"/>
  <c r="O1406" i="2" s="1"/>
  <c r="L1407" i="2"/>
  <c r="O1407" i="2" s="1"/>
  <c r="L1408" i="2"/>
  <c r="O1408" i="2" s="1"/>
  <c r="L1409" i="2"/>
  <c r="O1409" i="2" s="1"/>
  <c r="L1410" i="2"/>
  <c r="O1410" i="2" s="1"/>
  <c r="L1411" i="2"/>
  <c r="O1411" i="2" s="1"/>
  <c r="L1412" i="2"/>
  <c r="O1412" i="2" s="1"/>
  <c r="L1413" i="2"/>
  <c r="O1413" i="2" s="1"/>
  <c r="L1414" i="2"/>
  <c r="O1414" i="2" s="1"/>
  <c r="L1415" i="2"/>
  <c r="O1415" i="2" s="1"/>
  <c r="L1416" i="2"/>
  <c r="O1416" i="2" s="1"/>
  <c r="L1417" i="2"/>
  <c r="O1417" i="2" s="1"/>
  <c r="L1418" i="2"/>
  <c r="O1418" i="2" s="1"/>
  <c r="L1419" i="2"/>
  <c r="O1419" i="2" s="1"/>
  <c r="L1420" i="2"/>
  <c r="O1420" i="2" s="1"/>
  <c r="L1421" i="2"/>
  <c r="O1421" i="2" s="1"/>
  <c r="L1422" i="2"/>
  <c r="O1422" i="2" s="1"/>
  <c r="L1423" i="2"/>
  <c r="O1423" i="2" s="1"/>
  <c r="L1424" i="2"/>
  <c r="O1424" i="2" s="1"/>
  <c r="L1425" i="2"/>
  <c r="O1425" i="2" s="1"/>
  <c r="L1426" i="2"/>
  <c r="O1426" i="2" s="1"/>
  <c r="L1427" i="2"/>
  <c r="O1427" i="2" s="1"/>
  <c r="L1428" i="2"/>
  <c r="O1428" i="2" s="1"/>
  <c r="L1429" i="2"/>
  <c r="O1429" i="2" s="1"/>
  <c r="L1430" i="2"/>
  <c r="O1430" i="2" s="1"/>
  <c r="L1431" i="2"/>
  <c r="O1431" i="2" s="1"/>
  <c r="L1432" i="2"/>
  <c r="O1432" i="2" s="1"/>
  <c r="L1433" i="2"/>
  <c r="O1433" i="2" s="1"/>
  <c r="L1434" i="2"/>
  <c r="O1434" i="2" s="1"/>
  <c r="L1435" i="2"/>
  <c r="O1435" i="2" s="1"/>
  <c r="L1436" i="2"/>
  <c r="O1436" i="2" s="1"/>
  <c r="L1437" i="2"/>
  <c r="O1437" i="2" s="1"/>
  <c r="L1438" i="2"/>
  <c r="O1438" i="2" s="1"/>
  <c r="L1439" i="2"/>
  <c r="O1439" i="2" s="1"/>
  <c r="L1440" i="2"/>
  <c r="O1440" i="2" s="1"/>
  <c r="L1441" i="2"/>
  <c r="O1441" i="2" s="1"/>
  <c r="L1442" i="2"/>
  <c r="O1442" i="2" s="1"/>
  <c r="L1443" i="2"/>
  <c r="O1443" i="2" s="1"/>
  <c r="L1444" i="2"/>
  <c r="O1444" i="2" s="1"/>
  <c r="L1445" i="2"/>
  <c r="O1445" i="2" s="1"/>
  <c r="L1446" i="2"/>
  <c r="O1446" i="2" s="1"/>
  <c r="L1447" i="2"/>
  <c r="O1447" i="2" s="1"/>
  <c r="L1448" i="2"/>
  <c r="O1448" i="2" s="1"/>
  <c r="L1449" i="2"/>
  <c r="O1449" i="2" s="1"/>
  <c r="L1450" i="2"/>
  <c r="O1450" i="2" s="1"/>
  <c r="L1451" i="2"/>
  <c r="O1451" i="2" s="1"/>
  <c r="L1452" i="2"/>
  <c r="O1452" i="2" s="1"/>
  <c r="L1453" i="2"/>
  <c r="O1453" i="2" s="1"/>
  <c r="L1454" i="2"/>
  <c r="O1454" i="2" s="1"/>
  <c r="L1455" i="2"/>
  <c r="O1455" i="2" s="1"/>
  <c r="L1456" i="2"/>
  <c r="O1456" i="2" s="1"/>
  <c r="L1457" i="2"/>
  <c r="O1457" i="2" s="1"/>
  <c r="L1458" i="2"/>
  <c r="O1458" i="2" s="1"/>
  <c r="L1459" i="2"/>
  <c r="O1459" i="2" s="1"/>
  <c r="L1460" i="2"/>
  <c r="O1460" i="2" s="1"/>
  <c r="L1461" i="2"/>
  <c r="O1461" i="2" s="1"/>
  <c r="L1462" i="2"/>
  <c r="O1462" i="2" s="1"/>
  <c r="L1463" i="2"/>
  <c r="O1463" i="2" s="1"/>
  <c r="L1464" i="2"/>
  <c r="O1464" i="2" s="1"/>
  <c r="L1465" i="2"/>
  <c r="O1465" i="2" s="1"/>
  <c r="L1466" i="2"/>
  <c r="O1466" i="2" s="1"/>
  <c r="L1467" i="2"/>
  <c r="O1467" i="2" s="1"/>
  <c r="L1468" i="2"/>
  <c r="O1468" i="2" s="1"/>
  <c r="L1469" i="2"/>
  <c r="O1469" i="2" s="1"/>
  <c r="L1470" i="2"/>
  <c r="O1470" i="2" s="1"/>
  <c r="L1471" i="2"/>
  <c r="O1471" i="2" s="1"/>
  <c r="L1472" i="2"/>
  <c r="O1472" i="2" s="1"/>
  <c r="L1473" i="2"/>
  <c r="O1473" i="2" s="1"/>
  <c r="L1474" i="2"/>
  <c r="O1474" i="2" s="1"/>
  <c r="L1475" i="2"/>
  <c r="O1475" i="2" s="1"/>
  <c r="L1476" i="2"/>
  <c r="O1476" i="2" s="1"/>
  <c r="L1477" i="2"/>
  <c r="O1477" i="2" s="1"/>
  <c r="L1478" i="2"/>
  <c r="O1478" i="2" s="1"/>
  <c r="L1479" i="2"/>
  <c r="O1479" i="2" s="1"/>
  <c r="L1480" i="2"/>
  <c r="O1480" i="2" s="1"/>
  <c r="L1481" i="2"/>
  <c r="O1481" i="2" s="1"/>
  <c r="L1482" i="2"/>
  <c r="O1482" i="2" s="1"/>
  <c r="L1483" i="2"/>
  <c r="O1483" i="2" s="1"/>
  <c r="L1484" i="2"/>
  <c r="O1484" i="2" s="1"/>
  <c r="L1485" i="2"/>
  <c r="O1485" i="2" s="1"/>
  <c r="L1486" i="2"/>
  <c r="O1486" i="2" s="1"/>
  <c r="L1487" i="2"/>
  <c r="O1487" i="2" s="1"/>
  <c r="L1488" i="2"/>
  <c r="O1488" i="2" s="1"/>
  <c r="L1489" i="2"/>
  <c r="O1489" i="2" s="1"/>
  <c r="L1490" i="2"/>
  <c r="O1490" i="2" s="1"/>
  <c r="L1491" i="2"/>
  <c r="O1491" i="2" s="1"/>
  <c r="L1492" i="2"/>
  <c r="O1492" i="2" s="1"/>
  <c r="L1493" i="2"/>
  <c r="O1493" i="2" s="1"/>
  <c r="L1494" i="2"/>
  <c r="O1494" i="2" s="1"/>
  <c r="L1495" i="2"/>
  <c r="O1495" i="2" s="1"/>
  <c r="L1496" i="2"/>
  <c r="O1496" i="2" s="1"/>
  <c r="L1497" i="2"/>
  <c r="O1497" i="2" s="1"/>
  <c r="L1498" i="2"/>
  <c r="O1498" i="2" s="1"/>
  <c r="L1499" i="2"/>
  <c r="O1499" i="2" s="1"/>
  <c r="L1500" i="2"/>
  <c r="O1500" i="2" s="1"/>
  <c r="L1501" i="2"/>
  <c r="O1501" i="2" s="1"/>
  <c r="L1502" i="2"/>
  <c r="O1502" i="2" s="1"/>
  <c r="L1503" i="2"/>
  <c r="O1503" i="2" s="1"/>
  <c r="L1504" i="2"/>
  <c r="O1504" i="2" s="1"/>
  <c r="L1505" i="2"/>
  <c r="O1505" i="2" s="1"/>
  <c r="L1506" i="2"/>
  <c r="O1506" i="2" s="1"/>
  <c r="L1507" i="2"/>
  <c r="O1507" i="2" s="1"/>
  <c r="L1508" i="2"/>
  <c r="O1508" i="2" s="1"/>
  <c r="L1509" i="2"/>
  <c r="O1509" i="2" s="1"/>
  <c r="L1510" i="2"/>
  <c r="O1510" i="2" s="1"/>
  <c r="L1511" i="2"/>
  <c r="O1511" i="2" s="1"/>
  <c r="L1512" i="2"/>
  <c r="O1512" i="2" s="1"/>
  <c r="L1513" i="2"/>
  <c r="O1513" i="2" s="1"/>
  <c r="L1514" i="2"/>
  <c r="O1514" i="2" s="1"/>
  <c r="L1515" i="2"/>
  <c r="O1515" i="2" s="1"/>
  <c r="L1516" i="2"/>
  <c r="O1516" i="2" s="1"/>
  <c r="L1517" i="2"/>
  <c r="O1517" i="2" s="1"/>
  <c r="L1518" i="2"/>
  <c r="O1518" i="2" s="1"/>
  <c r="L1519" i="2"/>
  <c r="O1519" i="2" s="1"/>
  <c r="L1520" i="2"/>
  <c r="O1520" i="2" s="1"/>
  <c r="L1521" i="2"/>
  <c r="O1521" i="2" s="1"/>
  <c r="L1522" i="2"/>
  <c r="O1522" i="2" s="1"/>
  <c r="L1523" i="2"/>
  <c r="O1523" i="2" s="1"/>
  <c r="L1524" i="2"/>
  <c r="O1524" i="2" s="1"/>
  <c r="L1525" i="2"/>
  <c r="O1525" i="2" s="1"/>
  <c r="L1526" i="2"/>
  <c r="O1526" i="2" s="1"/>
  <c r="L1527" i="2"/>
  <c r="O1527" i="2" s="1"/>
  <c r="L1528" i="2"/>
  <c r="O1528" i="2" s="1"/>
  <c r="L1529" i="2"/>
  <c r="O1529" i="2" s="1"/>
  <c r="L1530" i="2"/>
  <c r="O1530" i="2" s="1"/>
  <c r="L1531" i="2"/>
  <c r="O1531" i="2" s="1"/>
  <c r="L1532" i="2"/>
  <c r="O1532" i="2" s="1"/>
  <c r="L1533" i="2"/>
  <c r="O1533" i="2" s="1"/>
  <c r="L1534" i="2"/>
  <c r="O1534" i="2" s="1"/>
  <c r="L1535" i="2"/>
  <c r="O1535" i="2" s="1"/>
  <c r="L1536" i="2"/>
  <c r="O1536" i="2" s="1"/>
  <c r="L1537" i="2"/>
  <c r="O1537" i="2" s="1"/>
  <c r="L1538" i="2"/>
  <c r="O1538" i="2" s="1"/>
  <c r="L1539" i="2"/>
  <c r="O1539" i="2" s="1"/>
  <c r="L1540" i="2"/>
  <c r="O1540" i="2" s="1"/>
  <c r="L1541" i="2"/>
  <c r="O1541" i="2" s="1"/>
  <c r="L1542" i="2"/>
  <c r="O1542" i="2" s="1"/>
  <c r="L1543" i="2"/>
  <c r="O1543" i="2" s="1"/>
  <c r="L1544" i="2"/>
  <c r="O1544" i="2" s="1"/>
  <c r="L1545" i="2"/>
  <c r="O1545" i="2" s="1"/>
  <c r="L1546" i="2"/>
  <c r="O1546" i="2" s="1"/>
  <c r="L1547" i="2"/>
  <c r="O1547" i="2" s="1"/>
  <c r="L1548" i="2"/>
  <c r="O1548" i="2" s="1"/>
  <c r="L1549" i="2"/>
  <c r="O1549" i="2" s="1"/>
  <c r="L1550" i="2"/>
  <c r="O1550" i="2" s="1"/>
  <c r="L1551" i="2"/>
  <c r="O1551" i="2" s="1"/>
  <c r="L1552" i="2"/>
  <c r="O1552" i="2" s="1"/>
  <c r="L1553" i="2"/>
  <c r="O1553" i="2" s="1"/>
  <c r="L1554" i="2"/>
  <c r="O1554" i="2" s="1"/>
  <c r="L1555" i="2"/>
  <c r="O1555" i="2" s="1"/>
  <c r="L1556" i="2"/>
  <c r="O1556" i="2" s="1"/>
  <c r="L1557" i="2"/>
  <c r="O1557" i="2" s="1"/>
  <c r="L1558" i="2"/>
  <c r="O1558" i="2" s="1"/>
  <c r="L1559" i="2"/>
  <c r="O1559" i="2" s="1"/>
  <c r="L1560" i="2"/>
  <c r="O1560" i="2" s="1"/>
  <c r="L1561" i="2"/>
  <c r="O1561" i="2" s="1"/>
  <c r="L1562" i="2"/>
  <c r="O1562" i="2" s="1"/>
  <c r="L1563" i="2"/>
  <c r="O1563" i="2" s="1"/>
  <c r="L1564" i="2"/>
  <c r="O1564" i="2" s="1"/>
  <c r="L1565" i="2"/>
  <c r="O1565" i="2" s="1"/>
  <c r="L1566" i="2"/>
  <c r="O1566" i="2" s="1"/>
  <c r="L1567" i="2"/>
  <c r="O1567" i="2" s="1"/>
  <c r="L1568" i="2"/>
  <c r="O1568" i="2" s="1"/>
  <c r="L1569" i="2"/>
  <c r="O1569" i="2" s="1"/>
  <c r="L1570" i="2"/>
  <c r="O1570" i="2" s="1"/>
  <c r="L1571" i="2"/>
  <c r="O1571" i="2" s="1"/>
  <c r="L1572" i="2"/>
  <c r="O1572" i="2" s="1"/>
  <c r="L1573" i="2"/>
  <c r="O1573" i="2" s="1"/>
  <c r="L1574" i="2"/>
  <c r="O1574" i="2" s="1"/>
  <c r="L1575" i="2"/>
  <c r="O1575" i="2" s="1"/>
  <c r="L1576" i="2"/>
  <c r="O1576" i="2" s="1"/>
  <c r="L1577" i="2"/>
  <c r="O1577" i="2" s="1"/>
  <c r="L1578" i="2"/>
  <c r="O1578" i="2" s="1"/>
  <c r="L1579" i="2"/>
  <c r="O1579" i="2" s="1"/>
  <c r="L1580" i="2"/>
  <c r="O1580" i="2" s="1"/>
  <c r="L1581" i="2"/>
  <c r="O1581" i="2" s="1"/>
  <c r="L1582" i="2"/>
  <c r="O1582" i="2" s="1"/>
  <c r="L1583" i="2"/>
  <c r="O1583" i="2" s="1"/>
  <c r="L1584" i="2"/>
  <c r="O1584" i="2" s="1"/>
  <c r="L1585" i="2"/>
  <c r="O1585" i="2" s="1"/>
  <c r="L1586" i="2"/>
  <c r="O1586" i="2" s="1"/>
  <c r="L1587" i="2"/>
  <c r="O1587" i="2" s="1"/>
  <c r="L1588" i="2"/>
  <c r="O1588" i="2" s="1"/>
  <c r="L1589" i="2"/>
  <c r="O1589" i="2" s="1"/>
  <c r="L1590" i="2"/>
  <c r="O1590" i="2" s="1"/>
  <c r="L1591" i="2"/>
  <c r="O1591" i="2" s="1"/>
  <c r="L1592" i="2"/>
  <c r="O1592" i="2" s="1"/>
  <c r="L1593" i="2"/>
  <c r="O1593" i="2" s="1"/>
  <c r="L1594" i="2"/>
  <c r="O1594" i="2" s="1"/>
  <c r="L1595" i="2"/>
  <c r="O1595" i="2" s="1"/>
  <c r="L1596" i="2"/>
  <c r="O1596" i="2" s="1"/>
  <c r="L1597" i="2"/>
  <c r="O1597" i="2" s="1"/>
  <c r="L1598" i="2"/>
  <c r="O1598" i="2" s="1"/>
  <c r="L1599" i="2"/>
  <c r="O1599" i="2" s="1"/>
  <c r="L1600" i="2"/>
  <c r="O1600" i="2" s="1"/>
  <c r="L1601" i="2"/>
  <c r="O1601" i="2" s="1"/>
  <c r="L1602" i="2"/>
  <c r="O1602" i="2" s="1"/>
  <c r="L1603" i="2"/>
  <c r="O1603" i="2" s="1"/>
  <c r="L1604" i="2"/>
  <c r="O1604" i="2" s="1"/>
  <c r="L1605" i="2"/>
  <c r="O1605" i="2" s="1"/>
  <c r="L1606" i="2"/>
  <c r="O1606" i="2" s="1"/>
  <c r="L1607" i="2"/>
  <c r="O1607" i="2" s="1"/>
  <c r="L1608" i="2"/>
  <c r="O1608" i="2" s="1"/>
  <c r="L1609" i="2"/>
  <c r="O1609" i="2" s="1"/>
  <c r="L1610" i="2"/>
  <c r="O1610" i="2" s="1"/>
  <c r="L1611" i="2"/>
  <c r="O1611" i="2" s="1"/>
  <c r="L1612" i="2"/>
  <c r="O1612" i="2" s="1"/>
  <c r="L1613" i="2"/>
  <c r="O1613" i="2" s="1"/>
  <c r="L1614" i="2"/>
  <c r="O1614" i="2" s="1"/>
  <c r="L1615" i="2"/>
  <c r="O1615" i="2" s="1"/>
  <c r="L1616" i="2"/>
  <c r="O1616" i="2" s="1"/>
  <c r="L1617" i="2"/>
  <c r="O1617" i="2" s="1"/>
  <c r="L1618" i="2"/>
  <c r="O1618" i="2" s="1"/>
  <c r="L1619" i="2"/>
  <c r="O1619" i="2" s="1"/>
  <c r="L1620" i="2"/>
  <c r="O1620" i="2" s="1"/>
  <c r="L1621" i="2"/>
  <c r="O1621" i="2" s="1"/>
  <c r="L1622" i="2"/>
  <c r="O1622" i="2" s="1"/>
  <c r="L1623" i="2"/>
  <c r="O1623" i="2" s="1"/>
  <c r="L1624" i="2"/>
  <c r="O1624" i="2" s="1"/>
  <c r="L1625" i="2"/>
  <c r="O1625" i="2" s="1"/>
  <c r="L1626" i="2"/>
  <c r="O1626" i="2" s="1"/>
  <c r="L1627" i="2"/>
  <c r="O1627" i="2" s="1"/>
  <c r="L1628" i="2"/>
  <c r="O1628" i="2" s="1"/>
  <c r="L1629" i="2"/>
  <c r="O1629" i="2" s="1"/>
  <c r="L1630" i="2"/>
  <c r="O1630" i="2" s="1"/>
  <c r="L1631" i="2"/>
  <c r="O1631" i="2" s="1"/>
  <c r="L1632" i="2"/>
  <c r="O1632" i="2" s="1"/>
  <c r="L1633" i="2"/>
  <c r="O1633" i="2" s="1"/>
  <c r="L1634" i="2"/>
  <c r="O1634" i="2" s="1"/>
  <c r="L1635" i="2"/>
  <c r="O1635" i="2" s="1"/>
  <c r="L1636" i="2"/>
  <c r="O1636" i="2" s="1"/>
  <c r="L1637" i="2"/>
  <c r="O1637" i="2" s="1"/>
  <c r="L1638" i="2"/>
  <c r="O1638" i="2" s="1"/>
  <c r="L1639" i="2"/>
  <c r="O1639" i="2" s="1"/>
  <c r="L1640" i="2"/>
  <c r="O1640" i="2" s="1"/>
  <c r="L1641" i="2"/>
  <c r="O1641" i="2" s="1"/>
  <c r="L1642" i="2"/>
  <c r="O1642" i="2" s="1"/>
  <c r="L1643" i="2"/>
  <c r="O1643" i="2" s="1"/>
  <c r="L1644" i="2"/>
  <c r="O1644" i="2" s="1"/>
  <c r="L1645" i="2"/>
  <c r="O1645" i="2" s="1"/>
  <c r="L1646" i="2"/>
  <c r="O1646" i="2" s="1"/>
  <c r="L1647" i="2"/>
  <c r="O1647" i="2" s="1"/>
  <c r="L1648" i="2"/>
  <c r="O1648" i="2" s="1"/>
  <c r="L1649" i="2"/>
  <c r="O1649" i="2" s="1"/>
  <c r="L1650" i="2"/>
  <c r="O1650" i="2" s="1"/>
  <c r="L1651" i="2"/>
  <c r="O1651" i="2" s="1"/>
  <c r="L1652" i="2"/>
  <c r="O1652" i="2" s="1"/>
  <c r="L1653" i="2"/>
  <c r="O1653" i="2" s="1"/>
  <c r="L1654" i="2"/>
  <c r="O1654" i="2" s="1"/>
  <c r="L1655" i="2"/>
  <c r="O1655" i="2" s="1"/>
  <c r="L1656" i="2"/>
  <c r="O1656" i="2" s="1"/>
  <c r="L1657" i="2"/>
  <c r="O1657" i="2" s="1"/>
  <c r="L1658" i="2"/>
  <c r="O1658" i="2" s="1"/>
  <c r="L1659" i="2"/>
  <c r="O1659" i="2" s="1"/>
  <c r="L1660" i="2"/>
  <c r="O1660" i="2" s="1"/>
  <c r="L1661" i="2"/>
  <c r="O1661" i="2" s="1"/>
  <c r="L1662" i="2"/>
  <c r="O1662" i="2" s="1"/>
  <c r="L1663" i="2"/>
  <c r="O1663" i="2" s="1"/>
  <c r="L1664" i="2"/>
  <c r="O1664" i="2" s="1"/>
  <c r="L1665" i="2"/>
  <c r="O1665" i="2" s="1"/>
  <c r="L1666" i="2"/>
  <c r="O1666" i="2" s="1"/>
  <c r="L1667" i="2"/>
  <c r="O1667" i="2" s="1"/>
  <c r="L1668" i="2"/>
  <c r="O1668" i="2" s="1"/>
  <c r="L1669" i="2"/>
  <c r="O1669" i="2" s="1"/>
  <c r="L1670" i="2"/>
  <c r="O1670" i="2" s="1"/>
  <c r="L1671" i="2"/>
  <c r="O1671" i="2" s="1"/>
  <c r="L1672" i="2"/>
  <c r="O1672" i="2" s="1"/>
  <c r="L1673" i="2"/>
  <c r="O1673" i="2" s="1"/>
  <c r="L1674" i="2"/>
  <c r="O1674" i="2" s="1"/>
  <c r="L1675" i="2"/>
  <c r="O1675" i="2" s="1"/>
  <c r="L1676" i="2"/>
  <c r="O1676" i="2" s="1"/>
  <c r="L1677" i="2"/>
  <c r="O1677" i="2" s="1"/>
  <c r="L1678" i="2"/>
  <c r="O1678" i="2" s="1"/>
  <c r="L1679" i="2"/>
  <c r="O1679" i="2" s="1"/>
  <c r="L1680" i="2"/>
  <c r="O1680" i="2" s="1"/>
  <c r="L1681" i="2"/>
  <c r="O1681" i="2" s="1"/>
  <c r="L1682" i="2"/>
  <c r="O1682" i="2" s="1"/>
  <c r="L1683" i="2"/>
  <c r="O1683" i="2" s="1"/>
  <c r="L1684" i="2"/>
  <c r="O1684" i="2" s="1"/>
  <c r="L1685" i="2"/>
  <c r="O1685" i="2" s="1"/>
  <c r="L1686" i="2"/>
  <c r="O1686" i="2" s="1"/>
  <c r="L1687" i="2"/>
  <c r="O1687" i="2" s="1"/>
  <c r="L1688" i="2"/>
  <c r="O1688" i="2" s="1"/>
  <c r="L1689" i="2"/>
  <c r="O1689" i="2" s="1"/>
  <c r="L1690" i="2"/>
  <c r="O1690" i="2" s="1"/>
  <c r="L1691" i="2"/>
  <c r="O1691" i="2" s="1"/>
  <c r="L1692" i="2"/>
  <c r="O1692" i="2" s="1"/>
  <c r="L1693" i="2"/>
  <c r="O1693" i="2" s="1"/>
  <c r="L1694" i="2"/>
  <c r="O1694" i="2" s="1"/>
  <c r="L1695" i="2"/>
  <c r="O1695" i="2" s="1"/>
  <c r="L1696" i="2"/>
  <c r="O1696" i="2" s="1"/>
  <c r="L1697" i="2"/>
  <c r="O1697" i="2" s="1"/>
  <c r="L1698" i="2"/>
  <c r="O1698" i="2" s="1"/>
  <c r="L1699" i="2"/>
  <c r="O1699" i="2" s="1"/>
  <c r="L1700" i="2"/>
  <c r="O1700" i="2" s="1"/>
  <c r="L1701" i="2"/>
  <c r="O1701" i="2" s="1"/>
  <c r="L1702" i="2"/>
  <c r="O1702" i="2" s="1"/>
  <c r="L1703" i="2"/>
  <c r="O1703" i="2" s="1"/>
  <c r="L1704" i="2"/>
  <c r="O1704" i="2" s="1"/>
  <c r="L1705" i="2"/>
  <c r="O1705" i="2" s="1"/>
  <c r="L1706" i="2"/>
  <c r="O1706" i="2" s="1"/>
  <c r="L1707" i="2"/>
  <c r="O1707" i="2" s="1"/>
  <c r="L1708" i="2"/>
  <c r="O1708" i="2" s="1"/>
  <c r="L1709" i="2"/>
  <c r="O1709" i="2" s="1"/>
  <c r="L1710" i="2"/>
  <c r="O1710" i="2" s="1"/>
  <c r="L1711" i="2"/>
  <c r="O1711" i="2" s="1"/>
  <c r="L1712" i="2"/>
  <c r="O1712" i="2" s="1"/>
  <c r="L1713" i="2"/>
  <c r="O1713" i="2" s="1"/>
  <c r="L1714" i="2"/>
  <c r="O1714" i="2" s="1"/>
  <c r="L1715" i="2"/>
  <c r="O1715" i="2" s="1"/>
  <c r="L1716" i="2"/>
  <c r="O1716" i="2" s="1"/>
  <c r="L1717" i="2"/>
  <c r="O1717" i="2" s="1"/>
  <c r="L1718" i="2"/>
  <c r="O1718" i="2" s="1"/>
  <c r="L1719" i="2"/>
  <c r="O1719" i="2" s="1"/>
  <c r="L1720" i="2"/>
  <c r="O1720" i="2" s="1"/>
  <c r="L1721" i="2"/>
  <c r="O1721" i="2" s="1"/>
  <c r="L1722" i="2"/>
  <c r="O1722" i="2" s="1"/>
  <c r="L1723" i="2"/>
  <c r="O1723" i="2" s="1"/>
  <c r="L1724" i="2"/>
  <c r="O1724" i="2" s="1"/>
  <c r="L1725" i="2"/>
  <c r="O1725" i="2" s="1"/>
  <c r="L1726" i="2"/>
  <c r="O1726" i="2" s="1"/>
  <c r="L1727" i="2"/>
  <c r="O1727" i="2" s="1"/>
  <c r="L1728" i="2"/>
  <c r="O1728" i="2" s="1"/>
  <c r="L1729" i="2"/>
  <c r="O1729" i="2" s="1"/>
  <c r="L1730" i="2"/>
  <c r="O1730" i="2" s="1"/>
  <c r="L1731" i="2"/>
  <c r="O1731" i="2" s="1"/>
  <c r="L1732" i="2"/>
  <c r="O1732" i="2" s="1"/>
  <c r="L1733" i="2"/>
  <c r="O1733" i="2" s="1"/>
  <c r="L1734" i="2"/>
  <c r="O1734" i="2" s="1"/>
  <c r="L1735" i="2"/>
  <c r="O1735" i="2" s="1"/>
  <c r="L1736" i="2"/>
  <c r="O1736" i="2" s="1"/>
  <c r="L1737" i="2"/>
  <c r="O1737" i="2" s="1"/>
  <c r="L1738" i="2"/>
  <c r="O1738" i="2" s="1"/>
  <c r="L1739" i="2"/>
  <c r="O1739" i="2" s="1"/>
  <c r="L1740" i="2"/>
  <c r="O1740" i="2" s="1"/>
  <c r="L1741" i="2"/>
  <c r="O1741" i="2" s="1"/>
  <c r="L1742" i="2"/>
  <c r="O1742" i="2" s="1"/>
  <c r="L1743" i="2"/>
  <c r="O1743" i="2" s="1"/>
  <c r="L1744" i="2"/>
  <c r="O1744" i="2" s="1"/>
  <c r="L1745" i="2"/>
  <c r="O1745" i="2" s="1"/>
  <c r="L1746" i="2"/>
  <c r="O1746" i="2" s="1"/>
  <c r="L1747" i="2"/>
  <c r="O1747" i="2" s="1"/>
  <c r="L1748" i="2"/>
  <c r="O1748" i="2" s="1"/>
  <c r="L1749" i="2"/>
  <c r="O1749" i="2" s="1"/>
  <c r="L1750" i="2"/>
  <c r="O1750" i="2" s="1"/>
  <c r="L1751" i="2"/>
  <c r="O1751" i="2" s="1"/>
  <c r="L1752" i="2"/>
  <c r="O1752" i="2" s="1"/>
  <c r="L1753" i="2"/>
  <c r="O1753" i="2" s="1"/>
  <c r="L1754" i="2"/>
  <c r="O1754" i="2" s="1"/>
  <c r="L1755" i="2"/>
  <c r="O1755" i="2" s="1"/>
  <c r="L1756" i="2"/>
  <c r="O1756" i="2" s="1"/>
  <c r="L1757" i="2"/>
  <c r="O1757" i="2" s="1"/>
  <c r="L1758" i="2"/>
  <c r="O1758" i="2" s="1"/>
  <c r="L1759" i="2"/>
  <c r="O1759" i="2" s="1"/>
  <c r="L1760" i="2"/>
  <c r="O1760" i="2" s="1"/>
  <c r="L1761" i="2"/>
  <c r="O1761" i="2" s="1"/>
  <c r="L1762" i="2"/>
  <c r="O1762" i="2" s="1"/>
  <c r="L1763" i="2"/>
  <c r="O1763" i="2" s="1"/>
  <c r="L1764" i="2"/>
  <c r="O1764" i="2" s="1"/>
  <c r="L1765" i="2"/>
  <c r="O1765" i="2" s="1"/>
  <c r="L1766" i="2"/>
  <c r="O1766" i="2" s="1"/>
  <c r="L1767" i="2"/>
  <c r="O1767" i="2" s="1"/>
  <c r="L1768" i="2"/>
  <c r="O1768" i="2" s="1"/>
  <c r="L1769" i="2"/>
  <c r="O1769" i="2" s="1"/>
  <c r="L1770" i="2"/>
  <c r="O1770" i="2" s="1"/>
  <c r="L1771" i="2"/>
  <c r="O1771" i="2" s="1"/>
  <c r="L1772" i="2"/>
  <c r="O1772" i="2" s="1"/>
  <c r="L1773" i="2"/>
  <c r="O1773" i="2" s="1"/>
  <c r="L1774" i="2"/>
  <c r="O1774" i="2" s="1"/>
  <c r="L1775" i="2"/>
  <c r="O1775" i="2" s="1"/>
  <c r="L1776" i="2"/>
  <c r="O1776" i="2" s="1"/>
  <c r="L1777" i="2"/>
  <c r="O1777" i="2" s="1"/>
  <c r="L1778" i="2"/>
  <c r="O1778" i="2" s="1"/>
  <c r="L1779" i="2"/>
  <c r="O1779" i="2" s="1"/>
  <c r="L1780" i="2"/>
  <c r="O1780" i="2" s="1"/>
  <c r="L1781" i="2"/>
  <c r="O1781" i="2" s="1"/>
  <c r="L1782" i="2"/>
  <c r="O1782" i="2" s="1"/>
  <c r="L1783" i="2"/>
  <c r="O1783" i="2" s="1"/>
  <c r="L1784" i="2"/>
  <c r="O1784" i="2" s="1"/>
  <c r="L1785" i="2"/>
  <c r="O1785" i="2" s="1"/>
  <c r="L1786" i="2"/>
  <c r="O1786" i="2" s="1"/>
  <c r="L1787" i="2"/>
  <c r="O1787" i="2" s="1"/>
  <c r="L1788" i="2"/>
  <c r="O1788" i="2" s="1"/>
  <c r="L1789" i="2"/>
  <c r="O1789" i="2" s="1"/>
  <c r="L1790" i="2"/>
  <c r="O1790" i="2" s="1"/>
  <c r="L1791" i="2"/>
  <c r="O1791" i="2" s="1"/>
  <c r="L1792" i="2"/>
  <c r="O1792" i="2" s="1"/>
  <c r="L1793" i="2"/>
  <c r="O1793" i="2" s="1"/>
  <c r="L1794" i="2"/>
  <c r="O1794" i="2" s="1"/>
  <c r="L1795" i="2"/>
  <c r="O1795" i="2" s="1"/>
  <c r="L1796" i="2"/>
  <c r="O1796" i="2" s="1"/>
  <c r="L1797" i="2"/>
  <c r="O1797" i="2" s="1"/>
  <c r="L1798" i="2"/>
  <c r="O1798" i="2" s="1"/>
  <c r="L1799" i="2"/>
  <c r="O1799" i="2" s="1"/>
  <c r="L1800" i="2"/>
  <c r="O1800" i="2" s="1"/>
  <c r="L1801" i="2"/>
  <c r="O1801" i="2" s="1"/>
  <c r="L1802" i="2"/>
  <c r="O1802" i="2" s="1"/>
  <c r="L1803" i="2"/>
  <c r="O1803" i="2" s="1"/>
  <c r="L1804" i="2"/>
  <c r="O1804" i="2" s="1"/>
  <c r="L1805" i="2"/>
  <c r="O1805" i="2" s="1"/>
  <c r="L1806" i="2"/>
  <c r="O1806" i="2" s="1"/>
  <c r="L1807" i="2"/>
  <c r="O1807" i="2" s="1"/>
  <c r="L1808" i="2"/>
  <c r="O1808" i="2" s="1"/>
  <c r="L1809" i="2"/>
  <c r="O1809" i="2" s="1"/>
  <c r="L1810" i="2"/>
  <c r="O1810" i="2" s="1"/>
  <c r="L1811" i="2"/>
  <c r="O1811" i="2" s="1"/>
  <c r="L1812" i="2"/>
  <c r="O1812" i="2" s="1"/>
  <c r="L1813" i="2"/>
  <c r="O1813" i="2" s="1"/>
  <c r="L1814" i="2"/>
  <c r="O1814" i="2" s="1"/>
  <c r="L1815" i="2"/>
  <c r="O1815" i="2" s="1"/>
  <c r="L1816" i="2"/>
  <c r="O1816" i="2" s="1"/>
  <c r="L1817" i="2"/>
  <c r="O1817" i="2" s="1"/>
  <c r="L1818" i="2"/>
  <c r="O1818" i="2" s="1"/>
  <c r="L1819" i="2"/>
  <c r="O1819" i="2" s="1"/>
  <c r="L1820" i="2"/>
  <c r="O1820" i="2" s="1"/>
  <c r="L1821" i="2"/>
  <c r="O1821" i="2" s="1"/>
  <c r="L1822" i="2"/>
  <c r="O1822" i="2" s="1"/>
  <c r="L1823" i="2"/>
  <c r="O1823" i="2" s="1"/>
  <c r="L1824" i="2"/>
  <c r="O1824" i="2" s="1"/>
  <c r="L1825" i="2"/>
  <c r="O1825" i="2" s="1"/>
  <c r="L1826" i="2"/>
  <c r="O1826" i="2" s="1"/>
  <c r="L1827" i="2"/>
  <c r="O1827" i="2" s="1"/>
  <c r="L1828" i="2"/>
  <c r="O1828" i="2" s="1"/>
  <c r="L1829" i="2"/>
  <c r="O1829" i="2" s="1"/>
  <c r="L1830" i="2"/>
  <c r="O1830" i="2" s="1"/>
  <c r="L1831" i="2"/>
  <c r="O1831" i="2" s="1"/>
  <c r="L1832" i="2"/>
  <c r="O1832" i="2" s="1"/>
  <c r="L1833" i="2"/>
  <c r="O1833" i="2" s="1"/>
  <c r="L1834" i="2"/>
  <c r="O1834" i="2" s="1"/>
  <c r="L1835" i="2"/>
  <c r="O1835" i="2" s="1"/>
  <c r="L1836" i="2"/>
  <c r="O1836" i="2" s="1"/>
  <c r="L1837" i="2"/>
  <c r="O1837" i="2" s="1"/>
  <c r="L1838" i="2"/>
  <c r="O1838" i="2" s="1"/>
  <c r="L1839" i="2"/>
  <c r="O1839" i="2" s="1"/>
  <c r="L1840" i="2"/>
  <c r="O1840" i="2" s="1"/>
  <c r="L1841" i="2"/>
  <c r="O1841" i="2" s="1"/>
  <c r="L1842" i="2"/>
  <c r="O1842" i="2" s="1"/>
  <c r="L1843" i="2"/>
  <c r="O1843" i="2" s="1"/>
  <c r="L1844" i="2"/>
  <c r="O1844" i="2" s="1"/>
  <c r="L1845" i="2"/>
  <c r="O1845" i="2" s="1"/>
  <c r="L1846" i="2"/>
  <c r="O1846" i="2" s="1"/>
  <c r="L1847" i="2"/>
  <c r="O1847" i="2" s="1"/>
  <c r="L1848" i="2"/>
  <c r="O1848" i="2" s="1"/>
  <c r="L1849" i="2"/>
  <c r="O1849" i="2" s="1"/>
  <c r="L1850" i="2"/>
  <c r="O1850" i="2" s="1"/>
  <c r="L1851" i="2"/>
  <c r="O1851" i="2" s="1"/>
  <c r="L1852" i="2"/>
  <c r="O1852" i="2" s="1"/>
  <c r="L1853" i="2"/>
  <c r="O1853" i="2" s="1"/>
  <c r="L1854" i="2"/>
  <c r="O1854" i="2" s="1"/>
  <c r="L1855" i="2"/>
  <c r="O1855" i="2" s="1"/>
  <c r="L1856" i="2"/>
  <c r="O1856" i="2" s="1"/>
  <c r="L1857" i="2"/>
  <c r="O1857" i="2" s="1"/>
  <c r="L1858" i="2"/>
  <c r="O1858" i="2" s="1"/>
  <c r="L1859" i="2"/>
  <c r="O1859" i="2" s="1"/>
  <c r="L1860" i="2"/>
  <c r="O1860" i="2" s="1"/>
  <c r="L1861" i="2"/>
  <c r="O1861" i="2" s="1"/>
  <c r="L1862" i="2"/>
  <c r="O1862" i="2" s="1"/>
  <c r="L1863" i="2"/>
  <c r="O1863" i="2" s="1"/>
  <c r="L1864" i="2"/>
  <c r="O1864" i="2" s="1"/>
  <c r="L1865" i="2"/>
  <c r="O1865" i="2" s="1"/>
  <c r="L1866" i="2"/>
  <c r="O1866" i="2" s="1"/>
  <c r="L1867" i="2"/>
  <c r="O1867" i="2" s="1"/>
  <c r="L1868" i="2"/>
  <c r="O1868" i="2" s="1"/>
  <c r="L1869" i="2"/>
  <c r="O1869" i="2" s="1"/>
  <c r="L1870" i="2"/>
  <c r="O1870" i="2" s="1"/>
  <c r="L1871" i="2"/>
  <c r="O1871" i="2" s="1"/>
  <c r="L1872" i="2"/>
  <c r="O1872" i="2" s="1"/>
  <c r="L1873" i="2"/>
  <c r="O1873" i="2" s="1"/>
  <c r="L1874" i="2"/>
  <c r="O1874" i="2" s="1"/>
  <c r="L1875" i="2"/>
  <c r="O1875" i="2" s="1"/>
  <c r="L1876" i="2"/>
  <c r="O1876" i="2" s="1"/>
  <c r="L1877" i="2"/>
  <c r="O1877" i="2" s="1"/>
  <c r="L1878" i="2"/>
  <c r="O1878" i="2" s="1"/>
  <c r="L1879" i="2"/>
  <c r="O1879" i="2" s="1"/>
  <c r="L1880" i="2"/>
  <c r="O1880" i="2" s="1"/>
  <c r="L1881" i="2"/>
  <c r="O1881" i="2" s="1"/>
  <c r="L1882" i="2"/>
  <c r="O1882" i="2" s="1"/>
  <c r="L1883" i="2"/>
  <c r="O1883" i="2" s="1"/>
  <c r="L1884" i="2"/>
  <c r="O1884" i="2" s="1"/>
  <c r="L1885" i="2"/>
  <c r="O1885" i="2" s="1"/>
  <c r="L1886" i="2"/>
  <c r="O1886" i="2" s="1"/>
  <c r="L1887" i="2"/>
  <c r="O1887" i="2" s="1"/>
  <c r="L1888" i="2"/>
  <c r="O1888" i="2" s="1"/>
  <c r="L1889" i="2"/>
  <c r="O1889" i="2" s="1"/>
  <c r="L1890" i="2"/>
  <c r="O1890" i="2" s="1"/>
  <c r="L1891" i="2"/>
  <c r="O1891" i="2" s="1"/>
  <c r="L1892" i="2"/>
  <c r="O1892" i="2" s="1"/>
  <c r="L1893" i="2"/>
  <c r="O1893" i="2" s="1"/>
  <c r="L1894" i="2"/>
  <c r="O1894" i="2" s="1"/>
  <c r="L1895" i="2"/>
  <c r="O1895" i="2" s="1"/>
  <c r="L1896" i="2"/>
  <c r="O1896" i="2" s="1"/>
  <c r="L1897" i="2"/>
  <c r="O1897" i="2" s="1"/>
  <c r="L1898" i="2"/>
  <c r="O1898" i="2" s="1"/>
  <c r="L1899" i="2"/>
  <c r="O1899" i="2" s="1"/>
  <c r="L1900" i="2"/>
  <c r="O1900" i="2" s="1"/>
  <c r="L1901" i="2"/>
  <c r="O1901" i="2" s="1"/>
  <c r="L1902" i="2"/>
  <c r="O1902" i="2" s="1"/>
  <c r="L1903" i="2"/>
  <c r="O1903" i="2" s="1"/>
  <c r="L1904" i="2"/>
  <c r="O1904" i="2" s="1"/>
  <c r="L1905" i="2"/>
  <c r="O1905" i="2" s="1"/>
  <c r="L1906" i="2"/>
  <c r="O1906" i="2" s="1"/>
  <c r="L1907" i="2"/>
  <c r="O1907" i="2" s="1"/>
  <c r="L1908" i="2"/>
  <c r="O1908" i="2" s="1"/>
  <c r="L1909" i="2"/>
  <c r="O1909" i="2" s="1"/>
  <c r="L1910" i="2"/>
  <c r="O1910" i="2" s="1"/>
  <c r="L1911" i="2"/>
  <c r="O1911" i="2" s="1"/>
  <c r="L1912" i="2"/>
  <c r="O1912" i="2" s="1"/>
  <c r="L1913" i="2"/>
  <c r="O1913" i="2" s="1"/>
  <c r="L1914" i="2"/>
  <c r="O1914" i="2" s="1"/>
  <c r="L1915" i="2"/>
  <c r="O1915" i="2" s="1"/>
  <c r="L1916" i="2"/>
  <c r="O1916" i="2" s="1"/>
  <c r="L1917" i="2"/>
  <c r="O1917" i="2" s="1"/>
  <c r="L1918" i="2"/>
  <c r="O1918" i="2" s="1"/>
  <c r="L1919" i="2"/>
  <c r="O1919" i="2" s="1"/>
  <c r="L1920" i="2"/>
  <c r="O1920" i="2" s="1"/>
  <c r="L1921" i="2"/>
  <c r="O1921" i="2" s="1"/>
  <c r="L1922" i="2"/>
  <c r="O1922" i="2" s="1"/>
  <c r="L1923" i="2"/>
  <c r="O1923" i="2" s="1"/>
  <c r="L1924" i="2"/>
  <c r="O1924" i="2" s="1"/>
  <c r="L1925" i="2"/>
  <c r="O1925" i="2" s="1"/>
  <c r="L1926" i="2"/>
  <c r="O1926" i="2" s="1"/>
  <c r="L1927" i="2"/>
  <c r="O1927" i="2" s="1"/>
  <c r="L1928" i="2"/>
  <c r="O1928" i="2" s="1"/>
  <c r="L1929" i="2"/>
  <c r="O1929" i="2" s="1"/>
  <c r="L1930" i="2"/>
  <c r="O1930" i="2" s="1"/>
  <c r="L1931" i="2"/>
  <c r="O1931" i="2" s="1"/>
  <c r="L1932" i="2"/>
  <c r="O1932" i="2" s="1"/>
  <c r="L1933" i="2"/>
  <c r="O1933" i="2" s="1"/>
  <c r="L1934" i="2"/>
  <c r="O1934" i="2" s="1"/>
  <c r="L1935" i="2"/>
  <c r="O1935" i="2" s="1"/>
  <c r="L1936" i="2"/>
  <c r="O1936" i="2" s="1"/>
  <c r="L1937" i="2"/>
  <c r="O1937" i="2" s="1"/>
  <c r="L1938" i="2"/>
  <c r="O1938" i="2" s="1"/>
  <c r="L1939" i="2"/>
  <c r="O1939" i="2" s="1"/>
  <c r="L1940" i="2"/>
  <c r="O1940" i="2" s="1"/>
  <c r="L1941" i="2"/>
  <c r="O1941" i="2" s="1"/>
  <c r="L1942" i="2"/>
  <c r="O1942" i="2" s="1"/>
  <c r="L1943" i="2"/>
  <c r="O1943" i="2" s="1"/>
  <c r="L1944" i="2"/>
  <c r="O1944" i="2" s="1"/>
  <c r="L1945" i="2"/>
  <c r="O1945" i="2" s="1"/>
  <c r="L1946" i="2"/>
  <c r="O1946" i="2" s="1"/>
  <c r="L1947" i="2"/>
  <c r="O1947" i="2" s="1"/>
  <c r="L1948" i="2"/>
  <c r="O1948" i="2" s="1"/>
  <c r="L1949" i="2"/>
  <c r="O1949" i="2" s="1"/>
  <c r="L1950" i="2"/>
  <c r="O1950" i="2" s="1"/>
  <c r="L1951" i="2"/>
  <c r="O1951" i="2" s="1"/>
  <c r="L1952" i="2"/>
  <c r="O1952" i="2" s="1"/>
  <c r="L1953" i="2"/>
  <c r="O1953" i="2" s="1"/>
  <c r="L1954" i="2"/>
  <c r="O1954" i="2" s="1"/>
  <c r="L1955" i="2"/>
  <c r="O1955" i="2" s="1"/>
  <c r="L1956" i="2"/>
  <c r="O1956" i="2" s="1"/>
  <c r="L1957" i="2"/>
  <c r="O1957" i="2" s="1"/>
  <c r="L1958" i="2"/>
  <c r="O1958" i="2" s="1"/>
  <c r="L1959" i="2"/>
  <c r="O1959" i="2" s="1"/>
  <c r="L1960" i="2"/>
  <c r="O1960" i="2" s="1"/>
  <c r="L1961" i="2"/>
  <c r="O1961" i="2" s="1"/>
  <c r="L1962" i="2"/>
  <c r="O1962" i="2" s="1"/>
  <c r="L1963" i="2"/>
  <c r="O1963" i="2" s="1"/>
  <c r="L1964" i="2"/>
  <c r="O1964" i="2" s="1"/>
  <c r="L1965" i="2"/>
  <c r="O1965" i="2" s="1"/>
  <c r="L1966" i="2"/>
  <c r="O1966" i="2" s="1"/>
  <c r="L1967" i="2"/>
  <c r="O1967" i="2" s="1"/>
  <c r="L1968" i="2"/>
  <c r="O1968" i="2" s="1"/>
  <c r="L1969" i="2"/>
  <c r="O1969" i="2" s="1"/>
  <c r="L1970" i="2"/>
  <c r="O1970" i="2" s="1"/>
  <c r="L1971" i="2"/>
  <c r="O1971" i="2" s="1"/>
  <c r="L1972" i="2"/>
  <c r="O1972" i="2" s="1"/>
  <c r="L1973" i="2"/>
  <c r="O1973" i="2" s="1"/>
  <c r="L1974" i="2"/>
  <c r="O1974" i="2" s="1"/>
  <c r="L1975" i="2"/>
  <c r="O1975" i="2" s="1"/>
  <c r="L1976" i="2"/>
  <c r="O1976" i="2" s="1"/>
  <c r="L1977" i="2"/>
  <c r="O1977" i="2" s="1"/>
  <c r="L1978" i="2"/>
  <c r="O1978" i="2" s="1"/>
  <c r="L1979" i="2"/>
  <c r="O1979" i="2" s="1"/>
  <c r="L1980" i="2"/>
  <c r="O1980" i="2" s="1"/>
  <c r="L1981" i="2"/>
  <c r="O1981" i="2" s="1"/>
  <c r="L1982" i="2"/>
  <c r="O1982" i="2" s="1"/>
  <c r="L1983" i="2"/>
  <c r="O1983" i="2" s="1"/>
  <c r="L1984" i="2"/>
  <c r="O1984" i="2" s="1"/>
  <c r="L1985" i="2"/>
  <c r="O1985" i="2" s="1"/>
  <c r="L1986" i="2"/>
  <c r="O1986" i="2" s="1"/>
  <c r="L1987" i="2"/>
  <c r="O1987" i="2" s="1"/>
  <c r="L1988" i="2"/>
  <c r="O1988" i="2" s="1"/>
  <c r="L1989" i="2"/>
  <c r="O1989" i="2" s="1"/>
  <c r="L1990" i="2"/>
  <c r="O1990" i="2" s="1"/>
  <c r="L1991" i="2"/>
  <c r="O1991" i="2" s="1"/>
  <c r="L1992" i="2"/>
  <c r="O1992" i="2" s="1"/>
  <c r="L1993" i="2"/>
  <c r="O1993" i="2" s="1"/>
  <c r="L1994" i="2"/>
  <c r="O1994" i="2" s="1"/>
  <c r="L1995" i="2"/>
  <c r="O1995" i="2" s="1"/>
  <c r="L1996" i="2"/>
  <c r="O1996" i="2" s="1"/>
  <c r="L1997" i="2"/>
  <c r="O1997" i="2" s="1"/>
  <c r="L1998" i="2"/>
  <c r="O1998" i="2" s="1"/>
  <c r="L1999" i="2"/>
  <c r="O1999" i="2" s="1"/>
  <c r="L2000" i="2"/>
  <c r="O2000" i="2" s="1"/>
  <c r="L2001" i="2"/>
  <c r="O2001" i="2" s="1"/>
  <c r="L2002" i="2"/>
  <c r="O2002" i="2" s="1"/>
  <c r="L2003" i="2"/>
  <c r="O2003" i="2" s="1"/>
  <c r="L2004" i="2"/>
  <c r="O2004" i="2" s="1"/>
  <c r="L2005" i="2"/>
  <c r="O2005" i="2" s="1"/>
  <c r="L2006" i="2"/>
  <c r="O2006" i="2" s="1"/>
  <c r="L2007" i="2"/>
  <c r="O2007" i="2" s="1"/>
  <c r="L2008" i="2"/>
  <c r="O2008" i="2" s="1"/>
  <c r="L2009" i="2"/>
  <c r="O2009" i="2" s="1"/>
  <c r="L2010" i="2"/>
  <c r="O2010" i="2" s="1"/>
  <c r="L2011" i="2"/>
  <c r="O2011" i="2" s="1"/>
  <c r="L2012" i="2"/>
  <c r="O2012" i="2" s="1"/>
  <c r="L2013" i="2"/>
  <c r="O2013" i="2" s="1"/>
  <c r="L2014" i="2"/>
  <c r="O2014" i="2" s="1"/>
  <c r="L2015" i="2"/>
  <c r="O2015" i="2" s="1"/>
  <c r="L2016" i="2"/>
  <c r="O2016" i="2" s="1"/>
  <c r="L2017" i="2"/>
  <c r="O2017" i="2" s="1"/>
  <c r="L2018" i="2"/>
  <c r="O2018" i="2" s="1"/>
  <c r="L2019" i="2"/>
  <c r="O2019" i="2" s="1"/>
  <c r="L2020" i="2"/>
  <c r="O2020" i="2" s="1"/>
  <c r="L2021" i="2"/>
  <c r="O2021" i="2" s="1"/>
  <c r="L2022" i="2"/>
  <c r="O2022" i="2" s="1"/>
  <c r="L2023" i="2"/>
  <c r="O2023" i="2" s="1"/>
  <c r="L2024" i="2"/>
  <c r="O2024" i="2" s="1"/>
  <c r="L2025" i="2"/>
  <c r="O2025" i="2" s="1"/>
  <c r="L2026" i="2"/>
  <c r="O2026" i="2" s="1"/>
  <c r="L2027" i="2"/>
  <c r="O2027" i="2" s="1"/>
  <c r="L2028" i="2"/>
  <c r="O2028" i="2" s="1"/>
  <c r="L2029" i="2"/>
  <c r="O2029" i="2" s="1"/>
  <c r="L2030" i="2"/>
  <c r="O2030" i="2" s="1"/>
  <c r="L2031" i="2"/>
  <c r="O2031" i="2" s="1"/>
  <c r="L2032" i="2"/>
  <c r="O2032" i="2" s="1"/>
  <c r="L2033" i="2"/>
  <c r="O2033" i="2" s="1"/>
  <c r="L2034" i="2"/>
  <c r="O2034" i="2" s="1"/>
  <c r="L2035" i="2"/>
  <c r="O2035" i="2" s="1"/>
  <c r="L2036" i="2"/>
  <c r="O2036" i="2" s="1"/>
  <c r="L2037" i="2"/>
  <c r="O2037" i="2" s="1"/>
  <c r="L2038" i="2"/>
  <c r="O2038" i="2" s="1"/>
  <c r="L2039" i="2"/>
  <c r="O2039" i="2" s="1"/>
  <c r="L2040" i="2"/>
  <c r="O2040" i="2" s="1"/>
  <c r="L2041" i="2"/>
  <c r="O2041" i="2" s="1"/>
  <c r="L2042" i="2"/>
  <c r="O2042" i="2" s="1"/>
  <c r="L2043" i="2"/>
  <c r="O2043" i="2" s="1"/>
  <c r="L2044" i="2"/>
  <c r="O2044" i="2" s="1"/>
  <c r="L2045" i="2"/>
  <c r="O2045" i="2" s="1"/>
  <c r="L2046" i="2"/>
  <c r="O2046" i="2" s="1"/>
  <c r="L2047" i="2"/>
  <c r="O2047" i="2" s="1"/>
  <c r="L2048" i="2"/>
  <c r="O2048" i="2" s="1"/>
  <c r="L2049" i="2"/>
  <c r="O2049" i="2" s="1"/>
  <c r="L2050" i="2"/>
  <c r="O2050" i="2" s="1"/>
  <c r="L2051" i="2"/>
  <c r="O2051" i="2" s="1"/>
  <c r="L2052" i="2"/>
  <c r="O2052" i="2" s="1"/>
  <c r="L2053" i="2"/>
  <c r="O2053" i="2" s="1"/>
  <c r="L2054" i="2"/>
  <c r="O2054" i="2" s="1"/>
  <c r="L2055" i="2"/>
  <c r="O2055" i="2" s="1"/>
  <c r="L2056" i="2"/>
  <c r="O2056" i="2" s="1"/>
  <c r="L2057" i="2"/>
  <c r="O2057" i="2" s="1"/>
  <c r="L2058" i="2"/>
  <c r="O2058" i="2" s="1"/>
  <c r="L2059" i="2"/>
  <c r="O2059" i="2" s="1"/>
  <c r="L2060" i="2"/>
  <c r="O2060" i="2" s="1"/>
  <c r="L2061" i="2"/>
  <c r="O2061" i="2" s="1"/>
  <c r="L2062" i="2"/>
  <c r="O2062" i="2" s="1"/>
  <c r="L2063" i="2"/>
  <c r="O2063" i="2" s="1"/>
  <c r="L2064" i="2"/>
  <c r="O2064" i="2" s="1"/>
  <c r="L2065" i="2"/>
  <c r="O2065" i="2" s="1"/>
  <c r="L2066" i="2"/>
  <c r="O2066" i="2" s="1"/>
  <c r="L2067" i="2"/>
  <c r="O2067" i="2" s="1"/>
  <c r="L2068" i="2"/>
  <c r="O2068" i="2" s="1"/>
  <c r="L2069" i="2"/>
  <c r="O2069" i="2" s="1"/>
  <c r="L2070" i="2"/>
  <c r="O2070" i="2" s="1"/>
  <c r="L2071" i="2"/>
  <c r="O2071" i="2" s="1"/>
  <c r="L2072" i="2"/>
  <c r="O2072" i="2" s="1"/>
  <c r="L2073" i="2"/>
  <c r="O2073" i="2" s="1"/>
  <c r="L2074" i="2"/>
  <c r="O2074" i="2" s="1"/>
  <c r="L2075" i="2"/>
  <c r="O2075" i="2" s="1"/>
  <c r="L2076" i="2"/>
  <c r="O2076" i="2" s="1"/>
  <c r="L2077" i="2"/>
  <c r="O2077" i="2" s="1"/>
  <c r="L2078" i="2"/>
  <c r="O2078" i="2" s="1"/>
  <c r="L2079" i="2"/>
  <c r="O2079" i="2" s="1"/>
  <c r="L2080" i="2"/>
  <c r="O2080" i="2" s="1"/>
  <c r="L2081" i="2"/>
  <c r="O2081" i="2" s="1"/>
  <c r="L2082" i="2"/>
  <c r="O2082" i="2" s="1"/>
  <c r="L2083" i="2"/>
  <c r="O2083" i="2" s="1"/>
  <c r="L2084" i="2"/>
  <c r="O2084" i="2" s="1"/>
  <c r="L2085" i="2"/>
  <c r="O2085" i="2" s="1"/>
  <c r="L2086" i="2"/>
  <c r="O2086" i="2" s="1"/>
  <c r="L2087" i="2"/>
  <c r="O2087" i="2" s="1"/>
  <c r="L2088" i="2"/>
  <c r="O2088" i="2" s="1"/>
  <c r="L2089" i="2"/>
  <c r="O2089" i="2" s="1"/>
  <c r="L2090" i="2"/>
  <c r="O2090" i="2" s="1"/>
  <c r="L2091" i="2"/>
  <c r="O2091" i="2" s="1"/>
  <c r="L2092" i="2"/>
  <c r="O2092" i="2" s="1"/>
  <c r="L2093" i="2"/>
  <c r="O2093" i="2" s="1"/>
  <c r="L2094" i="2"/>
  <c r="O2094" i="2" s="1"/>
  <c r="L2095" i="2"/>
  <c r="O2095" i="2" s="1"/>
  <c r="L2096" i="2"/>
  <c r="O2096" i="2" s="1"/>
  <c r="L2097" i="2"/>
  <c r="O2097" i="2" s="1"/>
  <c r="L2098" i="2"/>
  <c r="O2098" i="2" s="1"/>
  <c r="L2099" i="2"/>
  <c r="O2099" i="2" s="1"/>
  <c r="L2100" i="2"/>
  <c r="O2100" i="2" s="1"/>
  <c r="L2101" i="2"/>
  <c r="O2101" i="2" s="1"/>
  <c r="L2102" i="2"/>
  <c r="O2102" i="2" s="1"/>
  <c r="L2103" i="2"/>
  <c r="O2103" i="2" s="1"/>
  <c r="L2104" i="2"/>
  <c r="O2104" i="2" s="1"/>
  <c r="L2105" i="2"/>
  <c r="O2105" i="2" s="1"/>
  <c r="L2106" i="2"/>
  <c r="O2106" i="2" s="1"/>
  <c r="L2107" i="2"/>
  <c r="O2107" i="2" s="1"/>
  <c r="L2108" i="2"/>
  <c r="O2108" i="2" s="1"/>
  <c r="L2109" i="2"/>
  <c r="O2109" i="2" s="1"/>
  <c r="L2110" i="2"/>
  <c r="O2110" i="2" s="1"/>
  <c r="L2111" i="2"/>
  <c r="O2111" i="2" s="1"/>
  <c r="L2112" i="2"/>
  <c r="O2112" i="2" s="1"/>
  <c r="L2113" i="2"/>
  <c r="O2113" i="2" s="1"/>
  <c r="L2114" i="2"/>
  <c r="O2114" i="2" s="1"/>
  <c r="L2115" i="2"/>
  <c r="O2115" i="2" s="1"/>
  <c r="L2116" i="2"/>
  <c r="O2116" i="2" s="1"/>
  <c r="L2117" i="2"/>
  <c r="O2117" i="2" s="1"/>
  <c r="L2118" i="2"/>
  <c r="O2118" i="2" s="1"/>
  <c r="L2119" i="2"/>
  <c r="O2119" i="2" s="1"/>
  <c r="L2120" i="2"/>
  <c r="O2120" i="2" s="1"/>
  <c r="L2121" i="2"/>
  <c r="O2121" i="2" s="1"/>
  <c r="L2122" i="2"/>
  <c r="O2122" i="2" s="1"/>
  <c r="L2123" i="2"/>
  <c r="O2123" i="2" s="1"/>
  <c r="L2124" i="2"/>
  <c r="O2124" i="2" s="1"/>
  <c r="L2125" i="2"/>
  <c r="O2125" i="2" s="1"/>
  <c r="L2126" i="2"/>
  <c r="O2126" i="2" s="1"/>
  <c r="L2127" i="2"/>
  <c r="O2127" i="2" s="1"/>
  <c r="L2128" i="2"/>
  <c r="O2128" i="2" s="1"/>
  <c r="L2129" i="2"/>
  <c r="O2129" i="2" s="1"/>
  <c r="L2130" i="2"/>
  <c r="O2130" i="2" s="1"/>
  <c r="L2131" i="2"/>
  <c r="O2131" i="2" s="1"/>
  <c r="L2132" i="2"/>
  <c r="O2132" i="2" s="1"/>
  <c r="L2133" i="2"/>
  <c r="O2133" i="2" s="1"/>
  <c r="L2134" i="2"/>
  <c r="O2134" i="2" s="1"/>
  <c r="L2135" i="2"/>
  <c r="O2135" i="2" s="1"/>
  <c r="L2136" i="2"/>
  <c r="O2136" i="2" s="1"/>
  <c r="L2137" i="2"/>
  <c r="O2137" i="2" s="1"/>
  <c r="L2138" i="2"/>
  <c r="O2138" i="2" s="1"/>
  <c r="L2139" i="2"/>
  <c r="O2139" i="2" s="1"/>
  <c r="L2140" i="2"/>
  <c r="O2140" i="2" s="1"/>
  <c r="L2141" i="2"/>
  <c r="O2141" i="2" s="1"/>
  <c r="L2142" i="2"/>
  <c r="O2142" i="2" s="1"/>
  <c r="L2143" i="2"/>
  <c r="O2143" i="2" s="1"/>
  <c r="L2144" i="2"/>
  <c r="O2144" i="2" s="1"/>
  <c r="L2145" i="2"/>
  <c r="O2145" i="2" s="1"/>
  <c r="L2146" i="2"/>
  <c r="O2146" i="2" s="1"/>
  <c r="L2147" i="2"/>
  <c r="O2147" i="2" s="1"/>
  <c r="L2148" i="2"/>
  <c r="O2148" i="2" s="1"/>
  <c r="L2149" i="2"/>
  <c r="O2149" i="2" s="1"/>
  <c r="L2150" i="2"/>
  <c r="O2150" i="2" s="1"/>
  <c r="L2151" i="2"/>
  <c r="O2151" i="2" s="1"/>
  <c r="L2152" i="2"/>
  <c r="O2152" i="2" s="1"/>
  <c r="L2153" i="2"/>
  <c r="O2153" i="2" s="1"/>
  <c r="L2154" i="2"/>
  <c r="O2154" i="2" s="1"/>
  <c r="L2155" i="2"/>
  <c r="O2155" i="2" s="1"/>
  <c r="L2156" i="2"/>
  <c r="O2156" i="2" s="1"/>
  <c r="L2157" i="2"/>
  <c r="O2157" i="2" s="1"/>
  <c r="L2158" i="2"/>
  <c r="O2158" i="2" s="1"/>
  <c r="L2159" i="2"/>
  <c r="O2159" i="2" s="1"/>
  <c r="L2160" i="2"/>
  <c r="O2160" i="2" s="1"/>
  <c r="L2161" i="2"/>
  <c r="O2161" i="2" s="1"/>
  <c r="L2162" i="2"/>
  <c r="O2162" i="2" s="1"/>
  <c r="L2163" i="2"/>
  <c r="O2163" i="2" s="1"/>
  <c r="L2164" i="2"/>
  <c r="O2164" i="2" s="1"/>
  <c r="L2165" i="2"/>
  <c r="O2165" i="2" s="1"/>
  <c r="L2166" i="2"/>
  <c r="O2166" i="2" s="1"/>
  <c r="L2167" i="2"/>
  <c r="O2167" i="2" s="1"/>
  <c r="L2168" i="2"/>
  <c r="O2168" i="2" s="1"/>
  <c r="L2169" i="2"/>
  <c r="O2169" i="2" s="1"/>
  <c r="L2170" i="2"/>
  <c r="O2170" i="2" s="1"/>
  <c r="L2171" i="2"/>
  <c r="O2171" i="2" s="1"/>
  <c r="L2172" i="2"/>
  <c r="O2172" i="2" s="1"/>
  <c r="L2173" i="2"/>
  <c r="O2173" i="2" s="1"/>
  <c r="L2174" i="2"/>
  <c r="O2174" i="2" s="1"/>
  <c r="L2175" i="2"/>
  <c r="O2175" i="2" s="1"/>
  <c r="L2176" i="2"/>
  <c r="O2176" i="2" s="1"/>
  <c r="L2177" i="2"/>
  <c r="O2177" i="2" s="1"/>
  <c r="L2178" i="2"/>
  <c r="O2178" i="2" s="1"/>
  <c r="L2179" i="2"/>
  <c r="O2179" i="2" s="1"/>
  <c r="L2180" i="2"/>
  <c r="O2180" i="2" s="1"/>
  <c r="L2181" i="2"/>
  <c r="O2181" i="2" s="1"/>
  <c r="L2182" i="2"/>
  <c r="O2182" i="2" s="1"/>
  <c r="L2183" i="2"/>
  <c r="O2183" i="2" s="1"/>
  <c r="L2184" i="2"/>
  <c r="O2184" i="2" s="1"/>
  <c r="L2185" i="2"/>
  <c r="O2185" i="2" s="1"/>
  <c r="L2186" i="2"/>
  <c r="O2186" i="2" s="1"/>
  <c r="L2187" i="2"/>
  <c r="O2187" i="2" s="1"/>
  <c r="L2188" i="2"/>
  <c r="O2188" i="2" s="1"/>
  <c r="L2189" i="2"/>
  <c r="O2189" i="2" s="1"/>
  <c r="L2190" i="2"/>
  <c r="O2190" i="2" s="1"/>
  <c r="L2191" i="2"/>
  <c r="O2191" i="2" s="1"/>
  <c r="L2192" i="2"/>
  <c r="O2192" i="2" s="1"/>
  <c r="L2193" i="2"/>
  <c r="O2193" i="2" s="1"/>
  <c r="L2194" i="2"/>
  <c r="O2194" i="2" s="1"/>
  <c r="L2195" i="2"/>
  <c r="O2195" i="2" s="1"/>
  <c r="L2196" i="2"/>
  <c r="O2196" i="2" s="1"/>
  <c r="L2197" i="2"/>
  <c r="O2197" i="2" s="1"/>
  <c r="L2198" i="2"/>
  <c r="O2198" i="2" s="1"/>
  <c r="L2199" i="2"/>
  <c r="O2199" i="2" s="1"/>
  <c r="L2200" i="2"/>
  <c r="O2200" i="2" s="1"/>
  <c r="L2201" i="2"/>
  <c r="O2201" i="2" s="1"/>
  <c r="L2202" i="2"/>
  <c r="O2202" i="2" s="1"/>
  <c r="L2203" i="2"/>
  <c r="O2203" i="2" s="1"/>
  <c r="L2204" i="2"/>
  <c r="O2204" i="2" s="1"/>
  <c r="L2205" i="2"/>
  <c r="O2205" i="2" s="1"/>
  <c r="L2206" i="2"/>
  <c r="O2206" i="2" s="1"/>
  <c r="L2207" i="2"/>
  <c r="O2207" i="2" s="1"/>
  <c r="L2208" i="2"/>
  <c r="O2208" i="2" s="1"/>
  <c r="L2209" i="2"/>
  <c r="O2209" i="2" s="1"/>
  <c r="L2210" i="2"/>
  <c r="O2210" i="2" s="1"/>
  <c r="L2211" i="2"/>
  <c r="O2211" i="2" s="1"/>
  <c r="L2212" i="2"/>
  <c r="O2212" i="2" s="1"/>
  <c r="L2213" i="2"/>
  <c r="O2213" i="2" s="1"/>
  <c r="L2214" i="2"/>
  <c r="O2214" i="2" s="1"/>
  <c r="L2215" i="2"/>
  <c r="O2215" i="2" s="1"/>
  <c r="L2216" i="2"/>
  <c r="O2216" i="2" s="1"/>
  <c r="L2217" i="2"/>
  <c r="O2217" i="2" s="1"/>
  <c r="L2218" i="2"/>
  <c r="O2218" i="2" s="1"/>
  <c r="L2219" i="2"/>
  <c r="O2219" i="2" s="1"/>
  <c r="L2220" i="2"/>
  <c r="O2220" i="2" s="1"/>
  <c r="L2221" i="2"/>
  <c r="O2221" i="2" s="1"/>
  <c r="L2222" i="2"/>
  <c r="O2222" i="2" s="1"/>
  <c r="L2223" i="2"/>
  <c r="O2223" i="2" s="1"/>
  <c r="L2224" i="2"/>
  <c r="O2224" i="2" s="1"/>
  <c r="L2225" i="2"/>
  <c r="O2225" i="2" s="1"/>
  <c r="L2226" i="2"/>
  <c r="O2226" i="2" s="1"/>
  <c r="L2227" i="2"/>
  <c r="O2227" i="2" s="1"/>
  <c r="L2228" i="2"/>
  <c r="O2228" i="2" s="1"/>
  <c r="L2229" i="2"/>
  <c r="O2229" i="2" s="1"/>
  <c r="L2230" i="2"/>
  <c r="O2230" i="2" s="1"/>
  <c r="L2231" i="2"/>
  <c r="O2231" i="2" s="1"/>
  <c r="L2232" i="2"/>
  <c r="O2232" i="2" s="1"/>
  <c r="L2233" i="2"/>
  <c r="O2233" i="2" s="1"/>
  <c r="L2234" i="2"/>
  <c r="O2234" i="2" s="1"/>
  <c r="L2235" i="2"/>
  <c r="O2235" i="2" s="1"/>
  <c r="L2236" i="2"/>
  <c r="O2236" i="2" s="1"/>
  <c r="L2237" i="2"/>
  <c r="O2237" i="2" s="1"/>
  <c r="L2238" i="2"/>
  <c r="O2238" i="2" s="1"/>
  <c r="L2239" i="2"/>
  <c r="O2239" i="2" s="1"/>
  <c r="L2240" i="2"/>
  <c r="O2240" i="2" s="1"/>
  <c r="L2241" i="2"/>
  <c r="O2241" i="2" s="1"/>
  <c r="L2242" i="2"/>
  <c r="O2242" i="2" s="1"/>
  <c r="L2243" i="2"/>
  <c r="O2243" i="2" s="1"/>
  <c r="L2244" i="2"/>
  <c r="O2244" i="2" s="1"/>
  <c r="L2245" i="2"/>
  <c r="O2245" i="2" s="1"/>
  <c r="L2246" i="2"/>
  <c r="O2246" i="2" s="1"/>
  <c r="L2247" i="2"/>
  <c r="O2247" i="2" s="1"/>
  <c r="L2248" i="2"/>
  <c r="O2248" i="2" s="1"/>
  <c r="L2249" i="2"/>
  <c r="O2249" i="2" s="1"/>
  <c r="L2250" i="2"/>
  <c r="O2250" i="2" s="1"/>
  <c r="L2251" i="2"/>
  <c r="O2251" i="2" s="1"/>
  <c r="L2252" i="2"/>
  <c r="O2252" i="2" s="1"/>
  <c r="L2253" i="2"/>
  <c r="O2253" i="2" s="1"/>
  <c r="L2254" i="2"/>
  <c r="O2254" i="2" s="1"/>
  <c r="L2255" i="2"/>
  <c r="O2255" i="2" s="1"/>
  <c r="L2256" i="2"/>
  <c r="O2256" i="2" s="1"/>
  <c r="L2257" i="2"/>
  <c r="O2257" i="2" s="1"/>
  <c r="L2258" i="2"/>
  <c r="O2258" i="2" s="1"/>
  <c r="L2259" i="2"/>
  <c r="O2259" i="2" s="1"/>
  <c r="L2260" i="2"/>
  <c r="O2260" i="2" s="1"/>
  <c r="L2261" i="2"/>
  <c r="O2261" i="2" s="1"/>
  <c r="L2262" i="2"/>
  <c r="O2262" i="2" s="1"/>
  <c r="L2263" i="2"/>
  <c r="O2263" i="2" s="1"/>
  <c r="L2264" i="2"/>
  <c r="O2264" i="2" s="1"/>
  <c r="L2265" i="2"/>
  <c r="O2265" i="2" s="1"/>
  <c r="L2266" i="2"/>
  <c r="O2266" i="2" s="1"/>
  <c r="L2267" i="2"/>
  <c r="O2267" i="2" s="1"/>
  <c r="L2268" i="2"/>
  <c r="O2268" i="2" s="1"/>
  <c r="L2269" i="2"/>
  <c r="O2269" i="2" s="1"/>
  <c r="L2270" i="2"/>
  <c r="O2270" i="2" s="1"/>
  <c r="L2271" i="2"/>
  <c r="O2271" i="2" s="1"/>
  <c r="L2272" i="2"/>
  <c r="O2272" i="2" s="1"/>
  <c r="L2273" i="2"/>
  <c r="O2273" i="2" s="1"/>
  <c r="L2274" i="2"/>
  <c r="O2274" i="2" s="1"/>
  <c r="L2275" i="2"/>
  <c r="O2275" i="2" s="1"/>
  <c r="L2276" i="2"/>
  <c r="O2276" i="2" s="1"/>
  <c r="L2277" i="2"/>
  <c r="O2277" i="2" s="1"/>
  <c r="L2278" i="2"/>
  <c r="O2278" i="2" s="1"/>
  <c r="L2279" i="2"/>
  <c r="O2279" i="2" s="1"/>
  <c r="L2280" i="2"/>
  <c r="O2280" i="2" s="1"/>
  <c r="L2281" i="2"/>
  <c r="O2281" i="2" s="1"/>
  <c r="L2282" i="2"/>
  <c r="O2282" i="2" s="1"/>
  <c r="L2283" i="2"/>
  <c r="O2283" i="2" s="1"/>
  <c r="L2284" i="2"/>
  <c r="O2284" i="2" s="1"/>
  <c r="L2285" i="2"/>
  <c r="O2285" i="2" s="1"/>
  <c r="L2286" i="2"/>
  <c r="O2286" i="2" s="1"/>
  <c r="L2287" i="2"/>
  <c r="O2287" i="2" s="1"/>
  <c r="L2288" i="2"/>
  <c r="O2288" i="2" s="1"/>
  <c r="L2289" i="2"/>
  <c r="O2289" i="2" s="1"/>
  <c r="L2290" i="2"/>
  <c r="O2290" i="2" s="1"/>
  <c r="L2291" i="2"/>
  <c r="O2291" i="2" s="1"/>
  <c r="L2292" i="2"/>
  <c r="O2292" i="2" s="1"/>
  <c r="L2293" i="2"/>
  <c r="O2293" i="2" s="1"/>
  <c r="L2294" i="2"/>
  <c r="O2294" i="2" s="1"/>
  <c r="L2295" i="2"/>
  <c r="O2295" i="2" s="1"/>
  <c r="L2296" i="2"/>
  <c r="O2296" i="2" s="1"/>
  <c r="L2297" i="2"/>
  <c r="O2297" i="2" s="1"/>
  <c r="L2298" i="2"/>
  <c r="O2298" i="2" s="1"/>
  <c r="L2299" i="2"/>
  <c r="O2299" i="2" s="1"/>
  <c r="L2300" i="2"/>
  <c r="O2300" i="2" s="1"/>
  <c r="L2301" i="2"/>
  <c r="O2301" i="2" s="1"/>
  <c r="L2302" i="2"/>
  <c r="O2302" i="2" s="1"/>
  <c r="L2303" i="2"/>
  <c r="O2303" i="2" s="1"/>
  <c r="L2304" i="2"/>
  <c r="O2304" i="2" s="1"/>
  <c r="L2305" i="2"/>
  <c r="O2305" i="2" s="1"/>
  <c r="L2306" i="2"/>
  <c r="O2306" i="2" s="1"/>
  <c r="L2307" i="2"/>
  <c r="O2307" i="2" s="1"/>
  <c r="L2308" i="2"/>
  <c r="O2308" i="2" s="1"/>
  <c r="L2309" i="2"/>
  <c r="O2309" i="2" s="1"/>
  <c r="L2310" i="2"/>
  <c r="O2310" i="2" s="1"/>
  <c r="L2311" i="2"/>
  <c r="O2311" i="2" s="1"/>
  <c r="L2312" i="2"/>
  <c r="O2312" i="2" s="1"/>
  <c r="L2313" i="2"/>
  <c r="O2313" i="2" s="1"/>
  <c r="L2314" i="2"/>
  <c r="O2314" i="2" s="1"/>
  <c r="L2315" i="2"/>
  <c r="O2315" i="2" s="1"/>
  <c r="L2316" i="2"/>
  <c r="O2316" i="2" s="1"/>
  <c r="L2317" i="2"/>
  <c r="O2317" i="2" s="1"/>
  <c r="L2318" i="2"/>
  <c r="O2318" i="2" s="1"/>
  <c r="L2319" i="2"/>
  <c r="O2319" i="2" s="1"/>
  <c r="L2320" i="2"/>
  <c r="O2320" i="2" s="1"/>
  <c r="L2321" i="2"/>
  <c r="O2321" i="2" s="1"/>
  <c r="L2322" i="2"/>
  <c r="O2322" i="2" s="1"/>
  <c r="L2323" i="2"/>
  <c r="O2323" i="2" s="1"/>
  <c r="L2324" i="2"/>
  <c r="O2324" i="2" s="1"/>
  <c r="L2325" i="2"/>
  <c r="O2325" i="2" s="1"/>
  <c r="L2326" i="2"/>
  <c r="O2326" i="2" s="1"/>
  <c r="L2327" i="2"/>
  <c r="O2327" i="2" s="1"/>
  <c r="L2328" i="2"/>
  <c r="O2328" i="2" s="1"/>
  <c r="L2329" i="2"/>
  <c r="O2329" i="2" s="1"/>
  <c r="L2330" i="2"/>
  <c r="O2330" i="2" s="1"/>
  <c r="L2331" i="2"/>
  <c r="O2331" i="2" s="1"/>
  <c r="L2332" i="2"/>
  <c r="O2332" i="2" s="1"/>
  <c r="L2333" i="2"/>
  <c r="O2333" i="2" s="1"/>
  <c r="L2334" i="2"/>
  <c r="O2334" i="2" s="1"/>
  <c r="L2335" i="2"/>
  <c r="O2335" i="2" s="1"/>
  <c r="L2336" i="2"/>
  <c r="O2336" i="2" s="1"/>
  <c r="L2337" i="2"/>
  <c r="O2337" i="2" s="1"/>
  <c r="L2338" i="2"/>
  <c r="O2338" i="2" s="1"/>
  <c r="L2339" i="2"/>
  <c r="O2339" i="2" s="1"/>
  <c r="L2340" i="2"/>
  <c r="O2340" i="2" s="1"/>
  <c r="L2341" i="2"/>
  <c r="O2341" i="2" s="1"/>
  <c r="L2342" i="2"/>
  <c r="O2342" i="2" s="1"/>
  <c r="L2343" i="2"/>
  <c r="O2343" i="2" s="1"/>
  <c r="L2344" i="2"/>
  <c r="O2344" i="2" s="1"/>
  <c r="L2345" i="2"/>
  <c r="O2345" i="2" s="1"/>
  <c r="L2346" i="2"/>
  <c r="O2346" i="2" s="1"/>
  <c r="L2347" i="2"/>
  <c r="O2347" i="2" s="1"/>
  <c r="L2348" i="2"/>
  <c r="O2348" i="2" s="1"/>
  <c r="L2349" i="2"/>
  <c r="O2349" i="2" s="1"/>
  <c r="L2350" i="2"/>
  <c r="O2350" i="2" s="1"/>
  <c r="L2351" i="2"/>
  <c r="O2351" i="2" s="1"/>
  <c r="L2352" i="2"/>
  <c r="O2352" i="2" s="1"/>
  <c r="L2353" i="2"/>
  <c r="O2353" i="2" s="1"/>
  <c r="L2354" i="2"/>
  <c r="O2354" i="2" s="1"/>
  <c r="L2355" i="2"/>
  <c r="O2355" i="2" s="1"/>
  <c r="L2356" i="2"/>
  <c r="O2356" i="2" s="1"/>
  <c r="L2357" i="2"/>
  <c r="O2357" i="2" s="1"/>
  <c r="L2358" i="2"/>
  <c r="O2358" i="2" s="1"/>
  <c r="L2359" i="2"/>
  <c r="O2359" i="2" s="1"/>
  <c r="L2360" i="2"/>
  <c r="O2360" i="2" s="1"/>
  <c r="L2361" i="2"/>
  <c r="O2361" i="2" s="1"/>
  <c r="L2362" i="2"/>
  <c r="O2362" i="2" s="1"/>
  <c r="L2363" i="2"/>
  <c r="O2363" i="2" s="1"/>
  <c r="L2364" i="2"/>
  <c r="O2364" i="2" s="1"/>
  <c r="L2365" i="2"/>
  <c r="O2365" i="2" s="1"/>
  <c r="L2366" i="2"/>
  <c r="O2366" i="2" s="1"/>
  <c r="L2367" i="2"/>
  <c r="O2367" i="2" s="1"/>
  <c r="L2368" i="2"/>
  <c r="O2368" i="2" s="1"/>
  <c r="L2369" i="2"/>
  <c r="O2369" i="2" s="1"/>
  <c r="L2370" i="2"/>
  <c r="O2370" i="2" s="1"/>
  <c r="L2371" i="2"/>
  <c r="O2371" i="2" s="1"/>
  <c r="L2372" i="2"/>
  <c r="O2372" i="2" s="1"/>
  <c r="L2373" i="2"/>
  <c r="O2373" i="2" s="1"/>
  <c r="L2374" i="2"/>
  <c r="O2374" i="2" s="1"/>
  <c r="L2375" i="2"/>
  <c r="O2375" i="2" s="1"/>
  <c r="L2376" i="2"/>
  <c r="O2376" i="2" s="1"/>
  <c r="L2377" i="2"/>
  <c r="O2377" i="2" s="1"/>
  <c r="L2378" i="2"/>
  <c r="O2378" i="2" s="1"/>
  <c r="L2379" i="2"/>
  <c r="O2379" i="2" s="1"/>
  <c r="L2380" i="2"/>
  <c r="O2380" i="2" s="1"/>
  <c r="L2381" i="2"/>
  <c r="O2381" i="2" s="1"/>
  <c r="L2382" i="2"/>
  <c r="O2382" i="2" s="1"/>
  <c r="L2383" i="2"/>
  <c r="O2383" i="2" s="1"/>
  <c r="L2384" i="2"/>
  <c r="O2384" i="2" s="1"/>
  <c r="L2385" i="2"/>
  <c r="O2385" i="2" s="1"/>
  <c r="L2386" i="2"/>
  <c r="O2386" i="2" s="1"/>
  <c r="L2387" i="2"/>
  <c r="O2387" i="2" s="1"/>
  <c r="L2388" i="2"/>
  <c r="O2388" i="2" s="1"/>
  <c r="L2389" i="2"/>
  <c r="O2389" i="2" s="1"/>
  <c r="L2390" i="2"/>
  <c r="O2390" i="2" s="1"/>
  <c r="L2391" i="2"/>
  <c r="O2391" i="2" s="1"/>
  <c r="L2392" i="2"/>
  <c r="O2392" i="2" s="1"/>
  <c r="L2393" i="2"/>
  <c r="O2393" i="2" s="1"/>
  <c r="L2394" i="2"/>
  <c r="O2394" i="2" s="1"/>
  <c r="L2395" i="2"/>
  <c r="O2395" i="2" s="1"/>
  <c r="L2396" i="2"/>
  <c r="O2396" i="2" s="1"/>
  <c r="L2397" i="2"/>
  <c r="O2397" i="2" s="1"/>
  <c r="L2398" i="2"/>
  <c r="O2398" i="2" s="1"/>
  <c r="L2399" i="2"/>
  <c r="O2399" i="2" s="1"/>
  <c r="L2400" i="2"/>
  <c r="O2400" i="2" s="1"/>
  <c r="L2401" i="2"/>
  <c r="O2401" i="2" s="1"/>
  <c r="L2402" i="2"/>
  <c r="O2402" i="2" s="1"/>
  <c r="L2403" i="2"/>
  <c r="O2403" i="2" s="1"/>
  <c r="L2404" i="2"/>
  <c r="O2404" i="2" s="1"/>
  <c r="L2405" i="2"/>
  <c r="O2405" i="2" s="1"/>
  <c r="L2406" i="2"/>
  <c r="O2406" i="2" s="1"/>
  <c r="L2407" i="2"/>
  <c r="O2407" i="2" s="1"/>
  <c r="L2408" i="2"/>
  <c r="O2408" i="2" s="1"/>
  <c r="L2409" i="2"/>
  <c r="O2409" i="2" s="1"/>
  <c r="L2410" i="2"/>
  <c r="O2410" i="2" s="1"/>
  <c r="L2411" i="2"/>
  <c r="O2411" i="2" s="1"/>
  <c r="L2412" i="2"/>
  <c r="O2412" i="2" s="1"/>
  <c r="L2413" i="2"/>
  <c r="O2413" i="2" s="1"/>
  <c r="L2414" i="2"/>
  <c r="O2414" i="2" s="1"/>
  <c r="L2415" i="2"/>
  <c r="O2415" i="2" s="1"/>
  <c r="L2416" i="2"/>
  <c r="O2416" i="2" s="1"/>
  <c r="L2417" i="2"/>
  <c r="O2417" i="2" s="1"/>
  <c r="L2418" i="2"/>
  <c r="O2418" i="2" s="1"/>
  <c r="L2419" i="2"/>
  <c r="O2419" i="2" s="1"/>
  <c r="L2420" i="2"/>
  <c r="O2420" i="2" s="1"/>
  <c r="L2421" i="2"/>
  <c r="O2421" i="2" s="1"/>
  <c r="L2422" i="2"/>
  <c r="O2422" i="2" s="1"/>
  <c r="L2423" i="2"/>
  <c r="O2423" i="2" s="1"/>
  <c r="L2424" i="2"/>
  <c r="O2424" i="2" s="1"/>
  <c r="L2425" i="2"/>
  <c r="O2425" i="2" s="1"/>
  <c r="L2426" i="2"/>
  <c r="O2426" i="2" s="1"/>
  <c r="L2427" i="2"/>
  <c r="O2427" i="2" s="1"/>
  <c r="L2428" i="2"/>
  <c r="O2428" i="2" s="1"/>
  <c r="L2429" i="2"/>
  <c r="O2429" i="2" s="1"/>
  <c r="L2430" i="2"/>
  <c r="O2430" i="2" s="1"/>
  <c r="L2431" i="2"/>
  <c r="O2431" i="2" s="1"/>
  <c r="L2432" i="2"/>
  <c r="O2432" i="2" s="1"/>
  <c r="L2433" i="2"/>
  <c r="O2433" i="2" s="1"/>
  <c r="L2434" i="2"/>
  <c r="O2434" i="2" s="1"/>
  <c r="L2435" i="2"/>
  <c r="O2435" i="2" s="1"/>
  <c r="L2436" i="2"/>
  <c r="O2436" i="2" s="1"/>
  <c r="L2437" i="2"/>
  <c r="O2437" i="2" s="1"/>
  <c r="L2438" i="2"/>
  <c r="O2438" i="2" s="1"/>
  <c r="L2439" i="2"/>
  <c r="O2439" i="2" s="1"/>
  <c r="L2440" i="2"/>
  <c r="O2440" i="2" s="1"/>
  <c r="L2441" i="2"/>
  <c r="O2441" i="2" s="1"/>
  <c r="L2442" i="2"/>
  <c r="O2442" i="2" s="1"/>
  <c r="L2443" i="2"/>
  <c r="O2443" i="2" s="1"/>
  <c r="L2444" i="2"/>
  <c r="O2444" i="2" s="1"/>
  <c r="L2445" i="2"/>
  <c r="O2445" i="2" s="1"/>
  <c r="L2446" i="2"/>
  <c r="O2446" i="2" s="1"/>
  <c r="L2447" i="2"/>
  <c r="O2447" i="2" s="1"/>
  <c r="L2448" i="2"/>
  <c r="O2448" i="2" s="1"/>
  <c r="L2449" i="2"/>
  <c r="O2449" i="2" s="1"/>
  <c r="L2450" i="2"/>
  <c r="O2450" i="2" s="1"/>
  <c r="L2451" i="2"/>
  <c r="O2451" i="2" s="1"/>
  <c r="L2452" i="2"/>
  <c r="O2452" i="2" s="1"/>
  <c r="L2453" i="2"/>
  <c r="O2453" i="2" s="1"/>
  <c r="L2454" i="2"/>
  <c r="O2454" i="2" s="1"/>
  <c r="L2455" i="2"/>
  <c r="O2455" i="2" s="1"/>
  <c r="L2456" i="2"/>
  <c r="O2456" i="2" s="1"/>
  <c r="L2457" i="2"/>
  <c r="O2457" i="2" s="1"/>
  <c r="L2458" i="2"/>
  <c r="O2458" i="2" s="1"/>
  <c r="L2459" i="2"/>
  <c r="O2459" i="2" s="1"/>
  <c r="L2460" i="2"/>
  <c r="O2460" i="2" s="1"/>
  <c r="L2461" i="2"/>
  <c r="O2461" i="2" s="1"/>
  <c r="L2462" i="2"/>
  <c r="O2462" i="2" s="1"/>
  <c r="L2463" i="2"/>
  <c r="O2463" i="2" s="1"/>
  <c r="L2464" i="2"/>
  <c r="O2464" i="2" s="1"/>
  <c r="L2465" i="2"/>
  <c r="O2465" i="2" s="1"/>
  <c r="L2466" i="2"/>
  <c r="O2466" i="2" s="1"/>
  <c r="L2467" i="2"/>
  <c r="O2467" i="2" s="1"/>
  <c r="L2468" i="2"/>
  <c r="O2468" i="2" s="1"/>
  <c r="L2469" i="2"/>
  <c r="O2469" i="2" s="1"/>
  <c r="L2470" i="2"/>
  <c r="O2470" i="2" s="1"/>
  <c r="L2471" i="2"/>
  <c r="O2471" i="2" s="1"/>
  <c r="L2472" i="2"/>
  <c r="O2472" i="2" s="1"/>
  <c r="L2473" i="2"/>
  <c r="O2473" i="2" s="1"/>
  <c r="L2474" i="2"/>
  <c r="O2474" i="2" s="1"/>
  <c r="L2475" i="2"/>
  <c r="O2475" i="2" s="1"/>
  <c r="L2476" i="2"/>
  <c r="O2476" i="2" s="1"/>
  <c r="L2477" i="2"/>
  <c r="O2477" i="2" s="1"/>
  <c r="L2478" i="2"/>
  <c r="O2478" i="2" s="1"/>
  <c r="L2479" i="2"/>
  <c r="O2479" i="2" s="1"/>
  <c r="L2480" i="2"/>
  <c r="O2480" i="2" s="1"/>
  <c r="L2481" i="2"/>
  <c r="O2481" i="2" s="1"/>
  <c r="L2482" i="2"/>
  <c r="O2482" i="2" s="1"/>
  <c r="L2483" i="2"/>
  <c r="O2483" i="2" s="1"/>
  <c r="L2484" i="2"/>
  <c r="O2484" i="2" s="1"/>
  <c r="L2485" i="2"/>
  <c r="O2485" i="2" s="1"/>
  <c r="L2486" i="2"/>
  <c r="O2486" i="2" s="1"/>
  <c r="L2487" i="2"/>
  <c r="O2487" i="2" s="1"/>
  <c r="L2488" i="2"/>
  <c r="O2488" i="2" s="1"/>
  <c r="L2489" i="2"/>
  <c r="O2489" i="2" s="1"/>
  <c r="L2490" i="2"/>
  <c r="O2490" i="2" s="1"/>
  <c r="L2491" i="2"/>
  <c r="O2491" i="2" s="1"/>
  <c r="L2492" i="2"/>
  <c r="O2492" i="2" s="1"/>
  <c r="L2493" i="2"/>
  <c r="O2493" i="2" s="1"/>
  <c r="L2494" i="2"/>
  <c r="O2494" i="2" s="1"/>
  <c r="L2495" i="2"/>
  <c r="O2495" i="2" s="1"/>
  <c r="L2496" i="2"/>
  <c r="O2496" i="2" s="1"/>
  <c r="L2497" i="2"/>
  <c r="O2497" i="2" s="1"/>
  <c r="L2498" i="2"/>
  <c r="O2498" i="2" s="1"/>
  <c r="L2499" i="2"/>
  <c r="O2499" i="2" s="1"/>
  <c r="L2500" i="2"/>
  <c r="O2500" i="2" s="1"/>
  <c r="L2501" i="2"/>
  <c r="O2501" i="2" s="1"/>
  <c r="L2502" i="2"/>
  <c r="O2502" i="2" s="1"/>
  <c r="L2503" i="2"/>
  <c r="O2503" i="2" s="1"/>
  <c r="L2504" i="2"/>
  <c r="O2504" i="2" s="1"/>
  <c r="L2505" i="2"/>
  <c r="O2505" i="2" s="1"/>
  <c r="L2506" i="2"/>
  <c r="O2506" i="2" s="1"/>
  <c r="L2507" i="2"/>
  <c r="O2507" i="2" s="1"/>
  <c r="L2508" i="2"/>
  <c r="O2508" i="2" s="1"/>
  <c r="L2509" i="2"/>
  <c r="O2509" i="2" s="1"/>
  <c r="L2510" i="2"/>
  <c r="O2510" i="2" s="1"/>
  <c r="L2511" i="2"/>
  <c r="O2511" i="2" s="1"/>
  <c r="L2512" i="2"/>
  <c r="O2512" i="2" s="1"/>
  <c r="L2513" i="2"/>
  <c r="O2513" i="2" s="1"/>
  <c r="L2514" i="2"/>
  <c r="O2514" i="2" s="1"/>
  <c r="L2515" i="2"/>
  <c r="O2515" i="2" s="1"/>
  <c r="L2516" i="2"/>
  <c r="O2516" i="2" s="1"/>
  <c r="L2517" i="2"/>
  <c r="O2517" i="2" s="1"/>
  <c r="L2518" i="2"/>
  <c r="O2518" i="2" s="1"/>
  <c r="L2519" i="2"/>
  <c r="O2519" i="2" s="1"/>
  <c r="L2520" i="2"/>
  <c r="O2520" i="2" s="1"/>
  <c r="L2521" i="2"/>
  <c r="O2521" i="2" s="1"/>
  <c r="L2522" i="2"/>
  <c r="O2522" i="2" s="1"/>
  <c r="L2523" i="2"/>
  <c r="O2523" i="2" s="1"/>
  <c r="L2524" i="2"/>
  <c r="O2524" i="2" s="1"/>
  <c r="L2525" i="2"/>
  <c r="O2525" i="2" s="1"/>
  <c r="L2526" i="2"/>
  <c r="O2526" i="2" s="1"/>
  <c r="L2527" i="2"/>
  <c r="O2527" i="2" s="1"/>
  <c r="L2528" i="2"/>
  <c r="O2528" i="2" s="1"/>
  <c r="L2529" i="2"/>
  <c r="O2529" i="2" s="1"/>
  <c r="L2530" i="2"/>
  <c r="O2530" i="2" s="1"/>
  <c r="L2531" i="2"/>
  <c r="O2531" i="2" s="1"/>
  <c r="L2532" i="2"/>
  <c r="O2532" i="2" s="1"/>
  <c r="L2533" i="2"/>
  <c r="O2533" i="2" s="1"/>
  <c r="L2534" i="2"/>
  <c r="O2534" i="2" s="1"/>
  <c r="L2535" i="2"/>
  <c r="O2535" i="2" s="1"/>
  <c r="L2536" i="2"/>
  <c r="O2536" i="2" s="1"/>
  <c r="L2537" i="2"/>
  <c r="O2537" i="2" s="1"/>
  <c r="L2538" i="2"/>
  <c r="O2538" i="2" s="1"/>
  <c r="L2539" i="2"/>
  <c r="O2539" i="2" s="1"/>
  <c r="L2540" i="2"/>
  <c r="O2540" i="2" s="1"/>
  <c r="L2541" i="2"/>
  <c r="O2541" i="2" s="1"/>
  <c r="L2542" i="2"/>
  <c r="O2542" i="2" s="1"/>
  <c r="L2543" i="2"/>
  <c r="O2543" i="2" s="1"/>
  <c r="L2544" i="2"/>
  <c r="O2544" i="2" s="1"/>
  <c r="L2545" i="2"/>
  <c r="O2545" i="2" s="1"/>
  <c r="L2546" i="2"/>
  <c r="O2546" i="2" s="1"/>
  <c r="L2547" i="2"/>
  <c r="O2547" i="2" s="1"/>
  <c r="L2548" i="2"/>
  <c r="O2548" i="2" s="1"/>
  <c r="L2549" i="2"/>
  <c r="O2549" i="2" s="1"/>
  <c r="L2550" i="2"/>
  <c r="O2550" i="2" s="1"/>
  <c r="L2551" i="2"/>
  <c r="O2551" i="2" s="1"/>
  <c r="L2552" i="2"/>
  <c r="O2552" i="2" s="1"/>
  <c r="L2553" i="2"/>
  <c r="O2553" i="2" s="1"/>
  <c r="L2554" i="2"/>
  <c r="O2554" i="2" s="1"/>
  <c r="L2555" i="2"/>
  <c r="O2555" i="2" s="1"/>
  <c r="L2556" i="2"/>
  <c r="O2556" i="2" s="1"/>
  <c r="L2557" i="2"/>
  <c r="O2557" i="2" s="1"/>
  <c r="L2558" i="2"/>
  <c r="O2558" i="2" s="1"/>
  <c r="L2559" i="2"/>
  <c r="O2559" i="2" s="1"/>
  <c r="L2560" i="2"/>
  <c r="O2560" i="2" s="1"/>
  <c r="L2561" i="2"/>
  <c r="O2561" i="2" s="1"/>
  <c r="L2562" i="2"/>
  <c r="O2562" i="2" s="1"/>
  <c r="L2563" i="2"/>
  <c r="O2563" i="2" s="1"/>
  <c r="L2564" i="2"/>
  <c r="O2564" i="2" s="1"/>
  <c r="L2565" i="2"/>
  <c r="O2565" i="2" s="1"/>
  <c r="L2566" i="2"/>
  <c r="O2566" i="2" s="1"/>
  <c r="L2567" i="2"/>
  <c r="O2567" i="2" s="1"/>
  <c r="L2568" i="2"/>
  <c r="O2568" i="2" s="1"/>
  <c r="L2569" i="2"/>
  <c r="O2569" i="2" s="1"/>
  <c r="L2570" i="2"/>
  <c r="O2570" i="2" s="1"/>
  <c r="L2571" i="2"/>
  <c r="O2571" i="2" s="1"/>
  <c r="L2572" i="2"/>
  <c r="O2572" i="2" s="1"/>
  <c r="L2573" i="2"/>
  <c r="O2573" i="2" s="1"/>
  <c r="L2574" i="2"/>
  <c r="O2574" i="2" s="1"/>
  <c r="L2575" i="2"/>
  <c r="O2575" i="2" s="1"/>
  <c r="L2576" i="2"/>
  <c r="O2576" i="2" s="1"/>
  <c r="L2577" i="2"/>
  <c r="O2577" i="2" s="1"/>
  <c r="L2578" i="2"/>
  <c r="O2578" i="2" s="1"/>
  <c r="L2579" i="2"/>
  <c r="O2579" i="2" s="1"/>
  <c r="L2580" i="2"/>
  <c r="O2580" i="2" s="1"/>
  <c r="L2581" i="2"/>
  <c r="O2581" i="2" s="1"/>
  <c r="L2582" i="2"/>
  <c r="O2582" i="2" s="1"/>
  <c r="L2583" i="2"/>
  <c r="O2583" i="2" s="1"/>
  <c r="L2584" i="2"/>
  <c r="O2584" i="2" s="1"/>
  <c r="L2585" i="2"/>
  <c r="O2585" i="2" s="1"/>
  <c r="L2586" i="2"/>
  <c r="O2586" i="2" s="1"/>
  <c r="L2587" i="2"/>
  <c r="O2587" i="2" s="1"/>
  <c r="L2588" i="2"/>
  <c r="O2588" i="2" s="1"/>
  <c r="L2589" i="2"/>
  <c r="O2589" i="2" s="1"/>
  <c r="L2590" i="2"/>
  <c r="O2590" i="2" s="1"/>
  <c r="L2591" i="2"/>
  <c r="O2591" i="2" s="1"/>
  <c r="L2592" i="2"/>
  <c r="O2592" i="2" s="1"/>
  <c r="L2593" i="2"/>
  <c r="O2593" i="2" s="1"/>
  <c r="L2594" i="2"/>
  <c r="O2594" i="2" s="1"/>
  <c r="L2595" i="2"/>
  <c r="O2595" i="2" s="1"/>
  <c r="L2596" i="2"/>
  <c r="O2596" i="2" s="1"/>
  <c r="L2597" i="2"/>
  <c r="O2597" i="2" s="1"/>
  <c r="L2598" i="2"/>
  <c r="O2598" i="2" s="1"/>
  <c r="L2599" i="2"/>
  <c r="O2599" i="2" s="1"/>
  <c r="L2600" i="2"/>
  <c r="O2600" i="2" s="1"/>
  <c r="L2601" i="2"/>
  <c r="O2601" i="2" s="1"/>
  <c r="L2602" i="2"/>
  <c r="O2602" i="2" s="1"/>
  <c r="L2603" i="2"/>
  <c r="O2603" i="2" s="1"/>
  <c r="L2604" i="2"/>
  <c r="O2604" i="2" s="1"/>
  <c r="L2605" i="2"/>
  <c r="O2605" i="2" s="1"/>
  <c r="L2606" i="2"/>
  <c r="O2606" i="2" s="1"/>
  <c r="L2607" i="2"/>
  <c r="O2607" i="2" s="1"/>
  <c r="L2608" i="2"/>
  <c r="O2608" i="2" s="1"/>
  <c r="L2609" i="2"/>
  <c r="O2609" i="2" s="1"/>
  <c r="L2610" i="2"/>
  <c r="O2610" i="2" s="1"/>
  <c r="L2611" i="2"/>
  <c r="O2611" i="2" s="1"/>
  <c r="L2612" i="2"/>
  <c r="O2612" i="2" s="1"/>
  <c r="L2613" i="2"/>
  <c r="O2613" i="2" s="1"/>
  <c r="L2614" i="2"/>
  <c r="O2614" i="2" s="1"/>
  <c r="L2615" i="2"/>
  <c r="O2615" i="2" s="1"/>
  <c r="L2616" i="2"/>
  <c r="O2616" i="2" s="1"/>
  <c r="L2617" i="2"/>
  <c r="O2617" i="2" s="1"/>
  <c r="L2618" i="2"/>
  <c r="O2618" i="2" s="1"/>
  <c r="L2619" i="2"/>
  <c r="O2619" i="2" s="1"/>
  <c r="L2620" i="2"/>
  <c r="O2620" i="2" s="1"/>
  <c r="L2621" i="2"/>
  <c r="O2621" i="2" s="1"/>
  <c r="L2622" i="2"/>
  <c r="O2622" i="2" s="1"/>
  <c r="L2623" i="2"/>
  <c r="O2623" i="2" s="1"/>
  <c r="L2624" i="2"/>
  <c r="O2624" i="2" s="1"/>
  <c r="L2625" i="2"/>
  <c r="O2625" i="2" s="1"/>
  <c r="L2626" i="2"/>
  <c r="O2626" i="2" s="1"/>
  <c r="L2627" i="2"/>
  <c r="O2627" i="2" s="1"/>
  <c r="L2628" i="2"/>
  <c r="O2628" i="2" s="1"/>
  <c r="L2629" i="2"/>
  <c r="O2629" i="2" s="1"/>
  <c r="L2630" i="2"/>
  <c r="O2630" i="2" s="1"/>
  <c r="L2631" i="2"/>
  <c r="O2631" i="2" s="1"/>
  <c r="L2632" i="2"/>
  <c r="O2632" i="2" s="1"/>
  <c r="L2633" i="2"/>
  <c r="O2633" i="2" s="1"/>
  <c r="L2634" i="2"/>
  <c r="O2634" i="2" s="1"/>
  <c r="L2635" i="2"/>
  <c r="O2635" i="2" s="1"/>
  <c r="L2636" i="2"/>
  <c r="O2636" i="2" s="1"/>
  <c r="L2637" i="2"/>
  <c r="O2637" i="2" s="1"/>
  <c r="L2638" i="2"/>
  <c r="O2638" i="2" s="1"/>
  <c r="L2639" i="2"/>
  <c r="O2639" i="2" s="1"/>
  <c r="L2640" i="2"/>
  <c r="O2640" i="2" s="1"/>
  <c r="L2641" i="2"/>
  <c r="O2641" i="2" s="1"/>
  <c r="L2642" i="2"/>
  <c r="O2642" i="2" s="1"/>
  <c r="L2643" i="2"/>
  <c r="O2643" i="2" s="1"/>
  <c r="L2644" i="2"/>
  <c r="O2644" i="2" s="1"/>
  <c r="L2645" i="2"/>
  <c r="O2645" i="2" s="1"/>
  <c r="L2646" i="2"/>
  <c r="O2646" i="2" s="1"/>
  <c r="L2647" i="2"/>
  <c r="O2647" i="2" s="1"/>
  <c r="L2648" i="2"/>
  <c r="O2648" i="2" s="1"/>
  <c r="L2649" i="2"/>
  <c r="O2649" i="2" s="1"/>
  <c r="L2650" i="2"/>
  <c r="O2650" i="2" s="1"/>
  <c r="L2651" i="2"/>
  <c r="O2651" i="2" s="1"/>
  <c r="L2652" i="2"/>
  <c r="O2652" i="2" s="1"/>
  <c r="L2653" i="2"/>
  <c r="O2653" i="2" s="1"/>
  <c r="L2654" i="2"/>
  <c r="O2654" i="2" s="1"/>
  <c r="L2655" i="2"/>
  <c r="O2655" i="2" s="1"/>
  <c r="L2656" i="2"/>
  <c r="O2656" i="2" s="1"/>
  <c r="L2657" i="2"/>
  <c r="O2657" i="2" s="1"/>
  <c r="L2658" i="2"/>
  <c r="O2658" i="2" s="1"/>
  <c r="L2659" i="2"/>
  <c r="O2659" i="2" s="1"/>
  <c r="L2660" i="2"/>
  <c r="O2660" i="2" s="1"/>
  <c r="L2661" i="2"/>
  <c r="O2661" i="2" s="1"/>
  <c r="L2662" i="2"/>
  <c r="O2662" i="2" s="1"/>
  <c r="L2663" i="2"/>
  <c r="O2663" i="2" s="1"/>
  <c r="L2664" i="2"/>
  <c r="O2664" i="2" s="1"/>
  <c r="L2665" i="2"/>
  <c r="O2665" i="2" s="1"/>
  <c r="L2666" i="2"/>
  <c r="O2666" i="2" s="1"/>
  <c r="L2667" i="2"/>
  <c r="O2667" i="2" s="1"/>
  <c r="L2668" i="2"/>
  <c r="O2668" i="2" s="1"/>
  <c r="L2669" i="2"/>
  <c r="O2669" i="2" s="1"/>
  <c r="L2670" i="2"/>
  <c r="O2670" i="2" s="1"/>
  <c r="L2671" i="2"/>
  <c r="O2671" i="2" s="1"/>
  <c r="L2672" i="2"/>
  <c r="O2672" i="2" s="1"/>
  <c r="L2673" i="2"/>
  <c r="O2673" i="2" s="1"/>
  <c r="L2674" i="2"/>
  <c r="O2674" i="2" s="1"/>
  <c r="L2675" i="2"/>
  <c r="O2675" i="2" s="1"/>
  <c r="L2676" i="2"/>
  <c r="O2676" i="2" s="1"/>
  <c r="L2677" i="2"/>
  <c r="O2677" i="2" s="1"/>
  <c r="L2678" i="2"/>
  <c r="O2678" i="2" s="1"/>
  <c r="L2679" i="2"/>
  <c r="O2679" i="2" s="1"/>
  <c r="L2680" i="2"/>
  <c r="O2680" i="2" s="1"/>
  <c r="L2681" i="2"/>
  <c r="O2681" i="2" s="1"/>
  <c r="L2682" i="2"/>
  <c r="O2682" i="2" s="1"/>
  <c r="L2683" i="2"/>
  <c r="O2683" i="2" s="1"/>
  <c r="L2684" i="2"/>
  <c r="O2684" i="2" s="1"/>
  <c r="L2685" i="2"/>
  <c r="O2685" i="2" s="1"/>
  <c r="L2686" i="2"/>
  <c r="O2686" i="2" s="1"/>
  <c r="L2687" i="2"/>
  <c r="O2687" i="2" s="1"/>
  <c r="L2688" i="2"/>
  <c r="O2688" i="2" s="1"/>
  <c r="L2689" i="2"/>
  <c r="O2689" i="2" s="1"/>
  <c r="L2690" i="2"/>
  <c r="O2690" i="2" s="1"/>
  <c r="L2691" i="2"/>
  <c r="O2691" i="2" s="1"/>
  <c r="L2692" i="2"/>
  <c r="O2692" i="2" s="1"/>
  <c r="L2693" i="2"/>
  <c r="O2693" i="2" s="1"/>
  <c r="L2694" i="2"/>
  <c r="O2694" i="2" s="1"/>
  <c r="L2695" i="2"/>
  <c r="O2695" i="2" s="1"/>
  <c r="L2696" i="2"/>
  <c r="O2696" i="2" s="1"/>
  <c r="L2697" i="2"/>
  <c r="O2697" i="2" s="1"/>
  <c r="L2698" i="2"/>
  <c r="O2698" i="2" s="1"/>
  <c r="L2699" i="2"/>
  <c r="O2699" i="2" s="1"/>
  <c r="L2700" i="2"/>
  <c r="O2700" i="2" s="1"/>
  <c r="L2701" i="2"/>
  <c r="O2701" i="2" s="1"/>
  <c r="L2702" i="2"/>
  <c r="O2702" i="2" s="1"/>
  <c r="L2703" i="2"/>
  <c r="O2703" i="2" s="1"/>
  <c r="L2704" i="2"/>
  <c r="O2704" i="2" s="1"/>
  <c r="L2705" i="2"/>
  <c r="O2705" i="2" s="1"/>
  <c r="L2706" i="2"/>
  <c r="O2706" i="2" s="1"/>
  <c r="L2707" i="2"/>
  <c r="O2707" i="2" s="1"/>
  <c r="L2708" i="2"/>
  <c r="O2708" i="2" s="1"/>
  <c r="L2709" i="2"/>
  <c r="O2709" i="2" s="1"/>
  <c r="L2710" i="2"/>
  <c r="O2710" i="2" s="1"/>
  <c r="L2711" i="2"/>
  <c r="O2711" i="2" s="1"/>
  <c r="L2712" i="2"/>
  <c r="O2712" i="2" s="1"/>
  <c r="L2713" i="2"/>
  <c r="O2713" i="2" s="1"/>
  <c r="L2714" i="2"/>
  <c r="O2714" i="2" s="1"/>
  <c r="L2715" i="2"/>
  <c r="O2715" i="2" s="1"/>
  <c r="L2716" i="2"/>
  <c r="O2716" i="2" s="1"/>
  <c r="L2717" i="2"/>
  <c r="O2717" i="2" s="1"/>
  <c r="L2718" i="2"/>
  <c r="O2718" i="2" s="1"/>
  <c r="L2719" i="2"/>
  <c r="O2719" i="2" s="1"/>
  <c r="L2720" i="2"/>
  <c r="O2720" i="2" s="1"/>
  <c r="L2721" i="2"/>
  <c r="O2721" i="2" s="1"/>
  <c r="L2722" i="2"/>
  <c r="O2722" i="2" s="1"/>
  <c r="L2723" i="2"/>
  <c r="O2723" i="2" s="1"/>
  <c r="L2724" i="2"/>
  <c r="O2724" i="2" s="1"/>
  <c r="L2725" i="2"/>
  <c r="O2725" i="2" s="1"/>
  <c r="L2726" i="2"/>
  <c r="O2726" i="2" s="1"/>
  <c r="L2727" i="2"/>
  <c r="O2727" i="2" s="1"/>
  <c r="L2728" i="2"/>
  <c r="O2728" i="2" s="1"/>
  <c r="L2729" i="2"/>
  <c r="O2729" i="2" s="1"/>
  <c r="L2730" i="2"/>
  <c r="O2730" i="2" s="1"/>
  <c r="L2731" i="2"/>
  <c r="O2731" i="2" s="1"/>
  <c r="L2732" i="2"/>
  <c r="O2732" i="2" s="1"/>
  <c r="L2733" i="2"/>
  <c r="O2733" i="2" s="1"/>
  <c r="L2734" i="2"/>
  <c r="O2734" i="2" s="1"/>
  <c r="L2735" i="2"/>
  <c r="O2735" i="2" s="1"/>
  <c r="L2736" i="2"/>
  <c r="O2736" i="2" s="1"/>
  <c r="L2737" i="2"/>
  <c r="O2737" i="2" s="1"/>
  <c r="L2738" i="2"/>
  <c r="O2738" i="2" s="1"/>
  <c r="L2739" i="2"/>
  <c r="O2739" i="2" s="1"/>
  <c r="L2740" i="2"/>
  <c r="O2740" i="2" s="1"/>
  <c r="L2741" i="2"/>
  <c r="O2741" i="2" s="1"/>
  <c r="L2742" i="2"/>
  <c r="O2742" i="2" s="1"/>
  <c r="L2743" i="2"/>
  <c r="O2743" i="2" s="1"/>
  <c r="L2744" i="2"/>
  <c r="O2744" i="2" s="1"/>
  <c r="L2745" i="2"/>
  <c r="O2745" i="2" s="1"/>
  <c r="L2746" i="2"/>
  <c r="O2746" i="2" s="1"/>
  <c r="L2747" i="2"/>
  <c r="O2747" i="2" s="1"/>
  <c r="L2748" i="2"/>
  <c r="O2748" i="2" s="1"/>
  <c r="L2749" i="2"/>
  <c r="O2749" i="2" s="1"/>
  <c r="L2750" i="2"/>
  <c r="O2750" i="2" s="1"/>
  <c r="L2751" i="2"/>
  <c r="O2751" i="2" s="1"/>
  <c r="L2752" i="2"/>
  <c r="O2752" i="2" s="1"/>
  <c r="L2753" i="2"/>
  <c r="O2753" i="2" s="1"/>
  <c r="L2754" i="2"/>
  <c r="O2754" i="2" s="1"/>
  <c r="L2755" i="2"/>
  <c r="O2755" i="2" s="1"/>
  <c r="L2756" i="2"/>
  <c r="O2756" i="2" s="1"/>
  <c r="L2757" i="2"/>
  <c r="O2757" i="2" s="1"/>
  <c r="L2758" i="2"/>
  <c r="O2758" i="2" s="1"/>
  <c r="L2759" i="2"/>
  <c r="O2759" i="2" s="1"/>
  <c r="L2760" i="2"/>
  <c r="O2760" i="2" s="1"/>
  <c r="L2761" i="2"/>
  <c r="O2761" i="2" s="1"/>
  <c r="L2762" i="2"/>
  <c r="O2762" i="2" s="1"/>
  <c r="L2763" i="2"/>
  <c r="O2763" i="2" s="1"/>
  <c r="L2764" i="2"/>
  <c r="O2764" i="2" s="1"/>
  <c r="L2765" i="2"/>
  <c r="O2765" i="2" s="1"/>
  <c r="L2766" i="2"/>
  <c r="O2766" i="2" s="1"/>
  <c r="L2767" i="2"/>
  <c r="O2767" i="2" s="1"/>
  <c r="L2768" i="2"/>
  <c r="O2768" i="2" s="1"/>
  <c r="L2769" i="2"/>
  <c r="O2769" i="2" s="1"/>
  <c r="L2770" i="2"/>
  <c r="O2770" i="2" s="1"/>
  <c r="L2771" i="2"/>
  <c r="O2771" i="2" s="1"/>
  <c r="L2772" i="2"/>
  <c r="O2772" i="2" s="1"/>
  <c r="L2773" i="2"/>
  <c r="O2773" i="2" s="1"/>
  <c r="L2774" i="2"/>
  <c r="O2774" i="2" s="1"/>
  <c r="L2775" i="2"/>
  <c r="O2775" i="2" s="1"/>
  <c r="L2776" i="2"/>
  <c r="O2776" i="2" s="1"/>
  <c r="L2777" i="2"/>
  <c r="O2777" i="2" s="1"/>
  <c r="L2778" i="2"/>
  <c r="O2778" i="2" s="1"/>
  <c r="L2779" i="2"/>
  <c r="O2779" i="2" s="1"/>
  <c r="L2780" i="2"/>
  <c r="O2780" i="2" s="1"/>
  <c r="L2781" i="2"/>
  <c r="O2781" i="2" s="1"/>
  <c r="L2782" i="2"/>
  <c r="O2782" i="2" s="1"/>
  <c r="L2783" i="2"/>
  <c r="O2783" i="2" s="1"/>
  <c r="L2784" i="2"/>
  <c r="O2784" i="2" s="1"/>
  <c r="L2785" i="2"/>
  <c r="O2785" i="2" s="1"/>
  <c r="L2786" i="2"/>
  <c r="O2786" i="2" s="1"/>
  <c r="L2787" i="2"/>
  <c r="O2787" i="2" s="1"/>
  <c r="L2788" i="2"/>
  <c r="O2788" i="2" s="1"/>
  <c r="L2789" i="2"/>
  <c r="O2789" i="2" s="1"/>
  <c r="L2790" i="2"/>
  <c r="O2790" i="2" s="1"/>
  <c r="L2791" i="2"/>
  <c r="O2791" i="2" s="1"/>
  <c r="L2792" i="2"/>
  <c r="O2792" i="2" s="1"/>
  <c r="L2793" i="2"/>
  <c r="O2793" i="2" s="1"/>
  <c r="L2794" i="2"/>
  <c r="O2794" i="2" s="1"/>
  <c r="L2795" i="2"/>
  <c r="O2795" i="2" s="1"/>
  <c r="L2796" i="2"/>
  <c r="O2796" i="2" s="1"/>
  <c r="L2797" i="2"/>
  <c r="O2797" i="2" s="1"/>
  <c r="L2798" i="2"/>
  <c r="O2798" i="2" s="1"/>
  <c r="L2799" i="2"/>
  <c r="O2799" i="2" s="1"/>
  <c r="L2800" i="2"/>
  <c r="O2800" i="2" s="1"/>
  <c r="L2801" i="2"/>
  <c r="O2801" i="2" s="1"/>
  <c r="L2802" i="2"/>
  <c r="O2802" i="2" s="1"/>
  <c r="L2803" i="2"/>
  <c r="O2803" i="2" s="1"/>
  <c r="L2804" i="2"/>
  <c r="O2804" i="2" s="1"/>
  <c r="L2805" i="2"/>
  <c r="O2805" i="2" s="1"/>
  <c r="L2806" i="2"/>
  <c r="O2806" i="2" s="1"/>
  <c r="L2807" i="2"/>
  <c r="O2807" i="2" s="1"/>
  <c r="L2808" i="2"/>
  <c r="O2808" i="2" s="1"/>
  <c r="L2809" i="2"/>
  <c r="O2809" i="2" s="1"/>
  <c r="L2810" i="2"/>
  <c r="O2810" i="2" s="1"/>
  <c r="L2811" i="2"/>
  <c r="O2811" i="2" s="1"/>
  <c r="L2812" i="2"/>
  <c r="O2812" i="2" s="1"/>
  <c r="L2813" i="2"/>
  <c r="O2813" i="2" s="1"/>
  <c r="L2814" i="2"/>
  <c r="O2814" i="2" s="1"/>
  <c r="L2815" i="2"/>
  <c r="O2815" i="2" s="1"/>
  <c r="L2816" i="2"/>
  <c r="O2816" i="2" s="1"/>
  <c r="L2817" i="2"/>
  <c r="O2817" i="2" s="1"/>
  <c r="L2818" i="2"/>
  <c r="O2818" i="2" s="1"/>
  <c r="L2819" i="2"/>
  <c r="O2819" i="2" s="1"/>
  <c r="L2820" i="2"/>
  <c r="O2820" i="2" s="1"/>
  <c r="L2821" i="2"/>
  <c r="O2821" i="2" s="1"/>
  <c r="L2822" i="2"/>
  <c r="O2822" i="2" s="1"/>
  <c r="L2823" i="2"/>
  <c r="O2823" i="2" s="1"/>
  <c r="L2824" i="2"/>
  <c r="O2824" i="2" s="1"/>
  <c r="L2825" i="2"/>
  <c r="O2825" i="2" s="1"/>
  <c r="L2826" i="2"/>
  <c r="O2826" i="2" s="1"/>
  <c r="L2827" i="2"/>
  <c r="O2827" i="2" s="1"/>
  <c r="L2828" i="2"/>
  <c r="O2828" i="2" s="1"/>
  <c r="L2829" i="2"/>
  <c r="O2829" i="2" s="1"/>
  <c r="L2830" i="2"/>
  <c r="O2830" i="2" s="1"/>
  <c r="L2831" i="2"/>
  <c r="O2831" i="2" s="1"/>
  <c r="L2832" i="2"/>
  <c r="O2832" i="2" s="1"/>
  <c r="L2833" i="2"/>
  <c r="O2833" i="2" s="1"/>
  <c r="L2834" i="2"/>
  <c r="O2834" i="2" s="1"/>
  <c r="L2835" i="2"/>
  <c r="O2835" i="2" s="1"/>
  <c r="L2836" i="2"/>
  <c r="O2836" i="2" s="1"/>
  <c r="L2837" i="2"/>
  <c r="O2837" i="2" s="1"/>
  <c r="L2838" i="2"/>
  <c r="O2838" i="2" s="1"/>
  <c r="L2839" i="2"/>
  <c r="O2839" i="2" s="1"/>
  <c r="L2840" i="2"/>
  <c r="O2840" i="2" s="1"/>
  <c r="L2841" i="2"/>
  <c r="O2841" i="2" s="1"/>
  <c r="L2842" i="2"/>
  <c r="O2842" i="2" s="1"/>
  <c r="L2843" i="2"/>
  <c r="O2843" i="2" s="1"/>
  <c r="L2844" i="2"/>
  <c r="O2844" i="2" s="1"/>
  <c r="L2845" i="2"/>
  <c r="O2845" i="2" s="1"/>
  <c r="L2846" i="2"/>
  <c r="O2846" i="2" s="1"/>
  <c r="L2847" i="2"/>
  <c r="O2847" i="2" s="1"/>
  <c r="L2848" i="2"/>
  <c r="O2848" i="2" s="1"/>
  <c r="L2849" i="2"/>
  <c r="O2849" i="2" s="1"/>
  <c r="L2850" i="2"/>
  <c r="O2850" i="2" s="1"/>
  <c r="L2851" i="2"/>
  <c r="O2851" i="2" s="1"/>
  <c r="L2852" i="2"/>
  <c r="O2852" i="2" s="1"/>
  <c r="L2853" i="2"/>
  <c r="O2853" i="2" s="1"/>
  <c r="L2854" i="2"/>
  <c r="O2854" i="2" s="1"/>
  <c r="L2855" i="2"/>
  <c r="O2855" i="2" s="1"/>
  <c r="L2856" i="2"/>
  <c r="O2856" i="2" s="1"/>
  <c r="L2857" i="2"/>
  <c r="O2857" i="2" s="1"/>
  <c r="L2858" i="2"/>
  <c r="O2858" i="2" s="1"/>
  <c r="L2859" i="2"/>
  <c r="O2859" i="2" s="1"/>
  <c r="L2860" i="2"/>
  <c r="O2860" i="2" s="1"/>
  <c r="L2861" i="2"/>
  <c r="O2861" i="2" s="1"/>
  <c r="L2862" i="2"/>
  <c r="O2862" i="2" s="1"/>
  <c r="L2863" i="2"/>
  <c r="O2863" i="2" s="1"/>
  <c r="L2864" i="2"/>
  <c r="O2864" i="2" s="1"/>
  <c r="L2865" i="2"/>
  <c r="O2865" i="2" s="1"/>
  <c r="L2866" i="2"/>
  <c r="O2866" i="2" s="1"/>
  <c r="L2867" i="2"/>
  <c r="O2867" i="2" s="1"/>
  <c r="L2868" i="2"/>
  <c r="O2868" i="2" s="1"/>
  <c r="L2869" i="2"/>
  <c r="O2869" i="2" s="1"/>
  <c r="L2870" i="2"/>
  <c r="O2870" i="2" s="1"/>
  <c r="L2871" i="2"/>
  <c r="O2871" i="2" s="1"/>
  <c r="L2872" i="2"/>
  <c r="O2872" i="2" s="1"/>
  <c r="L2873" i="2"/>
  <c r="O2873" i="2" s="1"/>
  <c r="L2874" i="2"/>
  <c r="O2874" i="2" s="1"/>
  <c r="L2875" i="2"/>
  <c r="O2875" i="2" s="1"/>
  <c r="L2876" i="2"/>
  <c r="O2876" i="2" s="1"/>
  <c r="L2877" i="2"/>
  <c r="O2877" i="2" s="1"/>
  <c r="L2878" i="2"/>
  <c r="O2878" i="2" s="1"/>
  <c r="L2879" i="2"/>
  <c r="O2879" i="2" s="1"/>
  <c r="L2880" i="2"/>
  <c r="O2880" i="2" s="1"/>
  <c r="L2881" i="2"/>
  <c r="O2881" i="2" s="1"/>
  <c r="L2882" i="2"/>
  <c r="O2882" i="2" s="1"/>
  <c r="L2883" i="2"/>
  <c r="O2883" i="2" s="1"/>
  <c r="L2884" i="2"/>
  <c r="O2884" i="2" s="1"/>
  <c r="L2885" i="2"/>
  <c r="O2885" i="2" s="1"/>
  <c r="L2886" i="2"/>
  <c r="O2886" i="2" s="1"/>
  <c r="L2887" i="2"/>
  <c r="O2887" i="2" s="1"/>
  <c r="L2888" i="2"/>
  <c r="O2888" i="2" s="1"/>
  <c r="L2889" i="2"/>
  <c r="O2889" i="2" s="1"/>
  <c r="L2890" i="2"/>
  <c r="O2890" i="2" s="1"/>
  <c r="L2891" i="2"/>
  <c r="O2891" i="2" s="1"/>
  <c r="L2892" i="2"/>
  <c r="O2892" i="2" s="1"/>
  <c r="L2893" i="2"/>
  <c r="O2893" i="2" s="1"/>
  <c r="L2894" i="2"/>
  <c r="O2894" i="2" s="1"/>
  <c r="L2895" i="2"/>
  <c r="O2895" i="2" s="1"/>
  <c r="L2896" i="2"/>
  <c r="O2896" i="2" s="1"/>
  <c r="L2897" i="2"/>
  <c r="O2897" i="2" s="1"/>
  <c r="L2898" i="2"/>
  <c r="O2898" i="2" s="1"/>
  <c r="L2899" i="2"/>
  <c r="O2899" i="2" s="1"/>
  <c r="L2900" i="2"/>
  <c r="O2900" i="2" s="1"/>
  <c r="L2901" i="2"/>
  <c r="O2901" i="2" s="1"/>
  <c r="L2902" i="2"/>
  <c r="O2902" i="2" s="1"/>
  <c r="L2903" i="2"/>
  <c r="O2903" i="2" s="1"/>
  <c r="L2904" i="2"/>
  <c r="O2904" i="2" s="1"/>
  <c r="L2905" i="2"/>
  <c r="O2905" i="2" s="1"/>
  <c r="L2906" i="2"/>
  <c r="O2906" i="2" s="1"/>
  <c r="L2907" i="2"/>
  <c r="O2907" i="2" s="1"/>
  <c r="L2908" i="2"/>
  <c r="O2908" i="2" s="1"/>
  <c r="L2909" i="2"/>
  <c r="O2909" i="2" s="1"/>
  <c r="L2910" i="2"/>
  <c r="O2910" i="2" s="1"/>
  <c r="L2911" i="2"/>
  <c r="O2911" i="2" s="1"/>
  <c r="L2912" i="2"/>
  <c r="O2912" i="2" s="1"/>
  <c r="L2913" i="2"/>
  <c r="O2913" i="2" s="1"/>
  <c r="L2914" i="2"/>
  <c r="O2914" i="2" s="1"/>
  <c r="L2915" i="2"/>
  <c r="O2915" i="2" s="1"/>
  <c r="L2916" i="2"/>
  <c r="O2916" i="2" s="1"/>
  <c r="L2917" i="2"/>
  <c r="O2917" i="2" s="1"/>
  <c r="L2918" i="2"/>
  <c r="O2918" i="2" s="1"/>
  <c r="L2919" i="2"/>
  <c r="O2919" i="2" s="1"/>
  <c r="L2920" i="2"/>
  <c r="O2920" i="2" s="1"/>
  <c r="L2921" i="2"/>
  <c r="O2921" i="2" s="1"/>
  <c r="L2922" i="2"/>
  <c r="O2922" i="2" s="1"/>
  <c r="L2923" i="2"/>
  <c r="O2923" i="2" s="1"/>
  <c r="L2924" i="2"/>
  <c r="O2924" i="2" s="1"/>
  <c r="L2925" i="2"/>
  <c r="O2925" i="2" s="1"/>
  <c r="L2926" i="2"/>
  <c r="O2926" i="2" s="1"/>
  <c r="L2927" i="2"/>
  <c r="O2927" i="2" s="1"/>
  <c r="L2928" i="2"/>
  <c r="O2928" i="2" s="1"/>
  <c r="L2929" i="2"/>
  <c r="O2929" i="2" s="1"/>
  <c r="L2930" i="2"/>
  <c r="O2930" i="2" s="1"/>
  <c r="L2931" i="2"/>
  <c r="O2931" i="2" s="1"/>
  <c r="L2932" i="2"/>
  <c r="O2932" i="2" s="1"/>
  <c r="L2933" i="2"/>
  <c r="O2933" i="2" s="1"/>
  <c r="L2934" i="2"/>
  <c r="O2934" i="2" s="1"/>
  <c r="L2935" i="2"/>
  <c r="O2935" i="2" s="1"/>
  <c r="L2936" i="2"/>
  <c r="O2936" i="2" s="1"/>
  <c r="L2937" i="2"/>
  <c r="O2937" i="2" s="1"/>
  <c r="L2938" i="2"/>
  <c r="O2938" i="2" s="1"/>
  <c r="L2939" i="2"/>
  <c r="O2939" i="2" s="1"/>
  <c r="L2940" i="2"/>
  <c r="O2940" i="2" s="1"/>
  <c r="L2941" i="2"/>
  <c r="O2941" i="2" s="1"/>
  <c r="L2942" i="2"/>
  <c r="O2942" i="2" s="1"/>
  <c r="L2943" i="2"/>
  <c r="O2943" i="2" s="1"/>
  <c r="L2944" i="2"/>
  <c r="O2944" i="2" s="1"/>
  <c r="L2945" i="2"/>
  <c r="O2945" i="2" s="1"/>
  <c r="L2946" i="2"/>
  <c r="O2946" i="2" s="1"/>
  <c r="L2947" i="2"/>
  <c r="O2947" i="2" s="1"/>
  <c r="L2948" i="2"/>
  <c r="O2948" i="2" s="1"/>
  <c r="L2949" i="2"/>
  <c r="O2949" i="2" s="1"/>
  <c r="L2950" i="2"/>
  <c r="O2950" i="2" s="1"/>
  <c r="L2951" i="2"/>
  <c r="O2951" i="2" s="1"/>
  <c r="L2952" i="2"/>
  <c r="O2952" i="2" s="1"/>
  <c r="L2953" i="2"/>
  <c r="O2953" i="2" s="1"/>
  <c r="L2954" i="2"/>
  <c r="O2954" i="2" s="1"/>
  <c r="L2955" i="2"/>
  <c r="O2955" i="2" s="1"/>
  <c r="L2956" i="2"/>
  <c r="O2956" i="2" s="1"/>
  <c r="L2957" i="2"/>
  <c r="O2957" i="2" s="1"/>
  <c r="L2958" i="2"/>
  <c r="O2958" i="2" s="1"/>
  <c r="L2959" i="2"/>
  <c r="O2959" i="2" s="1"/>
  <c r="L2960" i="2"/>
  <c r="O2960" i="2" s="1"/>
  <c r="L2961" i="2"/>
  <c r="O2961" i="2" s="1"/>
  <c r="L2962" i="2"/>
  <c r="O2962" i="2" s="1"/>
  <c r="L2963" i="2"/>
  <c r="O2963" i="2" s="1"/>
  <c r="L2964" i="2"/>
  <c r="O2964" i="2" s="1"/>
  <c r="L2965" i="2"/>
  <c r="O2965" i="2" s="1"/>
  <c r="L2966" i="2"/>
  <c r="O2966" i="2" s="1"/>
  <c r="L2967" i="2"/>
  <c r="O2967" i="2" s="1"/>
  <c r="L2968" i="2"/>
  <c r="O2968" i="2" s="1"/>
  <c r="L2969" i="2"/>
  <c r="O2969" i="2" s="1"/>
  <c r="L2970" i="2"/>
  <c r="O2970" i="2" s="1"/>
  <c r="L2971" i="2"/>
  <c r="O2971" i="2" s="1"/>
  <c r="L2972" i="2"/>
  <c r="O2972" i="2" s="1"/>
  <c r="L2973" i="2"/>
  <c r="O2973" i="2" s="1"/>
  <c r="L2974" i="2"/>
  <c r="O2974" i="2" s="1"/>
  <c r="L2975" i="2"/>
  <c r="O2975" i="2" s="1"/>
  <c r="L2976" i="2"/>
  <c r="O2976" i="2" s="1"/>
  <c r="L2977" i="2"/>
  <c r="O2977" i="2" s="1"/>
  <c r="L2978" i="2"/>
  <c r="O2978" i="2" s="1"/>
  <c r="L2979" i="2"/>
  <c r="O2979" i="2" s="1"/>
  <c r="L2980" i="2"/>
  <c r="O2980" i="2" s="1"/>
  <c r="L2981" i="2"/>
  <c r="O2981" i="2" s="1"/>
  <c r="L2982" i="2"/>
  <c r="O2982" i="2" s="1"/>
  <c r="L2983" i="2"/>
  <c r="O2983" i="2" s="1"/>
  <c r="L2984" i="2"/>
  <c r="O2984" i="2" s="1"/>
  <c r="L2985" i="2"/>
  <c r="O2985" i="2" s="1"/>
  <c r="L2986" i="2"/>
  <c r="O2986" i="2" s="1"/>
  <c r="L2987" i="2"/>
  <c r="O2987" i="2" s="1"/>
  <c r="L2988" i="2"/>
  <c r="O2988" i="2" s="1"/>
  <c r="L2989" i="2"/>
  <c r="O2989" i="2" s="1"/>
  <c r="L2990" i="2"/>
  <c r="O2990" i="2" s="1"/>
  <c r="L2991" i="2"/>
  <c r="O2991" i="2" s="1"/>
  <c r="L2992" i="2"/>
  <c r="O2992" i="2" s="1"/>
  <c r="L2993" i="2"/>
  <c r="O2993" i="2" s="1"/>
  <c r="L2994" i="2"/>
  <c r="O2994" i="2" s="1"/>
  <c r="L2995" i="2"/>
  <c r="O2995" i="2" s="1"/>
  <c r="L2996" i="2"/>
  <c r="O2996" i="2" s="1"/>
  <c r="L2997" i="2"/>
  <c r="O2997" i="2" s="1"/>
  <c r="L2998" i="2"/>
  <c r="O2998" i="2" s="1"/>
  <c r="L2999" i="2"/>
  <c r="O2999" i="2" s="1"/>
  <c r="L3000" i="2"/>
  <c r="O3000" i="2" s="1"/>
  <c r="L3001" i="2"/>
  <c r="O3001" i="2" s="1"/>
  <c r="L3002" i="2"/>
  <c r="O3002" i="2" s="1"/>
  <c r="L3003" i="2"/>
  <c r="O3003" i="2" s="1"/>
  <c r="L3004" i="2"/>
  <c r="O3004" i="2" s="1"/>
  <c r="L3005" i="2"/>
  <c r="O3005" i="2" s="1"/>
  <c r="L3006" i="2"/>
  <c r="O3006" i="2" s="1"/>
  <c r="L3007" i="2"/>
  <c r="O3007" i="2" s="1"/>
  <c r="L3008" i="2"/>
  <c r="O3008" i="2" s="1"/>
  <c r="L3009" i="2"/>
  <c r="O3009" i="2" s="1"/>
  <c r="L3010" i="2"/>
  <c r="O3010" i="2" s="1"/>
  <c r="L3011" i="2"/>
  <c r="O3011" i="2" s="1"/>
  <c r="L3012" i="2"/>
  <c r="O3012" i="2" s="1"/>
  <c r="L3013" i="2"/>
  <c r="O3013" i="2" s="1"/>
  <c r="L3014" i="2"/>
  <c r="O3014" i="2" s="1"/>
  <c r="L3015" i="2"/>
  <c r="O3015" i="2" s="1"/>
  <c r="L3016" i="2"/>
  <c r="O3016" i="2" s="1"/>
  <c r="L3017" i="2"/>
  <c r="O3017" i="2" s="1"/>
  <c r="L3018" i="2"/>
  <c r="O3018" i="2" s="1"/>
  <c r="L3019" i="2"/>
  <c r="O3019" i="2" s="1"/>
  <c r="L3020" i="2"/>
  <c r="O3020" i="2" s="1"/>
  <c r="L3021" i="2"/>
  <c r="O3021" i="2" s="1"/>
  <c r="L3022" i="2"/>
  <c r="O3022" i="2" s="1"/>
  <c r="L3023" i="2"/>
  <c r="O3023" i="2" s="1"/>
  <c r="L3024" i="2"/>
  <c r="O3024" i="2" s="1"/>
  <c r="L3025" i="2"/>
  <c r="O3025" i="2" s="1"/>
  <c r="L3026" i="2"/>
  <c r="O3026" i="2" s="1"/>
  <c r="L3027" i="2"/>
  <c r="O3027" i="2" s="1"/>
  <c r="L3028" i="2"/>
  <c r="O3028" i="2" s="1"/>
  <c r="L3029" i="2"/>
  <c r="O3029" i="2" s="1"/>
  <c r="L3030" i="2"/>
  <c r="O3030" i="2" s="1"/>
  <c r="L3031" i="2"/>
  <c r="O3031" i="2" s="1"/>
  <c r="L3032" i="2"/>
  <c r="O3032" i="2" s="1"/>
  <c r="L3033" i="2"/>
  <c r="O3033" i="2" s="1"/>
  <c r="L3034" i="2"/>
  <c r="O3034" i="2" s="1"/>
  <c r="L3035" i="2"/>
  <c r="O3035" i="2" s="1"/>
  <c r="L3036" i="2"/>
  <c r="O3036" i="2" s="1"/>
  <c r="L3037" i="2"/>
  <c r="O3037" i="2" s="1"/>
  <c r="L3038" i="2"/>
  <c r="O3038" i="2" s="1"/>
  <c r="L3039" i="2"/>
  <c r="O3039" i="2" s="1"/>
  <c r="L3040" i="2"/>
  <c r="O3040" i="2" s="1"/>
  <c r="L3041" i="2"/>
  <c r="O3041" i="2" s="1"/>
  <c r="L3042" i="2"/>
  <c r="O3042" i="2" s="1"/>
  <c r="L3043" i="2"/>
  <c r="O3043" i="2" s="1"/>
  <c r="L3044" i="2"/>
  <c r="O3044" i="2" s="1"/>
  <c r="L3045" i="2"/>
  <c r="O3045" i="2" s="1"/>
  <c r="L3046" i="2"/>
  <c r="O3046" i="2" s="1"/>
  <c r="L3047" i="2"/>
  <c r="O3047" i="2" s="1"/>
  <c r="L3048" i="2"/>
  <c r="O3048" i="2" s="1"/>
  <c r="L3049" i="2"/>
  <c r="O3049" i="2" s="1"/>
  <c r="L3050" i="2"/>
  <c r="O3050" i="2" s="1"/>
  <c r="L3051" i="2"/>
  <c r="O3051" i="2" s="1"/>
  <c r="L3052" i="2"/>
  <c r="O3052" i="2" s="1"/>
  <c r="L3053" i="2"/>
  <c r="O3053" i="2" s="1"/>
  <c r="L3054" i="2"/>
  <c r="O3054" i="2" s="1"/>
  <c r="L3055" i="2"/>
  <c r="O3055" i="2" s="1"/>
  <c r="L3056" i="2"/>
  <c r="O3056" i="2" s="1"/>
  <c r="L3057" i="2"/>
  <c r="O3057" i="2" s="1"/>
  <c r="L3058" i="2"/>
  <c r="O3058" i="2" s="1"/>
  <c r="L3059" i="2"/>
  <c r="O3059" i="2" s="1"/>
  <c r="L3060" i="2"/>
  <c r="O3060" i="2" s="1"/>
  <c r="L3061" i="2"/>
  <c r="O3061" i="2" s="1"/>
  <c r="L3062" i="2"/>
  <c r="O3062" i="2" s="1"/>
  <c r="L3063" i="2"/>
  <c r="O3063" i="2" s="1"/>
  <c r="L3064" i="2"/>
  <c r="O3064" i="2" s="1"/>
  <c r="L3065" i="2"/>
  <c r="O3065" i="2" s="1"/>
  <c r="L3066" i="2"/>
  <c r="O3066" i="2" s="1"/>
  <c r="L3067" i="2"/>
  <c r="O3067" i="2" s="1"/>
  <c r="L3068" i="2"/>
  <c r="O3068" i="2" s="1"/>
  <c r="L3069" i="2"/>
  <c r="O3069" i="2" s="1"/>
  <c r="L3070" i="2"/>
  <c r="O3070" i="2" s="1"/>
  <c r="L3071" i="2"/>
  <c r="O3071" i="2" s="1"/>
  <c r="L3072" i="2"/>
  <c r="O3072" i="2" s="1"/>
  <c r="L3073" i="2"/>
  <c r="O3073" i="2" s="1"/>
  <c r="L3074" i="2"/>
  <c r="O3074" i="2" s="1"/>
  <c r="L3075" i="2"/>
  <c r="O3075" i="2" s="1"/>
  <c r="L3076" i="2"/>
  <c r="O3076" i="2" s="1"/>
  <c r="L3077" i="2"/>
  <c r="O3077" i="2" s="1"/>
  <c r="L3078" i="2"/>
  <c r="O3078" i="2" s="1"/>
  <c r="L3079" i="2"/>
  <c r="O3079" i="2" s="1"/>
  <c r="L3080" i="2"/>
  <c r="O3080" i="2" s="1"/>
  <c r="L3081" i="2"/>
  <c r="O3081" i="2" s="1"/>
  <c r="L3082" i="2"/>
  <c r="O3082" i="2" s="1"/>
  <c r="L3083" i="2"/>
  <c r="O3083" i="2" s="1"/>
  <c r="L3084" i="2"/>
  <c r="O3084" i="2" s="1"/>
  <c r="L3085" i="2"/>
  <c r="O3085" i="2" s="1"/>
  <c r="L3086" i="2"/>
  <c r="O3086" i="2" s="1"/>
  <c r="L3087" i="2"/>
  <c r="O3087" i="2" s="1"/>
  <c r="L3088" i="2"/>
  <c r="O3088" i="2" s="1"/>
  <c r="L3089" i="2"/>
  <c r="O3089" i="2" s="1"/>
  <c r="L3090" i="2"/>
  <c r="O3090" i="2" s="1"/>
  <c r="L3091" i="2"/>
  <c r="O3091" i="2" s="1"/>
  <c r="L3092" i="2"/>
  <c r="O3092" i="2" s="1"/>
  <c r="L3093" i="2"/>
  <c r="O3093" i="2" s="1"/>
  <c r="L3094" i="2"/>
  <c r="O3094" i="2" s="1"/>
  <c r="L3095" i="2"/>
  <c r="O3095" i="2" s="1"/>
  <c r="L3096" i="2"/>
  <c r="O3096" i="2" s="1"/>
  <c r="L3097" i="2"/>
  <c r="O3097" i="2" s="1"/>
  <c r="L3098" i="2"/>
  <c r="O3098" i="2" s="1"/>
  <c r="L3099" i="2"/>
  <c r="O3099" i="2" s="1"/>
  <c r="L3100" i="2"/>
  <c r="O3100" i="2" s="1"/>
  <c r="L3101" i="2"/>
  <c r="O3101" i="2" s="1"/>
  <c r="L3102" i="2"/>
  <c r="O3102" i="2" s="1"/>
  <c r="L3103" i="2"/>
  <c r="O3103" i="2" s="1"/>
  <c r="L3104" i="2"/>
  <c r="O3104" i="2" s="1"/>
  <c r="L3105" i="2"/>
  <c r="O3105" i="2" s="1"/>
  <c r="L3106" i="2"/>
  <c r="O3106" i="2" s="1"/>
  <c r="L3107" i="2"/>
  <c r="O3107" i="2" s="1"/>
  <c r="L3108" i="2"/>
  <c r="O3108" i="2" s="1"/>
  <c r="L3109" i="2"/>
  <c r="O3109" i="2" s="1"/>
  <c r="L3110" i="2"/>
  <c r="O3110" i="2" s="1"/>
  <c r="L3111" i="2"/>
  <c r="O3111" i="2" s="1"/>
  <c r="L3112" i="2"/>
  <c r="O3112" i="2" s="1"/>
  <c r="L3113" i="2"/>
  <c r="O3113" i="2" s="1"/>
  <c r="L3114" i="2"/>
  <c r="O3114" i="2" s="1"/>
  <c r="L3115" i="2"/>
  <c r="O3115" i="2" s="1"/>
  <c r="L3116" i="2"/>
  <c r="O3116" i="2" s="1"/>
  <c r="L3117" i="2"/>
  <c r="O3117" i="2" s="1"/>
  <c r="L3118" i="2"/>
  <c r="O3118" i="2" s="1"/>
  <c r="L3119" i="2"/>
  <c r="O3119" i="2" s="1"/>
  <c r="L3120" i="2"/>
  <c r="O3120" i="2" s="1"/>
  <c r="L3121" i="2"/>
  <c r="O3121" i="2" s="1"/>
  <c r="L3122" i="2"/>
  <c r="O3122" i="2" s="1"/>
  <c r="L3123" i="2"/>
  <c r="O3123" i="2" s="1"/>
  <c r="L3124" i="2"/>
  <c r="O3124" i="2" s="1"/>
  <c r="L3125" i="2"/>
  <c r="O3125" i="2" s="1"/>
  <c r="L3126" i="2"/>
  <c r="O3126" i="2" s="1"/>
  <c r="L3127" i="2"/>
  <c r="O3127" i="2" s="1"/>
  <c r="L3128" i="2"/>
  <c r="O3128" i="2" s="1"/>
  <c r="L3129" i="2"/>
  <c r="O3129" i="2" s="1"/>
  <c r="L3130" i="2"/>
  <c r="O3130" i="2" s="1"/>
  <c r="L3131" i="2"/>
  <c r="O3131" i="2" s="1"/>
  <c r="L3132" i="2"/>
  <c r="O3132" i="2" s="1"/>
  <c r="L3133" i="2"/>
  <c r="O3133" i="2" s="1"/>
  <c r="L3134" i="2"/>
  <c r="O3134" i="2" s="1"/>
  <c r="L3135" i="2"/>
  <c r="O3135" i="2" s="1"/>
  <c r="L3136" i="2"/>
  <c r="O3136" i="2" s="1"/>
  <c r="L3137" i="2"/>
  <c r="O3137" i="2" s="1"/>
  <c r="L3138" i="2"/>
  <c r="O3138" i="2" s="1"/>
  <c r="L3139" i="2"/>
  <c r="O3139" i="2" s="1"/>
  <c r="L3140" i="2"/>
  <c r="O3140" i="2" s="1"/>
  <c r="L3141" i="2"/>
  <c r="O3141" i="2" s="1"/>
  <c r="L3142" i="2"/>
  <c r="O3142" i="2" s="1"/>
  <c r="L3143" i="2"/>
  <c r="O3143" i="2" s="1"/>
  <c r="L3144" i="2"/>
  <c r="O3144" i="2" s="1"/>
  <c r="L3145" i="2"/>
  <c r="O3145" i="2" s="1"/>
  <c r="L3146" i="2"/>
  <c r="O3146" i="2" s="1"/>
  <c r="L3147" i="2"/>
  <c r="O3147" i="2" s="1"/>
  <c r="L3148" i="2"/>
  <c r="O3148" i="2" s="1"/>
  <c r="L3149" i="2"/>
  <c r="O3149" i="2" s="1"/>
  <c r="L3150" i="2"/>
  <c r="O3150" i="2" s="1"/>
  <c r="L3151" i="2"/>
  <c r="O3151" i="2" s="1"/>
  <c r="L3152" i="2"/>
  <c r="O3152" i="2" s="1"/>
  <c r="L3153" i="2"/>
  <c r="O3153" i="2" s="1"/>
  <c r="L3154" i="2"/>
  <c r="O3154" i="2" s="1"/>
  <c r="L3155" i="2"/>
  <c r="O3155" i="2" s="1"/>
  <c r="L3156" i="2"/>
  <c r="O3156" i="2" s="1"/>
  <c r="L3157" i="2"/>
  <c r="O3157" i="2" s="1"/>
  <c r="L3158" i="2"/>
  <c r="O3158" i="2" s="1"/>
  <c r="L3159" i="2"/>
  <c r="O3159" i="2" s="1"/>
  <c r="L3160" i="2"/>
  <c r="O3160" i="2" s="1"/>
  <c r="L3161" i="2"/>
  <c r="O3161" i="2" s="1"/>
  <c r="L3162" i="2"/>
  <c r="O3162" i="2" s="1"/>
  <c r="L3163" i="2"/>
  <c r="O3163" i="2" s="1"/>
  <c r="L3164" i="2"/>
  <c r="O3164" i="2" s="1"/>
  <c r="L3165" i="2"/>
  <c r="O3165" i="2" s="1"/>
  <c r="L3166" i="2"/>
  <c r="O3166" i="2" s="1"/>
  <c r="L3167" i="2"/>
  <c r="O3167" i="2" s="1"/>
  <c r="L3168" i="2"/>
  <c r="O3168" i="2" s="1"/>
  <c r="L3169" i="2"/>
  <c r="O3169" i="2" s="1"/>
  <c r="L3170" i="2"/>
  <c r="O3170" i="2" s="1"/>
  <c r="L3171" i="2"/>
  <c r="O3171" i="2" s="1"/>
  <c r="L3172" i="2"/>
  <c r="O3172" i="2" s="1"/>
  <c r="L3173" i="2"/>
  <c r="O3173" i="2" s="1"/>
  <c r="L3174" i="2"/>
  <c r="O3174" i="2" s="1"/>
  <c r="L3175" i="2"/>
  <c r="O3175" i="2" s="1"/>
  <c r="L3176" i="2"/>
  <c r="O3176" i="2" s="1"/>
  <c r="L3177" i="2"/>
  <c r="O3177" i="2" s="1"/>
  <c r="L3178" i="2"/>
  <c r="O3178" i="2" s="1"/>
  <c r="L3179" i="2"/>
  <c r="O3179" i="2" s="1"/>
  <c r="L3180" i="2"/>
  <c r="O3180" i="2" s="1"/>
  <c r="L3181" i="2"/>
  <c r="O3181" i="2" s="1"/>
  <c r="L3182" i="2"/>
  <c r="O3182" i="2" s="1"/>
  <c r="L3183" i="2"/>
  <c r="O3183" i="2" s="1"/>
  <c r="L3184" i="2"/>
  <c r="O3184" i="2" s="1"/>
  <c r="L3185" i="2"/>
  <c r="O3185" i="2" s="1"/>
  <c r="L3186" i="2"/>
  <c r="O3186" i="2" s="1"/>
  <c r="L3187" i="2"/>
  <c r="O3187" i="2" s="1"/>
  <c r="L3188" i="2"/>
  <c r="O3188" i="2" s="1"/>
  <c r="L3189" i="2"/>
  <c r="O3189" i="2" s="1"/>
  <c r="L3190" i="2"/>
  <c r="O3190" i="2" s="1"/>
  <c r="L3191" i="2"/>
  <c r="O3191" i="2" s="1"/>
  <c r="L3192" i="2"/>
  <c r="O3192" i="2" s="1"/>
  <c r="L3193" i="2"/>
  <c r="O3193" i="2" s="1"/>
  <c r="L3194" i="2"/>
  <c r="O3194" i="2" s="1"/>
  <c r="L3195" i="2"/>
  <c r="O3195" i="2" s="1"/>
  <c r="L3196" i="2"/>
  <c r="O3196" i="2" s="1"/>
  <c r="L3197" i="2"/>
  <c r="O3197" i="2" s="1"/>
  <c r="L3198" i="2"/>
  <c r="O3198" i="2" s="1"/>
  <c r="L3199" i="2"/>
  <c r="O3199" i="2" s="1"/>
  <c r="L3200" i="2"/>
  <c r="O3200" i="2" s="1"/>
  <c r="L3201" i="2"/>
  <c r="O3201" i="2" s="1"/>
  <c r="L3202" i="2"/>
  <c r="O3202" i="2" s="1"/>
  <c r="L3203" i="2"/>
  <c r="O3203" i="2" s="1"/>
  <c r="L3204" i="2"/>
  <c r="O3204" i="2" s="1"/>
  <c r="L3205" i="2"/>
  <c r="O3205" i="2" s="1"/>
  <c r="L3206" i="2"/>
  <c r="O3206" i="2" s="1"/>
  <c r="L3207" i="2"/>
  <c r="O3207" i="2" s="1"/>
  <c r="L3208" i="2"/>
  <c r="O3208" i="2" s="1"/>
  <c r="L3209" i="2"/>
  <c r="O3209" i="2" s="1"/>
  <c r="L3210" i="2"/>
  <c r="O3210" i="2" s="1"/>
  <c r="L3211" i="2"/>
  <c r="O3211" i="2" s="1"/>
  <c r="L3212" i="2"/>
  <c r="O3212" i="2" s="1"/>
  <c r="L3213" i="2"/>
  <c r="O3213" i="2" s="1"/>
  <c r="L3214" i="2"/>
  <c r="O3214" i="2" s="1"/>
  <c r="L3215" i="2"/>
  <c r="O3215" i="2" s="1"/>
  <c r="L3216" i="2"/>
  <c r="O3216" i="2" s="1"/>
  <c r="L3217" i="2"/>
  <c r="O3217" i="2" s="1"/>
  <c r="L3218" i="2"/>
  <c r="O3218" i="2" s="1"/>
  <c r="L3219" i="2"/>
  <c r="O3219" i="2" s="1"/>
  <c r="L3220" i="2"/>
  <c r="O3220" i="2" s="1"/>
  <c r="L3221" i="2"/>
  <c r="O3221" i="2" s="1"/>
  <c r="L3222" i="2"/>
  <c r="O3222" i="2" s="1"/>
  <c r="L3223" i="2"/>
  <c r="O3223" i="2" s="1"/>
  <c r="L3224" i="2"/>
  <c r="O3224" i="2" s="1"/>
  <c r="L3225" i="2"/>
  <c r="O3225" i="2" s="1"/>
  <c r="L3226" i="2"/>
  <c r="O3226" i="2" s="1"/>
  <c r="L3227" i="2"/>
  <c r="O3227" i="2" s="1"/>
  <c r="L3228" i="2"/>
  <c r="O3228" i="2" s="1"/>
  <c r="L3229" i="2"/>
  <c r="O3229" i="2" s="1"/>
  <c r="L3230" i="2"/>
  <c r="O3230" i="2" s="1"/>
  <c r="L3231" i="2"/>
  <c r="O3231" i="2" s="1"/>
  <c r="L3232" i="2"/>
  <c r="O3232" i="2" s="1"/>
  <c r="L3233" i="2"/>
  <c r="O3233" i="2" s="1"/>
  <c r="L3234" i="2"/>
  <c r="O3234" i="2" s="1"/>
  <c r="L3235" i="2"/>
  <c r="O3235" i="2" s="1"/>
  <c r="L3236" i="2"/>
  <c r="O3236" i="2" s="1"/>
  <c r="L3237" i="2"/>
  <c r="O3237" i="2" s="1"/>
  <c r="L3238" i="2"/>
  <c r="O3238" i="2" s="1"/>
  <c r="L3239" i="2"/>
  <c r="O3239" i="2" s="1"/>
  <c r="L3240" i="2"/>
  <c r="O3240" i="2" s="1"/>
  <c r="L3241" i="2"/>
  <c r="O3241" i="2" s="1"/>
  <c r="L3242" i="2"/>
  <c r="O3242" i="2" s="1"/>
  <c r="L3243" i="2"/>
  <c r="O3243" i="2" s="1"/>
  <c r="L3244" i="2"/>
  <c r="O3244" i="2" s="1"/>
  <c r="L3245" i="2"/>
  <c r="O3245" i="2" s="1"/>
  <c r="L3246" i="2"/>
  <c r="O3246" i="2" s="1"/>
  <c r="L3247" i="2"/>
  <c r="O3247" i="2" s="1"/>
  <c r="L3248" i="2"/>
  <c r="O3248" i="2" s="1"/>
  <c r="L3249" i="2"/>
  <c r="O3249" i="2" s="1"/>
  <c r="L3250" i="2"/>
  <c r="O3250" i="2" s="1"/>
  <c r="L3251" i="2"/>
  <c r="O3251" i="2" s="1"/>
  <c r="L3252" i="2"/>
  <c r="O3252" i="2" s="1"/>
  <c r="L3253" i="2"/>
  <c r="O3253" i="2" s="1"/>
  <c r="L3254" i="2"/>
  <c r="O3254" i="2" s="1"/>
  <c r="L3255" i="2"/>
  <c r="O3255" i="2" s="1"/>
  <c r="L3256" i="2"/>
  <c r="O3256" i="2" s="1"/>
  <c r="L3257" i="2"/>
  <c r="O3257" i="2" s="1"/>
  <c r="L3258" i="2"/>
  <c r="O3258" i="2" s="1"/>
  <c r="L3259" i="2"/>
  <c r="O3259" i="2" s="1"/>
  <c r="L3260" i="2"/>
  <c r="O3260" i="2" s="1"/>
  <c r="L3261" i="2"/>
  <c r="O3261" i="2" s="1"/>
  <c r="L3262" i="2"/>
  <c r="O3262" i="2" s="1"/>
  <c r="L3263" i="2"/>
  <c r="O3263" i="2" s="1"/>
  <c r="L3264" i="2"/>
  <c r="O3264" i="2" s="1"/>
  <c r="L3265" i="2"/>
  <c r="O3265" i="2" s="1"/>
  <c r="L3266" i="2"/>
  <c r="O3266" i="2" s="1"/>
  <c r="L3267" i="2"/>
  <c r="O3267" i="2" s="1"/>
  <c r="L3268" i="2"/>
  <c r="O3268" i="2" s="1"/>
  <c r="L3269" i="2"/>
  <c r="O3269" i="2" s="1"/>
  <c r="L3270" i="2"/>
  <c r="O3270" i="2" s="1"/>
  <c r="L3271" i="2"/>
  <c r="O3271" i="2" s="1"/>
  <c r="L3272" i="2"/>
  <c r="O3272" i="2" s="1"/>
  <c r="L3273" i="2"/>
  <c r="O3273" i="2" s="1"/>
  <c r="L3274" i="2"/>
  <c r="O3274" i="2" s="1"/>
  <c r="L3275" i="2"/>
  <c r="O3275" i="2" s="1"/>
  <c r="L3276" i="2"/>
  <c r="O3276" i="2" s="1"/>
  <c r="L3277" i="2"/>
  <c r="O3277" i="2" s="1"/>
  <c r="L3278" i="2"/>
  <c r="O3278" i="2" s="1"/>
  <c r="L3279" i="2"/>
  <c r="O3279" i="2" s="1"/>
  <c r="L3280" i="2"/>
  <c r="O3280" i="2" s="1"/>
  <c r="L3281" i="2"/>
  <c r="O3281" i="2" s="1"/>
  <c r="L3282" i="2"/>
  <c r="O3282" i="2" s="1"/>
  <c r="L3283" i="2"/>
  <c r="O3283" i="2" s="1"/>
  <c r="L3284" i="2"/>
  <c r="O3284" i="2" s="1"/>
  <c r="L3285" i="2"/>
  <c r="O3285" i="2" s="1"/>
  <c r="L3286" i="2"/>
  <c r="O3286" i="2" s="1"/>
  <c r="L3287" i="2"/>
  <c r="O3287" i="2" s="1"/>
  <c r="L3288" i="2"/>
  <c r="O3288" i="2" s="1"/>
  <c r="L3289" i="2"/>
  <c r="O3289" i="2" s="1"/>
  <c r="L3290" i="2"/>
  <c r="O3290" i="2" s="1"/>
  <c r="L3291" i="2"/>
  <c r="O3291" i="2" s="1"/>
  <c r="L3292" i="2"/>
  <c r="O3292" i="2" s="1"/>
  <c r="L3293" i="2"/>
  <c r="O3293" i="2" s="1"/>
  <c r="L3294" i="2"/>
  <c r="O3294" i="2" s="1"/>
  <c r="L3295" i="2"/>
  <c r="O3295" i="2" s="1"/>
  <c r="L3296" i="2"/>
  <c r="O3296" i="2" s="1"/>
  <c r="L3297" i="2"/>
  <c r="O3297" i="2" s="1"/>
  <c r="L3298" i="2"/>
  <c r="O3298" i="2" s="1"/>
  <c r="L3299" i="2"/>
  <c r="O3299" i="2" s="1"/>
  <c r="L3300" i="2"/>
  <c r="O3300" i="2" s="1"/>
  <c r="L3301" i="2"/>
  <c r="O3301" i="2" s="1"/>
  <c r="L3302" i="2"/>
  <c r="O3302" i="2" s="1"/>
  <c r="L3303" i="2"/>
  <c r="O3303" i="2" s="1"/>
  <c r="L3304" i="2"/>
  <c r="O3304" i="2" s="1"/>
  <c r="L3305" i="2"/>
  <c r="O3305" i="2" s="1"/>
  <c r="L3306" i="2"/>
  <c r="O3306" i="2" s="1"/>
  <c r="L3307" i="2"/>
  <c r="O3307" i="2" s="1"/>
  <c r="L3308" i="2"/>
  <c r="O3308" i="2" s="1"/>
  <c r="L3309" i="2"/>
  <c r="O3309" i="2" s="1"/>
  <c r="L3310" i="2"/>
  <c r="O3310" i="2" s="1"/>
  <c r="L3311" i="2"/>
  <c r="O3311" i="2" s="1"/>
  <c r="L3312" i="2"/>
  <c r="O3312" i="2" s="1"/>
  <c r="L3313" i="2"/>
  <c r="O3313" i="2" s="1"/>
  <c r="L3314" i="2"/>
  <c r="O3314" i="2" s="1"/>
  <c r="L3315" i="2"/>
  <c r="O3315" i="2" s="1"/>
  <c r="L3316" i="2"/>
  <c r="O3316" i="2" s="1"/>
  <c r="L3317" i="2"/>
  <c r="O3317" i="2" s="1"/>
  <c r="L3318" i="2"/>
  <c r="O3318" i="2" s="1"/>
  <c r="L3319" i="2"/>
  <c r="O3319" i="2" s="1"/>
  <c r="L3320" i="2"/>
  <c r="O3320" i="2" s="1"/>
  <c r="L3321" i="2"/>
  <c r="O3321" i="2" s="1"/>
  <c r="L3322" i="2"/>
  <c r="O3322" i="2" s="1"/>
  <c r="L3323" i="2"/>
  <c r="O3323" i="2" s="1"/>
  <c r="L3324" i="2"/>
  <c r="O3324" i="2" s="1"/>
  <c r="L3325" i="2"/>
  <c r="O3325" i="2" s="1"/>
  <c r="L3326" i="2"/>
  <c r="O3326" i="2" s="1"/>
  <c r="L3327" i="2"/>
  <c r="O3327" i="2" s="1"/>
  <c r="L3328" i="2"/>
  <c r="O3328" i="2" s="1"/>
  <c r="L3329" i="2"/>
  <c r="O3329" i="2" s="1"/>
  <c r="L3330" i="2"/>
  <c r="O3330" i="2" s="1"/>
  <c r="L3331" i="2"/>
  <c r="O3331" i="2" s="1"/>
  <c r="L3332" i="2"/>
  <c r="O3332" i="2" s="1"/>
  <c r="L3333" i="2"/>
  <c r="O3333" i="2" s="1"/>
  <c r="L3334" i="2"/>
  <c r="O3334" i="2" s="1"/>
  <c r="L3335" i="2"/>
  <c r="O3335" i="2" s="1"/>
  <c r="L3336" i="2"/>
  <c r="O3336" i="2" s="1"/>
  <c r="L3337" i="2"/>
  <c r="O3337" i="2" s="1"/>
  <c r="L3338" i="2"/>
  <c r="O3338" i="2" s="1"/>
  <c r="L3339" i="2"/>
  <c r="O3339" i="2" s="1"/>
  <c r="L3340" i="2"/>
  <c r="O3340" i="2" s="1"/>
  <c r="L3341" i="2"/>
  <c r="O3341" i="2" s="1"/>
  <c r="L3342" i="2"/>
  <c r="O3342" i="2" s="1"/>
  <c r="L3343" i="2"/>
  <c r="O3343" i="2" s="1"/>
  <c r="L3344" i="2"/>
  <c r="O3344" i="2" s="1"/>
  <c r="L3345" i="2"/>
  <c r="O3345" i="2" s="1"/>
  <c r="L3346" i="2"/>
  <c r="O3346" i="2" s="1"/>
  <c r="L3347" i="2"/>
  <c r="O3347" i="2" s="1"/>
  <c r="L3348" i="2"/>
  <c r="O3348" i="2" s="1"/>
  <c r="L3349" i="2"/>
  <c r="O3349" i="2" s="1"/>
  <c r="L3350" i="2"/>
  <c r="O3350" i="2" s="1"/>
  <c r="L3351" i="2"/>
  <c r="O3351" i="2" s="1"/>
  <c r="L3352" i="2"/>
  <c r="O3352" i="2" s="1"/>
  <c r="L3353" i="2"/>
  <c r="O3353" i="2" s="1"/>
  <c r="L3354" i="2"/>
  <c r="O3354" i="2" s="1"/>
  <c r="L3355" i="2"/>
  <c r="O3355" i="2" s="1"/>
  <c r="L3356" i="2"/>
  <c r="O3356" i="2" s="1"/>
  <c r="L3357" i="2"/>
  <c r="O3357" i="2" s="1"/>
  <c r="L3358" i="2"/>
  <c r="O3358" i="2" s="1"/>
  <c r="L3359" i="2"/>
  <c r="O3359" i="2" s="1"/>
  <c r="L3360" i="2"/>
  <c r="O3360" i="2" s="1"/>
  <c r="L3361" i="2"/>
  <c r="O3361" i="2" s="1"/>
  <c r="L3362" i="2"/>
  <c r="O3362" i="2" s="1"/>
  <c r="L3363" i="2"/>
  <c r="O3363" i="2" s="1"/>
  <c r="L3364" i="2"/>
  <c r="O3364" i="2" s="1"/>
  <c r="L3365" i="2"/>
  <c r="O3365" i="2" s="1"/>
  <c r="L3366" i="2"/>
  <c r="O3366" i="2" s="1"/>
  <c r="L3367" i="2"/>
  <c r="O3367" i="2" s="1"/>
  <c r="L3368" i="2"/>
  <c r="O3368" i="2" s="1"/>
  <c r="L3369" i="2"/>
  <c r="O3369" i="2" s="1"/>
  <c r="L3370" i="2"/>
  <c r="O3370" i="2" s="1"/>
  <c r="L3371" i="2"/>
  <c r="O3371" i="2" s="1"/>
  <c r="L3372" i="2"/>
  <c r="O3372" i="2" s="1"/>
  <c r="L3373" i="2"/>
  <c r="O3373" i="2" s="1"/>
  <c r="L3374" i="2"/>
  <c r="O3374" i="2" s="1"/>
  <c r="L3375" i="2"/>
  <c r="O3375" i="2" s="1"/>
  <c r="L3376" i="2"/>
  <c r="O3376" i="2" s="1"/>
  <c r="L3377" i="2"/>
  <c r="O3377" i="2" s="1"/>
  <c r="L3378" i="2"/>
  <c r="O3378" i="2" s="1"/>
  <c r="L3379" i="2"/>
  <c r="O3379" i="2" s="1"/>
  <c r="L3380" i="2"/>
  <c r="O3380" i="2" s="1"/>
  <c r="L3381" i="2"/>
  <c r="O3381" i="2" s="1"/>
  <c r="L3382" i="2"/>
  <c r="O3382" i="2" s="1"/>
  <c r="L3383" i="2"/>
  <c r="O3383" i="2" s="1"/>
  <c r="L3384" i="2"/>
  <c r="O3384" i="2" s="1"/>
  <c r="L3385" i="2"/>
  <c r="O3385" i="2" s="1"/>
  <c r="L3386" i="2"/>
  <c r="O3386" i="2" s="1"/>
  <c r="L3387" i="2"/>
  <c r="O3387" i="2" s="1"/>
  <c r="L3388" i="2"/>
  <c r="O3388" i="2" s="1"/>
  <c r="L3389" i="2"/>
  <c r="O3389" i="2" s="1"/>
  <c r="L3390" i="2"/>
  <c r="O3390" i="2" s="1"/>
  <c r="L3391" i="2"/>
  <c r="O3391" i="2" s="1"/>
  <c r="L3392" i="2"/>
  <c r="O3392" i="2" s="1"/>
  <c r="L3393" i="2"/>
  <c r="O3393" i="2" s="1"/>
  <c r="L3394" i="2"/>
  <c r="O3394" i="2" s="1"/>
  <c r="L3395" i="2"/>
  <c r="O3395" i="2" s="1"/>
  <c r="L3396" i="2"/>
  <c r="O3396" i="2" s="1"/>
  <c r="L3397" i="2"/>
  <c r="O3397" i="2" s="1"/>
  <c r="L3398" i="2"/>
  <c r="O3398" i="2" s="1"/>
  <c r="L3399" i="2"/>
  <c r="O3399" i="2" s="1"/>
  <c r="L3400" i="2"/>
  <c r="O3400" i="2" s="1"/>
  <c r="L3401" i="2"/>
  <c r="O3401" i="2" s="1"/>
  <c r="L3402" i="2"/>
  <c r="O3402" i="2" s="1"/>
  <c r="L3403" i="2"/>
  <c r="O3403" i="2" s="1"/>
  <c r="L3404" i="2"/>
  <c r="O3404" i="2" s="1"/>
  <c r="L3405" i="2"/>
  <c r="O3405" i="2" s="1"/>
  <c r="L3406" i="2"/>
  <c r="O3406" i="2" s="1"/>
  <c r="L3407" i="2"/>
  <c r="O3407" i="2" s="1"/>
  <c r="L3408" i="2"/>
  <c r="O3408" i="2" s="1"/>
  <c r="L3409" i="2"/>
  <c r="O3409" i="2" s="1"/>
  <c r="L3410" i="2"/>
  <c r="O3410" i="2" s="1"/>
  <c r="L3411" i="2"/>
  <c r="O3411" i="2" s="1"/>
  <c r="L3412" i="2"/>
  <c r="O3412" i="2" s="1"/>
  <c r="L3413" i="2"/>
  <c r="O3413" i="2" s="1"/>
  <c r="L3414" i="2"/>
  <c r="O3414" i="2" s="1"/>
  <c r="L3415" i="2"/>
  <c r="O3415" i="2" s="1"/>
  <c r="L3416" i="2"/>
  <c r="O3416" i="2" s="1"/>
  <c r="L3417" i="2"/>
  <c r="O3417" i="2" s="1"/>
  <c r="L3418" i="2"/>
  <c r="O3418" i="2" s="1"/>
  <c r="L3419" i="2"/>
  <c r="O3419" i="2" s="1"/>
  <c r="L3420" i="2"/>
  <c r="O3420" i="2" s="1"/>
  <c r="L3421" i="2"/>
  <c r="O3421" i="2" s="1"/>
  <c r="L3422" i="2"/>
  <c r="O3422" i="2" s="1"/>
  <c r="L3423" i="2"/>
  <c r="O3423" i="2" s="1"/>
  <c r="L3424" i="2"/>
  <c r="O3424" i="2" s="1"/>
  <c r="L3425" i="2"/>
  <c r="O3425" i="2" s="1"/>
  <c r="L3426" i="2"/>
  <c r="O3426" i="2" s="1"/>
  <c r="L3427" i="2"/>
  <c r="O3427" i="2" s="1"/>
  <c r="L3428" i="2"/>
  <c r="O3428" i="2" s="1"/>
  <c r="L3429" i="2"/>
  <c r="O3429" i="2" s="1"/>
  <c r="L3430" i="2"/>
  <c r="O3430" i="2" s="1"/>
  <c r="L3431" i="2"/>
  <c r="O3431" i="2" s="1"/>
  <c r="L3432" i="2"/>
  <c r="O3432" i="2" s="1"/>
  <c r="L3433" i="2"/>
  <c r="O3433" i="2" s="1"/>
  <c r="L3434" i="2"/>
  <c r="O3434" i="2" s="1"/>
  <c r="L3435" i="2"/>
  <c r="O3435" i="2" s="1"/>
  <c r="L3436" i="2"/>
  <c r="O3436" i="2" s="1"/>
  <c r="L3437" i="2"/>
  <c r="O3437" i="2" s="1"/>
  <c r="L3438" i="2"/>
  <c r="O3438" i="2" s="1"/>
  <c r="L3439" i="2"/>
  <c r="O3439" i="2" s="1"/>
  <c r="L3440" i="2"/>
  <c r="O3440" i="2" s="1"/>
  <c r="L3441" i="2"/>
  <c r="O3441" i="2" s="1"/>
  <c r="L3442" i="2"/>
  <c r="O3442" i="2" s="1"/>
  <c r="L3443" i="2"/>
  <c r="O3443" i="2" s="1"/>
  <c r="L3444" i="2"/>
  <c r="O3444" i="2" s="1"/>
  <c r="L3445" i="2"/>
  <c r="O3445" i="2" s="1"/>
  <c r="L3446" i="2"/>
  <c r="O3446" i="2" s="1"/>
  <c r="L3447" i="2"/>
  <c r="O3447" i="2" s="1"/>
  <c r="L3448" i="2"/>
  <c r="O3448" i="2" s="1"/>
  <c r="L3449" i="2"/>
  <c r="O3449" i="2" s="1"/>
  <c r="L3450" i="2"/>
  <c r="O3450" i="2" s="1"/>
  <c r="L3451" i="2"/>
  <c r="O3451" i="2" s="1"/>
  <c r="L3452" i="2"/>
  <c r="O3452" i="2" s="1"/>
  <c r="L3453" i="2"/>
  <c r="O3453" i="2" s="1"/>
  <c r="L3454" i="2"/>
  <c r="O3454" i="2" s="1"/>
  <c r="L3455" i="2"/>
  <c r="O3455" i="2" s="1"/>
  <c r="L3456" i="2"/>
  <c r="O3456" i="2" s="1"/>
  <c r="L3457" i="2"/>
  <c r="O3457" i="2" s="1"/>
  <c r="L3458" i="2"/>
  <c r="O3458" i="2" s="1"/>
  <c r="L3459" i="2"/>
  <c r="O3459" i="2" s="1"/>
  <c r="L3460" i="2"/>
  <c r="O3460" i="2" s="1"/>
  <c r="L3461" i="2"/>
  <c r="O3461" i="2" s="1"/>
  <c r="L3462" i="2"/>
  <c r="O3462" i="2" s="1"/>
  <c r="L3463" i="2"/>
  <c r="O3463" i="2" s="1"/>
  <c r="L3464" i="2"/>
  <c r="O3464" i="2" s="1"/>
  <c r="L3465" i="2"/>
  <c r="O3465" i="2" s="1"/>
  <c r="L3466" i="2"/>
  <c r="O3466" i="2" s="1"/>
  <c r="L3467" i="2"/>
  <c r="O3467" i="2" s="1"/>
  <c r="L3468" i="2"/>
  <c r="O3468" i="2" s="1"/>
  <c r="L3469" i="2"/>
  <c r="O3469" i="2" s="1"/>
  <c r="L3470" i="2"/>
  <c r="O3470" i="2" s="1"/>
  <c r="L3471" i="2"/>
  <c r="O3471" i="2" s="1"/>
  <c r="L3472" i="2"/>
  <c r="O3472" i="2" s="1"/>
  <c r="L3473" i="2"/>
  <c r="O3473" i="2" s="1"/>
  <c r="L3474" i="2"/>
  <c r="O3474" i="2" s="1"/>
  <c r="L3475" i="2"/>
  <c r="O3475" i="2" s="1"/>
  <c r="L3476" i="2"/>
  <c r="O3476" i="2" s="1"/>
  <c r="L3477" i="2"/>
  <c r="O3477" i="2" s="1"/>
  <c r="L3478" i="2"/>
  <c r="O3478" i="2" s="1"/>
  <c r="L3479" i="2"/>
  <c r="O3479" i="2" s="1"/>
  <c r="L3480" i="2"/>
  <c r="O3480" i="2" s="1"/>
  <c r="L3481" i="2"/>
  <c r="O3481" i="2" s="1"/>
  <c r="L3482" i="2"/>
  <c r="O3482" i="2" s="1"/>
  <c r="L3483" i="2"/>
  <c r="O3483" i="2" s="1"/>
  <c r="L3484" i="2"/>
  <c r="O3484" i="2" s="1"/>
  <c r="L3485" i="2"/>
  <c r="O3485" i="2" s="1"/>
  <c r="L3486" i="2"/>
  <c r="O3486" i="2" s="1"/>
  <c r="L3487" i="2"/>
  <c r="O3487" i="2" s="1"/>
  <c r="L3488" i="2"/>
  <c r="O3488" i="2" s="1"/>
  <c r="L3489" i="2"/>
  <c r="O3489" i="2" s="1"/>
  <c r="L3490" i="2"/>
  <c r="O3490" i="2" s="1"/>
  <c r="L3491" i="2"/>
  <c r="O3491" i="2" s="1"/>
  <c r="L3492" i="2"/>
  <c r="O3492" i="2" s="1"/>
  <c r="L3493" i="2"/>
  <c r="O3493" i="2" s="1"/>
  <c r="L3494" i="2"/>
  <c r="O3494" i="2" s="1"/>
  <c r="L3495" i="2"/>
  <c r="O3495" i="2" s="1"/>
  <c r="L3496" i="2"/>
  <c r="O3496" i="2" s="1"/>
  <c r="L3497" i="2"/>
  <c r="O3497" i="2" s="1"/>
  <c r="L3498" i="2"/>
  <c r="O3498" i="2" s="1"/>
  <c r="L3499" i="2"/>
  <c r="O3499" i="2" s="1"/>
  <c r="L3500" i="2"/>
  <c r="O3500" i="2" s="1"/>
  <c r="L3501" i="2"/>
  <c r="O3501" i="2" s="1"/>
  <c r="L3502" i="2"/>
  <c r="O3502" i="2" s="1"/>
  <c r="L3503" i="2"/>
  <c r="O3503" i="2" s="1"/>
  <c r="L3504" i="2"/>
  <c r="O3504" i="2" s="1"/>
  <c r="L3505" i="2"/>
  <c r="O3505" i="2" s="1"/>
  <c r="L3506" i="2"/>
  <c r="O3506" i="2" s="1"/>
  <c r="L3507" i="2"/>
  <c r="O3507" i="2" s="1"/>
  <c r="L3508" i="2"/>
  <c r="O3508" i="2" s="1"/>
  <c r="L3509" i="2"/>
  <c r="O3509" i="2" s="1"/>
  <c r="L3510" i="2"/>
  <c r="O3510" i="2" s="1"/>
  <c r="L3511" i="2"/>
  <c r="O3511" i="2" s="1"/>
  <c r="L3512" i="2"/>
  <c r="O3512" i="2" s="1"/>
  <c r="L3513" i="2"/>
  <c r="O3513" i="2" s="1"/>
  <c r="L3514" i="2"/>
  <c r="O3514" i="2" s="1"/>
  <c r="L3515" i="2"/>
  <c r="O3515" i="2" s="1"/>
  <c r="L3516" i="2"/>
  <c r="O3516" i="2" s="1"/>
  <c r="L3517" i="2"/>
  <c r="O3517" i="2" s="1"/>
  <c r="L3518" i="2"/>
  <c r="O3518" i="2" s="1"/>
  <c r="L3519" i="2"/>
  <c r="O3519" i="2" s="1"/>
  <c r="L3520" i="2"/>
  <c r="O3520" i="2" s="1"/>
  <c r="L3521" i="2"/>
  <c r="O3521" i="2" s="1"/>
  <c r="L3522" i="2"/>
  <c r="O3522" i="2" s="1"/>
  <c r="L3523" i="2"/>
  <c r="O3523" i="2" s="1"/>
  <c r="L3524" i="2"/>
  <c r="O3524" i="2" s="1"/>
  <c r="L3525" i="2"/>
  <c r="O3525" i="2" s="1"/>
  <c r="L3526" i="2"/>
  <c r="O3526" i="2" s="1"/>
  <c r="L3527" i="2"/>
  <c r="O3527" i="2" s="1"/>
  <c r="L3528" i="2"/>
  <c r="O3528" i="2" s="1"/>
  <c r="L3529" i="2"/>
  <c r="O3529" i="2" s="1"/>
  <c r="L3530" i="2"/>
  <c r="O3530" i="2" s="1"/>
  <c r="L3531" i="2"/>
  <c r="O3531" i="2" s="1"/>
  <c r="L3532" i="2"/>
  <c r="O3532" i="2" s="1"/>
  <c r="L3533" i="2"/>
  <c r="O3533" i="2" s="1"/>
  <c r="L3534" i="2"/>
  <c r="O3534" i="2" s="1"/>
  <c r="L3535" i="2"/>
  <c r="O3535" i="2" s="1"/>
  <c r="L3536" i="2"/>
  <c r="O3536" i="2" s="1"/>
  <c r="L3537" i="2"/>
  <c r="O3537" i="2" s="1"/>
  <c r="L3538" i="2"/>
  <c r="O3538" i="2" s="1"/>
  <c r="L3539" i="2"/>
  <c r="O3539" i="2" s="1"/>
  <c r="L3540" i="2"/>
  <c r="O3540" i="2" s="1"/>
  <c r="L3541" i="2"/>
  <c r="O3541" i="2" s="1"/>
  <c r="L3542" i="2"/>
  <c r="O3542" i="2" s="1"/>
  <c r="L3543" i="2"/>
  <c r="O3543" i="2" s="1"/>
  <c r="L3544" i="2"/>
  <c r="O3544" i="2" s="1"/>
  <c r="L3545" i="2"/>
  <c r="O3545" i="2" s="1"/>
  <c r="L3546" i="2"/>
  <c r="O3546" i="2" s="1"/>
  <c r="L3547" i="2"/>
  <c r="O3547" i="2" s="1"/>
  <c r="L3548" i="2"/>
  <c r="O3548" i="2" s="1"/>
  <c r="L3549" i="2"/>
  <c r="O3549" i="2" s="1"/>
  <c r="L3550" i="2"/>
  <c r="O3550" i="2" s="1"/>
  <c r="L3551" i="2"/>
  <c r="O3551" i="2" s="1"/>
  <c r="L3552" i="2"/>
  <c r="O3552" i="2" s="1"/>
  <c r="L3553" i="2"/>
  <c r="O3553" i="2" s="1"/>
  <c r="L3554" i="2"/>
  <c r="O3554" i="2" s="1"/>
  <c r="L3555" i="2"/>
  <c r="O3555" i="2" s="1"/>
  <c r="L3556" i="2"/>
  <c r="O3556" i="2" s="1"/>
  <c r="L3557" i="2"/>
  <c r="O3557" i="2" s="1"/>
  <c r="L3558" i="2"/>
  <c r="O3558" i="2" s="1"/>
  <c r="L3559" i="2"/>
  <c r="O3559" i="2" s="1"/>
  <c r="L3560" i="2"/>
  <c r="O3560" i="2" s="1"/>
  <c r="L3561" i="2"/>
  <c r="O3561" i="2" s="1"/>
  <c r="L3562" i="2"/>
  <c r="O3562" i="2" s="1"/>
  <c r="L3563" i="2"/>
  <c r="O3563" i="2" s="1"/>
  <c r="L3564" i="2"/>
  <c r="O3564" i="2" s="1"/>
  <c r="L3565" i="2"/>
  <c r="O3565" i="2" s="1"/>
  <c r="L3566" i="2"/>
  <c r="O3566" i="2" s="1"/>
  <c r="L3567" i="2"/>
  <c r="O3567" i="2" s="1"/>
  <c r="L3568" i="2"/>
  <c r="O3568" i="2" s="1"/>
  <c r="L3569" i="2"/>
  <c r="O3569" i="2" s="1"/>
  <c r="L3570" i="2"/>
  <c r="O3570" i="2" s="1"/>
  <c r="L3571" i="2"/>
  <c r="O3571" i="2" s="1"/>
  <c r="L3572" i="2"/>
  <c r="O3572" i="2" s="1"/>
  <c r="L3573" i="2"/>
  <c r="O3573" i="2" s="1"/>
  <c r="L3574" i="2"/>
  <c r="O3574" i="2" s="1"/>
  <c r="L3575" i="2"/>
  <c r="O3575" i="2" s="1"/>
  <c r="L3576" i="2"/>
  <c r="O3576" i="2" s="1"/>
  <c r="L3577" i="2"/>
  <c r="O3577" i="2" s="1"/>
  <c r="L3578" i="2"/>
  <c r="O3578" i="2" s="1"/>
  <c r="L3579" i="2"/>
  <c r="O3579" i="2" s="1"/>
  <c r="L3580" i="2"/>
  <c r="O3580" i="2" s="1"/>
  <c r="L3581" i="2"/>
  <c r="O3581" i="2" s="1"/>
  <c r="L3582" i="2"/>
  <c r="O3582" i="2" s="1"/>
  <c r="L3583" i="2"/>
  <c r="O3583" i="2" s="1"/>
  <c r="L3584" i="2"/>
  <c r="O3584" i="2" s="1"/>
  <c r="L3585" i="2"/>
  <c r="O3585" i="2" s="1"/>
  <c r="L3586" i="2"/>
  <c r="O3586" i="2" s="1"/>
  <c r="L3587" i="2"/>
  <c r="O3587" i="2" s="1"/>
  <c r="L3588" i="2"/>
  <c r="O3588" i="2" s="1"/>
  <c r="L3589" i="2"/>
  <c r="O3589" i="2" s="1"/>
  <c r="L3590" i="2"/>
  <c r="O3590" i="2" s="1"/>
  <c r="L3591" i="2"/>
  <c r="O3591" i="2" s="1"/>
  <c r="L3592" i="2"/>
  <c r="O3592" i="2" s="1"/>
  <c r="L3593" i="2"/>
  <c r="O3593" i="2" s="1"/>
  <c r="L3594" i="2"/>
  <c r="O3594" i="2" s="1"/>
  <c r="L3595" i="2"/>
  <c r="O3595" i="2" s="1"/>
  <c r="L3596" i="2"/>
  <c r="O3596" i="2" s="1"/>
  <c r="L3597" i="2"/>
  <c r="O3597" i="2" s="1"/>
  <c r="L3598" i="2"/>
  <c r="O3598" i="2" s="1"/>
  <c r="L3599" i="2"/>
  <c r="O3599" i="2" s="1"/>
  <c r="L3600" i="2"/>
  <c r="O3600" i="2" s="1"/>
  <c r="L3601" i="2"/>
  <c r="O3601" i="2" s="1"/>
  <c r="L3602" i="2"/>
  <c r="O3602" i="2" s="1"/>
  <c r="L3603" i="2"/>
  <c r="O3603" i="2" s="1"/>
  <c r="L3604" i="2"/>
  <c r="O3604" i="2" s="1"/>
  <c r="L3605" i="2"/>
  <c r="O3605" i="2" s="1"/>
  <c r="L3606" i="2"/>
  <c r="O3606" i="2" s="1"/>
  <c r="L3607" i="2"/>
  <c r="O3607" i="2" s="1"/>
  <c r="L3608" i="2"/>
  <c r="O3608" i="2" s="1"/>
  <c r="L3609" i="2"/>
  <c r="O3609" i="2" s="1"/>
  <c r="L3610" i="2"/>
  <c r="O3610" i="2" s="1"/>
  <c r="L3611" i="2"/>
  <c r="O3611" i="2" s="1"/>
  <c r="L3612" i="2"/>
  <c r="O3612" i="2" s="1"/>
  <c r="L3613" i="2"/>
  <c r="O3613" i="2" s="1"/>
  <c r="L3614" i="2"/>
  <c r="O3614" i="2" s="1"/>
  <c r="L3615" i="2"/>
  <c r="O3615" i="2" s="1"/>
  <c r="L3616" i="2"/>
  <c r="O3616" i="2" s="1"/>
  <c r="L3617" i="2"/>
  <c r="O3617" i="2" s="1"/>
  <c r="L3618" i="2"/>
  <c r="O3618" i="2" s="1"/>
  <c r="L3619" i="2"/>
  <c r="O3619" i="2" s="1"/>
  <c r="L3620" i="2"/>
  <c r="O3620" i="2" s="1"/>
  <c r="L3621" i="2"/>
  <c r="O3621" i="2" s="1"/>
  <c r="L3622" i="2"/>
  <c r="O3622" i="2" s="1"/>
  <c r="L3623" i="2"/>
  <c r="O3623" i="2" s="1"/>
  <c r="L3624" i="2"/>
  <c r="O3624" i="2" s="1"/>
  <c r="L3625" i="2"/>
  <c r="O3625" i="2" s="1"/>
  <c r="L3626" i="2"/>
  <c r="O3626" i="2" s="1"/>
  <c r="L3627" i="2"/>
  <c r="O3627" i="2" s="1"/>
  <c r="L3628" i="2"/>
  <c r="O3628" i="2" s="1"/>
  <c r="L3629" i="2"/>
  <c r="O3629" i="2" s="1"/>
  <c r="L3630" i="2"/>
  <c r="O3630" i="2" s="1"/>
  <c r="L3631" i="2"/>
  <c r="O3631" i="2" s="1"/>
  <c r="L3632" i="2"/>
  <c r="O3632" i="2" s="1"/>
  <c r="L3633" i="2"/>
  <c r="O3633" i="2" s="1"/>
  <c r="L3634" i="2"/>
  <c r="O3634" i="2" s="1"/>
  <c r="L3635" i="2"/>
  <c r="O3635" i="2" s="1"/>
  <c r="L3636" i="2"/>
  <c r="O3636" i="2" s="1"/>
  <c r="L3637" i="2"/>
  <c r="O3637" i="2" s="1"/>
  <c r="L3638" i="2"/>
  <c r="O3638" i="2" s="1"/>
  <c r="L3639" i="2"/>
  <c r="O3639" i="2" s="1"/>
  <c r="L3640" i="2"/>
  <c r="O3640" i="2" s="1"/>
  <c r="L3641" i="2"/>
  <c r="O3641" i="2" s="1"/>
  <c r="L3642" i="2"/>
  <c r="O3642" i="2" s="1"/>
  <c r="L3643" i="2"/>
  <c r="O3643" i="2" s="1"/>
  <c r="L3644" i="2"/>
  <c r="O3644" i="2" s="1"/>
  <c r="L3645" i="2"/>
  <c r="O3645" i="2" s="1"/>
  <c r="L3646" i="2"/>
  <c r="O3646" i="2" s="1"/>
  <c r="L3647" i="2"/>
  <c r="O3647" i="2" s="1"/>
  <c r="L3648" i="2"/>
  <c r="O3648" i="2" s="1"/>
  <c r="L3649" i="2"/>
  <c r="O3649" i="2" s="1"/>
  <c r="L3650" i="2"/>
  <c r="O3650" i="2" s="1"/>
  <c r="L3651" i="2"/>
  <c r="O3651" i="2" s="1"/>
  <c r="L3652" i="2"/>
  <c r="O3652" i="2" s="1"/>
  <c r="L3653" i="2"/>
  <c r="O3653" i="2" s="1"/>
  <c r="L3654" i="2"/>
  <c r="O3654" i="2" s="1"/>
  <c r="L3655" i="2"/>
  <c r="O3655" i="2" s="1"/>
  <c r="L3656" i="2"/>
  <c r="O3656" i="2" s="1"/>
  <c r="L3657" i="2"/>
  <c r="O3657" i="2" s="1"/>
  <c r="L3658" i="2"/>
  <c r="O3658" i="2" s="1"/>
  <c r="L3659" i="2"/>
  <c r="O3659" i="2" s="1"/>
  <c r="L3660" i="2"/>
  <c r="O3660" i="2" s="1"/>
  <c r="L3661" i="2"/>
  <c r="O3661" i="2" s="1"/>
  <c r="L3662" i="2"/>
  <c r="O3662" i="2" s="1"/>
  <c r="L3663" i="2"/>
  <c r="O3663" i="2" s="1"/>
  <c r="L3664" i="2"/>
  <c r="O3664" i="2" s="1"/>
  <c r="L3665" i="2"/>
  <c r="O3665" i="2" s="1"/>
  <c r="L3666" i="2"/>
  <c r="O3666" i="2" s="1"/>
  <c r="L3667" i="2"/>
  <c r="O3667" i="2" s="1"/>
  <c r="L3668" i="2"/>
  <c r="O3668" i="2" s="1"/>
  <c r="L3669" i="2"/>
  <c r="O3669" i="2" s="1"/>
  <c r="L3670" i="2"/>
  <c r="O3670" i="2" s="1"/>
  <c r="L3671" i="2"/>
  <c r="O3671" i="2" s="1"/>
  <c r="L3672" i="2"/>
  <c r="O3672" i="2" s="1"/>
  <c r="L3673" i="2"/>
  <c r="O3673" i="2" s="1"/>
  <c r="L3674" i="2"/>
  <c r="O3674" i="2" s="1"/>
  <c r="L3675" i="2"/>
  <c r="O3675" i="2" s="1"/>
  <c r="L3676" i="2"/>
  <c r="O3676" i="2" s="1"/>
  <c r="L3677" i="2"/>
  <c r="O3677" i="2" s="1"/>
  <c r="L3678" i="2"/>
  <c r="O3678" i="2" s="1"/>
  <c r="L3679" i="2"/>
  <c r="O3679" i="2" s="1"/>
  <c r="L3680" i="2"/>
  <c r="O3680" i="2" s="1"/>
  <c r="L3681" i="2"/>
  <c r="O3681" i="2" s="1"/>
  <c r="L3682" i="2"/>
  <c r="O3682" i="2" s="1"/>
  <c r="L3683" i="2"/>
  <c r="O3683" i="2" s="1"/>
  <c r="L3684" i="2"/>
  <c r="O3684" i="2" s="1"/>
  <c r="L3685" i="2"/>
  <c r="O3685" i="2" s="1"/>
  <c r="L3686" i="2"/>
  <c r="O3686" i="2" s="1"/>
  <c r="L3687" i="2"/>
  <c r="O3687" i="2" s="1"/>
  <c r="L3688" i="2"/>
  <c r="O3688" i="2" s="1"/>
  <c r="L3689" i="2"/>
  <c r="O3689" i="2" s="1"/>
  <c r="L3690" i="2"/>
  <c r="O3690" i="2" s="1"/>
  <c r="L3691" i="2"/>
  <c r="O3691" i="2" s="1"/>
  <c r="L3692" i="2"/>
  <c r="O3692" i="2" s="1"/>
  <c r="L3693" i="2"/>
  <c r="O3693" i="2" s="1"/>
  <c r="L3694" i="2"/>
  <c r="O3694" i="2" s="1"/>
  <c r="L3695" i="2"/>
  <c r="O3695" i="2" s="1"/>
  <c r="L3696" i="2"/>
  <c r="O3696" i="2" s="1"/>
  <c r="L3697" i="2"/>
  <c r="O3697" i="2" s="1"/>
  <c r="L3698" i="2"/>
  <c r="O3698" i="2" s="1"/>
  <c r="L3699" i="2"/>
  <c r="O3699" i="2" s="1"/>
  <c r="L3700" i="2"/>
  <c r="O3700" i="2" s="1"/>
  <c r="L3701" i="2"/>
  <c r="O3701" i="2" s="1"/>
  <c r="L3702" i="2"/>
  <c r="O3702" i="2" s="1"/>
  <c r="L3703" i="2"/>
  <c r="O3703" i="2" s="1"/>
  <c r="L3704" i="2"/>
  <c r="O3704" i="2" s="1"/>
  <c r="L3705" i="2"/>
  <c r="O3705" i="2" s="1"/>
  <c r="L3706" i="2"/>
  <c r="O3706" i="2" s="1"/>
  <c r="L3707" i="2"/>
  <c r="O3707" i="2" s="1"/>
  <c r="L3708" i="2"/>
  <c r="O3708" i="2" s="1"/>
  <c r="L3709" i="2"/>
  <c r="O3709" i="2" s="1"/>
  <c r="L3710" i="2"/>
  <c r="O3710" i="2" s="1"/>
  <c r="L3711" i="2"/>
  <c r="O3711" i="2" s="1"/>
  <c r="L3712" i="2"/>
  <c r="O3712" i="2" s="1"/>
  <c r="L3713" i="2"/>
  <c r="O3713" i="2" s="1"/>
  <c r="L3714" i="2"/>
  <c r="O3714" i="2" s="1"/>
  <c r="L3715" i="2"/>
  <c r="O3715" i="2" s="1"/>
  <c r="L3716" i="2"/>
  <c r="O3716" i="2" s="1"/>
  <c r="L3717" i="2"/>
  <c r="O3717" i="2" s="1"/>
  <c r="L3718" i="2"/>
  <c r="O3718" i="2" s="1"/>
  <c r="L3719" i="2"/>
  <c r="O3719" i="2" s="1"/>
  <c r="L3720" i="2"/>
  <c r="O3720" i="2" s="1"/>
  <c r="L3721" i="2"/>
  <c r="O3721" i="2" s="1"/>
  <c r="L3722" i="2"/>
  <c r="O3722" i="2" s="1"/>
  <c r="L3723" i="2"/>
  <c r="O3723" i="2" s="1"/>
  <c r="L3724" i="2"/>
  <c r="O3724" i="2" s="1"/>
  <c r="L3725" i="2"/>
  <c r="O3725" i="2" s="1"/>
  <c r="L3726" i="2"/>
  <c r="O3726" i="2" s="1"/>
  <c r="L3727" i="2"/>
  <c r="O3727" i="2" s="1"/>
  <c r="L3728" i="2"/>
  <c r="O3728" i="2" s="1"/>
  <c r="L3729" i="2"/>
  <c r="O3729" i="2" s="1"/>
  <c r="L3730" i="2"/>
  <c r="O3730" i="2" s="1"/>
  <c r="L3731" i="2"/>
  <c r="O3731" i="2" s="1"/>
  <c r="L3732" i="2"/>
  <c r="O3732" i="2" s="1"/>
  <c r="L3733" i="2"/>
  <c r="O3733" i="2" s="1"/>
  <c r="L3734" i="2"/>
  <c r="O3734" i="2" s="1"/>
  <c r="L3735" i="2"/>
  <c r="O3735" i="2" s="1"/>
  <c r="L3736" i="2"/>
  <c r="O3736" i="2" s="1"/>
  <c r="L3737" i="2"/>
  <c r="O3737" i="2" s="1"/>
  <c r="L3738" i="2"/>
  <c r="O3738" i="2" s="1"/>
  <c r="L3739" i="2"/>
  <c r="O3739" i="2" s="1"/>
  <c r="L3740" i="2"/>
  <c r="O3740" i="2" s="1"/>
  <c r="L3741" i="2"/>
  <c r="O3741" i="2" s="1"/>
  <c r="L3742" i="2"/>
  <c r="O3742" i="2" s="1"/>
  <c r="L3743" i="2"/>
  <c r="O3743" i="2" s="1"/>
  <c r="L3744" i="2"/>
  <c r="O3744" i="2" s="1"/>
  <c r="L3745" i="2"/>
  <c r="O3745" i="2" s="1"/>
  <c r="L3746" i="2"/>
  <c r="O3746" i="2" s="1"/>
  <c r="L3747" i="2"/>
  <c r="O3747" i="2" s="1"/>
  <c r="L3748" i="2"/>
  <c r="O3748" i="2" s="1"/>
  <c r="L3749" i="2"/>
  <c r="O3749" i="2" s="1"/>
  <c r="L3750" i="2"/>
  <c r="O3750" i="2" s="1"/>
  <c r="L3751" i="2"/>
  <c r="O3751" i="2" s="1"/>
  <c r="L3752" i="2"/>
  <c r="O3752" i="2" s="1"/>
  <c r="L3753" i="2"/>
  <c r="O3753" i="2" s="1"/>
  <c r="L3754" i="2"/>
  <c r="O3754" i="2" s="1"/>
  <c r="L3755" i="2"/>
  <c r="O3755" i="2" s="1"/>
  <c r="L3756" i="2"/>
  <c r="O3756" i="2" s="1"/>
  <c r="L3757" i="2"/>
  <c r="O3757" i="2" s="1"/>
  <c r="L3758" i="2"/>
  <c r="O3758" i="2" s="1"/>
  <c r="L3759" i="2"/>
  <c r="O3759" i="2" s="1"/>
  <c r="L3760" i="2"/>
  <c r="O3760" i="2" s="1"/>
  <c r="L3761" i="2"/>
  <c r="O3761" i="2" s="1"/>
  <c r="L3762" i="2"/>
  <c r="O3762" i="2" s="1"/>
  <c r="L3763" i="2"/>
  <c r="O3763" i="2" s="1"/>
  <c r="L3764" i="2"/>
  <c r="O3764" i="2" s="1"/>
  <c r="L3765" i="2"/>
  <c r="O3765" i="2" s="1"/>
  <c r="L3766" i="2"/>
  <c r="O3766" i="2" s="1"/>
  <c r="L3767" i="2"/>
  <c r="O3767" i="2" s="1"/>
  <c r="L3768" i="2"/>
  <c r="O3768" i="2" s="1"/>
  <c r="L3769" i="2"/>
  <c r="O3769" i="2" s="1"/>
  <c r="L3770" i="2"/>
  <c r="O3770" i="2" s="1"/>
  <c r="L3771" i="2"/>
  <c r="O3771" i="2" s="1"/>
  <c r="L3772" i="2"/>
  <c r="O3772" i="2" s="1"/>
  <c r="L3773" i="2"/>
  <c r="O3773" i="2" s="1"/>
  <c r="L3774" i="2"/>
  <c r="O3774" i="2" s="1"/>
  <c r="L3775" i="2"/>
  <c r="O3775" i="2" s="1"/>
  <c r="L3776" i="2"/>
  <c r="O3776" i="2" s="1"/>
  <c r="L3777" i="2"/>
  <c r="O3777" i="2" s="1"/>
  <c r="L3778" i="2"/>
  <c r="O3778" i="2" s="1"/>
  <c r="L3779" i="2"/>
  <c r="O3779" i="2" s="1"/>
  <c r="L3780" i="2"/>
  <c r="O3780" i="2" s="1"/>
  <c r="L3781" i="2"/>
  <c r="O3781" i="2" s="1"/>
  <c r="L3782" i="2"/>
  <c r="O3782" i="2" s="1"/>
  <c r="L3783" i="2"/>
  <c r="O3783" i="2" s="1"/>
  <c r="L3784" i="2"/>
  <c r="O3784" i="2" s="1"/>
  <c r="L3785" i="2"/>
  <c r="O3785" i="2" s="1"/>
  <c r="L3786" i="2"/>
  <c r="O3786" i="2" s="1"/>
  <c r="L3787" i="2"/>
  <c r="O3787" i="2" s="1"/>
  <c r="L3788" i="2"/>
  <c r="O3788" i="2" s="1"/>
  <c r="L3789" i="2"/>
  <c r="O3789" i="2" s="1"/>
  <c r="L3790" i="2"/>
  <c r="O3790" i="2" s="1"/>
  <c r="L3791" i="2"/>
  <c r="O3791" i="2" s="1"/>
  <c r="L3792" i="2"/>
  <c r="O3792" i="2" s="1"/>
  <c r="L3793" i="2"/>
  <c r="O3793" i="2" s="1"/>
  <c r="L3794" i="2"/>
  <c r="O3794" i="2" s="1"/>
  <c r="L3795" i="2"/>
  <c r="O3795" i="2" s="1"/>
  <c r="L3796" i="2"/>
  <c r="O3796" i="2" s="1"/>
  <c r="L3797" i="2"/>
  <c r="O3797" i="2" s="1"/>
  <c r="L3798" i="2"/>
  <c r="O3798" i="2" s="1"/>
  <c r="L3799" i="2"/>
  <c r="O3799" i="2" s="1"/>
  <c r="L3800" i="2"/>
  <c r="O3800" i="2" s="1"/>
  <c r="L3801" i="2"/>
  <c r="O3801" i="2" s="1"/>
  <c r="L3802" i="2"/>
  <c r="O3802" i="2" s="1"/>
  <c r="L3803" i="2"/>
  <c r="O3803" i="2" s="1"/>
  <c r="L3804" i="2"/>
  <c r="O3804" i="2" s="1"/>
  <c r="L3805" i="2"/>
  <c r="O3805" i="2" s="1"/>
  <c r="L3806" i="2"/>
  <c r="O3806" i="2" s="1"/>
  <c r="L3807" i="2"/>
  <c r="O3807" i="2" s="1"/>
  <c r="L3808" i="2"/>
  <c r="O3808" i="2" s="1"/>
  <c r="L3809" i="2"/>
  <c r="O3809" i="2" s="1"/>
  <c r="L3810" i="2"/>
  <c r="O3810" i="2" s="1"/>
  <c r="L3811" i="2"/>
  <c r="O3811" i="2" s="1"/>
  <c r="L3812" i="2"/>
  <c r="O3812" i="2" s="1"/>
  <c r="L3813" i="2"/>
  <c r="O3813" i="2" s="1"/>
  <c r="L3814" i="2"/>
  <c r="O3814" i="2" s="1"/>
  <c r="L3815" i="2"/>
  <c r="O3815" i="2" s="1"/>
  <c r="L3816" i="2"/>
  <c r="O3816" i="2" s="1"/>
  <c r="L3817" i="2"/>
  <c r="O3817" i="2" s="1"/>
  <c r="L3818" i="2"/>
  <c r="O3818" i="2" s="1"/>
  <c r="L3819" i="2"/>
  <c r="O3819" i="2" s="1"/>
  <c r="L3820" i="2"/>
  <c r="O3820" i="2" s="1"/>
  <c r="L3821" i="2"/>
  <c r="O3821" i="2" s="1"/>
  <c r="L3822" i="2"/>
  <c r="O3822" i="2" s="1"/>
  <c r="L3823" i="2"/>
  <c r="O3823" i="2" s="1"/>
  <c r="L3824" i="2"/>
  <c r="O3824" i="2" s="1"/>
  <c r="L3825" i="2"/>
  <c r="O3825" i="2" s="1"/>
  <c r="L3826" i="2"/>
  <c r="O3826" i="2" s="1"/>
  <c r="L3827" i="2"/>
  <c r="O3827" i="2" s="1"/>
  <c r="L3828" i="2"/>
  <c r="O3828" i="2" s="1"/>
  <c r="L3829" i="2"/>
  <c r="O3829" i="2" s="1"/>
  <c r="L3830" i="2"/>
  <c r="O3830" i="2" s="1"/>
  <c r="L3831" i="2"/>
  <c r="O3831" i="2" s="1"/>
  <c r="L3832" i="2"/>
  <c r="O3832" i="2" s="1"/>
  <c r="L3833" i="2"/>
  <c r="O3833" i="2" s="1"/>
  <c r="L3834" i="2"/>
  <c r="O3834" i="2" s="1"/>
  <c r="L3835" i="2"/>
  <c r="O3835" i="2" s="1"/>
  <c r="L3836" i="2"/>
  <c r="O3836" i="2" s="1"/>
  <c r="L3837" i="2"/>
  <c r="O3837" i="2" s="1"/>
  <c r="L3838" i="2"/>
  <c r="O3838" i="2" s="1"/>
  <c r="L3839" i="2"/>
  <c r="O3839" i="2" s="1"/>
  <c r="L3840" i="2"/>
  <c r="O3840" i="2" s="1"/>
  <c r="L3841" i="2"/>
  <c r="O3841" i="2" s="1"/>
  <c r="L3842" i="2"/>
  <c r="O3842" i="2" s="1"/>
  <c r="L3843" i="2"/>
  <c r="O3843" i="2" s="1"/>
  <c r="L3844" i="2"/>
  <c r="O3844" i="2" s="1"/>
  <c r="L3845" i="2"/>
  <c r="O3845" i="2" s="1"/>
  <c r="L3846" i="2"/>
  <c r="O3846" i="2" s="1"/>
  <c r="L3847" i="2"/>
  <c r="O3847" i="2" s="1"/>
  <c r="L3848" i="2"/>
  <c r="O3848" i="2" s="1"/>
  <c r="L3849" i="2"/>
  <c r="O3849" i="2" s="1"/>
  <c r="L3850" i="2"/>
  <c r="O3850" i="2" s="1"/>
  <c r="L3851" i="2"/>
  <c r="O3851" i="2" s="1"/>
  <c r="L3852" i="2"/>
  <c r="O3852" i="2" s="1"/>
  <c r="L3853" i="2"/>
  <c r="O3853" i="2" s="1"/>
  <c r="L3854" i="2"/>
  <c r="O3854" i="2" s="1"/>
  <c r="L3855" i="2"/>
  <c r="O3855" i="2" s="1"/>
  <c r="L3856" i="2"/>
  <c r="O3856" i="2" s="1"/>
  <c r="L3857" i="2"/>
  <c r="O3857" i="2" s="1"/>
  <c r="L3858" i="2"/>
  <c r="O3858" i="2" s="1"/>
  <c r="L3859" i="2"/>
  <c r="O3859" i="2" s="1"/>
  <c r="L3860" i="2"/>
  <c r="O3860" i="2" s="1"/>
  <c r="L3861" i="2"/>
  <c r="O3861" i="2" s="1"/>
  <c r="L3862" i="2"/>
  <c r="O3862" i="2" s="1"/>
  <c r="L3863" i="2"/>
  <c r="O3863" i="2" s="1"/>
  <c r="L3864" i="2"/>
  <c r="O3864" i="2" s="1"/>
  <c r="L3865" i="2"/>
  <c r="O3865" i="2" s="1"/>
  <c r="L3866" i="2"/>
  <c r="O3866" i="2" s="1"/>
  <c r="L3867" i="2"/>
  <c r="O3867" i="2" s="1"/>
  <c r="L3868" i="2"/>
  <c r="O3868" i="2" s="1"/>
  <c r="L3869" i="2"/>
  <c r="O3869" i="2" s="1"/>
  <c r="L3870" i="2"/>
  <c r="O3870" i="2" s="1"/>
  <c r="L3871" i="2"/>
  <c r="O3871" i="2" s="1"/>
  <c r="L3872" i="2"/>
  <c r="O3872" i="2" s="1"/>
  <c r="L3873" i="2"/>
  <c r="O3873" i="2" s="1"/>
  <c r="L3874" i="2"/>
  <c r="O3874" i="2" s="1"/>
  <c r="L3875" i="2"/>
  <c r="O3875" i="2" s="1"/>
  <c r="L3876" i="2"/>
  <c r="O3876" i="2" s="1"/>
  <c r="L3877" i="2"/>
  <c r="O3877" i="2" s="1"/>
  <c r="L3878" i="2"/>
  <c r="O3878" i="2" s="1"/>
  <c r="L3879" i="2"/>
  <c r="O3879" i="2" s="1"/>
  <c r="L3880" i="2"/>
  <c r="O3880" i="2" s="1"/>
  <c r="L3881" i="2"/>
  <c r="O3881" i="2" s="1"/>
  <c r="L3882" i="2"/>
  <c r="O3882" i="2" s="1"/>
  <c r="L3883" i="2"/>
  <c r="O3883" i="2" s="1"/>
  <c r="L3884" i="2"/>
  <c r="O3884" i="2" s="1"/>
  <c r="L3885" i="2"/>
  <c r="O3885" i="2" s="1"/>
  <c r="L3886" i="2"/>
  <c r="O3886" i="2" s="1"/>
  <c r="L3887" i="2"/>
  <c r="O3887" i="2" s="1"/>
  <c r="L3888" i="2"/>
  <c r="O3888" i="2" s="1"/>
  <c r="L3889" i="2"/>
  <c r="O3889" i="2" s="1"/>
  <c r="L3890" i="2"/>
  <c r="O3890" i="2" s="1"/>
  <c r="L3891" i="2"/>
  <c r="O3891" i="2" s="1"/>
  <c r="L3892" i="2"/>
  <c r="O3892" i="2" s="1"/>
  <c r="L3893" i="2"/>
  <c r="O3893" i="2" s="1"/>
  <c r="L3894" i="2"/>
  <c r="O3894" i="2" s="1"/>
  <c r="L3895" i="2"/>
  <c r="O3895" i="2" s="1"/>
  <c r="L3896" i="2"/>
  <c r="O3896" i="2" s="1"/>
  <c r="L3897" i="2"/>
  <c r="O3897" i="2" s="1"/>
  <c r="L3898" i="2"/>
  <c r="O3898" i="2" s="1"/>
  <c r="L3899" i="2"/>
  <c r="O3899" i="2" s="1"/>
  <c r="L3900" i="2"/>
  <c r="O3900" i="2" s="1"/>
  <c r="L3901" i="2"/>
  <c r="O3901" i="2" s="1"/>
  <c r="L3902" i="2"/>
  <c r="O3902" i="2" s="1"/>
  <c r="L3903" i="2"/>
  <c r="O3903" i="2" s="1"/>
  <c r="L3904" i="2"/>
  <c r="O3904" i="2" s="1"/>
  <c r="L3905" i="2"/>
  <c r="O3905" i="2" s="1"/>
  <c r="L3906" i="2"/>
  <c r="O3906" i="2" s="1"/>
  <c r="L3907" i="2"/>
  <c r="O3907" i="2" s="1"/>
  <c r="L3908" i="2"/>
  <c r="O3908" i="2" s="1"/>
  <c r="L3909" i="2"/>
  <c r="O3909" i="2" s="1"/>
  <c r="L3910" i="2"/>
  <c r="O3910" i="2" s="1"/>
  <c r="L3911" i="2"/>
  <c r="O3911" i="2" s="1"/>
  <c r="L3912" i="2"/>
  <c r="O3912" i="2" s="1"/>
  <c r="L3913" i="2"/>
  <c r="O3913" i="2" s="1"/>
  <c r="L3914" i="2"/>
  <c r="O3914" i="2" s="1"/>
  <c r="L3915" i="2"/>
  <c r="O3915" i="2" s="1"/>
  <c r="L3916" i="2"/>
  <c r="O3916" i="2" s="1"/>
  <c r="L3917" i="2"/>
  <c r="O3917" i="2" s="1"/>
  <c r="L3918" i="2"/>
  <c r="O3918" i="2" s="1"/>
  <c r="L3919" i="2"/>
  <c r="O3919" i="2" s="1"/>
  <c r="L3920" i="2"/>
  <c r="O3920" i="2" s="1"/>
  <c r="L3921" i="2"/>
  <c r="O3921" i="2" s="1"/>
  <c r="L3922" i="2"/>
  <c r="O3922" i="2" s="1"/>
  <c r="L3923" i="2"/>
  <c r="O3923" i="2" s="1"/>
  <c r="L3924" i="2"/>
  <c r="O3924" i="2" s="1"/>
  <c r="L3925" i="2"/>
  <c r="O3925" i="2" s="1"/>
  <c r="L3926" i="2"/>
  <c r="O3926" i="2" s="1"/>
  <c r="L3927" i="2"/>
  <c r="O3927" i="2" s="1"/>
  <c r="L3928" i="2"/>
  <c r="O3928" i="2" s="1"/>
  <c r="L3929" i="2"/>
  <c r="O3929" i="2" s="1"/>
  <c r="L3930" i="2"/>
  <c r="O3930" i="2" s="1"/>
  <c r="L3931" i="2"/>
  <c r="O3931" i="2" s="1"/>
  <c r="L3932" i="2"/>
  <c r="O3932" i="2" s="1"/>
  <c r="L3933" i="2"/>
  <c r="O3933" i="2" s="1"/>
  <c r="L3934" i="2"/>
  <c r="O3934" i="2" s="1"/>
  <c r="L3935" i="2"/>
  <c r="O3935" i="2" s="1"/>
  <c r="L3936" i="2"/>
  <c r="O3936" i="2" s="1"/>
  <c r="L3937" i="2"/>
  <c r="O3937" i="2" s="1"/>
  <c r="L3938" i="2"/>
  <c r="O3938" i="2" s="1"/>
  <c r="L3939" i="2"/>
  <c r="O3939" i="2" s="1"/>
  <c r="L3940" i="2"/>
  <c r="O3940" i="2" s="1"/>
  <c r="L3941" i="2"/>
  <c r="O3941" i="2" s="1"/>
  <c r="L3942" i="2"/>
  <c r="O3942" i="2" s="1"/>
  <c r="L3943" i="2"/>
  <c r="O3943" i="2" s="1"/>
  <c r="L3944" i="2"/>
  <c r="O3944" i="2" s="1"/>
  <c r="L3945" i="2"/>
  <c r="O3945" i="2" s="1"/>
  <c r="L3946" i="2"/>
  <c r="O3946" i="2" s="1"/>
  <c r="L3947" i="2"/>
  <c r="O3947" i="2" s="1"/>
  <c r="L3948" i="2"/>
  <c r="O3948" i="2" s="1"/>
  <c r="L3949" i="2"/>
  <c r="O3949" i="2" s="1"/>
  <c r="L3950" i="2"/>
  <c r="O3950" i="2" s="1"/>
  <c r="L3951" i="2"/>
  <c r="O3951" i="2" s="1"/>
  <c r="L3952" i="2"/>
  <c r="O3952" i="2" s="1"/>
  <c r="L3953" i="2"/>
  <c r="O3953" i="2" s="1"/>
  <c r="L3954" i="2"/>
  <c r="O3954" i="2" s="1"/>
  <c r="L3955" i="2"/>
  <c r="O3955" i="2" s="1"/>
  <c r="L3956" i="2"/>
  <c r="O3956" i="2" s="1"/>
  <c r="L3957" i="2"/>
  <c r="O3957" i="2" s="1"/>
  <c r="L3958" i="2"/>
  <c r="O3958" i="2" s="1"/>
  <c r="L3959" i="2"/>
  <c r="O3959" i="2" s="1"/>
  <c r="L3960" i="2"/>
  <c r="O3960" i="2" s="1"/>
  <c r="L3961" i="2"/>
  <c r="O3961" i="2" s="1"/>
  <c r="L3962" i="2"/>
  <c r="O3962" i="2" s="1"/>
  <c r="L3963" i="2"/>
  <c r="O3963" i="2" s="1"/>
  <c r="L3964" i="2"/>
  <c r="O3964" i="2" s="1"/>
  <c r="L3965" i="2"/>
  <c r="O3965" i="2" s="1"/>
  <c r="L3966" i="2"/>
  <c r="O3966" i="2" s="1"/>
  <c r="L3967" i="2"/>
  <c r="O3967" i="2" s="1"/>
  <c r="L3968" i="2"/>
  <c r="O3968" i="2" s="1"/>
  <c r="L3969" i="2"/>
  <c r="O3969" i="2" s="1"/>
  <c r="L3970" i="2"/>
  <c r="O3970" i="2" s="1"/>
  <c r="L3971" i="2"/>
  <c r="O3971" i="2" s="1"/>
  <c r="L3972" i="2"/>
  <c r="O3972" i="2" s="1"/>
  <c r="L3973" i="2"/>
  <c r="O3973" i="2" s="1"/>
  <c r="L3974" i="2"/>
  <c r="O3974" i="2" s="1"/>
  <c r="L3975" i="2"/>
  <c r="O3975" i="2" s="1"/>
  <c r="L3976" i="2"/>
  <c r="O3976" i="2" s="1"/>
  <c r="L3977" i="2"/>
  <c r="O3977" i="2" s="1"/>
  <c r="L3978" i="2"/>
  <c r="O3978" i="2" s="1"/>
  <c r="L3979" i="2"/>
  <c r="O3979" i="2" s="1"/>
  <c r="L3980" i="2"/>
  <c r="O3980" i="2" s="1"/>
  <c r="L3981" i="2"/>
  <c r="O3981" i="2" s="1"/>
  <c r="L3982" i="2"/>
  <c r="O3982" i="2" s="1"/>
  <c r="L3983" i="2"/>
  <c r="O3983" i="2" s="1"/>
  <c r="L3984" i="2"/>
  <c r="O3984" i="2" s="1"/>
  <c r="L3985" i="2"/>
  <c r="O3985" i="2" s="1"/>
  <c r="L3986" i="2"/>
  <c r="O3986" i="2" s="1"/>
  <c r="L3987" i="2"/>
  <c r="O3987" i="2" s="1"/>
  <c r="L3988" i="2"/>
  <c r="O3988" i="2" s="1"/>
  <c r="L3989" i="2"/>
  <c r="O3989" i="2" s="1"/>
  <c r="L3990" i="2"/>
  <c r="O3990" i="2" s="1"/>
  <c r="L3991" i="2"/>
  <c r="O3991" i="2" s="1"/>
  <c r="L3992" i="2"/>
  <c r="O3992" i="2" s="1"/>
  <c r="L3993" i="2"/>
  <c r="O3993" i="2" s="1"/>
  <c r="L3994" i="2"/>
  <c r="O3994" i="2" s="1"/>
  <c r="L3995" i="2"/>
  <c r="O3995" i="2" s="1"/>
  <c r="L3996" i="2"/>
  <c r="O3996" i="2" s="1"/>
  <c r="L3997" i="2"/>
  <c r="O3997" i="2" s="1"/>
  <c r="L3998" i="2"/>
  <c r="O3998" i="2" s="1"/>
  <c r="L3999" i="2"/>
  <c r="O3999" i="2" s="1"/>
  <c r="L4000" i="2"/>
  <c r="O4000" i="2" s="1"/>
  <c r="L4001" i="2"/>
  <c r="O4001" i="2" s="1"/>
  <c r="L4002" i="2"/>
  <c r="O4002" i="2" s="1"/>
  <c r="L4003" i="2"/>
  <c r="O4003" i="2" s="1"/>
  <c r="L4004" i="2"/>
  <c r="O4004" i="2" s="1"/>
  <c r="L4005" i="2"/>
  <c r="O4005" i="2" s="1"/>
  <c r="L4006" i="2"/>
  <c r="O4006" i="2" s="1"/>
  <c r="L4007" i="2"/>
  <c r="O4007" i="2" s="1"/>
  <c r="L4008" i="2"/>
  <c r="O4008" i="2" s="1"/>
  <c r="L4009" i="2"/>
  <c r="O4009" i="2" s="1"/>
  <c r="L4010" i="2"/>
  <c r="O4010" i="2" s="1"/>
  <c r="L4011" i="2"/>
  <c r="O4011" i="2" s="1"/>
  <c r="L4012" i="2"/>
  <c r="O4012" i="2" s="1"/>
  <c r="L4013" i="2"/>
  <c r="O4013" i="2" s="1"/>
  <c r="L4014" i="2"/>
  <c r="O4014" i="2" s="1"/>
  <c r="L4015" i="2"/>
  <c r="O4015" i="2" s="1"/>
  <c r="L4016" i="2"/>
  <c r="O4016" i="2" s="1"/>
  <c r="L4017" i="2"/>
  <c r="O4017" i="2" s="1"/>
  <c r="L4018" i="2"/>
  <c r="O4018" i="2" s="1"/>
  <c r="L4019" i="2"/>
  <c r="O4019" i="2" s="1"/>
  <c r="L4020" i="2"/>
  <c r="O4020" i="2" s="1"/>
  <c r="L4021" i="2"/>
  <c r="O4021" i="2" s="1"/>
  <c r="L4022" i="2"/>
  <c r="O4022" i="2" s="1"/>
  <c r="L4023" i="2"/>
  <c r="O4023" i="2" s="1"/>
  <c r="L4024" i="2"/>
  <c r="O4024" i="2" s="1"/>
  <c r="L4025" i="2"/>
  <c r="O4025" i="2" s="1"/>
  <c r="L4026" i="2"/>
  <c r="O4026" i="2" s="1"/>
  <c r="L4027" i="2"/>
  <c r="O4027" i="2" s="1"/>
  <c r="L4028" i="2"/>
  <c r="O4028" i="2" s="1"/>
  <c r="L4029" i="2"/>
  <c r="O4029" i="2" s="1"/>
  <c r="L4030" i="2"/>
  <c r="O4030" i="2" s="1"/>
  <c r="L4031" i="2"/>
  <c r="O4031" i="2" s="1"/>
  <c r="L4032" i="2"/>
  <c r="O4032" i="2" s="1"/>
  <c r="L4033" i="2"/>
  <c r="O4033" i="2" s="1"/>
  <c r="L4034" i="2"/>
  <c r="O4034" i="2" s="1"/>
  <c r="L4035" i="2"/>
  <c r="O4035" i="2" s="1"/>
  <c r="L4036" i="2"/>
  <c r="O4036" i="2" s="1"/>
  <c r="L4037" i="2"/>
  <c r="O4037" i="2" s="1"/>
  <c r="L4038" i="2"/>
  <c r="O4038" i="2" s="1"/>
  <c r="L4039" i="2"/>
  <c r="O4039" i="2" s="1"/>
  <c r="L4040" i="2"/>
  <c r="O4040" i="2" s="1"/>
  <c r="L4041" i="2"/>
  <c r="O4041" i="2" s="1"/>
  <c r="L4042" i="2"/>
  <c r="O4042" i="2" s="1"/>
  <c r="L4043" i="2"/>
  <c r="O4043" i="2" s="1"/>
  <c r="L4044" i="2"/>
  <c r="O4044" i="2" s="1"/>
  <c r="L4045" i="2"/>
  <c r="O4045" i="2" s="1"/>
  <c r="L4046" i="2"/>
  <c r="O4046" i="2" s="1"/>
  <c r="L4047" i="2"/>
  <c r="O4047" i="2" s="1"/>
  <c r="L4048" i="2"/>
  <c r="O4048" i="2" s="1"/>
  <c r="L4049" i="2"/>
  <c r="O4049" i="2" s="1"/>
  <c r="L4050" i="2"/>
  <c r="O4050" i="2" s="1"/>
  <c r="L4051" i="2"/>
  <c r="O4051" i="2" s="1"/>
  <c r="L4052" i="2"/>
  <c r="O4052" i="2" s="1"/>
  <c r="L4053" i="2"/>
  <c r="O4053" i="2" s="1"/>
  <c r="L4054" i="2"/>
  <c r="O4054" i="2" s="1"/>
  <c r="L4055" i="2"/>
  <c r="O4055" i="2" s="1"/>
  <c r="L4056" i="2"/>
  <c r="O4056" i="2" s="1"/>
  <c r="L4057" i="2"/>
  <c r="O4057" i="2" s="1"/>
  <c r="L4058" i="2"/>
  <c r="O4058" i="2" s="1"/>
  <c r="L4059" i="2"/>
  <c r="O4059" i="2" s="1"/>
  <c r="L4060" i="2"/>
  <c r="O4060" i="2" s="1"/>
  <c r="L4061" i="2"/>
  <c r="O4061" i="2" s="1"/>
  <c r="L4062" i="2"/>
  <c r="O4062" i="2" s="1"/>
  <c r="L4063" i="2"/>
  <c r="O4063" i="2" s="1"/>
  <c r="L4064" i="2"/>
  <c r="O4064" i="2" s="1"/>
  <c r="L4065" i="2"/>
  <c r="O4065" i="2" s="1"/>
  <c r="L4066" i="2"/>
  <c r="O4066" i="2" s="1"/>
  <c r="L4067" i="2"/>
  <c r="O4067" i="2" s="1"/>
  <c r="L4068" i="2"/>
  <c r="O4068" i="2" s="1"/>
  <c r="L4069" i="2"/>
  <c r="O4069" i="2" s="1"/>
  <c r="L4070" i="2"/>
  <c r="O4070" i="2" s="1"/>
  <c r="L4071" i="2"/>
  <c r="O4071" i="2" s="1"/>
  <c r="L4072" i="2"/>
  <c r="O4072" i="2" s="1"/>
  <c r="L4073" i="2"/>
  <c r="O4073" i="2" s="1"/>
  <c r="L4074" i="2"/>
  <c r="O4074" i="2" s="1"/>
  <c r="L4075" i="2"/>
  <c r="O4075" i="2" s="1"/>
  <c r="L4076" i="2"/>
  <c r="O4076" i="2" s="1"/>
  <c r="L4077" i="2"/>
  <c r="O4077" i="2" s="1"/>
  <c r="L4078" i="2"/>
  <c r="O4078" i="2" s="1"/>
  <c r="L4079" i="2"/>
  <c r="O4079" i="2" s="1"/>
  <c r="L4080" i="2"/>
  <c r="O4080" i="2" s="1"/>
  <c r="L4081" i="2"/>
  <c r="O4081" i="2" s="1"/>
  <c r="L4082" i="2"/>
  <c r="O4082" i="2" s="1"/>
  <c r="L4083" i="2"/>
  <c r="O4083" i="2" s="1"/>
  <c r="L4084" i="2"/>
  <c r="O4084" i="2" s="1"/>
  <c r="L4085" i="2"/>
  <c r="O4085" i="2" s="1"/>
  <c r="L4086" i="2"/>
  <c r="O4086" i="2" s="1"/>
  <c r="L4087" i="2"/>
  <c r="O4087" i="2" s="1"/>
  <c r="L4088" i="2"/>
  <c r="O4088" i="2" s="1"/>
  <c r="L4089" i="2"/>
  <c r="O4089" i="2" s="1"/>
  <c r="L4090" i="2"/>
  <c r="O4090" i="2" s="1"/>
  <c r="L4091" i="2"/>
  <c r="O4091" i="2" s="1"/>
  <c r="L4092" i="2"/>
  <c r="O4092" i="2" s="1"/>
  <c r="L4093" i="2"/>
  <c r="O4093" i="2" s="1"/>
  <c r="L4094" i="2"/>
  <c r="O4094" i="2" s="1"/>
  <c r="L4095" i="2"/>
  <c r="O4095" i="2" s="1"/>
  <c r="L4096" i="2"/>
  <c r="O4096" i="2" s="1"/>
  <c r="L4097" i="2"/>
  <c r="O4097" i="2" s="1"/>
  <c r="L4098" i="2"/>
  <c r="O4098" i="2" s="1"/>
  <c r="L4099" i="2"/>
  <c r="O4099" i="2" s="1"/>
  <c r="L4100" i="2"/>
  <c r="O4100" i="2" s="1"/>
  <c r="L4101" i="2"/>
  <c r="O4101" i="2" s="1"/>
  <c r="L4102" i="2"/>
  <c r="O4102" i="2" s="1"/>
  <c r="L4103" i="2"/>
  <c r="O4103" i="2" s="1"/>
  <c r="L4104" i="2"/>
  <c r="O4104" i="2" s="1"/>
  <c r="L4105" i="2"/>
  <c r="O4105" i="2" s="1"/>
  <c r="L4106" i="2"/>
  <c r="O4106" i="2" s="1"/>
  <c r="L4107" i="2"/>
  <c r="O4107" i="2" s="1"/>
  <c r="L4108" i="2"/>
  <c r="O4108" i="2" s="1"/>
  <c r="L4109" i="2"/>
  <c r="O4109" i="2" s="1"/>
  <c r="L4110" i="2"/>
  <c r="O4110" i="2" s="1"/>
  <c r="L4111" i="2"/>
  <c r="O4111" i="2" s="1"/>
  <c r="L4112" i="2"/>
  <c r="O4112" i="2" s="1"/>
  <c r="L4113" i="2"/>
  <c r="O4113" i="2" s="1"/>
  <c r="L4114" i="2"/>
  <c r="O4114" i="2" s="1"/>
  <c r="L4115" i="2"/>
  <c r="O4115" i="2" s="1"/>
  <c r="L4116" i="2"/>
  <c r="O4116" i="2" s="1"/>
  <c r="L4117" i="2"/>
  <c r="O4117" i="2" s="1"/>
  <c r="L4118" i="2"/>
  <c r="O4118" i="2" s="1"/>
  <c r="L4119" i="2"/>
  <c r="O4119" i="2" s="1"/>
  <c r="L4120" i="2"/>
  <c r="O4120" i="2" s="1"/>
  <c r="L4121" i="2"/>
  <c r="O4121" i="2" s="1"/>
  <c r="L4122" i="2"/>
  <c r="O4122" i="2" s="1"/>
  <c r="L4123" i="2"/>
  <c r="O4123" i="2" s="1"/>
  <c r="L4124" i="2"/>
  <c r="O4124" i="2" s="1"/>
  <c r="L4125" i="2"/>
  <c r="O4125" i="2" s="1"/>
  <c r="L4126" i="2"/>
  <c r="O4126" i="2" s="1"/>
  <c r="L4127" i="2"/>
  <c r="O4127" i="2" s="1"/>
  <c r="L4128" i="2"/>
  <c r="O4128" i="2" s="1"/>
  <c r="L4129" i="2"/>
  <c r="O4129" i="2" s="1"/>
  <c r="L4130" i="2"/>
  <c r="O4130" i="2" s="1"/>
  <c r="L4131" i="2"/>
  <c r="O4131" i="2" s="1"/>
  <c r="L4132" i="2"/>
  <c r="O4132" i="2" s="1"/>
  <c r="L4133" i="2"/>
  <c r="O4133" i="2" s="1"/>
  <c r="L4134" i="2"/>
  <c r="O4134" i="2" s="1"/>
  <c r="L4135" i="2"/>
  <c r="O4135" i="2" s="1"/>
  <c r="L4136" i="2"/>
  <c r="O4136" i="2" s="1"/>
  <c r="L4137" i="2"/>
  <c r="O4137" i="2" s="1"/>
  <c r="L4138" i="2"/>
  <c r="O4138" i="2" s="1"/>
  <c r="L4139" i="2"/>
  <c r="O4139" i="2" s="1"/>
  <c r="L4140" i="2"/>
  <c r="O4140" i="2" s="1"/>
  <c r="L4141" i="2"/>
  <c r="O4141" i="2" s="1"/>
  <c r="L4142" i="2"/>
  <c r="O4142" i="2" s="1"/>
  <c r="L4143" i="2"/>
  <c r="O4143" i="2" s="1"/>
  <c r="L4144" i="2"/>
  <c r="O4144" i="2" s="1"/>
  <c r="L4145" i="2"/>
  <c r="O4145" i="2" s="1"/>
  <c r="L4146" i="2"/>
  <c r="O4146" i="2" s="1"/>
  <c r="L4147" i="2"/>
  <c r="O4147" i="2" s="1"/>
  <c r="L4148" i="2"/>
  <c r="O4148" i="2" s="1"/>
  <c r="L4149" i="2"/>
  <c r="O4149" i="2" s="1"/>
  <c r="L4150" i="2"/>
  <c r="O4150" i="2" s="1"/>
  <c r="L4151" i="2"/>
  <c r="O4151" i="2" s="1"/>
  <c r="L4152" i="2"/>
  <c r="O4152" i="2" s="1"/>
  <c r="L4153" i="2"/>
  <c r="O4153" i="2" s="1"/>
  <c r="L4154" i="2"/>
  <c r="O4154" i="2" s="1"/>
  <c r="L4155" i="2"/>
  <c r="O4155" i="2" s="1"/>
  <c r="L4156" i="2"/>
  <c r="O4156" i="2" s="1"/>
  <c r="L4157" i="2"/>
  <c r="O4157" i="2" s="1"/>
  <c r="L4158" i="2"/>
  <c r="O4158" i="2" s="1"/>
  <c r="L4159" i="2"/>
  <c r="O4159" i="2" s="1"/>
  <c r="L4160" i="2"/>
  <c r="O4160" i="2" s="1"/>
  <c r="L4161" i="2"/>
  <c r="O4161" i="2" s="1"/>
  <c r="L4162" i="2"/>
  <c r="O4162" i="2" s="1"/>
  <c r="L4163" i="2"/>
  <c r="O4163" i="2" s="1"/>
  <c r="L4164" i="2"/>
  <c r="O4164" i="2" s="1"/>
  <c r="L4165" i="2"/>
  <c r="O4165" i="2" s="1"/>
  <c r="L4166" i="2"/>
  <c r="O4166" i="2" s="1"/>
  <c r="L4167" i="2"/>
  <c r="O4167" i="2" s="1"/>
  <c r="L4168" i="2"/>
  <c r="O4168" i="2" s="1"/>
  <c r="L4169" i="2"/>
  <c r="O4169" i="2" s="1"/>
  <c r="L4170" i="2"/>
  <c r="O4170" i="2" s="1"/>
  <c r="L4171" i="2"/>
  <c r="O4171" i="2" s="1"/>
  <c r="L4172" i="2"/>
  <c r="O4172" i="2" s="1"/>
  <c r="L4173" i="2"/>
  <c r="O4173" i="2" s="1"/>
  <c r="L4174" i="2"/>
  <c r="O4174" i="2" s="1"/>
  <c r="L4175" i="2"/>
  <c r="O4175" i="2" s="1"/>
  <c r="L4176" i="2"/>
  <c r="O4176" i="2" s="1"/>
  <c r="L4177" i="2"/>
  <c r="O4177" i="2" s="1"/>
  <c r="L4178" i="2"/>
  <c r="O4178" i="2" s="1"/>
  <c r="L4179" i="2"/>
  <c r="O4179" i="2" s="1"/>
  <c r="L4180" i="2"/>
  <c r="O4180" i="2" s="1"/>
  <c r="L4181" i="2"/>
  <c r="O4181" i="2" s="1"/>
  <c r="L4182" i="2"/>
  <c r="O4182" i="2" s="1"/>
  <c r="L4183" i="2"/>
  <c r="O4183" i="2" s="1"/>
  <c r="L4184" i="2"/>
  <c r="O4184" i="2" s="1"/>
  <c r="L4185" i="2"/>
  <c r="O4185" i="2" s="1"/>
  <c r="L4186" i="2"/>
  <c r="O4186" i="2" s="1"/>
  <c r="L4187" i="2"/>
  <c r="O4187" i="2" s="1"/>
  <c r="L4188" i="2"/>
  <c r="O4188" i="2" s="1"/>
  <c r="L4189" i="2"/>
  <c r="O4189" i="2" s="1"/>
  <c r="L4190" i="2"/>
  <c r="O4190" i="2" s="1"/>
  <c r="L4191" i="2"/>
  <c r="O4191" i="2" s="1"/>
  <c r="L4192" i="2"/>
  <c r="O4192" i="2" s="1"/>
  <c r="L4193" i="2"/>
  <c r="O4193" i="2" s="1"/>
  <c r="L4194" i="2"/>
  <c r="O4194" i="2" s="1"/>
  <c r="L4195" i="2"/>
  <c r="O4195" i="2" s="1"/>
  <c r="L4196" i="2"/>
  <c r="O4196" i="2" s="1"/>
  <c r="L4197" i="2"/>
  <c r="O4197" i="2" s="1"/>
  <c r="L4198" i="2"/>
  <c r="O4198" i="2" s="1"/>
  <c r="L4199" i="2"/>
  <c r="O4199" i="2" s="1"/>
  <c r="L4200" i="2"/>
  <c r="O4200" i="2" s="1"/>
  <c r="L4201" i="2"/>
  <c r="O4201" i="2" s="1"/>
  <c r="L4202" i="2"/>
  <c r="O4202" i="2" s="1"/>
  <c r="L4203" i="2"/>
  <c r="O4203" i="2" s="1"/>
  <c r="L4204" i="2"/>
  <c r="O4204" i="2" s="1"/>
  <c r="L4205" i="2"/>
  <c r="O4205" i="2" s="1"/>
  <c r="L4206" i="2"/>
  <c r="O4206" i="2" s="1"/>
  <c r="L4207" i="2"/>
  <c r="O4207" i="2" s="1"/>
  <c r="L4208" i="2"/>
  <c r="O4208" i="2" s="1"/>
  <c r="L4209" i="2"/>
  <c r="O4209" i="2" s="1"/>
  <c r="L4210" i="2"/>
  <c r="O4210" i="2" s="1"/>
  <c r="L4211" i="2"/>
  <c r="O4211" i="2" s="1"/>
  <c r="L4212" i="2"/>
  <c r="O4212" i="2" s="1"/>
  <c r="L4213" i="2"/>
  <c r="O4213" i="2" s="1"/>
  <c r="L4214" i="2"/>
  <c r="O4214" i="2" s="1"/>
  <c r="L4215" i="2"/>
  <c r="O4215" i="2" s="1"/>
  <c r="L4216" i="2"/>
  <c r="O4216" i="2" s="1"/>
  <c r="L4217" i="2"/>
  <c r="O4217" i="2" s="1"/>
  <c r="L4218" i="2"/>
  <c r="O4218" i="2" s="1"/>
  <c r="L4219" i="2"/>
  <c r="O4219" i="2" s="1"/>
  <c r="L4220" i="2"/>
  <c r="O4220" i="2" s="1"/>
  <c r="L4221" i="2"/>
  <c r="O4221" i="2" s="1"/>
  <c r="L4222" i="2"/>
  <c r="O4222" i="2" s="1"/>
  <c r="L4223" i="2"/>
  <c r="O4223" i="2" s="1"/>
  <c r="L4224" i="2"/>
  <c r="O4224" i="2" s="1"/>
  <c r="L4225" i="2"/>
  <c r="O4225" i="2" s="1"/>
  <c r="L4226" i="2"/>
  <c r="O4226" i="2" s="1"/>
  <c r="L4227" i="2"/>
  <c r="O4227" i="2" s="1"/>
  <c r="L4228" i="2"/>
  <c r="O4228" i="2" s="1"/>
  <c r="L4229" i="2"/>
  <c r="O4229" i="2" s="1"/>
  <c r="L4230" i="2"/>
  <c r="O4230" i="2" s="1"/>
  <c r="L4231" i="2"/>
  <c r="O4231" i="2" s="1"/>
  <c r="L4232" i="2"/>
  <c r="O4232" i="2" s="1"/>
  <c r="L4233" i="2"/>
  <c r="O4233" i="2" s="1"/>
  <c r="L4234" i="2"/>
  <c r="O4234" i="2" s="1"/>
  <c r="L4235" i="2"/>
  <c r="O4235" i="2" s="1"/>
  <c r="L4236" i="2"/>
  <c r="O4236" i="2" s="1"/>
  <c r="L4237" i="2"/>
  <c r="O4237" i="2" s="1"/>
  <c r="L4238" i="2"/>
  <c r="O4238" i="2" s="1"/>
  <c r="L4239" i="2"/>
  <c r="O4239" i="2" s="1"/>
  <c r="L4240" i="2"/>
  <c r="O4240" i="2" s="1"/>
  <c r="L4241" i="2"/>
  <c r="O4241" i="2" s="1"/>
  <c r="L4242" i="2"/>
  <c r="O4242" i="2" s="1"/>
  <c r="L4243" i="2"/>
  <c r="O4243" i="2" s="1"/>
  <c r="L4244" i="2"/>
  <c r="O4244" i="2" s="1"/>
  <c r="L4245" i="2"/>
  <c r="O4245" i="2" s="1"/>
  <c r="L4246" i="2"/>
  <c r="O4246" i="2" s="1"/>
  <c r="L4247" i="2"/>
  <c r="O4247" i="2" s="1"/>
  <c r="L4248" i="2"/>
  <c r="O4248" i="2" s="1"/>
  <c r="L4249" i="2"/>
  <c r="O4249" i="2" s="1"/>
  <c r="L4250" i="2"/>
  <c r="O4250" i="2" s="1"/>
  <c r="L4251" i="2"/>
  <c r="O4251" i="2" s="1"/>
  <c r="L4252" i="2"/>
  <c r="O4252" i="2" s="1"/>
  <c r="L4253" i="2"/>
  <c r="O4253" i="2" s="1"/>
  <c r="L4254" i="2"/>
  <c r="O4254" i="2" s="1"/>
  <c r="L4255" i="2"/>
  <c r="O4255" i="2" s="1"/>
  <c r="L4256" i="2"/>
  <c r="O4256" i="2" s="1"/>
  <c r="L4257" i="2"/>
  <c r="O4257" i="2" s="1"/>
  <c r="L4258" i="2"/>
  <c r="O4258" i="2" s="1"/>
  <c r="L4259" i="2"/>
  <c r="O4259" i="2" s="1"/>
  <c r="L4260" i="2"/>
  <c r="O4260" i="2" s="1"/>
  <c r="L4261" i="2"/>
  <c r="O4261" i="2" s="1"/>
  <c r="L4262" i="2"/>
  <c r="O4262" i="2" s="1"/>
  <c r="L4263" i="2"/>
  <c r="O4263" i="2" s="1"/>
  <c r="L4264" i="2"/>
  <c r="O4264" i="2" s="1"/>
  <c r="L4265" i="2"/>
  <c r="O4265" i="2" s="1"/>
  <c r="L4266" i="2"/>
  <c r="O4266" i="2" s="1"/>
  <c r="L4267" i="2"/>
  <c r="O4267" i="2" s="1"/>
  <c r="L4268" i="2"/>
  <c r="O4268" i="2" s="1"/>
  <c r="L4269" i="2"/>
  <c r="O4269" i="2" s="1"/>
  <c r="L4270" i="2"/>
  <c r="O4270" i="2" s="1"/>
  <c r="L4271" i="2"/>
  <c r="O4271" i="2" s="1"/>
  <c r="L4272" i="2"/>
  <c r="O4272" i="2" s="1"/>
  <c r="L4273" i="2"/>
  <c r="O4273" i="2" s="1"/>
  <c r="L4274" i="2"/>
  <c r="O4274" i="2" s="1"/>
  <c r="L4275" i="2"/>
  <c r="O4275" i="2" s="1"/>
  <c r="L4276" i="2"/>
  <c r="O4276" i="2" s="1"/>
  <c r="L4277" i="2"/>
  <c r="O4277" i="2" s="1"/>
  <c r="L4278" i="2"/>
  <c r="O4278" i="2" s="1"/>
  <c r="L4279" i="2"/>
  <c r="O4279" i="2" s="1"/>
  <c r="L4280" i="2"/>
  <c r="O4280" i="2" s="1"/>
  <c r="L4281" i="2"/>
  <c r="O4281" i="2" s="1"/>
  <c r="L4282" i="2"/>
  <c r="O4282" i="2" s="1"/>
  <c r="L4283" i="2"/>
  <c r="O4283" i="2" s="1"/>
  <c r="L4284" i="2"/>
  <c r="O4284" i="2" s="1"/>
  <c r="L4285" i="2"/>
  <c r="O4285" i="2" s="1"/>
  <c r="L4286" i="2"/>
  <c r="O4286" i="2" s="1"/>
  <c r="L4287" i="2"/>
  <c r="O4287" i="2" s="1"/>
  <c r="L4288" i="2"/>
  <c r="O4288" i="2" s="1"/>
  <c r="L4289" i="2"/>
  <c r="O4289" i="2" s="1"/>
  <c r="L4290" i="2"/>
  <c r="O4290" i="2" s="1"/>
  <c r="L4291" i="2"/>
  <c r="O4291" i="2" s="1"/>
  <c r="L4292" i="2"/>
  <c r="O4292" i="2" s="1"/>
  <c r="L4293" i="2"/>
  <c r="O4293" i="2" s="1"/>
  <c r="L4294" i="2"/>
  <c r="O4294" i="2" s="1"/>
  <c r="L4295" i="2"/>
  <c r="O4295" i="2" s="1"/>
  <c r="L4296" i="2"/>
  <c r="O4296" i="2" s="1"/>
  <c r="L4297" i="2"/>
  <c r="O4297" i="2" s="1"/>
  <c r="L4298" i="2"/>
  <c r="O4298" i="2" s="1"/>
  <c r="L4299" i="2"/>
  <c r="O4299" i="2" s="1"/>
  <c r="L4300" i="2"/>
  <c r="O4300" i="2" s="1"/>
  <c r="L4301" i="2"/>
  <c r="O4301" i="2" s="1"/>
  <c r="L4302" i="2"/>
  <c r="O4302" i="2" s="1"/>
  <c r="L4303" i="2"/>
  <c r="O4303" i="2" s="1"/>
  <c r="L4304" i="2"/>
  <c r="O4304" i="2" s="1"/>
  <c r="L4305" i="2"/>
  <c r="O4305" i="2" s="1"/>
  <c r="L4306" i="2"/>
  <c r="O4306" i="2" s="1"/>
  <c r="L4307" i="2"/>
  <c r="O4307" i="2" s="1"/>
  <c r="L4308" i="2"/>
  <c r="O4308" i="2" s="1"/>
  <c r="L4309" i="2"/>
  <c r="O4309" i="2" s="1"/>
  <c r="L4310" i="2"/>
  <c r="O4310" i="2" s="1"/>
  <c r="L4311" i="2"/>
  <c r="O4311" i="2" s="1"/>
  <c r="L4312" i="2"/>
  <c r="O4312" i="2" s="1"/>
  <c r="L4313" i="2"/>
  <c r="O4313" i="2" s="1"/>
  <c r="L4314" i="2"/>
  <c r="O4314" i="2" s="1"/>
  <c r="L4315" i="2"/>
  <c r="O4315" i="2" s="1"/>
  <c r="L4316" i="2"/>
  <c r="O4316" i="2" s="1"/>
  <c r="L4317" i="2"/>
  <c r="O4317" i="2" s="1"/>
  <c r="L4318" i="2"/>
  <c r="O4318" i="2" s="1"/>
  <c r="L4319" i="2"/>
  <c r="O4319" i="2" s="1"/>
  <c r="L4320" i="2"/>
  <c r="O4320" i="2" s="1"/>
  <c r="L4321" i="2"/>
  <c r="O4321" i="2" s="1"/>
  <c r="L4322" i="2"/>
  <c r="O4322" i="2" s="1"/>
  <c r="L4323" i="2"/>
  <c r="O4323" i="2" s="1"/>
  <c r="L4324" i="2"/>
  <c r="O4324" i="2" s="1"/>
  <c r="L4325" i="2"/>
  <c r="O4325" i="2" s="1"/>
  <c r="L4326" i="2"/>
  <c r="O4326" i="2" s="1"/>
  <c r="L4327" i="2"/>
  <c r="O4327" i="2" s="1"/>
  <c r="L4328" i="2"/>
  <c r="O4328" i="2" s="1"/>
  <c r="L4329" i="2"/>
  <c r="O4329" i="2" s="1"/>
  <c r="L4330" i="2"/>
  <c r="O4330" i="2" s="1"/>
  <c r="L4331" i="2"/>
  <c r="O4331" i="2" s="1"/>
  <c r="L4332" i="2"/>
  <c r="O4332" i="2" s="1"/>
  <c r="L4333" i="2"/>
  <c r="O4333" i="2" s="1"/>
  <c r="L4334" i="2"/>
  <c r="O4334" i="2" s="1"/>
  <c r="L4335" i="2"/>
  <c r="O4335" i="2" s="1"/>
  <c r="L4336" i="2"/>
  <c r="O4336" i="2" s="1"/>
  <c r="L4337" i="2"/>
  <c r="O4337" i="2" s="1"/>
  <c r="L4338" i="2"/>
  <c r="O4338" i="2" s="1"/>
  <c r="L4339" i="2"/>
  <c r="O4339" i="2" s="1"/>
  <c r="L4340" i="2"/>
  <c r="O4340" i="2" s="1"/>
  <c r="L4341" i="2"/>
  <c r="O4341" i="2" s="1"/>
  <c r="L4342" i="2"/>
  <c r="O4342" i="2" s="1"/>
  <c r="L4343" i="2"/>
  <c r="O4343" i="2" s="1"/>
  <c r="L4344" i="2"/>
  <c r="O4344" i="2" s="1"/>
  <c r="L4345" i="2"/>
  <c r="O4345" i="2" s="1"/>
  <c r="L4346" i="2"/>
  <c r="O4346" i="2" s="1"/>
  <c r="L4347" i="2"/>
  <c r="O4347" i="2" s="1"/>
  <c r="L4348" i="2"/>
  <c r="O4348" i="2" s="1"/>
  <c r="L4349" i="2"/>
  <c r="O4349" i="2" s="1"/>
  <c r="L4350" i="2"/>
  <c r="O4350" i="2" s="1"/>
  <c r="L4351" i="2"/>
  <c r="O4351" i="2" s="1"/>
  <c r="L4352" i="2"/>
  <c r="O4352" i="2" s="1"/>
  <c r="L4353" i="2"/>
  <c r="O4353" i="2" s="1"/>
  <c r="L4354" i="2"/>
  <c r="O4354" i="2" s="1"/>
  <c r="L4355" i="2"/>
  <c r="O4355" i="2" s="1"/>
  <c r="L4356" i="2"/>
  <c r="O4356" i="2" s="1"/>
  <c r="L4357" i="2"/>
  <c r="O4357" i="2" s="1"/>
  <c r="L4358" i="2"/>
  <c r="O4358" i="2" s="1"/>
  <c r="L4359" i="2"/>
  <c r="O4359" i="2" s="1"/>
  <c r="L4360" i="2"/>
  <c r="O4360" i="2" s="1"/>
  <c r="L4361" i="2"/>
  <c r="O4361" i="2" s="1"/>
  <c r="L4362" i="2"/>
  <c r="O4362" i="2" s="1"/>
  <c r="L4363" i="2"/>
  <c r="O4363" i="2" s="1"/>
  <c r="L4364" i="2"/>
  <c r="O4364" i="2" s="1"/>
  <c r="L4365" i="2"/>
  <c r="O4365" i="2" s="1"/>
  <c r="L4366" i="2"/>
  <c r="O4366" i="2" s="1"/>
  <c r="L4367" i="2"/>
  <c r="O4367" i="2" s="1"/>
  <c r="L4368" i="2"/>
  <c r="O4368" i="2" s="1"/>
  <c r="L4369" i="2"/>
  <c r="O4369" i="2" s="1"/>
  <c r="L4370" i="2"/>
  <c r="O4370" i="2" s="1"/>
  <c r="L4371" i="2"/>
  <c r="O4371" i="2" s="1"/>
  <c r="L4372" i="2"/>
  <c r="O4372" i="2" s="1"/>
  <c r="L4373" i="2"/>
  <c r="O4373" i="2" s="1"/>
  <c r="L4374" i="2"/>
  <c r="O4374" i="2" s="1"/>
  <c r="L4375" i="2"/>
  <c r="O4375" i="2" s="1"/>
  <c r="L4376" i="2"/>
  <c r="O4376" i="2" s="1"/>
  <c r="L4377" i="2"/>
  <c r="O4377" i="2" s="1"/>
  <c r="L4378" i="2"/>
  <c r="O4378" i="2" s="1"/>
  <c r="L4379" i="2"/>
  <c r="O4379" i="2" s="1"/>
  <c r="L4380" i="2"/>
  <c r="O4380" i="2" s="1"/>
  <c r="L4381" i="2"/>
  <c r="O4381" i="2" s="1"/>
  <c r="L4382" i="2"/>
  <c r="O4382" i="2" s="1"/>
  <c r="L4383" i="2"/>
  <c r="O4383" i="2" s="1"/>
  <c r="L4384" i="2"/>
  <c r="O4384" i="2" s="1"/>
  <c r="L4385" i="2"/>
  <c r="O4385" i="2" s="1"/>
  <c r="L4386" i="2"/>
  <c r="O4386" i="2" s="1"/>
  <c r="L4387" i="2"/>
  <c r="O4387" i="2" s="1"/>
  <c r="L4388" i="2"/>
  <c r="O4388" i="2" s="1"/>
  <c r="L4389" i="2"/>
  <c r="O4389" i="2" s="1"/>
  <c r="L4390" i="2"/>
  <c r="O4390" i="2" s="1"/>
  <c r="L4391" i="2"/>
  <c r="O4391" i="2" s="1"/>
  <c r="L4392" i="2"/>
  <c r="O4392" i="2" s="1"/>
  <c r="L4393" i="2"/>
  <c r="O4393" i="2" s="1"/>
  <c r="L4394" i="2"/>
  <c r="O4394" i="2" s="1"/>
  <c r="L4395" i="2"/>
  <c r="O4395" i="2" s="1"/>
  <c r="L4396" i="2"/>
  <c r="O4396" i="2" s="1"/>
  <c r="L4397" i="2"/>
  <c r="O4397" i="2" s="1"/>
  <c r="L4398" i="2"/>
  <c r="O4398" i="2" s="1"/>
  <c r="L4399" i="2"/>
  <c r="O4399" i="2" s="1"/>
  <c r="L4400" i="2"/>
  <c r="O4400" i="2" s="1"/>
  <c r="L4401" i="2"/>
  <c r="O4401" i="2" s="1"/>
  <c r="L4402" i="2"/>
  <c r="O4402" i="2" s="1"/>
  <c r="L4403" i="2"/>
  <c r="O4403" i="2" s="1"/>
  <c r="L4404" i="2"/>
  <c r="O4404" i="2" s="1"/>
  <c r="L4405" i="2"/>
  <c r="O4405" i="2" s="1"/>
  <c r="L4406" i="2"/>
  <c r="O4406" i="2" s="1"/>
  <c r="L4407" i="2"/>
  <c r="O4407" i="2" s="1"/>
  <c r="L4408" i="2"/>
  <c r="O4408" i="2" s="1"/>
  <c r="L4409" i="2"/>
  <c r="O4409" i="2" s="1"/>
  <c r="L4410" i="2"/>
  <c r="O4410" i="2" s="1"/>
  <c r="L4411" i="2"/>
  <c r="O4411" i="2" s="1"/>
  <c r="L4412" i="2"/>
  <c r="O4412" i="2" s="1"/>
  <c r="L4413" i="2"/>
  <c r="O4413" i="2" s="1"/>
  <c r="L4414" i="2"/>
  <c r="O4414" i="2" s="1"/>
  <c r="L4415" i="2"/>
  <c r="O4415" i="2" s="1"/>
  <c r="L4416" i="2"/>
  <c r="O4416" i="2" s="1"/>
  <c r="L4417" i="2"/>
  <c r="O4417" i="2" s="1"/>
  <c r="L4418" i="2"/>
  <c r="O4418" i="2" s="1"/>
  <c r="L4419" i="2"/>
  <c r="O4419" i="2" s="1"/>
  <c r="L4420" i="2"/>
  <c r="O4420" i="2" s="1"/>
  <c r="L4421" i="2"/>
  <c r="O4421" i="2" s="1"/>
  <c r="L4422" i="2"/>
  <c r="O4422" i="2" s="1"/>
  <c r="L4423" i="2"/>
  <c r="O4423" i="2" s="1"/>
  <c r="L4424" i="2"/>
  <c r="O4424" i="2" s="1"/>
  <c r="L4425" i="2"/>
  <c r="O4425" i="2" s="1"/>
  <c r="L4426" i="2"/>
  <c r="O4426" i="2" s="1"/>
  <c r="L4427" i="2"/>
  <c r="O4427" i="2" s="1"/>
  <c r="L4428" i="2"/>
  <c r="O4428" i="2" s="1"/>
  <c r="L4429" i="2"/>
  <c r="O4429" i="2" s="1"/>
  <c r="L4430" i="2"/>
  <c r="O4430" i="2" s="1"/>
  <c r="L4431" i="2"/>
  <c r="O4431" i="2" s="1"/>
  <c r="L4432" i="2"/>
  <c r="O4432" i="2" s="1"/>
  <c r="L4433" i="2"/>
  <c r="O4433" i="2" s="1"/>
  <c r="L4434" i="2"/>
  <c r="O4434" i="2" s="1"/>
  <c r="L4435" i="2"/>
  <c r="O4435" i="2" s="1"/>
  <c r="L4436" i="2"/>
  <c r="O4436" i="2" s="1"/>
  <c r="L4437" i="2"/>
  <c r="O4437" i="2" s="1"/>
  <c r="L4438" i="2"/>
  <c r="O4438" i="2" s="1"/>
  <c r="L4439" i="2"/>
  <c r="O4439" i="2" s="1"/>
  <c r="L4440" i="2"/>
  <c r="O4440" i="2" s="1"/>
  <c r="L4441" i="2"/>
  <c r="O4441" i="2" s="1"/>
  <c r="L4442" i="2"/>
  <c r="O4442" i="2" s="1"/>
  <c r="L4443" i="2"/>
  <c r="O4443" i="2" s="1"/>
  <c r="L4444" i="2"/>
  <c r="O4444" i="2" s="1"/>
  <c r="L4445" i="2"/>
  <c r="O4445" i="2" s="1"/>
  <c r="L4446" i="2"/>
  <c r="O4446" i="2" s="1"/>
  <c r="L4447" i="2"/>
  <c r="O4447" i="2" s="1"/>
  <c r="L4448" i="2"/>
  <c r="O4448" i="2" s="1"/>
  <c r="L4449" i="2"/>
  <c r="O4449" i="2" s="1"/>
  <c r="L4450" i="2"/>
  <c r="O4450" i="2" s="1"/>
  <c r="L4451" i="2"/>
  <c r="O4451" i="2" s="1"/>
  <c r="L4452" i="2"/>
  <c r="O4452" i="2" s="1"/>
  <c r="L4453" i="2"/>
  <c r="O4453" i="2" s="1"/>
  <c r="L4454" i="2"/>
  <c r="O4454" i="2" s="1"/>
  <c r="L4455" i="2"/>
  <c r="O4455" i="2" s="1"/>
  <c r="L4456" i="2"/>
  <c r="O4456" i="2" s="1"/>
  <c r="L4457" i="2"/>
  <c r="O4457" i="2" s="1"/>
  <c r="L4458" i="2"/>
  <c r="O4458" i="2" s="1"/>
  <c r="L4459" i="2"/>
  <c r="O4459" i="2" s="1"/>
  <c r="L4460" i="2"/>
  <c r="O4460" i="2" s="1"/>
  <c r="L4461" i="2"/>
  <c r="O4461" i="2" s="1"/>
  <c r="L4462" i="2"/>
  <c r="O4462" i="2" s="1"/>
  <c r="L4463" i="2"/>
  <c r="O4463" i="2" s="1"/>
  <c r="L4464" i="2"/>
  <c r="O4464" i="2" s="1"/>
  <c r="L4465" i="2"/>
  <c r="O4465" i="2" s="1"/>
  <c r="L4466" i="2"/>
  <c r="O4466" i="2" s="1"/>
  <c r="L4467" i="2"/>
  <c r="O4467" i="2" s="1"/>
  <c r="L4468" i="2"/>
  <c r="O4468" i="2" s="1"/>
  <c r="L4469" i="2"/>
  <c r="O4469" i="2" s="1"/>
  <c r="L4470" i="2"/>
  <c r="O4470" i="2" s="1"/>
  <c r="L4471" i="2"/>
  <c r="O4471" i="2" s="1"/>
  <c r="L4472" i="2"/>
  <c r="O4472" i="2" s="1"/>
  <c r="L4473" i="2"/>
  <c r="O4473" i="2" s="1"/>
  <c r="L4474" i="2"/>
  <c r="O4474" i="2" s="1"/>
  <c r="L4475" i="2"/>
  <c r="O4475" i="2" s="1"/>
  <c r="L4476" i="2"/>
  <c r="O4476" i="2" s="1"/>
  <c r="L4477" i="2"/>
  <c r="O4477" i="2" s="1"/>
  <c r="L4478" i="2"/>
  <c r="O4478" i="2" s="1"/>
  <c r="L4479" i="2"/>
  <c r="O4479" i="2" s="1"/>
  <c r="L4480" i="2"/>
  <c r="O4480" i="2" s="1"/>
  <c r="L4481" i="2"/>
  <c r="O4481" i="2" s="1"/>
  <c r="L4482" i="2"/>
  <c r="O4482" i="2" s="1"/>
  <c r="L4483" i="2"/>
  <c r="O4483" i="2" s="1"/>
  <c r="L4484" i="2"/>
  <c r="O4484" i="2" s="1"/>
  <c r="L4485" i="2"/>
  <c r="O4485" i="2" s="1"/>
  <c r="L4486" i="2"/>
  <c r="O4486" i="2" s="1"/>
  <c r="L4487" i="2"/>
  <c r="O4487" i="2" s="1"/>
  <c r="L4488" i="2"/>
  <c r="O4488" i="2" s="1"/>
  <c r="L4489" i="2"/>
  <c r="O4489" i="2" s="1"/>
  <c r="L4490" i="2"/>
  <c r="O4490" i="2" s="1"/>
  <c r="L4491" i="2"/>
  <c r="O4491" i="2" s="1"/>
  <c r="L4492" i="2"/>
  <c r="O4492" i="2" s="1"/>
  <c r="L4493" i="2"/>
  <c r="O4493" i="2" s="1"/>
  <c r="L4494" i="2"/>
  <c r="O4494" i="2" s="1"/>
  <c r="L4495" i="2"/>
  <c r="O4495" i="2" s="1"/>
  <c r="L4496" i="2"/>
  <c r="O4496" i="2" s="1"/>
  <c r="L4497" i="2"/>
  <c r="O4497" i="2" s="1"/>
  <c r="L4498" i="2"/>
  <c r="O4498" i="2" s="1"/>
  <c r="L4499" i="2"/>
  <c r="O4499" i="2" s="1"/>
  <c r="L4500" i="2"/>
  <c r="O4500" i="2" s="1"/>
  <c r="L4501" i="2"/>
  <c r="O4501" i="2" s="1"/>
  <c r="L4502" i="2"/>
  <c r="O4502" i="2" s="1"/>
  <c r="L4503" i="2"/>
  <c r="O4503" i="2" s="1"/>
  <c r="L4504" i="2"/>
  <c r="O4504" i="2" s="1"/>
  <c r="L4505" i="2"/>
  <c r="O4505" i="2" s="1"/>
  <c r="L4506" i="2"/>
  <c r="O4506" i="2" s="1"/>
  <c r="L4507" i="2"/>
  <c r="O4507" i="2" s="1"/>
  <c r="L4508" i="2"/>
  <c r="O4508" i="2" s="1"/>
  <c r="L4509" i="2"/>
  <c r="O4509" i="2" s="1"/>
  <c r="L4510" i="2"/>
  <c r="O4510" i="2" s="1"/>
  <c r="L4511" i="2"/>
  <c r="O4511" i="2" s="1"/>
  <c r="L4512" i="2"/>
  <c r="O4512" i="2" s="1"/>
  <c r="L4513" i="2"/>
  <c r="O4513" i="2" s="1"/>
  <c r="L4514" i="2"/>
  <c r="O4514" i="2" s="1"/>
  <c r="L4515" i="2"/>
  <c r="O4515" i="2" s="1"/>
  <c r="L4516" i="2"/>
  <c r="O4516" i="2" s="1"/>
  <c r="L4517" i="2"/>
  <c r="O4517" i="2" s="1"/>
  <c r="L4518" i="2"/>
  <c r="O4518" i="2" s="1"/>
  <c r="L4519" i="2"/>
  <c r="O4519" i="2" s="1"/>
  <c r="L4520" i="2"/>
  <c r="O4520" i="2" s="1"/>
  <c r="L4521" i="2"/>
  <c r="O4521" i="2" s="1"/>
  <c r="L4522" i="2"/>
  <c r="O4522" i="2" s="1"/>
  <c r="L4523" i="2"/>
  <c r="O4523" i="2" s="1"/>
  <c r="L4524" i="2"/>
  <c r="O4524" i="2" s="1"/>
  <c r="L4525" i="2"/>
  <c r="O4525" i="2" s="1"/>
  <c r="L4526" i="2"/>
  <c r="O4526" i="2" s="1"/>
  <c r="L4527" i="2"/>
  <c r="O4527" i="2" s="1"/>
  <c r="L4528" i="2"/>
  <c r="O4528" i="2" s="1"/>
  <c r="L4529" i="2"/>
  <c r="O4529" i="2" s="1"/>
  <c r="L4530" i="2"/>
  <c r="O4530" i="2" s="1"/>
  <c r="L4531" i="2"/>
  <c r="O4531" i="2" s="1"/>
  <c r="L4532" i="2"/>
  <c r="O4532" i="2" s="1"/>
  <c r="L4533" i="2"/>
  <c r="O4533" i="2" s="1"/>
  <c r="L4534" i="2"/>
  <c r="O4534" i="2" s="1"/>
  <c r="L4535" i="2"/>
  <c r="O4535" i="2" s="1"/>
  <c r="L4536" i="2"/>
  <c r="O4536" i="2" s="1"/>
  <c r="L4537" i="2"/>
  <c r="O4537" i="2" s="1"/>
  <c r="L4538" i="2"/>
  <c r="O4538" i="2" s="1"/>
  <c r="L4539" i="2"/>
  <c r="O4539" i="2" s="1"/>
  <c r="L4540" i="2"/>
  <c r="O4540" i="2" s="1"/>
  <c r="L4541" i="2"/>
  <c r="O4541" i="2" s="1"/>
  <c r="L4542" i="2"/>
  <c r="O4542" i="2" s="1"/>
  <c r="L4543" i="2"/>
  <c r="O4543" i="2" s="1"/>
  <c r="L4544" i="2"/>
  <c r="O4544" i="2" s="1"/>
  <c r="L4545" i="2"/>
  <c r="O4545" i="2" s="1"/>
  <c r="L4546" i="2"/>
  <c r="O4546" i="2" s="1"/>
  <c r="L4547" i="2"/>
  <c r="O4547" i="2" s="1"/>
  <c r="L4548" i="2"/>
  <c r="O4548" i="2" s="1"/>
  <c r="L4549" i="2"/>
  <c r="O4549" i="2" s="1"/>
  <c r="L4550" i="2"/>
  <c r="O4550" i="2" s="1"/>
  <c r="L4551" i="2"/>
  <c r="O4551" i="2" s="1"/>
  <c r="L4552" i="2"/>
  <c r="O4552" i="2" s="1"/>
  <c r="L4553" i="2"/>
  <c r="O4553" i="2" s="1"/>
  <c r="L4554" i="2"/>
  <c r="O4554" i="2" s="1"/>
  <c r="L4555" i="2"/>
  <c r="O4555" i="2" s="1"/>
  <c r="L4556" i="2"/>
  <c r="O4556" i="2" s="1"/>
  <c r="L4557" i="2"/>
  <c r="O4557" i="2" s="1"/>
  <c r="L4558" i="2"/>
  <c r="O4558" i="2" s="1"/>
  <c r="L4559" i="2"/>
  <c r="O4559" i="2" s="1"/>
  <c r="L4560" i="2"/>
  <c r="O4560" i="2" s="1"/>
  <c r="L4561" i="2"/>
  <c r="O4561" i="2" s="1"/>
  <c r="L4562" i="2"/>
  <c r="O4562" i="2" s="1"/>
  <c r="L4563" i="2"/>
  <c r="O4563" i="2" s="1"/>
  <c r="L4564" i="2"/>
  <c r="O4564" i="2" s="1"/>
  <c r="L4565" i="2"/>
  <c r="O4565" i="2" s="1"/>
  <c r="L4566" i="2"/>
  <c r="O4566" i="2" s="1"/>
  <c r="L4567" i="2"/>
  <c r="O4567" i="2" s="1"/>
  <c r="L4568" i="2"/>
  <c r="O4568" i="2" s="1"/>
  <c r="L4569" i="2"/>
  <c r="O4569" i="2" s="1"/>
  <c r="L4570" i="2"/>
  <c r="O4570" i="2" s="1"/>
  <c r="L4571" i="2"/>
  <c r="O4571" i="2" s="1"/>
  <c r="L4572" i="2"/>
  <c r="O4572" i="2" s="1"/>
  <c r="L4573" i="2"/>
  <c r="O4573" i="2" s="1"/>
  <c r="L4574" i="2"/>
  <c r="O4574" i="2" s="1"/>
  <c r="L4575" i="2"/>
  <c r="O4575" i="2" s="1"/>
  <c r="L4576" i="2"/>
  <c r="O4576" i="2" s="1"/>
  <c r="L4577" i="2"/>
  <c r="O4577" i="2" s="1"/>
  <c r="L4578" i="2"/>
  <c r="O4578" i="2" s="1"/>
  <c r="L4579" i="2"/>
  <c r="O4579" i="2" s="1"/>
  <c r="L4580" i="2"/>
  <c r="O4580" i="2" s="1"/>
  <c r="L4581" i="2"/>
  <c r="O4581" i="2" s="1"/>
  <c r="L4582" i="2"/>
  <c r="O4582" i="2" s="1"/>
  <c r="L4583" i="2"/>
  <c r="O4583" i="2" s="1"/>
  <c r="L4584" i="2"/>
  <c r="O4584" i="2" s="1"/>
  <c r="L4585" i="2"/>
  <c r="O4585" i="2" s="1"/>
  <c r="L4586" i="2"/>
  <c r="O4586" i="2" s="1"/>
  <c r="L4587" i="2"/>
  <c r="O4587" i="2" s="1"/>
  <c r="L4588" i="2"/>
  <c r="O4588" i="2" s="1"/>
  <c r="L4589" i="2"/>
  <c r="O4589" i="2" s="1"/>
  <c r="L4590" i="2"/>
  <c r="O4590" i="2" s="1"/>
  <c r="L4591" i="2"/>
  <c r="O4591" i="2" s="1"/>
  <c r="L4592" i="2"/>
  <c r="O4592" i="2" s="1"/>
  <c r="L4593" i="2"/>
  <c r="O4593" i="2" s="1"/>
  <c r="L4594" i="2"/>
  <c r="O4594" i="2" s="1"/>
  <c r="L4595" i="2"/>
  <c r="O4595" i="2" s="1"/>
  <c r="L4596" i="2"/>
  <c r="O4596" i="2" s="1"/>
  <c r="L4597" i="2"/>
  <c r="O4597" i="2" s="1"/>
  <c r="L4598" i="2"/>
  <c r="O4598" i="2" s="1"/>
  <c r="L4599" i="2"/>
  <c r="O4599" i="2" s="1"/>
  <c r="L4600" i="2"/>
  <c r="O4600" i="2" s="1"/>
  <c r="L4601" i="2"/>
  <c r="O4601" i="2" s="1"/>
  <c r="L4602" i="2"/>
  <c r="O4602" i="2" s="1"/>
  <c r="L4603" i="2"/>
  <c r="O4603" i="2" s="1"/>
  <c r="L4604" i="2"/>
  <c r="O4604" i="2" s="1"/>
  <c r="L4605" i="2"/>
  <c r="O4605" i="2" s="1"/>
  <c r="L4606" i="2"/>
  <c r="O4606" i="2" s="1"/>
  <c r="L4607" i="2"/>
  <c r="O4607" i="2" s="1"/>
  <c r="L4608" i="2"/>
  <c r="O4608" i="2" s="1"/>
  <c r="L4609" i="2"/>
  <c r="O4609" i="2" s="1"/>
  <c r="L4610" i="2"/>
  <c r="O4610" i="2" s="1"/>
  <c r="L4611" i="2"/>
  <c r="O4611" i="2" s="1"/>
  <c r="L4612" i="2"/>
  <c r="O4612" i="2" s="1"/>
  <c r="L4613" i="2"/>
  <c r="O4613" i="2" s="1"/>
  <c r="L4614" i="2"/>
  <c r="O4614" i="2" s="1"/>
  <c r="L4615" i="2"/>
  <c r="O4615" i="2" s="1"/>
  <c r="L4616" i="2"/>
  <c r="O4616" i="2" s="1"/>
  <c r="L4617" i="2"/>
  <c r="O4617" i="2" s="1"/>
  <c r="L4618" i="2"/>
  <c r="O4618" i="2" s="1"/>
  <c r="L4619" i="2"/>
  <c r="O4619" i="2" s="1"/>
  <c r="L4620" i="2"/>
  <c r="O4620" i="2" s="1"/>
  <c r="L4621" i="2"/>
  <c r="O4621" i="2" s="1"/>
  <c r="L4622" i="2"/>
  <c r="O4622" i="2" s="1"/>
  <c r="L4623" i="2"/>
  <c r="O4623" i="2" s="1"/>
  <c r="L4624" i="2"/>
  <c r="O4624" i="2" s="1"/>
  <c r="L4625" i="2"/>
  <c r="O4625" i="2" s="1"/>
  <c r="L4626" i="2"/>
  <c r="O4626" i="2" s="1"/>
  <c r="L4627" i="2"/>
  <c r="O4627" i="2" s="1"/>
  <c r="L4628" i="2"/>
  <c r="O4628" i="2" s="1"/>
  <c r="L4629" i="2"/>
  <c r="O4629" i="2" s="1"/>
  <c r="L4630" i="2"/>
  <c r="O4630" i="2" s="1"/>
  <c r="L4631" i="2"/>
  <c r="O4631" i="2" s="1"/>
  <c r="L4632" i="2"/>
  <c r="O4632" i="2" s="1"/>
  <c r="L4633" i="2"/>
  <c r="O4633" i="2" s="1"/>
  <c r="L4634" i="2"/>
  <c r="O4634" i="2" s="1"/>
  <c r="L4635" i="2"/>
  <c r="O4635" i="2" s="1"/>
  <c r="L4636" i="2"/>
  <c r="O4636" i="2" s="1"/>
  <c r="L4637" i="2"/>
  <c r="O4637" i="2" s="1"/>
  <c r="L4638" i="2"/>
  <c r="O4638" i="2" s="1"/>
  <c r="L4639" i="2"/>
  <c r="O4639" i="2" s="1"/>
  <c r="L4640" i="2"/>
  <c r="O4640" i="2" s="1"/>
  <c r="L4641" i="2"/>
  <c r="O4641" i="2" s="1"/>
  <c r="L4642" i="2"/>
  <c r="O4642" i="2" s="1"/>
  <c r="L4643" i="2"/>
  <c r="O4643" i="2" s="1"/>
  <c r="L4644" i="2"/>
  <c r="O4644" i="2" s="1"/>
  <c r="L4645" i="2"/>
  <c r="O4645" i="2" s="1"/>
  <c r="L4646" i="2"/>
  <c r="O4646" i="2" s="1"/>
  <c r="L4647" i="2"/>
  <c r="O4647" i="2" s="1"/>
  <c r="L4648" i="2"/>
  <c r="O4648" i="2" s="1"/>
  <c r="L4649" i="2"/>
  <c r="O4649" i="2" s="1"/>
  <c r="L4650" i="2"/>
  <c r="O4650" i="2" s="1"/>
  <c r="L4651" i="2"/>
  <c r="O4651" i="2" s="1"/>
  <c r="L4652" i="2"/>
  <c r="O4652" i="2" s="1"/>
  <c r="L4653" i="2"/>
  <c r="O4653" i="2" s="1"/>
  <c r="L4654" i="2"/>
  <c r="O4654" i="2" s="1"/>
  <c r="L4655" i="2"/>
  <c r="O4655" i="2" s="1"/>
  <c r="L4656" i="2"/>
  <c r="O4656" i="2" s="1"/>
  <c r="L4657" i="2"/>
  <c r="O4657" i="2" s="1"/>
  <c r="L4658" i="2"/>
  <c r="O4658" i="2" s="1"/>
  <c r="L4659" i="2"/>
  <c r="O4659" i="2" s="1"/>
  <c r="L4660" i="2"/>
  <c r="O4660" i="2" s="1"/>
  <c r="L4661" i="2"/>
  <c r="O4661" i="2" s="1"/>
  <c r="L4662" i="2"/>
  <c r="O4662" i="2" s="1"/>
  <c r="L4663" i="2"/>
  <c r="O4663" i="2" s="1"/>
  <c r="L4664" i="2"/>
  <c r="O4664" i="2" s="1"/>
  <c r="L4665" i="2"/>
  <c r="O4665" i="2" s="1"/>
  <c r="L4666" i="2"/>
  <c r="O4666" i="2" s="1"/>
  <c r="L4667" i="2"/>
  <c r="O4667" i="2" s="1"/>
  <c r="L4668" i="2"/>
  <c r="O4668" i="2" s="1"/>
  <c r="L4669" i="2"/>
  <c r="O4669" i="2" s="1"/>
  <c r="L4670" i="2"/>
  <c r="O4670" i="2" s="1"/>
  <c r="L4671" i="2"/>
  <c r="O4671" i="2" s="1"/>
  <c r="L4672" i="2"/>
  <c r="O4672" i="2" s="1"/>
  <c r="L4673" i="2"/>
  <c r="O4673" i="2" s="1"/>
  <c r="L4674" i="2"/>
  <c r="O4674" i="2" s="1"/>
  <c r="L4675" i="2"/>
  <c r="O4675" i="2" s="1"/>
  <c r="L4676" i="2"/>
  <c r="O4676" i="2" s="1"/>
  <c r="L4677" i="2"/>
  <c r="O4677" i="2" s="1"/>
  <c r="L4678" i="2"/>
  <c r="O4678" i="2" s="1"/>
  <c r="L4679" i="2"/>
  <c r="O4679" i="2" s="1"/>
  <c r="L4680" i="2"/>
  <c r="O4680" i="2" s="1"/>
  <c r="L4681" i="2"/>
  <c r="O4681" i="2" s="1"/>
  <c r="L4682" i="2"/>
  <c r="O4682" i="2" s="1"/>
  <c r="L4683" i="2"/>
  <c r="O4683" i="2" s="1"/>
  <c r="L4684" i="2"/>
  <c r="O4684" i="2" s="1"/>
  <c r="L4685" i="2"/>
  <c r="O4685" i="2" s="1"/>
  <c r="L4686" i="2"/>
  <c r="O4686" i="2" s="1"/>
  <c r="L4687" i="2"/>
  <c r="O4687" i="2" s="1"/>
  <c r="L4688" i="2"/>
  <c r="O4688" i="2" s="1"/>
  <c r="L4689" i="2"/>
  <c r="O4689" i="2" s="1"/>
  <c r="L4690" i="2"/>
  <c r="O4690" i="2" s="1"/>
  <c r="L4691" i="2"/>
  <c r="O4691" i="2" s="1"/>
  <c r="L4692" i="2"/>
  <c r="O4692" i="2" s="1"/>
  <c r="L4693" i="2"/>
  <c r="O4693" i="2" s="1"/>
  <c r="L4694" i="2"/>
  <c r="O4694" i="2" s="1"/>
  <c r="L4695" i="2"/>
  <c r="O4695" i="2" s="1"/>
  <c r="L4696" i="2"/>
  <c r="O4696" i="2" s="1"/>
  <c r="L4697" i="2"/>
  <c r="O4697" i="2" s="1"/>
  <c r="L4698" i="2"/>
  <c r="O4698" i="2" s="1"/>
  <c r="L4699" i="2"/>
  <c r="O4699" i="2" s="1"/>
  <c r="L4700" i="2"/>
  <c r="O4700" i="2" s="1"/>
  <c r="L4701" i="2"/>
  <c r="O4701" i="2" s="1"/>
  <c r="L4702" i="2"/>
  <c r="O4702" i="2" s="1"/>
  <c r="L4703" i="2"/>
  <c r="O4703" i="2" s="1"/>
  <c r="L4704" i="2"/>
  <c r="O4704" i="2" s="1"/>
  <c r="L4705" i="2"/>
  <c r="O4705" i="2" s="1"/>
  <c r="L4706" i="2"/>
  <c r="O4706" i="2" s="1"/>
  <c r="L4707" i="2"/>
  <c r="O4707" i="2" s="1"/>
  <c r="L4708" i="2"/>
  <c r="O4708" i="2" s="1"/>
  <c r="L4709" i="2"/>
  <c r="O4709" i="2" s="1"/>
  <c r="L4710" i="2"/>
  <c r="O4710" i="2" s="1"/>
  <c r="L4711" i="2"/>
  <c r="O4711" i="2" s="1"/>
  <c r="L4712" i="2"/>
  <c r="O4712" i="2" s="1"/>
  <c r="L4713" i="2"/>
  <c r="O4713" i="2" s="1"/>
  <c r="L4714" i="2"/>
  <c r="O4714" i="2" s="1"/>
  <c r="L4715" i="2"/>
  <c r="O4715" i="2" s="1"/>
  <c r="L4716" i="2"/>
  <c r="O4716" i="2" s="1"/>
  <c r="L4717" i="2"/>
  <c r="O4717" i="2" s="1"/>
  <c r="L4718" i="2"/>
  <c r="O4718" i="2" s="1"/>
  <c r="L4719" i="2"/>
  <c r="O4719" i="2" s="1"/>
  <c r="L4720" i="2"/>
  <c r="O4720" i="2" s="1"/>
  <c r="L4721" i="2"/>
  <c r="O4721" i="2" s="1"/>
  <c r="L4722" i="2"/>
  <c r="O4722" i="2" s="1"/>
  <c r="L4723" i="2"/>
  <c r="O4723" i="2" s="1"/>
  <c r="L4724" i="2"/>
  <c r="O4724" i="2" s="1"/>
  <c r="L4725" i="2"/>
  <c r="O4725" i="2" s="1"/>
  <c r="L4726" i="2"/>
  <c r="O4726" i="2" s="1"/>
  <c r="L4727" i="2"/>
  <c r="O4727" i="2" s="1"/>
  <c r="L4728" i="2"/>
  <c r="O4728" i="2" s="1"/>
  <c r="L4729" i="2"/>
  <c r="O4729" i="2" s="1"/>
  <c r="L4730" i="2"/>
  <c r="O4730" i="2" s="1"/>
  <c r="L4731" i="2"/>
  <c r="O4731" i="2" s="1"/>
  <c r="L4732" i="2"/>
  <c r="O4732" i="2" s="1"/>
  <c r="L4733" i="2"/>
  <c r="O4733" i="2" s="1"/>
  <c r="L4734" i="2"/>
  <c r="O4734" i="2" s="1"/>
  <c r="L4735" i="2"/>
  <c r="O4735" i="2" s="1"/>
  <c r="L4736" i="2"/>
  <c r="O4736" i="2" s="1"/>
  <c r="L4737" i="2"/>
  <c r="O4737" i="2" s="1"/>
  <c r="L4738" i="2"/>
  <c r="O4738" i="2" s="1"/>
  <c r="L4739" i="2"/>
  <c r="O4739" i="2" s="1"/>
  <c r="L4740" i="2"/>
  <c r="O4740" i="2" s="1"/>
  <c r="L4741" i="2"/>
  <c r="O4741" i="2" s="1"/>
  <c r="L4742" i="2"/>
  <c r="O4742" i="2" s="1"/>
  <c r="L4743" i="2"/>
  <c r="O4743" i="2" s="1"/>
  <c r="L4744" i="2"/>
  <c r="O4744" i="2" s="1"/>
  <c r="L4745" i="2"/>
  <c r="O4745" i="2" s="1"/>
  <c r="L4746" i="2"/>
  <c r="O4746" i="2" s="1"/>
  <c r="L4747" i="2"/>
  <c r="O4747" i="2" s="1"/>
  <c r="L4748" i="2"/>
  <c r="O4748" i="2" s="1"/>
  <c r="L4749" i="2"/>
  <c r="O4749" i="2" s="1"/>
  <c r="L4750" i="2"/>
  <c r="O4750" i="2" s="1"/>
  <c r="L4751" i="2"/>
  <c r="O4751" i="2" s="1"/>
  <c r="L4752" i="2"/>
  <c r="O4752" i="2" s="1"/>
  <c r="L4753" i="2"/>
  <c r="O4753" i="2" s="1"/>
  <c r="L4754" i="2"/>
  <c r="O4754" i="2" s="1"/>
  <c r="L4755" i="2"/>
  <c r="O4755" i="2" s="1"/>
  <c r="L4756" i="2"/>
  <c r="O4756" i="2" s="1"/>
  <c r="L4757" i="2"/>
  <c r="O4757" i="2" s="1"/>
  <c r="L4758" i="2"/>
  <c r="O4758" i="2" s="1"/>
  <c r="L4759" i="2"/>
  <c r="O4759" i="2" s="1"/>
  <c r="L4760" i="2"/>
  <c r="O4760" i="2" s="1"/>
  <c r="L4761" i="2"/>
  <c r="O4761" i="2" s="1"/>
  <c r="L4762" i="2"/>
  <c r="O4762" i="2" s="1"/>
  <c r="L4763" i="2"/>
  <c r="O4763" i="2" s="1"/>
  <c r="L4764" i="2"/>
  <c r="O4764" i="2" s="1"/>
  <c r="L4765" i="2"/>
  <c r="O4765" i="2" s="1"/>
  <c r="L4766" i="2"/>
  <c r="O4766" i="2" s="1"/>
  <c r="L4767" i="2"/>
  <c r="O4767" i="2" s="1"/>
  <c r="L4768" i="2"/>
  <c r="O4768" i="2" s="1"/>
  <c r="L4769" i="2"/>
  <c r="O4769" i="2" s="1"/>
  <c r="L4770" i="2"/>
  <c r="O4770" i="2" s="1"/>
  <c r="L4771" i="2"/>
  <c r="O4771" i="2" s="1"/>
  <c r="L4772" i="2"/>
  <c r="O4772" i="2" s="1"/>
  <c r="L4773" i="2"/>
  <c r="O4773" i="2" s="1"/>
  <c r="L4774" i="2"/>
  <c r="O4774" i="2" s="1"/>
  <c r="L4775" i="2"/>
  <c r="O4775" i="2" s="1"/>
  <c r="L4776" i="2"/>
  <c r="O4776" i="2" s="1"/>
  <c r="L4777" i="2"/>
  <c r="O4777" i="2" s="1"/>
  <c r="L4778" i="2"/>
  <c r="O4778" i="2" s="1"/>
  <c r="L4779" i="2"/>
  <c r="O4779" i="2" s="1"/>
  <c r="L4780" i="2"/>
  <c r="O4780" i="2" s="1"/>
  <c r="L4781" i="2"/>
  <c r="O4781" i="2" s="1"/>
  <c r="L4782" i="2"/>
  <c r="O4782" i="2" s="1"/>
  <c r="L4783" i="2"/>
  <c r="O4783" i="2" s="1"/>
  <c r="L4784" i="2"/>
  <c r="O4784" i="2" s="1"/>
  <c r="L4785" i="2"/>
  <c r="O4785" i="2" s="1"/>
  <c r="L4786" i="2"/>
  <c r="O4786" i="2" s="1"/>
  <c r="L4787" i="2"/>
  <c r="O4787" i="2" s="1"/>
  <c r="L4788" i="2"/>
  <c r="O4788" i="2" s="1"/>
  <c r="L4789" i="2"/>
  <c r="O4789" i="2" s="1"/>
  <c r="L4790" i="2"/>
  <c r="O4790" i="2" s="1"/>
  <c r="L4791" i="2"/>
  <c r="O4791" i="2" s="1"/>
  <c r="L4792" i="2"/>
  <c r="O4792" i="2" s="1"/>
  <c r="L4793" i="2"/>
  <c r="O4793" i="2" s="1"/>
  <c r="L4794" i="2"/>
  <c r="O4794" i="2" s="1"/>
  <c r="L4795" i="2"/>
  <c r="O4795" i="2" s="1"/>
  <c r="L4796" i="2"/>
  <c r="O4796" i="2" s="1"/>
  <c r="L4797" i="2"/>
  <c r="O4797" i="2" s="1"/>
  <c r="L4798" i="2"/>
  <c r="O4798" i="2" s="1"/>
  <c r="L4799" i="2"/>
  <c r="O4799" i="2" s="1"/>
  <c r="L4800" i="2"/>
  <c r="O4800" i="2" s="1"/>
  <c r="L4801" i="2"/>
  <c r="O4801" i="2" s="1"/>
  <c r="L4802" i="2"/>
  <c r="O4802" i="2" s="1"/>
  <c r="L4803" i="2"/>
  <c r="O4803" i="2" s="1"/>
  <c r="L4804" i="2"/>
  <c r="O4804" i="2" s="1"/>
  <c r="L4805" i="2"/>
  <c r="O4805" i="2" s="1"/>
  <c r="L4806" i="2"/>
  <c r="O4806" i="2" s="1"/>
  <c r="L4807" i="2"/>
  <c r="O4807" i="2" s="1"/>
  <c r="L4808" i="2"/>
  <c r="O4808" i="2" s="1"/>
  <c r="L4809" i="2"/>
  <c r="O4809" i="2" s="1"/>
  <c r="L4810" i="2"/>
  <c r="O4810" i="2" s="1"/>
  <c r="L4811" i="2"/>
  <c r="O4811" i="2" s="1"/>
  <c r="L4812" i="2"/>
  <c r="O4812" i="2" s="1"/>
  <c r="L4813" i="2"/>
  <c r="O4813" i="2" s="1"/>
  <c r="L4814" i="2"/>
  <c r="O4814" i="2" s="1"/>
  <c r="L4815" i="2"/>
  <c r="O4815" i="2" s="1"/>
  <c r="L4816" i="2"/>
  <c r="O4816" i="2" s="1"/>
  <c r="L4817" i="2"/>
  <c r="O4817" i="2" s="1"/>
  <c r="L4818" i="2"/>
  <c r="O4818" i="2" s="1"/>
  <c r="L4819" i="2"/>
  <c r="O4819" i="2" s="1"/>
  <c r="L4820" i="2"/>
  <c r="O4820" i="2" s="1"/>
  <c r="L4821" i="2"/>
  <c r="O4821" i="2" s="1"/>
  <c r="L4822" i="2"/>
  <c r="O4822" i="2" s="1"/>
  <c r="L4823" i="2"/>
  <c r="O4823" i="2" s="1"/>
  <c r="L4824" i="2"/>
  <c r="O4824" i="2" s="1"/>
  <c r="L4825" i="2"/>
  <c r="O4825" i="2" s="1"/>
  <c r="L4826" i="2"/>
  <c r="O4826" i="2" s="1"/>
  <c r="L4827" i="2"/>
  <c r="O4827" i="2" s="1"/>
  <c r="L4828" i="2"/>
  <c r="O4828" i="2" s="1"/>
  <c r="L4829" i="2"/>
  <c r="O4829" i="2" s="1"/>
  <c r="L4830" i="2"/>
  <c r="O4830" i="2" s="1"/>
  <c r="L4831" i="2"/>
  <c r="O4831" i="2" s="1"/>
  <c r="L4832" i="2"/>
  <c r="O4832" i="2" s="1"/>
  <c r="L4833" i="2"/>
  <c r="O4833" i="2" s="1"/>
  <c r="L4834" i="2"/>
  <c r="O4834" i="2" s="1"/>
  <c r="L4835" i="2"/>
  <c r="O4835" i="2" s="1"/>
  <c r="L4836" i="2"/>
  <c r="O4836" i="2" s="1"/>
  <c r="L4837" i="2"/>
  <c r="O4837" i="2" s="1"/>
  <c r="L4838" i="2"/>
  <c r="O4838" i="2" s="1"/>
  <c r="L4839" i="2"/>
  <c r="O4839" i="2" s="1"/>
  <c r="L4840" i="2"/>
  <c r="O4840" i="2" s="1"/>
  <c r="L4841" i="2"/>
  <c r="O4841" i="2" s="1"/>
  <c r="L4842" i="2"/>
  <c r="O4842" i="2" s="1"/>
  <c r="L4843" i="2"/>
  <c r="O4843" i="2" s="1"/>
  <c r="L4844" i="2"/>
  <c r="O4844" i="2" s="1"/>
  <c r="L4845" i="2"/>
  <c r="O4845" i="2" s="1"/>
  <c r="L4846" i="2"/>
  <c r="O4846" i="2" s="1"/>
  <c r="L4847" i="2"/>
  <c r="O4847" i="2" s="1"/>
  <c r="L4848" i="2"/>
  <c r="O4848" i="2" s="1"/>
  <c r="L4849" i="2"/>
  <c r="O4849" i="2" s="1"/>
  <c r="L4850" i="2"/>
  <c r="O4850" i="2" s="1"/>
  <c r="L4851" i="2"/>
  <c r="O4851" i="2" s="1"/>
  <c r="L4852" i="2"/>
  <c r="O4852" i="2" s="1"/>
  <c r="L4853" i="2"/>
  <c r="O4853" i="2" s="1"/>
  <c r="L4854" i="2"/>
  <c r="O4854" i="2" s="1"/>
  <c r="L4855" i="2"/>
  <c r="O4855" i="2" s="1"/>
  <c r="L4856" i="2"/>
  <c r="O4856" i="2" s="1"/>
  <c r="L4857" i="2"/>
  <c r="O4857" i="2" s="1"/>
  <c r="L4858" i="2"/>
  <c r="O4858" i="2" s="1"/>
  <c r="L4859" i="2"/>
  <c r="O4859" i="2" s="1"/>
  <c r="L4860" i="2"/>
  <c r="O4860" i="2" s="1"/>
  <c r="L4861" i="2"/>
  <c r="O4861" i="2" s="1"/>
  <c r="L4862" i="2"/>
  <c r="O4862" i="2" s="1"/>
  <c r="L4863" i="2"/>
  <c r="O4863" i="2" s="1"/>
  <c r="L4864" i="2"/>
  <c r="O4864" i="2" s="1"/>
  <c r="L4865" i="2"/>
  <c r="O4865" i="2" s="1"/>
  <c r="L4866" i="2"/>
  <c r="O4866" i="2" s="1"/>
  <c r="L4867" i="2"/>
  <c r="O4867" i="2" s="1"/>
  <c r="L4868" i="2"/>
  <c r="O4868" i="2" s="1"/>
  <c r="L4869" i="2"/>
  <c r="O4869" i="2" s="1"/>
  <c r="L4870" i="2"/>
  <c r="O4870" i="2" s="1"/>
  <c r="L4871" i="2"/>
  <c r="O4871" i="2" s="1"/>
  <c r="L4872" i="2"/>
  <c r="O4872" i="2" s="1"/>
  <c r="L4873" i="2"/>
  <c r="O4873" i="2" s="1"/>
  <c r="L4874" i="2"/>
  <c r="O4874" i="2" s="1"/>
  <c r="L4875" i="2"/>
  <c r="O4875" i="2" s="1"/>
  <c r="L4876" i="2"/>
  <c r="O4876" i="2" s="1"/>
  <c r="L4877" i="2"/>
  <c r="O4877" i="2" s="1"/>
  <c r="L4878" i="2"/>
  <c r="O4878" i="2" s="1"/>
  <c r="L4879" i="2"/>
  <c r="O4879" i="2" s="1"/>
  <c r="L4880" i="2"/>
  <c r="O4880" i="2" s="1"/>
  <c r="L4881" i="2"/>
  <c r="O4881" i="2" s="1"/>
  <c r="L4882" i="2"/>
  <c r="O4882" i="2" s="1"/>
  <c r="L4883" i="2"/>
  <c r="O4883" i="2" s="1"/>
  <c r="L4884" i="2"/>
  <c r="O4884" i="2" s="1"/>
  <c r="L4885" i="2"/>
  <c r="O4885" i="2" s="1"/>
  <c r="L4886" i="2"/>
  <c r="O4886" i="2" s="1"/>
  <c r="L4887" i="2"/>
  <c r="O4887" i="2" s="1"/>
  <c r="L4888" i="2"/>
  <c r="O4888" i="2" s="1"/>
  <c r="L4889" i="2"/>
  <c r="O4889" i="2" s="1"/>
  <c r="L4890" i="2"/>
  <c r="O4890" i="2" s="1"/>
  <c r="L4891" i="2"/>
  <c r="O4891" i="2" s="1"/>
  <c r="L4892" i="2"/>
  <c r="O4892" i="2" s="1"/>
  <c r="L4893" i="2"/>
  <c r="O4893" i="2" s="1"/>
  <c r="L4894" i="2"/>
  <c r="O4894" i="2" s="1"/>
  <c r="L4895" i="2"/>
  <c r="O4895" i="2" s="1"/>
  <c r="L4896" i="2"/>
  <c r="O4896" i="2" s="1"/>
  <c r="L4897" i="2"/>
  <c r="O4897" i="2" s="1"/>
  <c r="L4898" i="2"/>
  <c r="O4898" i="2" s="1"/>
  <c r="L4899" i="2"/>
  <c r="O4899" i="2" s="1"/>
  <c r="L4900" i="2"/>
  <c r="O4900" i="2" s="1"/>
  <c r="L4901" i="2"/>
  <c r="O4901" i="2" s="1"/>
  <c r="L4902" i="2"/>
  <c r="O4902" i="2" s="1"/>
  <c r="L4903" i="2"/>
  <c r="O4903" i="2" s="1"/>
  <c r="L4904" i="2"/>
  <c r="O4904" i="2" s="1"/>
  <c r="L4905" i="2"/>
  <c r="O4905" i="2" s="1"/>
  <c r="L4906" i="2"/>
  <c r="O4906" i="2" s="1"/>
  <c r="L4907" i="2"/>
  <c r="O4907" i="2" s="1"/>
  <c r="L4908" i="2"/>
  <c r="O4908" i="2" s="1"/>
  <c r="L4909" i="2"/>
  <c r="O4909" i="2" s="1"/>
  <c r="L4910" i="2"/>
  <c r="O4910" i="2" s="1"/>
  <c r="L4911" i="2"/>
  <c r="O4911" i="2" s="1"/>
  <c r="L4912" i="2"/>
  <c r="O4912" i="2" s="1"/>
  <c r="L4913" i="2"/>
  <c r="O4913" i="2" s="1"/>
  <c r="L4914" i="2"/>
  <c r="O4914" i="2" s="1"/>
  <c r="L4915" i="2"/>
  <c r="O4915" i="2" s="1"/>
  <c r="L4916" i="2"/>
  <c r="O4916" i="2" s="1"/>
  <c r="L4917" i="2"/>
  <c r="O4917" i="2" s="1"/>
  <c r="L4918" i="2"/>
  <c r="O4918" i="2" s="1"/>
  <c r="L4919" i="2"/>
  <c r="O4919" i="2" s="1"/>
  <c r="L4920" i="2"/>
  <c r="O4920" i="2" s="1"/>
  <c r="L4921" i="2"/>
  <c r="O4921" i="2" s="1"/>
  <c r="L4922" i="2"/>
  <c r="O4922" i="2" s="1"/>
  <c r="L4923" i="2"/>
  <c r="O4923" i="2" s="1"/>
  <c r="L4924" i="2"/>
  <c r="O4924" i="2" s="1"/>
  <c r="L4925" i="2"/>
  <c r="O4925" i="2" s="1"/>
  <c r="L4926" i="2"/>
  <c r="O4926" i="2" s="1"/>
  <c r="L4927" i="2"/>
  <c r="O4927" i="2" s="1"/>
  <c r="L4928" i="2"/>
  <c r="O4928" i="2" s="1"/>
  <c r="L4929" i="2"/>
  <c r="O4929" i="2" s="1"/>
  <c r="L4930" i="2"/>
  <c r="O4930" i="2" s="1"/>
  <c r="L4931" i="2"/>
  <c r="O4931" i="2" s="1"/>
  <c r="L4932" i="2"/>
  <c r="O4932" i="2" s="1"/>
  <c r="L4933" i="2"/>
  <c r="O4933" i="2" s="1"/>
  <c r="L4934" i="2"/>
  <c r="O4934" i="2" s="1"/>
  <c r="L4935" i="2"/>
  <c r="O4935" i="2" s="1"/>
  <c r="L4936" i="2"/>
  <c r="O4936" i="2" s="1"/>
  <c r="L4937" i="2"/>
  <c r="O4937" i="2" s="1"/>
  <c r="L4938" i="2"/>
  <c r="O4938" i="2" s="1"/>
  <c r="L4939" i="2"/>
  <c r="O4939" i="2" s="1"/>
  <c r="L4940" i="2"/>
  <c r="O4940" i="2" s="1"/>
  <c r="L4941" i="2"/>
  <c r="O4941" i="2" s="1"/>
  <c r="L4942" i="2"/>
  <c r="O4942" i="2" s="1"/>
  <c r="L4943" i="2"/>
  <c r="O4943" i="2" s="1"/>
  <c r="L4944" i="2"/>
  <c r="O4944" i="2" s="1"/>
  <c r="L4945" i="2"/>
  <c r="O4945" i="2" s="1"/>
  <c r="L4946" i="2"/>
  <c r="O4946" i="2" s="1"/>
  <c r="L4947" i="2"/>
  <c r="O4947" i="2" s="1"/>
  <c r="L4948" i="2"/>
  <c r="O4948" i="2" s="1"/>
  <c r="L4949" i="2"/>
  <c r="O4949" i="2" s="1"/>
  <c r="L4950" i="2"/>
  <c r="O4950" i="2" s="1"/>
  <c r="L4951" i="2"/>
  <c r="O4951" i="2" s="1"/>
  <c r="L4952" i="2"/>
  <c r="O4952" i="2" s="1"/>
  <c r="L4953" i="2"/>
  <c r="O4953" i="2" s="1"/>
  <c r="L4954" i="2"/>
  <c r="O4954" i="2" s="1"/>
  <c r="L4955" i="2"/>
  <c r="O4955" i="2" s="1"/>
  <c r="L4956" i="2"/>
  <c r="O4956" i="2" s="1"/>
  <c r="L4957" i="2"/>
  <c r="O4957" i="2" s="1"/>
  <c r="L4958" i="2"/>
  <c r="O4958" i="2" s="1"/>
  <c r="L4959" i="2"/>
  <c r="O4959" i="2" s="1"/>
  <c r="L4960" i="2"/>
  <c r="O4960" i="2" s="1"/>
  <c r="L4961" i="2"/>
  <c r="O4961" i="2" s="1"/>
  <c r="L4962" i="2"/>
  <c r="O4962" i="2" s="1"/>
  <c r="L4963" i="2"/>
  <c r="O4963" i="2" s="1"/>
  <c r="L4964" i="2"/>
  <c r="O4964" i="2" s="1"/>
  <c r="L4965" i="2"/>
  <c r="O4965" i="2" s="1"/>
  <c r="L4966" i="2"/>
  <c r="O4966" i="2" s="1"/>
  <c r="L4967" i="2"/>
  <c r="O4967" i="2" s="1"/>
  <c r="L4968" i="2"/>
  <c r="O4968" i="2" s="1"/>
  <c r="L4969" i="2"/>
  <c r="O4969" i="2" s="1"/>
  <c r="L4970" i="2"/>
  <c r="O4970" i="2" s="1"/>
  <c r="L4971" i="2"/>
  <c r="O4971" i="2" s="1"/>
  <c r="L4972" i="2"/>
  <c r="O4972" i="2" s="1"/>
  <c r="L4973" i="2"/>
  <c r="O4973" i="2" s="1"/>
  <c r="L4974" i="2"/>
  <c r="O4974" i="2" s="1"/>
  <c r="L4975" i="2"/>
  <c r="O4975" i="2" s="1"/>
  <c r="L4976" i="2"/>
  <c r="O4976" i="2" s="1"/>
  <c r="L4977" i="2"/>
  <c r="O4977" i="2" s="1"/>
  <c r="L4978" i="2"/>
  <c r="O4978" i="2" s="1"/>
  <c r="L4979" i="2"/>
  <c r="O4979" i="2" s="1"/>
  <c r="L4980" i="2"/>
  <c r="O4980" i="2" s="1"/>
  <c r="L4981" i="2"/>
  <c r="O4981" i="2" s="1"/>
  <c r="L4982" i="2"/>
  <c r="O4982" i="2" s="1"/>
  <c r="L4983" i="2"/>
  <c r="O4983" i="2" s="1"/>
  <c r="L4984" i="2"/>
  <c r="O4984" i="2" s="1"/>
  <c r="L4985" i="2"/>
  <c r="O4985" i="2" s="1"/>
  <c r="L4986" i="2"/>
  <c r="O4986" i="2" s="1"/>
  <c r="L4987" i="2"/>
  <c r="O4987" i="2" s="1"/>
  <c r="L4988" i="2"/>
  <c r="O4988" i="2" s="1"/>
  <c r="L4989" i="2"/>
  <c r="O4989" i="2" s="1"/>
  <c r="L4990" i="2"/>
  <c r="O4990" i="2" s="1"/>
  <c r="L4991" i="2"/>
  <c r="O4991" i="2" s="1"/>
  <c r="L4992" i="2"/>
  <c r="O4992" i="2" s="1"/>
  <c r="L4993" i="2"/>
  <c r="O4993" i="2" s="1"/>
  <c r="L4994" i="2"/>
  <c r="O4994" i="2" s="1"/>
  <c r="L4995" i="2"/>
  <c r="O4995" i="2" s="1"/>
  <c r="L4996" i="2"/>
  <c r="O4996" i="2" s="1"/>
  <c r="L4997" i="2"/>
  <c r="O4997" i="2" s="1"/>
  <c r="L4998" i="2"/>
  <c r="O4998" i="2" s="1"/>
  <c r="L4999" i="2"/>
  <c r="O4999" i="2" s="1"/>
  <c r="L5000" i="2"/>
  <c r="O5000" i="2" s="1"/>
  <c r="L5001" i="2"/>
  <c r="O5001" i="2" s="1"/>
  <c r="X19" i="2"/>
  <c r="X18" i="2"/>
  <c r="X17" i="2"/>
  <c r="X16" i="2"/>
  <c r="X15" i="2"/>
  <c r="X14" i="2"/>
  <c r="X13" i="2"/>
  <c r="X12" i="2"/>
  <c r="W19" i="2"/>
  <c r="W18" i="2"/>
  <c r="W17" i="2"/>
  <c r="W16" i="2"/>
  <c r="W15" i="2"/>
  <c r="W14" i="2"/>
  <c r="W13" i="2"/>
  <c r="W12" i="2"/>
  <c r="X8" i="2"/>
  <c r="X5" i="2"/>
  <c r="W8" i="2"/>
  <c r="W5" i="2"/>
  <c r="R8" i="2"/>
  <c r="S8" i="2"/>
  <c r="T8" i="2"/>
  <c r="N71" i="2" s="1"/>
  <c r="P71" i="2" s="1"/>
  <c r="U8" i="2"/>
  <c r="V8" i="2"/>
  <c r="T5" i="2"/>
  <c r="U5" i="2"/>
  <c r="S5" i="2"/>
  <c r="V5" i="2"/>
  <c r="R5" i="2"/>
  <c r="C5" i="10" l="1"/>
  <c r="D5" i="10"/>
  <c r="C22" i="10"/>
  <c r="C21" i="10"/>
  <c r="C17" i="10"/>
  <c r="D20" i="10"/>
  <c r="D17" i="10"/>
  <c r="C18" i="10"/>
  <c r="C19" i="10"/>
  <c r="C20" i="10"/>
  <c r="D18" i="10"/>
  <c r="D19" i="10"/>
  <c r="D21" i="10"/>
  <c r="D22" i="10"/>
  <c r="N51" i="2"/>
  <c r="P51" i="2" s="1"/>
  <c r="N53" i="2"/>
  <c r="P53" i="2" s="1"/>
  <c r="J4767" i="2" a="1"/>
  <c r="J4767" i="2" s="1"/>
  <c r="J2573" i="2" a="1"/>
  <c r="J2573" i="2" s="1"/>
  <c r="J4973" i="2" a="1"/>
  <c r="J4973" i="2" s="1"/>
  <c r="J4904" i="2" a="1"/>
  <c r="J4904" i="2" s="1"/>
  <c r="J4864" i="2" a="1"/>
  <c r="J4864" i="2" s="1"/>
  <c r="J4796" i="2" a="1"/>
  <c r="J4796" i="2" s="1"/>
  <c r="J4726" i="2" a="1"/>
  <c r="J4726" i="2" s="1"/>
  <c r="J4664" i="2" a="1"/>
  <c r="J4664" i="2" s="1"/>
  <c r="J4618" i="2" a="1"/>
  <c r="J4618" i="2" s="1"/>
  <c r="J4558" i="2" a="1"/>
  <c r="J4558" i="2" s="1"/>
  <c r="J4527" i="2" a="1"/>
  <c r="J4527" i="2" s="1"/>
  <c r="J4487" i="2" a="1"/>
  <c r="J4487" i="2" s="1"/>
  <c r="J4981" i="2" a="1"/>
  <c r="J4981" i="2" s="1"/>
  <c r="J4952" i="2" a="1"/>
  <c r="J4952" i="2" s="1"/>
  <c r="J4917" i="2" a="1"/>
  <c r="J4917" i="2" s="1"/>
  <c r="J4876" i="2" a="1"/>
  <c r="J4876" i="2" s="1"/>
  <c r="J4822" i="2" a="1"/>
  <c r="J4822" i="2" s="1"/>
  <c r="J4724" i="2" a="1"/>
  <c r="J4724" i="2" s="1"/>
  <c r="J4632" i="2" a="1"/>
  <c r="J4632" i="2" s="1"/>
  <c r="J4570" i="2" a="1"/>
  <c r="J4570" i="2" s="1"/>
  <c r="J4526" i="2" a="1"/>
  <c r="J4526" i="2" s="1"/>
  <c r="J4485" i="2" a="1"/>
  <c r="J4485" i="2" s="1"/>
  <c r="J4365" i="2" a="1"/>
  <c r="J4365" i="2" s="1"/>
  <c r="J4314" i="2" a="1"/>
  <c r="J4314" i="2" s="1"/>
  <c r="J4242" i="2" a="1"/>
  <c r="J4242" i="2" s="1"/>
  <c r="J4144" i="2" a="1"/>
  <c r="J4144" i="2" s="1"/>
  <c r="J4072" i="2" a="1"/>
  <c r="J4072" i="2" s="1"/>
  <c r="J3916" i="2" a="1"/>
  <c r="J3916" i="2" s="1"/>
  <c r="J3818" i="2" a="1"/>
  <c r="J3818" i="2" s="1"/>
  <c r="J3664" i="2" a="1"/>
  <c r="J3664" i="2" s="1"/>
  <c r="J3394" i="2" a="1"/>
  <c r="J3394" i="2" s="1"/>
  <c r="J3250" i="2" a="1"/>
  <c r="J3250" i="2" s="1"/>
  <c r="J2871" i="2" a="1"/>
  <c r="J2871" i="2" s="1"/>
  <c r="J5001" i="2" a="1"/>
  <c r="J5001" i="2" s="1"/>
  <c r="J4951" i="2" a="1"/>
  <c r="J4951" i="2" s="1"/>
  <c r="J4902" i="2" a="1"/>
  <c r="J4902" i="2" s="1"/>
  <c r="J4848" i="2" a="1"/>
  <c r="J4848" i="2" s="1"/>
  <c r="J4808" i="2" a="1"/>
  <c r="J4808" i="2" s="1"/>
  <c r="J4754" i="2" a="1"/>
  <c r="J4754" i="2" s="1"/>
  <c r="J4677" i="2" a="1"/>
  <c r="J4677" i="2" s="1"/>
  <c r="J4631" i="2" a="1"/>
  <c r="J4631" i="2" s="1"/>
  <c r="J4569" i="2" a="1"/>
  <c r="J4569" i="2" s="1"/>
  <c r="J4525" i="2" a="1"/>
  <c r="J4525" i="2" s="1"/>
  <c r="J4484" i="2" a="1"/>
  <c r="J4484" i="2" s="1"/>
  <c r="J4458" i="2" a="1"/>
  <c r="J4458" i="2" s="1"/>
  <c r="J4381" i="2" a="1"/>
  <c r="J4381" i="2" s="1"/>
  <c r="J4363" i="2" a="1"/>
  <c r="J4363" i="2" s="1"/>
  <c r="J4329" i="2" a="1"/>
  <c r="J4329" i="2" s="1"/>
  <c r="J4312" i="2" a="1"/>
  <c r="J4312" i="2" s="1"/>
  <c r="J4290" i="2" a="1"/>
  <c r="J4290" i="2" s="1"/>
  <c r="J4266" i="2" a="1"/>
  <c r="J4266" i="2" s="1"/>
  <c r="J4216" i="2" a="1"/>
  <c r="J4216" i="2" s="1"/>
  <c r="J4190" i="2" a="1"/>
  <c r="J4190" i="2" s="1"/>
  <c r="J4142" i="2" a="1"/>
  <c r="J4142" i="2" s="1"/>
  <c r="J4117" i="2" a="1"/>
  <c r="J4117" i="2" s="1"/>
  <c r="J4043" i="2" a="1"/>
  <c r="J4043" i="2" s="1"/>
  <c r="J3996" i="2" a="1"/>
  <c r="J3996" i="2" s="1"/>
  <c r="J3972" i="2" a="1"/>
  <c r="J3972" i="2" s="1"/>
  <c r="J3943" i="2" a="1"/>
  <c r="J3943" i="2" s="1"/>
  <c r="J3915" i="2" a="1"/>
  <c r="J3915" i="2" s="1"/>
  <c r="J3884" i="2" a="1"/>
  <c r="J3884" i="2" s="1"/>
  <c r="J3817" i="2" a="1"/>
  <c r="J3817" i="2" s="1"/>
  <c r="J3778" i="2" a="1"/>
  <c r="J3778" i="2" s="1"/>
  <c r="J3740" i="2" a="1"/>
  <c r="J3740" i="2" s="1"/>
  <c r="J3700" i="2" a="1"/>
  <c r="J3700" i="2" s="1"/>
  <c r="J3660" i="2" a="1"/>
  <c r="J3660" i="2" s="1"/>
  <c r="J3620" i="2" a="1"/>
  <c r="J3620" i="2" s="1"/>
  <c r="J3577" i="2" a="1"/>
  <c r="J3577" i="2" s="1"/>
  <c r="J3494" i="2" a="1"/>
  <c r="J3494" i="2" s="1"/>
  <c r="J3451" i="2" a="1"/>
  <c r="J3451" i="2" s="1"/>
  <c r="J3319" i="2" a="1"/>
  <c r="J3319" i="2" s="1"/>
  <c r="J3248" i="2" a="1"/>
  <c r="J3248" i="2" s="1"/>
  <c r="J3168" i="2" a="1"/>
  <c r="J3168" i="2" s="1"/>
  <c r="J2823" i="2" a="1"/>
  <c r="J2823" i="2" s="1"/>
  <c r="J2070" i="2" a="1"/>
  <c r="J2070" i="2" s="1"/>
  <c r="J4999" i="2" a="1"/>
  <c r="J4999" i="2" s="1"/>
  <c r="J4990" i="2" a="1"/>
  <c r="J4990" i="2" s="1"/>
  <c r="J4980" i="2" a="1"/>
  <c r="J4980" i="2" s="1"/>
  <c r="J4970" i="2" a="1"/>
  <c r="J4970" i="2" s="1"/>
  <c r="J4961" i="2" a="1"/>
  <c r="J4961" i="2" s="1"/>
  <c r="J4941" i="2" a="1"/>
  <c r="J4941" i="2" s="1"/>
  <c r="J4927" i="2" a="1"/>
  <c r="J4927" i="2" s="1"/>
  <c r="J4901" i="2" a="1"/>
  <c r="J4901" i="2" s="1"/>
  <c r="J4888" i="2" a="1"/>
  <c r="J4888" i="2" s="1"/>
  <c r="J4873" i="2" a="1"/>
  <c r="J4873" i="2" s="1"/>
  <c r="J4847" i="2" a="1"/>
  <c r="J4847" i="2" s="1"/>
  <c r="J4834" i="2" a="1"/>
  <c r="J4834" i="2" s="1"/>
  <c r="J4819" i="2" a="1"/>
  <c r="J4819" i="2" s="1"/>
  <c r="J4793" i="2" a="1"/>
  <c r="J4793" i="2" s="1"/>
  <c r="J4780" i="2" a="1"/>
  <c r="J4780" i="2" s="1"/>
  <c r="J4765" i="2" a="1"/>
  <c r="J4765" i="2" s="1"/>
  <c r="J4738" i="2" a="1"/>
  <c r="J4738" i="2" s="1"/>
  <c r="J4722" i="2" a="1"/>
  <c r="J4722" i="2" s="1"/>
  <c r="J4706" i="2" a="1"/>
  <c r="J4706" i="2" s="1"/>
  <c r="J4675" i="2" a="1"/>
  <c r="J4675" i="2" s="1"/>
  <c r="J4660" i="2" a="1"/>
  <c r="J4660" i="2" s="1"/>
  <c r="J4630" i="2" a="1"/>
  <c r="J4630" i="2" s="1"/>
  <c r="J4614" i="2" a="1"/>
  <c r="J4614" i="2" s="1"/>
  <c r="J4598" i="2" a="1"/>
  <c r="J4598" i="2" s="1"/>
  <c r="J4568" i="2" a="1"/>
  <c r="J4568" i="2" s="1"/>
  <c r="J4554" i="2" a="1"/>
  <c r="J4554" i="2" s="1"/>
  <c r="J4539" i="2" a="1"/>
  <c r="J4539" i="2" s="1"/>
  <c r="J4511" i="2" a="1"/>
  <c r="J4511" i="2" s="1"/>
  <c r="J4496" i="2" a="1"/>
  <c r="J4496" i="2" s="1"/>
  <c r="J4483" i="2" a="1"/>
  <c r="J4483" i="2" s="1"/>
  <c r="J4470" i="2" a="1"/>
  <c r="J4470" i="2" s="1"/>
  <c r="J4457" i="2" a="1"/>
  <c r="J4457" i="2" s="1"/>
  <c r="J4379" i="2" a="1"/>
  <c r="J4379" i="2" s="1"/>
  <c r="J4361" i="2" a="1"/>
  <c r="J4361" i="2" s="1"/>
  <c r="J4328" i="2" a="1"/>
  <c r="J4328" i="2" s="1"/>
  <c r="J4288" i="2" a="1"/>
  <c r="J4288" i="2" s="1"/>
  <c r="J4262" i="2" a="1"/>
  <c r="J4262" i="2" s="1"/>
  <c r="J4187" i="2" a="1"/>
  <c r="J4187" i="2" s="1"/>
  <c r="J4139" i="2" a="1"/>
  <c r="J4139" i="2" s="1"/>
  <c r="J4115" i="2" a="1"/>
  <c r="J4115" i="2" s="1"/>
  <c r="J4067" i="2" a="1"/>
  <c r="J4067" i="2" s="1"/>
  <c r="J4041" i="2" a="1"/>
  <c r="J4041" i="2" s="1"/>
  <c r="J3994" i="2" a="1"/>
  <c r="J3994" i="2" s="1"/>
  <c r="J3969" i="2" a="1"/>
  <c r="J3969" i="2" s="1"/>
  <c r="J3941" i="2" a="1"/>
  <c r="J3941" i="2" s="1"/>
  <c r="J3910" i="2" a="1"/>
  <c r="J3910" i="2" s="1"/>
  <c r="J3882" i="2" a="1"/>
  <c r="J3882" i="2" s="1"/>
  <c r="J3851" i="2" a="1"/>
  <c r="J3851" i="2" s="1"/>
  <c r="J3815" i="2" a="1"/>
  <c r="J3815" i="2" s="1"/>
  <c r="J3777" i="2" a="1"/>
  <c r="J3777" i="2" s="1"/>
  <c r="J3739" i="2" a="1"/>
  <c r="J3739" i="2" s="1"/>
  <c r="J3699" i="2" a="1"/>
  <c r="J3699" i="2" s="1"/>
  <c r="J3658" i="2" a="1"/>
  <c r="J3658" i="2" s="1"/>
  <c r="J3534" i="2" a="1"/>
  <c r="J3534" i="2" s="1"/>
  <c r="J3492" i="2" a="1"/>
  <c r="J3492" i="2" s="1"/>
  <c r="J3390" i="2" a="1"/>
  <c r="J3390" i="2" s="1"/>
  <c r="J3315" i="2" a="1"/>
  <c r="J3315" i="2" s="1"/>
  <c r="J3160" i="2" a="1"/>
  <c r="J3160" i="2" s="1"/>
  <c r="J2819" i="2" a="1"/>
  <c r="J2819" i="2" s="1"/>
  <c r="J2047" i="2" a="1"/>
  <c r="J2047" i="2" s="1"/>
  <c r="J4989" i="2" a="1"/>
  <c r="J4989" i="2" s="1"/>
  <c r="J4969" i="2" a="1"/>
  <c r="J4969" i="2" s="1"/>
  <c r="J4960" i="2" a="1"/>
  <c r="J4960" i="2" s="1"/>
  <c r="J4950" i="2" a="1"/>
  <c r="J4950" i="2" s="1"/>
  <c r="J4940" i="2" a="1"/>
  <c r="J4940" i="2" s="1"/>
  <c r="J4900" i="2" a="1"/>
  <c r="J4900" i="2" s="1"/>
  <c r="J4886" i="2" a="1"/>
  <c r="J4886" i="2" s="1"/>
  <c r="J4846" i="2" a="1"/>
  <c r="J4846" i="2" s="1"/>
  <c r="J4832" i="2" a="1"/>
  <c r="J4832" i="2" s="1"/>
  <c r="J4792" i="2" a="1"/>
  <c r="J4792" i="2" s="1"/>
  <c r="J4778" i="2" a="1"/>
  <c r="J4778" i="2" s="1"/>
  <c r="J4736" i="2" a="1"/>
  <c r="J4736" i="2" s="1"/>
  <c r="J4721" i="2" a="1"/>
  <c r="J4721" i="2" s="1"/>
  <c r="J4690" i="2" a="1"/>
  <c r="J4690" i="2" s="1"/>
  <c r="J4659" i="2" a="1"/>
  <c r="J4659" i="2" s="1"/>
  <c r="J4628" i="2" a="1"/>
  <c r="J4628" i="2" s="1"/>
  <c r="J4613" i="2" a="1"/>
  <c r="J4613" i="2" s="1"/>
  <c r="J4582" i="2" a="1"/>
  <c r="J4582" i="2" s="1"/>
  <c r="J4567" i="2" a="1"/>
  <c r="J4567" i="2" s="1"/>
  <c r="J4510" i="2" a="1"/>
  <c r="J4510" i="2" s="1"/>
  <c r="J4495" i="2" a="1"/>
  <c r="J4495" i="2" s="1"/>
  <c r="J4482" i="2" a="1"/>
  <c r="J4482" i="2" s="1"/>
  <c r="J4427" i="2" a="1"/>
  <c r="J4427" i="2" s="1"/>
  <c r="J4411" i="2" a="1"/>
  <c r="J4411" i="2" s="1"/>
  <c r="J4377" i="2" a="1"/>
  <c r="J4377" i="2" s="1"/>
  <c r="J4360" i="2" a="1"/>
  <c r="J4360" i="2" s="1"/>
  <c r="J4343" i="2" a="1"/>
  <c r="J4343" i="2" s="1"/>
  <c r="J4327" i="2" a="1"/>
  <c r="J4327" i="2" s="1"/>
  <c r="J4309" i="2" a="1"/>
  <c r="J4309" i="2" s="1"/>
  <c r="J4286" i="2" a="1"/>
  <c r="J4286" i="2" s="1"/>
  <c r="J4260" i="2" a="1"/>
  <c r="J4260" i="2" s="1"/>
  <c r="J4211" i="2" a="1"/>
  <c r="J4211" i="2" s="1"/>
  <c r="J4185" i="2" a="1"/>
  <c r="J4185" i="2" s="1"/>
  <c r="J4137" i="2" a="1"/>
  <c r="J4137" i="2" s="1"/>
  <c r="J4066" i="2" a="1"/>
  <c r="J4066" i="2" s="1"/>
  <c r="J4040" i="2" a="1"/>
  <c r="J4040" i="2" s="1"/>
  <c r="J4017" i="2" a="1"/>
  <c r="J4017" i="2" s="1"/>
  <c r="J3993" i="2" a="1"/>
  <c r="J3993" i="2" s="1"/>
  <c r="J3966" i="2" a="1"/>
  <c r="J3966" i="2" s="1"/>
  <c r="J3939" i="2" a="1"/>
  <c r="J3939" i="2" s="1"/>
  <c r="J3878" i="2" a="1"/>
  <c r="J3878" i="2" s="1"/>
  <c r="J3850" i="2" a="1"/>
  <c r="J3850" i="2" s="1"/>
  <c r="J3811" i="2" a="1"/>
  <c r="J3811" i="2" s="1"/>
  <c r="J3776" i="2" a="1"/>
  <c r="J3776" i="2" s="1"/>
  <c r="J3735" i="2" a="1"/>
  <c r="J3735" i="2" s="1"/>
  <c r="J3698" i="2" a="1"/>
  <c r="J3698" i="2" s="1"/>
  <c r="J3529" i="2" a="1"/>
  <c r="J3529" i="2" s="1"/>
  <c r="J3445" i="2" a="1"/>
  <c r="J3445" i="2" s="1"/>
  <c r="J3384" i="2" a="1"/>
  <c r="J3384" i="2" s="1"/>
  <c r="J3310" i="2" a="1"/>
  <c r="J3310" i="2" s="1"/>
  <c r="J3241" i="2" a="1"/>
  <c r="J3241" i="2" s="1"/>
  <c r="J3159" i="2" a="1"/>
  <c r="J3159" i="2" s="1"/>
  <c r="J3058" i="2" a="1"/>
  <c r="J3058" i="2" s="1"/>
  <c r="J2799" i="2" a="1"/>
  <c r="J2799" i="2" s="1"/>
  <c r="J1942" i="2" a="1"/>
  <c r="J1942" i="2" s="1"/>
  <c r="J4998" i="2" a="1"/>
  <c r="J4998" i="2" s="1"/>
  <c r="J4988" i="2" a="1"/>
  <c r="J4988" i="2" s="1"/>
  <c r="J4979" i="2" a="1"/>
  <c r="J4979" i="2" s="1"/>
  <c r="J4959" i="2" a="1"/>
  <c r="J4959" i="2" s="1"/>
  <c r="J4926" i="2" a="1"/>
  <c r="J4926" i="2" s="1"/>
  <c r="J4912" i="2" a="1"/>
  <c r="J4912" i="2" s="1"/>
  <c r="J4899" i="2" a="1"/>
  <c r="J4899" i="2" s="1"/>
  <c r="J4872" i="2" a="1"/>
  <c r="J4872" i="2" s="1"/>
  <c r="J4858" i="2" a="1"/>
  <c r="J4858" i="2" s="1"/>
  <c r="J4845" i="2" a="1"/>
  <c r="J4845" i="2" s="1"/>
  <c r="J4818" i="2" a="1"/>
  <c r="J4818" i="2" s="1"/>
  <c r="J4804" i="2" a="1"/>
  <c r="J4804" i="2" s="1"/>
  <c r="J4791" i="2" a="1"/>
  <c r="J4791" i="2" s="1"/>
  <c r="J4764" i="2" a="1"/>
  <c r="J4764" i="2" s="1"/>
  <c r="J4750" i="2" a="1"/>
  <c r="J4750" i="2" s="1"/>
  <c r="J4720" i="2" a="1"/>
  <c r="J4720" i="2" s="1"/>
  <c r="J4704" i="2" a="1"/>
  <c r="J4704" i="2" s="1"/>
  <c r="J4688" i="2" a="1"/>
  <c r="J4688" i="2" s="1"/>
  <c r="J4657" i="2" a="1"/>
  <c r="J4657" i="2" s="1"/>
  <c r="J4642" i="2" a="1"/>
  <c r="J4642" i="2" s="1"/>
  <c r="J4612" i="2" a="1"/>
  <c r="J4612" i="2" s="1"/>
  <c r="J4596" i="2" a="1"/>
  <c r="J4596" i="2" s="1"/>
  <c r="J4580" i="2" a="1"/>
  <c r="J4580" i="2" s="1"/>
  <c r="J4566" i="2" a="1"/>
  <c r="J4566" i="2" s="1"/>
  <c r="J4536" i="2" a="1"/>
  <c r="J4536" i="2" s="1"/>
  <c r="J4522" i="2" a="1"/>
  <c r="J4522" i="2" s="1"/>
  <c r="J4509" i="2" a="1"/>
  <c r="J4509" i="2" s="1"/>
  <c r="J4481" i="2" a="1"/>
  <c r="J4481" i="2" s="1"/>
  <c r="J4455" i="2" a="1"/>
  <c r="J4455" i="2" s="1"/>
  <c r="J4426" i="2" a="1"/>
  <c r="J4426" i="2" s="1"/>
  <c r="J4409" i="2" a="1"/>
  <c r="J4409" i="2" s="1"/>
  <c r="J4325" i="2" a="1"/>
  <c r="J4325" i="2" s="1"/>
  <c r="J4308" i="2" a="1"/>
  <c r="J4308" i="2" s="1"/>
  <c r="J4136" i="2" a="1"/>
  <c r="J4136" i="2" s="1"/>
  <c r="J4111" i="2" a="1"/>
  <c r="J4111" i="2" s="1"/>
  <c r="J4088" i="2" a="1"/>
  <c r="J4088" i="2" s="1"/>
  <c r="J4037" i="2" a="1"/>
  <c r="J4037" i="2" s="1"/>
  <c r="J4015" i="2" a="1"/>
  <c r="J4015" i="2" s="1"/>
  <c r="J3992" i="2" a="1"/>
  <c r="J3992" i="2" s="1"/>
  <c r="J3936" i="2" a="1"/>
  <c r="J3936" i="2" s="1"/>
  <c r="J3906" i="2" a="1"/>
  <c r="J3906" i="2" s="1"/>
  <c r="J3877" i="2" a="1"/>
  <c r="J3877" i="2" s="1"/>
  <c r="J3807" i="2" a="1"/>
  <c r="J3807" i="2" s="1"/>
  <c r="J3731" i="2" a="1"/>
  <c r="J3731" i="2" s="1"/>
  <c r="J3692" i="2" a="1"/>
  <c r="J3692" i="2" s="1"/>
  <c r="J3609" i="2" a="1"/>
  <c r="J3609" i="2" s="1"/>
  <c r="J3567" i="2" a="1"/>
  <c r="J3567" i="2" s="1"/>
  <c r="J3524" i="2" a="1"/>
  <c r="J3524" i="2" s="1"/>
  <c r="J3435" i="2" a="1"/>
  <c r="J3435" i="2" s="1"/>
  <c r="J3373" i="2" a="1"/>
  <c r="J3373" i="2" s="1"/>
  <c r="J3300" i="2" a="1"/>
  <c r="J3300" i="2" s="1"/>
  <c r="J3223" i="2" a="1"/>
  <c r="J3223" i="2" s="1"/>
  <c r="J3140" i="2" a="1"/>
  <c r="J3140" i="2" s="1"/>
  <c r="J3022" i="2" a="1"/>
  <c r="J3022" i="2" s="1"/>
  <c r="J2740" i="2" a="1"/>
  <c r="J2740" i="2" s="1"/>
  <c r="J1600" i="2" a="1"/>
  <c r="J1600" i="2" s="1"/>
  <c r="J4987" i="2" a="1"/>
  <c r="J4987" i="2" s="1"/>
  <c r="J4978" i="2" a="1"/>
  <c r="J4978" i="2" s="1"/>
  <c r="J4968" i="2" a="1"/>
  <c r="J4968" i="2" s="1"/>
  <c r="J4958" i="2" a="1"/>
  <c r="J4958" i="2" s="1"/>
  <c r="J4949" i="2" a="1"/>
  <c r="J4949" i="2" s="1"/>
  <c r="J4938" i="2" a="1"/>
  <c r="J4938" i="2" s="1"/>
  <c r="J4911" i="2" a="1"/>
  <c r="J4911" i="2" s="1"/>
  <c r="J4898" i="2" a="1"/>
  <c r="J4898" i="2" s="1"/>
  <c r="J4884" i="2" a="1"/>
  <c r="J4884" i="2" s="1"/>
  <c r="J4857" i="2" a="1"/>
  <c r="J4857" i="2" s="1"/>
  <c r="J4844" i="2" a="1"/>
  <c r="J4844" i="2" s="1"/>
  <c r="J4830" i="2" a="1"/>
  <c r="J4830" i="2" s="1"/>
  <c r="J4803" i="2" a="1"/>
  <c r="J4803" i="2" s="1"/>
  <c r="J4790" i="2" a="1"/>
  <c r="J4790" i="2" s="1"/>
  <c r="J4776" i="2" a="1"/>
  <c r="J4776" i="2" s="1"/>
  <c r="J4749" i="2" a="1"/>
  <c r="J4749" i="2" s="1"/>
  <c r="J4718" i="2" a="1"/>
  <c r="J4718" i="2" s="1"/>
  <c r="J4703" i="2" a="1"/>
  <c r="J4703" i="2" s="1"/>
  <c r="J4672" i="2" a="1"/>
  <c r="J4672" i="2" s="1"/>
  <c r="J4641" i="2" a="1"/>
  <c r="J4641" i="2" s="1"/>
  <c r="J4610" i="2" a="1"/>
  <c r="J4610" i="2" s="1"/>
  <c r="J4595" i="2" a="1"/>
  <c r="J4595" i="2" s="1"/>
  <c r="J4565" i="2" a="1"/>
  <c r="J4565" i="2" s="1"/>
  <c r="J4552" i="2" a="1"/>
  <c r="J4552" i="2" s="1"/>
  <c r="J4535" i="2" a="1"/>
  <c r="J4535" i="2" s="1"/>
  <c r="J4520" i="2" a="1"/>
  <c r="J4520" i="2" s="1"/>
  <c r="J4507" i="2" a="1"/>
  <c r="J4507" i="2" s="1"/>
  <c r="J4493" i="2" a="1"/>
  <c r="J4493" i="2" s="1"/>
  <c r="J4480" i="2" a="1"/>
  <c r="J4480" i="2" s="1"/>
  <c r="J4467" i="2" a="1"/>
  <c r="J4467" i="2" s="1"/>
  <c r="J4454" i="2" a="1"/>
  <c r="J4454" i="2" s="1"/>
  <c r="J4441" i="2" a="1"/>
  <c r="J4441" i="2" s="1"/>
  <c r="J4408" i="2" a="1"/>
  <c r="J4408" i="2" s="1"/>
  <c r="J4393" i="2" a="1"/>
  <c r="J4393" i="2" s="1"/>
  <c r="J4375" i="2" a="1"/>
  <c r="J4375" i="2" s="1"/>
  <c r="J4358" i="2" a="1"/>
  <c r="J4358" i="2" s="1"/>
  <c r="J4341" i="2" a="1"/>
  <c r="J4341" i="2" s="1"/>
  <c r="J4307" i="2" a="1"/>
  <c r="J4307" i="2" s="1"/>
  <c r="J4232" i="2" a="1"/>
  <c r="J4232" i="2" s="1"/>
  <c r="J4208" i="2" a="1"/>
  <c r="J4208" i="2" s="1"/>
  <c r="J4158" i="2" a="1"/>
  <c r="J4158" i="2" s="1"/>
  <c r="J4134" i="2" a="1"/>
  <c r="J4134" i="2" s="1"/>
  <c r="J4086" i="2" a="1"/>
  <c r="J4086" i="2" s="1"/>
  <c r="J4062" i="2" a="1"/>
  <c r="J4062" i="2" s="1"/>
  <c r="J4012" i="2" a="1"/>
  <c r="J4012" i="2" s="1"/>
  <c r="J3988" i="2" a="1"/>
  <c r="J3988" i="2" s="1"/>
  <c r="J3902" i="2" a="1"/>
  <c r="J3902" i="2" s="1"/>
  <c r="J3876" i="2" a="1"/>
  <c r="J3876" i="2" s="1"/>
  <c r="J3842" i="2" a="1"/>
  <c r="J3842" i="2" s="1"/>
  <c r="J3804" i="2" a="1"/>
  <c r="J3804" i="2" s="1"/>
  <c r="J3767" i="2" a="1"/>
  <c r="J3767" i="2" s="1"/>
  <c r="J3727" i="2" a="1"/>
  <c r="J3727" i="2" s="1"/>
  <c r="J3690" i="2" a="1"/>
  <c r="J3690" i="2" s="1"/>
  <c r="J3648" i="2" a="1"/>
  <c r="J3648" i="2" s="1"/>
  <c r="J3563" i="2" a="1"/>
  <c r="J3563" i="2" s="1"/>
  <c r="J3521" i="2" a="1"/>
  <c r="J3521" i="2" s="1"/>
  <c r="J3479" i="2" a="1"/>
  <c r="J3479" i="2" s="1"/>
  <c r="J3434" i="2" a="1"/>
  <c r="J3434" i="2" s="1"/>
  <c r="J3369" i="2" a="1"/>
  <c r="J3369" i="2" s="1"/>
  <c r="J3222" i="2" a="1"/>
  <c r="J3222" i="2" s="1"/>
  <c r="J3019" i="2" a="1"/>
  <c r="J3019" i="2" s="1"/>
  <c r="J2731" i="2" a="1"/>
  <c r="J2731" i="2" s="1"/>
  <c r="J1523" i="2" a="1"/>
  <c r="J1523" i="2" s="1"/>
  <c r="J4997" i="2" a="1"/>
  <c r="J4997" i="2" s="1"/>
  <c r="J4977" i="2" a="1"/>
  <c r="J4977" i="2" s="1"/>
  <c r="J4957" i="2" a="1"/>
  <c r="J4957" i="2" s="1"/>
  <c r="J4948" i="2" a="1"/>
  <c r="J4948" i="2" s="1"/>
  <c r="J4937" i="2" a="1"/>
  <c r="J4937" i="2" s="1"/>
  <c r="J4924" i="2" a="1"/>
  <c r="J4924" i="2" s="1"/>
  <c r="J4909" i="2" a="1"/>
  <c r="J4909" i="2" s="1"/>
  <c r="J4883" i="2" a="1"/>
  <c r="J4883" i="2" s="1"/>
  <c r="J4870" i="2" a="1"/>
  <c r="J4870" i="2" s="1"/>
  <c r="J4855" i="2" a="1"/>
  <c r="J4855" i="2" s="1"/>
  <c r="J4829" i="2" a="1"/>
  <c r="J4829" i="2" s="1"/>
  <c r="J4816" i="2" a="1"/>
  <c r="J4816" i="2" s="1"/>
  <c r="J4801" i="2" a="1"/>
  <c r="J4801" i="2" s="1"/>
  <c r="J4775" i="2" a="1"/>
  <c r="J4775" i="2" s="1"/>
  <c r="J4762" i="2" a="1"/>
  <c r="J4762" i="2" s="1"/>
  <c r="J4747" i="2" a="1"/>
  <c r="J4747" i="2" s="1"/>
  <c r="J4732" i="2" a="1"/>
  <c r="J4732" i="2" s="1"/>
  <c r="J4702" i="2" a="1"/>
  <c r="J4702" i="2" s="1"/>
  <c r="J4686" i="2" a="1"/>
  <c r="J4686" i="2" s="1"/>
  <c r="J4670" i="2" a="1"/>
  <c r="J4670" i="2" s="1"/>
  <c r="J4639" i="2" a="1"/>
  <c r="J4639" i="2" s="1"/>
  <c r="J4624" i="2" a="1"/>
  <c r="J4624" i="2" s="1"/>
  <c r="J4594" i="2" a="1"/>
  <c r="J4594" i="2" s="1"/>
  <c r="J4578" i="2" a="1"/>
  <c r="J4578" i="2" s="1"/>
  <c r="J4563" i="2" a="1"/>
  <c r="J4563" i="2" s="1"/>
  <c r="J4550" i="2" a="1"/>
  <c r="J4550" i="2" s="1"/>
  <c r="J4534" i="2" a="1"/>
  <c r="J4534" i="2" s="1"/>
  <c r="J4519" i="2" a="1"/>
  <c r="J4519" i="2" s="1"/>
  <c r="J4506" i="2" a="1"/>
  <c r="J4506" i="2" s="1"/>
  <c r="J4479" i="2" a="1"/>
  <c r="J4479" i="2" s="1"/>
  <c r="J4453" i="2" a="1"/>
  <c r="J4453" i="2" s="1"/>
  <c r="J4439" i="2" a="1"/>
  <c r="J4439" i="2" s="1"/>
  <c r="J4423" i="2" a="1"/>
  <c r="J4423" i="2" s="1"/>
  <c r="J4406" i="2" a="1"/>
  <c r="J4406" i="2" s="1"/>
  <c r="J4390" i="2" a="1"/>
  <c r="J4390" i="2" s="1"/>
  <c r="J4373" i="2" a="1"/>
  <c r="J4373" i="2" s="1"/>
  <c r="J4356" i="2" a="1"/>
  <c r="J4356" i="2" s="1"/>
  <c r="J4339" i="2" a="1"/>
  <c r="J4339" i="2" s="1"/>
  <c r="J4323" i="2" a="1"/>
  <c r="J4323" i="2" s="1"/>
  <c r="J4305" i="2" a="1"/>
  <c r="J4305" i="2" s="1"/>
  <c r="J4230" i="2" a="1"/>
  <c r="J4230" i="2" s="1"/>
  <c r="J4205" i="2" a="1"/>
  <c r="J4205" i="2" s="1"/>
  <c r="J4179" i="2" a="1"/>
  <c r="J4179" i="2" s="1"/>
  <c r="J4155" i="2" a="1"/>
  <c r="J4155" i="2" s="1"/>
  <c r="J4084" i="2" a="1"/>
  <c r="J4084" i="2" s="1"/>
  <c r="J4034" i="2" a="1"/>
  <c r="J4034" i="2" s="1"/>
  <c r="J4010" i="2" a="1"/>
  <c r="J4010" i="2" s="1"/>
  <c r="J3985" i="2" a="1"/>
  <c r="J3985" i="2" s="1"/>
  <c r="J3961" i="2" a="1"/>
  <c r="J3961" i="2" s="1"/>
  <c r="J3932" i="2" a="1"/>
  <c r="J3932" i="2" s="1"/>
  <c r="J3900" i="2" a="1"/>
  <c r="J3900" i="2" s="1"/>
  <c r="J3725" i="2" a="1"/>
  <c r="J3725" i="2" s="1"/>
  <c r="J3644" i="2" a="1"/>
  <c r="J3644" i="2" s="1"/>
  <c r="J3603" i="2" a="1"/>
  <c r="J3603" i="2" s="1"/>
  <c r="J3561" i="2" a="1"/>
  <c r="J3561" i="2" s="1"/>
  <c r="J3290" i="2" a="1"/>
  <c r="J3290" i="2" s="1"/>
  <c r="J3215" i="2" a="1"/>
  <c r="J3215" i="2" s="1"/>
  <c r="J4996" i="2" a="1"/>
  <c r="J4996" i="2" s="1"/>
  <c r="J4986" i="2" a="1"/>
  <c r="J4986" i="2" s="1"/>
  <c r="J4976" i="2" a="1"/>
  <c r="J4976" i="2" s="1"/>
  <c r="J4967" i="2" a="1"/>
  <c r="J4967" i="2" s="1"/>
  <c r="J4947" i="2" a="1"/>
  <c r="J4947" i="2" s="1"/>
  <c r="J4936" i="2" a="1"/>
  <c r="J4936" i="2" s="1"/>
  <c r="J4922" i="2" a="1"/>
  <c r="J4922" i="2" s="1"/>
  <c r="J4882" i="2" a="1"/>
  <c r="J4882" i="2" s="1"/>
  <c r="J4868" i="2" a="1"/>
  <c r="J4868" i="2" s="1"/>
  <c r="J4828" i="2" a="1"/>
  <c r="J4828" i="2" s="1"/>
  <c r="J4814" i="2" a="1"/>
  <c r="J4814" i="2" s="1"/>
  <c r="J4774" i="2" a="1"/>
  <c r="J4774" i="2" s="1"/>
  <c r="J4760" i="2" a="1"/>
  <c r="J4760" i="2" s="1"/>
  <c r="J4731" i="2" a="1"/>
  <c r="J4731" i="2" s="1"/>
  <c r="J4700" i="2" a="1"/>
  <c r="J4700" i="2" s="1"/>
  <c r="J4685" i="2" a="1"/>
  <c r="J4685" i="2" s="1"/>
  <c r="J4654" i="2" a="1"/>
  <c r="J4654" i="2" s="1"/>
  <c r="J4623" i="2" a="1"/>
  <c r="J4623" i="2" s="1"/>
  <c r="J4592" i="2" a="1"/>
  <c r="J4592" i="2" s="1"/>
  <c r="J4577" i="2" a="1"/>
  <c r="J4577" i="2" s="1"/>
  <c r="J4533" i="2" a="1"/>
  <c r="J4533" i="2" s="1"/>
  <c r="J4505" i="2" a="1"/>
  <c r="J4505" i="2" s="1"/>
  <c r="J4491" i="2" a="1"/>
  <c r="J4491" i="2" s="1"/>
  <c r="J4464" i="2" a="1"/>
  <c r="J4464" i="2" s="1"/>
  <c r="J4452" i="2" a="1"/>
  <c r="J4452" i="2" s="1"/>
  <c r="J4438" i="2" a="1"/>
  <c r="J4438" i="2" s="1"/>
  <c r="J4421" i="2" a="1"/>
  <c r="J4421" i="2" s="1"/>
  <c r="J4388" i="2" a="1"/>
  <c r="J4388" i="2" s="1"/>
  <c r="J4337" i="2" a="1"/>
  <c r="J4337" i="2" s="1"/>
  <c r="J4322" i="2" a="1"/>
  <c r="J4322" i="2" s="1"/>
  <c r="J4302" i="2" a="1"/>
  <c r="J4302" i="2" s="1"/>
  <c r="J4279" i="2" a="1"/>
  <c r="J4279" i="2" s="1"/>
  <c r="J4252" i="2" a="1"/>
  <c r="J4252" i="2" s="1"/>
  <c r="J4228" i="2" a="1"/>
  <c r="J4228" i="2" s="1"/>
  <c r="J4204" i="2" a="1"/>
  <c r="J4204" i="2" s="1"/>
  <c r="J4178" i="2" a="1"/>
  <c r="J4178" i="2" s="1"/>
  <c r="J4106" i="2" a="1"/>
  <c r="J4106" i="2" s="1"/>
  <c r="J4058" i="2" a="1"/>
  <c r="J4058" i="2" s="1"/>
  <c r="J4033" i="2" a="1"/>
  <c r="J4033" i="2" s="1"/>
  <c r="J4008" i="2" a="1"/>
  <c r="J4008" i="2" s="1"/>
  <c r="J3984" i="2" a="1"/>
  <c r="J3984" i="2" s="1"/>
  <c r="J3959" i="2" a="1"/>
  <c r="J3959" i="2" s="1"/>
  <c r="J3927" i="2" a="1"/>
  <c r="J3927" i="2" s="1"/>
  <c r="J3898" i="2" a="1"/>
  <c r="J3898" i="2" s="1"/>
  <c r="J3867" i="2" a="1"/>
  <c r="J3867" i="2" s="1"/>
  <c r="J3836" i="2" a="1"/>
  <c r="J3836" i="2" s="1"/>
  <c r="J3801" i="2" a="1"/>
  <c r="J3801" i="2" s="1"/>
  <c r="J3762" i="2" a="1"/>
  <c r="J3762" i="2" s="1"/>
  <c r="J3724" i="2" a="1"/>
  <c r="J3724" i="2" s="1"/>
  <c r="J3643" i="2" a="1"/>
  <c r="J3643" i="2" s="1"/>
  <c r="J3559" i="2" a="1"/>
  <c r="J3559" i="2" s="1"/>
  <c r="J3518" i="2" a="1"/>
  <c r="J3518" i="2" s="1"/>
  <c r="J3475" i="2" a="1"/>
  <c r="J3475" i="2" s="1"/>
  <c r="J3426" i="2" a="1"/>
  <c r="J3426" i="2" s="1"/>
  <c r="J3288" i="2" a="1"/>
  <c r="J3288" i="2" s="1"/>
  <c r="J3214" i="2" a="1"/>
  <c r="J3214" i="2" s="1"/>
  <c r="J2585" i="2" a="1"/>
  <c r="J2585" i="2" s="1"/>
  <c r="J4972" i="2" a="1"/>
  <c r="J4972" i="2" s="1"/>
  <c r="J4943" i="2" a="1"/>
  <c r="J4943" i="2" s="1"/>
  <c r="J4890" i="2" a="1"/>
  <c r="J4890" i="2" s="1"/>
  <c r="J4836" i="2" a="1"/>
  <c r="J4836" i="2" s="1"/>
  <c r="J4782" i="2" a="1"/>
  <c r="J4782" i="2" s="1"/>
  <c r="J4755" i="2" a="1"/>
  <c r="J4755" i="2" s="1"/>
  <c r="J4693" i="2" a="1"/>
  <c r="J4693" i="2" s="1"/>
  <c r="J4648" i="2" a="1"/>
  <c r="J4648" i="2" s="1"/>
  <c r="J4585" i="2" a="1"/>
  <c r="J4585" i="2" s="1"/>
  <c r="J4542" i="2" a="1"/>
  <c r="J4542" i="2" s="1"/>
  <c r="J4459" i="2" a="1"/>
  <c r="J4459" i="2" s="1"/>
  <c r="J4398" i="2" a="1"/>
  <c r="J4398" i="2" s="1"/>
  <c r="J4330" i="2" a="1"/>
  <c r="J4330" i="2" s="1"/>
  <c r="J4268" i="2" a="1"/>
  <c r="J4268" i="2" s="1"/>
  <c r="J4194" i="2" a="1"/>
  <c r="J4194" i="2" s="1"/>
  <c r="J4023" i="2" a="1"/>
  <c r="J4023" i="2" s="1"/>
  <c r="J3885" i="2" a="1"/>
  <c r="J3885" i="2" s="1"/>
  <c r="J3742" i="2" a="1"/>
  <c r="J3742" i="2" s="1"/>
  <c r="J3623" i="2" a="1"/>
  <c r="J3623" i="2" s="1"/>
  <c r="J3454" i="2" a="1"/>
  <c r="J3454" i="2" s="1"/>
  <c r="J3321" i="2" a="1"/>
  <c r="J3321" i="2" s="1"/>
  <c r="J3169" i="2" a="1"/>
  <c r="J3169" i="2" s="1"/>
  <c r="J4971" i="2" a="1"/>
  <c r="J4971" i="2" s="1"/>
  <c r="J4929" i="2" a="1"/>
  <c r="J4929" i="2" s="1"/>
  <c r="J4875" i="2" a="1"/>
  <c r="J4875" i="2" s="1"/>
  <c r="J4794" i="2" a="1"/>
  <c r="J4794" i="2" s="1"/>
  <c r="J4995" i="2" a="1"/>
  <c r="J4995" i="2" s="1"/>
  <c r="J4975" i="2" a="1"/>
  <c r="J4975" i="2" s="1"/>
  <c r="J4966" i="2" a="1"/>
  <c r="J4966" i="2" s="1"/>
  <c r="J4956" i="2" a="1"/>
  <c r="J4956" i="2" s="1"/>
  <c r="J4945" i="2" a="1"/>
  <c r="J4945" i="2" s="1"/>
  <c r="J4935" i="2" a="1"/>
  <c r="J4935" i="2" s="1"/>
  <c r="J4908" i="2" a="1"/>
  <c r="J4908" i="2" s="1"/>
  <c r="J4894" i="2" a="1"/>
  <c r="J4894" i="2" s="1"/>
  <c r="J4881" i="2" a="1"/>
  <c r="J4881" i="2" s="1"/>
  <c r="J4854" i="2" a="1"/>
  <c r="J4854" i="2" s="1"/>
  <c r="J4840" i="2" a="1"/>
  <c r="J4840" i="2" s="1"/>
  <c r="J4827" i="2" a="1"/>
  <c r="J4827" i="2" s="1"/>
  <c r="J4800" i="2" a="1"/>
  <c r="J4800" i="2" s="1"/>
  <c r="J4786" i="2" a="1"/>
  <c r="J4786" i="2" s="1"/>
  <c r="J4773" i="2" a="1"/>
  <c r="J4773" i="2" s="1"/>
  <c r="J4729" i="2" a="1"/>
  <c r="J4729" i="2" s="1"/>
  <c r="J4714" i="2" a="1"/>
  <c r="J4714" i="2" s="1"/>
  <c r="J4684" i="2" a="1"/>
  <c r="J4684" i="2" s="1"/>
  <c r="J4668" i="2" a="1"/>
  <c r="J4668" i="2" s="1"/>
  <c r="J4652" i="2" a="1"/>
  <c r="J4652" i="2" s="1"/>
  <c r="J4621" i="2" a="1"/>
  <c r="J4621" i="2" s="1"/>
  <c r="J4606" i="2" a="1"/>
  <c r="J4606" i="2" s="1"/>
  <c r="J4576" i="2" a="1"/>
  <c r="J4576" i="2" s="1"/>
  <c r="J4561" i="2" a="1"/>
  <c r="J4561" i="2" s="1"/>
  <c r="J4547" i="2" a="1"/>
  <c r="J4547" i="2" s="1"/>
  <c r="J4503" i="2" a="1"/>
  <c r="J4503" i="2" s="1"/>
  <c r="J4477" i="2" a="1"/>
  <c r="J4477" i="2" s="1"/>
  <c r="J4451" i="2" a="1"/>
  <c r="J4451" i="2" s="1"/>
  <c r="J4437" i="2" a="1"/>
  <c r="J4437" i="2" s="1"/>
  <c r="J4420" i="2" a="1"/>
  <c r="J4420" i="2" s="1"/>
  <c r="J4403" i="2" a="1"/>
  <c r="J4403" i="2" s="1"/>
  <c r="J4387" i="2" a="1"/>
  <c r="J4387" i="2" s="1"/>
  <c r="J4336" i="2" a="1"/>
  <c r="J4336" i="2" s="1"/>
  <c r="J4321" i="2" a="1"/>
  <c r="J4321" i="2" s="1"/>
  <c r="J4299" i="2" a="1"/>
  <c r="J4299" i="2" s="1"/>
  <c r="J4250" i="2" a="1"/>
  <c r="J4250" i="2" s="1"/>
  <c r="J4177" i="2" a="1"/>
  <c r="J4177" i="2" s="1"/>
  <c r="J4127" i="2" a="1"/>
  <c r="J4127" i="2" s="1"/>
  <c r="J4104" i="2" a="1"/>
  <c r="J4104" i="2" s="1"/>
  <c r="J4056" i="2" a="1"/>
  <c r="J4056" i="2" s="1"/>
  <c r="J4031" i="2" a="1"/>
  <c r="J4031" i="2" s="1"/>
  <c r="J3982" i="2" a="1"/>
  <c r="J3982" i="2" s="1"/>
  <c r="J3866" i="2" a="1"/>
  <c r="J3866" i="2" s="1"/>
  <c r="J3832" i="2" a="1"/>
  <c r="J3832" i="2" s="1"/>
  <c r="J3793" i="2" a="1"/>
  <c r="J3793" i="2" s="1"/>
  <c r="J3757" i="2" a="1"/>
  <c r="J3757" i="2" s="1"/>
  <c r="J3717" i="2" a="1"/>
  <c r="J3717" i="2" s="1"/>
  <c r="J3636" i="2" a="1"/>
  <c r="J3636" i="2" s="1"/>
  <c r="J3594" i="2" a="1"/>
  <c r="J3594" i="2" s="1"/>
  <c r="J3509" i="2" a="1"/>
  <c r="J3509" i="2" s="1"/>
  <c r="J3468" i="2" a="1"/>
  <c r="J3468" i="2" s="1"/>
  <c r="J3350" i="2" a="1"/>
  <c r="J3350" i="2" s="1"/>
  <c r="J3274" i="2" a="1"/>
  <c r="J3274" i="2" s="1"/>
  <c r="J4983" i="2" a="1"/>
  <c r="J4983" i="2" s="1"/>
  <c r="J4953" i="2" a="1"/>
  <c r="J4953" i="2" s="1"/>
  <c r="J4918" i="2" a="1"/>
  <c r="J4918" i="2" s="1"/>
  <c r="J4850" i="2" a="1"/>
  <c r="J4850" i="2" s="1"/>
  <c r="J4810" i="2" a="1"/>
  <c r="J4810" i="2" s="1"/>
  <c r="J4756" i="2" a="1"/>
  <c r="J4756" i="2" s="1"/>
  <c r="J4695" i="2" a="1"/>
  <c r="J4695" i="2" s="1"/>
  <c r="J4649" i="2" a="1"/>
  <c r="J4649" i="2" s="1"/>
  <c r="J4587" i="2" a="1"/>
  <c r="J4587" i="2" s="1"/>
  <c r="J4543" i="2" a="1"/>
  <c r="J4543" i="2" s="1"/>
  <c r="J4514" i="2" a="1"/>
  <c r="J4514" i="2" s="1"/>
  <c r="J4500" i="2" a="1"/>
  <c r="J4500" i="2" s="1"/>
  <c r="J4474" i="2" a="1"/>
  <c r="J4474" i="2" s="1"/>
  <c r="J4460" i="2" a="1"/>
  <c r="J4460" i="2" s="1"/>
  <c r="J4447" i="2" a="1"/>
  <c r="J4447" i="2" s="1"/>
  <c r="J4400" i="2" a="1"/>
  <c r="J4400" i="2" s="1"/>
  <c r="J4384" i="2" a="1"/>
  <c r="J4384" i="2" s="1"/>
  <c r="J4367" i="2" a="1"/>
  <c r="J4367" i="2" s="1"/>
  <c r="J4349" i="2" a="1"/>
  <c r="J4349" i="2" s="1"/>
  <c r="J4270" i="2" a="1"/>
  <c r="J4270" i="2" s="1"/>
  <c r="J4220" i="2" a="1"/>
  <c r="J4220" i="2" s="1"/>
  <c r="J4169" i="2" a="1"/>
  <c r="J4169" i="2" s="1"/>
  <c r="J4145" i="2" a="1"/>
  <c r="J4145" i="2" s="1"/>
  <c r="J4122" i="2" a="1"/>
  <c r="J4122" i="2" s="1"/>
  <c r="J4098" i="2" a="1"/>
  <c r="J4098" i="2" s="1"/>
  <c r="J4049" i="2" a="1"/>
  <c r="J4049" i="2" s="1"/>
  <c r="J4024" i="2" a="1"/>
  <c r="J4024" i="2" s="1"/>
  <c r="J3975" i="2" a="1"/>
  <c r="J3975" i="2" s="1"/>
  <c r="J3917" i="2" a="1"/>
  <c r="J3917" i="2" s="1"/>
  <c r="J3890" i="2" a="1"/>
  <c r="J3890" i="2" s="1"/>
  <c r="J3859" i="2" a="1"/>
  <c r="J3859" i="2" s="1"/>
  <c r="J3824" i="2" a="1"/>
  <c r="J3824" i="2" s="1"/>
  <c r="J3786" i="2" a="1"/>
  <c r="J3786" i="2" s="1"/>
  <c r="J3749" i="2" a="1"/>
  <c r="J3749" i="2" s="1"/>
  <c r="J3709" i="2" a="1"/>
  <c r="J3709" i="2" s="1"/>
  <c r="J3671" i="2" a="1"/>
  <c r="J3671" i="2" s="1"/>
  <c r="J3460" i="2" a="1"/>
  <c r="J3460" i="2" s="1"/>
  <c r="J3333" i="2" a="1"/>
  <c r="J3333" i="2" s="1"/>
  <c r="J2322" i="2" a="1"/>
  <c r="J2322" i="2" s="1"/>
  <c r="J4992" i="2" a="1"/>
  <c r="J4992" i="2" s="1"/>
  <c r="J4962" i="2" a="1"/>
  <c r="J4962" i="2" s="1"/>
  <c r="J4930" i="2" a="1"/>
  <c r="J4930" i="2" s="1"/>
  <c r="J4863" i="2" a="1"/>
  <c r="J4863" i="2" s="1"/>
  <c r="J4809" i="2" a="1"/>
  <c r="J4809" i="2" s="1"/>
  <c r="J4768" i="2" a="1"/>
  <c r="J4768" i="2" s="1"/>
  <c r="J4740" i="2" a="1"/>
  <c r="J4740" i="2" s="1"/>
  <c r="J4678" i="2" a="1"/>
  <c r="J4678" i="2" s="1"/>
  <c r="J4616" i="2" a="1"/>
  <c r="J4616" i="2" s="1"/>
  <c r="J4557" i="2" a="1"/>
  <c r="J4557" i="2" s="1"/>
  <c r="J4499" i="2" a="1"/>
  <c r="J4499" i="2" s="1"/>
  <c r="J4472" i="2" a="1"/>
  <c r="J4472" i="2" s="1"/>
  <c r="J4347" i="2" a="1"/>
  <c r="J4347" i="2" s="1"/>
  <c r="J4291" i="2" a="1"/>
  <c r="J4291" i="2" s="1"/>
  <c r="J4218" i="2" a="1"/>
  <c r="J4218" i="2" s="1"/>
  <c r="J4119" i="2" a="1"/>
  <c r="J4119" i="2" s="1"/>
  <c r="J4046" i="2" a="1"/>
  <c r="J4046" i="2" s="1"/>
  <c r="J3974" i="2" a="1"/>
  <c r="J3974" i="2" s="1"/>
  <c r="J2242" i="2" a="1"/>
  <c r="J2242" i="2" s="1"/>
  <c r="J4991" i="2" a="1"/>
  <c r="J4991" i="2" s="1"/>
  <c r="J4916" i="2" a="1"/>
  <c r="J4916" i="2" s="1"/>
  <c r="J4862" i="2" a="1"/>
  <c r="J4862" i="2" s="1"/>
  <c r="J4821" i="2" a="1"/>
  <c r="J4821" i="2" s="1"/>
  <c r="J4739" i="2" a="1"/>
  <c r="J4739" i="2" s="1"/>
  <c r="J4708" i="2" a="1"/>
  <c r="J4708" i="2" s="1"/>
  <c r="J4646" i="2" a="1"/>
  <c r="J4646" i="2" s="1"/>
  <c r="J4600" i="2" a="1"/>
  <c r="J4600" i="2" s="1"/>
  <c r="J4541" i="2" a="1"/>
  <c r="J4541" i="2" s="1"/>
  <c r="J4498" i="2" a="1"/>
  <c r="J4498" i="2" s="1"/>
  <c r="J4471" i="2" a="1"/>
  <c r="J4471" i="2" s="1"/>
  <c r="J4445" i="2" a="1"/>
  <c r="J4445" i="2" s="1"/>
  <c r="J7" i="2" a="1"/>
  <c r="J7" i="2" s="1"/>
  <c r="J18" i="2" a="1"/>
  <c r="J18" i="2" s="1"/>
  <c r="J29" i="2" a="1"/>
  <c r="J29" i="2" s="1"/>
  <c r="J41" i="2" a="1"/>
  <c r="J41" i="2" s="1"/>
  <c r="J51" i="2" a="1"/>
  <c r="J51" i="2" s="1"/>
  <c r="J62" i="2" a="1"/>
  <c r="J62" i="2" s="1"/>
  <c r="J74" i="2" a="1"/>
  <c r="J74" i="2" s="1"/>
  <c r="J85" i="2" a="1"/>
  <c r="J85" i="2" s="1"/>
  <c r="J95" i="2" a="1"/>
  <c r="J95" i="2" s="1"/>
  <c r="J106" i="2" a="1"/>
  <c r="J106" i="2" s="1"/>
  <c r="J117" i="2" a="1"/>
  <c r="J117" i="2" s="1"/>
  <c r="J128" i="2" a="1"/>
  <c r="J128" i="2" s="1"/>
  <c r="J140" i="2" a="1"/>
  <c r="J140" i="2" s="1"/>
  <c r="J163" i="2" a="1"/>
  <c r="J163" i="2" s="1"/>
  <c r="J173" i="2" a="1"/>
  <c r="J173" i="2" s="1"/>
  <c r="J185" i="2" a="1"/>
  <c r="J185" i="2" s="1"/>
  <c r="J195" i="2" a="1"/>
  <c r="J195" i="2" s="1"/>
  <c r="J206" i="2" a="1"/>
  <c r="J206" i="2" s="1"/>
  <c r="J218" i="2" a="1"/>
  <c r="J218" i="2" s="1"/>
  <c r="J229" i="2" a="1"/>
  <c r="J229" i="2" s="1"/>
  <c r="J239" i="2" a="1"/>
  <c r="J239" i="2" s="1"/>
  <c r="J250" i="2" a="1"/>
  <c r="J250" i="2" s="1"/>
  <c r="J261" i="2" a="1"/>
  <c r="J261" i="2" s="1"/>
  <c r="J272" i="2" a="1"/>
  <c r="J272" i="2" s="1"/>
  <c r="J283" i="2" a="1"/>
  <c r="J283" i="2" s="1"/>
  <c r="J295" i="2" a="1"/>
  <c r="J295" i="2" s="1"/>
  <c r="J305" i="2" a="1"/>
  <c r="J305" i="2" s="1"/>
  <c r="J315" i="2" a="1"/>
  <c r="J315" i="2" s="1"/>
  <c r="J327" i="2" a="1"/>
  <c r="J327" i="2" s="1"/>
  <c r="J349" i="2" a="1"/>
  <c r="J349" i="2" s="1"/>
  <c r="J360" i="2" a="1"/>
  <c r="J360" i="2" s="1"/>
  <c r="J371" i="2" a="1"/>
  <c r="J371" i="2" s="1"/>
  <c r="J382" i="2" a="1"/>
  <c r="J382" i="2" s="1"/>
  <c r="J393" i="2" a="1"/>
  <c r="J393" i="2" s="1"/>
  <c r="J404" i="2" a="1"/>
  <c r="J404" i="2" s="1"/>
  <c r="J415" i="2" a="1"/>
  <c r="J415" i="2" s="1"/>
  <c r="J427" i="2" a="1"/>
  <c r="J427" i="2" s="1"/>
  <c r="J439" i="2" a="1"/>
  <c r="J439" i="2" s="1"/>
  <c r="J449" i="2" a="1"/>
  <c r="J449" i="2" s="1"/>
  <c r="J460" i="2" a="1"/>
  <c r="J460" i="2" s="1"/>
  <c r="J472" i="2" a="1"/>
  <c r="J472" i="2" s="1"/>
  <c r="J482" i="2" a="1"/>
  <c r="J482" i="2" s="1"/>
  <c r="J505" i="2" a="1"/>
  <c r="J505" i="2" s="1"/>
  <c r="J523" i="2" a="1"/>
  <c r="J523" i="2" s="1"/>
  <c r="J531" i="2" a="1"/>
  <c r="J531" i="2" s="1"/>
  <c r="J540" i="2" a="1"/>
  <c r="J540" i="2" s="1"/>
  <c r="J557" i="2" a="1"/>
  <c r="J557" i="2" s="1"/>
  <c r="J567" i="2" a="1"/>
  <c r="J567" i="2" s="1"/>
  <c r="J579" i="2" a="1"/>
  <c r="J579" i="2" s="1"/>
  <c r="J590" i="2" a="1"/>
  <c r="J590" i="2" s="1"/>
  <c r="J602" i="2" a="1"/>
  <c r="J602" i="2" s="1"/>
  <c r="J612" i="2" a="1"/>
  <c r="J612" i="2" s="1"/>
  <c r="J624" i="2" a="1"/>
  <c r="J624" i="2" s="1"/>
  <c r="J635" i="2" a="1"/>
  <c r="J635" i="2" s="1"/>
  <c r="J645" i="2" a="1"/>
  <c r="J645" i="2" s="1"/>
  <c r="J668" i="2" a="1"/>
  <c r="J668" i="2" s="1"/>
  <c r="J679" i="2" a="1"/>
  <c r="J679" i="2" s="1"/>
  <c r="J690" i="2" a="1"/>
  <c r="J690" i="2" s="1"/>
  <c r="J8" i="2" a="1"/>
  <c r="J8" i="2" s="1"/>
  <c r="J19" i="2" a="1"/>
  <c r="J19" i="2" s="1"/>
  <c r="J30" i="2" a="1"/>
  <c r="J30" i="2" s="1"/>
  <c r="J42" i="2" a="1"/>
  <c r="J42" i="2" s="1"/>
  <c r="J52" i="2" a="1"/>
  <c r="J52" i="2" s="1"/>
  <c r="J63" i="2" a="1"/>
  <c r="J63" i="2" s="1"/>
  <c r="J75" i="2" a="1"/>
  <c r="J75" i="2" s="1"/>
  <c r="J96" i="2" a="1"/>
  <c r="J96" i="2" s="1"/>
  <c r="J107" i="2" a="1"/>
  <c r="J107" i="2" s="1"/>
  <c r="J118" i="2" a="1"/>
  <c r="J118" i="2" s="1"/>
  <c r="J129" i="2" a="1"/>
  <c r="J129" i="2" s="1"/>
  <c r="J141" i="2" a="1"/>
  <c r="J141" i="2" s="1"/>
  <c r="J152" i="2" a="1"/>
  <c r="J152" i="2" s="1"/>
  <c r="J174" i="2" a="1"/>
  <c r="J174" i="2" s="1"/>
  <c r="J186" i="2" a="1"/>
  <c r="J186" i="2" s="1"/>
  <c r="J196" i="2" a="1"/>
  <c r="J196" i="2" s="1"/>
  <c r="J207" i="2" a="1"/>
  <c r="J207" i="2" s="1"/>
  <c r="J219" i="2" a="1"/>
  <c r="J219" i="2" s="1"/>
  <c r="J240" i="2" a="1"/>
  <c r="J240" i="2" s="1"/>
  <c r="J251" i="2" a="1"/>
  <c r="J251" i="2" s="1"/>
  <c r="J262" i="2" a="1"/>
  <c r="J262" i="2" s="1"/>
  <c r="J273" i="2" a="1"/>
  <c r="J273" i="2" s="1"/>
  <c r="J284" i="2" a="1"/>
  <c r="J284" i="2" s="1"/>
  <c r="J306" i="2" a="1"/>
  <c r="J306" i="2" s="1"/>
  <c r="J316" i="2" a="1"/>
  <c r="J316" i="2" s="1"/>
  <c r="J328" i="2" a="1"/>
  <c r="J328" i="2" s="1"/>
  <c r="J338" i="2" a="1"/>
  <c r="J338" i="2" s="1"/>
  <c r="J361" i="2" a="1"/>
  <c r="J361" i="2" s="1"/>
  <c r="J372" i="2" a="1"/>
  <c r="J372" i="2" s="1"/>
  <c r="J383" i="2" a="1"/>
  <c r="J383" i="2" s="1"/>
  <c r="J394" i="2" a="1"/>
  <c r="J394" i="2" s="1"/>
  <c r="J405" i="2" a="1"/>
  <c r="J405" i="2" s="1"/>
  <c r="J416" i="2" a="1"/>
  <c r="J416" i="2" s="1"/>
  <c r="J428" i="2" a="1"/>
  <c r="J428" i="2" s="1"/>
  <c r="J450" i="2" a="1"/>
  <c r="J450" i="2" s="1"/>
  <c r="J461" i="2" a="1"/>
  <c r="J461" i="2" s="1"/>
  <c r="J473" i="2" a="1"/>
  <c r="J473" i="2" s="1"/>
  <c r="J483" i="2" a="1"/>
  <c r="J483" i="2" s="1"/>
  <c r="J494" i="2" a="1"/>
  <c r="J494" i="2" s="1"/>
  <c r="J506" i="2" a="1"/>
  <c r="J506" i="2" s="1"/>
  <c r="J515" i="2" a="1"/>
  <c r="J515" i="2" s="1"/>
  <c r="J532" i="2" a="1"/>
  <c r="J532" i="2" s="1"/>
  <c r="J541" i="2" a="1"/>
  <c r="J541" i="2" s="1"/>
  <c r="J549" i="2" a="1"/>
  <c r="J549" i="2" s="1"/>
  <c r="J558" i="2" a="1"/>
  <c r="J558" i="2" s="1"/>
  <c r="J568" i="2" a="1"/>
  <c r="J568" i="2" s="1"/>
  <c r="J580" i="2" a="1"/>
  <c r="J580" i="2" s="1"/>
  <c r="J591" i="2" a="1"/>
  <c r="J591" i="2" s="1"/>
  <c r="J613" i="2" a="1"/>
  <c r="J613" i="2" s="1"/>
  <c r="J625" i="2" a="1"/>
  <c r="J625" i="2" s="1"/>
  <c r="J636" i="2" a="1"/>
  <c r="J636" i="2" s="1"/>
  <c r="J646" i="2" a="1"/>
  <c r="J646" i="2" s="1"/>
  <c r="J657" i="2" a="1"/>
  <c r="J657" i="2" s="1"/>
  <c r="J9" i="2" a="1"/>
  <c r="J9" i="2" s="1"/>
  <c r="J31" i="2" a="1"/>
  <c r="J31" i="2" s="1"/>
  <c r="J43" i="2" a="1"/>
  <c r="J43" i="2" s="1"/>
  <c r="J53" i="2" a="1"/>
  <c r="J53" i="2" s="1"/>
  <c r="J64" i="2" a="1"/>
  <c r="J64" i="2" s="1"/>
  <c r="J76" i="2" a="1"/>
  <c r="J76" i="2" s="1"/>
  <c r="J86" i="2" a="1"/>
  <c r="J86" i="2" s="1"/>
  <c r="J97" i="2" a="1"/>
  <c r="J97" i="2" s="1"/>
  <c r="J108" i="2" a="1"/>
  <c r="J108" i="2" s="1"/>
  <c r="J119" i="2" a="1"/>
  <c r="J119" i="2" s="1"/>
  <c r="J130" i="2" a="1"/>
  <c r="J130" i="2" s="1"/>
  <c r="J142" i="2" a="1"/>
  <c r="J142" i="2" s="1"/>
  <c r="J153" i="2" a="1"/>
  <c r="J153" i="2" s="1"/>
  <c r="J164" i="2" a="1"/>
  <c r="J164" i="2" s="1"/>
  <c r="J175" i="2" a="1"/>
  <c r="J175" i="2" s="1"/>
  <c r="J187" i="2" a="1"/>
  <c r="J187" i="2" s="1"/>
  <c r="J197" i="2" a="1"/>
  <c r="J197" i="2" s="1"/>
  <c r="J208" i="2" a="1"/>
  <c r="J208" i="2" s="1"/>
  <c r="J220" i="2" a="1"/>
  <c r="J220" i="2" s="1"/>
  <c r="J230" i="2" a="1"/>
  <c r="J230" i="2" s="1"/>
  <c r="J241" i="2" a="1"/>
  <c r="J241" i="2" s="1"/>
  <c r="J252" i="2" a="1"/>
  <c r="J252" i="2" s="1"/>
  <c r="J263" i="2" a="1"/>
  <c r="J263" i="2" s="1"/>
  <c r="J274" i="2" a="1"/>
  <c r="J274" i="2" s="1"/>
  <c r="J285" i="2" a="1"/>
  <c r="J285" i="2" s="1"/>
  <c r="J296" i="2" a="1"/>
  <c r="J296" i="2" s="1"/>
  <c r="J307" i="2" a="1"/>
  <c r="J307" i="2" s="1"/>
  <c r="J317" i="2" a="1"/>
  <c r="J317" i="2" s="1"/>
  <c r="J329" i="2" a="1"/>
  <c r="J329" i="2" s="1"/>
  <c r="J339" i="2" a="1"/>
  <c r="J339" i="2" s="1"/>
  <c r="J350" i="2" a="1"/>
  <c r="J350" i="2" s="1"/>
  <c r="J362" i="2" a="1"/>
  <c r="J362" i="2" s="1"/>
  <c r="J373" i="2" a="1"/>
  <c r="J373" i="2" s="1"/>
  <c r="J384" i="2" a="1"/>
  <c r="J384" i="2" s="1"/>
  <c r="J395" i="2" a="1"/>
  <c r="J395" i="2" s="1"/>
  <c r="J406" i="2" a="1"/>
  <c r="J406" i="2" s="1"/>
  <c r="J417" i="2" a="1"/>
  <c r="J417" i="2" s="1"/>
  <c r="J429" i="2" a="1"/>
  <c r="J429" i="2" s="1"/>
  <c r="J440" i="2" a="1"/>
  <c r="J440" i="2" s="1"/>
  <c r="J451" i="2" a="1"/>
  <c r="J451" i="2" s="1"/>
  <c r="J462" i="2" a="1"/>
  <c r="J462" i="2" s="1"/>
  <c r="J474" i="2" a="1"/>
  <c r="J474" i="2" s="1"/>
  <c r="J484" i="2" a="1"/>
  <c r="J484" i="2" s="1"/>
  <c r="J495" i="2" a="1"/>
  <c r="J495" i="2" s="1"/>
  <c r="J507" i="2" a="1"/>
  <c r="J507" i="2" s="1"/>
  <c r="J524" i="2" a="1"/>
  <c r="J524" i="2" s="1"/>
  <c r="J550" i="2" a="1"/>
  <c r="J550" i="2" s="1"/>
  <c r="J559" i="2" a="1"/>
  <c r="J559" i="2" s="1"/>
  <c r="J569" i="2" a="1"/>
  <c r="J569" i="2" s="1"/>
  <c r="J581" i="2" a="1"/>
  <c r="J581" i="2" s="1"/>
  <c r="J592" i="2" a="1"/>
  <c r="J592" i="2" s="1"/>
  <c r="J603" i="2" a="1"/>
  <c r="J603" i="2" s="1"/>
  <c r="J614" i="2" a="1"/>
  <c r="J614" i="2" s="1"/>
  <c r="J626" i="2" a="1"/>
  <c r="J626" i="2" s="1"/>
  <c r="J637" i="2" a="1"/>
  <c r="J637" i="2" s="1"/>
  <c r="J647" i="2" a="1"/>
  <c r="J647" i="2" s="1"/>
  <c r="J658" i="2" a="1"/>
  <c r="J658" i="2" s="1"/>
  <c r="J10" i="2" a="1"/>
  <c r="J10" i="2" s="1"/>
  <c r="J20" i="2" a="1"/>
  <c r="J20" i="2" s="1"/>
  <c r="J32" i="2" a="1"/>
  <c r="J32" i="2" s="1"/>
  <c r="J54" i="2" a="1"/>
  <c r="J54" i="2" s="1"/>
  <c r="J65" i="2" a="1"/>
  <c r="J65" i="2" s="1"/>
  <c r="J77" i="2" a="1"/>
  <c r="J77" i="2" s="1"/>
  <c r="J87" i="2" a="1"/>
  <c r="J87" i="2" s="1"/>
  <c r="J109" i="2" a="1"/>
  <c r="J109" i="2" s="1"/>
  <c r="J120" i="2" a="1"/>
  <c r="J120" i="2" s="1"/>
  <c r="J131" i="2" a="1"/>
  <c r="J131" i="2" s="1"/>
  <c r="J143" i="2" a="1"/>
  <c r="J143" i="2" s="1"/>
  <c r="J154" i="2" a="1"/>
  <c r="J154" i="2" s="1"/>
  <c r="J165" i="2" a="1"/>
  <c r="J165" i="2" s="1"/>
  <c r="J176" i="2" a="1"/>
  <c r="J176" i="2" s="1"/>
  <c r="J198" i="2" a="1"/>
  <c r="J198" i="2" s="1"/>
  <c r="J209" i="2" a="1"/>
  <c r="J209" i="2" s="1"/>
  <c r="J221" i="2" a="1"/>
  <c r="J221" i="2" s="1"/>
  <c r="J231" i="2" a="1"/>
  <c r="J231" i="2" s="1"/>
  <c r="J253" i="2" a="1"/>
  <c r="J253" i="2" s="1"/>
  <c r="J264" i="2" a="1"/>
  <c r="J264" i="2" s="1"/>
  <c r="J275" i="2" a="1"/>
  <c r="J275" i="2" s="1"/>
  <c r="J286" i="2" a="1"/>
  <c r="J286" i="2" s="1"/>
  <c r="J297" i="2" a="1"/>
  <c r="J297" i="2" s="1"/>
  <c r="J318" i="2" a="1"/>
  <c r="J318" i="2" s="1"/>
  <c r="J330" i="2" a="1"/>
  <c r="J330" i="2" s="1"/>
  <c r="J340" i="2" a="1"/>
  <c r="J340" i="2" s="1"/>
  <c r="J351" i="2" a="1"/>
  <c r="J351" i="2" s="1"/>
  <c r="J363" i="2" a="1"/>
  <c r="J363" i="2" s="1"/>
  <c r="J385" i="2" a="1"/>
  <c r="J385" i="2" s="1"/>
  <c r="J396" i="2" a="1"/>
  <c r="J396" i="2" s="1"/>
  <c r="J407" i="2" a="1"/>
  <c r="J407" i="2" s="1"/>
  <c r="J418" i="2" a="1"/>
  <c r="J418" i="2" s="1"/>
  <c r="J430" i="2" a="1"/>
  <c r="J430" i="2" s="1"/>
  <c r="J441" i="2" a="1"/>
  <c r="J441" i="2" s="1"/>
  <c r="J452" i="2" a="1"/>
  <c r="J452" i="2" s="1"/>
  <c r="J463" i="2" a="1"/>
  <c r="J463" i="2" s="1"/>
  <c r="J475" i="2" a="1"/>
  <c r="J475" i="2" s="1"/>
  <c r="J485" i="2" a="1"/>
  <c r="J485" i="2" s="1"/>
  <c r="J496" i="2" a="1"/>
  <c r="J496" i="2" s="1"/>
  <c r="J508" i="2" a="1"/>
  <c r="J508" i="2" s="1"/>
  <c r="J516" i="2" a="1"/>
  <c r="J516" i="2" s="1"/>
  <c r="J533" i="2" a="1"/>
  <c r="J533" i="2" s="1"/>
  <c r="J542" i="2" a="1"/>
  <c r="J542" i="2" s="1"/>
  <c r="J560" i="2" a="1"/>
  <c r="J560" i="2" s="1"/>
  <c r="J570" i="2" a="1"/>
  <c r="J570" i="2" s="1"/>
  <c r="J582" i="2" a="1"/>
  <c r="J582" i="2" s="1"/>
  <c r="J593" i="2" a="1"/>
  <c r="J593" i="2" s="1"/>
  <c r="J604" i="2" a="1"/>
  <c r="J604" i="2" s="1"/>
  <c r="J615" i="2" a="1"/>
  <c r="J615" i="2" s="1"/>
  <c r="J627" i="2" a="1"/>
  <c r="J627" i="2" s="1"/>
  <c r="J638" i="2" a="1"/>
  <c r="J638" i="2" s="1"/>
  <c r="J648" i="2" a="1"/>
  <c r="J648" i="2" s="1"/>
  <c r="J659" i="2" a="1"/>
  <c r="J659" i="2" s="1"/>
  <c r="J671" i="2" a="1"/>
  <c r="J671" i="2" s="1"/>
  <c r="J681" i="2" a="1"/>
  <c r="J681" i="2" s="1"/>
  <c r="J693" i="2" a="1"/>
  <c r="J693" i="2" s="1"/>
  <c r="J11" i="2" a="1"/>
  <c r="J11" i="2" s="1"/>
  <c r="J21" i="2" a="1"/>
  <c r="J21" i="2" s="1"/>
  <c r="J33" i="2" a="1"/>
  <c r="J33" i="2" s="1"/>
  <c r="J44" i="2" a="1"/>
  <c r="J44" i="2" s="1"/>
  <c r="J55" i="2" a="1"/>
  <c r="J55" i="2" s="1"/>
  <c r="J66" i="2" a="1"/>
  <c r="J66" i="2" s="1"/>
  <c r="J78" i="2" a="1"/>
  <c r="J78" i="2" s="1"/>
  <c r="J88" i="2" a="1"/>
  <c r="J88" i="2" s="1"/>
  <c r="J98" i="2" a="1"/>
  <c r="J98" i="2" s="1"/>
  <c r="J110" i="2" a="1"/>
  <c r="J110" i="2" s="1"/>
  <c r="J121" i="2" a="1"/>
  <c r="J121" i="2" s="1"/>
  <c r="J132" i="2" a="1"/>
  <c r="J132" i="2" s="1"/>
  <c r="J144" i="2" a="1"/>
  <c r="J144" i="2" s="1"/>
  <c r="J155" i="2" a="1"/>
  <c r="J155" i="2" s="1"/>
  <c r="J166" i="2" a="1"/>
  <c r="J166" i="2" s="1"/>
  <c r="J177" i="2" a="1"/>
  <c r="J177" i="2" s="1"/>
  <c r="J188" i="2" a="1"/>
  <c r="J188" i="2" s="1"/>
  <c r="J199" i="2" a="1"/>
  <c r="J199" i="2" s="1"/>
  <c r="J210" i="2" a="1"/>
  <c r="J210" i="2" s="1"/>
  <c r="J222" i="2" a="1"/>
  <c r="J222" i="2" s="1"/>
  <c r="J232" i="2" a="1"/>
  <c r="J232" i="2" s="1"/>
  <c r="J242" i="2" a="1"/>
  <c r="J242" i="2" s="1"/>
  <c r="J254" i="2" a="1"/>
  <c r="J254" i="2" s="1"/>
  <c r="J265" i="2" a="1"/>
  <c r="J265" i="2" s="1"/>
  <c r="J276" i="2" a="1"/>
  <c r="J276" i="2" s="1"/>
  <c r="J287" i="2" a="1"/>
  <c r="J287" i="2" s="1"/>
  <c r="J298" i="2" a="1"/>
  <c r="J298" i="2" s="1"/>
  <c r="J308" i="2" a="1"/>
  <c r="J308" i="2" s="1"/>
  <c r="J319" i="2" a="1"/>
  <c r="J319" i="2" s="1"/>
  <c r="J331" i="2" a="1"/>
  <c r="J331" i="2" s="1"/>
  <c r="J341" i="2" a="1"/>
  <c r="J341" i="2" s="1"/>
  <c r="J352" i="2" a="1"/>
  <c r="J352" i="2" s="1"/>
  <c r="J364" i="2" a="1"/>
  <c r="J364" i="2" s="1"/>
  <c r="J374" i="2" a="1"/>
  <c r="J374" i="2" s="1"/>
  <c r="J397" i="2" a="1"/>
  <c r="J397" i="2" s="1"/>
  <c r="J408" i="2" a="1"/>
  <c r="J408" i="2" s="1"/>
  <c r="J419" i="2" a="1"/>
  <c r="J419" i="2" s="1"/>
  <c r="J431" i="2" a="1"/>
  <c r="J431" i="2" s="1"/>
  <c r="J442" i="2" a="1"/>
  <c r="J442" i="2" s="1"/>
  <c r="J453" i="2" a="1"/>
  <c r="J453" i="2" s="1"/>
  <c r="J464" i="2" a="1"/>
  <c r="J464" i="2" s="1"/>
  <c r="J486" i="2" a="1"/>
  <c r="J486" i="2" s="1"/>
  <c r="J497" i="2" a="1"/>
  <c r="J497" i="2" s="1"/>
  <c r="J509" i="2" a="1"/>
  <c r="J509" i="2" s="1"/>
  <c r="J517" i="2" a="1"/>
  <c r="J517" i="2" s="1"/>
  <c r="J525" i="2" a="1"/>
  <c r="J525" i="2" s="1"/>
  <c r="J534" i="2" a="1"/>
  <c r="J534" i="2" s="1"/>
  <c r="J543" i="2" a="1"/>
  <c r="J543" i="2" s="1"/>
  <c r="J551" i="2" a="1"/>
  <c r="J551" i="2" s="1"/>
  <c r="J571" i="2" a="1"/>
  <c r="J571" i="2" s="1"/>
  <c r="J583" i="2" a="1"/>
  <c r="J583" i="2" s="1"/>
  <c r="J594" i="2" a="1"/>
  <c r="J594" i="2" s="1"/>
  <c r="J605" i="2" a="1"/>
  <c r="J605" i="2" s="1"/>
  <c r="J616" i="2" a="1"/>
  <c r="J616" i="2" s="1"/>
  <c r="J628" i="2" a="1"/>
  <c r="J628" i="2" s="1"/>
  <c r="J649" i="2" a="1"/>
  <c r="J649" i="2" s="1"/>
  <c r="J660" i="2" a="1"/>
  <c r="J660" i="2" s="1"/>
  <c r="J672" i="2" a="1"/>
  <c r="J672" i="2" s="1"/>
  <c r="J682" i="2" a="1"/>
  <c r="J682" i="2" s="1"/>
  <c r="J12" i="2" a="1"/>
  <c r="J12" i="2" s="1"/>
  <c r="J22" i="2" a="1"/>
  <c r="J22" i="2" s="1"/>
  <c r="J34" i="2" a="1"/>
  <c r="J34" i="2" s="1"/>
  <c r="J45" i="2" a="1"/>
  <c r="J45" i="2" s="1"/>
  <c r="J67" i="2" a="1"/>
  <c r="J67" i="2" s="1"/>
  <c r="J79" i="2" a="1"/>
  <c r="J79" i="2" s="1"/>
  <c r="J89" i="2" a="1"/>
  <c r="J89" i="2" s="1"/>
  <c r="J99" i="2" a="1"/>
  <c r="J99" i="2" s="1"/>
  <c r="J111" i="2" a="1"/>
  <c r="J111" i="2" s="1"/>
  <c r="J133" i="2" a="1"/>
  <c r="J133" i="2" s="1"/>
  <c r="J145" i="2" a="1"/>
  <c r="J145" i="2" s="1"/>
  <c r="J156" i="2" a="1"/>
  <c r="J156" i="2" s="1"/>
  <c r="J167" i="2" a="1"/>
  <c r="J167" i="2" s="1"/>
  <c r="J178" i="2" a="1"/>
  <c r="J178" i="2" s="1"/>
  <c r="J189" i="2" a="1"/>
  <c r="J189" i="2" s="1"/>
  <c r="J200" i="2" a="1"/>
  <c r="J200" i="2" s="1"/>
  <c r="J211" i="2" a="1"/>
  <c r="J211" i="2" s="1"/>
  <c r="J223" i="2" a="1"/>
  <c r="J223" i="2" s="1"/>
  <c r="J233" i="2" a="1"/>
  <c r="J233" i="2" s="1"/>
  <c r="J243" i="2" a="1"/>
  <c r="J243" i="2" s="1"/>
  <c r="J255" i="2" a="1"/>
  <c r="J255" i="2" s="1"/>
  <c r="J277" i="2" a="1"/>
  <c r="J277" i="2" s="1"/>
  <c r="J288" i="2" a="1"/>
  <c r="J288" i="2" s="1"/>
  <c r="J299" i="2" a="1"/>
  <c r="J299" i="2" s="1"/>
  <c r="J309" i="2" a="1"/>
  <c r="J309" i="2" s="1"/>
  <c r="J320" i="2" a="1"/>
  <c r="J320" i="2" s="1"/>
  <c r="J342" i="2" a="1"/>
  <c r="J342" i="2" s="1"/>
  <c r="J353" i="2" a="1"/>
  <c r="J353" i="2" s="1"/>
  <c r="J365" i="2" a="1"/>
  <c r="J365" i="2" s="1"/>
  <c r="J375" i="2" a="1"/>
  <c r="J375" i="2" s="1"/>
  <c r="J386" i="2" a="1"/>
  <c r="J386" i="2" s="1"/>
  <c r="J398" i="2" a="1"/>
  <c r="J398" i="2" s="1"/>
  <c r="J409" i="2" a="1"/>
  <c r="J409" i="2" s="1"/>
  <c r="J420" i="2" a="1"/>
  <c r="J420" i="2" s="1"/>
  <c r="J432" i="2" a="1"/>
  <c r="J432" i="2" s="1"/>
  <c r="J443" i="2" a="1"/>
  <c r="J443" i="2" s="1"/>
  <c r="J454" i="2" a="1"/>
  <c r="J454" i="2" s="1"/>
  <c r="J465" i="2" a="1"/>
  <c r="J465" i="2" s="1"/>
  <c r="J476" i="2" a="1"/>
  <c r="J476" i="2" s="1"/>
  <c r="J487" i="2" a="1"/>
  <c r="J487" i="2" s="1"/>
  <c r="J498" i="2" a="1"/>
  <c r="J498" i="2" s="1"/>
  <c r="J510" i="2" a="1"/>
  <c r="J510" i="2" s="1"/>
  <c r="J526" i="2" a="1"/>
  <c r="J526" i="2" s="1"/>
  <c r="J535" i="2" a="1"/>
  <c r="J535" i="2" s="1"/>
  <c r="J544" i="2" a="1"/>
  <c r="J544" i="2" s="1"/>
  <c r="J552" i="2" a="1"/>
  <c r="J552" i="2" s="1"/>
  <c r="J561" i="2" a="1"/>
  <c r="J561" i="2" s="1"/>
  <c r="J572" i="2" a="1"/>
  <c r="J572" i="2" s="1"/>
  <c r="J584" i="2" a="1"/>
  <c r="J584" i="2" s="1"/>
  <c r="J595" i="2" a="1"/>
  <c r="J595" i="2" s="1"/>
  <c r="J606" i="2" a="1"/>
  <c r="J606" i="2" s="1"/>
  <c r="J617" i="2" a="1"/>
  <c r="J617" i="2" s="1"/>
  <c r="J629" i="2" a="1"/>
  <c r="J629" i="2" s="1"/>
  <c r="J639" i="2" a="1"/>
  <c r="J639" i="2" s="1"/>
  <c r="J650" i="2" a="1"/>
  <c r="J650" i="2" s="1"/>
  <c r="J661" i="2" a="1"/>
  <c r="J661" i="2" s="1"/>
  <c r="J2" i="2" a="1"/>
  <c r="J2" i="2" s="1"/>
  <c r="J23" i="2" a="1"/>
  <c r="J23" i="2" s="1"/>
  <c r="J35" i="2" a="1"/>
  <c r="J35" i="2" s="1"/>
  <c r="J46" i="2" a="1"/>
  <c r="J46" i="2" s="1"/>
  <c r="J56" i="2" a="1"/>
  <c r="J56" i="2" s="1"/>
  <c r="J68" i="2" a="1"/>
  <c r="J68" i="2" s="1"/>
  <c r="J90" i="2" a="1"/>
  <c r="J90" i="2" s="1"/>
  <c r="J100" i="2" a="1"/>
  <c r="J100" i="2" s="1"/>
  <c r="J112" i="2" a="1"/>
  <c r="J112" i="2" s="1"/>
  <c r="J122" i="2" a="1"/>
  <c r="J122" i="2" s="1"/>
  <c r="J134" i="2" a="1"/>
  <c r="J134" i="2" s="1"/>
  <c r="J146" i="2" a="1"/>
  <c r="J146" i="2" s="1"/>
  <c r="J157" i="2" a="1"/>
  <c r="J157" i="2" s="1"/>
  <c r="J168" i="2" a="1"/>
  <c r="J168" i="2" s="1"/>
  <c r="J179" i="2" a="1"/>
  <c r="J179" i="2" s="1"/>
  <c r="J190" i="2" a="1"/>
  <c r="J190" i="2" s="1"/>
  <c r="J201" i="2" a="1"/>
  <c r="J201" i="2" s="1"/>
  <c r="J212" i="2" a="1"/>
  <c r="J212" i="2" s="1"/>
  <c r="J234" i="2" a="1"/>
  <c r="J234" i="2" s="1"/>
  <c r="J244" i="2" a="1"/>
  <c r="J244" i="2" s="1"/>
  <c r="J256" i="2" a="1"/>
  <c r="J256" i="2" s="1"/>
  <c r="J266" i="2" a="1"/>
  <c r="J266" i="2" s="1"/>
  <c r="J289" i="2" a="1"/>
  <c r="J289" i="2" s="1"/>
  <c r="J300" i="2" a="1"/>
  <c r="J300" i="2" s="1"/>
  <c r="J310" i="2" a="1"/>
  <c r="J310" i="2" s="1"/>
  <c r="J321" i="2" a="1"/>
  <c r="J321" i="2" s="1"/>
  <c r="J332" i="2" a="1"/>
  <c r="J332" i="2" s="1"/>
  <c r="J343" i="2" a="1"/>
  <c r="J343" i="2" s="1"/>
  <c r="J354" i="2" a="1"/>
  <c r="J354" i="2" s="1"/>
  <c r="J366" i="2" a="1"/>
  <c r="J366" i="2" s="1"/>
  <c r="J376" i="2" a="1"/>
  <c r="J376" i="2" s="1"/>
  <c r="J387" i="2" a="1"/>
  <c r="J387" i="2" s="1"/>
  <c r="J399" i="2" a="1"/>
  <c r="J399" i="2" s="1"/>
  <c r="J421" i="2" a="1"/>
  <c r="J421" i="2" s="1"/>
  <c r="J433" i="2" a="1"/>
  <c r="J433" i="2" s="1"/>
  <c r="J444" i="2" a="1"/>
  <c r="J444" i="2" s="1"/>
  <c r="J455" i="2" a="1"/>
  <c r="J455" i="2" s="1"/>
  <c r="J466" i="2" a="1"/>
  <c r="J466" i="2" s="1"/>
  <c r="J477" i="2" a="1"/>
  <c r="J477" i="2" s="1"/>
  <c r="J488" i="2" a="1"/>
  <c r="J488" i="2" s="1"/>
  <c r="J499" i="2" a="1"/>
  <c r="J499" i="2" s="1"/>
  <c r="J511" i="2" a="1"/>
  <c r="J511" i="2" s="1"/>
  <c r="J518" i="2" a="1"/>
  <c r="J518" i="2" s="1"/>
  <c r="J553" i="2" a="1"/>
  <c r="J553" i="2" s="1"/>
  <c r="J562" i="2" a="1"/>
  <c r="J562" i="2" s="1"/>
  <c r="J573" i="2" a="1"/>
  <c r="J573" i="2" s="1"/>
  <c r="J596" i="2" a="1"/>
  <c r="J596" i="2" s="1"/>
  <c r="J607" i="2" a="1"/>
  <c r="J607" i="2" s="1"/>
  <c r="J618" i="2" a="1"/>
  <c r="J618" i="2" s="1"/>
  <c r="J630" i="2" a="1"/>
  <c r="J630" i="2" s="1"/>
  <c r="J640" i="2" a="1"/>
  <c r="J640" i="2" s="1"/>
  <c r="J651" i="2" a="1"/>
  <c r="J651" i="2" s="1"/>
  <c r="J662" i="2" a="1"/>
  <c r="J662" i="2" s="1"/>
  <c r="J3" i="2" a="1"/>
  <c r="J3" i="2" s="1"/>
  <c r="J13" i="2" a="1"/>
  <c r="J13" i="2" s="1"/>
  <c r="J24" i="2" a="1"/>
  <c r="J24" i="2" s="1"/>
  <c r="J36" i="2" a="1"/>
  <c r="J36" i="2" s="1"/>
  <c r="J47" i="2" a="1"/>
  <c r="J47" i="2" s="1"/>
  <c r="J57" i="2" a="1"/>
  <c r="J57" i="2" s="1"/>
  <c r="J69" i="2" a="1"/>
  <c r="J69" i="2" s="1"/>
  <c r="J80" i="2" a="1"/>
  <c r="J80" i="2" s="1"/>
  <c r="J91" i="2" a="1"/>
  <c r="J91" i="2" s="1"/>
  <c r="J101" i="2" a="1"/>
  <c r="J101" i="2" s="1"/>
  <c r="J4" i="2" a="1"/>
  <c r="J4" i="2" s="1"/>
  <c r="J14" i="2" a="1"/>
  <c r="J14" i="2" s="1"/>
  <c r="J25" i="2" a="1"/>
  <c r="J25" i="2" s="1"/>
  <c r="J37" i="2" a="1"/>
  <c r="J37" i="2" s="1"/>
  <c r="J48" i="2" a="1"/>
  <c r="J48" i="2" s="1"/>
  <c r="J58" i="2" a="1"/>
  <c r="J58" i="2" s="1"/>
  <c r="J70" i="2" a="1"/>
  <c r="J70" i="2" s="1"/>
  <c r="J81" i="2" a="1"/>
  <c r="J81" i="2" s="1"/>
  <c r="J102" i="2" a="1"/>
  <c r="J102" i="2" s="1"/>
  <c r="J114" i="2" a="1"/>
  <c r="J114" i="2" s="1"/>
  <c r="J124" i="2" a="1"/>
  <c r="J124" i="2" s="1"/>
  <c r="J136" i="2" a="1"/>
  <c r="J136" i="2" s="1"/>
  <c r="J148" i="2" a="1"/>
  <c r="J148" i="2" s="1"/>
  <c r="J159" i="2" a="1"/>
  <c r="J159" i="2" s="1"/>
  <c r="J181" i="2" a="1"/>
  <c r="J181" i="2" s="1"/>
  <c r="J192" i="2" a="1"/>
  <c r="J192" i="2" s="1"/>
  <c r="J203" i="2" a="1"/>
  <c r="J203" i="2" s="1"/>
  <c r="J214" i="2" a="1"/>
  <c r="J214" i="2" s="1"/>
  <c r="J225" i="2" a="1"/>
  <c r="J225" i="2" s="1"/>
  <c r="J246" i="2" a="1"/>
  <c r="J246" i="2" s="1"/>
  <c r="J258" i="2" a="1"/>
  <c r="J258" i="2" s="1"/>
  <c r="J268" i="2" a="1"/>
  <c r="J268" i="2" s="1"/>
  <c r="J279" i="2" a="1"/>
  <c r="J279" i="2" s="1"/>
  <c r="J291" i="2" a="1"/>
  <c r="J291" i="2" s="1"/>
  <c r="J312" i="2" a="1"/>
  <c r="J312" i="2" s="1"/>
  <c r="J323" i="2" a="1"/>
  <c r="J323" i="2" s="1"/>
  <c r="J334" i="2" a="1"/>
  <c r="J334" i="2" s="1"/>
  <c r="J345" i="2" a="1"/>
  <c r="J345" i="2" s="1"/>
  <c r="J356" i="2" a="1"/>
  <c r="J356" i="2" s="1"/>
  <c r="J378" i="2" a="1"/>
  <c r="J378" i="2" s="1"/>
  <c r="J389" i="2" a="1"/>
  <c r="J389" i="2" s="1"/>
  <c r="J401" i="2" a="1"/>
  <c r="J401" i="2" s="1"/>
  <c r="J411" i="2" a="1"/>
  <c r="J411" i="2" s="1"/>
  <c r="J423" i="2" a="1"/>
  <c r="J423" i="2" s="1"/>
  <c r="J435" i="2" a="1"/>
  <c r="J435" i="2" s="1"/>
  <c r="J457" i="2" a="1"/>
  <c r="J457" i="2" s="1"/>
  <c r="J468" i="2" a="1"/>
  <c r="J468" i="2" s="1"/>
  <c r="J479" i="2" a="1"/>
  <c r="J479" i="2" s="1"/>
  <c r="J490" i="2" a="1"/>
  <c r="J490" i="2" s="1"/>
  <c r="J501" i="2" a="1"/>
  <c r="J501" i="2" s="1"/>
  <c r="J512" i="2" a="1"/>
  <c r="J512" i="2" s="1"/>
  <c r="J520" i="2" a="1"/>
  <c r="J520" i="2" s="1"/>
  <c r="J528" i="2" a="1"/>
  <c r="J528" i="2" s="1"/>
  <c r="J537" i="2" a="1"/>
  <c r="J537" i="2" s="1"/>
  <c r="J546" i="2" a="1"/>
  <c r="J546" i="2" s="1"/>
  <c r="J564" i="2" a="1"/>
  <c r="J564" i="2" s="1"/>
  <c r="J575" i="2" a="1"/>
  <c r="J575" i="2" s="1"/>
  <c r="J586" i="2" a="1"/>
  <c r="J586" i="2" s="1"/>
  <c r="J598" i="2" a="1"/>
  <c r="J598" i="2" s="1"/>
  <c r="J620" i="2" a="1"/>
  <c r="J620" i="2" s="1"/>
  <c r="J632" i="2" a="1"/>
  <c r="J632" i="2" s="1"/>
  <c r="J642" i="2" a="1"/>
  <c r="J642" i="2" s="1"/>
  <c r="J653" i="2" a="1"/>
  <c r="J653" i="2" s="1"/>
  <c r="J664" i="2" a="1"/>
  <c r="J664" i="2" s="1"/>
  <c r="J675" i="2" a="1"/>
  <c r="J675" i="2" s="1"/>
  <c r="J50" i="2" a="1"/>
  <c r="J50" i="2" s="1"/>
  <c r="J94" i="2" a="1"/>
  <c r="J94" i="2" s="1"/>
  <c r="J135" i="2" a="1"/>
  <c r="J135" i="2" s="1"/>
  <c r="J169" i="2" a="1"/>
  <c r="J169" i="2" s="1"/>
  <c r="J202" i="2" a="1"/>
  <c r="J202" i="2" s="1"/>
  <c r="J235" i="2" a="1"/>
  <c r="J235" i="2" s="1"/>
  <c r="J267" i="2" a="1"/>
  <c r="J267" i="2" s="1"/>
  <c r="J301" i="2" a="1"/>
  <c r="J301" i="2" s="1"/>
  <c r="J333" i="2" a="1"/>
  <c r="J333" i="2" s="1"/>
  <c r="J367" i="2" a="1"/>
  <c r="J367" i="2" s="1"/>
  <c r="J400" i="2" a="1"/>
  <c r="J400" i="2" s="1"/>
  <c r="J434" i="2" a="1"/>
  <c r="J434" i="2" s="1"/>
  <c r="J467" i="2" a="1"/>
  <c r="J467" i="2" s="1"/>
  <c r="J500" i="2" a="1"/>
  <c r="J500" i="2" s="1"/>
  <c r="J527" i="2" a="1"/>
  <c r="J527" i="2" s="1"/>
  <c r="J554" i="2" a="1"/>
  <c r="J554" i="2" s="1"/>
  <c r="J585" i="2" a="1"/>
  <c r="J585" i="2" s="1"/>
  <c r="J619" i="2" a="1"/>
  <c r="J619" i="2" s="1"/>
  <c r="J652" i="2" a="1"/>
  <c r="J652" i="2" s="1"/>
  <c r="J689" i="2" a="1"/>
  <c r="J689" i="2" s="1"/>
  <c r="J703" i="2" a="1"/>
  <c r="J703" i="2" s="1"/>
  <c r="J713" i="2" a="1"/>
  <c r="J713" i="2" s="1"/>
  <c r="J725" i="2" a="1"/>
  <c r="J725" i="2" s="1"/>
  <c r="J736" i="2" a="1"/>
  <c r="J736" i="2" s="1"/>
  <c r="J747" i="2" a="1"/>
  <c r="J747" i="2" s="1"/>
  <c r="J758" i="2" a="1"/>
  <c r="J758" i="2" s="1"/>
  <c r="J770" i="2" a="1"/>
  <c r="J770" i="2" s="1"/>
  <c r="J782" i="2" a="1"/>
  <c r="J782" i="2" s="1"/>
  <c r="J792" i="2" a="1"/>
  <c r="J792" i="2" s="1"/>
  <c r="J803" i="2" a="1"/>
  <c r="J803" i="2" s="1"/>
  <c r="J815" i="2" a="1"/>
  <c r="J815" i="2" s="1"/>
  <c r="J825" i="2" a="1"/>
  <c r="J825" i="2" s="1"/>
  <c r="J837" i="2" a="1"/>
  <c r="J837" i="2" s="1"/>
  <c r="J849" i="2" a="1"/>
  <c r="J849" i="2" s="1"/>
  <c r="J860" i="2" a="1"/>
  <c r="J860" i="2" s="1"/>
  <c r="J871" i="2" a="1"/>
  <c r="J871" i="2" s="1"/>
  <c r="J882" i="2" a="1"/>
  <c r="J882" i="2" s="1"/>
  <c r="J893" i="2" a="1"/>
  <c r="J893" i="2" s="1"/>
  <c r="J904" i="2" a="1"/>
  <c r="J904" i="2" s="1"/>
  <c r="J916" i="2" a="1"/>
  <c r="J916" i="2" s="1"/>
  <c r="J937" i="2" a="1"/>
  <c r="J937" i="2" s="1"/>
  <c r="J948" i="2" a="1"/>
  <c r="J948" i="2" s="1"/>
  <c r="J959" i="2" a="1"/>
  <c r="J959" i="2" s="1"/>
  <c r="J977" i="2" a="1"/>
  <c r="J977" i="2" s="1"/>
  <c r="J985" i="2" a="1"/>
  <c r="J985" i="2" s="1"/>
  <c r="J994" i="2" a="1"/>
  <c r="J994" i="2" s="1"/>
  <c r="J1003" i="2" a="1"/>
  <c r="J1003" i="2" s="1"/>
  <c r="J1012" i="2" a="1"/>
  <c r="J1012" i="2" s="1"/>
  <c r="J1021" i="2" a="1"/>
  <c r="J1021" i="2" s="1"/>
  <c r="J1031" i="2" a="1"/>
  <c r="J1031" i="2" s="1"/>
  <c r="J1052" i="2" a="1"/>
  <c r="J1052" i="2" s="1"/>
  <c r="J1063" i="2" a="1"/>
  <c r="J1063" i="2" s="1"/>
  <c r="J1074" i="2" a="1"/>
  <c r="J1074" i="2" s="1"/>
  <c r="J1086" i="2" a="1"/>
  <c r="J1086" i="2" s="1"/>
  <c r="J1097" i="2" a="1"/>
  <c r="J1097" i="2" s="1"/>
  <c r="J1118" i="2" a="1"/>
  <c r="J1118" i="2" s="1"/>
  <c r="J1130" i="2" a="1"/>
  <c r="J1130" i="2" s="1"/>
  <c r="J1140" i="2" a="1"/>
  <c r="J1140" i="2" s="1"/>
  <c r="J1152" i="2" a="1"/>
  <c r="J1152" i="2" s="1"/>
  <c r="J1163" i="2" a="1"/>
  <c r="J1163" i="2" s="1"/>
  <c r="J1174" i="2" a="1"/>
  <c r="J1174" i="2" s="1"/>
  <c r="J1185" i="2" a="1"/>
  <c r="J1185" i="2" s="1"/>
  <c r="J1196" i="2" a="1"/>
  <c r="J1196" i="2" s="1"/>
  <c r="J1207" i="2" a="1"/>
  <c r="J1207" i="2" s="1"/>
  <c r="J1218" i="2" a="1"/>
  <c r="J1218" i="2" s="1"/>
  <c r="J1229" i="2" a="1"/>
  <c r="J1229" i="2" s="1"/>
  <c r="J1240" i="2" a="1"/>
  <c r="J1240" i="2" s="1"/>
  <c r="J1251" i="2" a="1"/>
  <c r="J1251" i="2" s="1"/>
  <c r="J1261" i="2" a="1"/>
  <c r="J1261" i="2" s="1"/>
  <c r="J1273" i="2" a="1"/>
  <c r="J1273" i="2" s="1"/>
  <c r="J1283" i="2" a="1"/>
  <c r="J1283" i="2" s="1"/>
  <c r="J1294" i="2" a="1"/>
  <c r="J1294" i="2" s="1"/>
  <c r="J1305" i="2" a="1"/>
  <c r="J1305" i="2" s="1"/>
  <c r="J1316" i="2" a="1"/>
  <c r="J1316" i="2" s="1"/>
  <c r="J1326" i="2" a="1"/>
  <c r="J1326" i="2" s="1"/>
  <c r="J1337" i="2" a="1"/>
  <c r="J1337" i="2" s="1"/>
  <c r="J1348" i="2" a="1"/>
  <c r="J1348" i="2" s="1"/>
  <c r="J1358" i="2" a="1"/>
  <c r="J1358" i="2" s="1"/>
  <c r="J1367" i="2" a="1"/>
  <c r="J1367" i="2" s="1"/>
  <c r="J1376" i="2" a="1"/>
  <c r="J1376" i="2" s="1"/>
  <c r="J1385" i="2" a="1"/>
  <c r="J1385" i="2" s="1"/>
  <c r="J1394" i="2" a="1"/>
  <c r="J1394" i="2" s="1"/>
  <c r="J1403" i="2" a="1"/>
  <c r="J1403" i="2" s="1"/>
  <c r="J1412" i="2" a="1"/>
  <c r="J1412" i="2" s="1"/>
  <c r="J1421" i="2" a="1"/>
  <c r="J1421" i="2" s="1"/>
  <c r="J1430" i="2" a="1"/>
  <c r="J1430" i="2" s="1"/>
  <c r="J1439" i="2" a="1"/>
  <c r="J1439" i="2" s="1"/>
  <c r="J1447" i="2" a="1"/>
  <c r="J1447" i="2" s="1"/>
  <c r="J1461" i="2" a="1"/>
  <c r="J1461" i="2" s="1"/>
  <c r="J1469" i="2" a="1"/>
  <c r="J1469" i="2" s="1"/>
  <c r="J1492" i="2" a="1"/>
  <c r="J1492" i="2" s="1"/>
  <c r="J1500" i="2" a="1"/>
  <c r="J1500" i="2" s="1"/>
  <c r="J1508" i="2" a="1"/>
  <c r="J1508" i="2" s="1"/>
  <c r="J1518" i="2" a="1"/>
  <c r="J1518" i="2" s="1"/>
  <c r="J1526" i="2" a="1"/>
  <c r="J1526" i="2" s="1"/>
  <c r="J1535" i="2" a="1"/>
  <c r="J1535" i="2" s="1"/>
  <c r="J1544" i="2" a="1"/>
  <c r="J1544" i="2" s="1"/>
  <c r="J1552" i="2" a="1"/>
  <c r="J1552" i="2" s="1"/>
  <c r="J1561" i="2" a="1"/>
  <c r="J1561" i="2" s="1"/>
  <c r="J1570" i="2" a="1"/>
  <c r="J1570" i="2" s="1"/>
  <c r="J1579" i="2" a="1"/>
  <c r="J1579" i="2" s="1"/>
  <c r="J1589" i="2" a="1"/>
  <c r="J1589" i="2" s="1"/>
  <c r="J1599" i="2" a="1"/>
  <c r="J1599" i="2" s="1"/>
  <c r="J1609" i="2" a="1"/>
  <c r="J1609" i="2" s="1"/>
  <c r="J1626" i="2" a="1"/>
  <c r="J1626" i="2" s="1"/>
  <c r="J1645" i="2" a="1"/>
  <c r="J1645" i="2" s="1"/>
  <c r="J1653" i="2" a="1"/>
  <c r="J1653" i="2" s="1"/>
  <c r="J1661" i="2" a="1"/>
  <c r="J1661" i="2" s="1"/>
  <c r="J1671" i="2" a="1"/>
  <c r="J1671" i="2" s="1"/>
  <c r="J1681" i="2" a="1"/>
  <c r="J1681" i="2" s="1"/>
  <c r="J1690" i="2" a="1"/>
  <c r="J1690" i="2" s="1"/>
  <c r="J1699" i="2" a="1"/>
  <c r="J1699" i="2" s="1"/>
  <c r="J1718" i="2" a="1"/>
  <c r="J1718" i="2" s="1"/>
  <c r="J1726" i="2" a="1"/>
  <c r="J1726" i="2" s="1"/>
  <c r="J1734" i="2" a="1"/>
  <c r="J1734" i="2" s="1"/>
  <c r="J1762" i="2" a="1"/>
  <c r="J1762" i="2" s="1"/>
  <c r="J1770" i="2" a="1"/>
  <c r="J1770" i="2" s="1"/>
  <c r="J1788" i="2" a="1"/>
  <c r="J1788" i="2" s="1"/>
  <c r="J1820" i="2" a="1"/>
  <c r="J1820" i="2" s="1"/>
  <c r="J1829" i="2" a="1"/>
  <c r="J1829" i="2" s="1"/>
  <c r="J1852" i="2" a="1"/>
  <c r="J1852" i="2" s="1"/>
  <c r="J1859" i="2" a="1"/>
  <c r="J1859" i="2" s="1"/>
  <c r="J1877" i="2" a="1"/>
  <c r="J1877" i="2" s="1"/>
  <c r="J15" i="2" a="1"/>
  <c r="J15" i="2" s="1"/>
  <c r="J59" i="2" a="1"/>
  <c r="J59" i="2" s="1"/>
  <c r="J103" i="2" a="1"/>
  <c r="J103" i="2" s="1"/>
  <c r="J137" i="2" a="1"/>
  <c r="J137" i="2" s="1"/>
  <c r="J170" i="2" a="1"/>
  <c r="J170" i="2" s="1"/>
  <c r="J204" i="2" a="1"/>
  <c r="J204" i="2" s="1"/>
  <c r="J236" i="2" a="1"/>
  <c r="J236" i="2" s="1"/>
  <c r="J269" i="2" a="1"/>
  <c r="J269" i="2" s="1"/>
  <c r="J302" i="2" a="1"/>
  <c r="J302" i="2" s="1"/>
  <c r="J335" i="2" a="1"/>
  <c r="J335" i="2" s="1"/>
  <c r="J368" i="2" a="1"/>
  <c r="J368" i="2" s="1"/>
  <c r="J402" i="2" a="1"/>
  <c r="J402" i="2" s="1"/>
  <c r="J436" i="2" a="1"/>
  <c r="J436" i="2" s="1"/>
  <c r="J469" i="2" a="1"/>
  <c r="J469" i="2" s="1"/>
  <c r="J502" i="2" a="1"/>
  <c r="J502" i="2" s="1"/>
  <c r="J529" i="2" a="1"/>
  <c r="J529" i="2" s="1"/>
  <c r="J555" i="2" a="1"/>
  <c r="J555" i="2" s="1"/>
  <c r="J587" i="2" a="1"/>
  <c r="J587" i="2" s="1"/>
  <c r="J621" i="2" a="1"/>
  <c r="J621" i="2" s="1"/>
  <c r="J654" i="2" a="1"/>
  <c r="J654" i="2" s="1"/>
  <c r="J676" i="2" a="1"/>
  <c r="J676" i="2" s="1"/>
  <c r="J691" i="2" a="1"/>
  <c r="J691" i="2" s="1"/>
  <c r="J704" i="2" a="1"/>
  <c r="J704" i="2" s="1"/>
  <c r="J714" i="2" a="1"/>
  <c r="J714" i="2" s="1"/>
  <c r="J726" i="2" a="1"/>
  <c r="J726" i="2" s="1"/>
  <c r="J737" i="2" a="1"/>
  <c r="J737" i="2" s="1"/>
  <c r="J748" i="2" a="1"/>
  <c r="J748" i="2" s="1"/>
  <c r="J759" i="2" a="1"/>
  <c r="J759" i="2" s="1"/>
  <c r="J771" i="2" a="1"/>
  <c r="J771" i="2" s="1"/>
  <c r="J793" i="2" a="1"/>
  <c r="J793" i="2" s="1"/>
  <c r="J804" i="2" a="1"/>
  <c r="J804" i="2" s="1"/>
  <c r="J816" i="2" a="1"/>
  <c r="J816" i="2" s="1"/>
  <c r="J826" i="2" a="1"/>
  <c r="J826" i="2" s="1"/>
  <c r="J838" i="2" a="1"/>
  <c r="J838" i="2" s="1"/>
  <c r="J850" i="2" a="1"/>
  <c r="J850" i="2" s="1"/>
  <c r="J872" i="2" a="1"/>
  <c r="J872" i="2" s="1"/>
  <c r="J883" i="2" a="1"/>
  <c r="J883" i="2" s="1"/>
  <c r="J894" i="2" a="1"/>
  <c r="J894" i="2" s="1"/>
  <c r="J905" i="2" a="1"/>
  <c r="J905" i="2" s="1"/>
  <c r="J917" i="2" a="1"/>
  <c r="J917" i="2" s="1"/>
  <c r="J927" i="2" a="1"/>
  <c r="J927" i="2" s="1"/>
  <c r="J938" i="2" a="1"/>
  <c r="J938" i="2" s="1"/>
  <c r="J949" i="2" a="1"/>
  <c r="J949" i="2" s="1"/>
  <c r="J969" i="2" a="1"/>
  <c r="J969" i="2" s="1"/>
  <c r="J986" i="2" a="1"/>
  <c r="J986" i="2" s="1"/>
  <c r="J995" i="2" a="1"/>
  <c r="J995" i="2" s="1"/>
  <c r="J1004" i="2" a="1"/>
  <c r="J1004" i="2" s="1"/>
  <c r="J1013" i="2" a="1"/>
  <c r="J1013" i="2" s="1"/>
  <c r="J1022" i="2" a="1"/>
  <c r="J1022" i="2" s="1"/>
  <c r="J1032" i="2" a="1"/>
  <c r="J1032" i="2" s="1"/>
  <c r="J1042" i="2" a="1"/>
  <c r="J1042" i="2" s="1"/>
  <c r="J1053" i="2" a="1"/>
  <c r="J1053" i="2" s="1"/>
  <c r="J1064" i="2" a="1"/>
  <c r="J1064" i="2" s="1"/>
  <c r="J1075" i="2" a="1"/>
  <c r="J1075" i="2" s="1"/>
  <c r="J1087" i="2" a="1"/>
  <c r="J1087" i="2" s="1"/>
  <c r="J1098" i="2" a="1"/>
  <c r="J1098" i="2" s="1"/>
  <c r="J1108" i="2" a="1"/>
  <c r="J1108" i="2" s="1"/>
  <c r="J1119" i="2" a="1"/>
  <c r="J1119" i="2" s="1"/>
  <c r="J1131" i="2" a="1"/>
  <c r="J1131" i="2" s="1"/>
  <c r="J1141" i="2" a="1"/>
  <c r="J1141" i="2" s="1"/>
  <c r="J1153" i="2" a="1"/>
  <c r="J1153" i="2" s="1"/>
  <c r="J1164" i="2" a="1"/>
  <c r="J1164" i="2" s="1"/>
  <c r="J1175" i="2" a="1"/>
  <c r="J1175" i="2" s="1"/>
  <c r="J1197" i="2" a="1"/>
  <c r="J1197" i="2" s="1"/>
  <c r="J1208" i="2" a="1"/>
  <c r="J1208" i="2" s="1"/>
  <c r="J1219" i="2" a="1"/>
  <c r="J1219" i="2" s="1"/>
  <c r="J1230" i="2" a="1"/>
  <c r="J1230" i="2" s="1"/>
  <c r="J1241" i="2" a="1"/>
  <c r="J1241" i="2" s="1"/>
  <c r="J1262" i="2" a="1"/>
  <c r="J1262" i="2" s="1"/>
  <c r="J1274" i="2" a="1"/>
  <c r="J1274" i="2" s="1"/>
  <c r="J1284" i="2" a="1"/>
  <c r="J1284" i="2" s="1"/>
  <c r="J1295" i="2" a="1"/>
  <c r="J1295" i="2" s="1"/>
  <c r="J1317" i="2" a="1"/>
  <c r="J1317" i="2" s="1"/>
  <c r="J1327" i="2" a="1"/>
  <c r="J1327" i="2" s="1"/>
  <c r="J1338" i="2" a="1"/>
  <c r="J1338" i="2" s="1"/>
  <c r="J1349" i="2" a="1"/>
  <c r="J1349" i="2" s="1"/>
  <c r="J1359" i="2" a="1"/>
  <c r="J1359" i="2" s="1"/>
  <c r="J1368" i="2" a="1"/>
  <c r="J1368" i="2" s="1"/>
  <c r="J1377" i="2" a="1"/>
  <c r="J1377" i="2" s="1"/>
  <c r="J1386" i="2" a="1"/>
  <c r="J1386" i="2" s="1"/>
  <c r="J1395" i="2" a="1"/>
  <c r="J1395" i="2" s="1"/>
  <c r="J1404" i="2" a="1"/>
  <c r="J1404" i="2" s="1"/>
  <c r="J1413" i="2" a="1"/>
  <c r="J1413" i="2" s="1"/>
  <c r="J1422" i="2" a="1"/>
  <c r="J1422" i="2" s="1"/>
  <c r="J1431" i="2" a="1"/>
  <c r="J1431" i="2" s="1"/>
  <c r="J1440" i="2" a="1"/>
  <c r="J1440" i="2" s="1"/>
  <c r="J1455" i="2" a="1"/>
  <c r="J1455" i="2" s="1"/>
  <c r="J1462" i="2" a="1"/>
  <c r="J1462" i="2" s="1"/>
  <c r="J1470" i="2" a="1"/>
  <c r="J1470" i="2" s="1"/>
  <c r="J1477" i="2" a="1"/>
  <c r="J1477" i="2" s="1"/>
  <c r="J1485" i="2" a="1"/>
  <c r="J1485" i="2" s="1"/>
  <c r="J1493" i="2" a="1"/>
  <c r="J1493" i="2" s="1"/>
  <c r="J1501" i="2" a="1"/>
  <c r="J1501" i="2" s="1"/>
  <c r="J1509" i="2" a="1"/>
  <c r="J1509" i="2" s="1"/>
  <c r="J1519" i="2" a="1"/>
  <c r="J1519" i="2" s="1"/>
  <c r="J1527" i="2" a="1"/>
  <c r="J1527" i="2" s="1"/>
  <c r="J1545" i="2" a="1"/>
  <c r="J1545" i="2" s="1"/>
  <c r="J1553" i="2" a="1"/>
  <c r="J1553" i="2" s="1"/>
  <c r="J1571" i="2" a="1"/>
  <c r="J1571" i="2" s="1"/>
  <c r="J1580" i="2" a="1"/>
  <c r="J1580" i="2" s="1"/>
  <c r="J1590" i="2" a="1"/>
  <c r="J1590" i="2" s="1"/>
  <c r="J1610" i="2" a="1"/>
  <c r="J1610" i="2" s="1"/>
  <c r="J1618" i="2" a="1"/>
  <c r="J1618" i="2" s="1"/>
  <c r="J1627" i="2" a="1"/>
  <c r="J1627" i="2" s="1"/>
  <c r="J1636" i="2" a="1"/>
  <c r="J1636" i="2" s="1"/>
  <c r="J1646" i="2" a="1"/>
  <c r="J1646" i="2" s="1"/>
  <c r="J1654" i="2" a="1"/>
  <c r="J1654" i="2" s="1"/>
  <c r="J1662" i="2" a="1"/>
  <c r="J1662" i="2" s="1"/>
  <c r="J1682" i="2" a="1"/>
  <c r="J1682" i="2" s="1"/>
  <c r="J1691" i="2" a="1"/>
  <c r="J1691" i="2" s="1"/>
  <c r="J1700" i="2" a="1"/>
  <c r="J1700" i="2" s="1"/>
  <c r="J1708" i="2" a="1"/>
  <c r="J1708" i="2" s="1"/>
  <c r="J1719" i="2" a="1"/>
  <c r="J1719" i="2" s="1"/>
  <c r="J1727" i="2" a="1"/>
  <c r="J1727" i="2" s="1"/>
  <c r="J1735" i="2" a="1"/>
  <c r="J1735" i="2" s="1"/>
  <c r="J1744" i="2" a="1"/>
  <c r="J1744" i="2" s="1"/>
  <c r="J1754" i="2" a="1"/>
  <c r="J1754" i="2" s="1"/>
  <c r="J1763" i="2" a="1"/>
  <c r="J1763" i="2" s="1"/>
  <c r="J1771" i="2" a="1"/>
  <c r="J1771" i="2" s="1"/>
  <c r="J1780" i="2" a="1"/>
  <c r="J1780" i="2" s="1"/>
  <c r="J1789" i="2" a="1"/>
  <c r="J1789" i="2" s="1"/>
  <c r="J1798" i="2" a="1"/>
  <c r="J1798" i="2" s="1"/>
  <c r="J1806" i="2" a="1"/>
  <c r="J1806" i="2" s="1"/>
  <c r="J1814" i="2" a="1"/>
  <c r="J1814" i="2" s="1"/>
  <c r="J1836" i="2" a="1"/>
  <c r="J1836" i="2" s="1"/>
  <c r="J1844" i="2" a="1"/>
  <c r="J1844" i="2" s="1"/>
  <c r="J1853" i="2" a="1"/>
  <c r="J1853" i="2" s="1"/>
  <c r="J1869" i="2" a="1"/>
  <c r="J1869" i="2" s="1"/>
  <c r="J16" i="2" a="1"/>
  <c r="J16" i="2" s="1"/>
  <c r="J60" i="2" a="1"/>
  <c r="J60" i="2" s="1"/>
  <c r="J104" i="2" a="1"/>
  <c r="J104" i="2" s="1"/>
  <c r="J138" i="2" a="1"/>
  <c r="J138" i="2" s="1"/>
  <c r="J171" i="2" a="1"/>
  <c r="J171" i="2" s="1"/>
  <c r="J205" i="2" a="1"/>
  <c r="J205" i="2" s="1"/>
  <c r="J237" i="2" a="1"/>
  <c r="J237" i="2" s="1"/>
  <c r="J270" i="2" a="1"/>
  <c r="J270" i="2" s="1"/>
  <c r="J303" i="2" a="1"/>
  <c r="J303" i="2" s="1"/>
  <c r="J336" i="2" a="1"/>
  <c r="J336" i="2" s="1"/>
  <c r="J369" i="2" a="1"/>
  <c r="J369" i="2" s="1"/>
  <c r="J403" i="2" a="1"/>
  <c r="J403" i="2" s="1"/>
  <c r="J437" i="2" a="1"/>
  <c r="J437" i="2" s="1"/>
  <c r="J470" i="2" a="1"/>
  <c r="J470" i="2" s="1"/>
  <c r="J503" i="2" a="1"/>
  <c r="J503" i="2" s="1"/>
  <c r="J556" i="2" a="1"/>
  <c r="J556" i="2" s="1"/>
  <c r="J588" i="2" a="1"/>
  <c r="J588" i="2" s="1"/>
  <c r="J622" i="2" a="1"/>
  <c r="J622" i="2" s="1"/>
  <c r="J655" i="2" a="1"/>
  <c r="J655" i="2" s="1"/>
  <c r="J677" i="2" a="1"/>
  <c r="J677" i="2" s="1"/>
  <c r="J692" i="2" a="1"/>
  <c r="J692" i="2" s="1"/>
  <c r="J715" i="2" a="1"/>
  <c r="J715" i="2" s="1"/>
  <c r="J727" i="2" a="1"/>
  <c r="J727" i="2" s="1"/>
  <c r="J738" i="2" a="1"/>
  <c r="J738" i="2" s="1"/>
  <c r="J749" i="2" a="1"/>
  <c r="J749" i="2" s="1"/>
  <c r="J760" i="2" a="1"/>
  <c r="J760" i="2" s="1"/>
  <c r="J772" i="2" a="1"/>
  <c r="J772" i="2" s="1"/>
  <c r="J783" i="2" a="1"/>
  <c r="J783" i="2" s="1"/>
  <c r="J794" i="2" a="1"/>
  <c r="J794" i="2" s="1"/>
  <c r="J805" i="2" a="1"/>
  <c r="J805" i="2" s="1"/>
  <c r="J817" i="2" a="1"/>
  <c r="J817" i="2" s="1"/>
  <c r="J827" i="2" a="1"/>
  <c r="J827" i="2" s="1"/>
  <c r="J839" i="2" a="1"/>
  <c r="J839" i="2" s="1"/>
  <c r="J851" i="2" a="1"/>
  <c r="J851" i="2" s="1"/>
  <c r="J861" i="2" a="1"/>
  <c r="J861" i="2" s="1"/>
  <c r="J884" i="2" a="1"/>
  <c r="J884" i="2" s="1"/>
  <c r="J895" i="2" a="1"/>
  <c r="J895" i="2" s="1"/>
  <c r="J906" i="2" a="1"/>
  <c r="J906" i="2" s="1"/>
  <c r="J918" i="2" a="1"/>
  <c r="J918" i="2" s="1"/>
  <c r="J928" i="2" a="1"/>
  <c r="J928" i="2" s="1"/>
  <c r="J939" i="2" a="1"/>
  <c r="J939" i="2" s="1"/>
  <c r="J950" i="2" a="1"/>
  <c r="J950" i="2" s="1"/>
  <c r="J960" i="2" a="1"/>
  <c r="J960" i="2" s="1"/>
  <c r="J970" i="2" a="1"/>
  <c r="J970" i="2" s="1"/>
  <c r="J978" i="2" a="1"/>
  <c r="J978" i="2" s="1"/>
  <c r="J987" i="2" a="1"/>
  <c r="J987" i="2" s="1"/>
  <c r="J996" i="2" a="1"/>
  <c r="J996" i="2" s="1"/>
  <c r="J1005" i="2" a="1"/>
  <c r="J1005" i="2" s="1"/>
  <c r="J1014" i="2" a="1"/>
  <c r="J1014" i="2" s="1"/>
  <c r="J1023" i="2" a="1"/>
  <c r="J1023" i="2" s="1"/>
  <c r="J1033" i="2" a="1"/>
  <c r="J1033" i="2" s="1"/>
  <c r="J1043" i="2" a="1"/>
  <c r="J1043" i="2" s="1"/>
  <c r="J1054" i="2" a="1"/>
  <c r="J1054" i="2" s="1"/>
  <c r="J1065" i="2" a="1"/>
  <c r="J1065" i="2" s="1"/>
  <c r="J1076" i="2" a="1"/>
  <c r="J1076" i="2" s="1"/>
  <c r="J1088" i="2" a="1"/>
  <c r="J1088" i="2" s="1"/>
  <c r="J1099" i="2" a="1"/>
  <c r="J1099" i="2" s="1"/>
  <c r="J1109" i="2" a="1"/>
  <c r="J1109" i="2" s="1"/>
  <c r="J1120" i="2" a="1"/>
  <c r="J1120" i="2" s="1"/>
  <c r="J1142" i="2" a="1"/>
  <c r="J1142" i="2" s="1"/>
  <c r="J1154" i="2" a="1"/>
  <c r="J1154" i="2" s="1"/>
  <c r="J1165" i="2" a="1"/>
  <c r="J1165" i="2" s="1"/>
  <c r="J1176" i="2" a="1"/>
  <c r="J1176" i="2" s="1"/>
  <c r="J1186" i="2" a="1"/>
  <c r="J1186" i="2" s="1"/>
  <c r="J1198" i="2" a="1"/>
  <c r="J1198" i="2" s="1"/>
  <c r="J1209" i="2" a="1"/>
  <c r="J1209" i="2" s="1"/>
  <c r="J1220" i="2" a="1"/>
  <c r="J1220" i="2" s="1"/>
  <c r="J1231" i="2" a="1"/>
  <c r="J1231" i="2" s="1"/>
  <c r="J1242" i="2" a="1"/>
  <c r="J1242" i="2" s="1"/>
  <c r="J1252" i="2" a="1"/>
  <c r="J1252" i="2" s="1"/>
  <c r="J1263" i="2" a="1"/>
  <c r="J1263" i="2" s="1"/>
  <c r="J1275" i="2" a="1"/>
  <c r="J1275" i="2" s="1"/>
  <c r="J1285" i="2" a="1"/>
  <c r="J1285" i="2" s="1"/>
  <c r="J1296" i="2" a="1"/>
  <c r="J1296" i="2" s="1"/>
  <c r="J1306" i="2" a="1"/>
  <c r="J1306" i="2" s="1"/>
  <c r="J1328" i="2" a="1"/>
  <c r="J1328" i="2" s="1"/>
  <c r="J1339" i="2" a="1"/>
  <c r="J1339" i="2" s="1"/>
  <c r="J1350" i="2" a="1"/>
  <c r="J1350" i="2" s="1"/>
  <c r="J1448" i="2" a="1"/>
  <c r="J1448" i="2" s="1"/>
  <c r="J1478" i="2" a="1"/>
  <c r="J1478" i="2" s="1"/>
  <c r="J1486" i="2" a="1"/>
  <c r="J1486" i="2" s="1"/>
  <c r="J1494" i="2" a="1"/>
  <c r="J1494" i="2" s="1"/>
  <c r="J1510" i="2" a="1"/>
  <c r="J1510" i="2" s="1"/>
  <c r="J1536" i="2" a="1"/>
  <c r="J1536" i="2" s="1"/>
  <c r="J1562" i="2" a="1"/>
  <c r="J1562" i="2" s="1"/>
  <c r="J1581" i="2" a="1"/>
  <c r="J1581" i="2" s="1"/>
  <c r="J1591" i="2" a="1"/>
  <c r="J1591" i="2" s="1"/>
  <c r="J17" i="2" a="1"/>
  <c r="J17" i="2" s="1"/>
  <c r="J61" i="2" a="1"/>
  <c r="J61" i="2" s="1"/>
  <c r="J105" i="2" a="1"/>
  <c r="J105" i="2" s="1"/>
  <c r="J139" i="2" a="1"/>
  <c r="J139" i="2" s="1"/>
  <c r="J172" i="2" a="1"/>
  <c r="J172" i="2" s="1"/>
  <c r="J238" i="2" a="1"/>
  <c r="J238" i="2" s="1"/>
  <c r="J271" i="2" a="1"/>
  <c r="J271" i="2" s="1"/>
  <c r="J304" i="2" a="1"/>
  <c r="J304" i="2" s="1"/>
  <c r="J337" i="2" a="1"/>
  <c r="J337" i="2" s="1"/>
  <c r="J370" i="2" a="1"/>
  <c r="J370" i="2" s="1"/>
  <c r="J438" i="2" a="1"/>
  <c r="J438" i="2" s="1"/>
  <c r="J471" i="2" a="1"/>
  <c r="J471" i="2" s="1"/>
  <c r="J504" i="2" a="1"/>
  <c r="J504" i="2" s="1"/>
  <c r="J530" i="2" a="1"/>
  <c r="J530" i="2" s="1"/>
  <c r="J589" i="2" a="1"/>
  <c r="J589" i="2" s="1"/>
  <c r="J623" i="2" a="1"/>
  <c r="J623" i="2" s="1"/>
  <c r="J656" i="2" a="1"/>
  <c r="J656" i="2" s="1"/>
  <c r="J678" i="2" a="1"/>
  <c r="J678" i="2" s="1"/>
  <c r="J694" i="2" a="1"/>
  <c r="J694" i="2" s="1"/>
  <c r="J705" i="2" a="1"/>
  <c r="J705" i="2" s="1"/>
  <c r="J716" i="2" a="1"/>
  <c r="J716" i="2" s="1"/>
  <c r="J728" i="2" a="1"/>
  <c r="J728" i="2" s="1"/>
  <c r="J739" i="2" a="1"/>
  <c r="J739" i="2" s="1"/>
  <c r="J750" i="2" a="1"/>
  <c r="J750" i="2" s="1"/>
  <c r="J761" i="2" a="1"/>
  <c r="J761" i="2" s="1"/>
  <c r="J773" i="2" a="1"/>
  <c r="J773" i="2" s="1"/>
  <c r="J784" i="2" a="1"/>
  <c r="J784" i="2" s="1"/>
  <c r="J795" i="2" a="1"/>
  <c r="J795" i="2" s="1"/>
  <c r="J806" i="2" a="1"/>
  <c r="J806" i="2" s="1"/>
  <c r="J818" i="2" a="1"/>
  <c r="J818" i="2" s="1"/>
  <c r="J828" i="2" a="1"/>
  <c r="J828" i="2" s="1"/>
  <c r="J840" i="2" a="1"/>
  <c r="J840" i="2" s="1"/>
  <c r="J852" i="2" a="1"/>
  <c r="J852" i="2" s="1"/>
  <c r="J862" i="2" a="1"/>
  <c r="J862" i="2" s="1"/>
  <c r="J873" i="2" a="1"/>
  <c r="J873" i="2" s="1"/>
  <c r="J885" i="2" a="1"/>
  <c r="J885" i="2" s="1"/>
  <c r="J896" i="2" a="1"/>
  <c r="J896" i="2" s="1"/>
  <c r="J907" i="2" a="1"/>
  <c r="J907" i="2" s="1"/>
  <c r="J919" i="2" a="1"/>
  <c r="J919" i="2" s="1"/>
  <c r="J929" i="2" a="1"/>
  <c r="J929" i="2" s="1"/>
  <c r="J940" i="2" a="1"/>
  <c r="J940" i="2" s="1"/>
  <c r="J951" i="2" a="1"/>
  <c r="J951" i="2" s="1"/>
  <c r="J961" i="2" a="1"/>
  <c r="J961" i="2" s="1"/>
  <c r="J979" i="2" a="1"/>
  <c r="J979" i="2" s="1"/>
  <c r="J1034" i="2" a="1"/>
  <c r="J1034" i="2" s="1"/>
  <c r="J1044" i="2" a="1"/>
  <c r="J1044" i="2" s="1"/>
  <c r="J1055" i="2" a="1"/>
  <c r="J1055" i="2" s="1"/>
  <c r="J1077" i="2" a="1"/>
  <c r="J1077" i="2" s="1"/>
  <c r="J1089" i="2" a="1"/>
  <c r="J1089" i="2" s="1"/>
  <c r="J1100" i="2" a="1"/>
  <c r="J1100" i="2" s="1"/>
  <c r="J1110" i="2" a="1"/>
  <c r="J1110" i="2" s="1"/>
  <c r="J1121" i="2" a="1"/>
  <c r="J1121" i="2" s="1"/>
  <c r="J1132" i="2" a="1"/>
  <c r="J1132" i="2" s="1"/>
  <c r="J1143" i="2" a="1"/>
  <c r="J1143" i="2" s="1"/>
  <c r="J1155" i="2" a="1"/>
  <c r="J1155" i="2" s="1"/>
  <c r="J1166" i="2" a="1"/>
  <c r="J1166" i="2" s="1"/>
  <c r="J1177" i="2" a="1"/>
  <c r="J1177" i="2" s="1"/>
  <c r="J1187" i="2" a="1"/>
  <c r="J1187" i="2" s="1"/>
  <c r="J1199" i="2" a="1"/>
  <c r="J1199" i="2" s="1"/>
  <c r="J1221" i="2" a="1"/>
  <c r="J1221" i="2" s="1"/>
  <c r="J1232" i="2" a="1"/>
  <c r="J1232" i="2" s="1"/>
  <c r="J1243" i="2" a="1"/>
  <c r="J1243" i="2" s="1"/>
  <c r="J1253" i="2" a="1"/>
  <c r="J1253" i="2" s="1"/>
  <c r="J1264" i="2" a="1"/>
  <c r="J1264" i="2" s="1"/>
  <c r="J1286" i="2" a="1"/>
  <c r="J1286" i="2" s="1"/>
  <c r="J1297" i="2" a="1"/>
  <c r="J1297" i="2" s="1"/>
  <c r="J1307" i="2" a="1"/>
  <c r="J1307" i="2" s="1"/>
  <c r="J1318" i="2" a="1"/>
  <c r="J1318" i="2" s="1"/>
  <c r="J1329" i="2" a="1"/>
  <c r="J1329" i="2" s="1"/>
  <c r="J1340" i="2" a="1"/>
  <c r="J1340" i="2" s="1"/>
  <c r="J1351" i="2" a="1"/>
  <c r="J1351" i="2" s="1"/>
  <c r="J1360" i="2" a="1"/>
  <c r="J1360" i="2" s="1"/>
  <c r="J1369" i="2" a="1"/>
  <c r="J1369" i="2" s="1"/>
  <c r="J1378" i="2" a="1"/>
  <c r="J1378" i="2" s="1"/>
  <c r="J1387" i="2" a="1"/>
  <c r="J1387" i="2" s="1"/>
  <c r="J1396" i="2" a="1"/>
  <c r="J1396" i="2" s="1"/>
  <c r="J1405" i="2" a="1"/>
  <c r="J1405" i="2" s="1"/>
  <c r="J1414" i="2" a="1"/>
  <c r="J1414" i="2" s="1"/>
  <c r="J1423" i="2" a="1"/>
  <c r="J1423" i="2" s="1"/>
  <c r="J1432" i="2" a="1"/>
  <c r="J1432" i="2" s="1"/>
  <c r="J1441" i="2" a="1"/>
  <c r="J1441" i="2" s="1"/>
  <c r="J1449" i="2" a="1"/>
  <c r="J1449" i="2" s="1"/>
  <c r="J1456" i="2" a="1"/>
  <c r="J1456" i="2" s="1"/>
  <c r="J1463" i="2" a="1"/>
  <c r="J1463" i="2" s="1"/>
  <c r="J1471" i="2" a="1"/>
  <c r="J1471" i="2" s="1"/>
  <c r="J1479" i="2" a="1"/>
  <c r="J1479" i="2" s="1"/>
  <c r="J1502" i="2" a="1"/>
  <c r="J1502" i="2" s="1"/>
  <c r="J1511" i="2" a="1"/>
  <c r="J1511" i="2" s="1"/>
  <c r="J1520" i="2" a="1"/>
  <c r="J1520" i="2" s="1"/>
  <c r="J1528" i="2" a="1"/>
  <c r="J1528" i="2" s="1"/>
  <c r="J1537" i="2" a="1"/>
  <c r="J1537" i="2" s="1"/>
  <c r="J1546" i="2" a="1"/>
  <c r="J1546" i="2" s="1"/>
  <c r="J1554" i="2" a="1"/>
  <c r="J1554" i="2" s="1"/>
  <c r="J1563" i="2" a="1"/>
  <c r="J1563" i="2" s="1"/>
  <c r="J1572" i="2" a="1"/>
  <c r="J1572" i="2" s="1"/>
  <c r="J1582" i="2" a="1"/>
  <c r="J1582" i="2" s="1"/>
  <c r="J1601" i="2" a="1"/>
  <c r="J1601" i="2" s="1"/>
  <c r="J1612" i="2" a="1"/>
  <c r="J1612" i="2" s="1"/>
  <c r="J1647" i="2" a="1"/>
  <c r="J1647" i="2" s="1"/>
  <c r="J1664" i="2" a="1"/>
  <c r="J1664" i="2" s="1"/>
  <c r="J1673" i="2" a="1"/>
  <c r="J1673" i="2" s="1"/>
  <c r="J1684" i="2" a="1"/>
  <c r="J1684" i="2" s="1"/>
  <c r="J1692" i="2" a="1"/>
  <c r="J1692" i="2" s="1"/>
  <c r="J1701" i="2" a="1"/>
  <c r="J1701" i="2" s="1"/>
  <c r="J1710" i="2" a="1"/>
  <c r="J1710" i="2" s="1"/>
  <c r="J1721" i="2" a="1"/>
  <c r="J1721" i="2" s="1"/>
  <c r="J1728" i="2" a="1"/>
  <c r="J1728" i="2" s="1"/>
  <c r="J1746" i="2" a="1"/>
  <c r="J1746" i="2" s="1"/>
  <c r="J1756" i="2" a="1"/>
  <c r="J1756" i="2" s="1"/>
  <c r="J1764" i="2" a="1"/>
  <c r="J1764" i="2" s="1"/>
  <c r="J1782" i="2" a="1"/>
  <c r="J1782" i="2" s="1"/>
  <c r="J1791" i="2" a="1"/>
  <c r="J1791" i="2" s="1"/>
  <c r="J1807" i="2" a="1"/>
  <c r="J1807" i="2" s="1"/>
  <c r="J1815" i="2" a="1"/>
  <c r="J1815" i="2" s="1"/>
  <c r="J1822" i="2" a="1"/>
  <c r="J1822" i="2" s="1"/>
  <c r="J1838" i="2" a="1"/>
  <c r="J1838" i="2" s="1"/>
  <c r="J1845" i="2" a="1"/>
  <c r="J1845" i="2" s="1"/>
  <c r="J1854" i="2" a="1"/>
  <c r="J1854" i="2" s="1"/>
  <c r="J1861" i="2" a="1"/>
  <c r="J1861" i="2" s="1"/>
  <c r="J26" i="2" a="1"/>
  <c r="J26" i="2" s="1"/>
  <c r="J71" i="2" a="1"/>
  <c r="J71" i="2" s="1"/>
  <c r="J113" i="2" a="1"/>
  <c r="J113" i="2" s="1"/>
  <c r="J147" i="2" a="1"/>
  <c r="J147" i="2" s="1"/>
  <c r="J180" i="2" a="1"/>
  <c r="J180" i="2" s="1"/>
  <c r="J213" i="2" a="1"/>
  <c r="J213" i="2" s="1"/>
  <c r="J245" i="2" a="1"/>
  <c r="J245" i="2" s="1"/>
  <c r="J278" i="2" a="1"/>
  <c r="J278" i="2" s="1"/>
  <c r="J311" i="2" a="1"/>
  <c r="J311" i="2" s="1"/>
  <c r="J344" i="2" a="1"/>
  <c r="J344" i="2" s="1"/>
  <c r="J377" i="2" a="1"/>
  <c r="J377" i="2" s="1"/>
  <c r="J410" i="2" a="1"/>
  <c r="J410" i="2" s="1"/>
  <c r="J445" i="2" a="1"/>
  <c r="J445" i="2" s="1"/>
  <c r="J478" i="2" a="1"/>
  <c r="J478" i="2" s="1"/>
  <c r="J536" i="2" a="1"/>
  <c r="J536" i="2" s="1"/>
  <c r="J563" i="2" a="1"/>
  <c r="J563" i="2" s="1"/>
  <c r="J597" i="2" a="1"/>
  <c r="J597" i="2" s="1"/>
  <c r="J631" i="2" a="1"/>
  <c r="J631" i="2" s="1"/>
  <c r="J663" i="2" a="1"/>
  <c r="J663" i="2" s="1"/>
  <c r="J680" i="2" a="1"/>
  <c r="J680" i="2" s="1"/>
  <c r="J695" i="2" a="1"/>
  <c r="J695" i="2" s="1"/>
  <c r="J706" i="2" a="1"/>
  <c r="J706" i="2" s="1"/>
  <c r="J717" i="2" a="1"/>
  <c r="J717" i="2" s="1"/>
  <c r="J740" i="2" a="1"/>
  <c r="J740" i="2" s="1"/>
  <c r="J751" i="2" a="1"/>
  <c r="J751" i="2" s="1"/>
  <c r="J762" i="2" a="1"/>
  <c r="J762" i="2" s="1"/>
  <c r="J774" i="2" a="1"/>
  <c r="J774" i="2" s="1"/>
  <c r="J785" i="2" a="1"/>
  <c r="J785" i="2" s="1"/>
  <c r="J796" i="2" a="1"/>
  <c r="J796" i="2" s="1"/>
  <c r="J807" i="2" a="1"/>
  <c r="J807" i="2" s="1"/>
  <c r="J829" i="2" a="1"/>
  <c r="J829" i="2" s="1"/>
  <c r="J841" i="2" a="1"/>
  <c r="J841" i="2" s="1"/>
  <c r="J853" i="2" a="1"/>
  <c r="J853" i="2" s="1"/>
  <c r="J863" i="2" a="1"/>
  <c r="J863" i="2" s="1"/>
  <c r="J874" i="2" a="1"/>
  <c r="J874" i="2" s="1"/>
  <c r="J886" i="2" a="1"/>
  <c r="J886" i="2" s="1"/>
  <c r="J908" i="2" a="1"/>
  <c r="J908" i="2" s="1"/>
  <c r="J920" i="2" a="1"/>
  <c r="J920" i="2" s="1"/>
  <c r="J930" i="2" a="1"/>
  <c r="J930" i="2" s="1"/>
  <c r="J941" i="2" a="1"/>
  <c r="J941" i="2" s="1"/>
  <c r="J952" i="2" a="1"/>
  <c r="J952" i="2" s="1"/>
  <c r="J971" i="2" a="1"/>
  <c r="J971" i="2" s="1"/>
  <c r="J988" i="2" a="1"/>
  <c r="J988" i="2" s="1"/>
  <c r="J997" i="2" a="1"/>
  <c r="J997" i="2" s="1"/>
  <c r="J1006" i="2" a="1"/>
  <c r="J1006" i="2" s="1"/>
  <c r="J1015" i="2" a="1"/>
  <c r="J1015" i="2" s="1"/>
  <c r="J1024" i="2" a="1"/>
  <c r="J1024" i="2" s="1"/>
  <c r="J1035" i="2" a="1"/>
  <c r="J1035" i="2" s="1"/>
  <c r="J1045" i="2" a="1"/>
  <c r="J1045" i="2" s="1"/>
  <c r="J1056" i="2" a="1"/>
  <c r="J1056" i="2" s="1"/>
  <c r="J1066" i="2" a="1"/>
  <c r="J1066" i="2" s="1"/>
  <c r="J1078" i="2" a="1"/>
  <c r="J1078" i="2" s="1"/>
  <c r="J1101" i="2" a="1"/>
  <c r="J1101" i="2" s="1"/>
  <c r="J1111" i="2" a="1"/>
  <c r="J1111" i="2" s="1"/>
  <c r="J1122" i="2" a="1"/>
  <c r="J1122" i="2" s="1"/>
  <c r="J1133" i="2" a="1"/>
  <c r="J1133" i="2" s="1"/>
  <c r="J1144" i="2" a="1"/>
  <c r="J1144" i="2" s="1"/>
  <c r="J1156" i="2" a="1"/>
  <c r="J1156" i="2" s="1"/>
  <c r="J1167" i="2" a="1"/>
  <c r="J1167" i="2" s="1"/>
  <c r="J1178" i="2" a="1"/>
  <c r="J1178" i="2" s="1"/>
  <c r="J1188" i="2" a="1"/>
  <c r="J1188" i="2" s="1"/>
  <c r="J1200" i="2" a="1"/>
  <c r="J1200" i="2" s="1"/>
  <c r="J1210" i="2" a="1"/>
  <c r="J1210" i="2" s="1"/>
  <c r="J1233" i="2" a="1"/>
  <c r="J1233" i="2" s="1"/>
  <c r="J1244" i="2" a="1"/>
  <c r="J1244" i="2" s="1"/>
  <c r="J1254" i="2" a="1"/>
  <c r="J1254" i="2" s="1"/>
  <c r="J1265" i="2" a="1"/>
  <c r="J1265" i="2" s="1"/>
  <c r="J1276" i="2" a="1"/>
  <c r="J1276" i="2" s="1"/>
  <c r="J1287" i="2" a="1"/>
  <c r="J1287" i="2" s="1"/>
  <c r="J1298" i="2" a="1"/>
  <c r="J1298" i="2" s="1"/>
  <c r="J1308" i="2" a="1"/>
  <c r="J1308" i="2" s="1"/>
  <c r="J1319" i="2" a="1"/>
  <c r="J1319" i="2" s="1"/>
  <c r="J1341" i="2" a="1"/>
  <c r="J1341" i="2" s="1"/>
  <c r="J1352" i="2" a="1"/>
  <c r="J1352" i="2" s="1"/>
  <c r="J1361" i="2" a="1"/>
  <c r="J1361" i="2" s="1"/>
  <c r="J1370" i="2" a="1"/>
  <c r="J1370" i="2" s="1"/>
  <c r="J1379" i="2" a="1"/>
  <c r="J1379" i="2" s="1"/>
  <c r="J1388" i="2" a="1"/>
  <c r="J1388" i="2" s="1"/>
  <c r="J1397" i="2" a="1"/>
  <c r="J1397" i="2" s="1"/>
  <c r="J1406" i="2" a="1"/>
  <c r="J1406" i="2" s="1"/>
  <c r="J1415" i="2" a="1"/>
  <c r="J1415" i="2" s="1"/>
  <c r="J1424" i="2" a="1"/>
  <c r="J1424" i="2" s="1"/>
  <c r="J1433" i="2" a="1"/>
  <c r="J1433" i="2" s="1"/>
  <c r="J1442" i="2" a="1"/>
  <c r="J1442" i="2" s="1"/>
  <c r="J1464" i="2" a="1"/>
  <c r="J1464" i="2" s="1"/>
  <c r="J1480" i="2" a="1"/>
  <c r="J1480" i="2" s="1"/>
  <c r="J1487" i="2" a="1"/>
  <c r="J1487" i="2" s="1"/>
  <c r="J1495" i="2" a="1"/>
  <c r="J1495" i="2" s="1"/>
  <c r="J1503" i="2" a="1"/>
  <c r="J1503" i="2" s="1"/>
  <c r="J1521" i="2" a="1"/>
  <c r="J1521" i="2" s="1"/>
  <c r="J1529" i="2" a="1"/>
  <c r="J1529" i="2" s="1"/>
  <c r="J1547" i="2" a="1"/>
  <c r="J1547" i="2" s="1"/>
  <c r="J1555" i="2" a="1"/>
  <c r="J1555" i="2" s="1"/>
  <c r="J1564" i="2" a="1"/>
  <c r="J1564" i="2" s="1"/>
  <c r="J1573" i="2" a="1"/>
  <c r="J1573" i="2" s="1"/>
  <c r="J1583" i="2" a="1"/>
  <c r="J1583" i="2" s="1"/>
  <c r="J27" i="2" a="1"/>
  <c r="J27" i="2" s="1"/>
  <c r="J72" i="2" a="1"/>
  <c r="J72" i="2" s="1"/>
  <c r="J115" i="2" a="1"/>
  <c r="J115" i="2" s="1"/>
  <c r="J149" i="2" a="1"/>
  <c r="J149" i="2" s="1"/>
  <c r="J182" i="2" a="1"/>
  <c r="J182" i="2" s="1"/>
  <c r="J215" i="2" a="1"/>
  <c r="J215" i="2" s="1"/>
  <c r="J247" i="2" a="1"/>
  <c r="J247" i="2" s="1"/>
  <c r="J280" i="2" a="1"/>
  <c r="J280" i="2" s="1"/>
  <c r="J313" i="2" a="1"/>
  <c r="J313" i="2" s="1"/>
  <c r="J346" i="2" a="1"/>
  <c r="J346" i="2" s="1"/>
  <c r="J379" i="2" a="1"/>
  <c r="J379" i="2" s="1"/>
  <c r="J412" i="2" a="1"/>
  <c r="J412" i="2" s="1"/>
  <c r="J446" i="2" a="1"/>
  <c r="J446" i="2" s="1"/>
  <c r="J480" i="2" a="1"/>
  <c r="J480" i="2" s="1"/>
  <c r="J538" i="2" a="1"/>
  <c r="J538" i="2" s="1"/>
  <c r="J565" i="2" a="1"/>
  <c r="J565" i="2" s="1"/>
  <c r="J599" i="2" a="1"/>
  <c r="J599" i="2" s="1"/>
  <c r="J665" i="2" a="1"/>
  <c r="J665" i="2" s="1"/>
  <c r="J696" i="2" a="1"/>
  <c r="J696" i="2" s="1"/>
  <c r="J707" i="2" a="1"/>
  <c r="J707" i="2" s="1"/>
  <c r="J718" i="2" a="1"/>
  <c r="J718" i="2" s="1"/>
  <c r="J729" i="2" a="1"/>
  <c r="J729" i="2" s="1"/>
  <c r="J741" i="2" a="1"/>
  <c r="J741" i="2" s="1"/>
  <c r="J752" i="2" a="1"/>
  <c r="J752" i="2" s="1"/>
  <c r="J763" i="2" a="1"/>
  <c r="J763" i="2" s="1"/>
  <c r="J775" i="2" a="1"/>
  <c r="J775" i="2" s="1"/>
  <c r="J786" i="2" a="1"/>
  <c r="J786" i="2" s="1"/>
  <c r="J797" i="2" a="1"/>
  <c r="J797" i="2" s="1"/>
  <c r="J808" i="2" a="1"/>
  <c r="J808" i="2" s="1"/>
  <c r="J819" i="2" a="1"/>
  <c r="J819" i="2" s="1"/>
  <c r="J830" i="2" a="1"/>
  <c r="J830" i="2" s="1"/>
  <c r="J842" i="2" a="1"/>
  <c r="J842" i="2" s="1"/>
  <c r="J854" i="2" a="1"/>
  <c r="J854" i="2" s="1"/>
  <c r="J864" i="2" a="1"/>
  <c r="J864" i="2" s="1"/>
  <c r="J875" i="2" a="1"/>
  <c r="J875" i="2" s="1"/>
  <c r="J887" i="2" a="1"/>
  <c r="J887" i="2" s="1"/>
  <c r="J897" i="2" a="1"/>
  <c r="J897" i="2" s="1"/>
  <c r="J909" i="2" a="1"/>
  <c r="J909" i="2" s="1"/>
  <c r="J931" i="2" a="1"/>
  <c r="J931" i="2" s="1"/>
  <c r="J942" i="2" a="1"/>
  <c r="J942" i="2" s="1"/>
  <c r="J953" i="2" a="1"/>
  <c r="J953" i="2" s="1"/>
  <c r="J962" i="2" a="1"/>
  <c r="J962" i="2" s="1"/>
  <c r="J972" i="2" a="1"/>
  <c r="J972" i="2" s="1"/>
  <c r="J980" i="2" a="1"/>
  <c r="J980" i="2" s="1"/>
  <c r="J989" i="2" a="1"/>
  <c r="J989" i="2" s="1"/>
  <c r="J998" i="2" a="1"/>
  <c r="J998" i="2" s="1"/>
  <c r="J1007" i="2" a="1"/>
  <c r="J1007" i="2" s="1"/>
  <c r="J1016" i="2" a="1"/>
  <c r="J1016" i="2" s="1"/>
  <c r="J1025" i="2" a="1"/>
  <c r="J1025" i="2" s="1"/>
  <c r="J1046" i="2" a="1"/>
  <c r="J1046" i="2" s="1"/>
  <c r="J1057" i="2" a="1"/>
  <c r="J1057" i="2" s="1"/>
  <c r="J1067" i="2" a="1"/>
  <c r="J1067" i="2" s="1"/>
  <c r="J1079" i="2" a="1"/>
  <c r="J1079" i="2" s="1"/>
  <c r="J1090" i="2" a="1"/>
  <c r="J1090" i="2" s="1"/>
  <c r="J1112" i="2" a="1"/>
  <c r="J1112" i="2" s="1"/>
  <c r="J1123" i="2" a="1"/>
  <c r="J1123" i="2" s="1"/>
  <c r="J1134" i="2" a="1"/>
  <c r="J1134" i="2" s="1"/>
  <c r="J1145" i="2" a="1"/>
  <c r="J1145" i="2" s="1"/>
  <c r="J1157" i="2" a="1"/>
  <c r="J1157" i="2" s="1"/>
  <c r="J1168" i="2" a="1"/>
  <c r="J1168" i="2" s="1"/>
  <c r="J1179" i="2" a="1"/>
  <c r="J1179" i="2" s="1"/>
  <c r="J1189" i="2" a="1"/>
  <c r="J1189" i="2" s="1"/>
  <c r="J1201" i="2" a="1"/>
  <c r="J1201" i="2" s="1"/>
  <c r="J1211" i="2" a="1"/>
  <c r="J1211" i="2" s="1"/>
  <c r="J1222" i="2" a="1"/>
  <c r="J1222" i="2" s="1"/>
  <c r="J28" i="2" a="1"/>
  <c r="J28" i="2" s="1"/>
  <c r="J73" i="2" a="1"/>
  <c r="J73" i="2" s="1"/>
  <c r="J150" i="2" a="1"/>
  <c r="J150" i="2" s="1"/>
  <c r="J183" i="2" a="1"/>
  <c r="J183" i="2" s="1"/>
  <c r="J216" i="2" a="1"/>
  <c r="J216" i="2" s="1"/>
  <c r="J248" i="2" a="1"/>
  <c r="J248" i="2" s="1"/>
  <c r="J281" i="2" a="1"/>
  <c r="J281" i="2" s="1"/>
  <c r="J347" i="2" a="1"/>
  <c r="J347" i="2" s="1"/>
  <c r="J380" i="2" a="1"/>
  <c r="J380" i="2" s="1"/>
  <c r="J413" i="2" a="1"/>
  <c r="J413" i="2" s="1"/>
  <c r="J447" i="2" a="1"/>
  <c r="J447" i="2" s="1"/>
  <c r="J481" i="2" a="1"/>
  <c r="J481" i="2" s="1"/>
  <c r="J513" i="2" a="1"/>
  <c r="J513" i="2" s="1"/>
  <c r="J566" i="2" a="1"/>
  <c r="J566" i="2" s="1"/>
  <c r="J600" i="2" a="1"/>
  <c r="J600" i="2" s="1"/>
  <c r="J633" i="2" a="1"/>
  <c r="J633" i="2" s="1"/>
  <c r="J666" i="2" a="1"/>
  <c r="J666" i="2" s="1"/>
  <c r="J683" i="2" a="1"/>
  <c r="J683" i="2" s="1"/>
  <c r="J697" i="2" a="1"/>
  <c r="J697" i="2" s="1"/>
  <c r="J708" i="2" a="1"/>
  <c r="J708" i="2" s="1"/>
  <c r="J719" i="2" a="1"/>
  <c r="J719" i="2" s="1"/>
  <c r="J730" i="2" a="1"/>
  <c r="J730" i="2" s="1"/>
  <c r="J742" i="2" a="1"/>
  <c r="J742" i="2" s="1"/>
  <c r="J764" i="2" a="1"/>
  <c r="J764" i="2" s="1"/>
  <c r="J776" i="2" a="1"/>
  <c r="J776" i="2" s="1"/>
  <c r="J787" i="2" a="1"/>
  <c r="J787" i="2" s="1"/>
  <c r="J798" i="2" a="1"/>
  <c r="J798" i="2" s="1"/>
  <c r="J809" i="2" a="1"/>
  <c r="J809" i="2" s="1"/>
  <c r="J820" i="2" a="1"/>
  <c r="J820" i="2" s="1"/>
  <c r="J831" i="2" a="1"/>
  <c r="J831" i="2" s="1"/>
  <c r="J843" i="2" a="1"/>
  <c r="J843" i="2" s="1"/>
  <c r="J865" i="2" a="1"/>
  <c r="J865" i="2" s="1"/>
  <c r="J876" i="2" a="1"/>
  <c r="J876" i="2" s="1"/>
  <c r="J888" i="2" a="1"/>
  <c r="J888" i="2" s="1"/>
  <c r="J898" i="2" a="1"/>
  <c r="J898" i="2" s="1"/>
  <c r="J910" i="2" a="1"/>
  <c r="J910" i="2" s="1"/>
  <c r="J921" i="2" a="1"/>
  <c r="J921" i="2" s="1"/>
  <c r="J932" i="2" a="1"/>
  <c r="J932" i="2" s="1"/>
  <c r="J943" i="2" a="1"/>
  <c r="J943" i="2" s="1"/>
  <c r="J954" i="2" a="1"/>
  <c r="J954" i="2" s="1"/>
  <c r="J963" i="2" a="1"/>
  <c r="J963" i="2" s="1"/>
  <c r="J973" i="2" a="1"/>
  <c r="J973" i="2" s="1"/>
  <c r="J990" i="2" a="1"/>
  <c r="J990" i="2" s="1"/>
  <c r="J999" i="2" a="1"/>
  <c r="J999" i="2" s="1"/>
  <c r="J1008" i="2" a="1"/>
  <c r="J1008" i="2" s="1"/>
  <c r="J1017" i="2" a="1"/>
  <c r="J1017" i="2" s="1"/>
  <c r="J1026" i="2" a="1"/>
  <c r="J1026" i="2" s="1"/>
  <c r="J1036" i="2" a="1"/>
  <c r="J1036" i="2" s="1"/>
  <c r="J1047" i="2" a="1"/>
  <c r="J1047" i="2" s="1"/>
  <c r="J1058" i="2" a="1"/>
  <c r="J1058" i="2" s="1"/>
  <c r="J1068" i="2" a="1"/>
  <c r="J1068" i="2" s="1"/>
  <c r="J1080" i="2" a="1"/>
  <c r="J1080" i="2" s="1"/>
  <c r="J1091" i="2" a="1"/>
  <c r="J1091" i="2" s="1"/>
  <c r="J1102" i="2" a="1"/>
  <c r="J1102" i="2" s="1"/>
  <c r="J1113" i="2" a="1"/>
  <c r="J1113" i="2" s="1"/>
  <c r="J1124" i="2" a="1"/>
  <c r="J1124" i="2" s="1"/>
  <c r="J1135" i="2" a="1"/>
  <c r="J1135" i="2" s="1"/>
  <c r="J1146" i="2" a="1"/>
  <c r="J1146" i="2" s="1"/>
  <c r="J1158" i="2" a="1"/>
  <c r="J1158" i="2" s="1"/>
  <c r="J1169" i="2" a="1"/>
  <c r="J1169" i="2" s="1"/>
  <c r="J1190" i="2" a="1"/>
  <c r="J1190" i="2" s="1"/>
  <c r="J1202" i="2" a="1"/>
  <c r="J1202" i="2" s="1"/>
  <c r="J1212" i="2" a="1"/>
  <c r="J1212" i="2" s="1"/>
  <c r="J1223" i="2" a="1"/>
  <c r="J1223" i="2" s="1"/>
  <c r="J1234" i="2" a="1"/>
  <c r="J1234" i="2" s="1"/>
  <c r="J1256" i="2" a="1"/>
  <c r="J1256" i="2" s="1"/>
  <c r="J1267" i="2" a="1"/>
  <c r="J1267" i="2" s="1"/>
  <c r="J1278" i="2" a="1"/>
  <c r="J1278" i="2" s="1"/>
  <c r="J1289" i="2" a="1"/>
  <c r="J1289" i="2" s="1"/>
  <c r="J1310" i="2" a="1"/>
  <c r="J1310" i="2" s="1"/>
  <c r="J1321" i="2" a="1"/>
  <c r="J1321" i="2" s="1"/>
  <c r="J1331" i="2" a="1"/>
  <c r="J1331" i="2" s="1"/>
  <c r="J1343" i="2" a="1"/>
  <c r="J1343" i="2" s="1"/>
  <c r="J1443" i="2" a="1"/>
  <c r="J1443" i="2" s="1"/>
  <c r="J1458" i="2" a="1"/>
  <c r="J1458" i="2" s="1"/>
  <c r="J1481" i="2" a="1"/>
  <c r="J1481" i="2" s="1"/>
  <c r="J1496" i="2" a="1"/>
  <c r="J1496" i="2" s="1"/>
  <c r="J1504" i="2" a="1"/>
  <c r="J1504" i="2" s="1"/>
  <c r="J1513" i="2" a="1"/>
  <c r="J1513" i="2" s="1"/>
  <c r="J1522" i="2" a="1"/>
  <c r="J1522" i="2" s="1"/>
  <c r="J1530" i="2" a="1"/>
  <c r="J1530" i="2" s="1"/>
  <c r="J1539" i="2" a="1"/>
  <c r="J1539" i="2" s="1"/>
  <c r="J1548" i="2" a="1"/>
  <c r="J1548" i="2" s="1"/>
  <c r="J1556" i="2" a="1"/>
  <c r="J1556" i="2" s="1"/>
  <c r="J1566" i="2" a="1"/>
  <c r="J1566" i="2" s="1"/>
  <c r="J38" i="2" a="1"/>
  <c r="J38" i="2" s="1"/>
  <c r="J82" i="2" a="1"/>
  <c r="J82" i="2" s="1"/>
  <c r="J116" i="2" a="1"/>
  <c r="J116" i="2" s="1"/>
  <c r="J151" i="2" a="1"/>
  <c r="J151" i="2" s="1"/>
  <c r="J184" i="2" a="1"/>
  <c r="J184" i="2" s="1"/>
  <c r="J217" i="2" a="1"/>
  <c r="J217" i="2" s="1"/>
  <c r="J249" i="2" a="1"/>
  <c r="J249" i="2" s="1"/>
  <c r="J282" i="2" a="1"/>
  <c r="J282" i="2" s="1"/>
  <c r="J314" i="2" a="1"/>
  <c r="J314" i="2" s="1"/>
  <c r="J348" i="2" a="1"/>
  <c r="J348" i="2" s="1"/>
  <c r="J381" i="2" a="1"/>
  <c r="J381" i="2" s="1"/>
  <c r="J414" i="2" a="1"/>
  <c r="J414" i="2" s="1"/>
  <c r="J448" i="2" a="1"/>
  <c r="J448" i="2" s="1"/>
  <c r="J514" i="2" a="1"/>
  <c r="J514" i="2" s="1"/>
  <c r="J539" i="2" a="1"/>
  <c r="J539" i="2" s="1"/>
  <c r="J601" i="2" a="1"/>
  <c r="J601" i="2" s="1"/>
  <c r="J634" i="2" a="1"/>
  <c r="J634" i="2" s="1"/>
  <c r="J667" i="2" a="1"/>
  <c r="J667" i="2" s="1"/>
  <c r="J684" i="2" a="1"/>
  <c r="J684" i="2" s="1"/>
  <c r="J698" i="2" a="1"/>
  <c r="J698" i="2" s="1"/>
  <c r="J709" i="2" a="1"/>
  <c r="J709" i="2" s="1"/>
  <c r="J720" i="2" a="1"/>
  <c r="J720" i="2" s="1"/>
  <c r="J731" i="2" a="1"/>
  <c r="J731" i="2" s="1"/>
  <c r="J743" i="2" a="1"/>
  <c r="J743" i="2" s="1"/>
  <c r="J753" i="2" a="1"/>
  <c r="J753" i="2" s="1"/>
  <c r="J765" i="2" a="1"/>
  <c r="J765" i="2" s="1"/>
  <c r="J777" i="2" a="1"/>
  <c r="J777" i="2" s="1"/>
  <c r="J788" i="2" a="1"/>
  <c r="J788" i="2" s="1"/>
  <c r="J799" i="2" a="1"/>
  <c r="J799" i="2" s="1"/>
  <c r="J810" i="2" a="1"/>
  <c r="J810" i="2" s="1"/>
  <c r="J821" i="2" a="1"/>
  <c r="J821" i="2" s="1"/>
  <c r="J832" i="2" a="1"/>
  <c r="J832" i="2" s="1"/>
  <c r="J844" i="2" a="1"/>
  <c r="J844" i="2" s="1"/>
  <c r="J855" i="2" a="1"/>
  <c r="J855" i="2" s="1"/>
  <c r="J866" i="2" a="1"/>
  <c r="J866" i="2" s="1"/>
  <c r="J40" i="2" a="1"/>
  <c r="J40" i="2" s="1"/>
  <c r="J84" i="2" a="1"/>
  <c r="J84" i="2" s="1"/>
  <c r="J125" i="2" a="1"/>
  <c r="J125" i="2" s="1"/>
  <c r="J160" i="2" a="1"/>
  <c r="J160" i="2" s="1"/>
  <c r="J193" i="2" a="1"/>
  <c r="J193" i="2" s="1"/>
  <c r="J226" i="2" a="1"/>
  <c r="J226" i="2" s="1"/>
  <c r="J259" i="2" a="1"/>
  <c r="J259" i="2" s="1"/>
  <c r="J292" i="2" a="1"/>
  <c r="J292" i="2" s="1"/>
  <c r="J324" i="2" a="1"/>
  <c r="J324" i="2" s="1"/>
  <c r="J357" i="2" a="1"/>
  <c r="J357" i="2" s="1"/>
  <c r="J390" i="2" a="1"/>
  <c r="J390" i="2" s="1"/>
  <c r="J424" i="2" a="1"/>
  <c r="J424" i="2" s="1"/>
  <c r="J491" i="2" a="1"/>
  <c r="J491" i="2" s="1"/>
  <c r="J547" i="2" a="1"/>
  <c r="J547" i="2" s="1"/>
  <c r="J576" i="2" a="1"/>
  <c r="J576" i="2" s="1"/>
  <c r="J609" i="2" a="1"/>
  <c r="J609" i="2" s="1"/>
  <c r="J643" i="2" a="1"/>
  <c r="J643" i="2" s="1"/>
  <c r="J670" i="2" a="1"/>
  <c r="J670" i="2" s="1"/>
  <c r="J686" i="2" a="1"/>
  <c r="J686" i="2" s="1"/>
  <c r="J700" i="2" a="1"/>
  <c r="J700" i="2" s="1"/>
  <c r="J722" i="2" a="1"/>
  <c r="J722" i="2" s="1"/>
  <c r="J733" i="2" a="1"/>
  <c r="J733" i="2" s="1"/>
  <c r="J745" i="2" a="1"/>
  <c r="J745" i="2" s="1"/>
  <c r="J755" i="2" a="1"/>
  <c r="J755" i="2" s="1"/>
  <c r="J767" i="2" a="1"/>
  <c r="J767" i="2" s="1"/>
  <c r="J779" i="2" a="1"/>
  <c r="J779" i="2" s="1"/>
  <c r="J789" i="2" a="1"/>
  <c r="J789" i="2" s="1"/>
  <c r="J812" i="2" a="1"/>
  <c r="J812" i="2" s="1"/>
  <c r="J823" i="2" a="1"/>
  <c r="J823" i="2" s="1"/>
  <c r="J834" i="2" a="1"/>
  <c r="J834" i="2" s="1"/>
  <c r="J846" i="2" a="1"/>
  <c r="J846" i="2" s="1"/>
  <c r="J857" i="2" a="1"/>
  <c r="J857" i="2" s="1"/>
  <c r="J868" i="2" a="1"/>
  <c r="J868" i="2" s="1"/>
  <c r="J879" i="2" a="1"/>
  <c r="J879" i="2" s="1"/>
  <c r="J901" i="2" a="1"/>
  <c r="J901" i="2" s="1"/>
  <c r="J913" i="2" a="1"/>
  <c r="J913" i="2" s="1"/>
  <c r="J924" i="2" a="1"/>
  <c r="J924" i="2" s="1"/>
  <c r="J934" i="2" a="1"/>
  <c r="J934" i="2" s="1"/>
  <c r="J945" i="2" a="1"/>
  <c r="J945" i="2" s="1"/>
  <c r="J966" i="2" a="1"/>
  <c r="J966" i="2" s="1"/>
  <c r="J983" i="2" a="1"/>
  <c r="J983" i="2" s="1"/>
  <c r="J992" i="2" a="1"/>
  <c r="J992" i="2" s="1"/>
  <c r="J1001" i="2" a="1"/>
  <c r="J1001" i="2" s="1"/>
  <c r="J1010" i="2" a="1"/>
  <c r="J1010" i="2" s="1"/>
  <c r="J1019" i="2" a="1"/>
  <c r="J1019" i="2" s="1"/>
  <c r="J1029" i="2" a="1"/>
  <c r="J1029" i="2" s="1"/>
  <c r="J1039" i="2" a="1"/>
  <c r="J1039" i="2" s="1"/>
  <c r="J1049" i="2" a="1"/>
  <c r="J1049" i="2" s="1"/>
  <c r="J1060" i="2" a="1"/>
  <c r="J1060" i="2" s="1"/>
  <c r="J1071" i="2" a="1"/>
  <c r="J1071" i="2" s="1"/>
  <c r="J1083" i="2" a="1"/>
  <c r="J1083" i="2" s="1"/>
  <c r="J1094" i="2" a="1"/>
  <c r="J1094" i="2" s="1"/>
  <c r="J1105" i="2" a="1"/>
  <c r="J1105" i="2" s="1"/>
  <c r="J1115" i="2" a="1"/>
  <c r="J1115" i="2" s="1"/>
  <c r="J1127" i="2" a="1"/>
  <c r="J1127" i="2" s="1"/>
  <c r="J1149" i="2" a="1"/>
  <c r="J1149" i="2" s="1"/>
  <c r="J1161" i="2" a="1"/>
  <c r="J1161" i="2" s="1"/>
  <c r="J1172" i="2" a="1"/>
  <c r="J1172" i="2" s="1"/>
  <c r="J1182" i="2" a="1"/>
  <c r="J1182" i="2" s="1"/>
  <c r="J1193" i="2" a="1"/>
  <c r="J1193" i="2" s="1"/>
  <c r="J1204" i="2" a="1"/>
  <c r="J1204" i="2" s="1"/>
  <c r="J1215" i="2" a="1"/>
  <c r="J1215" i="2" s="1"/>
  <c r="J1226" i="2" a="1"/>
  <c r="J1226" i="2" s="1"/>
  <c r="J1237" i="2" a="1"/>
  <c r="J1237" i="2" s="1"/>
  <c r="J1248" i="2" a="1"/>
  <c r="J1248" i="2" s="1"/>
  <c r="J1258" i="2" a="1"/>
  <c r="J1258" i="2" s="1"/>
  <c r="J1270" i="2" a="1"/>
  <c r="J1270" i="2" s="1"/>
  <c r="J1281" i="2" a="1"/>
  <c r="J1281" i="2" s="1"/>
  <c r="J1292" i="2" a="1"/>
  <c r="J1292" i="2" s="1"/>
  <c r="J1302" i="2" a="1"/>
  <c r="J1302" i="2" s="1"/>
  <c r="J1313" i="2" a="1"/>
  <c r="J1313" i="2" s="1"/>
  <c r="J1334" i="2" a="1"/>
  <c r="J1334" i="2" s="1"/>
  <c r="J1346" i="2" a="1"/>
  <c r="J1346" i="2" s="1"/>
  <c r="J1356" i="2" a="1"/>
  <c r="J1356" i="2" s="1"/>
  <c r="J1365" i="2" a="1"/>
  <c r="J1365" i="2" s="1"/>
  <c r="J1374" i="2" a="1"/>
  <c r="J1374" i="2" s="1"/>
  <c r="J1383" i="2" a="1"/>
  <c r="J1383" i="2" s="1"/>
  <c r="J1392" i="2" a="1"/>
  <c r="J1392" i="2" s="1"/>
  <c r="J1401" i="2" a="1"/>
  <c r="J1401" i="2" s="1"/>
  <c r="J1410" i="2" a="1"/>
  <c r="J1410" i="2" s="1"/>
  <c r="J1419" i="2" a="1"/>
  <c r="J1419" i="2" s="1"/>
  <c r="J1428" i="2" a="1"/>
  <c r="J1428" i="2" s="1"/>
  <c r="J1437" i="2" a="1"/>
  <c r="J1437" i="2" s="1"/>
  <c r="J1445" i="2" a="1"/>
  <c r="J1445" i="2" s="1"/>
  <c r="J1474" i="2" a="1"/>
  <c r="J1474" i="2" s="1"/>
  <c r="J1483" i="2" a="1"/>
  <c r="J1483" i="2" s="1"/>
  <c r="J1490" i="2" a="1"/>
  <c r="J1490" i="2" s="1"/>
  <c r="J1498" i="2" a="1"/>
  <c r="J1498" i="2" s="1"/>
  <c r="J1506" i="2" a="1"/>
  <c r="J1506" i="2" s="1"/>
  <c r="J1515" i="2" a="1"/>
  <c r="J1515" i="2" s="1"/>
  <c r="J1524" i="2" a="1"/>
  <c r="J1524" i="2" s="1"/>
  <c r="J1532" i="2" a="1"/>
  <c r="J1532" i="2" s="1"/>
  <c r="J1542" i="2" a="1"/>
  <c r="J1542" i="2" s="1"/>
  <c r="J1550" i="2" a="1"/>
  <c r="J1550" i="2" s="1"/>
  <c r="J1559" i="2" a="1"/>
  <c r="J1559" i="2" s="1"/>
  <c r="J1568" i="2" a="1"/>
  <c r="J1568" i="2" s="1"/>
  <c r="J1577" i="2" a="1"/>
  <c r="J1577" i="2" s="1"/>
  <c r="J1586" i="2" a="1"/>
  <c r="J1586" i="2" s="1"/>
  <c r="J1596" i="2" a="1"/>
  <c r="J1596" i="2" s="1"/>
  <c r="J1606" i="2" a="1"/>
  <c r="J1606" i="2" s="1"/>
  <c r="J1616" i="2" a="1"/>
  <c r="J1616" i="2" s="1"/>
  <c r="J1623" i="2" a="1"/>
  <c r="J1623" i="2" s="1"/>
  <c r="J1633" i="2" a="1"/>
  <c r="J1633" i="2" s="1"/>
  <c r="J1642" i="2" a="1"/>
  <c r="J1642" i="2" s="1"/>
  <c r="J1659" i="2" a="1"/>
  <c r="J1659" i="2" s="1"/>
  <c r="J1668" i="2" a="1"/>
  <c r="J1668" i="2" s="1"/>
  <c r="J1678" i="2" a="1"/>
  <c r="J1678" i="2" s="1"/>
  <c r="J1688" i="2" a="1"/>
  <c r="J1688" i="2" s="1"/>
  <c r="J1696" i="2" a="1"/>
  <c r="J1696" i="2" s="1"/>
  <c r="J1705" i="2" a="1"/>
  <c r="J1705" i="2" s="1"/>
  <c r="J1715" i="2" a="1"/>
  <c r="J1715" i="2" s="1"/>
  <c r="J1741" i="2" a="1"/>
  <c r="J1741" i="2" s="1"/>
  <c r="J1751" i="2" a="1"/>
  <c r="J1751" i="2" s="1"/>
  <c r="J1760" i="2" a="1"/>
  <c r="J1760" i="2" s="1"/>
  <c r="J1777" i="2" a="1"/>
  <c r="J1777" i="2" s="1"/>
  <c r="J1786" i="2" a="1"/>
  <c r="J1786" i="2" s="1"/>
  <c r="J1803" i="2" a="1"/>
  <c r="J1803" i="2" s="1"/>
  <c r="J1812" i="2" a="1"/>
  <c r="J1812" i="2" s="1"/>
  <c r="J1842" i="2" a="1"/>
  <c r="J1842" i="2" s="1"/>
  <c r="J1850" i="2" a="1"/>
  <c r="J1850" i="2" s="1"/>
  <c r="J5" i="2" a="1"/>
  <c r="J5" i="2" s="1"/>
  <c r="J161" i="2" a="1"/>
  <c r="J161" i="2" s="1"/>
  <c r="J293" i="2" a="1"/>
  <c r="J293" i="2" s="1"/>
  <c r="J425" i="2" a="1"/>
  <c r="J425" i="2" s="1"/>
  <c r="J673" i="2" a="1"/>
  <c r="J673" i="2" s="1"/>
  <c r="J723" i="2" a="1"/>
  <c r="J723" i="2" s="1"/>
  <c r="J768" i="2" a="1"/>
  <c r="J768" i="2" s="1"/>
  <c r="J813" i="2" a="1"/>
  <c r="J813" i="2" s="1"/>
  <c r="J858" i="2" a="1"/>
  <c r="J858" i="2" s="1"/>
  <c r="J892" i="2" a="1"/>
  <c r="J892" i="2" s="1"/>
  <c r="J926" i="2" a="1"/>
  <c r="J926" i="2" s="1"/>
  <c r="J958" i="2" a="1"/>
  <c r="J958" i="2" s="1"/>
  <c r="J1041" i="2" a="1"/>
  <c r="J1041" i="2" s="1"/>
  <c r="J1073" i="2" a="1"/>
  <c r="J1073" i="2" s="1"/>
  <c r="J1107" i="2" a="1"/>
  <c r="J1107" i="2" s="1"/>
  <c r="J1139" i="2" a="1"/>
  <c r="J1139" i="2" s="1"/>
  <c r="J1206" i="2" a="1"/>
  <c r="J1206" i="2" s="1"/>
  <c r="J1239" i="2" a="1"/>
  <c r="J1239" i="2" s="1"/>
  <c r="J1268" i="2" a="1"/>
  <c r="J1268" i="2" s="1"/>
  <c r="J1293" i="2" a="1"/>
  <c r="J1293" i="2" s="1"/>
  <c r="J1320" i="2" a="1"/>
  <c r="J1320" i="2" s="1"/>
  <c r="J1345" i="2" a="1"/>
  <c r="J1345" i="2" s="1"/>
  <c r="J1366" i="2" a="1"/>
  <c r="J1366" i="2" s="1"/>
  <c r="J1390" i="2" a="1"/>
  <c r="J1390" i="2" s="1"/>
  <c r="J1434" i="2" a="1"/>
  <c r="J1434" i="2" s="1"/>
  <c r="J1452" i="2" a="1"/>
  <c r="J1452" i="2" s="1"/>
  <c r="J1489" i="2" a="1"/>
  <c r="J1489" i="2" s="1"/>
  <c r="J1507" i="2" a="1"/>
  <c r="J1507" i="2" s="1"/>
  <c r="J1588" i="2" a="1"/>
  <c r="J1588" i="2" s="1"/>
  <c r="J1604" i="2" a="1"/>
  <c r="J1604" i="2" s="1"/>
  <c r="J1619" i="2" a="1"/>
  <c r="J1619" i="2" s="1"/>
  <c r="J1631" i="2" a="1"/>
  <c r="J1631" i="2" s="1"/>
  <c r="J1658" i="2" a="1"/>
  <c r="J1658" i="2" s="1"/>
  <c r="J1672" i="2" a="1"/>
  <c r="J1672" i="2" s="1"/>
  <c r="J1687" i="2" a="1"/>
  <c r="J1687" i="2" s="1"/>
  <c r="J1713" i="2" a="1"/>
  <c r="J1713" i="2" s="1"/>
  <c r="J1739" i="2" a="1"/>
  <c r="J1739" i="2" s="1"/>
  <c r="J1755" i="2" a="1"/>
  <c r="J1755" i="2" s="1"/>
  <c r="J1781" i="2" a="1"/>
  <c r="J1781" i="2" s="1"/>
  <c r="J1794" i="2" a="1"/>
  <c r="J1794" i="2" s="1"/>
  <c r="J1830" i="2" a="1"/>
  <c r="J1830" i="2" s="1"/>
  <c r="J1841" i="2" a="1"/>
  <c r="J1841" i="2" s="1"/>
  <c r="J1864" i="2" a="1"/>
  <c r="J1864" i="2" s="1"/>
  <c r="J1885" i="2" a="1"/>
  <c r="J1885" i="2" s="1"/>
  <c r="J1894" i="2" a="1"/>
  <c r="J1894" i="2" s="1"/>
  <c r="J1903" i="2" a="1"/>
  <c r="J1903" i="2" s="1"/>
  <c r="J1935" i="2" a="1"/>
  <c r="J1935" i="2" s="1"/>
  <c r="J1943" i="2" a="1"/>
  <c r="J1943" i="2" s="1"/>
  <c r="J1954" i="2" a="1"/>
  <c r="J1954" i="2" s="1"/>
  <c r="J1964" i="2" a="1"/>
  <c r="J1964" i="2" s="1"/>
  <c r="J1973" i="2" a="1"/>
  <c r="J1973" i="2" s="1"/>
  <c r="J1984" i="2" a="1"/>
  <c r="J1984" i="2" s="1"/>
  <c r="J1994" i="2" a="1"/>
  <c r="J1994" i="2" s="1"/>
  <c r="J2005" i="2" a="1"/>
  <c r="J2005" i="2" s="1"/>
  <c r="J2015" i="2" a="1"/>
  <c r="J2015" i="2" s="1"/>
  <c r="J2027" i="2" a="1"/>
  <c r="J2027" i="2" s="1"/>
  <c r="J2048" i="2" a="1"/>
  <c r="J2048" i="2" s="1"/>
  <c r="J2060" i="2" a="1"/>
  <c r="J2060" i="2" s="1"/>
  <c r="J2071" i="2" a="1"/>
  <c r="J2071" i="2" s="1"/>
  <c r="J2080" i="2" a="1"/>
  <c r="J2080" i="2" s="1"/>
  <c r="J2091" i="2" a="1"/>
  <c r="J2091" i="2" s="1"/>
  <c r="J2101" i="2" a="1"/>
  <c r="J2101" i="2" s="1"/>
  <c r="J2110" i="2" a="1"/>
  <c r="J2110" i="2" s="1"/>
  <c r="J2151" i="2" a="1"/>
  <c r="J2151" i="2" s="1"/>
  <c r="J2159" i="2" a="1"/>
  <c r="J2159" i="2" s="1"/>
  <c r="J2168" i="2" a="1"/>
  <c r="J2168" i="2" s="1"/>
  <c r="J2176" i="2" a="1"/>
  <c r="J2176" i="2" s="1"/>
  <c r="J2198" i="2" a="1"/>
  <c r="J2198" i="2" s="1"/>
  <c r="J2206" i="2" a="1"/>
  <c r="J2206" i="2" s="1"/>
  <c r="J2214" i="2" a="1"/>
  <c r="J2214" i="2" s="1"/>
  <c r="J2222" i="2" a="1"/>
  <c r="J2222" i="2" s="1"/>
  <c r="J2229" i="2" a="1"/>
  <c r="J2229" i="2" s="1"/>
  <c r="J2244" i="2" a="1"/>
  <c r="J2244" i="2" s="1"/>
  <c r="J2253" i="2" a="1"/>
  <c r="J2253" i="2" s="1"/>
  <c r="J2263" i="2" a="1"/>
  <c r="J2263" i="2" s="1"/>
  <c r="J2273" i="2" a="1"/>
  <c r="J2273" i="2" s="1"/>
  <c r="J2292" i="2" a="1"/>
  <c r="J2292" i="2" s="1"/>
  <c r="J2301" i="2" a="1"/>
  <c r="J2301" i="2" s="1"/>
  <c r="J2319" i="2" a="1"/>
  <c r="J2319" i="2" s="1"/>
  <c r="J2339" i="2" a="1"/>
  <c r="J2339" i="2" s="1"/>
  <c r="J2357" i="2" a="1"/>
  <c r="J2357" i="2" s="1"/>
  <c r="J2367" i="2" a="1"/>
  <c r="J2367" i="2" s="1"/>
  <c r="J2377" i="2" a="1"/>
  <c r="J2377" i="2" s="1"/>
  <c r="J2386" i="2" a="1"/>
  <c r="J2386" i="2" s="1"/>
  <c r="J2395" i="2" a="1"/>
  <c r="J2395" i="2" s="1"/>
  <c r="J2405" i="2" a="1"/>
  <c r="J2405" i="2" s="1"/>
  <c r="J2416" i="2" a="1"/>
  <c r="J2416" i="2" s="1"/>
  <c r="J6" i="2" a="1"/>
  <c r="J6" i="2" s="1"/>
  <c r="J162" i="2" a="1"/>
  <c r="J162" i="2" s="1"/>
  <c r="J294" i="2" a="1"/>
  <c r="J294" i="2" s="1"/>
  <c r="J426" i="2" a="1"/>
  <c r="J426" i="2" s="1"/>
  <c r="J548" i="2" a="1"/>
  <c r="J548" i="2" s="1"/>
  <c r="J674" i="2" a="1"/>
  <c r="J674" i="2" s="1"/>
  <c r="J724" i="2" a="1"/>
  <c r="J724" i="2" s="1"/>
  <c r="J769" i="2" a="1"/>
  <c r="J769" i="2" s="1"/>
  <c r="J814" i="2" a="1"/>
  <c r="J814" i="2" s="1"/>
  <c r="J859" i="2" a="1"/>
  <c r="J859" i="2" s="1"/>
  <c r="J899" i="2" a="1"/>
  <c r="J899" i="2" s="1"/>
  <c r="J964" i="2" a="1"/>
  <c r="J964" i="2" s="1"/>
  <c r="J1081" i="2" a="1"/>
  <c r="J1081" i="2" s="1"/>
  <c r="J1147" i="2" a="1"/>
  <c r="J1147" i="2" s="1"/>
  <c r="J1180" i="2" a="1"/>
  <c r="J1180" i="2" s="1"/>
  <c r="J1213" i="2" a="1"/>
  <c r="J1213" i="2" s="1"/>
  <c r="J1245" i="2" a="1"/>
  <c r="J1245" i="2" s="1"/>
  <c r="J1269" i="2" a="1"/>
  <c r="J1269" i="2" s="1"/>
  <c r="J1322" i="2" a="1"/>
  <c r="J1322" i="2" s="1"/>
  <c r="J1347" i="2" a="1"/>
  <c r="J1347" i="2" s="1"/>
  <c r="J1371" i="2" a="1"/>
  <c r="J1371" i="2" s="1"/>
  <c r="J1391" i="2" a="1"/>
  <c r="J1391" i="2" s="1"/>
  <c r="J1411" i="2" a="1"/>
  <c r="J1411" i="2" s="1"/>
  <c r="J1435" i="2" a="1"/>
  <c r="J1435" i="2" s="1"/>
  <c r="J1453" i="2" a="1"/>
  <c r="J1453" i="2" s="1"/>
  <c r="J1472" i="2" a="1"/>
  <c r="J1472" i="2" s="1"/>
  <c r="J1531" i="2" a="1"/>
  <c r="J1531" i="2" s="1"/>
  <c r="J1551" i="2" a="1"/>
  <c r="J1551" i="2" s="1"/>
  <c r="J1574" i="2" a="1"/>
  <c r="J1574" i="2" s="1"/>
  <c r="J1592" i="2" a="1"/>
  <c r="J1592" i="2" s="1"/>
  <c r="J1605" i="2" a="1"/>
  <c r="J1605" i="2" s="1"/>
  <c r="J1620" i="2" a="1"/>
  <c r="J1620" i="2" s="1"/>
  <c r="J1632" i="2" a="1"/>
  <c r="J1632" i="2" s="1"/>
  <c r="J1648" i="2" a="1"/>
  <c r="J1648" i="2" s="1"/>
  <c r="J1674" i="2" a="1"/>
  <c r="J1674" i="2" s="1"/>
  <c r="J1714" i="2" a="1"/>
  <c r="J1714" i="2" s="1"/>
  <c r="J1729" i="2" a="1"/>
  <c r="J1729" i="2" s="1"/>
  <c r="J1740" i="2" a="1"/>
  <c r="J1740" i="2" s="1"/>
  <c r="J1757" i="2" a="1"/>
  <c r="J1757" i="2" s="1"/>
  <c r="J1767" i="2" a="1"/>
  <c r="J1767" i="2" s="1"/>
  <c r="J1783" i="2" a="1"/>
  <c r="J1783" i="2" s="1"/>
  <c r="J1795" i="2" a="1"/>
  <c r="J1795" i="2" s="1"/>
  <c r="J1818" i="2" a="1"/>
  <c r="J1818" i="2" s="1"/>
  <c r="J1831" i="2" a="1"/>
  <c r="J1831" i="2" s="1"/>
  <c r="J1865" i="2" a="1"/>
  <c r="J1865" i="2" s="1"/>
  <c r="J1874" i="2" a="1"/>
  <c r="J1874" i="2" s="1"/>
  <c r="J1886" i="2" a="1"/>
  <c r="J1886" i="2" s="1"/>
  <c r="J1895" i="2" a="1"/>
  <c r="J1895" i="2" s="1"/>
  <c r="J1911" i="2" a="1"/>
  <c r="J1911" i="2" s="1"/>
  <c r="J1918" i="2" a="1"/>
  <c r="J1918" i="2" s="1"/>
  <c r="J1927" i="2" a="1"/>
  <c r="J1927" i="2" s="1"/>
  <c r="J1936" i="2" a="1"/>
  <c r="J1936" i="2" s="1"/>
  <c r="J1944" i="2" a="1"/>
  <c r="J1944" i="2" s="1"/>
  <c r="J1955" i="2" a="1"/>
  <c r="J1955" i="2" s="1"/>
  <c r="J1974" i="2" a="1"/>
  <c r="J1974" i="2" s="1"/>
  <c r="J1985" i="2" a="1"/>
  <c r="J1985" i="2" s="1"/>
  <c r="J1995" i="2" a="1"/>
  <c r="J1995" i="2" s="1"/>
  <c r="J2006" i="2" a="1"/>
  <c r="J2006" i="2" s="1"/>
  <c r="J2016" i="2" a="1"/>
  <c r="J2016" i="2" s="1"/>
  <c r="J2028" i="2" a="1"/>
  <c r="J2028" i="2" s="1"/>
  <c r="J2037" i="2" a="1"/>
  <c r="J2037" i="2" s="1"/>
  <c r="J2049" i="2" a="1"/>
  <c r="J2049" i="2" s="1"/>
  <c r="J2061" i="2" a="1"/>
  <c r="J2061" i="2" s="1"/>
  <c r="J2072" i="2" a="1"/>
  <c r="J2072" i="2" s="1"/>
  <c r="J2081" i="2" a="1"/>
  <c r="J2081" i="2" s="1"/>
  <c r="J2092" i="2" a="1"/>
  <c r="J2092" i="2" s="1"/>
  <c r="J2102" i="2" a="1"/>
  <c r="J2102" i="2" s="1"/>
  <c r="J2111" i="2" a="1"/>
  <c r="J2111" i="2" s="1"/>
  <c r="J2119" i="2" a="1"/>
  <c r="J2119" i="2" s="1"/>
  <c r="J2127" i="2" a="1"/>
  <c r="J2127" i="2" s="1"/>
  <c r="J2134" i="2" a="1"/>
  <c r="J2134" i="2" s="1"/>
  <c r="J2143" i="2" a="1"/>
  <c r="J2143" i="2" s="1"/>
  <c r="J2160" i="2" a="1"/>
  <c r="J2160" i="2" s="1"/>
  <c r="J2177" i="2" a="1"/>
  <c r="J2177" i="2" s="1"/>
  <c r="J2184" i="2" a="1"/>
  <c r="J2184" i="2" s="1"/>
  <c r="J2191" i="2" a="1"/>
  <c r="J2191" i="2" s="1"/>
  <c r="J2199" i="2" a="1"/>
  <c r="J2199" i="2" s="1"/>
  <c r="J2207" i="2" a="1"/>
  <c r="J2207" i="2" s="1"/>
  <c r="J2238" i="2" a="1"/>
  <c r="J2238" i="2" s="1"/>
  <c r="J2245" i="2" a="1"/>
  <c r="J2245" i="2" s="1"/>
  <c r="J2254" i="2" a="1"/>
  <c r="J2254" i="2" s="1"/>
  <c r="J2264" i="2" a="1"/>
  <c r="J2264" i="2" s="1"/>
  <c r="J2274" i="2" a="1"/>
  <c r="J2274" i="2" s="1"/>
  <c r="J2282" i="2" a="1"/>
  <c r="J2282" i="2" s="1"/>
  <c r="J2293" i="2" a="1"/>
  <c r="J2293" i="2" s="1"/>
  <c r="J2302" i="2" a="1"/>
  <c r="J2302" i="2" s="1"/>
  <c r="J2311" i="2" a="1"/>
  <c r="J2311" i="2" s="1"/>
  <c r="J2320" i="2" a="1"/>
  <c r="J2320" i="2" s="1"/>
  <c r="J2330" i="2" a="1"/>
  <c r="J2330" i="2" s="1"/>
  <c r="J2348" i="2" a="1"/>
  <c r="J2348" i="2" s="1"/>
  <c r="J2358" i="2" a="1"/>
  <c r="J2358" i="2" s="1"/>
  <c r="J2368" i="2" a="1"/>
  <c r="J2368" i="2" s="1"/>
  <c r="J2378" i="2" a="1"/>
  <c r="J2378" i="2" s="1"/>
  <c r="J2387" i="2" a="1"/>
  <c r="J2387" i="2" s="1"/>
  <c r="J2396" i="2" a="1"/>
  <c r="J2396" i="2" s="1"/>
  <c r="J2406" i="2" a="1"/>
  <c r="J2406" i="2" s="1"/>
  <c r="J2425" i="2" a="1"/>
  <c r="J2425" i="2" s="1"/>
  <c r="J2435" i="2" a="1"/>
  <c r="J2435" i="2" s="1"/>
  <c r="J2445" i="2" a="1"/>
  <c r="J2445" i="2" s="1"/>
  <c r="J2463" i="2" a="1"/>
  <c r="J2463" i="2" s="1"/>
  <c r="J2492" i="2" a="1"/>
  <c r="J2492" i="2" s="1"/>
  <c r="J2502" i="2" a="1"/>
  <c r="J2502" i="2" s="1"/>
  <c r="J2512" i="2" a="1"/>
  <c r="J2512" i="2" s="1"/>
  <c r="J2521" i="2" a="1"/>
  <c r="J2521" i="2" s="1"/>
  <c r="J2530" i="2" a="1"/>
  <c r="J2530" i="2" s="1"/>
  <c r="J2539" i="2" a="1"/>
  <c r="J2539" i="2" s="1"/>
  <c r="J2549" i="2" a="1"/>
  <c r="J2549" i="2" s="1"/>
  <c r="J2559" i="2" a="1"/>
  <c r="J2559" i="2" s="1"/>
  <c r="J2577" i="2" a="1"/>
  <c r="J2577" i="2" s="1"/>
  <c r="J2587" i="2" a="1"/>
  <c r="J2587" i="2" s="1"/>
  <c r="J2597" i="2" a="1"/>
  <c r="J2597" i="2" s="1"/>
  <c r="J2616" i="2" a="1"/>
  <c r="J2616" i="2" s="1"/>
  <c r="J2626" i="2" a="1"/>
  <c r="J2626" i="2" s="1"/>
  <c r="J2635" i="2" a="1"/>
  <c r="J2635" i="2" s="1"/>
  <c r="J2644" i="2" a="1"/>
  <c r="J2644" i="2" s="1"/>
  <c r="J2654" i="2" a="1"/>
  <c r="J2654" i="2" s="1"/>
  <c r="J2664" i="2" a="1"/>
  <c r="J2664" i="2" s="1"/>
  <c r="J2673" i="2" a="1"/>
  <c r="J2673" i="2" s="1"/>
  <c r="J2703" i="2" a="1"/>
  <c r="J2703" i="2" s="1"/>
  <c r="J2726" i="2" a="1"/>
  <c r="J2726" i="2" s="1"/>
  <c r="J2733" i="2" a="1"/>
  <c r="J2733" i="2" s="1"/>
  <c r="J2741" i="2" a="1"/>
  <c r="J2741" i="2" s="1"/>
  <c r="J39" i="2" a="1"/>
  <c r="J39" i="2" s="1"/>
  <c r="J191" i="2" a="1"/>
  <c r="J191" i="2" s="1"/>
  <c r="J322" i="2" a="1"/>
  <c r="J322" i="2" s="1"/>
  <c r="J456" i="2" a="1"/>
  <c r="J456" i="2" s="1"/>
  <c r="J574" i="2" a="1"/>
  <c r="J574" i="2" s="1"/>
  <c r="J685" i="2" a="1"/>
  <c r="J685" i="2" s="1"/>
  <c r="J732" i="2" a="1"/>
  <c r="J732" i="2" s="1"/>
  <c r="J778" i="2" a="1"/>
  <c r="J778" i="2" s="1"/>
  <c r="J822" i="2" a="1"/>
  <c r="J822" i="2" s="1"/>
  <c r="J867" i="2" a="1"/>
  <c r="J867" i="2" s="1"/>
  <c r="J900" i="2" a="1"/>
  <c r="J900" i="2" s="1"/>
  <c r="J933" i="2" a="1"/>
  <c r="J933" i="2" s="1"/>
  <c r="J965" i="2" a="1"/>
  <c r="J965" i="2" s="1"/>
  <c r="J991" i="2" a="1"/>
  <c r="J991" i="2" s="1"/>
  <c r="J1018" i="2" a="1"/>
  <c r="J1018" i="2" s="1"/>
  <c r="J1048" i="2" a="1"/>
  <c r="J1048" i="2" s="1"/>
  <c r="J1082" i="2" a="1"/>
  <c r="J1082" i="2" s="1"/>
  <c r="J1114" i="2" a="1"/>
  <c r="J1114" i="2" s="1"/>
  <c r="J1148" i="2" a="1"/>
  <c r="J1148" i="2" s="1"/>
  <c r="J1181" i="2" a="1"/>
  <c r="J1181" i="2" s="1"/>
  <c r="J1214" i="2" a="1"/>
  <c r="J1214" i="2" s="1"/>
  <c r="J1246" i="2" a="1"/>
  <c r="J1246" i="2" s="1"/>
  <c r="J1271" i="2" a="1"/>
  <c r="J1271" i="2" s="1"/>
  <c r="J1299" i="2" a="1"/>
  <c r="J1299" i="2" s="1"/>
  <c r="J1323" i="2" a="1"/>
  <c r="J1323" i="2" s="1"/>
  <c r="J1372" i="2" a="1"/>
  <c r="J1372" i="2" s="1"/>
  <c r="J1416" i="2" a="1"/>
  <c r="J1416" i="2" s="1"/>
  <c r="J1436" i="2" a="1"/>
  <c r="J1436" i="2" s="1"/>
  <c r="J1454" i="2" a="1"/>
  <c r="J1454" i="2" s="1"/>
  <c r="J1473" i="2" a="1"/>
  <c r="J1473" i="2" s="1"/>
  <c r="J1491" i="2" a="1"/>
  <c r="J1491" i="2" s="1"/>
  <c r="J1512" i="2" a="1"/>
  <c r="J1512" i="2" s="1"/>
  <c r="J1575" i="2" a="1"/>
  <c r="J1575" i="2" s="1"/>
  <c r="J1593" i="2" a="1"/>
  <c r="J1593" i="2" s="1"/>
  <c r="J1607" i="2" a="1"/>
  <c r="J1607" i="2" s="1"/>
  <c r="J1621" i="2" a="1"/>
  <c r="J1621" i="2" s="1"/>
  <c r="J1634" i="2" a="1"/>
  <c r="J1634" i="2" s="1"/>
  <c r="J1649" i="2" a="1"/>
  <c r="J1649" i="2" s="1"/>
  <c r="J1675" i="2" a="1"/>
  <c r="J1675" i="2" s="1"/>
  <c r="J1689" i="2" a="1"/>
  <c r="J1689" i="2" s="1"/>
  <c r="J1702" i="2" a="1"/>
  <c r="J1702" i="2" s="1"/>
  <c r="J1716" i="2" a="1"/>
  <c r="J1716" i="2" s="1"/>
  <c r="J49" i="2" a="1"/>
  <c r="J49" i="2" s="1"/>
  <c r="J325" i="2" a="1"/>
  <c r="J325" i="2" s="1"/>
  <c r="J458" i="2" a="1"/>
  <c r="J458" i="2" s="1"/>
  <c r="J577" i="2" a="1"/>
  <c r="J577" i="2" s="1"/>
  <c r="J687" i="2" a="1"/>
  <c r="J687" i="2" s="1"/>
  <c r="J734" i="2" a="1"/>
  <c r="J734" i="2" s="1"/>
  <c r="J780" i="2" a="1"/>
  <c r="J780" i="2" s="1"/>
  <c r="J824" i="2" a="1"/>
  <c r="J824" i="2" s="1"/>
  <c r="J869" i="2" a="1"/>
  <c r="J869" i="2" s="1"/>
  <c r="J902" i="2" a="1"/>
  <c r="J902" i="2" s="1"/>
  <c r="J935" i="2" a="1"/>
  <c r="J935" i="2" s="1"/>
  <c r="J967" i="2" a="1"/>
  <c r="J967" i="2" s="1"/>
  <c r="J993" i="2" a="1"/>
  <c r="J993" i="2" s="1"/>
  <c r="J1020" i="2" a="1"/>
  <c r="J1020" i="2" s="1"/>
  <c r="J1050" i="2" a="1"/>
  <c r="J1050" i="2" s="1"/>
  <c r="J1084" i="2" a="1"/>
  <c r="J1084" i="2" s="1"/>
  <c r="J1116" i="2" a="1"/>
  <c r="J1116" i="2" s="1"/>
  <c r="J1150" i="2" a="1"/>
  <c r="J1150" i="2" s="1"/>
  <c r="J1183" i="2" a="1"/>
  <c r="J1183" i="2" s="1"/>
  <c r="J1216" i="2" a="1"/>
  <c r="J1216" i="2" s="1"/>
  <c r="J1247" i="2" a="1"/>
  <c r="J1247" i="2" s="1"/>
  <c r="J1272" i="2" a="1"/>
  <c r="J1272" i="2" s="1"/>
  <c r="J1300" i="2" a="1"/>
  <c r="J1300" i="2" s="1"/>
  <c r="J1324" i="2" a="1"/>
  <c r="J1324" i="2" s="1"/>
  <c r="J1353" i="2" a="1"/>
  <c r="J1353" i="2" s="1"/>
  <c r="J1373" i="2" a="1"/>
  <c r="J1373" i="2" s="1"/>
  <c r="J1393" i="2" a="1"/>
  <c r="J1393" i="2" s="1"/>
  <c r="J1417" i="2" a="1"/>
  <c r="J1417" i="2" s="1"/>
  <c r="J1457" i="2" a="1"/>
  <c r="J1457" i="2" s="1"/>
  <c r="J1533" i="2" a="1"/>
  <c r="J1533" i="2" s="1"/>
  <c r="J1608" i="2" a="1"/>
  <c r="J1608" i="2" s="1"/>
  <c r="J1635" i="2" a="1"/>
  <c r="J1635" i="2" s="1"/>
  <c r="J1660" i="2" a="1"/>
  <c r="J1660" i="2" s="1"/>
  <c r="J1703" i="2" a="1"/>
  <c r="J1703" i="2" s="1"/>
  <c r="J1717" i="2" a="1"/>
  <c r="J1717" i="2" s="1"/>
  <c r="J1730" i="2" a="1"/>
  <c r="J1730" i="2" s="1"/>
  <c r="J1743" i="2" a="1"/>
  <c r="J1743" i="2" s="1"/>
  <c r="J1758" i="2" a="1"/>
  <c r="J1758" i="2" s="1"/>
  <c r="J194" i="2" a="1"/>
  <c r="J194" i="2" s="1"/>
  <c r="J326" i="2" a="1"/>
  <c r="J326" i="2" s="1"/>
  <c r="J459" i="2" a="1"/>
  <c r="J459" i="2" s="1"/>
  <c r="J578" i="2" a="1"/>
  <c r="J578" i="2" s="1"/>
  <c r="J688" i="2" a="1"/>
  <c r="J688" i="2" s="1"/>
  <c r="J735" i="2" a="1"/>
  <c r="J735" i="2" s="1"/>
  <c r="J781" i="2" a="1"/>
  <c r="J781" i="2" s="1"/>
  <c r="J870" i="2" a="1"/>
  <c r="J870" i="2" s="1"/>
  <c r="J903" i="2" a="1"/>
  <c r="J903" i="2" s="1"/>
  <c r="J936" i="2" a="1"/>
  <c r="J936" i="2" s="1"/>
  <c r="J968" i="2" a="1"/>
  <c r="J968" i="2" s="1"/>
  <c r="J1051" i="2" a="1"/>
  <c r="J1051" i="2" s="1"/>
  <c r="J1085" i="2" a="1"/>
  <c r="J1085" i="2" s="1"/>
  <c r="J1117" i="2" a="1"/>
  <c r="J1117" i="2" s="1"/>
  <c r="J1151" i="2" a="1"/>
  <c r="J1151" i="2" s="1"/>
  <c r="J1184" i="2" a="1"/>
  <c r="J1184" i="2" s="1"/>
  <c r="J1217" i="2" a="1"/>
  <c r="J1217" i="2" s="1"/>
  <c r="J1249" i="2" a="1"/>
  <c r="J1249" i="2" s="1"/>
  <c r="J1277" i="2" a="1"/>
  <c r="J1277" i="2" s="1"/>
  <c r="J1301" i="2" a="1"/>
  <c r="J1301" i="2" s="1"/>
  <c r="J1325" i="2" a="1"/>
  <c r="J1325" i="2" s="1"/>
  <c r="J1354" i="2" a="1"/>
  <c r="J1354" i="2" s="1"/>
  <c r="J1398" i="2" a="1"/>
  <c r="J1398" i="2" s="1"/>
  <c r="J1418" i="2" a="1"/>
  <c r="J1418" i="2" s="1"/>
  <c r="J1438" i="2" a="1"/>
  <c r="J1438" i="2" s="1"/>
  <c r="J1475" i="2" a="1"/>
  <c r="J1475" i="2" s="1"/>
  <c r="J1514" i="2" a="1"/>
  <c r="J1514" i="2" s="1"/>
  <c r="J1534" i="2" a="1"/>
  <c r="J1534" i="2" s="1"/>
  <c r="J1557" i="2" a="1"/>
  <c r="J1557" i="2" s="1"/>
  <c r="J1576" i="2" a="1"/>
  <c r="J1576" i="2" s="1"/>
  <c r="J1594" i="2" a="1"/>
  <c r="J1594" i="2" s="1"/>
  <c r="J1611" i="2" a="1"/>
  <c r="J1611" i="2" s="1"/>
  <c r="J1622" i="2" a="1"/>
  <c r="J1622" i="2" s="1"/>
  <c r="J1637" i="2" a="1"/>
  <c r="J1637" i="2" s="1"/>
  <c r="J1650" i="2" a="1"/>
  <c r="J1650" i="2" s="1"/>
  <c r="J1663" i="2" a="1"/>
  <c r="J1663" i="2" s="1"/>
  <c r="J1676" i="2" a="1"/>
  <c r="J1676" i="2" s="1"/>
  <c r="J1720" i="2" a="1"/>
  <c r="J1720" i="2" s="1"/>
  <c r="J1745" i="2" a="1"/>
  <c r="J1745" i="2" s="1"/>
  <c r="J1759" i="2" a="1"/>
  <c r="J1759" i="2" s="1"/>
  <c r="J1772" i="2" a="1"/>
  <c r="J1772" i="2" s="1"/>
  <c r="J1785" i="2" a="1"/>
  <c r="J1785" i="2" s="1"/>
  <c r="J1799" i="2" a="1"/>
  <c r="J1799" i="2" s="1"/>
  <c r="J1810" i="2" a="1"/>
  <c r="J1810" i="2" s="1"/>
  <c r="J1821" i="2" a="1"/>
  <c r="J1821" i="2" s="1"/>
  <c r="J1856" i="2" a="1"/>
  <c r="J1856" i="2" s="1"/>
  <c r="J1878" i="2" a="1"/>
  <c r="J1878" i="2" s="1"/>
  <c r="J1889" i="2" a="1"/>
  <c r="J1889" i="2" s="1"/>
  <c r="J1905" i="2" a="1"/>
  <c r="J1905" i="2" s="1"/>
  <c r="J1947" i="2" a="1"/>
  <c r="J1947" i="2" s="1"/>
  <c r="J1967" i="2" a="1"/>
  <c r="J1967" i="2" s="1"/>
  <c r="J1977" i="2" a="1"/>
  <c r="J1977" i="2" s="1"/>
  <c r="J1987" i="2" a="1"/>
  <c r="J1987" i="2" s="1"/>
  <c r="J1998" i="2" a="1"/>
  <c r="J1998" i="2" s="1"/>
  <c r="J2008" i="2" a="1"/>
  <c r="J2008" i="2" s="1"/>
  <c r="J2019" i="2" a="1"/>
  <c r="J2019" i="2" s="1"/>
  <c r="J2030" i="2" a="1"/>
  <c r="J2030" i="2" s="1"/>
  <c r="J2040" i="2" a="1"/>
  <c r="J2040" i="2" s="1"/>
  <c r="J2052" i="2" a="1"/>
  <c r="J2052" i="2" s="1"/>
  <c r="J2064" i="2" a="1"/>
  <c r="J2064" i="2" s="1"/>
  <c r="J2074" i="2" a="1"/>
  <c r="J2074" i="2" s="1"/>
  <c r="J2084" i="2" a="1"/>
  <c r="J2084" i="2" s="1"/>
  <c r="J2105" i="2" a="1"/>
  <c r="J2105" i="2" s="1"/>
  <c r="J2113" i="2" a="1"/>
  <c r="J2113" i="2" s="1"/>
  <c r="J2121" i="2" a="1"/>
  <c r="J2121" i="2" s="1"/>
  <c r="J2129" i="2" a="1"/>
  <c r="J2129" i="2" s="1"/>
  <c r="J2137" i="2" a="1"/>
  <c r="J2137" i="2" s="1"/>
  <c r="J2154" i="2" a="1"/>
  <c r="J2154" i="2" s="1"/>
  <c r="J2162" i="2" a="1"/>
  <c r="J2162" i="2" s="1"/>
  <c r="J2170" i="2" a="1"/>
  <c r="J2170" i="2" s="1"/>
  <c r="J2216" i="2" a="1"/>
  <c r="J2216" i="2" s="1"/>
  <c r="J2225" i="2" a="1"/>
  <c r="J2225" i="2" s="1"/>
  <c r="J2247" i="2" a="1"/>
  <c r="J2247" i="2" s="1"/>
  <c r="J2257" i="2" a="1"/>
  <c r="J2257" i="2" s="1"/>
  <c r="J2267" i="2" a="1"/>
  <c r="J2267" i="2" s="1"/>
  <c r="J2285" i="2" a="1"/>
  <c r="J2285" i="2" s="1"/>
  <c r="J2295" i="2" a="1"/>
  <c r="J2295" i="2" s="1"/>
  <c r="J2304" i="2" a="1"/>
  <c r="J2304" i="2" s="1"/>
  <c r="J2313" i="2" a="1"/>
  <c r="J2313" i="2" s="1"/>
  <c r="J2342" i="2" a="1"/>
  <c r="J2342" i="2" s="1"/>
  <c r="J2351" i="2" a="1"/>
  <c r="J2351" i="2" s="1"/>
  <c r="J2360" i="2" a="1"/>
  <c r="J2360" i="2" s="1"/>
  <c r="J2370" i="2" a="1"/>
  <c r="J2370" i="2" s="1"/>
  <c r="J2389" i="2" a="1"/>
  <c r="J2389" i="2" s="1"/>
  <c r="J2399" i="2" a="1"/>
  <c r="J2399" i="2" s="1"/>
  <c r="J2409" i="2" a="1"/>
  <c r="J2409" i="2" s="1"/>
  <c r="J2427" i="2" a="1"/>
  <c r="J2427" i="2" s="1"/>
  <c r="J2456" i="2" a="1"/>
  <c r="J2456" i="2" s="1"/>
  <c r="J2466" i="2" a="1"/>
  <c r="J2466" i="2" s="1"/>
  <c r="J2476" i="2" a="1"/>
  <c r="J2476" i="2" s="1"/>
  <c r="J2486" i="2" a="1"/>
  <c r="J2486" i="2" s="1"/>
  <c r="J2495" i="2" a="1"/>
  <c r="J2495" i="2" s="1"/>
  <c r="J2504" i="2" a="1"/>
  <c r="J2504" i="2" s="1"/>
  <c r="J2524" i="2" a="1"/>
  <c r="J2524" i="2" s="1"/>
  <c r="J2532" i="2" a="1"/>
  <c r="J2532" i="2" s="1"/>
  <c r="J2542" i="2" a="1"/>
  <c r="J2542" i="2" s="1"/>
  <c r="J2551" i="2" a="1"/>
  <c r="J2551" i="2" s="1"/>
  <c r="J2561" i="2" a="1"/>
  <c r="J2561" i="2" s="1"/>
  <c r="J2580" i="2" a="1"/>
  <c r="J2580" i="2" s="1"/>
  <c r="J2590" i="2" a="1"/>
  <c r="J2590" i="2" s="1"/>
  <c r="J2599" i="2" a="1"/>
  <c r="J2599" i="2" s="1"/>
  <c r="J2608" i="2" a="1"/>
  <c r="J2608" i="2" s="1"/>
  <c r="J83" i="2" a="1"/>
  <c r="J83" i="2" s="1"/>
  <c r="J224" i="2" a="1"/>
  <c r="J224" i="2" s="1"/>
  <c r="J355" i="2" a="1"/>
  <c r="J355" i="2" s="1"/>
  <c r="J489" i="2" a="1"/>
  <c r="J489" i="2" s="1"/>
  <c r="J608" i="2" a="1"/>
  <c r="J608" i="2" s="1"/>
  <c r="J699" i="2" a="1"/>
  <c r="J699" i="2" s="1"/>
  <c r="J744" i="2" a="1"/>
  <c r="J744" i="2" s="1"/>
  <c r="J833" i="2" a="1"/>
  <c r="J833" i="2" s="1"/>
  <c r="J877" i="2" a="1"/>
  <c r="J877" i="2" s="1"/>
  <c r="J911" i="2" a="1"/>
  <c r="J911" i="2" s="1"/>
  <c r="J944" i="2" a="1"/>
  <c r="J944" i="2" s="1"/>
  <c r="J1027" i="2" a="1"/>
  <c r="J1027" i="2" s="1"/>
  <c r="J1059" i="2" a="1"/>
  <c r="J1059" i="2" s="1"/>
  <c r="J1092" i="2" a="1"/>
  <c r="J1092" i="2" s="1"/>
  <c r="J1125" i="2" a="1"/>
  <c r="J1125" i="2" s="1"/>
  <c r="J1159" i="2" a="1"/>
  <c r="J1159" i="2" s="1"/>
  <c r="J1191" i="2" a="1"/>
  <c r="J1191" i="2" s="1"/>
  <c r="J1224" i="2" a="1"/>
  <c r="J1224" i="2" s="1"/>
  <c r="J1250" i="2" a="1"/>
  <c r="J1250" i="2" s="1"/>
  <c r="J1279" i="2" a="1"/>
  <c r="J1279" i="2" s="1"/>
  <c r="J1303" i="2" a="1"/>
  <c r="J1303" i="2" s="1"/>
  <c r="J1330" i="2" a="1"/>
  <c r="J1330" i="2" s="1"/>
  <c r="J1355" i="2" a="1"/>
  <c r="J1355" i="2" s="1"/>
  <c r="J1375" i="2" a="1"/>
  <c r="J1375" i="2" s="1"/>
  <c r="J1399" i="2" a="1"/>
  <c r="J1399" i="2" s="1"/>
  <c r="J1459" i="2" a="1"/>
  <c r="J1459" i="2" s="1"/>
  <c r="J1476" i="2" a="1"/>
  <c r="J1476" i="2" s="1"/>
  <c r="J1497" i="2" a="1"/>
  <c r="J1497" i="2" s="1"/>
  <c r="J1516" i="2" a="1"/>
  <c r="J1516" i="2" s="1"/>
  <c r="J1538" i="2" a="1"/>
  <c r="J1538" i="2" s="1"/>
  <c r="J1558" i="2" a="1"/>
  <c r="J1558" i="2" s="1"/>
  <c r="J1595" i="2" a="1"/>
  <c r="J1595" i="2" s="1"/>
  <c r="J1613" i="2" a="1"/>
  <c r="J1613" i="2" s="1"/>
  <c r="J1638" i="2" a="1"/>
  <c r="J1638" i="2" s="1"/>
  <c r="J1651" i="2" a="1"/>
  <c r="J1651" i="2" s="1"/>
  <c r="J1677" i="2" a="1"/>
  <c r="J1677" i="2" s="1"/>
  <c r="J1693" i="2" a="1"/>
  <c r="J1693" i="2" s="1"/>
  <c r="J1704" i="2" a="1"/>
  <c r="J1704" i="2" s="1"/>
  <c r="J1731" i="2" a="1"/>
  <c r="J1731" i="2" s="1"/>
  <c r="J1747" i="2" a="1"/>
  <c r="J1747" i="2" s="1"/>
  <c r="J1773" i="2" a="1"/>
  <c r="J1773" i="2" s="1"/>
  <c r="J1800" i="2" a="1"/>
  <c r="J1800" i="2" s="1"/>
  <c r="J1811" i="2" a="1"/>
  <c r="J1811" i="2" s="1"/>
  <c r="J1823" i="2" a="1"/>
  <c r="J1823" i="2" s="1"/>
  <c r="J1833" i="2" a="1"/>
  <c r="J1833" i="2" s="1"/>
  <c r="J1868" i="2" a="1"/>
  <c r="J1868" i="2" s="1"/>
  <c r="J1879" i="2" a="1"/>
  <c r="J1879" i="2" s="1"/>
  <c r="J1898" i="2" a="1"/>
  <c r="J1898" i="2" s="1"/>
  <c r="J1914" i="2" a="1"/>
  <c r="J1914" i="2" s="1"/>
  <c r="J1921" i="2" a="1"/>
  <c r="J1921" i="2" s="1"/>
  <c r="J1929" i="2" a="1"/>
  <c r="J1929" i="2" s="1"/>
  <c r="J1939" i="2" a="1"/>
  <c r="J1939" i="2" s="1"/>
  <c r="J1948" i="2" a="1"/>
  <c r="J1948" i="2" s="1"/>
  <c r="J1958" i="2" a="1"/>
  <c r="J1958" i="2" s="1"/>
  <c r="J1968" i="2" a="1"/>
  <c r="J1968" i="2" s="1"/>
  <c r="J1988" i="2" a="1"/>
  <c r="J1988" i="2" s="1"/>
  <c r="J1999" i="2" a="1"/>
  <c r="J1999" i="2" s="1"/>
  <c r="J2009" i="2" a="1"/>
  <c r="J2009" i="2" s="1"/>
  <c r="J2020" i="2" a="1"/>
  <c r="J2020" i="2" s="1"/>
  <c r="J2031" i="2" a="1"/>
  <c r="J2031" i="2" s="1"/>
  <c r="J2041" i="2" a="1"/>
  <c r="J2041" i="2" s="1"/>
  <c r="J2053" i="2" a="1"/>
  <c r="J2053" i="2" s="1"/>
  <c r="J2065" i="2" a="1"/>
  <c r="J2065" i="2" s="1"/>
  <c r="J2075" i="2" a="1"/>
  <c r="J2075" i="2" s="1"/>
  <c r="J2085" i="2" a="1"/>
  <c r="J2085" i="2" s="1"/>
  <c r="J2095" i="2" a="1"/>
  <c r="J2095" i="2" s="1"/>
  <c r="J2114" i="2" a="1"/>
  <c r="J2114" i="2" s="1"/>
  <c r="J2122" i="2" a="1"/>
  <c r="J2122" i="2" s="1"/>
  <c r="J2145" i="2" a="1"/>
  <c r="J2145" i="2" s="1"/>
  <c r="J2155" i="2" a="1"/>
  <c r="J2155" i="2" s="1"/>
  <c r="J2163" i="2" a="1"/>
  <c r="J2163" i="2" s="1"/>
  <c r="J2171" i="2" a="1"/>
  <c r="J2171" i="2" s="1"/>
  <c r="J2179" i="2" a="1"/>
  <c r="J2179" i="2" s="1"/>
  <c r="J2186" i="2" a="1"/>
  <c r="J2186" i="2" s="1"/>
  <c r="J2193" i="2" a="1"/>
  <c r="J2193" i="2" s="1"/>
  <c r="J2202" i="2" a="1"/>
  <c r="J2202" i="2" s="1"/>
  <c r="J2210" i="2" a="1"/>
  <c r="J2210" i="2" s="1"/>
  <c r="J2232" i="2" a="1"/>
  <c r="J2232" i="2" s="1"/>
  <c r="J2240" i="2" a="1"/>
  <c r="J2240" i="2" s="1"/>
  <c r="J2248" i="2" a="1"/>
  <c r="J2248" i="2" s="1"/>
  <c r="J2276" i="2" a="1"/>
  <c r="J2276" i="2" s="1"/>
  <c r="J2286" i="2" a="1"/>
  <c r="J2286" i="2" s="1"/>
  <c r="J2296" i="2" a="1"/>
  <c r="J2296" i="2" s="1"/>
  <c r="J2305" i="2" a="1"/>
  <c r="J2305" i="2" s="1"/>
  <c r="J2314" i="2" a="1"/>
  <c r="J2314" i="2" s="1"/>
  <c r="J2323" i="2" a="1"/>
  <c r="J2323" i="2" s="1"/>
  <c r="J2333" i="2" a="1"/>
  <c r="J2333" i="2" s="1"/>
  <c r="J2343" i="2" a="1"/>
  <c r="J2343" i="2" s="1"/>
  <c r="J2361" i="2" a="1"/>
  <c r="J2361" i="2" s="1"/>
  <c r="J2371" i="2" a="1"/>
  <c r="J2371" i="2" s="1"/>
  <c r="J2381" i="2" a="1"/>
  <c r="J2381" i="2" s="1"/>
  <c r="J2400" i="2" a="1"/>
  <c r="J2400" i="2" s="1"/>
  <c r="J2410" i="2" a="1"/>
  <c r="J2410" i="2" s="1"/>
  <c r="J2419" i="2" a="1"/>
  <c r="J2419" i="2" s="1"/>
  <c r="J92" i="2" a="1"/>
  <c r="J92" i="2" s="1"/>
  <c r="J227" i="2" a="1"/>
  <c r="J227" i="2" s="1"/>
  <c r="J358" i="2" a="1"/>
  <c r="J358" i="2" s="1"/>
  <c r="J492" i="2" a="1"/>
  <c r="J492" i="2" s="1"/>
  <c r="J610" i="2" a="1"/>
  <c r="J610" i="2" s="1"/>
  <c r="J701" i="2" a="1"/>
  <c r="J701" i="2" s="1"/>
  <c r="J746" i="2" a="1"/>
  <c r="J746" i="2" s="1"/>
  <c r="J790" i="2" a="1"/>
  <c r="J790" i="2" s="1"/>
  <c r="J835" i="2" a="1"/>
  <c r="J835" i="2" s="1"/>
  <c r="J878" i="2" a="1"/>
  <c r="J878" i="2" s="1"/>
  <c r="J912" i="2" a="1"/>
  <c r="J912" i="2" s="1"/>
  <c r="J974" i="2" a="1"/>
  <c r="J974" i="2" s="1"/>
  <c r="J1000" i="2" a="1"/>
  <c r="J1000" i="2" s="1"/>
  <c r="J1028" i="2" a="1"/>
  <c r="J1028" i="2" s="1"/>
  <c r="J1093" i="2" a="1"/>
  <c r="J1093" i="2" s="1"/>
  <c r="J1126" i="2" a="1"/>
  <c r="J1126" i="2" s="1"/>
  <c r="J1160" i="2" a="1"/>
  <c r="J1160" i="2" s="1"/>
  <c r="J1192" i="2" a="1"/>
  <c r="J1192" i="2" s="1"/>
  <c r="J1225" i="2" a="1"/>
  <c r="J1225" i="2" s="1"/>
  <c r="J1255" i="2" a="1"/>
  <c r="J1255" i="2" s="1"/>
  <c r="J1280" i="2" a="1"/>
  <c r="J1280" i="2" s="1"/>
  <c r="J1304" i="2" a="1"/>
  <c r="J1304" i="2" s="1"/>
  <c r="J1332" i="2" a="1"/>
  <c r="J1332" i="2" s="1"/>
  <c r="J1380" i="2" a="1"/>
  <c r="J1380" i="2" s="1"/>
  <c r="J1400" i="2" a="1"/>
  <c r="J1400" i="2" s="1"/>
  <c r="J1420" i="2" a="1"/>
  <c r="J1420" i="2" s="1"/>
  <c r="J1460" i="2" a="1"/>
  <c r="J1460" i="2" s="1"/>
  <c r="J1517" i="2" a="1"/>
  <c r="J1517" i="2" s="1"/>
  <c r="J1540" i="2" a="1"/>
  <c r="J1540" i="2" s="1"/>
  <c r="J1578" i="2" a="1"/>
  <c r="J1578" i="2" s="1"/>
  <c r="J1597" i="2" a="1"/>
  <c r="J1597" i="2" s="1"/>
  <c r="J1624" i="2" a="1"/>
  <c r="J1624" i="2" s="1"/>
  <c r="J1639" i="2" a="1"/>
  <c r="J1639" i="2" s="1"/>
  <c r="J1652" i="2" a="1"/>
  <c r="J1652" i="2" s="1"/>
  <c r="J1665" i="2" a="1"/>
  <c r="J1665" i="2" s="1"/>
  <c r="J1679" i="2" a="1"/>
  <c r="J1679" i="2" s="1"/>
  <c r="J1706" i="2" a="1"/>
  <c r="J1706" i="2" s="1"/>
  <c r="J1722" i="2" a="1"/>
  <c r="J1722" i="2" s="1"/>
  <c r="J1732" i="2" a="1"/>
  <c r="J1732" i="2" s="1"/>
  <c r="J93" i="2" a="1"/>
  <c r="J93" i="2" s="1"/>
  <c r="J228" i="2" a="1"/>
  <c r="J228" i="2" s="1"/>
  <c r="J359" i="2" a="1"/>
  <c r="J359" i="2" s="1"/>
  <c r="J493" i="2" a="1"/>
  <c r="J493" i="2" s="1"/>
  <c r="J611" i="2" a="1"/>
  <c r="J611" i="2" s="1"/>
  <c r="J702" i="2" a="1"/>
  <c r="J702" i="2" s="1"/>
  <c r="J791" i="2" a="1"/>
  <c r="J791" i="2" s="1"/>
  <c r="J836" i="2" a="1"/>
  <c r="J836" i="2" s="1"/>
  <c r="J880" i="2" a="1"/>
  <c r="J880" i="2" s="1"/>
  <c r="J914" i="2" a="1"/>
  <c r="J914" i="2" s="1"/>
  <c r="J946" i="2" a="1"/>
  <c r="J946" i="2" s="1"/>
  <c r="J975" i="2" a="1"/>
  <c r="J975" i="2" s="1"/>
  <c r="J1002" i="2" a="1"/>
  <c r="J1002" i="2" s="1"/>
  <c r="J1061" i="2" a="1"/>
  <c r="J1061" i="2" s="1"/>
  <c r="J1095" i="2" a="1"/>
  <c r="J1095" i="2" s="1"/>
  <c r="J1128" i="2" a="1"/>
  <c r="J1128" i="2" s="1"/>
  <c r="J1194" i="2" a="1"/>
  <c r="J1194" i="2" s="1"/>
  <c r="J1227" i="2" a="1"/>
  <c r="J1227" i="2" s="1"/>
  <c r="J1257" i="2" a="1"/>
  <c r="J1257" i="2" s="1"/>
  <c r="J1309" i="2" a="1"/>
  <c r="J1309" i="2" s="1"/>
  <c r="J1333" i="2" a="1"/>
  <c r="J1333" i="2" s="1"/>
  <c r="J1357" i="2" a="1"/>
  <c r="J1357" i="2" s="1"/>
  <c r="J1381" i="2" a="1"/>
  <c r="J1381" i="2" s="1"/>
  <c r="J1425" i="2" a="1"/>
  <c r="J1425" i="2" s="1"/>
  <c r="J1444" i="2" a="1"/>
  <c r="J1444" i="2" s="1"/>
  <c r="J1482" i="2" a="1"/>
  <c r="J1482" i="2" s="1"/>
  <c r="J1499" i="2" a="1"/>
  <c r="J1499" i="2" s="1"/>
  <c r="J1541" i="2" a="1"/>
  <c r="J1541" i="2" s="1"/>
  <c r="J1560" i="2" a="1"/>
  <c r="J1560" i="2" s="1"/>
  <c r="J1598" i="2" a="1"/>
  <c r="J1598" i="2" s="1"/>
  <c r="J1614" i="2" a="1"/>
  <c r="J1614" i="2" s="1"/>
  <c r="J1625" i="2" a="1"/>
  <c r="J1625" i="2" s="1"/>
  <c r="J1680" i="2" a="1"/>
  <c r="J1680" i="2" s="1"/>
  <c r="J1694" i="2" a="1"/>
  <c r="J1694" i="2" s="1"/>
  <c r="J1707" i="2" a="1"/>
  <c r="J1707" i="2" s="1"/>
  <c r="J1723" i="2" a="1"/>
  <c r="J1723" i="2" s="1"/>
  <c r="J1733" i="2" a="1"/>
  <c r="J1733" i="2" s="1"/>
  <c r="J1748" i="2" a="1"/>
  <c r="J1748" i="2" s="1"/>
  <c r="J1761" i="2" a="1"/>
  <c r="J1761" i="2" s="1"/>
  <c r="J1774" i="2" a="1"/>
  <c r="J1774" i="2" s="1"/>
  <c r="J1801" i="2" a="1"/>
  <c r="J1801" i="2" s="1"/>
  <c r="J1813" i="2" a="1"/>
  <c r="J1813" i="2" s="1"/>
  <c r="J1825" i="2" a="1"/>
  <c r="J1825" i="2" s="1"/>
  <c r="J1835" i="2" a="1"/>
  <c r="J1835" i="2" s="1"/>
  <c r="J1847" i="2" a="1"/>
  <c r="J1847" i="2" s="1"/>
  <c r="J1870" i="2" a="1"/>
  <c r="J1870" i="2" s="1"/>
  <c r="J1881" i="2" a="1"/>
  <c r="J1881" i="2" s="1"/>
  <c r="J1907" i="2" a="1"/>
  <c r="J1907" i="2" s="1"/>
  <c r="J1915" i="2" a="1"/>
  <c r="J1915" i="2" s="1"/>
  <c r="J1923" i="2" a="1"/>
  <c r="J1923" i="2" s="1"/>
  <c r="J1930" i="2" a="1"/>
  <c r="J1930" i="2" s="1"/>
  <c r="J1940" i="2" a="1"/>
  <c r="J1940" i="2" s="1"/>
  <c r="J1960" i="2" a="1"/>
  <c r="J1960" i="2" s="1"/>
  <c r="J1970" i="2" a="1"/>
  <c r="J1970" i="2" s="1"/>
  <c r="J1979" i="2" a="1"/>
  <c r="J1979" i="2" s="1"/>
  <c r="J1990" i="2" a="1"/>
  <c r="J1990" i="2" s="1"/>
  <c r="J2011" i="2" a="1"/>
  <c r="J2011" i="2" s="1"/>
  <c r="J2022" i="2" a="1"/>
  <c r="J2022" i="2" s="1"/>
  <c r="J2033" i="2" a="1"/>
  <c r="J2033" i="2" s="1"/>
  <c r="J2043" i="2" a="1"/>
  <c r="J2043" i="2" s="1"/>
  <c r="J2055" i="2" a="1"/>
  <c r="J2055" i="2" s="1"/>
  <c r="J2066" i="2" a="1"/>
  <c r="J2066" i="2" s="1"/>
  <c r="J2077" i="2" a="1"/>
  <c r="J2077" i="2" s="1"/>
  <c r="J2086" i="2" a="1"/>
  <c r="J2086" i="2" s="1"/>
  <c r="J2097" i="2" a="1"/>
  <c r="J2097" i="2" s="1"/>
  <c r="J2115" i="2" a="1"/>
  <c r="J2115" i="2" s="1"/>
  <c r="J2124" i="2" a="1"/>
  <c r="J2124" i="2" s="1"/>
  <c r="J2139" i="2" a="1"/>
  <c r="J2139" i="2" s="1"/>
  <c r="J2147" i="2" a="1"/>
  <c r="J2147" i="2" s="1"/>
  <c r="J2156" i="2" a="1"/>
  <c r="J2156" i="2" s="1"/>
  <c r="J2164" i="2" a="1"/>
  <c r="J2164" i="2" s="1"/>
  <c r="J2172" i="2" a="1"/>
  <c r="J2172" i="2" s="1"/>
  <c r="J2180" i="2" a="1"/>
  <c r="J2180" i="2" s="1"/>
  <c r="J2187" i="2" a="1"/>
  <c r="J2187" i="2" s="1"/>
  <c r="J2195" i="2" a="1"/>
  <c r="J2195" i="2" s="1"/>
  <c r="J2203" i="2" a="1"/>
  <c r="J2203" i="2" s="1"/>
  <c r="J2211" i="2" a="1"/>
  <c r="J2211" i="2" s="1"/>
  <c r="J2234" i="2" a="1"/>
  <c r="J2234" i="2" s="1"/>
  <c r="J2241" i="2" a="1"/>
  <c r="J2241" i="2" s="1"/>
  <c r="J2249" i="2" a="1"/>
  <c r="J2249" i="2" s="1"/>
  <c r="J2259" i="2" a="1"/>
  <c r="J2259" i="2" s="1"/>
  <c r="J2269" i="2" a="1"/>
  <c r="J2269" i="2" s="1"/>
  <c r="J2278" i="2" a="1"/>
  <c r="J2278" i="2" s="1"/>
  <c r="J2287" i="2" a="1"/>
  <c r="J2287" i="2" s="1"/>
  <c r="J2297" i="2" a="1"/>
  <c r="J2297" i="2" s="1"/>
  <c r="J2307" i="2" a="1"/>
  <c r="J2307" i="2" s="1"/>
  <c r="J2325" i="2" a="1"/>
  <c r="J2325" i="2" s="1"/>
  <c r="J2334" i="2" a="1"/>
  <c r="J2334" i="2" s="1"/>
  <c r="J2353" i="2" a="1"/>
  <c r="J2353" i="2" s="1"/>
  <c r="J2363" i="2" a="1"/>
  <c r="J2363" i="2" s="1"/>
  <c r="J2373" i="2" a="1"/>
  <c r="J2373" i="2" s="1"/>
  <c r="J2391" i="2" a="1"/>
  <c r="J2391" i="2" s="1"/>
  <c r="J2420" i="2" a="1"/>
  <c r="J2420" i="2" s="1"/>
  <c r="J2430" i="2" a="1"/>
  <c r="J2430" i="2" s="1"/>
  <c r="J2440" i="2" a="1"/>
  <c r="J2440" i="2" s="1"/>
  <c r="J2450" i="2" a="1"/>
  <c r="J2450" i="2" s="1"/>
  <c r="J2459" i="2" a="1"/>
  <c r="J2459" i="2" s="1"/>
  <c r="J2468" i="2" a="1"/>
  <c r="J2468" i="2" s="1"/>
  <c r="J2478" i="2" a="1"/>
  <c r="J2478" i="2" s="1"/>
  <c r="J2497" i="2" a="1"/>
  <c r="J2497" i="2" s="1"/>
  <c r="J2507" i="2" a="1"/>
  <c r="J2507" i="2" s="1"/>
  <c r="J2516" i="2" a="1"/>
  <c r="J2516" i="2" s="1"/>
  <c r="J2526" i="2" a="1"/>
  <c r="J2526" i="2" s="1"/>
  <c r="J2534" i="2" a="1"/>
  <c r="J2534" i="2" s="1"/>
  <c r="J2545" i="2" a="1"/>
  <c r="J2545" i="2" s="1"/>
  <c r="J2554" i="2" a="1"/>
  <c r="J2554" i="2" s="1"/>
  <c r="J2563" i="2" a="1"/>
  <c r="J2563" i="2" s="1"/>
  <c r="J2572" i="2" a="1"/>
  <c r="J2572" i="2" s="1"/>
  <c r="J2582" i="2" a="1"/>
  <c r="J2582" i="2" s="1"/>
  <c r="J2592" i="2" a="1"/>
  <c r="J2592" i="2" s="1"/>
  <c r="J2601" i="2" a="1"/>
  <c r="J2601" i="2" s="1"/>
  <c r="J2631" i="2" a="1"/>
  <c r="J2631" i="2" s="1"/>
  <c r="J2649" i="2" a="1"/>
  <c r="J2649" i="2" s="1"/>
  <c r="J2659" i="2" a="1"/>
  <c r="J2659" i="2" s="1"/>
  <c r="J2669" i="2" a="1"/>
  <c r="J2669" i="2" s="1"/>
  <c r="J2688" i="2" a="1"/>
  <c r="J2688" i="2" s="1"/>
  <c r="J2698" i="2" a="1"/>
  <c r="J2698" i="2" s="1"/>
  <c r="J2706" i="2" a="1"/>
  <c r="J2706" i="2" s="1"/>
  <c r="J2714" i="2" a="1"/>
  <c r="J2714" i="2" s="1"/>
  <c r="J2722" i="2" a="1"/>
  <c r="J2722" i="2" s="1"/>
  <c r="J2737" i="2" a="1"/>
  <c r="J2737" i="2" s="1"/>
  <c r="J127" i="2" a="1"/>
  <c r="J127" i="2" s="1"/>
  <c r="J260" i="2" a="1"/>
  <c r="J260" i="2" s="1"/>
  <c r="J392" i="2" a="1"/>
  <c r="J392" i="2" s="1"/>
  <c r="J522" i="2" a="1"/>
  <c r="J522" i="2" s="1"/>
  <c r="J712" i="2" a="1"/>
  <c r="J712" i="2" s="1"/>
  <c r="J757" i="2" a="1"/>
  <c r="J757" i="2" s="1"/>
  <c r="J802" i="2" a="1"/>
  <c r="J802" i="2" s="1"/>
  <c r="J848" i="2" a="1"/>
  <c r="J848" i="2" s="1"/>
  <c r="J890" i="2" a="1"/>
  <c r="J890" i="2" s="1"/>
  <c r="J923" i="2" a="1"/>
  <c r="J923" i="2" s="1"/>
  <c r="J956" i="2" a="1"/>
  <c r="J956" i="2" s="1"/>
  <c r="J982" i="2" a="1"/>
  <c r="J982" i="2" s="1"/>
  <c r="J1009" i="2" a="1"/>
  <c r="J1009" i="2" s="1"/>
  <c r="J1038" i="2" a="1"/>
  <c r="J1038" i="2" s="1"/>
  <c r="J1070" i="2" a="1"/>
  <c r="J1070" i="2" s="1"/>
  <c r="J1104" i="2" a="1"/>
  <c r="J1104" i="2" s="1"/>
  <c r="J1137" i="2" a="1"/>
  <c r="J1137" i="2" s="1"/>
  <c r="J1171" i="2" a="1"/>
  <c r="J1171" i="2" s="1"/>
  <c r="J1236" i="2" a="1"/>
  <c r="J1236" i="2" s="1"/>
  <c r="J1260" i="2" a="1"/>
  <c r="J1260" i="2" s="1"/>
  <c r="J1290" i="2" a="1"/>
  <c r="J1290" i="2" s="1"/>
  <c r="J1314" i="2" a="1"/>
  <c r="J1314" i="2" s="1"/>
  <c r="J1342" i="2" a="1"/>
  <c r="J1342" i="2" s="1"/>
  <c r="J1364" i="2" a="1"/>
  <c r="J1364" i="2" s="1"/>
  <c r="J1384" i="2" a="1"/>
  <c r="J1384" i="2" s="1"/>
  <c r="J1408" i="2" a="1"/>
  <c r="J1408" i="2" s="1"/>
  <c r="J1450" i="2" a="1"/>
  <c r="J1450" i="2" s="1"/>
  <c r="J1467" i="2" a="1"/>
  <c r="J1467" i="2" s="1"/>
  <c r="J1484" i="2" a="1"/>
  <c r="J1484" i="2" s="1"/>
  <c r="J1505" i="2" a="1"/>
  <c r="J1505" i="2" s="1"/>
  <c r="J1525" i="2" a="1"/>
  <c r="J1525" i="2" s="1"/>
  <c r="J1603" i="2" a="1"/>
  <c r="J1603" i="2" s="1"/>
  <c r="J1643" i="2" a="1"/>
  <c r="J1643" i="2" s="1"/>
  <c r="J1657" i="2" a="1"/>
  <c r="J1657" i="2" s="1"/>
  <c r="J1669" i="2" a="1"/>
  <c r="J1669" i="2" s="1"/>
  <c r="J1697" i="2" a="1"/>
  <c r="J1697" i="2" s="1"/>
  <c r="J1725" i="2" a="1"/>
  <c r="J1725" i="2" s="1"/>
  <c r="J1752" i="2" a="1"/>
  <c r="J1752" i="2" s="1"/>
  <c r="J1778" i="2" a="1"/>
  <c r="J1778" i="2" s="1"/>
  <c r="J1793" i="2" a="1"/>
  <c r="J1793" i="2" s="1"/>
  <c r="J1804" i="2" a="1"/>
  <c r="J1804" i="2" s="1"/>
  <c r="J1816" i="2" a="1"/>
  <c r="J1816" i="2" s="1"/>
  <c r="J1827" i="2" a="1"/>
  <c r="J1827" i="2" s="1"/>
  <c r="J1839" i="2" a="1"/>
  <c r="J1839" i="2" s="1"/>
  <c r="J1851" i="2" a="1"/>
  <c r="J1851" i="2" s="1"/>
  <c r="J1862" i="2" a="1"/>
  <c r="J1862" i="2" s="1"/>
  <c r="J1872" i="2" a="1"/>
  <c r="J1872" i="2" s="1"/>
  <c r="J1884" i="2" a="1"/>
  <c r="J1884" i="2" s="1"/>
  <c r="J1892" i="2" a="1"/>
  <c r="J1892" i="2" s="1"/>
  <c r="J1902" i="2" a="1"/>
  <c r="J1902" i="2" s="1"/>
  <c r="J1909" i="2" a="1"/>
  <c r="J1909" i="2" s="1"/>
  <c r="J1933" i="2" a="1"/>
  <c r="J1933" i="2" s="1"/>
  <c r="J1952" i="2" a="1"/>
  <c r="J1952" i="2" s="1"/>
  <c r="J1963" i="2" a="1"/>
  <c r="J1963" i="2" s="1"/>
  <c r="J1982" i="2" a="1"/>
  <c r="J1982" i="2" s="1"/>
  <c r="J2003" i="2" a="1"/>
  <c r="J2003" i="2" s="1"/>
  <c r="J2025" i="2" a="1"/>
  <c r="J2025" i="2" s="1"/>
  <c r="J2046" i="2" a="1"/>
  <c r="J2046" i="2" s="1"/>
  <c r="J2058" i="2" a="1"/>
  <c r="J2058" i="2" s="1"/>
  <c r="J2069" i="2" a="1"/>
  <c r="J2069" i="2" s="1"/>
  <c r="J2079" i="2" a="1"/>
  <c r="J2079" i="2" s="1"/>
  <c r="J290" i="2" a="1"/>
  <c r="J290" i="2" s="1"/>
  <c r="J721" i="2" a="1"/>
  <c r="J721" i="2" s="1"/>
  <c r="J891" i="2" a="1"/>
  <c r="J891" i="2" s="1"/>
  <c r="J1011" i="2" a="1"/>
  <c r="J1011" i="2" s="1"/>
  <c r="J1138" i="2" a="1"/>
  <c r="J1138" i="2" s="1"/>
  <c r="J1266" i="2" a="1"/>
  <c r="J1266" i="2" s="1"/>
  <c r="J1451" i="2" a="1"/>
  <c r="J1451" i="2" s="1"/>
  <c r="J1712" i="2" a="1"/>
  <c r="J1712" i="2" s="1"/>
  <c r="J1809" i="2" a="1"/>
  <c r="J1809" i="2" s="1"/>
  <c r="J1832" i="2" a="1"/>
  <c r="J1832" i="2" s="1"/>
  <c r="J1876" i="2" a="1"/>
  <c r="J1876" i="2" s="1"/>
  <c r="J1897" i="2" a="1"/>
  <c r="J1897" i="2" s="1"/>
  <c r="J1913" i="2" a="1"/>
  <c r="J1913" i="2" s="1"/>
  <c r="J1928" i="2" a="1"/>
  <c r="J1928" i="2" s="1"/>
  <c r="J1946" i="2" a="1"/>
  <c r="J1946" i="2" s="1"/>
  <c r="J1966" i="2" a="1"/>
  <c r="J1966" i="2" s="1"/>
  <c r="J2007" i="2" a="1"/>
  <c r="J2007" i="2" s="1"/>
  <c r="J2051" i="2" a="1"/>
  <c r="J2051" i="2" s="1"/>
  <c r="J2073" i="2" a="1"/>
  <c r="J2073" i="2" s="1"/>
  <c r="J2093" i="2" a="1"/>
  <c r="J2093" i="2" s="1"/>
  <c r="J2109" i="2" a="1"/>
  <c r="J2109" i="2" s="1"/>
  <c r="J2136" i="2" a="1"/>
  <c r="J2136" i="2" s="1"/>
  <c r="J2166" i="2" a="1"/>
  <c r="J2166" i="2" s="1"/>
  <c r="J2205" i="2" a="1"/>
  <c r="J2205" i="2" s="1"/>
  <c r="J2218" i="2" a="1"/>
  <c r="J2218" i="2" s="1"/>
  <c r="J2231" i="2" a="1"/>
  <c r="J2231" i="2" s="1"/>
  <c r="J2277" i="2" a="1"/>
  <c r="J2277" i="2" s="1"/>
  <c r="J2309" i="2" a="1"/>
  <c r="J2309" i="2" s="1"/>
  <c r="J2326" i="2" a="1"/>
  <c r="J2326" i="2" s="1"/>
  <c r="J2341" i="2" a="1"/>
  <c r="J2341" i="2" s="1"/>
  <c r="J2356" i="2" a="1"/>
  <c r="J2356" i="2" s="1"/>
  <c r="J2375" i="2" a="1"/>
  <c r="J2375" i="2" s="1"/>
  <c r="J2390" i="2" a="1"/>
  <c r="J2390" i="2" s="1"/>
  <c r="J2407" i="2" a="1"/>
  <c r="J2407" i="2" s="1"/>
  <c r="J2423" i="2" a="1"/>
  <c r="J2423" i="2" s="1"/>
  <c r="J2436" i="2" a="1"/>
  <c r="J2436" i="2" s="1"/>
  <c r="J2449" i="2" a="1"/>
  <c r="J2449" i="2" s="1"/>
  <c r="J2461" i="2" a="1"/>
  <c r="J2461" i="2" s="1"/>
  <c r="J2474" i="2" a="1"/>
  <c r="J2474" i="2" s="1"/>
  <c r="J2488" i="2" a="1"/>
  <c r="J2488" i="2" s="1"/>
  <c r="J2499" i="2" a="1"/>
  <c r="J2499" i="2" s="1"/>
  <c r="J2525" i="2" a="1"/>
  <c r="J2525" i="2" s="1"/>
  <c r="J2537" i="2" a="1"/>
  <c r="J2537" i="2" s="1"/>
  <c r="J2588" i="2" a="1"/>
  <c r="J2588" i="2" s="1"/>
  <c r="J2600" i="2" a="1"/>
  <c r="J2600" i="2" s="1"/>
  <c r="J2613" i="2" a="1"/>
  <c r="J2613" i="2" s="1"/>
  <c r="J2625" i="2" a="1"/>
  <c r="J2625" i="2" s="1"/>
  <c r="J2636" i="2" a="1"/>
  <c r="J2636" i="2" s="1"/>
  <c r="J2647" i="2" a="1"/>
  <c r="J2647" i="2" s="1"/>
  <c r="J2660" i="2" a="1"/>
  <c r="J2660" i="2" s="1"/>
  <c r="J2671" i="2" a="1"/>
  <c r="J2671" i="2" s="1"/>
  <c r="J2682" i="2" a="1"/>
  <c r="J2682" i="2" s="1"/>
  <c r="J2694" i="2" a="1"/>
  <c r="J2694" i="2" s="1"/>
  <c r="J2705" i="2" a="1"/>
  <c r="J2705" i="2" s="1"/>
  <c r="J2715" i="2" a="1"/>
  <c r="J2715" i="2" s="1"/>
  <c r="J2724" i="2" a="1"/>
  <c r="J2724" i="2" s="1"/>
  <c r="J2732" i="2" a="1"/>
  <c r="J2732" i="2" s="1"/>
  <c r="J2742" i="2" a="1"/>
  <c r="J2742" i="2" s="1"/>
  <c r="J2757" i="2" a="1"/>
  <c r="J2757" i="2" s="1"/>
  <c r="J2766" i="2" a="1"/>
  <c r="J2766" i="2" s="1"/>
  <c r="J2774" i="2" a="1"/>
  <c r="J2774" i="2" s="1"/>
  <c r="J2781" i="2" a="1"/>
  <c r="J2781" i="2" s="1"/>
  <c r="J2797" i="2" a="1"/>
  <c r="J2797" i="2" s="1"/>
  <c r="J2813" i="2" a="1"/>
  <c r="J2813" i="2" s="1"/>
  <c r="J2821" i="2" a="1"/>
  <c r="J2821" i="2" s="1"/>
  <c r="J2828" i="2" a="1"/>
  <c r="J2828" i="2" s="1"/>
  <c r="J2837" i="2" a="1"/>
  <c r="J2837" i="2" s="1"/>
  <c r="J2853" i="2" a="1"/>
  <c r="J2853" i="2" s="1"/>
  <c r="J2861" i="2" a="1"/>
  <c r="J2861" i="2" s="1"/>
  <c r="J2869" i="2" a="1"/>
  <c r="J2869" i="2" s="1"/>
  <c r="J2885" i="2" a="1"/>
  <c r="J2885" i="2" s="1"/>
  <c r="J2892" i="2" a="1"/>
  <c r="J2892" i="2" s="1"/>
  <c r="J2916" i="2" a="1"/>
  <c r="J2916" i="2" s="1"/>
  <c r="J2924" i="2" a="1"/>
  <c r="J2924" i="2" s="1"/>
  <c r="J2941" i="2" a="1"/>
  <c r="J2941" i="2" s="1"/>
  <c r="J2963" i="2" a="1"/>
  <c r="J2963" i="2" s="1"/>
  <c r="J2971" i="2" a="1"/>
  <c r="J2971" i="2" s="1"/>
  <c r="J2989" i="2" a="1"/>
  <c r="J2989" i="2" s="1"/>
  <c r="J2997" i="2" a="1"/>
  <c r="J2997" i="2" s="1"/>
  <c r="J3020" i="2" a="1"/>
  <c r="J3020" i="2" s="1"/>
  <c r="J3035" i="2" a="1"/>
  <c r="J3035" i="2" s="1"/>
  <c r="J3043" i="2" a="1"/>
  <c r="J3043" i="2" s="1"/>
  <c r="J3060" i="2" a="1"/>
  <c r="J3060" i="2" s="1"/>
  <c r="J3067" i="2" a="1"/>
  <c r="J3067" i="2" s="1"/>
  <c r="J3073" i="2" a="1"/>
  <c r="J3073" i="2" s="1"/>
  <c r="J3086" i="2" a="1"/>
  <c r="J3086" i="2" s="1"/>
  <c r="J3093" i="2" a="1"/>
  <c r="J3093" i="2" s="1"/>
  <c r="J3100" i="2" a="1"/>
  <c r="J3100" i="2" s="1"/>
  <c r="J3107" i="2" a="1"/>
  <c r="J3107" i="2" s="1"/>
  <c r="J3128" i="2" a="1"/>
  <c r="J3128" i="2" s="1"/>
  <c r="J3141" i="2" a="1"/>
  <c r="J3141" i="2" s="1"/>
  <c r="J3154" i="2" a="1"/>
  <c r="J3154" i="2" s="1"/>
  <c r="J388" i="2" a="1"/>
  <c r="J388" i="2" s="1"/>
  <c r="J754" i="2" a="1"/>
  <c r="J754" i="2" s="1"/>
  <c r="J915" i="2" a="1"/>
  <c r="J915" i="2" s="1"/>
  <c r="J1030" i="2" a="1"/>
  <c r="J1030" i="2" s="1"/>
  <c r="J1162" i="2" a="1"/>
  <c r="J1162" i="2" s="1"/>
  <c r="J1282" i="2" a="1"/>
  <c r="J1282" i="2" s="1"/>
  <c r="J1382" i="2" a="1"/>
  <c r="J1382" i="2" s="1"/>
  <c r="J1465" i="2" a="1"/>
  <c r="J1465" i="2" s="1"/>
  <c r="J1543" i="2" a="1"/>
  <c r="J1543" i="2" s="1"/>
  <c r="J1615" i="2" a="1"/>
  <c r="J1615" i="2" s="1"/>
  <c r="J1666" i="2" a="1"/>
  <c r="J1666" i="2" s="1"/>
  <c r="J1787" i="2" a="1"/>
  <c r="J1787" i="2" s="1"/>
  <c r="J1834" i="2" a="1"/>
  <c r="J1834" i="2" s="1"/>
  <c r="J1857" i="2" a="1"/>
  <c r="J1857" i="2" s="1"/>
  <c r="J1880" i="2" a="1"/>
  <c r="J1880" i="2" s="1"/>
  <c r="J1899" i="2" a="1"/>
  <c r="J1899" i="2" s="1"/>
  <c r="J1949" i="2" a="1"/>
  <c r="J1949" i="2" s="1"/>
  <c r="J1969" i="2" a="1"/>
  <c r="J1969" i="2" s="1"/>
  <c r="J1989" i="2" a="1"/>
  <c r="J1989" i="2" s="1"/>
  <c r="J2010" i="2" a="1"/>
  <c r="J2010" i="2" s="1"/>
  <c r="J2032" i="2" a="1"/>
  <c r="J2032" i="2" s="1"/>
  <c r="J2054" i="2" a="1"/>
  <c r="J2054" i="2" s="1"/>
  <c r="J2076" i="2" a="1"/>
  <c r="J2076" i="2" s="1"/>
  <c r="J2094" i="2" a="1"/>
  <c r="J2094" i="2" s="1"/>
  <c r="J2125" i="2" a="1"/>
  <c r="J2125" i="2" s="1"/>
  <c r="J2138" i="2" a="1"/>
  <c r="J2138" i="2" s="1"/>
  <c r="J2152" i="2" a="1"/>
  <c r="J2152" i="2" s="1"/>
  <c r="J2181" i="2" a="1"/>
  <c r="J2181" i="2" s="1"/>
  <c r="J2192" i="2" a="1"/>
  <c r="J2192" i="2" s="1"/>
  <c r="J2219" i="2" a="1"/>
  <c r="J2219" i="2" s="1"/>
  <c r="J2233" i="2" a="1"/>
  <c r="J2233" i="2" s="1"/>
  <c r="J2261" i="2" a="1"/>
  <c r="J2261" i="2" s="1"/>
  <c r="J2279" i="2" a="1"/>
  <c r="J2279" i="2" s="1"/>
  <c r="J2294" i="2" a="1"/>
  <c r="J2294" i="2" s="1"/>
  <c r="J2310" i="2" a="1"/>
  <c r="J2310" i="2" s="1"/>
  <c r="J2327" i="2" a="1"/>
  <c r="J2327" i="2" s="1"/>
  <c r="J2344" i="2" a="1"/>
  <c r="J2344" i="2" s="1"/>
  <c r="J2392" i="2" a="1"/>
  <c r="J2392" i="2" s="1"/>
  <c r="J2408" i="2" a="1"/>
  <c r="J2408" i="2" s="1"/>
  <c r="J2437" i="2" a="1"/>
  <c r="J2437" i="2" s="1"/>
  <c r="J2451" i="2" a="1"/>
  <c r="J2451" i="2" s="1"/>
  <c r="J2475" i="2" a="1"/>
  <c r="J2475" i="2" s="1"/>
  <c r="J2489" i="2" a="1"/>
  <c r="J2489" i="2" s="1"/>
  <c r="J2500" i="2" a="1"/>
  <c r="J2500" i="2" s="1"/>
  <c r="J2513" i="2" a="1"/>
  <c r="J2513" i="2" s="1"/>
  <c r="J2538" i="2" a="1"/>
  <c r="J2538" i="2" s="1"/>
  <c r="J2550" i="2" a="1"/>
  <c r="J2550" i="2" s="1"/>
  <c r="J2575" i="2" a="1"/>
  <c r="J2575" i="2" s="1"/>
  <c r="J2589" i="2" a="1"/>
  <c r="J2589" i="2" s="1"/>
  <c r="J2602" i="2" a="1"/>
  <c r="J2602" i="2" s="1"/>
  <c r="J2614" i="2" a="1"/>
  <c r="J2614" i="2" s="1"/>
  <c r="J2627" i="2" a="1"/>
  <c r="J2627" i="2" s="1"/>
  <c r="J2637" i="2" a="1"/>
  <c r="J2637" i="2" s="1"/>
  <c r="J2648" i="2" a="1"/>
  <c r="J2648" i="2" s="1"/>
  <c r="J2661" i="2" a="1"/>
  <c r="J2661" i="2" s="1"/>
  <c r="J2683" i="2" a="1"/>
  <c r="J2683" i="2" s="1"/>
  <c r="J2695" i="2" a="1"/>
  <c r="J2695" i="2" s="1"/>
  <c r="J2725" i="2" a="1"/>
  <c r="J2725" i="2" s="1"/>
  <c r="J2750" i="2" a="1"/>
  <c r="J2750" i="2" s="1"/>
  <c r="J2758" i="2" a="1"/>
  <c r="J2758" i="2" s="1"/>
  <c r="J2767" i="2" a="1"/>
  <c r="J2767" i="2" s="1"/>
  <c r="J2775" i="2" a="1"/>
  <c r="J2775" i="2" s="1"/>
  <c r="J2782" i="2" a="1"/>
  <c r="J2782" i="2" s="1"/>
  <c r="J2789" i="2" a="1"/>
  <c r="J2789" i="2" s="1"/>
  <c r="J2804" i="2" a="1"/>
  <c r="J2804" i="2" s="1"/>
  <c r="J2829" i="2" a="1"/>
  <c r="J2829" i="2" s="1"/>
  <c r="J2845" i="2" a="1"/>
  <c r="J2845" i="2" s="1"/>
  <c r="J2854" i="2" a="1"/>
  <c r="J2854" i="2" s="1"/>
  <c r="J2876" i="2" a="1"/>
  <c r="J2876" i="2" s="1"/>
  <c r="J2893" i="2" a="1"/>
  <c r="J2893" i="2" s="1"/>
  <c r="J2900" i="2" a="1"/>
  <c r="J2900" i="2" s="1"/>
  <c r="J2909" i="2" a="1"/>
  <c r="J2909" i="2" s="1"/>
  <c r="J2917" i="2" a="1"/>
  <c r="J2917" i="2" s="1"/>
  <c r="J2925" i="2" a="1"/>
  <c r="J2925" i="2" s="1"/>
  <c r="J2933" i="2" a="1"/>
  <c r="J2933" i="2" s="1"/>
  <c r="J2948" i="2" a="1"/>
  <c r="J2948" i="2" s="1"/>
  <c r="J2957" i="2" a="1"/>
  <c r="J2957" i="2" s="1"/>
  <c r="J2964" i="2" a="1"/>
  <c r="J2964" i="2" s="1"/>
  <c r="J2981" i="2" a="1"/>
  <c r="J2981" i="2" s="1"/>
  <c r="J2990" i="2" a="1"/>
  <c r="J2990" i="2" s="1"/>
  <c r="J2998" i="2" a="1"/>
  <c r="J2998" i="2" s="1"/>
  <c r="J3005" i="2" a="1"/>
  <c r="J3005" i="2" s="1"/>
  <c r="J3014" i="2" a="1"/>
  <c r="J3014" i="2" s="1"/>
  <c r="J3021" i="2" a="1"/>
  <c r="J3021" i="2" s="1"/>
  <c r="J3029" i="2" a="1"/>
  <c r="J3029" i="2" s="1"/>
  <c r="J3036" i="2" a="1"/>
  <c r="J3036" i="2" s="1"/>
  <c r="J3053" i="2" a="1"/>
  <c r="J3053" i="2" s="1"/>
  <c r="J391" i="2" a="1"/>
  <c r="J391" i="2" s="1"/>
  <c r="J756" i="2" a="1"/>
  <c r="J756" i="2" s="1"/>
  <c r="J922" i="2" a="1"/>
  <c r="J922" i="2" s="1"/>
  <c r="J1037" i="2" a="1"/>
  <c r="J1037" i="2" s="1"/>
  <c r="J1170" i="2" a="1"/>
  <c r="J1170" i="2" s="1"/>
  <c r="J1288" i="2" a="1"/>
  <c r="J1288" i="2" s="1"/>
  <c r="J1466" i="2" a="1"/>
  <c r="J1466" i="2" s="1"/>
  <c r="J1667" i="2" a="1"/>
  <c r="J1667" i="2" s="1"/>
  <c r="J1724" i="2" a="1"/>
  <c r="J1724" i="2" s="1"/>
  <c r="J1790" i="2" a="1"/>
  <c r="J1790" i="2" s="1"/>
  <c r="J1837" i="2" a="1"/>
  <c r="J1837" i="2" s="1"/>
  <c r="J1858" i="2" a="1"/>
  <c r="J1858" i="2" s="1"/>
  <c r="J1882" i="2" a="1"/>
  <c r="J1882" i="2" s="1"/>
  <c r="J1900" i="2" a="1"/>
  <c r="J1900" i="2" s="1"/>
  <c r="J1931" i="2" a="1"/>
  <c r="J1931" i="2" s="1"/>
  <c r="J1950" i="2" a="1"/>
  <c r="J1950" i="2" s="1"/>
  <c r="J1991" i="2" a="1"/>
  <c r="J1991" i="2" s="1"/>
  <c r="J2012" i="2" a="1"/>
  <c r="J2012" i="2" s="1"/>
  <c r="J2034" i="2" a="1"/>
  <c r="J2034" i="2" s="1"/>
  <c r="J2056" i="2" a="1"/>
  <c r="J2056" i="2" s="1"/>
  <c r="J2078" i="2" a="1"/>
  <c r="J2078" i="2" s="1"/>
  <c r="J2096" i="2" a="1"/>
  <c r="J2096" i="2" s="1"/>
  <c r="J2112" i="2" a="1"/>
  <c r="J2112" i="2" s="1"/>
  <c r="J2153" i="2" a="1"/>
  <c r="J2153" i="2" s="1"/>
  <c r="J2167" i="2" a="1"/>
  <c r="J2167" i="2" s="1"/>
  <c r="J2194" i="2" a="1"/>
  <c r="J2194" i="2" s="1"/>
  <c r="J2208" i="2" a="1"/>
  <c r="J2208" i="2" s="1"/>
  <c r="J2220" i="2" a="1"/>
  <c r="J2220" i="2" s="1"/>
  <c r="J2235" i="2" a="1"/>
  <c r="J2235" i="2" s="1"/>
  <c r="J2246" i="2" a="1"/>
  <c r="J2246" i="2" s="1"/>
  <c r="J2262" i="2" a="1"/>
  <c r="J2262" i="2" s="1"/>
  <c r="J2328" i="2" a="1"/>
  <c r="J2328" i="2" s="1"/>
  <c r="J2345" i="2" a="1"/>
  <c r="J2345" i="2" s="1"/>
  <c r="J2359" i="2" a="1"/>
  <c r="J2359" i="2" s="1"/>
  <c r="J2376" i="2" a="1"/>
  <c r="J2376" i="2" s="1"/>
  <c r="J2393" i="2" a="1"/>
  <c r="J2393" i="2" s="1"/>
  <c r="J2411" i="2" a="1"/>
  <c r="J2411" i="2" s="1"/>
  <c r="J2424" i="2" a="1"/>
  <c r="J2424" i="2" s="1"/>
  <c r="J2438" i="2" a="1"/>
  <c r="J2438" i="2" s="1"/>
  <c r="J2452" i="2" a="1"/>
  <c r="J2452" i="2" s="1"/>
  <c r="J2462" i="2" a="1"/>
  <c r="J2462" i="2" s="1"/>
  <c r="J2490" i="2" a="1"/>
  <c r="J2490" i="2" s="1"/>
  <c r="J2501" i="2" a="1"/>
  <c r="J2501" i="2" s="1"/>
  <c r="J2514" i="2" a="1"/>
  <c r="J2514" i="2" s="1"/>
  <c r="J2527" i="2" a="1"/>
  <c r="J2527" i="2" s="1"/>
  <c r="J2552" i="2" a="1"/>
  <c r="J2552" i="2" s="1"/>
  <c r="J2564" i="2" a="1"/>
  <c r="J2564" i="2" s="1"/>
  <c r="J2576" i="2" a="1"/>
  <c r="J2576" i="2" s="1"/>
  <c r="J2591" i="2" a="1"/>
  <c r="J2591" i="2" s="1"/>
  <c r="J2603" i="2" a="1"/>
  <c r="J2603" i="2" s="1"/>
  <c r="J2615" i="2" a="1"/>
  <c r="J2615" i="2" s="1"/>
  <c r="J2638" i="2" a="1"/>
  <c r="J2638" i="2" s="1"/>
  <c r="J2650" i="2" a="1"/>
  <c r="J2650" i="2" s="1"/>
  <c r="J2662" i="2" a="1"/>
  <c r="J2662" i="2" s="1"/>
  <c r="J2672" i="2" a="1"/>
  <c r="J2672" i="2" s="1"/>
  <c r="J2684" i="2" a="1"/>
  <c r="J2684" i="2" s="1"/>
  <c r="J2696" i="2" a="1"/>
  <c r="J2696" i="2" s="1"/>
  <c r="J2716" i="2" a="1"/>
  <c r="J2716" i="2" s="1"/>
  <c r="J2734" i="2" a="1"/>
  <c r="J2734" i="2" s="1"/>
  <c r="J2743" i="2" a="1"/>
  <c r="J2743" i="2" s="1"/>
  <c r="J2751" i="2" a="1"/>
  <c r="J2751" i="2" s="1"/>
  <c r="J2798" i="2" a="1"/>
  <c r="J2798" i="2" s="1"/>
  <c r="J2805" i="2" a="1"/>
  <c r="J2805" i="2" s="1"/>
  <c r="J2814" i="2" a="1"/>
  <c r="J2814" i="2" s="1"/>
  <c r="J2822" i="2" a="1"/>
  <c r="J2822" i="2" s="1"/>
  <c r="J2830" i="2" a="1"/>
  <c r="J2830" i="2" s="1"/>
  <c r="J2838" i="2" a="1"/>
  <c r="J2838" i="2" s="1"/>
  <c r="J2846" i="2" a="1"/>
  <c r="J2846" i="2" s="1"/>
  <c r="J2862" i="2" a="1"/>
  <c r="J2862" i="2" s="1"/>
  <c r="J2870" i="2" a="1"/>
  <c r="J2870" i="2" s="1"/>
  <c r="J2877" i="2" a="1"/>
  <c r="J2877" i="2" s="1"/>
  <c r="J2886" i="2" a="1"/>
  <c r="J2886" i="2" s="1"/>
  <c r="J2901" i="2" a="1"/>
  <c r="J2901" i="2" s="1"/>
  <c r="J2918" i="2" a="1"/>
  <c r="J2918" i="2" s="1"/>
  <c r="J2926" i="2" a="1"/>
  <c r="J2926" i="2" s="1"/>
  <c r="J2942" i="2" a="1"/>
  <c r="J2942" i="2" s="1"/>
  <c r="J2949" i="2" a="1"/>
  <c r="J2949" i="2" s="1"/>
  <c r="J2965" i="2" a="1"/>
  <c r="J2965" i="2" s="1"/>
  <c r="J2972" i="2" a="1"/>
  <c r="J2972" i="2" s="1"/>
  <c r="J2982" i="2" a="1"/>
  <c r="J2982" i="2" s="1"/>
  <c r="J2991" i="2" a="1"/>
  <c r="J2991" i="2" s="1"/>
  <c r="J3006" i="2" a="1"/>
  <c r="J3006" i="2" s="1"/>
  <c r="J3015" i="2" a="1"/>
  <c r="J3015" i="2" s="1"/>
  <c r="J3037" i="2" a="1"/>
  <c r="J3037" i="2" s="1"/>
  <c r="J3044" i="2" a="1"/>
  <c r="J3044" i="2" s="1"/>
  <c r="J3061" i="2" a="1"/>
  <c r="J3061" i="2" s="1"/>
  <c r="J3068" i="2" a="1"/>
  <c r="J3068" i="2" s="1"/>
  <c r="J422" i="2" a="1"/>
  <c r="J422" i="2" s="1"/>
  <c r="J766" i="2" a="1"/>
  <c r="J766" i="2" s="1"/>
  <c r="J925" i="2" a="1"/>
  <c r="J925" i="2" s="1"/>
  <c r="J1040" i="2" a="1"/>
  <c r="J1040" i="2" s="1"/>
  <c r="J1173" i="2" a="1"/>
  <c r="J1173" i="2" s="1"/>
  <c r="J1291" i="2" a="1"/>
  <c r="J1291" i="2" s="1"/>
  <c r="J1389" i="2" a="1"/>
  <c r="J1389" i="2" s="1"/>
  <c r="J1468" i="2" a="1"/>
  <c r="J1468" i="2" s="1"/>
  <c r="J1549" i="2" a="1"/>
  <c r="J1549" i="2" s="1"/>
  <c r="J1617" i="2" a="1"/>
  <c r="J1617" i="2" s="1"/>
  <c r="J1670" i="2" a="1"/>
  <c r="J1670" i="2" s="1"/>
  <c r="J1765" i="2" a="1"/>
  <c r="J1765" i="2" s="1"/>
  <c r="J1792" i="2" a="1"/>
  <c r="J1792" i="2" s="1"/>
  <c r="J1860" i="2" a="1"/>
  <c r="J1860" i="2" s="1"/>
  <c r="J1883" i="2" a="1"/>
  <c r="J1883" i="2" s="1"/>
  <c r="J1901" i="2" a="1"/>
  <c r="J1901" i="2" s="1"/>
  <c r="J1916" i="2" a="1"/>
  <c r="J1916" i="2" s="1"/>
  <c r="J1932" i="2" a="1"/>
  <c r="J1932" i="2" s="1"/>
  <c r="J1951" i="2" a="1"/>
  <c r="J1951" i="2" s="1"/>
  <c r="J1971" i="2" a="1"/>
  <c r="J1971" i="2" s="1"/>
  <c r="J1992" i="2" a="1"/>
  <c r="J1992" i="2" s="1"/>
  <c r="J2013" i="2" a="1"/>
  <c r="J2013" i="2" s="1"/>
  <c r="J2035" i="2" a="1"/>
  <c r="J2035" i="2" s="1"/>
  <c r="J2057" i="2" a="1"/>
  <c r="J2057" i="2" s="1"/>
  <c r="J2098" i="2" a="1"/>
  <c r="J2098" i="2" s="1"/>
  <c r="J2126" i="2" a="1"/>
  <c r="J2126" i="2" s="1"/>
  <c r="J2140" i="2" a="1"/>
  <c r="J2140" i="2" s="1"/>
  <c r="J2169" i="2" a="1"/>
  <c r="J2169" i="2" s="1"/>
  <c r="J2182" i="2" a="1"/>
  <c r="J2182" i="2" s="1"/>
  <c r="J2196" i="2" a="1"/>
  <c r="J2196" i="2" s="1"/>
  <c r="J2209" i="2" a="1"/>
  <c r="J2209" i="2" s="1"/>
  <c r="J2221" i="2" a="1"/>
  <c r="J2221" i="2" s="1"/>
  <c r="J2265" i="2" a="1"/>
  <c r="J2265" i="2" s="1"/>
  <c r="J2280" i="2" a="1"/>
  <c r="J2280" i="2" s="1"/>
  <c r="J2312" i="2" a="1"/>
  <c r="J2312" i="2" s="1"/>
  <c r="J2329" i="2" a="1"/>
  <c r="J2329" i="2" s="1"/>
  <c r="J2346" i="2" a="1"/>
  <c r="J2346" i="2" s="1"/>
  <c r="J2362" i="2" a="1"/>
  <c r="J2362" i="2" s="1"/>
  <c r="J2379" i="2" a="1"/>
  <c r="J2379" i="2" s="1"/>
  <c r="J2394" i="2" a="1"/>
  <c r="J2394" i="2" s="1"/>
  <c r="J2412" i="2" a="1"/>
  <c r="J2412" i="2" s="1"/>
  <c r="J2439" i="2" a="1"/>
  <c r="J2439" i="2" s="1"/>
  <c r="J2464" i="2" a="1"/>
  <c r="J2464" i="2" s="1"/>
  <c r="J2477" i="2" a="1"/>
  <c r="J2477" i="2" s="1"/>
  <c r="J2515" i="2" a="1"/>
  <c r="J2515" i="2" s="1"/>
  <c r="J2540" i="2" a="1"/>
  <c r="J2540" i="2" s="1"/>
  <c r="J2553" i="2" a="1"/>
  <c r="J2553" i="2" s="1"/>
  <c r="J2565" i="2" a="1"/>
  <c r="J2565" i="2" s="1"/>
  <c r="J2578" i="2" a="1"/>
  <c r="J2578" i="2" s="1"/>
  <c r="J2617" i="2" a="1"/>
  <c r="J2617" i="2" s="1"/>
  <c r="J2628" i="2" a="1"/>
  <c r="J2628" i="2" s="1"/>
  <c r="J2639" i="2" a="1"/>
  <c r="J2639" i="2" s="1"/>
  <c r="J2651" i="2" a="1"/>
  <c r="J2651" i="2" s="1"/>
  <c r="J2663" i="2" a="1"/>
  <c r="J2663" i="2" s="1"/>
  <c r="J2674" i="2" a="1"/>
  <c r="J2674" i="2" s="1"/>
  <c r="J2685" i="2" a="1"/>
  <c r="J2685" i="2" s="1"/>
  <c r="J2697" i="2" a="1"/>
  <c r="J2697" i="2" s="1"/>
  <c r="J2707" i="2" a="1"/>
  <c r="J2707" i="2" s="1"/>
  <c r="J2727" i="2" a="1"/>
  <c r="J2727" i="2" s="1"/>
  <c r="J2735" i="2" a="1"/>
  <c r="J2735" i="2" s="1"/>
  <c r="J2759" i="2" a="1"/>
  <c r="J2759" i="2" s="1"/>
  <c r="J2768" i="2" a="1"/>
  <c r="J2768" i="2" s="1"/>
  <c r="J2776" i="2" a="1"/>
  <c r="J2776" i="2" s="1"/>
  <c r="J2783" i="2" a="1"/>
  <c r="J2783" i="2" s="1"/>
  <c r="J2790" i="2" a="1"/>
  <c r="J2790" i="2" s="1"/>
  <c r="J519" i="2" a="1"/>
  <c r="J519" i="2" s="1"/>
  <c r="J800" i="2" a="1"/>
  <c r="J800" i="2" s="1"/>
  <c r="J947" i="2" a="1"/>
  <c r="J947" i="2" s="1"/>
  <c r="J1062" i="2" a="1"/>
  <c r="J1062" i="2" s="1"/>
  <c r="J1195" i="2" a="1"/>
  <c r="J1195" i="2" s="1"/>
  <c r="J1311" i="2" a="1"/>
  <c r="J1311" i="2" s="1"/>
  <c r="J1402" i="2" a="1"/>
  <c r="J1402" i="2" s="1"/>
  <c r="J1565" i="2" a="1"/>
  <c r="J1565" i="2" s="1"/>
  <c r="J1628" i="2" a="1"/>
  <c r="J1628" i="2" s="1"/>
  <c r="J1683" i="2" a="1"/>
  <c r="J1683" i="2" s="1"/>
  <c r="J1766" i="2" a="1"/>
  <c r="J1766" i="2" s="1"/>
  <c r="J1817" i="2" a="1"/>
  <c r="J1817" i="2" s="1"/>
  <c r="J1840" i="2" a="1"/>
  <c r="J1840" i="2" s="1"/>
  <c r="J1863" i="2" a="1"/>
  <c r="J1863" i="2" s="1"/>
  <c r="J1917" i="2" a="1"/>
  <c r="J1917" i="2" s="1"/>
  <c r="J1934" i="2" a="1"/>
  <c r="J1934" i="2" s="1"/>
  <c r="J1953" i="2" a="1"/>
  <c r="J1953" i="2" s="1"/>
  <c r="J1972" i="2" a="1"/>
  <c r="J1972" i="2" s="1"/>
  <c r="J1993" i="2" a="1"/>
  <c r="J1993" i="2" s="1"/>
  <c r="J2014" i="2" a="1"/>
  <c r="J2014" i="2" s="1"/>
  <c r="J2036" i="2" a="1"/>
  <c r="J2036" i="2" s="1"/>
  <c r="J2059" i="2" a="1"/>
  <c r="J2059" i="2" s="1"/>
  <c r="J2099" i="2" a="1"/>
  <c r="J2099" i="2" s="1"/>
  <c r="J2141" i="2" a="1"/>
  <c r="J2141" i="2" s="1"/>
  <c r="J2183" i="2" a="1"/>
  <c r="J2183" i="2" s="1"/>
  <c r="J2223" i="2" a="1"/>
  <c r="J2223" i="2" s="1"/>
  <c r="J2236" i="2" a="1"/>
  <c r="J2236" i="2" s="1"/>
  <c r="J2250" i="2" a="1"/>
  <c r="J2250" i="2" s="1"/>
  <c r="J2266" i="2" a="1"/>
  <c r="J2266" i="2" s="1"/>
  <c r="J2281" i="2" a="1"/>
  <c r="J2281" i="2" s="1"/>
  <c r="J2298" i="2" a="1"/>
  <c r="J2298" i="2" s="1"/>
  <c r="J2315" i="2" a="1"/>
  <c r="J2315" i="2" s="1"/>
  <c r="J2331" i="2" a="1"/>
  <c r="J2331" i="2" s="1"/>
  <c r="J2364" i="2" a="1"/>
  <c r="J2364" i="2" s="1"/>
  <c r="J2380" i="2" a="1"/>
  <c r="J2380" i="2" s="1"/>
  <c r="J2413" i="2" a="1"/>
  <c r="J2413" i="2" s="1"/>
  <c r="J2426" i="2" a="1"/>
  <c r="J2426" i="2" s="1"/>
  <c r="J2453" i="2" a="1"/>
  <c r="J2453" i="2" s="1"/>
  <c r="J2465" i="2" a="1"/>
  <c r="J2465" i="2" s="1"/>
  <c r="J2479" i="2" a="1"/>
  <c r="J2479" i="2" s="1"/>
  <c r="J2491" i="2" a="1"/>
  <c r="J2491" i="2" s="1"/>
  <c r="J2503" i="2" a="1"/>
  <c r="J2503" i="2" s="1"/>
  <c r="J2517" i="2" a="1"/>
  <c r="J2517" i="2" s="1"/>
  <c r="J2528" i="2" a="1"/>
  <c r="J2528" i="2" s="1"/>
  <c r="J2541" i="2" a="1"/>
  <c r="J2541" i="2" s="1"/>
  <c r="J2555" i="2" a="1"/>
  <c r="J2555" i="2" s="1"/>
  <c r="J2566" i="2" a="1"/>
  <c r="J2566" i="2" s="1"/>
  <c r="J2579" i="2" a="1"/>
  <c r="J2579" i="2" s="1"/>
  <c r="J2593" i="2" a="1"/>
  <c r="J2593" i="2" s="1"/>
  <c r="J2604" i="2" a="1"/>
  <c r="J2604" i="2" s="1"/>
  <c r="J2629" i="2" a="1"/>
  <c r="J2629" i="2" s="1"/>
  <c r="J2640" i="2" a="1"/>
  <c r="J2640" i="2" s="1"/>
  <c r="J2652" i="2" a="1"/>
  <c r="J2652" i="2" s="1"/>
  <c r="J2675" i="2" a="1"/>
  <c r="J2675" i="2" s="1"/>
  <c r="J2686" i="2" a="1"/>
  <c r="J2686" i="2" s="1"/>
  <c r="J2699" i="2" a="1"/>
  <c r="J2699" i="2" s="1"/>
  <c r="J2708" i="2" a="1"/>
  <c r="J2708" i="2" s="1"/>
  <c r="J2717" i="2" a="1"/>
  <c r="J2717" i="2" s="1"/>
  <c r="J2736" i="2" a="1"/>
  <c r="J2736" i="2" s="1"/>
  <c r="J2744" i="2" a="1"/>
  <c r="J2744" i="2" s="1"/>
  <c r="J2752" i="2" a="1"/>
  <c r="J2752" i="2" s="1"/>
  <c r="J2760" i="2" a="1"/>
  <c r="J2760" i="2" s="1"/>
  <c r="J2769" i="2" a="1"/>
  <c r="J2769" i="2" s="1"/>
  <c r="J2784" i="2" a="1"/>
  <c r="J2784" i="2" s="1"/>
  <c r="J2807" i="2" a="1"/>
  <c r="J2807" i="2" s="1"/>
  <c r="J2815" i="2" a="1"/>
  <c r="J2815" i="2" s="1"/>
  <c r="J2831" i="2" a="1"/>
  <c r="J2831" i="2" s="1"/>
  <c r="J2856" i="2" a="1"/>
  <c r="J2856" i="2" s="1"/>
  <c r="J2863" i="2" a="1"/>
  <c r="J2863" i="2" s="1"/>
  <c r="J2879" i="2" a="1"/>
  <c r="J2879" i="2" s="1"/>
  <c r="J2887" i="2" a="1"/>
  <c r="J2887" i="2" s="1"/>
  <c r="J2895" i="2" a="1"/>
  <c r="J2895" i="2" s="1"/>
  <c r="J2911" i="2" a="1"/>
  <c r="J2911" i="2" s="1"/>
  <c r="J2927" i="2" a="1"/>
  <c r="J2927" i="2" s="1"/>
  <c r="J2950" i="2" a="1"/>
  <c r="J2950" i="2" s="1"/>
  <c r="J2966" i="2" a="1"/>
  <c r="J2966" i="2" s="1"/>
  <c r="J2974" i="2" a="1"/>
  <c r="J2974" i="2" s="1"/>
  <c r="J2992" i="2" a="1"/>
  <c r="J2992" i="2" s="1"/>
  <c r="J3000" i="2" a="1"/>
  <c r="J3000" i="2" s="1"/>
  <c r="J3007" i="2" a="1"/>
  <c r="J3007" i="2" s="1"/>
  <c r="J3016" i="2" a="1"/>
  <c r="J3016" i="2" s="1"/>
  <c r="J3023" i="2" a="1"/>
  <c r="J3023" i="2" s="1"/>
  <c r="J3038" i="2" a="1"/>
  <c r="J3038" i="2" s="1"/>
  <c r="J3046" i="2" a="1"/>
  <c r="J3046" i="2" s="1"/>
  <c r="J3055" i="2" a="1"/>
  <c r="J3055" i="2" s="1"/>
  <c r="J3063" i="2" a="1"/>
  <c r="J3063" i="2" s="1"/>
  <c r="J3069" i="2" a="1"/>
  <c r="J3069" i="2" s="1"/>
  <c r="J3075" i="2" a="1"/>
  <c r="J3075" i="2" s="1"/>
  <c r="J3088" i="2" a="1"/>
  <c r="J3088" i="2" s="1"/>
  <c r="J3102" i="2" a="1"/>
  <c r="J3102" i="2" s="1"/>
  <c r="J3109" i="2" a="1"/>
  <c r="J3109" i="2" s="1"/>
  <c r="J3116" i="2" a="1"/>
  <c r="J3116" i="2" s="1"/>
  <c r="J3123" i="2" a="1"/>
  <c r="J3123" i="2" s="1"/>
  <c r="J3130" i="2" a="1"/>
  <c r="J3130" i="2" s="1"/>
  <c r="J3143" i="2" a="1"/>
  <c r="J3143" i="2" s="1"/>
  <c r="J3164" i="2" a="1"/>
  <c r="J3164" i="2" s="1"/>
  <c r="J3171" i="2" a="1"/>
  <c r="J3171" i="2" s="1"/>
  <c r="J3198" i="2" a="1"/>
  <c r="J3198" i="2" s="1"/>
  <c r="J3205" i="2" a="1"/>
  <c r="J3205" i="2" s="1"/>
  <c r="J3212" i="2" a="1"/>
  <c r="J3212" i="2" s="1"/>
  <c r="J3225" i="2" a="1"/>
  <c r="J3225" i="2" s="1"/>
  <c r="J3239" i="2" a="1"/>
  <c r="J3239" i="2" s="1"/>
  <c r="J3260" i="2" a="1"/>
  <c r="J3260" i="2" s="1"/>
  <c r="J3275" i="2" a="1"/>
  <c r="J3275" i="2" s="1"/>
  <c r="J3283" i="2" a="1"/>
  <c r="J3283" i="2" s="1"/>
  <c r="J3297" i="2" a="1"/>
  <c r="J3297" i="2" s="1"/>
  <c r="J3305" i="2" a="1"/>
  <c r="J3305" i="2" s="1"/>
  <c r="J3353" i="2" a="1"/>
  <c r="J3353" i="2" s="1"/>
  <c r="J3361" i="2" a="1"/>
  <c r="J3361" i="2" s="1"/>
  <c r="J3378" i="2" a="1"/>
  <c r="J3378" i="2" s="1"/>
  <c r="J3386" i="2" a="1"/>
  <c r="J3386" i="2" s="1"/>
  <c r="J3412" i="2" a="1"/>
  <c r="J3412" i="2" s="1"/>
  <c r="J3421" i="2" a="1"/>
  <c r="J3421" i="2" s="1"/>
  <c r="J3429" i="2" a="1"/>
  <c r="J3429" i="2" s="1"/>
  <c r="J521" i="2" a="1"/>
  <c r="J521" i="2" s="1"/>
  <c r="J801" i="2" a="1"/>
  <c r="J801" i="2" s="1"/>
  <c r="J955" i="2" a="1"/>
  <c r="J955" i="2" s="1"/>
  <c r="J1069" i="2" a="1"/>
  <c r="J1069" i="2" s="1"/>
  <c r="J1203" i="2" a="1"/>
  <c r="J1203" i="2" s="1"/>
  <c r="J1312" i="2" a="1"/>
  <c r="J1312" i="2" s="1"/>
  <c r="J1407" i="2" a="1"/>
  <c r="J1407" i="2" s="1"/>
  <c r="J1567" i="2" a="1"/>
  <c r="J1567" i="2" s="1"/>
  <c r="J1629" i="2" a="1"/>
  <c r="J1629" i="2" s="1"/>
  <c r="J1685" i="2" a="1"/>
  <c r="J1685" i="2" s="1"/>
  <c r="J1736" i="2" a="1"/>
  <c r="J1736" i="2" s="1"/>
  <c r="J1768" i="2" a="1"/>
  <c r="J1768" i="2" s="1"/>
  <c r="J1796" i="2" a="1"/>
  <c r="J1796" i="2" s="1"/>
  <c r="J1819" i="2" a="1"/>
  <c r="J1819" i="2" s="1"/>
  <c r="J1866" i="2" a="1"/>
  <c r="J1866" i="2" s="1"/>
  <c r="J1887" i="2" a="1"/>
  <c r="J1887" i="2" s="1"/>
  <c r="J1904" i="2" a="1"/>
  <c r="J1904" i="2" s="1"/>
  <c r="J1919" i="2" a="1"/>
  <c r="J1919" i="2" s="1"/>
  <c r="J1937" i="2" a="1"/>
  <c r="J1937" i="2" s="1"/>
  <c r="J1956" i="2" a="1"/>
  <c r="J1956" i="2" s="1"/>
  <c r="J1975" i="2" a="1"/>
  <c r="J1975" i="2" s="1"/>
  <c r="J1996" i="2" a="1"/>
  <c r="J1996" i="2" s="1"/>
  <c r="J2017" i="2" a="1"/>
  <c r="J2017" i="2" s="1"/>
  <c r="J2038" i="2" a="1"/>
  <c r="J2038" i="2" s="1"/>
  <c r="J2062" i="2" a="1"/>
  <c r="J2062" i="2" s="1"/>
  <c r="J2082" i="2" a="1"/>
  <c r="J2082" i="2" s="1"/>
  <c r="J2100" i="2" a="1"/>
  <c r="J2100" i="2" s="1"/>
  <c r="J2116" i="2" a="1"/>
  <c r="J2116" i="2" s="1"/>
  <c r="J2128" i="2" a="1"/>
  <c r="J2128" i="2" s="1"/>
  <c r="J2142" i="2" a="1"/>
  <c r="J2142" i="2" s="1"/>
  <c r="J2157" i="2" a="1"/>
  <c r="J2157" i="2" s="1"/>
  <c r="J2197" i="2" a="1"/>
  <c r="J2197" i="2" s="1"/>
  <c r="J2224" i="2" a="1"/>
  <c r="J2224" i="2" s="1"/>
  <c r="J2237" i="2" a="1"/>
  <c r="J2237" i="2" s="1"/>
  <c r="J2268" i="2" a="1"/>
  <c r="J2268" i="2" s="1"/>
  <c r="J2283" i="2" a="1"/>
  <c r="J2283" i="2" s="1"/>
  <c r="J2299" i="2" a="1"/>
  <c r="J2299" i="2" s="1"/>
  <c r="J2316" i="2" a="1"/>
  <c r="J2316" i="2" s="1"/>
  <c r="J2332" i="2" a="1"/>
  <c r="J2332" i="2" s="1"/>
  <c r="J2347" i="2" a="1"/>
  <c r="J2347" i="2" s="1"/>
  <c r="J2365" i="2" a="1"/>
  <c r="J2365" i="2" s="1"/>
  <c r="J2382" i="2" a="1"/>
  <c r="J2382" i="2" s="1"/>
  <c r="J2397" i="2" a="1"/>
  <c r="J2397" i="2" s="1"/>
  <c r="J2414" i="2" a="1"/>
  <c r="J2414" i="2" s="1"/>
  <c r="J2428" i="2" a="1"/>
  <c r="J2428" i="2" s="1"/>
  <c r="J2441" i="2" a="1"/>
  <c r="J2441" i="2" s="1"/>
  <c r="J2454" i="2" a="1"/>
  <c r="J2454" i="2" s="1"/>
  <c r="J2480" i="2" a="1"/>
  <c r="J2480" i="2" s="1"/>
  <c r="J2505" i="2" a="1"/>
  <c r="J2505" i="2" s="1"/>
  <c r="J2518" i="2" a="1"/>
  <c r="J2518" i="2" s="1"/>
  <c r="J2529" i="2" a="1"/>
  <c r="J2529" i="2" s="1"/>
  <c r="J2543" i="2" a="1"/>
  <c r="J2543" i="2" s="1"/>
  <c r="J2567" i="2" a="1"/>
  <c r="J2567" i="2" s="1"/>
  <c r="J2581" i="2" a="1"/>
  <c r="J2581" i="2" s="1"/>
  <c r="J2594" i="2" a="1"/>
  <c r="J2594" i="2" s="1"/>
  <c r="J2605" i="2" a="1"/>
  <c r="J2605" i="2" s="1"/>
  <c r="J2618" i="2" a="1"/>
  <c r="J2618" i="2" s="1"/>
  <c r="J2630" i="2" a="1"/>
  <c r="J2630" i="2" s="1"/>
  <c r="J2641" i="2" a="1"/>
  <c r="J2641" i="2" s="1"/>
  <c r="J2653" i="2" a="1"/>
  <c r="J2653" i="2" s="1"/>
  <c r="J2665" i="2" a="1"/>
  <c r="J2665" i="2" s="1"/>
  <c r="J2687" i="2" a="1"/>
  <c r="J2687" i="2" s="1"/>
  <c r="J2709" i="2" a="1"/>
  <c r="J2709" i="2" s="1"/>
  <c r="J2718" i="2" a="1"/>
  <c r="J2718" i="2" s="1"/>
  <c r="J2728" i="2" a="1"/>
  <c r="J2728" i="2" s="1"/>
  <c r="J2745" i="2" a="1"/>
  <c r="J2745" i="2" s="1"/>
  <c r="J2753" i="2" a="1"/>
  <c r="J2753" i="2" s="1"/>
  <c r="J2761" i="2" a="1"/>
  <c r="J2761" i="2" s="1"/>
  <c r="J2777" i="2" a="1"/>
  <c r="J2777" i="2" s="1"/>
  <c r="J2791" i="2" a="1"/>
  <c r="J2791" i="2" s="1"/>
  <c r="J2800" i="2" a="1"/>
  <c r="J2800" i="2" s="1"/>
  <c r="J2808" i="2" a="1"/>
  <c r="J2808" i="2" s="1"/>
  <c r="J2824" i="2" a="1"/>
  <c r="J2824" i="2" s="1"/>
  <c r="J2840" i="2" a="1"/>
  <c r="J2840" i="2" s="1"/>
  <c r="J2848" i="2" a="1"/>
  <c r="J2848" i="2" s="1"/>
  <c r="J2872" i="2" a="1"/>
  <c r="J2872" i="2" s="1"/>
  <c r="J2880" i="2" a="1"/>
  <c r="J2880" i="2" s="1"/>
  <c r="J2903" i="2" a="1"/>
  <c r="J2903" i="2" s="1"/>
  <c r="J2920" i="2" a="1"/>
  <c r="J2920" i="2" s="1"/>
  <c r="J2928" i="2" a="1"/>
  <c r="J2928" i="2" s="1"/>
  <c r="J2935" i="2" a="1"/>
  <c r="J2935" i="2" s="1"/>
  <c r="J2944" i="2" a="1"/>
  <c r="J2944" i="2" s="1"/>
  <c r="J2951" i="2" a="1"/>
  <c r="J2951" i="2" s="1"/>
  <c r="J545" i="2" a="1"/>
  <c r="J545" i="2" s="1"/>
  <c r="J811" i="2" a="1"/>
  <c r="J811" i="2" s="1"/>
  <c r="J957" i="2" a="1"/>
  <c r="J957" i="2" s="1"/>
  <c r="J1072" i="2" a="1"/>
  <c r="J1072" i="2" s="1"/>
  <c r="J1205" i="2" a="1"/>
  <c r="J1205" i="2" s="1"/>
  <c r="J1315" i="2" a="1"/>
  <c r="J1315" i="2" s="1"/>
  <c r="J1409" i="2" a="1"/>
  <c r="J1409" i="2" s="1"/>
  <c r="J1488" i="2" a="1"/>
  <c r="J1488" i="2" s="1"/>
  <c r="J1569" i="2" a="1"/>
  <c r="J1569" i="2" s="1"/>
  <c r="J1630" i="2" a="1"/>
  <c r="J1630" i="2" s="1"/>
  <c r="J1686" i="2" a="1"/>
  <c r="J1686" i="2" s="1"/>
  <c r="J1737" i="2" a="1"/>
  <c r="J1737" i="2" s="1"/>
  <c r="J1769" i="2" a="1"/>
  <c r="J1769" i="2" s="1"/>
  <c r="J1797" i="2" a="1"/>
  <c r="J1797" i="2" s="1"/>
  <c r="J1843" i="2" a="1"/>
  <c r="J1843" i="2" s="1"/>
  <c r="J1867" i="2" a="1"/>
  <c r="J1867" i="2" s="1"/>
  <c r="J1888" i="2" a="1"/>
  <c r="J1888" i="2" s="1"/>
  <c r="J1920" i="2" a="1"/>
  <c r="J1920" i="2" s="1"/>
  <c r="J1938" i="2" a="1"/>
  <c r="J1938" i="2" s="1"/>
  <c r="J1957" i="2" a="1"/>
  <c r="J1957" i="2" s="1"/>
  <c r="J1976" i="2" a="1"/>
  <c r="J1976" i="2" s="1"/>
  <c r="J1997" i="2" a="1"/>
  <c r="J1997" i="2" s="1"/>
  <c r="J2018" i="2" a="1"/>
  <c r="J2018" i="2" s="1"/>
  <c r="J2039" i="2" a="1"/>
  <c r="J2039" i="2" s="1"/>
  <c r="J2063" i="2" a="1"/>
  <c r="J2063" i="2" s="1"/>
  <c r="J2083" i="2" a="1"/>
  <c r="J2083" i="2" s="1"/>
  <c r="J2117" i="2" a="1"/>
  <c r="J2117" i="2" s="1"/>
  <c r="J2130" i="2" a="1"/>
  <c r="J2130" i="2" s="1"/>
  <c r="J2173" i="2" a="1"/>
  <c r="J2173" i="2" s="1"/>
  <c r="J2185" i="2" a="1"/>
  <c r="J2185" i="2" s="1"/>
  <c r="J2212" i="2" a="1"/>
  <c r="J2212" i="2" s="1"/>
  <c r="J2226" i="2" a="1"/>
  <c r="J2226" i="2" s="1"/>
  <c r="J2251" i="2" a="1"/>
  <c r="J2251" i="2" s="1"/>
  <c r="J2270" i="2" a="1"/>
  <c r="J2270" i="2" s="1"/>
  <c r="J2284" i="2" a="1"/>
  <c r="J2284" i="2" s="1"/>
  <c r="J2300" i="2" a="1"/>
  <c r="J2300" i="2" s="1"/>
  <c r="J2317" i="2" a="1"/>
  <c r="J2317" i="2" s="1"/>
  <c r="J2349" i="2" a="1"/>
  <c r="J2349" i="2" s="1"/>
  <c r="J2383" i="2" a="1"/>
  <c r="J2383" i="2" s="1"/>
  <c r="J2398" i="2" a="1"/>
  <c r="J2398" i="2" s="1"/>
  <c r="J2415" i="2" a="1"/>
  <c r="J2415" i="2" s="1"/>
  <c r="J2429" i="2" a="1"/>
  <c r="J2429" i="2" s="1"/>
  <c r="J2442" i="2" a="1"/>
  <c r="J2442" i="2" s="1"/>
  <c r="J2455" i="2" a="1"/>
  <c r="J2455" i="2" s="1"/>
  <c r="J2467" i="2" a="1"/>
  <c r="J2467" i="2" s="1"/>
  <c r="J2481" i="2" a="1"/>
  <c r="J2481" i="2" s="1"/>
  <c r="J2493" i="2" a="1"/>
  <c r="J2493" i="2" s="1"/>
  <c r="J2506" i="2" a="1"/>
  <c r="J2506" i="2" s="1"/>
  <c r="J2519" i="2" a="1"/>
  <c r="J2519" i="2" s="1"/>
  <c r="J2531" i="2" a="1"/>
  <c r="J2531" i="2" s="1"/>
  <c r="J2544" i="2" a="1"/>
  <c r="J2544" i="2" s="1"/>
  <c r="J2556" i="2" a="1"/>
  <c r="J2556" i="2" s="1"/>
  <c r="J2568" i="2" a="1"/>
  <c r="J2568" i="2" s="1"/>
  <c r="J2595" i="2" a="1"/>
  <c r="J2595" i="2" s="1"/>
  <c r="J2606" i="2" a="1"/>
  <c r="J2606" i="2" s="1"/>
  <c r="J2619" i="2" a="1"/>
  <c r="J2619" i="2" s="1"/>
  <c r="J2632" i="2" a="1"/>
  <c r="J2632" i="2" s="1"/>
  <c r="J2666" i="2" a="1"/>
  <c r="J2666" i="2" s="1"/>
  <c r="J2676" i="2" a="1"/>
  <c r="J2676" i="2" s="1"/>
  <c r="J2689" i="2" a="1"/>
  <c r="J2689" i="2" s="1"/>
  <c r="J2700" i="2" a="1"/>
  <c r="J2700" i="2" s="1"/>
  <c r="J2710" i="2" a="1"/>
  <c r="J2710" i="2" s="1"/>
  <c r="J2738" i="2" a="1"/>
  <c r="J2738" i="2" s="1"/>
  <c r="J2762" i="2" a="1"/>
  <c r="J2762" i="2" s="1"/>
  <c r="J2770" i="2" a="1"/>
  <c r="J2770" i="2" s="1"/>
  <c r="J2785" i="2" a="1"/>
  <c r="J2785" i="2" s="1"/>
  <c r="J2792" i="2" a="1"/>
  <c r="J2792" i="2" s="1"/>
  <c r="J2816" i="2" a="1"/>
  <c r="J2816" i="2" s="1"/>
  <c r="J2832" i="2" a="1"/>
  <c r="J2832" i="2" s="1"/>
  <c r="J2841" i="2" a="1"/>
  <c r="J2841" i="2" s="1"/>
  <c r="J2849" i="2" a="1"/>
  <c r="J2849" i="2" s="1"/>
  <c r="J2857" i="2" a="1"/>
  <c r="J2857" i="2" s="1"/>
  <c r="J2864" i="2" a="1"/>
  <c r="J2864" i="2" s="1"/>
  <c r="J2888" i="2" a="1"/>
  <c r="J2888" i="2" s="1"/>
  <c r="J2896" i="2" a="1"/>
  <c r="J2896" i="2" s="1"/>
  <c r="J2912" i="2" a="1"/>
  <c r="J2912" i="2" s="1"/>
  <c r="J2936" i="2" a="1"/>
  <c r="J2936" i="2" s="1"/>
  <c r="J2952" i="2" a="1"/>
  <c r="J2952" i="2" s="1"/>
  <c r="J2975" i="2" a="1"/>
  <c r="J2975" i="2" s="1"/>
  <c r="J2985" i="2" a="1"/>
  <c r="J2985" i="2" s="1"/>
  <c r="J2993" i="2" a="1"/>
  <c r="J2993" i="2" s="1"/>
  <c r="J3001" i="2" a="1"/>
  <c r="J3001" i="2" s="1"/>
  <c r="J3009" i="2" a="1"/>
  <c r="J3009" i="2" s="1"/>
  <c r="J3017" i="2" a="1"/>
  <c r="J3017" i="2" s="1"/>
  <c r="J3047" i="2" a="1"/>
  <c r="J3047" i="2" s="1"/>
  <c r="J3056" i="2" a="1"/>
  <c r="J3056" i="2" s="1"/>
  <c r="J3064" i="2" a="1"/>
  <c r="J3064" i="2" s="1"/>
  <c r="J3070" i="2" a="1"/>
  <c r="J3070" i="2" s="1"/>
  <c r="J3076" i="2" a="1"/>
  <c r="J3076" i="2" s="1"/>
  <c r="J3083" i="2" a="1"/>
  <c r="J3083" i="2" s="1"/>
  <c r="J3103" i="2" a="1"/>
  <c r="J3103" i="2" s="1"/>
  <c r="J3117" i="2" a="1"/>
  <c r="J3117" i="2" s="1"/>
  <c r="J3124" i="2" a="1"/>
  <c r="J3124" i="2" s="1"/>
  <c r="J3131" i="2" a="1"/>
  <c r="J3131" i="2" s="1"/>
  <c r="J3144" i="2" a="1"/>
  <c r="J3144" i="2" s="1"/>
  <c r="J3158" i="2" a="1"/>
  <c r="J3158" i="2" s="1"/>
  <c r="J3165" i="2" a="1"/>
  <c r="J3165" i="2" s="1"/>
  <c r="J3172" i="2" a="1"/>
  <c r="J3172" i="2" s="1"/>
  <c r="J3179" i="2" a="1"/>
  <c r="J3179" i="2" s="1"/>
  <c r="J3199" i="2" a="1"/>
  <c r="J3199" i="2" s="1"/>
  <c r="J3213" i="2" a="1"/>
  <c r="J3213" i="2" s="1"/>
  <c r="J3226" i="2" a="1"/>
  <c r="J3226" i="2" s="1"/>
  <c r="J3233" i="2" a="1"/>
  <c r="J3233" i="2" s="1"/>
  <c r="J3240" i="2" a="1"/>
  <c r="J3240" i="2" s="1"/>
  <c r="J3254" i="2" a="1"/>
  <c r="J3254" i="2" s="1"/>
  <c r="J3261" i="2" a="1"/>
  <c r="J3261" i="2" s="1"/>
  <c r="J3269" i="2" a="1"/>
  <c r="J3269" i="2" s="1"/>
  <c r="J3277" i="2" a="1"/>
  <c r="J3277" i="2" s="1"/>
  <c r="J3298" i="2" a="1"/>
  <c r="J3298" i="2" s="1"/>
  <c r="J3307" i="2" a="1"/>
  <c r="J3307" i="2" s="1"/>
  <c r="J3314" i="2" a="1"/>
  <c r="J3314" i="2" s="1"/>
  <c r="J3336" i="2" a="1"/>
  <c r="J3336" i="2" s="1"/>
  <c r="J3346" i="2" a="1"/>
  <c r="J3346" i="2" s="1"/>
  <c r="J3355" i="2" a="1"/>
  <c r="J3355" i="2" s="1"/>
  <c r="J123" i="2" a="1"/>
  <c r="J123" i="2" s="1"/>
  <c r="J641" i="2" a="1"/>
  <c r="J641" i="2" s="1"/>
  <c r="J845" i="2" a="1"/>
  <c r="J845" i="2" s="1"/>
  <c r="J976" i="2" a="1"/>
  <c r="J976" i="2" s="1"/>
  <c r="J1096" i="2" a="1"/>
  <c r="J1096" i="2" s="1"/>
  <c r="J1228" i="2" a="1"/>
  <c r="J1228" i="2" s="1"/>
  <c r="J1335" i="2" a="1"/>
  <c r="J1335" i="2" s="1"/>
  <c r="J1426" i="2" a="1"/>
  <c r="J1426" i="2" s="1"/>
  <c r="J1584" i="2" a="1"/>
  <c r="J1584" i="2" s="1"/>
  <c r="J1640" i="2" a="1"/>
  <c r="J1640" i="2" s="1"/>
  <c r="J1738" i="2" a="1"/>
  <c r="J1738" i="2" s="1"/>
  <c r="J1824" i="2" a="1"/>
  <c r="J1824" i="2" s="1"/>
  <c r="J1846" i="2" a="1"/>
  <c r="J1846" i="2" s="1"/>
  <c r="J1890" i="2" a="1"/>
  <c r="J1890" i="2" s="1"/>
  <c r="J1906" i="2" a="1"/>
  <c r="J1906" i="2" s="1"/>
  <c r="J1922" i="2" a="1"/>
  <c r="J1922" i="2" s="1"/>
  <c r="J1959" i="2" a="1"/>
  <c r="J1959" i="2" s="1"/>
  <c r="J1978" i="2" a="1"/>
  <c r="J1978" i="2" s="1"/>
  <c r="J2000" i="2" a="1"/>
  <c r="J2000" i="2" s="1"/>
  <c r="J2021" i="2" a="1"/>
  <c r="J2021" i="2" s="1"/>
  <c r="J2042" i="2" a="1"/>
  <c r="J2042" i="2" s="1"/>
  <c r="J2103" i="2" a="1"/>
  <c r="J2103" i="2" s="1"/>
  <c r="J2131" i="2" a="1"/>
  <c r="J2131" i="2" s="1"/>
  <c r="J2144" i="2" a="1"/>
  <c r="J2144" i="2" s="1"/>
  <c r="J2158" i="2" a="1"/>
  <c r="J2158" i="2" s="1"/>
  <c r="J2200" i="2" a="1"/>
  <c r="J2200" i="2" s="1"/>
  <c r="J2213" i="2" a="1"/>
  <c r="J2213" i="2" s="1"/>
  <c r="J2227" i="2" a="1"/>
  <c r="J2227" i="2" s="1"/>
  <c r="J2239" i="2" a="1"/>
  <c r="J2239" i="2" s="1"/>
  <c r="J2252" i="2" a="1"/>
  <c r="J2252" i="2" s="1"/>
  <c r="J2271" i="2" a="1"/>
  <c r="J2271" i="2" s="1"/>
  <c r="J2303" i="2" a="1"/>
  <c r="J2303" i="2" s="1"/>
  <c r="J2335" i="2" a="1"/>
  <c r="J2335" i="2" s="1"/>
  <c r="J2350" i="2" a="1"/>
  <c r="J2350" i="2" s="1"/>
  <c r="J2366" i="2" a="1"/>
  <c r="J2366" i="2" s="1"/>
  <c r="J2401" i="2" a="1"/>
  <c r="J2401" i="2" s="1"/>
  <c r="J2417" i="2" a="1"/>
  <c r="J2417" i="2" s="1"/>
  <c r="J2443" i="2" a="1"/>
  <c r="J2443" i="2" s="1"/>
  <c r="J2469" i="2" a="1"/>
  <c r="J2469" i="2" s="1"/>
  <c r="J2482" i="2" a="1"/>
  <c r="J2482" i="2" s="1"/>
  <c r="J2494" i="2" a="1"/>
  <c r="J2494" i="2" s="1"/>
  <c r="J2508" i="2" a="1"/>
  <c r="J2508" i="2" s="1"/>
  <c r="J2557" i="2" a="1"/>
  <c r="J2557" i="2" s="1"/>
  <c r="J2569" i="2" a="1"/>
  <c r="J2569" i="2" s="1"/>
  <c r="J2583" i="2" a="1"/>
  <c r="J2583" i="2" s="1"/>
  <c r="J2596" i="2" a="1"/>
  <c r="J2596" i="2" s="1"/>
  <c r="J2607" i="2" a="1"/>
  <c r="J2607" i="2" s="1"/>
  <c r="J2620" i="2" a="1"/>
  <c r="J2620" i="2" s="1"/>
  <c r="J2642" i="2" a="1"/>
  <c r="J2642" i="2" s="1"/>
  <c r="J2655" i="2" a="1"/>
  <c r="J2655" i="2" s="1"/>
  <c r="J2667" i="2" a="1"/>
  <c r="J2667" i="2" s="1"/>
  <c r="J2677" i="2" a="1"/>
  <c r="J2677" i="2" s="1"/>
  <c r="J2701" i="2" a="1"/>
  <c r="J2701" i="2" s="1"/>
  <c r="J2711" i="2" a="1"/>
  <c r="J2711" i="2" s="1"/>
  <c r="J2719" i="2" a="1"/>
  <c r="J2719" i="2" s="1"/>
  <c r="J2729" i="2" a="1"/>
  <c r="J2729" i="2" s="1"/>
  <c r="J2739" i="2" a="1"/>
  <c r="J2739" i="2" s="1"/>
  <c r="J2746" i="2" a="1"/>
  <c r="J2746" i="2" s="1"/>
  <c r="J2754" i="2" a="1"/>
  <c r="J2754" i="2" s="1"/>
  <c r="J2763" i="2" a="1"/>
  <c r="J2763" i="2" s="1"/>
  <c r="J2771" i="2" a="1"/>
  <c r="J2771" i="2" s="1"/>
  <c r="J2778" i="2" a="1"/>
  <c r="J2778" i="2" s="1"/>
  <c r="J2793" i="2" a="1"/>
  <c r="J2793" i="2" s="1"/>
  <c r="J2801" i="2" a="1"/>
  <c r="J2801" i="2" s="1"/>
  <c r="J2809" i="2" a="1"/>
  <c r="J2809" i="2" s="1"/>
  <c r="J2817" i="2" a="1"/>
  <c r="J2817" i="2" s="1"/>
  <c r="J2825" i="2" a="1"/>
  <c r="J2825" i="2" s="1"/>
  <c r="J2833" i="2" a="1"/>
  <c r="J2833" i="2" s="1"/>
  <c r="J2858" i="2" a="1"/>
  <c r="J2858" i="2" s="1"/>
  <c r="J2865" i="2" a="1"/>
  <c r="J2865" i="2" s="1"/>
  <c r="J2873" i="2" a="1"/>
  <c r="J2873" i="2" s="1"/>
  <c r="J2881" i="2" a="1"/>
  <c r="J2881" i="2" s="1"/>
  <c r="J2889" i="2" a="1"/>
  <c r="J2889" i="2" s="1"/>
  <c r="J2904" i="2" a="1"/>
  <c r="J2904" i="2" s="1"/>
  <c r="J2913" i="2" a="1"/>
  <c r="J2913" i="2" s="1"/>
  <c r="J2921" i="2" a="1"/>
  <c r="J2921" i="2" s="1"/>
  <c r="J2929" i="2" a="1"/>
  <c r="J2929" i="2" s="1"/>
  <c r="J2937" i="2" a="1"/>
  <c r="J2937" i="2" s="1"/>
  <c r="J2945" i="2" a="1"/>
  <c r="J2945" i="2" s="1"/>
  <c r="J2960" i="2" a="1"/>
  <c r="J2960" i="2" s="1"/>
  <c r="J2968" i="2" a="1"/>
  <c r="J2968" i="2" s="1"/>
  <c r="J2976" i="2" a="1"/>
  <c r="J2976" i="2" s="1"/>
  <c r="J3010" i="2" a="1"/>
  <c r="J3010" i="2" s="1"/>
  <c r="J3025" i="2" a="1"/>
  <c r="J3025" i="2" s="1"/>
  <c r="J3032" i="2" a="1"/>
  <c r="J3032" i="2" s="1"/>
  <c r="J3040" i="2" a="1"/>
  <c r="J3040" i="2" s="1"/>
  <c r="J3048" i="2" a="1"/>
  <c r="J3048" i="2" s="1"/>
  <c r="J3057" i="2" a="1"/>
  <c r="J3057" i="2" s="1"/>
  <c r="J3077" i="2" a="1"/>
  <c r="J3077" i="2" s="1"/>
  <c r="J3090" i="2" a="1"/>
  <c r="J3090" i="2" s="1"/>
  <c r="J3097" i="2" a="1"/>
  <c r="J3097" i="2" s="1"/>
  <c r="J3104" i="2" a="1"/>
  <c r="J3104" i="2" s="1"/>
  <c r="J3111" i="2" a="1"/>
  <c r="J3111" i="2" s="1"/>
  <c r="J3125" i="2" a="1"/>
  <c r="J3125" i="2" s="1"/>
  <c r="J3138" i="2" a="1"/>
  <c r="J3138" i="2" s="1"/>
  <c r="J3151" i="2" a="1"/>
  <c r="J3151" i="2" s="1"/>
  <c r="J3186" i="2" a="1"/>
  <c r="J3186" i="2" s="1"/>
  <c r="J3193" i="2" a="1"/>
  <c r="J3193" i="2" s="1"/>
  <c r="J3200" i="2" a="1"/>
  <c r="J3200" i="2" s="1"/>
  <c r="J3207" i="2" a="1"/>
  <c r="J3207" i="2" s="1"/>
  <c r="J3220" i="2" a="1"/>
  <c r="J3220" i="2" s="1"/>
  <c r="J3247" i="2" a="1"/>
  <c r="J3247" i="2" s="1"/>
  <c r="J3270" i="2" a="1"/>
  <c r="J3270" i="2" s="1"/>
  <c r="J3285" i="2" a="1"/>
  <c r="J3285" i="2" s="1"/>
  <c r="J3292" i="2" a="1"/>
  <c r="J3292" i="2" s="1"/>
  <c r="J3299" i="2" a="1"/>
  <c r="J3299" i="2" s="1"/>
  <c r="J3322" i="2" a="1"/>
  <c r="J3322" i="2" s="1"/>
  <c r="J3329" i="2" a="1"/>
  <c r="J3329" i="2" s="1"/>
  <c r="J3337" i="2" a="1"/>
  <c r="J3337" i="2" s="1"/>
  <c r="J3347" i="2" a="1"/>
  <c r="J3347" i="2" s="1"/>
  <c r="J3363" i="2" a="1"/>
  <c r="J3363" i="2" s="1"/>
  <c r="J3380" i="2" a="1"/>
  <c r="J3380" i="2" s="1"/>
  <c r="J3388" i="2" a="1"/>
  <c r="J3388" i="2" s="1"/>
  <c r="J3397" i="2" a="1"/>
  <c r="J3397" i="2" s="1"/>
  <c r="J3405" i="2" a="1"/>
  <c r="J3405" i="2" s="1"/>
  <c r="J3415" i="2" a="1"/>
  <c r="J3415" i="2" s="1"/>
  <c r="J3431" i="2" a="1"/>
  <c r="J3431" i="2" s="1"/>
  <c r="J126" i="2" a="1"/>
  <c r="J126" i="2" s="1"/>
  <c r="J644" i="2" a="1"/>
  <c r="J644" i="2" s="1"/>
  <c r="J847" i="2" a="1"/>
  <c r="J847" i="2" s="1"/>
  <c r="J981" i="2" a="1"/>
  <c r="J981" i="2" s="1"/>
  <c r="J1103" i="2" a="1"/>
  <c r="J1103" i="2" s="1"/>
  <c r="J1235" i="2" a="1"/>
  <c r="J1235" i="2" s="1"/>
  <c r="J1336" i="2" a="1"/>
  <c r="J1336" i="2" s="1"/>
  <c r="J1427" i="2" a="1"/>
  <c r="J1427" i="2" s="1"/>
  <c r="J1585" i="2" a="1"/>
  <c r="J1585" i="2" s="1"/>
  <c r="J1641" i="2" a="1"/>
  <c r="J1641" i="2" s="1"/>
  <c r="J1695" i="2" a="1"/>
  <c r="J1695" i="2" s="1"/>
  <c r="J1742" i="2" a="1"/>
  <c r="J1742" i="2" s="1"/>
  <c r="J1775" i="2" a="1"/>
  <c r="J1775" i="2" s="1"/>
  <c r="J1802" i="2" a="1"/>
  <c r="J1802" i="2" s="1"/>
  <c r="J1848" i="2" a="1"/>
  <c r="J1848" i="2" s="1"/>
  <c r="J1871" i="2" a="1"/>
  <c r="J1871" i="2" s="1"/>
  <c r="J1891" i="2" a="1"/>
  <c r="J1891" i="2" s="1"/>
  <c r="J1924" i="2" a="1"/>
  <c r="J1924" i="2" s="1"/>
  <c r="J1961" i="2" a="1"/>
  <c r="J1961" i="2" s="1"/>
  <c r="J1980" i="2" a="1"/>
  <c r="J1980" i="2" s="1"/>
  <c r="J2001" i="2" a="1"/>
  <c r="J2001" i="2" s="1"/>
  <c r="J2023" i="2" a="1"/>
  <c r="J2023" i="2" s="1"/>
  <c r="J2044" i="2" a="1"/>
  <c r="J2044" i="2" s="1"/>
  <c r="J2067" i="2" a="1"/>
  <c r="J2067" i="2" s="1"/>
  <c r="J2087" i="2" a="1"/>
  <c r="J2087" i="2" s="1"/>
  <c r="J2104" i="2" a="1"/>
  <c r="J2104" i="2" s="1"/>
  <c r="J2118" i="2" a="1"/>
  <c r="J2118" i="2" s="1"/>
  <c r="J2146" i="2" a="1"/>
  <c r="J2146" i="2" s="1"/>
  <c r="J2174" i="2" a="1"/>
  <c r="J2174" i="2" s="1"/>
  <c r="J2188" i="2" a="1"/>
  <c r="J2188" i="2" s="1"/>
  <c r="J2201" i="2" a="1"/>
  <c r="J2201" i="2" s="1"/>
  <c r="J2255" i="2" a="1"/>
  <c r="J2255" i="2" s="1"/>
  <c r="J2272" i="2" a="1"/>
  <c r="J2272" i="2" s="1"/>
  <c r="J2288" i="2" a="1"/>
  <c r="J2288" i="2" s="1"/>
  <c r="J2318" i="2" a="1"/>
  <c r="J2318" i="2" s="1"/>
  <c r="J2336" i="2" a="1"/>
  <c r="J2336" i="2" s="1"/>
  <c r="J2352" i="2" a="1"/>
  <c r="J2352" i="2" s="1"/>
  <c r="J2384" i="2" a="1"/>
  <c r="J2384" i="2" s="1"/>
  <c r="J2402" i="2" a="1"/>
  <c r="J2402" i="2" s="1"/>
  <c r="J2418" i="2" a="1"/>
  <c r="J2418" i="2" s="1"/>
  <c r="J2431" i="2" a="1"/>
  <c r="J2431" i="2" s="1"/>
  <c r="J2444" i="2" a="1"/>
  <c r="J2444" i="2" s="1"/>
  <c r="J2457" i="2" a="1"/>
  <c r="J2457" i="2" s="1"/>
  <c r="J2470" i="2" a="1"/>
  <c r="J2470" i="2" s="1"/>
  <c r="J2483" i="2" a="1"/>
  <c r="J2483" i="2" s="1"/>
  <c r="J2509" i="2" a="1"/>
  <c r="J2509" i="2" s="1"/>
  <c r="J2520" i="2" a="1"/>
  <c r="J2520" i="2" s="1"/>
  <c r="J2533" i="2" a="1"/>
  <c r="J2533" i="2" s="1"/>
  <c r="J2546" i="2" a="1"/>
  <c r="J2546" i="2" s="1"/>
  <c r="J2558" i="2" a="1"/>
  <c r="J2558" i="2" s="1"/>
  <c r="J2570" i="2" a="1"/>
  <c r="J2570" i="2" s="1"/>
  <c r="J2584" i="2" a="1"/>
  <c r="J2584" i="2" s="1"/>
  <c r="J2609" i="2" a="1"/>
  <c r="J2609" i="2" s="1"/>
  <c r="J2621" i="2" a="1"/>
  <c r="J2621" i="2" s="1"/>
  <c r="J2633" i="2" a="1"/>
  <c r="J2633" i="2" s="1"/>
  <c r="J2643" i="2" a="1"/>
  <c r="J2643" i="2" s="1"/>
  <c r="J2656" i="2" a="1"/>
  <c r="J2656" i="2" s="1"/>
  <c r="J2668" i="2" a="1"/>
  <c r="J2668" i="2" s="1"/>
  <c r="J2678" i="2" a="1"/>
  <c r="J2678" i="2" s="1"/>
  <c r="J2690" i="2" a="1"/>
  <c r="J2690" i="2" s="1"/>
  <c r="J2702" i="2" a="1"/>
  <c r="J2702" i="2" s="1"/>
  <c r="J2712" i="2" a="1"/>
  <c r="J2712" i="2" s="1"/>
  <c r="J2720" i="2" a="1"/>
  <c r="J2720" i="2" s="1"/>
  <c r="J2730" i="2" a="1"/>
  <c r="J2730" i="2" s="1"/>
  <c r="J2764" i="2" a="1"/>
  <c r="J2764" i="2" s="1"/>
  <c r="J2786" i="2" a="1"/>
  <c r="J2786" i="2" s="1"/>
  <c r="J2794" i="2" a="1"/>
  <c r="J2794" i="2" s="1"/>
  <c r="J2810" i="2" a="1"/>
  <c r="J2810" i="2" s="1"/>
  <c r="J2826" i="2" a="1"/>
  <c r="J2826" i="2" s="1"/>
  <c r="J2834" i="2" a="1"/>
  <c r="J2834" i="2" s="1"/>
  <c r="J2842" i="2" a="1"/>
  <c r="J2842" i="2" s="1"/>
  <c r="J2850" i="2" a="1"/>
  <c r="J2850" i="2" s="1"/>
  <c r="J2859" i="2" a="1"/>
  <c r="J2859" i="2" s="1"/>
  <c r="J2866" i="2" a="1"/>
  <c r="J2866" i="2" s="1"/>
  <c r="J2882" i="2" a="1"/>
  <c r="J2882" i="2" s="1"/>
  <c r="J2897" i="2" a="1"/>
  <c r="J2897" i="2" s="1"/>
  <c r="J2905" i="2" a="1"/>
  <c r="J2905" i="2" s="1"/>
  <c r="J2930" i="2" a="1"/>
  <c r="J2930" i="2" s="1"/>
  <c r="J2938" i="2" a="1"/>
  <c r="J2938" i="2" s="1"/>
  <c r="J2953" i="2" a="1"/>
  <c r="J2953" i="2" s="1"/>
  <c r="J2961" i="2" a="1"/>
  <c r="J2961" i="2" s="1"/>
  <c r="J2977" i="2" a="1"/>
  <c r="J2977" i="2" s="1"/>
  <c r="J2986" i="2" a="1"/>
  <c r="J2986" i="2" s="1"/>
  <c r="J2994" i="2" a="1"/>
  <c r="J2994" i="2" s="1"/>
  <c r="J3002" i="2" a="1"/>
  <c r="J3002" i="2" s="1"/>
  <c r="J3011" i="2" a="1"/>
  <c r="J3011" i="2" s="1"/>
  <c r="J3018" i="2" a="1"/>
  <c r="J3018" i="2" s="1"/>
  <c r="J3026" i="2" a="1"/>
  <c r="J3026" i="2" s="1"/>
  <c r="J3033" i="2" a="1"/>
  <c r="J3033" i="2" s="1"/>
  <c r="J3041" i="2" a="1"/>
  <c r="J3041" i="2" s="1"/>
  <c r="J3049" i="2" a="1"/>
  <c r="J3049" i="2" s="1"/>
  <c r="J3065" i="2" a="1"/>
  <c r="J3065" i="2" s="1"/>
  <c r="J3071" i="2" a="1"/>
  <c r="J3071" i="2" s="1"/>
  <c r="J3084" i="2" a="1"/>
  <c r="J3084" i="2" s="1"/>
  <c r="J3098" i="2" a="1"/>
  <c r="J3098" i="2" s="1"/>
  <c r="J3118" i="2" a="1"/>
  <c r="J3118" i="2" s="1"/>
  <c r="J158" i="2" a="1"/>
  <c r="J158" i="2" s="1"/>
  <c r="J669" i="2" a="1"/>
  <c r="J669" i="2" s="1"/>
  <c r="J856" i="2" a="1"/>
  <c r="J856" i="2" s="1"/>
  <c r="J984" i="2" a="1"/>
  <c r="J984" i="2" s="1"/>
  <c r="J1106" i="2" a="1"/>
  <c r="J1106" i="2" s="1"/>
  <c r="J1238" i="2" a="1"/>
  <c r="J1238" i="2" s="1"/>
  <c r="J1344" i="2" a="1"/>
  <c r="J1344" i="2" s="1"/>
  <c r="J1429" i="2" a="1"/>
  <c r="J1429" i="2" s="1"/>
  <c r="J1587" i="2" a="1"/>
  <c r="J1587" i="2" s="1"/>
  <c r="J1644" i="2" a="1"/>
  <c r="J1644" i="2" s="1"/>
  <c r="J1698" i="2" a="1"/>
  <c r="J1698" i="2" s="1"/>
  <c r="J1749" i="2" a="1"/>
  <c r="J1749" i="2" s="1"/>
  <c r="J1776" i="2" a="1"/>
  <c r="J1776" i="2" s="1"/>
  <c r="J1826" i="2" a="1"/>
  <c r="J1826" i="2" s="1"/>
  <c r="J1849" i="2" a="1"/>
  <c r="J1849" i="2" s="1"/>
  <c r="J1908" i="2" a="1"/>
  <c r="J1908" i="2" s="1"/>
  <c r="J1925" i="2" a="1"/>
  <c r="J1925" i="2" s="1"/>
  <c r="J1941" i="2" a="1"/>
  <c r="J1941" i="2" s="1"/>
  <c r="J1962" i="2" a="1"/>
  <c r="J1962" i="2" s="1"/>
  <c r="J1981" i="2" a="1"/>
  <c r="J1981" i="2" s="1"/>
  <c r="J2002" i="2" a="1"/>
  <c r="J2002" i="2" s="1"/>
  <c r="J2024" i="2" a="1"/>
  <c r="J2024" i="2" s="1"/>
  <c r="J2045" i="2" a="1"/>
  <c r="J2045" i="2" s="1"/>
  <c r="J2068" i="2" a="1"/>
  <c r="J2068" i="2" s="1"/>
  <c r="J2088" i="2" a="1"/>
  <c r="J2088" i="2" s="1"/>
  <c r="J2106" i="2" a="1"/>
  <c r="J2106" i="2" s="1"/>
  <c r="J2132" i="2" a="1"/>
  <c r="J2132" i="2" s="1"/>
  <c r="J2148" i="2" a="1"/>
  <c r="J2148" i="2" s="1"/>
  <c r="J2161" i="2" a="1"/>
  <c r="J2161" i="2" s="1"/>
  <c r="J2175" i="2" a="1"/>
  <c r="J2175" i="2" s="1"/>
  <c r="J2189" i="2" a="1"/>
  <c r="J2189" i="2" s="1"/>
  <c r="J2215" i="2" a="1"/>
  <c r="J2215" i="2" s="1"/>
  <c r="J2228" i="2" a="1"/>
  <c r="J2228" i="2" s="1"/>
  <c r="J2256" i="2" a="1"/>
  <c r="J2256" i="2" s="1"/>
  <c r="J2289" i="2" a="1"/>
  <c r="J2289" i="2" s="1"/>
  <c r="J2306" i="2" a="1"/>
  <c r="J2306" i="2" s="1"/>
  <c r="J2321" i="2" a="1"/>
  <c r="J2321" i="2" s="1"/>
  <c r="J2337" i="2" a="1"/>
  <c r="J2337" i="2" s="1"/>
  <c r="J2369" i="2" a="1"/>
  <c r="J2369" i="2" s="1"/>
  <c r="J2385" i="2" a="1"/>
  <c r="J2385" i="2" s="1"/>
  <c r="J2403" i="2" a="1"/>
  <c r="J2403" i="2" s="1"/>
  <c r="J2432" i="2" a="1"/>
  <c r="J2432" i="2" s="1"/>
  <c r="J2446" i="2" a="1"/>
  <c r="J2446" i="2" s="1"/>
  <c r="J2458" i="2" a="1"/>
  <c r="J2458" i="2" s="1"/>
  <c r="J2471" i="2" a="1"/>
  <c r="J2471" i="2" s="1"/>
  <c r="J2484" i="2" a="1"/>
  <c r="J2484" i="2" s="1"/>
  <c r="J2496" i="2" a="1"/>
  <c r="J2496" i="2" s="1"/>
  <c r="J2522" i="2" a="1"/>
  <c r="J2522" i="2" s="1"/>
  <c r="J2547" i="2" a="1"/>
  <c r="J2547" i="2" s="1"/>
  <c r="J2560" i="2" a="1"/>
  <c r="J2560" i="2" s="1"/>
  <c r="J2571" i="2" a="1"/>
  <c r="J2571" i="2" s="1"/>
  <c r="J2598" i="2" a="1"/>
  <c r="J2598" i="2" s="1"/>
  <c r="J2610" i="2" a="1"/>
  <c r="J2610" i="2" s="1"/>
  <c r="J2622" i="2" a="1"/>
  <c r="J2622" i="2" s="1"/>
  <c r="J2634" i="2" a="1"/>
  <c r="J2634" i="2" s="1"/>
  <c r="J2645" i="2" a="1"/>
  <c r="J2645" i="2" s="1"/>
  <c r="J1602" i="2" a="1"/>
  <c r="J1602" i="2" s="1"/>
  <c r="J1945" i="2" a="1"/>
  <c r="J1945" i="2" s="1"/>
  <c r="J2165" i="2" a="1"/>
  <c r="J2165" i="2" s="1"/>
  <c r="J2243" i="2" a="1"/>
  <c r="J2243" i="2" s="1"/>
  <c r="J2340" i="2" a="1"/>
  <c r="J2340" i="2" s="1"/>
  <c r="J2434" i="2" a="1"/>
  <c r="J2434" i="2" s="1"/>
  <c r="J2511" i="2" a="1"/>
  <c r="J2511" i="2" s="1"/>
  <c r="J2586" i="2" a="1"/>
  <c r="J2586" i="2" s="1"/>
  <c r="J2657" i="2" a="1"/>
  <c r="J2657" i="2" s="1"/>
  <c r="J2704" i="2" a="1"/>
  <c r="J2704" i="2" s="1"/>
  <c r="J2802" i="2" a="1"/>
  <c r="J2802" i="2" s="1"/>
  <c r="J2851" i="2" a="1"/>
  <c r="J2851" i="2" s="1"/>
  <c r="J2874" i="2" a="1"/>
  <c r="J2874" i="2" s="1"/>
  <c r="J2898" i="2" a="1"/>
  <c r="J2898" i="2" s="1"/>
  <c r="J2922" i="2" a="1"/>
  <c r="J2922" i="2" s="1"/>
  <c r="J2946" i="2" a="1"/>
  <c r="J2946" i="2" s="1"/>
  <c r="J2987" i="2" a="1"/>
  <c r="J2987" i="2" s="1"/>
  <c r="J3004" i="2" a="1"/>
  <c r="J3004" i="2" s="1"/>
  <c r="J3024" i="2" a="1"/>
  <c r="J3024" i="2" s="1"/>
  <c r="J3042" i="2" a="1"/>
  <c r="J3042" i="2" s="1"/>
  <c r="J3085" i="2" a="1"/>
  <c r="J3085" i="2" s="1"/>
  <c r="J3096" i="2" a="1"/>
  <c r="J3096" i="2" s="1"/>
  <c r="J3108" i="2" a="1"/>
  <c r="J3108" i="2" s="1"/>
  <c r="J3120" i="2" a="1"/>
  <c r="J3120" i="2" s="1"/>
  <c r="J3150" i="2" a="1"/>
  <c r="J3150" i="2" s="1"/>
  <c r="J3161" i="2" a="1"/>
  <c r="J3161" i="2" s="1"/>
  <c r="J3170" i="2" a="1"/>
  <c r="J3170" i="2" s="1"/>
  <c r="J3180" i="2" a="1"/>
  <c r="J3180" i="2" s="1"/>
  <c r="J3197" i="2" a="1"/>
  <c r="J3197" i="2" s="1"/>
  <c r="J3224" i="2" a="1"/>
  <c r="J3224" i="2" s="1"/>
  <c r="J3234" i="2" a="1"/>
  <c r="J3234" i="2" s="1"/>
  <c r="J3243" i="2" a="1"/>
  <c r="J3243" i="2" s="1"/>
  <c r="J3262" i="2" a="1"/>
  <c r="J3262" i="2" s="1"/>
  <c r="J3282" i="2" a="1"/>
  <c r="J3282" i="2" s="1"/>
  <c r="J3311" i="2" a="1"/>
  <c r="J3311" i="2" s="1"/>
  <c r="J3323" i="2" a="1"/>
  <c r="J3323" i="2" s="1"/>
  <c r="J3343" i="2" a="1"/>
  <c r="J3343" i="2" s="1"/>
  <c r="J3356" i="2" a="1"/>
  <c r="J3356" i="2" s="1"/>
  <c r="J3365" i="2" a="1"/>
  <c r="J3365" i="2" s="1"/>
  <c r="J3395" i="2" a="1"/>
  <c r="J3395" i="2" s="1"/>
  <c r="J3406" i="2" a="1"/>
  <c r="J3406" i="2" s="1"/>
  <c r="J3417" i="2" a="1"/>
  <c r="J3417" i="2" s="1"/>
  <c r="J3427" i="2" a="1"/>
  <c r="J3427" i="2" s="1"/>
  <c r="J3437" i="2" a="1"/>
  <c r="J3437" i="2" s="1"/>
  <c r="J3447" i="2" a="1"/>
  <c r="J3447" i="2" s="1"/>
  <c r="J3473" i="2" a="1"/>
  <c r="J3473" i="2" s="1"/>
  <c r="J3481" i="2" a="1"/>
  <c r="J3481" i="2" s="1"/>
  <c r="J3489" i="2" a="1"/>
  <c r="J3489" i="2" s="1"/>
  <c r="J3497" i="2" a="1"/>
  <c r="J3497" i="2" s="1"/>
  <c r="J3513" i="2" a="1"/>
  <c r="J3513" i="2" s="1"/>
  <c r="J3539" i="2" a="1"/>
  <c r="J3539" i="2" s="1"/>
  <c r="J3564" i="2" a="1"/>
  <c r="J3564" i="2" s="1"/>
  <c r="J3571" i="2" a="1"/>
  <c r="J3571" i="2" s="1"/>
  <c r="J3579" i="2" a="1"/>
  <c r="J3579" i="2" s="1"/>
  <c r="J3587" i="2" a="1"/>
  <c r="J3587" i="2" s="1"/>
  <c r="J3605" i="2" a="1"/>
  <c r="J3605" i="2" s="1"/>
  <c r="J3628" i="2" a="1"/>
  <c r="J3628" i="2" s="1"/>
  <c r="J3637" i="2" a="1"/>
  <c r="J3637" i="2" s="1"/>
  <c r="J3661" i="2" a="1"/>
  <c r="J3661" i="2" s="1"/>
  <c r="J3669" i="2" a="1"/>
  <c r="J3669" i="2" s="1"/>
  <c r="J3677" i="2" a="1"/>
  <c r="J3677" i="2" s="1"/>
  <c r="J3694" i="2" a="1"/>
  <c r="J3694" i="2" s="1"/>
  <c r="J3701" i="2" a="1"/>
  <c r="J3701" i="2" s="1"/>
  <c r="J3710" i="2" a="1"/>
  <c r="J3710" i="2" s="1"/>
  <c r="J3719" i="2" a="1"/>
  <c r="J3719" i="2" s="1"/>
  <c r="J3745" i="2" a="1"/>
  <c r="J3745" i="2" s="1"/>
  <c r="J3752" i="2" a="1"/>
  <c r="J3752" i="2" s="1"/>
  <c r="J3763" i="2" a="1"/>
  <c r="J3763" i="2" s="1"/>
  <c r="J3771" i="2" a="1"/>
  <c r="J3771" i="2" s="1"/>
  <c r="J3820" i="2" a="1"/>
  <c r="J3820" i="2" s="1"/>
  <c r="J3828" i="2" a="1"/>
  <c r="J3828" i="2" s="1"/>
  <c r="J3845" i="2" a="1"/>
  <c r="J3845" i="2" s="1"/>
  <c r="J3853" i="2" a="1"/>
  <c r="J3853" i="2" s="1"/>
  <c r="J3870" i="2" a="1"/>
  <c r="J3870" i="2" s="1"/>
  <c r="J3886" i="2" a="1"/>
  <c r="J3886" i="2" s="1"/>
  <c r="J3894" i="2" a="1"/>
  <c r="J3894" i="2" s="1"/>
  <c r="J3911" i="2" a="1"/>
  <c r="J3911" i="2" s="1"/>
  <c r="J3920" i="2" a="1"/>
  <c r="J3920" i="2" s="1"/>
  <c r="J3928" i="2" a="1"/>
  <c r="J3928" i="2" s="1"/>
  <c r="J3945" i="2" a="1"/>
  <c r="J3945" i="2" s="1"/>
  <c r="J3952" i="2" a="1"/>
  <c r="J3952" i="2" s="1"/>
  <c r="J3968" i="2" a="1"/>
  <c r="J3968" i="2" s="1"/>
  <c r="J3979" i="2" a="1"/>
  <c r="J3979" i="2" s="1"/>
  <c r="J3987" i="2" a="1"/>
  <c r="J3987" i="2" s="1"/>
  <c r="J3995" i="2" a="1"/>
  <c r="J3995" i="2" s="1"/>
  <c r="J4004" i="2" a="1"/>
  <c r="J4004" i="2" s="1"/>
  <c r="J4011" i="2" a="1"/>
  <c r="J4011" i="2" s="1"/>
  <c r="J4021" i="2" a="1"/>
  <c r="J4021" i="2" s="1"/>
  <c r="J4028" i="2" a="1"/>
  <c r="J4028" i="2" s="1"/>
  <c r="J4045" i="2" a="1"/>
  <c r="J4045" i="2" s="1"/>
  <c r="J4055" i="2" a="1"/>
  <c r="J4055" i="2" s="1"/>
  <c r="J4064" i="2" a="1"/>
  <c r="J4064" i="2" s="1"/>
  <c r="J4071" i="2" a="1"/>
  <c r="J4071" i="2" s="1"/>
  <c r="J4080" i="2" a="1"/>
  <c r="J4080" i="2" s="1"/>
  <c r="J4090" i="2" a="1"/>
  <c r="J4090" i="2" s="1"/>
  <c r="J4097" i="2" a="1"/>
  <c r="J4097" i="2" s="1"/>
  <c r="J4112" i="2" a="1"/>
  <c r="J4112" i="2" s="1"/>
  <c r="J4121" i="2" a="1"/>
  <c r="J4121" i="2" s="1"/>
  <c r="J4130" i="2" a="1"/>
  <c r="J4130" i="2" s="1"/>
  <c r="J4138" i="2" a="1"/>
  <c r="J4138" i="2" s="1"/>
  <c r="J4147" i="2" a="1"/>
  <c r="J4147" i="2" s="1"/>
  <c r="J4164" i="2" a="1"/>
  <c r="J4164" i="2" s="1"/>
  <c r="J4180" i="2" a="1"/>
  <c r="J4180" i="2" s="1"/>
  <c r="J4189" i="2" a="1"/>
  <c r="J4189" i="2" s="1"/>
  <c r="J4207" i="2" a="1"/>
  <c r="J4207" i="2" s="1"/>
  <c r="J4215" i="2" a="1"/>
  <c r="J4215" i="2" s="1"/>
  <c r="J4224" i="2" a="1"/>
  <c r="J4224" i="2" s="1"/>
  <c r="J4234" i="2" a="1"/>
  <c r="J4234" i="2" s="1"/>
  <c r="J4241" i="2" a="1"/>
  <c r="J4241" i="2" s="1"/>
  <c r="J4257" i="2" a="1"/>
  <c r="J4257" i="2" s="1"/>
  <c r="J4276" i="2" a="1"/>
  <c r="J4276" i="2" s="1"/>
  <c r="J4284" i="2" a="1"/>
  <c r="J4284" i="2" s="1"/>
  <c r="J4293" i="2" a="1"/>
  <c r="J4293" i="2" s="1"/>
  <c r="J4301" i="2" a="1"/>
  <c r="J4301" i="2" s="1"/>
  <c r="J4310" i="2" a="1"/>
  <c r="J4310" i="2" s="1"/>
  <c r="J4317" i="2" a="1"/>
  <c r="J4317" i="2" s="1"/>
  <c r="J1129" i="2" a="1"/>
  <c r="J1129" i="2" s="1"/>
  <c r="J1655" i="2" a="1"/>
  <c r="J1655" i="2" s="1"/>
  <c r="J2089" i="2" a="1"/>
  <c r="J2089" i="2" s="1"/>
  <c r="J2258" i="2" a="1"/>
  <c r="J2258" i="2" s="1"/>
  <c r="J2354" i="2" a="1"/>
  <c r="J2354" i="2" s="1"/>
  <c r="J2447" i="2" a="1"/>
  <c r="J2447" i="2" s="1"/>
  <c r="J2523" i="2" a="1"/>
  <c r="J2523" i="2" s="1"/>
  <c r="J2658" i="2" a="1"/>
  <c r="J2658" i="2" s="1"/>
  <c r="J2773" i="2" a="1"/>
  <c r="J2773" i="2" s="1"/>
  <c r="J2827" i="2" a="1"/>
  <c r="J2827" i="2" s="1"/>
  <c r="J2967" i="2" a="1"/>
  <c r="J2967" i="2" s="1"/>
  <c r="J3027" i="2" a="1"/>
  <c r="J3027" i="2" s="1"/>
  <c r="J3062" i="2" a="1"/>
  <c r="J3062" i="2" s="1"/>
  <c r="J3074" i="2" a="1"/>
  <c r="J3074" i="2" s="1"/>
  <c r="J3121" i="2" a="1"/>
  <c r="J3121" i="2" s="1"/>
  <c r="J3132" i="2" a="1"/>
  <c r="J3132" i="2" s="1"/>
  <c r="J3152" i="2" a="1"/>
  <c r="J3152" i="2" s="1"/>
  <c r="J3189" i="2" a="1"/>
  <c r="J3189" i="2" s="1"/>
  <c r="J3208" i="2" a="1"/>
  <c r="J3208" i="2" s="1"/>
  <c r="J3216" i="2" a="1"/>
  <c r="J3216" i="2" s="1"/>
  <c r="J3252" i="2" a="1"/>
  <c r="J3252" i="2" s="1"/>
  <c r="J3263" i="2" a="1"/>
  <c r="J3263" i="2" s="1"/>
  <c r="J3273" i="2" a="1"/>
  <c r="J3273" i="2" s="1"/>
  <c r="J3293" i="2" a="1"/>
  <c r="J3293" i="2" s="1"/>
  <c r="J3303" i="2" a="1"/>
  <c r="J3303" i="2" s="1"/>
  <c r="J3312" i="2" a="1"/>
  <c r="J3312" i="2" s="1"/>
  <c r="J3324" i="2" a="1"/>
  <c r="J3324" i="2" s="1"/>
  <c r="J3332" i="2" a="1"/>
  <c r="J3332" i="2" s="1"/>
  <c r="J3344" i="2" a="1"/>
  <c r="J3344" i="2" s="1"/>
  <c r="J3366" i="2" a="1"/>
  <c r="J3366" i="2" s="1"/>
  <c r="J3375" i="2" a="1"/>
  <c r="J3375" i="2" s="1"/>
  <c r="J3385" i="2" a="1"/>
  <c r="J3385" i="2" s="1"/>
  <c r="J3396" i="2" a="1"/>
  <c r="J3396" i="2" s="1"/>
  <c r="J3418" i="2" a="1"/>
  <c r="J3418" i="2" s="1"/>
  <c r="J3438" i="2" a="1"/>
  <c r="J3438" i="2" s="1"/>
  <c r="J3448" i="2" a="1"/>
  <c r="J3448" i="2" s="1"/>
  <c r="J3457" i="2" a="1"/>
  <c r="J3457" i="2" s="1"/>
  <c r="J3465" i="2" a="1"/>
  <c r="J3465" i="2" s="1"/>
  <c r="J3474" i="2" a="1"/>
  <c r="J3474" i="2" s="1"/>
  <c r="J3482" i="2" a="1"/>
  <c r="J3482" i="2" s="1"/>
  <c r="J3490" i="2" a="1"/>
  <c r="J3490" i="2" s="1"/>
  <c r="J3498" i="2" a="1"/>
  <c r="J3498" i="2" s="1"/>
  <c r="J3506" i="2" a="1"/>
  <c r="J3506" i="2" s="1"/>
  <c r="J3514" i="2" a="1"/>
  <c r="J3514" i="2" s="1"/>
  <c r="J3523" i="2" a="1"/>
  <c r="J3523" i="2" s="1"/>
  <c r="J3530" i="2" a="1"/>
  <c r="J3530" i="2" s="1"/>
  <c r="J3540" i="2" a="1"/>
  <c r="J3540" i="2" s="1"/>
  <c r="J3547" i="2" a="1"/>
  <c r="J3547" i="2" s="1"/>
  <c r="J3555" i="2" a="1"/>
  <c r="J3555" i="2" s="1"/>
  <c r="J3588" i="2" a="1"/>
  <c r="J3588" i="2" s="1"/>
  <c r="J3597" i="2" a="1"/>
  <c r="J3597" i="2" s="1"/>
  <c r="J3606" i="2" a="1"/>
  <c r="J3606" i="2" s="1"/>
  <c r="J3614" i="2" a="1"/>
  <c r="J3614" i="2" s="1"/>
  <c r="J3622" i="2" a="1"/>
  <c r="J3622" i="2" s="1"/>
  <c r="J3629" i="2" a="1"/>
  <c r="J3629" i="2" s="1"/>
  <c r="J3645" i="2" a="1"/>
  <c r="J3645" i="2" s="1"/>
  <c r="J3653" i="2" a="1"/>
  <c r="J3653" i="2" s="1"/>
  <c r="J3662" i="2" a="1"/>
  <c r="J3662" i="2" s="1"/>
  <c r="J3670" i="2" a="1"/>
  <c r="J3670" i="2" s="1"/>
  <c r="J3678" i="2" a="1"/>
  <c r="J3678" i="2" s="1"/>
  <c r="J3686" i="2" a="1"/>
  <c r="J3686" i="2" s="1"/>
  <c r="J3702" i="2" a="1"/>
  <c r="J3702" i="2" s="1"/>
  <c r="J3711" i="2" a="1"/>
  <c r="J3711" i="2" s="1"/>
  <c r="J3720" i="2" a="1"/>
  <c r="J3720" i="2" s="1"/>
  <c r="J3728" i="2" a="1"/>
  <c r="J3728" i="2" s="1"/>
  <c r="J3736" i="2" a="1"/>
  <c r="J3736" i="2" s="1"/>
  <c r="J3753" i="2" a="1"/>
  <c r="J3753" i="2" s="1"/>
  <c r="J3779" i="2" a="1"/>
  <c r="J3779" i="2" s="1"/>
  <c r="J3787" i="2" a="1"/>
  <c r="J3787" i="2" s="1"/>
  <c r="J3795" i="2" a="1"/>
  <c r="J3795" i="2" s="1"/>
  <c r="J3805" i="2" a="1"/>
  <c r="J3805" i="2" s="1"/>
  <c r="J3812" i="2" a="1"/>
  <c r="J3812" i="2" s="1"/>
  <c r="J3829" i="2" a="1"/>
  <c r="J3829" i="2" s="1"/>
  <c r="J3837" i="2" a="1"/>
  <c r="J3837" i="2" s="1"/>
  <c r="J3846" i="2" a="1"/>
  <c r="J3846" i="2" s="1"/>
  <c r="J3862" i="2" a="1"/>
  <c r="J3862" i="2" s="1"/>
  <c r="J3871" i="2" a="1"/>
  <c r="J3871" i="2" s="1"/>
  <c r="J3879" i="2" a="1"/>
  <c r="J3879" i="2" s="1"/>
  <c r="J3887" i="2" a="1"/>
  <c r="J3887" i="2" s="1"/>
  <c r="J3903" i="2" a="1"/>
  <c r="J3903" i="2" s="1"/>
  <c r="J3912" i="2" a="1"/>
  <c r="J3912" i="2" s="1"/>
  <c r="J3937" i="2" a="1"/>
  <c r="J3937" i="2" s="1"/>
  <c r="J3946" i="2" a="1"/>
  <c r="J3946" i="2" s="1"/>
  <c r="J3953" i="2" a="1"/>
  <c r="J3953" i="2" s="1"/>
  <c r="J3962" i="2" a="1"/>
  <c r="J3962" i="2" s="1"/>
  <c r="J1136" i="2" a="1"/>
  <c r="J1136" i="2" s="1"/>
  <c r="J1656" i="2" a="1"/>
  <c r="J1656" i="2" s="1"/>
  <c r="J1855" i="2" a="1"/>
  <c r="J1855" i="2" s="1"/>
  <c r="J1965" i="2" a="1"/>
  <c r="J1965" i="2" s="1"/>
  <c r="J2090" i="2" a="1"/>
  <c r="J2090" i="2" s="1"/>
  <c r="J2178" i="2" a="1"/>
  <c r="J2178" i="2" s="1"/>
  <c r="J2260" i="2" a="1"/>
  <c r="J2260" i="2" s="1"/>
  <c r="J2355" i="2" a="1"/>
  <c r="J2355" i="2" s="1"/>
  <c r="J2448" i="2" a="1"/>
  <c r="J2448" i="2" s="1"/>
  <c r="J2747" i="2" a="1"/>
  <c r="J2747" i="2" s="1"/>
  <c r="J2779" i="2" a="1"/>
  <c r="J2779" i="2" s="1"/>
  <c r="J2803" i="2" a="1"/>
  <c r="J2803" i="2" s="1"/>
  <c r="J2852" i="2" a="1"/>
  <c r="J2852" i="2" s="1"/>
  <c r="J2875" i="2" a="1"/>
  <c r="J2875" i="2" s="1"/>
  <c r="J2899" i="2" a="1"/>
  <c r="J2899" i="2" s="1"/>
  <c r="J2923" i="2" a="1"/>
  <c r="J2923" i="2" s="1"/>
  <c r="J2947" i="2" a="1"/>
  <c r="J2947" i="2" s="1"/>
  <c r="J2969" i="2" a="1"/>
  <c r="J2969" i="2" s="1"/>
  <c r="J2988" i="2" a="1"/>
  <c r="J2988" i="2" s="1"/>
  <c r="J3008" i="2" a="1"/>
  <c r="J3008" i="2" s="1"/>
  <c r="J3045" i="2" a="1"/>
  <c r="J3045" i="2" s="1"/>
  <c r="J3099" i="2" a="1"/>
  <c r="J3099" i="2" s="1"/>
  <c r="J3110" i="2" a="1"/>
  <c r="J3110" i="2" s="1"/>
  <c r="J3122" i="2" a="1"/>
  <c r="J3122" i="2" s="1"/>
  <c r="J3142" i="2" a="1"/>
  <c r="J3142" i="2" s="1"/>
  <c r="J3162" i="2" a="1"/>
  <c r="J3162" i="2" s="1"/>
  <c r="J3181" i="2" a="1"/>
  <c r="J3181" i="2" s="1"/>
  <c r="J3235" i="2" a="1"/>
  <c r="J3235" i="2" s="1"/>
  <c r="J3244" i="2" a="1"/>
  <c r="J3244" i="2" s="1"/>
  <c r="J3253" i="2" a="1"/>
  <c r="J3253" i="2" s="1"/>
  <c r="J3264" i="2" a="1"/>
  <c r="J3264" i="2" s="1"/>
  <c r="J3284" i="2" a="1"/>
  <c r="J3284" i="2" s="1"/>
  <c r="J3294" i="2" a="1"/>
  <c r="J3294" i="2" s="1"/>
  <c r="J3313" i="2" a="1"/>
  <c r="J3313" i="2" s="1"/>
  <c r="J3345" i="2" a="1"/>
  <c r="J3345" i="2" s="1"/>
  <c r="J3357" i="2" a="1"/>
  <c r="J3357" i="2" s="1"/>
  <c r="J3376" i="2" a="1"/>
  <c r="J3376" i="2" s="1"/>
  <c r="J3398" i="2" a="1"/>
  <c r="J3398" i="2" s="1"/>
  <c r="J3407" i="2" a="1"/>
  <c r="J3407" i="2" s="1"/>
  <c r="J3428" i="2" a="1"/>
  <c r="J3428" i="2" s="1"/>
  <c r="J3439" i="2" a="1"/>
  <c r="J3439" i="2" s="1"/>
  <c r="J3449" i="2" a="1"/>
  <c r="J3449" i="2" s="1"/>
  <c r="J3491" i="2" a="1"/>
  <c r="J3491" i="2" s="1"/>
  <c r="J3507" i="2" a="1"/>
  <c r="J3507" i="2" s="1"/>
  <c r="J3515" i="2" a="1"/>
  <c r="J3515" i="2" s="1"/>
  <c r="J3531" i="2" a="1"/>
  <c r="J3531" i="2" s="1"/>
  <c r="J3548" i="2" a="1"/>
  <c r="J3548" i="2" s="1"/>
  <c r="J3556" i="2" a="1"/>
  <c r="J3556" i="2" s="1"/>
  <c r="J3565" i="2" a="1"/>
  <c r="J3565" i="2" s="1"/>
  <c r="J3572" i="2" a="1"/>
  <c r="J3572" i="2" s="1"/>
  <c r="J3580" i="2" a="1"/>
  <c r="J3580" i="2" s="1"/>
  <c r="J3589" i="2" a="1"/>
  <c r="J3589" i="2" s="1"/>
  <c r="J3598" i="2" a="1"/>
  <c r="J3598" i="2" s="1"/>
  <c r="J3607" i="2" a="1"/>
  <c r="J3607" i="2" s="1"/>
  <c r="J3630" i="2" a="1"/>
  <c r="J3630" i="2" s="1"/>
  <c r="J3638" i="2" a="1"/>
  <c r="J3638" i="2" s="1"/>
  <c r="J3646" i="2" a="1"/>
  <c r="J3646" i="2" s="1"/>
  <c r="J3654" i="2" a="1"/>
  <c r="J3654" i="2" s="1"/>
  <c r="J3679" i="2" a="1"/>
  <c r="J3679" i="2" s="1"/>
  <c r="J3687" i="2" a="1"/>
  <c r="J3687" i="2" s="1"/>
  <c r="J3695" i="2" a="1"/>
  <c r="J3695" i="2" s="1"/>
  <c r="J3703" i="2" a="1"/>
  <c r="J3703" i="2" s="1"/>
  <c r="J3737" i="2" a="1"/>
  <c r="J3737" i="2" s="1"/>
  <c r="J3746" i="2" a="1"/>
  <c r="J3746" i="2" s="1"/>
  <c r="J3754" i="2" a="1"/>
  <c r="J3754" i="2" s="1"/>
  <c r="J3764" i="2" a="1"/>
  <c r="J3764" i="2" s="1"/>
  <c r="J3772" i="2" a="1"/>
  <c r="J3772" i="2" s="1"/>
  <c r="J3780" i="2" a="1"/>
  <c r="J3780" i="2" s="1"/>
  <c r="J3788" i="2" a="1"/>
  <c r="J3788" i="2" s="1"/>
  <c r="J3796" i="2" a="1"/>
  <c r="J3796" i="2" s="1"/>
  <c r="J3821" i="2" a="1"/>
  <c r="J3821" i="2" s="1"/>
  <c r="J3830" i="2" a="1"/>
  <c r="J3830" i="2" s="1"/>
  <c r="J3838" i="2" a="1"/>
  <c r="J3838" i="2" s="1"/>
  <c r="J3847" i="2" a="1"/>
  <c r="J3847" i="2" s="1"/>
  <c r="J3854" i="2" a="1"/>
  <c r="J3854" i="2" s="1"/>
  <c r="J3872" i="2" a="1"/>
  <c r="J3872" i="2" s="1"/>
  <c r="J3888" i="2" a="1"/>
  <c r="J3888" i="2" s="1"/>
  <c r="J3895" i="2" a="1"/>
  <c r="J3895" i="2" s="1"/>
  <c r="J3904" i="2" a="1"/>
  <c r="J3904" i="2" s="1"/>
  <c r="J3921" i="2" a="1"/>
  <c r="J3921" i="2" s="1"/>
  <c r="J3929" i="2" a="1"/>
  <c r="J3929" i="2" s="1"/>
  <c r="J3954" i="2" a="1"/>
  <c r="J3954" i="2" s="1"/>
  <c r="J3970" i="2" a="1"/>
  <c r="J3970" i="2" s="1"/>
  <c r="J3980" i="2" a="1"/>
  <c r="J3980" i="2" s="1"/>
  <c r="J4013" i="2" a="1"/>
  <c r="J4013" i="2" s="1"/>
  <c r="J4022" i="2" a="1"/>
  <c r="J4022" i="2" s="1"/>
  <c r="J4029" i="2" a="1"/>
  <c r="J4029" i="2" s="1"/>
  <c r="J4038" i="2" a="1"/>
  <c r="J4038" i="2" s="1"/>
  <c r="J4047" i="2" a="1"/>
  <c r="J4047" i="2" s="1"/>
  <c r="J4065" i="2" a="1"/>
  <c r="J4065" i="2" s="1"/>
  <c r="J4073" i="2" a="1"/>
  <c r="J4073" i="2" s="1"/>
  <c r="J4091" i="2" a="1"/>
  <c r="J4091" i="2" s="1"/>
  <c r="J4113" i="2" a="1"/>
  <c r="J4113" i="2" s="1"/>
  <c r="J4123" i="2" a="1"/>
  <c r="J4123" i="2" s="1"/>
  <c r="J4140" i="2" a="1"/>
  <c r="J4140" i="2" s="1"/>
  <c r="J4149" i="2" a="1"/>
  <c r="J4149" i="2" s="1"/>
  <c r="J4156" i="2" a="1"/>
  <c r="J4156" i="2" s="1"/>
  <c r="J4165" i="2" a="1"/>
  <c r="J4165" i="2" s="1"/>
  <c r="J4173" i="2" a="1"/>
  <c r="J4173" i="2" s="1"/>
  <c r="J4181" i="2" a="1"/>
  <c r="J4181" i="2" s="1"/>
  <c r="J4199" i="2" a="1"/>
  <c r="J4199" i="2" s="1"/>
  <c r="J4235" i="2" a="1"/>
  <c r="J4235" i="2" s="1"/>
  <c r="J4251" i="2" a="1"/>
  <c r="J4251" i="2" s="1"/>
  <c r="J4258" i="2" a="1"/>
  <c r="J4258" i="2" s="1"/>
  <c r="J4277" i="2" a="1"/>
  <c r="J4277" i="2" s="1"/>
  <c r="J4285" i="2" a="1"/>
  <c r="J4285" i="2" s="1"/>
  <c r="J4294" i="2" a="1"/>
  <c r="J4294" i="2" s="1"/>
  <c r="J4303" i="2" a="1"/>
  <c r="J4303" i="2" s="1"/>
  <c r="J4311" i="2" a="1"/>
  <c r="J4311" i="2" s="1"/>
  <c r="J4319" i="2" a="1"/>
  <c r="J4319" i="2" s="1"/>
  <c r="J1709" i="2" a="1"/>
  <c r="J1709" i="2" s="1"/>
  <c r="J1873" i="2" a="1"/>
  <c r="J1873" i="2" s="1"/>
  <c r="J1983" i="2" a="1"/>
  <c r="J1983" i="2" s="1"/>
  <c r="J2107" i="2" a="1"/>
  <c r="J2107" i="2" s="1"/>
  <c r="J2372" i="2" a="1"/>
  <c r="J2372" i="2" s="1"/>
  <c r="J2535" i="2" a="1"/>
  <c r="J2535" i="2" s="1"/>
  <c r="J2611" i="2" a="1"/>
  <c r="J2611" i="2" s="1"/>
  <c r="J2670" i="2" a="1"/>
  <c r="J2670" i="2" s="1"/>
  <c r="J2713" i="2" a="1"/>
  <c r="J2713" i="2" s="1"/>
  <c r="J2748" i="2" a="1"/>
  <c r="J2748" i="2" s="1"/>
  <c r="J2806" i="2" a="1"/>
  <c r="J2806" i="2" s="1"/>
  <c r="J2855" i="2" a="1"/>
  <c r="J2855" i="2" s="1"/>
  <c r="J2878" i="2" a="1"/>
  <c r="J2878" i="2" s="1"/>
  <c r="J2902" i="2" a="1"/>
  <c r="J2902" i="2" s="1"/>
  <c r="J2970" i="2" a="1"/>
  <c r="J2970" i="2" s="1"/>
  <c r="J3028" i="2" a="1"/>
  <c r="J3028" i="2" s="1"/>
  <c r="J3087" i="2" a="1"/>
  <c r="J3087" i="2" s="1"/>
  <c r="J3112" i="2" a="1"/>
  <c r="J3112" i="2" s="1"/>
  <c r="J3133" i="2" a="1"/>
  <c r="J3133" i="2" s="1"/>
  <c r="J3153" i="2" a="1"/>
  <c r="J3153" i="2" s="1"/>
  <c r="J3173" i="2" a="1"/>
  <c r="J3173" i="2" s="1"/>
  <c r="J3182" i="2" a="1"/>
  <c r="J3182" i="2" s="1"/>
  <c r="J3190" i="2" a="1"/>
  <c r="J3190" i="2" s="1"/>
  <c r="J3209" i="2" a="1"/>
  <c r="J3209" i="2" s="1"/>
  <c r="J3217" i="2" a="1"/>
  <c r="J3217" i="2" s="1"/>
  <c r="J3227" i="2" a="1"/>
  <c r="J3227" i="2" s="1"/>
  <c r="J3236" i="2" a="1"/>
  <c r="J3236" i="2" s="1"/>
  <c r="J1259" i="2" a="1"/>
  <c r="J1259" i="2" s="1"/>
  <c r="J1711" i="2" a="1"/>
  <c r="J1711" i="2" s="1"/>
  <c r="J1875" i="2" a="1"/>
  <c r="J1875" i="2" s="1"/>
  <c r="J1986" i="2" a="1"/>
  <c r="J1986" i="2" s="1"/>
  <c r="J2108" i="2" a="1"/>
  <c r="J2108" i="2" s="1"/>
  <c r="J2190" i="2" a="1"/>
  <c r="J2190" i="2" s="1"/>
  <c r="J2275" i="2" a="1"/>
  <c r="J2275" i="2" s="1"/>
  <c r="J2374" i="2" a="1"/>
  <c r="J2374" i="2" s="1"/>
  <c r="J2460" i="2" a="1"/>
  <c r="J2460" i="2" s="1"/>
  <c r="J2536" i="2" a="1"/>
  <c r="J2536" i="2" s="1"/>
  <c r="J2612" i="2" a="1"/>
  <c r="J2612" i="2" s="1"/>
  <c r="J2749" i="2" a="1"/>
  <c r="J2749" i="2" s="1"/>
  <c r="J2780" i="2" a="1"/>
  <c r="J2780" i="2" s="1"/>
  <c r="J2811" i="2" a="1"/>
  <c r="J2811" i="2" s="1"/>
  <c r="J2835" i="2" a="1"/>
  <c r="J2835" i="2" s="1"/>
  <c r="J2883" i="2" a="1"/>
  <c r="J2883" i="2" s="1"/>
  <c r="J2906" i="2" a="1"/>
  <c r="J2906" i="2" s="1"/>
  <c r="J2931" i="2" a="1"/>
  <c r="J2931" i="2" s="1"/>
  <c r="J2954" i="2" a="1"/>
  <c r="J2954" i="2" s="1"/>
  <c r="J3012" i="2" a="1"/>
  <c r="J3012" i="2" s="1"/>
  <c r="J3030" i="2" a="1"/>
  <c r="J3030" i="2" s="1"/>
  <c r="J3050" i="2" a="1"/>
  <c r="J3050" i="2" s="1"/>
  <c r="J3066" i="2" a="1"/>
  <c r="J3066" i="2" s="1"/>
  <c r="J3078" i="2" a="1"/>
  <c r="J3078" i="2" s="1"/>
  <c r="J3134" i="2" a="1"/>
  <c r="J3134" i="2" s="1"/>
  <c r="J3163" i="2" a="1"/>
  <c r="J3163" i="2" s="1"/>
  <c r="J3191" i="2" a="1"/>
  <c r="J3191" i="2" s="1"/>
  <c r="J3201" i="2" a="1"/>
  <c r="J3201" i="2" s="1"/>
  <c r="J3218" i="2" a="1"/>
  <c r="J3218" i="2" s="1"/>
  <c r="J3245" i="2" a="1"/>
  <c r="J3245" i="2" s="1"/>
  <c r="J3265" i="2" a="1"/>
  <c r="J3265" i="2" s="1"/>
  <c r="J3286" i="2" a="1"/>
  <c r="J3286" i="2" s="1"/>
  <c r="J3295" i="2" a="1"/>
  <c r="J3295" i="2" s="1"/>
  <c r="J3334" i="2" a="1"/>
  <c r="J3334" i="2" s="1"/>
  <c r="J3389" i="2" a="1"/>
  <c r="J3389" i="2" s="1"/>
  <c r="J3399" i="2" a="1"/>
  <c r="J3399" i="2" s="1"/>
  <c r="J3409" i="2" a="1"/>
  <c r="J3409" i="2" s="1"/>
  <c r="J3420" i="2" a="1"/>
  <c r="J3420" i="2" s="1"/>
  <c r="J3430" i="2" a="1"/>
  <c r="J3430" i="2" s="1"/>
  <c r="J3459" i="2" a="1"/>
  <c r="J3459" i="2" s="1"/>
  <c r="J3467" i="2" a="1"/>
  <c r="J3467" i="2" s="1"/>
  <c r="J3476" i="2" a="1"/>
  <c r="J3476" i="2" s="1"/>
  <c r="J3493" i="2" a="1"/>
  <c r="J3493" i="2" s="1"/>
  <c r="J3500" i="2" a="1"/>
  <c r="J3500" i="2" s="1"/>
  <c r="J3508" i="2" a="1"/>
  <c r="J3508" i="2" s="1"/>
  <c r="J3517" i="2" a="1"/>
  <c r="J3517" i="2" s="1"/>
  <c r="J3533" i="2" a="1"/>
  <c r="J3533" i="2" s="1"/>
  <c r="J3550" i="2" a="1"/>
  <c r="J3550" i="2" s="1"/>
  <c r="J3558" i="2" a="1"/>
  <c r="J3558" i="2" s="1"/>
  <c r="J3566" i="2" a="1"/>
  <c r="J3566" i="2" s="1"/>
  <c r="J3573" i="2" a="1"/>
  <c r="J3573" i="2" s="1"/>
  <c r="J3581" i="2" a="1"/>
  <c r="J3581" i="2" s="1"/>
  <c r="J3599" i="2" a="1"/>
  <c r="J3599" i="2" s="1"/>
  <c r="J3608" i="2" a="1"/>
  <c r="J3608" i="2" s="1"/>
  <c r="J3616" i="2" a="1"/>
  <c r="J3616" i="2" s="1"/>
  <c r="J3624" i="2" a="1"/>
  <c r="J3624" i="2" s="1"/>
  <c r="J3631" i="2" a="1"/>
  <c r="J3631" i="2" s="1"/>
  <c r="J3647" i="2" a="1"/>
  <c r="J3647" i="2" s="1"/>
  <c r="J3672" i="2" a="1"/>
  <c r="J3672" i="2" s="1"/>
  <c r="J3680" i="2" a="1"/>
  <c r="J3680" i="2" s="1"/>
  <c r="J3688" i="2" a="1"/>
  <c r="J3688" i="2" s="1"/>
  <c r="J3705" i="2" a="1"/>
  <c r="J3705" i="2" s="1"/>
  <c r="J3713" i="2" a="1"/>
  <c r="J3713" i="2" s="1"/>
  <c r="J3722" i="2" a="1"/>
  <c r="J3722" i="2" s="1"/>
  <c r="J3730" i="2" a="1"/>
  <c r="J3730" i="2" s="1"/>
  <c r="J3756" i="2" a="1"/>
  <c r="J3756" i="2" s="1"/>
  <c r="J3765" i="2" a="1"/>
  <c r="J3765" i="2" s="1"/>
  <c r="J3773" i="2" a="1"/>
  <c r="J3773" i="2" s="1"/>
  <c r="J3781" i="2" a="1"/>
  <c r="J3781" i="2" s="1"/>
  <c r="J3798" i="2" a="1"/>
  <c r="J3798" i="2" s="1"/>
  <c r="J3814" i="2" a="1"/>
  <c r="J3814" i="2" s="1"/>
  <c r="J3831" i="2" a="1"/>
  <c r="J3831" i="2" s="1"/>
  <c r="J3840" i="2" a="1"/>
  <c r="J3840" i="2" s="1"/>
  <c r="J3856" i="2" a="1"/>
  <c r="J3856" i="2" s="1"/>
  <c r="J3864" i="2" a="1"/>
  <c r="J3864" i="2" s="1"/>
  <c r="J3874" i="2" a="1"/>
  <c r="J3874" i="2" s="1"/>
  <c r="J3881" i="2" a="1"/>
  <c r="J3881" i="2" s="1"/>
  <c r="J3896" i="2" a="1"/>
  <c r="J3896" i="2" s="1"/>
  <c r="J3905" i="2" a="1"/>
  <c r="J3905" i="2" s="1"/>
  <c r="J3914" i="2" a="1"/>
  <c r="J3914" i="2" s="1"/>
  <c r="J3922" i="2" a="1"/>
  <c r="J3922" i="2" s="1"/>
  <c r="J3931" i="2" a="1"/>
  <c r="J3931" i="2" s="1"/>
  <c r="J3948" i="2" a="1"/>
  <c r="J3948" i="2" s="1"/>
  <c r="J3955" i="2" a="1"/>
  <c r="J3955" i="2" s="1"/>
  <c r="J257" i="2" a="1"/>
  <c r="J257" i="2" s="1"/>
  <c r="J1362" i="2" a="1"/>
  <c r="J1362" i="2" s="1"/>
  <c r="J1750" i="2" a="1"/>
  <c r="J1750" i="2" s="1"/>
  <c r="J1893" i="2" a="1"/>
  <c r="J1893" i="2" s="1"/>
  <c r="J2004" i="2" a="1"/>
  <c r="J2004" i="2" s="1"/>
  <c r="J2120" i="2" a="1"/>
  <c r="J2120" i="2" s="1"/>
  <c r="J2290" i="2" a="1"/>
  <c r="J2290" i="2" s="1"/>
  <c r="J2472" i="2" a="1"/>
  <c r="J2472" i="2" s="1"/>
  <c r="J2548" i="2" a="1"/>
  <c r="J2548" i="2" s="1"/>
  <c r="J2623" i="2" a="1"/>
  <c r="J2623" i="2" s="1"/>
  <c r="J2679" i="2" a="1"/>
  <c r="J2679" i="2" s="1"/>
  <c r="J2721" i="2" a="1"/>
  <c r="J2721" i="2" s="1"/>
  <c r="J2755" i="2" a="1"/>
  <c r="J2755" i="2" s="1"/>
  <c r="J2787" i="2" a="1"/>
  <c r="J2787" i="2" s="1"/>
  <c r="J2812" i="2" a="1"/>
  <c r="J2812" i="2" s="1"/>
  <c r="J2836" i="2" a="1"/>
  <c r="J2836" i="2" s="1"/>
  <c r="J2860" i="2" a="1"/>
  <c r="J2860" i="2" s="1"/>
  <c r="J2884" i="2" a="1"/>
  <c r="J2884" i="2" s="1"/>
  <c r="J2907" i="2" a="1"/>
  <c r="J2907" i="2" s="1"/>
  <c r="J2955" i="2" a="1"/>
  <c r="J2955" i="2" s="1"/>
  <c r="J2973" i="2" a="1"/>
  <c r="J2973" i="2" s="1"/>
  <c r="J3013" i="2" a="1"/>
  <c r="J3013" i="2" s="1"/>
  <c r="J3031" i="2" a="1"/>
  <c r="J3031" i="2" s="1"/>
  <c r="J3051" i="2" a="1"/>
  <c r="J3051" i="2" s="1"/>
  <c r="J3089" i="2" a="1"/>
  <c r="J3089" i="2" s="1"/>
  <c r="J3101" i="2" a="1"/>
  <c r="J3101" i="2" s="1"/>
  <c r="J3113" i="2" a="1"/>
  <c r="J3113" i="2" s="1"/>
  <c r="J3135" i="2" a="1"/>
  <c r="J3135" i="2" s="1"/>
  <c r="J3145" i="2" a="1"/>
  <c r="J3145" i="2" s="1"/>
  <c r="J3155" i="2" a="1"/>
  <c r="J3155" i="2" s="1"/>
  <c r="J3174" i="2" a="1"/>
  <c r="J3174" i="2" s="1"/>
  <c r="J3183" i="2" a="1"/>
  <c r="J3183" i="2" s="1"/>
  <c r="J3192" i="2" a="1"/>
  <c r="J3192" i="2" s="1"/>
  <c r="J3210" i="2" a="1"/>
  <c r="J3210" i="2" s="1"/>
  <c r="J3219" i="2" a="1"/>
  <c r="J3219" i="2" s="1"/>
  <c r="J3228" i="2" a="1"/>
  <c r="J3228" i="2" s="1"/>
  <c r="J3237" i="2" a="1"/>
  <c r="J3237" i="2" s="1"/>
  <c r="J3246" i="2" a="1"/>
  <c r="J3246" i="2" s="1"/>
  <c r="J3256" i="2" a="1"/>
  <c r="J3256" i="2" s="1"/>
  <c r="J3266" i="2" a="1"/>
  <c r="J3266" i="2" s="1"/>
  <c r="J3276" i="2" a="1"/>
  <c r="J3276" i="2" s="1"/>
  <c r="J3287" i="2" a="1"/>
  <c r="J3287" i="2" s="1"/>
  <c r="J3306" i="2" a="1"/>
  <c r="J3306" i="2" s="1"/>
  <c r="J3316" i="2" a="1"/>
  <c r="J3316" i="2" s="1"/>
  <c r="J3326" i="2" a="1"/>
  <c r="J3326" i="2" s="1"/>
  <c r="J3335" i="2" a="1"/>
  <c r="J3335" i="2" s="1"/>
  <c r="J3349" i="2" a="1"/>
  <c r="J3349" i="2" s="1"/>
  <c r="J3359" i="2" a="1"/>
  <c r="J3359" i="2" s="1"/>
  <c r="J3368" i="2" a="1"/>
  <c r="J3368" i="2" s="1"/>
  <c r="J3379" i="2" a="1"/>
  <c r="J3379" i="2" s="1"/>
  <c r="J710" i="2" a="1"/>
  <c r="J710" i="2" s="1"/>
  <c r="J1446" i="2" a="1"/>
  <c r="J1446" i="2" s="1"/>
  <c r="J1779" i="2" a="1"/>
  <c r="J1779" i="2" s="1"/>
  <c r="J1910" i="2" a="1"/>
  <c r="J1910" i="2" s="1"/>
  <c r="J2026" i="2" a="1"/>
  <c r="J2026" i="2" s="1"/>
  <c r="J2133" i="2" a="1"/>
  <c r="J2133" i="2" s="1"/>
  <c r="J2308" i="2" a="1"/>
  <c r="J2308" i="2" s="1"/>
  <c r="J2404" i="2" a="1"/>
  <c r="J2404" i="2" s="1"/>
  <c r="J2485" i="2" a="1"/>
  <c r="J2485" i="2" s="1"/>
  <c r="J2681" i="2" a="1"/>
  <c r="J2681" i="2" s="1"/>
  <c r="J2756" i="2" a="1"/>
  <c r="J2756" i="2" s="1"/>
  <c r="J2788" i="2" a="1"/>
  <c r="J2788" i="2" s="1"/>
  <c r="J2839" i="2" a="1"/>
  <c r="J2839" i="2" s="1"/>
  <c r="J2910" i="2" a="1"/>
  <c r="J2910" i="2" s="1"/>
  <c r="J2934" i="2" a="1"/>
  <c r="J2934" i="2" s="1"/>
  <c r="J2958" i="2" a="1"/>
  <c r="J2958" i="2" s="1"/>
  <c r="J2978" i="2" a="1"/>
  <c r="J2978" i="2" s="1"/>
  <c r="J2996" i="2" a="1"/>
  <c r="J2996" i="2" s="1"/>
  <c r="J3034" i="2" a="1"/>
  <c r="J3034" i="2" s="1"/>
  <c r="J3054" i="2" a="1"/>
  <c r="J3054" i="2" s="1"/>
  <c r="J3080" i="2" a="1"/>
  <c r="J3080" i="2" s="1"/>
  <c r="J3092" i="2" a="1"/>
  <c r="J3092" i="2" s="1"/>
  <c r="J3136" i="2" a="1"/>
  <c r="J3136" i="2" s="1"/>
  <c r="J3156" i="2" a="1"/>
  <c r="J3156" i="2" s="1"/>
  <c r="J3167" i="2" a="1"/>
  <c r="J3167" i="2" s="1"/>
  <c r="J3175" i="2" a="1"/>
  <c r="J3175" i="2" s="1"/>
  <c r="J3184" i="2" a="1"/>
  <c r="J3184" i="2" s="1"/>
  <c r="J3203" i="2" a="1"/>
  <c r="J3203" i="2" s="1"/>
  <c r="J3211" i="2" a="1"/>
  <c r="J3211" i="2" s="1"/>
  <c r="J3221" i="2" a="1"/>
  <c r="J3221" i="2" s="1"/>
  <c r="J3229" i="2" a="1"/>
  <c r="J3229" i="2" s="1"/>
  <c r="J3238" i="2" a="1"/>
  <c r="J3238" i="2" s="1"/>
  <c r="J3257" i="2" a="1"/>
  <c r="J3257" i="2" s="1"/>
  <c r="J3267" i="2" a="1"/>
  <c r="J3267" i="2" s="1"/>
  <c r="J3317" i="2" a="1"/>
  <c r="J3317" i="2" s="1"/>
  <c r="J3327" i="2" a="1"/>
  <c r="J3327" i="2" s="1"/>
  <c r="J3370" i="2" a="1"/>
  <c r="J3370" i="2" s="1"/>
  <c r="J3381" i="2" a="1"/>
  <c r="J3381" i="2" s="1"/>
  <c r="J3402" i="2" a="1"/>
  <c r="J3402" i="2" s="1"/>
  <c r="J3411" i="2" a="1"/>
  <c r="J3411" i="2" s="1"/>
  <c r="J3422" i="2" a="1"/>
  <c r="J3422" i="2" s="1"/>
  <c r="J3433" i="2" a="1"/>
  <c r="J3433" i="2" s="1"/>
  <c r="J3443" i="2" a="1"/>
  <c r="J3443" i="2" s="1"/>
  <c r="J3453" i="2" a="1"/>
  <c r="J3453" i="2" s="1"/>
  <c r="J3478" i="2" a="1"/>
  <c r="J3478" i="2" s="1"/>
  <c r="J3486" i="2" a="1"/>
  <c r="J3486" i="2" s="1"/>
  <c r="J3502" i="2" a="1"/>
  <c r="J3502" i="2" s="1"/>
  <c r="J3510" i="2" a="1"/>
  <c r="J3510" i="2" s="1"/>
  <c r="J3519" i="2" a="1"/>
  <c r="J3519" i="2" s="1"/>
  <c r="J3536" i="2" a="1"/>
  <c r="J3536" i="2" s="1"/>
  <c r="J3543" i="2" a="1"/>
  <c r="J3543" i="2" s="1"/>
  <c r="J3552" i="2" a="1"/>
  <c r="J3552" i="2" s="1"/>
  <c r="J3568" i="2" a="1"/>
  <c r="J3568" i="2" s="1"/>
  <c r="J3575" i="2" a="1"/>
  <c r="J3575" i="2" s="1"/>
  <c r="J3601" i="2" a="1"/>
  <c r="J3601" i="2" s="1"/>
  <c r="J3618" i="2" a="1"/>
  <c r="J3618" i="2" s="1"/>
  <c r="J3634" i="2" a="1"/>
  <c r="J3634" i="2" s="1"/>
  <c r="J3642" i="2" a="1"/>
  <c r="J3642" i="2" s="1"/>
  <c r="J3650" i="2" a="1"/>
  <c r="J3650" i="2" s="1"/>
  <c r="J3657" i="2" a="1"/>
  <c r="J3657" i="2" s="1"/>
  <c r="J3665" i="2" a="1"/>
  <c r="J3665" i="2" s="1"/>
  <c r="J3674" i="2" a="1"/>
  <c r="J3674" i="2" s="1"/>
  <c r="J711" i="2" a="1"/>
  <c r="J711" i="2" s="1"/>
  <c r="J1784" i="2" a="1"/>
  <c r="J1784" i="2" s="1"/>
  <c r="J1912" i="2" a="1"/>
  <c r="J1912" i="2" s="1"/>
  <c r="J2029" i="2" a="1"/>
  <c r="J2029" i="2" s="1"/>
  <c r="J2135" i="2" a="1"/>
  <c r="J2135" i="2" s="1"/>
  <c r="J2217" i="2" a="1"/>
  <c r="J2217" i="2" s="1"/>
  <c r="J2487" i="2" a="1"/>
  <c r="J2487" i="2" s="1"/>
  <c r="J2562" i="2" a="1"/>
  <c r="J2562" i="2" s="1"/>
  <c r="J2691" i="2" a="1"/>
  <c r="J2691" i="2" s="1"/>
  <c r="J2795" i="2" a="1"/>
  <c r="J2795" i="2" s="1"/>
  <c r="J2818" i="2" a="1"/>
  <c r="J2818" i="2" s="1"/>
  <c r="J2843" i="2" a="1"/>
  <c r="J2843" i="2" s="1"/>
  <c r="J2867" i="2" a="1"/>
  <c r="J2867" i="2" s="1"/>
  <c r="J2890" i="2" a="1"/>
  <c r="J2890" i="2" s="1"/>
  <c r="J2914" i="2" a="1"/>
  <c r="J2914" i="2" s="1"/>
  <c r="J2939" i="2" a="1"/>
  <c r="J2939" i="2" s="1"/>
  <c r="J2959" i="2" a="1"/>
  <c r="J2959" i="2" s="1"/>
  <c r="J2979" i="2" a="1"/>
  <c r="J2979" i="2" s="1"/>
  <c r="J2999" i="2" a="1"/>
  <c r="J2999" i="2" s="1"/>
  <c r="J3105" i="2" a="1"/>
  <c r="J3105" i="2" s="1"/>
  <c r="J3115" i="2" a="1"/>
  <c r="J3115" i="2" s="1"/>
  <c r="J3127" i="2" a="1"/>
  <c r="J3127" i="2" s="1"/>
  <c r="J3137" i="2" a="1"/>
  <c r="J3137" i="2" s="1"/>
  <c r="J3147" i="2" a="1"/>
  <c r="J3147" i="2" s="1"/>
  <c r="J3157" i="2" a="1"/>
  <c r="J3157" i="2" s="1"/>
  <c r="J3176" i="2" a="1"/>
  <c r="J3176" i="2" s="1"/>
  <c r="J3185" i="2" a="1"/>
  <c r="J3185" i="2" s="1"/>
  <c r="J3195" i="2" a="1"/>
  <c r="J3195" i="2" s="1"/>
  <c r="J3230" i="2" a="1"/>
  <c r="J3230" i="2" s="1"/>
  <c r="J3249" i="2" a="1"/>
  <c r="J3249" i="2" s="1"/>
  <c r="J3268" i="2" a="1"/>
  <c r="J3268" i="2" s="1"/>
  <c r="J3279" i="2" a="1"/>
  <c r="J3279" i="2" s="1"/>
  <c r="J3289" i="2" a="1"/>
  <c r="J3289" i="2" s="1"/>
  <c r="J3309" i="2" a="1"/>
  <c r="J3309" i="2" s="1"/>
  <c r="J3318" i="2" a="1"/>
  <c r="J3318" i="2" s="1"/>
  <c r="J3328" i="2" a="1"/>
  <c r="J3328" i="2" s="1"/>
  <c r="J3339" i="2" a="1"/>
  <c r="J3339" i="2" s="1"/>
  <c r="J3351" i="2" a="1"/>
  <c r="J3351" i="2" s="1"/>
  <c r="J3362" i="2" a="1"/>
  <c r="J3362" i="2" s="1"/>
  <c r="J3371" i="2" a="1"/>
  <c r="J3371" i="2" s="1"/>
  <c r="J3382" i="2" a="1"/>
  <c r="J3382" i="2" s="1"/>
  <c r="J3392" i="2" a="1"/>
  <c r="J3392" i="2" s="1"/>
  <c r="J3413" i="2" a="1"/>
  <c r="J3413" i="2" s="1"/>
  <c r="J3423" i="2" a="1"/>
  <c r="J3423" i="2" s="1"/>
  <c r="J1753" i="2" a="1"/>
  <c r="J1753" i="2" s="1"/>
  <c r="J2123" i="2" a="1"/>
  <c r="J2123" i="2" s="1"/>
  <c r="J2388" i="2" a="1"/>
  <c r="J2388" i="2" s="1"/>
  <c r="J2624" i="2" a="1"/>
  <c r="J2624" i="2" s="1"/>
  <c r="J2908" i="2" a="1"/>
  <c r="J2908" i="2" s="1"/>
  <c r="J3079" i="2" a="1"/>
  <c r="J3079" i="2" s="1"/>
  <c r="J3114" i="2" a="1"/>
  <c r="J3114" i="2" s="1"/>
  <c r="J3146" i="2" a="1"/>
  <c r="J3146" i="2" s="1"/>
  <c r="J3202" i="2" a="1"/>
  <c r="J3202" i="2" s="1"/>
  <c r="J3251" i="2" a="1"/>
  <c r="J3251" i="2" s="1"/>
  <c r="J3278" i="2" a="1"/>
  <c r="J3278" i="2" s="1"/>
  <c r="J3301" i="2" a="1"/>
  <c r="J3301" i="2" s="1"/>
  <c r="J3325" i="2" a="1"/>
  <c r="J3325" i="2" s="1"/>
  <c r="J3352" i="2" a="1"/>
  <c r="J3352" i="2" s="1"/>
  <c r="J3374" i="2" a="1"/>
  <c r="J3374" i="2" s="1"/>
  <c r="J3419" i="2" a="1"/>
  <c r="J3419" i="2" s="1"/>
  <c r="J3436" i="2" a="1"/>
  <c r="J3436" i="2" s="1"/>
  <c r="J3469" i="2" a="1"/>
  <c r="J3469" i="2" s="1"/>
  <c r="J3483" i="2" a="1"/>
  <c r="J3483" i="2" s="1"/>
  <c r="J3496" i="2" a="1"/>
  <c r="J3496" i="2" s="1"/>
  <c r="J3511" i="2" a="1"/>
  <c r="J3511" i="2" s="1"/>
  <c r="J3525" i="2" a="1"/>
  <c r="J3525" i="2" s="1"/>
  <c r="J3538" i="2" a="1"/>
  <c r="J3538" i="2" s="1"/>
  <c r="J3553" i="2" a="1"/>
  <c r="J3553" i="2" s="1"/>
  <c r="J3595" i="2" a="1"/>
  <c r="J3595" i="2" s="1"/>
  <c r="J3610" i="2" a="1"/>
  <c r="J3610" i="2" s="1"/>
  <c r="J3651" i="2" a="1"/>
  <c r="J3651" i="2" s="1"/>
  <c r="J3706" i="2" a="1"/>
  <c r="J3706" i="2" s="1"/>
  <c r="J3718" i="2" a="1"/>
  <c r="J3718" i="2" s="1"/>
  <c r="J3732" i="2" a="1"/>
  <c r="J3732" i="2" s="1"/>
  <c r="J3743" i="2" a="1"/>
  <c r="J3743" i="2" s="1"/>
  <c r="J3758" i="2" a="1"/>
  <c r="J3758" i="2" s="1"/>
  <c r="J3769" i="2" a="1"/>
  <c r="J3769" i="2" s="1"/>
  <c r="J3782" i="2" a="1"/>
  <c r="J3782" i="2" s="1"/>
  <c r="J3819" i="2" a="1"/>
  <c r="J3819" i="2" s="1"/>
  <c r="J3844" i="2" a="1"/>
  <c r="J3844" i="2" s="1"/>
  <c r="J3857" i="2" a="1"/>
  <c r="J3857" i="2" s="1"/>
  <c r="J3868" i="2" a="1"/>
  <c r="J3868" i="2" s="1"/>
  <c r="J3907" i="2" a="1"/>
  <c r="J3907" i="2" s="1"/>
  <c r="J3918" i="2" a="1"/>
  <c r="J3918" i="2" s="1"/>
  <c r="J3933" i="2" a="1"/>
  <c r="J3933" i="2" s="1"/>
  <c r="J3956" i="2" a="1"/>
  <c r="J3956" i="2" s="1"/>
  <c r="J3978" i="2" a="1"/>
  <c r="J3978" i="2" s="1"/>
  <c r="J3989" i="2" a="1"/>
  <c r="J3989" i="2" s="1"/>
  <c r="J3998" i="2" a="1"/>
  <c r="J3998" i="2" s="1"/>
  <c r="J4019" i="2" a="1"/>
  <c r="J4019" i="2" s="1"/>
  <c r="J4050" i="2" a="1"/>
  <c r="J4050" i="2" s="1"/>
  <c r="J4060" i="2" a="1"/>
  <c r="J4060" i="2" s="1"/>
  <c r="J4069" i="2" a="1"/>
  <c r="J4069" i="2" s="1"/>
  <c r="J4079" i="2" a="1"/>
  <c r="J4079" i="2" s="1"/>
  <c r="J4092" i="2" a="1"/>
  <c r="J4092" i="2" s="1"/>
  <c r="J4100" i="2" a="1"/>
  <c r="J4100" i="2" s="1"/>
  <c r="J4109" i="2" a="1"/>
  <c r="J4109" i="2" s="1"/>
  <c r="J4129" i="2" a="1"/>
  <c r="J4129" i="2" s="1"/>
  <c r="J4160" i="2" a="1"/>
  <c r="J4160" i="2" s="1"/>
  <c r="J4170" i="2" a="1"/>
  <c r="J4170" i="2" s="1"/>
  <c r="J4191" i="2" a="1"/>
  <c r="J4191" i="2" s="1"/>
  <c r="J4201" i="2" a="1"/>
  <c r="J4201" i="2" s="1"/>
  <c r="J4212" i="2" a="1"/>
  <c r="J4212" i="2" s="1"/>
  <c r="J4222" i="2" a="1"/>
  <c r="J4222" i="2" s="1"/>
  <c r="J4233" i="2" a="1"/>
  <c r="J4233" i="2" s="1"/>
  <c r="J4243" i="2" a="1"/>
  <c r="J4243" i="2" s="1"/>
  <c r="J4263" i="2" a="1"/>
  <c r="J4263" i="2" s="1"/>
  <c r="J4274" i="2" a="1"/>
  <c r="J4274" i="2" s="1"/>
  <c r="J4283" i="2" a="1"/>
  <c r="J4283" i="2" s="1"/>
  <c r="J4306" i="2" a="1"/>
  <c r="J4306" i="2" s="1"/>
  <c r="J4331" i="2" a="1"/>
  <c r="J4331" i="2" s="1"/>
  <c r="J4340" i="2" a="1"/>
  <c r="J4340" i="2" s="1"/>
  <c r="J4348" i="2" a="1"/>
  <c r="J4348" i="2" s="1"/>
  <c r="J4357" i="2" a="1"/>
  <c r="J4357" i="2" s="1"/>
  <c r="J4366" i="2" a="1"/>
  <c r="J4366" i="2" s="1"/>
  <c r="J4374" i="2" a="1"/>
  <c r="J4374" i="2" s="1"/>
  <c r="J4383" i="2" a="1"/>
  <c r="J4383" i="2" s="1"/>
  <c r="J4391" i="2" a="1"/>
  <c r="J4391" i="2" s="1"/>
  <c r="J4399" i="2" a="1"/>
  <c r="J4399" i="2" s="1"/>
  <c r="J4415" i="2" a="1"/>
  <c r="J4415" i="2" s="1"/>
  <c r="J4424" i="2" a="1"/>
  <c r="J4424" i="2" s="1"/>
  <c r="J4431" i="2" a="1"/>
  <c r="J4431" i="2" s="1"/>
  <c r="J4440" i="2" a="1"/>
  <c r="J4440" i="2" s="1"/>
  <c r="J1805" i="2" a="1"/>
  <c r="J1805" i="2" s="1"/>
  <c r="J2149" i="2" a="1"/>
  <c r="J2149" i="2" s="1"/>
  <c r="J2421" i="2" a="1"/>
  <c r="J2421" i="2" s="1"/>
  <c r="J2646" i="2" a="1"/>
  <c r="J2646" i="2" s="1"/>
  <c r="J2765" i="2" a="1"/>
  <c r="J2765" i="2" s="1"/>
  <c r="J2915" i="2" a="1"/>
  <c r="J2915" i="2" s="1"/>
  <c r="J2980" i="2" a="1"/>
  <c r="J2980" i="2" s="1"/>
  <c r="J3081" i="2" a="1"/>
  <c r="J3081" i="2" s="1"/>
  <c r="J3148" i="2" a="1"/>
  <c r="J3148" i="2" s="1"/>
  <c r="J3204" i="2" a="1"/>
  <c r="J3204" i="2" s="1"/>
  <c r="J3255" i="2" a="1"/>
  <c r="J3255" i="2" s="1"/>
  <c r="J3302" i="2" a="1"/>
  <c r="J3302" i="2" s="1"/>
  <c r="J3377" i="2" a="1"/>
  <c r="J3377" i="2" s="1"/>
  <c r="J3400" i="2" a="1"/>
  <c r="J3400" i="2" s="1"/>
  <c r="J3440" i="2" a="1"/>
  <c r="J3440" i="2" s="1"/>
  <c r="J3455" i="2" a="1"/>
  <c r="J3455" i="2" s="1"/>
  <c r="J3470" i="2" a="1"/>
  <c r="J3470" i="2" s="1"/>
  <c r="J3484" i="2" a="1"/>
  <c r="J3484" i="2" s="1"/>
  <c r="J3526" i="2" a="1"/>
  <c r="J3526" i="2" s="1"/>
  <c r="J3541" i="2" a="1"/>
  <c r="J3541" i="2" s="1"/>
  <c r="J3582" i="2" a="1"/>
  <c r="J3582" i="2" s="1"/>
  <c r="J3596" i="2" a="1"/>
  <c r="J3596" i="2" s="1"/>
  <c r="J3611" i="2" a="1"/>
  <c r="J3611" i="2" s="1"/>
  <c r="J3625" i="2" a="1"/>
  <c r="J3625" i="2" s="1"/>
  <c r="J3639" i="2" a="1"/>
  <c r="J3639" i="2" s="1"/>
  <c r="J3666" i="2" a="1"/>
  <c r="J3666" i="2" s="1"/>
  <c r="J3681" i="2" a="1"/>
  <c r="J3681" i="2" s="1"/>
  <c r="J3693" i="2" a="1"/>
  <c r="J3693" i="2" s="1"/>
  <c r="J3744" i="2" a="1"/>
  <c r="J3744" i="2" s="1"/>
  <c r="J3770" i="2" a="1"/>
  <c r="J3770" i="2" s="1"/>
  <c r="J3783" i="2" a="1"/>
  <c r="J3783" i="2" s="1"/>
  <c r="J3794" i="2" a="1"/>
  <c r="J3794" i="2" s="1"/>
  <c r="J3808" i="2" a="1"/>
  <c r="J3808" i="2" s="1"/>
  <c r="J3833" i="2" a="1"/>
  <c r="J3833" i="2" s="1"/>
  <c r="J3858" i="2" a="1"/>
  <c r="J3858" i="2" s="1"/>
  <c r="J3869" i="2" a="1"/>
  <c r="J3869" i="2" s="1"/>
  <c r="J3883" i="2" a="1"/>
  <c r="J3883" i="2" s="1"/>
  <c r="J3893" i="2" a="1"/>
  <c r="J3893" i="2" s="1"/>
  <c r="J3919" i="2" a="1"/>
  <c r="J3919" i="2" s="1"/>
  <c r="J3944" i="2" a="1"/>
  <c r="J3944" i="2" s="1"/>
  <c r="J3957" i="2" a="1"/>
  <c r="J3957" i="2" s="1"/>
  <c r="J3967" i="2" a="1"/>
  <c r="J3967" i="2" s="1"/>
  <c r="J3990" i="2" a="1"/>
  <c r="J3990" i="2" s="1"/>
  <c r="J3999" i="2" a="1"/>
  <c r="J3999" i="2" s="1"/>
  <c r="J4009" i="2" a="1"/>
  <c r="J4009" i="2" s="1"/>
  <c r="J4020" i="2" a="1"/>
  <c r="J4020" i="2" s="1"/>
  <c r="J4039" i="2" a="1"/>
  <c r="J4039" i="2" s="1"/>
  <c r="J4051" i="2" a="1"/>
  <c r="J4051" i="2" s="1"/>
  <c r="J4081" i="2" a="1"/>
  <c r="J4081" i="2" s="1"/>
  <c r="J4110" i="2" a="1"/>
  <c r="J4110" i="2" s="1"/>
  <c r="J4120" i="2" a="1"/>
  <c r="J4120" i="2" s="1"/>
  <c r="J4131" i="2" a="1"/>
  <c r="J4131" i="2" s="1"/>
  <c r="J4141" i="2" a="1"/>
  <c r="J4141" i="2" s="1"/>
  <c r="J4151" i="2" a="1"/>
  <c r="J4151" i="2" s="1"/>
  <c r="J4161" i="2" a="1"/>
  <c r="J4161" i="2" s="1"/>
  <c r="J4192" i="2" a="1"/>
  <c r="J4192" i="2" s="1"/>
  <c r="J4202" i="2" a="1"/>
  <c r="J4202" i="2" s="1"/>
  <c r="J4253" i="2" a="1"/>
  <c r="J4253" i="2" s="1"/>
  <c r="J4264" i="2" a="1"/>
  <c r="J4264" i="2" s="1"/>
  <c r="J4275" i="2" a="1"/>
  <c r="J4275" i="2" s="1"/>
  <c r="J4295" i="2" a="1"/>
  <c r="J4295" i="2" s="1"/>
  <c r="J4315" i="2" a="1"/>
  <c r="J4315" i="2" s="1"/>
  <c r="J4324" i="2" a="1"/>
  <c r="J4324" i="2" s="1"/>
  <c r="J4332" i="2" a="1"/>
  <c r="J4332" i="2" s="1"/>
  <c r="J4392" i="2" a="1"/>
  <c r="J4392" i="2" s="1"/>
  <c r="J4407" i="2" a="1"/>
  <c r="J4407" i="2" s="1"/>
  <c r="J4416" i="2" a="1"/>
  <c r="J4416" i="2" s="1"/>
  <c r="J4425" i="2" a="1"/>
  <c r="J4425" i="2" s="1"/>
  <c r="J4432" i="2" a="1"/>
  <c r="J4432" i="2" s="1"/>
  <c r="J4456" i="2" a="1"/>
  <c r="J4456" i="2" s="1"/>
  <c r="J4463" i="2" a="1"/>
  <c r="J4463" i="2" s="1"/>
  <c r="J4478" i="2" a="1"/>
  <c r="J4478" i="2" s="1"/>
  <c r="J4486" i="2" a="1"/>
  <c r="J4486" i="2" s="1"/>
  <c r="J4494" i="2" a="1"/>
  <c r="J4494" i="2" s="1"/>
  <c r="J4518" i="2" a="1"/>
  <c r="J4518" i="2" s="1"/>
  <c r="J4544" i="2" a="1"/>
  <c r="J4544" i="2" s="1"/>
  <c r="J4553" i="2" a="1"/>
  <c r="J4553" i="2" s="1"/>
  <c r="J4560" i="2" a="1"/>
  <c r="J4560" i="2" s="1"/>
  <c r="J4586" i="2" a="1"/>
  <c r="J4586" i="2" s="1"/>
  <c r="J4604" i="2" a="1"/>
  <c r="J4604" i="2" s="1"/>
  <c r="J4622" i="2" a="1"/>
  <c r="J4622" i="2" s="1"/>
  <c r="J4640" i="2" a="1"/>
  <c r="J4640" i="2" s="1"/>
  <c r="J4658" i="2" a="1"/>
  <c r="J4658" i="2" s="1"/>
  <c r="J4676" i="2" a="1"/>
  <c r="J4676" i="2" s="1"/>
  <c r="J4694" i="2" a="1"/>
  <c r="J4694" i="2" s="1"/>
  <c r="J4712" i="2" a="1"/>
  <c r="J4712" i="2" s="1"/>
  <c r="J4730" i="2" a="1"/>
  <c r="J4730" i="2" s="1"/>
  <c r="J4748" i="2" a="1"/>
  <c r="J4748" i="2" s="1"/>
  <c r="J4766" i="2" a="1"/>
  <c r="J4766" i="2" s="1"/>
  <c r="J4784" i="2" a="1"/>
  <c r="J4784" i="2" s="1"/>
  <c r="J4802" i="2" a="1"/>
  <c r="J4802" i="2" s="1"/>
  <c r="J4820" i="2" a="1"/>
  <c r="J4820" i="2" s="1"/>
  <c r="J4838" i="2" a="1"/>
  <c r="J4838" i="2" s="1"/>
  <c r="J4856" i="2" a="1"/>
  <c r="J4856" i="2" s="1"/>
  <c r="J4874" i="2" a="1"/>
  <c r="J4874" i="2" s="1"/>
  <c r="J4892" i="2" a="1"/>
  <c r="J4892" i="2" s="1"/>
  <c r="J4910" i="2" a="1"/>
  <c r="J4910" i="2" s="1"/>
  <c r="J4928" i="2" a="1"/>
  <c r="J4928" i="2" s="1"/>
  <c r="J4946" i="2" a="1"/>
  <c r="J4946" i="2" s="1"/>
  <c r="J4964" i="2" a="1"/>
  <c r="J4964" i="2" s="1"/>
  <c r="J4982" i="2" a="1"/>
  <c r="J4982" i="2" s="1"/>
  <c r="J5000" i="2" a="1"/>
  <c r="J5000" i="2" s="1"/>
  <c r="J1808" i="2" a="1"/>
  <c r="J1808" i="2" s="1"/>
  <c r="J2150" i="2" a="1"/>
  <c r="J2150" i="2" s="1"/>
  <c r="J2422" i="2" a="1"/>
  <c r="J2422" i="2" s="1"/>
  <c r="J2844" i="2" a="1"/>
  <c r="J2844" i="2" s="1"/>
  <c r="J2983" i="2" a="1"/>
  <c r="J2983" i="2" s="1"/>
  <c r="J3039" i="2" a="1"/>
  <c r="J3039" i="2" s="1"/>
  <c r="J3082" i="2" a="1"/>
  <c r="J3082" i="2" s="1"/>
  <c r="J3119" i="2" a="1"/>
  <c r="J3119" i="2" s="1"/>
  <c r="J3177" i="2" a="1"/>
  <c r="J3177" i="2" s="1"/>
  <c r="J3231" i="2" a="1"/>
  <c r="J3231" i="2" s="1"/>
  <c r="J3280" i="2" a="1"/>
  <c r="J3280" i="2" s="1"/>
  <c r="J3304" i="2" a="1"/>
  <c r="J3304" i="2" s="1"/>
  <c r="J3330" i="2" a="1"/>
  <c r="J3330" i="2" s="1"/>
  <c r="J3354" i="2" a="1"/>
  <c r="J3354" i="2" s="1"/>
  <c r="J3401" i="2" a="1"/>
  <c r="J3401" i="2" s="1"/>
  <c r="J3441" i="2" a="1"/>
  <c r="J3441" i="2" s="1"/>
  <c r="J3456" i="2" a="1"/>
  <c r="J3456" i="2" s="1"/>
  <c r="J3471" i="2" a="1"/>
  <c r="J3471" i="2" s="1"/>
  <c r="J3485" i="2" a="1"/>
  <c r="J3485" i="2" s="1"/>
  <c r="J3499" i="2" a="1"/>
  <c r="J3499" i="2" s="1"/>
  <c r="J3512" i="2" a="1"/>
  <c r="J3512" i="2" s="1"/>
  <c r="J3527" i="2" a="1"/>
  <c r="J3527" i="2" s="1"/>
  <c r="J3542" i="2" a="1"/>
  <c r="J3542" i="2" s="1"/>
  <c r="J3554" i="2" a="1"/>
  <c r="J3554" i="2" s="1"/>
  <c r="J3569" i="2" a="1"/>
  <c r="J3569" i="2" s="1"/>
  <c r="J3583" i="2" a="1"/>
  <c r="J3583" i="2" s="1"/>
  <c r="J3612" i="2" a="1"/>
  <c r="J3612" i="2" s="1"/>
  <c r="J3626" i="2" a="1"/>
  <c r="J3626" i="2" s="1"/>
  <c r="J3640" i="2" a="1"/>
  <c r="J3640" i="2" s="1"/>
  <c r="J3652" i="2" a="1"/>
  <c r="J3652" i="2" s="1"/>
  <c r="J3667" i="2" a="1"/>
  <c r="J3667" i="2" s="1"/>
  <c r="J3682" i="2" a="1"/>
  <c r="J3682" i="2" s="1"/>
  <c r="J3696" i="2" a="1"/>
  <c r="J3696" i="2" s="1"/>
  <c r="J3707" i="2" a="1"/>
  <c r="J3707" i="2" s="1"/>
  <c r="J3721" i="2" a="1"/>
  <c r="J3721" i="2" s="1"/>
  <c r="J3733" i="2" a="1"/>
  <c r="J3733" i="2" s="1"/>
  <c r="J3747" i="2" a="1"/>
  <c r="J3747" i="2" s="1"/>
  <c r="J3759" i="2" a="1"/>
  <c r="J3759" i="2" s="1"/>
  <c r="J3784" i="2" a="1"/>
  <c r="J3784" i="2" s="1"/>
  <c r="J3797" i="2" a="1"/>
  <c r="J3797" i="2" s="1"/>
  <c r="J3809" i="2" a="1"/>
  <c r="J3809" i="2" s="1"/>
  <c r="J3822" i="2" a="1"/>
  <c r="J3822" i="2" s="1"/>
  <c r="J3834" i="2" a="1"/>
  <c r="J3834" i="2" s="1"/>
  <c r="J3848" i="2" a="1"/>
  <c r="J3848" i="2" s="1"/>
  <c r="J3873" i="2" a="1"/>
  <c r="J3873" i="2" s="1"/>
  <c r="J3908" i="2" a="1"/>
  <c r="J3908" i="2" s="1"/>
  <c r="J3934" i="2" a="1"/>
  <c r="J3934" i="2" s="1"/>
  <c r="J3947" i="2" a="1"/>
  <c r="J3947" i="2" s="1"/>
  <c r="J3958" i="2" a="1"/>
  <c r="J3958" i="2" s="1"/>
  <c r="J3991" i="2" a="1"/>
  <c r="J3991" i="2" s="1"/>
  <c r="J4000" i="2" a="1"/>
  <c r="J4000" i="2" s="1"/>
  <c r="J4030" i="2" a="1"/>
  <c r="J4030" i="2" s="1"/>
  <c r="J4061" i="2" a="1"/>
  <c r="J4061" i="2" s="1"/>
  <c r="J4070" i="2" a="1"/>
  <c r="J4070" i="2" s="1"/>
  <c r="J4082" i="2" a="1"/>
  <c r="J4082" i="2" s="1"/>
  <c r="J4093" i="2" a="1"/>
  <c r="J4093" i="2" s="1"/>
  <c r="J4101" i="2" a="1"/>
  <c r="J4101" i="2" s="1"/>
  <c r="J4132" i="2" a="1"/>
  <c r="J4132" i="2" s="1"/>
  <c r="J4152" i="2" a="1"/>
  <c r="J4152" i="2" s="1"/>
  <c r="J4162" i="2" a="1"/>
  <c r="J4162" i="2" s="1"/>
  <c r="J4171" i="2" a="1"/>
  <c r="J4171" i="2" s="1"/>
  <c r="J4182" i="2" a="1"/>
  <c r="J4182" i="2" s="1"/>
  <c r="J4193" i="2" a="1"/>
  <c r="J4193" i="2" s="1"/>
  <c r="J4203" i="2" a="1"/>
  <c r="J4203" i="2" s="1"/>
  <c r="J4213" i="2" a="1"/>
  <c r="J4213" i="2" s="1"/>
  <c r="J4223" i="2" a="1"/>
  <c r="J4223" i="2" s="1"/>
  <c r="J4236" i="2" a="1"/>
  <c r="J4236" i="2" s="1"/>
  <c r="J4244" i="2" a="1"/>
  <c r="J4244" i="2" s="1"/>
  <c r="J4254" i="2" a="1"/>
  <c r="J4254" i="2" s="1"/>
  <c r="J4265" i="2" a="1"/>
  <c r="J4265" i="2" s="1"/>
  <c r="J4296" i="2" a="1"/>
  <c r="J4296" i="2" s="1"/>
  <c r="J1828" i="2" a="1"/>
  <c r="J1828" i="2" s="1"/>
  <c r="J2433" i="2" a="1"/>
  <c r="J2433" i="2" s="1"/>
  <c r="J2772" i="2" a="1"/>
  <c r="J2772" i="2" s="1"/>
  <c r="J2847" i="2" a="1"/>
  <c r="J2847" i="2" s="1"/>
  <c r="J2919" i="2" a="1"/>
  <c r="J2919" i="2" s="1"/>
  <c r="J2984" i="2" a="1"/>
  <c r="J2984" i="2" s="1"/>
  <c r="J3149" i="2" a="1"/>
  <c r="J3149" i="2" s="1"/>
  <c r="J3178" i="2" a="1"/>
  <c r="J3178" i="2" s="1"/>
  <c r="J3206" i="2" a="1"/>
  <c r="J3206" i="2" s="1"/>
  <c r="J3232" i="2" a="1"/>
  <c r="J3232" i="2" s="1"/>
  <c r="J3258" i="2" a="1"/>
  <c r="J3258" i="2" s="1"/>
  <c r="J3281" i="2" a="1"/>
  <c r="J3281" i="2" s="1"/>
  <c r="J3308" i="2" a="1"/>
  <c r="J3308" i="2" s="1"/>
  <c r="J3358" i="2" a="1"/>
  <c r="J3358" i="2" s="1"/>
  <c r="J3403" i="2" a="1"/>
  <c r="J3403" i="2" s="1"/>
  <c r="J3424" i="2" a="1"/>
  <c r="J3424" i="2" s="1"/>
  <c r="J3442" i="2" a="1"/>
  <c r="J3442" i="2" s="1"/>
  <c r="J3458" i="2" a="1"/>
  <c r="J3458" i="2" s="1"/>
  <c r="J3472" i="2" a="1"/>
  <c r="J3472" i="2" s="1"/>
  <c r="J3528" i="2" a="1"/>
  <c r="J3528" i="2" s="1"/>
  <c r="J3557" i="2" a="1"/>
  <c r="J3557" i="2" s="1"/>
  <c r="J3570" i="2" a="1"/>
  <c r="J3570" i="2" s="1"/>
  <c r="J3584" i="2" a="1"/>
  <c r="J3584" i="2" s="1"/>
  <c r="J3600" i="2" a="1"/>
  <c r="J3600" i="2" s="1"/>
  <c r="J3613" i="2" a="1"/>
  <c r="J3613" i="2" s="1"/>
  <c r="J3641" i="2" a="1"/>
  <c r="J3641" i="2" s="1"/>
  <c r="J3655" i="2" a="1"/>
  <c r="J3655" i="2" s="1"/>
  <c r="J3683" i="2" a="1"/>
  <c r="J3683" i="2" s="1"/>
  <c r="J3697" i="2" a="1"/>
  <c r="J3697" i="2" s="1"/>
  <c r="J3708" i="2" a="1"/>
  <c r="J3708" i="2" s="1"/>
  <c r="J3723" i="2" a="1"/>
  <c r="J3723" i="2" s="1"/>
  <c r="J3734" i="2" a="1"/>
  <c r="J3734" i="2" s="1"/>
  <c r="J3748" i="2" a="1"/>
  <c r="J3748" i="2" s="1"/>
  <c r="J3760" i="2" a="1"/>
  <c r="J3760" i="2" s="1"/>
  <c r="J3774" i="2" a="1"/>
  <c r="J3774" i="2" s="1"/>
  <c r="J3799" i="2" a="1"/>
  <c r="J3799" i="2" s="1"/>
  <c r="J3810" i="2" a="1"/>
  <c r="J3810" i="2" s="1"/>
  <c r="J3823" i="2" a="1"/>
  <c r="J3823" i="2" s="1"/>
  <c r="J3835" i="2" a="1"/>
  <c r="J3835" i="2" s="1"/>
  <c r="J3849" i="2" a="1"/>
  <c r="J3849" i="2" s="1"/>
  <c r="J1896" i="2" a="1"/>
  <c r="J1896" i="2" s="1"/>
  <c r="J2204" i="2" a="1"/>
  <c r="J2204" i="2" s="1"/>
  <c r="J2473" i="2" a="1"/>
  <c r="J2473" i="2" s="1"/>
  <c r="J2680" i="2" a="1"/>
  <c r="J2680" i="2" s="1"/>
  <c r="J2932" i="2" a="1"/>
  <c r="J2932" i="2" s="1"/>
  <c r="J2995" i="2" a="1"/>
  <c r="J2995" i="2" s="1"/>
  <c r="J3052" i="2" a="1"/>
  <c r="J3052" i="2" s="1"/>
  <c r="J3091" i="2" a="1"/>
  <c r="J3091" i="2" s="1"/>
  <c r="J3126" i="2" a="1"/>
  <c r="J3126" i="2" s="1"/>
  <c r="J3259" i="2" a="1"/>
  <c r="J3259" i="2" s="1"/>
  <c r="J3331" i="2" a="1"/>
  <c r="J3331" i="2" s="1"/>
  <c r="J3360" i="2" a="1"/>
  <c r="J3360" i="2" s="1"/>
  <c r="J3383" i="2" a="1"/>
  <c r="J3383" i="2" s="1"/>
  <c r="J3404" i="2" a="1"/>
  <c r="J3404" i="2" s="1"/>
  <c r="J3425" i="2" a="1"/>
  <c r="J3425" i="2" s="1"/>
  <c r="J3444" i="2" a="1"/>
  <c r="J3444" i="2" s="1"/>
  <c r="J3487" i="2" a="1"/>
  <c r="J3487" i="2" s="1"/>
  <c r="J3501" i="2" a="1"/>
  <c r="J3501" i="2" s="1"/>
  <c r="J3516" i="2" a="1"/>
  <c r="J3516" i="2" s="1"/>
  <c r="J3544" i="2" a="1"/>
  <c r="J3544" i="2" s="1"/>
  <c r="J3585" i="2" a="1"/>
  <c r="J3585" i="2" s="1"/>
  <c r="J3615" i="2" a="1"/>
  <c r="J3615" i="2" s="1"/>
  <c r="J3627" i="2" a="1"/>
  <c r="J3627" i="2" s="1"/>
  <c r="J3656" i="2" a="1"/>
  <c r="J3656" i="2" s="1"/>
  <c r="J3668" i="2" a="1"/>
  <c r="J3668" i="2" s="1"/>
  <c r="J3684" i="2" a="1"/>
  <c r="J3684" i="2" s="1"/>
  <c r="J3761" i="2" a="1"/>
  <c r="J3761" i="2" s="1"/>
  <c r="J3775" i="2" a="1"/>
  <c r="J3775" i="2" s="1"/>
  <c r="J3785" i="2" a="1"/>
  <c r="J3785" i="2" s="1"/>
  <c r="J3800" i="2" a="1"/>
  <c r="J3800" i="2" s="1"/>
  <c r="J3860" i="2" a="1"/>
  <c r="J3860" i="2" s="1"/>
  <c r="J3875" i="2" a="1"/>
  <c r="J3875" i="2" s="1"/>
  <c r="J3897" i="2" a="1"/>
  <c r="J3897" i="2" s="1"/>
  <c r="J3909" i="2" a="1"/>
  <c r="J3909" i="2" s="1"/>
  <c r="J3924" i="2" a="1"/>
  <c r="J3924" i="2" s="1"/>
  <c r="J3935" i="2" a="1"/>
  <c r="J3935" i="2" s="1"/>
  <c r="J3949" i="2" a="1"/>
  <c r="J3949" i="2" s="1"/>
  <c r="J3960" i="2" a="1"/>
  <c r="J3960" i="2" s="1"/>
  <c r="J3971" i="2" a="1"/>
  <c r="J3971" i="2" s="1"/>
  <c r="J4001" i="2" a="1"/>
  <c r="J4001" i="2" s="1"/>
  <c r="J4032" i="2" a="1"/>
  <c r="J4032" i="2" s="1"/>
  <c r="J4063" i="2" a="1"/>
  <c r="J4063" i="2" s="1"/>
  <c r="J4074" i="2" a="1"/>
  <c r="J4074" i="2" s="1"/>
  <c r="J4083" i="2" a="1"/>
  <c r="J4083" i="2" s="1"/>
  <c r="J4094" i="2" a="1"/>
  <c r="J4094" i="2" s="1"/>
  <c r="J4103" i="2" a="1"/>
  <c r="J4103" i="2" s="1"/>
  <c r="J4133" i="2" a="1"/>
  <c r="J4133" i="2" s="1"/>
  <c r="J4143" i="2" a="1"/>
  <c r="J4143" i="2" s="1"/>
  <c r="J4153" i="2" a="1"/>
  <c r="J4153" i="2" s="1"/>
  <c r="J4163" i="2" a="1"/>
  <c r="J4163" i="2" s="1"/>
  <c r="J4174" i="2" a="1"/>
  <c r="J4174" i="2" s="1"/>
  <c r="J4183" i="2" a="1"/>
  <c r="J4183" i="2" s="1"/>
  <c r="J4195" i="2" a="1"/>
  <c r="J4195" i="2" s="1"/>
  <c r="J4214" i="2" a="1"/>
  <c r="J4214" i="2" s="1"/>
  <c r="J4226" i="2" a="1"/>
  <c r="J4226" i="2" s="1"/>
  <c r="J4237" i="2" a="1"/>
  <c r="J4237" i="2" s="1"/>
  <c r="J4245" i="2" a="1"/>
  <c r="J4245" i="2" s="1"/>
  <c r="J4255" i="2" a="1"/>
  <c r="J4255" i="2" s="1"/>
  <c r="J4267" i="2" a="1"/>
  <c r="J4267" i="2" s="1"/>
  <c r="J4278" i="2" a="1"/>
  <c r="J4278" i="2" s="1"/>
  <c r="J4287" i="2" a="1"/>
  <c r="J4287" i="2" s="1"/>
  <c r="J4326" i="2" a="1"/>
  <c r="J4326" i="2" s="1"/>
  <c r="J4334" i="2" a="1"/>
  <c r="J4334" i="2" s="1"/>
  <c r="J4342" i="2" a="1"/>
  <c r="J4342" i="2" s="1"/>
  <c r="J4351" i="2" a="1"/>
  <c r="J4351" i="2" s="1"/>
  <c r="J4359" i="2" a="1"/>
  <c r="J4359" i="2" s="1"/>
  <c r="J4376" i="2" a="1"/>
  <c r="J4376" i="2" s="1"/>
  <c r="J4385" i="2" a="1"/>
  <c r="J4385" i="2" s="1"/>
  <c r="J4394" i="2" a="1"/>
  <c r="J4394" i="2" s="1"/>
  <c r="J4401" i="2" a="1"/>
  <c r="J4401" i="2" s="1"/>
  <c r="J4410" i="2" a="1"/>
  <c r="J4410" i="2" s="1"/>
  <c r="J4434" i="2" a="1"/>
  <c r="J4434" i="2" s="1"/>
  <c r="J4442" i="2" a="1"/>
  <c r="J4442" i="2" s="1"/>
  <c r="J4450" i="2" a="1"/>
  <c r="J4450" i="2" s="1"/>
  <c r="J4465" i="2" a="1"/>
  <c r="J4465" i="2" s="1"/>
  <c r="J4473" i="2" a="1"/>
  <c r="J4473" i="2" s="1"/>
  <c r="J4488" i="2" a="1"/>
  <c r="J4488" i="2" s="1"/>
  <c r="J4504" i="2" a="1"/>
  <c r="J4504" i="2" s="1"/>
  <c r="J4512" i="2" a="1"/>
  <c r="J4512" i="2" s="1"/>
  <c r="J4528" i="2" a="1"/>
  <c r="J4528" i="2" s="1"/>
  <c r="J4537" i="2" a="1"/>
  <c r="J4537" i="2" s="1"/>
  <c r="J4555" i="2" a="1"/>
  <c r="J4555" i="2" s="1"/>
  <c r="J4562" i="2" a="1"/>
  <c r="J4562" i="2" s="1"/>
  <c r="J4571" i="2" a="1"/>
  <c r="J4571" i="2" s="1"/>
  <c r="J4579" i="2" a="1"/>
  <c r="J4579" i="2" s="1"/>
  <c r="J4589" i="2" a="1"/>
  <c r="J4589" i="2" s="1"/>
  <c r="J4597" i="2" a="1"/>
  <c r="J4597" i="2" s="1"/>
  <c r="J4607" i="2" a="1"/>
  <c r="J4607" i="2" s="1"/>
  <c r="J4615" i="2" a="1"/>
  <c r="J4615" i="2" s="1"/>
  <c r="J4625" i="2" a="1"/>
  <c r="J4625" i="2" s="1"/>
  <c r="J4633" i="2" a="1"/>
  <c r="J4633" i="2" s="1"/>
  <c r="J4643" i="2" a="1"/>
  <c r="J4643" i="2" s="1"/>
  <c r="J4651" i="2" a="1"/>
  <c r="J4651" i="2" s="1"/>
  <c r="J4661" i="2" a="1"/>
  <c r="J4661" i="2" s="1"/>
  <c r="J4669" i="2" a="1"/>
  <c r="J4669" i="2" s="1"/>
  <c r="J4679" i="2" a="1"/>
  <c r="J4679" i="2" s="1"/>
  <c r="J4687" i="2" a="1"/>
  <c r="J4687" i="2" s="1"/>
  <c r="J4697" i="2" a="1"/>
  <c r="J4697" i="2" s="1"/>
  <c r="J4705" i="2" a="1"/>
  <c r="J4705" i="2" s="1"/>
  <c r="J4715" i="2" a="1"/>
  <c r="J4715" i="2" s="1"/>
  <c r="J4723" i="2" a="1"/>
  <c r="J4723" i="2" s="1"/>
  <c r="J4733" i="2" a="1"/>
  <c r="J4733" i="2" s="1"/>
  <c r="J4741" i="2" a="1"/>
  <c r="J4741" i="2" s="1"/>
  <c r="J4751" i="2" a="1"/>
  <c r="J4751" i="2" s="1"/>
  <c r="J4759" i="2" a="1"/>
  <c r="J4759" i="2" s="1"/>
  <c r="J4769" i="2" a="1"/>
  <c r="J4769" i="2" s="1"/>
  <c r="J4777" i="2" a="1"/>
  <c r="J4777" i="2" s="1"/>
  <c r="J4787" i="2" a="1"/>
  <c r="J4787" i="2" s="1"/>
  <c r="J4795" i="2" a="1"/>
  <c r="J4795" i="2" s="1"/>
  <c r="J4805" i="2" a="1"/>
  <c r="J4805" i="2" s="1"/>
  <c r="J4813" i="2" a="1"/>
  <c r="J4813" i="2" s="1"/>
  <c r="J4823" i="2" a="1"/>
  <c r="J4823" i="2" s="1"/>
  <c r="J4831" i="2" a="1"/>
  <c r="J4831" i="2" s="1"/>
  <c r="J4841" i="2" a="1"/>
  <c r="J4841" i="2" s="1"/>
  <c r="J4849" i="2" a="1"/>
  <c r="J4849" i="2" s="1"/>
  <c r="J4859" i="2" a="1"/>
  <c r="J4859" i="2" s="1"/>
  <c r="J4867" i="2" a="1"/>
  <c r="J4867" i="2" s="1"/>
  <c r="J4877" i="2" a="1"/>
  <c r="J4877" i="2" s="1"/>
  <c r="J4885" i="2" a="1"/>
  <c r="J4885" i="2" s="1"/>
  <c r="J4895" i="2" a="1"/>
  <c r="J4895" i="2" s="1"/>
  <c r="J4903" i="2" a="1"/>
  <c r="J4903" i="2" s="1"/>
  <c r="J4913" i="2" a="1"/>
  <c r="J4913" i="2" s="1"/>
  <c r="J4921" i="2" a="1"/>
  <c r="J4921" i="2" s="1"/>
  <c r="J4931" i="2" a="1"/>
  <c r="J4931" i="2" s="1"/>
  <c r="J4939" i="2" a="1"/>
  <c r="J4939" i="2" s="1"/>
  <c r="J881" i="2" a="1"/>
  <c r="J881" i="2" s="1"/>
  <c r="J1926" i="2" a="1"/>
  <c r="J1926" i="2" s="1"/>
  <c r="J2692" i="2" a="1"/>
  <c r="J2692" i="2" s="1"/>
  <c r="J889" i="2" a="1"/>
  <c r="J889" i="2" s="1"/>
  <c r="J2230" i="2" a="1"/>
  <c r="J2230" i="2" s="1"/>
  <c r="J2498" i="2" a="1"/>
  <c r="J2498" i="2" s="1"/>
  <c r="J2693" i="2" a="1"/>
  <c r="J2693" i="2" s="1"/>
  <c r="J2796" i="2" a="1"/>
  <c r="J2796" i="2" s="1"/>
  <c r="J2868" i="2" a="1"/>
  <c r="J2868" i="2" s="1"/>
  <c r="J2940" i="2" a="1"/>
  <c r="J2940" i="2" s="1"/>
  <c r="J3003" i="2" a="1"/>
  <c r="J3003" i="2" s="1"/>
  <c r="J3059" i="2" a="1"/>
  <c r="J3059" i="2" s="1"/>
  <c r="J3094" i="2" a="1"/>
  <c r="J3094" i="2" s="1"/>
  <c r="J3129" i="2" a="1"/>
  <c r="J3129" i="2" s="1"/>
  <c r="J3187" i="2" a="1"/>
  <c r="J3187" i="2" s="1"/>
  <c r="J3242" i="2" a="1"/>
  <c r="J3242" i="2" s="1"/>
  <c r="J3338" i="2" a="1"/>
  <c r="J3338" i="2" s="1"/>
  <c r="J3364" i="2" a="1"/>
  <c r="J3364" i="2" s="1"/>
  <c r="J3387" i="2" a="1"/>
  <c r="J3387" i="2" s="1"/>
  <c r="J3408" i="2" a="1"/>
  <c r="J3408" i="2" s="1"/>
  <c r="J3446" i="2" a="1"/>
  <c r="J3446" i="2" s="1"/>
  <c r="J3461" i="2" a="1"/>
  <c r="J3461" i="2" s="1"/>
  <c r="J3477" i="2" a="1"/>
  <c r="J3477" i="2" s="1"/>
  <c r="J3488" i="2" a="1"/>
  <c r="J3488" i="2" s="1"/>
  <c r="J3503" i="2" a="1"/>
  <c r="J3503" i="2" s="1"/>
  <c r="J3532" i="2" a="1"/>
  <c r="J3532" i="2" s="1"/>
  <c r="J3545" i="2" a="1"/>
  <c r="J3545" i="2" s="1"/>
  <c r="J3560" i="2" a="1"/>
  <c r="J3560" i="2" s="1"/>
  <c r="J3574" i="2" a="1"/>
  <c r="J3574" i="2" s="1"/>
  <c r="J3586" i="2" a="1"/>
  <c r="J3586" i="2" s="1"/>
  <c r="J3602" i="2" a="1"/>
  <c r="J3602" i="2" s="1"/>
  <c r="J3617" i="2" a="1"/>
  <c r="J3617" i="2" s="1"/>
  <c r="J3685" i="2" a="1"/>
  <c r="J3685" i="2" s="1"/>
  <c r="J3712" i="2" a="1"/>
  <c r="J3712" i="2" s="1"/>
  <c r="J3738" i="2" a="1"/>
  <c r="J3738" i="2" s="1"/>
  <c r="J3750" i="2" a="1"/>
  <c r="J3750" i="2" s="1"/>
  <c r="J3789" i="2" a="1"/>
  <c r="J3789" i="2" s="1"/>
  <c r="J3802" i="2" a="1"/>
  <c r="J3802" i="2" s="1"/>
  <c r="J3813" i="2" a="1"/>
  <c r="J3813" i="2" s="1"/>
  <c r="J3839" i="2" a="1"/>
  <c r="J3839" i="2" s="1"/>
  <c r="J3863" i="2" a="1"/>
  <c r="J3863" i="2" s="1"/>
  <c r="J3889" i="2" a="1"/>
  <c r="J3889" i="2" s="1"/>
  <c r="J3899" i="2" a="1"/>
  <c r="J3899" i="2" s="1"/>
  <c r="J3913" i="2" a="1"/>
  <c r="J3913" i="2" s="1"/>
  <c r="J3925" i="2" a="1"/>
  <c r="J3925" i="2" s="1"/>
  <c r="J3938" i="2" a="1"/>
  <c r="J3938" i="2" s="1"/>
  <c r="J3950" i="2" a="1"/>
  <c r="J3950" i="2" s="1"/>
  <c r="J3963" i="2" a="1"/>
  <c r="J3963" i="2" s="1"/>
  <c r="J3973" i="2" a="1"/>
  <c r="J3973" i="2" s="1"/>
  <c r="J3983" i="2" a="1"/>
  <c r="J3983" i="2" s="1"/>
  <c r="J4003" i="2" a="1"/>
  <c r="J4003" i="2" s="1"/>
  <c r="J4014" i="2" a="1"/>
  <c r="J4014" i="2" s="1"/>
  <c r="J4042" i="2" a="1"/>
  <c r="J4042" i="2" s="1"/>
  <c r="J4054" i="2" a="1"/>
  <c r="J4054" i="2" s="1"/>
  <c r="J4075" i="2" a="1"/>
  <c r="J4075" i="2" s="1"/>
  <c r="J4085" i="2" a="1"/>
  <c r="J4085" i="2" s="1"/>
  <c r="J4095" i="2" a="1"/>
  <c r="J4095" i="2" s="1"/>
  <c r="J4105" i="2" a="1"/>
  <c r="J4105" i="2" s="1"/>
  <c r="J4114" i="2" a="1"/>
  <c r="J4114" i="2" s="1"/>
  <c r="J4135" i="2" a="1"/>
  <c r="J4135" i="2" s="1"/>
  <c r="J4154" i="2" a="1"/>
  <c r="J4154" i="2" s="1"/>
  <c r="J4166" i="2" a="1"/>
  <c r="J4166" i="2" s="1"/>
  <c r="J4176" i="2" a="1"/>
  <c r="J4176" i="2" s="1"/>
  <c r="J4184" i="2" a="1"/>
  <c r="J4184" i="2" s="1"/>
  <c r="J4196" i="2" a="1"/>
  <c r="J4196" i="2" s="1"/>
  <c r="J4206" i="2" a="1"/>
  <c r="J4206" i="2" s="1"/>
  <c r="J4217" i="2" a="1"/>
  <c r="J4217" i="2" s="1"/>
  <c r="J4227" i="2" a="1"/>
  <c r="J4227" i="2" s="1"/>
  <c r="J4238" i="2" a="1"/>
  <c r="J4238" i="2" s="1"/>
  <c r="J4247" i="2" a="1"/>
  <c r="J4247" i="2" s="1"/>
  <c r="J4256" i="2" a="1"/>
  <c r="J4256" i="2" s="1"/>
  <c r="J4269" i="2" a="1"/>
  <c r="J4269" i="2" s="1"/>
  <c r="J4280" i="2" a="1"/>
  <c r="J4280" i="2" s="1"/>
  <c r="J4289" i="2" a="1"/>
  <c r="J4289" i="2" s="1"/>
  <c r="J4320" i="2" a="1"/>
  <c r="J4320" i="2" s="1"/>
  <c r="J4344" i="2" a="1"/>
  <c r="J4344" i="2" s="1"/>
  <c r="J4353" i="2" a="1"/>
  <c r="J4353" i="2" s="1"/>
  <c r="J4370" i="2" a="1"/>
  <c r="J4370" i="2" s="1"/>
  <c r="J4378" i="2" a="1"/>
  <c r="J4378" i="2" s="1"/>
  <c r="J4395" i="2" a="1"/>
  <c r="J4395" i="2" s="1"/>
  <c r="J4402" i="2" a="1"/>
  <c r="J4402" i="2" s="1"/>
  <c r="J4412" i="2" a="1"/>
  <c r="J4412" i="2" s="1"/>
  <c r="J4419" i="2" a="1"/>
  <c r="J4419" i="2" s="1"/>
  <c r="J4428" i="2" a="1"/>
  <c r="J4428" i="2" s="1"/>
  <c r="J4436" i="2" a="1"/>
  <c r="J4436" i="2" s="1"/>
  <c r="J4443" i="2" a="1"/>
  <c r="J4443" i="2" s="1"/>
  <c r="J4466" i="2" a="1"/>
  <c r="J4466" i="2" s="1"/>
  <c r="J4489" i="2" a="1"/>
  <c r="J4489" i="2" s="1"/>
  <c r="J4497" i="2" a="1"/>
  <c r="J4497" i="2" s="1"/>
  <c r="J4513" i="2" a="1"/>
  <c r="J4513" i="2" s="1"/>
  <c r="J4521" i="2" a="1"/>
  <c r="J4521" i="2" s="1"/>
  <c r="J4530" i="2" a="1"/>
  <c r="J4530" i="2" s="1"/>
  <c r="J4538" i="2" a="1"/>
  <c r="J4538" i="2" s="1"/>
  <c r="J4548" i="2" a="1"/>
  <c r="J4548" i="2" s="1"/>
  <c r="J4556" i="2" a="1"/>
  <c r="J4556" i="2" s="1"/>
  <c r="J4564" i="2" a="1"/>
  <c r="J4564" i="2" s="1"/>
  <c r="J4572" i="2" a="1"/>
  <c r="J4572" i="2" s="1"/>
  <c r="J4581" i="2" a="1"/>
  <c r="J4581" i="2" s="1"/>
  <c r="J4590" i="2" a="1"/>
  <c r="J4590" i="2" s="1"/>
  <c r="J4599" i="2" a="1"/>
  <c r="J4599" i="2" s="1"/>
  <c r="J4608" i="2" a="1"/>
  <c r="J4608" i="2" s="1"/>
  <c r="J4617" i="2" a="1"/>
  <c r="J4617" i="2" s="1"/>
  <c r="J4626" i="2" a="1"/>
  <c r="J4626" i="2" s="1"/>
  <c r="J4635" i="2" a="1"/>
  <c r="J4635" i="2" s="1"/>
  <c r="J4644" i="2" a="1"/>
  <c r="J4644" i="2" s="1"/>
  <c r="J4653" i="2" a="1"/>
  <c r="J4653" i="2" s="1"/>
  <c r="J4662" i="2" a="1"/>
  <c r="J4662" i="2" s="1"/>
  <c r="J4671" i="2" a="1"/>
  <c r="J4671" i="2" s="1"/>
  <c r="J4680" i="2" a="1"/>
  <c r="J4680" i="2" s="1"/>
  <c r="J4689" i="2" a="1"/>
  <c r="J4689" i="2" s="1"/>
  <c r="J4698" i="2" a="1"/>
  <c r="J4698" i="2" s="1"/>
  <c r="J4707" i="2" a="1"/>
  <c r="J4707" i="2" s="1"/>
  <c r="J4716" i="2" a="1"/>
  <c r="J4716" i="2" s="1"/>
  <c r="J4725" i="2" a="1"/>
  <c r="J4725" i="2" s="1"/>
  <c r="J4734" i="2" a="1"/>
  <c r="J4734" i="2" s="1"/>
  <c r="J4743" i="2" a="1"/>
  <c r="J4743" i="2" s="1"/>
  <c r="J4752" i="2" a="1"/>
  <c r="J4752" i="2" s="1"/>
  <c r="J4761" i="2" a="1"/>
  <c r="J4761" i="2" s="1"/>
  <c r="J4770" i="2" a="1"/>
  <c r="J4770" i="2" s="1"/>
  <c r="J4779" i="2" a="1"/>
  <c r="J4779" i="2" s="1"/>
  <c r="J4788" i="2" a="1"/>
  <c r="J4788" i="2" s="1"/>
  <c r="J4797" i="2" a="1"/>
  <c r="J4797" i="2" s="1"/>
  <c r="J4806" i="2" a="1"/>
  <c r="J4806" i="2" s="1"/>
  <c r="J4815" i="2" a="1"/>
  <c r="J4815" i="2" s="1"/>
  <c r="J4824" i="2" a="1"/>
  <c r="J4824" i="2" s="1"/>
  <c r="J4833" i="2" a="1"/>
  <c r="J4833" i="2" s="1"/>
  <c r="J4842" i="2" a="1"/>
  <c r="J4842" i="2" s="1"/>
  <c r="J4851" i="2" a="1"/>
  <c r="J4851" i="2" s="1"/>
  <c r="J4860" i="2" a="1"/>
  <c r="J4860" i="2" s="1"/>
  <c r="J4869" i="2" a="1"/>
  <c r="J4869" i="2" s="1"/>
  <c r="J4878" i="2" a="1"/>
  <c r="J4878" i="2" s="1"/>
  <c r="J4887" i="2" a="1"/>
  <c r="J4887" i="2" s="1"/>
  <c r="J4896" i="2" a="1"/>
  <c r="J4896" i="2" s="1"/>
  <c r="J4905" i="2" a="1"/>
  <c r="J4905" i="2" s="1"/>
  <c r="J4914" i="2" a="1"/>
  <c r="J4914" i="2" s="1"/>
  <c r="J4923" i="2" a="1"/>
  <c r="J4923" i="2" s="1"/>
  <c r="J4932" i="2" a="1"/>
  <c r="J4932" i="2" s="1"/>
  <c r="J1363" i="2" a="1"/>
  <c r="J1363" i="2" s="1"/>
  <c r="J2291" i="2" a="1"/>
  <c r="J2291" i="2" s="1"/>
  <c r="J2723" i="2" a="1"/>
  <c r="J2723" i="2" s="1"/>
  <c r="J2956" i="2" a="1"/>
  <c r="J2956" i="2" s="1"/>
  <c r="J3166" i="2" a="1"/>
  <c r="J3166" i="2" s="1"/>
  <c r="J3194" i="2" a="1"/>
  <c r="J3194" i="2" s="1"/>
  <c r="J3271" i="2" a="1"/>
  <c r="J3271" i="2" s="1"/>
  <c r="J3291" i="2" a="1"/>
  <c r="J3291" i="2" s="1"/>
  <c r="J3341" i="2" a="1"/>
  <c r="J3341" i="2" s="1"/>
  <c r="J3367" i="2" a="1"/>
  <c r="J3367" i="2" s="1"/>
  <c r="J3391" i="2" a="1"/>
  <c r="J3391" i="2" s="1"/>
  <c r="J3432" i="2" a="1"/>
  <c r="J3432" i="2" s="1"/>
  <c r="J3450" i="2" a="1"/>
  <c r="J3450" i="2" s="1"/>
  <c r="J3463" i="2" a="1"/>
  <c r="J3463" i="2" s="1"/>
  <c r="J3505" i="2" a="1"/>
  <c r="J3505" i="2" s="1"/>
  <c r="J3520" i="2" a="1"/>
  <c r="J3520" i="2" s="1"/>
  <c r="J3535" i="2" a="1"/>
  <c r="J3535" i="2" s="1"/>
  <c r="J3549" i="2" a="1"/>
  <c r="J3549" i="2" s="1"/>
  <c r="J3562" i="2" a="1"/>
  <c r="J3562" i="2" s="1"/>
  <c r="J3576" i="2" a="1"/>
  <c r="J3576" i="2" s="1"/>
  <c r="J3591" i="2" a="1"/>
  <c r="J3591" i="2" s="1"/>
  <c r="J3604" i="2" a="1"/>
  <c r="J3604" i="2" s="1"/>
  <c r="J3619" i="2" a="1"/>
  <c r="J3619" i="2" s="1"/>
  <c r="J3633" i="2" a="1"/>
  <c r="J3633" i="2" s="1"/>
  <c r="J3659" i="2" a="1"/>
  <c r="J3659" i="2" s="1"/>
  <c r="J3675" i="2" a="1"/>
  <c r="J3675" i="2" s="1"/>
  <c r="J3689" i="2" a="1"/>
  <c r="J3689" i="2" s="1"/>
  <c r="J3715" i="2" a="1"/>
  <c r="J3715" i="2" s="1"/>
  <c r="J3726" i="2" a="1"/>
  <c r="J3726" i="2" s="1"/>
  <c r="J3751" i="2" a="1"/>
  <c r="J3751" i="2" s="1"/>
  <c r="J3766" i="2" a="1"/>
  <c r="J3766" i="2" s="1"/>
  <c r="J3803" i="2" a="1"/>
  <c r="J3803" i="2" s="1"/>
  <c r="J3816" i="2" a="1"/>
  <c r="J3816" i="2" s="1"/>
  <c r="J3826" i="2" a="1"/>
  <c r="J3826" i="2" s="1"/>
  <c r="J3841" i="2" a="1"/>
  <c r="J3841" i="2" s="1"/>
  <c r="J3852" i="2" a="1"/>
  <c r="J3852" i="2" s="1"/>
  <c r="J3901" i="2" a="1"/>
  <c r="J3901" i="2" s="1"/>
  <c r="J3926" i="2" a="1"/>
  <c r="J3926" i="2" s="1"/>
  <c r="J3940" i="2" a="1"/>
  <c r="J3940" i="2" s="1"/>
  <c r="J3951" i="2" a="1"/>
  <c r="J3951" i="2" s="1"/>
  <c r="J3964" i="2" a="1"/>
  <c r="J3964" i="2" s="1"/>
  <c r="J4006" i="2" a="1"/>
  <c r="J4006" i="2" s="1"/>
  <c r="J4016" i="2" a="1"/>
  <c r="J4016" i="2" s="1"/>
  <c r="J4025" i="2" a="1"/>
  <c r="J4025" i="2" s="1"/>
  <c r="J4035" i="2" a="1"/>
  <c r="J4035" i="2" s="1"/>
  <c r="J4044" i="2" a="1"/>
  <c r="J4044" i="2" s="1"/>
  <c r="J4057" i="2" a="1"/>
  <c r="J4057" i="2" s="1"/>
  <c r="J4077" i="2" a="1"/>
  <c r="J4077" i="2" s="1"/>
  <c r="J4087" i="2" a="1"/>
  <c r="J4087" i="2" s="1"/>
  <c r="J4096" i="2" a="1"/>
  <c r="J4096" i="2" s="1"/>
  <c r="J4107" i="2" a="1"/>
  <c r="J4107" i="2" s="1"/>
  <c r="J4116" i="2" a="1"/>
  <c r="J4116" i="2" s="1"/>
  <c r="J4126" i="2" a="1"/>
  <c r="J4126" i="2" s="1"/>
  <c r="J4146" i="2" a="1"/>
  <c r="J4146" i="2" s="1"/>
  <c r="J4157" i="2" a="1"/>
  <c r="J4157" i="2" s="1"/>
  <c r="J4167" i="2" a="1"/>
  <c r="J4167" i="2" s="1"/>
  <c r="J4186" i="2" a="1"/>
  <c r="J4186" i="2" s="1"/>
  <c r="J4197" i="2" a="1"/>
  <c r="J4197" i="2" s="1"/>
  <c r="J4209" i="2" a="1"/>
  <c r="J4209" i="2" s="1"/>
  <c r="J4219" i="2" a="1"/>
  <c r="J4219" i="2" s="1"/>
  <c r="J4229" i="2" a="1"/>
  <c r="J4229" i="2" s="1"/>
  <c r="J4239" i="2" a="1"/>
  <c r="J4239" i="2" s="1"/>
  <c r="J4249" i="2" a="1"/>
  <c r="J4249" i="2" s="1"/>
  <c r="J4259" i="2" a="1"/>
  <c r="J4259" i="2" s="1"/>
  <c r="J4271" i="2" a="1"/>
  <c r="J4271" i="2" s="1"/>
  <c r="J4281" i="2" a="1"/>
  <c r="J4281" i="2" s="1"/>
  <c r="J4300" i="2" a="1"/>
  <c r="J4300" i="2" s="1"/>
  <c r="J4345" i="2" a="1"/>
  <c r="J4345" i="2" s="1"/>
  <c r="J4354" i="2" a="1"/>
  <c r="J4354" i="2" s="1"/>
  <c r="J4362" i="2" a="1"/>
  <c r="J4362" i="2" s="1"/>
  <c r="J4371" i="2" a="1"/>
  <c r="J4371" i="2" s="1"/>
  <c r="J4380" i="2" a="1"/>
  <c r="J4380" i="2" s="1"/>
  <c r="J4396" i="2" a="1"/>
  <c r="J4396" i="2" s="1"/>
  <c r="J4404" i="2" a="1"/>
  <c r="J4404" i="2" s="1"/>
  <c r="J4413" i="2" a="1"/>
  <c r="J4413" i="2" s="1"/>
  <c r="J4429" i="2" a="1"/>
  <c r="J4429" i="2" s="1"/>
  <c r="J4444" i="2" a="1"/>
  <c r="J4444" i="2" s="1"/>
  <c r="J4468" i="2" a="1"/>
  <c r="J4468" i="2" s="1"/>
  <c r="J4490" i="2" a="1"/>
  <c r="J4490" i="2" s="1"/>
  <c r="J4515" i="2" a="1"/>
  <c r="J4515" i="2" s="1"/>
  <c r="J4523" i="2" a="1"/>
  <c r="J4523" i="2" s="1"/>
  <c r="J4531" i="2" a="1"/>
  <c r="J4531" i="2" s="1"/>
  <c r="J4540" i="2" a="1"/>
  <c r="J4540" i="2" s="1"/>
  <c r="J4549" i="2" a="1"/>
  <c r="J4549" i="2" s="1"/>
  <c r="J4573" i="2" a="1"/>
  <c r="J4573" i="2" s="1"/>
  <c r="J4583" i="2" a="1"/>
  <c r="J4583" i="2" s="1"/>
  <c r="J4591" i="2" a="1"/>
  <c r="J4591" i="2" s="1"/>
  <c r="J4601" i="2" a="1"/>
  <c r="J4601" i="2" s="1"/>
  <c r="J4609" i="2" a="1"/>
  <c r="J4609" i="2" s="1"/>
  <c r="J4619" i="2" a="1"/>
  <c r="J4619" i="2" s="1"/>
  <c r="J4627" i="2" a="1"/>
  <c r="J4627" i="2" s="1"/>
  <c r="J4637" i="2" a="1"/>
  <c r="J4637" i="2" s="1"/>
  <c r="J4645" i="2" a="1"/>
  <c r="J4645" i="2" s="1"/>
  <c r="J4655" i="2" a="1"/>
  <c r="J4655" i="2" s="1"/>
  <c r="J4663" i="2" a="1"/>
  <c r="J4663" i="2" s="1"/>
  <c r="J4673" i="2" a="1"/>
  <c r="J4673" i="2" s="1"/>
  <c r="J4681" i="2" a="1"/>
  <c r="J4681" i="2" s="1"/>
  <c r="J4691" i="2" a="1"/>
  <c r="J4691" i="2" s="1"/>
  <c r="J4699" i="2" a="1"/>
  <c r="J4699" i="2" s="1"/>
  <c r="J4709" i="2" a="1"/>
  <c r="J4709" i="2" s="1"/>
  <c r="J4717" i="2" a="1"/>
  <c r="J4717" i="2" s="1"/>
  <c r="J4727" i="2" a="1"/>
  <c r="J4727" i="2" s="1"/>
  <c r="J4735" i="2" a="1"/>
  <c r="J4735" i="2" s="1"/>
  <c r="J4745" i="2" a="1"/>
  <c r="J4745" i="2" s="1"/>
  <c r="J4753" i="2" a="1"/>
  <c r="J4753" i="2" s="1"/>
  <c r="J4763" i="2" a="1"/>
  <c r="J4763" i="2" s="1"/>
  <c r="J4771" i="2" a="1"/>
  <c r="J4771" i="2" s="1"/>
  <c r="J4781" i="2" a="1"/>
  <c r="J4781" i="2" s="1"/>
  <c r="J4789" i="2" a="1"/>
  <c r="J4789" i="2" s="1"/>
  <c r="J4799" i="2" a="1"/>
  <c r="J4799" i="2" s="1"/>
  <c r="J4807" i="2" a="1"/>
  <c r="J4807" i="2" s="1"/>
  <c r="J4817" i="2" a="1"/>
  <c r="J4817" i="2" s="1"/>
  <c r="J4825" i="2" a="1"/>
  <c r="J4825" i="2" s="1"/>
  <c r="J4835" i="2" a="1"/>
  <c r="J4835" i="2" s="1"/>
  <c r="J4843" i="2" a="1"/>
  <c r="J4843" i="2" s="1"/>
  <c r="J4853" i="2" a="1"/>
  <c r="J4853" i="2" s="1"/>
  <c r="J4861" i="2" a="1"/>
  <c r="J4861" i="2" s="1"/>
  <c r="J4871" i="2" a="1"/>
  <c r="J4871" i="2" s="1"/>
  <c r="J4879" i="2" a="1"/>
  <c r="J4879" i="2" s="1"/>
  <c r="J4889" i="2" a="1"/>
  <c r="J4889" i="2" s="1"/>
  <c r="J4897" i="2" a="1"/>
  <c r="J4897" i="2" s="1"/>
  <c r="J4907" i="2" a="1"/>
  <c r="J4907" i="2" s="1"/>
  <c r="J4915" i="2" a="1"/>
  <c r="J4915" i="2" s="1"/>
  <c r="J4925" i="2" a="1"/>
  <c r="J4925" i="2" s="1"/>
  <c r="J4933" i="2" a="1"/>
  <c r="J4933" i="2" s="1"/>
  <c r="J2050" i="2" a="1"/>
  <c r="J2050" i="2" s="1"/>
  <c r="J2324" i="2" a="1"/>
  <c r="J2324" i="2" s="1"/>
  <c r="J2574" i="2" a="1"/>
  <c r="J2574" i="2" s="1"/>
  <c r="J2820" i="2" a="1"/>
  <c r="J2820" i="2" s="1"/>
  <c r="J2891" i="2" a="1"/>
  <c r="J2891" i="2" s="1"/>
  <c r="J2962" i="2" a="1"/>
  <c r="J2962" i="2" s="1"/>
  <c r="J3072" i="2" a="1"/>
  <c r="J3072" i="2" s="1"/>
  <c r="J3106" i="2" a="1"/>
  <c r="J3106" i="2" s="1"/>
  <c r="J3139" i="2" a="1"/>
  <c r="J3139" i="2" s="1"/>
  <c r="J3196" i="2" a="1"/>
  <c r="J3196" i="2" s="1"/>
  <c r="J3272" i="2" a="1"/>
  <c r="J3272" i="2" s="1"/>
  <c r="J3296" i="2" a="1"/>
  <c r="J3296" i="2" s="1"/>
  <c r="J3320" i="2" a="1"/>
  <c r="J3320" i="2" s="1"/>
  <c r="J3348" i="2" a="1"/>
  <c r="J3348" i="2" s="1"/>
  <c r="J3372" i="2" a="1"/>
  <c r="J3372" i="2" s="1"/>
  <c r="J3393" i="2" a="1"/>
  <c r="J3393" i="2" s="1"/>
  <c r="J3416" i="2" a="1"/>
  <c r="J3416" i="2" s="1"/>
  <c r="J3452" i="2" a="1"/>
  <c r="J3452" i="2" s="1"/>
  <c r="J3466" i="2" a="1"/>
  <c r="J3466" i="2" s="1"/>
  <c r="J3480" i="2" a="1"/>
  <c r="J3480" i="2" s="1"/>
  <c r="J3495" i="2" a="1"/>
  <c r="J3495" i="2" s="1"/>
  <c r="J3522" i="2" a="1"/>
  <c r="J3522" i="2" s="1"/>
  <c r="J3537" i="2" a="1"/>
  <c r="J3537" i="2" s="1"/>
  <c r="J3551" i="2" a="1"/>
  <c r="J3551" i="2" s="1"/>
  <c r="J3578" i="2" a="1"/>
  <c r="J3578" i="2" s="1"/>
  <c r="J3593" i="2" a="1"/>
  <c r="J3593" i="2" s="1"/>
  <c r="J3621" i="2" a="1"/>
  <c r="J3621" i="2" s="1"/>
  <c r="J3635" i="2" a="1"/>
  <c r="J3635" i="2" s="1"/>
  <c r="J3649" i="2" a="1"/>
  <c r="J3649" i="2" s="1"/>
  <c r="J3663" i="2" a="1"/>
  <c r="J3663" i="2" s="1"/>
  <c r="J3676" i="2" a="1"/>
  <c r="J3676" i="2" s="1"/>
  <c r="J3691" i="2" a="1"/>
  <c r="J3691" i="2" s="1"/>
  <c r="J3704" i="2" a="1"/>
  <c r="J3704" i="2" s="1"/>
  <c r="J3729" i="2" a="1"/>
  <c r="J3729" i="2" s="1"/>
  <c r="J3741" i="2" a="1"/>
  <c r="J3741" i="2" s="1"/>
  <c r="J3755" i="2" a="1"/>
  <c r="J3755" i="2" s="1"/>
  <c r="J3768" i="2" a="1"/>
  <c r="J3768" i="2" s="1"/>
  <c r="J3792" i="2" a="1"/>
  <c r="J3792" i="2" s="1"/>
  <c r="J3806" i="2" a="1"/>
  <c r="J3806" i="2" s="1"/>
  <c r="J3843" i="2" a="1"/>
  <c r="J3843" i="2" s="1"/>
  <c r="J3855" i="2" a="1"/>
  <c r="J3855" i="2" s="1"/>
  <c r="J3880" i="2" a="1"/>
  <c r="J3880" i="2" s="1"/>
  <c r="J3930" i="2" a="1"/>
  <c r="J3930" i="2" s="1"/>
  <c r="J3942" i="2" a="1"/>
  <c r="J3942" i="2" s="1"/>
  <c r="J3965" i="2" a="1"/>
  <c r="J3965" i="2" s="1"/>
  <c r="J3976" i="2" a="1"/>
  <c r="J3976" i="2" s="1"/>
  <c r="J3986" i="2" a="1"/>
  <c r="J3986" i="2" s="1"/>
  <c r="J3997" i="2" a="1"/>
  <c r="J3997" i="2" s="1"/>
  <c r="J4007" i="2" a="1"/>
  <c r="J4007" i="2" s="1"/>
  <c r="J4018" i="2" a="1"/>
  <c r="J4018" i="2" s="1"/>
  <c r="J4036" i="2" a="1"/>
  <c r="J4036" i="2" s="1"/>
  <c r="J4048" i="2" a="1"/>
  <c r="J4048" i="2" s="1"/>
  <c r="J4059" i="2" a="1"/>
  <c r="J4059" i="2" s="1"/>
  <c r="J4068" i="2" a="1"/>
  <c r="J4068" i="2" s="1"/>
  <c r="J4078" i="2" a="1"/>
  <c r="J4078" i="2" s="1"/>
  <c r="J4089" i="2" a="1"/>
  <c r="J4089" i="2" s="1"/>
  <c r="J4099" i="2" a="1"/>
  <c r="J4099" i="2" s="1"/>
  <c r="J4108" i="2" a="1"/>
  <c r="J4108" i="2" s="1"/>
  <c r="J4118" i="2" a="1"/>
  <c r="J4118" i="2" s="1"/>
  <c r="J4128" i="2" a="1"/>
  <c r="J4128" i="2" s="1"/>
  <c r="J4159" i="2" a="1"/>
  <c r="J4159" i="2" s="1"/>
  <c r="J4168" i="2" a="1"/>
  <c r="J4168" i="2" s="1"/>
  <c r="J4188" i="2" a="1"/>
  <c r="J4188" i="2" s="1"/>
  <c r="J4200" i="2" a="1"/>
  <c r="J4200" i="2" s="1"/>
  <c r="J4210" i="2" a="1"/>
  <c r="J4210" i="2" s="1"/>
  <c r="J4221" i="2" a="1"/>
  <c r="J4221" i="2" s="1"/>
  <c r="J4231" i="2" a="1"/>
  <c r="J4231" i="2" s="1"/>
  <c r="J4240" i="2" a="1"/>
  <c r="J4240" i="2" s="1"/>
  <c r="J4261" i="2" a="1"/>
  <c r="J4261" i="2" s="1"/>
  <c r="J4282" i="2" a="1"/>
  <c r="J4282" i="2" s="1"/>
  <c r="J4292" i="2" a="1"/>
  <c r="J4292" i="2" s="1"/>
  <c r="J4304" i="2" a="1"/>
  <c r="J4304" i="2" s="1"/>
  <c r="J4313" i="2" a="1"/>
  <c r="J4313" i="2" s="1"/>
  <c r="J4338" i="2" a="1"/>
  <c r="J4338" i="2" s="1"/>
  <c r="J4346" i="2" a="1"/>
  <c r="J4346" i="2" s="1"/>
  <c r="J4355" i="2" a="1"/>
  <c r="J4355" i="2" s="1"/>
  <c r="J4364" i="2" a="1"/>
  <c r="J4364" i="2" s="1"/>
  <c r="J4372" i="2" a="1"/>
  <c r="J4372" i="2" s="1"/>
  <c r="J4382" i="2" a="1"/>
  <c r="J4382" i="2" s="1"/>
  <c r="J4389" i="2" a="1"/>
  <c r="J4389" i="2" s="1"/>
  <c r="J4397" i="2" a="1"/>
  <c r="J4397" i="2" s="1"/>
  <c r="J4405" i="2" a="1"/>
  <c r="J4405" i="2" s="1"/>
  <c r="J4414" i="2" a="1"/>
  <c r="J4414" i="2" s="1"/>
  <c r="J4422" i="2" a="1"/>
  <c r="J4422" i="2" s="1"/>
  <c r="J4430" i="2" a="1"/>
  <c r="J4430" i="2" s="1"/>
  <c r="J4446" i="2" a="1"/>
  <c r="J4446" i="2" s="1"/>
  <c r="J4461" i="2" a="1"/>
  <c r="J4461" i="2" s="1"/>
  <c r="J4469" i="2" a="1"/>
  <c r="J4469" i="2" s="1"/>
  <c r="J4492" i="2" a="1"/>
  <c r="J4492" i="2" s="1"/>
  <c r="J4508" i="2" a="1"/>
  <c r="J4508" i="2" s="1"/>
  <c r="J4524" i="2" a="1"/>
  <c r="J4524" i="2" s="1"/>
  <c r="J4532" i="2" a="1"/>
  <c r="J4532" i="2" s="1"/>
  <c r="J4551" i="2" a="1"/>
  <c r="J4551" i="2" s="1"/>
  <c r="J4575" i="2" a="1"/>
  <c r="J4575" i="2" s="1"/>
  <c r="J4584" i="2" a="1"/>
  <c r="J4584" i="2" s="1"/>
  <c r="J4593" i="2" a="1"/>
  <c r="J4593" i="2" s="1"/>
  <c r="J4602" i="2" a="1"/>
  <c r="J4602" i="2" s="1"/>
  <c r="J4611" i="2" a="1"/>
  <c r="J4611" i="2" s="1"/>
  <c r="J4620" i="2" a="1"/>
  <c r="J4620" i="2" s="1"/>
  <c r="J4629" i="2" a="1"/>
  <c r="J4629" i="2" s="1"/>
  <c r="J4638" i="2" a="1"/>
  <c r="J4638" i="2" s="1"/>
  <c r="J4647" i="2" a="1"/>
  <c r="J4647" i="2" s="1"/>
  <c r="J4656" i="2" a="1"/>
  <c r="J4656" i="2" s="1"/>
  <c r="J4665" i="2" a="1"/>
  <c r="J4665" i="2" s="1"/>
  <c r="J4674" i="2" a="1"/>
  <c r="J4674" i="2" s="1"/>
  <c r="J4683" i="2" a="1"/>
  <c r="J4683" i="2" s="1"/>
  <c r="J4692" i="2" a="1"/>
  <c r="J4692" i="2" s="1"/>
  <c r="J4701" i="2" a="1"/>
  <c r="J4701" i="2" s="1"/>
  <c r="J4710" i="2" a="1"/>
  <c r="J4710" i="2" s="1"/>
  <c r="J4719" i="2" a="1"/>
  <c r="J4719" i="2" s="1"/>
  <c r="J4728" i="2" a="1"/>
  <c r="J4728" i="2" s="1"/>
  <c r="J4737" i="2" a="1"/>
  <c r="J4737" i="2" s="1"/>
  <c r="J4746" i="2" a="1"/>
  <c r="J4746" i="2" s="1"/>
  <c r="J4994" i="2" a="1"/>
  <c r="J4994" i="2" s="1"/>
  <c r="J4985" i="2" a="1"/>
  <c r="J4985" i="2" s="1"/>
  <c r="J4965" i="2" a="1"/>
  <c r="J4965" i="2" s="1"/>
  <c r="J4955" i="2" a="1"/>
  <c r="J4955" i="2" s="1"/>
  <c r="J4934" i="2" a="1"/>
  <c r="J4934" i="2" s="1"/>
  <c r="J4920" i="2" a="1"/>
  <c r="J4920" i="2" s="1"/>
  <c r="J4893" i="2" a="1"/>
  <c r="J4893" i="2" s="1"/>
  <c r="J4880" i="2" a="1"/>
  <c r="J4880" i="2" s="1"/>
  <c r="J4866" i="2" a="1"/>
  <c r="J4866" i="2" s="1"/>
  <c r="J4839" i="2" a="1"/>
  <c r="J4839" i="2" s="1"/>
  <c r="J4826" i="2" a="1"/>
  <c r="J4826" i="2" s="1"/>
  <c r="J4812" i="2" a="1"/>
  <c r="J4812" i="2" s="1"/>
  <c r="J4785" i="2" a="1"/>
  <c r="J4785" i="2" s="1"/>
  <c r="J4772" i="2" a="1"/>
  <c r="J4772" i="2" s="1"/>
  <c r="J4758" i="2" a="1"/>
  <c r="J4758" i="2" s="1"/>
  <c r="J4744" i="2" a="1"/>
  <c r="J4744" i="2" s="1"/>
  <c r="J4713" i="2" a="1"/>
  <c r="J4713" i="2" s="1"/>
  <c r="J4682" i="2" a="1"/>
  <c r="J4682" i="2" s="1"/>
  <c r="J4667" i="2" a="1"/>
  <c r="J4667" i="2" s="1"/>
  <c r="J4636" i="2" a="1"/>
  <c r="J4636" i="2" s="1"/>
  <c r="J4605" i="2" a="1"/>
  <c r="J4605" i="2" s="1"/>
  <c r="J4574" i="2" a="1"/>
  <c r="J4574" i="2" s="1"/>
  <c r="J4546" i="2" a="1"/>
  <c r="J4546" i="2" s="1"/>
  <c r="J4517" i="2" a="1"/>
  <c r="J4517" i="2" s="1"/>
  <c r="J4502" i="2" a="1"/>
  <c r="J4502" i="2" s="1"/>
  <c r="J4476" i="2" a="1"/>
  <c r="J4476" i="2" s="1"/>
  <c r="J4449" i="2" a="1"/>
  <c r="J4449" i="2" s="1"/>
  <c r="J4435" i="2" a="1"/>
  <c r="J4435" i="2" s="1"/>
  <c r="J4418" i="2" a="1"/>
  <c r="J4418" i="2" s="1"/>
  <c r="J4386" i="2" a="1"/>
  <c r="J4386" i="2" s="1"/>
  <c r="J4369" i="2" a="1"/>
  <c r="J4369" i="2" s="1"/>
  <c r="J4352" i="2" a="1"/>
  <c r="J4352" i="2" s="1"/>
  <c r="J4335" i="2" a="1"/>
  <c r="J4335" i="2" s="1"/>
  <c r="J4318" i="2" a="1"/>
  <c r="J4318" i="2" s="1"/>
  <c r="J4298" i="2" a="1"/>
  <c r="J4298" i="2" s="1"/>
  <c r="J4273" i="2" a="1"/>
  <c r="J4273" i="2" s="1"/>
  <c r="J4248" i="2" a="1"/>
  <c r="J4248" i="2" s="1"/>
  <c r="J4225" i="2" a="1"/>
  <c r="J4225" i="2" s="1"/>
  <c r="J4198" i="2" a="1"/>
  <c r="J4198" i="2" s="1"/>
  <c r="J4175" i="2" a="1"/>
  <c r="J4175" i="2" s="1"/>
  <c r="J4150" i="2" a="1"/>
  <c r="J4150" i="2" s="1"/>
  <c r="J4125" i="2" a="1"/>
  <c r="J4125" i="2" s="1"/>
  <c r="J4102" i="2" a="1"/>
  <c r="J4102" i="2" s="1"/>
  <c r="J4053" i="2" a="1"/>
  <c r="J4053" i="2" s="1"/>
  <c r="J4027" i="2" a="1"/>
  <c r="J4027" i="2" s="1"/>
  <c r="J4005" i="2" a="1"/>
  <c r="J4005" i="2" s="1"/>
  <c r="J3981" i="2" a="1"/>
  <c r="J3981" i="2" s="1"/>
  <c r="J3892" i="2" a="1"/>
  <c r="J3892" i="2" s="1"/>
  <c r="J3865" i="2" a="1"/>
  <c r="J3865" i="2" s="1"/>
  <c r="J3827" i="2" a="1"/>
  <c r="J3827" i="2" s="1"/>
  <c r="J3791" i="2" a="1"/>
  <c r="J3791" i="2" s="1"/>
  <c r="J3716" i="2" a="1"/>
  <c r="J3716" i="2" s="1"/>
  <c r="J3592" i="2" a="1"/>
  <c r="J3592" i="2" s="1"/>
  <c r="J3464" i="2" a="1"/>
  <c r="J3464" i="2" s="1"/>
  <c r="J3414" i="2" a="1"/>
  <c r="J3414" i="2" s="1"/>
  <c r="J3342" i="2" a="1"/>
  <c r="J3342" i="2" s="1"/>
  <c r="J2943" i="2" a="1"/>
  <c r="J2943" i="2" s="1"/>
  <c r="J2510" i="2" a="1"/>
  <c r="J2510" i="2" s="1"/>
  <c r="J4942" i="2" a="1"/>
  <c r="J4942" i="2" s="1"/>
  <c r="K6" i="2" a="1"/>
  <c r="K6" i="2" s="1"/>
  <c r="K16" i="2" a="1"/>
  <c r="K16" i="2" s="1"/>
  <c r="K28" i="2" a="1"/>
  <c r="K28" i="2" s="1"/>
  <c r="K40" i="2" a="1"/>
  <c r="K40" i="2" s="1"/>
  <c r="K52" i="2" a="1"/>
  <c r="K52" i="2" s="1"/>
  <c r="K62" i="2" a="1"/>
  <c r="K62" i="2" s="1"/>
  <c r="K84" i="2" a="1"/>
  <c r="K84" i="2" s="1"/>
  <c r="K95" i="2" a="1"/>
  <c r="K95" i="2" s="1"/>
  <c r="K107" i="2" a="1"/>
  <c r="K107" i="2" s="1"/>
  <c r="K118" i="2" a="1"/>
  <c r="K118" i="2" s="1"/>
  <c r="K128" i="2" a="1"/>
  <c r="K128" i="2" s="1"/>
  <c r="K139" i="2" a="1"/>
  <c r="K139" i="2" s="1"/>
  <c r="K150" i="2" a="1"/>
  <c r="K150" i="2" s="1"/>
  <c r="K161" i="2" a="1"/>
  <c r="K161" i="2" s="1"/>
  <c r="K173" i="2" a="1"/>
  <c r="K173" i="2" s="1"/>
  <c r="K185" i="2" a="1"/>
  <c r="K185" i="2" s="1"/>
  <c r="K197" i="2" a="1"/>
  <c r="K197" i="2" s="1"/>
  <c r="K207" i="2" a="1"/>
  <c r="K207" i="2" s="1"/>
  <c r="K218" i="2" a="1"/>
  <c r="K218" i="2" s="1"/>
  <c r="K229" i="2" a="1"/>
  <c r="K229" i="2" s="1"/>
  <c r="K241" i="2" a="1"/>
  <c r="K241" i="2" s="1"/>
  <c r="K252" i="2" a="1"/>
  <c r="K252" i="2" s="1"/>
  <c r="K263" i="2" a="1"/>
  <c r="K263" i="2" s="1"/>
  <c r="K273" i="2" a="1"/>
  <c r="K273" i="2" s="1"/>
  <c r="K284" i="2" a="1"/>
  <c r="K284" i="2" s="1"/>
  <c r="K307" i="2" a="1"/>
  <c r="K307" i="2" s="1"/>
  <c r="K319" i="2" a="1"/>
  <c r="K319" i="2" s="1"/>
  <c r="K329" i="2" a="1"/>
  <c r="K329" i="2" s="1"/>
  <c r="K341" i="2" a="1"/>
  <c r="K341" i="2" s="1"/>
  <c r="K351" i="2" a="1"/>
  <c r="K351" i="2" s="1"/>
  <c r="K362" i="2" a="1"/>
  <c r="K362" i="2" s="1"/>
  <c r="K373" i="2" a="1"/>
  <c r="K373" i="2" s="1"/>
  <c r="K384" i="2" a="1"/>
  <c r="K384" i="2" s="1"/>
  <c r="K394" i="2" a="1"/>
  <c r="K394" i="2" s="1"/>
  <c r="K404" i="2" a="1"/>
  <c r="K404" i="2" s="1"/>
  <c r="K421" i="2" a="1"/>
  <c r="K421" i="2" s="1"/>
  <c r="K432" i="2" a="1"/>
  <c r="K432" i="2" s="1"/>
  <c r="K442" i="2" a="1"/>
  <c r="K442" i="2" s="1"/>
  <c r="K454" i="2" a="1"/>
  <c r="K454" i="2" s="1"/>
  <c r="K465" i="2" a="1"/>
  <c r="K465" i="2" s="1"/>
  <c r="K475" i="2" a="1"/>
  <c r="K475" i="2" s="1"/>
  <c r="K485" i="2" a="1"/>
  <c r="K485" i="2" s="1"/>
  <c r="K495" i="2" a="1"/>
  <c r="K495" i="2" s="1"/>
  <c r="K511" i="2" a="1"/>
  <c r="K511" i="2" s="1"/>
  <c r="K518" i="2" a="1"/>
  <c r="K518" i="2" s="1"/>
  <c r="K525" i="2" a="1"/>
  <c r="K525" i="2" s="1"/>
  <c r="K539" i="2" a="1"/>
  <c r="K539" i="2" s="1"/>
  <c r="K547" i="2" a="1"/>
  <c r="K547" i="2" s="1"/>
  <c r="K562" i="2" a="1"/>
  <c r="K562" i="2" s="1"/>
  <c r="K577" i="2" a="1"/>
  <c r="K577" i="2" s="1"/>
  <c r="K592" i="2" a="1"/>
  <c r="K592" i="2" s="1"/>
  <c r="K600" i="2" a="1"/>
  <c r="K600" i="2" s="1"/>
  <c r="K608" i="2" a="1"/>
  <c r="K608" i="2" s="1"/>
  <c r="K624" i="2" a="1"/>
  <c r="K624" i="2" s="1"/>
  <c r="K632" i="2" a="1"/>
  <c r="K632" i="2" s="1"/>
  <c r="K641" i="2" a="1"/>
  <c r="K641" i="2" s="1"/>
  <c r="K656" i="2" a="1"/>
  <c r="K656" i="2" s="1"/>
  <c r="K675" i="2" a="1"/>
  <c r="K675" i="2" s="1"/>
  <c r="K690" i="2" a="1"/>
  <c r="K690" i="2" s="1"/>
  <c r="K699" i="2" a="1"/>
  <c r="K699" i="2" s="1"/>
  <c r="K707" i="2" a="1"/>
  <c r="K707" i="2" s="1"/>
  <c r="K714" i="2" a="1"/>
  <c r="K714" i="2" s="1"/>
  <c r="K722" i="2" a="1"/>
  <c r="K722" i="2" s="1"/>
  <c r="K729" i="2" a="1"/>
  <c r="K729" i="2" s="1"/>
  <c r="K738" i="2" a="1"/>
  <c r="K738" i="2" s="1"/>
  <c r="K755" i="2" a="1"/>
  <c r="K755" i="2" s="1"/>
  <c r="K763" i="2" a="1"/>
  <c r="K763" i="2" s="1"/>
  <c r="K780" i="2" a="1"/>
  <c r="K780" i="2" s="1"/>
  <c r="K789" i="2" a="1"/>
  <c r="K789" i="2" s="1"/>
  <c r="K806" i="2" a="1"/>
  <c r="K806" i="2" s="1"/>
  <c r="K7" i="2" a="1"/>
  <c r="K7" i="2" s="1"/>
  <c r="K17" i="2" a="1"/>
  <c r="K17" i="2" s="1"/>
  <c r="K29" i="2" a="1"/>
  <c r="K29" i="2" s="1"/>
  <c r="K41" i="2" a="1"/>
  <c r="K41" i="2" s="1"/>
  <c r="K53" i="2" a="1"/>
  <c r="K53" i="2" s="1"/>
  <c r="K63" i="2" a="1"/>
  <c r="K63" i="2" s="1"/>
  <c r="K74" i="2" a="1"/>
  <c r="K74" i="2" s="1"/>
  <c r="K85" i="2" a="1"/>
  <c r="K85" i="2" s="1"/>
  <c r="K96" i="2" a="1"/>
  <c r="K96" i="2" s="1"/>
  <c r="K108" i="2" a="1"/>
  <c r="K108" i="2" s="1"/>
  <c r="K119" i="2" a="1"/>
  <c r="K119" i="2" s="1"/>
  <c r="K129" i="2" a="1"/>
  <c r="K129" i="2" s="1"/>
  <c r="K140" i="2" a="1"/>
  <c r="K140" i="2" s="1"/>
  <c r="K151" i="2" a="1"/>
  <c r="K151" i="2" s="1"/>
  <c r="K162" i="2" a="1"/>
  <c r="K162" i="2" s="1"/>
  <c r="K174" i="2" a="1"/>
  <c r="K174" i="2" s="1"/>
  <c r="K186" i="2" a="1"/>
  <c r="K186" i="2" s="1"/>
  <c r="K198" i="2" a="1"/>
  <c r="K198" i="2" s="1"/>
  <c r="K208" i="2" a="1"/>
  <c r="K208" i="2" s="1"/>
  <c r="K219" i="2" a="1"/>
  <c r="K219" i="2" s="1"/>
  <c r="K230" i="2" a="1"/>
  <c r="K230" i="2" s="1"/>
  <c r="K242" i="2" a="1"/>
  <c r="K242" i="2" s="1"/>
  <c r="K253" i="2" a="1"/>
  <c r="K253" i="2" s="1"/>
  <c r="K264" i="2" a="1"/>
  <c r="K264" i="2" s="1"/>
  <c r="K274" i="2" a="1"/>
  <c r="K274" i="2" s="1"/>
  <c r="K285" i="2" a="1"/>
  <c r="K285" i="2" s="1"/>
  <c r="K296" i="2" a="1"/>
  <c r="K296" i="2" s="1"/>
  <c r="K308" i="2" a="1"/>
  <c r="K308" i="2" s="1"/>
  <c r="K330" i="2" a="1"/>
  <c r="K330" i="2" s="1"/>
  <c r="K342" i="2" a="1"/>
  <c r="K342" i="2" s="1"/>
  <c r="K352" i="2" a="1"/>
  <c r="K352" i="2" s="1"/>
  <c r="K363" i="2" a="1"/>
  <c r="K363" i="2" s="1"/>
  <c r="K395" i="2" a="1"/>
  <c r="K395" i="2" s="1"/>
  <c r="K405" i="2" a="1"/>
  <c r="K405" i="2" s="1"/>
  <c r="K413" i="2" a="1"/>
  <c r="K413" i="2" s="1"/>
  <c r="K422" i="2" a="1"/>
  <c r="K422" i="2" s="1"/>
  <c r="K433" i="2" a="1"/>
  <c r="K433" i="2" s="1"/>
  <c r="K443" i="2" a="1"/>
  <c r="K443" i="2" s="1"/>
  <c r="K455" i="2" a="1"/>
  <c r="K455" i="2" s="1"/>
  <c r="K466" i="2" a="1"/>
  <c r="K466" i="2" s="1"/>
  <c r="K476" i="2" a="1"/>
  <c r="K476" i="2" s="1"/>
  <c r="K505" i="2" a="1"/>
  <c r="K505" i="2" s="1"/>
  <c r="K519" i="2" a="1"/>
  <c r="K519" i="2" s="1"/>
  <c r="K533" i="2" a="1"/>
  <c r="K533" i="2" s="1"/>
  <c r="K540" i="2" a="1"/>
  <c r="K540" i="2" s="1"/>
  <c r="K556" i="2" a="1"/>
  <c r="K556" i="2" s="1"/>
  <c r="K563" i="2" a="1"/>
  <c r="K563" i="2" s="1"/>
  <c r="K570" i="2" a="1"/>
  <c r="K570" i="2" s="1"/>
  <c r="K584" i="2" a="1"/>
  <c r="K584" i="2" s="1"/>
  <c r="K601" i="2" a="1"/>
  <c r="K601" i="2" s="1"/>
  <c r="K609" i="2" a="1"/>
  <c r="K609" i="2" s="1"/>
  <c r="K617" i="2" a="1"/>
  <c r="K617" i="2" s="1"/>
  <c r="K625" i="2" a="1"/>
  <c r="K625" i="2" s="1"/>
  <c r="K633" i="2" a="1"/>
  <c r="K633" i="2" s="1"/>
  <c r="K650" i="2" a="1"/>
  <c r="K650" i="2" s="1"/>
  <c r="K657" i="2" a="1"/>
  <c r="K657" i="2" s="1"/>
  <c r="K666" i="2" a="1"/>
  <c r="K666" i="2" s="1"/>
  <c r="K682" i="2" a="1"/>
  <c r="K682" i="2" s="1"/>
  <c r="K723" i="2" a="1"/>
  <c r="K723" i="2" s="1"/>
  <c r="K730" i="2" a="1"/>
  <c r="K730" i="2" s="1"/>
  <c r="K748" i="2" a="1"/>
  <c r="K748" i="2" s="1"/>
  <c r="K756" i="2" a="1"/>
  <c r="K756" i="2" s="1"/>
  <c r="K764" i="2" a="1"/>
  <c r="K764" i="2" s="1"/>
  <c r="K773" i="2" a="1"/>
  <c r="K773" i="2" s="1"/>
  <c r="K781" i="2" a="1"/>
  <c r="K781" i="2" s="1"/>
  <c r="K790" i="2" a="1"/>
  <c r="K790" i="2" s="1"/>
  <c r="K798" i="2" a="1"/>
  <c r="K798" i="2" s="1"/>
  <c r="K807" i="2" a="1"/>
  <c r="K807" i="2" s="1"/>
  <c r="K18" i="2" a="1"/>
  <c r="K18" i="2" s="1"/>
  <c r="K30" i="2" a="1"/>
  <c r="K30" i="2" s="1"/>
  <c r="K42" i="2" a="1"/>
  <c r="K42" i="2" s="1"/>
  <c r="K54" i="2" a="1"/>
  <c r="K54" i="2" s="1"/>
  <c r="K64" i="2" a="1"/>
  <c r="K64" i="2" s="1"/>
  <c r="K75" i="2" a="1"/>
  <c r="K75" i="2" s="1"/>
  <c r="K97" i="2" a="1"/>
  <c r="K97" i="2" s="1"/>
  <c r="K109" i="2" a="1"/>
  <c r="K109" i="2" s="1"/>
  <c r="K120" i="2" a="1"/>
  <c r="K120" i="2" s="1"/>
  <c r="K130" i="2" a="1"/>
  <c r="K130" i="2" s="1"/>
  <c r="K141" i="2" a="1"/>
  <c r="K141" i="2" s="1"/>
  <c r="K163" i="2" a="1"/>
  <c r="K163" i="2" s="1"/>
  <c r="K175" i="2" a="1"/>
  <c r="K175" i="2" s="1"/>
  <c r="K187" i="2" a="1"/>
  <c r="K187" i="2" s="1"/>
  <c r="K199" i="2" a="1"/>
  <c r="K199" i="2" s="1"/>
  <c r="K209" i="2" a="1"/>
  <c r="K209" i="2" s="1"/>
  <c r="K220" i="2" a="1"/>
  <c r="K220" i="2" s="1"/>
  <c r="K231" i="2" a="1"/>
  <c r="K231" i="2" s="1"/>
  <c r="K243" i="2" a="1"/>
  <c r="K243" i="2" s="1"/>
  <c r="K265" i="2" a="1"/>
  <c r="K265" i="2" s="1"/>
  <c r="K275" i="2" a="1"/>
  <c r="K275" i="2" s="1"/>
  <c r="K286" i="2" a="1"/>
  <c r="K286" i="2" s="1"/>
  <c r="K297" i="2" a="1"/>
  <c r="K297" i="2" s="1"/>
  <c r="K309" i="2" a="1"/>
  <c r="K309" i="2" s="1"/>
  <c r="K320" i="2" a="1"/>
  <c r="K320" i="2" s="1"/>
  <c r="K331" i="2" a="1"/>
  <c r="K331" i="2" s="1"/>
  <c r="K343" i="2" a="1"/>
  <c r="K343" i="2" s="1"/>
  <c r="K353" i="2" a="1"/>
  <c r="K353" i="2" s="1"/>
  <c r="K364" i="2" a="1"/>
  <c r="K364" i="2" s="1"/>
  <c r="K374" i="2" a="1"/>
  <c r="K374" i="2" s="1"/>
  <c r="K385" i="2" a="1"/>
  <c r="K385" i="2" s="1"/>
  <c r="K396" i="2" a="1"/>
  <c r="K396" i="2" s="1"/>
  <c r="K406" i="2" a="1"/>
  <c r="K406" i="2" s="1"/>
  <c r="K414" i="2" a="1"/>
  <c r="K414" i="2" s="1"/>
  <c r="K423" i="2" a="1"/>
  <c r="K423" i="2" s="1"/>
  <c r="K444" i="2" a="1"/>
  <c r="K444" i="2" s="1"/>
  <c r="K467" i="2" a="1"/>
  <c r="K467" i="2" s="1"/>
  <c r="K477" i="2" a="1"/>
  <c r="K477" i="2" s="1"/>
  <c r="K486" i="2" a="1"/>
  <c r="K486" i="2" s="1"/>
  <c r="K496" i="2" a="1"/>
  <c r="K496" i="2" s="1"/>
  <c r="K512" i="2" a="1"/>
  <c r="K512" i="2" s="1"/>
  <c r="K526" i="2" a="1"/>
  <c r="K526" i="2" s="1"/>
  <c r="K541" i="2" a="1"/>
  <c r="K541" i="2" s="1"/>
  <c r="K548" i="2" a="1"/>
  <c r="K548" i="2" s="1"/>
  <c r="K578" i="2" a="1"/>
  <c r="K578" i="2" s="1"/>
  <c r="K585" i="2" a="1"/>
  <c r="K585" i="2" s="1"/>
  <c r="K593" i="2" a="1"/>
  <c r="K593" i="2" s="1"/>
  <c r="K602" i="2" a="1"/>
  <c r="K602" i="2" s="1"/>
  <c r="K618" i="2" a="1"/>
  <c r="K618" i="2" s="1"/>
  <c r="K626" i="2" a="1"/>
  <c r="K626" i="2" s="1"/>
  <c r="K634" i="2" a="1"/>
  <c r="K634" i="2" s="1"/>
  <c r="K642" i="2" a="1"/>
  <c r="K642" i="2" s="1"/>
  <c r="K651" i="2" a="1"/>
  <c r="K651" i="2" s="1"/>
  <c r="K658" i="2" a="1"/>
  <c r="K658" i="2" s="1"/>
  <c r="K12" i="2" a="1"/>
  <c r="K12" i="2" s="1"/>
  <c r="K26" i="2" a="1"/>
  <c r="K26" i="2" s="1"/>
  <c r="K44" i="2" a="1"/>
  <c r="K44" i="2" s="1"/>
  <c r="K58" i="2" a="1"/>
  <c r="K58" i="2" s="1"/>
  <c r="K72" i="2" a="1"/>
  <c r="K72" i="2" s="1"/>
  <c r="K87" i="2" a="1"/>
  <c r="K87" i="2" s="1"/>
  <c r="K102" i="2" a="1"/>
  <c r="K102" i="2" s="1"/>
  <c r="K116" i="2" a="1"/>
  <c r="K116" i="2" s="1"/>
  <c r="K132" i="2" a="1"/>
  <c r="K132" i="2" s="1"/>
  <c r="K159" i="2" a="1"/>
  <c r="K159" i="2" s="1"/>
  <c r="K177" i="2" a="1"/>
  <c r="K177" i="2" s="1"/>
  <c r="K192" i="2" a="1"/>
  <c r="K192" i="2" s="1"/>
  <c r="K222" i="2" a="1"/>
  <c r="K222" i="2" s="1"/>
  <c r="K236" i="2" a="1"/>
  <c r="K236" i="2" s="1"/>
  <c r="K250" i="2" a="1"/>
  <c r="K250" i="2" s="1"/>
  <c r="K266" i="2" a="1"/>
  <c r="K266" i="2" s="1"/>
  <c r="K279" i="2" a="1"/>
  <c r="K279" i="2" s="1"/>
  <c r="K294" i="2" a="1"/>
  <c r="K294" i="2" s="1"/>
  <c r="K311" i="2" a="1"/>
  <c r="K311" i="2" s="1"/>
  <c r="K325" i="2" a="1"/>
  <c r="K325" i="2" s="1"/>
  <c r="K339" i="2" a="1"/>
  <c r="K339" i="2" s="1"/>
  <c r="K355" i="2" a="1"/>
  <c r="K355" i="2" s="1"/>
  <c r="K368" i="2" a="1"/>
  <c r="K368" i="2" s="1"/>
  <c r="K382" i="2" a="1"/>
  <c r="K382" i="2" s="1"/>
  <c r="K397" i="2" a="1"/>
  <c r="K397" i="2" s="1"/>
  <c r="K435" i="2" a="1"/>
  <c r="K435" i="2" s="1"/>
  <c r="K449" i="2" a="1"/>
  <c r="K449" i="2" s="1"/>
  <c r="K463" i="2" a="1"/>
  <c r="K463" i="2" s="1"/>
  <c r="K479" i="2" a="1"/>
  <c r="K479" i="2" s="1"/>
  <c r="K490" i="2" a="1"/>
  <c r="K490" i="2" s="1"/>
  <c r="K503" i="2" a="1"/>
  <c r="K503" i="2" s="1"/>
  <c r="K522" i="2" a="1"/>
  <c r="K522" i="2" s="1"/>
  <c r="K543" i="2" a="1"/>
  <c r="K543" i="2" s="1"/>
  <c r="K551" i="2" a="1"/>
  <c r="K551" i="2" s="1"/>
  <c r="K561" i="2" a="1"/>
  <c r="K561" i="2" s="1"/>
  <c r="K581" i="2" a="1"/>
  <c r="K581" i="2" s="1"/>
  <c r="K591" i="2" a="1"/>
  <c r="K591" i="2" s="1"/>
  <c r="K613" i="2" a="1"/>
  <c r="K613" i="2" s="1"/>
  <c r="K623" i="2" a="1"/>
  <c r="K623" i="2" s="1"/>
  <c r="K646" i="2" a="1"/>
  <c r="K646" i="2" s="1"/>
  <c r="K655" i="2" a="1"/>
  <c r="K655" i="2" s="1"/>
  <c r="K667" i="2" a="1"/>
  <c r="K667" i="2" s="1"/>
  <c r="K696" i="2" a="1"/>
  <c r="K696" i="2" s="1"/>
  <c r="K706" i="2" a="1"/>
  <c r="K706" i="2" s="1"/>
  <c r="K725" i="2" a="1"/>
  <c r="K725" i="2" s="1"/>
  <c r="K735" i="2" a="1"/>
  <c r="K735" i="2" s="1"/>
  <c r="K745" i="2" a="1"/>
  <c r="K745" i="2" s="1"/>
  <c r="K766" i="2" a="1"/>
  <c r="K766" i="2" s="1"/>
  <c r="K775" i="2" a="1"/>
  <c r="K775" i="2" s="1"/>
  <c r="K815" i="2" a="1"/>
  <c r="K815" i="2" s="1"/>
  <c r="K840" i="2" a="1"/>
  <c r="K840" i="2" s="1"/>
  <c r="K881" i="2" a="1"/>
  <c r="K881" i="2" s="1"/>
  <c r="K890" i="2" a="1"/>
  <c r="K890" i="2" s="1"/>
  <c r="K906" i="2" a="1"/>
  <c r="K906" i="2" s="1"/>
  <c r="K931" i="2" a="1"/>
  <c r="K931" i="2" s="1"/>
  <c r="K948" i="2" a="1"/>
  <c r="K948" i="2" s="1"/>
  <c r="K956" i="2" a="1"/>
  <c r="K956" i="2" s="1"/>
  <c r="K973" i="2" a="1"/>
  <c r="K973" i="2" s="1"/>
  <c r="K13" i="2" a="1"/>
  <c r="K13" i="2" s="1"/>
  <c r="K27" i="2" a="1"/>
  <c r="K27" i="2" s="1"/>
  <c r="K45" i="2" a="1"/>
  <c r="K45" i="2" s="1"/>
  <c r="K59" i="2" a="1"/>
  <c r="K59" i="2" s="1"/>
  <c r="K73" i="2" a="1"/>
  <c r="K73" i="2" s="1"/>
  <c r="K88" i="2" a="1"/>
  <c r="K88" i="2" s="1"/>
  <c r="K103" i="2" a="1"/>
  <c r="K103" i="2" s="1"/>
  <c r="K117" i="2" a="1"/>
  <c r="K117" i="2" s="1"/>
  <c r="K133" i="2" a="1"/>
  <c r="K133" i="2" s="1"/>
  <c r="K146" i="2" a="1"/>
  <c r="K146" i="2" s="1"/>
  <c r="K160" i="2" a="1"/>
  <c r="K160" i="2" s="1"/>
  <c r="K178" i="2" a="1"/>
  <c r="K178" i="2" s="1"/>
  <c r="K193" i="2" a="1"/>
  <c r="K193" i="2" s="1"/>
  <c r="K206" i="2" a="1"/>
  <c r="K206" i="2" s="1"/>
  <c r="K223" i="2" a="1"/>
  <c r="K223" i="2" s="1"/>
  <c r="K237" i="2" a="1"/>
  <c r="K237" i="2" s="1"/>
  <c r="K251" i="2" a="1"/>
  <c r="K251" i="2" s="1"/>
  <c r="K267" i="2" a="1"/>
  <c r="K267" i="2" s="1"/>
  <c r="K280" i="2" a="1"/>
  <c r="K280" i="2" s="1"/>
  <c r="K295" i="2" a="1"/>
  <c r="K295" i="2" s="1"/>
  <c r="K312" i="2" a="1"/>
  <c r="K312" i="2" s="1"/>
  <c r="K340" i="2" a="1"/>
  <c r="K340" i="2" s="1"/>
  <c r="K356" i="2" a="1"/>
  <c r="K356" i="2" s="1"/>
  <c r="K369" i="2" a="1"/>
  <c r="K369" i="2" s="1"/>
  <c r="K383" i="2" a="1"/>
  <c r="K383" i="2" s="1"/>
  <c r="K398" i="2" a="1"/>
  <c r="K398" i="2" s="1"/>
  <c r="K409" i="2" a="1"/>
  <c r="K409" i="2" s="1"/>
  <c r="K420" i="2" a="1"/>
  <c r="K420" i="2" s="1"/>
  <c r="K436" i="2" a="1"/>
  <c r="K436" i="2" s="1"/>
  <c r="K450" i="2" a="1"/>
  <c r="K450" i="2" s="1"/>
  <c r="K464" i="2" a="1"/>
  <c r="K464" i="2" s="1"/>
  <c r="K480" i="2" a="1"/>
  <c r="K480" i="2" s="1"/>
  <c r="K491" i="2" a="1"/>
  <c r="K491" i="2" s="1"/>
  <c r="K504" i="2" a="1"/>
  <c r="K504" i="2" s="1"/>
  <c r="K514" i="2" a="1"/>
  <c r="K514" i="2" s="1"/>
  <c r="K532" i="2" a="1"/>
  <c r="K532" i="2" s="1"/>
  <c r="K552" i="2" a="1"/>
  <c r="K552" i="2" s="1"/>
  <c r="K572" i="2" a="1"/>
  <c r="K572" i="2" s="1"/>
  <c r="K604" i="2" a="1"/>
  <c r="K604" i="2" s="1"/>
  <c r="K614" i="2" a="1"/>
  <c r="K614" i="2" s="1"/>
  <c r="K636" i="2" a="1"/>
  <c r="K636" i="2" s="1"/>
  <c r="K647" i="2" a="1"/>
  <c r="K647" i="2" s="1"/>
  <c r="K678" i="2" a="1"/>
  <c r="K678" i="2" s="1"/>
  <c r="K688" i="2" a="1"/>
  <c r="K688" i="2" s="1"/>
  <c r="K697" i="2" a="1"/>
  <c r="K697" i="2" s="1"/>
  <c r="K708" i="2" a="1"/>
  <c r="K708" i="2" s="1"/>
  <c r="K716" i="2" a="1"/>
  <c r="K716" i="2" s="1"/>
  <c r="K746" i="2" a="1"/>
  <c r="K746" i="2" s="1"/>
  <c r="K757" i="2" a="1"/>
  <c r="K757" i="2" s="1"/>
  <c r="K786" i="2" a="1"/>
  <c r="K786" i="2" s="1"/>
  <c r="K796" i="2" a="1"/>
  <c r="K796" i="2" s="1"/>
  <c r="K816" i="2" a="1"/>
  <c r="K816" i="2" s="1"/>
  <c r="K824" i="2" a="1"/>
  <c r="K824" i="2" s="1"/>
  <c r="K833" i="2" a="1"/>
  <c r="K833" i="2" s="1"/>
  <c r="K841" i="2" a="1"/>
  <c r="K841" i="2" s="1"/>
  <c r="K848" i="2" a="1"/>
  <c r="K848" i="2" s="1"/>
  <c r="K857" i="2" a="1"/>
  <c r="K857" i="2" s="1"/>
  <c r="K865" i="2" a="1"/>
  <c r="K865" i="2" s="1"/>
  <c r="K872" i="2" a="1"/>
  <c r="K872" i="2" s="1"/>
  <c r="K882" i="2" a="1"/>
  <c r="K882" i="2" s="1"/>
  <c r="K891" i="2" a="1"/>
  <c r="K891" i="2" s="1"/>
  <c r="K898" i="2" a="1"/>
  <c r="K898" i="2" s="1"/>
  <c r="K916" i="2" a="1"/>
  <c r="K916" i="2" s="1"/>
  <c r="K31" i="2" a="1"/>
  <c r="K31" i="2" s="1"/>
  <c r="K46" i="2" a="1"/>
  <c r="K46" i="2" s="1"/>
  <c r="K60" i="2" a="1"/>
  <c r="K60" i="2" s="1"/>
  <c r="K76" i="2" a="1"/>
  <c r="K76" i="2" s="1"/>
  <c r="K89" i="2" a="1"/>
  <c r="K89" i="2" s="1"/>
  <c r="K104" i="2" a="1"/>
  <c r="K104" i="2" s="1"/>
  <c r="K121" i="2" a="1"/>
  <c r="K121" i="2" s="1"/>
  <c r="K147" i="2" a="1"/>
  <c r="K147" i="2" s="1"/>
  <c r="K164" i="2" a="1"/>
  <c r="K164" i="2" s="1"/>
  <c r="K179" i="2" a="1"/>
  <c r="K179" i="2" s="1"/>
  <c r="K194" i="2" a="1"/>
  <c r="K194" i="2" s="1"/>
  <c r="K210" i="2" a="1"/>
  <c r="K210" i="2" s="1"/>
  <c r="K238" i="2" a="1"/>
  <c r="K238" i="2" s="1"/>
  <c r="K254" i="2" a="1"/>
  <c r="K254" i="2" s="1"/>
  <c r="K268" i="2" a="1"/>
  <c r="K268" i="2" s="1"/>
  <c r="K281" i="2" a="1"/>
  <c r="K281" i="2" s="1"/>
  <c r="K298" i="2" a="1"/>
  <c r="K298" i="2" s="1"/>
  <c r="K313" i="2" a="1"/>
  <c r="K313" i="2" s="1"/>
  <c r="K326" i="2" a="1"/>
  <c r="K326" i="2" s="1"/>
  <c r="K357" i="2" a="1"/>
  <c r="K357" i="2" s="1"/>
  <c r="K370" i="2" a="1"/>
  <c r="K370" i="2" s="1"/>
  <c r="K386" i="2" a="1"/>
  <c r="K386" i="2" s="1"/>
  <c r="K399" i="2" a="1"/>
  <c r="K399" i="2" s="1"/>
  <c r="K410" i="2" a="1"/>
  <c r="K410" i="2" s="1"/>
  <c r="K424" i="2" a="1"/>
  <c r="K424" i="2" s="1"/>
  <c r="K451" i="2" a="1"/>
  <c r="K451" i="2" s="1"/>
  <c r="K468" i="2" a="1"/>
  <c r="K468" i="2" s="1"/>
  <c r="K481" i="2" a="1"/>
  <c r="K481" i="2" s="1"/>
  <c r="K492" i="2" a="1"/>
  <c r="K492" i="2" s="1"/>
  <c r="K506" i="2" a="1"/>
  <c r="K506" i="2" s="1"/>
  <c r="K523" i="2" a="1"/>
  <c r="K523" i="2" s="1"/>
  <c r="K534" i="2" a="1"/>
  <c r="K534" i="2" s="1"/>
  <c r="K544" i="2" a="1"/>
  <c r="K544" i="2" s="1"/>
  <c r="K553" i="2" a="1"/>
  <c r="K553" i="2" s="1"/>
  <c r="K564" i="2" a="1"/>
  <c r="K564" i="2" s="1"/>
  <c r="K573" i="2" a="1"/>
  <c r="K573" i="2" s="1"/>
  <c r="K582" i="2" a="1"/>
  <c r="K582" i="2" s="1"/>
  <c r="K605" i="2" a="1"/>
  <c r="K605" i="2" s="1"/>
  <c r="K615" i="2" a="1"/>
  <c r="K615" i="2" s="1"/>
  <c r="K627" i="2" a="1"/>
  <c r="K627" i="2" s="1"/>
  <c r="K637" i="2" a="1"/>
  <c r="K637" i="2" s="1"/>
  <c r="K648" i="2" a="1"/>
  <c r="K648" i="2" s="1"/>
  <c r="K659" i="2" a="1"/>
  <c r="K659" i="2" s="1"/>
  <c r="K668" i="2" a="1"/>
  <c r="K668" i="2" s="1"/>
  <c r="K698" i="2" a="1"/>
  <c r="K698" i="2" s="1"/>
  <c r="K717" i="2" a="1"/>
  <c r="K717" i="2" s="1"/>
  <c r="K726" i="2" a="1"/>
  <c r="K726" i="2" s="1"/>
  <c r="K736" i="2" a="1"/>
  <c r="K736" i="2" s="1"/>
  <c r="K747" i="2" a="1"/>
  <c r="K747" i="2" s="1"/>
  <c r="K758" i="2" a="1"/>
  <c r="K758" i="2" s="1"/>
  <c r="K14" i="2" a="1"/>
  <c r="K14" i="2" s="1"/>
  <c r="K32" i="2" a="1"/>
  <c r="K32" i="2" s="1"/>
  <c r="K47" i="2" a="1"/>
  <c r="K47" i="2" s="1"/>
  <c r="K61" i="2" a="1"/>
  <c r="K61" i="2" s="1"/>
  <c r="K77" i="2" a="1"/>
  <c r="K77" i="2" s="1"/>
  <c r="K90" i="2" a="1"/>
  <c r="K90" i="2" s="1"/>
  <c r="K105" i="2" a="1"/>
  <c r="K105" i="2" s="1"/>
  <c r="K134" i="2" a="1"/>
  <c r="K134" i="2" s="1"/>
  <c r="K148" i="2" a="1"/>
  <c r="K148" i="2" s="1"/>
  <c r="K165" i="2" a="1"/>
  <c r="K165" i="2" s="1"/>
  <c r="K180" i="2" a="1"/>
  <c r="K180" i="2" s="1"/>
  <c r="K195" i="2" a="1"/>
  <c r="K195" i="2" s="1"/>
  <c r="K211" i="2" a="1"/>
  <c r="K211" i="2" s="1"/>
  <c r="K224" i="2" a="1"/>
  <c r="K224" i="2" s="1"/>
  <c r="K239" i="2" a="1"/>
  <c r="K239" i="2" s="1"/>
  <c r="K255" i="2" a="1"/>
  <c r="K255" i="2" s="1"/>
  <c r="K269" i="2" a="1"/>
  <c r="K269" i="2" s="1"/>
  <c r="K282" i="2" a="1"/>
  <c r="K282" i="2" s="1"/>
  <c r="K299" i="2" a="1"/>
  <c r="K299" i="2" s="1"/>
  <c r="K314" i="2" a="1"/>
  <c r="K314" i="2" s="1"/>
  <c r="K327" i="2" a="1"/>
  <c r="K327" i="2" s="1"/>
  <c r="K344" i="2" a="1"/>
  <c r="K344" i="2" s="1"/>
  <c r="K358" i="2" a="1"/>
  <c r="K358" i="2" s="1"/>
  <c r="K371" i="2" a="1"/>
  <c r="K371" i="2" s="1"/>
  <c r="K387" i="2" a="1"/>
  <c r="K387" i="2" s="1"/>
  <c r="K400" i="2" a="1"/>
  <c r="K400" i="2" s="1"/>
  <c r="K2" i="2" a="1"/>
  <c r="K2" i="2" s="1"/>
  <c r="K15" i="2" a="1"/>
  <c r="K15" i="2" s="1"/>
  <c r="K33" i="2" a="1"/>
  <c r="K33" i="2" s="1"/>
  <c r="K48" i="2" a="1"/>
  <c r="K48" i="2" s="1"/>
  <c r="K78" i="2" a="1"/>
  <c r="K78" i="2" s="1"/>
  <c r="K91" i="2" a="1"/>
  <c r="K91" i="2" s="1"/>
  <c r="K106" i="2" a="1"/>
  <c r="K106" i="2" s="1"/>
  <c r="K122" i="2" a="1"/>
  <c r="K122" i="2" s="1"/>
  <c r="K135" i="2" a="1"/>
  <c r="K135" i="2" s="1"/>
  <c r="K149" i="2" a="1"/>
  <c r="K149" i="2" s="1"/>
  <c r="K166" i="2" a="1"/>
  <c r="K166" i="2" s="1"/>
  <c r="K181" i="2" a="1"/>
  <c r="K181" i="2" s="1"/>
  <c r="K196" i="2" a="1"/>
  <c r="K196" i="2" s="1"/>
  <c r="K212" i="2" a="1"/>
  <c r="K212" i="2" s="1"/>
  <c r="K225" i="2" a="1"/>
  <c r="K225" i="2" s="1"/>
  <c r="K240" i="2" a="1"/>
  <c r="K240" i="2" s="1"/>
  <c r="K256" i="2" a="1"/>
  <c r="K256" i="2" s="1"/>
  <c r="K270" i="2" a="1"/>
  <c r="K270" i="2" s="1"/>
  <c r="K283" i="2" a="1"/>
  <c r="K283" i="2" s="1"/>
  <c r="K300" i="2" a="1"/>
  <c r="K300" i="2" s="1"/>
  <c r="K315" i="2" a="1"/>
  <c r="K315" i="2" s="1"/>
  <c r="K328" i="2" a="1"/>
  <c r="K328" i="2" s="1"/>
  <c r="K345" i="2" a="1"/>
  <c r="K345" i="2" s="1"/>
  <c r="K359" i="2" a="1"/>
  <c r="K359" i="2" s="1"/>
  <c r="K372" i="2" a="1"/>
  <c r="K372" i="2" s="1"/>
  <c r="K388" i="2" a="1"/>
  <c r="K388" i="2" s="1"/>
  <c r="K401" i="2" a="1"/>
  <c r="K401" i="2" s="1"/>
  <c r="K412" i="2" a="1"/>
  <c r="K412" i="2" s="1"/>
  <c r="K426" i="2" a="1"/>
  <c r="K426" i="2" s="1"/>
  <c r="K438" i="2" a="1"/>
  <c r="K438" i="2" s="1"/>
  <c r="K453" i="2" a="1"/>
  <c r="K453" i="2" s="1"/>
  <c r="K483" i="2" a="1"/>
  <c r="K483" i="2" s="1"/>
  <c r="K494" i="2" a="1"/>
  <c r="K494" i="2" s="1"/>
  <c r="K524" i="2" a="1"/>
  <c r="K524" i="2" s="1"/>
  <c r="K535" i="2" a="1"/>
  <c r="K535" i="2" s="1"/>
  <c r="K545" i="2" a="1"/>
  <c r="K545" i="2" s="1"/>
  <c r="K555" i="2" a="1"/>
  <c r="K555" i="2" s="1"/>
  <c r="K565" i="2" a="1"/>
  <c r="K565" i="2" s="1"/>
  <c r="K574" i="2" a="1"/>
  <c r="K574" i="2" s="1"/>
  <c r="K583" i="2" a="1"/>
  <c r="K583" i="2" s="1"/>
  <c r="K606" i="2" a="1"/>
  <c r="K606" i="2" s="1"/>
  <c r="K616" i="2" a="1"/>
  <c r="K616" i="2" s="1"/>
  <c r="K628" i="2" a="1"/>
  <c r="K628" i="2" s="1"/>
  <c r="K639" i="2" a="1"/>
  <c r="K639" i="2" s="1"/>
  <c r="K649" i="2" a="1"/>
  <c r="K649" i="2" s="1"/>
  <c r="K661" i="2" a="1"/>
  <c r="K661" i="2" s="1"/>
  <c r="K670" i="2" a="1"/>
  <c r="K670" i="2" s="1"/>
  <c r="K710" i="2" a="1"/>
  <c r="K710" i="2" s="1"/>
  <c r="K719" i="2" a="1"/>
  <c r="K719" i="2" s="1"/>
  <c r="K727" i="2" a="1"/>
  <c r="K727" i="2" s="1"/>
  <c r="K737" i="2" a="1"/>
  <c r="K737" i="2" s="1"/>
  <c r="K769" i="2" a="1"/>
  <c r="K769" i="2" s="1"/>
  <c r="K3" i="2" a="1"/>
  <c r="K3" i="2" s="1"/>
  <c r="K19" i="2" a="1"/>
  <c r="K19" i="2" s="1"/>
  <c r="K34" i="2" a="1"/>
  <c r="K34" i="2" s="1"/>
  <c r="K49" i="2" a="1"/>
  <c r="K49" i="2" s="1"/>
  <c r="K65" i="2" a="1"/>
  <c r="K65" i="2" s="1"/>
  <c r="K79" i="2" a="1"/>
  <c r="K79" i="2" s="1"/>
  <c r="K92" i="2" a="1"/>
  <c r="K92" i="2" s="1"/>
  <c r="K123" i="2" a="1"/>
  <c r="K123" i="2" s="1"/>
  <c r="K136" i="2" a="1"/>
  <c r="K136" i="2" s="1"/>
  <c r="K152" i="2" a="1"/>
  <c r="K152" i="2" s="1"/>
  <c r="K167" i="2" a="1"/>
  <c r="K167" i="2" s="1"/>
  <c r="K182" i="2" a="1"/>
  <c r="K182" i="2" s="1"/>
  <c r="K213" i="2" a="1"/>
  <c r="K213" i="2" s="1"/>
  <c r="K226" i="2" a="1"/>
  <c r="K226" i="2" s="1"/>
  <c r="K244" i="2" a="1"/>
  <c r="K244" i="2" s="1"/>
  <c r="K257" i="2" a="1"/>
  <c r="K257" i="2" s="1"/>
  <c r="K271" i="2" a="1"/>
  <c r="K271" i="2" s="1"/>
  <c r="K287" i="2" a="1"/>
  <c r="K287" i="2" s="1"/>
  <c r="K301" i="2" a="1"/>
  <c r="K301" i="2" s="1"/>
  <c r="K316" i="2" a="1"/>
  <c r="K316" i="2" s="1"/>
  <c r="K332" i="2" a="1"/>
  <c r="K332" i="2" s="1"/>
  <c r="K346" i="2" a="1"/>
  <c r="K346" i="2" s="1"/>
  <c r="K360" i="2" a="1"/>
  <c r="K360" i="2" s="1"/>
  <c r="K375" i="2" a="1"/>
  <c r="K375" i="2" s="1"/>
  <c r="K389" i="2" a="1"/>
  <c r="K389" i="2" s="1"/>
  <c r="K402" i="2" a="1"/>
  <c r="K402" i="2" s="1"/>
  <c r="K415" i="2" a="1"/>
  <c r="K415" i="2" s="1"/>
  <c r="K439" i="2" a="1"/>
  <c r="K439" i="2" s="1"/>
  <c r="K456" i="2" a="1"/>
  <c r="K456" i="2" s="1"/>
  <c r="K470" i="2" a="1"/>
  <c r="K470" i="2" s="1"/>
  <c r="K508" i="2" a="1"/>
  <c r="K508" i="2" s="1"/>
  <c r="K516" i="2" a="1"/>
  <c r="K516" i="2" s="1"/>
  <c r="K557" i="2" a="1"/>
  <c r="K557" i="2" s="1"/>
  <c r="K566" i="2" a="1"/>
  <c r="K566" i="2" s="1"/>
  <c r="K575" i="2" a="1"/>
  <c r="K575" i="2" s="1"/>
  <c r="K595" i="2" a="1"/>
  <c r="K595" i="2" s="1"/>
  <c r="K671" i="2" a="1"/>
  <c r="K671" i="2" s="1"/>
  <c r="K680" i="2" a="1"/>
  <c r="K680" i="2" s="1"/>
  <c r="K691" i="2" a="1"/>
  <c r="K691" i="2" s="1"/>
  <c r="K701" i="2" a="1"/>
  <c r="K701" i="2" s="1"/>
  <c r="K711" i="2" a="1"/>
  <c r="K711" i="2" s="1"/>
  <c r="K720" i="2" a="1"/>
  <c r="K720" i="2" s="1"/>
  <c r="K739" i="2" a="1"/>
  <c r="K739" i="2" s="1"/>
  <c r="K750" i="2" a="1"/>
  <c r="K750" i="2" s="1"/>
  <c r="K760" i="2" a="1"/>
  <c r="K760" i="2" s="1"/>
  <c r="K770" i="2" a="1"/>
  <c r="K770" i="2" s="1"/>
  <c r="K779" i="2" a="1"/>
  <c r="K779" i="2" s="1"/>
  <c r="K4" i="2" a="1"/>
  <c r="K4" i="2" s="1"/>
  <c r="K20" i="2" a="1"/>
  <c r="K20" i="2" s="1"/>
  <c r="K35" i="2" a="1"/>
  <c r="K35" i="2" s="1"/>
  <c r="K50" i="2" a="1"/>
  <c r="K50" i="2" s="1"/>
  <c r="K66" i="2" a="1"/>
  <c r="K66" i="2" s="1"/>
  <c r="K93" i="2" a="1"/>
  <c r="K93" i="2" s="1"/>
  <c r="K110" i="2" a="1"/>
  <c r="K110" i="2" s="1"/>
  <c r="K124" i="2" a="1"/>
  <c r="K124" i="2" s="1"/>
  <c r="K137" i="2" a="1"/>
  <c r="K137" i="2" s="1"/>
  <c r="K153" i="2" a="1"/>
  <c r="K153" i="2" s="1"/>
  <c r="K168" i="2" a="1"/>
  <c r="K168" i="2" s="1"/>
  <c r="K183" i="2" a="1"/>
  <c r="K183" i="2" s="1"/>
  <c r="K200" i="2" a="1"/>
  <c r="K200" i="2" s="1"/>
  <c r="K214" i="2" a="1"/>
  <c r="K214" i="2" s="1"/>
  <c r="K227" i="2" a="1"/>
  <c r="K227" i="2" s="1"/>
  <c r="K245" i="2" a="1"/>
  <c r="K245" i="2" s="1"/>
  <c r="K258" i="2" a="1"/>
  <c r="K258" i="2" s="1"/>
  <c r="K288" i="2" a="1"/>
  <c r="K288" i="2" s="1"/>
  <c r="K302" i="2" a="1"/>
  <c r="K302" i="2" s="1"/>
  <c r="K317" i="2" a="1"/>
  <c r="K317" i="2" s="1"/>
  <c r="K333" i="2" a="1"/>
  <c r="K333" i="2" s="1"/>
  <c r="K347" i="2" a="1"/>
  <c r="K347" i="2" s="1"/>
  <c r="K361" i="2" a="1"/>
  <c r="K361" i="2" s="1"/>
  <c r="K376" i="2" a="1"/>
  <c r="K376" i="2" s="1"/>
  <c r="K390" i="2" a="1"/>
  <c r="K390" i="2" s="1"/>
  <c r="K403" i="2" a="1"/>
  <c r="K403" i="2" s="1"/>
  <c r="K427" i="2" a="1"/>
  <c r="K427" i="2" s="1"/>
  <c r="K440" i="2" a="1"/>
  <c r="K440" i="2" s="1"/>
  <c r="K457" i="2" a="1"/>
  <c r="K457" i="2" s="1"/>
  <c r="K471" i="2" a="1"/>
  <c r="K471" i="2" s="1"/>
  <c r="K484" i="2" a="1"/>
  <c r="K484" i="2" s="1"/>
  <c r="K497" i="2" a="1"/>
  <c r="K497" i="2" s="1"/>
  <c r="K517" i="2" a="1"/>
  <c r="K517" i="2" s="1"/>
  <c r="K527" i="2" a="1"/>
  <c r="K527" i="2" s="1"/>
  <c r="K5" i="2" a="1"/>
  <c r="K5" i="2" s="1"/>
  <c r="K21" i="2" a="1"/>
  <c r="K21" i="2" s="1"/>
  <c r="K36" i="2" a="1"/>
  <c r="K36" i="2" s="1"/>
  <c r="K51" i="2" a="1"/>
  <c r="K51" i="2" s="1"/>
  <c r="K67" i="2" a="1"/>
  <c r="K67" i="2" s="1"/>
  <c r="K80" i="2" a="1"/>
  <c r="K80" i="2" s="1"/>
  <c r="K94" i="2" a="1"/>
  <c r="K94" i="2" s="1"/>
  <c r="K111" i="2" a="1"/>
  <c r="K111" i="2" s="1"/>
  <c r="K125" i="2" a="1"/>
  <c r="K125" i="2" s="1"/>
  <c r="K138" i="2" a="1"/>
  <c r="K138" i="2" s="1"/>
  <c r="K154" i="2" a="1"/>
  <c r="K154" i="2" s="1"/>
  <c r="K169" i="2" a="1"/>
  <c r="K169" i="2" s="1"/>
  <c r="K184" i="2" a="1"/>
  <c r="K184" i="2" s="1"/>
  <c r="K201" i="2" a="1"/>
  <c r="K201" i="2" s="1"/>
  <c r="K215" i="2" a="1"/>
  <c r="K215" i="2" s="1"/>
  <c r="K228" i="2" a="1"/>
  <c r="K228" i="2" s="1"/>
  <c r="K246" i="2" a="1"/>
  <c r="K246" i="2" s="1"/>
  <c r="K259" i="2" a="1"/>
  <c r="K259" i="2" s="1"/>
  <c r="K272" i="2" a="1"/>
  <c r="K272" i="2" s="1"/>
  <c r="K289" i="2" a="1"/>
  <c r="K289" i="2" s="1"/>
  <c r="K303" i="2" a="1"/>
  <c r="K303" i="2" s="1"/>
  <c r="K318" i="2" a="1"/>
  <c r="K318" i="2" s="1"/>
  <c r="K334" i="2" a="1"/>
  <c r="K334" i="2" s="1"/>
  <c r="K348" i="2" a="1"/>
  <c r="K348" i="2" s="1"/>
  <c r="K377" i="2" a="1"/>
  <c r="K377" i="2" s="1"/>
  <c r="K416" i="2" a="1"/>
  <c r="K416" i="2" s="1"/>
  <c r="K428" i="2" a="1"/>
  <c r="K428" i="2" s="1"/>
  <c r="K441" i="2" a="1"/>
  <c r="K441" i="2" s="1"/>
  <c r="K458" i="2" a="1"/>
  <c r="K458" i="2" s="1"/>
  <c r="K472" i="2" a="1"/>
  <c r="K472" i="2" s="1"/>
  <c r="K498" i="2" a="1"/>
  <c r="K498" i="2" s="1"/>
  <c r="K509" i="2" a="1"/>
  <c r="K509" i="2" s="1"/>
  <c r="K537" i="2" a="1"/>
  <c r="K537" i="2" s="1"/>
  <c r="K558" i="2" a="1"/>
  <c r="K558" i="2" s="1"/>
  <c r="K587" i="2" a="1"/>
  <c r="K587" i="2" s="1"/>
  <c r="K596" i="2" a="1"/>
  <c r="K596" i="2" s="1"/>
  <c r="K663" i="2" a="1"/>
  <c r="K663" i="2" s="1"/>
  <c r="K673" i="2" a="1"/>
  <c r="K673" i="2" s="1"/>
  <c r="K683" i="2" a="1"/>
  <c r="K683" i="2" s="1"/>
  <c r="K693" i="2" a="1"/>
  <c r="K693" i="2" s="1"/>
  <c r="K702" i="2" a="1"/>
  <c r="K702" i="2" s="1"/>
  <c r="K712" i="2" a="1"/>
  <c r="K712" i="2" s="1"/>
  <c r="K721" i="2" a="1"/>
  <c r="K721" i="2" s="1"/>
  <c r="K731" i="2" a="1"/>
  <c r="K731" i="2" s="1"/>
  <c r="K740" i="2" a="1"/>
  <c r="K740" i="2" s="1"/>
  <c r="K761" i="2" a="1"/>
  <c r="K761" i="2" s="1"/>
  <c r="K782" i="2" a="1"/>
  <c r="K782" i="2" s="1"/>
  <c r="K801" i="2" a="1"/>
  <c r="K801" i="2" s="1"/>
  <c r="K811" i="2" a="1"/>
  <c r="K811" i="2" s="1"/>
  <c r="K829" i="2" a="1"/>
  <c r="K829" i="2" s="1"/>
  <c r="K837" i="2" a="1"/>
  <c r="K837" i="2" s="1"/>
  <c r="K845" i="2" a="1"/>
  <c r="K845" i="2" s="1"/>
  <c r="K8" i="2" a="1"/>
  <c r="K8" i="2" s="1"/>
  <c r="K22" i="2" a="1"/>
  <c r="K22" i="2" s="1"/>
  <c r="K37" i="2" a="1"/>
  <c r="K37" i="2" s="1"/>
  <c r="K55" i="2" a="1"/>
  <c r="K55" i="2" s="1"/>
  <c r="K68" i="2" a="1"/>
  <c r="K68" i="2" s="1"/>
  <c r="K81" i="2" a="1"/>
  <c r="K81" i="2" s="1"/>
  <c r="K98" i="2" a="1"/>
  <c r="K98" i="2" s="1"/>
  <c r="K112" i="2" a="1"/>
  <c r="K112" i="2" s="1"/>
  <c r="K126" i="2" a="1"/>
  <c r="K126" i="2" s="1"/>
  <c r="K142" i="2" a="1"/>
  <c r="K142" i="2" s="1"/>
  <c r="K155" i="2" a="1"/>
  <c r="K155" i="2" s="1"/>
  <c r="K170" i="2" a="1"/>
  <c r="K170" i="2" s="1"/>
  <c r="K188" i="2" a="1"/>
  <c r="K188" i="2" s="1"/>
  <c r="K202" i="2" a="1"/>
  <c r="K202" i="2" s="1"/>
  <c r="K216" i="2" a="1"/>
  <c r="K216" i="2" s="1"/>
  <c r="K232" i="2" a="1"/>
  <c r="K232" i="2" s="1"/>
  <c r="K247" i="2" a="1"/>
  <c r="K247" i="2" s="1"/>
  <c r="K260" i="2" a="1"/>
  <c r="K260" i="2" s="1"/>
  <c r="K276" i="2" a="1"/>
  <c r="K276" i="2" s="1"/>
  <c r="K290" i="2" a="1"/>
  <c r="K290" i="2" s="1"/>
  <c r="K304" i="2" a="1"/>
  <c r="K304" i="2" s="1"/>
  <c r="K321" i="2" a="1"/>
  <c r="K321" i="2" s="1"/>
  <c r="K335" i="2" a="1"/>
  <c r="K335" i="2" s="1"/>
  <c r="K349" i="2" a="1"/>
  <c r="K349" i="2" s="1"/>
  <c r="K365" i="2" a="1"/>
  <c r="K365" i="2" s="1"/>
  <c r="K378" i="2" a="1"/>
  <c r="K378" i="2" s="1"/>
  <c r="K391" i="2" a="1"/>
  <c r="K391" i="2" s="1"/>
  <c r="K417" i="2" a="1"/>
  <c r="K417" i="2" s="1"/>
  <c r="K429" i="2" a="1"/>
  <c r="K429" i="2" s="1"/>
  <c r="K445" i="2" a="1"/>
  <c r="K445" i="2" s="1"/>
  <c r="K459" i="2" a="1"/>
  <c r="K459" i="2" s="1"/>
  <c r="K487" i="2" a="1"/>
  <c r="K487" i="2" s="1"/>
  <c r="K499" i="2" a="1"/>
  <c r="K499" i="2" s="1"/>
  <c r="K520" i="2" a="1"/>
  <c r="K520" i="2" s="1"/>
  <c r="K528" i="2" a="1"/>
  <c r="K528" i="2" s="1"/>
  <c r="K549" i="2" a="1"/>
  <c r="K549" i="2" s="1"/>
  <c r="K568" i="2" a="1"/>
  <c r="K568" i="2" s="1"/>
  <c r="K579" i="2" a="1"/>
  <c r="K579" i="2" s="1"/>
  <c r="K588" i="2" a="1"/>
  <c r="K588" i="2" s="1"/>
  <c r="K597" i="2" a="1"/>
  <c r="K597" i="2" s="1"/>
  <c r="K610" i="2" a="1"/>
  <c r="K610" i="2" s="1"/>
  <c r="K620" i="2" a="1"/>
  <c r="K620" i="2" s="1"/>
  <c r="K630" i="2" a="1"/>
  <c r="K630" i="2" s="1"/>
  <c r="K653" i="2" a="1"/>
  <c r="K653" i="2" s="1"/>
  <c r="K664" i="2" a="1"/>
  <c r="K664" i="2" s="1"/>
  <c r="K674" i="2" a="1"/>
  <c r="K674" i="2" s="1"/>
  <c r="K684" i="2" a="1"/>
  <c r="K684" i="2" s="1"/>
  <c r="K43" i="2" a="1"/>
  <c r="K43" i="2" s="1"/>
  <c r="K101" i="2" a="1"/>
  <c r="K101" i="2" s="1"/>
  <c r="K158" i="2" a="1"/>
  <c r="K158" i="2" s="1"/>
  <c r="K221" i="2" a="1"/>
  <c r="K221" i="2" s="1"/>
  <c r="K278" i="2" a="1"/>
  <c r="K278" i="2" s="1"/>
  <c r="K338" i="2" a="1"/>
  <c r="K338" i="2" s="1"/>
  <c r="K437" i="2" a="1"/>
  <c r="K437" i="2" s="1"/>
  <c r="K482" i="2" a="1"/>
  <c r="K482" i="2" s="1"/>
  <c r="K515" i="2" a="1"/>
  <c r="K515" i="2" s="1"/>
  <c r="K542" i="2" a="1"/>
  <c r="K542" i="2" s="1"/>
  <c r="K567" i="2" a="1"/>
  <c r="K567" i="2" s="1"/>
  <c r="K643" i="2" a="1"/>
  <c r="K643" i="2" s="1"/>
  <c r="K692" i="2" a="1"/>
  <c r="K692" i="2" s="1"/>
  <c r="K728" i="2" a="1"/>
  <c r="K728" i="2" s="1"/>
  <c r="K751" i="2" a="1"/>
  <c r="K751" i="2" s="1"/>
  <c r="K768" i="2" a="1"/>
  <c r="K768" i="2" s="1"/>
  <c r="K822" i="2" a="1"/>
  <c r="K822" i="2" s="1"/>
  <c r="K834" i="2" a="1"/>
  <c r="K834" i="2" s="1"/>
  <c r="K854" i="2" a="1"/>
  <c r="K854" i="2" s="1"/>
  <c r="K864" i="2" a="1"/>
  <c r="K864" i="2" s="1"/>
  <c r="K874" i="2" a="1"/>
  <c r="K874" i="2" s="1"/>
  <c r="K884" i="2" a="1"/>
  <c r="K884" i="2" s="1"/>
  <c r="K894" i="2" a="1"/>
  <c r="K894" i="2" s="1"/>
  <c r="K915" i="2" a="1"/>
  <c r="K915" i="2" s="1"/>
  <c r="K933" i="2" a="1"/>
  <c r="K933" i="2" s="1"/>
  <c r="K942" i="2" a="1"/>
  <c r="K942" i="2" s="1"/>
  <c r="K952" i="2" a="1"/>
  <c r="K952" i="2" s="1"/>
  <c r="K962" i="2" a="1"/>
  <c r="K962" i="2" s="1"/>
  <c r="K977" i="2" a="1"/>
  <c r="K977" i="2" s="1"/>
  <c r="K984" i="2" a="1"/>
  <c r="K984" i="2" s="1"/>
  <c r="K991" i="2" a="1"/>
  <c r="K991" i="2" s="1"/>
  <c r="K998" i="2" a="1"/>
  <c r="K998" i="2" s="1"/>
  <c r="K1006" i="2" a="1"/>
  <c r="K1006" i="2" s="1"/>
  <c r="K1015" i="2" a="1"/>
  <c r="K1015" i="2" s="1"/>
  <c r="K1025" i="2" a="1"/>
  <c r="K1025" i="2" s="1"/>
  <c r="K1035" i="2" a="1"/>
  <c r="K1035" i="2" s="1"/>
  <c r="K1046" i="2" a="1"/>
  <c r="K1046" i="2" s="1"/>
  <c r="K1055" i="2" a="1"/>
  <c r="K1055" i="2" s="1"/>
  <c r="K1076" i="2" a="1"/>
  <c r="K1076" i="2" s="1"/>
  <c r="K1087" i="2" a="1"/>
  <c r="K1087" i="2" s="1"/>
  <c r="K1098" i="2" a="1"/>
  <c r="K1098" i="2" s="1"/>
  <c r="K1110" i="2" a="1"/>
  <c r="K1110" i="2" s="1"/>
  <c r="K1121" i="2" a="1"/>
  <c r="K1121" i="2" s="1"/>
  <c r="K1132" i="2" a="1"/>
  <c r="K1132" i="2" s="1"/>
  <c r="K1143" i="2" a="1"/>
  <c r="K1143" i="2" s="1"/>
  <c r="K1154" i="2" a="1"/>
  <c r="K1154" i="2" s="1"/>
  <c r="K1166" i="2" a="1"/>
  <c r="K1166" i="2" s="1"/>
  <c r="K1177" i="2" a="1"/>
  <c r="K1177" i="2" s="1"/>
  <c r="K1187" i="2" a="1"/>
  <c r="K1187" i="2" s="1"/>
  <c r="K1199" i="2" a="1"/>
  <c r="K1199" i="2" s="1"/>
  <c r="K1210" i="2" a="1"/>
  <c r="K1210" i="2" s="1"/>
  <c r="K1222" i="2" a="1"/>
  <c r="K1222" i="2" s="1"/>
  <c r="K1233" i="2" a="1"/>
  <c r="K1233" i="2" s="1"/>
  <c r="K1243" i="2" a="1"/>
  <c r="K1243" i="2" s="1"/>
  <c r="K1255" i="2" a="1"/>
  <c r="K1255" i="2" s="1"/>
  <c r="K1266" i="2" a="1"/>
  <c r="K1266" i="2" s="1"/>
  <c r="K1277" i="2" a="1"/>
  <c r="K1277" i="2" s="1"/>
  <c r="K1288" i="2" a="1"/>
  <c r="K1288" i="2" s="1"/>
  <c r="K1299" i="2" a="1"/>
  <c r="K1299" i="2" s="1"/>
  <c r="K1311" i="2" a="1"/>
  <c r="K1311" i="2" s="1"/>
  <c r="K1322" i="2" a="1"/>
  <c r="K1322" i="2" s="1"/>
  <c r="K1333" i="2" a="1"/>
  <c r="K1333" i="2" s="1"/>
  <c r="K1344" i="2" a="1"/>
  <c r="K1344" i="2" s="1"/>
  <c r="K1361" i="2" a="1"/>
  <c r="K1361" i="2" s="1"/>
  <c r="K1370" i="2" a="1"/>
  <c r="K1370" i="2" s="1"/>
  <c r="K1379" i="2" a="1"/>
  <c r="K1379" i="2" s="1"/>
  <c r="K1395" i="2" a="1"/>
  <c r="K1395" i="2" s="1"/>
  <c r="K1405" i="2" a="1"/>
  <c r="K1405" i="2" s="1"/>
  <c r="K1415" i="2" a="1"/>
  <c r="K1415" i="2" s="1"/>
  <c r="K113" i="2" a="1"/>
  <c r="K113" i="2" s="1"/>
  <c r="K171" i="2" a="1"/>
  <c r="K171" i="2" s="1"/>
  <c r="K233" i="2" a="1"/>
  <c r="K233" i="2" s="1"/>
  <c r="K291" i="2" a="1"/>
  <c r="K291" i="2" s="1"/>
  <c r="K407" i="2" a="1"/>
  <c r="K407" i="2" s="1"/>
  <c r="K446" i="2" a="1"/>
  <c r="K446" i="2" s="1"/>
  <c r="K590" i="2" a="1"/>
  <c r="K590" i="2" s="1"/>
  <c r="K619" i="2" a="1"/>
  <c r="K619" i="2" s="1"/>
  <c r="K644" i="2" a="1"/>
  <c r="K644" i="2" s="1"/>
  <c r="K669" i="2" a="1"/>
  <c r="K669" i="2" s="1"/>
  <c r="K694" i="2" a="1"/>
  <c r="K694" i="2" s="1"/>
  <c r="K732" i="2" a="1"/>
  <c r="K732" i="2" s="1"/>
  <c r="K752" i="2" a="1"/>
  <c r="K752" i="2" s="1"/>
  <c r="K771" i="2" a="1"/>
  <c r="K771" i="2" s="1"/>
  <c r="K785" i="2" a="1"/>
  <c r="K785" i="2" s="1"/>
  <c r="K799" i="2" a="1"/>
  <c r="K799" i="2" s="1"/>
  <c r="K823" i="2" a="1"/>
  <c r="K823" i="2" s="1"/>
  <c r="K855" i="2" a="1"/>
  <c r="K855" i="2" s="1"/>
  <c r="K875" i="2" a="1"/>
  <c r="K875" i="2" s="1"/>
  <c r="K885" i="2" a="1"/>
  <c r="K885" i="2" s="1"/>
  <c r="K895" i="2" a="1"/>
  <c r="K895" i="2" s="1"/>
  <c r="K905" i="2" a="1"/>
  <c r="K905" i="2" s="1"/>
  <c r="K925" i="2" a="1"/>
  <c r="K925" i="2" s="1"/>
  <c r="K934" i="2" a="1"/>
  <c r="K934" i="2" s="1"/>
  <c r="K963" i="2" a="1"/>
  <c r="K963" i="2" s="1"/>
  <c r="K970" i="2" a="1"/>
  <c r="K970" i="2" s="1"/>
  <c r="K985" i="2" a="1"/>
  <c r="K985" i="2" s="1"/>
  <c r="K1016" i="2" a="1"/>
  <c r="K1016" i="2" s="1"/>
  <c r="K1026" i="2" a="1"/>
  <c r="K1026" i="2" s="1"/>
  <c r="K1036" i="2" a="1"/>
  <c r="K1036" i="2" s="1"/>
  <c r="K1047" i="2" a="1"/>
  <c r="K1047" i="2" s="1"/>
  <c r="K1056" i="2" a="1"/>
  <c r="K1056" i="2" s="1"/>
  <c r="K1066" i="2" a="1"/>
  <c r="K1066" i="2" s="1"/>
  <c r="K1077" i="2" a="1"/>
  <c r="K1077" i="2" s="1"/>
  <c r="K1088" i="2" a="1"/>
  <c r="K1088" i="2" s="1"/>
  <c r="K1099" i="2" a="1"/>
  <c r="K1099" i="2" s="1"/>
  <c r="K1111" i="2" a="1"/>
  <c r="K1111" i="2" s="1"/>
  <c r="K1122" i="2" a="1"/>
  <c r="K1122" i="2" s="1"/>
  <c r="K1144" i="2" a="1"/>
  <c r="K1144" i="2" s="1"/>
  <c r="K1155" i="2" a="1"/>
  <c r="K1155" i="2" s="1"/>
  <c r="K1167" i="2" a="1"/>
  <c r="K1167" i="2" s="1"/>
  <c r="K1178" i="2" a="1"/>
  <c r="K1178" i="2" s="1"/>
  <c r="K1188" i="2" a="1"/>
  <c r="K1188" i="2" s="1"/>
  <c r="K1200" i="2" a="1"/>
  <c r="K1200" i="2" s="1"/>
  <c r="K1211" i="2" a="1"/>
  <c r="K1211" i="2" s="1"/>
  <c r="K1244" i="2" a="1"/>
  <c r="K1244" i="2" s="1"/>
  <c r="K1256" i="2" a="1"/>
  <c r="K1256" i="2" s="1"/>
  <c r="K1267" i="2" a="1"/>
  <c r="K1267" i="2" s="1"/>
  <c r="K1278" i="2" a="1"/>
  <c r="K1278" i="2" s="1"/>
  <c r="K1289" i="2" a="1"/>
  <c r="K1289" i="2" s="1"/>
  <c r="K1300" i="2" a="1"/>
  <c r="K1300" i="2" s="1"/>
  <c r="K1312" i="2" a="1"/>
  <c r="K1312" i="2" s="1"/>
  <c r="K1323" i="2" a="1"/>
  <c r="K1323" i="2" s="1"/>
  <c r="K1334" i="2" a="1"/>
  <c r="K1334" i="2" s="1"/>
  <c r="K1352" i="2" a="1"/>
  <c r="K1352" i="2" s="1"/>
  <c r="K1362" i="2" a="1"/>
  <c r="K1362" i="2" s="1"/>
  <c r="K1371" i="2" a="1"/>
  <c r="K1371" i="2" s="1"/>
  <c r="K1380" i="2" a="1"/>
  <c r="K1380" i="2" s="1"/>
  <c r="K56" i="2" a="1"/>
  <c r="K56" i="2" s="1"/>
  <c r="K114" i="2" a="1"/>
  <c r="K114" i="2" s="1"/>
  <c r="K172" i="2" a="1"/>
  <c r="K172" i="2" s="1"/>
  <c r="K234" i="2" a="1"/>
  <c r="K234" i="2" s="1"/>
  <c r="K292" i="2" a="1"/>
  <c r="K292" i="2" s="1"/>
  <c r="K350" i="2" a="1"/>
  <c r="K350" i="2" s="1"/>
  <c r="K447" i="2" a="1"/>
  <c r="K447" i="2" s="1"/>
  <c r="K488" i="2" a="1"/>
  <c r="K488" i="2" s="1"/>
  <c r="K521" i="2" a="1"/>
  <c r="K521" i="2" s="1"/>
  <c r="K546" i="2" a="1"/>
  <c r="K546" i="2" s="1"/>
  <c r="K569" i="2" a="1"/>
  <c r="K569" i="2" s="1"/>
  <c r="K594" i="2" a="1"/>
  <c r="K594" i="2" s="1"/>
  <c r="K621" i="2" a="1"/>
  <c r="K621" i="2" s="1"/>
  <c r="K645" i="2" a="1"/>
  <c r="K645" i="2" s="1"/>
  <c r="K672" i="2" a="1"/>
  <c r="K672" i="2" s="1"/>
  <c r="K713" i="2" a="1"/>
  <c r="K713" i="2" s="1"/>
  <c r="K733" i="2" a="1"/>
  <c r="K733" i="2" s="1"/>
  <c r="K753" i="2" a="1"/>
  <c r="K753" i="2" s="1"/>
  <c r="K772" i="2" a="1"/>
  <c r="K772" i="2" s="1"/>
  <c r="K812" i="2" a="1"/>
  <c r="K812" i="2" s="1"/>
  <c r="K825" i="2" a="1"/>
  <c r="K825" i="2" s="1"/>
  <c r="K835" i="2" a="1"/>
  <c r="K835" i="2" s="1"/>
  <c r="K846" i="2" a="1"/>
  <c r="K846" i="2" s="1"/>
  <c r="K856" i="2" a="1"/>
  <c r="K856" i="2" s="1"/>
  <c r="K866" i="2" a="1"/>
  <c r="K866" i="2" s="1"/>
  <c r="K876" i="2" a="1"/>
  <c r="K876" i="2" s="1"/>
  <c r="K917" i="2" a="1"/>
  <c r="K917" i="2" s="1"/>
  <c r="K926" i="2" a="1"/>
  <c r="K926" i="2" s="1"/>
  <c r="K935" i="2" a="1"/>
  <c r="K935" i="2" s="1"/>
  <c r="K943" i="2" a="1"/>
  <c r="K943" i="2" s="1"/>
  <c r="K953" i="2" a="1"/>
  <c r="K953" i="2" s="1"/>
  <c r="K971" i="2" a="1"/>
  <c r="K971" i="2" s="1"/>
  <c r="K978" i="2" a="1"/>
  <c r="K978" i="2" s="1"/>
  <c r="K992" i="2" a="1"/>
  <c r="K992" i="2" s="1"/>
  <c r="K999" i="2" a="1"/>
  <c r="K999" i="2" s="1"/>
  <c r="K1007" i="2" a="1"/>
  <c r="K1007" i="2" s="1"/>
  <c r="K1017" i="2" a="1"/>
  <c r="K1017" i="2" s="1"/>
  <c r="K1027" i="2" a="1"/>
  <c r="K1027" i="2" s="1"/>
  <c r="K1037" i="2" a="1"/>
  <c r="K1037" i="2" s="1"/>
  <c r="K1057" i="2" a="1"/>
  <c r="K1057" i="2" s="1"/>
  <c r="K1067" i="2" a="1"/>
  <c r="K1067" i="2" s="1"/>
  <c r="K1078" i="2" a="1"/>
  <c r="K1078" i="2" s="1"/>
  <c r="K1089" i="2" a="1"/>
  <c r="K1089" i="2" s="1"/>
  <c r="K1100" i="2" a="1"/>
  <c r="K1100" i="2" s="1"/>
  <c r="K1112" i="2" a="1"/>
  <c r="K1112" i="2" s="1"/>
  <c r="K1123" i="2" a="1"/>
  <c r="K1123" i="2" s="1"/>
  <c r="K1133" i="2" a="1"/>
  <c r="K1133" i="2" s="1"/>
  <c r="K1145" i="2" a="1"/>
  <c r="K1145" i="2" s="1"/>
  <c r="K1156" i="2" a="1"/>
  <c r="K1156" i="2" s="1"/>
  <c r="K1168" i="2" a="1"/>
  <c r="K1168" i="2" s="1"/>
  <c r="K1179" i="2" a="1"/>
  <c r="K1179" i="2" s="1"/>
  <c r="K1189" i="2" a="1"/>
  <c r="K1189" i="2" s="1"/>
  <c r="K1201" i="2" a="1"/>
  <c r="K1201" i="2" s="1"/>
  <c r="K1212" i="2" a="1"/>
  <c r="K1212" i="2" s="1"/>
  <c r="K1223" i="2" a="1"/>
  <c r="K1223" i="2" s="1"/>
  <c r="K1234" i="2" a="1"/>
  <c r="K1234" i="2" s="1"/>
  <c r="K1245" i="2" a="1"/>
  <c r="K1245" i="2" s="1"/>
  <c r="K1257" i="2" a="1"/>
  <c r="K1257" i="2" s="1"/>
  <c r="K1268" i="2" a="1"/>
  <c r="K1268" i="2" s="1"/>
  <c r="K1279" i="2" a="1"/>
  <c r="K1279" i="2" s="1"/>
  <c r="K1290" i="2" a="1"/>
  <c r="K1290" i="2" s="1"/>
  <c r="K1301" i="2" a="1"/>
  <c r="K1301" i="2" s="1"/>
  <c r="K1324" i="2" a="1"/>
  <c r="K1324" i="2" s="1"/>
  <c r="K1335" i="2" a="1"/>
  <c r="K1335" i="2" s="1"/>
  <c r="K1345" i="2" a="1"/>
  <c r="K1345" i="2" s="1"/>
  <c r="K1353" i="2" a="1"/>
  <c r="K1353" i="2" s="1"/>
  <c r="K1372" i="2" a="1"/>
  <c r="K1372" i="2" s="1"/>
  <c r="K1397" i="2" a="1"/>
  <c r="K1397" i="2" s="1"/>
  <c r="K57" i="2" a="1"/>
  <c r="K57" i="2" s="1"/>
  <c r="K115" i="2" a="1"/>
  <c r="K115" i="2" s="1"/>
  <c r="K176" i="2" a="1"/>
  <c r="K176" i="2" s="1"/>
  <c r="K235" i="2" a="1"/>
  <c r="K235" i="2" s="1"/>
  <c r="K293" i="2" a="1"/>
  <c r="K293" i="2" s="1"/>
  <c r="K354" i="2" a="1"/>
  <c r="K354" i="2" s="1"/>
  <c r="K408" i="2" a="1"/>
  <c r="K408" i="2" s="1"/>
  <c r="K448" i="2" a="1"/>
  <c r="K448" i="2" s="1"/>
  <c r="K489" i="2" a="1"/>
  <c r="K489" i="2" s="1"/>
  <c r="K571" i="2" a="1"/>
  <c r="K571" i="2" s="1"/>
  <c r="K622" i="2" a="1"/>
  <c r="K622" i="2" s="1"/>
  <c r="K676" i="2" a="1"/>
  <c r="K676" i="2" s="1"/>
  <c r="K695" i="2" a="1"/>
  <c r="K695" i="2" s="1"/>
  <c r="K787" i="2" a="1"/>
  <c r="K787" i="2" s="1"/>
  <c r="K800" i="2" a="1"/>
  <c r="K800" i="2" s="1"/>
  <c r="K813" i="2" a="1"/>
  <c r="K813" i="2" s="1"/>
  <c r="K836" i="2" a="1"/>
  <c r="K836" i="2" s="1"/>
  <c r="K867" i="2" a="1"/>
  <c r="K867" i="2" s="1"/>
  <c r="K877" i="2" a="1"/>
  <c r="K877" i="2" s="1"/>
  <c r="K886" i="2" a="1"/>
  <c r="K886" i="2" s="1"/>
  <c r="K896" i="2" a="1"/>
  <c r="K896" i="2" s="1"/>
  <c r="K907" i="2" a="1"/>
  <c r="K907" i="2" s="1"/>
  <c r="K927" i="2" a="1"/>
  <c r="K927" i="2" s="1"/>
  <c r="K936" i="2" a="1"/>
  <c r="K936" i="2" s="1"/>
  <c r="K954" i="2" a="1"/>
  <c r="K954" i="2" s="1"/>
  <c r="K964" i="2" a="1"/>
  <c r="K964" i="2" s="1"/>
  <c r="K979" i="2" a="1"/>
  <c r="K979" i="2" s="1"/>
  <c r="K986" i="2" a="1"/>
  <c r="K986" i="2" s="1"/>
  <c r="K1008" i="2" a="1"/>
  <c r="K1008" i="2" s="1"/>
  <c r="K1028" i="2" a="1"/>
  <c r="K1028" i="2" s="1"/>
  <c r="K1038" i="2" a="1"/>
  <c r="K1038" i="2" s="1"/>
  <c r="K1048" i="2" a="1"/>
  <c r="K1048" i="2" s="1"/>
  <c r="K1058" i="2" a="1"/>
  <c r="K1058" i="2" s="1"/>
  <c r="K1068" i="2" a="1"/>
  <c r="K1068" i="2" s="1"/>
  <c r="K1090" i="2" a="1"/>
  <c r="K1090" i="2" s="1"/>
  <c r="K1101" i="2" a="1"/>
  <c r="K1101" i="2" s="1"/>
  <c r="K1113" i="2" a="1"/>
  <c r="K1113" i="2" s="1"/>
  <c r="K1124" i="2" a="1"/>
  <c r="K1124" i="2" s="1"/>
  <c r="K1134" i="2" a="1"/>
  <c r="K1134" i="2" s="1"/>
  <c r="K1146" i="2" a="1"/>
  <c r="K1146" i="2" s="1"/>
  <c r="K1157" i="2" a="1"/>
  <c r="K1157" i="2" s="1"/>
  <c r="K1190" i="2" a="1"/>
  <c r="K1190" i="2" s="1"/>
  <c r="K1202" i="2" a="1"/>
  <c r="K1202" i="2" s="1"/>
  <c r="K1213" i="2" a="1"/>
  <c r="K1213" i="2" s="1"/>
  <c r="K1224" i="2" a="1"/>
  <c r="K1224" i="2" s="1"/>
  <c r="K1235" i="2" a="1"/>
  <c r="K1235" i="2" s="1"/>
  <c r="K1246" i="2" a="1"/>
  <c r="K1246" i="2" s="1"/>
  <c r="K1258" i="2" a="1"/>
  <c r="K1258" i="2" s="1"/>
  <c r="K1269" i="2" a="1"/>
  <c r="K1269" i="2" s="1"/>
  <c r="K1280" i="2" a="1"/>
  <c r="K1280" i="2" s="1"/>
  <c r="K1291" i="2" a="1"/>
  <c r="K1291" i="2" s="1"/>
  <c r="K1302" i="2" a="1"/>
  <c r="K1302" i="2" s="1"/>
  <c r="K1313" i="2" a="1"/>
  <c r="K1313" i="2" s="1"/>
  <c r="K1325" i="2" a="1"/>
  <c r="K1325" i="2" s="1"/>
  <c r="K1336" i="2" a="1"/>
  <c r="K1336" i="2" s="1"/>
  <c r="K1354" i="2" a="1"/>
  <c r="K1354" i="2" s="1"/>
  <c r="K1363" i="2" a="1"/>
  <c r="K1363" i="2" s="1"/>
  <c r="K1373" i="2" a="1"/>
  <c r="K1373" i="2" s="1"/>
  <c r="K9" i="2" a="1"/>
  <c r="K9" i="2" s="1"/>
  <c r="K69" i="2" a="1"/>
  <c r="K69" i="2" s="1"/>
  <c r="K127" i="2" a="1"/>
  <c r="K127" i="2" s="1"/>
  <c r="K189" i="2" a="1"/>
  <c r="K189" i="2" s="1"/>
  <c r="K305" i="2" a="1"/>
  <c r="K305" i="2" s="1"/>
  <c r="K366" i="2" a="1"/>
  <c r="K366" i="2" s="1"/>
  <c r="K411" i="2" a="1"/>
  <c r="K411" i="2" s="1"/>
  <c r="K452" i="2" a="1"/>
  <c r="K452" i="2" s="1"/>
  <c r="K493" i="2" a="1"/>
  <c r="K493" i="2" s="1"/>
  <c r="K550" i="2" a="1"/>
  <c r="K550" i="2" s="1"/>
  <c r="K598" i="2" a="1"/>
  <c r="K598" i="2" s="1"/>
  <c r="K652" i="2" a="1"/>
  <c r="K652" i="2" s="1"/>
  <c r="K715" i="2" a="1"/>
  <c r="K715" i="2" s="1"/>
  <c r="K734" i="2" a="1"/>
  <c r="K734" i="2" s="1"/>
  <c r="K754" i="2" a="1"/>
  <c r="K754" i="2" s="1"/>
  <c r="K774" i="2" a="1"/>
  <c r="K774" i="2" s="1"/>
  <c r="K788" i="2" a="1"/>
  <c r="K788" i="2" s="1"/>
  <c r="K802" i="2" a="1"/>
  <c r="K802" i="2" s="1"/>
  <c r="K814" i="2" a="1"/>
  <c r="K814" i="2" s="1"/>
  <c r="K826" i="2" a="1"/>
  <c r="K826" i="2" s="1"/>
  <c r="K838" i="2" a="1"/>
  <c r="K838" i="2" s="1"/>
  <c r="K847" i="2" a="1"/>
  <c r="K847" i="2" s="1"/>
  <c r="K858" i="2" a="1"/>
  <c r="K858" i="2" s="1"/>
  <c r="K887" i="2" a="1"/>
  <c r="K887" i="2" s="1"/>
  <c r="K897" i="2" a="1"/>
  <c r="K897" i="2" s="1"/>
  <c r="K908" i="2" a="1"/>
  <c r="K908" i="2" s="1"/>
  <c r="K918" i="2" a="1"/>
  <c r="K918" i="2" s="1"/>
  <c r="K928" i="2" a="1"/>
  <c r="K928" i="2" s="1"/>
  <c r="K944" i="2" a="1"/>
  <c r="K944" i="2" s="1"/>
  <c r="K972" i="2" a="1"/>
  <c r="K972" i="2" s="1"/>
  <c r="K993" i="2" a="1"/>
  <c r="K993" i="2" s="1"/>
  <c r="K1000" i="2" a="1"/>
  <c r="K1000" i="2" s="1"/>
  <c r="K1009" i="2" a="1"/>
  <c r="K1009" i="2" s="1"/>
  <c r="K1018" i="2" a="1"/>
  <c r="K1018" i="2" s="1"/>
  <c r="K1029" i="2" a="1"/>
  <c r="K1029" i="2" s="1"/>
  <c r="K1039" i="2" a="1"/>
  <c r="K1039" i="2" s="1"/>
  <c r="K1059" i="2" a="1"/>
  <c r="K1059" i="2" s="1"/>
  <c r="K1069" i="2" a="1"/>
  <c r="K1069" i="2" s="1"/>
  <c r="K1079" i="2" a="1"/>
  <c r="K1079" i="2" s="1"/>
  <c r="K1091" i="2" a="1"/>
  <c r="K1091" i="2" s="1"/>
  <c r="K1102" i="2" a="1"/>
  <c r="K1102" i="2" s="1"/>
  <c r="K1114" i="2" a="1"/>
  <c r="K1114" i="2" s="1"/>
  <c r="K1125" i="2" a="1"/>
  <c r="K1125" i="2" s="1"/>
  <c r="K1135" i="2" a="1"/>
  <c r="K1135" i="2" s="1"/>
  <c r="K1147" i="2" a="1"/>
  <c r="K1147" i="2" s="1"/>
  <c r="K1158" i="2" a="1"/>
  <c r="K1158" i="2" s="1"/>
  <c r="K1169" i="2" a="1"/>
  <c r="K1169" i="2" s="1"/>
  <c r="K1180" i="2" a="1"/>
  <c r="K1180" i="2" s="1"/>
  <c r="K1191" i="2" a="1"/>
  <c r="K1191" i="2" s="1"/>
  <c r="K1203" i="2" a="1"/>
  <c r="K1203" i="2" s="1"/>
  <c r="K1214" i="2" a="1"/>
  <c r="K1214" i="2" s="1"/>
  <c r="K1225" i="2" a="1"/>
  <c r="K1225" i="2" s="1"/>
  <c r="K1236" i="2" a="1"/>
  <c r="K1236" i="2" s="1"/>
  <c r="K1247" i="2" a="1"/>
  <c r="K1247" i="2" s="1"/>
  <c r="K1270" i="2" a="1"/>
  <c r="K1270" i="2" s="1"/>
  <c r="K1281" i="2" a="1"/>
  <c r="K1281" i="2" s="1"/>
  <c r="K1292" i="2" a="1"/>
  <c r="K1292" i="2" s="1"/>
  <c r="K1303" i="2" a="1"/>
  <c r="K1303" i="2" s="1"/>
  <c r="K1314" i="2" a="1"/>
  <c r="K1314" i="2" s="1"/>
  <c r="K1326" i="2" a="1"/>
  <c r="K1326" i="2" s="1"/>
  <c r="K1337" i="2" a="1"/>
  <c r="K1337" i="2" s="1"/>
  <c r="K1346" i="2" a="1"/>
  <c r="K1346" i="2" s="1"/>
  <c r="K1364" i="2" a="1"/>
  <c r="K1364" i="2" s="1"/>
  <c r="K1374" i="2" a="1"/>
  <c r="K1374" i="2" s="1"/>
  <c r="K1389" i="2" a="1"/>
  <c r="K1389" i="2" s="1"/>
  <c r="K1409" i="2" a="1"/>
  <c r="K1409" i="2" s="1"/>
  <c r="K10" i="2" a="1"/>
  <c r="K10" i="2" s="1"/>
  <c r="K70" i="2" a="1"/>
  <c r="K70" i="2" s="1"/>
  <c r="K190" i="2" a="1"/>
  <c r="K190" i="2" s="1"/>
  <c r="K248" i="2" a="1"/>
  <c r="K248" i="2" s="1"/>
  <c r="K306" i="2" a="1"/>
  <c r="K306" i="2" s="1"/>
  <c r="K367" i="2" a="1"/>
  <c r="K367" i="2" s="1"/>
  <c r="K418" i="2" a="1"/>
  <c r="K418" i="2" s="1"/>
  <c r="K460" i="2" a="1"/>
  <c r="K460" i="2" s="1"/>
  <c r="K500" i="2" a="1"/>
  <c r="K500" i="2" s="1"/>
  <c r="K529" i="2" a="1"/>
  <c r="K529" i="2" s="1"/>
  <c r="K576" i="2" a="1"/>
  <c r="K576" i="2" s="1"/>
  <c r="K599" i="2" a="1"/>
  <c r="K599" i="2" s="1"/>
  <c r="K677" i="2" a="1"/>
  <c r="K677" i="2" s="1"/>
  <c r="K700" i="2" a="1"/>
  <c r="K700" i="2" s="1"/>
  <c r="K718" i="2" a="1"/>
  <c r="K718" i="2" s="1"/>
  <c r="K759" i="2" a="1"/>
  <c r="K759" i="2" s="1"/>
  <c r="K791" i="2" a="1"/>
  <c r="K791" i="2" s="1"/>
  <c r="K803" i="2" a="1"/>
  <c r="K803" i="2" s="1"/>
  <c r="K817" i="2" a="1"/>
  <c r="K817" i="2" s="1"/>
  <c r="K827" i="2" a="1"/>
  <c r="K827" i="2" s="1"/>
  <c r="K849" i="2" a="1"/>
  <c r="K849" i="2" s="1"/>
  <c r="K868" i="2" a="1"/>
  <c r="K868" i="2" s="1"/>
  <c r="K878" i="2" a="1"/>
  <c r="K878" i="2" s="1"/>
  <c r="K888" i="2" a="1"/>
  <c r="K888" i="2" s="1"/>
  <c r="K899" i="2" a="1"/>
  <c r="K899" i="2" s="1"/>
  <c r="K909" i="2" a="1"/>
  <c r="K909" i="2" s="1"/>
  <c r="K919" i="2" a="1"/>
  <c r="K919" i="2" s="1"/>
  <c r="K937" i="2" a="1"/>
  <c r="K937" i="2" s="1"/>
  <c r="K945" i="2" a="1"/>
  <c r="K945" i="2" s="1"/>
  <c r="K955" i="2" a="1"/>
  <c r="K955" i="2" s="1"/>
  <c r="K965" i="2" a="1"/>
  <c r="K965" i="2" s="1"/>
  <c r="K980" i="2" a="1"/>
  <c r="K980" i="2" s="1"/>
  <c r="K987" i="2" a="1"/>
  <c r="K987" i="2" s="1"/>
  <c r="K1001" i="2" a="1"/>
  <c r="K1001" i="2" s="1"/>
  <c r="K1010" i="2" a="1"/>
  <c r="K1010" i="2" s="1"/>
  <c r="K1019" i="2" a="1"/>
  <c r="K1019" i="2" s="1"/>
  <c r="K1040" i="2" a="1"/>
  <c r="K1040" i="2" s="1"/>
  <c r="K1049" i="2" a="1"/>
  <c r="K1049" i="2" s="1"/>
  <c r="K1060" i="2" a="1"/>
  <c r="K1060" i="2" s="1"/>
  <c r="K1070" i="2" a="1"/>
  <c r="K1070" i="2" s="1"/>
  <c r="K1080" i="2" a="1"/>
  <c r="K1080" i="2" s="1"/>
  <c r="K1092" i="2" a="1"/>
  <c r="K1092" i="2" s="1"/>
  <c r="K1103" i="2" a="1"/>
  <c r="K1103" i="2" s="1"/>
  <c r="K1136" i="2" a="1"/>
  <c r="K1136" i="2" s="1"/>
  <c r="K1148" i="2" a="1"/>
  <c r="K1148" i="2" s="1"/>
  <c r="K1159" i="2" a="1"/>
  <c r="K1159" i="2" s="1"/>
  <c r="K1170" i="2" a="1"/>
  <c r="K1170" i="2" s="1"/>
  <c r="K1181" i="2" a="1"/>
  <c r="K1181" i="2" s="1"/>
  <c r="K1192" i="2" a="1"/>
  <c r="K1192" i="2" s="1"/>
  <c r="K1204" i="2" a="1"/>
  <c r="K1204" i="2" s="1"/>
  <c r="K1215" i="2" a="1"/>
  <c r="K1215" i="2" s="1"/>
  <c r="K1226" i="2" a="1"/>
  <c r="K1226" i="2" s="1"/>
  <c r="K1237" i="2" a="1"/>
  <c r="K1237" i="2" s="1"/>
  <c r="K1248" i="2" a="1"/>
  <c r="K1248" i="2" s="1"/>
  <c r="K1259" i="2" a="1"/>
  <c r="K1259" i="2" s="1"/>
  <c r="K1271" i="2" a="1"/>
  <c r="K1271" i="2" s="1"/>
  <c r="K1282" i="2" a="1"/>
  <c r="K1282" i="2" s="1"/>
  <c r="K1293" i="2" a="1"/>
  <c r="K1293" i="2" s="1"/>
  <c r="K1304" i="2" a="1"/>
  <c r="K1304" i="2" s="1"/>
  <c r="K1315" i="2" a="1"/>
  <c r="K1315" i="2" s="1"/>
  <c r="K11" i="2" a="1"/>
  <c r="K11" i="2" s="1"/>
  <c r="K71" i="2" a="1"/>
  <c r="K71" i="2" s="1"/>
  <c r="K131" i="2" a="1"/>
  <c r="K131" i="2" s="1"/>
  <c r="K191" i="2" a="1"/>
  <c r="K191" i="2" s="1"/>
  <c r="K249" i="2" a="1"/>
  <c r="K249" i="2" s="1"/>
  <c r="K310" i="2" a="1"/>
  <c r="K310" i="2" s="1"/>
  <c r="K461" i="2" a="1"/>
  <c r="K461" i="2" s="1"/>
  <c r="K501" i="2" a="1"/>
  <c r="K501" i="2" s="1"/>
  <c r="K530" i="2" a="1"/>
  <c r="K530" i="2" s="1"/>
  <c r="K554" i="2" a="1"/>
  <c r="K554" i="2" s="1"/>
  <c r="K603" i="2" a="1"/>
  <c r="K603" i="2" s="1"/>
  <c r="K629" i="2" a="1"/>
  <c r="K629" i="2" s="1"/>
  <c r="K654" i="2" a="1"/>
  <c r="K654" i="2" s="1"/>
  <c r="K679" i="2" a="1"/>
  <c r="K679" i="2" s="1"/>
  <c r="K776" i="2" a="1"/>
  <c r="K776" i="2" s="1"/>
  <c r="K792" i="2" a="1"/>
  <c r="K792" i="2" s="1"/>
  <c r="K804" i="2" a="1"/>
  <c r="K804" i="2" s="1"/>
  <c r="K818" i="2" a="1"/>
  <c r="K818" i="2" s="1"/>
  <c r="K828" i="2" a="1"/>
  <c r="K828" i="2" s="1"/>
  <c r="K839" i="2" a="1"/>
  <c r="K839" i="2" s="1"/>
  <c r="K850" i="2" a="1"/>
  <c r="K850" i="2" s="1"/>
  <c r="K859" i="2" a="1"/>
  <c r="K859" i="2" s="1"/>
  <c r="K869" i="2" a="1"/>
  <c r="K869" i="2" s="1"/>
  <c r="K879" i="2" a="1"/>
  <c r="K879" i="2" s="1"/>
  <c r="K889" i="2" a="1"/>
  <c r="K889" i="2" s="1"/>
  <c r="K900" i="2" a="1"/>
  <c r="K900" i="2" s="1"/>
  <c r="K910" i="2" a="1"/>
  <c r="K910" i="2" s="1"/>
  <c r="K929" i="2" a="1"/>
  <c r="K929" i="2" s="1"/>
  <c r="K946" i="2" a="1"/>
  <c r="K946" i="2" s="1"/>
  <c r="K966" i="2" a="1"/>
  <c r="K966" i="2" s="1"/>
  <c r="K974" i="2" a="1"/>
  <c r="K974" i="2" s="1"/>
  <c r="K994" i="2" a="1"/>
  <c r="K994" i="2" s="1"/>
  <c r="K1011" i="2" a="1"/>
  <c r="K1011" i="2" s="1"/>
  <c r="K1020" i="2" a="1"/>
  <c r="K1020" i="2" s="1"/>
  <c r="K1030" i="2" a="1"/>
  <c r="K1030" i="2" s="1"/>
  <c r="K1041" i="2" a="1"/>
  <c r="K1041" i="2" s="1"/>
  <c r="K1050" i="2" a="1"/>
  <c r="K1050" i="2" s="1"/>
  <c r="K1071" i="2" a="1"/>
  <c r="K1071" i="2" s="1"/>
  <c r="K1081" i="2" a="1"/>
  <c r="K1081" i="2" s="1"/>
  <c r="K1093" i="2" a="1"/>
  <c r="K1093" i="2" s="1"/>
  <c r="K1104" i="2" a="1"/>
  <c r="K1104" i="2" s="1"/>
  <c r="K1115" i="2" a="1"/>
  <c r="K1115" i="2" s="1"/>
  <c r="K1126" i="2" a="1"/>
  <c r="K1126" i="2" s="1"/>
  <c r="K1137" i="2" a="1"/>
  <c r="K1137" i="2" s="1"/>
  <c r="K1149" i="2" a="1"/>
  <c r="K1149" i="2" s="1"/>
  <c r="K1160" i="2" a="1"/>
  <c r="K1160" i="2" s="1"/>
  <c r="K1171" i="2" a="1"/>
  <c r="K1171" i="2" s="1"/>
  <c r="K1182" i="2" a="1"/>
  <c r="K1182" i="2" s="1"/>
  <c r="K1193" i="2" a="1"/>
  <c r="K1193" i="2" s="1"/>
  <c r="K1216" i="2" a="1"/>
  <c r="K1216" i="2" s="1"/>
  <c r="K1227" i="2" a="1"/>
  <c r="K1227" i="2" s="1"/>
  <c r="K1238" i="2" a="1"/>
  <c r="K1238" i="2" s="1"/>
  <c r="K1249" i="2" a="1"/>
  <c r="K1249" i="2" s="1"/>
  <c r="K1260" i="2" a="1"/>
  <c r="K1260" i="2" s="1"/>
  <c r="K1272" i="2" a="1"/>
  <c r="K1272" i="2" s="1"/>
  <c r="K1283" i="2" a="1"/>
  <c r="K1283" i="2" s="1"/>
  <c r="K1294" i="2" a="1"/>
  <c r="K1294" i="2" s="1"/>
  <c r="K1305" i="2" a="1"/>
  <c r="K1305" i="2" s="1"/>
  <c r="K1316" i="2" a="1"/>
  <c r="K1316" i="2" s="1"/>
  <c r="K1328" i="2" a="1"/>
  <c r="K1328" i="2" s="1"/>
  <c r="K1339" i="2" a="1"/>
  <c r="K1339" i="2" s="1"/>
  <c r="K1356" i="2" a="1"/>
  <c r="K1356" i="2" s="1"/>
  <c r="K1366" i="2" a="1"/>
  <c r="K1366" i="2" s="1"/>
  <c r="K1375" i="2" a="1"/>
  <c r="K1375" i="2" s="1"/>
  <c r="K1383" i="2" a="1"/>
  <c r="K1383" i="2" s="1"/>
  <c r="K1400" i="2" a="1"/>
  <c r="K1400" i="2" s="1"/>
  <c r="K1419" i="2" a="1"/>
  <c r="K1419" i="2" s="1"/>
  <c r="K23" i="2" a="1"/>
  <c r="K23" i="2" s="1"/>
  <c r="K82" i="2" a="1"/>
  <c r="K82" i="2" s="1"/>
  <c r="K143" i="2" a="1"/>
  <c r="K143" i="2" s="1"/>
  <c r="K203" i="2" a="1"/>
  <c r="K203" i="2" s="1"/>
  <c r="K261" i="2" a="1"/>
  <c r="K261" i="2" s="1"/>
  <c r="K322" i="2" a="1"/>
  <c r="K322" i="2" s="1"/>
  <c r="K379" i="2" a="1"/>
  <c r="K379" i="2" s="1"/>
  <c r="K419" i="2" a="1"/>
  <c r="K419" i="2" s="1"/>
  <c r="K462" i="2" a="1"/>
  <c r="K462" i="2" s="1"/>
  <c r="K502" i="2" a="1"/>
  <c r="K502" i="2" s="1"/>
  <c r="K531" i="2" a="1"/>
  <c r="K531" i="2" s="1"/>
  <c r="K580" i="2" a="1"/>
  <c r="K580" i="2" s="1"/>
  <c r="K631" i="2" a="1"/>
  <c r="K631" i="2" s="1"/>
  <c r="K681" i="2" a="1"/>
  <c r="K681" i="2" s="1"/>
  <c r="K703" i="2" a="1"/>
  <c r="K703" i="2" s="1"/>
  <c r="K741" i="2" a="1"/>
  <c r="K741" i="2" s="1"/>
  <c r="K777" i="2" a="1"/>
  <c r="K777" i="2" s="1"/>
  <c r="K793" i="2" a="1"/>
  <c r="K793" i="2" s="1"/>
  <c r="K805" i="2" a="1"/>
  <c r="K805" i="2" s="1"/>
  <c r="K819" i="2" a="1"/>
  <c r="K819" i="2" s="1"/>
  <c r="K830" i="2" a="1"/>
  <c r="K830" i="2" s="1"/>
  <c r="K851" i="2" a="1"/>
  <c r="K851" i="2" s="1"/>
  <c r="K880" i="2" a="1"/>
  <c r="K880" i="2" s="1"/>
  <c r="K901" i="2" a="1"/>
  <c r="K901" i="2" s="1"/>
  <c r="K920" i="2" a="1"/>
  <c r="K920" i="2" s="1"/>
  <c r="K938" i="2" a="1"/>
  <c r="K938" i="2" s="1"/>
  <c r="K947" i="2" a="1"/>
  <c r="K947" i="2" s="1"/>
  <c r="K957" i="2" a="1"/>
  <c r="K957" i="2" s="1"/>
  <c r="K967" i="2" a="1"/>
  <c r="K967" i="2" s="1"/>
  <c r="K981" i="2" a="1"/>
  <c r="K981" i="2" s="1"/>
  <c r="K988" i="2" a="1"/>
  <c r="K988" i="2" s="1"/>
  <c r="K1002" i="2" a="1"/>
  <c r="K1002" i="2" s="1"/>
  <c r="K1021" i="2" a="1"/>
  <c r="K1021" i="2" s="1"/>
  <c r="K1042" i="2" a="1"/>
  <c r="K1042" i="2" s="1"/>
  <c r="K1051" i="2" a="1"/>
  <c r="K1051" i="2" s="1"/>
  <c r="K1061" i="2" a="1"/>
  <c r="K1061" i="2" s="1"/>
  <c r="K1082" i="2" a="1"/>
  <c r="K1082" i="2" s="1"/>
  <c r="K1094" i="2" a="1"/>
  <c r="K1094" i="2" s="1"/>
  <c r="K1105" i="2" a="1"/>
  <c r="K1105" i="2" s="1"/>
  <c r="K1116" i="2" a="1"/>
  <c r="K1116" i="2" s="1"/>
  <c r="K1127" i="2" a="1"/>
  <c r="K1127" i="2" s="1"/>
  <c r="K1138" i="2" a="1"/>
  <c r="K1138" i="2" s="1"/>
  <c r="K1150" i="2" a="1"/>
  <c r="K1150" i="2" s="1"/>
  <c r="K1161" i="2" a="1"/>
  <c r="K1161" i="2" s="1"/>
  <c r="K1172" i="2" a="1"/>
  <c r="K1172" i="2" s="1"/>
  <c r="K1183" i="2" a="1"/>
  <c r="K1183" i="2" s="1"/>
  <c r="K1194" i="2" a="1"/>
  <c r="K1194" i="2" s="1"/>
  <c r="K1205" i="2" a="1"/>
  <c r="K1205" i="2" s="1"/>
  <c r="K1217" i="2" a="1"/>
  <c r="K1217" i="2" s="1"/>
  <c r="K1228" i="2" a="1"/>
  <c r="K1228" i="2" s="1"/>
  <c r="K1239" i="2" a="1"/>
  <c r="K1239" i="2" s="1"/>
  <c r="K1250" i="2" a="1"/>
  <c r="K1250" i="2" s="1"/>
  <c r="K1261" i="2" a="1"/>
  <c r="K1261" i="2" s="1"/>
  <c r="K1273" i="2" a="1"/>
  <c r="K1273" i="2" s="1"/>
  <c r="K1284" i="2" a="1"/>
  <c r="K1284" i="2" s="1"/>
  <c r="K1306" i="2" a="1"/>
  <c r="K1306" i="2" s="1"/>
  <c r="K1317" i="2" a="1"/>
  <c r="K1317" i="2" s="1"/>
  <c r="K1329" i="2" a="1"/>
  <c r="K1329" i="2" s="1"/>
  <c r="K1340" i="2" a="1"/>
  <c r="K1340" i="2" s="1"/>
  <c r="K1348" i="2" a="1"/>
  <c r="K1348" i="2" s="1"/>
  <c r="K1357" i="2" a="1"/>
  <c r="K1357" i="2" s="1"/>
  <c r="K1367" i="2" a="1"/>
  <c r="K1367" i="2" s="1"/>
  <c r="K24" i="2" a="1"/>
  <c r="K24" i="2" s="1"/>
  <c r="K83" i="2" a="1"/>
  <c r="K83" i="2" s="1"/>
  <c r="K144" i="2" a="1"/>
  <c r="K144" i="2" s="1"/>
  <c r="K204" i="2" a="1"/>
  <c r="K204" i="2" s="1"/>
  <c r="K262" i="2" a="1"/>
  <c r="K262" i="2" s="1"/>
  <c r="K323" i="2" a="1"/>
  <c r="K323" i="2" s="1"/>
  <c r="K380" i="2" a="1"/>
  <c r="K380" i="2" s="1"/>
  <c r="K425" i="2" a="1"/>
  <c r="K425" i="2" s="1"/>
  <c r="K469" i="2" a="1"/>
  <c r="K469" i="2" s="1"/>
  <c r="K507" i="2" a="1"/>
  <c r="K507" i="2" s="1"/>
  <c r="K559" i="2" a="1"/>
  <c r="K559" i="2" s="1"/>
  <c r="K607" i="2" a="1"/>
  <c r="K607" i="2" s="1"/>
  <c r="K660" i="2" a="1"/>
  <c r="K660" i="2" s="1"/>
  <c r="K685" i="2" a="1"/>
  <c r="K685" i="2" s="1"/>
  <c r="K742" i="2" a="1"/>
  <c r="K742" i="2" s="1"/>
  <c r="K762" i="2" a="1"/>
  <c r="K762" i="2" s="1"/>
  <c r="K778" i="2" a="1"/>
  <c r="K778" i="2" s="1"/>
  <c r="K808" i="2" a="1"/>
  <c r="K808" i="2" s="1"/>
  <c r="K831" i="2" a="1"/>
  <c r="K831" i="2" s="1"/>
  <c r="K842" i="2" a="1"/>
  <c r="K842" i="2" s="1"/>
  <c r="K860" i="2" a="1"/>
  <c r="K860" i="2" s="1"/>
  <c r="K870" i="2" a="1"/>
  <c r="K870" i="2" s="1"/>
  <c r="K892" i="2" a="1"/>
  <c r="K892" i="2" s="1"/>
  <c r="K902" i="2" a="1"/>
  <c r="K902" i="2" s="1"/>
  <c r="K911" i="2" a="1"/>
  <c r="K911" i="2" s="1"/>
  <c r="K921" i="2" a="1"/>
  <c r="K921" i="2" s="1"/>
  <c r="K930" i="2" a="1"/>
  <c r="K930" i="2" s="1"/>
  <c r="K939" i="2" a="1"/>
  <c r="K939" i="2" s="1"/>
  <c r="K949" i="2" a="1"/>
  <c r="K949" i="2" s="1"/>
  <c r="K958" i="2" a="1"/>
  <c r="K958" i="2" s="1"/>
  <c r="K975" i="2" a="1"/>
  <c r="K975" i="2" s="1"/>
  <c r="K995" i="2" a="1"/>
  <c r="K995" i="2" s="1"/>
  <c r="K1003" i="2" a="1"/>
  <c r="K1003" i="2" s="1"/>
  <c r="K1012" i="2" a="1"/>
  <c r="K1012" i="2" s="1"/>
  <c r="K1022" i="2" a="1"/>
  <c r="K1022" i="2" s="1"/>
  <c r="K1031" i="2" a="1"/>
  <c r="K1031" i="2" s="1"/>
  <c r="K1052" i="2" a="1"/>
  <c r="K1052" i="2" s="1"/>
  <c r="K1062" i="2" a="1"/>
  <c r="K1062" i="2" s="1"/>
  <c r="K1072" i="2" a="1"/>
  <c r="K1072" i="2" s="1"/>
  <c r="K1083" i="2" a="1"/>
  <c r="K1083" i="2" s="1"/>
  <c r="K1095" i="2" a="1"/>
  <c r="K1095" i="2" s="1"/>
  <c r="K1106" i="2" a="1"/>
  <c r="K1106" i="2" s="1"/>
  <c r="K1117" i="2" a="1"/>
  <c r="K1117" i="2" s="1"/>
  <c r="K1128" i="2" a="1"/>
  <c r="K1128" i="2" s="1"/>
  <c r="K1139" i="2" a="1"/>
  <c r="K1139" i="2" s="1"/>
  <c r="K1162" i="2" a="1"/>
  <c r="K1162" i="2" s="1"/>
  <c r="K1173" i="2" a="1"/>
  <c r="K1173" i="2" s="1"/>
  <c r="K1184" i="2" a="1"/>
  <c r="K1184" i="2" s="1"/>
  <c r="K1195" i="2" a="1"/>
  <c r="K1195" i="2" s="1"/>
  <c r="K1206" i="2" a="1"/>
  <c r="K1206" i="2" s="1"/>
  <c r="K1218" i="2" a="1"/>
  <c r="K1218" i="2" s="1"/>
  <c r="K1229" i="2" a="1"/>
  <c r="K1229" i="2" s="1"/>
  <c r="K1240" i="2" a="1"/>
  <c r="K1240" i="2" s="1"/>
  <c r="K1251" i="2" a="1"/>
  <c r="K1251" i="2" s="1"/>
  <c r="K1262" i="2" a="1"/>
  <c r="K1262" i="2" s="1"/>
  <c r="K1274" i="2" a="1"/>
  <c r="K1274" i="2" s="1"/>
  <c r="K1285" i="2" a="1"/>
  <c r="K1285" i="2" s="1"/>
  <c r="K25" i="2" a="1"/>
  <c r="K25" i="2" s="1"/>
  <c r="K86" i="2" a="1"/>
  <c r="K86" i="2" s="1"/>
  <c r="K145" i="2" a="1"/>
  <c r="K145" i="2" s="1"/>
  <c r="K205" i="2" a="1"/>
  <c r="K205" i="2" s="1"/>
  <c r="K324" i="2" a="1"/>
  <c r="K324" i="2" s="1"/>
  <c r="K381" i="2" a="1"/>
  <c r="K381" i="2" s="1"/>
  <c r="K430" i="2" a="1"/>
  <c r="K430" i="2" s="1"/>
  <c r="K473" i="2" a="1"/>
  <c r="K473" i="2" s="1"/>
  <c r="K510" i="2" a="1"/>
  <c r="K510" i="2" s="1"/>
  <c r="K536" i="2" a="1"/>
  <c r="K536" i="2" s="1"/>
  <c r="K635" i="2" a="1"/>
  <c r="K635" i="2" s="1"/>
  <c r="K662" i="2" a="1"/>
  <c r="K662" i="2" s="1"/>
  <c r="K686" i="2" a="1"/>
  <c r="K686" i="2" s="1"/>
  <c r="K704" i="2" a="1"/>
  <c r="K704" i="2" s="1"/>
  <c r="K724" i="2" a="1"/>
  <c r="K724" i="2" s="1"/>
  <c r="K743" i="2" a="1"/>
  <c r="K743" i="2" s="1"/>
  <c r="K794" i="2" a="1"/>
  <c r="K794" i="2" s="1"/>
  <c r="K820" i="2" a="1"/>
  <c r="K820" i="2" s="1"/>
  <c r="K843" i="2" a="1"/>
  <c r="K843" i="2" s="1"/>
  <c r="K852" i="2" a="1"/>
  <c r="K852" i="2" s="1"/>
  <c r="K861" i="2" a="1"/>
  <c r="K861" i="2" s="1"/>
  <c r="K903" i="2" a="1"/>
  <c r="K903" i="2" s="1"/>
  <c r="K912" i="2" a="1"/>
  <c r="K912" i="2" s="1"/>
  <c r="K922" i="2" a="1"/>
  <c r="K922" i="2" s="1"/>
  <c r="K940" i="2" a="1"/>
  <c r="K940" i="2" s="1"/>
  <c r="K959" i="2" a="1"/>
  <c r="K959" i="2" s="1"/>
  <c r="K968" i="2" a="1"/>
  <c r="K968" i="2" s="1"/>
  <c r="K982" i="2" a="1"/>
  <c r="K982" i="2" s="1"/>
  <c r="K989" i="2" a="1"/>
  <c r="K989" i="2" s="1"/>
  <c r="K1004" i="2" a="1"/>
  <c r="K1004" i="2" s="1"/>
  <c r="K1023" i="2" a="1"/>
  <c r="K1023" i="2" s="1"/>
  <c r="K1032" i="2" a="1"/>
  <c r="K1032" i="2" s="1"/>
  <c r="K1043" i="2" a="1"/>
  <c r="K1043" i="2" s="1"/>
  <c r="K1053" i="2" a="1"/>
  <c r="K1053" i="2" s="1"/>
  <c r="K1063" i="2" a="1"/>
  <c r="K1063" i="2" s="1"/>
  <c r="K1073" i="2" a="1"/>
  <c r="K1073" i="2" s="1"/>
  <c r="K1084" i="2" a="1"/>
  <c r="K1084" i="2" s="1"/>
  <c r="K1096" i="2" a="1"/>
  <c r="K1096" i="2" s="1"/>
  <c r="K1107" i="2" a="1"/>
  <c r="K1107" i="2" s="1"/>
  <c r="K1118" i="2" a="1"/>
  <c r="K1118" i="2" s="1"/>
  <c r="K1129" i="2" a="1"/>
  <c r="K1129" i="2" s="1"/>
  <c r="K1140" i="2" a="1"/>
  <c r="K1140" i="2" s="1"/>
  <c r="K1151" i="2" a="1"/>
  <c r="K1151" i="2" s="1"/>
  <c r="K1163" i="2" a="1"/>
  <c r="K1163" i="2" s="1"/>
  <c r="K277" i="2" a="1"/>
  <c r="K277" i="2" s="1"/>
  <c r="K538" i="2" a="1"/>
  <c r="K538" i="2" s="1"/>
  <c r="K687" i="2" a="1"/>
  <c r="K687" i="2" s="1"/>
  <c r="K795" i="2" a="1"/>
  <c r="K795" i="2" s="1"/>
  <c r="K862" i="2" a="1"/>
  <c r="K862" i="2" s="1"/>
  <c r="K923" i="2" a="1"/>
  <c r="K923" i="2" s="1"/>
  <c r="K976" i="2" a="1"/>
  <c r="K976" i="2" s="1"/>
  <c r="K1024" i="2" a="1"/>
  <c r="K1024" i="2" s="1"/>
  <c r="K1085" i="2" a="1"/>
  <c r="K1085" i="2" s="1"/>
  <c r="K1152" i="2" a="1"/>
  <c r="K1152" i="2" s="1"/>
  <c r="K1198" i="2" a="1"/>
  <c r="K1198" i="2" s="1"/>
  <c r="K1242" i="2" a="1"/>
  <c r="K1242" i="2" s="1"/>
  <c r="K1321" i="2" a="1"/>
  <c r="K1321" i="2" s="1"/>
  <c r="K1349" i="2" a="1"/>
  <c r="K1349" i="2" s="1"/>
  <c r="K1369" i="2" a="1"/>
  <c r="K1369" i="2" s="1"/>
  <c r="K1398" i="2" a="1"/>
  <c r="K1398" i="2" s="1"/>
  <c r="K1422" i="2" a="1"/>
  <c r="K1422" i="2" s="1"/>
  <c r="K1431" i="2" a="1"/>
  <c r="K1431" i="2" s="1"/>
  <c r="K1441" i="2" a="1"/>
  <c r="K1441" i="2" s="1"/>
  <c r="K1458" i="2" a="1"/>
  <c r="K1458" i="2" s="1"/>
  <c r="K1466" i="2" a="1"/>
  <c r="K1466" i="2" s="1"/>
  <c r="K1476" i="2" a="1"/>
  <c r="K1476" i="2" s="1"/>
  <c r="K1485" i="2" a="1"/>
  <c r="K1485" i="2" s="1"/>
  <c r="K1493" i="2" a="1"/>
  <c r="K1493" i="2" s="1"/>
  <c r="K1512" i="2" a="1"/>
  <c r="K1512" i="2" s="1"/>
  <c r="K1527" i="2" a="1"/>
  <c r="K1527" i="2" s="1"/>
  <c r="K1536" i="2" a="1"/>
  <c r="K1536" i="2" s="1"/>
  <c r="K1545" i="2" a="1"/>
  <c r="K1545" i="2" s="1"/>
  <c r="K1553" i="2" a="1"/>
  <c r="K1553" i="2" s="1"/>
  <c r="K1563" i="2" a="1"/>
  <c r="K1563" i="2" s="1"/>
  <c r="K1572" i="2" a="1"/>
  <c r="K1572" i="2" s="1"/>
  <c r="K1581" i="2" a="1"/>
  <c r="K1581" i="2" s="1"/>
  <c r="K1591" i="2" a="1"/>
  <c r="K1591" i="2" s="1"/>
  <c r="K1599" i="2" a="1"/>
  <c r="K1599" i="2" s="1"/>
  <c r="K1609" i="2" a="1"/>
  <c r="K1609" i="2" s="1"/>
  <c r="K1617" i="2" a="1"/>
  <c r="K1617" i="2" s="1"/>
  <c r="K1626" i="2" a="1"/>
  <c r="K1626" i="2" s="1"/>
  <c r="K1636" i="2" a="1"/>
  <c r="K1636" i="2" s="1"/>
  <c r="K1645" i="2" a="1"/>
  <c r="K1645" i="2" s="1"/>
  <c r="K1654" i="2" a="1"/>
  <c r="K1654" i="2" s="1"/>
  <c r="K1672" i="2" a="1"/>
  <c r="K1672" i="2" s="1"/>
  <c r="K1690" i="2" a="1"/>
  <c r="K1690" i="2" s="1"/>
  <c r="K1699" i="2" a="1"/>
  <c r="K1699" i="2" s="1"/>
  <c r="K1709" i="2" a="1"/>
  <c r="K1709" i="2" s="1"/>
  <c r="K1727" i="2" a="1"/>
  <c r="K1727" i="2" s="1"/>
  <c r="K1736" i="2" a="1"/>
  <c r="K1736" i="2" s="1"/>
  <c r="K1754" i="2" a="1"/>
  <c r="K1754" i="2" s="1"/>
  <c r="K1782" i="2" a="1"/>
  <c r="K1782" i="2" s="1"/>
  <c r="K1790" i="2" a="1"/>
  <c r="K1790" i="2" s="1"/>
  <c r="K1801" i="2" a="1"/>
  <c r="K1801" i="2" s="1"/>
  <c r="K1809" i="2" a="1"/>
  <c r="K1809" i="2" s="1"/>
  <c r="K1818" i="2" a="1"/>
  <c r="K1818" i="2" s="1"/>
  <c r="K1827" i="2" a="1"/>
  <c r="K1827" i="2" s="1"/>
  <c r="K1836" i="2" a="1"/>
  <c r="K1836" i="2" s="1"/>
  <c r="K1847" i="2" a="1"/>
  <c r="K1847" i="2" s="1"/>
  <c r="K1857" i="2" a="1"/>
  <c r="K1857" i="2" s="1"/>
  <c r="K1866" i="2" a="1"/>
  <c r="K1866" i="2" s="1"/>
  <c r="K1876" i="2" a="1"/>
  <c r="K1876" i="2" s="1"/>
  <c r="K1886" i="2" a="1"/>
  <c r="K1886" i="2" s="1"/>
  <c r="K1895" i="2" a="1"/>
  <c r="K1895" i="2" s="1"/>
  <c r="K1920" i="2" a="1"/>
  <c r="K1920" i="2" s="1"/>
  <c r="K1929" i="2" a="1"/>
  <c r="K1929" i="2" s="1"/>
  <c r="K1944" i="2" a="1"/>
  <c r="K1944" i="2" s="1"/>
  <c r="K1954" i="2" a="1"/>
  <c r="K1954" i="2" s="1"/>
  <c r="K1964" i="2" a="1"/>
  <c r="K1964" i="2" s="1"/>
  <c r="K1974" i="2" a="1"/>
  <c r="K1974" i="2" s="1"/>
  <c r="K1990" i="2" a="1"/>
  <c r="K1990" i="2" s="1"/>
  <c r="K1999" i="2" a="1"/>
  <c r="K1999" i="2" s="1"/>
  <c r="K2007" i="2" a="1"/>
  <c r="K2007" i="2" s="1"/>
  <c r="K689" i="2" a="1"/>
  <c r="K689" i="2" s="1"/>
  <c r="K797" i="2" a="1"/>
  <c r="K797" i="2" s="1"/>
  <c r="K863" i="2" a="1"/>
  <c r="K863" i="2" s="1"/>
  <c r="K924" i="2" a="1"/>
  <c r="K924" i="2" s="1"/>
  <c r="K1086" i="2" a="1"/>
  <c r="K1086" i="2" s="1"/>
  <c r="K1153" i="2" a="1"/>
  <c r="K1153" i="2" s="1"/>
  <c r="K1207" i="2" a="1"/>
  <c r="K1207" i="2" s="1"/>
  <c r="K1252" i="2" a="1"/>
  <c r="K1252" i="2" s="1"/>
  <c r="K1295" i="2" a="1"/>
  <c r="K1295" i="2" s="1"/>
  <c r="K1327" i="2" a="1"/>
  <c r="K1327" i="2" s="1"/>
  <c r="K1350" i="2" a="1"/>
  <c r="K1350" i="2" s="1"/>
  <c r="K1385" i="2" a="1"/>
  <c r="K1385" i="2" s="1"/>
  <c r="K1399" i="2" a="1"/>
  <c r="K1399" i="2" s="1"/>
  <c r="K1412" i="2" a="1"/>
  <c r="K1412" i="2" s="1"/>
  <c r="K1423" i="2" a="1"/>
  <c r="K1423" i="2" s="1"/>
  <c r="K1432" i="2" a="1"/>
  <c r="K1432" i="2" s="1"/>
  <c r="K1450" i="2" a="1"/>
  <c r="K1450" i="2" s="1"/>
  <c r="K1467" i="2" a="1"/>
  <c r="K1467" i="2" s="1"/>
  <c r="K1494" i="2" a="1"/>
  <c r="K1494" i="2" s="1"/>
  <c r="K1502" i="2" a="1"/>
  <c r="K1502" i="2" s="1"/>
  <c r="K1520" i="2" a="1"/>
  <c r="K1520" i="2" s="1"/>
  <c r="K1528" i="2" a="1"/>
  <c r="K1528" i="2" s="1"/>
  <c r="K1537" i="2" a="1"/>
  <c r="K1537" i="2" s="1"/>
  <c r="K1546" i="2" a="1"/>
  <c r="K1546" i="2" s="1"/>
  <c r="K1554" i="2" a="1"/>
  <c r="K1554" i="2" s="1"/>
  <c r="K1564" i="2" a="1"/>
  <c r="K1564" i="2" s="1"/>
  <c r="K1573" i="2" a="1"/>
  <c r="K1573" i="2" s="1"/>
  <c r="K1582" i="2" a="1"/>
  <c r="K1582" i="2" s="1"/>
  <c r="K1600" i="2" a="1"/>
  <c r="K1600" i="2" s="1"/>
  <c r="K1618" i="2" a="1"/>
  <c r="K1618" i="2" s="1"/>
  <c r="K1627" i="2" a="1"/>
  <c r="K1627" i="2" s="1"/>
  <c r="K1637" i="2" a="1"/>
  <c r="K1637" i="2" s="1"/>
  <c r="K1655" i="2" a="1"/>
  <c r="K1655" i="2" s="1"/>
  <c r="K1664" i="2" a="1"/>
  <c r="K1664" i="2" s="1"/>
  <c r="K1682" i="2" a="1"/>
  <c r="K1682" i="2" s="1"/>
  <c r="K1710" i="2" a="1"/>
  <c r="K1710" i="2" s="1"/>
  <c r="K1718" i="2" a="1"/>
  <c r="K1718" i="2" s="1"/>
  <c r="K1728" i="2" a="1"/>
  <c r="K1728" i="2" s="1"/>
  <c r="K1745" i="2" a="1"/>
  <c r="K1745" i="2" s="1"/>
  <c r="K1763" i="2" a="1"/>
  <c r="K1763" i="2" s="1"/>
  <c r="K1772" i="2" a="1"/>
  <c r="K1772" i="2" s="1"/>
  <c r="K1783" i="2" a="1"/>
  <c r="K1783" i="2" s="1"/>
  <c r="K1791" i="2" a="1"/>
  <c r="K1791" i="2" s="1"/>
  <c r="K1810" i="2" a="1"/>
  <c r="K1810" i="2" s="1"/>
  <c r="K1819" i="2" a="1"/>
  <c r="K1819" i="2" s="1"/>
  <c r="K1828" i="2" a="1"/>
  <c r="K1828" i="2" s="1"/>
  <c r="K1837" i="2" a="1"/>
  <c r="K1837" i="2" s="1"/>
  <c r="K1848" i="2" a="1"/>
  <c r="K1848" i="2" s="1"/>
  <c r="K1858" i="2" a="1"/>
  <c r="K1858" i="2" s="1"/>
  <c r="K336" i="2" a="1"/>
  <c r="K336" i="2" s="1"/>
  <c r="K560" i="2" a="1"/>
  <c r="K560" i="2" s="1"/>
  <c r="K705" i="2" a="1"/>
  <c r="K705" i="2" s="1"/>
  <c r="K809" i="2" a="1"/>
  <c r="K809" i="2" s="1"/>
  <c r="K871" i="2" a="1"/>
  <c r="K871" i="2" s="1"/>
  <c r="K983" i="2" a="1"/>
  <c r="K983" i="2" s="1"/>
  <c r="K1033" i="2" a="1"/>
  <c r="K1033" i="2" s="1"/>
  <c r="K1164" i="2" a="1"/>
  <c r="K1164" i="2" s="1"/>
  <c r="K1208" i="2" a="1"/>
  <c r="K1208" i="2" s="1"/>
  <c r="K1253" i="2" a="1"/>
  <c r="K1253" i="2" s="1"/>
  <c r="K1296" i="2" a="1"/>
  <c r="K1296" i="2" s="1"/>
  <c r="K1330" i="2" a="1"/>
  <c r="K1330" i="2" s="1"/>
  <c r="K1386" i="2" a="1"/>
  <c r="K1386" i="2" s="1"/>
  <c r="K1401" i="2" a="1"/>
  <c r="K1401" i="2" s="1"/>
  <c r="K1413" i="2" a="1"/>
  <c r="K1413" i="2" s="1"/>
  <c r="K1433" i="2" a="1"/>
  <c r="K1433" i="2" s="1"/>
  <c r="K1442" i="2" a="1"/>
  <c r="K1442" i="2" s="1"/>
  <c r="K1451" i="2" a="1"/>
  <c r="K1451" i="2" s="1"/>
  <c r="K1459" i="2" a="1"/>
  <c r="K1459" i="2" s="1"/>
  <c r="K1468" i="2" a="1"/>
  <c r="K1468" i="2" s="1"/>
  <c r="K1477" i="2" a="1"/>
  <c r="K1477" i="2" s="1"/>
  <c r="K1486" i="2" a="1"/>
  <c r="K1486" i="2" s="1"/>
  <c r="K1503" i="2" a="1"/>
  <c r="K1503" i="2" s="1"/>
  <c r="K1513" i="2" a="1"/>
  <c r="K1513" i="2" s="1"/>
  <c r="K1538" i="2" a="1"/>
  <c r="K1538" i="2" s="1"/>
  <c r="K1555" i="2" a="1"/>
  <c r="K1555" i="2" s="1"/>
  <c r="K1565" i="2" a="1"/>
  <c r="K1565" i="2" s="1"/>
  <c r="K1583" i="2" a="1"/>
  <c r="K1583" i="2" s="1"/>
  <c r="K1592" i="2" a="1"/>
  <c r="K1592" i="2" s="1"/>
  <c r="K1610" i="2" a="1"/>
  <c r="K1610" i="2" s="1"/>
  <c r="K1638" i="2" a="1"/>
  <c r="K1638" i="2" s="1"/>
  <c r="K1646" i="2" a="1"/>
  <c r="K1646" i="2" s="1"/>
  <c r="K1656" i="2" a="1"/>
  <c r="K1656" i="2" s="1"/>
  <c r="K1673" i="2" a="1"/>
  <c r="K1673" i="2" s="1"/>
  <c r="K1691" i="2" a="1"/>
  <c r="K1691" i="2" s="1"/>
  <c r="K1700" i="2" a="1"/>
  <c r="K1700" i="2" s="1"/>
  <c r="K1711" i="2" a="1"/>
  <c r="K1711" i="2" s="1"/>
  <c r="K1719" i="2" a="1"/>
  <c r="K1719" i="2" s="1"/>
  <c r="K1729" i="2" a="1"/>
  <c r="K1729" i="2" s="1"/>
  <c r="K1737" i="2" a="1"/>
  <c r="K1737" i="2" s="1"/>
  <c r="K1746" i="2" a="1"/>
  <c r="K1746" i="2" s="1"/>
  <c r="K1755" i="2" a="1"/>
  <c r="K1755" i="2" s="1"/>
  <c r="K1764" i="2" a="1"/>
  <c r="K1764" i="2" s="1"/>
  <c r="K1773" i="2" a="1"/>
  <c r="K1773" i="2" s="1"/>
  <c r="K1792" i="2" a="1"/>
  <c r="K1792" i="2" s="1"/>
  <c r="K1802" i="2" a="1"/>
  <c r="K1802" i="2" s="1"/>
  <c r="K1829" i="2" a="1"/>
  <c r="K1829" i="2" s="1"/>
  <c r="K1849" i="2" a="1"/>
  <c r="K1849" i="2" s="1"/>
  <c r="K1868" i="2" a="1"/>
  <c r="K1868" i="2" s="1"/>
  <c r="K337" i="2" a="1"/>
  <c r="K337" i="2" s="1"/>
  <c r="K709" i="2" a="1"/>
  <c r="K709" i="2" s="1"/>
  <c r="K810" i="2" a="1"/>
  <c r="K810" i="2" s="1"/>
  <c r="K873" i="2" a="1"/>
  <c r="K873" i="2" s="1"/>
  <c r="K932" i="2" a="1"/>
  <c r="K932" i="2" s="1"/>
  <c r="K1034" i="2" a="1"/>
  <c r="K1034" i="2" s="1"/>
  <c r="K1097" i="2" a="1"/>
  <c r="K1097" i="2" s="1"/>
  <c r="K1165" i="2" a="1"/>
  <c r="K1165" i="2" s="1"/>
  <c r="K1209" i="2" a="1"/>
  <c r="K1209" i="2" s="1"/>
  <c r="K1254" i="2" a="1"/>
  <c r="K1254" i="2" s="1"/>
  <c r="K1297" i="2" a="1"/>
  <c r="K1297" i="2" s="1"/>
  <c r="K1351" i="2" a="1"/>
  <c r="K1351" i="2" s="1"/>
  <c r="K1387" i="2" a="1"/>
  <c r="K1387" i="2" s="1"/>
  <c r="K1402" i="2" a="1"/>
  <c r="K1402" i="2" s="1"/>
  <c r="K1414" i="2" a="1"/>
  <c r="K1414" i="2" s="1"/>
  <c r="K1424" i="2" a="1"/>
  <c r="K1424" i="2" s="1"/>
  <c r="K1434" i="2" a="1"/>
  <c r="K1434" i="2" s="1"/>
  <c r="K1443" i="2" a="1"/>
  <c r="K1443" i="2" s="1"/>
  <c r="K1452" i="2" a="1"/>
  <c r="K1452" i="2" s="1"/>
  <c r="K1469" i="2" a="1"/>
  <c r="K1469" i="2" s="1"/>
  <c r="K1478" i="2" a="1"/>
  <c r="K1478" i="2" s="1"/>
  <c r="K1487" i="2" a="1"/>
  <c r="K1487" i="2" s="1"/>
  <c r="K1495" i="2" a="1"/>
  <c r="K1495" i="2" s="1"/>
  <c r="K1504" i="2" a="1"/>
  <c r="K1504" i="2" s="1"/>
  <c r="K1521" i="2" a="1"/>
  <c r="K1521" i="2" s="1"/>
  <c r="K1529" i="2" a="1"/>
  <c r="K1529" i="2" s="1"/>
  <c r="K1547" i="2" a="1"/>
  <c r="K1547" i="2" s="1"/>
  <c r="K1566" i="2" a="1"/>
  <c r="K1566" i="2" s="1"/>
  <c r="K1574" i="2" a="1"/>
  <c r="K1574" i="2" s="1"/>
  <c r="K1584" i="2" a="1"/>
  <c r="K1584" i="2" s="1"/>
  <c r="K1601" i="2" a="1"/>
  <c r="K1601" i="2" s="1"/>
  <c r="K1619" i="2" a="1"/>
  <c r="K1619" i="2" s="1"/>
  <c r="K1628" i="2" a="1"/>
  <c r="K1628" i="2" s="1"/>
  <c r="K1639" i="2" a="1"/>
  <c r="K1639" i="2" s="1"/>
  <c r="K1647" i="2" a="1"/>
  <c r="K1647" i="2" s="1"/>
  <c r="K1657" i="2" a="1"/>
  <c r="K1657" i="2" s="1"/>
  <c r="K1665" i="2" a="1"/>
  <c r="K1665" i="2" s="1"/>
  <c r="K1674" i="2" a="1"/>
  <c r="K1674" i="2" s="1"/>
  <c r="K1683" i="2" a="1"/>
  <c r="K1683" i="2" s="1"/>
  <c r="K1692" i="2" a="1"/>
  <c r="K1692" i="2" s="1"/>
  <c r="K1701" i="2" a="1"/>
  <c r="K1701" i="2" s="1"/>
  <c r="K1720" i="2" a="1"/>
  <c r="K1720" i="2" s="1"/>
  <c r="K1738" i="2" a="1"/>
  <c r="K1738" i="2" s="1"/>
  <c r="K1747" i="2" a="1"/>
  <c r="K1747" i="2" s="1"/>
  <c r="K1756" i="2" a="1"/>
  <c r="K1756" i="2" s="1"/>
  <c r="K1765" i="2" a="1"/>
  <c r="K1765" i="2" s="1"/>
  <c r="K1774" i="2" a="1"/>
  <c r="K1774" i="2" s="1"/>
  <c r="K1784" i="2" a="1"/>
  <c r="K1784" i="2" s="1"/>
  <c r="K1811" i="2" a="1"/>
  <c r="K1811" i="2" s="1"/>
  <c r="K1820" i="2" a="1"/>
  <c r="K1820" i="2" s="1"/>
  <c r="K1830" i="2" a="1"/>
  <c r="K1830" i="2" s="1"/>
  <c r="K1838" i="2" a="1"/>
  <c r="K1838" i="2" s="1"/>
  <c r="K1850" i="2" a="1"/>
  <c r="K1850" i="2" s="1"/>
  <c r="K1859" i="2" a="1"/>
  <c r="K1859" i="2" s="1"/>
  <c r="K1869" i="2" a="1"/>
  <c r="K1869" i="2" s="1"/>
  <c r="K1878" i="2" a="1"/>
  <c r="K1878" i="2" s="1"/>
  <c r="K1888" i="2" a="1"/>
  <c r="K1888" i="2" s="1"/>
  <c r="K1905" i="2" a="1"/>
  <c r="K1905" i="2" s="1"/>
  <c r="K1913" i="2" a="1"/>
  <c r="K1913" i="2" s="1"/>
  <c r="K1931" i="2" a="1"/>
  <c r="K1931" i="2" s="1"/>
  <c r="K1938" i="2" a="1"/>
  <c r="K1938" i="2" s="1"/>
  <c r="K1947" i="2" a="1"/>
  <c r="K1947" i="2" s="1"/>
  <c r="K1957" i="2" a="1"/>
  <c r="K1957" i="2" s="1"/>
  <c r="K1967" i="2" a="1"/>
  <c r="K1967" i="2" s="1"/>
  <c r="K1976" i="2" a="1"/>
  <c r="K1976" i="2" s="1"/>
  <c r="K1983" i="2" a="1"/>
  <c r="K1983" i="2" s="1"/>
  <c r="K1992" i="2" a="1"/>
  <c r="K1992" i="2" s="1"/>
  <c r="K2001" i="2" a="1"/>
  <c r="K2001" i="2" s="1"/>
  <c r="K38" i="2" a="1"/>
  <c r="K38" i="2" s="1"/>
  <c r="K392" i="2" a="1"/>
  <c r="K392" i="2" s="1"/>
  <c r="K586" i="2" a="1"/>
  <c r="K586" i="2" s="1"/>
  <c r="K821" i="2" a="1"/>
  <c r="K821" i="2" s="1"/>
  <c r="K883" i="2" a="1"/>
  <c r="K883" i="2" s="1"/>
  <c r="K941" i="2" a="1"/>
  <c r="K941" i="2" s="1"/>
  <c r="K1044" i="2" a="1"/>
  <c r="K1044" i="2" s="1"/>
  <c r="K1108" i="2" a="1"/>
  <c r="K1108" i="2" s="1"/>
  <c r="K1174" i="2" a="1"/>
  <c r="K1174" i="2" s="1"/>
  <c r="K1219" i="2" a="1"/>
  <c r="K1219" i="2" s="1"/>
  <c r="K1263" i="2" a="1"/>
  <c r="K1263" i="2" s="1"/>
  <c r="K1298" i="2" a="1"/>
  <c r="K1298" i="2" s="1"/>
  <c r="K1331" i="2" a="1"/>
  <c r="K1331" i="2" s="1"/>
  <c r="K1355" i="2" a="1"/>
  <c r="K1355" i="2" s="1"/>
  <c r="K1376" i="2" a="1"/>
  <c r="K1376" i="2" s="1"/>
  <c r="K1388" i="2" a="1"/>
  <c r="K1388" i="2" s="1"/>
  <c r="K1403" i="2" a="1"/>
  <c r="K1403" i="2" s="1"/>
  <c r="K1416" i="2" a="1"/>
  <c r="K1416" i="2" s="1"/>
  <c r="K1425" i="2" a="1"/>
  <c r="K1425" i="2" s="1"/>
  <c r="K1444" i="2" a="1"/>
  <c r="K1444" i="2" s="1"/>
  <c r="K1460" i="2" a="1"/>
  <c r="K1460" i="2" s="1"/>
  <c r="K1470" i="2" a="1"/>
  <c r="K1470" i="2" s="1"/>
  <c r="K1479" i="2" a="1"/>
  <c r="K1479" i="2" s="1"/>
  <c r="K1488" i="2" a="1"/>
  <c r="K1488" i="2" s="1"/>
  <c r="K1505" i="2" a="1"/>
  <c r="K1505" i="2" s="1"/>
  <c r="K1514" i="2" a="1"/>
  <c r="K1514" i="2" s="1"/>
  <c r="K1522" i="2" a="1"/>
  <c r="K1522" i="2" s="1"/>
  <c r="K1530" i="2" a="1"/>
  <c r="K1530" i="2" s="1"/>
  <c r="K1539" i="2" a="1"/>
  <c r="K1539" i="2" s="1"/>
  <c r="K1548" i="2" a="1"/>
  <c r="K1548" i="2" s="1"/>
  <c r="K1556" i="2" a="1"/>
  <c r="K1556" i="2" s="1"/>
  <c r="K1567" i="2" a="1"/>
  <c r="K1567" i="2" s="1"/>
  <c r="K1575" i="2" a="1"/>
  <c r="K1575" i="2" s="1"/>
  <c r="K1585" i="2" a="1"/>
  <c r="K1585" i="2" s="1"/>
  <c r="K1593" i="2" a="1"/>
  <c r="K1593" i="2" s="1"/>
  <c r="K1602" i="2" a="1"/>
  <c r="K1602" i="2" s="1"/>
  <c r="K1611" i="2" a="1"/>
  <c r="K1611" i="2" s="1"/>
  <c r="K1620" i="2" a="1"/>
  <c r="K1620" i="2" s="1"/>
  <c r="K1629" i="2" a="1"/>
  <c r="K1629" i="2" s="1"/>
  <c r="K1648" i="2" a="1"/>
  <c r="K1648" i="2" s="1"/>
  <c r="K1666" i="2" a="1"/>
  <c r="K1666" i="2" s="1"/>
  <c r="K1675" i="2" a="1"/>
  <c r="K1675" i="2" s="1"/>
  <c r="K1684" i="2" a="1"/>
  <c r="K1684" i="2" s="1"/>
  <c r="K1693" i="2" a="1"/>
  <c r="K1693" i="2" s="1"/>
  <c r="K1702" i="2" a="1"/>
  <c r="K1702" i="2" s="1"/>
  <c r="K1712" i="2" a="1"/>
  <c r="K1712" i="2" s="1"/>
  <c r="K1730" i="2" a="1"/>
  <c r="K1730" i="2" s="1"/>
  <c r="K1757" i="2" a="1"/>
  <c r="K1757" i="2" s="1"/>
  <c r="K1775" i="2" a="1"/>
  <c r="K1775" i="2" s="1"/>
  <c r="K1793" i="2" a="1"/>
  <c r="K1793" i="2" s="1"/>
  <c r="K1803" i="2" a="1"/>
  <c r="K1803" i="2" s="1"/>
  <c r="K1812" i="2" a="1"/>
  <c r="K1812" i="2" s="1"/>
  <c r="K1821" i="2" a="1"/>
  <c r="K1821" i="2" s="1"/>
  <c r="K39" i="2" a="1"/>
  <c r="K39" i="2" s="1"/>
  <c r="K393" i="2" a="1"/>
  <c r="K393" i="2" s="1"/>
  <c r="K589" i="2" a="1"/>
  <c r="K589" i="2" s="1"/>
  <c r="K990" i="2" a="1"/>
  <c r="K990" i="2" s="1"/>
  <c r="K1045" i="2" a="1"/>
  <c r="K1045" i="2" s="1"/>
  <c r="K1109" i="2" a="1"/>
  <c r="K1109" i="2" s="1"/>
  <c r="K1175" i="2" a="1"/>
  <c r="K1175" i="2" s="1"/>
  <c r="K1220" i="2" a="1"/>
  <c r="K1220" i="2" s="1"/>
  <c r="K1264" i="2" a="1"/>
  <c r="K1264" i="2" s="1"/>
  <c r="K1307" i="2" a="1"/>
  <c r="K1307" i="2" s="1"/>
  <c r="K1332" i="2" a="1"/>
  <c r="K1332" i="2" s="1"/>
  <c r="K1377" i="2" a="1"/>
  <c r="K1377" i="2" s="1"/>
  <c r="K1390" i="2" a="1"/>
  <c r="K1390" i="2" s="1"/>
  <c r="K1404" i="2" a="1"/>
  <c r="K1404" i="2" s="1"/>
  <c r="K1426" i="2" a="1"/>
  <c r="K1426" i="2" s="1"/>
  <c r="K1435" i="2" a="1"/>
  <c r="K1435" i="2" s="1"/>
  <c r="K1445" i="2" a="1"/>
  <c r="K1445" i="2" s="1"/>
  <c r="K1453" i="2" a="1"/>
  <c r="K1453" i="2" s="1"/>
  <c r="K1461" i="2" a="1"/>
  <c r="K1461" i="2" s="1"/>
  <c r="K1480" i="2" a="1"/>
  <c r="K1480" i="2" s="1"/>
  <c r="K1496" i="2" a="1"/>
  <c r="K1496" i="2" s="1"/>
  <c r="K1506" i="2" a="1"/>
  <c r="K1506" i="2" s="1"/>
  <c r="K1515" i="2" a="1"/>
  <c r="K1515" i="2" s="1"/>
  <c r="K1531" i="2" a="1"/>
  <c r="K1531" i="2" s="1"/>
  <c r="K1540" i="2" a="1"/>
  <c r="K1540" i="2" s="1"/>
  <c r="K1549" i="2" a="1"/>
  <c r="K1549" i="2" s="1"/>
  <c r="K1557" i="2" a="1"/>
  <c r="K1557" i="2" s="1"/>
  <c r="K1576" i="2" a="1"/>
  <c r="K1576" i="2" s="1"/>
  <c r="K1594" i="2" a="1"/>
  <c r="K1594" i="2" s="1"/>
  <c r="K1603" i="2" a="1"/>
  <c r="K1603" i="2" s="1"/>
  <c r="K1612" i="2" a="1"/>
  <c r="K1612" i="2" s="1"/>
  <c r="K1621" i="2" a="1"/>
  <c r="K1621" i="2" s="1"/>
  <c r="K1630" i="2" a="1"/>
  <c r="K1630" i="2" s="1"/>
  <c r="K1640" i="2" a="1"/>
  <c r="K1640" i="2" s="1"/>
  <c r="K1658" i="2" a="1"/>
  <c r="K1658" i="2" s="1"/>
  <c r="K1685" i="2" a="1"/>
  <c r="K1685" i="2" s="1"/>
  <c r="K1703" i="2" a="1"/>
  <c r="K1703" i="2" s="1"/>
  <c r="K1721" i="2" a="1"/>
  <c r="K1721" i="2" s="1"/>
  <c r="K1739" i="2" a="1"/>
  <c r="K1739" i="2" s="1"/>
  <c r="K1748" i="2" a="1"/>
  <c r="K1748" i="2" s="1"/>
  <c r="K1758" i="2" a="1"/>
  <c r="K1758" i="2" s="1"/>
  <c r="K1766" i="2" a="1"/>
  <c r="K1766" i="2" s="1"/>
  <c r="K1776" i="2" a="1"/>
  <c r="K1776" i="2" s="1"/>
  <c r="K1785" i="2" a="1"/>
  <c r="K1785" i="2" s="1"/>
  <c r="K1794" i="2" a="1"/>
  <c r="K1794" i="2" s="1"/>
  <c r="K1804" i="2" a="1"/>
  <c r="K1804" i="2" s="1"/>
  <c r="K1813" i="2" a="1"/>
  <c r="K1813" i="2" s="1"/>
  <c r="K1822" i="2" a="1"/>
  <c r="K1822" i="2" s="1"/>
  <c r="K1840" i="2" a="1"/>
  <c r="K1840" i="2" s="1"/>
  <c r="K1851" i="2" a="1"/>
  <c r="K1851" i="2" s="1"/>
  <c r="K1861" i="2" a="1"/>
  <c r="K1861" i="2" s="1"/>
  <c r="K1871" i="2" a="1"/>
  <c r="K1871" i="2" s="1"/>
  <c r="K1880" i="2" a="1"/>
  <c r="K1880" i="2" s="1"/>
  <c r="K1890" i="2" a="1"/>
  <c r="K1890" i="2" s="1"/>
  <c r="K1914" i="2" a="1"/>
  <c r="K1914" i="2" s="1"/>
  <c r="K1924" i="2" a="1"/>
  <c r="K1924" i="2" s="1"/>
  <c r="K1932" i="2" a="1"/>
  <c r="K1932" i="2" s="1"/>
  <c r="K1940" i="2" a="1"/>
  <c r="K1940" i="2" s="1"/>
  <c r="K1949" i="2" a="1"/>
  <c r="K1949" i="2" s="1"/>
  <c r="K1959" i="2" a="1"/>
  <c r="K1959" i="2" s="1"/>
  <c r="K1969" i="2" a="1"/>
  <c r="K1969" i="2" s="1"/>
  <c r="K1977" i="2" a="1"/>
  <c r="K1977" i="2" s="1"/>
  <c r="K1985" i="2" a="1"/>
  <c r="K1985" i="2" s="1"/>
  <c r="K1994" i="2" a="1"/>
  <c r="K1994" i="2" s="1"/>
  <c r="K2003" i="2" a="1"/>
  <c r="K2003" i="2" s="1"/>
  <c r="K99" i="2" a="1"/>
  <c r="K99" i="2" s="1"/>
  <c r="K431" i="2" a="1"/>
  <c r="K431" i="2" s="1"/>
  <c r="K611" i="2" a="1"/>
  <c r="K611" i="2" s="1"/>
  <c r="K744" i="2" a="1"/>
  <c r="K744" i="2" s="1"/>
  <c r="K832" i="2" a="1"/>
  <c r="K832" i="2" s="1"/>
  <c r="K893" i="2" a="1"/>
  <c r="K893" i="2" s="1"/>
  <c r="K950" i="2" a="1"/>
  <c r="K950" i="2" s="1"/>
  <c r="K996" i="2" a="1"/>
  <c r="K996" i="2" s="1"/>
  <c r="K1119" i="2" a="1"/>
  <c r="K1119" i="2" s="1"/>
  <c r="K1176" i="2" a="1"/>
  <c r="K1176" i="2" s="1"/>
  <c r="K1221" i="2" a="1"/>
  <c r="K1221" i="2" s="1"/>
  <c r="K1265" i="2" a="1"/>
  <c r="K1265" i="2" s="1"/>
  <c r="K1308" i="2" a="1"/>
  <c r="K1308" i="2" s="1"/>
  <c r="K1338" i="2" a="1"/>
  <c r="K1338" i="2" s="1"/>
  <c r="K1358" i="2" a="1"/>
  <c r="K1358" i="2" s="1"/>
  <c r="K1391" i="2" a="1"/>
  <c r="K1391" i="2" s="1"/>
  <c r="K1417" i="2" a="1"/>
  <c r="K1417" i="2" s="1"/>
  <c r="K1436" i="2" a="1"/>
  <c r="K1436" i="2" s="1"/>
  <c r="K1446" i="2" a="1"/>
  <c r="K1446" i="2" s="1"/>
  <c r="K1462" i="2" a="1"/>
  <c r="K1462" i="2" s="1"/>
  <c r="K1471" i="2" a="1"/>
  <c r="K1471" i="2" s="1"/>
  <c r="K1481" i="2" a="1"/>
  <c r="K1481" i="2" s="1"/>
  <c r="K1489" i="2" a="1"/>
  <c r="K1489" i="2" s="1"/>
  <c r="K1497" i="2" a="1"/>
  <c r="K1497" i="2" s="1"/>
  <c r="K1507" i="2" a="1"/>
  <c r="K1507" i="2" s="1"/>
  <c r="K1523" i="2" a="1"/>
  <c r="K1523" i="2" s="1"/>
  <c r="K1541" i="2" a="1"/>
  <c r="K1541" i="2" s="1"/>
  <c r="K1558" i="2" a="1"/>
  <c r="K1558" i="2" s="1"/>
  <c r="K1568" i="2" a="1"/>
  <c r="K1568" i="2" s="1"/>
  <c r="K1586" i="2" a="1"/>
  <c r="K1586" i="2" s="1"/>
  <c r="K1613" i="2" a="1"/>
  <c r="K1613" i="2" s="1"/>
  <c r="K1631" i="2" a="1"/>
  <c r="K1631" i="2" s="1"/>
  <c r="K1649" i="2" a="1"/>
  <c r="K1649" i="2" s="1"/>
  <c r="K1667" i="2" a="1"/>
  <c r="K1667" i="2" s="1"/>
  <c r="K1676" i="2" a="1"/>
  <c r="K1676" i="2" s="1"/>
  <c r="K1686" i="2" a="1"/>
  <c r="K1686" i="2" s="1"/>
  <c r="K1694" i="2" a="1"/>
  <c r="K1694" i="2" s="1"/>
  <c r="K1704" i="2" a="1"/>
  <c r="K1704" i="2" s="1"/>
  <c r="K1713" i="2" a="1"/>
  <c r="K1713" i="2" s="1"/>
  <c r="K1722" i="2" a="1"/>
  <c r="K1722" i="2" s="1"/>
  <c r="K1731" i="2" a="1"/>
  <c r="K1731" i="2" s="1"/>
  <c r="K1740" i="2" a="1"/>
  <c r="K1740" i="2" s="1"/>
  <c r="K1749" i="2" a="1"/>
  <c r="K1749" i="2" s="1"/>
  <c r="K1759" i="2" a="1"/>
  <c r="K1759" i="2" s="1"/>
  <c r="K1767" i="2" a="1"/>
  <c r="K1767" i="2" s="1"/>
  <c r="K1777" i="2" a="1"/>
  <c r="K1777" i="2" s="1"/>
  <c r="K1786" i="2" a="1"/>
  <c r="K1786" i="2" s="1"/>
  <c r="K1795" i="2" a="1"/>
  <c r="K1795" i="2" s="1"/>
  <c r="K1805" i="2" a="1"/>
  <c r="K1805" i="2" s="1"/>
  <c r="K1823" i="2" a="1"/>
  <c r="K1823" i="2" s="1"/>
  <c r="K1832" i="2" a="1"/>
  <c r="K1832" i="2" s="1"/>
  <c r="K1841" i="2" a="1"/>
  <c r="K1841" i="2" s="1"/>
  <c r="K100" i="2" a="1"/>
  <c r="K100" i="2" s="1"/>
  <c r="K434" i="2" a="1"/>
  <c r="K434" i="2" s="1"/>
  <c r="K612" i="2" a="1"/>
  <c r="K612" i="2" s="1"/>
  <c r="K749" i="2" a="1"/>
  <c r="K749" i="2" s="1"/>
  <c r="K951" i="2" a="1"/>
  <c r="K951" i="2" s="1"/>
  <c r="K997" i="2" a="1"/>
  <c r="K997" i="2" s="1"/>
  <c r="K1054" i="2" a="1"/>
  <c r="K1054" i="2" s="1"/>
  <c r="K1120" i="2" a="1"/>
  <c r="K1120" i="2" s="1"/>
  <c r="K1185" i="2" a="1"/>
  <c r="K1185" i="2" s="1"/>
  <c r="K1230" i="2" a="1"/>
  <c r="K1230" i="2" s="1"/>
  <c r="K1275" i="2" a="1"/>
  <c r="K1275" i="2" s="1"/>
  <c r="K1309" i="2" a="1"/>
  <c r="K1309" i="2" s="1"/>
  <c r="K1341" i="2" a="1"/>
  <c r="K1341" i="2" s="1"/>
  <c r="K1359" i="2" a="1"/>
  <c r="K1359" i="2" s="1"/>
  <c r="K1378" i="2" a="1"/>
  <c r="K1378" i="2" s="1"/>
  <c r="K1392" i="2" a="1"/>
  <c r="K1392" i="2" s="1"/>
  <c r="K1406" i="2" a="1"/>
  <c r="K1406" i="2" s="1"/>
  <c r="K1418" i="2" a="1"/>
  <c r="K1418" i="2" s="1"/>
  <c r="K1427" i="2" a="1"/>
  <c r="K1427" i="2" s="1"/>
  <c r="K1437" i="2" a="1"/>
  <c r="K1437" i="2" s="1"/>
  <c r="K1454" i="2" a="1"/>
  <c r="K1454" i="2" s="1"/>
  <c r="K1482" i="2" a="1"/>
  <c r="K1482" i="2" s="1"/>
  <c r="K1498" i="2" a="1"/>
  <c r="K1498" i="2" s="1"/>
  <c r="K1516" i="2" a="1"/>
  <c r="K1516" i="2" s="1"/>
  <c r="K1524" i="2" a="1"/>
  <c r="K1524" i="2" s="1"/>
  <c r="K1532" i="2" a="1"/>
  <c r="K1532" i="2" s="1"/>
  <c r="K1542" i="2" a="1"/>
  <c r="K1542" i="2" s="1"/>
  <c r="K1550" i="2" a="1"/>
  <c r="K1550" i="2" s="1"/>
  <c r="K1559" i="2" a="1"/>
  <c r="K1559" i="2" s="1"/>
  <c r="K1577" i="2" a="1"/>
  <c r="K1577" i="2" s="1"/>
  <c r="K1595" i="2" a="1"/>
  <c r="K1595" i="2" s="1"/>
  <c r="K1604" i="2" a="1"/>
  <c r="K1604" i="2" s="1"/>
  <c r="K1614" i="2" a="1"/>
  <c r="K1614" i="2" s="1"/>
  <c r="K1622" i="2" a="1"/>
  <c r="K1622" i="2" s="1"/>
  <c r="K1632" i="2" a="1"/>
  <c r="K1632" i="2" s="1"/>
  <c r="K1641" i="2" a="1"/>
  <c r="K1641" i="2" s="1"/>
  <c r="K1650" i="2" a="1"/>
  <c r="K1650" i="2" s="1"/>
  <c r="K1659" i="2" a="1"/>
  <c r="K1659" i="2" s="1"/>
  <c r="K1668" i="2" a="1"/>
  <c r="K1668" i="2" s="1"/>
  <c r="K1677" i="2" a="1"/>
  <c r="K1677" i="2" s="1"/>
  <c r="K1687" i="2" a="1"/>
  <c r="K1687" i="2" s="1"/>
  <c r="K1695" i="2" a="1"/>
  <c r="K1695" i="2" s="1"/>
  <c r="K1705" i="2" a="1"/>
  <c r="K1705" i="2" s="1"/>
  <c r="K1714" i="2" a="1"/>
  <c r="K1714" i="2" s="1"/>
  <c r="K1723" i="2" a="1"/>
  <c r="K1723" i="2" s="1"/>
  <c r="K1732" i="2" a="1"/>
  <c r="K1732" i="2" s="1"/>
  <c r="K1741" i="2" a="1"/>
  <c r="K1741" i="2" s="1"/>
  <c r="K1750" i="2" a="1"/>
  <c r="K1750" i="2" s="1"/>
  <c r="K1768" i="2" a="1"/>
  <c r="K1768" i="2" s="1"/>
  <c r="K1778" i="2" a="1"/>
  <c r="K1778" i="2" s="1"/>
  <c r="K1796" i="2" a="1"/>
  <c r="K1796" i="2" s="1"/>
  <c r="K1806" i="2" a="1"/>
  <c r="K1806" i="2" s="1"/>
  <c r="K1814" i="2" a="1"/>
  <c r="K1814" i="2" s="1"/>
  <c r="K1824" i="2" a="1"/>
  <c r="K1824" i="2" s="1"/>
  <c r="K1842" i="2" a="1"/>
  <c r="K1842" i="2" s="1"/>
  <c r="K1853" i="2" a="1"/>
  <c r="K1853" i="2" s="1"/>
  <c r="K1862" i="2" a="1"/>
  <c r="K1862" i="2" s="1"/>
  <c r="K156" i="2" a="1"/>
  <c r="K156" i="2" s="1"/>
  <c r="K474" i="2" a="1"/>
  <c r="K474" i="2" s="1"/>
  <c r="K638" i="2" a="1"/>
  <c r="K638" i="2" s="1"/>
  <c r="K765" i="2" a="1"/>
  <c r="K765" i="2" s="1"/>
  <c r="K960" i="2" a="1"/>
  <c r="K960" i="2" s="1"/>
  <c r="K1005" i="2" a="1"/>
  <c r="K1005" i="2" s="1"/>
  <c r="K1064" i="2" a="1"/>
  <c r="K1064" i="2" s="1"/>
  <c r="K1130" i="2" a="1"/>
  <c r="K1130" i="2" s="1"/>
  <c r="K1186" i="2" a="1"/>
  <c r="K1186" i="2" s="1"/>
  <c r="K1231" i="2" a="1"/>
  <c r="K1231" i="2" s="1"/>
  <c r="K1276" i="2" a="1"/>
  <c r="K1276" i="2" s="1"/>
  <c r="K1310" i="2" a="1"/>
  <c r="K1310" i="2" s="1"/>
  <c r="K1360" i="2" a="1"/>
  <c r="K1360" i="2" s="1"/>
  <c r="K1381" i="2" a="1"/>
  <c r="K1381" i="2" s="1"/>
  <c r="K1393" i="2" a="1"/>
  <c r="K1393" i="2" s="1"/>
  <c r="K1407" i="2" a="1"/>
  <c r="K1407" i="2" s="1"/>
  <c r="K1428" i="2" a="1"/>
  <c r="K1428" i="2" s="1"/>
  <c r="K1438" i="2" a="1"/>
  <c r="K1438" i="2" s="1"/>
  <c r="K1447" i="2" a="1"/>
  <c r="K1447" i="2" s="1"/>
  <c r="K1455" i="2" a="1"/>
  <c r="K1455" i="2" s="1"/>
  <c r="K1463" i="2" a="1"/>
  <c r="K1463" i="2" s="1"/>
  <c r="K1472" i="2" a="1"/>
  <c r="K1472" i="2" s="1"/>
  <c r="K1490" i="2" a="1"/>
  <c r="K1490" i="2" s="1"/>
  <c r="K1508" i="2" a="1"/>
  <c r="K1508" i="2" s="1"/>
  <c r="K1525" i="2" a="1"/>
  <c r="K1525" i="2" s="1"/>
  <c r="K1533" i="2" a="1"/>
  <c r="K1533" i="2" s="1"/>
  <c r="K1543" i="2" a="1"/>
  <c r="K1543" i="2" s="1"/>
  <c r="K1560" i="2" a="1"/>
  <c r="K1560" i="2" s="1"/>
  <c r="K1569" i="2" a="1"/>
  <c r="K1569" i="2" s="1"/>
  <c r="K1578" i="2" a="1"/>
  <c r="K1578" i="2" s="1"/>
  <c r="K1587" i="2" a="1"/>
  <c r="K1587" i="2" s="1"/>
  <c r="K1596" i="2" a="1"/>
  <c r="K1596" i="2" s="1"/>
  <c r="K1605" i="2" a="1"/>
  <c r="K1605" i="2" s="1"/>
  <c r="K1615" i="2" a="1"/>
  <c r="K1615" i="2" s="1"/>
  <c r="K1623" i="2" a="1"/>
  <c r="K1623" i="2" s="1"/>
  <c r="K1633" i="2" a="1"/>
  <c r="K1633" i="2" s="1"/>
  <c r="K1642" i="2" a="1"/>
  <c r="K1642" i="2" s="1"/>
  <c r="K1651" i="2" a="1"/>
  <c r="K1651" i="2" s="1"/>
  <c r="K1660" i="2" a="1"/>
  <c r="K1660" i="2" s="1"/>
  <c r="K1669" i="2" a="1"/>
  <c r="K1669" i="2" s="1"/>
  <c r="K1678" i="2" a="1"/>
  <c r="K1678" i="2" s="1"/>
  <c r="K1696" i="2" a="1"/>
  <c r="K1696" i="2" s="1"/>
  <c r="K1706" i="2" a="1"/>
  <c r="K1706" i="2" s="1"/>
  <c r="K1733" i="2" a="1"/>
  <c r="K1733" i="2" s="1"/>
  <c r="K1751" i="2" a="1"/>
  <c r="K1751" i="2" s="1"/>
  <c r="K1760" i="2" a="1"/>
  <c r="K1760" i="2" s="1"/>
  <c r="K1787" i="2" a="1"/>
  <c r="K1787" i="2" s="1"/>
  <c r="K1797" i="2" a="1"/>
  <c r="K1797" i="2" s="1"/>
  <c r="K1807" i="2" a="1"/>
  <c r="K1807" i="2" s="1"/>
  <c r="K1815" i="2" a="1"/>
  <c r="K1815" i="2" s="1"/>
  <c r="K1825" i="2" a="1"/>
  <c r="K1825" i="2" s="1"/>
  <c r="K1833" i="2" a="1"/>
  <c r="K1833" i="2" s="1"/>
  <c r="K1843" i="2" a="1"/>
  <c r="K1843" i="2" s="1"/>
  <c r="K1854" i="2" a="1"/>
  <c r="K1854" i="2" s="1"/>
  <c r="K1863" i="2" a="1"/>
  <c r="K1863" i="2" s="1"/>
  <c r="K157" i="2" a="1"/>
  <c r="K157" i="2" s="1"/>
  <c r="K478" i="2" a="1"/>
  <c r="K478" i="2" s="1"/>
  <c r="K640" i="2" a="1"/>
  <c r="K640" i="2" s="1"/>
  <c r="K767" i="2" a="1"/>
  <c r="K767" i="2" s="1"/>
  <c r="K844" i="2" a="1"/>
  <c r="K844" i="2" s="1"/>
  <c r="K904" i="2" a="1"/>
  <c r="K904" i="2" s="1"/>
  <c r="K961" i="2" a="1"/>
  <c r="K961" i="2" s="1"/>
  <c r="K1065" i="2" a="1"/>
  <c r="K1065" i="2" s="1"/>
  <c r="K1131" i="2" a="1"/>
  <c r="K1131" i="2" s="1"/>
  <c r="K1232" i="2" a="1"/>
  <c r="K1232" i="2" s="1"/>
  <c r="K1318" i="2" a="1"/>
  <c r="K1318" i="2" s="1"/>
  <c r="K1342" i="2" a="1"/>
  <c r="K1342" i="2" s="1"/>
  <c r="K1365" i="2" a="1"/>
  <c r="K1365" i="2" s="1"/>
  <c r="K1382" i="2" a="1"/>
  <c r="K1382" i="2" s="1"/>
  <c r="K1408" i="2" a="1"/>
  <c r="K1408" i="2" s="1"/>
  <c r="K1420" i="2" a="1"/>
  <c r="K1420" i="2" s="1"/>
  <c r="K1429" i="2" a="1"/>
  <c r="K1429" i="2" s="1"/>
  <c r="K1439" i="2" a="1"/>
  <c r="K1439" i="2" s="1"/>
  <c r="K1464" i="2" a="1"/>
  <c r="K1464" i="2" s="1"/>
  <c r="K1473" i="2" a="1"/>
  <c r="K1473" i="2" s="1"/>
  <c r="K1483" i="2" a="1"/>
  <c r="K1483" i="2" s="1"/>
  <c r="K1491" i="2" a="1"/>
  <c r="K1491" i="2" s="1"/>
  <c r="K1499" i="2" a="1"/>
  <c r="K1499" i="2" s="1"/>
  <c r="K1509" i="2" a="1"/>
  <c r="K1509" i="2" s="1"/>
  <c r="K1517" i="2" a="1"/>
  <c r="K1517" i="2" s="1"/>
  <c r="K1534" i="2" a="1"/>
  <c r="K1534" i="2" s="1"/>
  <c r="K1551" i="2" a="1"/>
  <c r="K1551" i="2" s="1"/>
  <c r="K1561" i="2" a="1"/>
  <c r="K1561" i="2" s="1"/>
  <c r="K1570" i="2" a="1"/>
  <c r="K1570" i="2" s="1"/>
  <c r="K1579" i="2" a="1"/>
  <c r="K1579" i="2" s="1"/>
  <c r="K1588" i="2" a="1"/>
  <c r="K1588" i="2" s="1"/>
  <c r="K1597" i="2" a="1"/>
  <c r="K1597" i="2" s="1"/>
  <c r="K1606" i="2" a="1"/>
  <c r="K1606" i="2" s="1"/>
  <c r="K1624" i="2" a="1"/>
  <c r="K1624" i="2" s="1"/>
  <c r="K1634" i="2" a="1"/>
  <c r="K1634" i="2" s="1"/>
  <c r="K1661" i="2" a="1"/>
  <c r="K1661" i="2" s="1"/>
  <c r="K1679" i="2" a="1"/>
  <c r="K1679" i="2" s="1"/>
  <c r="K1688" i="2" a="1"/>
  <c r="K1688" i="2" s="1"/>
  <c r="K1715" i="2" a="1"/>
  <c r="K1715" i="2" s="1"/>
  <c r="K1724" i="2" a="1"/>
  <c r="K1724" i="2" s="1"/>
  <c r="K1734" i="2" a="1"/>
  <c r="K1734" i="2" s="1"/>
  <c r="K1742" i="2" a="1"/>
  <c r="K1742" i="2" s="1"/>
  <c r="K1752" i="2" a="1"/>
  <c r="K1752" i="2" s="1"/>
  <c r="K1769" i="2" a="1"/>
  <c r="K1769" i="2" s="1"/>
  <c r="K1779" i="2" a="1"/>
  <c r="K1779" i="2" s="1"/>
  <c r="K1788" i="2" a="1"/>
  <c r="K1788" i="2" s="1"/>
  <c r="K1196" i="2" a="1"/>
  <c r="K1196" i="2" s="1"/>
  <c r="K1448" i="2" a="1"/>
  <c r="K1448" i="2" s="1"/>
  <c r="K1500" i="2" a="1"/>
  <c r="K1500" i="2" s="1"/>
  <c r="K1552" i="2" a="1"/>
  <c r="K1552" i="2" s="1"/>
  <c r="K1607" i="2" a="1"/>
  <c r="K1607" i="2" s="1"/>
  <c r="K1662" i="2" a="1"/>
  <c r="K1662" i="2" s="1"/>
  <c r="K1716" i="2" a="1"/>
  <c r="K1716" i="2" s="1"/>
  <c r="K1770" i="2" a="1"/>
  <c r="K1770" i="2" s="1"/>
  <c r="K1816" i="2" a="1"/>
  <c r="K1816" i="2" s="1"/>
  <c r="K1845" i="2" a="1"/>
  <c r="K1845" i="2" s="1"/>
  <c r="K1867" i="2" a="1"/>
  <c r="K1867" i="2" s="1"/>
  <c r="K1882" i="2" a="1"/>
  <c r="K1882" i="2" s="1"/>
  <c r="K1894" i="2" a="1"/>
  <c r="K1894" i="2" s="1"/>
  <c r="K1916" i="2" a="1"/>
  <c r="K1916" i="2" s="1"/>
  <c r="K1950" i="2" a="1"/>
  <c r="K1950" i="2" s="1"/>
  <c r="K1963" i="2" a="1"/>
  <c r="K1963" i="2" s="1"/>
  <c r="K1986" i="2" a="1"/>
  <c r="K1986" i="2" s="1"/>
  <c r="K2016" i="2" a="1"/>
  <c r="K2016" i="2" s="1"/>
  <c r="K2024" i="2" a="1"/>
  <c r="K2024" i="2" s="1"/>
  <c r="K2042" i="2" a="1"/>
  <c r="K2042" i="2" s="1"/>
  <c r="K2050" i="2" a="1"/>
  <c r="K2050" i="2" s="1"/>
  <c r="K2058" i="2" a="1"/>
  <c r="K2058" i="2" s="1"/>
  <c r="K2078" i="2" a="1"/>
  <c r="K2078" i="2" s="1"/>
  <c r="K2092" i="2" a="1"/>
  <c r="K2092" i="2" s="1"/>
  <c r="K2107" i="2" a="1"/>
  <c r="K2107" i="2" s="1"/>
  <c r="K2122" i="2" a="1"/>
  <c r="K2122" i="2" s="1"/>
  <c r="K2130" i="2" a="1"/>
  <c r="K2130" i="2" s="1"/>
  <c r="K2138" i="2" a="1"/>
  <c r="K2138" i="2" s="1"/>
  <c r="K2156" i="2" a="1"/>
  <c r="K2156" i="2" s="1"/>
  <c r="K2165" i="2" a="1"/>
  <c r="K2165" i="2" s="1"/>
  <c r="K2175" i="2" a="1"/>
  <c r="K2175" i="2" s="1"/>
  <c r="K2183" i="2" a="1"/>
  <c r="K2183" i="2" s="1"/>
  <c r="K2191" i="2" a="1"/>
  <c r="K2191" i="2" s="1"/>
  <c r="K2209" i="2" a="1"/>
  <c r="K2209" i="2" s="1"/>
  <c r="K2218" i="2" a="1"/>
  <c r="K2218" i="2" s="1"/>
  <c r="K2226" i="2" a="1"/>
  <c r="K2226" i="2" s="1"/>
  <c r="K2236" i="2" a="1"/>
  <c r="K2236" i="2" s="1"/>
  <c r="K2245" i="2" a="1"/>
  <c r="K2245" i="2" s="1"/>
  <c r="K2270" i="2" a="1"/>
  <c r="K2270" i="2" s="1"/>
  <c r="K2279" i="2" a="1"/>
  <c r="K2279" i="2" s="1"/>
  <c r="K2288" i="2" a="1"/>
  <c r="K2288" i="2" s="1"/>
  <c r="K2296" i="2" a="1"/>
  <c r="K2296" i="2" s="1"/>
  <c r="K2306" i="2" a="1"/>
  <c r="K2306" i="2" s="1"/>
  <c r="K2314" i="2" a="1"/>
  <c r="K2314" i="2" s="1"/>
  <c r="K2322" i="2" a="1"/>
  <c r="K2322" i="2" s="1"/>
  <c r="K2341" i="2" a="1"/>
  <c r="K2341" i="2" s="1"/>
  <c r="K2349" i="2" a="1"/>
  <c r="K2349" i="2" s="1"/>
  <c r="K2375" i="2" a="1"/>
  <c r="K2375" i="2" s="1"/>
  <c r="K2384" i="2" a="1"/>
  <c r="K2384" i="2" s="1"/>
  <c r="K2402" i="2" a="1"/>
  <c r="K2402" i="2" s="1"/>
  <c r="K2410" i="2" a="1"/>
  <c r="K2410" i="2" s="1"/>
  <c r="K2418" i="2" a="1"/>
  <c r="K2418" i="2" s="1"/>
  <c r="K2427" i="2" a="1"/>
  <c r="K2427" i="2" s="1"/>
  <c r="K2437" i="2" a="1"/>
  <c r="K2437" i="2" s="1"/>
  <c r="K2445" i="2" a="1"/>
  <c r="K2445" i="2" s="1"/>
  <c r="K2455" i="2" a="1"/>
  <c r="K2455" i="2" s="1"/>
  <c r="K2463" i="2" a="1"/>
  <c r="K2463" i="2" s="1"/>
  <c r="K2472" i="2" a="1"/>
  <c r="K2472" i="2" s="1"/>
  <c r="K2481" i="2" a="1"/>
  <c r="K2481" i="2" s="1"/>
  <c r="K2488" i="2" a="1"/>
  <c r="K2488" i="2" s="1"/>
  <c r="K2506" i="2" a="1"/>
  <c r="K2506" i="2" s="1"/>
  <c r="K2514" i="2" a="1"/>
  <c r="K2514" i="2" s="1"/>
  <c r="K2524" i="2" a="1"/>
  <c r="K2524" i="2" s="1"/>
  <c r="K2533" i="2" a="1"/>
  <c r="K2533" i="2" s="1"/>
  <c r="K853" i="2" a="1"/>
  <c r="K853" i="2" s="1"/>
  <c r="K1197" i="2" a="1"/>
  <c r="K1197" i="2" s="1"/>
  <c r="K1384" i="2" a="1"/>
  <c r="K1384" i="2" s="1"/>
  <c r="K1449" i="2" a="1"/>
  <c r="K1449" i="2" s="1"/>
  <c r="K1501" i="2" a="1"/>
  <c r="K1501" i="2" s="1"/>
  <c r="K1608" i="2" a="1"/>
  <c r="K1608" i="2" s="1"/>
  <c r="K1663" i="2" a="1"/>
  <c r="K1663" i="2" s="1"/>
  <c r="K1717" i="2" a="1"/>
  <c r="K1717" i="2" s="1"/>
  <c r="K1771" i="2" a="1"/>
  <c r="K1771" i="2" s="1"/>
  <c r="K1846" i="2" a="1"/>
  <c r="K1846" i="2" s="1"/>
  <c r="K1870" i="2" a="1"/>
  <c r="K1870" i="2" s="1"/>
  <c r="K1906" i="2" a="1"/>
  <c r="K1906" i="2" s="1"/>
  <c r="K1917" i="2" a="1"/>
  <c r="K1917" i="2" s="1"/>
  <c r="K1928" i="2" a="1"/>
  <c r="K1928" i="2" s="1"/>
  <c r="K1939" i="2" a="1"/>
  <c r="K1939" i="2" s="1"/>
  <c r="K1951" i="2" a="1"/>
  <c r="K1951" i="2" s="1"/>
  <c r="K1987" i="2" a="1"/>
  <c r="K1987" i="2" s="1"/>
  <c r="K1998" i="2" a="1"/>
  <c r="K1998" i="2" s="1"/>
  <c r="K2009" i="2" a="1"/>
  <c r="K2009" i="2" s="1"/>
  <c r="K2017" i="2" a="1"/>
  <c r="K2017" i="2" s="1"/>
  <c r="K2025" i="2" a="1"/>
  <c r="K2025" i="2" s="1"/>
  <c r="K2034" i="2" a="1"/>
  <c r="K2034" i="2" s="1"/>
  <c r="K2059" i="2" a="1"/>
  <c r="K2059" i="2" s="1"/>
  <c r="K2069" i="2" a="1"/>
  <c r="K2069" i="2" s="1"/>
  <c r="K2085" i="2" a="1"/>
  <c r="K2085" i="2" s="1"/>
  <c r="K2100" i="2" a="1"/>
  <c r="K2100" i="2" s="1"/>
  <c r="K2108" i="2" a="1"/>
  <c r="K2108" i="2" s="1"/>
  <c r="K2115" i="2" a="1"/>
  <c r="K2115" i="2" s="1"/>
  <c r="K2123" i="2" a="1"/>
  <c r="K2123" i="2" s="1"/>
  <c r="K2131" i="2" a="1"/>
  <c r="K2131" i="2" s="1"/>
  <c r="K2148" i="2" a="1"/>
  <c r="K2148" i="2" s="1"/>
  <c r="K2157" i="2" a="1"/>
  <c r="K2157" i="2" s="1"/>
  <c r="K2166" i="2" a="1"/>
  <c r="K2166" i="2" s="1"/>
  <c r="K2176" i="2" a="1"/>
  <c r="K2176" i="2" s="1"/>
  <c r="K2184" i="2" a="1"/>
  <c r="K2184" i="2" s="1"/>
  <c r="K2192" i="2" a="1"/>
  <c r="K2192" i="2" s="1"/>
  <c r="K2200" i="2" a="1"/>
  <c r="K2200" i="2" s="1"/>
  <c r="K2219" i="2" a="1"/>
  <c r="K2219" i="2" s="1"/>
  <c r="K2227" i="2" a="1"/>
  <c r="K2227" i="2" s="1"/>
  <c r="K2253" i="2" a="1"/>
  <c r="K2253" i="2" s="1"/>
  <c r="K2262" i="2" a="1"/>
  <c r="K2262" i="2" s="1"/>
  <c r="K2280" i="2" a="1"/>
  <c r="K2280" i="2" s="1"/>
  <c r="K2289" i="2" a="1"/>
  <c r="K2289" i="2" s="1"/>
  <c r="K2297" i="2" a="1"/>
  <c r="K2297" i="2" s="1"/>
  <c r="K2307" i="2" a="1"/>
  <c r="K2307" i="2" s="1"/>
  <c r="K2315" i="2" a="1"/>
  <c r="K2315" i="2" s="1"/>
  <c r="K2323" i="2" a="1"/>
  <c r="K2323" i="2" s="1"/>
  <c r="K2332" i="2" a="1"/>
  <c r="K2332" i="2" s="1"/>
  <c r="K2350" i="2" a="1"/>
  <c r="K2350" i="2" s="1"/>
  <c r="K2357" i="2" a="1"/>
  <c r="K2357" i="2" s="1"/>
  <c r="K2367" i="2" a="1"/>
  <c r="K2367" i="2" s="1"/>
  <c r="K2376" i="2" a="1"/>
  <c r="K2376" i="2" s="1"/>
  <c r="K913" i="2" a="1"/>
  <c r="K913" i="2" s="1"/>
  <c r="K1394" i="2" a="1"/>
  <c r="K1394" i="2" s="1"/>
  <c r="K1456" i="2" a="1"/>
  <c r="K1456" i="2" s="1"/>
  <c r="K1510" i="2" a="1"/>
  <c r="K1510" i="2" s="1"/>
  <c r="K1562" i="2" a="1"/>
  <c r="K1562" i="2" s="1"/>
  <c r="K1616" i="2" a="1"/>
  <c r="K1616" i="2" s="1"/>
  <c r="K1670" i="2" a="1"/>
  <c r="K1670" i="2" s="1"/>
  <c r="K1725" i="2" a="1"/>
  <c r="K1725" i="2" s="1"/>
  <c r="K1780" i="2" a="1"/>
  <c r="K1780" i="2" s="1"/>
  <c r="K1817" i="2" a="1"/>
  <c r="K1817" i="2" s="1"/>
  <c r="K1872" i="2" a="1"/>
  <c r="K1872" i="2" s="1"/>
  <c r="K1883" i="2" a="1"/>
  <c r="K1883" i="2" s="1"/>
  <c r="K1896" i="2" a="1"/>
  <c r="K1896" i="2" s="1"/>
  <c r="K1907" i="2" a="1"/>
  <c r="K1907" i="2" s="1"/>
  <c r="K1918" i="2" a="1"/>
  <c r="K1918" i="2" s="1"/>
  <c r="K1930" i="2" a="1"/>
  <c r="K1930" i="2" s="1"/>
  <c r="K1952" i="2" a="1"/>
  <c r="K1952" i="2" s="1"/>
  <c r="K1965" i="2" a="1"/>
  <c r="K1965" i="2" s="1"/>
  <c r="K1978" i="2" a="1"/>
  <c r="K1978" i="2" s="1"/>
  <c r="K2010" i="2" a="1"/>
  <c r="K2010" i="2" s="1"/>
  <c r="K2026" i="2" a="1"/>
  <c r="K2026" i="2" s="1"/>
  <c r="K2035" i="2" a="1"/>
  <c r="K2035" i="2" s="1"/>
  <c r="K2043" i="2" a="1"/>
  <c r="K2043" i="2" s="1"/>
  <c r="K2051" i="2" a="1"/>
  <c r="K2051" i="2" s="1"/>
  <c r="K2060" i="2" a="1"/>
  <c r="K2060" i="2" s="1"/>
  <c r="K2070" i="2" a="1"/>
  <c r="K2070" i="2" s="1"/>
  <c r="K2079" i="2" a="1"/>
  <c r="K2079" i="2" s="1"/>
  <c r="K2093" i="2" a="1"/>
  <c r="K2093" i="2" s="1"/>
  <c r="K2101" i="2" a="1"/>
  <c r="K2101" i="2" s="1"/>
  <c r="K2116" i="2" a="1"/>
  <c r="K2116" i="2" s="1"/>
  <c r="K2124" i="2" a="1"/>
  <c r="K2124" i="2" s="1"/>
  <c r="K2132" i="2" a="1"/>
  <c r="K2132" i="2" s="1"/>
  <c r="K2139" i="2" a="1"/>
  <c r="K2139" i="2" s="1"/>
  <c r="K2149" i="2" a="1"/>
  <c r="K2149" i="2" s="1"/>
  <c r="K2158" i="2" a="1"/>
  <c r="K2158" i="2" s="1"/>
  <c r="K2167" i="2" a="1"/>
  <c r="K2167" i="2" s="1"/>
  <c r="K2185" i="2" a="1"/>
  <c r="K2185" i="2" s="1"/>
  <c r="K2193" i="2" a="1"/>
  <c r="K2193" i="2" s="1"/>
  <c r="K2210" i="2" a="1"/>
  <c r="K2210" i="2" s="1"/>
  <c r="K2237" i="2" a="1"/>
  <c r="K2237" i="2" s="1"/>
  <c r="K2246" i="2" a="1"/>
  <c r="K2246" i="2" s="1"/>
  <c r="K2254" i="2" a="1"/>
  <c r="K2254" i="2" s="1"/>
  <c r="K2263" i="2" a="1"/>
  <c r="K2263" i="2" s="1"/>
  <c r="K2271" i="2" a="1"/>
  <c r="K2271" i="2" s="1"/>
  <c r="K2281" i="2" a="1"/>
  <c r="K2281" i="2" s="1"/>
  <c r="K2316" i="2" a="1"/>
  <c r="K2316" i="2" s="1"/>
  <c r="K2324" i="2" a="1"/>
  <c r="K2324" i="2" s="1"/>
  <c r="K2333" i="2" a="1"/>
  <c r="K2333" i="2" s="1"/>
  <c r="K2342" i="2" a="1"/>
  <c r="K2342" i="2" s="1"/>
  <c r="K2358" i="2" a="1"/>
  <c r="K2358" i="2" s="1"/>
  <c r="K2377" i="2" a="1"/>
  <c r="K2377" i="2" s="1"/>
  <c r="K2386" i="2" a="1"/>
  <c r="K2386" i="2" s="1"/>
  <c r="K914" i="2" a="1"/>
  <c r="K914" i="2" s="1"/>
  <c r="K1241" i="2" a="1"/>
  <c r="K1241" i="2" s="1"/>
  <c r="K1396" i="2" a="1"/>
  <c r="K1396" i="2" s="1"/>
  <c r="K1457" i="2" a="1"/>
  <c r="K1457" i="2" s="1"/>
  <c r="K1511" i="2" a="1"/>
  <c r="K1511" i="2" s="1"/>
  <c r="K1671" i="2" a="1"/>
  <c r="K1671" i="2" s="1"/>
  <c r="K1726" i="2" a="1"/>
  <c r="K1726" i="2" s="1"/>
  <c r="K1781" i="2" a="1"/>
  <c r="K1781" i="2" s="1"/>
  <c r="K1852" i="2" a="1"/>
  <c r="K1852" i="2" s="1"/>
  <c r="K1873" i="2" a="1"/>
  <c r="K1873" i="2" s="1"/>
  <c r="K1884" i="2" a="1"/>
  <c r="K1884" i="2" s="1"/>
  <c r="K1897" i="2" a="1"/>
  <c r="K1897" i="2" s="1"/>
  <c r="K1941" i="2" a="1"/>
  <c r="K1941" i="2" s="1"/>
  <c r="K1966" i="2" a="1"/>
  <c r="K1966" i="2" s="1"/>
  <c r="K1988" i="2" a="1"/>
  <c r="K1988" i="2" s="1"/>
  <c r="K2000" i="2" a="1"/>
  <c r="K2000" i="2" s="1"/>
  <c r="K2011" i="2" a="1"/>
  <c r="K2011" i="2" s="1"/>
  <c r="K2018" i="2" a="1"/>
  <c r="K2018" i="2" s="1"/>
  <c r="K2044" i="2" a="1"/>
  <c r="K2044" i="2" s="1"/>
  <c r="K2071" i="2" a="1"/>
  <c r="K2071" i="2" s="1"/>
  <c r="K2086" i="2" a="1"/>
  <c r="K2086" i="2" s="1"/>
  <c r="K2094" i="2" a="1"/>
  <c r="K2094" i="2" s="1"/>
  <c r="K2109" i="2" a="1"/>
  <c r="K2109" i="2" s="1"/>
  <c r="K2117" i="2" a="1"/>
  <c r="K2117" i="2" s="1"/>
  <c r="K2125" i="2" a="1"/>
  <c r="K2125" i="2" s="1"/>
  <c r="K2140" i="2" a="1"/>
  <c r="K2140" i="2" s="1"/>
  <c r="K2150" i="2" a="1"/>
  <c r="K2150" i="2" s="1"/>
  <c r="K2177" i="2" a="1"/>
  <c r="K2177" i="2" s="1"/>
  <c r="K2201" i="2" a="1"/>
  <c r="K2201" i="2" s="1"/>
  <c r="K2220" i="2" a="1"/>
  <c r="K2220" i="2" s="1"/>
  <c r="K2228" i="2" a="1"/>
  <c r="K2228" i="2" s="1"/>
  <c r="K2238" i="2" a="1"/>
  <c r="K2238" i="2" s="1"/>
  <c r="K2255" i="2" a="1"/>
  <c r="K2255" i="2" s="1"/>
  <c r="K2264" i="2" a="1"/>
  <c r="K2264" i="2" s="1"/>
  <c r="K2290" i="2" a="1"/>
  <c r="K2290" i="2" s="1"/>
  <c r="K2298" i="2" a="1"/>
  <c r="K2298" i="2" s="1"/>
  <c r="K2308" i="2" a="1"/>
  <c r="K2308" i="2" s="1"/>
  <c r="K2317" i="2" a="1"/>
  <c r="K2317" i="2" s="1"/>
  <c r="K2351" i="2" a="1"/>
  <c r="K2351" i="2" s="1"/>
  <c r="K2359" i="2" a="1"/>
  <c r="K2359" i="2" s="1"/>
  <c r="K2368" i="2" a="1"/>
  <c r="K2368" i="2" s="1"/>
  <c r="K2378" i="2" a="1"/>
  <c r="K2378" i="2" s="1"/>
  <c r="K2387" i="2" a="1"/>
  <c r="K2387" i="2" s="1"/>
  <c r="K2396" i="2" a="1"/>
  <c r="K2396" i="2" s="1"/>
  <c r="K2413" i="2" a="1"/>
  <c r="K2413" i="2" s="1"/>
  <c r="K2421" i="2" a="1"/>
  <c r="K2421" i="2" s="1"/>
  <c r="K2429" i="2" a="1"/>
  <c r="K2429" i="2" s="1"/>
  <c r="K2439" i="2" a="1"/>
  <c r="K2439" i="2" s="1"/>
  <c r="K2448" i="2" a="1"/>
  <c r="K2448" i="2" s="1"/>
  <c r="K2457" i="2" a="1"/>
  <c r="K2457" i="2" s="1"/>
  <c r="K2465" i="2" a="1"/>
  <c r="K2465" i="2" s="1"/>
  <c r="K2474" i="2" a="1"/>
  <c r="K2474" i="2" s="1"/>
  <c r="K2490" i="2" a="1"/>
  <c r="K2490" i="2" s="1"/>
  <c r="K2499" i="2" a="1"/>
  <c r="K2499" i="2" s="1"/>
  <c r="K2508" i="2" a="1"/>
  <c r="K2508" i="2" s="1"/>
  <c r="K2517" i="2" a="1"/>
  <c r="K2517" i="2" s="1"/>
  <c r="K2526" i="2" a="1"/>
  <c r="K2526" i="2" s="1"/>
  <c r="K217" i="2" a="1"/>
  <c r="K217" i="2" s="1"/>
  <c r="K1286" i="2" a="1"/>
  <c r="K1286" i="2" s="1"/>
  <c r="K1410" i="2" a="1"/>
  <c r="K1410" i="2" s="1"/>
  <c r="K1465" i="2" a="1"/>
  <c r="K1465" i="2" s="1"/>
  <c r="K1518" i="2" a="1"/>
  <c r="K1518" i="2" s="1"/>
  <c r="K1680" i="2" a="1"/>
  <c r="K1680" i="2" s="1"/>
  <c r="K1735" i="2" a="1"/>
  <c r="K1735" i="2" s="1"/>
  <c r="K1789" i="2" a="1"/>
  <c r="K1789" i="2" s="1"/>
  <c r="K1826" i="2" a="1"/>
  <c r="K1826" i="2" s="1"/>
  <c r="K1855" i="2" a="1"/>
  <c r="K1855" i="2" s="1"/>
  <c r="K1885" i="2" a="1"/>
  <c r="K1885" i="2" s="1"/>
  <c r="K1898" i="2" a="1"/>
  <c r="K1898" i="2" s="1"/>
  <c r="K1908" i="2" a="1"/>
  <c r="K1908" i="2" s="1"/>
  <c r="K1919" i="2" a="1"/>
  <c r="K1919" i="2" s="1"/>
  <c r="K1942" i="2" a="1"/>
  <c r="K1942" i="2" s="1"/>
  <c r="K1953" i="2" a="1"/>
  <c r="K1953" i="2" s="1"/>
  <c r="K1968" i="2" a="1"/>
  <c r="K1968" i="2" s="1"/>
  <c r="K1979" i="2" a="1"/>
  <c r="K1979" i="2" s="1"/>
  <c r="K1989" i="2" a="1"/>
  <c r="K1989" i="2" s="1"/>
  <c r="K2002" i="2" a="1"/>
  <c r="K2002" i="2" s="1"/>
  <c r="K2027" i="2" a="1"/>
  <c r="K2027" i="2" s="1"/>
  <c r="K2036" i="2" a="1"/>
  <c r="K2036" i="2" s="1"/>
  <c r="K2052" i="2" a="1"/>
  <c r="K2052" i="2" s="1"/>
  <c r="K2061" i="2" a="1"/>
  <c r="K2061" i="2" s="1"/>
  <c r="K2072" i="2" a="1"/>
  <c r="K2072" i="2" s="1"/>
  <c r="K2080" i="2" a="1"/>
  <c r="K2080" i="2" s="1"/>
  <c r="K2095" i="2" a="1"/>
  <c r="K2095" i="2" s="1"/>
  <c r="K2102" i="2" a="1"/>
  <c r="K2102" i="2" s="1"/>
  <c r="K2133" i="2" a="1"/>
  <c r="K2133" i="2" s="1"/>
  <c r="K2159" i="2" a="1"/>
  <c r="K2159" i="2" s="1"/>
  <c r="K2168" i="2" a="1"/>
  <c r="K2168" i="2" s="1"/>
  <c r="K2186" i="2" a="1"/>
  <c r="K2186" i="2" s="1"/>
  <c r="K2194" i="2" a="1"/>
  <c r="K2194" i="2" s="1"/>
  <c r="K2202" i="2" a="1"/>
  <c r="K2202" i="2" s="1"/>
  <c r="K2211" i="2" a="1"/>
  <c r="K2211" i="2" s="1"/>
  <c r="K2221" i="2" a="1"/>
  <c r="K2221" i="2" s="1"/>
  <c r="K2229" i="2" a="1"/>
  <c r="K2229" i="2" s="1"/>
  <c r="K2239" i="2" a="1"/>
  <c r="K2239" i="2" s="1"/>
  <c r="K2247" i="2" a="1"/>
  <c r="K2247" i="2" s="1"/>
  <c r="K2256" i="2" a="1"/>
  <c r="K2256" i="2" s="1"/>
  <c r="K2265" i="2" a="1"/>
  <c r="K2265" i="2" s="1"/>
  <c r="K2272" i="2" a="1"/>
  <c r="K2272" i="2" s="1"/>
  <c r="K2282" i="2" a="1"/>
  <c r="K2282" i="2" s="1"/>
  <c r="K2291" i="2" a="1"/>
  <c r="K2291" i="2" s="1"/>
  <c r="K2299" i="2" a="1"/>
  <c r="K2299" i="2" s="1"/>
  <c r="K2325" i="2" a="1"/>
  <c r="K2325" i="2" s="1"/>
  <c r="K2334" i="2" a="1"/>
  <c r="K2334" i="2" s="1"/>
  <c r="K2343" i="2" a="1"/>
  <c r="K2343" i="2" s="1"/>
  <c r="K2360" i="2" a="1"/>
  <c r="K2360" i="2" s="1"/>
  <c r="K2369" i="2" a="1"/>
  <c r="K2369" i="2" s="1"/>
  <c r="K2379" i="2" a="1"/>
  <c r="K2379" i="2" s="1"/>
  <c r="K2388" i="2" a="1"/>
  <c r="K2388" i="2" s="1"/>
  <c r="K2404" i="2" a="1"/>
  <c r="K2404" i="2" s="1"/>
  <c r="K2422" i="2" a="1"/>
  <c r="K2422" i="2" s="1"/>
  <c r="K2430" i="2" a="1"/>
  <c r="K2430" i="2" s="1"/>
  <c r="K2449" i="2" a="1"/>
  <c r="K2449" i="2" s="1"/>
  <c r="K2458" i="2" a="1"/>
  <c r="K2458" i="2" s="1"/>
  <c r="K2483" i="2" a="1"/>
  <c r="K2483" i="2" s="1"/>
  <c r="K969" i="2" a="1"/>
  <c r="K969" i="2" s="1"/>
  <c r="K1287" i="2" a="1"/>
  <c r="K1287" i="2" s="1"/>
  <c r="K1411" i="2" a="1"/>
  <c r="K1411" i="2" s="1"/>
  <c r="K1519" i="2" a="1"/>
  <c r="K1519" i="2" s="1"/>
  <c r="K1571" i="2" a="1"/>
  <c r="K1571" i="2" s="1"/>
  <c r="K1625" i="2" a="1"/>
  <c r="K1625" i="2" s="1"/>
  <c r="K1681" i="2" a="1"/>
  <c r="K1681" i="2" s="1"/>
  <c r="K1874" i="2" a="1"/>
  <c r="K1874" i="2" s="1"/>
  <c r="K1899" i="2" a="1"/>
  <c r="K1899" i="2" s="1"/>
  <c r="K1909" i="2" a="1"/>
  <c r="K1909" i="2" s="1"/>
  <c r="K1921" i="2" a="1"/>
  <c r="K1921" i="2" s="1"/>
  <c r="K1933" i="2" a="1"/>
  <c r="K1933" i="2" s="1"/>
  <c r="K1955" i="2" a="1"/>
  <c r="K1955" i="2" s="1"/>
  <c r="K1970" i="2" a="1"/>
  <c r="K1970" i="2" s="1"/>
  <c r="K2012" i="2" a="1"/>
  <c r="K2012" i="2" s="1"/>
  <c r="K2019" i="2" a="1"/>
  <c r="K2019" i="2" s="1"/>
  <c r="K2028" i="2" a="1"/>
  <c r="K2028" i="2" s="1"/>
  <c r="K2037" i="2" a="1"/>
  <c r="K2037" i="2" s="1"/>
  <c r="K2045" i="2" a="1"/>
  <c r="K2045" i="2" s="1"/>
  <c r="K2053" i="2" a="1"/>
  <c r="K2053" i="2" s="1"/>
  <c r="K2062" i="2" a="1"/>
  <c r="K2062" i="2" s="1"/>
  <c r="K2087" i="2" a="1"/>
  <c r="K2087" i="2" s="1"/>
  <c r="K2110" i="2" a="1"/>
  <c r="K2110" i="2" s="1"/>
  <c r="K2118" i="2" a="1"/>
  <c r="K2118" i="2" s="1"/>
  <c r="K2126" i="2" a="1"/>
  <c r="K2126" i="2" s="1"/>
  <c r="K2134" i="2" a="1"/>
  <c r="K2134" i="2" s="1"/>
  <c r="K2141" i="2" a="1"/>
  <c r="K2141" i="2" s="1"/>
  <c r="K2151" i="2" a="1"/>
  <c r="K2151" i="2" s="1"/>
  <c r="K2160" i="2" a="1"/>
  <c r="K2160" i="2" s="1"/>
  <c r="K2169" i="2" a="1"/>
  <c r="K2169" i="2" s="1"/>
  <c r="K2178" i="2" a="1"/>
  <c r="K2178" i="2" s="1"/>
  <c r="K2195" i="2" a="1"/>
  <c r="K2195" i="2" s="1"/>
  <c r="K2203" i="2" a="1"/>
  <c r="K2203" i="2" s="1"/>
  <c r="K2212" i="2" a="1"/>
  <c r="K2212" i="2" s="1"/>
  <c r="K2222" i="2" a="1"/>
  <c r="K2222" i="2" s="1"/>
  <c r="K2230" i="2" a="1"/>
  <c r="K2230" i="2" s="1"/>
  <c r="K2248" i="2" a="1"/>
  <c r="K2248" i="2" s="1"/>
  <c r="K2257" i="2" a="1"/>
  <c r="K2257" i="2" s="1"/>
  <c r="K2273" i="2" a="1"/>
  <c r="K2273" i="2" s="1"/>
  <c r="K2300" i="2" a="1"/>
  <c r="K2300" i="2" s="1"/>
  <c r="K2309" i="2" a="1"/>
  <c r="K2309" i="2" s="1"/>
  <c r="K2318" i="2" a="1"/>
  <c r="K2318" i="2" s="1"/>
  <c r="K2326" i="2" a="1"/>
  <c r="K2326" i="2" s="1"/>
  <c r="K2335" i="2" a="1"/>
  <c r="K2335" i="2" s="1"/>
  <c r="K2352" i="2" a="1"/>
  <c r="K2352" i="2" s="1"/>
  <c r="K2361" i="2" a="1"/>
  <c r="K2361" i="2" s="1"/>
  <c r="K2389" i="2" a="1"/>
  <c r="K2389" i="2" s="1"/>
  <c r="K2397" i="2" a="1"/>
  <c r="K2397" i="2" s="1"/>
  <c r="K2405" i="2" a="1"/>
  <c r="K2405" i="2" s="1"/>
  <c r="K2414" i="2" a="1"/>
  <c r="K2414" i="2" s="1"/>
  <c r="K2431" i="2" a="1"/>
  <c r="K2431" i="2" s="1"/>
  <c r="K2440" i="2" a="1"/>
  <c r="K2440" i="2" s="1"/>
  <c r="K2450" i="2" a="1"/>
  <c r="K2450" i="2" s="1"/>
  <c r="K2459" i="2" a="1"/>
  <c r="K2459" i="2" s="1"/>
  <c r="K2466" i="2" a="1"/>
  <c r="K2466" i="2" s="1"/>
  <c r="K2475" i="2" a="1"/>
  <c r="K2475" i="2" s="1"/>
  <c r="K2484" i="2" a="1"/>
  <c r="K2484" i="2" s="1"/>
  <c r="K2492" i="2" a="1"/>
  <c r="K2492" i="2" s="1"/>
  <c r="K2510" i="2" a="1"/>
  <c r="K2510" i="2" s="1"/>
  <c r="K2519" i="2" a="1"/>
  <c r="K2519" i="2" s="1"/>
  <c r="K2536" i="2" a="1"/>
  <c r="K2536" i="2" s="1"/>
  <c r="K1013" i="2" a="1"/>
  <c r="K1013" i="2" s="1"/>
  <c r="K1319" i="2" a="1"/>
  <c r="K1319" i="2" s="1"/>
  <c r="K1474" i="2" a="1"/>
  <c r="K1474" i="2" s="1"/>
  <c r="K1526" i="2" a="1"/>
  <c r="K1526" i="2" s="1"/>
  <c r="K1743" i="2" a="1"/>
  <c r="K1743" i="2" s="1"/>
  <c r="K1798" i="2" a="1"/>
  <c r="K1798" i="2" s="1"/>
  <c r="K1831" i="2" a="1"/>
  <c r="K1831" i="2" s="1"/>
  <c r="K1856" i="2" a="1"/>
  <c r="K1856" i="2" s="1"/>
  <c r="K1887" i="2" a="1"/>
  <c r="K1887" i="2" s="1"/>
  <c r="K1900" i="2" a="1"/>
  <c r="K1900" i="2" s="1"/>
  <c r="K1922" i="2" a="1"/>
  <c r="K1922" i="2" s="1"/>
  <c r="K1943" i="2" a="1"/>
  <c r="K1943" i="2" s="1"/>
  <c r="K1956" i="2" a="1"/>
  <c r="K1956" i="2" s="1"/>
  <c r="K1980" i="2" a="1"/>
  <c r="K1980" i="2" s="1"/>
  <c r="K1991" i="2" a="1"/>
  <c r="K1991" i="2" s="1"/>
  <c r="K2004" i="2" a="1"/>
  <c r="K2004" i="2" s="1"/>
  <c r="K2020" i="2" a="1"/>
  <c r="K2020" i="2" s="1"/>
  <c r="K2029" i="2" a="1"/>
  <c r="K2029" i="2" s="1"/>
  <c r="K2038" i="2" a="1"/>
  <c r="K2038" i="2" s="1"/>
  <c r="K2063" i="2" a="1"/>
  <c r="K2063" i="2" s="1"/>
  <c r="K2073" i="2" a="1"/>
  <c r="K2073" i="2" s="1"/>
  <c r="K2081" i="2" a="1"/>
  <c r="K2081" i="2" s="1"/>
  <c r="K2088" i="2" a="1"/>
  <c r="K2088" i="2" s="1"/>
  <c r="K2096" i="2" a="1"/>
  <c r="K2096" i="2" s="1"/>
  <c r="K2103" i="2" a="1"/>
  <c r="K2103" i="2" s="1"/>
  <c r="K2111" i="2" a="1"/>
  <c r="K2111" i="2" s="1"/>
  <c r="K2119" i="2" a="1"/>
  <c r="K2119" i="2" s="1"/>
  <c r="K2142" i="2" a="1"/>
  <c r="K2142" i="2" s="1"/>
  <c r="K2161" i="2" a="1"/>
  <c r="K2161" i="2" s="1"/>
  <c r="K2170" i="2" a="1"/>
  <c r="K2170" i="2" s="1"/>
  <c r="K2179" i="2" a="1"/>
  <c r="K2179" i="2" s="1"/>
  <c r="K2187" i="2" a="1"/>
  <c r="K2187" i="2" s="1"/>
  <c r="K2196" i="2" a="1"/>
  <c r="K2196" i="2" s="1"/>
  <c r="K2204" i="2" a="1"/>
  <c r="K2204" i="2" s="1"/>
  <c r="K2231" i="2" a="1"/>
  <c r="K2231" i="2" s="1"/>
  <c r="K2240" i="2" a="1"/>
  <c r="K2240" i="2" s="1"/>
  <c r="K2266" i="2" a="1"/>
  <c r="K2266" i="2" s="1"/>
  <c r="K2274" i="2" a="1"/>
  <c r="K2274" i="2" s="1"/>
  <c r="K2283" i="2" a="1"/>
  <c r="K2283" i="2" s="1"/>
  <c r="K2292" i="2" a="1"/>
  <c r="K2292" i="2" s="1"/>
  <c r="K2301" i="2" a="1"/>
  <c r="K2301" i="2" s="1"/>
  <c r="K2310" i="2" a="1"/>
  <c r="K2310" i="2" s="1"/>
  <c r="K2327" i="2" a="1"/>
  <c r="K2327" i="2" s="1"/>
  <c r="K2336" i="2" a="1"/>
  <c r="K2336" i="2" s="1"/>
  <c r="K2344" i="2" a="1"/>
  <c r="K2344" i="2" s="1"/>
  <c r="K2353" i="2" a="1"/>
  <c r="K2353" i="2" s="1"/>
  <c r="K2362" i="2" a="1"/>
  <c r="K2362" i="2" s="1"/>
  <c r="K513" i="2" a="1"/>
  <c r="K513" i="2" s="1"/>
  <c r="K1014" i="2" a="1"/>
  <c r="K1014" i="2" s="1"/>
  <c r="K1320" i="2" a="1"/>
  <c r="K1320" i="2" s="1"/>
  <c r="K1421" i="2" a="1"/>
  <c r="K1421" i="2" s="1"/>
  <c r="K1475" i="2" a="1"/>
  <c r="K1475" i="2" s="1"/>
  <c r="K1580" i="2" a="1"/>
  <c r="K1580" i="2" s="1"/>
  <c r="K1635" i="2" a="1"/>
  <c r="K1635" i="2" s="1"/>
  <c r="K1689" i="2" a="1"/>
  <c r="K1689" i="2" s="1"/>
  <c r="K1744" i="2" a="1"/>
  <c r="K1744" i="2" s="1"/>
  <c r="K1799" i="2" a="1"/>
  <c r="K1799" i="2" s="1"/>
  <c r="K1834" i="2" a="1"/>
  <c r="K1834" i="2" s="1"/>
  <c r="K1860" i="2" a="1"/>
  <c r="K1860" i="2" s="1"/>
  <c r="K1875" i="2" a="1"/>
  <c r="K1875" i="2" s="1"/>
  <c r="K1889" i="2" a="1"/>
  <c r="K1889" i="2" s="1"/>
  <c r="K1910" i="2" a="1"/>
  <c r="K1910" i="2" s="1"/>
  <c r="K1923" i="2" a="1"/>
  <c r="K1923" i="2" s="1"/>
  <c r="K1934" i="2" a="1"/>
  <c r="K1934" i="2" s="1"/>
  <c r="K1958" i="2" a="1"/>
  <c r="K1958" i="2" s="1"/>
  <c r="K1971" i="2" a="1"/>
  <c r="K1971" i="2" s="1"/>
  <c r="K1981" i="2" a="1"/>
  <c r="K1981" i="2" s="1"/>
  <c r="K1993" i="2" a="1"/>
  <c r="K1993" i="2" s="1"/>
  <c r="K2005" i="2" a="1"/>
  <c r="K2005" i="2" s="1"/>
  <c r="K2013" i="2" a="1"/>
  <c r="K2013" i="2" s="1"/>
  <c r="K2021" i="2" a="1"/>
  <c r="K2021" i="2" s="1"/>
  <c r="K2030" i="2" a="1"/>
  <c r="K2030" i="2" s="1"/>
  <c r="K2046" i="2" a="1"/>
  <c r="K2046" i="2" s="1"/>
  <c r="K2054" i="2" a="1"/>
  <c r="K2054" i="2" s="1"/>
  <c r="K2064" i="2" a="1"/>
  <c r="K2064" i="2" s="1"/>
  <c r="K2074" i="2" a="1"/>
  <c r="K2074" i="2" s="1"/>
  <c r="K2089" i="2" a="1"/>
  <c r="K2089" i="2" s="1"/>
  <c r="K2104" i="2" a="1"/>
  <c r="K2104" i="2" s="1"/>
  <c r="K2127" i="2" a="1"/>
  <c r="K2127" i="2" s="1"/>
  <c r="K2135" i="2" a="1"/>
  <c r="K2135" i="2" s="1"/>
  <c r="K2143" i="2" a="1"/>
  <c r="K2143" i="2" s="1"/>
  <c r="K2152" i="2" a="1"/>
  <c r="K2152" i="2" s="1"/>
  <c r="K2162" i="2" a="1"/>
  <c r="K2162" i="2" s="1"/>
  <c r="K2171" i="2" a="1"/>
  <c r="K2171" i="2" s="1"/>
  <c r="K2180" i="2" a="1"/>
  <c r="K2180" i="2" s="1"/>
  <c r="K2197" i="2" a="1"/>
  <c r="K2197" i="2" s="1"/>
  <c r="K2205" i="2" a="1"/>
  <c r="K2205" i="2" s="1"/>
  <c r="K2213" i="2" a="1"/>
  <c r="K2213" i="2" s="1"/>
  <c r="K2223" i="2" a="1"/>
  <c r="K2223" i="2" s="1"/>
  <c r="K2232" i="2" a="1"/>
  <c r="K2232" i="2" s="1"/>
  <c r="K2241" i="2" a="1"/>
  <c r="K2241" i="2" s="1"/>
  <c r="K2249" i="2" a="1"/>
  <c r="K2249" i="2" s="1"/>
  <c r="K2258" i="2" a="1"/>
  <c r="K2258" i="2" s="1"/>
  <c r="K2275" i="2" a="1"/>
  <c r="K2275" i="2" s="1"/>
  <c r="K2284" i="2" a="1"/>
  <c r="K2284" i="2" s="1"/>
  <c r="K2293" i="2" a="1"/>
  <c r="K2293" i="2" s="1"/>
  <c r="K2302" i="2" a="1"/>
  <c r="K2302" i="2" s="1"/>
  <c r="K2311" i="2" a="1"/>
  <c r="K2311" i="2" s="1"/>
  <c r="K2319" i="2" a="1"/>
  <c r="K2319" i="2" s="1"/>
  <c r="K2328" i="2" a="1"/>
  <c r="K2328" i="2" s="1"/>
  <c r="K2337" i="2" a="1"/>
  <c r="K2337" i="2" s="1"/>
  <c r="K2363" i="2" a="1"/>
  <c r="K2363" i="2" s="1"/>
  <c r="K2371" i="2" a="1"/>
  <c r="K2371" i="2" s="1"/>
  <c r="K1074" i="2" a="1"/>
  <c r="K1074" i="2" s="1"/>
  <c r="K1343" i="2" a="1"/>
  <c r="K1343" i="2" s="1"/>
  <c r="K1589" i="2" a="1"/>
  <c r="K1589" i="2" s="1"/>
  <c r="K1643" i="2" a="1"/>
  <c r="K1643" i="2" s="1"/>
  <c r="K1697" i="2" a="1"/>
  <c r="K1697" i="2" s="1"/>
  <c r="K1753" i="2" a="1"/>
  <c r="K1753" i="2" s="1"/>
  <c r="K1800" i="2" a="1"/>
  <c r="K1800" i="2" s="1"/>
  <c r="K1877" i="2" a="1"/>
  <c r="K1877" i="2" s="1"/>
  <c r="K1891" i="2" a="1"/>
  <c r="K1891" i="2" s="1"/>
  <c r="K1901" i="2" a="1"/>
  <c r="K1901" i="2" s="1"/>
  <c r="K1911" i="2" a="1"/>
  <c r="K1911" i="2" s="1"/>
  <c r="K1925" i="2" a="1"/>
  <c r="K1925" i="2" s="1"/>
  <c r="K1945" i="2" a="1"/>
  <c r="K1945" i="2" s="1"/>
  <c r="K1960" i="2" a="1"/>
  <c r="K1960" i="2" s="1"/>
  <c r="K1972" i="2" a="1"/>
  <c r="K1972" i="2" s="1"/>
  <c r="K1982" i="2" a="1"/>
  <c r="K1982" i="2" s="1"/>
  <c r="K1995" i="2" a="1"/>
  <c r="K1995" i="2" s="1"/>
  <c r="K2014" i="2" a="1"/>
  <c r="K2014" i="2" s="1"/>
  <c r="K2039" i="2" a="1"/>
  <c r="K2039" i="2" s="1"/>
  <c r="K2047" i="2" a="1"/>
  <c r="K2047" i="2" s="1"/>
  <c r="K2055" i="2" a="1"/>
  <c r="K2055" i="2" s="1"/>
  <c r="K2065" i="2" a="1"/>
  <c r="K2065" i="2" s="1"/>
  <c r="K2075" i="2" a="1"/>
  <c r="K2075" i="2" s="1"/>
  <c r="K2082" i="2" a="1"/>
  <c r="K2082" i="2" s="1"/>
  <c r="K2090" i="2" a="1"/>
  <c r="K2090" i="2" s="1"/>
  <c r="K2097" i="2" a="1"/>
  <c r="K2097" i="2" s="1"/>
  <c r="K2112" i="2" a="1"/>
  <c r="K2112" i="2" s="1"/>
  <c r="K2120" i="2" a="1"/>
  <c r="K2120" i="2" s="1"/>
  <c r="K2144" i="2" a="1"/>
  <c r="K2144" i="2" s="1"/>
  <c r="K2153" i="2" a="1"/>
  <c r="K2153" i="2" s="1"/>
  <c r="K2163" i="2" a="1"/>
  <c r="K2163" i="2" s="1"/>
  <c r="K2172" i="2" a="1"/>
  <c r="K2172" i="2" s="1"/>
  <c r="K2188" i="2" a="1"/>
  <c r="K2188" i="2" s="1"/>
  <c r="K2206" i="2" a="1"/>
  <c r="K2206" i="2" s="1"/>
  <c r="K2214" i="2" a="1"/>
  <c r="K2214" i="2" s="1"/>
  <c r="K2233" i="2" a="1"/>
  <c r="K2233" i="2" s="1"/>
  <c r="K2242" i="2" a="1"/>
  <c r="K2242" i="2" s="1"/>
  <c r="K2267" i="2" a="1"/>
  <c r="K2267" i="2" s="1"/>
  <c r="K2276" i="2" a="1"/>
  <c r="K2276" i="2" s="1"/>
  <c r="K2294" i="2" a="1"/>
  <c r="K2294" i="2" s="1"/>
  <c r="K2303" i="2" a="1"/>
  <c r="K2303" i="2" s="1"/>
  <c r="K2320" i="2" a="1"/>
  <c r="K2320" i="2" s="1"/>
  <c r="K2329" i="2" a="1"/>
  <c r="K2329" i="2" s="1"/>
  <c r="K2345" i="2" a="1"/>
  <c r="K2345" i="2" s="1"/>
  <c r="K2354" i="2" a="1"/>
  <c r="K2354" i="2" s="1"/>
  <c r="K2372" i="2" a="1"/>
  <c r="K2372" i="2" s="1"/>
  <c r="K2381" i="2" a="1"/>
  <c r="K2381" i="2" s="1"/>
  <c r="K2391" i="2" a="1"/>
  <c r="K2391" i="2" s="1"/>
  <c r="K665" i="2" a="1"/>
  <c r="K665" i="2" s="1"/>
  <c r="K1075" i="2" a="1"/>
  <c r="K1075" i="2" s="1"/>
  <c r="K1347" i="2" a="1"/>
  <c r="K1347" i="2" s="1"/>
  <c r="K1430" i="2" a="1"/>
  <c r="K1430" i="2" s="1"/>
  <c r="K1484" i="2" a="1"/>
  <c r="K1484" i="2" s="1"/>
  <c r="K1535" i="2" a="1"/>
  <c r="K1535" i="2" s="1"/>
  <c r="K1590" i="2" a="1"/>
  <c r="K1590" i="2" s="1"/>
  <c r="K1644" i="2" a="1"/>
  <c r="K1644" i="2" s="1"/>
  <c r="K1698" i="2" a="1"/>
  <c r="K1698" i="2" s="1"/>
  <c r="K1835" i="2" a="1"/>
  <c r="K1835" i="2" s="1"/>
  <c r="K1864" i="2" a="1"/>
  <c r="K1864" i="2" s="1"/>
  <c r="K1902" i="2" a="1"/>
  <c r="K1902" i="2" s="1"/>
  <c r="K1912" i="2" a="1"/>
  <c r="K1912" i="2" s="1"/>
  <c r="K1935" i="2" a="1"/>
  <c r="K1935" i="2" s="1"/>
  <c r="K1946" i="2" a="1"/>
  <c r="K1946" i="2" s="1"/>
  <c r="K1996" i="2" a="1"/>
  <c r="K1996" i="2" s="1"/>
  <c r="K2006" i="2" a="1"/>
  <c r="K2006" i="2" s="1"/>
  <c r="K2022" i="2" a="1"/>
  <c r="K2022" i="2" s="1"/>
  <c r="K2031" i="2" a="1"/>
  <c r="K2031" i="2" s="1"/>
  <c r="K2040" i="2" a="1"/>
  <c r="K2040" i="2" s="1"/>
  <c r="K2048" i="2" a="1"/>
  <c r="K2048" i="2" s="1"/>
  <c r="K2056" i="2" a="1"/>
  <c r="K2056" i="2" s="1"/>
  <c r="K2066" i="2" a="1"/>
  <c r="K2066" i="2" s="1"/>
  <c r="K2083" i="2" a="1"/>
  <c r="K2083" i="2" s="1"/>
  <c r="K2098" i="2" a="1"/>
  <c r="K2098" i="2" s="1"/>
  <c r="K2105" i="2" a="1"/>
  <c r="K2105" i="2" s="1"/>
  <c r="K2113" i="2" a="1"/>
  <c r="K2113" i="2" s="1"/>
  <c r="K2128" i="2" a="1"/>
  <c r="K2128" i="2" s="1"/>
  <c r="K2136" i="2" a="1"/>
  <c r="K2136" i="2" s="1"/>
  <c r="K2145" i="2" a="1"/>
  <c r="K2145" i="2" s="1"/>
  <c r="K2173" i="2" a="1"/>
  <c r="K2173" i="2" s="1"/>
  <c r="K2181" i="2" a="1"/>
  <c r="K2181" i="2" s="1"/>
  <c r="K2189" i="2" a="1"/>
  <c r="K2189" i="2" s="1"/>
  <c r="K2198" i="2" a="1"/>
  <c r="K2198" i="2" s="1"/>
  <c r="K2215" i="2" a="1"/>
  <c r="K2215" i="2" s="1"/>
  <c r="K2224" i="2" a="1"/>
  <c r="K2224" i="2" s="1"/>
  <c r="K2234" i="2" a="1"/>
  <c r="K2234" i="2" s="1"/>
  <c r="K2243" i="2" a="1"/>
  <c r="K2243" i="2" s="1"/>
  <c r="K2250" i="2" a="1"/>
  <c r="K2250" i="2" s="1"/>
  <c r="K783" i="2" a="1"/>
  <c r="K783" i="2" s="1"/>
  <c r="K1141" i="2" a="1"/>
  <c r="K1141" i="2" s="1"/>
  <c r="K1368" i="2" a="1"/>
  <c r="K1368" i="2" s="1"/>
  <c r="K1440" i="2" a="1"/>
  <c r="K1440" i="2" s="1"/>
  <c r="K1544" i="2" a="1"/>
  <c r="K1544" i="2" s="1"/>
  <c r="K1652" i="2" a="1"/>
  <c r="K1652" i="2" s="1"/>
  <c r="K1707" i="2" a="1"/>
  <c r="K1707" i="2" s="1"/>
  <c r="K1761" i="2" a="1"/>
  <c r="K1761" i="2" s="1"/>
  <c r="K1808" i="2" a="1"/>
  <c r="K1808" i="2" s="1"/>
  <c r="K1839" i="2" a="1"/>
  <c r="K1839" i="2" s="1"/>
  <c r="K1708" i="2" a="1"/>
  <c r="K1708" i="2" s="1"/>
  <c r="K1915" i="2" a="1"/>
  <c r="K1915" i="2" s="1"/>
  <c r="K2190" i="2" a="1"/>
  <c r="K2190" i="2" s="1"/>
  <c r="K2244" i="2" a="1"/>
  <c r="K2244" i="2" s="1"/>
  <c r="K2285" i="2" a="1"/>
  <c r="K2285" i="2" s="1"/>
  <c r="K2383" i="2" a="1"/>
  <c r="K2383" i="2" s="1"/>
  <c r="K2399" i="2" a="1"/>
  <c r="K2399" i="2" s="1"/>
  <c r="K2411" i="2" a="1"/>
  <c r="K2411" i="2" s="1"/>
  <c r="K2425" i="2" a="1"/>
  <c r="K2425" i="2" s="1"/>
  <c r="K2438" i="2" a="1"/>
  <c r="K2438" i="2" s="1"/>
  <c r="K2452" i="2" a="1"/>
  <c r="K2452" i="2" s="1"/>
  <c r="K2464" i="2" a="1"/>
  <c r="K2464" i="2" s="1"/>
  <c r="K2501" i="2" a="1"/>
  <c r="K2501" i="2" s="1"/>
  <c r="K2512" i="2" a="1"/>
  <c r="K2512" i="2" s="1"/>
  <c r="K2535" i="2" a="1"/>
  <c r="K2535" i="2" s="1"/>
  <c r="K2545" i="2" a="1"/>
  <c r="K2545" i="2" s="1"/>
  <c r="K2562" i="2" a="1"/>
  <c r="K2562" i="2" s="1"/>
  <c r="K2580" i="2" a="1"/>
  <c r="K2580" i="2" s="1"/>
  <c r="K2588" i="2" a="1"/>
  <c r="K2588" i="2" s="1"/>
  <c r="K2597" i="2" a="1"/>
  <c r="K2597" i="2" s="1"/>
  <c r="K2613" i="2" a="1"/>
  <c r="K2613" i="2" s="1"/>
  <c r="K2630" i="2" a="1"/>
  <c r="K2630" i="2" s="1"/>
  <c r="K2646" i="2" a="1"/>
  <c r="K2646" i="2" s="1"/>
  <c r="K2662" i="2" a="1"/>
  <c r="K2662" i="2" s="1"/>
  <c r="K2670" i="2" a="1"/>
  <c r="K2670" i="2" s="1"/>
  <c r="K2679" i="2" a="1"/>
  <c r="K2679" i="2" s="1"/>
  <c r="K2696" i="2" a="1"/>
  <c r="K2696" i="2" s="1"/>
  <c r="K2705" i="2" a="1"/>
  <c r="K2705" i="2" s="1"/>
  <c r="K2714" i="2" a="1"/>
  <c r="K2714" i="2" s="1"/>
  <c r="K2722" i="2" a="1"/>
  <c r="K2722" i="2" s="1"/>
  <c r="K2730" i="2" a="1"/>
  <c r="K2730" i="2" s="1"/>
  <c r="K2739" i="2" a="1"/>
  <c r="K2739" i="2" s="1"/>
  <c r="K2747" i="2" a="1"/>
  <c r="K2747" i="2" s="1"/>
  <c r="K2755" i="2" a="1"/>
  <c r="K2755" i="2" s="1"/>
  <c r="K2784" i="2" a="1"/>
  <c r="K2784" i="2" s="1"/>
  <c r="K2793" i="2" a="1"/>
  <c r="K2793" i="2" s="1"/>
  <c r="K2810" i="2" a="1"/>
  <c r="K2810" i="2" s="1"/>
  <c r="K2818" i="2" a="1"/>
  <c r="K2818" i="2" s="1"/>
  <c r="K2835" i="2" a="1"/>
  <c r="K2835" i="2" s="1"/>
  <c r="K2862" i="2" a="1"/>
  <c r="K2862" i="2" s="1"/>
  <c r="K2872" i="2" a="1"/>
  <c r="K2872" i="2" s="1"/>
  <c r="K2890" i="2" a="1"/>
  <c r="K2890" i="2" s="1"/>
  <c r="K2907" i="2" a="1"/>
  <c r="K2907" i="2" s="1"/>
  <c r="K2934" i="2" a="1"/>
  <c r="K2934" i="2" s="1"/>
  <c r="K2945" i="2" a="1"/>
  <c r="K2945" i="2" s="1"/>
  <c r="K2955" i="2" a="1"/>
  <c r="K2955" i="2" s="1"/>
  <c r="K2963" i="2" a="1"/>
  <c r="K2963" i="2" s="1"/>
  <c r="K2970" i="2" a="1"/>
  <c r="K2970" i="2" s="1"/>
  <c r="K2980" i="2" a="1"/>
  <c r="K2980" i="2" s="1"/>
  <c r="K2998" i="2" a="1"/>
  <c r="K2998" i="2" s="1"/>
  <c r="K3005" i="2" a="1"/>
  <c r="K3005" i="2" s="1"/>
  <c r="K3014" i="2" a="1"/>
  <c r="K3014" i="2" s="1"/>
  <c r="K3025" i="2" a="1"/>
  <c r="K3025" i="2" s="1"/>
  <c r="K3033" i="2" a="1"/>
  <c r="K3033" i="2" s="1"/>
  <c r="K3058" i="2" a="1"/>
  <c r="K3058" i="2" s="1"/>
  <c r="K3065" i="2" a="1"/>
  <c r="K3065" i="2" s="1"/>
  <c r="K1762" i="2" a="1"/>
  <c r="K1762" i="2" s="1"/>
  <c r="K1926" i="2" a="1"/>
  <c r="K1926" i="2" s="1"/>
  <c r="K2146" i="2" a="1"/>
  <c r="K2146" i="2" s="1"/>
  <c r="K2251" i="2" a="1"/>
  <c r="K2251" i="2" s="1"/>
  <c r="K2286" i="2" a="1"/>
  <c r="K2286" i="2" s="1"/>
  <c r="K2321" i="2" a="1"/>
  <c r="K2321" i="2" s="1"/>
  <c r="K2355" i="2" a="1"/>
  <c r="K2355" i="2" s="1"/>
  <c r="K2400" i="2" a="1"/>
  <c r="K2400" i="2" s="1"/>
  <c r="K2412" i="2" a="1"/>
  <c r="K2412" i="2" s="1"/>
  <c r="K2478" i="2" a="1"/>
  <c r="K2478" i="2" s="1"/>
  <c r="K2489" i="2" a="1"/>
  <c r="K2489" i="2" s="1"/>
  <c r="K2502" i="2" a="1"/>
  <c r="K2502" i="2" s="1"/>
  <c r="K2513" i="2" a="1"/>
  <c r="K2513" i="2" s="1"/>
  <c r="K2525" i="2" a="1"/>
  <c r="K2525" i="2" s="1"/>
  <c r="K2546" i="2" a="1"/>
  <c r="K2546" i="2" s="1"/>
  <c r="K2554" i="2" a="1"/>
  <c r="K2554" i="2" s="1"/>
  <c r="K2563" i="2" a="1"/>
  <c r="K2563" i="2" s="1"/>
  <c r="K2571" i="2" a="1"/>
  <c r="K2571" i="2" s="1"/>
  <c r="K2581" i="2" a="1"/>
  <c r="K2581" i="2" s="1"/>
  <c r="K2589" i="2" a="1"/>
  <c r="K2589" i="2" s="1"/>
  <c r="K2598" i="2" a="1"/>
  <c r="K2598" i="2" s="1"/>
  <c r="K2606" i="2" a="1"/>
  <c r="K2606" i="2" s="1"/>
  <c r="K2614" i="2" a="1"/>
  <c r="K2614" i="2" s="1"/>
  <c r="K2622" i="2" a="1"/>
  <c r="K2622" i="2" s="1"/>
  <c r="K2639" i="2" a="1"/>
  <c r="K2639" i="2" s="1"/>
  <c r="K2647" i="2" a="1"/>
  <c r="K2647" i="2" s="1"/>
  <c r="K2655" i="2" a="1"/>
  <c r="K2655" i="2" s="1"/>
  <c r="K2671" i="2" a="1"/>
  <c r="K2671" i="2" s="1"/>
  <c r="K2688" i="2" a="1"/>
  <c r="K2688" i="2" s="1"/>
  <c r="K2697" i="2" a="1"/>
  <c r="K2697" i="2" s="1"/>
  <c r="K2706" i="2" a="1"/>
  <c r="K2706" i="2" s="1"/>
  <c r="K2715" i="2" a="1"/>
  <c r="K2715" i="2" s="1"/>
  <c r="K2723" i="2" a="1"/>
  <c r="K2723" i="2" s="1"/>
  <c r="K2731" i="2" a="1"/>
  <c r="K2731" i="2" s="1"/>
  <c r="K2756" i="2" a="1"/>
  <c r="K2756" i="2" s="1"/>
  <c r="K2765" i="2" a="1"/>
  <c r="K2765" i="2" s="1"/>
  <c r="K2775" i="2" a="1"/>
  <c r="K2775" i="2" s="1"/>
  <c r="K2785" i="2" a="1"/>
  <c r="K2785" i="2" s="1"/>
  <c r="K2801" i="2" a="1"/>
  <c r="K2801" i="2" s="1"/>
  <c r="K2826" i="2" a="1"/>
  <c r="K2826" i="2" s="1"/>
  <c r="K2836" i="2" a="1"/>
  <c r="K2836" i="2" s="1"/>
  <c r="K2846" i="2" a="1"/>
  <c r="K2846" i="2" s="1"/>
  <c r="K2855" i="2" a="1"/>
  <c r="K2855" i="2" s="1"/>
  <c r="K2863" i="2" a="1"/>
  <c r="K2863" i="2" s="1"/>
  <c r="K2882" i="2" a="1"/>
  <c r="K2882" i="2" s="1"/>
  <c r="K2898" i="2" a="1"/>
  <c r="K2898" i="2" s="1"/>
  <c r="K2908" i="2" a="1"/>
  <c r="K2908" i="2" s="1"/>
  <c r="K2918" i="2" a="1"/>
  <c r="K2918" i="2" s="1"/>
  <c r="K2927" i="2" a="1"/>
  <c r="K2927" i="2" s="1"/>
  <c r="K2935" i="2" a="1"/>
  <c r="K2935" i="2" s="1"/>
  <c r="K2946" i="2" a="1"/>
  <c r="K2946" i="2" s="1"/>
  <c r="K2956" i="2" a="1"/>
  <c r="K2956" i="2" s="1"/>
  <c r="K2971" i="2" a="1"/>
  <c r="K2971" i="2" s="1"/>
  <c r="K2990" i="2" a="1"/>
  <c r="K2990" i="2" s="1"/>
  <c r="K3015" i="2" a="1"/>
  <c r="K3015" i="2" s="1"/>
  <c r="K3034" i="2" a="1"/>
  <c r="K3034" i="2" s="1"/>
  <c r="K3042" i="2" a="1"/>
  <c r="K3042" i="2" s="1"/>
  <c r="K3050" i="2" a="1"/>
  <c r="K3050" i="2" s="1"/>
  <c r="K1927" i="2" a="1"/>
  <c r="K1927" i="2" s="1"/>
  <c r="K1997" i="2" a="1"/>
  <c r="K1997" i="2" s="1"/>
  <c r="K2049" i="2" a="1"/>
  <c r="K2049" i="2" s="1"/>
  <c r="K2099" i="2" a="1"/>
  <c r="K2099" i="2" s="1"/>
  <c r="K2147" i="2" a="1"/>
  <c r="K2147" i="2" s="1"/>
  <c r="K2199" i="2" a="1"/>
  <c r="K2199" i="2" s="1"/>
  <c r="K2252" i="2" a="1"/>
  <c r="K2252" i="2" s="1"/>
  <c r="K2287" i="2" a="1"/>
  <c r="K2287" i="2" s="1"/>
  <c r="K2356" i="2" a="1"/>
  <c r="K2356" i="2" s="1"/>
  <c r="K2385" i="2" a="1"/>
  <c r="K2385" i="2" s="1"/>
  <c r="K2401" i="2" a="1"/>
  <c r="K2401" i="2" s="1"/>
  <c r="K2426" i="2" a="1"/>
  <c r="K2426" i="2" s="1"/>
  <c r="K2441" i="2" a="1"/>
  <c r="K2441" i="2" s="1"/>
  <c r="K2453" i="2" a="1"/>
  <c r="K2453" i="2" s="1"/>
  <c r="K2467" i="2" a="1"/>
  <c r="K2467" i="2" s="1"/>
  <c r="K2479" i="2" a="1"/>
  <c r="K2479" i="2" s="1"/>
  <c r="K2491" i="2" a="1"/>
  <c r="K2491" i="2" s="1"/>
  <c r="K2503" i="2" a="1"/>
  <c r="K2503" i="2" s="1"/>
  <c r="K2527" i="2" a="1"/>
  <c r="K2527" i="2" s="1"/>
  <c r="K2537" i="2" a="1"/>
  <c r="K2537" i="2" s="1"/>
  <c r="K2555" i="2" a="1"/>
  <c r="K2555" i="2" s="1"/>
  <c r="K2564" i="2" a="1"/>
  <c r="K2564" i="2" s="1"/>
  <c r="K2572" i="2" a="1"/>
  <c r="K2572" i="2" s="1"/>
  <c r="K2582" i="2" a="1"/>
  <c r="K2582" i="2" s="1"/>
  <c r="K2590" i="2" a="1"/>
  <c r="K2590" i="2" s="1"/>
  <c r="K2599" i="2" a="1"/>
  <c r="K2599" i="2" s="1"/>
  <c r="K2607" i="2" a="1"/>
  <c r="K2607" i="2" s="1"/>
  <c r="K2615" i="2" a="1"/>
  <c r="K2615" i="2" s="1"/>
  <c r="K2623" i="2" a="1"/>
  <c r="K2623" i="2" s="1"/>
  <c r="K2631" i="2" a="1"/>
  <c r="K2631" i="2" s="1"/>
  <c r="K2648" i="2" a="1"/>
  <c r="K2648" i="2" s="1"/>
  <c r="K2663" i="2" a="1"/>
  <c r="K2663" i="2" s="1"/>
  <c r="K2672" i="2" a="1"/>
  <c r="K2672" i="2" s="1"/>
  <c r="K2680" i="2" a="1"/>
  <c r="K2680" i="2" s="1"/>
  <c r="K2689" i="2" a="1"/>
  <c r="K2689" i="2" s="1"/>
  <c r="K2698" i="2" a="1"/>
  <c r="K2698" i="2" s="1"/>
  <c r="K2707" i="2" a="1"/>
  <c r="K2707" i="2" s="1"/>
  <c r="K2740" i="2" a="1"/>
  <c r="K2740" i="2" s="1"/>
  <c r="K2748" i="2" a="1"/>
  <c r="K2748" i="2" s="1"/>
  <c r="K2757" i="2" a="1"/>
  <c r="K2757" i="2" s="1"/>
  <c r="K2794" i="2" a="1"/>
  <c r="K2794" i="2" s="1"/>
  <c r="K2811" i="2" a="1"/>
  <c r="K2811" i="2" s="1"/>
  <c r="K2819" i="2" a="1"/>
  <c r="K2819" i="2" s="1"/>
  <c r="K2827" i="2" a="1"/>
  <c r="K2827" i="2" s="1"/>
  <c r="K2837" i="2" a="1"/>
  <c r="K2837" i="2" s="1"/>
  <c r="K1844" i="2" a="1"/>
  <c r="K1844" i="2" s="1"/>
  <c r="K1936" i="2" a="1"/>
  <c r="K1936" i="2" s="1"/>
  <c r="K2057" i="2" a="1"/>
  <c r="K2057" i="2" s="1"/>
  <c r="K2154" i="2" a="1"/>
  <c r="K2154" i="2" s="1"/>
  <c r="K2207" i="2" a="1"/>
  <c r="K2207" i="2" s="1"/>
  <c r="K2259" i="2" a="1"/>
  <c r="K2259" i="2" s="1"/>
  <c r="K2330" i="2" a="1"/>
  <c r="K2330" i="2" s="1"/>
  <c r="K2364" i="2" a="1"/>
  <c r="K2364" i="2" s="1"/>
  <c r="K2415" i="2" a="1"/>
  <c r="K2415" i="2" s="1"/>
  <c r="K2454" i="2" a="1"/>
  <c r="K2454" i="2" s="1"/>
  <c r="K2468" i="2" a="1"/>
  <c r="K2468" i="2" s="1"/>
  <c r="K2480" i="2" a="1"/>
  <c r="K2480" i="2" s="1"/>
  <c r="K2493" i="2" a="1"/>
  <c r="K2493" i="2" s="1"/>
  <c r="K2504" i="2" a="1"/>
  <c r="K2504" i="2" s="1"/>
  <c r="K2515" i="2" a="1"/>
  <c r="K2515" i="2" s="1"/>
  <c r="K2528" i="2" a="1"/>
  <c r="K2528" i="2" s="1"/>
  <c r="K2547" i="2" a="1"/>
  <c r="K2547" i="2" s="1"/>
  <c r="K2556" i="2" a="1"/>
  <c r="K2556" i="2" s="1"/>
  <c r="K2565" i="2" a="1"/>
  <c r="K2565" i="2" s="1"/>
  <c r="K2591" i="2" a="1"/>
  <c r="K2591" i="2" s="1"/>
  <c r="K2616" i="2" a="1"/>
  <c r="K2616" i="2" s="1"/>
  <c r="K2624" i="2" a="1"/>
  <c r="K2624" i="2" s="1"/>
  <c r="K2640" i="2" a="1"/>
  <c r="K2640" i="2" s="1"/>
  <c r="K2656" i="2" a="1"/>
  <c r="K2656" i="2" s="1"/>
  <c r="K2664" i="2" a="1"/>
  <c r="K2664" i="2" s="1"/>
  <c r="K2699" i="2" a="1"/>
  <c r="K2699" i="2" s="1"/>
  <c r="K2708" i="2" a="1"/>
  <c r="K2708" i="2" s="1"/>
  <c r="K2716" i="2" a="1"/>
  <c r="K2716" i="2" s="1"/>
  <c r="K2724" i="2" a="1"/>
  <c r="K2724" i="2" s="1"/>
  <c r="K2732" i="2" a="1"/>
  <c r="K2732" i="2" s="1"/>
  <c r="K2749" i="2" a="1"/>
  <c r="K2749" i="2" s="1"/>
  <c r="K2766" i="2" a="1"/>
  <c r="K2766" i="2" s="1"/>
  <c r="K2776" i="2" a="1"/>
  <c r="K2776" i="2" s="1"/>
  <c r="K2786" i="2" a="1"/>
  <c r="K2786" i="2" s="1"/>
  <c r="K2795" i="2" a="1"/>
  <c r="K2795" i="2" s="1"/>
  <c r="K2802" i="2" a="1"/>
  <c r="K2802" i="2" s="1"/>
  <c r="K2828" i="2" a="1"/>
  <c r="K2828" i="2" s="1"/>
  <c r="K2838" i="2" a="1"/>
  <c r="K2838" i="2" s="1"/>
  <c r="K784" i="2" a="1"/>
  <c r="K784" i="2" s="1"/>
  <c r="K1865" i="2" a="1"/>
  <c r="K1865" i="2" s="1"/>
  <c r="K1937" i="2" a="1"/>
  <c r="K1937" i="2" s="1"/>
  <c r="K2008" i="2" a="1"/>
  <c r="K2008" i="2" s="1"/>
  <c r="K2106" i="2" a="1"/>
  <c r="K2106" i="2" s="1"/>
  <c r="K2155" i="2" a="1"/>
  <c r="K2155" i="2" s="1"/>
  <c r="K2208" i="2" a="1"/>
  <c r="K2208" i="2" s="1"/>
  <c r="K2260" i="2" a="1"/>
  <c r="K2260" i="2" s="1"/>
  <c r="K2295" i="2" a="1"/>
  <c r="K2295" i="2" s="1"/>
  <c r="K2365" i="2" a="1"/>
  <c r="K2365" i="2" s="1"/>
  <c r="K2390" i="2" a="1"/>
  <c r="K2390" i="2" s="1"/>
  <c r="K2428" i="2" a="1"/>
  <c r="K2428" i="2" s="1"/>
  <c r="K2442" i="2" a="1"/>
  <c r="K2442" i="2" s="1"/>
  <c r="K2494" i="2" a="1"/>
  <c r="K2494" i="2" s="1"/>
  <c r="K2505" i="2" a="1"/>
  <c r="K2505" i="2" s="1"/>
  <c r="K2516" i="2" a="1"/>
  <c r="K2516" i="2" s="1"/>
  <c r="K2538" i="2" a="1"/>
  <c r="K2538" i="2" s="1"/>
  <c r="K2557" i="2" a="1"/>
  <c r="K2557" i="2" s="1"/>
  <c r="K2566" i="2" a="1"/>
  <c r="K2566" i="2" s="1"/>
  <c r="K2573" i="2" a="1"/>
  <c r="K2573" i="2" s="1"/>
  <c r="K2583" i="2" a="1"/>
  <c r="K2583" i="2" s="1"/>
  <c r="K2592" i="2" a="1"/>
  <c r="K2592" i="2" s="1"/>
  <c r="K2600" i="2" a="1"/>
  <c r="K2600" i="2" s="1"/>
  <c r="K2608" i="2" a="1"/>
  <c r="K2608" i="2" s="1"/>
  <c r="K2617" i="2" a="1"/>
  <c r="K2617" i="2" s="1"/>
  <c r="K2625" i="2" a="1"/>
  <c r="K2625" i="2" s="1"/>
  <c r="K2632" i="2" a="1"/>
  <c r="K2632" i="2" s="1"/>
  <c r="K2641" i="2" a="1"/>
  <c r="K2641" i="2" s="1"/>
  <c r="K2649" i="2" a="1"/>
  <c r="K2649" i="2" s="1"/>
  <c r="K2665" i="2" a="1"/>
  <c r="K2665" i="2" s="1"/>
  <c r="K2673" i="2" a="1"/>
  <c r="K2673" i="2" s="1"/>
  <c r="K2681" i="2" a="1"/>
  <c r="K2681" i="2" s="1"/>
  <c r="K2690" i="2" a="1"/>
  <c r="K2690" i="2" s="1"/>
  <c r="K2700" i="2" a="1"/>
  <c r="K2700" i="2" s="1"/>
  <c r="K2725" i="2" a="1"/>
  <c r="K2725" i="2" s="1"/>
  <c r="K2733" i="2" a="1"/>
  <c r="K2733" i="2" s="1"/>
  <c r="K2741" i="2" a="1"/>
  <c r="K2741" i="2" s="1"/>
  <c r="K2758" i="2" a="1"/>
  <c r="K2758" i="2" s="1"/>
  <c r="K2767" i="2" a="1"/>
  <c r="K2767" i="2" s="1"/>
  <c r="K2777" i="2" a="1"/>
  <c r="K2777" i="2" s="1"/>
  <c r="K2787" i="2" a="1"/>
  <c r="K2787" i="2" s="1"/>
  <c r="K2803" i="2" a="1"/>
  <c r="K2803" i="2" s="1"/>
  <c r="K2812" i="2" a="1"/>
  <c r="K2812" i="2" s="1"/>
  <c r="K2820" i="2" a="1"/>
  <c r="K2820" i="2" s="1"/>
  <c r="K2839" i="2" a="1"/>
  <c r="K2839" i="2" s="1"/>
  <c r="K2857" i="2" a="1"/>
  <c r="K2857" i="2" s="1"/>
  <c r="K2865" i="2" a="1"/>
  <c r="K2865" i="2" s="1"/>
  <c r="K2875" i="2" a="1"/>
  <c r="K2875" i="2" s="1"/>
  <c r="K2892" i="2" a="1"/>
  <c r="K2892" i="2" s="1"/>
  <c r="K2910" i="2" a="1"/>
  <c r="K2910" i="2" s="1"/>
  <c r="K2929" i="2" a="1"/>
  <c r="K2929" i="2" s="1"/>
  <c r="K2937" i="2" a="1"/>
  <c r="K2937" i="2" s="1"/>
  <c r="K2949" i="2" a="1"/>
  <c r="K2949" i="2" s="1"/>
  <c r="K2958" i="2" a="1"/>
  <c r="K2958" i="2" s="1"/>
  <c r="K2983" i="2" a="1"/>
  <c r="K2983" i="2" s="1"/>
  <c r="K3000" i="2" a="1"/>
  <c r="K3000" i="2" s="1"/>
  <c r="K3017" i="2" a="1"/>
  <c r="K3017" i="2" s="1"/>
  <c r="K3028" i="2" a="1"/>
  <c r="K3028" i="2" s="1"/>
  <c r="K3044" i="2" a="1"/>
  <c r="K3044" i="2" s="1"/>
  <c r="K3067" i="2" a="1"/>
  <c r="K3067" i="2" s="1"/>
  <c r="K3077" i="2" a="1"/>
  <c r="K3077" i="2" s="1"/>
  <c r="K1142" i="2" a="1"/>
  <c r="K1142" i="2" s="1"/>
  <c r="K1879" i="2" a="1"/>
  <c r="K1879" i="2" s="1"/>
  <c r="K1948" i="2" a="1"/>
  <c r="K1948" i="2" s="1"/>
  <c r="K2015" i="2" a="1"/>
  <c r="K2015" i="2" s="1"/>
  <c r="K2067" i="2" a="1"/>
  <c r="K2067" i="2" s="1"/>
  <c r="K2164" i="2" a="1"/>
  <c r="K2164" i="2" s="1"/>
  <c r="K2216" i="2" a="1"/>
  <c r="K2216" i="2" s="1"/>
  <c r="K2261" i="2" a="1"/>
  <c r="K2261" i="2" s="1"/>
  <c r="K2331" i="2" a="1"/>
  <c r="K2331" i="2" s="1"/>
  <c r="K2366" i="2" a="1"/>
  <c r="K2366" i="2" s="1"/>
  <c r="K2392" i="2" a="1"/>
  <c r="K2392" i="2" s="1"/>
  <c r="K2403" i="2" a="1"/>
  <c r="K2403" i="2" s="1"/>
  <c r="K2416" i="2" a="1"/>
  <c r="K2416" i="2" s="1"/>
  <c r="K2443" i="2" a="1"/>
  <c r="K2443" i="2" s="1"/>
  <c r="K2456" i="2" a="1"/>
  <c r="K2456" i="2" s="1"/>
  <c r="K2469" i="2" a="1"/>
  <c r="K2469" i="2" s="1"/>
  <c r="K2482" i="2" a="1"/>
  <c r="K2482" i="2" s="1"/>
  <c r="K2518" i="2" a="1"/>
  <c r="K2518" i="2" s="1"/>
  <c r="K2529" i="2" a="1"/>
  <c r="K2529" i="2" s="1"/>
  <c r="K2539" i="2" a="1"/>
  <c r="K2539" i="2" s="1"/>
  <c r="K2548" i="2" a="1"/>
  <c r="K2548" i="2" s="1"/>
  <c r="K2574" i="2" a="1"/>
  <c r="K2574" i="2" s="1"/>
  <c r="K2593" i="2" a="1"/>
  <c r="K2593" i="2" s="1"/>
  <c r="K2618" i="2" a="1"/>
  <c r="K2618" i="2" s="1"/>
  <c r="K2633" i="2" a="1"/>
  <c r="K2633" i="2" s="1"/>
  <c r="K2657" i="2" a="1"/>
  <c r="K2657" i="2" s="1"/>
  <c r="K2666" i="2" a="1"/>
  <c r="K2666" i="2" s="1"/>
  <c r="K2674" i="2" a="1"/>
  <c r="K2674" i="2" s="1"/>
  <c r="K2701" i="2" a="1"/>
  <c r="K2701" i="2" s="1"/>
  <c r="K2709" i="2" a="1"/>
  <c r="K2709" i="2" s="1"/>
  <c r="K2717" i="2" a="1"/>
  <c r="K2717" i="2" s="1"/>
  <c r="K2726" i="2" a="1"/>
  <c r="K2726" i="2" s="1"/>
  <c r="K2750" i="2" a="1"/>
  <c r="K2750" i="2" s="1"/>
  <c r="K2759" i="2" a="1"/>
  <c r="K2759" i="2" s="1"/>
  <c r="K2768" i="2" a="1"/>
  <c r="K2768" i="2" s="1"/>
  <c r="K2778" i="2" a="1"/>
  <c r="K2778" i="2" s="1"/>
  <c r="K2788" i="2" a="1"/>
  <c r="K2788" i="2" s="1"/>
  <c r="K2796" i="2" a="1"/>
  <c r="K2796" i="2" s="1"/>
  <c r="K2804" i="2" a="1"/>
  <c r="K2804" i="2" s="1"/>
  <c r="K1881" i="2" a="1"/>
  <c r="K1881" i="2" s="1"/>
  <c r="K2068" i="2" a="1"/>
  <c r="K2068" i="2" s="1"/>
  <c r="K2114" i="2" a="1"/>
  <c r="K2114" i="2" s="1"/>
  <c r="K2217" i="2" a="1"/>
  <c r="K2217" i="2" s="1"/>
  <c r="K2268" i="2" a="1"/>
  <c r="K2268" i="2" s="1"/>
  <c r="K2304" i="2" a="1"/>
  <c r="K2304" i="2" s="1"/>
  <c r="K2338" i="2" a="1"/>
  <c r="K2338" i="2" s="1"/>
  <c r="K2370" i="2" a="1"/>
  <c r="K2370" i="2" s="1"/>
  <c r="K2432" i="2" a="1"/>
  <c r="K2432" i="2" s="1"/>
  <c r="K2470" i="2" a="1"/>
  <c r="K2470" i="2" s="1"/>
  <c r="K2485" i="2" a="1"/>
  <c r="K2485" i="2" s="1"/>
  <c r="K2495" i="2" a="1"/>
  <c r="K2495" i="2" s="1"/>
  <c r="K2507" i="2" a="1"/>
  <c r="K2507" i="2" s="1"/>
  <c r="K2520" i="2" a="1"/>
  <c r="K2520" i="2" s="1"/>
  <c r="K2530" i="2" a="1"/>
  <c r="K2530" i="2" s="1"/>
  <c r="K2540" i="2" a="1"/>
  <c r="K2540" i="2" s="1"/>
  <c r="K2549" i="2" a="1"/>
  <c r="K2549" i="2" s="1"/>
  <c r="K2558" i="2" a="1"/>
  <c r="K2558" i="2" s="1"/>
  <c r="K2567" i="2" a="1"/>
  <c r="K2567" i="2" s="1"/>
  <c r="K2575" i="2" a="1"/>
  <c r="K2575" i="2" s="1"/>
  <c r="K2584" i="2" a="1"/>
  <c r="K2584" i="2" s="1"/>
  <c r="K2601" i="2" a="1"/>
  <c r="K2601" i="2" s="1"/>
  <c r="K2609" i="2" a="1"/>
  <c r="K2609" i="2" s="1"/>
  <c r="K2626" i="2" a="1"/>
  <c r="K2626" i="2" s="1"/>
  <c r="K2642" i="2" a="1"/>
  <c r="K2642" i="2" s="1"/>
  <c r="K2650" i="2" a="1"/>
  <c r="K2650" i="2" s="1"/>
  <c r="K2675" i="2" a="1"/>
  <c r="K2675" i="2" s="1"/>
  <c r="K2682" i="2" a="1"/>
  <c r="K2682" i="2" s="1"/>
  <c r="K2691" i="2" a="1"/>
  <c r="K2691" i="2" s="1"/>
  <c r="K2710" i="2" a="1"/>
  <c r="K2710" i="2" s="1"/>
  <c r="K2734" i="2" a="1"/>
  <c r="K2734" i="2" s="1"/>
  <c r="K2742" i="2" a="1"/>
  <c r="K2742" i="2" s="1"/>
  <c r="K2760" i="2" a="1"/>
  <c r="K2760" i="2" s="1"/>
  <c r="K2769" i="2" a="1"/>
  <c r="K2769" i="2" s="1"/>
  <c r="K2779" i="2" a="1"/>
  <c r="K2779" i="2" s="1"/>
  <c r="K2797" i="2" a="1"/>
  <c r="K2797" i="2" s="1"/>
  <c r="K2805" i="2" a="1"/>
  <c r="K2805" i="2" s="1"/>
  <c r="K2813" i="2" a="1"/>
  <c r="K2813" i="2" s="1"/>
  <c r="K2830" i="2" a="1"/>
  <c r="K2830" i="2" s="1"/>
  <c r="K2841" i="2" a="1"/>
  <c r="K2841" i="2" s="1"/>
  <c r="K2850" i="2" a="1"/>
  <c r="K2850" i="2" s="1"/>
  <c r="K2858" i="2" a="1"/>
  <c r="K2858" i="2" s="1"/>
  <c r="K2867" i="2" a="1"/>
  <c r="K2867" i="2" s="1"/>
  <c r="K2877" i="2" a="1"/>
  <c r="K2877" i="2" s="1"/>
  <c r="K2886" i="2" a="1"/>
  <c r="K2886" i="2" s="1"/>
  <c r="K2902" i="2" a="1"/>
  <c r="K2902" i="2" s="1"/>
  <c r="K2912" i="2" a="1"/>
  <c r="K2912" i="2" s="1"/>
  <c r="K2922" i="2" a="1"/>
  <c r="K2922" i="2" s="1"/>
  <c r="K2930" i="2" a="1"/>
  <c r="K2930" i="2" s="1"/>
  <c r="K2939" i="2" a="1"/>
  <c r="K2939" i="2" s="1"/>
  <c r="K2951" i="2" a="1"/>
  <c r="K2951" i="2" s="1"/>
  <c r="K2974" i="2" a="1"/>
  <c r="K2974" i="2" s="1"/>
  <c r="K2985" i="2" a="1"/>
  <c r="K2985" i="2" s="1"/>
  <c r="K1892" i="2" a="1"/>
  <c r="K1892" i="2" s="1"/>
  <c r="K1961" i="2" a="1"/>
  <c r="K1961" i="2" s="1"/>
  <c r="K2023" i="2" a="1"/>
  <c r="K2023" i="2" s="1"/>
  <c r="K2076" i="2" a="1"/>
  <c r="K2076" i="2" s="1"/>
  <c r="K2121" i="2" a="1"/>
  <c r="K2121" i="2" s="1"/>
  <c r="K2225" i="2" a="1"/>
  <c r="K2225" i="2" s="1"/>
  <c r="K2269" i="2" a="1"/>
  <c r="K2269" i="2" s="1"/>
  <c r="K2305" i="2" a="1"/>
  <c r="K2305" i="2" s="1"/>
  <c r="K2339" i="2" a="1"/>
  <c r="K2339" i="2" s="1"/>
  <c r="K2373" i="2" a="1"/>
  <c r="K2373" i="2" s="1"/>
  <c r="K2393" i="2" a="1"/>
  <c r="K2393" i="2" s="1"/>
  <c r="K2406" i="2" a="1"/>
  <c r="K2406" i="2" s="1"/>
  <c r="K2417" i="2" a="1"/>
  <c r="K2417" i="2" s="1"/>
  <c r="K2433" i="2" a="1"/>
  <c r="K2433" i="2" s="1"/>
  <c r="K2444" i="2" a="1"/>
  <c r="K2444" i="2" s="1"/>
  <c r="K2460" i="2" a="1"/>
  <c r="K2460" i="2" s="1"/>
  <c r="K2471" i="2" a="1"/>
  <c r="K2471" i="2" s="1"/>
  <c r="K2496" i="2" a="1"/>
  <c r="K2496" i="2" s="1"/>
  <c r="K2521" i="2" a="1"/>
  <c r="K2521" i="2" s="1"/>
  <c r="K2531" i="2" a="1"/>
  <c r="K2531" i="2" s="1"/>
  <c r="K2559" i="2" a="1"/>
  <c r="K2559" i="2" s="1"/>
  <c r="K2576" i="2" a="1"/>
  <c r="K2576" i="2" s="1"/>
  <c r="K2585" i="2" a="1"/>
  <c r="K2585" i="2" s="1"/>
  <c r="K2594" i="2" a="1"/>
  <c r="K2594" i="2" s="1"/>
  <c r="K2602" i="2" a="1"/>
  <c r="K2602" i="2" s="1"/>
  <c r="K2619" i="2" a="1"/>
  <c r="K2619" i="2" s="1"/>
  <c r="K2634" i="2" a="1"/>
  <c r="K2634" i="2" s="1"/>
  <c r="K2651" i="2" a="1"/>
  <c r="K2651" i="2" s="1"/>
  <c r="K2658" i="2" a="1"/>
  <c r="K2658" i="2" s="1"/>
  <c r="K2667" i="2" a="1"/>
  <c r="K2667" i="2" s="1"/>
  <c r="K2683" i="2" a="1"/>
  <c r="K2683" i="2" s="1"/>
  <c r="K2692" i="2" a="1"/>
  <c r="K2692" i="2" s="1"/>
  <c r="K2702" i="2" a="1"/>
  <c r="K2702" i="2" s="1"/>
  <c r="K2718" i="2" a="1"/>
  <c r="K2718" i="2" s="1"/>
  <c r="K2727" i="2" a="1"/>
  <c r="K2727" i="2" s="1"/>
  <c r="K2743" i="2" a="1"/>
  <c r="K2743" i="2" s="1"/>
  <c r="K2751" i="2" a="1"/>
  <c r="K2751" i="2" s="1"/>
  <c r="K2761" i="2" a="1"/>
  <c r="K2761" i="2" s="1"/>
  <c r="K1492" i="2" a="1"/>
  <c r="K1492" i="2" s="1"/>
  <c r="K1893" i="2" a="1"/>
  <c r="K1893" i="2" s="1"/>
  <c r="K1962" i="2" a="1"/>
  <c r="K1962" i="2" s="1"/>
  <c r="K2077" i="2" a="1"/>
  <c r="K2077" i="2" s="1"/>
  <c r="K2174" i="2" a="1"/>
  <c r="K2174" i="2" s="1"/>
  <c r="K2340" i="2" a="1"/>
  <c r="K2340" i="2" s="1"/>
  <c r="K2374" i="2" a="1"/>
  <c r="K2374" i="2" s="1"/>
  <c r="K2394" i="2" a="1"/>
  <c r="K2394" i="2" s="1"/>
  <c r="K2407" i="2" a="1"/>
  <c r="K2407" i="2" s="1"/>
  <c r="K2419" i="2" a="1"/>
  <c r="K2419" i="2" s="1"/>
  <c r="K2434" i="2" a="1"/>
  <c r="K2434" i="2" s="1"/>
  <c r="K2446" i="2" a="1"/>
  <c r="K2446" i="2" s="1"/>
  <c r="K2461" i="2" a="1"/>
  <c r="K2461" i="2" s="1"/>
  <c r="K2473" i="2" a="1"/>
  <c r="K2473" i="2" s="1"/>
  <c r="K2486" i="2" a="1"/>
  <c r="K2486" i="2" s="1"/>
  <c r="K2497" i="2" a="1"/>
  <c r="K2497" i="2" s="1"/>
  <c r="K2509" i="2" a="1"/>
  <c r="K2509" i="2" s="1"/>
  <c r="K2532" i="2" a="1"/>
  <c r="K2532" i="2" s="1"/>
  <c r="K2541" i="2" a="1"/>
  <c r="K2541" i="2" s="1"/>
  <c r="K2550" i="2" a="1"/>
  <c r="K2550" i="2" s="1"/>
  <c r="K2568" i="2" a="1"/>
  <c r="K2568" i="2" s="1"/>
  <c r="K2577" i="2" a="1"/>
  <c r="K2577" i="2" s="1"/>
  <c r="K2595" i="2" a="1"/>
  <c r="K2595" i="2" s="1"/>
  <c r="K2603" i="2" a="1"/>
  <c r="K2603" i="2" s="1"/>
  <c r="K2610" i="2" a="1"/>
  <c r="K2610" i="2" s="1"/>
  <c r="K2627" i="2" a="1"/>
  <c r="K2627" i="2" s="1"/>
  <c r="K2635" i="2" a="1"/>
  <c r="K2635" i="2" s="1"/>
  <c r="K2643" i="2" a="1"/>
  <c r="K2643" i="2" s="1"/>
  <c r="K2659" i="2" a="1"/>
  <c r="K2659" i="2" s="1"/>
  <c r="K2676" i="2" a="1"/>
  <c r="K2676" i="2" s="1"/>
  <c r="K2684" i="2" a="1"/>
  <c r="K2684" i="2" s="1"/>
  <c r="K2693" i="2" a="1"/>
  <c r="K2693" i="2" s="1"/>
  <c r="K2711" i="2" a="1"/>
  <c r="K2711" i="2" s="1"/>
  <c r="K2719" i="2" a="1"/>
  <c r="K2719" i="2" s="1"/>
  <c r="K2735" i="2" a="1"/>
  <c r="K2735" i="2" s="1"/>
  <c r="K2752" i="2" a="1"/>
  <c r="K2752" i="2" s="1"/>
  <c r="K2762" i="2" a="1"/>
  <c r="K2762" i="2" s="1"/>
  <c r="K2771" i="2" a="1"/>
  <c r="K2771" i="2" s="1"/>
  <c r="K2780" i="2" a="1"/>
  <c r="K2780" i="2" s="1"/>
  <c r="K2798" i="2" a="1"/>
  <c r="K2798" i="2" s="1"/>
  <c r="K2806" i="2" a="1"/>
  <c r="K2806" i="2" s="1"/>
  <c r="K1903" i="2" a="1"/>
  <c r="K1903" i="2" s="1"/>
  <c r="K1973" i="2" a="1"/>
  <c r="K1973" i="2" s="1"/>
  <c r="K2032" i="2" a="1"/>
  <c r="K2032" i="2" s="1"/>
  <c r="K2235" i="2" a="1"/>
  <c r="K2235" i="2" s="1"/>
  <c r="K2277" i="2" a="1"/>
  <c r="K2277" i="2" s="1"/>
  <c r="K2312" i="2" a="1"/>
  <c r="K2312" i="2" s="1"/>
  <c r="K2346" i="2" a="1"/>
  <c r="K2346" i="2" s="1"/>
  <c r="K2395" i="2" a="1"/>
  <c r="K2395" i="2" s="1"/>
  <c r="K2408" i="2" a="1"/>
  <c r="K2408" i="2" s="1"/>
  <c r="K2420" i="2" a="1"/>
  <c r="K2420" i="2" s="1"/>
  <c r="K2435" i="2" a="1"/>
  <c r="K2435" i="2" s="1"/>
  <c r="K2447" i="2" a="1"/>
  <c r="K2447" i="2" s="1"/>
  <c r="K2498" i="2" a="1"/>
  <c r="K2498" i="2" s="1"/>
  <c r="K2522" i="2" a="1"/>
  <c r="K2522" i="2" s="1"/>
  <c r="K2542" i="2" a="1"/>
  <c r="K2542" i="2" s="1"/>
  <c r="K2551" i="2" a="1"/>
  <c r="K2551" i="2" s="1"/>
  <c r="K2560" i="2" a="1"/>
  <c r="K2560" i="2" s="1"/>
  <c r="K2569" i="2" a="1"/>
  <c r="K2569" i="2" s="1"/>
  <c r="K2578" i="2" a="1"/>
  <c r="K2578" i="2" s="1"/>
  <c r="K2586" i="2" a="1"/>
  <c r="K2586" i="2" s="1"/>
  <c r="K2611" i="2" a="1"/>
  <c r="K2611" i="2" s="1"/>
  <c r="K2620" i="2" a="1"/>
  <c r="K2620" i="2" s="1"/>
  <c r="K2628" i="2" a="1"/>
  <c r="K2628" i="2" s="1"/>
  <c r="K2636" i="2" a="1"/>
  <c r="K2636" i="2" s="1"/>
  <c r="K2644" i="2" a="1"/>
  <c r="K2644" i="2" s="1"/>
  <c r="K2652" i="2" a="1"/>
  <c r="K2652" i="2" s="1"/>
  <c r="K2660" i="2" a="1"/>
  <c r="K2660" i="2" s="1"/>
  <c r="K2668" i="2" a="1"/>
  <c r="K2668" i="2" s="1"/>
  <c r="K2677" i="2" a="1"/>
  <c r="K2677" i="2" s="1"/>
  <c r="K2685" i="2" a="1"/>
  <c r="K2685" i="2" s="1"/>
  <c r="K2703" i="2" a="1"/>
  <c r="K2703" i="2" s="1"/>
  <c r="K2712" i="2" a="1"/>
  <c r="K2712" i="2" s="1"/>
  <c r="K2720" i="2" a="1"/>
  <c r="K2720" i="2" s="1"/>
  <c r="K2728" i="2" a="1"/>
  <c r="K2728" i="2" s="1"/>
  <c r="K2736" i="2" a="1"/>
  <c r="K2736" i="2" s="1"/>
  <c r="K2744" i="2" a="1"/>
  <c r="K2744" i="2" s="1"/>
  <c r="K2772" i="2" a="1"/>
  <c r="K2772" i="2" s="1"/>
  <c r="K2781" i="2" a="1"/>
  <c r="K2781" i="2" s="1"/>
  <c r="K2790" i="2" a="1"/>
  <c r="K2790" i="2" s="1"/>
  <c r="K1598" i="2" a="1"/>
  <c r="K1598" i="2" s="1"/>
  <c r="K1904" i="2" a="1"/>
  <c r="K1904" i="2" s="1"/>
  <c r="K1975" i="2" a="1"/>
  <c r="K1975" i="2" s="1"/>
  <c r="K2033" i="2" a="1"/>
  <c r="K2033" i="2" s="1"/>
  <c r="K2084" i="2" a="1"/>
  <c r="K2084" i="2" s="1"/>
  <c r="K2129" i="2" a="1"/>
  <c r="K2129" i="2" s="1"/>
  <c r="K2182" i="2" a="1"/>
  <c r="K2182" i="2" s="1"/>
  <c r="K2278" i="2" a="1"/>
  <c r="K2278" i="2" s="1"/>
  <c r="K2347" i="2" a="1"/>
  <c r="K2347" i="2" s="1"/>
  <c r="K2380" i="2" a="1"/>
  <c r="K2380" i="2" s="1"/>
  <c r="K2409" i="2" a="1"/>
  <c r="K2409" i="2" s="1"/>
  <c r="K2423" i="2" a="1"/>
  <c r="K2423" i="2" s="1"/>
  <c r="K2451" i="2" a="1"/>
  <c r="K2451" i="2" s="1"/>
  <c r="K2462" i="2" a="1"/>
  <c r="K2462" i="2" s="1"/>
  <c r="K2476" i="2" a="1"/>
  <c r="K2476" i="2" s="1"/>
  <c r="K2487" i="2" a="1"/>
  <c r="K2487" i="2" s="1"/>
  <c r="K2511" i="2" a="1"/>
  <c r="K2511" i="2" s="1"/>
  <c r="K2523" i="2" a="1"/>
  <c r="K2523" i="2" s="1"/>
  <c r="K2534" i="2" a="1"/>
  <c r="K2534" i="2" s="1"/>
  <c r="K2543" i="2" a="1"/>
  <c r="K2543" i="2" s="1"/>
  <c r="K2552" i="2" a="1"/>
  <c r="K2552" i="2" s="1"/>
  <c r="K2579" i="2" a="1"/>
  <c r="K2579" i="2" s="1"/>
  <c r="K2587" i="2" a="1"/>
  <c r="K2587" i="2" s="1"/>
  <c r="K2596" i="2" a="1"/>
  <c r="K2596" i="2" s="1"/>
  <c r="K2604" i="2" a="1"/>
  <c r="K2604" i="2" s="1"/>
  <c r="K2612" i="2" a="1"/>
  <c r="K2612" i="2" s="1"/>
  <c r="K2629" i="2" a="1"/>
  <c r="K2629" i="2" s="1"/>
  <c r="K2637" i="2" a="1"/>
  <c r="K2637" i="2" s="1"/>
  <c r="K2653" i="2" a="1"/>
  <c r="K2653" i="2" s="1"/>
  <c r="K2661" i="2" a="1"/>
  <c r="K2661" i="2" s="1"/>
  <c r="K2669" i="2" a="1"/>
  <c r="K2669" i="2" s="1"/>
  <c r="K2686" i="2" a="1"/>
  <c r="K2686" i="2" s="1"/>
  <c r="K2694" i="2" a="1"/>
  <c r="K2694" i="2" s="1"/>
  <c r="K2713" i="2" a="1"/>
  <c r="K2713" i="2" s="1"/>
  <c r="K2729" i="2" a="1"/>
  <c r="K2729" i="2" s="1"/>
  <c r="K2500" i="2" a="1"/>
  <c r="K2500" i="2" s="1"/>
  <c r="K2773" i="2" a="1"/>
  <c r="K2773" i="2" s="1"/>
  <c r="K2807" i="2" a="1"/>
  <c r="K2807" i="2" s="1"/>
  <c r="K2824" i="2" a="1"/>
  <c r="K2824" i="2" s="1"/>
  <c r="K2856" i="2" a="1"/>
  <c r="K2856" i="2" s="1"/>
  <c r="K2869" i="2" a="1"/>
  <c r="K2869" i="2" s="1"/>
  <c r="K2884" i="2" a="1"/>
  <c r="K2884" i="2" s="1"/>
  <c r="K2895" i="2" a="1"/>
  <c r="K2895" i="2" s="1"/>
  <c r="K2909" i="2" a="1"/>
  <c r="K2909" i="2" s="1"/>
  <c r="K2953" i="2" a="1"/>
  <c r="K2953" i="2" s="1"/>
  <c r="K2965" i="2" a="1"/>
  <c r="K2965" i="2" s="1"/>
  <c r="K2977" i="2" a="1"/>
  <c r="K2977" i="2" s="1"/>
  <c r="K2992" i="2" a="1"/>
  <c r="K2992" i="2" s="1"/>
  <c r="K3002" i="2" a="1"/>
  <c r="K3002" i="2" s="1"/>
  <c r="K3012" i="2" a="1"/>
  <c r="K3012" i="2" s="1"/>
  <c r="K3027" i="2" a="1"/>
  <c r="K3027" i="2" s="1"/>
  <c r="K3060" i="2" a="1"/>
  <c r="K3060" i="2" s="1"/>
  <c r="K3070" i="2" a="1"/>
  <c r="K3070" i="2" s="1"/>
  <c r="K3080" i="2" a="1"/>
  <c r="K3080" i="2" s="1"/>
  <c r="K3097" i="2" a="1"/>
  <c r="K3097" i="2" s="1"/>
  <c r="K3107" i="2" a="1"/>
  <c r="K3107" i="2" s="1"/>
  <c r="K3115" i="2" a="1"/>
  <c r="K3115" i="2" s="1"/>
  <c r="K3124" i="2" a="1"/>
  <c r="K3124" i="2" s="1"/>
  <c r="K3141" i="2" a="1"/>
  <c r="K3141" i="2" s="1"/>
  <c r="K3150" i="2" a="1"/>
  <c r="K3150" i="2" s="1"/>
  <c r="K3158" i="2" a="1"/>
  <c r="K3158" i="2" s="1"/>
  <c r="K3175" i="2" a="1"/>
  <c r="K3175" i="2" s="1"/>
  <c r="K3183" i="2" a="1"/>
  <c r="K3183" i="2" s="1"/>
  <c r="K3200" i="2" a="1"/>
  <c r="K3200" i="2" s="1"/>
  <c r="K3207" i="2" a="1"/>
  <c r="K3207" i="2" s="1"/>
  <c r="K3216" i="2" a="1"/>
  <c r="K3216" i="2" s="1"/>
  <c r="K3223" i="2" a="1"/>
  <c r="K3223" i="2" s="1"/>
  <c r="K3232" i="2" a="1"/>
  <c r="K3232" i="2" s="1"/>
  <c r="K3256" i="2" a="1"/>
  <c r="K3256" i="2" s="1"/>
  <c r="K3274" i="2" a="1"/>
  <c r="K3274" i="2" s="1"/>
  <c r="K3281" i="2" a="1"/>
  <c r="K3281" i="2" s="1"/>
  <c r="K3290" i="2" a="1"/>
  <c r="K3290" i="2" s="1"/>
  <c r="K3321" i="2" a="1"/>
  <c r="K3321" i="2" s="1"/>
  <c r="K3329" i="2" a="1"/>
  <c r="K3329" i="2" s="1"/>
  <c r="K3337" i="2" a="1"/>
  <c r="K3337" i="2" s="1"/>
  <c r="K3347" i="2" a="1"/>
  <c r="K3347" i="2" s="1"/>
  <c r="K3354" i="2" a="1"/>
  <c r="K3354" i="2" s="1"/>
  <c r="K3363" i="2" a="1"/>
  <c r="K3363" i="2" s="1"/>
  <c r="K3371" i="2" a="1"/>
  <c r="K3371" i="2" s="1"/>
  <c r="K3387" i="2" a="1"/>
  <c r="K3387" i="2" s="1"/>
  <c r="K3404" i="2" a="1"/>
  <c r="K3404" i="2" s="1"/>
  <c r="K3421" i="2" a="1"/>
  <c r="K3421" i="2" s="1"/>
  <c r="K3429" i="2" a="1"/>
  <c r="K3429" i="2" s="1"/>
  <c r="K3445" i="2" a="1"/>
  <c r="K3445" i="2" s="1"/>
  <c r="K3454" i="2" a="1"/>
  <c r="K3454" i="2" s="1"/>
  <c r="K3461" i="2" a="1"/>
  <c r="K3461" i="2" s="1"/>
  <c r="K3477" i="2" a="1"/>
  <c r="K3477" i="2" s="1"/>
  <c r="K3485" i="2" a="1"/>
  <c r="K3485" i="2" s="1"/>
  <c r="K3510" i="2" a="1"/>
  <c r="K3510" i="2" s="1"/>
  <c r="K3519" i="2" a="1"/>
  <c r="K3519" i="2" s="1"/>
  <c r="K3527" i="2" a="1"/>
  <c r="K3527" i="2" s="1"/>
  <c r="K3535" i="2" a="1"/>
  <c r="K3535" i="2" s="1"/>
  <c r="K3544" i="2" a="1"/>
  <c r="K3544" i="2" s="1"/>
  <c r="K3561" i="2" a="1"/>
  <c r="K3561" i="2" s="1"/>
  <c r="K3569" i="2" a="1"/>
  <c r="K3569" i="2" s="1"/>
  <c r="K3595" i="2" a="1"/>
  <c r="K3595" i="2" s="1"/>
  <c r="K3632" i="2" a="1"/>
  <c r="K3632" i="2" s="1"/>
  <c r="K3641" i="2" a="1"/>
  <c r="K3641" i="2" s="1"/>
  <c r="K3650" i="2" a="1"/>
  <c r="K3650" i="2" s="1"/>
  <c r="K3668" i="2" a="1"/>
  <c r="K3668" i="2" s="1"/>
  <c r="K3678" i="2" a="1"/>
  <c r="K3678" i="2" s="1"/>
  <c r="K3686" i="2" a="1"/>
  <c r="K3686" i="2" s="1"/>
  <c r="K3704" i="2" a="1"/>
  <c r="K3704" i="2" s="1"/>
  <c r="K3713" i="2" a="1"/>
  <c r="K3713" i="2" s="1"/>
  <c r="K3722" i="2" a="1"/>
  <c r="K3722" i="2" s="1"/>
  <c r="K3732" i="2" a="1"/>
  <c r="K3732" i="2" s="1"/>
  <c r="K3749" i="2" a="1"/>
  <c r="K3749" i="2" s="1"/>
  <c r="K3766" i="2" a="1"/>
  <c r="K3766" i="2" s="1"/>
  <c r="K3775" i="2" a="1"/>
  <c r="K3775" i="2" s="1"/>
  <c r="K3784" i="2" a="1"/>
  <c r="K3784" i="2" s="1"/>
  <c r="K2313" i="2" a="1"/>
  <c r="K2313" i="2" s="1"/>
  <c r="K2621" i="2" a="1"/>
  <c r="K2621" i="2" s="1"/>
  <c r="K2721" i="2" a="1"/>
  <c r="K2721" i="2" s="1"/>
  <c r="K2774" i="2" a="1"/>
  <c r="K2774" i="2" s="1"/>
  <c r="K2808" i="2" a="1"/>
  <c r="K2808" i="2" s="1"/>
  <c r="K2844" i="2" a="1"/>
  <c r="K2844" i="2" s="1"/>
  <c r="K2870" i="2" a="1"/>
  <c r="K2870" i="2" s="1"/>
  <c r="K2885" i="2" a="1"/>
  <c r="K2885" i="2" s="1"/>
  <c r="K2896" i="2" a="1"/>
  <c r="K2896" i="2" s="1"/>
  <c r="K2911" i="2" a="1"/>
  <c r="K2911" i="2" s="1"/>
  <c r="K2925" i="2" a="1"/>
  <c r="K2925" i="2" s="1"/>
  <c r="K2938" i="2" a="1"/>
  <c r="K2938" i="2" s="1"/>
  <c r="K2966" i="2" a="1"/>
  <c r="K2966" i="2" s="1"/>
  <c r="K2978" i="2" a="1"/>
  <c r="K2978" i="2" s="1"/>
  <c r="K2993" i="2" a="1"/>
  <c r="K2993" i="2" s="1"/>
  <c r="K3013" i="2" a="1"/>
  <c r="K3013" i="2" s="1"/>
  <c r="K3038" i="2" a="1"/>
  <c r="K3038" i="2" s="1"/>
  <c r="K3049" i="2" a="1"/>
  <c r="K3049" i="2" s="1"/>
  <c r="K3061" i="2" a="1"/>
  <c r="K3061" i="2" s="1"/>
  <c r="K3071" i="2" a="1"/>
  <c r="K3071" i="2" s="1"/>
  <c r="K3081" i="2" a="1"/>
  <c r="K3081" i="2" s="1"/>
  <c r="K3090" i="2" a="1"/>
  <c r="K3090" i="2" s="1"/>
  <c r="K3098" i="2" a="1"/>
  <c r="K3098" i="2" s="1"/>
  <c r="K3116" i="2" a="1"/>
  <c r="K3116" i="2" s="1"/>
  <c r="K3125" i="2" a="1"/>
  <c r="K3125" i="2" s="1"/>
  <c r="K3134" i="2" a="1"/>
  <c r="K3134" i="2" s="1"/>
  <c r="K3142" i="2" a="1"/>
  <c r="K3142" i="2" s="1"/>
  <c r="K3167" i="2" a="1"/>
  <c r="K3167" i="2" s="1"/>
  <c r="K3184" i="2" a="1"/>
  <c r="K3184" i="2" s="1"/>
  <c r="K3192" i="2" a="1"/>
  <c r="K3192" i="2" s="1"/>
  <c r="K3208" i="2" a="1"/>
  <c r="K3208" i="2" s="1"/>
  <c r="K3217" i="2" a="1"/>
  <c r="K3217" i="2" s="1"/>
  <c r="K3224" i="2" a="1"/>
  <c r="K3224" i="2" s="1"/>
  <c r="K3233" i="2" a="1"/>
  <c r="K3233" i="2" s="1"/>
  <c r="K3240" i="2" a="1"/>
  <c r="K3240" i="2" s="1"/>
  <c r="K3249" i="2" a="1"/>
  <c r="K3249" i="2" s="1"/>
  <c r="K3257" i="2" a="1"/>
  <c r="K3257" i="2" s="1"/>
  <c r="K3265" i="2" a="1"/>
  <c r="K3265" i="2" s="1"/>
  <c r="K3299" i="2" a="1"/>
  <c r="K3299" i="2" s="1"/>
  <c r="K3307" i="2" a="1"/>
  <c r="K3307" i="2" s="1"/>
  <c r="K3314" i="2" a="1"/>
  <c r="K3314" i="2" s="1"/>
  <c r="K3322" i="2" a="1"/>
  <c r="K3322" i="2" s="1"/>
  <c r="K3330" i="2" a="1"/>
  <c r="K3330" i="2" s="1"/>
  <c r="K3348" i="2" a="1"/>
  <c r="K3348" i="2" s="1"/>
  <c r="K3364" i="2" a="1"/>
  <c r="K3364" i="2" s="1"/>
  <c r="K3372" i="2" a="1"/>
  <c r="K3372" i="2" s="1"/>
  <c r="K3380" i="2" a="1"/>
  <c r="K3380" i="2" s="1"/>
  <c r="K3388" i="2" a="1"/>
  <c r="K3388" i="2" s="1"/>
  <c r="K3396" i="2" a="1"/>
  <c r="K3396" i="2" s="1"/>
  <c r="K3413" i="2" a="1"/>
  <c r="K3413" i="2" s="1"/>
  <c r="K3430" i="2" a="1"/>
  <c r="K3430" i="2" s="1"/>
  <c r="K3438" i="2" a="1"/>
  <c r="K3438" i="2" s="1"/>
  <c r="K3446" i="2" a="1"/>
  <c r="K3446" i="2" s="1"/>
  <c r="K3462" i="2" a="1"/>
  <c r="K3462" i="2" s="1"/>
  <c r="K3470" i="2" a="1"/>
  <c r="K3470" i="2" s="1"/>
  <c r="K3478" i="2" a="1"/>
  <c r="K3478" i="2" s="1"/>
  <c r="K3486" i="2" a="1"/>
  <c r="K3486" i="2" s="1"/>
  <c r="K3494" i="2" a="1"/>
  <c r="K3494" i="2" s="1"/>
  <c r="K3502" i="2" a="1"/>
  <c r="K3502" i="2" s="1"/>
  <c r="K3511" i="2" a="1"/>
  <c r="K3511" i="2" s="1"/>
  <c r="K3520" i="2" a="1"/>
  <c r="K3520" i="2" s="1"/>
  <c r="K3528" i="2" a="1"/>
  <c r="K3528" i="2" s="1"/>
  <c r="K3536" i="2" a="1"/>
  <c r="K3536" i="2" s="1"/>
  <c r="K3553" i="2" a="1"/>
  <c r="K3553" i="2" s="1"/>
  <c r="K3562" i="2" a="1"/>
  <c r="K3562" i="2" s="1"/>
  <c r="K3570" i="2" a="1"/>
  <c r="K3570" i="2" s="1"/>
  <c r="K3578" i="2" a="1"/>
  <c r="K3578" i="2" s="1"/>
  <c r="K3587" i="2" a="1"/>
  <c r="K3587" i="2" s="1"/>
  <c r="K3605" i="2" a="1"/>
  <c r="K3605" i="2" s="1"/>
  <c r="K3614" i="2" a="1"/>
  <c r="K3614" i="2" s="1"/>
  <c r="K3623" i="2" a="1"/>
  <c r="K3623" i="2" s="1"/>
  <c r="K3633" i="2" a="1"/>
  <c r="K3633" i="2" s="1"/>
  <c r="K3642" i="2" a="1"/>
  <c r="K3642" i="2" s="1"/>
  <c r="K3651" i="2" a="1"/>
  <c r="K3651" i="2" s="1"/>
  <c r="K3659" i="2" a="1"/>
  <c r="K3659" i="2" s="1"/>
  <c r="K3669" i="2" a="1"/>
  <c r="K3669" i="2" s="1"/>
  <c r="K3687" i="2" a="1"/>
  <c r="K3687" i="2" s="1"/>
  <c r="K3695" i="2" a="1"/>
  <c r="K3695" i="2" s="1"/>
  <c r="K3705" i="2" a="1"/>
  <c r="K3705" i="2" s="1"/>
  <c r="K3714" i="2" a="1"/>
  <c r="K3714" i="2" s="1"/>
  <c r="K3740" i="2" a="1"/>
  <c r="K3740" i="2" s="1"/>
  <c r="K3750" i="2" a="1"/>
  <c r="K3750" i="2" s="1"/>
  <c r="K3758" i="2" a="1"/>
  <c r="K3758" i="2" s="1"/>
  <c r="K3767" i="2" a="1"/>
  <c r="K3767" i="2" s="1"/>
  <c r="K3785" i="2" a="1"/>
  <c r="K3785" i="2" s="1"/>
  <c r="K3794" i="2" a="1"/>
  <c r="K3794" i="2" s="1"/>
  <c r="K2348" i="2" a="1"/>
  <c r="K2348" i="2" s="1"/>
  <c r="K2809" i="2" a="1"/>
  <c r="K2809" i="2" s="1"/>
  <c r="K2825" i="2" a="1"/>
  <c r="K2825" i="2" s="1"/>
  <c r="K2845" i="2" a="1"/>
  <c r="K2845" i="2" s="1"/>
  <c r="K2859" i="2" a="1"/>
  <c r="K2859" i="2" s="1"/>
  <c r="K2871" i="2" a="1"/>
  <c r="K2871" i="2" s="1"/>
  <c r="K2887" i="2" a="1"/>
  <c r="K2887" i="2" s="1"/>
  <c r="K2897" i="2" a="1"/>
  <c r="K2897" i="2" s="1"/>
  <c r="K2913" i="2" a="1"/>
  <c r="K2913" i="2" s="1"/>
  <c r="K2926" i="2" a="1"/>
  <c r="K2926" i="2" s="1"/>
  <c r="K2940" i="2" a="1"/>
  <c r="K2940" i="2" s="1"/>
  <c r="K2954" i="2" a="1"/>
  <c r="K2954" i="2" s="1"/>
  <c r="K2967" i="2" a="1"/>
  <c r="K2967" i="2" s="1"/>
  <c r="K2979" i="2" a="1"/>
  <c r="K2979" i="2" s="1"/>
  <c r="K2994" i="2" a="1"/>
  <c r="K2994" i="2" s="1"/>
  <c r="K3003" i="2" a="1"/>
  <c r="K3003" i="2" s="1"/>
  <c r="K3016" i="2" a="1"/>
  <c r="K3016" i="2" s="1"/>
  <c r="K3029" i="2" a="1"/>
  <c r="K3029" i="2" s="1"/>
  <c r="K3039" i="2" a="1"/>
  <c r="K3039" i="2" s="1"/>
  <c r="K3051" i="2" a="1"/>
  <c r="K3051" i="2" s="1"/>
  <c r="K3072" i="2" a="1"/>
  <c r="K3072" i="2" s="1"/>
  <c r="K3082" i="2" a="1"/>
  <c r="K3082" i="2" s="1"/>
  <c r="K3099" i="2" a="1"/>
  <c r="K3099" i="2" s="1"/>
  <c r="K3108" i="2" a="1"/>
  <c r="K3108" i="2" s="1"/>
  <c r="K3143" i="2" a="1"/>
  <c r="K3143" i="2" s="1"/>
  <c r="K3151" i="2" a="1"/>
  <c r="K3151" i="2" s="1"/>
  <c r="K3159" i="2" a="1"/>
  <c r="K3159" i="2" s="1"/>
  <c r="K3176" i="2" a="1"/>
  <c r="K3176" i="2" s="1"/>
  <c r="K3201" i="2" a="1"/>
  <c r="K3201" i="2" s="1"/>
  <c r="K3225" i="2" a="1"/>
  <c r="K3225" i="2" s="1"/>
  <c r="K3234" i="2" a="1"/>
  <c r="K3234" i="2" s="1"/>
  <c r="K3241" i="2" a="1"/>
  <c r="K3241" i="2" s="1"/>
  <c r="K3250" i="2" a="1"/>
  <c r="K3250" i="2" s="1"/>
  <c r="K3258" i="2" a="1"/>
  <c r="K3258" i="2" s="1"/>
  <c r="K3275" i="2" a="1"/>
  <c r="K3275" i="2" s="1"/>
  <c r="K3282" i="2" a="1"/>
  <c r="K3282" i="2" s="1"/>
  <c r="K3291" i="2" a="1"/>
  <c r="K3291" i="2" s="1"/>
  <c r="K3300" i="2" a="1"/>
  <c r="K3300" i="2" s="1"/>
  <c r="K3331" i="2" a="1"/>
  <c r="K3331" i="2" s="1"/>
  <c r="K3338" i="2" a="1"/>
  <c r="K3338" i="2" s="1"/>
  <c r="K3355" i="2" a="1"/>
  <c r="K3355" i="2" s="1"/>
  <c r="K3365" i="2" a="1"/>
  <c r="K3365" i="2" s="1"/>
  <c r="K3389" i="2" a="1"/>
  <c r="K3389" i="2" s="1"/>
  <c r="K3405" i="2" a="1"/>
  <c r="K3405" i="2" s="1"/>
  <c r="K3414" i="2" a="1"/>
  <c r="K3414" i="2" s="1"/>
  <c r="K3422" i="2" a="1"/>
  <c r="K3422" i="2" s="1"/>
  <c r="K3431" i="2" a="1"/>
  <c r="K3431" i="2" s="1"/>
  <c r="K3439" i="2" a="1"/>
  <c r="K3439" i="2" s="1"/>
  <c r="K3447" i="2" a="1"/>
  <c r="K3447" i="2" s="1"/>
  <c r="K3455" i="2" a="1"/>
  <c r="K3455" i="2" s="1"/>
  <c r="K3495" i="2" a="1"/>
  <c r="K3495" i="2" s="1"/>
  <c r="K3512" i="2" a="1"/>
  <c r="K3512" i="2" s="1"/>
  <c r="K3529" i="2" a="1"/>
  <c r="K3529" i="2" s="1"/>
  <c r="K3545" i="2" a="1"/>
  <c r="K3545" i="2" s="1"/>
  <c r="K3554" i="2" a="1"/>
  <c r="K3554" i="2" s="1"/>
  <c r="K2382" i="2" a="1"/>
  <c r="K2382" i="2" s="1"/>
  <c r="K2638" i="2" a="1"/>
  <c r="K2638" i="2" s="1"/>
  <c r="K2737" i="2" a="1"/>
  <c r="K2737" i="2" s="1"/>
  <c r="K2782" i="2" a="1"/>
  <c r="K2782" i="2" s="1"/>
  <c r="K2829" i="2" a="1"/>
  <c r="K2829" i="2" s="1"/>
  <c r="K2847" i="2" a="1"/>
  <c r="K2847" i="2" s="1"/>
  <c r="K2860" i="2" a="1"/>
  <c r="K2860" i="2" s="1"/>
  <c r="K2873" i="2" a="1"/>
  <c r="K2873" i="2" s="1"/>
  <c r="K2899" i="2" a="1"/>
  <c r="K2899" i="2" s="1"/>
  <c r="K2914" i="2" a="1"/>
  <c r="K2914" i="2" s="1"/>
  <c r="K2941" i="2" a="1"/>
  <c r="K2941" i="2" s="1"/>
  <c r="K2968" i="2" a="1"/>
  <c r="K2968" i="2" s="1"/>
  <c r="K2981" i="2" a="1"/>
  <c r="K2981" i="2" s="1"/>
  <c r="K2995" i="2" a="1"/>
  <c r="K2995" i="2" s="1"/>
  <c r="K3004" i="2" a="1"/>
  <c r="K3004" i="2" s="1"/>
  <c r="K3030" i="2" a="1"/>
  <c r="K3030" i="2" s="1"/>
  <c r="K3040" i="2" a="1"/>
  <c r="K3040" i="2" s="1"/>
  <c r="K3052" i="2" a="1"/>
  <c r="K3052" i="2" s="1"/>
  <c r="K3062" i="2" a="1"/>
  <c r="K3062" i="2" s="1"/>
  <c r="K3073" i="2" a="1"/>
  <c r="K3073" i="2" s="1"/>
  <c r="K3091" i="2" a="1"/>
  <c r="K3091" i="2" s="1"/>
  <c r="K3100" i="2" a="1"/>
  <c r="K3100" i="2" s="1"/>
  <c r="K3117" i="2" a="1"/>
  <c r="K3117" i="2" s="1"/>
  <c r="K3126" i="2" a="1"/>
  <c r="K3126" i="2" s="1"/>
  <c r="K3135" i="2" a="1"/>
  <c r="K3135" i="2" s="1"/>
  <c r="K3160" i="2" a="1"/>
  <c r="K3160" i="2" s="1"/>
  <c r="K3168" i="2" a="1"/>
  <c r="K3168" i="2" s="1"/>
  <c r="K3177" i="2" a="1"/>
  <c r="K3177" i="2" s="1"/>
  <c r="K3185" i="2" a="1"/>
  <c r="K3185" i="2" s="1"/>
  <c r="K3193" i="2" a="1"/>
  <c r="K3193" i="2" s="1"/>
  <c r="K3202" i="2" a="1"/>
  <c r="K3202" i="2" s="1"/>
  <c r="K3209" i="2" a="1"/>
  <c r="K3209" i="2" s="1"/>
  <c r="K3218" i="2" a="1"/>
  <c r="K3218" i="2" s="1"/>
  <c r="K3226" i="2" a="1"/>
  <c r="K3226" i="2" s="1"/>
  <c r="K3242" i="2" a="1"/>
  <c r="K3242" i="2" s="1"/>
  <c r="K3259" i="2" a="1"/>
  <c r="K3259" i="2" s="1"/>
  <c r="K3266" i="2" a="1"/>
  <c r="K3266" i="2" s="1"/>
  <c r="K3276" i="2" a="1"/>
  <c r="K3276" i="2" s="1"/>
  <c r="K3283" i="2" a="1"/>
  <c r="K3283" i="2" s="1"/>
  <c r="K3292" i="2" a="1"/>
  <c r="K3292" i="2" s="1"/>
  <c r="K3308" i="2" a="1"/>
  <c r="K3308" i="2" s="1"/>
  <c r="K3315" i="2" a="1"/>
  <c r="K3315" i="2" s="1"/>
  <c r="K3323" i="2" a="1"/>
  <c r="K3323" i="2" s="1"/>
  <c r="K3339" i="2" a="1"/>
  <c r="K3339" i="2" s="1"/>
  <c r="K3349" i="2" a="1"/>
  <c r="K3349" i="2" s="1"/>
  <c r="K3356" i="2" a="1"/>
  <c r="K3356" i="2" s="1"/>
  <c r="K3373" i="2" a="1"/>
  <c r="K3373" i="2" s="1"/>
  <c r="K3381" i="2" a="1"/>
  <c r="K3381" i="2" s="1"/>
  <c r="K3390" i="2" a="1"/>
  <c r="K3390" i="2" s="1"/>
  <c r="K3397" i="2" a="1"/>
  <c r="K3397" i="2" s="1"/>
  <c r="K3406" i="2" a="1"/>
  <c r="K3406" i="2" s="1"/>
  <c r="K3432" i="2" a="1"/>
  <c r="K3432" i="2" s="1"/>
  <c r="K3456" i="2" a="1"/>
  <c r="K3456" i="2" s="1"/>
  <c r="K3463" i="2" a="1"/>
  <c r="K3463" i="2" s="1"/>
  <c r="K3471" i="2" a="1"/>
  <c r="K3471" i="2" s="1"/>
  <c r="K3479" i="2" a="1"/>
  <c r="K3479" i="2" s="1"/>
  <c r="K3487" i="2" a="1"/>
  <c r="K3487" i="2" s="1"/>
  <c r="K3503" i="2" a="1"/>
  <c r="K3503" i="2" s="1"/>
  <c r="K3521" i="2" a="1"/>
  <c r="K3521" i="2" s="1"/>
  <c r="K3537" i="2" a="1"/>
  <c r="K3537" i="2" s="1"/>
  <c r="K3546" i="2" a="1"/>
  <c r="K3546" i="2" s="1"/>
  <c r="K1653" i="2" a="1"/>
  <c r="K1653" i="2" s="1"/>
  <c r="K2398" i="2" a="1"/>
  <c r="K2398" i="2" s="1"/>
  <c r="K2544" i="2" a="1"/>
  <c r="K2544" i="2" s="1"/>
  <c r="K2645" i="2" a="1"/>
  <c r="K2645" i="2" s="1"/>
  <c r="K2738" i="2" a="1"/>
  <c r="K2738" i="2" s="1"/>
  <c r="K2783" i="2" a="1"/>
  <c r="K2783" i="2" s="1"/>
  <c r="K2814" i="2" a="1"/>
  <c r="K2814" i="2" s="1"/>
  <c r="K2831" i="2" a="1"/>
  <c r="K2831" i="2" s="1"/>
  <c r="K2848" i="2" a="1"/>
  <c r="K2848" i="2" s="1"/>
  <c r="K2874" i="2" a="1"/>
  <c r="K2874" i="2" s="1"/>
  <c r="K2888" i="2" a="1"/>
  <c r="K2888" i="2" s="1"/>
  <c r="K2900" i="2" a="1"/>
  <c r="K2900" i="2" s="1"/>
  <c r="K2915" i="2" a="1"/>
  <c r="K2915" i="2" s="1"/>
  <c r="K2928" i="2" a="1"/>
  <c r="K2928" i="2" s="1"/>
  <c r="K2942" i="2" a="1"/>
  <c r="K2942" i="2" s="1"/>
  <c r="K2957" i="2" a="1"/>
  <c r="K2957" i="2" s="1"/>
  <c r="K2982" i="2" a="1"/>
  <c r="K2982" i="2" s="1"/>
  <c r="K3018" i="2" a="1"/>
  <c r="K3018" i="2" s="1"/>
  <c r="K3031" i="2" a="1"/>
  <c r="K3031" i="2" s="1"/>
  <c r="K3041" i="2" a="1"/>
  <c r="K3041" i="2" s="1"/>
  <c r="K3053" i="2" a="1"/>
  <c r="K3053" i="2" s="1"/>
  <c r="K3074" i="2" a="1"/>
  <c r="K3074" i="2" s="1"/>
  <c r="K3083" i="2" a="1"/>
  <c r="K3083" i="2" s="1"/>
  <c r="K3092" i="2" a="1"/>
  <c r="K3092" i="2" s="1"/>
  <c r="K3101" i="2" a="1"/>
  <c r="K3101" i="2" s="1"/>
  <c r="K3109" i="2" a="1"/>
  <c r="K3109" i="2" s="1"/>
  <c r="K3118" i="2" a="1"/>
  <c r="K3118" i="2" s="1"/>
  <c r="K3127" i="2" a="1"/>
  <c r="K3127" i="2" s="1"/>
  <c r="K3136" i="2" a="1"/>
  <c r="K3136" i="2" s="1"/>
  <c r="K3144" i="2" a="1"/>
  <c r="K3144" i="2" s="1"/>
  <c r="K3152" i="2" a="1"/>
  <c r="K3152" i="2" s="1"/>
  <c r="K3161" i="2" a="1"/>
  <c r="K3161" i="2" s="1"/>
  <c r="K3169" i="2" a="1"/>
  <c r="K3169" i="2" s="1"/>
  <c r="K3178" i="2" a="1"/>
  <c r="K3178" i="2" s="1"/>
  <c r="K3186" i="2" a="1"/>
  <c r="K3186" i="2" s="1"/>
  <c r="K3203" i="2" a="1"/>
  <c r="K3203" i="2" s="1"/>
  <c r="K3235" i="2" a="1"/>
  <c r="K3235" i="2" s="1"/>
  <c r="K3251" i="2" a="1"/>
  <c r="K3251" i="2" s="1"/>
  <c r="K3260" i="2" a="1"/>
  <c r="K3260" i="2" s="1"/>
  <c r="K3267" i="2" a="1"/>
  <c r="K3267" i="2" s="1"/>
  <c r="K3284" i="2" a="1"/>
  <c r="K3284" i="2" s="1"/>
  <c r="K3293" i="2" a="1"/>
  <c r="K3293" i="2" s="1"/>
  <c r="K3301" i="2" a="1"/>
  <c r="K3301" i="2" s="1"/>
  <c r="K3316" i="2" a="1"/>
  <c r="K3316" i="2" s="1"/>
  <c r="K3332" i="2" a="1"/>
  <c r="K3332" i="2" s="1"/>
  <c r="K3340" i="2" a="1"/>
  <c r="K3340" i="2" s="1"/>
  <c r="K3357" i="2" a="1"/>
  <c r="K3357" i="2" s="1"/>
  <c r="K3366" i="2" a="1"/>
  <c r="K3366" i="2" s="1"/>
  <c r="K3382" i="2" a="1"/>
  <c r="K3382" i="2" s="1"/>
  <c r="K3398" i="2" a="1"/>
  <c r="K3398" i="2" s="1"/>
  <c r="K3407" i="2" a="1"/>
  <c r="K3407" i="2" s="1"/>
  <c r="K3415" i="2" a="1"/>
  <c r="K3415" i="2" s="1"/>
  <c r="K3423" i="2" a="1"/>
  <c r="K3423" i="2" s="1"/>
  <c r="K3440" i="2" a="1"/>
  <c r="K3440" i="2" s="1"/>
  <c r="K3448" i="2" a="1"/>
  <c r="K3448" i="2" s="1"/>
  <c r="K3464" i="2" a="1"/>
  <c r="K3464" i="2" s="1"/>
  <c r="K3480" i="2" a="1"/>
  <c r="K3480" i="2" s="1"/>
  <c r="K3488" i="2" a="1"/>
  <c r="K3488" i="2" s="1"/>
  <c r="K3496" i="2" a="1"/>
  <c r="K3496" i="2" s="1"/>
  <c r="K3504" i="2" a="1"/>
  <c r="K3504" i="2" s="1"/>
  <c r="K3513" i="2" a="1"/>
  <c r="K3513" i="2" s="1"/>
  <c r="K3522" i="2" a="1"/>
  <c r="K3522" i="2" s="1"/>
  <c r="K3530" i="2" a="1"/>
  <c r="K3530" i="2" s="1"/>
  <c r="K3538" i="2" a="1"/>
  <c r="K3538" i="2" s="1"/>
  <c r="K3547" i="2" a="1"/>
  <c r="K3547" i="2" s="1"/>
  <c r="K3556" i="2" a="1"/>
  <c r="K3556" i="2" s="1"/>
  <c r="K3564" i="2" a="1"/>
  <c r="K3564" i="2" s="1"/>
  <c r="K3572" i="2" a="1"/>
  <c r="K3572" i="2" s="1"/>
  <c r="K3589" i="2" a="1"/>
  <c r="K3589" i="2" s="1"/>
  <c r="K3598" i="2" a="1"/>
  <c r="K3598" i="2" s="1"/>
  <c r="K3607" i="2" a="1"/>
  <c r="K3607" i="2" s="1"/>
  <c r="K3626" i="2" a="1"/>
  <c r="K3626" i="2" s="1"/>
  <c r="K3635" i="2" a="1"/>
  <c r="K3635" i="2" s="1"/>
  <c r="K3644" i="2" a="1"/>
  <c r="K3644" i="2" s="1"/>
  <c r="K3653" i="2" a="1"/>
  <c r="K3653" i="2" s="1"/>
  <c r="K3662" i="2" a="1"/>
  <c r="K3662" i="2" s="1"/>
  <c r="K3671" i="2" a="1"/>
  <c r="K3671" i="2" s="1"/>
  <c r="K3681" i="2" a="1"/>
  <c r="K3681" i="2" s="1"/>
  <c r="K2553" i="2" a="1"/>
  <c r="K2553" i="2" s="1"/>
  <c r="K2654" i="2" a="1"/>
  <c r="K2654" i="2" s="1"/>
  <c r="K2745" i="2" a="1"/>
  <c r="K2745" i="2" s="1"/>
  <c r="K2789" i="2" a="1"/>
  <c r="K2789" i="2" s="1"/>
  <c r="K2815" i="2" a="1"/>
  <c r="K2815" i="2" s="1"/>
  <c r="K2849" i="2" a="1"/>
  <c r="K2849" i="2" s="1"/>
  <c r="K2861" i="2" a="1"/>
  <c r="K2861" i="2" s="1"/>
  <c r="K2876" i="2" a="1"/>
  <c r="K2876" i="2" s="1"/>
  <c r="K2901" i="2" a="1"/>
  <c r="K2901" i="2" s="1"/>
  <c r="K2916" i="2" a="1"/>
  <c r="K2916" i="2" s="1"/>
  <c r="K2943" i="2" a="1"/>
  <c r="K2943" i="2" s="1"/>
  <c r="K2959" i="2" a="1"/>
  <c r="K2959" i="2" s="1"/>
  <c r="K2969" i="2" a="1"/>
  <c r="K2969" i="2" s="1"/>
  <c r="K2984" i="2" a="1"/>
  <c r="K2984" i="2" s="1"/>
  <c r="K2996" i="2" a="1"/>
  <c r="K2996" i="2" s="1"/>
  <c r="K3006" i="2" a="1"/>
  <c r="K3006" i="2" s="1"/>
  <c r="K3019" i="2" a="1"/>
  <c r="K3019" i="2" s="1"/>
  <c r="K3043" i="2" a="1"/>
  <c r="K3043" i="2" s="1"/>
  <c r="K3063" i="2" a="1"/>
  <c r="K3063" i="2" s="1"/>
  <c r="K3075" i="2" a="1"/>
  <c r="K3075" i="2" s="1"/>
  <c r="K3084" i="2" a="1"/>
  <c r="K3084" i="2" s="1"/>
  <c r="K3102" i="2" a="1"/>
  <c r="K3102" i="2" s="1"/>
  <c r="K3110" i="2" a="1"/>
  <c r="K3110" i="2" s="1"/>
  <c r="K3119" i="2" a="1"/>
  <c r="K3119" i="2" s="1"/>
  <c r="K3128" i="2" a="1"/>
  <c r="K3128" i="2" s="1"/>
  <c r="K3145" i="2" a="1"/>
  <c r="K3145" i="2" s="1"/>
  <c r="K3153" i="2" a="1"/>
  <c r="K3153" i="2" s="1"/>
  <c r="K3162" i="2" a="1"/>
  <c r="K3162" i="2" s="1"/>
  <c r="K3179" i="2" a="1"/>
  <c r="K3179" i="2" s="1"/>
  <c r="K3187" i="2" a="1"/>
  <c r="K3187" i="2" s="1"/>
  <c r="K3194" i="2" a="1"/>
  <c r="K3194" i="2" s="1"/>
  <c r="K3210" i="2" a="1"/>
  <c r="K3210" i="2" s="1"/>
  <c r="K3219" i="2" a="1"/>
  <c r="K3219" i="2" s="1"/>
  <c r="K3227" i="2" a="1"/>
  <c r="K3227" i="2" s="1"/>
  <c r="K3243" i="2" a="1"/>
  <c r="K3243" i="2" s="1"/>
  <c r="K3268" i="2" a="1"/>
  <c r="K3268" i="2" s="1"/>
  <c r="K3277" i="2" a="1"/>
  <c r="K3277" i="2" s="1"/>
  <c r="K3285" i="2" a="1"/>
  <c r="K3285" i="2" s="1"/>
  <c r="K3309" i="2" a="1"/>
  <c r="K3309" i="2" s="1"/>
  <c r="K3317" i="2" a="1"/>
  <c r="K3317" i="2" s="1"/>
  <c r="K3324" i="2" a="1"/>
  <c r="K3324" i="2" s="1"/>
  <c r="K3350" i="2" a="1"/>
  <c r="K3350" i="2" s="1"/>
  <c r="K3358" i="2" a="1"/>
  <c r="K3358" i="2" s="1"/>
  <c r="K3374" i="2" a="1"/>
  <c r="K3374" i="2" s="1"/>
  <c r="K3391" i="2" a="1"/>
  <c r="K3391" i="2" s="1"/>
  <c r="K3399" i="2" a="1"/>
  <c r="K3399" i="2" s="1"/>
  <c r="K3416" i="2" a="1"/>
  <c r="K3416" i="2" s="1"/>
  <c r="K3424" i="2" a="1"/>
  <c r="K3424" i="2" s="1"/>
  <c r="K3433" i="2" a="1"/>
  <c r="K3433" i="2" s="1"/>
  <c r="K3457" i="2" a="1"/>
  <c r="K3457" i="2" s="1"/>
  <c r="K3472" i="2" a="1"/>
  <c r="K3472" i="2" s="1"/>
  <c r="K3481" i="2" a="1"/>
  <c r="K3481" i="2" s="1"/>
  <c r="K3505" i="2" a="1"/>
  <c r="K3505" i="2" s="1"/>
  <c r="K3514" i="2" a="1"/>
  <c r="K3514" i="2" s="1"/>
  <c r="K3548" i="2" a="1"/>
  <c r="K3548" i="2" s="1"/>
  <c r="K3565" i="2" a="1"/>
  <c r="K3565" i="2" s="1"/>
  <c r="K3581" i="2" a="1"/>
  <c r="K3581" i="2" s="1"/>
  <c r="K3590" i="2" a="1"/>
  <c r="K3590" i="2" s="1"/>
  <c r="K3608" i="2" a="1"/>
  <c r="K3608" i="2" s="1"/>
  <c r="K3617" i="2" a="1"/>
  <c r="K3617" i="2" s="1"/>
  <c r="K3627" i="2" a="1"/>
  <c r="K3627" i="2" s="1"/>
  <c r="K3636" i="2" a="1"/>
  <c r="K3636" i="2" s="1"/>
  <c r="K3645" i="2" a="1"/>
  <c r="K3645" i="2" s="1"/>
  <c r="K3654" i="2" a="1"/>
  <c r="K3654" i="2" s="1"/>
  <c r="K3672" i="2" a="1"/>
  <c r="K3672" i="2" s="1"/>
  <c r="K3682" i="2" a="1"/>
  <c r="K3682" i="2" s="1"/>
  <c r="K3690" i="2" a="1"/>
  <c r="K3690" i="2" s="1"/>
  <c r="K3716" i="2" a="1"/>
  <c r="K3716" i="2" s="1"/>
  <c r="K3726" i="2" a="1"/>
  <c r="K3726" i="2" s="1"/>
  <c r="K3744" i="2" a="1"/>
  <c r="K3744" i="2" s="1"/>
  <c r="K1984" i="2" a="1"/>
  <c r="K1984" i="2" s="1"/>
  <c r="K2424" i="2" a="1"/>
  <c r="K2424" i="2" s="1"/>
  <c r="K2561" i="2" a="1"/>
  <c r="K2561" i="2" s="1"/>
  <c r="K2746" i="2" a="1"/>
  <c r="K2746" i="2" s="1"/>
  <c r="K2791" i="2" a="1"/>
  <c r="K2791" i="2" s="1"/>
  <c r="K2816" i="2" a="1"/>
  <c r="K2816" i="2" s="1"/>
  <c r="K2832" i="2" a="1"/>
  <c r="K2832" i="2" s="1"/>
  <c r="K2851" i="2" a="1"/>
  <c r="K2851" i="2" s="1"/>
  <c r="K2878" i="2" a="1"/>
  <c r="K2878" i="2" s="1"/>
  <c r="K2889" i="2" a="1"/>
  <c r="K2889" i="2" s="1"/>
  <c r="K2903" i="2" a="1"/>
  <c r="K2903" i="2" s="1"/>
  <c r="K2917" i="2" a="1"/>
  <c r="K2917" i="2" s="1"/>
  <c r="K2931" i="2" a="1"/>
  <c r="K2931" i="2" s="1"/>
  <c r="K2944" i="2" a="1"/>
  <c r="K2944" i="2" s="1"/>
  <c r="K2960" i="2" a="1"/>
  <c r="K2960" i="2" s="1"/>
  <c r="K2986" i="2" a="1"/>
  <c r="K2986" i="2" s="1"/>
  <c r="K3007" i="2" a="1"/>
  <c r="K3007" i="2" s="1"/>
  <c r="K3020" i="2" a="1"/>
  <c r="K3020" i="2" s="1"/>
  <c r="K3032" i="2" a="1"/>
  <c r="K3032" i="2" s="1"/>
  <c r="K3054" i="2" a="1"/>
  <c r="K3054" i="2" s="1"/>
  <c r="K3064" i="2" a="1"/>
  <c r="K3064" i="2" s="1"/>
  <c r="K3076" i="2" a="1"/>
  <c r="K3076" i="2" s="1"/>
  <c r="K3093" i="2" a="1"/>
  <c r="K3093" i="2" s="1"/>
  <c r="K3103" i="2" a="1"/>
  <c r="K3103" i="2" s="1"/>
  <c r="K3120" i="2" a="1"/>
  <c r="K3120" i="2" s="1"/>
  <c r="K3129" i="2" a="1"/>
  <c r="K3129" i="2" s="1"/>
  <c r="K3137" i="2" a="1"/>
  <c r="K3137" i="2" s="1"/>
  <c r="K3146" i="2" a="1"/>
  <c r="K3146" i="2" s="1"/>
  <c r="K3154" i="2" a="1"/>
  <c r="K3154" i="2" s="1"/>
  <c r="K3170" i="2" a="1"/>
  <c r="K3170" i="2" s="1"/>
  <c r="K3195" i="2" a="1"/>
  <c r="K3195" i="2" s="1"/>
  <c r="K3204" i="2" a="1"/>
  <c r="K3204" i="2" s="1"/>
  <c r="K3211" i="2" a="1"/>
  <c r="K3211" i="2" s="1"/>
  <c r="K3220" i="2" a="1"/>
  <c r="K3220" i="2" s="1"/>
  <c r="K3228" i="2" a="1"/>
  <c r="K3228" i="2" s="1"/>
  <c r="K3236" i="2" a="1"/>
  <c r="K3236" i="2" s="1"/>
  <c r="K3244" i="2" a="1"/>
  <c r="K3244" i="2" s="1"/>
  <c r="K3252" i="2" a="1"/>
  <c r="K3252" i="2" s="1"/>
  <c r="K3261" i="2" a="1"/>
  <c r="K3261" i="2" s="1"/>
  <c r="K3269" i="2" a="1"/>
  <c r="K3269" i="2" s="1"/>
  <c r="K3286" i="2" a="1"/>
  <c r="K3286" i="2" s="1"/>
  <c r="K3294" i="2" a="1"/>
  <c r="K3294" i="2" s="1"/>
  <c r="K3302" i="2" a="1"/>
  <c r="K3302" i="2" s="1"/>
  <c r="K3310" i="2" a="1"/>
  <c r="K3310" i="2" s="1"/>
  <c r="K3318" i="2" a="1"/>
  <c r="K3318" i="2" s="1"/>
  <c r="K3333" i="2" a="1"/>
  <c r="K3333" i="2" s="1"/>
  <c r="K3341" i="2" a="1"/>
  <c r="K3341" i="2" s="1"/>
  <c r="K3359" i="2" a="1"/>
  <c r="K3359" i="2" s="1"/>
  <c r="K3367" i="2" a="1"/>
  <c r="K3367" i="2" s="1"/>
  <c r="K3375" i="2" a="1"/>
  <c r="K3375" i="2" s="1"/>
  <c r="K3383" i="2" a="1"/>
  <c r="K3383" i="2" s="1"/>
  <c r="K3400" i="2" a="1"/>
  <c r="K3400" i="2" s="1"/>
  <c r="K3408" i="2" a="1"/>
  <c r="K3408" i="2" s="1"/>
  <c r="K3441" i="2" a="1"/>
  <c r="K3441" i="2" s="1"/>
  <c r="K3449" i="2" a="1"/>
  <c r="K3449" i="2" s="1"/>
  <c r="K3465" i="2" a="1"/>
  <c r="K3465" i="2" s="1"/>
  <c r="K3482" i="2" a="1"/>
  <c r="K3482" i="2" s="1"/>
  <c r="K3489" i="2" a="1"/>
  <c r="K3489" i="2" s="1"/>
  <c r="K3497" i="2" a="1"/>
  <c r="K3497" i="2" s="1"/>
  <c r="K3523" i="2" a="1"/>
  <c r="K3523" i="2" s="1"/>
  <c r="K3531" i="2" a="1"/>
  <c r="K3531" i="2" s="1"/>
  <c r="K3539" i="2" a="1"/>
  <c r="K3539" i="2" s="1"/>
  <c r="K3557" i="2" a="1"/>
  <c r="K3557" i="2" s="1"/>
  <c r="K3573" i="2" a="1"/>
  <c r="K3573" i="2" s="1"/>
  <c r="K3582" i="2" a="1"/>
  <c r="K3582" i="2" s="1"/>
  <c r="K3591" i="2" a="1"/>
  <c r="K3591" i="2" s="1"/>
  <c r="K3599" i="2" a="1"/>
  <c r="K3599" i="2" s="1"/>
  <c r="K3609" i="2" a="1"/>
  <c r="K3609" i="2" s="1"/>
  <c r="K3618" i="2" a="1"/>
  <c r="K3618" i="2" s="1"/>
  <c r="K3628" i="2" a="1"/>
  <c r="K3628" i="2" s="1"/>
  <c r="K3637" i="2" a="1"/>
  <c r="K3637" i="2" s="1"/>
  <c r="K3646" i="2" a="1"/>
  <c r="K3646" i="2" s="1"/>
  <c r="K3655" i="2" a="1"/>
  <c r="K3655" i="2" s="1"/>
  <c r="K3663" i="2" a="1"/>
  <c r="K3663" i="2" s="1"/>
  <c r="K3673" i="2" a="1"/>
  <c r="K3673" i="2" s="1"/>
  <c r="K3691" i="2" a="1"/>
  <c r="K3691" i="2" s="1"/>
  <c r="K3699" i="2" a="1"/>
  <c r="K3699" i="2" s="1"/>
  <c r="K3709" i="2" a="1"/>
  <c r="K3709" i="2" s="1"/>
  <c r="K3717" i="2" a="1"/>
  <c r="K3717" i="2" s="1"/>
  <c r="K3727" i="2" a="1"/>
  <c r="K3727" i="2" s="1"/>
  <c r="K3735" i="2" a="1"/>
  <c r="K3735" i="2" s="1"/>
  <c r="K3745" i="2" a="1"/>
  <c r="K3745" i="2" s="1"/>
  <c r="K3753" i="2" a="1"/>
  <c r="K3753" i="2" s="1"/>
  <c r="K3762" i="2" a="1"/>
  <c r="K3762" i="2" s="1"/>
  <c r="K3780" i="2" a="1"/>
  <c r="K3780" i="2" s="1"/>
  <c r="K3788" i="2" a="1"/>
  <c r="K3788" i="2" s="1"/>
  <c r="K2041" i="2" a="1"/>
  <c r="K2041" i="2" s="1"/>
  <c r="K2436" i="2" a="1"/>
  <c r="K2436" i="2" s="1"/>
  <c r="K2570" i="2" a="1"/>
  <c r="K2570" i="2" s="1"/>
  <c r="K2753" i="2" a="1"/>
  <c r="K2753" i="2" s="1"/>
  <c r="K2792" i="2" a="1"/>
  <c r="K2792" i="2" s="1"/>
  <c r="K2833" i="2" a="1"/>
  <c r="K2833" i="2" s="1"/>
  <c r="K2852" i="2" a="1"/>
  <c r="K2852" i="2" s="1"/>
  <c r="K2864" i="2" a="1"/>
  <c r="K2864" i="2" s="1"/>
  <c r="K2879" i="2" a="1"/>
  <c r="K2879" i="2" s="1"/>
  <c r="K2891" i="2" a="1"/>
  <c r="K2891" i="2" s="1"/>
  <c r="K2919" i="2" a="1"/>
  <c r="K2919" i="2" s="1"/>
  <c r="K2932" i="2" a="1"/>
  <c r="K2932" i="2" s="1"/>
  <c r="K2947" i="2" a="1"/>
  <c r="K2947" i="2" s="1"/>
  <c r="K2987" i="2" a="1"/>
  <c r="K2987" i="2" s="1"/>
  <c r="K2997" i="2" a="1"/>
  <c r="K2997" i="2" s="1"/>
  <c r="K3008" i="2" a="1"/>
  <c r="K3008" i="2" s="1"/>
  <c r="K3021" i="2" a="1"/>
  <c r="K3021" i="2" s="1"/>
  <c r="K3055" i="2" a="1"/>
  <c r="K3055" i="2" s="1"/>
  <c r="K3085" i="2" a="1"/>
  <c r="K3085" i="2" s="1"/>
  <c r="K3094" i="2" a="1"/>
  <c r="K3094" i="2" s="1"/>
  <c r="K3111" i="2" a="1"/>
  <c r="K3111" i="2" s="1"/>
  <c r="K3130" i="2" a="1"/>
  <c r="K3130" i="2" s="1"/>
  <c r="K3163" i="2" a="1"/>
  <c r="K3163" i="2" s="1"/>
  <c r="K3171" i="2" a="1"/>
  <c r="K3171" i="2" s="1"/>
  <c r="K3180" i="2" a="1"/>
  <c r="K3180" i="2" s="1"/>
  <c r="K3188" i="2" a="1"/>
  <c r="K3188" i="2" s="1"/>
  <c r="K3196" i="2" a="1"/>
  <c r="K3196" i="2" s="1"/>
  <c r="K3212" i="2" a="1"/>
  <c r="K3212" i="2" s="1"/>
  <c r="K3245" i="2" a="1"/>
  <c r="K3245" i="2" s="1"/>
  <c r="K3262" i="2" a="1"/>
  <c r="K3262" i="2" s="1"/>
  <c r="K3278" i="2" a="1"/>
  <c r="K3278" i="2" s="1"/>
  <c r="K3287" i="2" a="1"/>
  <c r="K3287" i="2" s="1"/>
  <c r="K3325" i="2" a="1"/>
  <c r="K3325" i="2" s="1"/>
  <c r="K3334" i="2" a="1"/>
  <c r="K3334" i="2" s="1"/>
  <c r="K3342" i="2" a="1"/>
  <c r="K3342" i="2" s="1"/>
  <c r="K3351" i="2" a="1"/>
  <c r="K3351" i="2" s="1"/>
  <c r="K3360" i="2" a="1"/>
  <c r="K3360" i="2" s="1"/>
  <c r="K3376" i="2" a="1"/>
  <c r="K3376" i="2" s="1"/>
  <c r="K3392" i="2" a="1"/>
  <c r="K3392" i="2" s="1"/>
  <c r="K3409" i="2" a="1"/>
  <c r="K3409" i="2" s="1"/>
  <c r="K3417" i="2" a="1"/>
  <c r="K3417" i="2" s="1"/>
  <c r="K3425" i="2" a="1"/>
  <c r="K3425" i="2" s="1"/>
  <c r="K3434" i="2" a="1"/>
  <c r="K3434" i="2" s="1"/>
  <c r="K3442" i="2" a="1"/>
  <c r="K3442" i="2" s="1"/>
  <c r="K3450" i="2" a="1"/>
  <c r="K3450" i="2" s="1"/>
  <c r="K3458" i="2" a="1"/>
  <c r="K3458" i="2" s="1"/>
  <c r="K3466" i="2" a="1"/>
  <c r="K3466" i="2" s="1"/>
  <c r="K3473" i="2" a="1"/>
  <c r="K3473" i="2" s="1"/>
  <c r="K3490" i="2" a="1"/>
  <c r="K3490" i="2" s="1"/>
  <c r="K3498" i="2" a="1"/>
  <c r="K3498" i="2" s="1"/>
  <c r="K3506" i="2" a="1"/>
  <c r="K3506" i="2" s="1"/>
  <c r="K3515" i="2" a="1"/>
  <c r="K3515" i="2" s="1"/>
  <c r="K3532" i="2" a="1"/>
  <c r="K3532" i="2" s="1"/>
  <c r="K3540" i="2" a="1"/>
  <c r="K3540" i="2" s="1"/>
  <c r="K3549" i="2" a="1"/>
  <c r="K3549" i="2" s="1"/>
  <c r="K2091" i="2" a="1"/>
  <c r="K2091" i="2" s="1"/>
  <c r="K2678" i="2" a="1"/>
  <c r="K2678" i="2" s="1"/>
  <c r="K2754" i="2" a="1"/>
  <c r="K2754" i="2" s="1"/>
  <c r="K2817" i="2" a="1"/>
  <c r="K2817" i="2" s="1"/>
  <c r="K2834" i="2" a="1"/>
  <c r="K2834" i="2" s="1"/>
  <c r="K2904" i="2" a="1"/>
  <c r="K2904" i="2" s="1"/>
  <c r="K2920" i="2" a="1"/>
  <c r="K2920" i="2" s="1"/>
  <c r="K2948" i="2" a="1"/>
  <c r="K2948" i="2" s="1"/>
  <c r="K2961" i="2" a="1"/>
  <c r="K2961" i="2" s="1"/>
  <c r="K2972" i="2" a="1"/>
  <c r="K2972" i="2" s="1"/>
  <c r="K2999" i="2" a="1"/>
  <c r="K2999" i="2" s="1"/>
  <c r="K3022" i="2" a="1"/>
  <c r="K3022" i="2" s="1"/>
  <c r="K3045" i="2" a="1"/>
  <c r="K3045" i="2" s="1"/>
  <c r="K3056" i="2" a="1"/>
  <c r="K3056" i="2" s="1"/>
  <c r="K3066" i="2" a="1"/>
  <c r="K3066" i="2" s="1"/>
  <c r="K3086" i="2" a="1"/>
  <c r="K3086" i="2" s="1"/>
  <c r="K3104" i="2" a="1"/>
  <c r="K3104" i="2" s="1"/>
  <c r="K3112" i="2" a="1"/>
  <c r="K3112" i="2" s="1"/>
  <c r="K3121" i="2" a="1"/>
  <c r="K3121" i="2" s="1"/>
  <c r="K3138" i="2" a="1"/>
  <c r="K3138" i="2" s="1"/>
  <c r="K3147" i="2" a="1"/>
  <c r="K3147" i="2" s="1"/>
  <c r="K3155" i="2" a="1"/>
  <c r="K3155" i="2" s="1"/>
  <c r="K3164" i="2" a="1"/>
  <c r="K3164" i="2" s="1"/>
  <c r="K3172" i="2" a="1"/>
  <c r="K3172" i="2" s="1"/>
  <c r="K3197" i="2" a="1"/>
  <c r="K3197" i="2" s="1"/>
  <c r="K3205" i="2" a="1"/>
  <c r="K3205" i="2" s="1"/>
  <c r="K3213" i="2" a="1"/>
  <c r="K3213" i="2" s="1"/>
  <c r="K3221" i="2" a="1"/>
  <c r="K3221" i="2" s="1"/>
  <c r="K3229" i="2" a="1"/>
  <c r="K3229" i="2" s="1"/>
  <c r="K3237" i="2" a="1"/>
  <c r="K3237" i="2" s="1"/>
  <c r="K3246" i="2" a="1"/>
  <c r="K3246" i="2" s="1"/>
  <c r="K3253" i="2" a="1"/>
  <c r="K3253" i="2" s="1"/>
  <c r="K3270" i="2" a="1"/>
  <c r="K3270" i="2" s="1"/>
  <c r="K3295" i="2" a="1"/>
  <c r="K3295" i="2" s="1"/>
  <c r="K3303" i="2" a="1"/>
  <c r="K3303" i="2" s="1"/>
  <c r="K3311" i="2" a="1"/>
  <c r="K3311" i="2" s="1"/>
  <c r="K3319" i="2" a="1"/>
  <c r="K3319" i="2" s="1"/>
  <c r="K3326" i="2" a="1"/>
  <c r="K3326" i="2" s="1"/>
  <c r="K3335" i="2" a="1"/>
  <c r="K3335" i="2" s="1"/>
  <c r="K3343" i="2" a="1"/>
  <c r="K3343" i="2" s="1"/>
  <c r="K3352" i="2" a="1"/>
  <c r="K3352" i="2" s="1"/>
  <c r="K3368" i="2" a="1"/>
  <c r="K3368" i="2" s="1"/>
  <c r="K3377" i="2" a="1"/>
  <c r="K3377" i="2" s="1"/>
  <c r="K3384" i="2" a="1"/>
  <c r="K3384" i="2" s="1"/>
  <c r="K3393" i="2" a="1"/>
  <c r="K3393" i="2" s="1"/>
  <c r="K3401" i="2" a="1"/>
  <c r="K3401" i="2" s="1"/>
  <c r="K3418" i="2" a="1"/>
  <c r="K3418" i="2" s="1"/>
  <c r="K3435" i="2" a="1"/>
  <c r="K3435" i="2" s="1"/>
  <c r="K3451" i="2" a="1"/>
  <c r="K3451" i="2" s="1"/>
  <c r="K3459" i="2" a="1"/>
  <c r="K3459" i="2" s="1"/>
  <c r="K3474" i="2" a="1"/>
  <c r="K3474" i="2" s="1"/>
  <c r="K3483" i="2" a="1"/>
  <c r="K3483" i="2" s="1"/>
  <c r="K3507" i="2" a="1"/>
  <c r="K3507" i="2" s="1"/>
  <c r="K3516" i="2" a="1"/>
  <c r="K3516" i="2" s="1"/>
  <c r="K3524" i="2" a="1"/>
  <c r="K3524" i="2" s="1"/>
  <c r="K3541" i="2" a="1"/>
  <c r="K3541" i="2" s="1"/>
  <c r="K3550" i="2" a="1"/>
  <c r="K3550" i="2" s="1"/>
  <c r="K2137" i="2" a="1"/>
  <c r="K2137" i="2" s="1"/>
  <c r="K2687" i="2" a="1"/>
  <c r="K2687" i="2" s="1"/>
  <c r="K2763" i="2" a="1"/>
  <c r="K2763" i="2" s="1"/>
  <c r="K2799" i="2" a="1"/>
  <c r="K2799" i="2" s="1"/>
  <c r="K2821" i="2" a="1"/>
  <c r="K2821" i="2" s="1"/>
  <c r="K2840" i="2" a="1"/>
  <c r="K2840" i="2" s="1"/>
  <c r="K2853" i="2" a="1"/>
  <c r="K2853" i="2" s="1"/>
  <c r="K2866" i="2" a="1"/>
  <c r="K2866" i="2" s="1"/>
  <c r="K2880" i="2" a="1"/>
  <c r="K2880" i="2" s="1"/>
  <c r="K2893" i="2" a="1"/>
  <c r="K2893" i="2" s="1"/>
  <c r="K2905" i="2" a="1"/>
  <c r="K2905" i="2" s="1"/>
  <c r="K2921" i="2" a="1"/>
  <c r="K2921" i="2" s="1"/>
  <c r="K2933" i="2" a="1"/>
  <c r="K2933" i="2" s="1"/>
  <c r="K2950" i="2" a="1"/>
  <c r="K2950" i="2" s="1"/>
  <c r="K2962" i="2" a="1"/>
  <c r="K2962" i="2" s="1"/>
  <c r="K2973" i="2" a="1"/>
  <c r="K2973" i="2" s="1"/>
  <c r="K2988" i="2" a="1"/>
  <c r="K2988" i="2" s="1"/>
  <c r="K3009" i="2" a="1"/>
  <c r="K3009" i="2" s="1"/>
  <c r="K3023" i="2" a="1"/>
  <c r="K3023" i="2" s="1"/>
  <c r="K3035" i="2" a="1"/>
  <c r="K3035" i="2" s="1"/>
  <c r="K3046" i="2" a="1"/>
  <c r="K3046" i="2" s="1"/>
  <c r="K3078" i="2" a="1"/>
  <c r="K3078" i="2" s="1"/>
  <c r="K3087" i="2" a="1"/>
  <c r="K3087" i="2" s="1"/>
  <c r="K3095" i="2" a="1"/>
  <c r="K3095" i="2" s="1"/>
  <c r="K3131" i="2" a="1"/>
  <c r="K3131" i="2" s="1"/>
  <c r="K3148" i="2" a="1"/>
  <c r="K3148" i="2" s="1"/>
  <c r="K3156" i="2" a="1"/>
  <c r="K3156" i="2" s="1"/>
  <c r="K3173" i="2" a="1"/>
  <c r="K3173" i="2" s="1"/>
  <c r="K3181" i="2" a="1"/>
  <c r="K3181" i="2" s="1"/>
  <c r="K3189" i="2" a="1"/>
  <c r="K3189" i="2" s="1"/>
  <c r="K3214" i="2" a="1"/>
  <c r="K3214" i="2" s="1"/>
  <c r="K3238" i="2" a="1"/>
  <c r="K3238" i="2" s="1"/>
  <c r="K3247" i="2" a="1"/>
  <c r="K3247" i="2" s="1"/>
  <c r="K3254" i="2" a="1"/>
  <c r="K3254" i="2" s="1"/>
  <c r="K3263" i="2" a="1"/>
  <c r="K3263" i="2" s="1"/>
  <c r="K3271" i="2" a="1"/>
  <c r="K3271" i="2" s="1"/>
  <c r="K3279" i="2" a="1"/>
  <c r="K3279" i="2" s="1"/>
  <c r="K3288" i="2" a="1"/>
  <c r="K3288" i="2" s="1"/>
  <c r="K3296" i="2" a="1"/>
  <c r="K3296" i="2" s="1"/>
  <c r="K3304" i="2" a="1"/>
  <c r="K3304" i="2" s="1"/>
  <c r="K3327" i="2" a="1"/>
  <c r="K3327" i="2" s="1"/>
  <c r="K3344" i="2" a="1"/>
  <c r="K3344" i="2" s="1"/>
  <c r="K3361" i="2" a="1"/>
  <c r="K3361" i="2" s="1"/>
  <c r="K3369" i="2" a="1"/>
  <c r="K3369" i="2" s="1"/>
  <c r="K3378" i="2" a="1"/>
  <c r="K3378" i="2" s="1"/>
  <c r="K3385" i="2" a="1"/>
  <c r="K3385" i="2" s="1"/>
  <c r="K3394" i="2" a="1"/>
  <c r="K3394" i="2" s="1"/>
  <c r="K3410" i="2" a="1"/>
  <c r="K3410" i="2" s="1"/>
  <c r="K3426" i="2" a="1"/>
  <c r="K3426" i="2" s="1"/>
  <c r="K3436" i="2" a="1"/>
  <c r="K3436" i="2" s="1"/>
  <c r="K3443" i="2" a="1"/>
  <c r="K3443" i="2" s="1"/>
  <c r="K3467" i="2" a="1"/>
  <c r="K3467" i="2" s="1"/>
  <c r="K3475" i="2" a="1"/>
  <c r="K3475" i="2" s="1"/>
  <c r="K3491" i="2" a="1"/>
  <c r="K3491" i="2" s="1"/>
  <c r="K3499" i="2" a="1"/>
  <c r="K3499" i="2" s="1"/>
  <c r="K3508" i="2" a="1"/>
  <c r="K3508" i="2" s="1"/>
  <c r="K3525" i="2" a="1"/>
  <c r="K3525" i="2" s="1"/>
  <c r="K3533" i="2" a="1"/>
  <c r="K3533" i="2" s="1"/>
  <c r="K3559" i="2" a="1"/>
  <c r="K3559" i="2" s="1"/>
  <c r="K2477" i="2" a="1"/>
  <c r="K2477" i="2" s="1"/>
  <c r="K2695" i="2" a="1"/>
  <c r="K2695" i="2" s="1"/>
  <c r="K2764" i="2" a="1"/>
  <c r="K2764" i="2" s="1"/>
  <c r="K2800" i="2" a="1"/>
  <c r="K2800" i="2" s="1"/>
  <c r="K2822" i="2" a="1"/>
  <c r="K2822" i="2" s="1"/>
  <c r="K2842" i="2" a="1"/>
  <c r="K2842" i="2" s="1"/>
  <c r="K2854" i="2" a="1"/>
  <c r="K2854" i="2" s="1"/>
  <c r="K2881" i="2" a="1"/>
  <c r="K2881" i="2" s="1"/>
  <c r="K2894" i="2" a="1"/>
  <c r="K2894" i="2" s="1"/>
  <c r="K2906" i="2" a="1"/>
  <c r="K2906" i="2" s="1"/>
  <c r="K2923" i="2" a="1"/>
  <c r="K2923" i="2" s="1"/>
  <c r="K2975" i="2" a="1"/>
  <c r="K2975" i="2" s="1"/>
  <c r="K2989" i="2" a="1"/>
  <c r="K2989" i="2" s="1"/>
  <c r="K3001" i="2" a="1"/>
  <c r="K3001" i="2" s="1"/>
  <c r="K3010" i="2" a="1"/>
  <c r="K3010" i="2" s="1"/>
  <c r="K3024" i="2" a="1"/>
  <c r="K3024" i="2" s="1"/>
  <c r="K3036" i="2" a="1"/>
  <c r="K3036" i="2" s="1"/>
  <c r="K3047" i="2" a="1"/>
  <c r="K3047" i="2" s="1"/>
  <c r="K3057" i="2" a="1"/>
  <c r="K3057" i="2" s="1"/>
  <c r="K3068" i="2" a="1"/>
  <c r="K3068" i="2" s="1"/>
  <c r="K3079" i="2" a="1"/>
  <c r="K3079" i="2" s="1"/>
  <c r="K3088" i="2" a="1"/>
  <c r="K3088" i="2" s="1"/>
  <c r="K3105" i="2" a="1"/>
  <c r="K3105" i="2" s="1"/>
  <c r="K3113" i="2" a="1"/>
  <c r="K3113" i="2" s="1"/>
  <c r="K3122" i="2" a="1"/>
  <c r="K3122" i="2" s="1"/>
  <c r="K3132" i="2" a="1"/>
  <c r="K3132" i="2" s="1"/>
  <c r="K3139" i="2" a="1"/>
  <c r="K3139" i="2" s="1"/>
  <c r="K3149" i="2" a="1"/>
  <c r="K3149" i="2" s="1"/>
  <c r="K3165" i="2" a="1"/>
  <c r="K3165" i="2" s="1"/>
  <c r="K3174" i="2" a="1"/>
  <c r="K3174" i="2" s="1"/>
  <c r="K3182" i="2" a="1"/>
  <c r="K3182" i="2" s="1"/>
  <c r="K3190" i="2" a="1"/>
  <c r="K3190" i="2" s="1"/>
  <c r="K3198" i="2" a="1"/>
  <c r="K3198" i="2" s="1"/>
  <c r="K3206" i="2" a="1"/>
  <c r="K3206" i="2" s="1"/>
  <c r="K3215" i="2" a="1"/>
  <c r="K3215" i="2" s="1"/>
  <c r="K3222" i="2" a="1"/>
  <c r="K3222" i="2" s="1"/>
  <c r="K3230" i="2" a="1"/>
  <c r="K3230" i="2" s="1"/>
  <c r="K3272" i="2" a="1"/>
  <c r="K3272" i="2" s="1"/>
  <c r="K3280" i="2" a="1"/>
  <c r="K3280" i="2" s="1"/>
  <c r="K3289" i="2" a="1"/>
  <c r="K3289" i="2" s="1"/>
  <c r="K3297" i="2" a="1"/>
  <c r="K3297" i="2" s="1"/>
  <c r="K3305" i="2" a="1"/>
  <c r="K3305" i="2" s="1"/>
  <c r="K3312" i="2" a="1"/>
  <c r="K3312" i="2" s="1"/>
  <c r="K3320" i="2" a="1"/>
  <c r="K3320" i="2" s="1"/>
  <c r="K3328" i="2" a="1"/>
  <c r="K3328" i="2" s="1"/>
  <c r="K3336" i="2" a="1"/>
  <c r="K3336" i="2" s="1"/>
  <c r="K3345" i="2" a="1"/>
  <c r="K3345" i="2" s="1"/>
  <c r="K3353" i="2" a="1"/>
  <c r="K3353" i="2" s="1"/>
  <c r="K3362" i="2" a="1"/>
  <c r="K3362" i="2" s="1"/>
  <c r="K3370" i="2" a="1"/>
  <c r="K3370" i="2" s="1"/>
  <c r="K3386" i="2" a="1"/>
  <c r="K3386" i="2" s="1"/>
  <c r="K3402" i="2" a="1"/>
  <c r="K3402" i="2" s="1"/>
  <c r="K3411" i="2" a="1"/>
  <c r="K3411" i="2" s="1"/>
  <c r="K3419" i="2" a="1"/>
  <c r="K3419" i="2" s="1"/>
  <c r="K3011" i="2" a="1"/>
  <c r="K3011" i="2" s="1"/>
  <c r="K3133" i="2" a="1"/>
  <c r="K3133" i="2" s="1"/>
  <c r="K3231" i="2" a="1"/>
  <c r="K3231" i="2" s="1"/>
  <c r="K3427" i="2" a="1"/>
  <c r="K3427" i="2" s="1"/>
  <c r="K3526" i="2" a="1"/>
  <c r="K3526" i="2" s="1"/>
  <c r="K3563" i="2" a="1"/>
  <c r="K3563" i="2" s="1"/>
  <c r="K3580" i="2" a="1"/>
  <c r="K3580" i="2" s="1"/>
  <c r="K3611" i="2" a="1"/>
  <c r="K3611" i="2" s="1"/>
  <c r="K3657" i="2" a="1"/>
  <c r="K3657" i="2" s="1"/>
  <c r="K3675" i="2" a="1"/>
  <c r="K3675" i="2" s="1"/>
  <c r="K3701" i="2" a="1"/>
  <c r="K3701" i="2" s="1"/>
  <c r="K3715" i="2" a="1"/>
  <c r="K3715" i="2" s="1"/>
  <c r="K3729" i="2" a="1"/>
  <c r="K3729" i="2" s="1"/>
  <c r="K3742" i="2" a="1"/>
  <c r="K3742" i="2" s="1"/>
  <c r="K3755" i="2" a="1"/>
  <c r="K3755" i="2" s="1"/>
  <c r="K3765" i="2" a="1"/>
  <c r="K3765" i="2" s="1"/>
  <c r="K3778" i="2" a="1"/>
  <c r="K3778" i="2" s="1"/>
  <c r="K3790" i="2" a="1"/>
  <c r="K3790" i="2" s="1"/>
  <c r="K3800" i="2" a="1"/>
  <c r="K3800" i="2" s="1"/>
  <c r="K3810" i="2" a="1"/>
  <c r="K3810" i="2" s="1"/>
  <c r="K3828" i="2" a="1"/>
  <c r="K3828" i="2" s="1"/>
  <c r="K3836" i="2" a="1"/>
  <c r="K3836" i="2" s="1"/>
  <c r="K3846" i="2" a="1"/>
  <c r="K3846" i="2" s="1"/>
  <c r="K3854" i="2" a="1"/>
  <c r="K3854" i="2" s="1"/>
  <c r="K3864" i="2" a="1"/>
  <c r="K3864" i="2" s="1"/>
  <c r="K3872" i="2" a="1"/>
  <c r="K3872" i="2" s="1"/>
  <c r="K3882" i="2" a="1"/>
  <c r="K3882" i="2" s="1"/>
  <c r="K3900" i="2" a="1"/>
  <c r="K3900" i="2" s="1"/>
  <c r="K3908" i="2" a="1"/>
  <c r="K3908" i="2" s="1"/>
  <c r="K3926" i="2" a="1"/>
  <c r="K3926" i="2" s="1"/>
  <c r="K3935" i="2" a="1"/>
  <c r="K3935" i="2" s="1"/>
  <c r="K3975" i="2" a="1"/>
  <c r="K3975" i="2" s="1"/>
  <c r="K3984" i="2" a="1"/>
  <c r="K3984" i="2" s="1"/>
  <c r="K4009" i="2" a="1"/>
  <c r="K4009" i="2" s="1"/>
  <c r="K4034" i="2" a="1"/>
  <c r="K4034" i="2" s="1"/>
  <c r="K4043" i="2" a="1"/>
  <c r="K4043" i="2" s="1"/>
  <c r="K4083" i="2" a="1"/>
  <c r="K4083" i="2" s="1"/>
  <c r="K4092" i="2" a="1"/>
  <c r="K4092" i="2" s="1"/>
  <c r="K4117" i="2" a="1"/>
  <c r="K4117" i="2" s="1"/>
  <c r="K4142" i="2" a="1"/>
  <c r="K4142" i="2" s="1"/>
  <c r="K4151" i="2" a="1"/>
  <c r="K4151" i="2" s="1"/>
  <c r="K4159" i="2" a="1"/>
  <c r="K4159" i="2" s="1"/>
  <c r="K4167" i="2" a="1"/>
  <c r="K4167" i="2" s="1"/>
  <c r="K4177" i="2" a="1"/>
  <c r="K4177" i="2" s="1"/>
  <c r="K4187" i="2" a="1"/>
  <c r="K4187" i="2" s="1"/>
  <c r="K4195" i="2" a="1"/>
  <c r="K4195" i="2" s="1"/>
  <c r="K2868" i="2" a="1"/>
  <c r="K2868" i="2" s="1"/>
  <c r="K3026" i="2" a="1"/>
  <c r="K3026" i="2" s="1"/>
  <c r="K3140" i="2" a="1"/>
  <c r="K3140" i="2" s="1"/>
  <c r="K3239" i="2" a="1"/>
  <c r="K3239" i="2" s="1"/>
  <c r="K3428" i="2" a="1"/>
  <c r="K3428" i="2" s="1"/>
  <c r="K3476" i="2" a="1"/>
  <c r="K3476" i="2" s="1"/>
  <c r="K3566" i="2" a="1"/>
  <c r="K3566" i="2" s="1"/>
  <c r="K3583" i="2" a="1"/>
  <c r="K3583" i="2" s="1"/>
  <c r="K3596" i="2" a="1"/>
  <c r="K3596" i="2" s="1"/>
  <c r="K3612" i="2" a="1"/>
  <c r="K3612" i="2" s="1"/>
  <c r="K3629" i="2" a="1"/>
  <c r="K3629" i="2" s="1"/>
  <c r="K3643" i="2" a="1"/>
  <c r="K3643" i="2" s="1"/>
  <c r="K3658" i="2" a="1"/>
  <c r="K3658" i="2" s="1"/>
  <c r="K3676" i="2" a="1"/>
  <c r="K3676" i="2" s="1"/>
  <c r="K3689" i="2" a="1"/>
  <c r="K3689" i="2" s="1"/>
  <c r="K3702" i="2" a="1"/>
  <c r="K3702" i="2" s="1"/>
  <c r="K3730" i="2" a="1"/>
  <c r="K3730" i="2" s="1"/>
  <c r="K3743" i="2" a="1"/>
  <c r="K3743" i="2" s="1"/>
  <c r="K3756" i="2" a="1"/>
  <c r="K3756" i="2" s="1"/>
  <c r="K3768" i="2" a="1"/>
  <c r="K3768" i="2" s="1"/>
  <c r="K3779" i="2" a="1"/>
  <c r="K3779" i="2" s="1"/>
  <c r="K3791" i="2" a="1"/>
  <c r="K3791" i="2" s="1"/>
  <c r="K3801" i="2" a="1"/>
  <c r="K3801" i="2" s="1"/>
  <c r="K3819" i="2" a="1"/>
  <c r="K3819" i="2" s="1"/>
  <c r="K3837" i="2" a="1"/>
  <c r="K3837" i="2" s="1"/>
  <c r="K3855" i="2" a="1"/>
  <c r="K3855" i="2" s="1"/>
  <c r="K3865" i="2" a="1"/>
  <c r="K3865" i="2" s="1"/>
  <c r="K3873" i="2" a="1"/>
  <c r="K3873" i="2" s="1"/>
  <c r="K3891" i="2" a="1"/>
  <c r="K3891" i="2" s="1"/>
  <c r="K3909" i="2" a="1"/>
  <c r="K3909" i="2" s="1"/>
  <c r="K3918" i="2" a="1"/>
  <c r="K3918" i="2" s="1"/>
  <c r="K3927" i="2" a="1"/>
  <c r="K3927" i="2" s="1"/>
  <c r="K3943" i="2" a="1"/>
  <c r="K3943" i="2" s="1"/>
  <c r="K3951" i="2" a="1"/>
  <c r="K3951" i="2" s="1"/>
  <c r="K3960" i="2" a="1"/>
  <c r="K3960" i="2" s="1"/>
  <c r="K3968" i="2" a="1"/>
  <c r="K3968" i="2" s="1"/>
  <c r="K3976" i="2" a="1"/>
  <c r="K3976" i="2" s="1"/>
  <c r="K3985" i="2" a="1"/>
  <c r="K3985" i="2" s="1"/>
  <c r="K3993" i="2" a="1"/>
  <c r="K3993" i="2" s="1"/>
  <c r="K4002" i="2" a="1"/>
  <c r="K4002" i="2" s="1"/>
  <c r="K4017" i="2" a="1"/>
  <c r="K4017" i="2" s="1"/>
  <c r="K4026" i="2" a="1"/>
  <c r="K4026" i="2" s="1"/>
  <c r="K4035" i="2" a="1"/>
  <c r="K4035" i="2" s="1"/>
  <c r="K4051" i="2" a="1"/>
  <c r="K4051" i="2" s="1"/>
  <c r="K4059" i="2" a="1"/>
  <c r="K4059" i="2" s="1"/>
  <c r="K4068" i="2" a="1"/>
  <c r="K4068" i="2" s="1"/>
  <c r="K4076" i="2" a="1"/>
  <c r="K4076" i="2" s="1"/>
  <c r="K4084" i="2" a="1"/>
  <c r="K4084" i="2" s="1"/>
  <c r="K4093" i="2" a="1"/>
  <c r="K4093" i="2" s="1"/>
  <c r="K4101" i="2" a="1"/>
  <c r="K4101" i="2" s="1"/>
  <c r="K4110" i="2" a="1"/>
  <c r="K4110" i="2" s="1"/>
  <c r="K4125" i="2" a="1"/>
  <c r="K4125" i="2" s="1"/>
  <c r="K4134" i="2" a="1"/>
  <c r="K4134" i="2" s="1"/>
  <c r="K4143" i="2" a="1"/>
  <c r="K4143" i="2" s="1"/>
  <c r="K4168" i="2" a="1"/>
  <c r="K4168" i="2" s="1"/>
  <c r="K4178" i="2" a="1"/>
  <c r="K4178" i="2" s="1"/>
  <c r="K4204" i="2" a="1"/>
  <c r="K4204" i="2" s="1"/>
  <c r="K4214" i="2" a="1"/>
  <c r="K4214" i="2" s="1"/>
  <c r="K4222" i="2" a="1"/>
  <c r="K4222" i="2" s="1"/>
  <c r="K4237" i="2" a="1"/>
  <c r="K4237" i="2" s="1"/>
  <c r="K4244" i="2" a="1"/>
  <c r="K4244" i="2" s="1"/>
  <c r="K4260" i="2" a="1"/>
  <c r="K4260" i="2" s="1"/>
  <c r="K4276" i="2" a="1"/>
  <c r="K4276" i="2" s="1"/>
  <c r="K4283" i="2" a="1"/>
  <c r="K4283" i="2" s="1"/>
  <c r="K4299" i="2" a="1"/>
  <c r="K4299" i="2" s="1"/>
  <c r="K4307" i="2" a="1"/>
  <c r="K4307" i="2" s="1"/>
  <c r="K4314" i="2" a="1"/>
  <c r="K4314" i="2" s="1"/>
  <c r="K4322" i="2" a="1"/>
  <c r="K4322" i="2" s="1"/>
  <c r="K4345" i="2" a="1"/>
  <c r="K4345" i="2" s="1"/>
  <c r="K2883" i="2" a="1"/>
  <c r="K2883" i="2" s="1"/>
  <c r="K3037" i="2" a="1"/>
  <c r="K3037" i="2" s="1"/>
  <c r="K3248" i="2" a="1"/>
  <c r="K3248" i="2" s="1"/>
  <c r="K3346" i="2" a="1"/>
  <c r="K3346" i="2" s="1"/>
  <c r="K3484" i="2" a="1"/>
  <c r="K3484" i="2" s="1"/>
  <c r="K3534" i="2" a="1"/>
  <c r="K3534" i="2" s="1"/>
  <c r="K3567" i="2" a="1"/>
  <c r="K3567" i="2" s="1"/>
  <c r="K3584" i="2" a="1"/>
  <c r="K3584" i="2" s="1"/>
  <c r="K3597" i="2" a="1"/>
  <c r="K3597" i="2" s="1"/>
  <c r="K3613" i="2" a="1"/>
  <c r="K3613" i="2" s="1"/>
  <c r="K3630" i="2" a="1"/>
  <c r="K3630" i="2" s="1"/>
  <c r="K3660" i="2" a="1"/>
  <c r="K3660" i="2" s="1"/>
  <c r="K3703" i="2" a="1"/>
  <c r="K3703" i="2" s="1"/>
  <c r="K3718" i="2" a="1"/>
  <c r="K3718" i="2" s="1"/>
  <c r="K3731" i="2" a="1"/>
  <c r="K3731" i="2" s="1"/>
  <c r="K3769" i="2" a="1"/>
  <c r="K3769" i="2" s="1"/>
  <c r="K3792" i="2" a="1"/>
  <c r="K3792" i="2" s="1"/>
  <c r="K3802" i="2" a="1"/>
  <c r="K3802" i="2" s="1"/>
  <c r="K3811" i="2" a="1"/>
  <c r="K3811" i="2" s="1"/>
  <c r="K3820" i="2" a="1"/>
  <c r="K3820" i="2" s="1"/>
  <c r="K3829" i="2" a="1"/>
  <c r="K3829" i="2" s="1"/>
  <c r="K3838" i="2" a="1"/>
  <c r="K3838" i="2" s="1"/>
  <c r="K3847" i="2" a="1"/>
  <c r="K3847" i="2" s="1"/>
  <c r="K3856" i="2" a="1"/>
  <c r="K3856" i="2" s="1"/>
  <c r="K3874" i="2" a="1"/>
  <c r="K3874" i="2" s="1"/>
  <c r="K3883" i="2" a="1"/>
  <c r="K3883" i="2" s="1"/>
  <c r="K3892" i="2" a="1"/>
  <c r="K3892" i="2" s="1"/>
  <c r="K3901" i="2" a="1"/>
  <c r="K3901" i="2" s="1"/>
  <c r="K3910" i="2" a="1"/>
  <c r="K3910" i="2" s="1"/>
  <c r="K3919" i="2" a="1"/>
  <c r="K3919" i="2" s="1"/>
  <c r="K3928" i="2" a="1"/>
  <c r="K3928" i="2" s="1"/>
  <c r="K3936" i="2" a="1"/>
  <c r="K3936" i="2" s="1"/>
  <c r="K3952" i="2" a="1"/>
  <c r="K3952" i="2" s="1"/>
  <c r="K3969" i="2" a="1"/>
  <c r="K3969" i="2" s="1"/>
  <c r="K3977" i="2" a="1"/>
  <c r="K3977" i="2" s="1"/>
  <c r="K3994" i="2" a="1"/>
  <c r="K3994" i="2" s="1"/>
  <c r="K4010" i="2" a="1"/>
  <c r="K4010" i="2" s="1"/>
  <c r="K4018" i="2" a="1"/>
  <c r="K4018" i="2" s="1"/>
  <c r="K4027" i="2" a="1"/>
  <c r="K4027" i="2" s="1"/>
  <c r="K4036" i="2" a="1"/>
  <c r="K4036" i="2" s="1"/>
  <c r="K4044" i="2" a="1"/>
  <c r="K4044" i="2" s="1"/>
  <c r="K4060" i="2" a="1"/>
  <c r="K4060" i="2" s="1"/>
  <c r="K4077" i="2" a="1"/>
  <c r="K4077" i="2" s="1"/>
  <c r="K4085" i="2" a="1"/>
  <c r="K4085" i="2" s="1"/>
  <c r="K4102" i="2" a="1"/>
  <c r="K4102" i="2" s="1"/>
  <c r="K4118" i="2" a="1"/>
  <c r="K4118" i="2" s="1"/>
  <c r="K4126" i="2" a="1"/>
  <c r="K4126" i="2" s="1"/>
  <c r="K4135" i="2" a="1"/>
  <c r="K4135" i="2" s="1"/>
  <c r="K4144" i="2" a="1"/>
  <c r="K4144" i="2" s="1"/>
  <c r="K4152" i="2" a="1"/>
  <c r="K4152" i="2" s="1"/>
  <c r="K4160" i="2" a="1"/>
  <c r="K4160" i="2" s="1"/>
  <c r="K4169" i="2" a="1"/>
  <c r="K4169" i="2" s="1"/>
  <c r="K4179" i="2" a="1"/>
  <c r="K4179" i="2" s="1"/>
  <c r="K4188" i="2" a="1"/>
  <c r="K4188" i="2" s="1"/>
  <c r="K4196" i="2" a="1"/>
  <c r="K4196" i="2" s="1"/>
  <c r="K4205" i="2" a="1"/>
  <c r="K4205" i="2" s="1"/>
  <c r="K4215" i="2" a="1"/>
  <c r="K4215" i="2" s="1"/>
  <c r="K4230" i="2" a="1"/>
  <c r="K4230" i="2" s="1"/>
  <c r="K4245" i="2" a="1"/>
  <c r="K4245" i="2" s="1"/>
  <c r="K4253" i="2" a="1"/>
  <c r="K4253" i="2" s="1"/>
  <c r="K4261" i="2" a="1"/>
  <c r="K4261" i="2" s="1"/>
  <c r="K4268" i="2" a="1"/>
  <c r="K4268" i="2" s="1"/>
  <c r="K4292" i="2" a="1"/>
  <c r="K4292" i="2" s="1"/>
  <c r="K4300" i="2" a="1"/>
  <c r="K4300" i="2" s="1"/>
  <c r="K4329" i="2" a="1"/>
  <c r="K4329" i="2" s="1"/>
  <c r="K4338" i="2" a="1"/>
  <c r="K4338" i="2" s="1"/>
  <c r="K4346" i="2" a="1"/>
  <c r="K4346" i="2" s="1"/>
  <c r="K4353" i="2" a="1"/>
  <c r="K4353" i="2" s="1"/>
  <c r="K3048" i="2" a="1"/>
  <c r="K3048" i="2" s="1"/>
  <c r="K3157" i="2" a="1"/>
  <c r="K3157" i="2" s="1"/>
  <c r="K3255" i="2" a="1"/>
  <c r="K3255" i="2" s="1"/>
  <c r="K3437" i="2" a="1"/>
  <c r="K3437" i="2" s="1"/>
  <c r="K3568" i="2" a="1"/>
  <c r="K3568" i="2" s="1"/>
  <c r="K3600" i="2" a="1"/>
  <c r="K3600" i="2" s="1"/>
  <c r="K3615" i="2" a="1"/>
  <c r="K3615" i="2" s="1"/>
  <c r="K3647" i="2" a="1"/>
  <c r="K3647" i="2" s="1"/>
  <c r="K3661" i="2" a="1"/>
  <c r="K3661" i="2" s="1"/>
  <c r="K3677" i="2" a="1"/>
  <c r="K3677" i="2" s="1"/>
  <c r="K3692" i="2" a="1"/>
  <c r="K3692" i="2" s="1"/>
  <c r="K3706" i="2" a="1"/>
  <c r="K3706" i="2" s="1"/>
  <c r="K3719" i="2" a="1"/>
  <c r="K3719" i="2" s="1"/>
  <c r="K3733" i="2" a="1"/>
  <c r="K3733" i="2" s="1"/>
  <c r="K3746" i="2" a="1"/>
  <c r="K3746" i="2" s="1"/>
  <c r="K3757" i="2" a="1"/>
  <c r="K3757" i="2" s="1"/>
  <c r="K3781" i="2" a="1"/>
  <c r="K3781" i="2" s="1"/>
  <c r="K3793" i="2" a="1"/>
  <c r="K3793" i="2" s="1"/>
  <c r="K3803" i="2" a="1"/>
  <c r="K3803" i="2" s="1"/>
  <c r="K3821" i="2" a="1"/>
  <c r="K3821" i="2" s="1"/>
  <c r="K3839" i="2" a="1"/>
  <c r="K3839" i="2" s="1"/>
  <c r="K3857" i="2" a="1"/>
  <c r="K3857" i="2" s="1"/>
  <c r="K3866" i="2" a="1"/>
  <c r="K3866" i="2" s="1"/>
  <c r="K3875" i="2" a="1"/>
  <c r="K3875" i="2" s="1"/>
  <c r="K3893" i="2" a="1"/>
  <c r="K3893" i="2" s="1"/>
  <c r="K3911" i="2" a="1"/>
  <c r="K3911" i="2" s="1"/>
  <c r="K3920" i="2" a="1"/>
  <c r="K3920" i="2" s="1"/>
  <c r="K3929" i="2" a="1"/>
  <c r="K3929" i="2" s="1"/>
  <c r="K3944" i="2" a="1"/>
  <c r="K3944" i="2" s="1"/>
  <c r="K3953" i="2" a="1"/>
  <c r="K3953" i="2" s="1"/>
  <c r="K3961" i="2" a="1"/>
  <c r="K3961" i="2" s="1"/>
  <c r="K3970" i="2" a="1"/>
  <c r="K3970" i="2" s="1"/>
  <c r="K3978" i="2" a="1"/>
  <c r="K3978" i="2" s="1"/>
  <c r="K3986" i="2" a="1"/>
  <c r="K3986" i="2" s="1"/>
  <c r="K3995" i="2" a="1"/>
  <c r="K3995" i="2" s="1"/>
  <c r="K4003" i="2" a="1"/>
  <c r="K4003" i="2" s="1"/>
  <c r="K4019" i="2" a="1"/>
  <c r="K4019" i="2" s="1"/>
  <c r="K4028" i="2" a="1"/>
  <c r="K4028" i="2" s="1"/>
  <c r="K4037" i="2" a="1"/>
  <c r="K4037" i="2" s="1"/>
  <c r="K4052" i="2" a="1"/>
  <c r="K4052" i="2" s="1"/>
  <c r="K4061" i="2" a="1"/>
  <c r="K4061" i="2" s="1"/>
  <c r="K4069" i="2" a="1"/>
  <c r="K4069" i="2" s="1"/>
  <c r="K4078" i="2" a="1"/>
  <c r="K4078" i="2" s="1"/>
  <c r="K4086" i="2" a="1"/>
  <c r="K4086" i="2" s="1"/>
  <c r="K4094" i="2" a="1"/>
  <c r="K4094" i="2" s="1"/>
  <c r="K4103" i="2" a="1"/>
  <c r="K4103" i="2" s="1"/>
  <c r="K4111" i="2" a="1"/>
  <c r="K4111" i="2" s="1"/>
  <c r="K4127" i="2" a="1"/>
  <c r="K4127" i="2" s="1"/>
  <c r="K4136" i="2" a="1"/>
  <c r="K4136" i="2" s="1"/>
  <c r="K4145" i="2" a="1"/>
  <c r="K4145" i="2" s="1"/>
  <c r="K4170" i="2" a="1"/>
  <c r="K4170" i="2" s="1"/>
  <c r="K4180" i="2" a="1"/>
  <c r="K4180" i="2" s="1"/>
  <c r="K4206" i="2" a="1"/>
  <c r="K4206" i="2" s="1"/>
  <c r="K4216" i="2" a="1"/>
  <c r="K4216" i="2" s="1"/>
  <c r="K4223" i="2" a="1"/>
  <c r="K4223" i="2" s="1"/>
  <c r="K4238" i="2" a="1"/>
  <c r="K4238" i="2" s="1"/>
  <c r="K4246" i="2" a="1"/>
  <c r="K4246" i="2" s="1"/>
  <c r="K4277" i="2" a="1"/>
  <c r="K4277" i="2" s="1"/>
  <c r="K4284" i="2" a="1"/>
  <c r="K4284" i="2" s="1"/>
  <c r="K4308" i="2" a="1"/>
  <c r="K4308" i="2" s="1"/>
  <c r="K4315" i="2" a="1"/>
  <c r="K4315" i="2" s="1"/>
  <c r="K4323" i="2" a="1"/>
  <c r="K4323" i="2" s="1"/>
  <c r="K4330" i="2" a="1"/>
  <c r="K4330" i="2" s="1"/>
  <c r="K4354" i="2" a="1"/>
  <c r="K4354" i="2" s="1"/>
  <c r="K4362" i="2" a="1"/>
  <c r="K4362" i="2" s="1"/>
  <c r="K4369" i="2" a="1"/>
  <c r="K4369" i="2" s="1"/>
  <c r="K3059" i="2" a="1"/>
  <c r="K3059" i="2" s="1"/>
  <c r="K3166" i="2" a="1"/>
  <c r="K3166" i="2" s="1"/>
  <c r="K3264" i="2" a="1"/>
  <c r="K3264" i="2" s="1"/>
  <c r="K3444" i="2" a="1"/>
  <c r="K3444" i="2" s="1"/>
  <c r="K3492" i="2" a="1"/>
  <c r="K3492" i="2" s="1"/>
  <c r="K3542" i="2" a="1"/>
  <c r="K3542" i="2" s="1"/>
  <c r="K3585" i="2" a="1"/>
  <c r="K3585" i="2" s="1"/>
  <c r="K3601" i="2" a="1"/>
  <c r="K3601" i="2" s="1"/>
  <c r="K3616" i="2" a="1"/>
  <c r="K3616" i="2" s="1"/>
  <c r="K3631" i="2" a="1"/>
  <c r="K3631" i="2" s="1"/>
  <c r="K3648" i="2" a="1"/>
  <c r="K3648" i="2" s="1"/>
  <c r="K3664" i="2" a="1"/>
  <c r="K3664" i="2" s="1"/>
  <c r="K3679" i="2" a="1"/>
  <c r="K3679" i="2" s="1"/>
  <c r="K3707" i="2" a="1"/>
  <c r="K3707" i="2" s="1"/>
  <c r="K3720" i="2" a="1"/>
  <c r="K3720" i="2" s="1"/>
  <c r="K3770" i="2" a="1"/>
  <c r="K3770" i="2" s="1"/>
  <c r="K3804" i="2" a="1"/>
  <c r="K3804" i="2" s="1"/>
  <c r="K3812" i="2" a="1"/>
  <c r="K3812" i="2" s="1"/>
  <c r="K3822" i="2" a="1"/>
  <c r="K3822" i="2" s="1"/>
  <c r="K3830" i="2" a="1"/>
  <c r="K3830" i="2" s="1"/>
  <c r="K3840" i="2" a="1"/>
  <c r="K3840" i="2" s="1"/>
  <c r="K3848" i="2" a="1"/>
  <c r="K3848" i="2" s="1"/>
  <c r="K3858" i="2" a="1"/>
  <c r="K3858" i="2" s="1"/>
  <c r="K3876" i="2" a="1"/>
  <c r="K3876" i="2" s="1"/>
  <c r="K3884" i="2" a="1"/>
  <c r="K3884" i="2" s="1"/>
  <c r="K3894" i="2" a="1"/>
  <c r="K3894" i="2" s="1"/>
  <c r="K3902" i="2" a="1"/>
  <c r="K3902" i="2" s="1"/>
  <c r="K3912" i="2" a="1"/>
  <c r="K3912" i="2" s="1"/>
  <c r="K3937" i="2" a="1"/>
  <c r="K3937" i="2" s="1"/>
  <c r="K3962" i="2" a="1"/>
  <c r="K3962" i="2" s="1"/>
  <c r="K3971" i="2" a="1"/>
  <c r="K3971" i="2" s="1"/>
  <c r="K4011" i="2" a="1"/>
  <c r="K4011" i="2" s="1"/>
  <c r="K4020" i="2" a="1"/>
  <c r="K4020" i="2" s="1"/>
  <c r="K4045" i="2" a="1"/>
  <c r="K4045" i="2" s="1"/>
  <c r="K4070" i="2" a="1"/>
  <c r="K4070" i="2" s="1"/>
  <c r="K4079" i="2" a="1"/>
  <c r="K4079" i="2" s="1"/>
  <c r="K4119" i="2" a="1"/>
  <c r="K4119" i="2" s="1"/>
  <c r="K4128" i="2" a="1"/>
  <c r="K4128" i="2" s="1"/>
  <c r="K4153" i="2" a="1"/>
  <c r="K4153" i="2" s="1"/>
  <c r="K4161" i="2" a="1"/>
  <c r="K4161" i="2" s="1"/>
  <c r="K4171" i="2" a="1"/>
  <c r="K4171" i="2" s="1"/>
  <c r="K4181" i="2" a="1"/>
  <c r="K4181" i="2" s="1"/>
  <c r="K4189" i="2" a="1"/>
  <c r="K4189" i="2" s="1"/>
  <c r="K4197" i="2" a="1"/>
  <c r="K4197" i="2" s="1"/>
  <c r="K4207" i="2" a="1"/>
  <c r="K4207" i="2" s="1"/>
  <c r="K2924" i="2" a="1"/>
  <c r="K2924" i="2" s="1"/>
  <c r="K3069" i="2" a="1"/>
  <c r="K3069" i="2" s="1"/>
  <c r="K3273" i="2" a="1"/>
  <c r="K3273" i="2" s="1"/>
  <c r="K3493" i="2" a="1"/>
  <c r="K3493" i="2" s="1"/>
  <c r="K3543" i="2" a="1"/>
  <c r="K3543" i="2" s="1"/>
  <c r="K3586" i="2" a="1"/>
  <c r="K3586" i="2" s="1"/>
  <c r="K3602" i="2" a="1"/>
  <c r="K3602" i="2" s="1"/>
  <c r="K3619" i="2" a="1"/>
  <c r="K3619" i="2" s="1"/>
  <c r="K3634" i="2" a="1"/>
  <c r="K3634" i="2" s="1"/>
  <c r="K3649" i="2" a="1"/>
  <c r="K3649" i="2" s="1"/>
  <c r="K3680" i="2" a="1"/>
  <c r="K3680" i="2" s="1"/>
  <c r="K3693" i="2" a="1"/>
  <c r="K3693" i="2" s="1"/>
  <c r="K3708" i="2" a="1"/>
  <c r="K3708" i="2" s="1"/>
  <c r="K3721" i="2" a="1"/>
  <c r="K3721" i="2" s="1"/>
  <c r="K3734" i="2" a="1"/>
  <c r="K3734" i="2" s="1"/>
  <c r="K3747" i="2" a="1"/>
  <c r="K3747" i="2" s="1"/>
  <c r="K3759" i="2" a="1"/>
  <c r="K3759" i="2" s="1"/>
  <c r="K3771" i="2" a="1"/>
  <c r="K3771" i="2" s="1"/>
  <c r="K3782" i="2" a="1"/>
  <c r="K3782" i="2" s="1"/>
  <c r="K3795" i="2" a="1"/>
  <c r="K3795" i="2" s="1"/>
  <c r="K3813" i="2" a="1"/>
  <c r="K3813" i="2" s="1"/>
  <c r="K3831" i="2" a="1"/>
  <c r="K3831" i="2" s="1"/>
  <c r="K3841" i="2" a="1"/>
  <c r="K3841" i="2" s="1"/>
  <c r="K3849" i="2" a="1"/>
  <c r="K3849" i="2" s="1"/>
  <c r="K3867" i="2" a="1"/>
  <c r="K3867" i="2" s="1"/>
  <c r="K3885" i="2" a="1"/>
  <c r="K3885" i="2" s="1"/>
  <c r="K3903" i="2" a="1"/>
  <c r="K3903" i="2" s="1"/>
  <c r="K3913" i="2" a="1"/>
  <c r="K3913" i="2" s="1"/>
  <c r="K3921" i="2" a="1"/>
  <c r="K3921" i="2" s="1"/>
  <c r="K3930" i="2" a="1"/>
  <c r="K3930" i="2" s="1"/>
  <c r="K3945" i="2" a="1"/>
  <c r="K3945" i="2" s="1"/>
  <c r="K3954" i="2" a="1"/>
  <c r="K3954" i="2" s="1"/>
  <c r="K3963" i="2" a="1"/>
  <c r="K3963" i="2" s="1"/>
  <c r="K3979" i="2" a="1"/>
  <c r="K3979" i="2" s="1"/>
  <c r="K3987" i="2" a="1"/>
  <c r="K3987" i="2" s="1"/>
  <c r="K3996" i="2" a="1"/>
  <c r="K3996" i="2" s="1"/>
  <c r="K4004" i="2" a="1"/>
  <c r="K4004" i="2" s="1"/>
  <c r="K4012" i="2" a="1"/>
  <c r="K4012" i="2" s="1"/>
  <c r="K4021" i="2" a="1"/>
  <c r="K4021" i="2" s="1"/>
  <c r="K4029" i="2" a="1"/>
  <c r="K4029" i="2" s="1"/>
  <c r="K4038" i="2" a="1"/>
  <c r="K4038" i="2" s="1"/>
  <c r="K4053" i="2" a="1"/>
  <c r="K4053" i="2" s="1"/>
  <c r="K4062" i="2" a="1"/>
  <c r="K4062" i="2" s="1"/>
  <c r="K4071" i="2" a="1"/>
  <c r="K4071" i="2" s="1"/>
  <c r="K4087" i="2" a="1"/>
  <c r="K4087" i="2" s="1"/>
  <c r="K4095" i="2" a="1"/>
  <c r="K4095" i="2" s="1"/>
  <c r="K4104" i="2" a="1"/>
  <c r="K4104" i="2" s="1"/>
  <c r="K4112" i="2" a="1"/>
  <c r="K4112" i="2" s="1"/>
  <c r="K4120" i="2" a="1"/>
  <c r="K4120" i="2" s="1"/>
  <c r="K4129" i="2" a="1"/>
  <c r="K4129" i="2" s="1"/>
  <c r="K4137" i="2" a="1"/>
  <c r="K4137" i="2" s="1"/>
  <c r="K2605" i="2" a="1"/>
  <c r="K2605" i="2" s="1"/>
  <c r="K2936" i="2" a="1"/>
  <c r="K2936" i="2" s="1"/>
  <c r="K3379" i="2" a="1"/>
  <c r="K3379" i="2" s="1"/>
  <c r="K3452" i="2" a="1"/>
  <c r="K3452" i="2" s="1"/>
  <c r="K3500" i="2" a="1"/>
  <c r="K3500" i="2" s="1"/>
  <c r="K3551" i="2" a="1"/>
  <c r="K3551" i="2" s="1"/>
  <c r="K3571" i="2" a="1"/>
  <c r="K3571" i="2" s="1"/>
  <c r="K3588" i="2" a="1"/>
  <c r="K3588" i="2" s="1"/>
  <c r="K3603" i="2" a="1"/>
  <c r="K3603" i="2" s="1"/>
  <c r="K3620" i="2" a="1"/>
  <c r="K3620" i="2" s="1"/>
  <c r="K3665" i="2" a="1"/>
  <c r="K3665" i="2" s="1"/>
  <c r="K3683" i="2" a="1"/>
  <c r="K3683" i="2" s="1"/>
  <c r="K3694" i="2" a="1"/>
  <c r="K3694" i="2" s="1"/>
  <c r="K3736" i="2" a="1"/>
  <c r="K3736" i="2" s="1"/>
  <c r="K3748" i="2" a="1"/>
  <c r="K3748" i="2" s="1"/>
  <c r="K3760" i="2" a="1"/>
  <c r="K3760" i="2" s="1"/>
  <c r="K3772" i="2" a="1"/>
  <c r="K3772" i="2" s="1"/>
  <c r="K3783" i="2" a="1"/>
  <c r="K3783" i="2" s="1"/>
  <c r="K3796" i="2" a="1"/>
  <c r="K3796" i="2" s="1"/>
  <c r="K3805" i="2" a="1"/>
  <c r="K3805" i="2" s="1"/>
  <c r="K3814" i="2" a="1"/>
  <c r="K3814" i="2" s="1"/>
  <c r="K3823" i="2" a="1"/>
  <c r="K3823" i="2" s="1"/>
  <c r="K3832" i="2" a="1"/>
  <c r="K3832" i="2" s="1"/>
  <c r="K3850" i="2" a="1"/>
  <c r="K3850" i="2" s="1"/>
  <c r="K3859" i="2" a="1"/>
  <c r="K3859" i="2" s="1"/>
  <c r="K3868" i="2" a="1"/>
  <c r="K3868" i="2" s="1"/>
  <c r="K3877" i="2" a="1"/>
  <c r="K3877" i="2" s="1"/>
  <c r="K3886" i="2" a="1"/>
  <c r="K3886" i="2" s="1"/>
  <c r="K3895" i="2" a="1"/>
  <c r="K3895" i="2" s="1"/>
  <c r="K3904" i="2" a="1"/>
  <c r="K3904" i="2" s="1"/>
  <c r="K3922" i="2" a="1"/>
  <c r="K3922" i="2" s="1"/>
  <c r="K3938" i="2" a="1"/>
  <c r="K3938" i="2" s="1"/>
  <c r="K3946" i="2" a="1"/>
  <c r="K3946" i="2" s="1"/>
  <c r="K3955" i="2" a="1"/>
  <c r="K3955" i="2" s="1"/>
  <c r="K3964" i="2" a="1"/>
  <c r="K3964" i="2" s="1"/>
  <c r="K3972" i="2" a="1"/>
  <c r="K3972" i="2" s="1"/>
  <c r="K3988" i="2" a="1"/>
  <c r="K3988" i="2" s="1"/>
  <c r="K4005" i="2" a="1"/>
  <c r="K4005" i="2" s="1"/>
  <c r="K4013" i="2" a="1"/>
  <c r="K4013" i="2" s="1"/>
  <c r="K4030" i="2" a="1"/>
  <c r="K4030" i="2" s="1"/>
  <c r="K4046" i="2" a="1"/>
  <c r="K4046" i="2" s="1"/>
  <c r="K4054" i="2" a="1"/>
  <c r="K4054" i="2" s="1"/>
  <c r="K4063" i="2" a="1"/>
  <c r="K4063" i="2" s="1"/>
  <c r="K4072" i="2" a="1"/>
  <c r="K4072" i="2" s="1"/>
  <c r="K4080" i="2" a="1"/>
  <c r="K4080" i="2" s="1"/>
  <c r="K4096" i="2" a="1"/>
  <c r="K4096" i="2" s="1"/>
  <c r="K4113" i="2" a="1"/>
  <c r="K4113" i="2" s="1"/>
  <c r="K4121" i="2" a="1"/>
  <c r="K4121" i="2" s="1"/>
  <c r="K4138" i="2" a="1"/>
  <c r="K4138" i="2" s="1"/>
  <c r="K4154" i="2" a="1"/>
  <c r="K4154" i="2" s="1"/>
  <c r="K4163" i="2" a="1"/>
  <c r="K4163" i="2" s="1"/>
  <c r="K2704" i="2" a="1"/>
  <c r="K2704" i="2" s="1"/>
  <c r="K2952" i="2" a="1"/>
  <c r="K2952" i="2" s="1"/>
  <c r="K3089" i="2" a="1"/>
  <c r="K3089" i="2" s="1"/>
  <c r="K3191" i="2" a="1"/>
  <c r="K3191" i="2" s="1"/>
  <c r="K3453" i="2" a="1"/>
  <c r="K3453" i="2" s="1"/>
  <c r="K3501" i="2" a="1"/>
  <c r="K3501" i="2" s="1"/>
  <c r="K3552" i="2" a="1"/>
  <c r="K3552" i="2" s="1"/>
  <c r="K3574" i="2" a="1"/>
  <c r="K3574" i="2" s="1"/>
  <c r="K3604" i="2" a="1"/>
  <c r="K3604" i="2" s="1"/>
  <c r="K3652" i="2" a="1"/>
  <c r="K3652" i="2" s="1"/>
  <c r="K3666" i="2" a="1"/>
  <c r="K3666" i="2" s="1"/>
  <c r="K3684" i="2" a="1"/>
  <c r="K3684" i="2" s="1"/>
  <c r="K3696" i="2" a="1"/>
  <c r="K3696" i="2" s="1"/>
  <c r="K3710" i="2" a="1"/>
  <c r="K3710" i="2" s="1"/>
  <c r="K3723" i="2" a="1"/>
  <c r="K3723" i="2" s="1"/>
  <c r="K3737" i="2" a="1"/>
  <c r="K3737" i="2" s="1"/>
  <c r="K3761" i="2" a="1"/>
  <c r="K3761" i="2" s="1"/>
  <c r="K3773" i="2" a="1"/>
  <c r="K3773" i="2" s="1"/>
  <c r="K3786" i="2" a="1"/>
  <c r="K3786" i="2" s="1"/>
  <c r="K3797" i="2" a="1"/>
  <c r="K3797" i="2" s="1"/>
  <c r="K3815" i="2" a="1"/>
  <c r="K3815" i="2" s="1"/>
  <c r="K3833" i="2" a="1"/>
  <c r="K3833" i="2" s="1"/>
  <c r="K3842" i="2" a="1"/>
  <c r="K3842" i="2" s="1"/>
  <c r="K3851" i="2" a="1"/>
  <c r="K3851" i="2" s="1"/>
  <c r="K3869" i="2" a="1"/>
  <c r="K3869" i="2" s="1"/>
  <c r="K3887" i="2" a="1"/>
  <c r="K3887" i="2" s="1"/>
  <c r="K3905" i="2" a="1"/>
  <c r="K3905" i="2" s="1"/>
  <c r="K3914" i="2" a="1"/>
  <c r="K3914" i="2" s="1"/>
  <c r="K3923" i="2" a="1"/>
  <c r="K3923" i="2" s="1"/>
  <c r="K3931" i="2" a="1"/>
  <c r="K3931" i="2" s="1"/>
  <c r="K3947" i="2" a="1"/>
  <c r="K3947" i="2" s="1"/>
  <c r="K3956" i="2" a="1"/>
  <c r="K3956" i="2" s="1"/>
  <c r="K3965" i="2" a="1"/>
  <c r="K3965" i="2" s="1"/>
  <c r="K3980" i="2" a="1"/>
  <c r="K3980" i="2" s="1"/>
  <c r="K3989" i="2" a="1"/>
  <c r="K3989" i="2" s="1"/>
  <c r="K3997" i="2" a="1"/>
  <c r="K3997" i="2" s="1"/>
  <c r="K4006" i="2" a="1"/>
  <c r="K4006" i="2" s="1"/>
  <c r="K4014" i="2" a="1"/>
  <c r="K4014" i="2" s="1"/>
  <c r="K4022" i="2" a="1"/>
  <c r="K4022" i="2" s="1"/>
  <c r="K4031" i="2" a="1"/>
  <c r="K4031" i="2" s="1"/>
  <c r="K4039" i="2" a="1"/>
  <c r="K4039" i="2" s="1"/>
  <c r="K4055" i="2" a="1"/>
  <c r="K4055" i="2" s="1"/>
  <c r="K4064" i="2" a="1"/>
  <c r="K4064" i="2" s="1"/>
  <c r="K4073" i="2" a="1"/>
  <c r="K4073" i="2" s="1"/>
  <c r="K4088" i="2" a="1"/>
  <c r="K4088" i="2" s="1"/>
  <c r="K4097" i="2" a="1"/>
  <c r="K4097" i="2" s="1"/>
  <c r="K4105" i="2" a="1"/>
  <c r="K4105" i="2" s="1"/>
  <c r="K4114" i="2" a="1"/>
  <c r="K4114" i="2" s="1"/>
  <c r="K4122" i="2" a="1"/>
  <c r="K4122" i="2" s="1"/>
  <c r="K4130" i="2" a="1"/>
  <c r="K4130" i="2" s="1"/>
  <c r="K4139" i="2" a="1"/>
  <c r="K4139" i="2" s="1"/>
  <c r="K4147" i="2" a="1"/>
  <c r="K4147" i="2" s="1"/>
  <c r="K4155" i="2" a="1"/>
  <c r="K4155" i="2" s="1"/>
  <c r="K4164" i="2" a="1"/>
  <c r="K4164" i="2" s="1"/>
  <c r="K4173" i="2" a="1"/>
  <c r="K4173" i="2" s="1"/>
  <c r="K4191" i="2" a="1"/>
  <c r="K4191" i="2" s="1"/>
  <c r="K4200" i="2" a="1"/>
  <c r="K4200" i="2" s="1"/>
  <c r="K4209" i="2" a="1"/>
  <c r="K4209" i="2" s="1"/>
  <c r="K4218" i="2" a="1"/>
  <c r="K4218" i="2" s="1"/>
  <c r="K4225" i="2" a="1"/>
  <c r="K4225" i="2" s="1"/>
  <c r="K4233" i="2" a="1"/>
  <c r="K4233" i="2" s="1"/>
  <c r="K4241" i="2" a="1"/>
  <c r="K4241" i="2" s="1"/>
  <c r="K4249" i="2" a="1"/>
  <c r="K4249" i="2" s="1"/>
  <c r="K4264" i="2" a="1"/>
  <c r="K4264" i="2" s="1"/>
  <c r="K4271" i="2" a="1"/>
  <c r="K4271" i="2" s="1"/>
  <c r="K4288" i="2" a="1"/>
  <c r="K4288" i="2" s="1"/>
  <c r="K4295" i="2" a="1"/>
  <c r="K4295" i="2" s="1"/>
  <c r="K2770" i="2" a="1"/>
  <c r="K2770" i="2" s="1"/>
  <c r="K2964" i="2" a="1"/>
  <c r="K2964" i="2" s="1"/>
  <c r="K3096" i="2" a="1"/>
  <c r="K3096" i="2" s="1"/>
  <c r="K3199" i="2" a="1"/>
  <c r="K3199" i="2" s="1"/>
  <c r="K3298" i="2" a="1"/>
  <c r="K3298" i="2" s="1"/>
  <c r="K3395" i="2" a="1"/>
  <c r="K3395" i="2" s="1"/>
  <c r="K3460" i="2" a="1"/>
  <c r="K3460" i="2" s="1"/>
  <c r="K3555" i="2" a="1"/>
  <c r="K3555" i="2" s="1"/>
  <c r="K3575" i="2" a="1"/>
  <c r="K3575" i="2" s="1"/>
  <c r="K3592" i="2" a="1"/>
  <c r="K3592" i="2" s="1"/>
  <c r="K3606" i="2" a="1"/>
  <c r="K3606" i="2" s="1"/>
  <c r="K3621" i="2" a="1"/>
  <c r="K3621" i="2" s="1"/>
  <c r="K3638" i="2" a="1"/>
  <c r="K3638" i="2" s="1"/>
  <c r="K3667" i="2" a="1"/>
  <c r="K3667" i="2" s="1"/>
  <c r="K3697" i="2" a="1"/>
  <c r="K3697" i="2" s="1"/>
  <c r="K3724" i="2" a="1"/>
  <c r="K3724" i="2" s="1"/>
  <c r="K3738" i="2" a="1"/>
  <c r="K3738" i="2" s="1"/>
  <c r="K3751" i="2" a="1"/>
  <c r="K3751" i="2" s="1"/>
  <c r="K3774" i="2" a="1"/>
  <c r="K3774" i="2" s="1"/>
  <c r="K3798" i="2" a="1"/>
  <c r="K3798" i="2" s="1"/>
  <c r="K3806" i="2" a="1"/>
  <c r="K3806" i="2" s="1"/>
  <c r="K3816" i="2" a="1"/>
  <c r="K3816" i="2" s="1"/>
  <c r="K3824" i="2" a="1"/>
  <c r="K3824" i="2" s="1"/>
  <c r="K3834" i="2" a="1"/>
  <c r="K3834" i="2" s="1"/>
  <c r="K3852" i="2" a="1"/>
  <c r="K3852" i="2" s="1"/>
  <c r="K3860" i="2" a="1"/>
  <c r="K3860" i="2" s="1"/>
  <c r="K3870" i="2" a="1"/>
  <c r="K3870" i="2" s="1"/>
  <c r="K3878" i="2" a="1"/>
  <c r="K3878" i="2" s="1"/>
  <c r="K3888" i="2" a="1"/>
  <c r="K3888" i="2" s="1"/>
  <c r="K3896" i="2" a="1"/>
  <c r="K3896" i="2" s="1"/>
  <c r="K3906" i="2" a="1"/>
  <c r="K3906" i="2" s="1"/>
  <c r="K3939" i="2" a="1"/>
  <c r="K3939" i="2" s="1"/>
  <c r="K3948" i="2" a="1"/>
  <c r="K3948" i="2" s="1"/>
  <c r="K3973" i="2" a="1"/>
  <c r="K3973" i="2" s="1"/>
  <c r="K3998" i="2" a="1"/>
  <c r="K3998" i="2" s="1"/>
  <c r="K4007" i="2" a="1"/>
  <c r="K4007" i="2" s="1"/>
  <c r="K4047" i="2" a="1"/>
  <c r="K4047" i="2" s="1"/>
  <c r="K4056" i="2" a="1"/>
  <c r="K4056" i="2" s="1"/>
  <c r="K4081" i="2" a="1"/>
  <c r="K4081" i="2" s="1"/>
  <c r="K4106" i="2" a="1"/>
  <c r="K4106" i="2" s="1"/>
  <c r="K4115" i="2" a="1"/>
  <c r="K4115" i="2" s="1"/>
  <c r="K4156" i="2" a="1"/>
  <c r="K4156" i="2" s="1"/>
  <c r="K4165" i="2" a="1"/>
  <c r="K4165" i="2" s="1"/>
  <c r="K4174" i="2" a="1"/>
  <c r="K4174" i="2" s="1"/>
  <c r="K4183" i="2" a="1"/>
  <c r="K4183" i="2" s="1"/>
  <c r="K4192" i="2" a="1"/>
  <c r="K4192" i="2" s="1"/>
  <c r="K4201" i="2" a="1"/>
  <c r="K4201" i="2" s="1"/>
  <c r="K4210" i="2" a="1"/>
  <c r="K4210" i="2" s="1"/>
  <c r="K2976" i="2" a="1"/>
  <c r="K2976" i="2" s="1"/>
  <c r="K3106" i="2" a="1"/>
  <c r="K3106" i="2" s="1"/>
  <c r="K3306" i="2" a="1"/>
  <c r="K3306" i="2" s="1"/>
  <c r="K3403" i="2" a="1"/>
  <c r="K3403" i="2" s="1"/>
  <c r="K3509" i="2" a="1"/>
  <c r="K3509" i="2" s="1"/>
  <c r="K3558" i="2" a="1"/>
  <c r="K3558" i="2" s="1"/>
  <c r="K3576" i="2" a="1"/>
  <c r="K3576" i="2" s="1"/>
  <c r="K3622" i="2" a="1"/>
  <c r="K3622" i="2" s="1"/>
  <c r="K3639" i="2" a="1"/>
  <c r="K3639" i="2" s="1"/>
  <c r="K3670" i="2" a="1"/>
  <c r="K3670" i="2" s="1"/>
  <c r="K3685" i="2" a="1"/>
  <c r="K3685" i="2" s="1"/>
  <c r="K3698" i="2" a="1"/>
  <c r="K3698" i="2" s="1"/>
  <c r="K3711" i="2" a="1"/>
  <c r="K3711" i="2" s="1"/>
  <c r="K3725" i="2" a="1"/>
  <c r="K3725" i="2" s="1"/>
  <c r="K3763" i="2" a="1"/>
  <c r="K3763" i="2" s="1"/>
  <c r="K3787" i="2" a="1"/>
  <c r="K3787" i="2" s="1"/>
  <c r="K3807" i="2" a="1"/>
  <c r="K3807" i="2" s="1"/>
  <c r="K3817" i="2" a="1"/>
  <c r="K3817" i="2" s="1"/>
  <c r="K3825" i="2" a="1"/>
  <c r="K3825" i="2" s="1"/>
  <c r="K3843" i="2" a="1"/>
  <c r="K3843" i="2" s="1"/>
  <c r="K3861" i="2" a="1"/>
  <c r="K3861" i="2" s="1"/>
  <c r="K3879" i="2" a="1"/>
  <c r="K3879" i="2" s="1"/>
  <c r="K3889" i="2" a="1"/>
  <c r="K3889" i="2" s="1"/>
  <c r="K3897" i="2" a="1"/>
  <c r="K3897" i="2" s="1"/>
  <c r="K3915" i="2" a="1"/>
  <c r="K3915" i="2" s="1"/>
  <c r="K3924" i="2" a="1"/>
  <c r="K3924" i="2" s="1"/>
  <c r="K3932" i="2" a="1"/>
  <c r="K3932" i="2" s="1"/>
  <c r="K3940" i="2" a="1"/>
  <c r="K3940" i="2" s="1"/>
  <c r="K3949" i="2" a="1"/>
  <c r="K3949" i="2" s="1"/>
  <c r="K3957" i="2" a="1"/>
  <c r="K3957" i="2" s="1"/>
  <c r="K3966" i="2" a="1"/>
  <c r="K3966" i="2" s="1"/>
  <c r="K3981" i="2" a="1"/>
  <c r="K3981" i="2" s="1"/>
  <c r="K3990" i="2" a="1"/>
  <c r="K3990" i="2" s="1"/>
  <c r="K3999" i="2" a="1"/>
  <c r="K3999" i="2" s="1"/>
  <c r="K4015" i="2" a="1"/>
  <c r="K4015" i="2" s="1"/>
  <c r="K4023" i="2" a="1"/>
  <c r="K4023" i="2" s="1"/>
  <c r="K4032" i="2" a="1"/>
  <c r="K4032" i="2" s="1"/>
  <c r="K4040" i="2" a="1"/>
  <c r="K4040" i="2" s="1"/>
  <c r="K4048" i="2" a="1"/>
  <c r="K4048" i="2" s="1"/>
  <c r="K4057" i="2" a="1"/>
  <c r="K4057" i="2" s="1"/>
  <c r="K4065" i="2" a="1"/>
  <c r="K4065" i="2" s="1"/>
  <c r="K4074" i="2" a="1"/>
  <c r="K4074" i="2" s="1"/>
  <c r="K4089" i="2" a="1"/>
  <c r="K4089" i="2" s="1"/>
  <c r="K2823" i="2" a="1"/>
  <c r="K2823" i="2" s="1"/>
  <c r="K2991" i="2" a="1"/>
  <c r="K2991" i="2" s="1"/>
  <c r="K3114" i="2" a="1"/>
  <c r="K3114" i="2" s="1"/>
  <c r="K3313" i="2" a="1"/>
  <c r="K3313" i="2" s="1"/>
  <c r="K3412" i="2" a="1"/>
  <c r="K3412" i="2" s="1"/>
  <c r="K3468" i="2" a="1"/>
  <c r="K3468" i="2" s="1"/>
  <c r="K3517" i="2" a="1"/>
  <c r="K3517" i="2" s="1"/>
  <c r="K3577" i="2" a="1"/>
  <c r="K3577" i="2" s="1"/>
  <c r="K3593" i="2" a="1"/>
  <c r="K3593" i="2" s="1"/>
  <c r="K3610" i="2" a="1"/>
  <c r="K3610" i="2" s="1"/>
  <c r="K3624" i="2" a="1"/>
  <c r="K3624" i="2" s="1"/>
  <c r="K3640" i="2" a="1"/>
  <c r="K3640" i="2" s="1"/>
  <c r="K3656" i="2" a="1"/>
  <c r="K3656" i="2" s="1"/>
  <c r="K3700" i="2" a="1"/>
  <c r="K3700" i="2" s="1"/>
  <c r="K3712" i="2" a="1"/>
  <c r="K3712" i="2" s="1"/>
  <c r="K3739" i="2" a="1"/>
  <c r="K3739" i="2" s="1"/>
  <c r="K3752" i="2" a="1"/>
  <c r="K3752" i="2" s="1"/>
  <c r="K3776" i="2" a="1"/>
  <c r="K3776" i="2" s="1"/>
  <c r="K3799" i="2" a="1"/>
  <c r="K3799" i="2" s="1"/>
  <c r="K3808" i="2" a="1"/>
  <c r="K3808" i="2" s="1"/>
  <c r="K3826" i="2" a="1"/>
  <c r="K3826" i="2" s="1"/>
  <c r="K2843" i="2" a="1"/>
  <c r="K2843" i="2" s="1"/>
  <c r="K3123" i="2" a="1"/>
  <c r="K3123" i="2" s="1"/>
  <c r="K3777" i="2" a="1"/>
  <c r="K3777" i="2" s="1"/>
  <c r="K3862" i="2" a="1"/>
  <c r="K3862" i="2" s="1"/>
  <c r="K3916" i="2" a="1"/>
  <c r="K3916" i="2" s="1"/>
  <c r="K4066" i="2" a="1"/>
  <c r="K4066" i="2" s="1"/>
  <c r="K4108" i="2" a="1"/>
  <c r="K4108" i="2" s="1"/>
  <c r="K4166" i="2" a="1"/>
  <c r="K4166" i="2" s="1"/>
  <c r="K4221" i="2" a="1"/>
  <c r="K4221" i="2" s="1"/>
  <c r="K4234" i="2" a="1"/>
  <c r="K4234" i="2" s="1"/>
  <c r="K4256" i="2" a="1"/>
  <c r="K4256" i="2" s="1"/>
  <c r="K4267" i="2" a="1"/>
  <c r="K4267" i="2" s="1"/>
  <c r="K4280" i="2" a="1"/>
  <c r="K4280" i="2" s="1"/>
  <c r="K4291" i="2" a="1"/>
  <c r="K4291" i="2" s="1"/>
  <c r="K4324" i="2" a="1"/>
  <c r="K4324" i="2" s="1"/>
  <c r="K4388" i="2" a="1"/>
  <c r="K4388" i="2" s="1"/>
  <c r="K4404" i="2" a="1"/>
  <c r="K4404" i="2" s="1"/>
  <c r="K4420" i="2" a="1"/>
  <c r="K4420" i="2" s="1"/>
  <c r="K4427" i="2" a="1"/>
  <c r="K4427" i="2" s="1"/>
  <c r="K4443" i="2" a="1"/>
  <c r="K4443" i="2" s="1"/>
  <c r="K4451" i="2" a="1"/>
  <c r="K4451" i="2" s="1"/>
  <c r="K4458" i="2" a="1"/>
  <c r="K4458" i="2" s="1"/>
  <c r="K4466" i="2" a="1"/>
  <c r="K4466" i="2" s="1"/>
  <c r="K4489" i="2" a="1"/>
  <c r="K4489" i="2" s="1"/>
  <c r="K4505" i="2" a="1"/>
  <c r="K4505" i="2" s="1"/>
  <c r="K4512" i="2" a="1"/>
  <c r="K4512" i="2" s="1"/>
  <c r="K4520" i="2" a="1"/>
  <c r="K4520" i="2" s="1"/>
  <c r="K4528" i="2" a="1"/>
  <c r="K4528" i="2" s="1"/>
  <c r="K4536" i="2" a="1"/>
  <c r="K4536" i="2" s="1"/>
  <c r="K4558" i="2" a="1"/>
  <c r="K4558" i="2" s="1"/>
  <c r="K4567" i="2" a="1"/>
  <c r="K4567" i="2" s="1"/>
  <c r="K4582" i="2" a="1"/>
  <c r="K4582" i="2" s="1"/>
  <c r="K4591" i="2" a="1"/>
  <c r="K4591" i="2" s="1"/>
  <c r="K4606" i="2" a="1"/>
  <c r="K4606" i="2" s="1"/>
  <c r="K4615" i="2" a="1"/>
  <c r="K4615" i="2" s="1"/>
  <c r="K4630" i="2" a="1"/>
  <c r="K4630" i="2" s="1"/>
  <c r="K4639" i="2" a="1"/>
  <c r="K4639" i="2" s="1"/>
  <c r="K4654" i="2" a="1"/>
  <c r="K4654" i="2" s="1"/>
  <c r="K4663" i="2" a="1"/>
  <c r="K4663" i="2" s="1"/>
  <c r="K4678" i="2" a="1"/>
  <c r="K4678" i="2" s="1"/>
  <c r="K4687" i="2" a="1"/>
  <c r="K4687" i="2" s="1"/>
  <c r="K4702" i="2" a="1"/>
  <c r="K4702" i="2" s="1"/>
  <c r="K4711" i="2" a="1"/>
  <c r="K4711" i="2" s="1"/>
  <c r="K4726" i="2" a="1"/>
  <c r="K4726" i="2" s="1"/>
  <c r="K4735" i="2" a="1"/>
  <c r="K4735" i="2" s="1"/>
  <c r="K4750" i="2" a="1"/>
  <c r="K4750" i="2" s="1"/>
  <c r="K4759" i="2" a="1"/>
  <c r="K4759" i="2" s="1"/>
  <c r="K4774" i="2" a="1"/>
  <c r="K4774" i="2" s="1"/>
  <c r="K4783" i="2" a="1"/>
  <c r="K4783" i="2" s="1"/>
  <c r="K4798" i="2" a="1"/>
  <c r="K4798" i="2" s="1"/>
  <c r="K4807" i="2" a="1"/>
  <c r="K4807" i="2" s="1"/>
  <c r="K4822" i="2" a="1"/>
  <c r="K4822" i="2" s="1"/>
  <c r="K4831" i="2" a="1"/>
  <c r="K4831" i="2" s="1"/>
  <c r="K4846" i="2" a="1"/>
  <c r="K4846" i="2" s="1"/>
  <c r="K4855" i="2" a="1"/>
  <c r="K4855" i="2" s="1"/>
  <c r="K4870" i="2" a="1"/>
  <c r="K4870" i="2" s="1"/>
  <c r="K4879" i="2" a="1"/>
  <c r="K4879" i="2" s="1"/>
  <c r="K4894" i="2" a="1"/>
  <c r="K4894" i="2" s="1"/>
  <c r="K4903" i="2" a="1"/>
  <c r="K4903" i="2" s="1"/>
  <c r="K4918" i="2" a="1"/>
  <c r="K4918" i="2" s="1"/>
  <c r="K4927" i="2" a="1"/>
  <c r="K4927" i="2" s="1"/>
  <c r="K4942" i="2" a="1"/>
  <c r="K4942" i="2" s="1"/>
  <c r="K4951" i="2" a="1"/>
  <c r="K4951" i="2" s="1"/>
  <c r="K4966" i="2" a="1"/>
  <c r="K4966" i="2" s="1"/>
  <c r="K4975" i="2" a="1"/>
  <c r="K4975" i="2" s="1"/>
  <c r="K4990" i="2" a="1"/>
  <c r="K4990" i="2" s="1"/>
  <c r="K4999" i="2" a="1"/>
  <c r="K4999" i="2" s="1"/>
  <c r="K3625" i="2" a="1"/>
  <c r="K3625" i="2" s="1"/>
  <c r="K3789" i="2" a="1"/>
  <c r="K3789" i="2" s="1"/>
  <c r="K3863" i="2" a="1"/>
  <c r="K3863" i="2" s="1"/>
  <c r="K3917" i="2" a="1"/>
  <c r="K3917" i="2" s="1"/>
  <c r="K3967" i="2" a="1"/>
  <c r="K3967" i="2" s="1"/>
  <c r="K4016" i="2" a="1"/>
  <c r="K4016" i="2" s="1"/>
  <c r="K4067" i="2" a="1"/>
  <c r="K4067" i="2" s="1"/>
  <c r="K4109" i="2" a="1"/>
  <c r="K4109" i="2" s="1"/>
  <c r="K4141" i="2" a="1"/>
  <c r="K4141" i="2" s="1"/>
  <c r="K4190" i="2" a="1"/>
  <c r="K4190" i="2" s="1"/>
  <c r="K4211" i="2" a="1"/>
  <c r="K4211" i="2" s="1"/>
  <c r="K4235" i="2" a="1"/>
  <c r="K4235" i="2" s="1"/>
  <c r="K4247" i="2" a="1"/>
  <c r="K4247" i="2" s="1"/>
  <c r="K4269" i="2" a="1"/>
  <c r="K4269" i="2" s="1"/>
  <c r="K4293" i="2" a="1"/>
  <c r="K4293" i="2" s="1"/>
  <c r="K4303" i="2" a="1"/>
  <c r="K4303" i="2" s="1"/>
  <c r="K4313" i="2" a="1"/>
  <c r="K4313" i="2" s="1"/>
  <c r="K4334" i="2" a="1"/>
  <c r="K4334" i="2" s="1"/>
  <c r="K4343" i="2" a="1"/>
  <c r="K4343" i="2" s="1"/>
  <c r="K4364" i="2" a="1"/>
  <c r="K4364" i="2" s="1"/>
  <c r="K4373" i="2" a="1"/>
  <c r="K4373" i="2" s="1"/>
  <c r="K4381" i="2" a="1"/>
  <c r="K4381" i="2" s="1"/>
  <c r="K4389" i="2" a="1"/>
  <c r="K4389" i="2" s="1"/>
  <c r="K4397" i="2" a="1"/>
  <c r="K4397" i="2" s="1"/>
  <c r="K4405" i="2" a="1"/>
  <c r="K4405" i="2" s="1"/>
  <c r="K4412" i="2" a="1"/>
  <c r="K4412" i="2" s="1"/>
  <c r="K4436" i="2" a="1"/>
  <c r="K4436" i="2" s="1"/>
  <c r="K4444" i="2" a="1"/>
  <c r="K4444" i="2" s="1"/>
  <c r="K4473" i="2" a="1"/>
  <c r="K4473" i="2" s="1"/>
  <c r="K4482" i="2" a="1"/>
  <c r="K4482" i="2" s="1"/>
  <c r="K4490" i="2" a="1"/>
  <c r="K4490" i="2" s="1"/>
  <c r="K4497" i="2" a="1"/>
  <c r="K4497" i="2" s="1"/>
  <c r="K4543" i="2" a="1"/>
  <c r="K4543" i="2" s="1"/>
  <c r="K4551" i="2" a="1"/>
  <c r="K4551" i="2" s="1"/>
  <c r="K4559" i="2" a="1"/>
  <c r="K4559" i="2" s="1"/>
  <c r="K4575" i="2" a="1"/>
  <c r="K4575" i="2" s="1"/>
  <c r="K4583" i="2" a="1"/>
  <c r="K4583" i="2" s="1"/>
  <c r="K4599" i="2" a="1"/>
  <c r="K4599" i="2" s="1"/>
  <c r="K4607" i="2" a="1"/>
  <c r="K4607" i="2" s="1"/>
  <c r="K4623" i="2" a="1"/>
  <c r="K4623" i="2" s="1"/>
  <c r="K4631" i="2" a="1"/>
  <c r="K4631" i="2" s="1"/>
  <c r="K4647" i="2" a="1"/>
  <c r="K4647" i="2" s="1"/>
  <c r="K4655" i="2" a="1"/>
  <c r="K4655" i="2" s="1"/>
  <c r="K4671" i="2" a="1"/>
  <c r="K4671" i="2" s="1"/>
  <c r="K4679" i="2" a="1"/>
  <c r="K4679" i="2" s="1"/>
  <c r="K4695" i="2" a="1"/>
  <c r="K4695" i="2" s="1"/>
  <c r="K4703" i="2" a="1"/>
  <c r="K4703" i="2" s="1"/>
  <c r="K4719" i="2" a="1"/>
  <c r="K4719" i="2" s="1"/>
  <c r="K4727" i="2" a="1"/>
  <c r="K4727" i="2" s="1"/>
  <c r="K4743" i="2" a="1"/>
  <c r="K4743" i="2" s="1"/>
  <c r="K4751" i="2" a="1"/>
  <c r="K4751" i="2" s="1"/>
  <c r="K4767" i="2" a="1"/>
  <c r="K4767" i="2" s="1"/>
  <c r="K4775" i="2" a="1"/>
  <c r="K4775" i="2" s="1"/>
  <c r="K4791" i="2" a="1"/>
  <c r="K4791" i="2" s="1"/>
  <c r="K4799" i="2" a="1"/>
  <c r="K4799" i="2" s="1"/>
  <c r="K4815" i="2" a="1"/>
  <c r="K4815" i="2" s="1"/>
  <c r="K4823" i="2" a="1"/>
  <c r="K4823" i="2" s="1"/>
  <c r="K4839" i="2" a="1"/>
  <c r="K4839" i="2" s="1"/>
  <c r="K4847" i="2" a="1"/>
  <c r="K4847" i="2" s="1"/>
  <c r="K4863" i="2" a="1"/>
  <c r="K4863" i="2" s="1"/>
  <c r="K4871" i="2" a="1"/>
  <c r="K4871" i="2" s="1"/>
  <c r="K4887" i="2" a="1"/>
  <c r="K4887" i="2" s="1"/>
  <c r="K4895" i="2" a="1"/>
  <c r="K4895" i="2" s="1"/>
  <c r="K4911" i="2" a="1"/>
  <c r="K4911" i="2" s="1"/>
  <c r="K4919" i="2" a="1"/>
  <c r="K4919" i="2" s="1"/>
  <c r="K4935" i="2" a="1"/>
  <c r="K4935" i="2" s="1"/>
  <c r="K4943" i="2" a="1"/>
  <c r="K4943" i="2" s="1"/>
  <c r="K4959" i="2" a="1"/>
  <c r="K4959" i="2" s="1"/>
  <c r="K4967" i="2" a="1"/>
  <c r="K4967" i="2" s="1"/>
  <c r="K4983" i="2" a="1"/>
  <c r="K4983" i="2" s="1"/>
  <c r="K4991" i="2" a="1"/>
  <c r="K4991" i="2" s="1"/>
  <c r="K3871" i="2" a="1"/>
  <c r="K3871" i="2" s="1"/>
  <c r="K3974" i="2" a="1"/>
  <c r="K3974" i="2" s="1"/>
  <c r="K4024" i="2" a="1"/>
  <c r="K4024" i="2" s="1"/>
  <c r="K4146" i="2" a="1"/>
  <c r="K4146" i="2" s="1"/>
  <c r="K4172" i="2" a="1"/>
  <c r="K4172" i="2" s="1"/>
  <c r="K4193" i="2" a="1"/>
  <c r="K4193" i="2" s="1"/>
  <c r="K4224" i="2" a="1"/>
  <c r="K4224" i="2" s="1"/>
  <c r="K4248" i="2" a="1"/>
  <c r="K4248" i="2" s="1"/>
  <c r="K4257" i="2" a="1"/>
  <c r="K4257" i="2" s="1"/>
  <c r="K4270" i="2" a="1"/>
  <c r="K4270" i="2" s="1"/>
  <c r="K4281" i="2" a="1"/>
  <c r="K4281" i="2" s="1"/>
  <c r="K4294" i="2" a="1"/>
  <c r="K4294" i="2" s="1"/>
  <c r="K4304" i="2" a="1"/>
  <c r="K4304" i="2" s="1"/>
  <c r="K4325" i="2" a="1"/>
  <c r="K4325" i="2" s="1"/>
  <c r="K4344" i="2" a="1"/>
  <c r="K4344" i="2" s="1"/>
  <c r="K4355" i="2" a="1"/>
  <c r="K4355" i="2" s="1"/>
  <c r="K4390" i="2" a="1"/>
  <c r="K4390" i="2" s="1"/>
  <c r="K4421" i="2" a="1"/>
  <c r="K4421" i="2" s="1"/>
  <c r="K4428" i="2" a="1"/>
  <c r="K4428" i="2" s="1"/>
  <c r="K4452" i="2" a="1"/>
  <c r="K4452" i="2" s="1"/>
  <c r="K4459" i="2" a="1"/>
  <c r="K4459" i="2" s="1"/>
  <c r="K4467" i="2" a="1"/>
  <c r="K4467" i="2" s="1"/>
  <c r="K4474" i="2" a="1"/>
  <c r="K4474" i="2" s="1"/>
  <c r="K4498" i="2" a="1"/>
  <c r="K4498" i="2" s="1"/>
  <c r="K4506" i="2" a="1"/>
  <c r="K4506" i="2" s="1"/>
  <c r="K4513" i="2" a="1"/>
  <c r="K4513" i="2" s="1"/>
  <c r="K4521" i="2" a="1"/>
  <c r="K4521" i="2" s="1"/>
  <c r="K4529" i="2" a="1"/>
  <c r="K4529" i="2" s="1"/>
  <c r="K4537" i="2" a="1"/>
  <c r="K4537" i="2" s="1"/>
  <c r="K4560" i="2" a="1"/>
  <c r="K4560" i="2" s="1"/>
  <c r="K4568" i="2" a="1"/>
  <c r="K4568" i="2" s="1"/>
  <c r="K4584" i="2" a="1"/>
  <c r="K4584" i="2" s="1"/>
  <c r="K4592" i="2" a="1"/>
  <c r="K4592" i="2" s="1"/>
  <c r="K4608" i="2" a="1"/>
  <c r="K4608" i="2" s="1"/>
  <c r="K4616" i="2" a="1"/>
  <c r="K4616" i="2" s="1"/>
  <c r="K4632" i="2" a="1"/>
  <c r="K4632" i="2" s="1"/>
  <c r="K4640" i="2" a="1"/>
  <c r="K4640" i="2" s="1"/>
  <c r="K4656" i="2" a="1"/>
  <c r="K4656" i="2" s="1"/>
  <c r="K4664" i="2" a="1"/>
  <c r="K4664" i="2" s="1"/>
  <c r="K4680" i="2" a="1"/>
  <c r="K4680" i="2" s="1"/>
  <c r="K4688" i="2" a="1"/>
  <c r="K4688" i="2" s="1"/>
  <c r="K4704" i="2" a="1"/>
  <c r="K4704" i="2" s="1"/>
  <c r="K4712" i="2" a="1"/>
  <c r="K4712" i="2" s="1"/>
  <c r="K4728" i="2" a="1"/>
  <c r="K4728" i="2" s="1"/>
  <c r="K4736" i="2" a="1"/>
  <c r="K4736" i="2" s="1"/>
  <c r="K4752" i="2" a="1"/>
  <c r="K4752" i="2" s="1"/>
  <c r="K4760" i="2" a="1"/>
  <c r="K4760" i="2" s="1"/>
  <c r="K4776" i="2" a="1"/>
  <c r="K4776" i="2" s="1"/>
  <c r="K4784" i="2" a="1"/>
  <c r="K4784" i="2" s="1"/>
  <c r="K4800" i="2" a="1"/>
  <c r="K4800" i="2" s="1"/>
  <c r="K4808" i="2" a="1"/>
  <c r="K4808" i="2" s="1"/>
  <c r="K4824" i="2" a="1"/>
  <c r="K4824" i="2" s="1"/>
  <c r="K4832" i="2" a="1"/>
  <c r="K4832" i="2" s="1"/>
  <c r="K4848" i="2" a="1"/>
  <c r="K4848" i="2" s="1"/>
  <c r="K4856" i="2" a="1"/>
  <c r="K4856" i="2" s="1"/>
  <c r="K4872" i="2" a="1"/>
  <c r="K4872" i="2" s="1"/>
  <c r="K4880" i="2" a="1"/>
  <c r="K4880" i="2" s="1"/>
  <c r="K4896" i="2" a="1"/>
  <c r="K4896" i="2" s="1"/>
  <c r="K4904" i="2" a="1"/>
  <c r="K4904" i="2" s="1"/>
  <c r="K4920" i="2" a="1"/>
  <c r="K4920" i="2" s="1"/>
  <c r="K4928" i="2" a="1"/>
  <c r="K4928" i="2" s="1"/>
  <c r="K4944" i="2" a="1"/>
  <c r="K4944" i="2" s="1"/>
  <c r="K4952" i="2" a="1"/>
  <c r="K4952" i="2" s="1"/>
  <c r="K4968" i="2" a="1"/>
  <c r="K4968" i="2" s="1"/>
  <c r="K4976" i="2" a="1"/>
  <c r="K4976" i="2" s="1"/>
  <c r="K4992" i="2" a="1"/>
  <c r="K4992" i="2" s="1"/>
  <c r="K5000" i="2" a="1"/>
  <c r="K5000" i="2" s="1"/>
  <c r="K3809" i="2" a="1"/>
  <c r="K3809" i="2" s="1"/>
  <c r="K3925" i="2" a="1"/>
  <c r="K3925" i="2" s="1"/>
  <c r="K4025" i="2" a="1"/>
  <c r="K4025" i="2" s="1"/>
  <c r="K4075" i="2" a="1"/>
  <c r="K4075" i="2" s="1"/>
  <c r="K4116" i="2" a="1"/>
  <c r="K4116" i="2" s="1"/>
  <c r="K4148" i="2" a="1"/>
  <c r="K4148" i="2" s="1"/>
  <c r="K4194" i="2" a="1"/>
  <c r="K4194" i="2" s="1"/>
  <c r="K4212" i="2" a="1"/>
  <c r="K4212" i="2" s="1"/>
  <c r="K4236" i="2" a="1"/>
  <c r="K4236" i="2" s="1"/>
  <c r="K4258" i="2" a="1"/>
  <c r="K4258" i="2" s="1"/>
  <c r="K4282" i="2" a="1"/>
  <c r="K4282" i="2" s="1"/>
  <c r="K4335" i="2" a="1"/>
  <c r="K4335" i="2" s="1"/>
  <c r="K4347" i="2" a="1"/>
  <c r="K4347" i="2" s="1"/>
  <c r="K4365" i="2" a="1"/>
  <c r="K4365" i="2" s="1"/>
  <c r="K4374" i="2" a="1"/>
  <c r="K4374" i="2" s="1"/>
  <c r="K4382" i="2" a="1"/>
  <c r="K4382" i="2" s="1"/>
  <c r="K4391" i="2" a="1"/>
  <c r="K4391" i="2" s="1"/>
  <c r="K4398" i="2" a="1"/>
  <c r="K4398" i="2" s="1"/>
  <c r="K4406" i="2" a="1"/>
  <c r="K4406" i="2" s="1"/>
  <c r="K4413" i="2" a="1"/>
  <c r="K4413" i="2" s="1"/>
  <c r="K4422" i="2" a="1"/>
  <c r="K4422" i="2" s="1"/>
  <c r="K4429" i="2" a="1"/>
  <c r="K4429" i="2" s="1"/>
  <c r="K4437" i="2" a="1"/>
  <c r="K4437" i="2" s="1"/>
  <c r="K4445" i="2" a="1"/>
  <c r="K4445" i="2" s="1"/>
  <c r="K4468" i="2" a="1"/>
  <c r="K4468" i="2" s="1"/>
  <c r="K4475" i="2" a="1"/>
  <c r="K4475" i="2" s="1"/>
  <c r="K4483" i="2" a="1"/>
  <c r="K4483" i="2" s="1"/>
  <c r="K4491" i="2" a="1"/>
  <c r="K4491" i="2" s="1"/>
  <c r="K4507" i="2" a="1"/>
  <c r="K4507" i="2" s="1"/>
  <c r="K4514" i="2" a="1"/>
  <c r="K4514" i="2" s="1"/>
  <c r="K4522" i="2" a="1"/>
  <c r="K4522" i="2" s="1"/>
  <c r="K4544" i="2" a="1"/>
  <c r="K4544" i="2" s="1"/>
  <c r="K4552" i="2" a="1"/>
  <c r="K4552" i="2" s="1"/>
  <c r="K4561" i="2" a="1"/>
  <c r="K4561" i="2" s="1"/>
  <c r="K4576" i="2" a="1"/>
  <c r="K4576" i="2" s="1"/>
  <c r="K4585" i="2" a="1"/>
  <c r="K4585" i="2" s="1"/>
  <c r="K4600" i="2" a="1"/>
  <c r="K4600" i="2" s="1"/>
  <c r="K4609" i="2" a="1"/>
  <c r="K4609" i="2" s="1"/>
  <c r="K4624" i="2" a="1"/>
  <c r="K4624" i="2" s="1"/>
  <c r="K4633" i="2" a="1"/>
  <c r="K4633" i="2" s="1"/>
  <c r="K4648" i="2" a="1"/>
  <c r="K4648" i="2" s="1"/>
  <c r="K4657" i="2" a="1"/>
  <c r="K4657" i="2" s="1"/>
  <c r="K4672" i="2" a="1"/>
  <c r="K4672" i="2" s="1"/>
  <c r="K4681" i="2" a="1"/>
  <c r="K4681" i="2" s="1"/>
  <c r="K4696" i="2" a="1"/>
  <c r="K4696" i="2" s="1"/>
  <c r="K4705" i="2" a="1"/>
  <c r="K4705" i="2" s="1"/>
  <c r="K4720" i="2" a="1"/>
  <c r="K4720" i="2" s="1"/>
  <c r="K4729" i="2" a="1"/>
  <c r="K4729" i="2" s="1"/>
  <c r="K4744" i="2" a="1"/>
  <c r="K4744" i="2" s="1"/>
  <c r="K4753" i="2" a="1"/>
  <c r="K4753" i="2" s="1"/>
  <c r="K4768" i="2" a="1"/>
  <c r="K4768" i="2" s="1"/>
  <c r="K4777" i="2" a="1"/>
  <c r="K4777" i="2" s="1"/>
  <c r="K4792" i="2" a="1"/>
  <c r="K4792" i="2" s="1"/>
  <c r="K4801" i="2" a="1"/>
  <c r="K4801" i="2" s="1"/>
  <c r="K4816" i="2" a="1"/>
  <c r="K4816" i="2" s="1"/>
  <c r="K4825" i="2" a="1"/>
  <c r="K4825" i="2" s="1"/>
  <c r="K4840" i="2" a="1"/>
  <c r="K4840" i="2" s="1"/>
  <c r="K4849" i="2" a="1"/>
  <c r="K4849" i="2" s="1"/>
  <c r="K4864" i="2" a="1"/>
  <c r="K4864" i="2" s="1"/>
  <c r="K4873" i="2" a="1"/>
  <c r="K4873" i="2" s="1"/>
  <c r="K4888" i="2" a="1"/>
  <c r="K4888" i="2" s="1"/>
  <c r="K4897" i="2" a="1"/>
  <c r="K4897" i="2" s="1"/>
  <c r="K4912" i="2" a="1"/>
  <c r="K4912" i="2" s="1"/>
  <c r="K4921" i="2" a="1"/>
  <c r="K4921" i="2" s="1"/>
  <c r="K4936" i="2" a="1"/>
  <c r="K4936" i="2" s="1"/>
  <c r="K4945" i="2" a="1"/>
  <c r="K4945" i="2" s="1"/>
  <c r="K4960" i="2" a="1"/>
  <c r="K4960" i="2" s="1"/>
  <c r="K4969" i="2" a="1"/>
  <c r="K4969" i="2" s="1"/>
  <c r="K4984" i="2" a="1"/>
  <c r="K4984" i="2" s="1"/>
  <c r="K4993" i="2" a="1"/>
  <c r="K4993" i="2" s="1"/>
  <c r="K3674" i="2" a="1"/>
  <c r="K3674" i="2" s="1"/>
  <c r="K3818" i="2" a="1"/>
  <c r="K3818" i="2" s="1"/>
  <c r="K3880" i="2" a="1"/>
  <c r="K3880" i="2" s="1"/>
  <c r="K3933" i="2" a="1"/>
  <c r="K3933" i="2" s="1"/>
  <c r="K3982" i="2" a="1"/>
  <c r="K3982" i="2" s="1"/>
  <c r="K4082" i="2" a="1"/>
  <c r="K4082" i="2" s="1"/>
  <c r="K4149" i="2" a="1"/>
  <c r="K4149" i="2" s="1"/>
  <c r="K4175" i="2" a="1"/>
  <c r="K4175" i="2" s="1"/>
  <c r="K4213" i="2" a="1"/>
  <c r="K4213" i="2" s="1"/>
  <c r="K4226" i="2" a="1"/>
  <c r="K4226" i="2" s="1"/>
  <c r="K4259" i="2" a="1"/>
  <c r="K4259" i="2" s="1"/>
  <c r="K4272" i="2" a="1"/>
  <c r="K4272" i="2" s="1"/>
  <c r="K4305" i="2" a="1"/>
  <c r="K4305" i="2" s="1"/>
  <c r="K4316" i="2" a="1"/>
  <c r="K4316" i="2" s="1"/>
  <c r="K4326" i="2" a="1"/>
  <c r="K4326" i="2" s="1"/>
  <c r="K4336" i="2" a="1"/>
  <c r="K4336" i="2" s="1"/>
  <c r="K4348" i="2" a="1"/>
  <c r="K4348" i="2" s="1"/>
  <c r="K4356" i="2" a="1"/>
  <c r="K4356" i="2" s="1"/>
  <c r="K4366" i="2" a="1"/>
  <c r="K4366" i="2" s="1"/>
  <c r="K4383" i="2" a="1"/>
  <c r="K4383" i="2" s="1"/>
  <c r="K4392" i="2" a="1"/>
  <c r="K4392" i="2" s="1"/>
  <c r="K4414" i="2" a="1"/>
  <c r="K4414" i="2" s="1"/>
  <c r="K4430" i="2" a="1"/>
  <c r="K4430" i="2" s="1"/>
  <c r="K4438" i="2" a="1"/>
  <c r="K4438" i="2" s="1"/>
  <c r="K4453" i="2" a="1"/>
  <c r="K4453" i="2" s="1"/>
  <c r="K4460" i="2" a="1"/>
  <c r="K4460" i="2" s="1"/>
  <c r="K4476" i="2" a="1"/>
  <c r="K4476" i="2" s="1"/>
  <c r="K4492" i="2" a="1"/>
  <c r="K4492" i="2" s="1"/>
  <c r="K4499" i="2" a="1"/>
  <c r="K4499" i="2" s="1"/>
  <c r="K4515" i="2" a="1"/>
  <c r="K4515" i="2" s="1"/>
  <c r="K4523" i="2" a="1"/>
  <c r="K4523" i="2" s="1"/>
  <c r="K4530" i="2" a="1"/>
  <c r="K4530" i="2" s="1"/>
  <c r="K4538" i="2" a="1"/>
  <c r="K4538" i="2" s="1"/>
  <c r="K4553" i="2" a="1"/>
  <c r="K4553" i="2" s="1"/>
  <c r="K4569" i="2" a="1"/>
  <c r="K4569" i="2" s="1"/>
  <c r="K4577" i="2" a="1"/>
  <c r="K4577" i="2" s="1"/>
  <c r="K4593" i="2" a="1"/>
  <c r="K4593" i="2" s="1"/>
  <c r="K4601" i="2" a="1"/>
  <c r="K4601" i="2" s="1"/>
  <c r="K4617" i="2" a="1"/>
  <c r="K4617" i="2" s="1"/>
  <c r="K4625" i="2" a="1"/>
  <c r="K4625" i="2" s="1"/>
  <c r="K4641" i="2" a="1"/>
  <c r="K4641" i="2" s="1"/>
  <c r="K4649" i="2" a="1"/>
  <c r="K4649" i="2" s="1"/>
  <c r="K4665" i="2" a="1"/>
  <c r="K4665" i="2" s="1"/>
  <c r="K4673" i="2" a="1"/>
  <c r="K4673" i="2" s="1"/>
  <c r="K4689" i="2" a="1"/>
  <c r="K4689" i="2" s="1"/>
  <c r="K4697" i="2" a="1"/>
  <c r="K4697" i="2" s="1"/>
  <c r="K4713" i="2" a="1"/>
  <c r="K4713" i="2" s="1"/>
  <c r="K4721" i="2" a="1"/>
  <c r="K4721" i="2" s="1"/>
  <c r="K4737" i="2" a="1"/>
  <c r="K4737" i="2" s="1"/>
  <c r="K4745" i="2" a="1"/>
  <c r="K4745" i="2" s="1"/>
  <c r="K4761" i="2" a="1"/>
  <c r="K4761" i="2" s="1"/>
  <c r="K4769" i="2" a="1"/>
  <c r="K4769" i="2" s="1"/>
  <c r="K4785" i="2" a="1"/>
  <c r="K4785" i="2" s="1"/>
  <c r="K4793" i="2" a="1"/>
  <c r="K4793" i="2" s="1"/>
  <c r="K4809" i="2" a="1"/>
  <c r="K4809" i="2" s="1"/>
  <c r="K4817" i="2" a="1"/>
  <c r="K4817" i="2" s="1"/>
  <c r="K4833" i="2" a="1"/>
  <c r="K4833" i="2" s="1"/>
  <c r="K4841" i="2" a="1"/>
  <c r="K4841" i="2" s="1"/>
  <c r="K4857" i="2" a="1"/>
  <c r="K4857" i="2" s="1"/>
  <c r="K4865" i="2" a="1"/>
  <c r="K4865" i="2" s="1"/>
  <c r="K4881" i="2" a="1"/>
  <c r="K4881" i="2" s="1"/>
  <c r="K4889" i="2" a="1"/>
  <c r="K4889" i="2" s="1"/>
  <c r="K4905" i="2" a="1"/>
  <c r="K4905" i="2" s="1"/>
  <c r="K4913" i="2" a="1"/>
  <c r="K4913" i="2" s="1"/>
  <c r="K4929" i="2" a="1"/>
  <c r="K4929" i="2" s="1"/>
  <c r="K4937" i="2" a="1"/>
  <c r="K4937" i="2" s="1"/>
  <c r="K4953" i="2" a="1"/>
  <c r="K4953" i="2" s="1"/>
  <c r="K4961" i="2" a="1"/>
  <c r="K4961" i="2" s="1"/>
  <c r="K4977" i="2" a="1"/>
  <c r="K4977" i="2" s="1"/>
  <c r="K4985" i="2" a="1"/>
  <c r="K4985" i="2" s="1"/>
  <c r="K5001" i="2" a="1"/>
  <c r="K5001" i="2" s="1"/>
  <c r="K3688" i="2" a="1"/>
  <c r="K3688" i="2" s="1"/>
  <c r="K3827" i="2" a="1"/>
  <c r="K3827" i="2" s="1"/>
  <c r="K3881" i="2" a="1"/>
  <c r="K3881" i="2" s="1"/>
  <c r="K3934" i="2" a="1"/>
  <c r="K3934" i="2" s="1"/>
  <c r="K3983" i="2" a="1"/>
  <c r="K3983" i="2" s="1"/>
  <c r="K4033" i="2" a="1"/>
  <c r="K4033" i="2" s="1"/>
  <c r="K4123" i="2" a="1"/>
  <c r="K4123" i="2" s="1"/>
  <c r="K4150" i="2" a="1"/>
  <c r="K4150" i="2" s="1"/>
  <c r="K4198" i="2" a="1"/>
  <c r="K4198" i="2" s="1"/>
  <c r="K4227" i="2" a="1"/>
  <c r="K4227" i="2" s="1"/>
  <c r="K4239" i="2" a="1"/>
  <c r="K4239" i="2" s="1"/>
  <c r="K4250" i="2" a="1"/>
  <c r="K4250" i="2" s="1"/>
  <c r="K4262" i="2" a="1"/>
  <c r="K4262" i="2" s="1"/>
  <c r="K4273" i="2" a="1"/>
  <c r="K4273" i="2" s="1"/>
  <c r="K4285" i="2" a="1"/>
  <c r="K4285" i="2" s="1"/>
  <c r="K4296" i="2" a="1"/>
  <c r="K4296" i="2" s="1"/>
  <c r="K4306" i="2" a="1"/>
  <c r="K4306" i="2" s="1"/>
  <c r="K4317" i="2" a="1"/>
  <c r="K4317" i="2" s="1"/>
  <c r="K4337" i="2" a="1"/>
  <c r="K4337" i="2" s="1"/>
  <c r="K4357" i="2" a="1"/>
  <c r="K4357" i="2" s="1"/>
  <c r="K4375" i="2" a="1"/>
  <c r="K4375" i="2" s="1"/>
  <c r="K4384" i="2" a="1"/>
  <c r="K4384" i="2" s="1"/>
  <c r="K4399" i="2" a="1"/>
  <c r="K4399" i="2" s="1"/>
  <c r="K4407" i="2" a="1"/>
  <c r="K4407" i="2" s="1"/>
  <c r="K4423" i="2" a="1"/>
  <c r="K4423" i="2" s="1"/>
  <c r="K4431" i="2" a="1"/>
  <c r="K4431" i="2" s="1"/>
  <c r="K4446" i="2" a="1"/>
  <c r="K4446" i="2" s="1"/>
  <c r="K4461" i="2" a="1"/>
  <c r="K4461" i="2" s="1"/>
  <c r="K4469" i="2" a="1"/>
  <c r="K4469" i="2" s="1"/>
  <c r="K4477" i="2" a="1"/>
  <c r="K4477" i="2" s="1"/>
  <c r="K4484" i="2" a="1"/>
  <c r="K4484" i="2" s="1"/>
  <c r="K4508" i="2" a="1"/>
  <c r="K4508" i="2" s="1"/>
  <c r="K4516" i="2" a="1"/>
  <c r="K4516" i="2" s="1"/>
  <c r="K4545" i="2" a="1"/>
  <c r="K4545" i="2" s="1"/>
  <c r="K4554" i="2" a="1"/>
  <c r="K4554" i="2" s="1"/>
  <c r="K4562" i="2" a="1"/>
  <c r="K4562" i="2" s="1"/>
  <c r="K4578" i="2" a="1"/>
  <c r="K4578" i="2" s="1"/>
  <c r="K4586" i="2" a="1"/>
  <c r="K4586" i="2" s="1"/>
  <c r="K4602" i="2" a="1"/>
  <c r="K4602" i="2" s="1"/>
  <c r="K4610" i="2" a="1"/>
  <c r="K4610" i="2" s="1"/>
  <c r="K4626" i="2" a="1"/>
  <c r="K4626" i="2" s="1"/>
  <c r="K4634" i="2" a="1"/>
  <c r="K4634" i="2" s="1"/>
  <c r="K4650" i="2" a="1"/>
  <c r="K4650" i="2" s="1"/>
  <c r="K4658" i="2" a="1"/>
  <c r="K4658" i="2" s="1"/>
  <c r="K4674" i="2" a="1"/>
  <c r="K4674" i="2" s="1"/>
  <c r="K4682" i="2" a="1"/>
  <c r="K4682" i="2" s="1"/>
  <c r="K4698" i="2" a="1"/>
  <c r="K4698" i="2" s="1"/>
  <c r="K4706" i="2" a="1"/>
  <c r="K4706" i="2" s="1"/>
  <c r="K4722" i="2" a="1"/>
  <c r="K4722" i="2" s="1"/>
  <c r="K4730" i="2" a="1"/>
  <c r="K4730" i="2" s="1"/>
  <c r="K4746" i="2" a="1"/>
  <c r="K4746" i="2" s="1"/>
  <c r="K4754" i="2" a="1"/>
  <c r="K4754" i="2" s="1"/>
  <c r="K4770" i="2" a="1"/>
  <c r="K4770" i="2" s="1"/>
  <c r="K4778" i="2" a="1"/>
  <c r="K4778" i="2" s="1"/>
  <c r="K4794" i="2" a="1"/>
  <c r="K4794" i="2" s="1"/>
  <c r="K4802" i="2" a="1"/>
  <c r="K4802" i="2" s="1"/>
  <c r="K4818" i="2" a="1"/>
  <c r="K4818" i="2" s="1"/>
  <c r="K4826" i="2" a="1"/>
  <c r="K4826" i="2" s="1"/>
  <c r="K4842" i="2" a="1"/>
  <c r="K4842" i="2" s="1"/>
  <c r="K4850" i="2" a="1"/>
  <c r="K4850" i="2" s="1"/>
  <c r="K4866" i="2" a="1"/>
  <c r="K4866" i="2" s="1"/>
  <c r="K4874" i="2" a="1"/>
  <c r="K4874" i="2" s="1"/>
  <c r="K4890" i="2" a="1"/>
  <c r="K4890" i="2" s="1"/>
  <c r="K4898" i="2" a="1"/>
  <c r="K4898" i="2" s="1"/>
  <c r="K4914" i="2" a="1"/>
  <c r="K4914" i="2" s="1"/>
  <c r="K4922" i="2" a="1"/>
  <c r="K4922" i="2" s="1"/>
  <c r="K4938" i="2" a="1"/>
  <c r="K4938" i="2" s="1"/>
  <c r="K4946" i="2" a="1"/>
  <c r="K4946" i="2" s="1"/>
  <c r="K4962" i="2" a="1"/>
  <c r="K4962" i="2" s="1"/>
  <c r="K4970" i="2" a="1"/>
  <c r="K4970" i="2" s="1"/>
  <c r="K4986" i="2" a="1"/>
  <c r="K4986" i="2" s="1"/>
  <c r="K4994" i="2" a="1"/>
  <c r="K4994" i="2" s="1"/>
  <c r="K3420" i="2" a="1"/>
  <c r="K3420" i="2" s="1"/>
  <c r="K3835" i="2" a="1"/>
  <c r="K3835" i="2" s="1"/>
  <c r="K3941" i="2" a="1"/>
  <c r="K3941" i="2" s="1"/>
  <c r="K3991" i="2" a="1"/>
  <c r="K3991" i="2" s="1"/>
  <c r="K4041" i="2" a="1"/>
  <c r="K4041" i="2" s="1"/>
  <c r="K4090" i="2" a="1"/>
  <c r="K4090" i="2" s="1"/>
  <c r="K4176" i="2" a="1"/>
  <c r="K4176" i="2" s="1"/>
  <c r="K4199" i="2" a="1"/>
  <c r="K4199" i="2" s="1"/>
  <c r="K4217" i="2" a="1"/>
  <c r="K4217" i="2" s="1"/>
  <c r="K4228" i="2" a="1"/>
  <c r="K4228" i="2" s="1"/>
  <c r="K4240" i="2" a="1"/>
  <c r="K4240" i="2" s="1"/>
  <c r="K4274" i="2" a="1"/>
  <c r="K4274" i="2" s="1"/>
  <c r="K4286" i="2" a="1"/>
  <c r="K4286" i="2" s="1"/>
  <c r="K4318" i="2" a="1"/>
  <c r="K4318" i="2" s="1"/>
  <c r="K4327" i="2" a="1"/>
  <c r="K4327" i="2" s="1"/>
  <c r="K4339" i="2" a="1"/>
  <c r="K4339" i="2" s="1"/>
  <c r="K4349" i="2" a="1"/>
  <c r="K4349" i="2" s="1"/>
  <c r="K4358" i="2" a="1"/>
  <c r="K4358" i="2" s="1"/>
  <c r="K4367" i="2" a="1"/>
  <c r="K4367" i="2" s="1"/>
  <c r="K4376" i="2" a="1"/>
  <c r="K4376" i="2" s="1"/>
  <c r="K4385" i="2" a="1"/>
  <c r="K4385" i="2" s="1"/>
  <c r="K4393" i="2" a="1"/>
  <c r="K4393" i="2" s="1"/>
  <c r="K4408" i="2" a="1"/>
  <c r="K4408" i="2" s="1"/>
  <c r="K4415" i="2" a="1"/>
  <c r="K4415" i="2" s="1"/>
  <c r="K4432" i="2" a="1"/>
  <c r="K4432" i="2" s="1"/>
  <c r="K4439" i="2" a="1"/>
  <c r="K4439" i="2" s="1"/>
  <c r="K4454" i="2" a="1"/>
  <c r="K4454" i="2" s="1"/>
  <c r="K4462" i="2" a="1"/>
  <c r="K4462" i="2" s="1"/>
  <c r="K4493" i="2" a="1"/>
  <c r="K4493" i="2" s="1"/>
  <c r="K4500" i="2" a="1"/>
  <c r="K4500" i="2" s="1"/>
  <c r="K4524" i="2" a="1"/>
  <c r="K4524" i="2" s="1"/>
  <c r="K4531" i="2" a="1"/>
  <c r="K4531" i="2" s="1"/>
  <c r="K4539" i="2" a="1"/>
  <c r="K4539" i="2" s="1"/>
  <c r="K4546" i="2" a="1"/>
  <c r="K4546" i="2" s="1"/>
  <c r="K4555" i="2" a="1"/>
  <c r="K4555" i="2" s="1"/>
  <c r="K4570" i="2" a="1"/>
  <c r="K4570" i="2" s="1"/>
  <c r="K4579" i="2" a="1"/>
  <c r="K4579" i="2" s="1"/>
  <c r="K4594" i="2" a="1"/>
  <c r="K4594" i="2" s="1"/>
  <c r="K4603" i="2" a="1"/>
  <c r="K4603" i="2" s="1"/>
  <c r="K4618" i="2" a="1"/>
  <c r="K4618" i="2" s="1"/>
  <c r="K4627" i="2" a="1"/>
  <c r="K4627" i="2" s="1"/>
  <c r="K4642" i="2" a="1"/>
  <c r="K4642" i="2" s="1"/>
  <c r="K4651" i="2" a="1"/>
  <c r="K4651" i="2" s="1"/>
  <c r="K4666" i="2" a="1"/>
  <c r="K4666" i="2" s="1"/>
  <c r="K4675" i="2" a="1"/>
  <c r="K4675" i="2" s="1"/>
  <c r="K4690" i="2" a="1"/>
  <c r="K4690" i="2" s="1"/>
  <c r="K4699" i="2" a="1"/>
  <c r="K4699" i="2" s="1"/>
  <c r="K4714" i="2" a="1"/>
  <c r="K4714" i="2" s="1"/>
  <c r="K4723" i="2" a="1"/>
  <c r="K4723" i="2" s="1"/>
  <c r="K4738" i="2" a="1"/>
  <c r="K4738" i="2" s="1"/>
  <c r="K4747" i="2" a="1"/>
  <c r="K4747" i="2" s="1"/>
  <c r="K4762" i="2" a="1"/>
  <c r="K4762" i="2" s="1"/>
  <c r="K4771" i="2" a="1"/>
  <c r="K4771" i="2" s="1"/>
  <c r="K4786" i="2" a="1"/>
  <c r="K4786" i="2" s="1"/>
  <c r="K4795" i="2" a="1"/>
  <c r="K4795" i="2" s="1"/>
  <c r="K4810" i="2" a="1"/>
  <c r="K4810" i="2" s="1"/>
  <c r="K4819" i="2" a="1"/>
  <c r="K4819" i="2" s="1"/>
  <c r="K4834" i="2" a="1"/>
  <c r="K4834" i="2" s="1"/>
  <c r="K4843" i="2" a="1"/>
  <c r="K4843" i="2" s="1"/>
  <c r="K4858" i="2" a="1"/>
  <c r="K4858" i="2" s="1"/>
  <c r="K4867" i="2" a="1"/>
  <c r="K4867" i="2" s="1"/>
  <c r="K4882" i="2" a="1"/>
  <c r="K4882" i="2" s="1"/>
  <c r="K4891" i="2" a="1"/>
  <c r="K4891" i="2" s="1"/>
  <c r="K4906" i="2" a="1"/>
  <c r="K4906" i="2" s="1"/>
  <c r="K4915" i="2" a="1"/>
  <c r="K4915" i="2" s="1"/>
  <c r="K4930" i="2" a="1"/>
  <c r="K4930" i="2" s="1"/>
  <c r="K4939" i="2" a="1"/>
  <c r="K4939" i="2" s="1"/>
  <c r="K4954" i="2" a="1"/>
  <c r="K4954" i="2" s="1"/>
  <c r="K4963" i="2" a="1"/>
  <c r="K4963" i="2" s="1"/>
  <c r="K4978" i="2" a="1"/>
  <c r="K4978" i="2" s="1"/>
  <c r="K4987" i="2" a="1"/>
  <c r="K4987" i="2" s="1"/>
  <c r="K3469" i="2" a="1"/>
  <c r="K3469" i="2" s="1"/>
  <c r="K3890" i="2" a="1"/>
  <c r="K3890" i="2" s="1"/>
  <c r="K3942" i="2" a="1"/>
  <c r="K3942" i="2" s="1"/>
  <c r="K3992" i="2" a="1"/>
  <c r="K3992" i="2" s="1"/>
  <c r="K4042" i="2" a="1"/>
  <c r="K4042" i="2" s="1"/>
  <c r="K4091" i="2" a="1"/>
  <c r="K4091" i="2" s="1"/>
  <c r="K4124" i="2" a="1"/>
  <c r="K4124" i="2" s="1"/>
  <c r="K4157" i="2" a="1"/>
  <c r="K4157" i="2" s="1"/>
  <c r="K4251" i="2" a="1"/>
  <c r="K4251" i="2" s="1"/>
  <c r="K4263" i="2" a="1"/>
  <c r="K4263" i="2" s="1"/>
  <c r="K4287" i="2" a="1"/>
  <c r="K4287" i="2" s="1"/>
  <c r="K4297" i="2" a="1"/>
  <c r="K4297" i="2" s="1"/>
  <c r="K4309" i="2" a="1"/>
  <c r="K4309" i="2" s="1"/>
  <c r="K4319" i="2" a="1"/>
  <c r="K4319" i="2" s="1"/>
  <c r="K4350" i="2" a="1"/>
  <c r="K4350" i="2" s="1"/>
  <c r="K4359" i="2" a="1"/>
  <c r="K4359" i="2" s="1"/>
  <c r="K4377" i="2" a="1"/>
  <c r="K4377" i="2" s="1"/>
  <c r="K4400" i="2" a="1"/>
  <c r="K4400" i="2" s="1"/>
  <c r="K4409" i="2" a="1"/>
  <c r="K4409" i="2" s="1"/>
  <c r="K4416" i="2" a="1"/>
  <c r="K4416" i="2" s="1"/>
  <c r="K4424" i="2" a="1"/>
  <c r="K4424" i="2" s="1"/>
  <c r="K4447" i="2" a="1"/>
  <c r="K4447" i="2" s="1"/>
  <c r="K4455" i="2" a="1"/>
  <c r="K4455" i="2" s="1"/>
  <c r="K4463" i="2" a="1"/>
  <c r="K4463" i="2" s="1"/>
  <c r="K4470" i="2" a="1"/>
  <c r="K4470" i="2" s="1"/>
  <c r="K4478" i="2" a="1"/>
  <c r="K4478" i="2" s="1"/>
  <c r="K4485" i="2" a="1"/>
  <c r="K4485" i="2" s="1"/>
  <c r="K4494" i="2" a="1"/>
  <c r="K4494" i="2" s="1"/>
  <c r="K4501" i="2" a="1"/>
  <c r="K4501" i="2" s="1"/>
  <c r="K4509" i="2" a="1"/>
  <c r="K4509" i="2" s="1"/>
  <c r="K4517" i="2" a="1"/>
  <c r="K4517" i="2" s="1"/>
  <c r="K4540" i="2" a="1"/>
  <c r="K4540" i="2" s="1"/>
  <c r="K4547" i="2" a="1"/>
  <c r="K4547" i="2" s="1"/>
  <c r="K4563" i="2" a="1"/>
  <c r="K4563" i="2" s="1"/>
  <c r="K4571" i="2" a="1"/>
  <c r="K4571" i="2" s="1"/>
  <c r="K4587" i="2" a="1"/>
  <c r="K4587" i="2" s="1"/>
  <c r="K4595" i="2" a="1"/>
  <c r="K4595" i="2" s="1"/>
  <c r="K4611" i="2" a="1"/>
  <c r="K4611" i="2" s="1"/>
  <c r="K4619" i="2" a="1"/>
  <c r="K4619" i="2" s="1"/>
  <c r="K4635" i="2" a="1"/>
  <c r="K4635" i="2" s="1"/>
  <c r="K4643" i="2" a="1"/>
  <c r="K4643" i="2" s="1"/>
  <c r="K4659" i="2" a="1"/>
  <c r="K4659" i="2" s="1"/>
  <c r="K4667" i="2" a="1"/>
  <c r="K4667" i="2" s="1"/>
  <c r="K4683" i="2" a="1"/>
  <c r="K4683" i="2" s="1"/>
  <c r="K4691" i="2" a="1"/>
  <c r="K4691" i="2" s="1"/>
  <c r="K4707" i="2" a="1"/>
  <c r="K4707" i="2" s="1"/>
  <c r="K4715" i="2" a="1"/>
  <c r="K4715" i="2" s="1"/>
  <c r="K4731" i="2" a="1"/>
  <c r="K4731" i="2" s="1"/>
  <c r="K4739" i="2" a="1"/>
  <c r="K4739" i="2" s="1"/>
  <c r="K4755" i="2" a="1"/>
  <c r="K4755" i="2" s="1"/>
  <c r="K4763" i="2" a="1"/>
  <c r="K4763" i="2" s="1"/>
  <c r="K4779" i="2" a="1"/>
  <c r="K4779" i="2" s="1"/>
  <c r="K4787" i="2" a="1"/>
  <c r="K4787" i="2" s="1"/>
  <c r="K4803" i="2" a="1"/>
  <c r="K4803" i="2" s="1"/>
  <c r="K4811" i="2" a="1"/>
  <c r="K4811" i="2" s="1"/>
  <c r="K4827" i="2" a="1"/>
  <c r="K4827" i="2" s="1"/>
  <c r="K4835" i="2" a="1"/>
  <c r="K4835" i="2" s="1"/>
  <c r="K4851" i="2" a="1"/>
  <c r="K4851" i="2" s="1"/>
  <c r="K4859" i="2" a="1"/>
  <c r="K4859" i="2" s="1"/>
  <c r="K4875" i="2" a="1"/>
  <c r="K4875" i="2" s="1"/>
  <c r="K4883" i="2" a="1"/>
  <c r="K4883" i="2" s="1"/>
  <c r="K4899" i="2" a="1"/>
  <c r="K4899" i="2" s="1"/>
  <c r="K4907" i="2" a="1"/>
  <c r="K4907" i="2" s="1"/>
  <c r="K4923" i="2" a="1"/>
  <c r="K4923" i="2" s="1"/>
  <c r="K4931" i="2" a="1"/>
  <c r="K4931" i="2" s="1"/>
  <c r="K4947" i="2" a="1"/>
  <c r="K4947" i="2" s="1"/>
  <c r="K4955" i="2" a="1"/>
  <c r="K4955" i="2" s="1"/>
  <c r="K4971" i="2" a="1"/>
  <c r="K4971" i="2" s="1"/>
  <c r="K4979" i="2" a="1"/>
  <c r="K4979" i="2" s="1"/>
  <c r="K4995" i="2" a="1"/>
  <c r="K4995" i="2" s="1"/>
  <c r="K3518" i="2" a="1"/>
  <c r="K3518" i="2" s="1"/>
  <c r="K3728" i="2" a="1"/>
  <c r="K3728" i="2" s="1"/>
  <c r="K3844" i="2" a="1"/>
  <c r="K3844" i="2" s="1"/>
  <c r="K3898" i="2" a="1"/>
  <c r="K3898" i="2" s="1"/>
  <c r="K4000" i="2" a="1"/>
  <c r="K4000" i="2" s="1"/>
  <c r="K4049" i="2" a="1"/>
  <c r="K4049" i="2" s="1"/>
  <c r="K4098" i="2" a="1"/>
  <c r="K4098" i="2" s="1"/>
  <c r="K4131" i="2" a="1"/>
  <c r="K4131" i="2" s="1"/>
  <c r="K4158" i="2" a="1"/>
  <c r="K4158" i="2" s="1"/>
  <c r="K4182" i="2" a="1"/>
  <c r="K4182" i="2" s="1"/>
  <c r="K4202" i="2" a="1"/>
  <c r="K4202" i="2" s="1"/>
  <c r="K4219" i="2" a="1"/>
  <c r="K4219" i="2" s="1"/>
  <c r="K4229" i="2" a="1"/>
  <c r="K4229" i="2" s="1"/>
  <c r="K4252" i="2" a="1"/>
  <c r="K4252" i="2" s="1"/>
  <c r="K4265" i="2" a="1"/>
  <c r="K4265" i="2" s="1"/>
  <c r="K4275" i="2" a="1"/>
  <c r="K4275" i="2" s="1"/>
  <c r="K4298" i="2" a="1"/>
  <c r="K4298" i="2" s="1"/>
  <c r="K4320" i="2" a="1"/>
  <c r="K4320" i="2" s="1"/>
  <c r="K4328" i="2" a="1"/>
  <c r="K4328" i="2" s="1"/>
  <c r="K4340" i="2" a="1"/>
  <c r="K4340" i="2" s="1"/>
  <c r="K4360" i="2" a="1"/>
  <c r="K4360" i="2" s="1"/>
  <c r="K4368" i="2" a="1"/>
  <c r="K4368" i="2" s="1"/>
  <c r="K4378" i="2" a="1"/>
  <c r="K4378" i="2" s="1"/>
  <c r="K4386" i="2" a="1"/>
  <c r="K4386" i="2" s="1"/>
  <c r="K4394" i="2" a="1"/>
  <c r="K4394" i="2" s="1"/>
  <c r="K4417" i="2" a="1"/>
  <c r="K4417" i="2" s="1"/>
  <c r="K4433" i="2" a="1"/>
  <c r="K4433" i="2" s="1"/>
  <c r="K4440" i="2" a="1"/>
  <c r="K4440" i="2" s="1"/>
  <c r="K4448" i="2" a="1"/>
  <c r="K4448" i="2" s="1"/>
  <c r="K4456" i="2" a="1"/>
  <c r="K4456" i="2" s="1"/>
  <c r="K4464" i="2" a="1"/>
  <c r="K4464" i="2" s="1"/>
  <c r="K4486" i="2" a="1"/>
  <c r="K4486" i="2" s="1"/>
  <c r="K4502" i="2" a="1"/>
  <c r="K4502" i="2" s="1"/>
  <c r="K4510" i="2" a="1"/>
  <c r="K4510" i="2" s="1"/>
  <c r="K4525" i="2" a="1"/>
  <c r="K4525" i="2" s="1"/>
  <c r="K4532" i="2" a="1"/>
  <c r="K4532" i="2" s="1"/>
  <c r="K4548" i="2" a="1"/>
  <c r="K4548" i="2" s="1"/>
  <c r="K4556" i="2" a="1"/>
  <c r="K4556" i="2" s="1"/>
  <c r="K4572" i="2" a="1"/>
  <c r="K4572" i="2" s="1"/>
  <c r="K4580" i="2" a="1"/>
  <c r="K4580" i="2" s="1"/>
  <c r="K4596" i="2" a="1"/>
  <c r="K4596" i="2" s="1"/>
  <c r="K4604" i="2" a="1"/>
  <c r="K4604" i="2" s="1"/>
  <c r="K4620" i="2" a="1"/>
  <c r="K4620" i="2" s="1"/>
  <c r="K4628" i="2" a="1"/>
  <c r="K4628" i="2" s="1"/>
  <c r="K4644" i="2" a="1"/>
  <c r="K4644" i="2" s="1"/>
  <c r="K4652" i="2" a="1"/>
  <c r="K4652" i="2" s="1"/>
  <c r="K4668" i="2" a="1"/>
  <c r="K4668" i="2" s="1"/>
  <c r="K4676" i="2" a="1"/>
  <c r="K4676" i="2" s="1"/>
  <c r="K4692" i="2" a="1"/>
  <c r="K4692" i="2" s="1"/>
  <c r="K4700" i="2" a="1"/>
  <c r="K4700" i="2" s="1"/>
  <c r="K4716" i="2" a="1"/>
  <c r="K4716" i="2" s="1"/>
  <c r="K4724" i="2" a="1"/>
  <c r="K4724" i="2" s="1"/>
  <c r="K4740" i="2" a="1"/>
  <c r="K4740" i="2" s="1"/>
  <c r="K4748" i="2" a="1"/>
  <c r="K4748" i="2" s="1"/>
  <c r="K4764" i="2" a="1"/>
  <c r="K4764" i="2" s="1"/>
  <c r="K4772" i="2" a="1"/>
  <c r="K4772" i="2" s="1"/>
  <c r="K4788" i="2" a="1"/>
  <c r="K4788" i="2" s="1"/>
  <c r="K4796" i="2" a="1"/>
  <c r="K4796" i="2" s="1"/>
  <c r="K4812" i="2" a="1"/>
  <c r="K4812" i="2" s="1"/>
  <c r="K4820" i="2" a="1"/>
  <c r="K4820" i="2" s="1"/>
  <c r="K4836" i="2" a="1"/>
  <c r="K4836" i="2" s="1"/>
  <c r="K4844" i="2" a="1"/>
  <c r="K4844" i="2" s="1"/>
  <c r="K4860" i="2" a="1"/>
  <c r="K4860" i="2" s="1"/>
  <c r="K4868" i="2" a="1"/>
  <c r="K4868" i="2" s="1"/>
  <c r="K4884" i="2" a="1"/>
  <c r="K4884" i="2" s="1"/>
  <c r="K4892" i="2" a="1"/>
  <c r="K4892" i="2" s="1"/>
  <c r="K4908" i="2" a="1"/>
  <c r="K4908" i="2" s="1"/>
  <c r="K4916" i="2" a="1"/>
  <c r="K4916" i="2" s="1"/>
  <c r="K4932" i="2" a="1"/>
  <c r="K4932" i="2" s="1"/>
  <c r="K4940" i="2" a="1"/>
  <c r="K4940" i="2" s="1"/>
  <c r="K4956" i="2" a="1"/>
  <c r="K4956" i="2" s="1"/>
  <c r="K4964" i="2" a="1"/>
  <c r="K4964" i="2" s="1"/>
  <c r="K4980" i="2" a="1"/>
  <c r="K4980" i="2" s="1"/>
  <c r="K4988" i="2" a="1"/>
  <c r="K4988" i="2" s="1"/>
  <c r="K4058" i="2" a="1"/>
  <c r="K4058" i="2" s="1"/>
  <c r="K4186" i="2" a="1"/>
  <c r="K4186" i="2" s="1"/>
  <c r="K4243" i="2" a="1"/>
  <c r="K4243" i="2" s="1"/>
  <c r="K4290" i="2" a="1"/>
  <c r="K4290" i="2" s="1"/>
  <c r="K4333" i="2" a="1"/>
  <c r="K4333" i="2" s="1"/>
  <c r="K4372" i="2" a="1"/>
  <c r="K4372" i="2" s="1"/>
  <c r="K4403" i="2" a="1"/>
  <c r="K4403" i="2" s="1"/>
  <c r="K4435" i="2" a="1"/>
  <c r="K4435" i="2" s="1"/>
  <c r="K4496" i="2" a="1"/>
  <c r="K4496" i="2" s="1"/>
  <c r="K4527" i="2" a="1"/>
  <c r="K4527" i="2" s="1"/>
  <c r="K4590" i="2" a="1"/>
  <c r="K4590" i="2" s="1"/>
  <c r="K4622" i="2" a="1"/>
  <c r="K4622" i="2" s="1"/>
  <c r="K4686" i="2" a="1"/>
  <c r="K4686" i="2" s="1"/>
  <c r="K4718" i="2" a="1"/>
  <c r="K4718" i="2" s="1"/>
  <c r="K4782" i="2" a="1"/>
  <c r="K4782" i="2" s="1"/>
  <c r="K4814" i="2" a="1"/>
  <c r="K4814" i="2" s="1"/>
  <c r="K4878" i="2" a="1"/>
  <c r="K4878" i="2" s="1"/>
  <c r="K4910" i="2" a="1"/>
  <c r="K4910" i="2" s="1"/>
  <c r="K4974" i="2" a="1"/>
  <c r="K4974" i="2" s="1"/>
  <c r="K3899" i="2" a="1"/>
  <c r="K3899" i="2" s="1"/>
  <c r="K4099" i="2" a="1"/>
  <c r="K4099" i="2" s="1"/>
  <c r="K4254" i="2" a="1"/>
  <c r="K4254" i="2" s="1"/>
  <c r="K4301" i="2" a="1"/>
  <c r="K4301" i="2" s="1"/>
  <c r="K4379" i="2" a="1"/>
  <c r="K4379" i="2" s="1"/>
  <c r="K4410" i="2" a="1"/>
  <c r="K4410" i="2" s="1"/>
  <c r="K4471" i="2" a="1"/>
  <c r="K4471" i="2" s="1"/>
  <c r="K4503" i="2" a="1"/>
  <c r="K4503" i="2" s="1"/>
  <c r="K4533" i="2" a="1"/>
  <c r="K4533" i="2" s="1"/>
  <c r="K4564" i="2" a="1"/>
  <c r="K4564" i="2" s="1"/>
  <c r="K4597" i="2" a="1"/>
  <c r="K4597" i="2" s="1"/>
  <c r="K4660" i="2" a="1"/>
  <c r="K4660" i="2" s="1"/>
  <c r="K4693" i="2" a="1"/>
  <c r="K4693" i="2" s="1"/>
  <c r="K4756" i="2" a="1"/>
  <c r="K4756" i="2" s="1"/>
  <c r="K4789" i="2" a="1"/>
  <c r="K4789" i="2" s="1"/>
  <c r="K4852" i="2" a="1"/>
  <c r="K4852" i="2" s="1"/>
  <c r="K4885" i="2" a="1"/>
  <c r="K4885" i="2" s="1"/>
  <c r="K4948" i="2" a="1"/>
  <c r="K4948" i="2" s="1"/>
  <c r="K4981" i="2" a="1"/>
  <c r="K4981" i="2" s="1"/>
  <c r="K3907" i="2" a="1"/>
  <c r="K3907" i="2" s="1"/>
  <c r="K4100" i="2" a="1"/>
  <c r="K4100" i="2" s="1"/>
  <c r="K4203" i="2" a="1"/>
  <c r="K4203" i="2" s="1"/>
  <c r="K4341" i="2" a="1"/>
  <c r="K4341" i="2" s="1"/>
  <c r="K4441" i="2" a="1"/>
  <c r="K4441" i="2" s="1"/>
  <c r="K4504" i="2" a="1"/>
  <c r="K4504" i="2" s="1"/>
  <c r="K4534" i="2" a="1"/>
  <c r="K4534" i="2" s="1"/>
  <c r="K4565" i="2" a="1"/>
  <c r="K4565" i="2" s="1"/>
  <c r="K4629" i="2" a="1"/>
  <c r="K4629" i="2" s="1"/>
  <c r="K4661" i="2" a="1"/>
  <c r="K4661" i="2" s="1"/>
  <c r="K4725" i="2" a="1"/>
  <c r="K4725" i="2" s="1"/>
  <c r="K4757" i="2" a="1"/>
  <c r="K4757" i="2" s="1"/>
  <c r="K4821" i="2" a="1"/>
  <c r="K4821" i="2" s="1"/>
  <c r="K4853" i="2" a="1"/>
  <c r="K4853" i="2" s="1"/>
  <c r="K4917" i="2" a="1"/>
  <c r="K4917" i="2" s="1"/>
  <c r="K4949" i="2" a="1"/>
  <c r="K4949" i="2" s="1"/>
  <c r="K4107" i="2" a="1"/>
  <c r="K4107" i="2" s="1"/>
  <c r="K4208" i="2" a="1"/>
  <c r="K4208" i="2" s="1"/>
  <c r="K4255" i="2" a="1"/>
  <c r="K4255" i="2" s="1"/>
  <c r="K4302" i="2" a="1"/>
  <c r="K4302" i="2" s="1"/>
  <c r="K4342" i="2" a="1"/>
  <c r="K4342" i="2" s="1"/>
  <c r="K4380" i="2" a="1"/>
  <c r="K4380" i="2" s="1"/>
  <c r="K4411" i="2" a="1"/>
  <c r="K4411" i="2" s="1"/>
  <c r="K4442" i="2" a="1"/>
  <c r="K4442" i="2" s="1"/>
  <c r="K4472" i="2" a="1"/>
  <c r="K4472" i="2" s="1"/>
  <c r="K4535" i="2" a="1"/>
  <c r="K4535" i="2" s="1"/>
  <c r="K4566" i="2" a="1"/>
  <c r="K4566" i="2" s="1"/>
  <c r="K4598" i="2" a="1"/>
  <c r="K4598" i="2" s="1"/>
  <c r="K4662" i="2" a="1"/>
  <c r="K4662" i="2" s="1"/>
  <c r="K4694" i="2" a="1"/>
  <c r="K4694" i="2" s="1"/>
  <c r="K4758" i="2" a="1"/>
  <c r="K4758" i="2" s="1"/>
  <c r="K4790" i="2" a="1"/>
  <c r="K4790" i="2" s="1"/>
  <c r="K4854" i="2" a="1"/>
  <c r="K4854" i="2" s="1"/>
  <c r="K4886" i="2" a="1"/>
  <c r="K4886" i="2" s="1"/>
  <c r="K4950" i="2" a="1"/>
  <c r="K4950" i="2" s="1"/>
  <c r="K4982" i="2" a="1"/>
  <c r="K4982" i="2" s="1"/>
  <c r="K3560" i="2" a="1"/>
  <c r="K3560" i="2" s="1"/>
  <c r="K3950" i="2" a="1"/>
  <c r="K3950" i="2" s="1"/>
  <c r="K4132" i="2" a="1"/>
  <c r="K4132" i="2" s="1"/>
  <c r="K4310" i="2" a="1"/>
  <c r="K4310" i="2" s="1"/>
  <c r="K4351" i="2" a="1"/>
  <c r="K4351" i="2" s="1"/>
  <c r="K4418" i="2" a="1"/>
  <c r="K4418" i="2" s="1"/>
  <c r="K4479" i="2" a="1"/>
  <c r="K4479" i="2" s="1"/>
  <c r="K4541" i="2" a="1"/>
  <c r="K4541" i="2" s="1"/>
  <c r="K4573" i="2" a="1"/>
  <c r="K4573" i="2" s="1"/>
  <c r="K4636" i="2" a="1"/>
  <c r="K4636" i="2" s="1"/>
  <c r="K4669" i="2" a="1"/>
  <c r="K4669" i="2" s="1"/>
  <c r="K4732" i="2" a="1"/>
  <c r="K4732" i="2" s="1"/>
  <c r="K4765" i="2" a="1"/>
  <c r="K4765" i="2" s="1"/>
  <c r="K4828" i="2" a="1"/>
  <c r="K4828" i="2" s="1"/>
  <c r="K4861" i="2" a="1"/>
  <c r="K4861" i="2" s="1"/>
  <c r="K4924" i="2" a="1"/>
  <c r="K4924" i="2" s="1"/>
  <c r="K4957" i="2" a="1"/>
  <c r="K4957" i="2" s="1"/>
  <c r="K3579" i="2" a="1"/>
  <c r="K3579" i="2" s="1"/>
  <c r="K3958" i="2" a="1"/>
  <c r="K3958" i="2" s="1"/>
  <c r="K4133" i="2" a="1"/>
  <c r="K4133" i="2" s="1"/>
  <c r="K4220" i="2" a="1"/>
  <c r="K4220" i="2" s="1"/>
  <c r="K4266" i="2" a="1"/>
  <c r="K4266" i="2" s="1"/>
  <c r="K4311" i="2" a="1"/>
  <c r="K4311" i="2" s="1"/>
  <c r="K4387" i="2" a="1"/>
  <c r="K4387" i="2" s="1"/>
  <c r="K4449" i="2" a="1"/>
  <c r="K4449" i="2" s="1"/>
  <c r="K4480" i="2" a="1"/>
  <c r="K4480" i="2" s="1"/>
  <c r="K4511" i="2" a="1"/>
  <c r="K4511" i="2" s="1"/>
  <c r="K4605" i="2" a="1"/>
  <c r="K4605" i="2" s="1"/>
  <c r="K4637" i="2" a="1"/>
  <c r="K4637" i="2" s="1"/>
  <c r="K4701" i="2" a="1"/>
  <c r="K4701" i="2" s="1"/>
  <c r="K4733" i="2" a="1"/>
  <c r="K4733" i="2" s="1"/>
  <c r="K4797" i="2" a="1"/>
  <c r="K4797" i="2" s="1"/>
  <c r="K4829" i="2" a="1"/>
  <c r="K4829" i="2" s="1"/>
  <c r="K4893" i="2" a="1"/>
  <c r="K4893" i="2" s="1"/>
  <c r="K4925" i="2" a="1"/>
  <c r="K4925" i="2" s="1"/>
  <c r="K4989" i="2" a="1"/>
  <c r="K4989" i="2" s="1"/>
  <c r="K3594" i="2" a="1"/>
  <c r="K3594" i="2" s="1"/>
  <c r="K3959" i="2" a="1"/>
  <c r="K3959" i="2" s="1"/>
  <c r="K4140" i="2" a="1"/>
  <c r="K4140" i="2" s="1"/>
  <c r="K4312" i="2" a="1"/>
  <c r="K4312" i="2" s="1"/>
  <c r="K4352" i="2" a="1"/>
  <c r="K4352" i="2" s="1"/>
  <c r="K4419" i="2" a="1"/>
  <c r="K4419" i="2" s="1"/>
  <c r="K4450" i="2" a="1"/>
  <c r="K4450" i="2" s="1"/>
  <c r="K4481" i="2" a="1"/>
  <c r="K4481" i="2" s="1"/>
  <c r="K4542" i="2" a="1"/>
  <c r="K4542" i="2" s="1"/>
  <c r="K4574" i="2" a="1"/>
  <c r="K4574" i="2" s="1"/>
  <c r="K4638" i="2" a="1"/>
  <c r="K4638" i="2" s="1"/>
  <c r="K4670" i="2" a="1"/>
  <c r="K4670" i="2" s="1"/>
  <c r="K4734" i="2" a="1"/>
  <c r="K4734" i="2" s="1"/>
  <c r="K4766" i="2" a="1"/>
  <c r="K4766" i="2" s="1"/>
  <c r="K4830" i="2" a="1"/>
  <c r="K4830" i="2" s="1"/>
  <c r="K4862" i="2" a="1"/>
  <c r="K4862" i="2" s="1"/>
  <c r="K4926" i="2" a="1"/>
  <c r="K4926" i="2" s="1"/>
  <c r="K4958" i="2" a="1"/>
  <c r="K4958" i="2" s="1"/>
  <c r="K3741" i="2" a="1"/>
  <c r="K3741" i="2" s="1"/>
  <c r="K4001" i="2" a="1"/>
  <c r="K4001" i="2" s="1"/>
  <c r="K4231" i="2" a="1"/>
  <c r="K4231" i="2" s="1"/>
  <c r="K4278" i="2" a="1"/>
  <c r="K4278" i="2" s="1"/>
  <c r="K4425" i="2" a="1"/>
  <c r="K4425" i="2" s="1"/>
  <c r="K4518" i="2" a="1"/>
  <c r="K4518" i="2" s="1"/>
  <c r="K4549" i="2" a="1"/>
  <c r="K4549" i="2" s="1"/>
  <c r="K4612" i="2" a="1"/>
  <c r="K4612" i="2" s="1"/>
  <c r="K4645" i="2" a="1"/>
  <c r="K4645" i="2" s="1"/>
  <c r="K4708" i="2" a="1"/>
  <c r="K4708" i="2" s="1"/>
  <c r="K4741" i="2" a="1"/>
  <c r="K4741" i="2" s="1"/>
  <c r="K4804" i="2" a="1"/>
  <c r="K4804" i="2" s="1"/>
  <c r="K4837" i="2" a="1"/>
  <c r="K4837" i="2" s="1"/>
  <c r="K4900" i="2" a="1"/>
  <c r="K4900" i="2" s="1"/>
  <c r="K4933" i="2" a="1"/>
  <c r="K4933" i="2" s="1"/>
  <c r="K4996" i="2" a="1"/>
  <c r="K4996" i="2" s="1"/>
  <c r="K3754" i="2" a="1"/>
  <c r="K3754" i="2" s="1"/>
  <c r="K4008" i="2" a="1"/>
  <c r="K4008" i="2" s="1"/>
  <c r="K4162" i="2" a="1"/>
  <c r="K4162" i="2" s="1"/>
  <c r="K4232" i="2" a="1"/>
  <c r="K4232" i="2" s="1"/>
  <c r="K4321" i="2" a="1"/>
  <c r="K4321" i="2" s="1"/>
  <c r="K4361" i="2" a="1"/>
  <c r="K4361" i="2" s="1"/>
  <c r="K4395" i="2" a="1"/>
  <c r="K4395" i="2" s="1"/>
  <c r="K4426" i="2" a="1"/>
  <c r="K4426" i="2" s="1"/>
  <c r="K4457" i="2" a="1"/>
  <c r="K4457" i="2" s="1"/>
  <c r="K4487" i="2" a="1"/>
  <c r="K4487" i="2" s="1"/>
  <c r="K4581" i="2" a="1"/>
  <c r="K4581" i="2" s="1"/>
  <c r="K4613" i="2" a="1"/>
  <c r="K4613" i="2" s="1"/>
  <c r="K4677" i="2" a="1"/>
  <c r="K4677" i="2" s="1"/>
  <c r="K4709" i="2" a="1"/>
  <c r="K4709" i="2" s="1"/>
  <c r="K4773" i="2" a="1"/>
  <c r="K4773" i="2" s="1"/>
  <c r="K4805" i="2" a="1"/>
  <c r="K4805" i="2" s="1"/>
  <c r="K4869" i="2" a="1"/>
  <c r="K4869" i="2" s="1"/>
  <c r="K3764" i="2" a="1"/>
  <c r="K3764" i="2" s="1"/>
  <c r="K4279" i="2" a="1"/>
  <c r="K4279" i="2" s="1"/>
  <c r="K4363" i="2" a="1"/>
  <c r="K4363" i="2" s="1"/>
  <c r="K4396" i="2" a="1"/>
  <c r="K4396" i="2" s="1"/>
  <c r="K4488" i="2" a="1"/>
  <c r="K4488" i="2" s="1"/>
  <c r="K4519" i="2" a="1"/>
  <c r="K4519" i="2" s="1"/>
  <c r="K4550" i="2" a="1"/>
  <c r="K4550" i="2" s="1"/>
  <c r="K4614" i="2" a="1"/>
  <c r="K4614" i="2" s="1"/>
  <c r="K4646" i="2" a="1"/>
  <c r="K4646" i="2" s="1"/>
  <c r="K4710" i="2" a="1"/>
  <c r="K4710" i="2" s="1"/>
  <c r="K4742" i="2" a="1"/>
  <c r="K4742" i="2" s="1"/>
  <c r="K4806" i="2" a="1"/>
  <c r="K4806" i="2" s="1"/>
  <c r="K4838" i="2" a="1"/>
  <c r="K4838" i="2" s="1"/>
  <c r="K4902" i="2" a="1"/>
  <c r="K4902" i="2" s="1"/>
  <c r="K4934" i="2" a="1"/>
  <c r="K4934" i="2" s="1"/>
  <c r="K4998" i="2" a="1"/>
  <c r="K4998" i="2" s="1"/>
  <c r="K4289" i="2" a="1"/>
  <c r="K4289" i="2" s="1"/>
  <c r="K4495" i="2" a="1"/>
  <c r="K4495" i="2" s="1"/>
  <c r="K4684" i="2" a="1"/>
  <c r="K4684" i="2" s="1"/>
  <c r="K4876" i="2" a="1"/>
  <c r="K4876" i="2" s="1"/>
  <c r="K4685" i="2" a="1"/>
  <c r="K4685" i="2" s="1"/>
  <c r="K4877" i="2" a="1"/>
  <c r="K4877" i="2" s="1"/>
  <c r="K4331" i="2" a="1"/>
  <c r="K4331" i="2" s="1"/>
  <c r="K4717" i="2" a="1"/>
  <c r="K4717" i="2" s="1"/>
  <c r="K4901" i="2" a="1"/>
  <c r="K4901" i="2" s="1"/>
  <c r="K4332" i="2" a="1"/>
  <c r="K4332" i="2" s="1"/>
  <c r="K4526" i="2" a="1"/>
  <c r="K4526" i="2" s="1"/>
  <c r="K4909" i="2" a="1"/>
  <c r="K4909" i="2" s="1"/>
  <c r="K3845" i="2" a="1"/>
  <c r="K3845" i="2" s="1"/>
  <c r="K4370" i="2" a="1"/>
  <c r="K4370" i="2" s="1"/>
  <c r="K3853" i="2" a="1"/>
  <c r="K3853" i="2" s="1"/>
  <c r="K4371" i="2" a="1"/>
  <c r="K4371" i="2" s="1"/>
  <c r="K4557" i="2" a="1"/>
  <c r="K4557" i="2" s="1"/>
  <c r="K4749" i="2" a="1"/>
  <c r="K4749" i="2" s="1"/>
  <c r="K4050" i="2" a="1"/>
  <c r="K4050" i="2" s="1"/>
  <c r="K4401" i="2" a="1"/>
  <c r="K4401" i="2" s="1"/>
  <c r="K4588" i="2" a="1"/>
  <c r="K4588" i="2" s="1"/>
  <c r="K4780" i="2" a="1"/>
  <c r="K4780" i="2" s="1"/>
  <c r="K4402" i="2" a="1"/>
  <c r="K4402" i="2" s="1"/>
  <c r="K4589" i="2" a="1"/>
  <c r="K4589" i="2" s="1"/>
  <c r="K4781" i="2" a="1"/>
  <c r="K4781" i="2" s="1"/>
  <c r="K4941" i="2" a="1"/>
  <c r="K4941" i="2" s="1"/>
  <c r="K4242" i="2" a="1"/>
  <c r="K4242" i="2" s="1"/>
  <c r="K4973" i="2" a="1"/>
  <c r="K4973" i="2" s="1"/>
  <c r="K4653" i="2" a="1"/>
  <c r="K4653" i="2" s="1"/>
  <c r="K4813" i="2" a="1"/>
  <c r="K4813" i="2" s="1"/>
  <c r="K4845" i="2" a="1"/>
  <c r="K4845" i="2" s="1"/>
  <c r="K4184" i="2" a="1"/>
  <c r="K4184" i="2" s="1"/>
  <c r="K4965" i="2" a="1"/>
  <c r="K4965" i="2" s="1"/>
  <c r="K4185" i="2" a="1"/>
  <c r="K4185" i="2" s="1"/>
  <c r="K4972" i="2" a="1"/>
  <c r="K4972" i="2" s="1"/>
  <c r="K4997" i="2" a="1"/>
  <c r="K4997" i="2" s="1"/>
  <c r="K4434" i="2" a="1"/>
  <c r="K4434" i="2" s="1"/>
  <c r="K4465" i="2" a="1"/>
  <c r="K4465" i="2" s="1"/>
  <c r="K4621" i="2" a="1"/>
  <c r="K4621" i="2" s="1"/>
  <c r="J4993" i="2" a="1"/>
  <c r="J4993" i="2" s="1"/>
  <c r="J4984" i="2" a="1"/>
  <c r="J4984" i="2" s="1"/>
  <c r="J4974" i="2" a="1"/>
  <c r="J4974" i="2" s="1"/>
  <c r="J4963" i="2" a="1"/>
  <c r="J4963" i="2" s="1"/>
  <c r="J4954" i="2" a="1"/>
  <c r="J4954" i="2" s="1"/>
  <c r="J4944" i="2" a="1"/>
  <c r="J4944" i="2" s="1"/>
  <c r="J4919" i="2" a="1"/>
  <c r="J4919" i="2" s="1"/>
  <c r="J4906" i="2" a="1"/>
  <c r="J4906" i="2" s="1"/>
  <c r="J4891" i="2" a="1"/>
  <c r="J4891" i="2" s="1"/>
  <c r="J4865" i="2" a="1"/>
  <c r="J4865" i="2" s="1"/>
  <c r="J4852" i="2" a="1"/>
  <c r="J4852" i="2" s="1"/>
  <c r="J4837" i="2" a="1"/>
  <c r="J4837" i="2" s="1"/>
  <c r="J4811" i="2" a="1"/>
  <c r="J4811" i="2" s="1"/>
  <c r="J4798" i="2" a="1"/>
  <c r="J4798" i="2" s="1"/>
  <c r="J4783" i="2" a="1"/>
  <c r="J4783" i="2" s="1"/>
  <c r="J4757" i="2" a="1"/>
  <c r="J4757" i="2" s="1"/>
  <c r="J4742" i="2" a="1"/>
  <c r="J4742" i="2" s="1"/>
  <c r="J4711" i="2" a="1"/>
  <c r="J4711" i="2" s="1"/>
  <c r="J4696" i="2" a="1"/>
  <c r="J4696" i="2" s="1"/>
  <c r="J4666" i="2" a="1"/>
  <c r="J4666" i="2" s="1"/>
  <c r="J4650" i="2" a="1"/>
  <c r="J4650" i="2" s="1"/>
  <c r="J4634" i="2" a="1"/>
  <c r="J4634" i="2" s="1"/>
  <c r="J4603" i="2" a="1"/>
  <c r="J4603" i="2" s="1"/>
  <c r="J4588" i="2" a="1"/>
  <c r="J4588" i="2" s="1"/>
  <c r="J4559" i="2" a="1"/>
  <c r="J4559" i="2" s="1"/>
  <c r="J4545" i="2" a="1"/>
  <c r="J4545" i="2" s="1"/>
  <c r="J4529" i="2" a="1"/>
  <c r="J4529" i="2" s="1"/>
  <c r="J4516" i="2" a="1"/>
  <c r="J4516" i="2" s="1"/>
  <c r="J4501" i="2" a="1"/>
  <c r="J4501" i="2" s="1"/>
  <c r="J4475" i="2" a="1"/>
  <c r="J4475" i="2" s="1"/>
  <c r="J4462" i="2" a="1"/>
  <c r="J4462" i="2" s="1"/>
  <c r="J4448" i="2" a="1"/>
  <c r="J4448" i="2" s="1"/>
  <c r="J4433" i="2" a="1"/>
  <c r="J4433" i="2" s="1"/>
  <c r="J4417" i="2" a="1"/>
  <c r="J4417" i="2" s="1"/>
  <c r="J4368" i="2" a="1"/>
  <c r="J4368" i="2" s="1"/>
  <c r="J4350" i="2" a="1"/>
  <c r="J4350" i="2" s="1"/>
  <c r="J4333" i="2" a="1"/>
  <c r="J4333" i="2" s="1"/>
  <c r="J4316" i="2" a="1"/>
  <c r="J4316" i="2" s="1"/>
  <c r="J4297" i="2" a="1"/>
  <c r="J4297" i="2" s="1"/>
  <c r="J4272" i="2" a="1"/>
  <c r="J4272" i="2" s="1"/>
  <c r="J4246" i="2" a="1"/>
  <c r="J4246" i="2" s="1"/>
  <c r="J4172" i="2" a="1"/>
  <c r="J4172" i="2" s="1"/>
  <c r="J4148" i="2" a="1"/>
  <c r="J4148" i="2" s="1"/>
  <c r="J4124" i="2" a="1"/>
  <c r="J4124" i="2" s="1"/>
  <c r="J4076" i="2" a="1"/>
  <c r="J4076" i="2" s="1"/>
  <c r="J4052" i="2" a="1"/>
  <c r="J4052" i="2" s="1"/>
  <c r="J4026" i="2" a="1"/>
  <c r="J4026" i="2" s="1"/>
  <c r="J4002" i="2" a="1"/>
  <c r="J4002" i="2" s="1"/>
  <c r="J3977" i="2" a="1"/>
  <c r="J3977" i="2" s="1"/>
  <c r="J3923" i="2" a="1"/>
  <c r="J3923" i="2" s="1"/>
  <c r="J3891" i="2" a="1"/>
  <c r="J3891" i="2" s="1"/>
  <c r="J3861" i="2" a="1"/>
  <c r="J3861" i="2" s="1"/>
  <c r="J3825" i="2" a="1"/>
  <c r="J3825" i="2" s="1"/>
  <c r="J3790" i="2" a="1"/>
  <c r="J3790" i="2" s="1"/>
  <c r="J3714" i="2" a="1"/>
  <c r="J3714" i="2" s="1"/>
  <c r="J3673" i="2" a="1"/>
  <c r="J3673" i="2" s="1"/>
  <c r="J3632" i="2" a="1"/>
  <c r="J3632" i="2" s="1"/>
  <c r="J3590" i="2" a="1"/>
  <c r="J3590" i="2" s="1"/>
  <c r="J3546" i="2" a="1"/>
  <c r="J3546" i="2" s="1"/>
  <c r="J3504" i="2" a="1"/>
  <c r="J3504" i="2" s="1"/>
  <c r="J3462" i="2" a="1"/>
  <c r="J3462" i="2" s="1"/>
  <c r="J3410" i="2" a="1"/>
  <c r="J3410" i="2" s="1"/>
  <c r="J3340" i="2" a="1"/>
  <c r="J3340" i="2" s="1"/>
  <c r="J3188" i="2" a="1"/>
  <c r="J3188" i="2" s="1"/>
  <c r="J3095" i="2" a="1"/>
  <c r="J3095" i="2" s="1"/>
  <c r="J2894" i="2" a="1"/>
  <c r="J2894" i="2" s="1"/>
  <c r="J2338" i="2" a="1"/>
  <c r="J233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4BF3F4-44C7-4957-BDFB-1303E28109D4}" keepAlive="1" name="Consulta - moras" description="Conexión a la consulta 'moras' en el libro." type="5" refreshedVersion="8" background="1" saveData="1">
    <dbPr connection="Provider=Microsoft.Mashup.OleDb.1;Data Source=$Workbook$;Location=moras;Extended Properties=&quot;&quot;" command="SELECT * FROM [mora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<sst xmlns="http://schemas.openxmlformats.org/spreadsheetml/2006/main" count="30141" uniqueCount="86">
  <si>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</si>
  <si>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</si>
  <si>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</si>
  <si>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</si>
  <si>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</si>
  <si>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</si>
  <si>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</si>
  <si>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</si>
  <si>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</si>
  <si>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</si>
  <si>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</si>
  <si>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</si>
  <si>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</si>
  <si>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</si>
  <si>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</si>
  <si>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</si>
  <si>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</si>
  <si>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</si>
  <si>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</si>
  <si>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</si>
  <si>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</si>
  <si>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</si>
  <si>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Salario</t>
  </si>
  <si>
    <t>MINIMO</t>
  </si>
  <si>
    <t>MAXIMO</t>
  </si>
  <si>
    <t>1er CUARTIL</t>
  </si>
  <si>
    <t>MEDIANA</t>
  </si>
  <si>
    <t>3er CUARTIL</t>
  </si>
  <si>
    <t>PROMEDIO</t>
  </si>
  <si>
    <t>Edad</t>
  </si>
  <si>
    <t>DESVIACIÓN ESTÁNDAR</t>
  </si>
  <si>
    <t>SALARIO_IMPUTADO</t>
  </si>
  <si>
    <t>TIPO_ASEGURAMIENTO_IMPUTADO</t>
  </si>
  <si>
    <t>EDAD_IMPUTADO</t>
  </si>
  <si>
    <t xml:space="preserve">Imputación </t>
  </si>
  <si>
    <t>Categóricas</t>
  </si>
  <si>
    <t>Numéricas</t>
  </si>
  <si>
    <t>Moda</t>
  </si>
  <si>
    <t>Mediana</t>
  </si>
  <si>
    <t>Observe que la categoría de "Convenios Especiales De Asegurados Voluntarios" es la categoría que menos individuos posee la menor cantidad en comparación con "Asalariado", que acapara más del 50% de los datos.</t>
  </si>
  <si>
    <t>Gráfico % MOROSO/SEXO</t>
  </si>
  <si>
    <t>MOROSO/SEXO</t>
  </si>
  <si>
    <t>MOROSO/TIPO_ASEGURAMIENTO</t>
  </si>
  <si>
    <t>TOTAL</t>
  </si>
  <si>
    <t>Gráfico % MOROSO/TIPO_ASEGURAMIENTO</t>
  </si>
  <si>
    <t>MOROSOS/SECTOR</t>
  </si>
  <si>
    <t>Gráfico % MOROSO/SECTOR</t>
  </si>
  <si>
    <t>MOROSOS/INDICADOR_ACTIVO</t>
  </si>
  <si>
    <t>Gráfico % MOROSOS/INDICADOR_ACTIVO</t>
  </si>
  <si>
    <t>MOROSOS/INDICADOR.EXTRANJERO</t>
  </si>
  <si>
    <t>Gráfico % MOROSOS/INDICADOR.EXTRANJERO</t>
  </si>
  <si>
    <t>Analisis</t>
  </si>
  <si>
    <t>RANGO_SALARIO</t>
  </si>
  <si>
    <t>RANGO_EDAD</t>
  </si>
  <si>
    <t>MOROSOS/RANGO_SALARIO</t>
  </si>
  <si>
    <t>18-25</t>
  </si>
  <si>
    <t>26-35</t>
  </si>
  <si>
    <t>36-45</t>
  </si>
  <si>
    <t>46-55</t>
  </si>
  <si>
    <t>56+</t>
  </si>
  <si>
    <t>0–300k</t>
  </si>
  <si>
    <t>300k–600k</t>
  </si>
  <si>
    <t>600k–900k</t>
  </si>
  <si>
    <t>900k–1200k</t>
  </si>
  <si>
    <t>1200k+</t>
  </si>
  <si>
    <t>MOROSOS/RANGO_EDAD</t>
  </si>
  <si>
    <t>8)</t>
  </si>
  <si>
    <t>7)</t>
  </si>
  <si>
    <t>6)</t>
  </si>
  <si>
    <t>2) Resumen de 5 números incluyendo el promedio</t>
  </si>
  <si>
    <t>3) Z-Score Salario</t>
  </si>
  <si>
    <t>3) Z-Score Edad</t>
  </si>
  <si>
    <t>4) Valores Faltantes Por Columna</t>
  </si>
  <si>
    <t>Se observan más individuos de género Masculino que femenino, en la muestra</t>
  </si>
  <si>
    <t>Según la muestra hay más individuos del sector Privado que del sector Público.</t>
  </si>
  <si>
    <t>La muestra refleja más individuos nacionales, en comparación con los individuos extranjeros.</t>
  </si>
  <si>
    <t>En la muestra se observan más individuos que poseen el seguro activo, en comparación con los que no lo tienen.</t>
  </si>
  <si>
    <t>En la muestra se observan menos individuos en condición de morosidad en contraste con los individuos que no tienen deudas.</t>
  </si>
  <si>
    <t>TOTAL MOROSOS</t>
  </si>
  <si>
    <t>Según el gráfico relacionado al tipo de aseguramiento, se puede observar que el seguro de Asalariado contiene la mayor parte de los individuos morosos. Sin embargo, a su vez, este mismo seguro contiene mucho más de la mitad de los individuos que son no morosos. Podemos determinar, en esta muestra, que el tipo de aseguramiento no exhibe una conexión siginificativa con la situación de morosidad.</t>
  </si>
  <si>
    <t xml:space="preserve">Según el gráfico relacionado al estado del seguro, se puede observar que tanto los seguros activos como los seguros inactivos el porcentaje de individuos morosos es baja, de hecho no alcanza ni el 20% de la muestra. Cabe recalcar que en el total de datos, la mayor cantidad de individuos morosos están con un seguro activo. Podemos determinar, en esta muestra, que el estado del seguro no exhibe una conexión notable con la situación de morosidad. </t>
  </si>
  <si>
    <t>Según el gráfico relacionado al sector, se puede observar que tanto en el sector público como en el sector privado, el porcentaje de personas morosas es baja, de hecho no alcanza ni el 20% de la muestra. Cabe recalcar que en el total de datos, la mayor cantidad de individuos morosos pertenecen al sector privado. Podemos determinar, en esta muestra, que el sector no exhibe una relación consistente con la situación de morosidad.</t>
  </si>
  <si>
    <t>Según el gráfico relacionado al género, se puede observar que tanto en hombres como en mujeres, el porcentaje de personas morosas es baja, de hecho no alcanza ni el 20% de la muestra. Cabe recalcar que en el total de datos, la mayor cantidad de individuos morosos son hombres. Podemos determinar, en esta muestra, que el género no exhibe una conexión notable con la situación de morosidad.</t>
  </si>
  <si>
    <t>Según el gráfico relacionado a la nacionalidad, se puede observar que tanto los individuos nacionales como los individuos internacionales, el porcentaje de personas morosas es bastante baja, de hecho no alcanzan ni el 20% de la muestra. Cabe recalcar que en el total de datos, la mayor cantidad de individuos morosos son nacionales. Podemos determinar, en esta muestra, que la nacionalidad no exhibe una relación notable con la situación de morosidad.</t>
  </si>
  <si>
    <t>Observamos que el rango que posee la mayor cantidad de individuos morosos son los que su salario está comprendido entre 300k y 600k. Sin embrago, este mismo rango posee las mayor conatidad de individuos que no poseen morosidades</t>
  </si>
  <si>
    <t>Observamos que el rango que posee la mayor cantidad de individuos morosos son los que su edad está comprendido entre 36 y 45 años. Observe también que el rango que posee la mayor cantidad de individuos sin morosidades está comprendido entre las edades de 26-35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</si>
</sst>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1"/>
      <color theme="1"/>
      <name val="Aptos Narrow"/>
      <family val="2"/>
      <scheme val="minor"/>
    </font>
    <font>
      <b/>
      <i/>
      <u/>
      <sz val="11"/>
      <color theme="1"/>
      <name val="Aptos Narrow"/>
      <family val="2"/>
      <scheme val="minor"/>
    </font>
    <font>
      <b/>
      <i/>
      <u/>
      <sz val="12"/>
      <color theme="1"/>
      <name val="Aptos Narrow"/>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10" fontId="0" fillId="4" borderId="1" xfId="1" applyNumberFormat="1" applyFont="1" applyFill="1" applyBorder="1" applyAlignment="1">
      <alignment horizontal="center"/>
    </xf>
    <xf numFmtId="0" fontId="0" fillId="5" borderId="1" xfId="0" applyFill="1" applyBorder="1" applyAlignment="1">
      <alignment horizontal="center"/>
    </xf>
    <xf numFmtId="10" fontId="0" fillId="5" borderId="1" xfId="1" applyNumberFormat="1" applyFont="1"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0" fillId="0" borderId="0" xfId="0" applyAlignment="1">
      <alignment wrapText="1"/>
    </xf>
    <xf numFmtId="9" fontId="0" fillId="0" borderId="0" xfId="1" applyFont="1"/>
    <xf numFmtId="0" fontId="0" fillId="0" borderId="2" xfId="0" applyBorder="1"/>
    <xf numFmtId="0" fontId="2" fillId="4" borderId="1" xfId="0" applyFont="1" applyFill="1" applyBorder="1" applyAlignment="1">
      <alignment horizontal="center"/>
    </xf>
    <xf numFmtId="0" fontId="2" fillId="6" borderId="1" xfId="0" applyFont="1" applyFill="1" applyBorder="1" applyAlignment="1">
      <alignment horizontal="center"/>
    </xf>
    <xf numFmtId="0" fontId="3" fillId="2" borderId="1" xfId="0" applyFont="1" applyFill="1" applyBorder="1" applyAlignment="1">
      <alignment horizontal="center"/>
    </xf>
    <xf numFmtId="0" fontId="3" fillId="3" borderId="1" xfId="0" applyFont="1" applyFill="1" applyBorder="1" applyAlignment="1">
      <alignment horizontal="center"/>
    </xf>
    <xf numFmtId="0" fontId="0" fillId="0" borderId="0" xfId="0" applyAlignment="1">
      <alignment horizontal="center" wrapText="1"/>
    </xf>
    <xf numFmtId="0" fontId="0" fillId="0" borderId="0" xfId="0" applyNumberFormat="1"/>
    <xf numFmtId="0" fontId="0" fillId="0" borderId="0" xfId="0" applyBorder="1"/>
    <xf numFmtId="0" fontId="0" fillId="0" borderId="0" xfId="0" applyAlignment="1">
      <alignment horizontal="center"/>
    </xf>
    <xf numFmtId="0" fontId="0" fillId="0" borderId="2" xfId="0" applyBorder="1" applyAlignment="1">
      <alignment vertical="top" wrapText="1"/>
    </xf>
    <xf numFmtId="164" fontId="0" fillId="0" borderId="0" xfId="1" applyNumberFormat="1" applyFont="1"/>
    <xf numFmtId="10" fontId="0" fillId="0" borderId="0" xfId="1" applyNumberFormat="1" applyFont="1"/>
    <xf numFmtId="9" fontId="0" fillId="0" borderId="0" xfId="1" applyNumberFormat="1" applyFont="1"/>
    <xf numFmtId="0" fontId="0" fillId="0" borderId="0" xfId="0" applyAlignment="1">
      <alignment horizontal="center" vertical="center" wrapText="1"/>
    </xf>
  </cellXfs>
  <cellStyles count="2">
    <cellStyle name="Normal" xfId="0" builtinId="0"/>
    <cellStyle name="Porcentaje" xfId="1" builtinId="5"/>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R"/>
              <a:t>Cuenta de INDICADOR_MOROSO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NO</c:v>
              </c:pt>
              <c:pt idx="1">
                <c:v>SI</c:v>
              </c:pt>
            </c:strLit>
          </c:cat>
          <c:val>
            <c:numLit>
              <c:formatCode>General</c:formatCode>
              <c:ptCount val="2"/>
              <c:pt idx="0">
                <c:v>4130</c:v>
              </c:pt>
              <c:pt idx="1">
                <c:v>870</c:v>
              </c:pt>
            </c:numLit>
          </c:val>
          <c:extLst>
            <c:ext xmlns:c16="http://schemas.microsoft.com/office/drawing/2014/chart" uri="{C3380CC4-5D6E-409C-BE32-E72D297353CC}">
              <c16:uniqueId val="{00000004-07A3-4661-BC9F-2C97713A7EDF}"/>
            </c:ext>
          </c:extLst>
        </c:ser>
        <c:dLbls>
          <c:showLegendKey val="0"/>
          <c:showVal val="0"/>
          <c:showCatName val="0"/>
          <c:showSerName val="0"/>
          <c:showPercent val="0"/>
          <c:showBubbleSize val="0"/>
        </c:dLbls>
        <c:gapWidth val="75"/>
        <c:overlap val="40"/>
        <c:axId val="1492483871"/>
        <c:axId val="1492484351"/>
      </c:barChart>
      <c:catAx>
        <c:axId val="149248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492484351"/>
        <c:crosses val="autoZero"/>
        <c:auto val="1"/>
        <c:lblAlgn val="ctr"/>
        <c:lblOffset val="100"/>
        <c:noMultiLvlLbl val="0"/>
      </c:catAx>
      <c:valAx>
        <c:axId val="14924843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49248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R"/>
              <a:t>Cuenta de SEXO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R"/>
        </a:p>
      </c:txPr>
    </c:title>
    <c:autoTitleDeleted val="0"/>
    <c:pivotFmts>
      <c:pivotFmt>
        <c:idx val="0"/>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rgbClr val="0070C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rgbClr val="0070C0"/>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HOMBRE</c:v>
              </c:pt>
              <c:pt idx="1">
                <c:v>MUJER</c:v>
              </c:pt>
            </c:strLit>
          </c:cat>
          <c:val>
            <c:numLit>
              <c:formatCode>General</c:formatCode>
              <c:ptCount val="2"/>
              <c:pt idx="0">
                <c:v>3012</c:v>
              </c:pt>
              <c:pt idx="1">
                <c:v>1988</c:v>
              </c:pt>
            </c:numLit>
          </c:val>
          <c:extLst>
            <c:ext xmlns:c16="http://schemas.microsoft.com/office/drawing/2014/chart" uri="{C3380CC4-5D6E-409C-BE32-E72D297353CC}">
              <c16:uniqueId val="{00000000-E0EC-4BA0-B67A-737D11B22752}"/>
            </c:ext>
          </c:extLst>
        </c:ser>
        <c:dLbls>
          <c:dLblPos val="inEnd"/>
          <c:showLegendKey val="0"/>
          <c:showVal val="1"/>
          <c:showCatName val="0"/>
          <c:showSerName val="0"/>
          <c:showPercent val="0"/>
          <c:showBubbleSize val="0"/>
        </c:dLbls>
        <c:gapWidth val="315"/>
        <c:overlap val="-40"/>
        <c:axId val="1492483871"/>
        <c:axId val="1492484351"/>
      </c:barChart>
      <c:catAx>
        <c:axId val="149248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492484351"/>
        <c:crosses val="autoZero"/>
        <c:auto val="1"/>
        <c:lblAlgn val="ctr"/>
        <c:lblOffset val="100"/>
        <c:noMultiLvlLbl val="0"/>
      </c:catAx>
      <c:valAx>
        <c:axId val="14924843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49248387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R"/>
              <a:t>Cuenta de TIPO_ASEGURAMIENTO_IMPUTADO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Lit>
          </c:cat>
          <c:val>
            <c:numLit>
              <c:formatCode>General</c:formatCode>
              <c:ptCount val="6"/>
              <c:pt idx="0">
                <c:v>3464</c:v>
              </c:pt>
              <c:pt idx="1">
                <c:v>436</c:v>
              </c:pt>
              <c:pt idx="2">
                <c:v>31</c:v>
              </c:pt>
              <c:pt idx="3">
                <c:v>157</c:v>
              </c:pt>
              <c:pt idx="4">
                <c:v>212</c:v>
              </c:pt>
              <c:pt idx="5">
                <c:v>700</c:v>
              </c:pt>
            </c:numLit>
          </c:val>
          <c:extLst>
            <c:ext xmlns:c16="http://schemas.microsoft.com/office/drawing/2014/chart" uri="{C3380CC4-5D6E-409C-BE32-E72D297353CC}">
              <c16:uniqueId val="{00000000-6284-4460-9575-D465CA50B328}"/>
            </c:ext>
          </c:extLst>
        </c:ser>
        <c:dLbls>
          <c:dLblPos val="inEnd"/>
          <c:showLegendKey val="0"/>
          <c:showVal val="1"/>
          <c:showCatName val="0"/>
          <c:showSerName val="0"/>
          <c:showPercent val="0"/>
          <c:showBubbleSize val="0"/>
        </c:dLbls>
        <c:gapWidth val="182"/>
        <c:overlap val="-50"/>
        <c:axId val="1492484351"/>
        <c:axId val="1492483871"/>
      </c:barChart>
      <c:catAx>
        <c:axId val="149248435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492483871"/>
        <c:crosses val="autoZero"/>
        <c:auto val="1"/>
        <c:lblAlgn val="ctr"/>
        <c:lblOffset val="100"/>
        <c:noMultiLvlLbl val="0"/>
      </c:catAx>
      <c:valAx>
        <c:axId val="14924838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49248435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R"/>
              <a:t>Cuenta de SECTOR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SECTOR PRIVADO</c:v>
              </c:pt>
              <c:pt idx="1">
                <c:v>SECTOR PUBLICO</c:v>
              </c:pt>
            </c:strLit>
          </c:cat>
          <c:val>
            <c:numLit>
              <c:formatCode>General</c:formatCode>
              <c:ptCount val="2"/>
              <c:pt idx="0">
                <c:v>3906</c:v>
              </c:pt>
              <c:pt idx="1">
                <c:v>1094</c:v>
              </c:pt>
            </c:numLit>
          </c:val>
          <c:extLst>
            <c:ext xmlns:c16="http://schemas.microsoft.com/office/drawing/2014/chart" uri="{C3380CC4-5D6E-409C-BE32-E72D297353CC}">
              <c16:uniqueId val="{00000000-E6F5-423D-AF26-4DEC6DF0B9DB}"/>
            </c:ext>
          </c:extLst>
        </c:ser>
        <c:dLbls>
          <c:showLegendKey val="0"/>
          <c:showVal val="0"/>
          <c:showCatName val="0"/>
          <c:showSerName val="0"/>
          <c:showPercent val="0"/>
          <c:showBubbleSize val="0"/>
        </c:dLbls>
        <c:gapWidth val="75"/>
        <c:overlap val="40"/>
        <c:axId val="577253120"/>
        <c:axId val="577254560"/>
      </c:barChart>
      <c:catAx>
        <c:axId val="57725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577254560"/>
        <c:crosses val="autoZero"/>
        <c:auto val="1"/>
        <c:lblAlgn val="ctr"/>
        <c:lblOffset val="100"/>
        <c:noMultiLvlLbl val="0"/>
      </c:catAx>
      <c:valAx>
        <c:axId val="577254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57725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R"/>
              <a:t>Cuenta de INDICADOR_ACTIVO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NO</c:v>
              </c:pt>
              <c:pt idx="1">
                <c:v>SI</c:v>
              </c:pt>
            </c:strLit>
          </c:cat>
          <c:val>
            <c:numLit>
              <c:formatCode>General</c:formatCode>
              <c:ptCount val="2"/>
              <c:pt idx="0">
                <c:v>34</c:v>
              </c:pt>
              <c:pt idx="1">
                <c:v>4966</c:v>
              </c:pt>
            </c:numLit>
          </c:val>
          <c:extLst>
            <c:ext xmlns:c16="http://schemas.microsoft.com/office/drawing/2014/chart" uri="{C3380CC4-5D6E-409C-BE32-E72D297353CC}">
              <c16:uniqueId val="{00000000-D932-4792-80F5-D4A88B4FEFD5}"/>
            </c:ext>
          </c:extLst>
        </c:ser>
        <c:dLbls>
          <c:showLegendKey val="0"/>
          <c:showVal val="0"/>
          <c:showCatName val="0"/>
          <c:showSerName val="0"/>
          <c:showPercent val="0"/>
          <c:showBubbleSize val="0"/>
        </c:dLbls>
        <c:gapWidth val="75"/>
        <c:overlap val="40"/>
        <c:axId val="589119632"/>
        <c:axId val="589120112"/>
      </c:barChart>
      <c:catAx>
        <c:axId val="589119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589120112"/>
        <c:crosses val="autoZero"/>
        <c:auto val="1"/>
        <c:lblAlgn val="ctr"/>
        <c:lblOffset val="100"/>
        <c:noMultiLvlLbl val="0"/>
      </c:catAx>
      <c:valAx>
        <c:axId val="589120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58911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R"/>
              <a:t>Cuenta de INDICADOR.EXTRANJERO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NO</c:v>
              </c:pt>
              <c:pt idx="1">
                <c:v>SI</c:v>
              </c:pt>
            </c:strLit>
          </c:cat>
          <c:val>
            <c:numLit>
              <c:formatCode>General</c:formatCode>
              <c:ptCount val="2"/>
              <c:pt idx="0">
                <c:v>4397</c:v>
              </c:pt>
              <c:pt idx="1">
                <c:v>603</c:v>
              </c:pt>
            </c:numLit>
          </c:val>
          <c:extLst>
            <c:ext xmlns:c16="http://schemas.microsoft.com/office/drawing/2014/chart" uri="{C3380CC4-5D6E-409C-BE32-E72D297353CC}">
              <c16:uniqueId val="{00000000-87B3-48C9-A879-18497453C826}"/>
            </c:ext>
          </c:extLst>
        </c:ser>
        <c:dLbls>
          <c:showLegendKey val="0"/>
          <c:showVal val="0"/>
          <c:showCatName val="0"/>
          <c:showSerName val="0"/>
          <c:showPercent val="0"/>
          <c:showBubbleSize val="0"/>
        </c:dLbls>
        <c:gapWidth val="75"/>
        <c:overlap val="40"/>
        <c:axId val="570165248"/>
        <c:axId val="570165728"/>
      </c:barChart>
      <c:catAx>
        <c:axId val="57016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570165728"/>
        <c:crosses val="autoZero"/>
        <c:auto val="1"/>
        <c:lblAlgn val="ctr"/>
        <c:lblOffset val="100"/>
        <c:noMultiLvlLbl val="0"/>
      </c:catAx>
      <c:valAx>
        <c:axId val="570165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57016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R"/>
              <a:t>Gráfico % MOROSO/SEXO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col"/>
        <c:grouping val="clustered"/>
        <c:varyColors val="0"/>
        <c:ser>
          <c:idx val="0"/>
          <c:order val="0"/>
          <c:tx>
            <c:strRef>
              <c:f>'Gráficos Categóricos-Morosos'!$C$7</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Categóricos-Morosos'!$B$8:$B$9</c:f>
              <c:strCache>
                <c:ptCount val="2"/>
                <c:pt idx="0">
                  <c:v>HOMBRE</c:v>
                </c:pt>
                <c:pt idx="1">
                  <c:v>MUJER</c:v>
                </c:pt>
              </c:strCache>
            </c:strRef>
          </c:cat>
          <c:val>
            <c:numRef>
              <c:f>'Gráficos Categóricos-Morosos'!$C$8:$C$9</c:f>
              <c:numCache>
                <c:formatCode>0.00%</c:formatCode>
                <c:ptCount val="2"/>
                <c:pt idx="0">
                  <c:v>0.10680000000000001</c:v>
                </c:pt>
                <c:pt idx="1">
                  <c:v>6.7199999999999996E-2</c:v>
                </c:pt>
              </c:numCache>
            </c:numRef>
          </c:val>
          <c:extLst>
            <c:ext xmlns:c16="http://schemas.microsoft.com/office/drawing/2014/chart" uri="{C3380CC4-5D6E-409C-BE32-E72D297353CC}">
              <c16:uniqueId val="{00000000-2D22-47B2-851A-0EF12C498C8F}"/>
            </c:ext>
          </c:extLst>
        </c:ser>
        <c:ser>
          <c:idx val="1"/>
          <c:order val="1"/>
          <c:tx>
            <c:strRef>
              <c:f>'Gráficos Categóricos-Morosos'!$D$7</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Categóricos-Morosos'!$B$8:$B$9</c:f>
              <c:strCache>
                <c:ptCount val="2"/>
                <c:pt idx="0">
                  <c:v>HOMBRE</c:v>
                </c:pt>
                <c:pt idx="1">
                  <c:v>MUJER</c:v>
                </c:pt>
              </c:strCache>
            </c:strRef>
          </c:cat>
          <c:val>
            <c:numRef>
              <c:f>'Gráficos Categóricos-Morosos'!$D$8:$D$9</c:f>
              <c:numCache>
                <c:formatCode>0.00%</c:formatCode>
                <c:ptCount val="2"/>
                <c:pt idx="0">
                  <c:v>0.49559999999999998</c:v>
                </c:pt>
                <c:pt idx="1">
                  <c:v>0.33040000000000003</c:v>
                </c:pt>
              </c:numCache>
            </c:numRef>
          </c:val>
          <c:extLst>
            <c:ext xmlns:c16="http://schemas.microsoft.com/office/drawing/2014/chart" uri="{C3380CC4-5D6E-409C-BE32-E72D297353CC}">
              <c16:uniqueId val="{00000001-2D22-47B2-851A-0EF12C498C8F}"/>
            </c:ext>
          </c:extLst>
        </c:ser>
        <c:dLbls>
          <c:showLegendKey val="0"/>
          <c:showVal val="0"/>
          <c:showCatName val="0"/>
          <c:showSerName val="0"/>
          <c:showPercent val="0"/>
          <c:showBubbleSize val="0"/>
        </c:dLbls>
        <c:gapWidth val="100"/>
        <c:overlap val="-24"/>
        <c:axId val="480846096"/>
        <c:axId val="480851856"/>
      </c:barChart>
      <c:catAx>
        <c:axId val="480846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480851856"/>
        <c:crosses val="autoZero"/>
        <c:auto val="1"/>
        <c:lblAlgn val="ctr"/>
        <c:lblOffset val="100"/>
        <c:noMultiLvlLbl val="0"/>
      </c:catAx>
      <c:valAx>
        <c:axId val="4808518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48084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R"/>
              <a:t>Gráfico % MOROSO/TIPO_ASEGURAMIENTO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bar"/>
        <c:grouping val="clustered"/>
        <c:varyColors val="0"/>
        <c:ser>
          <c:idx val="0"/>
          <c:order val="0"/>
          <c:tx>
            <c:strRef>
              <c:f>'Gráficos Categóricos-Morosos'!$C$25</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Categóricos-Morosos'!$B$26:$B$31</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'Gráficos Categóricos-Morosos'!$C$26:$C$31</c:f>
              <c:numCache>
                <c:formatCode>0.00%</c:formatCode>
                <c:ptCount val="6"/>
                <c:pt idx="0" formatCode="0.0%">
                  <c:v>8.3000000000000004E-2</c:v>
                </c:pt>
                <c:pt idx="1">
                  <c:v>1.1599999999999999E-2</c:v>
                </c:pt>
                <c:pt idx="2" formatCode="0%">
                  <c:v>0</c:v>
                </c:pt>
                <c:pt idx="3">
                  <c:v>8.0000000000000004E-4</c:v>
                </c:pt>
                <c:pt idx="4" formatCode="0%">
                  <c:v>0</c:v>
                </c:pt>
                <c:pt idx="5">
                  <c:v>7.8600000000000003E-2</c:v>
                </c:pt>
              </c:numCache>
            </c:numRef>
          </c:val>
          <c:extLst>
            <c:ext xmlns:c16="http://schemas.microsoft.com/office/drawing/2014/chart" uri="{C3380CC4-5D6E-409C-BE32-E72D297353CC}">
              <c16:uniqueId val="{00000000-C813-47FE-991A-704F4E3571A4}"/>
            </c:ext>
          </c:extLst>
        </c:ser>
        <c:ser>
          <c:idx val="1"/>
          <c:order val="1"/>
          <c:tx>
            <c:strRef>
              <c:f>'Gráficos Categóricos-Morosos'!$D$25</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Categóricos-Morosos'!$B$26:$B$31</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'Gráficos Categóricos-Morosos'!$D$26:$D$31</c:f>
              <c:numCache>
                <c:formatCode>0.00%</c:formatCode>
                <c:ptCount val="6"/>
                <c:pt idx="0">
                  <c:v>0.60980000000000001</c:v>
                </c:pt>
                <c:pt idx="1">
                  <c:v>7.5600000000000001E-2</c:v>
                </c:pt>
                <c:pt idx="2">
                  <c:v>6.1999999999999998E-3</c:v>
                </c:pt>
                <c:pt idx="3">
                  <c:v>3.0599999999999999E-2</c:v>
                </c:pt>
                <c:pt idx="4">
                  <c:v>4.24E-2</c:v>
                </c:pt>
                <c:pt idx="5">
                  <c:v>6.1400000000000003E-2</c:v>
                </c:pt>
              </c:numCache>
            </c:numRef>
          </c:val>
          <c:extLst>
            <c:ext xmlns:c16="http://schemas.microsoft.com/office/drawing/2014/chart" uri="{C3380CC4-5D6E-409C-BE32-E72D297353CC}">
              <c16:uniqueId val="{00000001-C813-47FE-991A-704F4E3571A4}"/>
            </c:ext>
          </c:extLst>
        </c:ser>
        <c:dLbls>
          <c:showLegendKey val="0"/>
          <c:showVal val="0"/>
          <c:showCatName val="0"/>
          <c:showSerName val="0"/>
          <c:showPercent val="0"/>
          <c:showBubbleSize val="0"/>
        </c:dLbls>
        <c:gapWidth val="115"/>
        <c:overlap val="-20"/>
        <c:axId val="588103200"/>
        <c:axId val="588101760"/>
      </c:barChart>
      <c:catAx>
        <c:axId val="588103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588101760"/>
        <c:crosses val="autoZero"/>
        <c:auto val="1"/>
        <c:lblAlgn val="ctr"/>
        <c:lblOffset val="100"/>
        <c:noMultiLvlLbl val="0"/>
      </c:catAx>
      <c:valAx>
        <c:axId val="588101760"/>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58810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R"/>
              <a:t>Gráfico % MOROSO/SECTOR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col"/>
        <c:grouping val="clustered"/>
        <c:varyColors val="0"/>
        <c:ser>
          <c:idx val="0"/>
          <c:order val="0"/>
          <c:tx>
            <c:strRef>
              <c:f>'Gráficos Categóricos-Morosos'!$C$39</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Categóricos-Morosos'!$B$40:$B$41</c:f>
              <c:strCache>
                <c:ptCount val="2"/>
                <c:pt idx="0">
                  <c:v>SECTOR PUBLICO</c:v>
                </c:pt>
                <c:pt idx="1">
                  <c:v>SECTOR PRIVADO</c:v>
                </c:pt>
              </c:strCache>
            </c:strRef>
          </c:cat>
          <c:val>
            <c:numRef>
              <c:f>'Gráficos Categóricos-Morosos'!$C$40:$C$41</c:f>
              <c:numCache>
                <c:formatCode>0.00%</c:formatCode>
                <c:ptCount val="2"/>
                <c:pt idx="0">
                  <c:v>3.32E-2</c:v>
                </c:pt>
                <c:pt idx="1">
                  <c:v>0.14080000000000001</c:v>
                </c:pt>
              </c:numCache>
            </c:numRef>
          </c:val>
          <c:extLst>
            <c:ext xmlns:c16="http://schemas.microsoft.com/office/drawing/2014/chart" uri="{C3380CC4-5D6E-409C-BE32-E72D297353CC}">
              <c16:uniqueId val="{00000000-58AC-4566-9B0C-CF486AC9DF15}"/>
            </c:ext>
          </c:extLst>
        </c:ser>
        <c:ser>
          <c:idx val="1"/>
          <c:order val="1"/>
          <c:tx>
            <c:strRef>
              <c:f>'Gráficos Categóricos-Morosos'!$D$39</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Categóricos-Morosos'!$B$40:$B$41</c:f>
              <c:strCache>
                <c:ptCount val="2"/>
                <c:pt idx="0">
                  <c:v>SECTOR PUBLICO</c:v>
                </c:pt>
                <c:pt idx="1">
                  <c:v>SECTOR PRIVADO</c:v>
                </c:pt>
              </c:strCache>
            </c:strRef>
          </c:cat>
          <c:val>
            <c:numRef>
              <c:f>'Gráficos Categóricos-Morosos'!$D$40:$D$41</c:f>
              <c:numCache>
                <c:formatCode>0.00%</c:formatCode>
                <c:ptCount val="2"/>
                <c:pt idx="0">
                  <c:v>0.18559999999999999</c:v>
                </c:pt>
                <c:pt idx="1">
                  <c:v>0.64039999999999997</c:v>
                </c:pt>
              </c:numCache>
            </c:numRef>
          </c:val>
          <c:extLst>
            <c:ext xmlns:c16="http://schemas.microsoft.com/office/drawing/2014/chart" uri="{C3380CC4-5D6E-409C-BE32-E72D297353CC}">
              <c16:uniqueId val="{00000001-58AC-4566-9B0C-CF486AC9DF15}"/>
            </c:ext>
          </c:extLst>
        </c:ser>
        <c:dLbls>
          <c:showLegendKey val="0"/>
          <c:showVal val="0"/>
          <c:showCatName val="0"/>
          <c:showSerName val="0"/>
          <c:showPercent val="0"/>
          <c:showBubbleSize val="0"/>
        </c:dLbls>
        <c:gapWidth val="100"/>
        <c:overlap val="-24"/>
        <c:axId val="1487124687"/>
        <c:axId val="1487140527"/>
      </c:barChart>
      <c:catAx>
        <c:axId val="1487124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1487140527"/>
        <c:crosses val="autoZero"/>
        <c:auto val="1"/>
        <c:lblAlgn val="ctr"/>
        <c:lblOffset val="100"/>
        <c:noMultiLvlLbl val="0"/>
      </c:catAx>
      <c:valAx>
        <c:axId val="148714052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1487124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R"/>
              <a:t>Gráfico % MOROSOS/INDICADOR_ACTIVO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col"/>
        <c:grouping val="clustered"/>
        <c:varyColors val="0"/>
        <c:ser>
          <c:idx val="0"/>
          <c:order val="0"/>
          <c:tx>
            <c:strRef>
              <c:f>'Gráficos Categóricos-Morosos'!$C$53</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Categóricos-Morosos'!$B$54:$B$55</c:f>
              <c:strCache>
                <c:ptCount val="2"/>
                <c:pt idx="0">
                  <c:v>SI</c:v>
                </c:pt>
                <c:pt idx="1">
                  <c:v>NO</c:v>
                </c:pt>
              </c:strCache>
            </c:strRef>
          </c:cat>
          <c:val>
            <c:numRef>
              <c:f>'Gráficos Categóricos-Morosos'!$C$54:$C$55</c:f>
              <c:numCache>
                <c:formatCode>0.00%</c:formatCode>
                <c:ptCount val="2"/>
                <c:pt idx="0">
                  <c:v>0.1704</c:v>
                </c:pt>
                <c:pt idx="1">
                  <c:v>3.5999999999999999E-3</c:v>
                </c:pt>
              </c:numCache>
            </c:numRef>
          </c:val>
          <c:extLst>
            <c:ext xmlns:c16="http://schemas.microsoft.com/office/drawing/2014/chart" uri="{C3380CC4-5D6E-409C-BE32-E72D297353CC}">
              <c16:uniqueId val="{00000000-0EB3-466A-AE1D-14398A73B47F}"/>
            </c:ext>
          </c:extLst>
        </c:ser>
        <c:ser>
          <c:idx val="1"/>
          <c:order val="1"/>
          <c:tx>
            <c:strRef>
              <c:f>'Gráficos Categóricos-Morosos'!$D$53</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Categóricos-Morosos'!$B$54:$B$55</c:f>
              <c:strCache>
                <c:ptCount val="2"/>
                <c:pt idx="0">
                  <c:v>SI</c:v>
                </c:pt>
                <c:pt idx="1">
                  <c:v>NO</c:v>
                </c:pt>
              </c:strCache>
            </c:strRef>
          </c:cat>
          <c:val>
            <c:numRef>
              <c:f>'Gráficos Categóricos-Morosos'!$D$54:$D$55</c:f>
              <c:numCache>
                <c:formatCode>0.00%</c:formatCode>
                <c:ptCount val="2"/>
                <c:pt idx="0">
                  <c:v>0.82279999999999998</c:v>
                </c:pt>
                <c:pt idx="1">
                  <c:v>3.2000000000000002E-3</c:v>
                </c:pt>
              </c:numCache>
            </c:numRef>
          </c:val>
          <c:extLst>
            <c:ext xmlns:c16="http://schemas.microsoft.com/office/drawing/2014/chart" uri="{C3380CC4-5D6E-409C-BE32-E72D297353CC}">
              <c16:uniqueId val="{00000001-0EB3-466A-AE1D-14398A73B47F}"/>
            </c:ext>
          </c:extLst>
        </c:ser>
        <c:dLbls>
          <c:showLegendKey val="0"/>
          <c:showVal val="0"/>
          <c:showCatName val="0"/>
          <c:showSerName val="0"/>
          <c:showPercent val="0"/>
          <c:showBubbleSize val="0"/>
        </c:dLbls>
        <c:gapWidth val="100"/>
        <c:overlap val="-24"/>
        <c:axId val="1487127087"/>
        <c:axId val="1487129487"/>
      </c:barChart>
      <c:catAx>
        <c:axId val="1487127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1487129487"/>
        <c:crosses val="autoZero"/>
        <c:auto val="1"/>
        <c:lblAlgn val="ctr"/>
        <c:lblOffset val="100"/>
        <c:noMultiLvlLbl val="0"/>
      </c:catAx>
      <c:valAx>
        <c:axId val="14871294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1487127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R"/>
              <a:t>Gráfico % MOROSOS/INDICADOR.EXTRANJERO</a:t>
            </a:r>
          </a:p>
        </c:rich>
      </c:tx>
      <c:layout>
        <c:manualLayout>
          <c:xMode val="edge"/>
          <c:yMode val="edge"/>
          <c:x val="0.11629855643044619"/>
          <c:y val="9.259259259259258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col"/>
        <c:grouping val="clustered"/>
        <c:varyColors val="0"/>
        <c:ser>
          <c:idx val="0"/>
          <c:order val="0"/>
          <c:tx>
            <c:strRef>
              <c:f>'Gráficos Categóricos-Morosos'!$C$67</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Categóricos-Morosos'!$B$68:$B$69</c:f>
              <c:strCache>
                <c:ptCount val="2"/>
                <c:pt idx="0">
                  <c:v>SI</c:v>
                </c:pt>
                <c:pt idx="1">
                  <c:v>NO</c:v>
                </c:pt>
              </c:strCache>
            </c:strRef>
          </c:cat>
          <c:val>
            <c:numRef>
              <c:f>'Gráficos Categóricos-Morosos'!$C$68:$C$69</c:f>
              <c:numCache>
                <c:formatCode>0.0%</c:formatCode>
                <c:ptCount val="2"/>
                <c:pt idx="0">
                  <c:v>2.9000000000000001E-2</c:v>
                </c:pt>
                <c:pt idx="1">
                  <c:v>0.14499999999999999</c:v>
                </c:pt>
              </c:numCache>
            </c:numRef>
          </c:val>
          <c:extLst>
            <c:ext xmlns:c16="http://schemas.microsoft.com/office/drawing/2014/chart" uri="{C3380CC4-5D6E-409C-BE32-E72D297353CC}">
              <c16:uniqueId val="{00000000-71CB-4BCE-BDEF-0E810BAE563F}"/>
            </c:ext>
          </c:extLst>
        </c:ser>
        <c:ser>
          <c:idx val="1"/>
          <c:order val="1"/>
          <c:tx>
            <c:strRef>
              <c:f>'Gráficos Categóricos-Morosos'!$D$67</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Categóricos-Morosos'!$B$68:$B$69</c:f>
              <c:strCache>
                <c:ptCount val="2"/>
                <c:pt idx="0">
                  <c:v>SI</c:v>
                </c:pt>
                <c:pt idx="1">
                  <c:v>NO</c:v>
                </c:pt>
              </c:strCache>
            </c:strRef>
          </c:cat>
          <c:val>
            <c:numRef>
              <c:f>'Gráficos Categóricos-Morosos'!$D$68:$D$69</c:f>
              <c:numCache>
                <c:formatCode>0.00%</c:formatCode>
                <c:ptCount val="2"/>
                <c:pt idx="0">
                  <c:v>9.1600000000000001E-2</c:v>
                </c:pt>
                <c:pt idx="1">
                  <c:v>0.73440000000000005</c:v>
                </c:pt>
              </c:numCache>
            </c:numRef>
          </c:val>
          <c:extLst>
            <c:ext xmlns:c16="http://schemas.microsoft.com/office/drawing/2014/chart" uri="{C3380CC4-5D6E-409C-BE32-E72D297353CC}">
              <c16:uniqueId val="{00000001-71CB-4BCE-BDEF-0E810BAE563F}"/>
            </c:ext>
          </c:extLst>
        </c:ser>
        <c:dLbls>
          <c:showLegendKey val="0"/>
          <c:showVal val="0"/>
          <c:showCatName val="0"/>
          <c:showSerName val="0"/>
          <c:showPercent val="0"/>
          <c:showBubbleSize val="0"/>
        </c:dLbls>
        <c:gapWidth val="100"/>
        <c:overlap val="-24"/>
        <c:axId val="641031232"/>
        <c:axId val="641027392"/>
      </c:barChart>
      <c:catAx>
        <c:axId val="641031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641027392"/>
        <c:crosses val="autoZero"/>
        <c:auto val="1"/>
        <c:lblAlgn val="ctr"/>
        <c:lblOffset val="100"/>
        <c:noMultiLvlLbl val="0"/>
      </c:catAx>
      <c:valAx>
        <c:axId val="64102739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64103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R"/>
              <a:t>MOROSOS/RANGO_SALARIO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col"/>
        <c:grouping val="clustered"/>
        <c:varyColors val="0"/>
        <c:ser>
          <c:idx val="0"/>
          <c:order val="0"/>
          <c:tx>
            <c:strRef>
              <c:f>'Gráficos Numéricos-Morosos'!$C$2</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Numéricos-Morosos'!$B$3:$B$7</c:f>
              <c:strCache>
                <c:ptCount val="5"/>
                <c:pt idx="0">
                  <c:v>0–300k</c:v>
                </c:pt>
                <c:pt idx="1">
                  <c:v>300k–600k</c:v>
                </c:pt>
                <c:pt idx="2">
                  <c:v>600k–900k</c:v>
                </c:pt>
                <c:pt idx="3">
                  <c:v>900k–1200k</c:v>
                </c:pt>
                <c:pt idx="4">
                  <c:v>1200k+</c:v>
                </c:pt>
              </c:strCache>
            </c:strRef>
          </c:cat>
          <c:val>
            <c:numRef>
              <c:f>'Gráficos Numéricos-Morosos'!$C$3:$C$7</c:f>
              <c:numCache>
                <c:formatCode>General</c:formatCode>
                <c:ptCount val="5"/>
                <c:pt idx="0">
                  <c:v>260</c:v>
                </c:pt>
                <c:pt idx="1">
                  <c:v>427</c:v>
                </c:pt>
                <c:pt idx="2">
                  <c:v>80</c:v>
                </c:pt>
                <c:pt idx="3">
                  <c:v>44</c:v>
                </c:pt>
                <c:pt idx="4">
                  <c:v>59</c:v>
                </c:pt>
              </c:numCache>
            </c:numRef>
          </c:val>
          <c:extLst>
            <c:ext xmlns:c16="http://schemas.microsoft.com/office/drawing/2014/chart" uri="{C3380CC4-5D6E-409C-BE32-E72D297353CC}">
              <c16:uniqueId val="{00000000-027B-418B-88A0-DB58368480AE}"/>
            </c:ext>
          </c:extLst>
        </c:ser>
        <c:ser>
          <c:idx val="1"/>
          <c:order val="1"/>
          <c:tx>
            <c:strRef>
              <c:f>'Gráficos Numéricos-Morosos'!$D$2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Numéricos-Morosos'!$B$3:$B$7</c:f>
              <c:strCache>
                <c:ptCount val="5"/>
                <c:pt idx="0">
                  <c:v>0–300k</c:v>
                </c:pt>
                <c:pt idx="1">
                  <c:v>300k–600k</c:v>
                </c:pt>
                <c:pt idx="2">
                  <c:v>600k–900k</c:v>
                </c:pt>
                <c:pt idx="3">
                  <c:v>900k–1200k</c:v>
                </c:pt>
                <c:pt idx="4">
                  <c:v>1200k+</c:v>
                </c:pt>
              </c:strCache>
            </c:strRef>
          </c:cat>
          <c:val>
            <c:numRef>
              <c:f>'Gráficos Numéricos-Morosos'!$D$3:$D$7</c:f>
              <c:numCache>
                <c:formatCode>General</c:formatCode>
                <c:ptCount val="5"/>
                <c:pt idx="0">
                  <c:v>1130</c:v>
                </c:pt>
                <c:pt idx="1">
                  <c:v>1622</c:v>
                </c:pt>
                <c:pt idx="2">
                  <c:v>566</c:v>
                </c:pt>
                <c:pt idx="3">
                  <c:v>268</c:v>
                </c:pt>
                <c:pt idx="4">
                  <c:v>544</c:v>
                </c:pt>
              </c:numCache>
            </c:numRef>
          </c:val>
          <c:extLst>
            <c:ext xmlns:c16="http://schemas.microsoft.com/office/drawing/2014/chart" uri="{C3380CC4-5D6E-409C-BE32-E72D297353CC}">
              <c16:uniqueId val="{00000001-027B-418B-88A0-DB58368480AE}"/>
            </c:ext>
          </c:extLst>
        </c:ser>
        <c:dLbls>
          <c:showLegendKey val="0"/>
          <c:showVal val="0"/>
          <c:showCatName val="0"/>
          <c:showSerName val="0"/>
          <c:showPercent val="0"/>
          <c:showBubbleSize val="0"/>
        </c:dLbls>
        <c:gapWidth val="100"/>
        <c:overlap val="-24"/>
        <c:axId val="923567136"/>
        <c:axId val="923561376"/>
      </c:barChart>
      <c:catAx>
        <c:axId val="92356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923561376"/>
        <c:crosses val="autoZero"/>
        <c:auto val="1"/>
        <c:lblAlgn val="ctr"/>
        <c:lblOffset val="100"/>
        <c:noMultiLvlLbl val="0"/>
      </c:catAx>
      <c:valAx>
        <c:axId val="923561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92356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MOROSOS/RANGO_EDAD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col"/>
        <c:grouping val="clustered"/>
        <c:varyColors val="0"/>
        <c:ser>
          <c:idx val="0"/>
          <c:order val="0"/>
          <c:tx>
            <c:strRef>
              <c:f>'Gráficos Numéricos-Morosos'!$C$17</c:f>
              <c:strCache>
                <c:ptCount val="1"/>
                <c:pt idx="0">
                  <c:v>SI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Numéricos-Morosos'!$B$18:$B$22</c:f>
              <c:strCache>
                <c:ptCount val="5"/>
                <c:pt idx="0">
                  <c:v>18-25</c:v>
                </c:pt>
                <c:pt idx="1">
                  <c:v>26-35</c:v>
                </c:pt>
                <c:pt idx="2">
                  <c:v>36-45</c:v>
                </c:pt>
                <c:pt idx="3">
                  <c:v>46-55</c:v>
                </c:pt>
                <c:pt idx="4">
                  <c:v>56+</c:v>
                </c:pt>
              </c:strCache>
            </c:strRef>
          </c:cat>
          <c:val>
            <c:numRef>
              <c:f>'Gráficos Numéricos-Morosos'!$C$18:$C$22</c:f>
              <c:numCache>
                <c:formatCode>General</c:formatCode>
                <c:ptCount val="5"/>
                <c:pt idx="0">
                  <c:v>51</c:v>
                </c:pt>
                <c:pt idx="1">
                  <c:v>191</c:v>
                </c:pt>
                <c:pt idx="2">
                  <c:v>254</c:v>
                </c:pt>
                <c:pt idx="3">
                  <c:v>212</c:v>
                </c:pt>
                <c:pt idx="4">
                  <c:v>162</c:v>
                </c:pt>
              </c:numCache>
            </c:numRef>
          </c:val>
          <c:extLst>
            <c:ext xmlns:c16="http://schemas.microsoft.com/office/drawing/2014/chart" uri="{C3380CC4-5D6E-409C-BE32-E72D297353CC}">
              <c16:uniqueId val="{00000000-0808-4644-9899-727154050A49}"/>
            </c:ext>
          </c:extLst>
        </c:ser>
        <c:ser>
          <c:idx val="1"/>
          <c:order val="1"/>
          <c:tx>
            <c:strRef>
              <c:f>'Gráficos Numéricos-Morosos'!$D$17</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'Gráficos Numéricos-Morosos'!$B$18:$B$22</c:f>
              <c:strCache>
                <c:ptCount val="5"/>
                <c:pt idx="0">
                  <c:v>18-25</c:v>
                </c:pt>
                <c:pt idx="1">
                  <c:v>26-35</c:v>
                </c:pt>
                <c:pt idx="2">
                  <c:v>36-45</c:v>
                </c:pt>
                <c:pt idx="3">
                  <c:v>46-55</c:v>
                </c:pt>
                <c:pt idx="4">
                  <c:v>56+</c:v>
                </c:pt>
              </c:strCache>
            </c:strRef>
          </c:cat>
          <c:val>
            <c:numRef>
              <c:f>'Gráficos Numéricos-Morosos'!$D$18:$D$22</c:f>
              <c:numCache>
                <c:formatCode>General</c:formatCode>
                <c:ptCount val="5"/>
                <c:pt idx="0">
                  <c:v>500</c:v>
                </c:pt>
                <c:pt idx="1">
                  <c:v>1163</c:v>
                </c:pt>
                <c:pt idx="2">
                  <c:v>1002</c:v>
                </c:pt>
                <c:pt idx="3">
                  <c:v>700</c:v>
                </c:pt>
                <c:pt idx="4">
                  <c:v>765</c:v>
                </c:pt>
              </c:numCache>
            </c:numRef>
          </c:val>
          <c:extLst>
            <c:ext xmlns:c16="http://schemas.microsoft.com/office/drawing/2014/chart" uri="{C3380CC4-5D6E-409C-BE32-E72D297353CC}">
              <c16:uniqueId val="{00000001-0808-4644-9899-727154050A49}"/>
            </c:ext>
          </c:extLst>
        </c:ser>
        <c:dLbls>
          <c:showLegendKey val="0"/>
          <c:showVal val="0"/>
          <c:showCatName val="0"/>
          <c:showSerName val="0"/>
          <c:showPercent val="0"/>
          <c:showBubbleSize val="0"/>
        </c:dLbls>
        <c:gapWidth val="100"/>
        <c:overlap val="-24"/>
        <c:axId val="923586816"/>
        <c:axId val="923584896"/>
      </c:barChart>
      <c:catAx>
        <c:axId val="923586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923584896"/>
        <c:crosses val="autoZero"/>
        <c:auto val="1"/>
        <c:lblAlgn val="ctr"/>
        <c:lblOffset val="100"/>
        <c:noMultiLvlLbl val="0"/>
      </c:catAx>
      <c:valAx>
        <c:axId val="92358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923586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752475</xdr:colOff>
      <xdr:row>17</xdr:row>
      <xdr:rowOff>190499</xdr:rowOff>
    </xdr:from>
    <xdr:to>
      <xdr:col>20</xdr:col>
      <xdr:colOff>752475</xdr:colOff>
      <xdr:row>33</xdr:row>
      <xdr:rowOff>0</xdr:rowOff>
    </xdr:to>
    <xdr:graphicFrame macro="">
      <xdr:nvGraphicFramePr>
        <xdr:cNvPr id="2" name="Gráfico 1">
          <a:extLst>
            <a:ext uri="{FF2B5EF4-FFF2-40B4-BE49-F238E27FC236}">
              <a16:creationId xmlns:a16="http://schemas.microsoft.com/office/drawing/2014/main" id="{767FE4B1-73CD-4DF7-A99D-F5366CA22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190499</xdr:rowOff>
    </xdr:from>
    <xdr:to>
      <xdr:col>7</xdr:col>
      <xdr:colOff>0</xdr:colOff>
      <xdr:row>16</xdr:row>
      <xdr:rowOff>9525</xdr:rowOff>
    </xdr:to>
    <xdr:graphicFrame macro="">
      <xdr:nvGraphicFramePr>
        <xdr:cNvPr id="3" name="Gráfico 2">
          <a:extLst>
            <a:ext uri="{FF2B5EF4-FFF2-40B4-BE49-F238E27FC236}">
              <a16:creationId xmlns:a16="http://schemas.microsoft.com/office/drawing/2014/main" id="{A0251BDA-827E-4CEB-922C-2EE4D95BC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9525</xdr:rowOff>
    </xdr:from>
    <xdr:to>
      <xdr:col>7</xdr:col>
      <xdr:colOff>1</xdr:colOff>
      <xdr:row>32</xdr:row>
      <xdr:rowOff>180974</xdr:rowOff>
    </xdr:to>
    <xdr:graphicFrame macro="">
      <xdr:nvGraphicFramePr>
        <xdr:cNvPr id="4" name="Gráfico 3">
          <a:extLst>
            <a:ext uri="{FF2B5EF4-FFF2-40B4-BE49-F238E27FC236}">
              <a16:creationId xmlns:a16="http://schemas.microsoft.com/office/drawing/2014/main" id="{343C7BDE-955A-4B58-BABB-FFE8E8045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0</xdr:row>
      <xdr:rowOff>190498</xdr:rowOff>
    </xdr:from>
    <xdr:to>
      <xdr:col>14</xdr:col>
      <xdr:colOff>0</xdr:colOff>
      <xdr:row>15</xdr:row>
      <xdr:rowOff>190499</xdr:rowOff>
    </xdr:to>
    <xdr:graphicFrame macro="">
      <xdr:nvGraphicFramePr>
        <xdr:cNvPr id="5" name="Gráfico 4">
          <a:extLst>
            <a:ext uri="{FF2B5EF4-FFF2-40B4-BE49-F238E27FC236}">
              <a16:creationId xmlns:a16="http://schemas.microsoft.com/office/drawing/2014/main" id="{EEB9B561-6063-4712-AEA3-B75FD0079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752474</xdr:colOff>
      <xdr:row>17</xdr:row>
      <xdr:rowOff>190499</xdr:rowOff>
    </xdr:from>
    <xdr:to>
      <xdr:col>13</xdr:col>
      <xdr:colOff>761999</xdr:colOff>
      <xdr:row>33</xdr:row>
      <xdr:rowOff>9524</xdr:rowOff>
    </xdr:to>
    <xdr:graphicFrame macro="">
      <xdr:nvGraphicFramePr>
        <xdr:cNvPr id="6" name="Gráfico 5">
          <a:extLst>
            <a:ext uri="{FF2B5EF4-FFF2-40B4-BE49-F238E27FC236}">
              <a16:creationId xmlns:a16="http://schemas.microsoft.com/office/drawing/2014/main" id="{DB65CB02-C4C6-4C24-A400-313D1A395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xdr:row>
      <xdr:rowOff>0</xdr:rowOff>
    </xdr:from>
    <xdr:to>
      <xdr:col>21</xdr:col>
      <xdr:colOff>0</xdr:colOff>
      <xdr:row>16</xdr:row>
      <xdr:rowOff>0</xdr:rowOff>
    </xdr:to>
    <xdr:graphicFrame macro="">
      <xdr:nvGraphicFramePr>
        <xdr:cNvPr id="7" name="Gráfico 6">
          <a:extLst>
            <a:ext uri="{FF2B5EF4-FFF2-40B4-BE49-F238E27FC236}">
              <a16:creationId xmlns:a16="http://schemas.microsoft.com/office/drawing/2014/main" id="{6F5C4E33-EE09-44F1-B1A1-0438F6B78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4762</xdr:rowOff>
    </xdr:from>
    <xdr:to>
      <xdr:col>12</xdr:col>
      <xdr:colOff>0</xdr:colOff>
      <xdr:row>13</xdr:row>
      <xdr:rowOff>28575</xdr:rowOff>
    </xdr:to>
    <xdr:graphicFrame macro="">
      <xdr:nvGraphicFramePr>
        <xdr:cNvPr id="7" name="Gráfico 6">
          <a:extLst>
            <a:ext uri="{FF2B5EF4-FFF2-40B4-BE49-F238E27FC236}">
              <a16:creationId xmlns:a16="http://schemas.microsoft.com/office/drawing/2014/main" id="{02298955-1C78-364A-2BFF-B5E509154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15</xdr:row>
      <xdr:rowOff>4762</xdr:rowOff>
    </xdr:from>
    <xdr:to>
      <xdr:col>12</xdr:col>
      <xdr:colOff>0</xdr:colOff>
      <xdr:row>31</xdr:row>
      <xdr:rowOff>0</xdr:rowOff>
    </xdr:to>
    <xdr:graphicFrame macro="">
      <xdr:nvGraphicFramePr>
        <xdr:cNvPr id="8" name="Gráfico 7">
          <a:extLst>
            <a:ext uri="{FF2B5EF4-FFF2-40B4-BE49-F238E27FC236}">
              <a16:creationId xmlns:a16="http://schemas.microsoft.com/office/drawing/2014/main" id="{80106D23-E418-2C2E-60B9-9F8DCFEAD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33</xdr:row>
      <xdr:rowOff>4762</xdr:rowOff>
    </xdr:from>
    <xdr:to>
      <xdr:col>12</xdr:col>
      <xdr:colOff>0</xdr:colOff>
      <xdr:row>45</xdr:row>
      <xdr:rowOff>0</xdr:rowOff>
    </xdr:to>
    <xdr:graphicFrame macro="">
      <xdr:nvGraphicFramePr>
        <xdr:cNvPr id="9" name="Gráfico 8">
          <a:extLst>
            <a:ext uri="{FF2B5EF4-FFF2-40B4-BE49-F238E27FC236}">
              <a16:creationId xmlns:a16="http://schemas.microsoft.com/office/drawing/2014/main" id="{90563897-6F44-6D49-A5D6-7353EE0DB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47</xdr:row>
      <xdr:rowOff>4762</xdr:rowOff>
    </xdr:from>
    <xdr:to>
      <xdr:col>12</xdr:col>
      <xdr:colOff>0</xdr:colOff>
      <xdr:row>59</xdr:row>
      <xdr:rowOff>9525</xdr:rowOff>
    </xdr:to>
    <xdr:graphicFrame macro="">
      <xdr:nvGraphicFramePr>
        <xdr:cNvPr id="10" name="Gráfico 9">
          <a:extLst>
            <a:ext uri="{FF2B5EF4-FFF2-40B4-BE49-F238E27FC236}">
              <a16:creationId xmlns:a16="http://schemas.microsoft.com/office/drawing/2014/main" id="{A43DA4F9-E3D4-E2C5-6A78-6ABD47123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61</xdr:row>
      <xdr:rowOff>14287</xdr:rowOff>
    </xdr:from>
    <xdr:to>
      <xdr:col>12</xdr:col>
      <xdr:colOff>0</xdr:colOff>
      <xdr:row>73</xdr:row>
      <xdr:rowOff>9525</xdr:rowOff>
    </xdr:to>
    <xdr:graphicFrame macro="">
      <xdr:nvGraphicFramePr>
        <xdr:cNvPr id="11" name="Gráfico 10">
          <a:extLst>
            <a:ext uri="{FF2B5EF4-FFF2-40B4-BE49-F238E27FC236}">
              <a16:creationId xmlns:a16="http://schemas.microsoft.com/office/drawing/2014/main" id="{AB134077-D546-5EC4-2D74-AF40C4364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4762</xdr:rowOff>
    </xdr:from>
    <xdr:to>
      <xdr:col>11</xdr:col>
      <xdr:colOff>0</xdr:colOff>
      <xdr:row>14</xdr:row>
      <xdr:rowOff>9525</xdr:rowOff>
    </xdr:to>
    <xdr:graphicFrame macro="">
      <xdr:nvGraphicFramePr>
        <xdr:cNvPr id="2" name="Gráfico 1">
          <a:extLst>
            <a:ext uri="{FF2B5EF4-FFF2-40B4-BE49-F238E27FC236}">
              <a16:creationId xmlns:a16="http://schemas.microsoft.com/office/drawing/2014/main" id="{54A14A17-F3F7-F115-7306-2579ECF85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761999</xdr:colOff>
      <xdr:row>16</xdr:row>
      <xdr:rowOff>4762</xdr:rowOff>
    </xdr:from>
    <xdr:to>
      <xdr:col>11</xdr:col>
      <xdr:colOff>9524</xdr:colOff>
      <xdr:row>29</xdr:row>
      <xdr:rowOff>0</xdr:rowOff>
    </xdr:to>
    <xdr:graphicFrame macro="">
      <xdr:nvGraphicFramePr>
        <xdr:cNvPr id="3" name="Gráfico 2">
          <a:extLst>
            <a:ext uri="{FF2B5EF4-FFF2-40B4-BE49-F238E27FC236}">
              <a16:creationId xmlns:a16="http://schemas.microsoft.com/office/drawing/2014/main" id="{CF7C815C-A3F4-BCB2-FFEC-2BD823D03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FE7BDA9B-026A-4550-ABAF-94ACA87294D0}" autoFormatId="16" applyNumberFormats="0" applyBorderFormats="0" applyFontFormats="0" applyPatternFormats="0" applyAlignmentFormats="0" applyWidthHeightFormats="0">
  <queryTableRefresh nextId="17" unboundColumnsRight="7">
    <queryTableFields count="16">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 id="12" dataBound="0" tableColumnId="13"/>
      <queryTableField id="13" dataBound="0" tableColumnId="14"/>
      <queryTableField id="14" dataBound="0" tableColumnId="15"/>
      <queryTableField id="15" dataBound="0" tableColumnId="12"/>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D086A-1CA5-47D7-A0BC-73F20484AB4D}" name="moras" displayName="moras" ref="A1:P5001" tableType="queryTable" totalsRowShown="0">
  <autoFilter ref="A1:P5001" xr:uid="{D4DD086A-1CA5-47D7-A0BC-73F20484AB4D}"/>
  <tableColumns count="16">
    <tableColumn id="1" xr3:uid="{14F29D78-592F-4BA5-8236-E37AE8E8B3EA}" uniqueName="1" name="IDENTIFICACION" queryTableFieldId="1"/>
    <tableColumn id="2" xr3:uid="{0327EC13-03F5-4881-B0A0-DD0377A0617B}" uniqueName="2" name="SEXO" queryTableFieldId="2" dataDxfId="12"/>
    <tableColumn id="3" xr3:uid="{544AF7E7-8133-4A26-BBCB-B79EFCC530F8}" uniqueName="3" name="SALARIO" queryTableFieldId="3"/>
    <tableColumn id="4" xr3:uid="{9D276D36-950E-4952-AF50-4195B541DA56}" uniqueName="4" name="TIPO_ASEGURAMIENTO" queryTableFieldId="4" dataDxfId="11"/>
    <tableColumn id="5" xr3:uid="{FA4B9729-10C1-4DFA-9202-F7B522FA1DF1}" uniqueName="5" name="SECTOR" queryTableFieldId="5" dataDxfId="10"/>
    <tableColumn id="6" xr3:uid="{7A1B5B9C-BD63-4620-9811-A5888FA07B2F}" uniqueName="6" name="INDICADOR_ACTIVO" queryTableFieldId="6" dataDxfId="9"/>
    <tableColumn id="7" xr3:uid="{9194FDE5-7F46-4CED-A9AE-4957BDEE9975}" uniqueName="7" name="INDICADOR.EXTRANJERO" queryTableFieldId="7" dataDxfId="8"/>
    <tableColumn id="8" xr3:uid="{6028B189-7EFE-4CB4-9099-80CF720729ED}" uniqueName="8" name="INDICADOR_MOROSO" queryTableFieldId="8" dataDxfId="7"/>
    <tableColumn id="9" xr3:uid="{8FEF3ECD-EB3D-48C3-94F6-AF752A57943D}" uniqueName="9" name="EDAD" queryTableFieldId="9"/>
    <tableColumn id="10" xr3:uid="{6921E9CB-8A8E-415E-BE58-57AC419E9F85}" uniqueName="10" name="3) Z-Score Salario" queryTableFieldId="10" dataDxfId="6">
      <calculatedColumnFormula array="1">_xlfn.IFS(ISBLANK(C2),"FALTANTE",ABS((C2-$W$5)/$X$5)&gt;1.96,"ATÍPICO",ABS((C2-$W$5)/$X$5)&lt;=1.96,"NO ATÍPICO")</calculatedColumnFormula>
    </tableColumn>
    <tableColumn id="11" xr3:uid="{BD183402-06D7-4DF4-A6F6-A2E9F034798A}" uniqueName="11" name="3) Z-Score Edad" queryTableFieldId="11" dataDxfId="5">
      <calculatedColumnFormula array="1">_xlfn.IFS(ISBLANK(I2),"FALTANTE",ABS((I2-$W$8)/$X$8)&gt;1.92,"ATÍPICO",ABS((I2-$W$8)/$X$8)&lt;=1.92,"NO ATÍPICO")</calculatedColumnFormula>
    </tableColumn>
    <tableColumn id="13" xr3:uid="{4865C474-9AA8-4163-B53C-C06AB3028C9C}" uniqueName="13" name="SALARIO_IMPUTADO" queryTableFieldId="12" dataDxfId="4">
      <calculatedColumnFormula>C2</calculatedColumnFormula>
    </tableColumn>
    <tableColumn id="14" xr3:uid="{89BEE93F-6F6D-489A-9AAE-DB6621C07952}" uniqueName="14" name="TIPO_ASEGURAMIENTO_IMPUTADO" queryTableFieldId="13" dataDxfId="3">
      <calculatedColumnFormula>D2</calculatedColumnFormula>
    </tableColumn>
    <tableColumn id="15" xr3:uid="{F4E94813-61CC-4042-BE3C-30FC50C0DBE4}" uniqueName="15" name="EDAD_IMPUTADO" queryTableFieldId="14" dataDxfId="2">
      <calculatedColumnFormula>I2</calculatedColumnFormula>
    </tableColumn>
    <tableColumn id="12" xr3:uid="{82FA7371-5882-464D-AEFA-DD5DADD74AE7}" uniqueName="12" name="RANGO_SALARIO" queryTableFieldId="15" dataDxfId="0">
      <calculatedColumnFormula>IF(L2&lt;=300000,"0–300k",IF(L2&lt;=600000,"300k–600k",IF(L2&lt;=900000,"600k–900k",IF(L2&lt;=1200000,"900k–1200k","1200k+"))))</calculatedColumnFormula>
    </tableColumn>
    <tableColumn id="16" xr3:uid="{9F1C8EB9-F749-407C-8565-B2C340777E25}" uniqueName="16" name="RANGO_EDAD" queryTableFieldId="16" dataDxfId="1">
      <calculatedColumnFormula>IF(N2 &lt;=25,"18-25", IF(N2&lt;=35,"26-35", IF(N2 &lt;=45,"36-45", IF(N2&lt;=55,"46-55","56+"))))</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5060-1E63-4A64-B51E-D4EFAE882DD9}">
  <dimension ref="A1:X5001"/>
  <sheetViews>
    <sheetView zoomScaleNormal="100" workbookViewId="0">
      <selection activeCell="G4987" sqref="G4987"/>
    </sheetView>
  </sheetViews>
  <sheetFormatPr baseColWidth="10" defaultRowHeight="15" x14ac:dyDescent="0.25"/>
  <cols>
    <col min="1" max="1" width="18.5703125" bestFit="1" customWidth="1"/>
    <col min="2" max="2" width="8.5703125" bestFit="1" customWidth="1"/>
    <col min="3" max="3" width="12" bestFit="1" customWidth="1"/>
    <col min="4" max="4" width="55" bestFit="1" customWidth="1"/>
    <col min="5" max="5" width="16.140625" bestFit="1" customWidth="1"/>
    <col min="6" max="6" width="21.7109375" bestFit="1" customWidth="1"/>
    <col min="7" max="7" width="26.5703125" bestFit="1" customWidth="1"/>
    <col min="8" max="8" width="23.28515625" bestFit="1" customWidth="1"/>
    <col min="9" max="9" width="8.42578125" bestFit="1" customWidth="1"/>
    <col min="10" max="10" width="16.7109375" bestFit="1" customWidth="1"/>
    <col min="11" max="11" width="15" bestFit="1" customWidth="1"/>
    <col min="12" max="12" width="21.5703125" bestFit="1" customWidth="1"/>
    <col min="13" max="13" width="55" bestFit="1" customWidth="1"/>
    <col min="14" max="14" width="19" bestFit="1" customWidth="1"/>
    <col min="15" max="16" width="19" customWidth="1"/>
    <col min="17" max="17" width="11.5703125" customWidth="1"/>
    <col min="19" max="19" width="11.28515625" bestFit="1" customWidth="1"/>
    <col min="23" max="23" width="23" bestFit="1" customWidth="1"/>
    <col min="24" max="24" width="21.5703125" bestFit="1" customWidth="1"/>
  </cols>
  <sheetData>
    <row r="1" spans="1:24" x14ac:dyDescent="0.25">
      <c r="A1" t="s">
        <v>0</v>
      </c>
      <c r="B1" t="s">
        <v>1</v>
      </c>
      <c r="C1" t="s">
        <v>2</v>
      </c>
      <c r="D1" t="s">
        <v>3</v>
      </c>
      <c r="E1" t="s">
        <v>4</v>
      </c>
      <c r="F1" t="s">
        <v>5</v>
      </c>
      <c r="G1" t="s">
        <v>6</v>
      </c>
      <c r="H1" t="s">
        <v>7</v>
      </c>
      <c r="I1" t="s">
        <v>8</v>
      </c>
      <c r="J1" t="s">
        <v>70</v>
      </c>
      <c r="K1" t="s">
        <v>71</v>
      </c>
      <c r="L1" t="s">
        <v>31</v>
      </c>
      <c r="M1" t="s">
        <v>32</v>
      </c>
      <c r="N1" t="s">
        <v>33</v>
      </c>
      <c r="O1" t="s">
        <v>52</v>
      </c>
      <c r="P1" t="s">
        <v>53</v>
      </c>
    </row>
    <row r="2" spans="1:24" ht="15.75" x14ac:dyDescent="0.25">
      <c r="A2">
        <v>1</v>
      </c>
      <c r="B2" t="s">
        <v>9</v>
      </c>
      <c r="D2" t="s">
        <v>10</v>
      </c>
      <c r="E2" t="s">
        <v>11</v>
      </c>
      <c r="F2" t="s">
        <v>12</v>
      </c>
      <c r="G2" t="s">
        <v>13</v>
      </c>
      <c r="H2" t="s">
        <v>13</v>
      </c>
      <c r="I2">
        <v>42</v>
      </c>
      <c r="J2" t="str" cm="1">
        <f t="array" ref="J2">_xlfn.IFS(ISBLANK(C2),"FALTANTE",ABS((C2-$W$5)/$X$5)&gt;1.96,"ATÍPICO",ABS((C2-$W$5)/$X$5)&lt;=1.96,"NO ATÍPICO")</f>
        <v>FALTANTE</v>
      </c>
      <c r="K2" t="str" cm="1">
        <f t="array" ref="K2">_xlfn.IFS(ISBLANK(I2),"FALTANTE",ABS((I2-$W$8)/$X$8)&gt;1.92,"ATÍPICO",ABS((I2-$W$8)/$X$8)&lt;=1.92,"NO ATÍPICO")</f>
        <v>NO ATÍPICO</v>
      </c>
      <c r="L2">
        <v>408495</v>
      </c>
      <c r="M2" t="str">
        <f>D2</f>
        <v>ASALARIADO</v>
      </c>
      <c r="N2">
        <f t="shared" ref="N2:N65" si="0">I2</f>
        <v>42</v>
      </c>
      <c r="O2" s="19" t="str">
        <f>IF(L2&lt;=300000,"0–300k",IF(L2&lt;=600000,"300k–600k",IF(L2&lt;=900000,"600k–900k",IF(L2&lt;=1200000,"900k–1200k","1200k+"))))</f>
        <v>300k–600k</v>
      </c>
      <c r="P2" s="19" t="str">
        <f>IF(N2 &lt;=25,"18-25", IF(N2&lt;=35,"26-35", IF(N2 &lt;=45,"36-45", IF(N2&lt;=55,"46-55","56+"))))</f>
        <v>36-45</v>
      </c>
      <c r="R2" s="16" t="s">
        <v>69</v>
      </c>
      <c r="S2" s="16"/>
      <c r="T2" s="16"/>
      <c r="U2" s="16"/>
      <c r="V2" s="16"/>
      <c r="W2" s="16"/>
      <c r="X2" s="16"/>
    </row>
    <row r="3" spans="1:24" ht="15.75" x14ac:dyDescent="0.25">
      <c r="A3">
        <v>2</v>
      </c>
      <c r="B3" t="s">
        <v>9</v>
      </c>
      <c r="C3">
        <v>3315014</v>
      </c>
      <c r="D3" t="s">
        <v>14</v>
      </c>
      <c r="E3" t="s">
        <v>11</v>
      </c>
      <c r="F3" t="s">
        <v>12</v>
      </c>
      <c r="G3" t="s">
        <v>13</v>
      </c>
      <c r="H3" t="s">
        <v>13</v>
      </c>
      <c r="I3">
        <v>77</v>
      </c>
      <c r="J3" t="str" cm="1">
        <f t="array" ref="J3">_xlfn.IFS(ISBLANK(C3),"FALTANTE",ABS((C3-$W$5)/$X$5)&gt;1.96,"ATÍPICO",ABS((C3-$W$5)/$X$5)&lt;=1.96,"NO ATÍPICO")</f>
        <v>ATÍPICO</v>
      </c>
      <c r="K3" t="str" cm="1">
        <f t="array" ref="K3">_xlfn.IFS(ISBLANK(I3),"FALTANTE",ABS((I3-$W$8)/$X$8)&gt;1.92,"ATÍPICO",ABS((I3-$W$8)/$X$8)&lt;=1.92,"NO ATÍPICO")</f>
        <v>ATÍPICO</v>
      </c>
      <c r="L3">
        <f t="shared" ref="L3:L65" si="1">C3</f>
        <v>3315014</v>
      </c>
      <c r="M3" t="str">
        <f>D3</f>
        <v>PENSIONADOS EN SU PROPIO SISTEMA</v>
      </c>
      <c r="N3">
        <f t="shared" si="0"/>
        <v>77</v>
      </c>
      <c r="O3" s="19" t="str">
        <f t="shared" ref="O2:O65" si="2">IF(L3&lt;=300000,"0–300k",IF(L3&lt;=600000,"300k–600k",IF(L3&lt;=900000,"600k–900k",IF(L3&lt;=1200000,"900k–1200k","1200k+"))))</f>
        <v>1200k+</v>
      </c>
      <c r="P3" s="19" t="str">
        <f t="shared" ref="P2:P65" si="3">IF(N3 &lt;=25,"18-25", IF(N3&lt;=35,"26-35", IF(N3 &lt;=45,"36-45", IF(N3&lt;=55,"46-55","56+"))))</f>
        <v>56+</v>
      </c>
      <c r="R3" s="17" t="s">
        <v>22</v>
      </c>
      <c r="S3" s="17"/>
      <c r="T3" s="17"/>
      <c r="U3" s="17"/>
      <c r="V3" s="17"/>
      <c r="W3" s="17"/>
      <c r="X3" s="17"/>
    </row>
    <row r="4" spans="1:24" x14ac:dyDescent="0.25">
      <c r="A4">
        <v>3</v>
      </c>
      <c r="B4" t="s">
        <v>15</v>
      </c>
      <c r="C4">
        <v>270486.01</v>
      </c>
      <c r="D4" t="s">
        <v>10</v>
      </c>
      <c r="E4" t="s">
        <v>16</v>
      </c>
      <c r="F4" t="s">
        <v>12</v>
      </c>
      <c r="G4" t="s">
        <v>13</v>
      </c>
      <c r="H4" t="s">
        <v>13</v>
      </c>
      <c r="I4">
        <v>45</v>
      </c>
      <c r="J4" t="str" cm="1">
        <f t="array" ref="J4">_xlfn.IFS(ISBLANK(C4),"FALTANTE",ABS((C4-$W$5)/$X$5)&gt;1.96,"ATÍPICO",ABS((C4-$W$5)/$X$5)&lt;=1.96,"NO ATÍPICO")</f>
        <v>NO ATÍPICO</v>
      </c>
      <c r="K4" t="str" cm="1">
        <f t="array" ref="K4">_xlfn.IFS(ISBLANK(I4),"FALTANTE",ABS((I4-$W$8)/$X$8)&gt;1.92,"ATÍPICO",ABS((I4-$W$8)/$X$8)&lt;=1.92,"NO ATÍPICO")</f>
        <v>NO ATÍPICO</v>
      </c>
      <c r="L4">
        <f t="shared" si="1"/>
        <v>270486.01</v>
      </c>
      <c r="M4" t="str">
        <f t="shared" ref="M4:M67" si="4">D4</f>
        <v>ASALARIADO</v>
      </c>
      <c r="N4">
        <f t="shared" si="0"/>
        <v>45</v>
      </c>
      <c r="O4" s="19" t="str">
        <f t="shared" si="2"/>
        <v>0–300k</v>
      </c>
      <c r="P4" s="19" t="str">
        <f t="shared" si="3"/>
        <v>36-45</v>
      </c>
      <c r="R4" s="9" t="s">
        <v>23</v>
      </c>
      <c r="S4" s="9" t="s">
        <v>25</v>
      </c>
      <c r="T4" s="9" t="s">
        <v>26</v>
      </c>
      <c r="U4" s="9" t="s">
        <v>27</v>
      </c>
      <c r="V4" s="9" t="s">
        <v>24</v>
      </c>
      <c r="W4" s="9" t="s">
        <v>28</v>
      </c>
      <c r="X4" s="9" t="s">
        <v>30</v>
      </c>
    </row>
    <row r="5" spans="1:24" x14ac:dyDescent="0.25">
      <c r="A5">
        <v>4</v>
      </c>
      <c r="B5" t="s">
        <v>15</v>
      </c>
      <c r="C5">
        <v>544949.82999999996</v>
      </c>
      <c r="D5" t="s">
        <v>10</v>
      </c>
      <c r="E5" t="s">
        <v>16</v>
      </c>
      <c r="F5" t="s">
        <v>12</v>
      </c>
      <c r="G5" t="s">
        <v>13</v>
      </c>
      <c r="H5" t="s">
        <v>13</v>
      </c>
      <c r="I5">
        <v>49</v>
      </c>
      <c r="J5" t="str" cm="1">
        <f t="array" ref="J5">_xlfn.IFS(ISBLANK(C5),"FALTANTE",ABS((C5-$W$5)/$X$5)&gt;1.96,"ATÍPICO",ABS((C5-$W$5)/$X$5)&lt;=1.96,"NO ATÍPICO")</f>
        <v>NO ATÍPICO</v>
      </c>
      <c r="K5" t="str" cm="1">
        <f t="array" ref="K5">_xlfn.IFS(ISBLANK(I5),"FALTANTE",ABS((I5-$W$8)/$X$8)&gt;1.92,"ATÍPICO",ABS((I5-$W$8)/$X$8)&lt;=1.92,"NO ATÍPICO")</f>
        <v>NO ATÍPICO</v>
      </c>
      <c r="L5">
        <f t="shared" si="1"/>
        <v>544949.82999999996</v>
      </c>
      <c r="M5" t="str">
        <f t="shared" si="4"/>
        <v>ASALARIADO</v>
      </c>
      <c r="N5">
        <f t="shared" si="0"/>
        <v>49</v>
      </c>
      <c r="O5" s="19" t="str">
        <f t="shared" si="2"/>
        <v>300k–600k</v>
      </c>
      <c r="P5" s="19" t="str">
        <f t="shared" si="3"/>
        <v>46-55</v>
      </c>
      <c r="R5" s="2">
        <f>MIN(moras[SALARIO])</f>
        <v>10</v>
      </c>
      <c r="S5" s="2">
        <f>QUARTILE(moras[SALARIO],1)</f>
        <v>297429</v>
      </c>
      <c r="T5" s="2">
        <f>MEDIAN(moras[SALARIO])</f>
        <v>408495</v>
      </c>
      <c r="U5" s="2">
        <f>QUARTILE(moras[SALARIO],3)</f>
        <v>700000</v>
      </c>
      <c r="V5" s="2">
        <f>MAX(moras[SALARIO])</f>
        <v>16858742</v>
      </c>
      <c r="W5" s="2">
        <f>ROUND(AVERAGE(moras[SALARIO]),0)</f>
        <v>657534</v>
      </c>
      <c r="X5" s="2">
        <f>_xlfn.STDEV.S(moras[SALARIO])</f>
        <v>811002.41814991448</v>
      </c>
    </row>
    <row r="6" spans="1:24" ht="15.75" x14ac:dyDescent="0.25">
      <c r="A6">
        <v>5</v>
      </c>
      <c r="B6" t="s">
        <v>15</v>
      </c>
      <c r="C6">
        <v>210000</v>
      </c>
      <c r="D6" t="s">
        <v>10</v>
      </c>
      <c r="E6" t="s">
        <v>16</v>
      </c>
      <c r="F6" t="s">
        <v>12</v>
      </c>
      <c r="G6" t="s">
        <v>13</v>
      </c>
      <c r="H6" t="s">
        <v>13</v>
      </c>
      <c r="I6">
        <v>42</v>
      </c>
      <c r="J6" t="str" cm="1">
        <f t="array" ref="J6">_xlfn.IFS(ISBLANK(C6),"FALTANTE",ABS((C6-$W$5)/$X$5)&gt;1.96,"ATÍPICO",ABS((C6-$W$5)/$X$5)&lt;=1.96,"NO ATÍPICO")</f>
        <v>NO ATÍPICO</v>
      </c>
      <c r="K6" t="str" cm="1">
        <f t="array" ref="K6">_xlfn.IFS(ISBLANK(I6),"FALTANTE",ABS((I6-$W$8)/$X$8)&gt;1.92,"ATÍPICO",ABS((I6-$W$8)/$X$8)&lt;=1.92,"NO ATÍPICO")</f>
        <v>NO ATÍPICO</v>
      </c>
      <c r="L6">
        <f t="shared" si="1"/>
        <v>210000</v>
      </c>
      <c r="M6" t="str">
        <f t="shared" si="4"/>
        <v>ASALARIADO</v>
      </c>
      <c r="N6">
        <f t="shared" si="0"/>
        <v>42</v>
      </c>
      <c r="O6" s="19" t="str">
        <f t="shared" si="2"/>
        <v>0–300k</v>
      </c>
      <c r="P6" s="19" t="str">
        <f t="shared" si="3"/>
        <v>36-45</v>
      </c>
      <c r="R6" s="16" t="s">
        <v>29</v>
      </c>
      <c r="S6" s="16"/>
      <c r="T6" s="16"/>
      <c r="U6" s="16"/>
      <c r="V6" s="16"/>
      <c r="W6" s="16"/>
      <c r="X6" s="16"/>
    </row>
    <row r="7" spans="1:24" x14ac:dyDescent="0.25">
      <c r="A7">
        <v>6</v>
      </c>
      <c r="B7" t="s">
        <v>9</v>
      </c>
      <c r="C7">
        <v>397150</v>
      </c>
      <c r="D7" t="s">
        <v>10</v>
      </c>
      <c r="E7" t="s">
        <v>16</v>
      </c>
      <c r="F7" t="s">
        <v>12</v>
      </c>
      <c r="G7" t="s">
        <v>13</v>
      </c>
      <c r="H7" t="s">
        <v>13</v>
      </c>
      <c r="I7">
        <v>44</v>
      </c>
      <c r="J7" t="str" cm="1">
        <f t="array" ref="J7">_xlfn.IFS(ISBLANK(C7),"FALTANTE",ABS((C7-$W$5)/$X$5)&gt;1.96,"ATÍPICO",ABS((C7-$W$5)/$X$5)&lt;=1.96,"NO ATÍPICO")</f>
        <v>NO ATÍPICO</v>
      </c>
      <c r="K7" t="str" cm="1">
        <f t="array" ref="K7">_xlfn.IFS(ISBLANK(I7),"FALTANTE",ABS((I7-$W$8)/$X$8)&gt;1.92,"ATÍPICO",ABS((I7-$W$8)/$X$8)&lt;=1.92,"NO ATÍPICO")</f>
        <v>NO ATÍPICO</v>
      </c>
      <c r="L7">
        <f t="shared" si="1"/>
        <v>397150</v>
      </c>
      <c r="M7" t="str">
        <f t="shared" si="4"/>
        <v>ASALARIADO</v>
      </c>
      <c r="N7">
        <f t="shared" si="0"/>
        <v>44</v>
      </c>
      <c r="O7" s="19" t="str">
        <f t="shared" si="2"/>
        <v>300k–600k</v>
      </c>
      <c r="P7" s="19" t="str">
        <f t="shared" si="3"/>
        <v>36-45</v>
      </c>
      <c r="R7" s="10" t="s">
        <v>23</v>
      </c>
      <c r="S7" s="10" t="s">
        <v>25</v>
      </c>
      <c r="T7" s="10" t="s">
        <v>26</v>
      </c>
      <c r="U7" s="10" t="s">
        <v>27</v>
      </c>
      <c r="V7" s="10" t="s">
        <v>24</v>
      </c>
      <c r="W7" s="10" t="s">
        <v>28</v>
      </c>
      <c r="X7" s="10" t="s">
        <v>30</v>
      </c>
    </row>
    <row r="8" spans="1:24" x14ac:dyDescent="0.25">
      <c r="A8">
        <v>7</v>
      </c>
      <c r="B8" t="s">
        <v>9</v>
      </c>
      <c r="C8">
        <v>854712</v>
      </c>
      <c r="D8" t="s">
        <v>10</v>
      </c>
      <c r="E8" t="s">
        <v>16</v>
      </c>
      <c r="F8" t="s">
        <v>12</v>
      </c>
      <c r="G8" t="s">
        <v>13</v>
      </c>
      <c r="H8" t="s">
        <v>13</v>
      </c>
      <c r="I8">
        <v>38</v>
      </c>
      <c r="J8" t="str" cm="1">
        <f t="array" ref="J8">_xlfn.IFS(ISBLANK(C8),"FALTANTE",ABS((C8-$W$5)/$X$5)&gt;1.96,"ATÍPICO",ABS((C8-$W$5)/$X$5)&lt;=1.96,"NO ATÍPICO")</f>
        <v>NO ATÍPICO</v>
      </c>
      <c r="K8" t="str" cm="1">
        <f t="array" ref="K8">_xlfn.IFS(ISBLANK(I8),"FALTANTE",ABS((I8-$W$8)/$X$8)&gt;1.92,"ATÍPICO",ABS((I8-$W$8)/$X$8)&lt;=1.92,"NO ATÍPICO")</f>
        <v>NO ATÍPICO</v>
      </c>
      <c r="L8">
        <f t="shared" si="1"/>
        <v>854712</v>
      </c>
      <c r="M8" t="str">
        <f t="shared" si="4"/>
        <v>ASALARIADO</v>
      </c>
      <c r="N8">
        <f t="shared" si="0"/>
        <v>38</v>
      </c>
      <c r="O8" s="19" t="str">
        <f t="shared" si="2"/>
        <v>600k–900k</v>
      </c>
      <c r="P8" s="19" t="str">
        <f t="shared" si="3"/>
        <v>36-45</v>
      </c>
      <c r="R8" s="1">
        <f>MIN(moras[EDAD])</f>
        <v>14</v>
      </c>
      <c r="S8" s="1">
        <f>QUARTILE(moras[EDAD],1)</f>
        <v>31</v>
      </c>
      <c r="T8" s="1">
        <f>MEDIAN(moras[EDAD])</f>
        <v>40</v>
      </c>
      <c r="U8" s="1">
        <f>QUARTILE(moras[EDAD],3)</f>
        <v>52</v>
      </c>
      <c r="V8" s="1">
        <f>MAX(moras[EDAD])</f>
        <v>99</v>
      </c>
      <c r="W8" s="1">
        <f>ROUND(AVERAGE(moras[EDAD]),0)</f>
        <v>42</v>
      </c>
      <c r="X8" s="1">
        <f>_xlfn.STDEV.S(moras[EDAD])</f>
        <v>14.169257145620415</v>
      </c>
    </row>
    <row r="9" spans="1:24" x14ac:dyDescent="0.25">
      <c r="A9">
        <v>8</v>
      </c>
      <c r="B9" t="s">
        <v>9</v>
      </c>
      <c r="C9">
        <v>401000</v>
      </c>
      <c r="D9" t="s">
        <v>10</v>
      </c>
      <c r="E9" t="s">
        <v>16</v>
      </c>
      <c r="F9" t="s">
        <v>12</v>
      </c>
      <c r="G9" t="s">
        <v>12</v>
      </c>
      <c r="H9" t="s">
        <v>12</v>
      </c>
      <c r="I9">
        <v>36</v>
      </c>
      <c r="J9" t="str" cm="1">
        <f t="array" ref="J9">_xlfn.IFS(ISBLANK(C9),"FALTANTE",ABS((C9-$W$5)/$X$5)&gt;1.96,"ATÍPICO",ABS((C9-$W$5)/$X$5)&lt;=1.96,"NO ATÍPICO")</f>
        <v>NO ATÍPICO</v>
      </c>
      <c r="K9" t="str" cm="1">
        <f t="array" ref="K9">_xlfn.IFS(ISBLANK(I9),"FALTANTE",ABS((I9-$W$8)/$X$8)&gt;1.92,"ATÍPICO",ABS((I9-$W$8)/$X$8)&lt;=1.92,"NO ATÍPICO")</f>
        <v>NO ATÍPICO</v>
      </c>
      <c r="L9">
        <f t="shared" si="1"/>
        <v>401000</v>
      </c>
      <c r="M9" t="str">
        <f t="shared" si="4"/>
        <v>ASALARIADO</v>
      </c>
      <c r="N9">
        <f t="shared" si="0"/>
        <v>36</v>
      </c>
      <c r="O9" s="19" t="str">
        <f t="shared" si="2"/>
        <v>300k–600k</v>
      </c>
      <c r="P9" s="19" t="str">
        <f t="shared" si="3"/>
        <v>36-45</v>
      </c>
    </row>
    <row r="10" spans="1:24" x14ac:dyDescent="0.25">
      <c r="A10">
        <v>9</v>
      </c>
      <c r="B10" t="s">
        <v>15</v>
      </c>
      <c r="C10">
        <v>264703.96000000002</v>
      </c>
      <c r="D10" t="s">
        <v>10</v>
      </c>
      <c r="E10" t="s">
        <v>16</v>
      </c>
      <c r="F10" t="s">
        <v>12</v>
      </c>
      <c r="G10" t="s">
        <v>13</v>
      </c>
      <c r="H10" t="s">
        <v>13</v>
      </c>
      <c r="I10">
        <v>21</v>
      </c>
      <c r="J10" t="str" cm="1">
        <f t="array" ref="J10">_xlfn.IFS(ISBLANK(C10),"FALTANTE",ABS((C10-$W$5)/$X$5)&gt;1.96,"ATÍPICO",ABS((C10-$W$5)/$X$5)&lt;=1.96,"NO ATÍPICO")</f>
        <v>NO ATÍPICO</v>
      </c>
      <c r="K10" t="str" cm="1">
        <f t="array" ref="K10">_xlfn.IFS(ISBLANK(I10),"FALTANTE",ABS((I10-$W$8)/$X$8)&gt;1.92,"ATÍPICO",ABS((I10-$W$8)/$X$8)&lt;=1.92,"NO ATÍPICO")</f>
        <v>NO ATÍPICO</v>
      </c>
      <c r="L10">
        <f t="shared" si="1"/>
        <v>264703.96000000002</v>
      </c>
      <c r="M10" t="str">
        <f t="shared" si="4"/>
        <v>ASALARIADO</v>
      </c>
      <c r="N10">
        <f t="shared" si="0"/>
        <v>21</v>
      </c>
      <c r="O10" s="19" t="str">
        <f t="shared" si="2"/>
        <v>0–300k</v>
      </c>
      <c r="P10" s="19" t="str">
        <f t="shared" si="3"/>
        <v>18-25</v>
      </c>
    </row>
    <row r="11" spans="1:24" x14ac:dyDescent="0.25">
      <c r="A11">
        <v>10</v>
      </c>
      <c r="B11" t="s">
        <v>9</v>
      </c>
      <c r="C11">
        <v>4677126.8499999996</v>
      </c>
      <c r="D11" t="s">
        <v>10</v>
      </c>
      <c r="E11" t="s">
        <v>16</v>
      </c>
      <c r="F11" t="s">
        <v>12</v>
      </c>
      <c r="G11" t="s">
        <v>13</v>
      </c>
      <c r="H11" t="s">
        <v>13</v>
      </c>
      <c r="I11">
        <v>40</v>
      </c>
      <c r="J11" t="str" cm="1">
        <f t="array" ref="J11">_xlfn.IFS(ISBLANK(C11),"FALTANTE",ABS((C11-$W$5)/$X$5)&gt;1.96,"ATÍPICO",ABS((C11-$W$5)/$X$5)&lt;=1.96,"NO ATÍPICO")</f>
        <v>ATÍPICO</v>
      </c>
      <c r="K11" t="str" cm="1">
        <f t="array" ref="K11">_xlfn.IFS(ISBLANK(I11),"FALTANTE",ABS((I11-$W$8)/$X$8)&gt;1.92,"ATÍPICO",ABS((I11-$W$8)/$X$8)&lt;=1.92,"NO ATÍPICO")</f>
        <v>NO ATÍPICO</v>
      </c>
      <c r="L11">
        <f t="shared" si="1"/>
        <v>4677126.8499999996</v>
      </c>
      <c r="M11" t="str">
        <f t="shared" si="4"/>
        <v>ASALARIADO</v>
      </c>
      <c r="N11">
        <f t="shared" si="0"/>
        <v>40</v>
      </c>
      <c r="O11" s="19" t="str">
        <f t="shared" si="2"/>
        <v>1200k+</v>
      </c>
      <c r="P11" s="19" t="str">
        <f t="shared" si="3"/>
        <v>36-45</v>
      </c>
      <c r="R11" s="15" t="s">
        <v>34</v>
      </c>
      <c r="S11" s="15"/>
      <c r="W11" s="14" t="s">
        <v>72</v>
      </c>
      <c r="X11" s="14"/>
    </row>
    <row r="12" spans="1:24" x14ac:dyDescent="0.25">
      <c r="A12">
        <v>11</v>
      </c>
      <c r="B12" t="s">
        <v>15</v>
      </c>
      <c r="C12">
        <v>1200000</v>
      </c>
      <c r="D12" t="s">
        <v>10</v>
      </c>
      <c r="E12" t="s">
        <v>16</v>
      </c>
      <c r="F12" t="s">
        <v>12</v>
      </c>
      <c r="G12" t="s">
        <v>13</v>
      </c>
      <c r="H12" t="s">
        <v>13</v>
      </c>
      <c r="I12">
        <v>30</v>
      </c>
      <c r="J12" t="str" cm="1">
        <f t="array" ref="J12">_xlfn.IFS(ISBLANK(C12),"FALTANTE",ABS((C12-$W$5)/$X$5)&gt;1.96,"ATÍPICO",ABS((C12-$W$5)/$X$5)&lt;=1.96,"NO ATÍPICO")</f>
        <v>NO ATÍPICO</v>
      </c>
      <c r="K12" t="str" cm="1">
        <f t="array" ref="K12">_xlfn.IFS(ISBLANK(I12),"FALTANTE",ABS((I12-$W$8)/$X$8)&gt;1.92,"ATÍPICO",ABS((I12-$W$8)/$X$8)&lt;=1.92,"NO ATÍPICO")</f>
        <v>NO ATÍPICO</v>
      </c>
      <c r="L12">
        <f t="shared" si="1"/>
        <v>1200000</v>
      </c>
      <c r="M12" t="str">
        <f t="shared" si="4"/>
        <v>ASALARIADO</v>
      </c>
      <c r="N12">
        <f t="shared" si="0"/>
        <v>30</v>
      </c>
      <c r="O12" s="19" t="str">
        <f t="shared" si="2"/>
        <v>900k–1200k</v>
      </c>
      <c r="P12" s="19" t="str">
        <f t="shared" si="3"/>
        <v>26-35</v>
      </c>
      <c r="R12" s="8" t="s">
        <v>35</v>
      </c>
      <c r="S12" s="8" t="s">
        <v>36</v>
      </c>
      <c r="W12" s="5" t="str">
        <f>moras[[#Headers],[SEXO]]</f>
        <v>SEXO</v>
      </c>
      <c r="X12" s="6">
        <f>COUNTBLANK(B2:B5001)/COUNTA(B2:B5001)</f>
        <v>0</v>
      </c>
    </row>
    <row r="13" spans="1:24" x14ac:dyDescent="0.25">
      <c r="A13">
        <v>12</v>
      </c>
      <c r="B13" t="s">
        <v>15</v>
      </c>
      <c r="C13">
        <v>1030132</v>
      </c>
      <c r="D13" t="s">
        <v>10</v>
      </c>
      <c r="E13" t="s">
        <v>11</v>
      </c>
      <c r="F13" t="s">
        <v>12</v>
      </c>
      <c r="G13" t="s">
        <v>13</v>
      </c>
      <c r="H13" t="s">
        <v>12</v>
      </c>
      <c r="I13">
        <v>58</v>
      </c>
      <c r="J13" t="str" cm="1">
        <f t="array" ref="J13">_xlfn.IFS(ISBLANK(C13),"FALTANTE",ABS((C13-$W$5)/$X$5)&gt;1.96,"ATÍPICO",ABS((C13-$W$5)/$X$5)&lt;=1.96,"NO ATÍPICO")</f>
        <v>NO ATÍPICO</v>
      </c>
      <c r="K13" t="str" cm="1">
        <f t="array" ref="K13">_xlfn.IFS(ISBLANK(I13),"FALTANTE",ABS((I13-$W$8)/$X$8)&gt;1.92,"ATÍPICO",ABS((I13-$W$8)/$X$8)&lt;=1.92,"NO ATÍPICO")</f>
        <v>NO ATÍPICO</v>
      </c>
      <c r="L13">
        <f t="shared" si="1"/>
        <v>1030132</v>
      </c>
      <c r="M13" t="str">
        <f t="shared" si="4"/>
        <v>ASALARIADO</v>
      </c>
      <c r="N13">
        <f t="shared" si="0"/>
        <v>58</v>
      </c>
      <c r="O13" s="19" t="str">
        <f t="shared" si="2"/>
        <v>900k–1200k</v>
      </c>
      <c r="P13" s="19" t="str">
        <f t="shared" si="3"/>
        <v>56+</v>
      </c>
      <c r="R13" s="7" t="s">
        <v>37</v>
      </c>
      <c r="S13" s="7" t="s">
        <v>38</v>
      </c>
      <c r="W13" s="3" t="str">
        <f>moras[[#Headers],[SALARIO]]</f>
        <v>SALARIO</v>
      </c>
      <c r="X13" s="4">
        <f>COUNTBLANK(C2:C5001)/COUNTA(C2:C5001)</f>
        <v>6.0036021612967783E-4</v>
      </c>
    </row>
    <row r="14" spans="1:24" x14ac:dyDescent="0.25">
      <c r="A14">
        <v>13</v>
      </c>
      <c r="B14" t="s">
        <v>9</v>
      </c>
      <c r="C14">
        <v>731287.5</v>
      </c>
      <c r="D14" t="s">
        <v>10</v>
      </c>
      <c r="E14" t="s">
        <v>11</v>
      </c>
      <c r="F14" t="s">
        <v>12</v>
      </c>
      <c r="G14" t="s">
        <v>13</v>
      </c>
      <c r="H14" t="s">
        <v>13</v>
      </c>
      <c r="I14">
        <v>40</v>
      </c>
      <c r="J14" t="str" cm="1">
        <f t="array" ref="J14">_xlfn.IFS(ISBLANK(C14),"FALTANTE",ABS((C14-$W$5)/$X$5)&gt;1.96,"ATÍPICO",ABS((C14-$W$5)/$X$5)&lt;=1.96,"NO ATÍPICO")</f>
        <v>NO ATÍPICO</v>
      </c>
      <c r="K14" t="str" cm="1">
        <f t="array" ref="K14">_xlfn.IFS(ISBLANK(I14),"FALTANTE",ABS((I14-$W$8)/$X$8)&gt;1.92,"ATÍPICO",ABS((I14-$W$8)/$X$8)&lt;=1.92,"NO ATÍPICO")</f>
        <v>NO ATÍPICO</v>
      </c>
      <c r="L14">
        <f t="shared" si="1"/>
        <v>731287.5</v>
      </c>
      <c r="M14" t="str">
        <f t="shared" si="4"/>
        <v>ASALARIADO</v>
      </c>
      <c r="N14">
        <f t="shared" si="0"/>
        <v>40</v>
      </c>
      <c r="O14" s="19" t="str">
        <f t="shared" si="2"/>
        <v>600k–900k</v>
      </c>
      <c r="P14" s="19" t="str">
        <f t="shared" si="3"/>
        <v>36-45</v>
      </c>
      <c r="W14" s="5" t="str">
        <f>moras[[#Headers],[TIPO_ASEGURAMIENTO]]</f>
        <v>TIPO_ASEGURAMIENTO</v>
      </c>
      <c r="X14" s="6">
        <f>COUNTBLANK(D2:D5001)/COUNTA(D2:D5001)</f>
        <v>4.0000000000000002E-4</v>
      </c>
    </row>
    <row r="15" spans="1:24" x14ac:dyDescent="0.25">
      <c r="A15">
        <v>14</v>
      </c>
      <c r="B15" t="s">
        <v>9</v>
      </c>
      <c r="C15">
        <v>282305</v>
      </c>
      <c r="D15" t="s">
        <v>17</v>
      </c>
      <c r="E15" t="s">
        <v>16</v>
      </c>
      <c r="F15" t="s">
        <v>12</v>
      </c>
      <c r="G15" t="s">
        <v>13</v>
      </c>
      <c r="H15" t="s">
        <v>13</v>
      </c>
      <c r="I15">
        <v>51</v>
      </c>
      <c r="J15" t="str" cm="1">
        <f t="array" ref="J15">_xlfn.IFS(ISBLANK(C15),"FALTANTE",ABS((C15-$W$5)/$X$5)&gt;1.96,"ATÍPICO",ABS((C15-$W$5)/$X$5)&lt;=1.96,"NO ATÍPICO")</f>
        <v>NO ATÍPICO</v>
      </c>
      <c r="K15" t="str" cm="1">
        <f t="array" ref="K15">_xlfn.IFS(ISBLANK(I15),"FALTANTE",ABS((I15-$W$8)/$X$8)&gt;1.92,"ATÍPICO",ABS((I15-$W$8)/$X$8)&lt;=1.92,"NO ATÍPICO")</f>
        <v>NO ATÍPICO</v>
      </c>
      <c r="L15">
        <f t="shared" si="1"/>
        <v>282305</v>
      </c>
      <c r="M15" t="str">
        <f t="shared" si="4"/>
        <v>ASEGURADO VOLUNTARIO</v>
      </c>
      <c r="N15">
        <f t="shared" si="0"/>
        <v>51</v>
      </c>
      <c r="O15" s="19" t="str">
        <f t="shared" si="2"/>
        <v>0–300k</v>
      </c>
      <c r="P15" s="19" t="str">
        <f t="shared" si="3"/>
        <v>46-55</v>
      </c>
      <c r="W15" s="3" t="str">
        <f>moras[[#Headers],[SECTOR]]</f>
        <v>SECTOR</v>
      </c>
      <c r="X15" s="4">
        <f>COUNTBLANK(E2:E5001)/COUNTA(E2:E5001)</f>
        <v>0</v>
      </c>
    </row>
    <row r="16" spans="1:24" x14ac:dyDescent="0.25">
      <c r="A16">
        <v>15</v>
      </c>
      <c r="B16" t="s">
        <v>15</v>
      </c>
      <c r="C16">
        <v>343390.86</v>
      </c>
      <c r="D16" t="s">
        <v>18</v>
      </c>
      <c r="E16" t="s">
        <v>16</v>
      </c>
      <c r="F16" t="s">
        <v>12</v>
      </c>
      <c r="G16" t="s">
        <v>13</v>
      </c>
      <c r="H16" t="s">
        <v>13</v>
      </c>
      <c r="I16">
        <v>59</v>
      </c>
      <c r="J16" t="str" cm="1">
        <f t="array" ref="J16">_xlfn.IFS(ISBLANK(C16),"FALTANTE",ABS((C16-$W$5)/$X$5)&gt;1.96,"ATÍPICO",ABS((C16-$W$5)/$X$5)&lt;=1.96,"NO ATÍPICO")</f>
        <v>NO ATÍPICO</v>
      </c>
      <c r="K16" t="str" cm="1">
        <f t="array" ref="K16">_xlfn.IFS(ISBLANK(I16),"FALTANTE",ABS((I16-$W$8)/$X$8)&gt;1.92,"ATÍPICO",ABS((I16-$W$8)/$X$8)&lt;=1.92,"NO ATÍPICO")</f>
        <v>NO ATÍPICO</v>
      </c>
      <c r="L16">
        <f t="shared" si="1"/>
        <v>343390.86</v>
      </c>
      <c r="M16" t="str">
        <f t="shared" si="4"/>
        <v>TRABAJADOR INDEPENDIENTE</v>
      </c>
      <c r="N16">
        <f t="shared" si="0"/>
        <v>59</v>
      </c>
      <c r="O16" s="19" t="str">
        <f t="shared" si="2"/>
        <v>300k–600k</v>
      </c>
      <c r="P16" s="19" t="str">
        <f t="shared" si="3"/>
        <v>56+</v>
      </c>
      <c r="W16" s="5" t="str">
        <f>moras[[#Headers],[INDICADOR_ACTIVO]]</f>
        <v>INDICADOR_ACTIVO</v>
      </c>
      <c r="X16" s="6">
        <f>COUNTBLANK(F2:F5001)/COUNTA(F2:F5001)</f>
        <v>0</v>
      </c>
    </row>
    <row r="17" spans="1:24" x14ac:dyDescent="0.25">
      <c r="A17">
        <v>16</v>
      </c>
      <c r="B17" t="s">
        <v>15</v>
      </c>
      <c r="C17">
        <v>1943489.5</v>
      </c>
      <c r="D17" t="s">
        <v>10</v>
      </c>
      <c r="E17" t="s">
        <v>11</v>
      </c>
      <c r="F17" t="s">
        <v>12</v>
      </c>
      <c r="G17" t="s">
        <v>13</v>
      </c>
      <c r="H17" t="s">
        <v>13</v>
      </c>
      <c r="I17">
        <v>58</v>
      </c>
      <c r="J17" t="str" cm="1">
        <f t="array" ref="J17">_xlfn.IFS(ISBLANK(C17),"FALTANTE",ABS((C17-$W$5)/$X$5)&gt;1.96,"ATÍPICO",ABS((C17-$W$5)/$X$5)&lt;=1.96,"NO ATÍPICO")</f>
        <v>NO ATÍPICO</v>
      </c>
      <c r="K17" t="str" cm="1">
        <f t="array" ref="K17">_xlfn.IFS(ISBLANK(I17),"FALTANTE",ABS((I17-$W$8)/$X$8)&gt;1.92,"ATÍPICO",ABS((I17-$W$8)/$X$8)&lt;=1.92,"NO ATÍPICO")</f>
        <v>NO ATÍPICO</v>
      </c>
      <c r="L17">
        <f t="shared" si="1"/>
        <v>1943489.5</v>
      </c>
      <c r="M17" t="str">
        <f t="shared" si="4"/>
        <v>ASALARIADO</v>
      </c>
      <c r="N17">
        <f t="shared" si="0"/>
        <v>58</v>
      </c>
      <c r="O17" s="19" t="str">
        <f t="shared" si="2"/>
        <v>1200k+</v>
      </c>
      <c r="P17" s="19" t="str">
        <f t="shared" si="3"/>
        <v>56+</v>
      </c>
      <c r="W17" s="3" t="str">
        <f>moras[[#Headers],[INDICADOR.EXTRANJERO]]</f>
        <v>INDICADOR.EXTRANJERO</v>
      </c>
      <c r="X17" s="4">
        <f>COUNTBLANK(G2:G5001)/COUNTA(G2:G5001)</f>
        <v>0</v>
      </c>
    </row>
    <row r="18" spans="1:24" x14ac:dyDescent="0.25">
      <c r="A18">
        <v>17</v>
      </c>
      <c r="B18" t="s">
        <v>15</v>
      </c>
      <c r="C18">
        <v>1108980</v>
      </c>
      <c r="D18" t="s">
        <v>10</v>
      </c>
      <c r="E18" t="s">
        <v>11</v>
      </c>
      <c r="F18" t="s">
        <v>12</v>
      </c>
      <c r="G18" t="s">
        <v>13</v>
      </c>
      <c r="H18" t="s">
        <v>12</v>
      </c>
      <c r="I18">
        <v>36</v>
      </c>
      <c r="J18" t="str" cm="1">
        <f t="array" ref="J18">_xlfn.IFS(ISBLANK(C18),"FALTANTE",ABS((C18-$W$5)/$X$5)&gt;1.96,"ATÍPICO",ABS((C18-$W$5)/$X$5)&lt;=1.96,"NO ATÍPICO")</f>
        <v>NO ATÍPICO</v>
      </c>
      <c r="K18" t="str" cm="1">
        <f t="array" ref="K18">_xlfn.IFS(ISBLANK(I18),"FALTANTE",ABS((I18-$W$8)/$X$8)&gt;1.92,"ATÍPICO",ABS((I18-$W$8)/$X$8)&lt;=1.92,"NO ATÍPICO")</f>
        <v>NO ATÍPICO</v>
      </c>
      <c r="L18">
        <f t="shared" si="1"/>
        <v>1108980</v>
      </c>
      <c r="M18" t="str">
        <f t="shared" si="4"/>
        <v>ASALARIADO</v>
      </c>
      <c r="N18">
        <f t="shared" si="0"/>
        <v>36</v>
      </c>
      <c r="O18" s="19" t="str">
        <f t="shared" si="2"/>
        <v>900k–1200k</v>
      </c>
      <c r="P18" s="19" t="str">
        <f t="shared" si="3"/>
        <v>36-45</v>
      </c>
      <c r="W18" s="5" t="str">
        <f>moras[[#Headers],[INDICADOR_MOROSO]]</f>
        <v>INDICADOR_MOROSO</v>
      </c>
      <c r="X18" s="6">
        <f>COUNTBLANK(H2:H5001)/COUNTA(H2:H5001)</f>
        <v>0</v>
      </c>
    </row>
    <row r="19" spans="1:24" x14ac:dyDescent="0.25">
      <c r="A19">
        <v>18</v>
      </c>
      <c r="B19" t="s">
        <v>15</v>
      </c>
      <c r="C19">
        <v>133157</v>
      </c>
      <c r="D19" t="s">
        <v>10</v>
      </c>
      <c r="E19" t="s">
        <v>16</v>
      </c>
      <c r="F19" t="s">
        <v>12</v>
      </c>
      <c r="G19" t="s">
        <v>13</v>
      </c>
      <c r="H19" t="s">
        <v>13</v>
      </c>
      <c r="I19">
        <v>39</v>
      </c>
      <c r="J19" t="str" cm="1">
        <f t="array" ref="J19">_xlfn.IFS(ISBLANK(C19),"FALTANTE",ABS((C19-$W$5)/$X$5)&gt;1.96,"ATÍPICO",ABS((C19-$W$5)/$X$5)&lt;=1.96,"NO ATÍPICO")</f>
        <v>NO ATÍPICO</v>
      </c>
      <c r="K19" t="str" cm="1">
        <f t="array" ref="K19">_xlfn.IFS(ISBLANK(I19),"FALTANTE",ABS((I19-$W$8)/$X$8)&gt;1.92,"ATÍPICO",ABS((I19-$W$8)/$X$8)&lt;=1.92,"NO ATÍPICO")</f>
        <v>NO ATÍPICO</v>
      </c>
      <c r="L19">
        <f t="shared" si="1"/>
        <v>133157</v>
      </c>
      <c r="M19" t="str">
        <f t="shared" si="4"/>
        <v>ASALARIADO</v>
      </c>
      <c r="N19">
        <f t="shared" si="0"/>
        <v>39</v>
      </c>
      <c r="O19" s="19" t="str">
        <f t="shared" si="2"/>
        <v>0–300k</v>
      </c>
      <c r="P19" s="19" t="str">
        <f t="shared" si="3"/>
        <v>36-45</v>
      </c>
      <c r="W19" s="3" t="str">
        <f>moras[[#Headers],[EDAD]]</f>
        <v>EDAD</v>
      </c>
      <c r="X19" s="4">
        <f>COUNTBLANK(I2:I5001)/COUNTA(I2:I5001)</f>
        <v>6.0036021612967783E-4</v>
      </c>
    </row>
    <row r="20" spans="1:24" x14ac:dyDescent="0.25">
      <c r="A20">
        <v>19</v>
      </c>
      <c r="B20" t="s">
        <v>9</v>
      </c>
      <c r="C20">
        <v>553939</v>
      </c>
      <c r="D20" t="s">
        <v>10</v>
      </c>
      <c r="E20" t="s">
        <v>16</v>
      </c>
      <c r="F20" t="s">
        <v>12</v>
      </c>
      <c r="G20" t="s">
        <v>13</v>
      </c>
      <c r="H20" t="s">
        <v>13</v>
      </c>
      <c r="I20">
        <v>45</v>
      </c>
      <c r="J20" t="str" cm="1">
        <f t="array" ref="J20">_xlfn.IFS(ISBLANK(C20),"FALTANTE",ABS((C20-$W$5)/$X$5)&gt;1.96,"ATÍPICO",ABS((C20-$W$5)/$X$5)&lt;=1.96,"NO ATÍPICO")</f>
        <v>NO ATÍPICO</v>
      </c>
      <c r="K20" t="str" cm="1">
        <f t="array" ref="K20">_xlfn.IFS(ISBLANK(I20),"FALTANTE",ABS((I20-$W$8)/$X$8)&gt;1.92,"ATÍPICO",ABS((I20-$W$8)/$X$8)&lt;=1.92,"NO ATÍPICO")</f>
        <v>NO ATÍPICO</v>
      </c>
      <c r="L20">
        <f t="shared" si="1"/>
        <v>553939</v>
      </c>
      <c r="M20" t="str">
        <f t="shared" si="4"/>
        <v>ASALARIADO</v>
      </c>
      <c r="N20">
        <f t="shared" si="0"/>
        <v>45</v>
      </c>
      <c r="O20" s="19" t="str">
        <f t="shared" si="2"/>
        <v>300k–600k</v>
      </c>
      <c r="P20" s="19" t="str">
        <f t="shared" si="3"/>
        <v>36-45</v>
      </c>
    </row>
    <row r="21" spans="1:24" x14ac:dyDescent="0.25">
      <c r="A21">
        <v>20</v>
      </c>
      <c r="B21" t="s">
        <v>15</v>
      </c>
      <c r="C21">
        <v>309820</v>
      </c>
      <c r="D21" t="s">
        <v>17</v>
      </c>
      <c r="E21" t="s">
        <v>16</v>
      </c>
      <c r="F21" t="s">
        <v>12</v>
      </c>
      <c r="G21" t="s">
        <v>12</v>
      </c>
      <c r="H21" t="s">
        <v>12</v>
      </c>
      <c r="I21">
        <v>52</v>
      </c>
      <c r="J21" t="str" cm="1">
        <f t="array" ref="J21">_xlfn.IFS(ISBLANK(C21),"FALTANTE",ABS((C21-$W$5)/$X$5)&gt;1.96,"ATÍPICO",ABS((C21-$W$5)/$X$5)&lt;=1.96,"NO ATÍPICO")</f>
        <v>NO ATÍPICO</v>
      </c>
      <c r="K21" t="str" cm="1">
        <f t="array" ref="K21">_xlfn.IFS(ISBLANK(I21),"FALTANTE",ABS((I21-$W$8)/$X$8)&gt;1.92,"ATÍPICO",ABS((I21-$W$8)/$X$8)&lt;=1.92,"NO ATÍPICO")</f>
        <v>NO ATÍPICO</v>
      </c>
      <c r="L21">
        <f t="shared" si="1"/>
        <v>309820</v>
      </c>
      <c r="M21" t="str">
        <f t="shared" si="4"/>
        <v>ASEGURADO VOLUNTARIO</v>
      </c>
      <c r="N21">
        <f t="shared" si="0"/>
        <v>52</v>
      </c>
      <c r="O21" s="19" t="str">
        <f t="shared" si="2"/>
        <v>300k–600k</v>
      </c>
      <c r="P21" s="19" t="str">
        <f t="shared" si="3"/>
        <v>46-55</v>
      </c>
    </row>
    <row r="22" spans="1:24" x14ac:dyDescent="0.25">
      <c r="A22">
        <v>21</v>
      </c>
      <c r="B22" t="s">
        <v>15</v>
      </c>
      <c r="D22" t="s">
        <v>10</v>
      </c>
      <c r="E22" t="s">
        <v>16</v>
      </c>
      <c r="F22" t="s">
        <v>12</v>
      </c>
      <c r="G22" t="s">
        <v>12</v>
      </c>
      <c r="H22" t="s">
        <v>13</v>
      </c>
      <c r="I22">
        <v>28</v>
      </c>
      <c r="J22" t="str" cm="1">
        <f t="array" ref="J22">_xlfn.IFS(ISBLANK(C22),"FALTANTE",ABS((C22-$W$5)/$X$5)&gt;1.96,"ATÍPICO",ABS((C22-$W$5)/$X$5)&lt;=1.96,"NO ATÍPICO")</f>
        <v>FALTANTE</v>
      </c>
      <c r="K22" t="str" cm="1">
        <f t="array" ref="K22">_xlfn.IFS(ISBLANK(I22),"FALTANTE",ABS((I22-$W$8)/$X$8)&gt;1.92,"ATÍPICO",ABS((I22-$W$8)/$X$8)&lt;=1.92,"NO ATÍPICO")</f>
        <v>NO ATÍPICO</v>
      </c>
      <c r="L22">
        <v>408495</v>
      </c>
      <c r="M22" t="str">
        <f t="shared" si="4"/>
        <v>ASALARIADO</v>
      </c>
      <c r="N22">
        <f t="shared" si="0"/>
        <v>28</v>
      </c>
      <c r="O22" s="19" t="str">
        <f t="shared" si="2"/>
        <v>300k–600k</v>
      </c>
      <c r="P22" s="19" t="str">
        <f t="shared" si="3"/>
        <v>26-35</v>
      </c>
    </row>
    <row r="23" spans="1:24" x14ac:dyDescent="0.25">
      <c r="A23">
        <v>22</v>
      </c>
      <c r="B23" t="s">
        <v>9</v>
      </c>
      <c r="C23">
        <v>278030</v>
      </c>
      <c r="D23" t="s">
        <v>19</v>
      </c>
      <c r="E23" t="s">
        <v>16</v>
      </c>
      <c r="F23" t="s">
        <v>12</v>
      </c>
      <c r="G23" t="s">
        <v>13</v>
      </c>
      <c r="H23" t="s">
        <v>13</v>
      </c>
      <c r="I23">
        <v>59</v>
      </c>
      <c r="J23" t="str" cm="1">
        <f t="array" ref="J23">_xlfn.IFS(ISBLANK(C23),"FALTANTE",ABS((C23-$W$5)/$X$5)&gt;1.96,"ATÍPICO",ABS((C23-$W$5)/$X$5)&lt;=1.96,"NO ATÍPICO")</f>
        <v>NO ATÍPICO</v>
      </c>
      <c r="K23" t="str" cm="1">
        <f t="array" ref="K23">_xlfn.IFS(ISBLANK(I23),"FALTANTE",ABS((I23-$W$8)/$X$8)&gt;1.92,"ATÍPICO",ABS((I23-$W$8)/$X$8)&lt;=1.92,"NO ATÍPICO")</f>
        <v>NO ATÍPICO</v>
      </c>
      <c r="L23">
        <f t="shared" si="1"/>
        <v>278030</v>
      </c>
      <c r="M23" t="str">
        <f t="shared" si="4"/>
        <v>CONVENIOS ESPECIALES DE TRABAJADORES INDEPENDIENTES</v>
      </c>
      <c r="N23">
        <f t="shared" si="0"/>
        <v>59</v>
      </c>
      <c r="O23" s="19" t="str">
        <f t="shared" si="2"/>
        <v>0–300k</v>
      </c>
      <c r="P23" s="19" t="str">
        <f t="shared" si="3"/>
        <v>56+</v>
      </c>
    </row>
    <row r="24" spans="1:24" x14ac:dyDescent="0.25">
      <c r="A24">
        <v>23</v>
      </c>
      <c r="B24" t="s">
        <v>9</v>
      </c>
      <c r="C24">
        <v>2124814</v>
      </c>
      <c r="D24" t="s">
        <v>10</v>
      </c>
      <c r="E24" t="s">
        <v>16</v>
      </c>
      <c r="F24" t="s">
        <v>12</v>
      </c>
      <c r="G24" t="s">
        <v>13</v>
      </c>
      <c r="H24" t="s">
        <v>13</v>
      </c>
      <c r="I24">
        <v>32</v>
      </c>
      <c r="J24" t="str" cm="1">
        <f t="array" ref="J24">_xlfn.IFS(ISBLANK(C24),"FALTANTE",ABS((C24-$W$5)/$X$5)&gt;1.96,"ATÍPICO",ABS((C24-$W$5)/$X$5)&lt;=1.96,"NO ATÍPICO")</f>
        <v>NO ATÍPICO</v>
      </c>
      <c r="K24" t="str" cm="1">
        <f t="array" ref="K24">_xlfn.IFS(ISBLANK(I24),"FALTANTE",ABS((I24-$W$8)/$X$8)&gt;1.92,"ATÍPICO",ABS((I24-$W$8)/$X$8)&lt;=1.92,"NO ATÍPICO")</f>
        <v>NO ATÍPICO</v>
      </c>
      <c r="L24">
        <f t="shared" si="1"/>
        <v>2124814</v>
      </c>
      <c r="M24" t="str">
        <f t="shared" si="4"/>
        <v>ASALARIADO</v>
      </c>
      <c r="N24">
        <f t="shared" si="0"/>
        <v>32</v>
      </c>
      <c r="O24" s="19" t="str">
        <f t="shared" si="2"/>
        <v>1200k+</v>
      </c>
      <c r="P24" s="19" t="str">
        <f t="shared" si="3"/>
        <v>26-35</v>
      </c>
    </row>
    <row r="25" spans="1:24" x14ac:dyDescent="0.25">
      <c r="A25">
        <v>24</v>
      </c>
      <c r="B25" t="s">
        <v>9</v>
      </c>
      <c r="C25">
        <v>191744.68</v>
      </c>
      <c r="D25" t="s">
        <v>10</v>
      </c>
      <c r="E25" t="s">
        <v>16</v>
      </c>
      <c r="F25" t="s">
        <v>12</v>
      </c>
      <c r="G25" t="s">
        <v>13</v>
      </c>
      <c r="H25" t="s">
        <v>13</v>
      </c>
      <c r="I25">
        <v>18</v>
      </c>
      <c r="J25" t="str" cm="1">
        <f t="array" ref="J25">_xlfn.IFS(ISBLANK(C25),"FALTANTE",ABS((C25-$W$5)/$X$5)&gt;1.96,"ATÍPICO",ABS((C25-$W$5)/$X$5)&lt;=1.96,"NO ATÍPICO")</f>
        <v>NO ATÍPICO</v>
      </c>
      <c r="K25" t="str" cm="1">
        <f t="array" ref="K25">_xlfn.IFS(ISBLANK(I25),"FALTANTE",ABS((I25-$W$8)/$X$8)&gt;1.92,"ATÍPICO",ABS((I25-$W$8)/$X$8)&lt;=1.92,"NO ATÍPICO")</f>
        <v>NO ATÍPICO</v>
      </c>
      <c r="L25">
        <f t="shared" si="1"/>
        <v>191744.68</v>
      </c>
      <c r="M25" t="str">
        <f t="shared" si="4"/>
        <v>ASALARIADO</v>
      </c>
      <c r="N25">
        <f t="shared" si="0"/>
        <v>18</v>
      </c>
      <c r="O25" s="19" t="str">
        <f t="shared" si="2"/>
        <v>0–300k</v>
      </c>
      <c r="P25" s="19" t="str">
        <f t="shared" si="3"/>
        <v>18-25</v>
      </c>
    </row>
    <row r="26" spans="1:24" x14ac:dyDescent="0.25">
      <c r="A26">
        <v>25</v>
      </c>
      <c r="B26" t="s">
        <v>15</v>
      </c>
      <c r="C26">
        <v>1117489</v>
      </c>
      <c r="D26" t="s">
        <v>10</v>
      </c>
      <c r="E26" t="s">
        <v>11</v>
      </c>
      <c r="F26" t="s">
        <v>12</v>
      </c>
      <c r="G26" t="s">
        <v>13</v>
      </c>
      <c r="H26" t="s">
        <v>12</v>
      </c>
      <c r="I26">
        <v>36</v>
      </c>
      <c r="J26" t="str" cm="1">
        <f t="array" ref="J26">_xlfn.IFS(ISBLANK(C26),"FALTANTE",ABS((C26-$W$5)/$X$5)&gt;1.96,"ATÍPICO",ABS((C26-$W$5)/$X$5)&lt;=1.96,"NO ATÍPICO")</f>
        <v>NO ATÍPICO</v>
      </c>
      <c r="K26" t="str" cm="1">
        <f t="array" ref="K26">_xlfn.IFS(ISBLANK(I26),"FALTANTE",ABS((I26-$W$8)/$X$8)&gt;1.92,"ATÍPICO",ABS((I26-$W$8)/$X$8)&lt;=1.92,"NO ATÍPICO")</f>
        <v>NO ATÍPICO</v>
      </c>
      <c r="L26">
        <f t="shared" si="1"/>
        <v>1117489</v>
      </c>
      <c r="M26" t="str">
        <f t="shared" si="4"/>
        <v>ASALARIADO</v>
      </c>
      <c r="N26">
        <f t="shared" si="0"/>
        <v>36</v>
      </c>
      <c r="O26" s="19" t="str">
        <f t="shared" si="2"/>
        <v>900k–1200k</v>
      </c>
      <c r="P26" s="19" t="str">
        <f t="shared" si="3"/>
        <v>36-45</v>
      </c>
    </row>
    <row r="27" spans="1:24" x14ac:dyDescent="0.25">
      <c r="A27">
        <v>26</v>
      </c>
      <c r="B27" t="s">
        <v>9</v>
      </c>
      <c r="C27">
        <v>1451530</v>
      </c>
      <c r="D27" t="s">
        <v>14</v>
      </c>
      <c r="E27" t="s">
        <v>11</v>
      </c>
      <c r="F27" t="s">
        <v>12</v>
      </c>
      <c r="G27" t="s">
        <v>13</v>
      </c>
      <c r="H27" t="s">
        <v>13</v>
      </c>
      <c r="I27">
        <v>62</v>
      </c>
      <c r="J27" t="str" cm="1">
        <f t="array" ref="J27">_xlfn.IFS(ISBLANK(C27),"FALTANTE",ABS((C27-$W$5)/$X$5)&gt;1.96,"ATÍPICO",ABS((C27-$W$5)/$X$5)&lt;=1.96,"NO ATÍPICO")</f>
        <v>NO ATÍPICO</v>
      </c>
      <c r="K27" t="str" cm="1">
        <f t="array" ref="K27">_xlfn.IFS(ISBLANK(I27),"FALTANTE",ABS((I27-$W$8)/$X$8)&gt;1.92,"ATÍPICO",ABS((I27-$W$8)/$X$8)&lt;=1.92,"NO ATÍPICO")</f>
        <v>NO ATÍPICO</v>
      </c>
      <c r="L27">
        <f t="shared" si="1"/>
        <v>1451530</v>
      </c>
      <c r="M27" t="str">
        <f t="shared" si="4"/>
        <v>PENSIONADOS EN SU PROPIO SISTEMA</v>
      </c>
      <c r="N27">
        <f t="shared" si="0"/>
        <v>62</v>
      </c>
      <c r="O27" s="19" t="str">
        <f t="shared" si="2"/>
        <v>1200k+</v>
      </c>
      <c r="P27" s="19" t="str">
        <f t="shared" si="3"/>
        <v>56+</v>
      </c>
    </row>
    <row r="28" spans="1:24" x14ac:dyDescent="0.25">
      <c r="A28">
        <v>27</v>
      </c>
      <c r="B28" t="s">
        <v>9</v>
      </c>
      <c r="C28">
        <v>66700</v>
      </c>
      <c r="D28" t="s">
        <v>10</v>
      </c>
      <c r="E28" t="s">
        <v>16</v>
      </c>
      <c r="F28" t="s">
        <v>12</v>
      </c>
      <c r="G28" t="s">
        <v>13</v>
      </c>
      <c r="H28" t="s">
        <v>13</v>
      </c>
      <c r="I28">
        <v>38</v>
      </c>
      <c r="J28" t="str" cm="1">
        <f t="array" ref="J28">_xlfn.IFS(ISBLANK(C28),"FALTANTE",ABS((C28-$W$5)/$X$5)&gt;1.96,"ATÍPICO",ABS((C28-$W$5)/$X$5)&lt;=1.96,"NO ATÍPICO")</f>
        <v>NO ATÍPICO</v>
      </c>
      <c r="K28" t="str" cm="1">
        <f t="array" ref="K28">_xlfn.IFS(ISBLANK(I28),"FALTANTE",ABS((I28-$W$8)/$X$8)&gt;1.92,"ATÍPICO",ABS((I28-$W$8)/$X$8)&lt;=1.92,"NO ATÍPICO")</f>
        <v>NO ATÍPICO</v>
      </c>
      <c r="L28">
        <f t="shared" si="1"/>
        <v>66700</v>
      </c>
      <c r="M28" t="str">
        <f t="shared" si="4"/>
        <v>ASALARIADO</v>
      </c>
      <c r="N28">
        <f t="shared" si="0"/>
        <v>38</v>
      </c>
      <c r="O28" s="19" t="str">
        <f t="shared" si="2"/>
        <v>0–300k</v>
      </c>
      <c r="P28" s="19" t="str">
        <f t="shared" si="3"/>
        <v>36-45</v>
      </c>
    </row>
    <row r="29" spans="1:24" x14ac:dyDescent="0.25">
      <c r="A29">
        <v>28</v>
      </c>
      <c r="B29" t="s">
        <v>15</v>
      </c>
      <c r="C29">
        <v>73410</v>
      </c>
      <c r="D29" t="s">
        <v>10</v>
      </c>
      <c r="E29" t="s">
        <v>16</v>
      </c>
      <c r="F29" t="s">
        <v>12</v>
      </c>
      <c r="G29" t="s">
        <v>12</v>
      </c>
      <c r="H29" t="s">
        <v>13</v>
      </c>
      <c r="I29">
        <v>22</v>
      </c>
      <c r="J29" t="str" cm="1">
        <f t="array" ref="J29">_xlfn.IFS(ISBLANK(C29),"FALTANTE",ABS((C29-$W$5)/$X$5)&gt;1.96,"ATÍPICO",ABS((C29-$W$5)/$X$5)&lt;=1.96,"NO ATÍPICO")</f>
        <v>NO ATÍPICO</v>
      </c>
      <c r="K29" t="str" cm="1">
        <f t="array" ref="K29">_xlfn.IFS(ISBLANK(I29),"FALTANTE",ABS((I29-$W$8)/$X$8)&gt;1.92,"ATÍPICO",ABS((I29-$W$8)/$X$8)&lt;=1.92,"NO ATÍPICO")</f>
        <v>NO ATÍPICO</v>
      </c>
      <c r="L29">
        <f t="shared" si="1"/>
        <v>73410</v>
      </c>
      <c r="M29" t="str">
        <f t="shared" si="4"/>
        <v>ASALARIADO</v>
      </c>
      <c r="N29">
        <f t="shared" si="0"/>
        <v>22</v>
      </c>
      <c r="O29" s="19" t="str">
        <f t="shared" si="2"/>
        <v>0–300k</v>
      </c>
      <c r="P29" s="19" t="str">
        <f t="shared" si="3"/>
        <v>18-25</v>
      </c>
    </row>
    <row r="30" spans="1:24" x14ac:dyDescent="0.25">
      <c r="A30">
        <v>29</v>
      </c>
      <c r="B30" t="s">
        <v>9</v>
      </c>
      <c r="C30">
        <v>815355.66</v>
      </c>
      <c r="D30" t="s">
        <v>10</v>
      </c>
      <c r="E30" t="s">
        <v>11</v>
      </c>
      <c r="F30" t="s">
        <v>12</v>
      </c>
      <c r="G30" t="s">
        <v>13</v>
      </c>
      <c r="H30" t="s">
        <v>13</v>
      </c>
      <c r="I30">
        <v>42</v>
      </c>
      <c r="J30" t="str" cm="1">
        <f t="array" ref="J30">_xlfn.IFS(ISBLANK(C30),"FALTANTE",ABS((C30-$W$5)/$X$5)&gt;1.96,"ATÍPICO",ABS((C30-$W$5)/$X$5)&lt;=1.96,"NO ATÍPICO")</f>
        <v>NO ATÍPICO</v>
      </c>
      <c r="K30" t="str" cm="1">
        <f t="array" ref="K30">_xlfn.IFS(ISBLANK(I30),"FALTANTE",ABS((I30-$W$8)/$X$8)&gt;1.92,"ATÍPICO",ABS((I30-$W$8)/$X$8)&lt;=1.92,"NO ATÍPICO")</f>
        <v>NO ATÍPICO</v>
      </c>
      <c r="L30">
        <f t="shared" si="1"/>
        <v>815355.66</v>
      </c>
      <c r="M30" t="str">
        <f t="shared" si="4"/>
        <v>ASALARIADO</v>
      </c>
      <c r="N30">
        <f t="shared" si="0"/>
        <v>42</v>
      </c>
      <c r="O30" s="19" t="str">
        <f t="shared" si="2"/>
        <v>600k–900k</v>
      </c>
      <c r="P30" s="19" t="str">
        <f t="shared" si="3"/>
        <v>36-45</v>
      </c>
    </row>
    <row r="31" spans="1:24" x14ac:dyDescent="0.25">
      <c r="A31">
        <v>30</v>
      </c>
      <c r="B31" t="s">
        <v>9</v>
      </c>
      <c r="C31">
        <v>398125</v>
      </c>
      <c r="D31" t="s">
        <v>10</v>
      </c>
      <c r="E31" t="s">
        <v>16</v>
      </c>
      <c r="F31" t="s">
        <v>12</v>
      </c>
      <c r="G31" t="s">
        <v>13</v>
      </c>
      <c r="H31" t="s">
        <v>13</v>
      </c>
      <c r="I31">
        <v>38</v>
      </c>
      <c r="J31" t="str" cm="1">
        <f t="array" ref="J31">_xlfn.IFS(ISBLANK(C31),"FALTANTE",ABS((C31-$W$5)/$X$5)&gt;1.96,"ATÍPICO",ABS((C31-$W$5)/$X$5)&lt;=1.96,"NO ATÍPICO")</f>
        <v>NO ATÍPICO</v>
      </c>
      <c r="K31" t="str" cm="1">
        <f t="array" ref="K31">_xlfn.IFS(ISBLANK(I31),"FALTANTE",ABS((I31-$W$8)/$X$8)&gt;1.92,"ATÍPICO",ABS((I31-$W$8)/$X$8)&lt;=1.92,"NO ATÍPICO")</f>
        <v>NO ATÍPICO</v>
      </c>
      <c r="L31">
        <f t="shared" si="1"/>
        <v>398125</v>
      </c>
      <c r="M31" t="str">
        <f t="shared" si="4"/>
        <v>ASALARIADO</v>
      </c>
      <c r="N31">
        <f t="shared" si="0"/>
        <v>38</v>
      </c>
      <c r="O31" s="19" t="str">
        <f t="shared" si="2"/>
        <v>300k–600k</v>
      </c>
      <c r="P31" s="19" t="str">
        <f t="shared" si="3"/>
        <v>36-45</v>
      </c>
    </row>
    <row r="32" spans="1:24" x14ac:dyDescent="0.25">
      <c r="A32">
        <v>31</v>
      </c>
      <c r="B32" t="s">
        <v>9</v>
      </c>
      <c r="C32">
        <v>606763.96</v>
      </c>
      <c r="D32" t="s">
        <v>10</v>
      </c>
      <c r="E32" t="s">
        <v>16</v>
      </c>
      <c r="F32" t="s">
        <v>12</v>
      </c>
      <c r="G32" t="s">
        <v>13</v>
      </c>
      <c r="H32" t="s">
        <v>13</v>
      </c>
      <c r="I32">
        <v>39</v>
      </c>
      <c r="J32" t="str" cm="1">
        <f t="array" ref="J32">_xlfn.IFS(ISBLANK(C32),"FALTANTE",ABS((C32-$W$5)/$X$5)&gt;1.96,"ATÍPICO",ABS((C32-$W$5)/$X$5)&lt;=1.96,"NO ATÍPICO")</f>
        <v>NO ATÍPICO</v>
      </c>
      <c r="K32" t="str" cm="1">
        <f t="array" ref="K32">_xlfn.IFS(ISBLANK(I32),"FALTANTE",ABS((I32-$W$8)/$X$8)&gt;1.92,"ATÍPICO",ABS((I32-$W$8)/$X$8)&lt;=1.92,"NO ATÍPICO")</f>
        <v>NO ATÍPICO</v>
      </c>
      <c r="L32">
        <f t="shared" si="1"/>
        <v>606763.96</v>
      </c>
      <c r="M32" t="str">
        <f t="shared" si="4"/>
        <v>ASALARIADO</v>
      </c>
      <c r="N32">
        <f t="shared" si="0"/>
        <v>39</v>
      </c>
      <c r="O32" s="19" t="str">
        <f t="shared" si="2"/>
        <v>600k–900k</v>
      </c>
      <c r="P32" s="19" t="str">
        <f t="shared" si="3"/>
        <v>36-45</v>
      </c>
    </row>
    <row r="33" spans="1:16" x14ac:dyDescent="0.25">
      <c r="A33">
        <v>32</v>
      </c>
      <c r="B33" t="s">
        <v>9</v>
      </c>
      <c r="C33">
        <v>360420</v>
      </c>
      <c r="D33" t="s">
        <v>18</v>
      </c>
      <c r="E33" t="s">
        <v>16</v>
      </c>
      <c r="F33" t="s">
        <v>12</v>
      </c>
      <c r="G33" t="s">
        <v>13</v>
      </c>
      <c r="H33" t="s">
        <v>12</v>
      </c>
      <c r="I33">
        <v>53</v>
      </c>
      <c r="J33" t="str" cm="1">
        <f t="array" ref="J33">_xlfn.IFS(ISBLANK(C33),"FALTANTE",ABS((C33-$W$5)/$X$5)&gt;1.96,"ATÍPICO",ABS((C33-$W$5)/$X$5)&lt;=1.96,"NO ATÍPICO")</f>
        <v>NO ATÍPICO</v>
      </c>
      <c r="K33" t="str" cm="1">
        <f t="array" ref="K33">_xlfn.IFS(ISBLANK(I33),"FALTANTE",ABS((I33-$W$8)/$X$8)&gt;1.92,"ATÍPICO",ABS((I33-$W$8)/$X$8)&lt;=1.92,"NO ATÍPICO")</f>
        <v>NO ATÍPICO</v>
      </c>
      <c r="L33">
        <f t="shared" si="1"/>
        <v>360420</v>
      </c>
      <c r="M33" t="str">
        <f t="shared" si="4"/>
        <v>TRABAJADOR INDEPENDIENTE</v>
      </c>
      <c r="N33">
        <f t="shared" si="0"/>
        <v>53</v>
      </c>
      <c r="O33" s="19" t="str">
        <f t="shared" si="2"/>
        <v>300k–600k</v>
      </c>
      <c r="P33" s="19" t="str">
        <f t="shared" si="3"/>
        <v>46-55</v>
      </c>
    </row>
    <row r="34" spans="1:16" x14ac:dyDescent="0.25">
      <c r="A34">
        <v>33</v>
      </c>
      <c r="B34" t="s">
        <v>15</v>
      </c>
      <c r="C34">
        <v>297046</v>
      </c>
      <c r="D34" t="s">
        <v>10</v>
      </c>
      <c r="E34" t="s">
        <v>16</v>
      </c>
      <c r="F34" t="s">
        <v>12</v>
      </c>
      <c r="G34" t="s">
        <v>12</v>
      </c>
      <c r="H34" t="s">
        <v>13</v>
      </c>
      <c r="I34">
        <v>41</v>
      </c>
      <c r="J34" t="str" cm="1">
        <f t="array" ref="J34">_xlfn.IFS(ISBLANK(C34),"FALTANTE",ABS((C34-$W$5)/$X$5)&gt;1.96,"ATÍPICO",ABS((C34-$W$5)/$X$5)&lt;=1.96,"NO ATÍPICO")</f>
        <v>NO ATÍPICO</v>
      </c>
      <c r="K34" t="str" cm="1">
        <f t="array" ref="K34">_xlfn.IFS(ISBLANK(I34),"FALTANTE",ABS((I34-$W$8)/$X$8)&gt;1.92,"ATÍPICO",ABS((I34-$W$8)/$X$8)&lt;=1.92,"NO ATÍPICO")</f>
        <v>NO ATÍPICO</v>
      </c>
      <c r="L34">
        <f t="shared" si="1"/>
        <v>297046</v>
      </c>
      <c r="M34" t="str">
        <f t="shared" si="4"/>
        <v>ASALARIADO</v>
      </c>
      <c r="N34">
        <f t="shared" si="0"/>
        <v>41</v>
      </c>
      <c r="O34" s="19" t="str">
        <f t="shared" si="2"/>
        <v>0–300k</v>
      </c>
      <c r="P34" s="19" t="str">
        <f t="shared" si="3"/>
        <v>36-45</v>
      </c>
    </row>
    <row r="35" spans="1:16" x14ac:dyDescent="0.25">
      <c r="A35">
        <v>34</v>
      </c>
      <c r="B35" t="s">
        <v>9</v>
      </c>
      <c r="C35">
        <v>558030</v>
      </c>
      <c r="D35" t="s">
        <v>10</v>
      </c>
      <c r="E35" t="s">
        <v>16</v>
      </c>
      <c r="F35" t="s">
        <v>12</v>
      </c>
      <c r="G35" t="s">
        <v>13</v>
      </c>
      <c r="H35" t="s">
        <v>13</v>
      </c>
      <c r="I35">
        <v>28</v>
      </c>
      <c r="J35" t="str" cm="1">
        <f t="array" ref="J35">_xlfn.IFS(ISBLANK(C35),"FALTANTE",ABS((C35-$W$5)/$X$5)&gt;1.96,"ATÍPICO",ABS((C35-$W$5)/$X$5)&lt;=1.96,"NO ATÍPICO")</f>
        <v>NO ATÍPICO</v>
      </c>
      <c r="K35" t="str" cm="1">
        <f t="array" ref="K35">_xlfn.IFS(ISBLANK(I35),"FALTANTE",ABS((I35-$W$8)/$X$8)&gt;1.92,"ATÍPICO",ABS((I35-$W$8)/$X$8)&lt;=1.92,"NO ATÍPICO")</f>
        <v>NO ATÍPICO</v>
      </c>
      <c r="L35">
        <f t="shared" si="1"/>
        <v>558030</v>
      </c>
      <c r="M35" t="str">
        <f t="shared" si="4"/>
        <v>ASALARIADO</v>
      </c>
      <c r="N35">
        <f t="shared" si="0"/>
        <v>28</v>
      </c>
      <c r="O35" s="19" t="str">
        <f t="shared" si="2"/>
        <v>300k–600k</v>
      </c>
      <c r="P35" s="19" t="str">
        <f t="shared" si="3"/>
        <v>26-35</v>
      </c>
    </row>
    <row r="36" spans="1:16" x14ac:dyDescent="0.25">
      <c r="A36">
        <v>35</v>
      </c>
      <c r="B36" t="s">
        <v>9</v>
      </c>
      <c r="C36">
        <v>68309.03</v>
      </c>
      <c r="D36" t="s">
        <v>10</v>
      </c>
      <c r="E36" t="s">
        <v>16</v>
      </c>
      <c r="F36" t="s">
        <v>12</v>
      </c>
      <c r="G36" t="s">
        <v>13</v>
      </c>
      <c r="H36" t="s">
        <v>13</v>
      </c>
      <c r="I36">
        <v>43</v>
      </c>
      <c r="J36" t="str" cm="1">
        <f t="array" ref="J36">_xlfn.IFS(ISBLANK(C36),"FALTANTE",ABS((C36-$W$5)/$X$5)&gt;1.96,"ATÍPICO",ABS((C36-$W$5)/$X$5)&lt;=1.96,"NO ATÍPICO")</f>
        <v>NO ATÍPICO</v>
      </c>
      <c r="K36" t="str" cm="1">
        <f t="array" ref="K36">_xlfn.IFS(ISBLANK(I36),"FALTANTE",ABS((I36-$W$8)/$X$8)&gt;1.92,"ATÍPICO",ABS((I36-$W$8)/$X$8)&lt;=1.92,"NO ATÍPICO")</f>
        <v>NO ATÍPICO</v>
      </c>
      <c r="L36">
        <f t="shared" si="1"/>
        <v>68309.03</v>
      </c>
      <c r="M36" t="str">
        <f t="shared" si="4"/>
        <v>ASALARIADO</v>
      </c>
      <c r="N36">
        <f t="shared" si="0"/>
        <v>43</v>
      </c>
      <c r="O36" s="19" t="str">
        <f t="shared" si="2"/>
        <v>0–300k</v>
      </c>
      <c r="P36" s="19" t="str">
        <f t="shared" si="3"/>
        <v>36-45</v>
      </c>
    </row>
    <row r="37" spans="1:16" x14ac:dyDescent="0.25">
      <c r="A37">
        <v>36</v>
      </c>
      <c r="B37" t="s">
        <v>9</v>
      </c>
      <c r="D37" t="s">
        <v>10</v>
      </c>
      <c r="E37" t="s">
        <v>11</v>
      </c>
      <c r="F37" t="s">
        <v>12</v>
      </c>
      <c r="G37" t="s">
        <v>13</v>
      </c>
      <c r="H37" t="s">
        <v>13</v>
      </c>
      <c r="I37">
        <v>62</v>
      </c>
      <c r="J37" t="str" cm="1">
        <f t="array" ref="J37">_xlfn.IFS(ISBLANK(C37),"FALTANTE",ABS((C37-$W$5)/$X$5)&gt;1.96,"ATÍPICO",ABS((C37-$W$5)/$X$5)&lt;=1.96,"NO ATÍPICO")</f>
        <v>FALTANTE</v>
      </c>
      <c r="K37" t="str" cm="1">
        <f t="array" ref="K37">_xlfn.IFS(ISBLANK(I37),"FALTANTE",ABS((I37-$W$8)/$X$8)&gt;1.92,"ATÍPICO",ABS((I37-$W$8)/$X$8)&lt;=1.92,"NO ATÍPICO")</f>
        <v>NO ATÍPICO</v>
      </c>
      <c r="L37">
        <v>408495</v>
      </c>
      <c r="M37" t="str">
        <f t="shared" si="4"/>
        <v>ASALARIADO</v>
      </c>
      <c r="N37">
        <f t="shared" si="0"/>
        <v>62</v>
      </c>
      <c r="O37" s="19" t="str">
        <f t="shared" si="2"/>
        <v>300k–600k</v>
      </c>
      <c r="P37" s="19" t="str">
        <f t="shared" si="3"/>
        <v>56+</v>
      </c>
    </row>
    <row r="38" spans="1:16" x14ac:dyDescent="0.25">
      <c r="A38">
        <v>37</v>
      </c>
      <c r="B38" t="s">
        <v>9</v>
      </c>
      <c r="C38">
        <v>1552307.5</v>
      </c>
      <c r="D38" t="s">
        <v>10</v>
      </c>
      <c r="E38" t="s">
        <v>16</v>
      </c>
      <c r="F38" t="s">
        <v>12</v>
      </c>
      <c r="G38" t="s">
        <v>12</v>
      </c>
      <c r="H38" t="s">
        <v>13</v>
      </c>
      <c r="I38">
        <v>41</v>
      </c>
      <c r="J38" t="str" cm="1">
        <f t="array" ref="J38">_xlfn.IFS(ISBLANK(C38),"FALTANTE",ABS((C38-$W$5)/$X$5)&gt;1.96,"ATÍPICO",ABS((C38-$W$5)/$X$5)&lt;=1.96,"NO ATÍPICO")</f>
        <v>NO ATÍPICO</v>
      </c>
      <c r="K38" t="str" cm="1">
        <f t="array" ref="K38">_xlfn.IFS(ISBLANK(I38),"FALTANTE",ABS((I38-$W$8)/$X$8)&gt;1.92,"ATÍPICO",ABS((I38-$W$8)/$X$8)&lt;=1.92,"NO ATÍPICO")</f>
        <v>NO ATÍPICO</v>
      </c>
      <c r="L38">
        <f t="shared" si="1"/>
        <v>1552307.5</v>
      </c>
      <c r="M38" t="str">
        <f t="shared" si="4"/>
        <v>ASALARIADO</v>
      </c>
      <c r="N38">
        <f t="shared" si="0"/>
        <v>41</v>
      </c>
      <c r="O38" s="19" t="str">
        <f t="shared" si="2"/>
        <v>1200k+</v>
      </c>
      <c r="P38" s="19" t="str">
        <f t="shared" si="3"/>
        <v>36-45</v>
      </c>
    </row>
    <row r="39" spans="1:16" x14ac:dyDescent="0.25">
      <c r="A39">
        <v>38</v>
      </c>
      <c r="B39" t="s">
        <v>9</v>
      </c>
      <c r="C39">
        <v>1531575</v>
      </c>
      <c r="D39" t="s">
        <v>17</v>
      </c>
      <c r="E39" t="s">
        <v>16</v>
      </c>
      <c r="F39" t="s">
        <v>12</v>
      </c>
      <c r="G39" t="s">
        <v>12</v>
      </c>
      <c r="H39" t="s">
        <v>13</v>
      </c>
      <c r="I39">
        <v>66</v>
      </c>
      <c r="J39" t="str" cm="1">
        <f t="array" ref="J39">_xlfn.IFS(ISBLANK(C39),"FALTANTE",ABS((C39-$W$5)/$X$5)&gt;1.96,"ATÍPICO",ABS((C39-$W$5)/$X$5)&lt;=1.96,"NO ATÍPICO")</f>
        <v>NO ATÍPICO</v>
      </c>
      <c r="K39" t="str" cm="1">
        <f t="array" ref="K39">_xlfn.IFS(ISBLANK(I39),"FALTANTE",ABS((I39-$W$8)/$X$8)&gt;1.92,"ATÍPICO",ABS((I39-$W$8)/$X$8)&lt;=1.92,"NO ATÍPICO")</f>
        <v>NO ATÍPICO</v>
      </c>
      <c r="L39">
        <f t="shared" si="1"/>
        <v>1531575</v>
      </c>
      <c r="M39" t="str">
        <f t="shared" si="4"/>
        <v>ASEGURADO VOLUNTARIO</v>
      </c>
      <c r="N39">
        <f t="shared" si="0"/>
        <v>66</v>
      </c>
      <c r="O39" s="19" t="str">
        <f t="shared" si="2"/>
        <v>1200k+</v>
      </c>
      <c r="P39" s="19" t="str">
        <f t="shared" si="3"/>
        <v>56+</v>
      </c>
    </row>
    <row r="40" spans="1:16" x14ac:dyDescent="0.25">
      <c r="A40">
        <v>39</v>
      </c>
      <c r="B40" t="s">
        <v>9</v>
      </c>
      <c r="C40">
        <v>3220569.09</v>
      </c>
      <c r="D40" t="s">
        <v>10</v>
      </c>
      <c r="E40" t="s">
        <v>16</v>
      </c>
      <c r="F40" t="s">
        <v>12</v>
      </c>
      <c r="G40" t="s">
        <v>13</v>
      </c>
      <c r="H40" t="s">
        <v>13</v>
      </c>
      <c r="I40">
        <v>48</v>
      </c>
      <c r="J40" t="str" cm="1">
        <f t="array" ref="J40">_xlfn.IFS(ISBLANK(C40),"FALTANTE",ABS((C40-$W$5)/$X$5)&gt;1.96,"ATÍPICO",ABS((C40-$W$5)/$X$5)&lt;=1.96,"NO ATÍPICO")</f>
        <v>ATÍPICO</v>
      </c>
      <c r="K40" t="str" cm="1">
        <f t="array" ref="K40">_xlfn.IFS(ISBLANK(I40),"FALTANTE",ABS((I40-$W$8)/$X$8)&gt;1.92,"ATÍPICO",ABS((I40-$W$8)/$X$8)&lt;=1.92,"NO ATÍPICO")</f>
        <v>NO ATÍPICO</v>
      </c>
      <c r="L40">
        <f t="shared" si="1"/>
        <v>3220569.09</v>
      </c>
      <c r="M40" t="str">
        <f t="shared" si="4"/>
        <v>ASALARIADO</v>
      </c>
      <c r="N40">
        <f t="shared" si="0"/>
        <v>48</v>
      </c>
      <c r="O40" s="19" t="str">
        <f t="shared" si="2"/>
        <v>1200k+</v>
      </c>
      <c r="P40" s="19" t="str">
        <f t="shared" si="3"/>
        <v>46-55</v>
      </c>
    </row>
    <row r="41" spans="1:16" x14ac:dyDescent="0.25">
      <c r="A41">
        <v>40</v>
      </c>
      <c r="B41" t="s">
        <v>9</v>
      </c>
      <c r="C41">
        <v>658917</v>
      </c>
      <c r="D41" t="s">
        <v>10</v>
      </c>
      <c r="E41" t="s">
        <v>11</v>
      </c>
      <c r="F41" t="s">
        <v>12</v>
      </c>
      <c r="G41" t="s">
        <v>13</v>
      </c>
      <c r="H41" t="s">
        <v>12</v>
      </c>
      <c r="I41">
        <v>56</v>
      </c>
      <c r="J41" t="str" cm="1">
        <f t="array" ref="J41">_xlfn.IFS(ISBLANK(C41),"FALTANTE",ABS((C41-$W$5)/$X$5)&gt;1.96,"ATÍPICO",ABS((C41-$W$5)/$X$5)&lt;=1.96,"NO ATÍPICO")</f>
        <v>NO ATÍPICO</v>
      </c>
      <c r="K41" t="str" cm="1">
        <f t="array" ref="K41">_xlfn.IFS(ISBLANK(I41),"FALTANTE",ABS((I41-$W$8)/$X$8)&gt;1.92,"ATÍPICO",ABS((I41-$W$8)/$X$8)&lt;=1.92,"NO ATÍPICO")</f>
        <v>NO ATÍPICO</v>
      </c>
      <c r="L41">
        <f t="shared" si="1"/>
        <v>658917</v>
      </c>
      <c r="M41" t="str">
        <f t="shared" si="4"/>
        <v>ASALARIADO</v>
      </c>
      <c r="N41">
        <f t="shared" si="0"/>
        <v>56</v>
      </c>
      <c r="O41" s="19" t="str">
        <f t="shared" si="2"/>
        <v>600k–900k</v>
      </c>
      <c r="P41" s="19" t="str">
        <f t="shared" si="3"/>
        <v>56+</v>
      </c>
    </row>
    <row r="42" spans="1:16" x14ac:dyDescent="0.25">
      <c r="A42">
        <v>41</v>
      </c>
      <c r="B42" t="s">
        <v>9</v>
      </c>
      <c r="C42">
        <v>631707.6</v>
      </c>
      <c r="D42" t="s">
        <v>10</v>
      </c>
      <c r="E42" t="s">
        <v>16</v>
      </c>
      <c r="F42" t="s">
        <v>12</v>
      </c>
      <c r="G42" t="s">
        <v>13</v>
      </c>
      <c r="H42" t="s">
        <v>13</v>
      </c>
      <c r="I42">
        <v>25</v>
      </c>
      <c r="J42" t="str" cm="1">
        <f t="array" ref="J42">_xlfn.IFS(ISBLANK(C42),"FALTANTE",ABS((C42-$W$5)/$X$5)&gt;1.96,"ATÍPICO",ABS((C42-$W$5)/$X$5)&lt;=1.96,"NO ATÍPICO")</f>
        <v>NO ATÍPICO</v>
      </c>
      <c r="K42" t="str" cm="1">
        <f t="array" ref="K42">_xlfn.IFS(ISBLANK(I42),"FALTANTE",ABS((I42-$W$8)/$X$8)&gt;1.92,"ATÍPICO",ABS((I42-$W$8)/$X$8)&lt;=1.92,"NO ATÍPICO")</f>
        <v>NO ATÍPICO</v>
      </c>
      <c r="L42">
        <f t="shared" si="1"/>
        <v>631707.6</v>
      </c>
      <c r="M42" t="str">
        <f t="shared" si="4"/>
        <v>ASALARIADO</v>
      </c>
      <c r="N42">
        <f t="shared" si="0"/>
        <v>25</v>
      </c>
      <c r="O42" s="19" t="str">
        <f t="shared" si="2"/>
        <v>600k–900k</v>
      </c>
      <c r="P42" s="19" t="str">
        <f t="shared" si="3"/>
        <v>18-25</v>
      </c>
    </row>
    <row r="43" spans="1:16" x14ac:dyDescent="0.25">
      <c r="A43">
        <v>42</v>
      </c>
      <c r="B43" t="s">
        <v>15</v>
      </c>
      <c r="C43">
        <v>977376</v>
      </c>
      <c r="D43" t="s">
        <v>10</v>
      </c>
      <c r="E43" t="s">
        <v>16</v>
      </c>
      <c r="F43" t="s">
        <v>12</v>
      </c>
      <c r="G43" t="s">
        <v>13</v>
      </c>
      <c r="H43" t="s">
        <v>13</v>
      </c>
      <c r="I43">
        <v>33</v>
      </c>
      <c r="J43" t="str" cm="1">
        <f t="array" ref="J43">_xlfn.IFS(ISBLANK(C43),"FALTANTE",ABS((C43-$W$5)/$X$5)&gt;1.96,"ATÍPICO",ABS((C43-$W$5)/$X$5)&lt;=1.96,"NO ATÍPICO")</f>
        <v>NO ATÍPICO</v>
      </c>
      <c r="K43" t="str" cm="1">
        <f t="array" ref="K43">_xlfn.IFS(ISBLANK(I43),"FALTANTE",ABS((I43-$W$8)/$X$8)&gt;1.92,"ATÍPICO",ABS((I43-$W$8)/$X$8)&lt;=1.92,"NO ATÍPICO")</f>
        <v>NO ATÍPICO</v>
      </c>
      <c r="L43">
        <f t="shared" si="1"/>
        <v>977376</v>
      </c>
      <c r="M43" t="str">
        <f t="shared" si="4"/>
        <v>ASALARIADO</v>
      </c>
      <c r="N43">
        <f t="shared" si="0"/>
        <v>33</v>
      </c>
      <c r="O43" s="19" t="str">
        <f t="shared" si="2"/>
        <v>900k–1200k</v>
      </c>
      <c r="P43" s="19" t="str">
        <f t="shared" si="3"/>
        <v>26-35</v>
      </c>
    </row>
    <row r="44" spans="1:16" x14ac:dyDescent="0.25">
      <c r="A44">
        <v>43</v>
      </c>
      <c r="B44" t="s">
        <v>15</v>
      </c>
      <c r="C44">
        <v>278030</v>
      </c>
      <c r="D44" t="s">
        <v>19</v>
      </c>
      <c r="E44" t="s">
        <v>16</v>
      </c>
      <c r="F44" t="s">
        <v>12</v>
      </c>
      <c r="G44" t="s">
        <v>12</v>
      </c>
      <c r="H44" t="s">
        <v>13</v>
      </c>
      <c r="I44">
        <v>23</v>
      </c>
      <c r="J44" t="str" cm="1">
        <f t="array" ref="J44">_xlfn.IFS(ISBLANK(C44),"FALTANTE",ABS((C44-$W$5)/$X$5)&gt;1.96,"ATÍPICO",ABS((C44-$W$5)/$X$5)&lt;=1.96,"NO ATÍPICO")</f>
        <v>NO ATÍPICO</v>
      </c>
      <c r="K44" t="str" cm="1">
        <f t="array" ref="K44">_xlfn.IFS(ISBLANK(I44),"FALTANTE",ABS((I44-$W$8)/$X$8)&gt;1.92,"ATÍPICO",ABS((I44-$W$8)/$X$8)&lt;=1.92,"NO ATÍPICO")</f>
        <v>NO ATÍPICO</v>
      </c>
      <c r="L44">
        <f t="shared" si="1"/>
        <v>278030</v>
      </c>
      <c r="M44" t="str">
        <f t="shared" si="4"/>
        <v>CONVENIOS ESPECIALES DE TRABAJADORES INDEPENDIENTES</v>
      </c>
      <c r="N44">
        <f t="shared" si="0"/>
        <v>23</v>
      </c>
      <c r="O44" s="19" t="str">
        <f t="shared" si="2"/>
        <v>0–300k</v>
      </c>
      <c r="P44" s="19" t="str">
        <f t="shared" si="3"/>
        <v>18-25</v>
      </c>
    </row>
    <row r="45" spans="1:16" x14ac:dyDescent="0.25">
      <c r="A45">
        <v>44</v>
      </c>
      <c r="B45" t="s">
        <v>9</v>
      </c>
      <c r="C45">
        <v>633750</v>
      </c>
      <c r="D45" t="s">
        <v>10</v>
      </c>
      <c r="E45" t="s">
        <v>16</v>
      </c>
      <c r="F45" t="s">
        <v>12</v>
      </c>
      <c r="G45" t="s">
        <v>13</v>
      </c>
      <c r="H45" t="s">
        <v>13</v>
      </c>
      <c r="I45">
        <v>43</v>
      </c>
      <c r="J45" t="str" cm="1">
        <f t="array" ref="J45">_xlfn.IFS(ISBLANK(C45),"FALTANTE",ABS((C45-$W$5)/$X$5)&gt;1.96,"ATÍPICO",ABS((C45-$W$5)/$X$5)&lt;=1.96,"NO ATÍPICO")</f>
        <v>NO ATÍPICO</v>
      </c>
      <c r="K45" t="str" cm="1">
        <f t="array" ref="K45">_xlfn.IFS(ISBLANK(I45),"FALTANTE",ABS((I45-$W$8)/$X$8)&gt;1.92,"ATÍPICO",ABS((I45-$W$8)/$X$8)&lt;=1.92,"NO ATÍPICO")</f>
        <v>NO ATÍPICO</v>
      </c>
      <c r="L45">
        <f t="shared" si="1"/>
        <v>633750</v>
      </c>
      <c r="M45" t="str">
        <f t="shared" si="4"/>
        <v>ASALARIADO</v>
      </c>
      <c r="N45">
        <f t="shared" si="0"/>
        <v>43</v>
      </c>
      <c r="O45" s="19" t="str">
        <f t="shared" si="2"/>
        <v>600k–900k</v>
      </c>
      <c r="P45" s="19" t="str">
        <f t="shared" si="3"/>
        <v>36-45</v>
      </c>
    </row>
    <row r="46" spans="1:16" x14ac:dyDescent="0.25">
      <c r="A46">
        <v>45</v>
      </c>
      <c r="B46" t="s">
        <v>15</v>
      </c>
      <c r="C46">
        <v>376776</v>
      </c>
      <c r="D46" t="s">
        <v>10</v>
      </c>
      <c r="E46" t="s">
        <v>16</v>
      </c>
      <c r="F46" t="s">
        <v>12</v>
      </c>
      <c r="G46" t="s">
        <v>13</v>
      </c>
      <c r="H46" t="s">
        <v>13</v>
      </c>
      <c r="I46">
        <v>27</v>
      </c>
      <c r="J46" t="str" cm="1">
        <f t="array" ref="J46">_xlfn.IFS(ISBLANK(C46),"FALTANTE",ABS((C46-$W$5)/$X$5)&gt;1.96,"ATÍPICO",ABS((C46-$W$5)/$X$5)&lt;=1.96,"NO ATÍPICO")</f>
        <v>NO ATÍPICO</v>
      </c>
      <c r="K46" t="str" cm="1">
        <f t="array" ref="K46">_xlfn.IFS(ISBLANK(I46),"FALTANTE",ABS((I46-$W$8)/$X$8)&gt;1.92,"ATÍPICO",ABS((I46-$W$8)/$X$8)&lt;=1.92,"NO ATÍPICO")</f>
        <v>NO ATÍPICO</v>
      </c>
      <c r="L46">
        <f t="shared" si="1"/>
        <v>376776</v>
      </c>
      <c r="M46" t="str">
        <f t="shared" si="4"/>
        <v>ASALARIADO</v>
      </c>
      <c r="N46">
        <f t="shared" si="0"/>
        <v>27</v>
      </c>
      <c r="O46" s="19" t="str">
        <f t="shared" si="2"/>
        <v>300k–600k</v>
      </c>
      <c r="P46" s="19" t="str">
        <f t="shared" si="3"/>
        <v>26-35</v>
      </c>
    </row>
    <row r="47" spans="1:16" x14ac:dyDescent="0.25">
      <c r="A47">
        <v>46</v>
      </c>
      <c r="B47" t="s">
        <v>15</v>
      </c>
      <c r="C47">
        <v>1878386.22</v>
      </c>
      <c r="D47" t="s">
        <v>10</v>
      </c>
      <c r="E47" t="s">
        <v>16</v>
      </c>
      <c r="F47" t="s">
        <v>12</v>
      </c>
      <c r="G47" t="s">
        <v>13</v>
      </c>
      <c r="H47" t="s">
        <v>13</v>
      </c>
      <c r="I47">
        <v>28</v>
      </c>
      <c r="J47" t="str" cm="1">
        <f t="array" ref="J47">_xlfn.IFS(ISBLANK(C47),"FALTANTE",ABS((C47-$W$5)/$X$5)&gt;1.96,"ATÍPICO",ABS((C47-$W$5)/$X$5)&lt;=1.96,"NO ATÍPICO")</f>
        <v>NO ATÍPICO</v>
      </c>
      <c r="K47" t="str" cm="1">
        <f t="array" ref="K47">_xlfn.IFS(ISBLANK(I47),"FALTANTE",ABS((I47-$W$8)/$X$8)&gt;1.92,"ATÍPICO",ABS((I47-$W$8)/$X$8)&lt;=1.92,"NO ATÍPICO")</f>
        <v>NO ATÍPICO</v>
      </c>
      <c r="L47">
        <f t="shared" si="1"/>
        <v>1878386.22</v>
      </c>
      <c r="M47" t="str">
        <f t="shared" si="4"/>
        <v>ASALARIADO</v>
      </c>
      <c r="N47">
        <f t="shared" si="0"/>
        <v>28</v>
      </c>
      <c r="O47" s="19" t="str">
        <f t="shared" si="2"/>
        <v>1200k+</v>
      </c>
      <c r="P47" s="19" t="str">
        <f t="shared" si="3"/>
        <v>26-35</v>
      </c>
    </row>
    <row r="48" spans="1:16" x14ac:dyDescent="0.25">
      <c r="A48">
        <v>47</v>
      </c>
      <c r="B48" t="s">
        <v>15</v>
      </c>
      <c r="C48">
        <v>2224883</v>
      </c>
      <c r="D48" t="s">
        <v>10</v>
      </c>
      <c r="E48" t="s">
        <v>16</v>
      </c>
      <c r="F48" t="s">
        <v>12</v>
      </c>
      <c r="G48" t="s">
        <v>13</v>
      </c>
      <c r="H48" t="s">
        <v>13</v>
      </c>
      <c r="I48">
        <v>49</v>
      </c>
      <c r="J48" t="str" cm="1">
        <f t="array" ref="J48">_xlfn.IFS(ISBLANK(C48),"FALTANTE",ABS((C48-$W$5)/$X$5)&gt;1.96,"ATÍPICO",ABS((C48-$W$5)/$X$5)&lt;=1.96,"NO ATÍPICO")</f>
        <v>NO ATÍPICO</v>
      </c>
      <c r="K48" t="str" cm="1">
        <f t="array" ref="K48">_xlfn.IFS(ISBLANK(I48),"FALTANTE",ABS((I48-$W$8)/$X$8)&gt;1.92,"ATÍPICO",ABS((I48-$W$8)/$X$8)&lt;=1.92,"NO ATÍPICO")</f>
        <v>NO ATÍPICO</v>
      </c>
      <c r="L48">
        <f t="shared" si="1"/>
        <v>2224883</v>
      </c>
      <c r="M48" t="str">
        <f t="shared" si="4"/>
        <v>ASALARIADO</v>
      </c>
      <c r="N48">
        <f t="shared" si="0"/>
        <v>49</v>
      </c>
      <c r="O48" s="19" t="str">
        <f t="shared" si="2"/>
        <v>1200k+</v>
      </c>
      <c r="P48" s="19" t="str">
        <f t="shared" si="3"/>
        <v>46-55</v>
      </c>
    </row>
    <row r="49" spans="1:16" x14ac:dyDescent="0.25">
      <c r="A49">
        <v>48</v>
      </c>
      <c r="B49" t="s">
        <v>15</v>
      </c>
      <c r="C49">
        <v>349000</v>
      </c>
      <c r="D49" t="s">
        <v>10</v>
      </c>
      <c r="E49" t="s">
        <v>16</v>
      </c>
      <c r="F49" t="s">
        <v>12</v>
      </c>
      <c r="G49" t="s">
        <v>13</v>
      </c>
      <c r="H49" t="s">
        <v>13</v>
      </c>
      <c r="I49">
        <v>36</v>
      </c>
      <c r="J49" t="str" cm="1">
        <f t="array" ref="J49">_xlfn.IFS(ISBLANK(C49),"FALTANTE",ABS((C49-$W$5)/$X$5)&gt;1.96,"ATÍPICO",ABS((C49-$W$5)/$X$5)&lt;=1.96,"NO ATÍPICO")</f>
        <v>NO ATÍPICO</v>
      </c>
      <c r="K49" t="str" cm="1">
        <f t="array" ref="K49">_xlfn.IFS(ISBLANK(I49),"FALTANTE",ABS((I49-$W$8)/$X$8)&gt;1.92,"ATÍPICO",ABS((I49-$W$8)/$X$8)&lt;=1.92,"NO ATÍPICO")</f>
        <v>NO ATÍPICO</v>
      </c>
      <c r="L49">
        <f t="shared" si="1"/>
        <v>349000</v>
      </c>
      <c r="M49" t="str">
        <f t="shared" si="4"/>
        <v>ASALARIADO</v>
      </c>
      <c r="N49">
        <f t="shared" si="0"/>
        <v>36</v>
      </c>
      <c r="O49" s="19" t="str">
        <f t="shared" si="2"/>
        <v>300k–600k</v>
      </c>
      <c r="P49" s="19" t="str">
        <f t="shared" si="3"/>
        <v>36-45</v>
      </c>
    </row>
    <row r="50" spans="1:16" x14ac:dyDescent="0.25">
      <c r="A50">
        <v>49</v>
      </c>
      <c r="B50" t="s">
        <v>9</v>
      </c>
      <c r="C50">
        <v>675069.69</v>
      </c>
      <c r="D50" t="s">
        <v>10</v>
      </c>
      <c r="E50" t="s">
        <v>16</v>
      </c>
      <c r="F50" t="s">
        <v>12</v>
      </c>
      <c r="G50" t="s">
        <v>13</v>
      </c>
      <c r="H50" t="s">
        <v>13</v>
      </c>
      <c r="I50">
        <v>39</v>
      </c>
      <c r="J50" t="str" cm="1">
        <f t="array" ref="J50">_xlfn.IFS(ISBLANK(C50),"FALTANTE",ABS((C50-$W$5)/$X$5)&gt;1.96,"ATÍPICO",ABS((C50-$W$5)/$X$5)&lt;=1.96,"NO ATÍPICO")</f>
        <v>NO ATÍPICO</v>
      </c>
      <c r="K50" t="str" cm="1">
        <f t="array" ref="K50">_xlfn.IFS(ISBLANK(I50),"FALTANTE",ABS((I50-$W$8)/$X$8)&gt;1.92,"ATÍPICO",ABS((I50-$W$8)/$X$8)&lt;=1.92,"NO ATÍPICO")</f>
        <v>NO ATÍPICO</v>
      </c>
      <c r="L50">
        <f t="shared" si="1"/>
        <v>675069.69</v>
      </c>
      <c r="M50" t="str">
        <f t="shared" si="4"/>
        <v>ASALARIADO</v>
      </c>
      <c r="N50">
        <f t="shared" si="0"/>
        <v>39</v>
      </c>
      <c r="O50" s="19" t="str">
        <f t="shared" si="2"/>
        <v>600k–900k</v>
      </c>
      <c r="P50" s="19" t="str">
        <f t="shared" si="3"/>
        <v>36-45</v>
      </c>
    </row>
    <row r="51" spans="1:16" x14ac:dyDescent="0.25">
      <c r="A51">
        <v>50</v>
      </c>
      <c r="B51" t="s">
        <v>9</v>
      </c>
      <c r="C51">
        <v>443282</v>
      </c>
      <c r="D51" t="s">
        <v>10</v>
      </c>
      <c r="E51" t="s">
        <v>16</v>
      </c>
      <c r="F51" t="s">
        <v>12</v>
      </c>
      <c r="G51" t="s">
        <v>12</v>
      </c>
      <c r="H51" t="s">
        <v>13</v>
      </c>
      <c r="J51" t="str" cm="1">
        <f t="array" ref="J51">_xlfn.IFS(ISBLANK(C51),"FALTANTE",ABS((C51-$W$5)/$X$5)&gt;1.96,"ATÍPICO",ABS((C51-$W$5)/$X$5)&lt;=1.96,"NO ATÍPICO")</f>
        <v>NO ATÍPICO</v>
      </c>
      <c r="K51" t="str" cm="1">
        <f t="array" ref="K51">_xlfn.IFS(ISBLANK(I51),"FALTANTE",ABS((I51-$W$8)/$X$8)&gt;1.92,"ATÍPICO",ABS((I51-$W$8)/$X$8)&lt;=1.92,"NO ATÍPICO")</f>
        <v>FALTANTE</v>
      </c>
      <c r="L51">
        <f t="shared" si="1"/>
        <v>443282</v>
      </c>
      <c r="M51" t="str">
        <f t="shared" si="4"/>
        <v>ASALARIADO</v>
      </c>
      <c r="N51">
        <f>T8</f>
        <v>40</v>
      </c>
      <c r="O51" s="19" t="str">
        <f t="shared" si="2"/>
        <v>300k–600k</v>
      </c>
      <c r="P51" s="19" t="str">
        <f t="shared" si="3"/>
        <v>36-45</v>
      </c>
    </row>
    <row r="52" spans="1:16" x14ac:dyDescent="0.25">
      <c r="A52">
        <v>51</v>
      </c>
      <c r="B52" t="s">
        <v>9</v>
      </c>
      <c r="C52">
        <v>297044.99</v>
      </c>
      <c r="D52" t="s">
        <v>18</v>
      </c>
      <c r="E52" t="s">
        <v>16</v>
      </c>
      <c r="F52" t="s">
        <v>12</v>
      </c>
      <c r="G52" t="s">
        <v>13</v>
      </c>
      <c r="H52" t="s">
        <v>13</v>
      </c>
      <c r="I52">
        <v>66</v>
      </c>
      <c r="J52" t="str" cm="1">
        <f t="array" ref="J52">_xlfn.IFS(ISBLANK(C52),"FALTANTE",ABS((C52-$W$5)/$X$5)&gt;1.96,"ATÍPICO",ABS((C52-$W$5)/$X$5)&lt;=1.96,"NO ATÍPICO")</f>
        <v>NO ATÍPICO</v>
      </c>
      <c r="K52" t="str" cm="1">
        <f t="array" ref="K52">_xlfn.IFS(ISBLANK(I52),"FALTANTE",ABS((I52-$W$8)/$X$8)&gt;1.92,"ATÍPICO",ABS((I52-$W$8)/$X$8)&lt;=1.92,"NO ATÍPICO")</f>
        <v>NO ATÍPICO</v>
      </c>
      <c r="L52">
        <f t="shared" si="1"/>
        <v>297044.99</v>
      </c>
      <c r="M52" t="str">
        <f t="shared" si="4"/>
        <v>TRABAJADOR INDEPENDIENTE</v>
      </c>
      <c r="N52">
        <f t="shared" si="0"/>
        <v>66</v>
      </c>
      <c r="O52" s="19" t="str">
        <f t="shared" si="2"/>
        <v>0–300k</v>
      </c>
      <c r="P52" s="19" t="str">
        <f t="shared" si="3"/>
        <v>56+</v>
      </c>
    </row>
    <row r="53" spans="1:16" x14ac:dyDescent="0.25">
      <c r="A53">
        <v>52</v>
      </c>
      <c r="B53" t="s">
        <v>9</v>
      </c>
      <c r="C53">
        <v>1505458.92</v>
      </c>
      <c r="D53" t="s">
        <v>10</v>
      </c>
      <c r="E53" t="s">
        <v>11</v>
      </c>
      <c r="F53" t="s">
        <v>12</v>
      </c>
      <c r="G53" t="s">
        <v>13</v>
      </c>
      <c r="H53" t="s">
        <v>13</v>
      </c>
      <c r="J53" t="str" cm="1">
        <f t="array" ref="J53">_xlfn.IFS(ISBLANK(C53),"FALTANTE",ABS((C53-$W$5)/$X$5)&gt;1.96,"ATÍPICO",ABS((C53-$W$5)/$X$5)&lt;=1.96,"NO ATÍPICO")</f>
        <v>NO ATÍPICO</v>
      </c>
      <c r="K53" t="str" cm="1">
        <f t="array" ref="K53">_xlfn.IFS(ISBLANK(I53),"FALTANTE",ABS((I53-$W$8)/$X$8)&gt;1.92,"ATÍPICO",ABS((I53-$W$8)/$X$8)&lt;=1.92,"NO ATÍPICO")</f>
        <v>FALTANTE</v>
      </c>
      <c r="L53">
        <f t="shared" si="1"/>
        <v>1505458.92</v>
      </c>
      <c r="M53" t="str">
        <f t="shared" si="4"/>
        <v>ASALARIADO</v>
      </c>
      <c r="N53">
        <f>T8</f>
        <v>40</v>
      </c>
      <c r="O53" s="19" t="str">
        <f t="shared" si="2"/>
        <v>1200k+</v>
      </c>
      <c r="P53" s="19" t="str">
        <f t="shared" si="3"/>
        <v>36-45</v>
      </c>
    </row>
    <row r="54" spans="1:16" x14ac:dyDescent="0.25">
      <c r="A54">
        <v>53</v>
      </c>
      <c r="B54" t="s">
        <v>15</v>
      </c>
      <c r="C54">
        <v>743436</v>
      </c>
      <c r="D54" t="s">
        <v>10</v>
      </c>
      <c r="E54" t="s">
        <v>16</v>
      </c>
      <c r="F54" t="s">
        <v>12</v>
      </c>
      <c r="G54" t="s">
        <v>13</v>
      </c>
      <c r="H54" t="s">
        <v>13</v>
      </c>
      <c r="I54">
        <v>28</v>
      </c>
      <c r="J54" t="str" cm="1">
        <f t="array" ref="J54">_xlfn.IFS(ISBLANK(C54),"FALTANTE",ABS((C54-$W$5)/$X$5)&gt;1.96,"ATÍPICO",ABS((C54-$W$5)/$X$5)&lt;=1.96,"NO ATÍPICO")</f>
        <v>NO ATÍPICO</v>
      </c>
      <c r="K54" t="str" cm="1">
        <f t="array" ref="K54">_xlfn.IFS(ISBLANK(I54),"FALTANTE",ABS((I54-$W$8)/$X$8)&gt;1.92,"ATÍPICO",ABS((I54-$W$8)/$X$8)&lt;=1.92,"NO ATÍPICO")</f>
        <v>NO ATÍPICO</v>
      </c>
      <c r="L54">
        <f t="shared" si="1"/>
        <v>743436</v>
      </c>
      <c r="M54" t="str">
        <f t="shared" si="4"/>
        <v>ASALARIADO</v>
      </c>
      <c r="N54">
        <f t="shared" si="0"/>
        <v>28</v>
      </c>
      <c r="O54" s="19" t="str">
        <f t="shared" si="2"/>
        <v>600k–900k</v>
      </c>
      <c r="P54" s="19" t="str">
        <f t="shared" si="3"/>
        <v>26-35</v>
      </c>
    </row>
    <row r="55" spans="1:16" x14ac:dyDescent="0.25">
      <c r="A55">
        <v>54</v>
      </c>
      <c r="B55" t="s">
        <v>9</v>
      </c>
      <c r="C55">
        <v>379422</v>
      </c>
      <c r="D55" t="s">
        <v>18</v>
      </c>
      <c r="E55" t="s">
        <v>16</v>
      </c>
      <c r="F55" t="s">
        <v>12</v>
      </c>
      <c r="G55" t="s">
        <v>13</v>
      </c>
      <c r="H55" t="s">
        <v>13</v>
      </c>
      <c r="I55">
        <v>43</v>
      </c>
      <c r="J55" t="str" cm="1">
        <f t="array" ref="J55">_xlfn.IFS(ISBLANK(C55),"FALTANTE",ABS((C55-$W$5)/$X$5)&gt;1.96,"ATÍPICO",ABS((C55-$W$5)/$X$5)&lt;=1.96,"NO ATÍPICO")</f>
        <v>NO ATÍPICO</v>
      </c>
      <c r="K55" t="str" cm="1">
        <f t="array" ref="K55">_xlfn.IFS(ISBLANK(I55),"FALTANTE",ABS((I55-$W$8)/$X$8)&gt;1.92,"ATÍPICO",ABS((I55-$W$8)/$X$8)&lt;=1.92,"NO ATÍPICO")</f>
        <v>NO ATÍPICO</v>
      </c>
      <c r="L55">
        <f t="shared" si="1"/>
        <v>379422</v>
      </c>
      <c r="M55" t="str">
        <f t="shared" si="4"/>
        <v>TRABAJADOR INDEPENDIENTE</v>
      </c>
      <c r="N55">
        <f t="shared" si="0"/>
        <v>43</v>
      </c>
      <c r="O55" s="19" t="str">
        <f t="shared" si="2"/>
        <v>300k–600k</v>
      </c>
      <c r="P55" s="19" t="str">
        <f t="shared" si="3"/>
        <v>36-45</v>
      </c>
    </row>
    <row r="56" spans="1:16" x14ac:dyDescent="0.25">
      <c r="A56">
        <v>55</v>
      </c>
      <c r="B56" t="s">
        <v>9</v>
      </c>
      <c r="C56">
        <v>300000</v>
      </c>
      <c r="D56" t="s">
        <v>17</v>
      </c>
      <c r="E56" t="s">
        <v>16</v>
      </c>
      <c r="F56" t="s">
        <v>12</v>
      </c>
      <c r="G56" t="s">
        <v>13</v>
      </c>
      <c r="H56" t="s">
        <v>13</v>
      </c>
      <c r="I56">
        <v>44</v>
      </c>
      <c r="J56" t="str" cm="1">
        <f t="array" ref="J56">_xlfn.IFS(ISBLANK(C56),"FALTANTE",ABS((C56-$W$5)/$X$5)&gt;1.96,"ATÍPICO",ABS((C56-$W$5)/$X$5)&lt;=1.96,"NO ATÍPICO")</f>
        <v>NO ATÍPICO</v>
      </c>
      <c r="K56" t="str" cm="1">
        <f t="array" ref="K56">_xlfn.IFS(ISBLANK(I56),"FALTANTE",ABS((I56-$W$8)/$X$8)&gt;1.92,"ATÍPICO",ABS((I56-$W$8)/$X$8)&lt;=1.92,"NO ATÍPICO")</f>
        <v>NO ATÍPICO</v>
      </c>
      <c r="L56">
        <f t="shared" si="1"/>
        <v>300000</v>
      </c>
      <c r="M56" t="str">
        <f t="shared" si="4"/>
        <v>ASEGURADO VOLUNTARIO</v>
      </c>
      <c r="N56">
        <f t="shared" si="0"/>
        <v>44</v>
      </c>
      <c r="O56" s="19" t="str">
        <f t="shared" si="2"/>
        <v>0–300k</v>
      </c>
      <c r="P56" s="19" t="str">
        <f t="shared" si="3"/>
        <v>36-45</v>
      </c>
    </row>
    <row r="57" spans="1:16" x14ac:dyDescent="0.25">
      <c r="A57">
        <v>56</v>
      </c>
      <c r="B57" t="s">
        <v>15</v>
      </c>
      <c r="C57">
        <v>159787.22</v>
      </c>
      <c r="D57" t="s">
        <v>10</v>
      </c>
      <c r="E57" t="s">
        <v>16</v>
      </c>
      <c r="F57" t="s">
        <v>12</v>
      </c>
      <c r="G57" t="s">
        <v>12</v>
      </c>
      <c r="H57" t="s">
        <v>13</v>
      </c>
      <c r="I57">
        <v>44</v>
      </c>
      <c r="J57" t="str" cm="1">
        <f t="array" ref="J57">_xlfn.IFS(ISBLANK(C57),"FALTANTE",ABS((C57-$W$5)/$X$5)&gt;1.96,"ATÍPICO",ABS((C57-$W$5)/$X$5)&lt;=1.96,"NO ATÍPICO")</f>
        <v>NO ATÍPICO</v>
      </c>
      <c r="K57" t="str" cm="1">
        <f t="array" ref="K57">_xlfn.IFS(ISBLANK(I57),"FALTANTE",ABS((I57-$W$8)/$X$8)&gt;1.92,"ATÍPICO",ABS((I57-$W$8)/$X$8)&lt;=1.92,"NO ATÍPICO")</f>
        <v>NO ATÍPICO</v>
      </c>
      <c r="L57">
        <f t="shared" si="1"/>
        <v>159787.22</v>
      </c>
      <c r="M57" t="str">
        <f t="shared" si="4"/>
        <v>ASALARIADO</v>
      </c>
      <c r="N57">
        <f t="shared" si="0"/>
        <v>44</v>
      </c>
      <c r="O57" s="19" t="str">
        <f t="shared" si="2"/>
        <v>0–300k</v>
      </c>
      <c r="P57" s="19" t="str">
        <f t="shared" si="3"/>
        <v>36-45</v>
      </c>
    </row>
    <row r="58" spans="1:16" x14ac:dyDescent="0.25">
      <c r="A58">
        <v>57</v>
      </c>
      <c r="B58" t="s">
        <v>15</v>
      </c>
      <c r="C58">
        <v>267741.03999999998</v>
      </c>
      <c r="D58" t="s">
        <v>10</v>
      </c>
      <c r="E58" t="s">
        <v>16</v>
      </c>
      <c r="F58" t="s">
        <v>12</v>
      </c>
      <c r="G58" t="s">
        <v>13</v>
      </c>
      <c r="H58" t="s">
        <v>13</v>
      </c>
      <c r="I58">
        <v>32</v>
      </c>
      <c r="J58" t="str" cm="1">
        <f t="array" ref="J58">_xlfn.IFS(ISBLANK(C58),"FALTANTE",ABS((C58-$W$5)/$X$5)&gt;1.96,"ATÍPICO",ABS((C58-$W$5)/$X$5)&lt;=1.96,"NO ATÍPICO")</f>
        <v>NO ATÍPICO</v>
      </c>
      <c r="K58" t="str" cm="1">
        <f t="array" ref="K58">_xlfn.IFS(ISBLANK(I58),"FALTANTE",ABS((I58-$W$8)/$X$8)&gt;1.92,"ATÍPICO",ABS((I58-$W$8)/$X$8)&lt;=1.92,"NO ATÍPICO")</f>
        <v>NO ATÍPICO</v>
      </c>
      <c r="L58">
        <f t="shared" si="1"/>
        <v>267741.03999999998</v>
      </c>
      <c r="M58" t="str">
        <f t="shared" si="4"/>
        <v>ASALARIADO</v>
      </c>
      <c r="N58">
        <f t="shared" si="0"/>
        <v>32</v>
      </c>
      <c r="O58" s="19" t="str">
        <f t="shared" si="2"/>
        <v>0–300k</v>
      </c>
      <c r="P58" s="19" t="str">
        <f t="shared" si="3"/>
        <v>26-35</v>
      </c>
    </row>
    <row r="59" spans="1:16" x14ac:dyDescent="0.25">
      <c r="A59">
        <v>58</v>
      </c>
      <c r="B59" t="s">
        <v>15</v>
      </c>
      <c r="C59">
        <v>376777</v>
      </c>
      <c r="D59" t="s">
        <v>10</v>
      </c>
      <c r="E59" t="s">
        <v>16</v>
      </c>
      <c r="F59" t="s">
        <v>12</v>
      </c>
      <c r="G59" t="s">
        <v>13</v>
      </c>
      <c r="H59" t="s">
        <v>13</v>
      </c>
      <c r="I59">
        <v>43</v>
      </c>
      <c r="J59" t="str" cm="1">
        <f t="array" ref="J59">_xlfn.IFS(ISBLANK(C59),"FALTANTE",ABS((C59-$W$5)/$X$5)&gt;1.96,"ATÍPICO",ABS((C59-$W$5)/$X$5)&lt;=1.96,"NO ATÍPICO")</f>
        <v>NO ATÍPICO</v>
      </c>
      <c r="K59" t="str" cm="1">
        <f t="array" ref="K59">_xlfn.IFS(ISBLANK(I59),"FALTANTE",ABS((I59-$W$8)/$X$8)&gt;1.92,"ATÍPICO",ABS((I59-$W$8)/$X$8)&lt;=1.92,"NO ATÍPICO")</f>
        <v>NO ATÍPICO</v>
      </c>
      <c r="L59">
        <f t="shared" si="1"/>
        <v>376777</v>
      </c>
      <c r="M59" t="str">
        <f t="shared" si="4"/>
        <v>ASALARIADO</v>
      </c>
      <c r="N59">
        <f t="shared" si="0"/>
        <v>43</v>
      </c>
      <c r="O59" s="19" t="str">
        <f t="shared" si="2"/>
        <v>300k–600k</v>
      </c>
      <c r="P59" s="19" t="str">
        <f t="shared" si="3"/>
        <v>36-45</v>
      </c>
    </row>
    <row r="60" spans="1:16" x14ac:dyDescent="0.25">
      <c r="A60">
        <v>59</v>
      </c>
      <c r="B60" t="s">
        <v>9</v>
      </c>
      <c r="C60">
        <v>386161</v>
      </c>
      <c r="D60" t="s">
        <v>18</v>
      </c>
      <c r="E60" t="s">
        <v>16</v>
      </c>
      <c r="F60" t="s">
        <v>12</v>
      </c>
      <c r="G60" t="s">
        <v>13</v>
      </c>
      <c r="H60" t="s">
        <v>12</v>
      </c>
      <c r="I60">
        <v>45</v>
      </c>
      <c r="J60" t="str" cm="1">
        <f t="array" ref="J60">_xlfn.IFS(ISBLANK(C60),"FALTANTE",ABS((C60-$W$5)/$X$5)&gt;1.96,"ATÍPICO",ABS((C60-$W$5)/$X$5)&lt;=1.96,"NO ATÍPICO")</f>
        <v>NO ATÍPICO</v>
      </c>
      <c r="K60" t="str" cm="1">
        <f t="array" ref="K60">_xlfn.IFS(ISBLANK(I60),"FALTANTE",ABS((I60-$W$8)/$X$8)&gt;1.92,"ATÍPICO",ABS((I60-$W$8)/$X$8)&lt;=1.92,"NO ATÍPICO")</f>
        <v>NO ATÍPICO</v>
      </c>
      <c r="L60">
        <f t="shared" si="1"/>
        <v>386161</v>
      </c>
      <c r="M60" t="str">
        <f t="shared" si="4"/>
        <v>TRABAJADOR INDEPENDIENTE</v>
      </c>
      <c r="N60">
        <f t="shared" si="0"/>
        <v>45</v>
      </c>
      <c r="O60" s="19" t="str">
        <f t="shared" si="2"/>
        <v>300k–600k</v>
      </c>
      <c r="P60" s="19" t="str">
        <f t="shared" si="3"/>
        <v>36-45</v>
      </c>
    </row>
    <row r="61" spans="1:16" x14ac:dyDescent="0.25">
      <c r="A61">
        <v>60</v>
      </c>
      <c r="B61" t="s">
        <v>9</v>
      </c>
      <c r="C61">
        <v>278030</v>
      </c>
      <c r="D61" t="s">
        <v>19</v>
      </c>
      <c r="E61" t="s">
        <v>16</v>
      </c>
      <c r="F61" t="s">
        <v>12</v>
      </c>
      <c r="G61" t="s">
        <v>13</v>
      </c>
      <c r="H61" t="s">
        <v>13</v>
      </c>
      <c r="I61">
        <v>22</v>
      </c>
      <c r="J61" t="str" cm="1">
        <f t="array" ref="J61">_xlfn.IFS(ISBLANK(C61),"FALTANTE",ABS((C61-$W$5)/$X$5)&gt;1.96,"ATÍPICO",ABS((C61-$W$5)/$X$5)&lt;=1.96,"NO ATÍPICO")</f>
        <v>NO ATÍPICO</v>
      </c>
      <c r="K61" t="str" cm="1">
        <f t="array" ref="K61">_xlfn.IFS(ISBLANK(I61),"FALTANTE",ABS((I61-$W$8)/$X$8)&gt;1.92,"ATÍPICO",ABS((I61-$W$8)/$X$8)&lt;=1.92,"NO ATÍPICO")</f>
        <v>NO ATÍPICO</v>
      </c>
      <c r="L61">
        <f t="shared" si="1"/>
        <v>278030</v>
      </c>
      <c r="M61" t="str">
        <f t="shared" si="4"/>
        <v>CONVENIOS ESPECIALES DE TRABAJADORES INDEPENDIENTES</v>
      </c>
      <c r="N61">
        <f t="shared" si="0"/>
        <v>22</v>
      </c>
      <c r="O61" s="19" t="str">
        <f t="shared" si="2"/>
        <v>0–300k</v>
      </c>
      <c r="P61" s="19" t="str">
        <f t="shared" si="3"/>
        <v>18-25</v>
      </c>
    </row>
    <row r="62" spans="1:16" x14ac:dyDescent="0.25">
      <c r="A62">
        <v>61</v>
      </c>
      <c r="B62" t="s">
        <v>9</v>
      </c>
      <c r="C62">
        <v>1594012.66</v>
      </c>
      <c r="D62" t="s">
        <v>10</v>
      </c>
      <c r="E62" t="s">
        <v>16</v>
      </c>
      <c r="F62" t="s">
        <v>12</v>
      </c>
      <c r="G62" t="s">
        <v>13</v>
      </c>
      <c r="H62" t="s">
        <v>13</v>
      </c>
      <c r="I62">
        <v>32</v>
      </c>
      <c r="J62" t="str" cm="1">
        <f t="array" ref="J62">_xlfn.IFS(ISBLANK(C62),"FALTANTE",ABS((C62-$W$5)/$X$5)&gt;1.96,"ATÍPICO",ABS((C62-$W$5)/$X$5)&lt;=1.96,"NO ATÍPICO")</f>
        <v>NO ATÍPICO</v>
      </c>
      <c r="K62" t="str" cm="1">
        <f t="array" ref="K62">_xlfn.IFS(ISBLANK(I62),"FALTANTE",ABS((I62-$W$8)/$X$8)&gt;1.92,"ATÍPICO",ABS((I62-$W$8)/$X$8)&lt;=1.92,"NO ATÍPICO")</f>
        <v>NO ATÍPICO</v>
      </c>
      <c r="L62">
        <f t="shared" si="1"/>
        <v>1594012.66</v>
      </c>
      <c r="M62" t="str">
        <f t="shared" si="4"/>
        <v>ASALARIADO</v>
      </c>
      <c r="N62">
        <f t="shared" si="0"/>
        <v>32</v>
      </c>
      <c r="O62" s="19" t="str">
        <f t="shared" si="2"/>
        <v>1200k+</v>
      </c>
      <c r="P62" s="19" t="str">
        <f t="shared" si="3"/>
        <v>26-35</v>
      </c>
    </row>
    <row r="63" spans="1:16" x14ac:dyDescent="0.25">
      <c r="A63">
        <v>62</v>
      </c>
      <c r="B63" t="s">
        <v>9</v>
      </c>
      <c r="C63">
        <v>1401725.03</v>
      </c>
      <c r="D63" t="s">
        <v>14</v>
      </c>
      <c r="E63" t="s">
        <v>11</v>
      </c>
      <c r="F63" t="s">
        <v>12</v>
      </c>
      <c r="G63" t="s">
        <v>13</v>
      </c>
      <c r="H63" t="s">
        <v>13</v>
      </c>
      <c r="I63">
        <v>85</v>
      </c>
      <c r="J63" t="str" cm="1">
        <f t="array" ref="J63">_xlfn.IFS(ISBLANK(C63),"FALTANTE",ABS((C63-$W$5)/$X$5)&gt;1.96,"ATÍPICO",ABS((C63-$W$5)/$X$5)&lt;=1.96,"NO ATÍPICO")</f>
        <v>NO ATÍPICO</v>
      </c>
      <c r="K63" t="str" cm="1">
        <f t="array" ref="K63">_xlfn.IFS(ISBLANK(I63),"FALTANTE",ABS((I63-$W$8)/$X$8)&gt;1.92,"ATÍPICO",ABS((I63-$W$8)/$X$8)&lt;=1.92,"NO ATÍPICO")</f>
        <v>ATÍPICO</v>
      </c>
      <c r="L63">
        <f t="shared" si="1"/>
        <v>1401725.03</v>
      </c>
      <c r="M63" t="str">
        <f t="shared" si="4"/>
        <v>PENSIONADOS EN SU PROPIO SISTEMA</v>
      </c>
      <c r="N63">
        <f t="shared" si="0"/>
        <v>85</v>
      </c>
      <c r="O63" s="19" t="str">
        <f t="shared" si="2"/>
        <v>1200k+</v>
      </c>
      <c r="P63" s="19" t="str">
        <f t="shared" si="3"/>
        <v>56+</v>
      </c>
    </row>
    <row r="64" spans="1:16" x14ac:dyDescent="0.25">
      <c r="A64">
        <v>63</v>
      </c>
      <c r="B64" t="s">
        <v>9</v>
      </c>
      <c r="C64">
        <v>366358.49</v>
      </c>
      <c r="D64" t="s">
        <v>10</v>
      </c>
      <c r="E64" t="s">
        <v>16</v>
      </c>
      <c r="F64" t="s">
        <v>12</v>
      </c>
      <c r="G64" t="s">
        <v>13</v>
      </c>
      <c r="H64" t="s">
        <v>13</v>
      </c>
      <c r="I64">
        <v>51</v>
      </c>
      <c r="J64" t="str" cm="1">
        <f t="array" ref="J64">_xlfn.IFS(ISBLANK(C64),"FALTANTE",ABS((C64-$W$5)/$X$5)&gt;1.96,"ATÍPICO",ABS((C64-$W$5)/$X$5)&lt;=1.96,"NO ATÍPICO")</f>
        <v>NO ATÍPICO</v>
      </c>
      <c r="K64" t="str" cm="1">
        <f t="array" ref="K64">_xlfn.IFS(ISBLANK(I64),"FALTANTE",ABS((I64-$W$8)/$X$8)&gt;1.92,"ATÍPICO",ABS((I64-$W$8)/$X$8)&lt;=1.92,"NO ATÍPICO")</f>
        <v>NO ATÍPICO</v>
      </c>
      <c r="L64">
        <f t="shared" si="1"/>
        <v>366358.49</v>
      </c>
      <c r="M64" t="str">
        <f t="shared" si="4"/>
        <v>ASALARIADO</v>
      </c>
      <c r="N64">
        <f t="shared" si="0"/>
        <v>51</v>
      </c>
      <c r="O64" s="19" t="str">
        <f t="shared" si="2"/>
        <v>300k–600k</v>
      </c>
      <c r="P64" s="19" t="str">
        <f t="shared" si="3"/>
        <v>46-55</v>
      </c>
    </row>
    <row r="65" spans="1:16" x14ac:dyDescent="0.25">
      <c r="A65">
        <v>64</v>
      </c>
      <c r="B65" t="s">
        <v>15</v>
      </c>
      <c r="C65">
        <v>411794</v>
      </c>
      <c r="D65" t="s">
        <v>18</v>
      </c>
      <c r="E65" t="s">
        <v>16</v>
      </c>
      <c r="F65" t="s">
        <v>12</v>
      </c>
      <c r="G65" t="s">
        <v>13</v>
      </c>
      <c r="H65" t="s">
        <v>13</v>
      </c>
      <c r="I65">
        <v>53</v>
      </c>
      <c r="J65" t="str" cm="1">
        <f t="array" ref="J65">_xlfn.IFS(ISBLANK(C65),"FALTANTE",ABS((C65-$W$5)/$X$5)&gt;1.96,"ATÍPICO",ABS((C65-$W$5)/$X$5)&lt;=1.96,"NO ATÍPICO")</f>
        <v>NO ATÍPICO</v>
      </c>
      <c r="K65" t="str" cm="1">
        <f t="array" ref="K65">_xlfn.IFS(ISBLANK(I65),"FALTANTE",ABS((I65-$W$8)/$X$8)&gt;1.92,"ATÍPICO",ABS((I65-$W$8)/$X$8)&lt;=1.92,"NO ATÍPICO")</f>
        <v>NO ATÍPICO</v>
      </c>
      <c r="L65">
        <f t="shared" si="1"/>
        <v>411794</v>
      </c>
      <c r="M65" t="str">
        <f t="shared" si="4"/>
        <v>TRABAJADOR INDEPENDIENTE</v>
      </c>
      <c r="N65">
        <f t="shared" si="0"/>
        <v>53</v>
      </c>
      <c r="O65" s="19" t="str">
        <f t="shared" si="2"/>
        <v>300k–600k</v>
      </c>
      <c r="P65" s="19" t="str">
        <f t="shared" si="3"/>
        <v>46-55</v>
      </c>
    </row>
    <row r="66" spans="1:16" x14ac:dyDescent="0.25">
      <c r="A66">
        <v>65</v>
      </c>
      <c r="B66" t="s">
        <v>9</v>
      </c>
      <c r="C66">
        <v>340510.83</v>
      </c>
      <c r="D66" t="s">
        <v>10</v>
      </c>
      <c r="E66" t="s">
        <v>16</v>
      </c>
      <c r="F66" t="s">
        <v>12</v>
      </c>
      <c r="G66" t="s">
        <v>13</v>
      </c>
      <c r="H66" t="s">
        <v>13</v>
      </c>
      <c r="I66">
        <v>40</v>
      </c>
      <c r="J66" t="str" cm="1">
        <f t="array" ref="J66">_xlfn.IFS(ISBLANK(C66),"FALTANTE",ABS((C66-$W$5)/$X$5)&gt;1.96,"ATÍPICO",ABS((C66-$W$5)/$X$5)&lt;=1.96,"NO ATÍPICO")</f>
        <v>NO ATÍPICO</v>
      </c>
      <c r="K66" t="str" cm="1">
        <f t="array" ref="K66">_xlfn.IFS(ISBLANK(I66),"FALTANTE",ABS((I66-$W$8)/$X$8)&gt;1.92,"ATÍPICO",ABS((I66-$W$8)/$X$8)&lt;=1.92,"NO ATÍPICO")</f>
        <v>NO ATÍPICO</v>
      </c>
      <c r="L66">
        <f t="shared" ref="L66:L129" si="5">C66</f>
        <v>340510.83</v>
      </c>
      <c r="M66" t="str">
        <f t="shared" si="4"/>
        <v>ASALARIADO</v>
      </c>
      <c r="N66">
        <f t="shared" ref="N66:N129" si="6">I66</f>
        <v>40</v>
      </c>
      <c r="O66" s="19" t="str">
        <f t="shared" ref="O66:O129" si="7">IF(L66&lt;=300000,"0–300k",IF(L66&lt;=600000,"300k–600k",IF(L66&lt;=900000,"600k–900k",IF(L66&lt;=1200000,"900k–1200k","1200k+"))))</f>
        <v>300k–600k</v>
      </c>
      <c r="P66" s="19" t="str">
        <f t="shared" ref="P66:P129" si="8">IF(N66 &lt;=25,"18-25", IF(N66&lt;=35,"26-35", IF(N66 &lt;=45,"36-45", IF(N66&lt;=55,"46-55","56+"))))</f>
        <v>36-45</v>
      </c>
    </row>
    <row r="67" spans="1:16" x14ac:dyDescent="0.25">
      <c r="A67">
        <v>66</v>
      </c>
      <c r="B67" t="s">
        <v>9</v>
      </c>
      <c r="C67">
        <v>3217736</v>
      </c>
      <c r="D67" t="s">
        <v>10</v>
      </c>
      <c r="E67" t="s">
        <v>16</v>
      </c>
      <c r="F67" t="s">
        <v>12</v>
      </c>
      <c r="G67" t="s">
        <v>13</v>
      </c>
      <c r="H67" t="s">
        <v>13</v>
      </c>
      <c r="I67">
        <v>32</v>
      </c>
      <c r="J67" t="str" cm="1">
        <f t="array" ref="J67">_xlfn.IFS(ISBLANK(C67),"FALTANTE",ABS((C67-$W$5)/$X$5)&gt;1.96,"ATÍPICO",ABS((C67-$W$5)/$X$5)&lt;=1.96,"NO ATÍPICO")</f>
        <v>ATÍPICO</v>
      </c>
      <c r="K67" t="str" cm="1">
        <f t="array" ref="K67">_xlfn.IFS(ISBLANK(I67),"FALTANTE",ABS((I67-$W$8)/$X$8)&gt;1.92,"ATÍPICO",ABS((I67-$W$8)/$X$8)&lt;=1.92,"NO ATÍPICO")</f>
        <v>NO ATÍPICO</v>
      </c>
      <c r="L67">
        <f t="shared" si="5"/>
        <v>3217736</v>
      </c>
      <c r="M67" t="str">
        <f t="shared" si="4"/>
        <v>ASALARIADO</v>
      </c>
      <c r="N67">
        <f t="shared" si="6"/>
        <v>32</v>
      </c>
      <c r="O67" s="19" t="str">
        <f t="shared" si="7"/>
        <v>1200k+</v>
      </c>
      <c r="P67" s="19" t="str">
        <f t="shared" si="8"/>
        <v>26-35</v>
      </c>
    </row>
    <row r="68" spans="1:16" x14ac:dyDescent="0.25">
      <c r="A68">
        <v>67</v>
      </c>
      <c r="B68" t="s">
        <v>9</v>
      </c>
      <c r="C68">
        <v>133603.53</v>
      </c>
      <c r="D68" t="s">
        <v>14</v>
      </c>
      <c r="E68" t="s">
        <v>11</v>
      </c>
      <c r="F68" t="s">
        <v>12</v>
      </c>
      <c r="G68" t="s">
        <v>13</v>
      </c>
      <c r="H68" t="s">
        <v>13</v>
      </c>
      <c r="I68">
        <v>72</v>
      </c>
      <c r="J68" t="str" cm="1">
        <f t="array" ref="J68">_xlfn.IFS(ISBLANK(C68),"FALTANTE",ABS((C68-$W$5)/$X$5)&gt;1.96,"ATÍPICO",ABS((C68-$W$5)/$X$5)&lt;=1.96,"NO ATÍPICO")</f>
        <v>NO ATÍPICO</v>
      </c>
      <c r="K68" t="str" cm="1">
        <f t="array" ref="K68">_xlfn.IFS(ISBLANK(I68),"FALTANTE",ABS((I68-$W$8)/$X$8)&gt;1.92,"ATÍPICO",ABS((I68-$W$8)/$X$8)&lt;=1.92,"NO ATÍPICO")</f>
        <v>ATÍPICO</v>
      </c>
      <c r="L68">
        <f t="shared" si="5"/>
        <v>133603.53</v>
      </c>
      <c r="M68" t="str">
        <f t="shared" ref="M68:M131" si="9">D68</f>
        <v>PENSIONADOS EN SU PROPIO SISTEMA</v>
      </c>
      <c r="N68">
        <f t="shared" si="6"/>
        <v>72</v>
      </c>
      <c r="O68" s="19" t="str">
        <f t="shared" si="7"/>
        <v>0–300k</v>
      </c>
      <c r="P68" s="19" t="str">
        <f t="shared" si="8"/>
        <v>56+</v>
      </c>
    </row>
    <row r="69" spans="1:16" x14ac:dyDescent="0.25">
      <c r="A69">
        <v>68</v>
      </c>
      <c r="B69" t="s">
        <v>9</v>
      </c>
      <c r="C69">
        <v>140435.81</v>
      </c>
      <c r="D69" t="s">
        <v>14</v>
      </c>
      <c r="E69" t="s">
        <v>11</v>
      </c>
      <c r="F69" t="s">
        <v>12</v>
      </c>
      <c r="G69" t="s">
        <v>13</v>
      </c>
      <c r="H69" t="s">
        <v>13</v>
      </c>
      <c r="I69">
        <v>74</v>
      </c>
      <c r="J69" t="str" cm="1">
        <f t="array" ref="J69">_xlfn.IFS(ISBLANK(C69),"FALTANTE",ABS((C69-$W$5)/$X$5)&gt;1.96,"ATÍPICO",ABS((C69-$W$5)/$X$5)&lt;=1.96,"NO ATÍPICO")</f>
        <v>NO ATÍPICO</v>
      </c>
      <c r="K69" t="str" cm="1">
        <f t="array" ref="K69">_xlfn.IFS(ISBLANK(I69),"FALTANTE",ABS((I69-$W$8)/$X$8)&gt;1.92,"ATÍPICO",ABS((I69-$W$8)/$X$8)&lt;=1.92,"NO ATÍPICO")</f>
        <v>ATÍPICO</v>
      </c>
      <c r="L69">
        <f t="shared" si="5"/>
        <v>140435.81</v>
      </c>
      <c r="M69" t="str">
        <f t="shared" si="9"/>
        <v>PENSIONADOS EN SU PROPIO SISTEMA</v>
      </c>
      <c r="N69">
        <f t="shared" si="6"/>
        <v>74</v>
      </c>
      <c r="O69" s="19" t="str">
        <f t="shared" si="7"/>
        <v>0–300k</v>
      </c>
      <c r="P69" s="19" t="str">
        <f t="shared" si="8"/>
        <v>56+</v>
      </c>
    </row>
    <row r="70" spans="1:16" x14ac:dyDescent="0.25">
      <c r="A70">
        <v>69</v>
      </c>
      <c r="B70" t="s">
        <v>9</v>
      </c>
      <c r="C70">
        <v>1866932.5</v>
      </c>
      <c r="D70" t="s">
        <v>10</v>
      </c>
      <c r="E70" t="s">
        <v>11</v>
      </c>
      <c r="F70" t="s">
        <v>12</v>
      </c>
      <c r="G70" t="s">
        <v>13</v>
      </c>
      <c r="H70" t="s">
        <v>13</v>
      </c>
      <c r="I70">
        <v>57</v>
      </c>
      <c r="J70" t="str" cm="1">
        <f t="array" ref="J70">_xlfn.IFS(ISBLANK(C70),"FALTANTE",ABS((C70-$W$5)/$X$5)&gt;1.96,"ATÍPICO",ABS((C70-$W$5)/$X$5)&lt;=1.96,"NO ATÍPICO")</f>
        <v>NO ATÍPICO</v>
      </c>
      <c r="K70" t="str" cm="1">
        <f t="array" ref="K70">_xlfn.IFS(ISBLANK(I70),"FALTANTE",ABS((I70-$W$8)/$X$8)&gt;1.92,"ATÍPICO",ABS((I70-$W$8)/$X$8)&lt;=1.92,"NO ATÍPICO")</f>
        <v>NO ATÍPICO</v>
      </c>
      <c r="L70">
        <f t="shared" si="5"/>
        <v>1866932.5</v>
      </c>
      <c r="M70" t="str">
        <f t="shared" si="9"/>
        <v>ASALARIADO</v>
      </c>
      <c r="N70">
        <f t="shared" si="6"/>
        <v>57</v>
      </c>
      <c r="O70" s="19" t="str">
        <f t="shared" si="7"/>
        <v>1200k+</v>
      </c>
      <c r="P70" s="19" t="str">
        <f t="shared" si="8"/>
        <v>56+</v>
      </c>
    </row>
    <row r="71" spans="1:16" x14ac:dyDescent="0.25">
      <c r="A71">
        <v>70</v>
      </c>
      <c r="B71" t="s">
        <v>9</v>
      </c>
      <c r="C71">
        <v>299647</v>
      </c>
      <c r="D71" t="s">
        <v>17</v>
      </c>
      <c r="E71" t="s">
        <v>16</v>
      </c>
      <c r="F71" t="s">
        <v>12</v>
      </c>
      <c r="G71" t="s">
        <v>13</v>
      </c>
      <c r="H71" t="s">
        <v>13</v>
      </c>
      <c r="J71" t="str" cm="1">
        <f t="array" ref="J71">_xlfn.IFS(ISBLANK(C71),"FALTANTE",ABS((C71-$W$5)/$X$5)&gt;1.96,"ATÍPICO",ABS((C71-$W$5)/$X$5)&lt;=1.96,"NO ATÍPICO")</f>
        <v>NO ATÍPICO</v>
      </c>
      <c r="K71" t="str" cm="1">
        <f t="array" ref="K71">_xlfn.IFS(ISBLANK(I71),"FALTANTE",ABS((I71-$W$8)/$X$8)&gt;1.92,"ATÍPICO",ABS((I71-$W$8)/$X$8)&lt;=1.92,"NO ATÍPICO")</f>
        <v>FALTANTE</v>
      </c>
      <c r="L71">
        <f t="shared" si="5"/>
        <v>299647</v>
      </c>
      <c r="M71" t="str">
        <f t="shared" si="9"/>
        <v>ASEGURADO VOLUNTARIO</v>
      </c>
      <c r="N71">
        <f>T8</f>
        <v>40</v>
      </c>
      <c r="O71" s="19" t="str">
        <f t="shared" si="7"/>
        <v>0–300k</v>
      </c>
      <c r="P71" s="19" t="str">
        <f t="shared" si="8"/>
        <v>36-45</v>
      </c>
    </row>
    <row r="72" spans="1:16" x14ac:dyDescent="0.25">
      <c r="A72">
        <v>71</v>
      </c>
      <c r="B72" t="s">
        <v>15</v>
      </c>
      <c r="C72">
        <v>544163.5</v>
      </c>
      <c r="D72" t="s">
        <v>10</v>
      </c>
      <c r="E72" t="s">
        <v>16</v>
      </c>
      <c r="F72" t="s">
        <v>12</v>
      </c>
      <c r="G72" t="s">
        <v>13</v>
      </c>
      <c r="H72" t="s">
        <v>13</v>
      </c>
      <c r="I72">
        <v>24</v>
      </c>
      <c r="J72" t="str" cm="1">
        <f t="array" ref="J72">_xlfn.IFS(ISBLANK(C72),"FALTANTE",ABS((C72-$W$5)/$X$5)&gt;1.96,"ATÍPICO",ABS((C72-$W$5)/$X$5)&lt;=1.96,"NO ATÍPICO")</f>
        <v>NO ATÍPICO</v>
      </c>
      <c r="K72" t="str" cm="1">
        <f t="array" ref="K72">_xlfn.IFS(ISBLANK(I72),"FALTANTE",ABS((I72-$W$8)/$X$8)&gt;1.92,"ATÍPICO",ABS((I72-$W$8)/$X$8)&lt;=1.92,"NO ATÍPICO")</f>
        <v>NO ATÍPICO</v>
      </c>
      <c r="L72">
        <f t="shared" si="5"/>
        <v>544163.5</v>
      </c>
      <c r="M72" t="str">
        <f t="shared" si="9"/>
        <v>ASALARIADO</v>
      </c>
      <c r="N72">
        <f t="shared" si="6"/>
        <v>24</v>
      </c>
      <c r="O72" s="19" t="str">
        <f t="shared" si="7"/>
        <v>300k–600k</v>
      </c>
      <c r="P72" s="19" t="str">
        <f t="shared" si="8"/>
        <v>18-25</v>
      </c>
    </row>
    <row r="73" spans="1:16" x14ac:dyDescent="0.25">
      <c r="A73">
        <v>72</v>
      </c>
      <c r="B73" t="s">
        <v>15</v>
      </c>
      <c r="C73">
        <v>2128928</v>
      </c>
      <c r="D73" t="s">
        <v>20</v>
      </c>
      <c r="E73" t="s">
        <v>11</v>
      </c>
      <c r="F73" t="s">
        <v>12</v>
      </c>
      <c r="G73" t="s">
        <v>13</v>
      </c>
      <c r="H73" t="s">
        <v>12</v>
      </c>
      <c r="I73">
        <v>42</v>
      </c>
      <c r="J73" t="str" cm="1">
        <f t="array" ref="J73">_xlfn.IFS(ISBLANK(C73),"FALTANTE",ABS((C73-$W$5)/$X$5)&gt;1.96,"ATÍPICO",ABS((C73-$W$5)/$X$5)&lt;=1.96,"NO ATÍPICO")</f>
        <v>NO ATÍPICO</v>
      </c>
      <c r="K73" t="str" cm="1">
        <f t="array" ref="K73">_xlfn.IFS(ISBLANK(I73),"FALTANTE",ABS((I73-$W$8)/$X$8)&gt;1.92,"ATÍPICO",ABS((I73-$W$8)/$X$8)&lt;=1.92,"NO ATÍPICO")</f>
        <v>NO ATÍPICO</v>
      </c>
      <c r="L73">
        <f t="shared" si="5"/>
        <v>2128928</v>
      </c>
      <c r="M73" t="str" cm="1">
        <f t="array" ref="M73">INDEX(D2:D5001, _xlfn.MODE.SNGL(MATCH(D2:D5001, D2:D5001, 0)))</f>
        <v>ASALARIADO</v>
      </c>
      <c r="N73">
        <f t="shared" si="6"/>
        <v>42</v>
      </c>
      <c r="O73" s="19" t="str">
        <f t="shared" si="7"/>
        <v>1200k+</v>
      </c>
      <c r="P73" s="19" t="str">
        <f t="shared" si="8"/>
        <v>36-45</v>
      </c>
    </row>
    <row r="74" spans="1:16" x14ac:dyDescent="0.25">
      <c r="A74">
        <v>73</v>
      </c>
      <c r="B74" t="s">
        <v>9</v>
      </c>
      <c r="C74">
        <v>278030</v>
      </c>
      <c r="D74" t="s">
        <v>19</v>
      </c>
      <c r="E74" t="s">
        <v>16</v>
      </c>
      <c r="F74" t="s">
        <v>12</v>
      </c>
      <c r="G74" t="s">
        <v>13</v>
      </c>
      <c r="H74" t="s">
        <v>13</v>
      </c>
      <c r="I74">
        <v>57</v>
      </c>
      <c r="J74" t="str" cm="1">
        <f t="array" ref="J74">_xlfn.IFS(ISBLANK(C74),"FALTANTE",ABS((C74-$W$5)/$X$5)&gt;1.96,"ATÍPICO",ABS((C74-$W$5)/$X$5)&lt;=1.96,"NO ATÍPICO")</f>
        <v>NO ATÍPICO</v>
      </c>
      <c r="K74" t="str" cm="1">
        <f t="array" ref="K74">_xlfn.IFS(ISBLANK(I74),"FALTANTE",ABS((I74-$W$8)/$X$8)&gt;1.92,"ATÍPICO",ABS((I74-$W$8)/$X$8)&lt;=1.92,"NO ATÍPICO")</f>
        <v>NO ATÍPICO</v>
      </c>
      <c r="L74">
        <f t="shared" si="5"/>
        <v>278030</v>
      </c>
      <c r="M74" t="str">
        <f t="shared" si="9"/>
        <v>CONVENIOS ESPECIALES DE TRABAJADORES INDEPENDIENTES</v>
      </c>
      <c r="N74">
        <f t="shared" si="6"/>
        <v>57</v>
      </c>
      <c r="O74" s="19" t="str">
        <f t="shared" si="7"/>
        <v>0–300k</v>
      </c>
      <c r="P74" s="19" t="str">
        <f t="shared" si="8"/>
        <v>56+</v>
      </c>
    </row>
    <row r="75" spans="1:16" x14ac:dyDescent="0.25">
      <c r="A75">
        <v>74</v>
      </c>
      <c r="B75" t="s">
        <v>15</v>
      </c>
      <c r="C75">
        <v>508972.79999999999</v>
      </c>
      <c r="D75" t="s">
        <v>10</v>
      </c>
      <c r="E75" t="s">
        <v>11</v>
      </c>
      <c r="F75" t="s">
        <v>12</v>
      </c>
      <c r="G75" t="s">
        <v>13</v>
      </c>
      <c r="H75" t="s">
        <v>13</v>
      </c>
      <c r="I75">
        <v>46</v>
      </c>
      <c r="J75" t="str" cm="1">
        <f t="array" ref="J75">_xlfn.IFS(ISBLANK(C75),"FALTANTE",ABS((C75-$W$5)/$X$5)&gt;1.96,"ATÍPICO",ABS((C75-$W$5)/$X$5)&lt;=1.96,"NO ATÍPICO")</f>
        <v>NO ATÍPICO</v>
      </c>
      <c r="K75" t="str" cm="1">
        <f t="array" ref="K75">_xlfn.IFS(ISBLANK(I75),"FALTANTE",ABS((I75-$W$8)/$X$8)&gt;1.92,"ATÍPICO",ABS((I75-$W$8)/$X$8)&lt;=1.92,"NO ATÍPICO")</f>
        <v>NO ATÍPICO</v>
      </c>
      <c r="L75">
        <f t="shared" si="5"/>
        <v>508972.79999999999</v>
      </c>
      <c r="M75" t="str">
        <f t="shared" si="9"/>
        <v>ASALARIADO</v>
      </c>
      <c r="N75">
        <f t="shared" si="6"/>
        <v>46</v>
      </c>
      <c r="O75" s="19" t="str">
        <f t="shared" si="7"/>
        <v>300k–600k</v>
      </c>
      <c r="P75" s="19" t="str">
        <f t="shared" si="8"/>
        <v>46-55</v>
      </c>
    </row>
    <row r="76" spans="1:16" x14ac:dyDescent="0.25">
      <c r="A76">
        <v>75</v>
      </c>
      <c r="B76" t="s">
        <v>9</v>
      </c>
      <c r="C76">
        <v>476424.06</v>
      </c>
      <c r="D76" t="s">
        <v>10</v>
      </c>
      <c r="E76" t="s">
        <v>16</v>
      </c>
      <c r="F76" t="s">
        <v>12</v>
      </c>
      <c r="G76" t="s">
        <v>13</v>
      </c>
      <c r="H76" t="s">
        <v>13</v>
      </c>
      <c r="I76">
        <v>24</v>
      </c>
      <c r="J76" t="str" cm="1">
        <f t="array" ref="J76">_xlfn.IFS(ISBLANK(C76),"FALTANTE",ABS((C76-$W$5)/$X$5)&gt;1.96,"ATÍPICO",ABS((C76-$W$5)/$X$5)&lt;=1.96,"NO ATÍPICO")</f>
        <v>NO ATÍPICO</v>
      </c>
      <c r="K76" t="str" cm="1">
        <f t="array" ref="K76">_xlfn.IFS(ISBLANK(I76),"FALTANTE",ABS((I76-$W$8)/$X$8)&gt;1.92,"ATÍPICO",ABS((I76-$W$8)/$X$8)&lt;=1.92,"NO ATÍPICO")</f>
        <v>NO ATÍPICO</v>
      </c>
      <c r="L76">
        <f t="shared" si="5"/>
        <v>476424.06</v>
      </c>
      <c r="M76" t="str">
        <f t="shared" si="9"/>
        <v>ASALARIADO</v>
      </c>
      <c r="N76">
        <f t="shared" si="6"/>
        <v>24</v>
      </c>
      <c r="O76" s="19" t="str">
        <f t="shared" si="7"/>
        <v>300k–600k</v>
      </c>
      <c r="P76" s="19" t="str">
        <f t="shared" si="8"/>
        <v>18-25</v>
      </c>
    </row>
    <row r="77" spans="1:16" x14ac:dyDescent="0.25">
      <c r="A77">
        <v>76</v>
      </c>
      <c r="B77" t="s">
        <v>15</v>
      </c>
      <c r="C77">
        <v>278035</v>
      </c>
      <c r="D77" t="s">
        <v>18</v>
      </c>
      <c r="E77" t="s">
        <v>16</v>
      </c>
      <c r="F77" t="s">
        <v>12</v>
      </c>
      <c r="G77" t="s">
        <v>13</v>
      </c>
      <c r="H77" t="s">
        <v>12</v>
      </c>
      <c r="I77">
        <v>27</v>
      </c>
      <c r="J77" t="str" cm="1">
        <f t="array" ref="J77">_xlfn.IFS(ISBLANK(C77),"FALTANTE",ABS((C77-$W$5)/$X$5)&gt;1.96,"ATÍPICO",ABS((C77-$W$5)/$X$5)&lt;=1.96,"NO ATÍPICO")</f>
        <v>NO ATÍPICO</v>
      </c>
      <c r="K77" t="str" cm="1">
        <f t="array" ref="K77">_xlfn.IFS(ISBLANK(I77),"FALTANTE",ABS((I77-$W$8)/$X$8)&gt;1.92,"ATÍPICO",ABS((I77-$W$8)/$X$8)&lt;=1.92,"NO ATÍPICO")</f>
        <v>NO ATÍPICO</v>
      </c>
      <c r="L77">
        <f t="shared" si="5"/>
        <v>278035</v>
      </c>
      <c r="M77" t="str">
        <f t="shared" si="9"/>
        <v>TRABAJADOR INDEPENDIENTE</v>
      </c>
      <c r="N77">
        <f t="shared" si="6"/>
        <v>27</v>
      </c>
      <c r="O77" s="19" t="str">
        <f t="shared" si="7"/>
        <v>0–300k</v>
      </c>
      <c r="P77" s="19" t="str">
        <f t="shared" si="8"/>
        <v>26-35</v>
      </c>
    </row>
    <row r="78" spans="1:16" x14ac:dyDescent="0.25">
      <c r="A78">
        <v>77</v>
      </c>
      <c r="B78" t="s">
        <v>9</v>
      </c>
      <c r="C78">
        <v>297046</v>
      </c>
      <c r="D78" t="s">
        <v>17</v>
      </c>
      <c r="E78" t="s">
        <v>16</v>
      </c>
      <c r="F78" t="s">
        <v>13</v>
      </c>
      <c r="G78" t="s">
        <v>13</v>
      </c>
      <c r="H78" t="s">
        <v>12</v>
      </c>
      <c r="I78">
        <v>29</v>
      </c>
      <c r="J78" t="str" cm="1">
        <f t="array" ref="J78">_xlfn.IFS(ISBLANK(C78),"FALTANTE",ABS((C78-$W$5)/$X$5)&gt;1.96,"ATÍPICO",ABS((C78-$W$5)/$X$5)&lt;=1.96,"NO ATÍPICO")</f>
        <v>NO ATÍPICO</v>
      </c>
      <c r="K78" t="str" cm="1">
        <f t="array" ref="K78">_xlfn.IFS(ISBLANK(I78),"FALTANTE",ABS((I78-$W$8)/$X$8)&gt;1.92,"ATÍPICO",ABS((I78-$W$8)/$X$8)&lt;=1.92,"NO ATÍPICO")</f>
        <v>NO ATÍPICO</v>
      </c>
      <c r="L78">
        <f t="shared" si="5"/>
        <v>297046</v>
      </c>
      <c r="M78" t="str">
        <f t="shared" si="9"/>
        <v>ASEGURADO VOLUNTARIO</v>
      </c>
      <c r="N78">
        <f t="shared" si="6"/>
        <v>29</v>
      </c>
      <c r="O78" s="19" t="str">
        <f t="shared" si="7"/>
        <v>0–300k</v>
      </c>
      <c r="P78" s="19" t="str">
        <f t="shared" si="8"/>
        <v>26-35</v>
      </c>
    </row>
    <row r="79" spans="1:16" x14ac:dyDescent="0.25">
      <c r="A79">
        <v>78</v>
      </c>
      <c r="B79" t="s">
        <v>15</v>
      </c>
      <c r="C79">
        <v>643859.19999999995</v>
      </c>
      <c r="D79" t="s">
        <v>10</v>
      </c>
      <c r="E79" t="s">
        <v>11</v>
      </c>
      <c r="F79" t="s">
        <v>12</v>
      </c>
      <c r="G79" t="s">
        <v>13</v>
      </c>
      <c r="H79" t="s">
        <v>13</v>
      </c>
      <c r="I79">
        <v>35</v>
      </c>
      <c r="J79" t="str" cm="1">
        <f t="array" ref="J79">_xlfn.IFS(ISBLANK(C79),"FALTANTE",ABS((C79-$W$5)/$X$5)&gt;1.96,"ATÍPICO",ABS((C79-$W$5)/$X$5)&lt;=1.96,"NO ATÍPICO")</f>
        <v>NO ATÍPICO</v>
      </c>
      <c r="K79" t="str" cm="1">
        <f t="array" ref="K79">_xlfn.IFS(ISBLANK(I79),"FALTANTE",ABS((I79-$W$8)/$X$8)&gt;1.92,"ATÍPICO",ABS((I79-$W$8)/$X$8)&lt;=1.92,"NO ATÍPICO")</f>
        <v>NO ATÍPICO</v>
      </c>
      <c r="L79">
        <f t="shared" si="5"/>
        <v>643859.19999999995</v>
      </c>
      <c r="M79" t="str">
        <f t="shared" si="9"/>
        <v>ASALARIADO</v>
      </c>
      <c r="N79">
        <f t="shared" si="6"/>
        <v>35</v>
      </c>
      <c r="O79" s="19" t="str">
        <f t="shared" si="7"/>
        <v>600k–900k</v>
      </c>
      <c r="P79" s="19" t="str">
        <f t="shared" si="8"/>
        <v>26-35</v>
      </c>
    </row>
    <row r="80" spans="1:16" x14ac:dyDescent="0.25">
      <c r="A80">
        <v>79</v>
      </c>
      <c r="B80" t="s">
        <v>9</v>
      </c>
      <c r="C80">
        <v>364678.16</v>
      </c>
      <c r="D80" t="s">
        <v>10</v>
      </c>
      <c r="E80" t="s">
        <v>16</v>
      </c>
      <c r="F80" t="s">
        <v>12</v>
      </c>
      <c r="G80" t="s">
        <v>13</v>
      </c>
      <c r="H80" t="s">
        <v>13</v>
      </c>
      <c r="I80">
        <v>28</v>
      </c>
      <c r="J80" t="str" cm="1">
        <f t="array" ref="J80">_xlfn.IFS(ISBLANK(C80),"FALTANTE",ABS((C80-$W$5)/$X$5)&gt;1.96,"ATÍPICO",ABS((C80-$W$5)/$X$5)&lt;=1.96,"NO ATÍPICO")</f>
        <v>NO ATÍPICO</v>
      </c>
      <c r="K80" t="str" cm="1">
        <f t="array" ref="K80">_xlfn.IFS(ISBLANK(I80),"FALTANTE",ABS((I80-$W$8)/$X$8)&gt;1.92,"ATÍPICO",ABS((I80-$W$8)/$X$8)&lt;=1.92,"NO ATÍPICO")</f>
        <v>NO ATÍPICO</v>
      </c>
      <c r="L80">
        <f t="shared" si="5"/>
        <v>364678.16</v>
      </c>
      <c r="M80" t="str">
        <f t="shared" si="9"/>
        <v>ASALARIADO</v>
      </c>
      <c r="N80">
        <f t="shared" si="6"/>
        <v>28</v>
      </c>
      <c r="O80" s="19" t="str">
        <f t="shared" si="7"/>
        <v>300k–600k</v>
      </c>
      <c r="P80" s="19" t="str">
        <f t="shared" si="8"/>
        <v>26-35</v>
      </c>
    </row>
    <row r="81" spans="1:16" x14ac:dyDescent="0.25">
      <c r="A81">
        <v>80</v>
      </c>
      <c r="B81" t="s">
        <v>15</v>
      </c>
      <c r="C81">
        <v>297046</v>
      </c>
      <c r="D81" t="s">
        <v>17</v>
      </c>
      <c r="E81" t="s">
        <v>16</v>
      </c>
      <c r="F81" t="s">
        <v>12</v>
      </c>
      <c r="G81" t="s">
        <v>13</v>
      </c>
      <c r="H81" t="s">
        <v>13</v>
      </c>
      <c r="I81">
        <v>50</v>
      </c>
      <c r="J81" t="str" cm="1">
        <f t="array" ref="J81">_xlfn.IFS(ISBLANK(C81),"FALTANTE",ABS((C81-$W$5)/$X$5)&gt;1.96,"ATÍPICO",ABS((C81-$W$5)/$X$5)&lt;=1.96,"NO ATÍPICO")</f>
        <v>NO ATÍPICO</v>
      </c>
      <c r="K81" t="str" cm="1">
        <f t="array" ref="K81">_xlfn.IFS(ISBLANK(I81),"FALTANTE",ABS((I81-$W$8)/$X$8)&gt;1.92,"ATÍPICO",ABS((I81-$W$8)/$X$8)&lt;=1.92,"NO ATÍPICO")</f>
        <v>NO ATÍPICO</v>
      </c>
      <c r="L81">
        <f t="shared" si="5"/>
        <v>297046</v>
      </c>
      <c r="M81" t="str">
        <f t="shared" si="9"/>
        <v>ASEGURADO VOLUNTARIO</v>
      </c>
      <c r="N81">
        <f t="shared" si="6"/>
        <v>50</v>
      </c>
      <c r="O81" s="19" t="str">
        <f t="shared" si="7"/>
        <v>0–300k</v>
      </c>
      <c r="P81" s="19" t="str">
        <f t="shared" si="8"/>
        <v>46-55</v>
      </c>
    </row>
    <row r="82" spans="1:16" x14ac:dyDescent="0.25">
      <c r="A82">
        <v>81</v>
      </c>
      <c r="B82" t="s">
        <v>15</v>
      </c>
      <c r="C82">
        <v>909000</v>
      </c>
      <c r="D82" t="s">
        <v>10</v>
      </c>
      <c r="E82" t="s">
        <v>16</v>
      </c>
      <c r="F82" t="s">
        <v>12</v>
      </c>
      <c r="G82" t="s">
        <v>13</v>
      </c>
      <c r="H82" t="s">
        <v>12</v>
      </c>
      <c r="I82">
        <v>27</v>
      </c>
      <c r="J82" t="str" cm="1">
        <f t="array" ref="J82">_xlfn.IFS(ISBLANK(C82),"FALTANTE",ABS((C82-$W$5)/$X$5)&gt;1.96,"ATÍPICO",ABS((C82-$W$5)/$X$5)&lt;=1.96,"NO ATÍPICO")</f>
        <v>NO ATÍPICO</v>
      </c>
      <c r="K82" t="str" cm="1">
        <f t="array" ref="K82">_xlfn.IFS(ISBLANK(I82),"FALTANTE",ABS((I82-$W$8)/$X$8)&gt;1.92,"ATÍPICO",ABS((I82-$W$8)/$X$8)&lt;=1.92,"NO ATÍPICO")</f>
        <v>NO ATÍPICO</v>
      </c>
      <c r="L82">
        <f t="shared" si="5"/>
        <v>909000</v>
      </c>
      <c r="M82" t="str">
        <f t="shared" si="9"/>
        <v>ASALARIADO</v>
      </c>
      <c r="N82">
        <f t="shared" si="6"/>
        <v>27</v>
      </c>
      <c r="O82" s="19" t="str">
        <f t="shared" si="7"/>
        <v>900k–1200k</v>
      </c>
      <c r="P82" s="19" t="str">
        <f t="shared" si="8"/>
        <v>26-35</v>
      </c>
    </row>
    <row r="83" spans="1:16" x14ac:dyDescent="0.25">
      <c r="A83">
        <v>82</v>
      </c>
      <c r="B83" t="s">
        <v>15</v>
      </c>
      <c r="C83">
        <v>1769610.96</v>
      </c>
      <c r="D83" t="s">
        <v>10</v>
      </c>
      <c r="E83" t="s">
        <v>11</v>
      </c>
      <c r="F83" t="s">
        <v>12</v>
      </c>
      <c r="G83" t="s">
        <v>13</v>
      </c>
      <c r="H83" t="s">
        <v>13</v>
      </c>
      <c r="I83">
        <v>56</v>
      </c>
      <c r="J83" t="str" cm="1">
        <f t="array" ref="J83">_xlfn.IFS(ISBLANK(C83),"FALTANTE",ABS((C83-$W$5)/$X$5)&gt;1.96,"ATÍPICO",ABS((C83-$W$5)/$X$5)&lt;=1.96,"NO ATÍPICO")</f>
        <v>NO ATÍPICO</v>
      </c>
      <c r="K83" t="str" cm="1">
        <f t="array" ref="K83">_xlfn.IFS(ISBLANK(I83),"FALTANTE",ABS((I83-$W$8)/$X$8)&gt;1.92,"ATÍPICO",ABS((I83-$W$8)/$X$8)&lt;=1.92,"NO ATÍPICO")</f>
        <v>NO ATÍPICO</v>
      </c>
      <c r="L83">
        <f t="shared" si="5"/>
        <v>1769610.96</v>
      </c>
      <c r="M83" t="str">
        <f t="shared" si="9"/>
        <v>ASALARIADO</v>
      </c>
      <c r="N83">
        <f t="shared" si="6"/>
        <v>56</v>
      </c>
      <c r="O83" s="19" t="str">
        <f t="shared" si="7"/>
        <v>1200k+</v>
      </c>
      <c r="P83" s="19" t="str">
        <f t="shared" si="8"/>
        <v>56+</v>
      </c>
    </row>
    <row r="84" spans="1:16" x14ac:dyDescent="0.25">
      <c r="A84">
        <v>83</v>
      </c>
      <c r="B84" t="s">
        <v>9</v>
      </c>
      <c r="C84">
        <v>415861</v>
      </c>
      <c r="D84" t="s">
        <v>18</v>
      </c>
      <c r="E84" t="s">
        <v>16</v>
      </c>
      <c r="F84" t="s">
        <v>12</v>
      </c>
      <c r="G84" t="s">
        <v>13</v>
      </c>
      <c r="H84" t="s">
        <v>12</v>
      </c>
      <c r="I84">
        <v>34</v>
      </c>
      <c r="J84" t="str" cm="1">
        <f t="array" ref="J84">_xlfn.IFS(ISBLANK(C84),"FALTANTE",ABS((C84-$W$5)/$X$5)&gt;1.96,"ATÍPICO",ABS((C84-$W$5)/$X$5)&lt;=1.96,"NO ATÍPICO")</f>
        <v>NO ATÍPICO</v>
      </c>
      <c r="K84" t="str" cm="1">
        <f t="array" ref="K84">_xlfn.IFS(ISBLANK(I84),"FALTANTE",ABS((I84-$W$8)/$X$8)&gt;1.92,"ATÍPICO",ABS((I84-$W$8)/$X$8)&lt;=1.92,"NO ATÍPICO")</f>
        <v>NO ATÍPICO</v>
      </c>
      <c r="L84">
        <f t="shared" si="5"/>
        <v>415861</v>
      </c>
      <c r="M84" t="str">
        <f t="shared" si="9"/>
        <v>TRABAJADOR INDEPENDIENTE</v>
      </c>
      <c r="N84">
        <f t="shared" si="6"/>
        <v>34</v>
      </c>
      <c r="O84" s="19" t="str">
        <f t="shared" si="7"/>
        <v>300k–600k</v>
      </c>
      <c r="P84" s="19" t="str">
        <f t="shared" si="8"/>
        <v>26-35</v>
      </c>
    </row>
    <row r="85" spans="1:16" x14ac:dyDescent="0.25">
      <c r="A85">
        <v>84</v>
      </c>
      <c r="B85" t="s">
        <v>15</v>
      </c>
      <c r="C85">
        <v>1404047</v>
      </c>
      <c r="D85" t="s">
        <v>10</v>
      </c>
      <c r="E85" t="s">
        <v>11</v>
      </c>
      <c r="F85" t="s">
        <v>12</v>
      </c>
      <c r="G85" t="s">
        <v>13</v>
      </c>
      <c r="H85" t="s">
        <v>12</v>
      </c>
      <c r="I85">
        <v>53</v>
      </c>
      <c r="J85" t="str" cm="1">
        <f t="array" ref="J85">_xlfn.IFS(ISBLANK(C85),"FALTANTE",ABS((C85-$W$5)/$X$5)&gt;1.96,"ATÍPICO",ABS((C85-$W$5)/$X$5)&lt;=1.96,"NO ATÍPICO")</f>
        <v>NO ATÍPICO</v>
      </c>
      <c r="K85" t="str" cm="1">
        <f t="array" ref="K85">_xlfn.IFS(ISBLANK(I85),"FALTANTE",ABS((I85-$W$8)/$X$8)&gt;1.92,"ATÍPICO",ABS((I85-$W$8)/$X$8)&lt;=1.92,"NO ATÍPICO")</f>
        <v>NO ATÍPICO</v>
      </c>
      <c r="L85">
        <f t="shared" si="5"/>
        <v>1404047</v>
      </c>
      <c r="M85" t="str">
        <f t="shared" si="9"/>
        <v>ASALARIADO</v>
      </c>
      <c r="N85">
        <f t="shared" si="6"/>
        <v>53</v>
      </c>
      <c r="O85" s="19" t="str">
        <f t="shared" si="7"/>
        <v>1200k+</v>
      </c>
      <c r="P85" s="19" t="str">
        <f t="shared" si="8"/>
        <v>46-55</v>
      </c>
    </row>
    <row r="86" spans="1:16" x14ac:dyDescent="0.25">
      <c r="A86">
        <v>85</v>
      </c>
      <c r="B86" t="s">
        <v>15</v>
      </c>
      <c r="C86">
        <v>457842.57</v>
      </c>
      <c r="D86" t="s">
        <v>10</v>
      </c>
      <c r="E86" t="s">
        <v>16</v>
      </c>
      <c r="F86" t="s">
        <v>12</v>
      </c>
      <c r="G86" t="s">
        <v>13</v>
      </c>
      <c r="H86" t="s">
        <v>13</v>
      </c>
      <c r="I86">
        <v>50</v>
      </c>
      <c r="J86" t="str" cm="1">
        <f t="array" ref="J86">_xlfn.IFS(ISBLANK(C86),"FALTANTE",ABS((C86-$W$5)/$X$5)&gt;1.96,"ATÍPICO",ABS((C86-$W$5)/$X$5)&lt;=1.96,"NO ATÍPICO")</f>
        <v>NO ATÍPICO</v>
      </c>
      <c r="K86" t="str" cm="1">
        <f t="array" ref="K86">_xlfn.IFS(ISBLANK(I86),"FALTANTE",ABS((I86-$W$8)/$X$8)&gt;1.92,"ATÍPICO",ABS((I86-$W$8)/$X$8)&lt;=1.92,"NO ATÍPICO")</f>
        <v>NO ATÍPICO</v>
      </c>
      <c r="L86">
        <f t="shared" si="5"/>
        <v>457842.57</v>
      </c>
      <c r="M86" t="str">
        <f t="shared" si="9"/>
        <v>ASALARIADO</v>
      </c>
      <c r="N86">
        <f t="shared" si="6"/>
        <v>50</v>
      </c>
      <c r="O86" s="19" t="str">
        <f t="shared" si="7"/>
        <v>300k–600k</v>
      </c>
      <c r="P86" s="19" t="str">
        <f t="shared" si="8"/>
        <v>46-55</v>
      </c>
    </row>
    <row r="87" spans="1:16" x14ac:dyDescent="0.25">
      <c r="A87">
        <v>86</v>
      </c>
      <c r="B87" t="s">
        <v>15</v>
      </c>
      <c r="C87">
        <v>297046</v>
      </c>
      <c r="D87" t="s">
        <v>17</v>
      </c>
      <c r="E87" t="s">
        <v>16</v>
      </c>
      <c r="F87" t="s">
        <v>12</v>
      </c>
      <c r="G87" t="s">
        <v>13</v>
      </c>
      <c r="H87" t="s">
        <v>13</v>
      </c>
      <c r="I87">
        <v>36</v>
      </c>
      <c r="J87" t="str" cm="1">
        <f t="array" ref="J87">_xlfn.IFS(ISBLANK(C87),"FALTANTE",ABS((C87-$W$5)/$X$5)&gt;1.96,"ATÍPICO",ABS((C87-$W$5)/$X$5)&lt;=1.96,"NO ATÍPICO")</f>
        <v>NO ATÍPICO</v>
      </c>
      <c r="K87" t="str" cm="1">
        <f t="array" ref="K87">_xlfn.IFS(ISBLANK(I87),"FALTANTE",ABS((I87-$W$8)/$X$8)&gt;1.92,"ATÍPICO",ABS((I87-$W$8)/$X$8)&lt;=1.92,"NO ATÍPICO")</f>
        <v>NO ATÍPICO</v>
      </c>
      <c r="L87">
        <f t="shared" si="5"/>
        <v>297046</v>
      </c>
      <c r="M87" t="str">
        <f t="shared" si="9"/>
        <v>ASEGURADO VOLUNTARIO</v>
      </c>
      <c r="N87">
        <f t="shared" si="6"/>
        <v>36</v>
      </c>
      <c r="O87" s="19" t="str">
        <f t="shared" si="7"/>
        <v>0–300k</v>
      </c>
      <c r="P87" s="19" t="str">
        <f t="shared" si="8"/>
        <v>36-45</v>
      </c>
    </row>
    <row r="88" spans="1:16" x14ac:dyDescent="0.25">
      <c r="A88">
        <v>87</v>
      </c>
      <c r="B88" t="s">
        <v>9</v>
      </c>
      <c r="C88">
        <v>347356.26</v>
      </c>
      <c r="D88" t="s">
        <v>10</v>
      </c>
      <c r="E88" t="s">
        <v>16</v>
      </c>
      <c r="F88" t="s">
        <v>12</v>
      </c>
      <c r="G88" t="s">
        <v>13</v>
      </c>
      <c r="H88" t="s">
        <v>13</v>
      </c>
      <c r="I88">
        <v>38</v>
      </c>
      <c r="J88" t="str" cm="1">
        <f t="array" ref="J88">_xlfn.IFS(ISBLANK(C88),"FALTANTE",ABS((C88-$W$5)/$X$5)&gt;1.96,"ATÍPICO",ABS((C88-$W$5)/$X$5)&lt;=1.96,"NO ATÍPICO")</f>
        <v>NO ATÍPICO</v>
      </c>
      <c r="K88" t="str" cm="1">
        <f t="array" ref="K88">_xlfn.IFS(ISBLANK(I88),"FALTANTE",ABS((I88-$W$8)/$X$8)&gt;1.92,"ATÍPICO",ABS((I88-$W$8)/$X$8)&lt;=1.92,"NO ATÍPICO")</f>
        <v>NO ATÍPICO</v>
      </c>
      <c r="L88">
        <f t="shared" si="5"/>
        <v>347356.26</v>
      </c>
      <c r="M88" t="str">
        <f t="shared" si="9"/>
        <v>ASALARIADO</v>
      </c>
      <c r="N88">
        <f t="shared" si="6"/>
        <v>38</v>
      </c>
      <c r="O88" s="19" t="str">
        <f t="shared" si="7"/>
        <v>300k–600k</v>
      </c>
      <c r="P88" s="19" t="str">
        <f t="shared" si="8"/>
        <v>36-45</v>
      </c>
    </row>
    <row r="89" spans="1:16" x14ac:dyDescent="0.25">
      <c r="A89">
        <v>88</v>
      </c>
      <c r="B89" t="s">
        <v>15</v>
      </c>
      <c r="C89">
        <v>432031</v>
      </c>
      <c r="D89" t="s">
        <v>10</v>
      </c>
      <c r="E89" t="s">
        <v>11</v>
      </c>
      <c r="F89" t="s">
        <v>12</v>
      </c>
      <c r="G89" t="s">
        <v>13</v>
      </c>
      <c r="H89" t="s">
        <v>12</v>
      </c>
      <c r="I89">
        <v>31</v>
      </c>
      <c r="J89" t="str" cm="1">
        <f t="array" ref="J89">_xlfn.IFS(ISBLANK(C89),"FALTANTE",ABS((C89-$W$5)/$X$5)&gt;1.96,"ATÍPICO",ABS((C89-$W$5)/$X$5)&lt;=1.96,"NO ATÍPICO")</f>
        <v>NO ATÍPICO</v>
      </c>
      <c r="K89" t="str" cm="1">
        <f t="array" ref="K89">_xlfn.IFS(ISBLANK(I89),"FALTANTE",ABS((I89-$W$8)/$X$8)&gt;1.92,"ATÍPICO",ABS((I89-$W$8)/$X$8)&lt;=1.92,"NO ATÍPICO")</f>
        <v>NO ATÍPICO</v>
      </c>
      <c r="L89">
        <f t="shared" si="5"/>
        <v>432031</v>
      </c>
      <c r="M89" t="str">
        <f t="shared" si="9"/>
        <v>ASALARIADO</v>
      </c>
      <c r="N89">
        <f t="shared" si="6"/>
        <v>31</v>
      </c>
      <c r="O89" s="19" t="str">
        <f t="shared" si="7"/>
        <v>300k–600k</v>
      </c>
      <c r="P89" s="19" t="str">
        <f t="shared" si="8"/>
        <v>26-35</v>
      </c>
    </row>
    <row r="90" spans="1:16" x14ac:dyDescent="0.25">
      <c r="A90">
        <v>89</v>
      </c>
      <c r="B90" t="s">
        <v>9</v>
      </c>
      <c r="C90">
        <v>419292</v>
      </c>
      <c r="D90" t="s">
        <v>18</v>
      </c>
      <c r="E90" t="s">
        <v>16</v>
      </c>
      <c r="F90" t="s">
        <v>12</v>
      </c>
      <c r="G90" t="s">
        <v>12</v>
      </c>
      <c r="H90" t="s">
        <v>13</v>
      </c>
      <c r="I90">
        <v>36</v>
      </c>
      <c r="J90" t="str" cm="1">
        <f t="array" ref="J90">_xlfn.IFS(ISBLANK(C90),"FALTANTE",ABS((C90-$W$5)/$X$5)&gt;1.96,"ATÍPICO",ABS((C90-$W$5)/$X$5)&lt;=1.96,"NO ATÍPICO")</f>
        <v>NO ATÍPICO</v>
      </c>
      <c r="K90" t="str" cm="1">
        <f t="array" ref="K90">_xlfn.IFS(ISBLANK(I90),"FALTANTE",ABS((I90-$W$8)/$X$8)&gt;1.92,"ATÍPICO",ABS((I90-$W$8)/$X$8)&lt;=1.92,"NO ATÍPICO")</f>
        <v>NO ATÍPICO</v>
      </c>
      <c r="L90">
        <f t="shared" si="5"/>
        <v>419292</v>
      </c>
      <c r="M90" t="str">
        <f t="shared" si="9"/>
        <v>TRABAJADOR INDEPENDIENTE</v>
      </c>
      <c r="N90">
        <f t="shared" si="6"/>
        <v>36</v>
      </c>
      <c r="O90" s="19" t="str">
        <f t="shared" si="7"/>
        <v>300k–600k</v>
      </c>
      <c r="P90" s="19" t="str">
        <f t="shared" si="8"/>
        <v>36-45</v>
      </c>
    </row>
    <row r="91" spans="1:16" x14ac:dyDescent="0.25">
      <c r="A91">
        <v>90</v>
      </c>
      <c r="B91" t="s">
        <v>15</v>
      </c>
      <c r="C91">
        <v>622035.81999999995</v>
      </c>
      <c r="D91" t="s">
        <v>10</v>
      </c>
      <c r="E91" t="s">
        <v>11</v>
      </c>
      <c r="F91" t="s">
        <v>12</v>
      </c>
      <c r="G91" t="s">
        <v>13</v>
      </c>
      <c r="H91" t="s">
        <v>13</v>
      </c>
      <c r="I91">
        <v>30</v>
      </c>
      <c r="J91" t="str" cm="1">
        <f t="array" ref="J91">_xlfn.IFS(ISBLANK(C91),"FALTANTE",ABS((C91-$W$5)/$X$5)&gt;1.96,"ATÍPICO",ABS((C91-$W$5)/$X$5)&lt;=1.96,"NO ATÍPICO")</f>
        <v>NO ATÍPICO</v>
      </c>
      <c r="K91" t="str" cm="1">
        <f t="array" ref="K91">_xlfn.IFS(ISBLANK(I91),"FALTANTE",ABS((I91-$W$8)/$X$8)&gt;1.92,"ATÍPICO",ABS((I91-$W$8)/$X$8)&lt;=1.92,"NO ATÍPICO")</f>
        <v>NO ATÍPICO</v>
      </c>
      <c r="L91">
        <f t="shared" si="5"/>
        <v>622035.81999999995</v>
      </c>
      <c r="M91" t="str">
        <f t="shared" si="9"/>
        <v>ASALARIADO</v>
      </c>
      <c r="N91">
        <f t="shared" si="6"/>
        <v>30</v>
      </c>
      <c r="O91" s="19" t="str">
        <f t="shared" si="7"/>
        <v>600k–900k</v>
      </c>
      <c r="P91" s="19" t="str">
        <f t="shared" si="8"/>
        <v>26-35</v>
      </c>
    </row>
    <row r="92" spans="1:16" x14ac:dyDescent="0.25">
      <c r="A92">
        <v>91</v>
      </c>
      <c r="B92" t="s">
        <v>9</v>
      </c>
      <c r="C92">
        <v>483142.5</v>
      </c>
      <c r="D92" t="s">
        <v>10</v>
      </c>
      <c r="E92" t="s">
        <v>16</v>
      </c>
      <c r="F92" t="s">
        <v>12</v>
      </c>
      <c r="G92" t="s">
        <v>13</v>
      </c>
      <c r="H92" t="s">
        <v>13</v>
      </c>
      <c r="I92">
        <v>33</v>
      </c>
      <c r="J92" t="str" cm="1">
        <f t="array" ref="J92">_xlfn.IFS(ISBLANK(C92),"FALTANTE",ABS((C92-$W$5)/$X$5)&gt;1.96,"ATÍPICO",ABS((C92-$W$5)/$X$5)&lt;=1.96,"NO ATÍPICO")</f>
        <v>NO ATÍPICO</v>
      </c>
      <c r="K92" t="str" cm="1">
        <f t="array" ref="K92">_xlfn.IFS(ISBLANK(I92),"FALTANTE",ABS((I92-$W$8)/$X$8)&gt;1.92,"ATÍPICO",ABS((I92-$W$8)/$X$8)&lt;=1.92,"NO ATÍPICO")</f>
        <v>NO ATÍPICO</v>
      </c>
      <c r="L92">
        <f t="shared" si="5"/>
        <v>483142.5</v>
      </c>
      <c r="M92" t="str">
        <f t="shared" si="9"/>
        <v>ASALARIADO</v>
      </c>
      <c r="N92">
        <f t="shared" si="6"/>
        <v>33</v>
      </c>
      <c r="O92" s="19" t="str">
        <f t="shared" si="7"/>
        <v>300k–600k</v>
      </c>
      <c r="P92" s="19" t="str">
        <f t="shared" si="8"/>
        <v>26-35</v>
      </c>
    </row>
    <row r="93" spans="1:16" x14ac:dyDescent="0.25">
      <c r="A93">
        <v>92</v>
      </c>
      <c r="B93" t="s">
        <v>9</v>
      </c>
      <c r="C93">
        <v>609320.69999999995</v>
      </c>
      <c r="D93" t="s">
        <v>10</v>
      </c>
      <c r="E93" t="s">
        <v>11</v>
      </c>
      <c r="F93" t="s">
        <v>12</v>
      </c>
      <c r="G93" t="s">
        <v>13</v>
      </c>
      <c r="H93" t="s">
        <v>13</v>
      </c>
      <c r="I93">
        <v>39</v>
      </c>
      <c r="J93" t="str" cm="1">
        <f t="array" ref="J93">_xlfn.IFS(ISBLANK(C93),"FALTANTE",ABS((C93-$W$5)/$X$5)&gt;1.96,"ATÍPICO",ABS((C93-$W$5)/$X$5)&lt;=1.96,"NO ATÍPICO")</f>
        <v>NO ATÍPICO</v>
      </c>
      <c r="K93" t="str" cm="1">
        <f t="array" ref="K93">_xlfn.IFS(ISBLANK(I93),"FALTANTE",ABS((I93-$W$8)/$X$8)&gt;1.92,"ATÍPICO",ABS((I93-$W$8)/$X$8)&lt;=1.92,"NO ATÍPICO")</f>
        <v>NO ATÍPICO</v>
      </c>
      <c r="L93">
        <f t="shared" si="5"/>
        <v>609320.69999999995</v>
      </c>
      <c r="M93" t="str">
        <f t="shared" si="9"/>
        <v>ASALARIADO</v>
      </c>
      <c r="N93">
        <f t="shared" si="6"/>
        <v>39</v>
      </c>
      <c r="O93" s="19" t="str">
        <f t="shared" si="7"/>
        <v>600k–900k</v>
      </c>
      <c r="P93" s="19" t="str">
        <f t="shared" si="8"/>
        <v>36-45</v>
      </c>
    </row>
    <row r="94" spans="1:16" x14ac:dyDescent="0.25">
      <c r="A94">
        <v>93</v>
      </c>
      <c r="B94" t="s">
        <v>9</v>
      </c>
      <c r="C94">
        <v>982902.8</v>
      </c>
      <c r="D94" t="s">
        <v>10</v>
      </c>
      <c r="E94" t="s">
        <v>11</v>
      </c>
      <c r="F94" t="s">
        <v>12</v>
      </c>
      <c r="G94" t="s">
        <v>13</v>
      </c>
      <c r="H94" t="s">
        <v>13</v>
      </c>
      <c r="I94">
        <v>49</v>
      </c>
      <c r="J94" t="str" cm="1">
        <f t="array" ref="J94">_xlfn.IFS(ISBLANK(C94),"FALTANTE",ABS((C94-$W$5)/$X$5)&gt;1.96,"ATÍPICO",ABS((C94-$W$5)/$X$5)&lt;=1.96,"NO ATÍPICO")</f>
        <v>NO ATÍPICO</v>
      </c>
      <c r="K94" t="str" cm="1">
        <f t="array" ref="K94">_xlfn.IFS(ISBLANK(I94),"FALTANTE",ABS((I94-$W$8)/$X$8)&gt;1.92,"ATÍPICO",ABS((I94-$W$8)/$X$8)&lt;=1.92,"NO ATÍPICO")</f>
        <v>NO ATÍPICO</v>
      </c>
      <c r="L94">
        <f t="shared" si="5"/>
        <v>982902.8</v>
      </c>
      <c r="M94" t="str">
        <f t="shared" si="9"/>
        <v>ASALARIADO</v>
      </c>
      <c r="N94">
        <f t="shared" si="6"/>
        <v>49</v>
      </c>
      <c r="O94" s="19" t="str">
        <f t="shared" si="7"/>
        <v>900k–1200k</v>
      </c>
      <c r="P94" s="19" t="str">
        <f t="shared" si="8"/>
        <v>46-55</v>
      </c>
    </row>
    <row r="95" spans="1:16" x14ac:dyDescent="0.25">
      <c r="A95">
        <v>94</v>
      </c>
      <c r="B95" t="s">
        <v>15</v>
      </c>
      <c r="C95">
        <v>800002</v>
      </c>
      <c r="D95" t="s">
        <v>10</v>
      </c>
      <c r="E95" t="s">
        <v>16</v>
      </c>
      <c r="F95" t="s">
        <v>12</v>
      </c>
      <c r="G95" t="s">
        <v>13</v>
      </c>
      <c r="H95" t="s">
        <v>13</v>
      </c>
      <c r="I95">
        <v>30</v>
      </c>
      <c r="J95" t="str" cm="1">
        <f t="array" ref="J95">_xlfn.IFS(ISBLANK(C95),"FALTANTE",ABS((C95-$W$5)/$X$5)&gt;1.96,"ATÍPICO",ABS((C95-$W$5)/$X$5)&lt;=1.96,"NO ATÍPICO")</f>
        <v>NO ATÍPICO</v>
      </c>
      <c r="K95" t="str" cm="1">
        <f t="array" ref="K95">_xlfn.IFS(ISBLANK(I95),"FALTANTE",ABS((I95-$W$8)/$X$8)&gt;1.92,"ATÍPICO",ABS((I95-$W$8)/$X$8)&lt;=1.92,"NO ATÍPICO")</f>
        <v>NO ATÍPICO</v>
      </c>
      <c r="L95">
        <f t="shared" si="5"/>
        <v>800002</v>
      </c>
      <c r="M95" t="str">
        <f t="shared" si="9"/>
        <v>ASALARIADO</v>
      </c>
      <c r="N95">
        <f t="shared" si="6"/>
        <v>30</v>
      </c>
      <c r="O95" s="19" t="str">
        <f t="shared" si="7"/>
        <v>600k–900k</v>
      </c>
      <c r="P95" s="19" t="str">
        <f t="shared" si="8"/>
        <v>26-35</v>
      </c>
    </row>
    <row r="96" spans="1:16" x14ac:dyDescent="0.25">
      <c r="A96">
        <v>95</v>
      </c>
      <c r="B96" t="s">
        <v>9</v>
      </c>
      <c r="C96">
        <v>938875</v>
      </c>
      <c r="D96" t="s">
        <v>10</v>
      </c>
      <c r="E96" t="s">
        <v>16</v>
      </c>
      <c r="F96" t="s">
        <v>12</v>
      </c>
      <c r="G96" t="s">
        <v>13</v>
      </c>
      <c r="H96" t="s">
        <v>13</v>
      </c>
      <c r="I96">
        <v>28</v>
      </c>
      <c r="J96" t="str" cm="1">
        <f t="array" ref="J96">_xlfn.IFS(ISBLANK(C96),"FALTANTE",ABS((C96-$W$5)/$X$5)&gt;1.96,"ATÍPICO",ABS((C96-$W$5)/$X$5)&lt;=1.96,"NO ATÍPICO")</f>
        <v>NO ATÍPICO</v>
      </c>
      <c r="K96" t="str" cm="1">
        <f t="array" ref="K96">_xlfn.IFS(ISBLANK(I96),"FALTANTE",ABS((I96-$W$8)/$X$8)&gt;1.92,"ATÍPICO",ABS((I96-$W$8)/$X$8)&lt;=1.92,"NO ATÍPICO")</f>
        <v>NO ATÍPICO</v>
      </c>
      <c r="L96">
        <f t="shared" si="5"/>
        <v>938875</v>
      </c>
      <c r="M96" t="str">
        <f t="shared" si="9"/>
        <v>ASALARIADO</v>
      </c>
      <c r="N96">
        <f t="shared" si="6"/>
        <v>28</v>
      </c>
      <c r="O96" s="19" t="str">
        <f t="shared" si="7"/>
        <v>900k–1200k</v>
      </c>
      <c r="P96" s="19" t="str">
        <f t="shared" si="8"/>
        <v>26-35</v>
      </c>
    </row>
    <row r="97" spans="1:16" x14ac:dyDescent="0.25">
      <c r="A97">
        <v>96</v>
      </c>
      <c r="B97" t="s">
        <v>15</v>
      </c>
      <c r="C97">
        <v>412625.63</v>
      </c>
      <c r="D97" t="s">
        <v>10</v>
      </c>
      <c r="E97" t="s">
        <v>16</v>
      </c>
      <c r="F97" t="s">
        <v>12</v>
      </c>
      <c r="G97" t="s">
        <v>13</v>
      </c>
      <c r="H97" t="s">
        <v>13</v>
      </c>
      <c r="I97">
        <v>26</v>
      </c>
      <c r="J97" t="str" cm="1">
        <f t="array" ref="J97">_xlfn.IFS(ISBLANK(C97),"FALTANTE",ABS((C97-$W$5)/$X$5)&gt;1.96,"ATÍPICO",ABS((C97-$W$5)/$X$5)&lt;=1.96,"NO ATÍPICO")</f>
        <v>NO ATÍPICO</v>
      </c>
      <c r="K97" t="str" cm="1">
        <f t="array" ref="K97">_xlfn.IFS(ISBLANK(I97),"FALTANTE",ABS((I97-$W$8)/$X$8)&gt;1.92,"ATÍPICO",ABS((I97-$W$8)/$X$8)&lt;=1.92,"NO ATÍPICO")</f>
        <v>NO ATÍPICO</v>
      </c>
      <c r="L97">
        <f t="shared" si="5"/>
        <v>412625.63</v>
      </c>
      <c r="M97" t="str">
        <f t="shared" si="9"/>
        <v>ASALARIADO</v>
      </c>
      <c r="N97">
        <f t="shared" si="6"/>
        <v>26</v>
      </c>
      <c r="O97" s="19" t="str">
        <f t="shared" si="7"/>
        <v>300k–600k</v>
      </c>
      <c r="P97" s="19" t="str">
        <f t="shared" si="8"/>
        <v>26-35</v>
      </c>
    </row>
    <row r="98" spans="1:16" x14ac:dyDescent="0.25">
      <c r="A98">
        <v>97</v>
      </c>
      <c r="B98" t="s">
        <v>9</v>
      </c>
      <c r="C98">
        <v>234334</v>
      </c>
      <c r="D98" t="s">
        <v>10</v>
      </c>
      <c r="E98" t="s">
        <v>16</v>
      </c>
      <c r="F98" t="s">
        <v>12</v>
      </c>
      <c r="G98" t="s">
        <v>13</v>
      </c>
      <c r="H98" t="s">
        <v>13</v>
      </c>
      <c r="I98">
        <v>21</v>
      </c>
      <c r="J98" t="str" cm="1">
        <f t="array" ref="J98">_xlfn.IFS(ISBLANK(C98),"FALTANTE",ABS((C98-$W$5)/$X$5)&gt;1.96,"ATÍPICO",ABS((C98-$W$5)/$X$5)&lt;=1.96,"NO ATÍPICO")</f>
        <v>NO ATÍPICO</v>
      </c>
      <c r="K98" t="str" cm="1">
        <f t="array" ref="K98">_xlfn.IFS(ISBLANK(I98),"FALTANTE",ABS((I98-$W$8)/$X$8)&gt;1.92,"ATÍPICO",ABS((I98-$W$8)/$X$8)&lt;=1.92,"NO ATÍPICO")</f>
        <v>NO ATÍPICO</v>
      </c>
      <c r="L98">
        <f t="shared" si="5"/>
        <v>234334</v>
      </c>
      <c r="M98" t="str">
        <f t="shared" si="9"/>
        <v>ASALARIADO</v>
      </c>
      <c r="N98">
        <f t="shared" si="6"/>
        <v>21</v>
      </c>
      <c r="O98" s="19" t="str">
        <f t="shared" si="7"/>
        <v>0–300k</v>
      </c>
      <c r="P98" s="19" t="str">
        <f t="shared" si="8"/>
        <v>18-25</v>
      </c>
    </row>
    <row r="99" spans="1:16" x14ac:dyDescent="0.25">
      <c r="A99">
        <v>98</v>
      </c>
      <c r="B99" t="s">
        <v>15</v>
      </c>
      <c r="C99">
        <v>675720</v>
      </c>
      <c r="D99" t="s">
        <v>10</v>
      </c>
      <c r="E99" t="s">
        <v>11</v>
      </c>
      <c r="F99" t="s">
        <v>12</v>
      </c>
      <c r="G99" t="s">
        <v>13</v>
      </c>
      <c r="H99" t="s">
        <v>13</v>
      </c>
      <c r="I99">
        <v>36</v>
      </c>
      <c r="J99" t="str" cm="1">
        <f t="array" ref="J99">_xlfn.IFS(ISBLANK(C99),"FALTANTE",ABS((C99-$W$5)/$X$5)&gt;1.96,"ATÍPICO",ABS((C99-$W$5)/$X$5)&lt;=1.96,"NO ATÍPICO")</f>
        <v>NO ATÍPICO</v>
      </c>
      <c r="K99" t="str" cm="1">
        <f t="array" ref="K99">_xlfn.IFS(ISBLANK(I99),"FALTANTE",ABS((I99-$W$8)/$X$8)&gt;1.92,"ATÍPICO",ABS((I99-$W$8)/$X$8)&lt;=1.92,"NO ATÍPICO")</f>
        <v>NO ATÍPICO</v>
      </c>
      <c r="L99">
        <f t="shared" si="5"/>
        <v>675720</v>
      </c>
      <c r="M99" t="str">
        <f t="shared" si="9"/>
        <v>ASALARIADO</v>
      </c>
      <c r="N99">
        <f t="shared" si="6"/>
        <v>36</v>
      </c>
      <c r="O99" s="19" t="str">
        <f t="shared" si="7"/>
        <v>600k–900k</v>
      </c>
      <c r="P99" s="19" t="str">
        <f t="shared" si="8"/>
        <v>36-45</v>
      </c>
    </row>
    <row r="100" spans="1:16" x14ac:dyDescent="0.25">
      <c r="A100">
        <v>99</v>
      </c>
      <c r="B100" t="s">
        <v>15</v>
      </c>
      <c r="C100">
        <v>283745.98</v>
      </c>
      <c r="D100" t="s">
        <v>10</v>
      </c>
      <c r="E100" t="s">
        <v>16</v>
      </c>
      <c r="F100" t="s">
        <v>12</v>
      </c>
      <c r="G100" t="s">
        <v>13</v>
      </c>
      <c r="H100" t="s">
        <v>13</v>
      </c>
      <c r="I100">
        <v>22</v>
      </c>
      <c r="J100" t="str" cm="1">
        <f t="array" ref="J100">_xlfn.IFS(ISBLANK(C100),"FALTANTE",ABS((C100-$W$5)/$X$5)&gt;1.96,"ATÍPICO",ABS((C100-$W$5)/$X$5)&lt;=1.96,"NO ATÍPICO")</f>
        <v>NO ATÍPICO</v>
      </c>
      <c r="K100" t="str" cm="1">
        <f t="array" ref="K100">_xlfn.IFS(ISBLANK(I100),"FALTANTE",ABS((I100-$W$8)/$X$8)&gt;1.92,"ATÍPICO",ABS((I100-$W$8)/$X$8)&lt;=1.92,"NO ATÍPICO")</f>
        <v>NO ATÍPICO</v>
      </c>
      <c r="L100">
        <f t="shared" si="5"/>
        <v>283745.98</v>
      </c>
      <c r="M100" t="str">
        <f t="shared" si="9"/>
        <v>ASALARIADO</v>
      </c>
      <c r="N100">
        <f t="shared" si="6"/>
        <v>22</v>
      </c>
      <c r="O100" s="19" t="str">
        <f t="shared" si="7"/>
        <v>0–300k</v>
      </c>
      <c r="P100" s="19" t="str">
        <f t="shared" si="8"/>
        <v>18-25</v>
      </c>
    </row>
    <row r="101" spans="1:16" x14ac:dyDescent="0.25">
      <c r="A101">
        <v>100</v>
      </c>
      <c r="B101" t="s">
        <v>15</v>
      </c>
      <c r="C101">
        <v>3729038.4</v>
      </c>
      <c r="D101" t="s">
        <v>10</v>
      </c>
      <c r="E101" t="s">
        <v>11</v>
      </c>
      <c r="F101" t="s">
        <v>12</v>
      </c>
      <c r="G101" t="s">
        <v>13</v>
      </c>
      <c r="H101" t="s">
        <v>13</v>
      </c>
      <c r="I101">
        <v>50</v>
      </c>
      <c r="J101" t="str" cm="1">
        <f t="array" ref="J101">_xlfn.IFS(ISBLANK(C101),"FALTANTE",ABS((C101-$W$5)/$X$5)&gt;1.96,"ATÍPICO",ABS((C101-$W$5)/$X$5)&lt;=1.96,"NO ATÍPICO")</f>
        <v>ATÍPICO</v>
      </c>
      <c r="K101" t="str" cm="1">
        <f t="array" ref="K101">_xlfn.IFS(ISBLANK(I101),"FALTANTE",ABS((I101-$W$8)/$X$8)&gt;1.92,"ATÍPICO",ABS((I101-$W$8)/$X$8)&lt;=1.92,"NO ATÍPICO")</f>
        <v>NO ATÍPICO</v>
      </c>
      <c r="L101">
        <f t="shared" si="5"/>
        <v>3729038.4</v>
      </c>
      <c r="M101" t="str">
        <f t="shared" si="9"/>
        <v>ASALARIADO</v>
      </c>
      <c r="N101">
        <f t="shared" si="6"/>
        <v>50</v>
      </c>
      <c r="O101" s="19" t="str">
        <f t="shared" si="7"/>
        <v>1200k+</v>
      </c>
      <c r="P101" s="19" t="str">
        <f t="shared" si="8"/>
        <v>46-55</v>
      </c>
    </row>
    <row r="102" spans="1:16" x14ac:dyDescent="0.25">
      <c r="A102">
        <v>101</v>
      </c>
      <c r="B102" t="s">
        <v>15</v>
      </c>
      <c r="C102">
        <v>300000</v>
      </c>
      <c r="D102" t="s">
        <v>10</v>
      </c>
      <c r="E102" t="s">
        <v>16</v>
      </c>
      <c r="F102" t="s">
        <v>12</v>
      </c>
      <c r="G102" t="s">
        <v>13</v>
      </c>
      <c r="H102" t="s">
        <v>13</v>
      </c>
      <c r="I102">
        <v>33</v>
      </c>
      <c r="J102" t="str" cm="1">
        <f t="array" ref="J102">_xlfn.IFS(ISBLANK(C102),"FALTANTE",ABS((C102-$W$5)/$X$5)&gt;1.96,"ATÍPICO",ABS((C102-$W$5)/$X$5)&lt;=1.96,"NO ATÍPICO")</f>
        <v>NO ATÍPICO</v>
      </c>
      <c r="K102" t="str" cm="1">
        <f t="array" ref="K102">_xlfn.IFS(ISBLANK(I102),"FALTANTE",ABS((I102-$W$8)/$X$8)&gt;1.92,"ATÍPICO",ABS((I102-$W$8)/$X$8)&lt;=1.92,"NO ATÍPICO")</f>
        <v>NO ATÍPICO</v>
      </c>
      <c r="L102">
        <f t="shared" si="5"/>
        <v>300000</v>
      </c>
      <c r="M102" t="str">
        <f t="shared" si="9"/>
        <v>ASALARIADO</v>
      </c>
      <c r="N102">
        <f t="shared" si="6"/>
        <v>33</v>
      </c>
      <c r="O102" s="19" t="str">
        <f t="shared" si="7"/>
        <v>0–300k</v>
      </c>
      <c r="P102" s="19" t="str">
        <f t="shared" si="8"/>
        <v>26-35</v>
      </c>
    </row>
    <row r="103" spans="1:16" x14ac:dyDescent="0.25">
      <c r="A103">
        <v>102</v>
      </c>
      <c r="B103" t="s">
        <v>15</v>
      </c>
      <c r="C103">
        <v>377900</v>
      </c>
      <c r="D103" t="s">
        <v>10</v>
      </c>
      <c r="E103" t="s">
        <v>16</v>
      </c>
      <c r="F103" t="s">
        <v>12</v>
      </c>
      <c r="G103" t="s">
        <v>13</v>
      </c>
      <c r="H103" t="s">
        <v>13</v>
      </c>
      <c r="I103">
        <v>57</v>
      </c>
      <c r="J103" t="str" cm="1">
        <f t="array" ref="J103">_xlfn.IFS(ISBLANK(C103),"FALTANTE",ABS((C103-$W$5)/$X$5)&gt;1.96,"ATÍPICO",ABS((C103-$W$5)/$X$5)&lt;=1.96,"NO ATÍPICO")</f>
        <v>NO ATÍPICO</v>
      </c>
      <c r="K103" t="str" cm="1">
        <f t="array" ref="K103">_xlfn.IFS(ISBLANK(I103),"FALTANTE",ABS((I103-$W$8)/$X$8)&gt;1.92,"ATÍPICO",ABS((I103-$W$8)/$X$8)&lt;=1.92,"NO ATÍPICO")</f>
        <v>NO ATÍPICO</v>
      </c>
      <c r="L103">
        <f t="shared" si="5"/>
        <v>377900</v>
      </c>
      <c r="M103" t="str">
        <f t="shared" si="9"/>
        <v>ASALARIADO</v>
      </c>
      <c r="N103">
        <f t="shared" si="6"/>
        <v>57</v>
      </c>
      <c r="O103" s="19" t="str">
        <f t="shared" si="7"/>
        <v>300k–600k</v>
      </c>
      <c r="P103" s="19" t="str">
        <f t="shared" si="8"/>
        <v>56+</v>
      </c>
    </row>
    <row r="104" spans="1:16" x14ac:dyDescent="0.25">
      <c r="A104">
        <v>103</v>
      </c>
      <c r="B104" t="s">
        <v>9</v>
      </c>
      <c r="C104">
        <v>300018</v>
      </c>
      <c r="D104" t="s">
        <v>17</v>
      </c>
      <c r="E104" t="s">
        <v>16</v>
      </c>
      <c r="F104" t="s">
        <v>12</v>
      </c>
      <c r="G104" t="s">
        <v>13</v>
      </c>
      <c r="H104" t="s">
        <v>13</v>
      </c>
      <c r="I104">
        <v>63</v>
      </c>
      <c r="J104" t="str" cm="1">
        <f t="array" ref="J104">_xlfn.IFS(ISBLANK(C104),"FALTANTE",ABS((C104-$W$5)/$X$5)&gt;1.96,"ATÍPICO",ABS((C104-$W$5)/$X$5)&lt;=1.96,"NO ATÍPICO")</f>
        <v>NO ATÍPICO</v>
      </c>
      <c r="K104" t="str" cm="1">
        <f t="array" ref="K104">_xlfn.IFS(ISBLANK(I104),"FALTANTE",ABS((I104-$W$8)/$X$8)&gt;1.92,"ATÍPICO",ABS((I104-$W$8)/$X$8)&lt;=1.92,"NO ATÍPICO")</f>
        <v>NO ATÍPICO</v>
      </c>
      <c r="L104">
        <f t="shared" si="5"/>
        <v>300018</v>
      </c>
      <c r="M104" t="str">
        <f t="shared" si="9"/>
        <v>ASEGURADO VOLUNTARIO</v>
      </c>
      <c r="N104">
        <f t="shared" si="6"/>
        <v>63</v>
      </c>
      <c r="O104" s="19" t="str">
        <f t="shared" si="7"/>
        <v>300k–600k</v>
      </c>
      <c r="P104" s="19" t="str">
        <f t="shared" si="8"/>
        <v>56+</v>
      </c>
    </row>
    <row r="105" spans="1:16" x14ac:dyDescent="0.25">
      <c r="A105">
        <v>104</v>
      </c>
      <c r="B105" t="s">
        <v>15</v>
      </c>
      <c r="C105">
        <v>306643.32</v>
      </c>
      <c r="D105" t="s">
        <v>10</v>
      </c>
      <c r="E105" t="s">
        <v>16</v>
      </c>
      <c r="F105" t="s">
        <v>12</v>
      </c>
      <c r="G105" t="s">
        <v>13</v>
      </c>
      <c r="H105" t="s">
        <v>13</v>
      </c>
      <c r="I105">
        <v>30</v>
      </c>
      <c r="J105" t="str" cm="1">
        <f t="array" ref="J105">_xlfn.IFS(ISBLANK(C105),"FALTANTE",ABS((C105-$W$5)/$X$5)&gt;1.96,"ATÍPICO",ABS((C105-$W$5)/$X$5)&lt;=1.96,"NO ATÍPICO")</f>
        <v>NO ATÍPICO</v>
      </c>
      <c r="K105" t="str" cm="1">
        <f t="array" ref="K105">_xlfn.IFS(ISBLANK(I105),"FALTANTE",ABS((I105-$W$8)/$X$8)&gt;1.92,"ATÍPICO",ABS((I105-$W$8)/$X$8)&lt;=1.92,"NO ATÍPICO")</f>
        <v>NO ATÍPICO</v>
      </c>
      <c r="L105">
        <f t="shared" si="5"/>
        <v>306643.32</v>
      </c>
      <c r="M105" t="str">
        <f t="shared" si="9"/>
        <v>ASALARIADO</v>
      </c>
      <c r="N105">
        <f t="shared" si="6"/>
        <v>30</v>
      </c>
      <c r="O105" s="19" t="str">
        <f t="shared" si="7"/>
        <v>300k–600k</v>
      </c>
      <c r="P105" s="19" t="str">
        <f t="shared" si="8"/>
        <v>26-35</v>
      </c>
    </row>
    <row r="106" spans="1:16" x14ac:dyDescent="0.25">
      <c r="A106">
        <v>105</v>
      </c>
      <c r="B106" t="s">
        <v>9</v>
      </c>
      <c r="C106">
        <v>462759</v>
      </c>
      <c r="D106" t="s">
        <v>10</v>
      </c>
      <c r="E106" t="s">
        <v>16</v>
      </c>
      <c r="F106" t="s">
        <v>12</v>
      </c>
      <c r="G106" t="s">
        <v>13</v>
      </c>
      <c r="H106" t="s">
        <v>13</v>
      </c>
      <c r="I106">
        <v>35</v>
      </c>
      <c r="J106" t="str" cm="1">
        <f t="array" ref="J106">_xlfn.IFS(ISBLANK(C106),"FALTANTE",ABS((C106-$W$5)/$X$5)&gt;1.96,"ATÍPICO",ABS((C106-$W$5)/$X$5)&lt;=1.96,"NO ATÍPICO")</f>
        <v>NO ATÍPICO</v>
      </c>
      <c r="K106" t="str" cm="1">
        <f t="array" ref="K106">_xlfn.IFS(ISBLANK(I106),"FALTANTE",ABS((I106-$W$8)/$X$8)&gt;1.92,"ATÍPICO",ABS((I106-$W$8)/$X$8)&lt;=1.92,"NO ATÍPICO")</f>
        <v>NO ATÍPICO</v>
      </c>
      <c r="L106">
        <f t="shared" si="5"/>
        <v>462759</v>
      </c>
      <c r="M106" t="str">
        <f t="shared" si="9"/>
        <v>ASALARIADO</v>
      </c>
      <c r="N106">
        <f t="shared" si="6"/>
        <v>35</v>
      </c>
      <c r="O106" s="19" t="str">
        <f t="shared" si="7"/>
        <v>300k–600k</v>
      </c>
      <c r="P106" s="19" t="str">
        <f t="shared" si="8"/>
        <v>26-35</v>
      </c>
    </row>
    <row r="107" spans="1:16" x14ac:dyDescent="0.25">
      <c r="A107">
        <v>106</v>
      </c>
      <c r="B107" t="s">
        <v>15</v>
      </c>
      <c r="C107">
        <v>1411236</v>
      </c>
      <c r="D107" t="s">
        <v>10</v>
      </c>
      <c r="E107" t="s">
        <v>11</v>
      </c>
      <c r="F107" t="s">
        <v>12</v>
      </c>
      <c r="G107" t="s">
        <v>13</v>
      </c>
      <c r="H107" t="s">
        <v>13</v>
      </c>
      <c r="I107">
        <v>30</v>
      </c>
      <c r="J107" t="str" cm="1">
        <f t="array" ref="J107">_xlfn.IFS(ISBLANK(C107),"FALTANTE",ABS((C107-$W$5)/$X$5)&gt;1.96,"ATÍPICO",ABS((C107-$W$5)/$X$5)&lt;=1.96,"NO ATÍPICO")</f>
        <v>NO ATÍPICO</v>
      </c>
      <c r="K107" t="str" cm="1">
        <f t="array" ref="K107">_xlfn.IFS(ISBLANK(I107),"FALTANTE",ABS((I107-$W$8)/$X$8)&gt;1.92,"ATÍPICO",ABS((I107-$W$8)/$X$8)&lt;=1.92,"NO ATÍPICO")</f>
        <v>NO ATÍPICO</v>
      </c>
      <c r="L107">
        <f t="shared" si="5"/>
        <v>1411236</v>
      </c>
      <c r="M107" t="str">
        <f t="shared" si="9"/>
        <v>ASALARIADO</v>
      </c>
      <c r="N107">
        <f t="shared" si="6"/>
        <v>30</v>
      </c>
      <c r="O107" s="19" t="str">
        <f t="shared" si="7"/>
        <v>1200k+</v>
      </c>
      <c r="P107" s="19" t="str">
        <f t="shared" si="8"/>
        <v>26-35</v>
      </c>
    </row>
    <row r="108" spans="1:16" x14ac:dyDescent="0.25">
      <c r="A108">
        <v>107</v>
      </c>
      <c r="B108" t="s">
        <v>9</v>
      </c>
      <c r="C108">
        <v>310124</v>
      </c>
      <c r="D108" t="s">
        <v>17</v>
      </c>
      <c r="E108" t="s">
        <v>16</v>
      </c>
      <c r="F108" t="s">
        <v>12</v>
      </c>
      <c r="G108" t="s">
        <v>13</v>
      </c>
      <c r="H108" t="s">
        <v>13</v>
      </c>
      <c r="I108">
        <v>51</v>
      </c>
      <c r="J108" t="str" cm="1">
        <f t="array" ref="J108">_xlfn.IFS(ISBLANK(C108),"FALTANTE",ABS((C108-$W$5)/$X$5)&gt;1.96,"ATÍPICO",ABS((C108-$W$5)/$X$5)&lt;=1.96,"NO ATÍPICO")</f>
        <v>NO ATÍPICO</v>
      </c>
      <c r="K108" t="str" cm="1">
        <f t="array" ref="K108">_xlfn.IFS(ISBLANK(I108),"FALTANTE",ABS((I108-$W$8)/$X$8)&gt;1.92,"ATÍPICO",ABS((I108-$W$8)/$X$8)&lt;=1.92,"NO ATÍPICO")</f>
        <v>NO ATÍPICO</v>
      </c>
      <c r="L108">
        <f t="shared" si="5"/>
        <v>310124</v>
      </c>
      <c r="M108" t="str">
        <f t="shared" si="9"/>
        <v>ASEGURADO VOLUNTARIO</v>
      </c>
      <c r="N108">
        <f t="shared" si="6"/>
        <v>51</v>
      </c>
      <c r="O108" s="19" t="str">
        <f t="shared" si="7"/>
        <v>300k–600k</v>
      </c>
      <c r="P108" s="19" t="str">
        <f t="shared" si="8"/>
        <v>46-55</v>
      </c>
    </row>
    <row r="109" spans="1:16" x14ac:dyDescent="0.25">
      <c r="A109">
        <v>108</v>
      </c>
      <c r="B109" t="s">
        <v>9</v>
      </c>
      <c r="C109">
        <v>505145</v>
      </c>
      <c r="D109" t="s">
        <v>18</v>
      </c>
      <c r="E109" t="s">
        <v>16</v>
      </c>
      <c r="F109" t="s">
        <v>12</v>
      </c>
      <c r="G109" t="s">
        <v>12</v>
      </c>
      <c r="H109" t="s">
        <v>12</v>
      </c>
      <c r="I109">
        <v>30</v>
      </c>
      <c r="J109" t="str" cm="1">
        <f t="array" ref="J109">_xlfn.IFS(ISBLANK(C109),"FALTANTE",ABS((C109-$W$5)/$X$5)&gt;1.96,"ATÍPICO",ABS((C109-$W$5)/$X$5)&lt;=1.96,"NO ATÍPICO")</f>
        <v>NO ATÍPICO</v>
      </c>
      <c r="K109" t="str" cm="1">
        <f t="array" ref="K109">_xlfn.IFS(ISBLANK(I109),"FALTANTE",ABS((I109-$W$8)/$X$8)&gt;1.92,"ATÍPICO",ABS((I109-$W$8)/$X$8)&lt;=1.92,"NO ATÍPICO")</f>
        <v>NO ATÍPICO</v>
      </c>
      <c r="L109">
        <f t="shared" si="5"/>
        <v>505145</v>
      </c>
      <c r="M109" t="str">
        <f t="shared" si="9"/>
        <v>TRABAJADOR INDEPENDIENTE</v>
      </c>
      <c r="N109">
        <f t="shared" si="6"/>
        <v>30</v>
      </c>
      <c r="O109" s="19" t="str">
        <f t="shared" si="7"/>
        <v>300k–600k</v>
      </c>
      <c r="P109" s="19" t="str">
        <f t="shared" si="8"/>
        <v>26-35</v>
      </c>
    </row>
    <row r="110" spans="1:16" x14ac:dyDescent="0.25">
      <c r="A110">
        <v>109</v>
      </c>
      <c r="B110" t="s">
        <v>9</v>
      </c>
      <c r="C110">
        <v>386161</v>
      </c>
      <c r="D110" t="s">
        <v>18</v>
      </c>
      <c r="E110" t="s">
        <v>16</v>
      </c>
      <c r="F110" t="s">
        <v>12</v>
      </c>
      <c r="G110" t="s">
        <v>13</v>
      </c>
      <c r="H110" t="s">
        <v>12</v>
      </c>
      <c r="I110">
        <v>44</v>
      </c>
      <c r="J110" t="str" cm="1">
        <f t="array" ref="J110">_xlfn.IFS(ISBLANK(C110),"FALTANTE",ABS((C110-$W$5)/$X$5)&gt;1.96,"ATÍPICO",ABS((C110-$W$5)/$X$5)&lt;=1.96,"NO ATÍPICO")</f>
        <v>NO ATÍPICO</v>
      </c>
      <c r="K110" t="str" cm="1">
        <f t="array" ref="K110">_xlfn.IFS(ISBLANK(I110),"FALTANTE",ABS((I110-$W$8)/$X$8)&gt;1.92,"ATÍPICO",ABS((I110-$W$8)/$X$8)&lt;=1.92,"NO ATÍPICO")</f>
        <v>NO ATÍPICO</v>
      </c>
      <c r="L110">
        <f t="shared" si="5"/>
        <v>386161</v>
      </c>
      <c r="M110" t="str">
        <f t="shared" si="9"/>
        <v>TRABAJADOR INDEPENDIENTE</v>
      </c>
      <c r="N110">
        <f t="shared" si="6"/>
        <v>44</v>
      </c>
      <c r="O110" s="19" t="str">
        <f t="shared" si="7"/>
        <v>300k–600k</v>
      </c>
      <c r="P110" s="19" t="str">
        <f t="shared" si="8"/>
        <v>36-45</v>
      </c>
    </row>
    <row r="111" spans="1:16" x14ac:dyDescent="0.25">
      <c r="A111">
        <v>110</v>
      </c>
      <c r="B111" t="s">
        <v>15</v>
      </c>
      <c r="C111">
        <v>297973.5</v>
      </c>
      <c r="D111" t="s">
        <v>10</v>
      </c>
      <c r="E111" t="s">
        <v>11</v>
      </c>
      <c r="F111" t="s">
        <v>12</v>
      </c>
      <c r="G111" t="s">
        <v>13</v>
      </c>
      <c r="H111" t="s">
        <v>13</v>
      </c>
      <c r="I111">
        <v>43</v>
      </c>
      <c r="J111" t="str" cm="1">
        <f t="array" ref="J111">_xlfn.IFS(ISBLANK(C111),"FALTANTE",ABS((C111-$W$5)/$X$5)&gt;1.96,"ATÍPICO",ABS((C111-$W$5)/$X$5)&lt;=1.96,"NO ATÍPICO")</f>
        <v>NO ATÍPICO</v>
      </c>
      <c r="K111" t="str" cm="1">
        <f t="array" ref="K111">_xlfn.IFS(ISBLANK(I111),"FALTANTE",ABS((I111-$W$8)/$X$8)&gt;1.92,"ATÍPICO",ABS((I111-$W$8)/$X$8)&lt;=1.92,"NO ATÍPICO")</f>
        <v>NO ATÍPICO</v>
      </c>
      <c r="L111">
        <f t="shared" si="5"/>
        <v>297973.5</v>
      </c>
      <c r="M111" t="str">
        <f t="shared" si="9"/>
        <v>ASALARIADO</v>
      </c>
      <c r="N111">
        <f t="shared" si="6"/>
        <v>43</v>
      </c>
      <c r="O111" s="19" t="str">
        <f t="shared" si="7"/>
        <v>0–300k</v>
      </c>
      <c r="P111" s="19" t="str">
        <f t="shared" si="8"/>
        <v>36-45</v>
      </c>
    </row>
    <row r="112" spans="1:16" x14ac:dyDescent="0.25">
      <c r="A112">
        <v>111</v>
      </c>
      <c r="B112" t="s">
        <v>15</v>
      </c>
      <c r="C112">
        <v>338049.9</v>
      </c>
      <c r="D112" t="s">
        <v>10</v>
      </c>
      <c r="E112" t="s">
        <v>16</v>
      </c>
      <c r="F112" t="s">
        <v>12</v>
      </c>
      <c r="G112" t="s">
        <v>13</v>
      </c>
      <c r="H112" t="s">
        <v>13</v>
      </c>
      <c r="I112">
        <v>43</v>
      </c>
      <c r="J112" t="str" cm="1">
        <f t="array" ref="J112">_xlfn.IFS(ISBLANK(C112),"FALTANTE",ABS((C112-$W$5)/$X$5)&gt;1.96,"ATÍPICO",ABS((C112-$W$5)/$X$5)&lt;=1.96,"NO ATÍPICO")</f>
        <v>NO ATÍPICO</v>
      </c>
      <c r="K112" t="str" cm="1">
        <f t="array" ref="K112">_xlfn.IFS(ISBLANK(I112),"FALTANTE",ABS((I112-$W$8)/$X$8)&gt;1.92,"ATÍPICO",ABS((I112-$W$8)/$X$8)&lt;=1.92,"NO ATÍPICO")</f>
        <v>NO ATÍPICO</v>
      </c>
      <c r="L112">
        <f t="shared" si="5"/>
        <v>338049.9</v>
      </c>
      <c r="M112" t="str">
        <f t="shared" si="9"/>
        <v>ASALARIADO</v>
      </c>
      <c r="N112">
        <f t="shared" si="6"/>
        <v>43</v>
      </c>
      <c r="O112" s="19" t="str">
        <f t="shared" si="7"/>
        <v>300k–600k</v>
      </c>
      <c r="P112" s="19" t="str">
        <f t="shared" si="8"/>
        <v>36-45</v>
      </c>
    </row>
    <row r="113" spans="1:16" x14ac:dyDescent="0.25">
      <c r="A113">
        <v>112</v>
      </c>
      <c r="B113" t="s">
        <v>15</v>
      </c>
      <c r="C113">
        <v>298155</v>
      </c>
      <c r="D113" t="s">
        <v>17</v>
      </c>
      <c r="E113" t="s">
        <v>16</v>
      </c>
      <c r="F113" t="s">
        <v>12</v>
      </c>
      <c r="G113" t="s">
        <v>13</v>
      </c>
      <c r="H113" t="s">
        <v>13</v>
      </c>
      <c r="I113">
        <v>47</v>
      </c>
      <c r="J113" t="str" cm="1">
        <f t="array" ref="J113">_xlfn.IFS(ISBLANK(C113),"FALTANTE",ABS((C113-$W$5)/$X$5)&gt;1.96,"ATÍPICO",ABS((C113-$W$5)/$X$5)&lt;=1.96,"NO ATÍPICO")</f>
        <v>NO ATÍPICO</v>
      </c>
      <c r="K113" t="str" cm="1">
        <f t="array" ref="K113">_xlfn.IFS(ISBLANK(I113),"FALTANTE",ABS((I113-$W$8)/$X$8)&gt;1.92,"ATÍPICO",ABS((I113-$W$8)/$X$8)&lt;=1.92,"NO ATÍPICO")</f>
        <v>NO ATÍPICO</v>
      </c>
      <c r="L113">
        <f t="shared" si="5"/>
        <v>298155</v>
      </c>
      <c r="M113" t="str">
        <f t="shared" si="9"/>
        <v>ASEGURADO VOLUNTARIO</v>
      </c>
      <c r="N113">
        <f t="shared" si="6"/>
        <v>47</v>
      </c>
      <c r="O113" s="19" t="str">
        <f t="shared" si="7"/>
        <v>0–300k</v>
      </c>
      <c r="P113" s="19" t="str">
        <f t="shared" si="8"/>
        <v>46-55</v>
      </c>
    </row>
    <row r="114" spans="1:16" x14ac:dyDescent="0.25">
      <c r="A114">
        <v>113</v>
      </c>
      <c r="B114" t="s">
        <v>15</v>
      </c>
      <c r="C114">
        <v>278030.99</v>
      </c>
      <c r="D114" t="s">
        <v>19</v>
      </c>
      <c r="E114" t="s">
        <v>16</v>
      </c>
      <c r="F114" t="s">
        <v>12</v>
      </c>
      <c r="G114" t="s">
        <v>13</v>
      </c>
      <c r="H114" t="s">
        <v>13</v>
      </c>
      <c r="I114">
        <v>30</v>
      </c>
      <c r="J114" t="str" cm="1">
        <f t="array" ref="J114">_xlfn.IFS(ISBLANK(C114),"FALTANTE",ABS((C114-$W$5)/$X$5)&gt;1.96,"ATÍPICO",ABS((C114-$W$5)/$X$5)&lt;=1.96,"NO ATÍPICO")</f>
        <v>NO ATÍPICO</v>
      </c>
      <c r="K114" t="str" cm="1">
        <f t="array" ref="K114">_xlfn.IFS(ISBLANK(I114),"FALTANTE",ABS((I114-$W$8)/$X$8)&gt;1.92,"ATÍPICO",ABS((I114-$W$8)/$X$8)&lt;=1.92,"NO ATÍPICO")</f>
        <v>NO ATÍPICO</v>
      </c>
      <c r="L114">
        <f t="shared" si="5"/>
        <v>278030.99</v>
      </c>
      <c r="M114" t="str">
        <f t="shared" si="9"/>
        <v>CONVENIOS ESPECIALES DE TRABAJADORES INDEPENDIENTES</v>
      </c>
      <c r="N114">
        <f t="shared" si="6"/>
        <v>30</v>
      </c>
      <c r="O114" s="19" t="str">
        <f t="shared" si="7"/>
        <v>0–300k</v>
      </c>
      <c r="P114" s="19" t="str">
        <f t="shared" si="8"/>
        <v>26-35</v>
      </c>
    </row>
    <row r="115" spans="1:16" x14ac:dyDescent="0.25">
      <c r="A115">
        <v>114</v>
      </c>
      <c r="B115" t="s">
        <v>15</v>
      </c>
      <c r="C115">
        <v>382026.4</v>
      </c>
      <c r="D115" t="s">
        <v>10</v>
      </c>
      <c r="E115" t="s">
        <v>16</v>
      </c>
      <c r="F115" t="s">
        <v>12</v>
      </c>
      <c r="G115" t="s">
        <v>13</v>
      </c>
      <c r="H115" t="s">
        <v>13</v>
      </c>
      <c r="I115">
        <v>44</v>
      </c>
      <c r="J115" t="str" cm="1">
        <f t="array" ref="J115">_xlfn.IFS(ISBLANK(C115),"FALTANTE",ABS((C115-$W$5)/$X$5)&gt;1.96,"ATÍPICO",ABS((C115-$W$5)/$X$5)&lt;=1.96,"NO ATÍPICO")</f>
        <v>NO ATÍPICO</v>
      </c>
      <c r="K115" t="str" cm="1">
        <f t="array" ref="K115">_xlfn.IFS(ISBLANK(I115),"FALTANTE",ABS((I115-$W$8)/$X$8)&gt;1.92,"ATÍPICO",ABS((I115-$W$8)/$X$8)&lt;=1.92,"NO ATÍPICO")</f>
        <v>NO ATÍPICO</v>
      </c>
      <c r="L115">
        <f t="shared" si="5"/>
        <v>382026.4</v>
      </c>
      <c r="M115" t="str">
        <f t="shared" si="9"/>
        <v>ASALARIADO</v>
      </c>
      <c r="N115">
        <f t="shared" si="6"/>
        <v>44</v>
      </c>
      <c r="O115" s="19" t="str">
        <f t="shared" si="7"/>
        <v>300k–600k</v>
      </c>
      <c r="P115" s="19" t="str">
        <f t="shared" si="8"/>
        <v>36-45</v>
      </c>
    </row>
    <row r="116" spans="1:16" x14ac:dyDescent="0.25">
      <c r="A116">
        <v>115</v>
      </c>
      <c r="B116" t="s">
        <v>15</v>
      </c>
      <c r="C116">
        <v>239485.57</v>
      </c>
      <c r="D116" t="s">
        <v>10</v>
      </c>
      <c r="E116" t="s">
        <v>16</v>
      </c>
      <c r="F116" t="s">
        <v>12</v>
      </c>
      <c r="G116" t="s">
        <v>13</v>
      </c>
      <c r="H116" t="s">
        <v>13</v>
      </c>
      <c r="I116">
        <v>21</v>
      </c>
      <c r="J116" t="str" cm="1">
        <f t="array" ref="J116">_xlfn.IFS(ISBLANK(C116),"FALTANTE",ABS((C116-$W$5)/$X$5)&gt;1.96,"ATÍPICO",ABS((C116-$W$5)/$X$5)&lt;=1.96,"NO ATÍPICO")</f>
        <v>NO ATÍPICO</v>
      </c>
      <c r="K116" t="str" cm="1">
        <f t="array" ref="K116">_xlfn.IFS(ISBLANK(I116),"FALTANTE",ABS((I116-$W$8)/$X$8)&gt;1.92,"ATÍPICO",ABS((I116-$W$8)/$X$8)&lt;=1.92,"NO ATÍPICO")</f>
        <v>NO ATÍPICO</v>
      </c>
      <c r="L116">
        <f t="shared" si="5"/>
        <v>239485.57</v>
      </c>
      <c r="M116" t="str">
        <f t="shared" si="9"/>
        <v>ASALARIADO</v>
      </c>
      <c r="N116">
        <f t="shared" si="6"/>
        <v>21</v>
      </c>
      <c r="O116" s="19" t="str">
        <f t="shared" si="7"/>
        <v>0–300k</v>
      </c>
      <c r="P116" s="19" t="str">
        <f t="shared" si="8"/>
        <v>18-25</v>
      </c>
    </row>
    <row r="117" spans="1:16" x14ac:dyDescent="0.25">
      <c r="A117">
        <v>116</v>
      </c>
      <c r="B117" t="s">
        <v>9</v>
      </c>
      <c r="C117">
        <v>672873.47</v>
      </c>
      <c r="D117" t="s">
        <v>10</v>
      </c>
      <c r="E117" t="s">
        <v>16</v>
      </c>
      <c r="F117" t="s">
        <v>12</v>
      </c>
      <c r="G117" t="s">
        <v>12</v>
      </c>
      <c r="H117" t="s">
        <v>13</v>
      </c>
      <c r="I117">
        <v>32</v>
      </c>
      <c r="J117" t="str" cm="1">
        <f t="array" ref="J117">_xlfn.IFS(ISBLANK(C117),"FALTANTE",ABS((C117-$W$5)/$X$5)&gt;1.96,"ATÍPICO",ABS((C117-$W$5)/$X$5)&lt;=1.96,"NO ATÍPICO")</f>
        <v>NO ATÍPICO</v>
      </c>
      <c r="K117" t="str" cm="1">
        <f t="array" ref="K117">_xlfn.IFS(ISBLANK(I117),"FALTANTE",ABS((I117-$W$8)/$X$8)&gt;1.92,"ATÍPICO",ABS((I117-$W$8)/$X$8)&lt;=1.92,"NO ATÍPICO")</f>
        <v>NO ATÍPICO</v>
      </c>
      <c r="L117">
        <f t="shared" si="5"/>
        <v>672873.47</v>
      </c>
      <c r="M117" t="str">
        <f t="shared" si="9"/>
        <v>ASALARIADO</v>
      </c>
      <c r="N117">
        <f t="shared" si="6"/>
        <v>32</v>
      </c>
      <c r="O117" s="19" t="str">
        <f t="shared" si="7"/>
        <v>600k–900k</v>
      </c>
      <c r="P117" s="19" t="str">
        <f t="shared" si="8"/>
        <v>26-35</v>
      </c>
    </row>
    <row r="118" spans="1:16" x14ac:dyDescent="0.25">
      <c r="A118">
        <v>117</v>
      </c>
      <c r="B118" t="s">
        <v>15</v>
      </c>
      <c r="C118">
        <v>995442</v>
      </c>
      <c r="D118" t="s">
        <v>10</v>
      </c>
      <c r="E118" t="s">
        <v>16</v>
      </c>
      <c r="F118" t="s">
        <v>12</v>
      </c>
      <c r="G118" t="s">
        <v>12</v>
      </c>
      <c r="H118" t="s">
        <v>12</v>
      </c>
      <c r="I118">
        <v>52</v>
      </c>
      <c r="J118" t="str" cm="1">
        <f t="array" ref="J118">_xlfn.IFS(ISBLANK(C118),"FALTANTE",ABS((C118-$W$5)/$X$5)&gt;1.96,"ATÍPICO",ABS((C118-$W$5)/$X$5)&lt;=1.96,"NO ATÍPICO")</f>
        <v>NO ATÍPICO</v>
      </c>
      <c r="K118" t="str" cm="1">
        <f t="array" ref="K118">_xlfn.IFS(ISBLANK(I118),"FALTANTE",ABS((I118-$W$8)/$X$8)&gt;1.92,"ATÍPICO",ABS((I118-$W$8)/$X$8)&lt;=1.92,"NO ATÍPICO")</f>
        <v>NO ATÍPICO</v>
      </c>
      <c r="L118">
        <f t="shared" si="5"/>
        <v>995442</v>
      </c>
      <c r="M118" t="str">
        <f t="shared" si="9"/>
        <v>ASALARIADO</v>
      </c>
      <c r="N118">
        <f t="shared" si="6"/>
        <v>52</v>
      </c>
      <c r="O118" s="19" t="str">
        <f t="shared" si="7"/>
        <v>900k–1200k</v>
      </c>
      <c r="P118" s="19" t="str">
        <f t="shared" si="8"/>
        <v>46-55</v>
      </c>
    </row>
    <row r="119" spans="1:16" x14ac:dyDescent="0.25">
      <c r="A119">
        <v>118</v>
      </c>
      <c r="B119" t="s">
        <v>9</v>
      </c>
      <c r="C119">
        <v>659864.57999999996</v>
      </c>
      <c r="D119" t="s">
        <v>10</v>
      </c>
      <c r="E119" t="s">
        <v>16</v>
      </c>
      <c r="F119" t="s">
        <v>12</v>
      </c>
      <c r="G119" t="s">
        <v>13</v>
      </c>
      <c r="H119" t="s">
        <v>13</v>
      </c>
      <c r="I119">
        <v>27</v>
      </c>
      <c r="J119" t="str" cm="1">
        <f t="array" ref="J119">_xlfn.IFS(ISBLANK(C119),"FALTANTE",ABS((C119-$W$5)/$X$5)&gt;1.96,"ATÍPICO",ABS((C119-$W$5)/$X$5)&lt;=1.96,"NO ATÍPICO")</f>
        <v>NO ATÍPICO</v>
      </c>
      <c r="K119" t="str" cm="1">
        <f t="array" ref="K119">_xlfn.IFS(ISBLANK(I119),"FALTANTE",ABS((I119-$W$8)/$X$8)&gt;1.92,"ATÍPICO",ABS((I119-$W$8)/$X$8)&lt;=1.92,"NO ATÍPICO")</f>
        <v>NO ATÍPICO</v>
      </c>
      <c r="L119">
        <f t="shared" si="5"/>
        <v>659864.57999999996</v>
      </c>
      <c r="M119" t="str">
        <f t="shared" si="9"/>
        <v>ASALARIADO</v>
      </c>
      <c r="N119">
        <f t="shared" si="6"/>
        <v>27</v>
      </c>
      <c r="O119" s="19" t="str">
        <f t="shared" si="7"/>
        <v>600k–900k</v>
      </c>
      <c r="P119" s="19" t="str">
        <f t="shared" si="8"/>
        <v>26-35</v>
      </c>
    </row>
    <row r="120" spans="1:16" x14ac:dyDescent="0.25">
      <c r="A120">
        <v>119</v>
      </c>
      <c r="B120" t="s">
        <v>9</v>
      </c>
      <c r="C120">
        <v>681758.7</v>
      </c>
      <c r="D120" t="s">
        <v>10</v>
      </c>
      <c r="E120" t="s">
        <v>16</v>
      </c>
      <c r="F120" t="s">
        <v>12</v>
      </c>
      <c r="G120" t="s">
        <v>13</v>
      </c>
      <c r="H120" t="s">
        <v>13</v>
      </c>
      <c r="I120">
        <v>30</v>
      </c>
      <c r="J120" t="str" cm="1">
        <f t="array" ref="J120">_xlfn.IFS(ISBLANK(C120),"FALTANTE",ABS((C120-$W$5)/$X$5)&gt;1.96,"ATÍPICO",ABS((C120-$W$5)/$X$5)&lt;=1.96,"NO ATÍPICO")</f>
        <v>NO ATÍPICO</v>
      </c>
      <c r="K120" t="str" cm="1">
        <f t="array" ref="K120">_xlfn.IFS(ISBLANK(I120),"FALTANTE",ABS((I120-$W$8)/$X$8)&gt;1.92,"ATÍPICO",ABS((I120-$W$8)/$X$8)&lt;=1.92,"NO ATÍPICO")</f>
        <v>NO ATÍPICO</v>
      </c>
      <c r="L120">
        <f t="shared" si="5"/>
        <v>681758.7</v>
      </c>
      <c r="M120" t="str">
        <f t="shared" si="9"/>
        <v>ASALARIADO</v>
      </c>
      <c r="N120">
        <f t="shared" si="6"/>
        <v>30</v>
      </c>
      <c r="O120" s="19" t="str">
        <f t="shared" si="7"/>
        <v>600k–900k</v>
      </c>
      <c r="P120" s="19" t="str">
        <f t="shared" si="8"/>
        <v>26-35</v>
      </c>
    </row>
    <row r="121" spans="1:16" x14ac:dyDescent="0.25">
      <c r="A121">
        <v>120</v>
      </c>
      <c r="B121" t="s">
        <v>15</v>
      </c>
      <c r="C121">
        <v>297046</v>
      </c>
      <c r="D121" t="s">
        <v>17</v>
      </c>
      <c r="E121" t="s">
        <v>16</v>
      </c>
      <c r="F121" t="s">
        <v>12</v>
      </c>
      <c r="G121" t="s">
        <v>12</v>
      </c>
      <c r="H121" t="s">
        <v>12</v>
      </c>
      <c r="I121">
        <v>37</v>
      </c>
      <c r="J121" t="str" cm="1">
        <f t="array" ref="J121">_xlfn.IFS(ISBLANK(C121),"FALTANTE",ABS((C121-$W$5)/$X$5)&gt;1.96,"ATÍPICO",ABS((C121-$W$5)/$X$5)&lt;=1.96,"NO ATÍPICO")</f>
        <v>NO ATÍPICO</v>
      </c>
      <c r="K121" t="str" cm="1">
        <f t="array" ref="K121">_xlfn.IFS(ISBLANK(I121),"FALTANTE",ABS((I121-$W$8)/$X$8)&gt;1.92,"ATÍPICO",ABS((I121-$W$8)/$X$8)&lt;=1.92,"NO ATÍPICO")</f>
        <v>NO ATÍPICO</v>
      </c>
      <c r="L121">
        <f t="shared" si="5"/>
        <v>297046</v>
      </c>
      <c r="M121" t="str">
        <f t="shared" si="9"/>
        <v>ASEGURADO VOLUNTARIO</v>
      </c>
      <c r="N121">
        <f t="shared" si="6"/>
        <v>37</v>
      </c>
      <c r="O121" s="19" t="str">
        <f t="shared" si="7"/>
        <v>0–300k</v>
      </c>
      <c r="P121" s="19" t="str">
        <f t="shared" si="8"/>
        <v>36-45</v>
      </c>
    </row>
    <row r="122" spans="1:16" x14ac:dyDescent="0.25">
      <c r="A122">
        <v>121</v>
      </c>
      <c r="B122" t="s">
        <v>15</v>
      </c>
      <c r="C122">
        <v>149929.63</v>
      </c>
      <c r="D122" t="s">
        <v>10</v>
      </c>
      <c r="E122" t="s">
        <v>16</v>
      </c>
      <c r="F122" t="s">
        <v>12</v>
      </c>
      <c r="G122" t="s">
        <v>12</v>
      </c>
      <c r="H122" t="s">
        <v>13</v>
      </c>
      <c r="I122">
        <v>28</v>
      </c>
      <c r="J122" t="str" cm="1">
        <f t="array" ref="J122">_xlfn.IFS(ISBLANK(C122),"FALTANTE",ABS((C122-$W$5)/$X$5)&gt;1.96,"ATÍPICO",ABS((C122-$W$5)/$X$5)&lt;=1.96,"NO ATÍPICO")</f>
        <v>NO ATÍPICO</v>
      </c>
      <c r="K122" t="str" cm="1">
        <f t="array" ref="K122">_xlfn.IFS(ISBLANK(I122),"FALTANTE",ABS((I122-$W$8)/$X$8)&gt;1.92,"ATÍPICO",ABS((I122-$W$8)/$X$8)&lt;=1.92,"NO ATÍPICO")</f>
        <v>NO ATÍPICO</v>
      </c>
      <c r="L122">
        <f t="shared" si="5"/>
        <v>149929.63</v>
      </c>
      <c r="M122" t="str">
        <f t="shared" si="9"/>
        <v>ASALARIADO</v>
      </c>
      <c r="N122">
        <f t="shared" si="6"/>
        <v>28</v>
      </c>
      <c r="O122" s="19" t="str">
        <f t="shared" si="7"/>
        <v>0–300k</v>
      </c>
      <c r="P122" s="19" t="str">
        <f t="shared" si="8"/>
        <v>26-35</v>
      </c>
    </row>
    <row r="123" spans="1:16" x14ac:dyDescent="0.25">
      <c r="A123">
        <v>122</v>
      </c>
      <c r="B123" t="s">
        <v>15</v>
      </c>
      <c r="C123">
        <v>297514</v>
      </c>
      <c r="D123" t="s">
        <v>17</v>
      </c>
      <c r="E123" t="s">
        <v>16</v>
      </c>
      <c r="F123" t="s">
        <v>12</v>
      </c>
      <c r="G123" t="s">
        <v>13</v>
      </c>
      <c r="H123" t="s">
        <v>13</v>
      </c>
      <c r="I123">
        <v>45</v>
      </c>
      <c r="J123" t="str" cm="1">
        <f t="array" ref="J123">_xlfn.IFS(ISBLANK(C123),"FALTANTE",ABS((C123-$W$5)/$X$5)&gt;1.96,"ATÍPICO",ABS((C123-$W$5)/$X$5)&lt;=1.96,"NO ATÍPICO")</f>
        <v>NO ATÍPICO</v>
      </c>
      <c r="K123" t="str" cm="1">
        <f t="array" ref="K123">_xlfn.IFS(ISBLANK(I123),"FALTANTE",ABS((I123-$W$8)/$X$8)&gt;1.92,"ATÍPICO",ABS((I123-$W$8)/$X$8)&lt;=1.92,"NO ATÍPICO")</f>
        <v>NO ATÍPICO</v>
      </c>
      <c r="L123">
        <f t="shared" si="5"/>
        <v>297514</v>
      </c>
      <c r="M123" t="str">
        <f t="shared" si="9"/>
        <v>ASEGURADO VOLUNTARIO</v>
      </c>
      <c r="N123">
        <f t="shared" si="6"/>
        <v>45</v>
      </c>
      <c r="O123" s="19" t="str">
        <f t="shared" si="7"/>
        <v>0–300k</v>
      </c>
      <c r="P123" s="19" t="str">
        <f t="shared" si="8"/>
        <v>36-45</v>
      </c>
    </row>
    <row r="124" spans="1:16" x14ac:dyDescent="0.25">
      <c r="A124">
        <v>123</v>
      </c>
      <c r="B124" t="s">
        <v>15</v>
      </c>
      <c r="C124">
        <v>297062</v>
      </c>
      <c r="D124" t="s">
        <v>17</v>
      </c>
      <c r="E124" t="s">
        <v>16</v>
      </c>
      <c r="F124" t="s">
        <v>12</v>
      </c>
      <c r="G124" t="s">
        <v>13</v>
      </c>
      <c r="H124" t="s">
        <v>13</v>
      </c>
      <c r="I124">
        <v>40</v>
      </c>
      <c r="J124" t="str" cm="1">
        <f t="array" ref="J124">_xlfn.IFS(ISBLANK(C124),"FALTANTE",ABS((C124-$W$5)/$X$5)&gt;1.96,"ATÍPICO",ABS((C124-$W$5)/$X$5)&lt;=1.96,"NO ATÍPICO")</f>
        <v>NO ATÍPICO</v>
      </c>
      <c r="K124" t="str" cm="1">
        <f t="array" ref="K124">_xlfn.IFS(ISBLANK(I124),"FALTANTE",ABS((I124-$W$8)/$X$8)&gt;1.92,"ATÍPICO",ABS((I124-$W$8)/$X$8)&lt;=1.92,"NO ATÍPICO")</f>
        <v>NO ATÍPICO</v>
      </c>
      <c r="L124">
        <f t="shared" si="5"/>
        <v>297062</v>
      </c>
      <c r="M124" t="str">
        <f t="shared" si="9"/>
        <v>ASEGURADO VOLUNTARIO</v>
      </c>
      <c r="N124">
        <f t="shared" si="6"/>
        <v>40</v>
      </c>
      <c r="O124" s="19" t="str">
        <f t="shared" si="7"/>
        <v>0–300k</v>
      </c>
      <c r="P124" s="19" t="str">
        <f t="shared" si="8"/>
        <v>36-45</v>
      </c>
    </row>
    <row r="125" spans="1:16" x14ac:dyDescent="0.25">
      <c r="A125">
        <v>124</v>
      </c>
      <c r="B125" t="s">
        <v>9</v>
      </c>
      <c r="C125">
        <v>1179097</v>
      </c>
      <c r="D125" t="s">
        <v>10</v>
      </c>
      <c r="E125" t="s">
        <v>16</v>
      </c>
      <c r="F125" t="s">
        <v>12</v>
      </c>
      <c r="G125" t="s">
        <v>13</v>
      </c>
      <c r="H125" t="s">
        <v>13</v>
      </c>
      <c r="I125">
        <v>41</v>
      </c>
      <c r="J125" t="str" cm="1">
        <f t="array" ref="J125">_xlfn.IFS(ISBLANK(C125),"FALTANTE",ABS((C125-$W$5)/$X$5)&gt;1.96,"ATÍPICO",ABS((C125-$W$5)/$X$5)&lt;=1.96,"NO ATÍPICO")</f>
        <v>NO ATÍPICO</v>
      </c>
      <c r="K125" t="str" cm="1">
        <f t="array" ref="K125">_xlfn.IFS(ISBLANK(I125),"FALTANTE",ABS((I125-$W$8)/$X$8)&gt;1.92,"ATÍPICO",ABS((I125-$W$8)/$X$8)&lt;=1.92,"NO ATÍPICO")</f>
        <v>NO ATÍPICO</v>
      </c>
      <c r="L125">
        <f t="shared" si="5"/>
        <v>1179097</v>
      </c>
      <c r="M125" t="str">
        <f t="shared" si="9"/>
        <v>ASALARIADO</v>
      </c>
      <c r="N125">
        <f t="shared" si="6"/>
        <v>41</v>
      </c>
      <c r="O125" s="19" t="str">
        <f t="shared" si="7"/>
        <v>900k–1200k</v>
      </c>
      <c r="P125" s="19" t="str">
        <f t="shared" si="8"/>
        <v>36-45</v>
      </c>
    </row>
    <row r="126" spans="1:16" x14ac:dyDescent="0.25">
      <c r="A126">
        <v>125</v>
      </c>
      <c r="B126" t="s">
        <v>9</v>
      </c>
      <c r="C126">
        <v>300018</v>
      </c>
      <c r="D126" t="s">
        <v>17</v>
      </c>
      <c r="E126" t="s">
        <v>16</v>
      </c>
      <c r="F126" t="s">
        <v>12</v>
      </c>
      <c r="G126" t="s">
        <v>13</v>
      </c>
      <c r="H126" t="s">
        <v>13</v>
      </c>
      <c r="I126">
        <v>82</v>
      </c>
      <c r="J126" t="str" cm="1">
        <f t="array" ref="J126">_xlfn.IFS(ISBLANK(C126),"FALTANTE",ABS((C126-$W$5)/$X$5)&gt;1.96,"ATÍPICO",ABS((C126-$W$5)/$X$5)&lt;=1.96,"NO ATÍPICO")</f>
        <v>NO ATÍPICO</v>
      </c>
      <c r="K126" t="str" cm="1">
        <f t="array" ref="K126">_xlfn.IFS(ISBLANK(I126),"FALTANTE",ABS((I126-$W$8)/$X$8)&gt;1.92,"ATÍPICO",ABS((I126-$W$8)/$X$8)&lt;=1.92,"NO ATÍPICO")</f>
        <v>ATÍPICO</v>
      </c>
      <c r="L126">
        <f t="shared" si="5"/>
        <v>300018</v>
      </c>
      <c r="M126" t="str">
        <f t="shared" si="9"/>
        <v>ASEGURADO VOLUNTARIO</v>
      </c>
      <c r="N126">
        <f t="shared" si="6"/>
        <v>82</v>
      </c>
      <c r="O126" s="19" t="str">
        <f t="shared" si="7"/>
        <v>300k–600k</v>
      </c>
      <c r="P126" s="19" t="str">
        <f t="shared" si="8"/>
        <v>56+</v>
      </c>
    </row>
    <row r="127" spans="1:16" x14ac:dyDescent="0.25">
      <c r="A127">
        <v>126</v>
      </c>
      <c r="B127" t="s">
        <v>15</v>
      </c>
      <c r="C127">
        <v>366996.25</v>
      </c>
      <c r="D127" t="s">
        <v>10</v>
      </c>
      <c r="E127" t="s">
        <v>16</v>
      </c>
      <c r="F127" t="s">
        <v>12</v>
      </c>
      <c r="G127" t="s">
        <v>13</v>
      </c>
      <c r="H127" t="s">
        <v>13</v>
      </c>
      <c r="I127">
        <v>44</v>
      </c>
      <c r="J127" t="str" cm="1">
        <f t="array" ref="J127">_xlfn.IFS(ISBLANK(C127),"FALTANTE",ABS((C127-$W$5)/$X$5)&gt;1.96,"ATÍPICO",ABS((C127-$W$5)/$X$5)&lt;=1.96,"NO ATÍPICO")</f>
        <v>NO ATÍPICO</v>
      </c>
      <c r="K127" t="str" cm="1">
        <f t="array" ref="K127">_xlfn.IFS(ISBLANK(I127),"FALTANTE",ABS((I127-$W$8)/$X$8)&gt;1.92,"ATÍPICO",ABS((I127-$W$8)/$X$8)&lt;=1.92,"NO ATÍPICO")</f>
        <v>NO ATÍPICO</v>
      </c>
      <c r="L127">
        <f t="shared" si="5"/>
        <v>366996.25</v>
      </c>
      <c r="M127" t="str">
        <f t="shared" si="9"/>
        <v>ASALARIADO</v>
      </c>
      <c r="N127">
        <f t="shared" si="6"/>
        <v>44</v>
      </c>
      <c r="O127" s="19" t="str">
        <f t="shared" si="7"/>
        <v>300k–600k</v>
      </c>
      <c r="P127" s="19" t="str">
        <f t="shared" si="8"/>
        <v>36-45</v>
      </c>
    </row>
    <row r="128" spans="1:16" x14ac:dyDescent="0.25">
      <c r="A128">
        <v>127</v>
      </c>
      <c r="B128" t="s">
        <v>15</v>
      </c>
      <c r="C128">
        <v>976712.18</v>
      </c>
      <c r="D128" t="s">
        <v>10</v>
      </c>
      <c r="E128" t="s">
        <v>16</v>
      </c>
      <c r="F128" t="s">
        <v>12</v>
      </c>
      <c r="G128" t="s">
        <v>13</v>
      </c>
      <c r="H128" t="s">
        <v>13</v>
      </c>
      <c r="I128">
        <v>32</v>
      </c>
      <c r="J128" t="str" cm="1">
        <f t="array" ref="J128">_xlfn.IFS(ISBLANK(C128),"FALTANTE",ABS((C128-$W$5)/$X$5)&gt;1.96,"ATÍPICO",ABS((C128-$W$5)/$X$5)&lt;=1.96,"NO ATÍPICO")</f>
        <v>NO ATÍPICO</v>
      </c>
      <c r="K128" t="str" cm="1">
        <f t="array" ref="K128">_xlfn.IFS(ISBLANK(I128),"FALTANTE",ABS((I128-$W$8)/$X$8)&gt;1.92,"ATÍPICO",ABS((I128-$W$8)/$X$8)&lt;=1.92,"NO ATÍPICO")</f>
        <v>NO ATÍPICO</v>
      </c>
      <c r="L128">
        <f t="shared" si="5"/>
        <v>976712.18</v>
      </c>
      <c r="M128" t="str">
        <f t="shared" si="9"/>
        <v>ASALARIADO</v>
      </c>
      <c r="N128">
        <f t="shared" si="6"/>
        <v>32</v>
      </c>
      <c r="O128" s="19" t="str">
        <f t="shared" si="7"/>
        <v>900k–1200k</v>
      </c>
      <c r="P128" s="19" t="str">
        <f t="shared" si="8"/>
        <v>26-35</v>
      </c>
    </row>
    <row r="129" spans="1:16" x14ac:dyDescent="0.25">
      <c r="A129">
        <v>128</v>
      </c>
      <c r="B129" t="s">
        <v>15</v>
      </c>
      <c r="C129">
        <v>212500</v>
      </c>
      <c r="D129" t="s">
        <v>10</v>
      </c>
      <c r="E129" t="s">
        <v>16</v>
      </c>
      <c r="F129" t="s">
        <v>12</v>
      </c>
      <c r="G129" t="s">
        <v>12</v>
      </c>
      <c r="H129" t="s">
        <v>13</v>
      </c>
      <c r="I129">
        <v>45</v>
      </c>
      <c r="J129" t="str" cm="1">
        <f t="array" ref="J129">_xlfn.IFS(ISBLANK(C129),"FALTANTE",ABS((C129-$W$5)/$X$5)&gt;1.96,"ATÍPICO",ABS((C129-$W$5)/$X$5)&lt;=1.96,"NO ATÍPICO")</f>
        <v>NO ATÍPICO</v>
      </c>
      <c r="K129" t="str" cm="1">
        <f t="array" ref="K129">_xlfn.IFS(ISBLANK(I129),"FALTANTE",ABS((I129-$W$8)/$X$8)&gt;1.92,"ATÍPICO",ABS((I129-$W$8)/$X$8)&lt;=1.92,"NO ATÍPICO")</f>
        <v>NO ATÍPICO</v>
      </c>
      <c r="L129">
        <f t="shared" si="5"/>
        <v>212500</v>
      </c>
      <c r="M129" t="str">
        <f t="shared" si="9"/>
        <v>ASALARIADO</v>
      </c>
      <c r="N129">
        <f t="shared" si="6"/>
        <v>45</v>
      </c>
      <c r="O129" s="19" t="str">
        <f t="shared" si="7"/>
        <v>0–300k</v>
      </c>
      <c r="P129" s="19" t="str">
        <f t="shared" si="8"/>
        <v>36-45</v>
      </c>
    </row>
    <row r="130" spans="1:16" x14ac:dyDescent="0.25">
      <c r="A130">
        <v>129</v>
      </c>
      <c r="B130" t="s">
        <v>9</v>
      </c>
      <c r="C130">
        <v>300018</v>
      </c>
      <c r="D130" t="s">
        <v>18</v>
      </c>
      <c r="E130" t="s">
        <v>16</v>
      </c>
      <c r="F130" t="s">
        <v>12</v>
      </c>
      <c r="G130" t="s">
        <v>13</v>
      </c>
      <c r="H130" t="s">
        <v>13</v>
      </c>
      <c r="I130">
        <v>58</v>
      </c>
      <c r="J130" t="str" cm="1">
        <f t="array" ref="J130">_xlfn.IFS(ISBLANK(C130),"FALTANTE",ABS((C130-$W$5)/$X$5)&gt;1.96,"ATÍPICO",ABS((C130-$W$5)/$X$5)&lt;=1.96,"NO ATÍPICO")</f>
        <v>NO ATÍPICO</v>
      </c>
      <c r="K130" t="str" cm="1">
        <f t="array" ref="K130">_xlfn.IFS(ISBLANK(I130),"FALTANTE",ABS((I130-$W$8)/$X$8)&gt;1.92,"ATÍPICO",ABS((I130-$W$8)/$X$8)&lt;=1.92,"NO ATÍPICO")</f>
        <v>NO ATÍPICO</v>
      </c>
      <c r="L130">
        <f t="shared" ref="L130:L193" si="10">C130</f>
        <v>300018</v>
      </c>
      <c r="M130" t="str">
        <f t="shared" si="9"/>
        <v>TRABAJADOR INDEPENDIENTE</v>
      </c>
      <c r="N130">
        <f t="shared" ref="N130:N193" si="11">I130</f>
        <v>58</v>
      </c>
      <c r="O130" s="19" t="str">
        <f t="shared" ref="O130:O193" si="12">IF(L130&lt;=300000,"0–300k",IF(L130&lt;=600000,"300k–600k",IF(L130&lt;=900000,"600k–900k",IF(L130&lt;=1200000,"900k–1200k","1200k+"))))</f>
        <v>300k–600k</v>
      </c>
      <c r="P130" s="19" t="str">
        <f t="shared" ref="P130:P193" si="13">IF(N130 &lt;=25,"18-25", IF(N130&lt;=35,"26-35", IF(N130 &lt;=45,"36-45", IF(N130&lt;=55,"46-55","56+"))))</f>
        <v>56+</v>
      </c>
    </row>
    <row r="131" spans="1:16" x14ac:dyDescent="0.25">
      <c r="A131">
        <v>130</v>
      </c>
      <c r="B131" t="s">
        <v>9</v>
      </c>
      <c r="C131">
        <v>489327</v>
      </c>
      <c r="D131" t="s">
        <v>10</v>
      </c>
      <c r="E131" t="s">
        <v>11</v>
      </c>
      <c r="F131" t="s">
        <v>12</v>
      </c>
      <c r="G131" t="s">
        <v>13</v>
      </c>
      <c r="H131" t="s">
        <v>13</v>
      </c>
      <c r="I131">
        <v>33</v>
      </c>
      <c r="J131" t="str" cm="1">
        <f t="array" ref="J131">_xlfn.IFS(ISBLANK(C131),"FALTANTE",ABS((C131-$W$5)/$X$5)&gt;1.96,"ATÍPICO",ABS((C131-$W$5)/$X$5)&lt;=1.96,"NO ATÍPICO")</f>
        <v>NO ATÍPICO</v>
      </c>
      <c r="K131" t="str" cm="1">
        <f t="array" ref="K131">_xlfn.IFS(ISBLANK(I131),"FALTANTE",ABS((I131-$W$8)/$X$8)&gt;1.92,"ATÍPICO",ABS((I131-$W$8)/$X$8)&lt;=1.92,"NO ATÍPICO")</f>
        <v>NO ATÍPICO</v>
      </c>
      <c r="L131">
        <f t="shared" si="10"/>
        <v>489327</v>
      </c>
      <c r="M131" t="str">
        <f t="shared" si="9"/>
        <v>ASALARIADO</v>
      </c>
      <c r="N131">
        <f t="shared" si="11"/>
        <v>33</v>
      </c>
      <c r="O131" s="19" t="str">
        <f t="shared" si="12"/>
        <v>300k–600k</v>
      </c>
      <c r="P131" s="19" t="str">
        <f t="shared" si="13"/>
        <v>26-35</v>
      </c>
    </row>
    <row r="132" spans="1:16" x14ac:dyDescent="0.25">
      <c r="A132">
        <v>131</v>
      </c>
      <c r="B132" t="s">
        <v>15</v>
      </c>
      <c r="C132">
        <v>299647</v>
      </c>
      <c r="D132" t="s">
        <v>17</v>
      </c>
      <c r="E132" t="s">
        <v>16</v>
      </c>
      <c r="F132" t="s">
        <v>12</v>
      </c>
      <c r="G132" t="s">
        <v>13</v>
      </c>
      <c r="H132" t="s">
        <v>13</v>
      </c>
      <c r="I132">
        <v>50</v>
      </c>
      <c r="J132" t="str" cm="1">
        <f t="array" ref="J132">_xlfn.IFS(ISBLANK(C132),"FALTANTE",ABS((C132-$W$5)/$X$5)&gt;1.96,"ATÍPICO",ABS((C132-$W$5)/$X$5)&lt;=1.96,"NO ATÍPICO")</f>
        <v>NO ATÍPICO</v>
      </c>
      <c r="K132" t="str" cm="1">
        <f t="array" ref="K132">_xlfn.IFS(ISBLANK(I132),"FALTANTE",ABS((I132-$W$8)/$X$8)&gt;1.92,"ATÍPICO",ABS((I132-$W$8)/$X$8)&lt;=1.92,"NO ATÍPICO")</f>
        <v>NO ATÍPICO</v>
      </c>
      <c r="L132">
        <f t="shared" si="10"/>
        <v>299647</v>
      </c>
      <c r="M132" t="str">
        <f t="shared" ref="M132:M195" si="14">D132</f>
        <v>ASEGURADO VOLUNTARIO</v>
      </c>
      <c r="N132">
        <f t="shared" si="11"/>
        <v>50</v>
      </c>
      <c r="O132" s="19" t="str">
        <f t="shared" si="12"/>
        <v>0–300k</v>
      </c>
      <c r="P132" s="19" t="str">
        <f t="shared" si="13"/>
        <v>46-55</v>
      </c>
    </row>
    <row r="133" spans="1:16" x14ac:dyDescent="0.25">
      <c r="A133">
        <v>132</v>
      </c>
      <c r="B133" t="s">
        <v>9</v>
      </c>
      <c r="C133">
        <v>1093666.56</v>
      </c>
      <c r="D133" t="s">
        <v>10</v>
      </c>
      <c r="E133" t="s">
        <v>16</v>
      </c>
      <c r="F133" t="s">
        <v>12</v>
      </c>
      <c r="G133" t="s">
        <v>13</v>
      </c>
      <c r="H133" t="s">
        <v>12</v>
      </c>
      <c r="I133">
        <v>55</v>
      </c>
      <c r="J133" t="str" cm="1">
        <f t="array" ref="J133">_xlfn.IFS(ISBLANK(C133),"FALTANTE",ABS((C133-$W$5)/$X$5)&gt;1.96,"ATÍPICO",ABS((C133-$W$5)/$X$5)&lt;=1.96,"NO ATÍPICO")</f>
        <v>NO ATÍPICO</v>
      </c>
      <c r="K133" t="str" cm="1">
        <f t="array" ref="K133">_xlfn.IFS(ISBLANK(I133),"FALTANTE",ABS((I133-$W$8)/$X$8)&gt;1.92,"ATÍPICO",ABS((I133-$W$8)/$X$8)&lt;=1.92,"NO ATÍPICO")</f>
        <v>NO ATÍPICO</v>
      </c>
      <c r="L133">
        <f t="shared" si="10"/>
        <v>1093666.56</v>
      </c>
      <c r="M133" t="str">
        <f t="shared" si="14"/>
        <v>ASALARIADO</v>
      </c>
      <c r="N133">
        <f t="shared" si="11"/>
        <v>55</v>
      </c>
      <c r="O133" s="19" t="str">
        <f t="shared" si="12"/>
        <v>900k–1200k</v>
      </c>
      <c r="P133" s="19" t="str">
        <f t="shared" si="13"/>
        <v>46-55</v>
      </c>
    </row>
    <row r="134" spans="1:16" x14ac:dyDescent="0.25">
      <c r="A134">
        <v>133</v>
      </c>
      <c r="B134" t="s">
        <v>9</v>
      </c>
      <c r="C134">
        <v>677626.04</v>
      </c>
      <c r="D134" t="s">
        <v>10</v>
      </c>
      <c r="E134" t="s">
        <v>16</v>
      </c>
      <c r="F134" t="s">
        <v>12</v>
      </c>
      <c r="G134" t="s">
        <v>13</v>
      </c>
      <c r="H134" t="s">
        <v>13</v>
      </c>
      <c r="I134">
        <v>57</v>
      </c>
      <c r="J134" t="str" cm="1">
        <f t="array" ref="J134">_xlfn.IFS(ISBLANK(C134),"FALTANTE",ABS((C134-$W$5)/$X$5)&gt;1.96,"ATÍPICO",ABS((C134-$W$5)/$X$5)&lt;=1.96,"NO ATÍPICO")</f>
        <v>NO ATÍPICO</v>
      </c>
      <c r="K134" t="str" cm="1">
        <f t="array" ref="K134">_xlfn.IFS(ISBLANK(I134),"FALTANTE",ABS((I134-$W$8)/$X$8)&gt;1.92,"ATÍPICO",ABS((I134-$W$8)/$X$8)&lt;=1.92,"NO ATÍPICO")</f>
        <v>NO ATÍPICO</v>
      </c>
      <c r="L134">
        <f t="shared" si="10"/>
        <v>677626.04</v>
      </c>
      <c r="M134" t="str">
        <f t="shared" si="14"/>
        <v>ASALARIADO</v>
      </c>
      <c r="N134">
        <f t="shared" si="11"/>
        <v>57</v>
      </c>
      <c r="O134" s="19" t="str">
        <f t="shared" si="12"/>
        <v>600k–900k</v>
      </c>
      <c r="P134" s="19" t="str">
        <f t="shared" si="13"/>
        <v>56+</v>
      </c>
    </row>
    <row r="135" spans="1:16" x14ac:dyDescent="0.25">
      <c r="A135">
        <v>134</v>
      </c>
      <c r="B135" t="s">
        <v>9</v>
      </c>
      <c r="C135">
        <v>462063.22</v>
      </c>
      <c r="D135" t="s">
        <v>10</v>
      </c>
      <c r="E135" t="s">
        <v>16</v>
      </c>
      <c r="F135" t="s">
        <v>12</v>
      </c>
      <c r="G135" t="s">
        <v>13</v>
      </c>
      <c r="H135" t="s">
        <v>13</v>
      </c>
      <c r="I135">
        <v>54</v>
      </c>
      <c r="J135" t="str" cm="1">
        <f t="array" ref="J135">_xlfn.IFS(ISBLANK(C135),"FALTANTE",ABS((C135-$W$5)/$X$5)&gt;1.96,"ATÍPICO",ABS((C135-$W$5)/$X$5)&lt;=1.96,"NO ATÍPICO")</f>
        <v>NO ATÍPICO</v>
      </c>
      <c r="K135" t="str" cm="1">
        <f t="array" ref="K135">_xlfn.IFS(ISBLANK(I135),"FALTANTE",ABS((I135-$W$8)/$X$8)&gt;1.92,"ATÍPICO",ABS((I135-$W$8)/$X$8)&lt;=1.92,"NO ATÍPICO")</f>
        <v>NO ATÍPICO</v>
      </c>
      <c r="L135">
        <f t="shared" si="10"/>
        <v>462063.22</v>
      </c>
      <c r="M135" t="str">
        <f t="shared" si="14"/>
        <v>ASALARIADO</v>
      </c>
      <c r="N135">
        <f t="shared" si="11"/>
        <v>54</v>
      </c>
      <c r="O135" s="19" t="str">
        <f t="shared" si="12"/>
        <v>300k–600k</v>
      </c>
      <c r="P135" s="19" t="str">
        <f t="shared" si="13"/>
        <v>46-55</v>
      </c>
    </row>
    <row r="136" spans="1:16" x14ac:dyDescent="0.25">
      <c r="A136">
        <v>135</v>
      </c>
      <c r="B136" t="s">
        <v>9</v>
      </c>
      <c r="C136">
        <v>966790.5</v>
      </c>
      <c r="D136" t="s">
        <v>10</v>
      </c>
      <c r="E136" t="s">
        <v>11</v>
      </c>
      <c r="F136" t="s">
        <v>12</v>
      </c>
      <c r="G136" t="s">
        <v>13</v>
      </c>
      <c r="H136" t="s">
        <v>13</v>
      </c>
      <c r="I136">
        <v>43</v>
      </c>
      <c r="J136" t="str" cm="1">
        <f t="array" ref="J136">_xlfn.IFS(ISBLANK(C136),"FALTANTE",ABS((C136-$W$5)/$X$5)&gt;1.96,"ATÍPICO",ABS((C136-$W$5)/$X$5)&lt;=1.96,"NO ATÍPICO")</f>
        <v>NO ATÍPICO</v>
      </c>
      <c r="K136" t="str" cm="1">
        <f t="array" ref="K136">_xlfn.IFS(ISBLANK(I136),"FALTANTE",ABS((I136-$W$8)/$X$8)&gt;1.92,"ATÍPICO",ABS((I136-$W$8)/$X$8)&lt;=1.92,"NO ATÍPICO")</f>
        <v>NO ATÍPICO</v>
      </c>
      <c r="L136">
        <f t="shared" si="10"/>
        <v>966790.5</v>
      </c>
      <c r="M136" t="str">
        <f t="shared" si="14"/>
        <v>ASALARIADO</v>
      </c>
      <c r="N136">
        <f t="shared" si="11"/>
        <v>43</v>
      </c>
      <c r="O136" s="19" t="str">
        <f t="shared" si="12"/>
        <v>900k–1200k</v>
      </c>
      <c r="P136" s="19" t="str">
        <f t="shared" si="13"/>
        <v>36-45</v>
      </c>
    </row>
    <row r="137" spans="1:16" x14ac:dyDescent="0.25">
      <c r="A137">
        <v>136</v>
      </c>
      <c r="B137" t="s">
        <v>9</v>
      </c>
      <c r="C137">
        <v>318242.84000000003</v>
      </c>
      <c r="D137" t="s">
        <v>10</v>
      </c>
      <c r="E137" t="s">
        <v>11</v>
      </c>
      <c r="F137" t="s">
        <v>12</v>
      </c>
      <c r="G137" t="s">
        <v>13</v>
      </c>
      <c r="H137" t="s">
        <v>13</v>
      </c>
      <c r="I137">
        <v>59</v>
      </c>
      <c r="J137" t="str" cm="1">
        <f t="array" ref="J137">_xlfn.IFS(ISBLANK(C137),"FALTANTE",ABS((C137-$W$5)/$X$5)&gt;1.96,"ATÍPICO",ABS((C137-$W$5)/$X$5)&lt;=1.96,"NO ATÍPICO")</f>
        <v>NO ATÍPICO</v>
      </c>
      <c r="K137" t="str" cm="1">
        <f t="array" ref="K137">_xlfn.IFS(ISBLANK(I137),"FALTANTE",ABS((I137-$W$8)/$X$8)&gt;1.92,"ATÍPICO",ABS((I137-$W$8)/$X$8)&lt;=1.92,"NO ATÍPICO")</f>
        <v>NO ATÍPICO</v>
      </c>
      <c r="L137">
        <f t="shared" si="10"/>
        <v>318242.84000000003</v>
      </c>
      <c r="M137" t="str">
        <f t="shared" si="14"/>
        <v>ASALARIADO</v>
      </c>
      <c r="N137">
        <f t="shared" si="11"/>
        <v>59</v>
      </c>
      <c r="O137" s="19" t="str">
        <f t="shared" si="12"/>
        <v>300k–600k</v>
      </c>
      <c r="P137" s="19" t="str">
        <f t="shared" si="13"/>
        <v>56+</v>
      </c>
    </row>
    <row r="138" spans="1:16" x14ac:dyDescent="0.25">
      <c r="A138">
        <v>137</v>
      </c>
      <c r="B138" t="s">
        <v>9</v>
      </c>
      <c r="C138">
        <v>1411134.97</v>
      </c>
      <c r="D138" t="s">
        <v>10</v>
      </c>
      <c r="E138" t="s">
        <v>16</v>
      </c>
      <c r="F138" t="s">
        <v>12</v>
      </c>
      <c r="G138" t="s">
        <v>13</v>
      </c>
      <c r="H138" t="s">
        <v>13</v>
      </c>
      <c r="I138">
        <v>31</v>
      </c>
      <c r="J138" t="str" cm="1">
        <f t="array" ref="J138">_xlfn.IFS(ISBLANK(C138),"FALTANTE",ABS((C138-$W$5)/$X$5)&gt;1.96,"ATÍPICO",ABS((C138-$W$5)/$X$5)&lt;=1.96,"NO ATÍPICO")</f>
        <v>NO ATÍPICO</v>
      </c>
      <c r="K138" t="str" cm="1">
        <f t="array" ref="K138">_xlfn.IFS(ISBLANK(I138),"FALTANTE",ABS((I138-$W$8)/$X$8)&gt;1.92,"ATÍPICO",ABS((I138-$W$8)/$X$8)&lt;=1.92,"NO ATÍPICO")</f>
        <v>NO ATÍPICO</v>
      </c>
      <c r="L138">
        <f t="shared" si="10"/>
        <v>1411134.97</v>
      </c>
      <c r="M138" t="str">
        <f t="shared" si="14"/>
        <v>ASALARIADO</v>
      </c>
      <c r="N138">
        <f t="shared" si="11"/>
        <v>31</v>
      </c>
      <c r="O138" s="19" t="str">
        <f t="shared" si="12"/>
        <v>1200k+</v>
      </c>
      <c r="P138" s="19" t="str">
        <f t="shared" si="13"/>
        <v>26-35</v>
      </c>
    </row>
    <row r="139" spans="1:16" x14ac:dyDescent="0.25">
      <c r="A139">
        <v>138</v>
      </c>
      <c r="B139" t="s">
        <v>15</v>
      </c>
      <c r="C139">
        <v>402904</v>
      </c>
      <c r="D139" t="s">
        <v>21</v>
      </c>
      <c r="E139" t="s">
        <v>16</v>
      </c>
      <c r="F139" t="s">
        <v>12</v>
      </c>
      <c r="G139" t="s">
        <v>12</v>
      </c>
      <c r="H139" t="s">
        <v>13</v>
      </c>
      <c r="I139">
        <v>24</v>
      </c>
      <c r="J139" t="str" cm="1">
        <f t="array" ref="J139">_xlfn.IFS(ISBLANK(C139),"FALTANTE",ABS((C139-$W$5)/$X$5)&gt;1.96,"ATÍPICO",ABS((C139-$W$5)/$X$5)&lt;=1.96,"NO ATÍPICO")</f>
        <v>NO ATÍPICO</v>
      </c>
      <c r="K139" t="str" cm="1">
        <f t="array" ref="K139">_xlfn.IFS(ISBLANK(I139),"FALTANTE",ABS((I139-$W$8)/$X$8)&gt;1.92,"ATÍPICO",ABS((I139-$W$8)/$X$8)&lt;=1.92,"NO ATÍPICO")</f>
        <v>NO ATÍPICO</v>
      </c>
      <c r="L139">
        <f t="shared" si="10"/>
        <v>402904</v>
      </c>
      <c r="M139" t="str">
        <f t="shared" si="14"/>
        <v>CONVENIOS ESPECIALES DE ASEGURADOS VOLUNTARIOS</v>
      </c>
      <c r="N139">
        <f t="shared" si="11"/>
        <v>24</v>
      </c>
      <c r="O139" s="19" t="str">
        <f t="shared" si="12"/>
        <v>300k–600k</v>
      </c>
      <c r="P139" s="19" t="str">
        <f t="shared" si="13"/>
        <v>18-25</v>
      </c>
    </row>
    <row r="140" spans="1:16" x14ac:dyDescent="0.25">
      <c r="A140">
        <v>139</v>
      </c>
      <c r="B140" t="s">
        <v>9</v>
      </c>
      <c r="C140">
        <v>356903.88</v>
      </c>
      <c r="D140" t="s">
        <v>10</v>
      </c>
      <c r="E140" t="s">
        <v>16</v>
      </c>
      <c r="F140" t="s">
        <v>12</v>
      </c>
      <c r="G140" t="s">
        <v>13</v>
      </c>
      <c r="H140" t="s">
        <v>13</v>
      </c>
      <c r="I140">
        <v>43</v>
      </c>
      <c r="J140" t="str" cm="1">
        <f t="array" ref="J140">_xlfn.IFS(ISBLANK(C140),"FALTANTE",ABS((C140-$W$5)/$X$5)&gt;1.96,"ATÍPICO",ABS((C140-$W$5)/$X$5)&lt;=1.96,"NO ATÍPICO")</f>
        <v>NO ATÍPICO</v>
      </c>
      <c r="K140" t="str" cm="1">
        <f t="array" ref="K140">_xlfn.IFS(ISBLANK(I140),"FALTANTE",ABS((I140-$W$8)/$X$8)&gt;1.92,"ATÍPICO",ABS((I140-$W$8)/$X$8)&lt;=1.92,"NO ATÍPICO")</f>
        <v>NO ATÍPICO</v>
      </c>
      <c r="L140">
        <f t="shared" si="10"/>
        <v>356903.88</v>
      </c>
      <c r="M140" t="str">
        <f t="shared" si="14"/>
        <v>ASALARIADO</v>
      </c>
      <c r="N140">
        <f t="shared" si="11"/>
        <v>43</v>
      </c>
      <c r="O140" s="19" t="str">
        <f t="shared" si="12"/>
        <v>300k–600k</v>
      </c>
      <c r="P140" s="19" t="str">
        <f t="shared" si="13"/>
        <v>36-45</v>
      </c>
    </row>
    <row r="141" spans="1:16" x14ac:dyDescent="0.25">
      <c r="A141">
        <v>140</v>
      </c>
      <c r="B141" t="s">
        <v>9</v>
      </c>
      <c r="C141">
        <v>278035</v>
      </c>
      <c r="D141" t="s">
        <v>17</v>
      </c>
      <c r="E141" t="s">
        <v>16</v>
      </c>
      <c r="F141" t="s">
        <v>12</v>
      </c>
      <c r="G141" t="s">
        <v>13</v>
      </c>
      <c r="H141" t="s">
        <v>13</v>
      </c>
      <c r="I141">
        <v>41</v>
      </c>
      <c r="J141" t="str" cm="1">
        <f t="array" ref="J141">_xlfn.IFS(ISBLANK(C141),"FALTANTE",ABS((C141-$W$5)/$X$5)&gt;1.96,"ATÍPICO",ABS((C141-$W$5)/$X$5)&lt;=1.96,"NO ATÍPICO")</f>
        <v>NO ATÍPICO</v>
      </c>
      <c r="K141" t="str" cm="1">
        <f t="array" ref="K141">_xlfn.IFS(ISBLANK(I141),"FALTANTE",ABS((I141-$W$8)/$X$8)&gt;1.92,"ATÍPICO",ABS((I141-$W$8)/$X$8)&lt;=1.92,"NO ATÍPICO")</f>
        <v>NO ATÍPICO</v>
      </c>
      <c r="L141">
        <f t="shared" si="10"/>
        <v>278035</v>
      </c>
      <c r="M141" t="str">
        <f t="shared" si="14"/>
        <v>ASEGURADO VOLUNTARIO</v>
      </c>
      <c r="N141">
        <f t="shared" si="11"/>
        <v>41</v>
      </c>
      <c r="O141" s="19" t="str">
        <f t="shared" si="12"/>
        <v>0–300k</v>
      </c>
      <c r="P141" s="19" t="str">
        <f t="shared" si="13"/>
        <v>36-45</v>
      </c>
    </row>
    <row r="142" spans="1:16" x14ac:dyDescent="0.25">
      <c r="A142">
        <v>141</v>
      </c>
      <c r="B142" t="s">
        <v>15</v>
      </c>
      <c r="C142">
        <v>297046</v>
      </c>
      <c r="D142" t="s">
        <v>18</v>
      </c>
      <c r="E142" t="s">
        <v>16</v>
      </c>
      <c r="F142" t="s">
        <v>12</v>
      </c>
      <c r="G142" t="s">
        <v>13</v>
      </c>
      <c r="H142" t="s">
        <v>13</v>
      </c>
      <c r="I142">
        <v>65</v>
      </c>
      <c r="J142" t="str" cm="1">
        <f t="array" ref="J142">_xlfn.IFS(ISBLANK(C142),"FALTANTE",ABS((C142-$W$5)/$X$5)&gt;1.96,"ATÍPICO",ABS((C142-$W$5)/$X$5)&lt;=1.96,"NO ATÍPICO")</f>
        <v>NO ATÍPICO</v>
      </c>
      <c r="K142" t="str" cm="1">
        <f t="array" ref="K142">_xlfn.IFS(ISBLANK(I142),"FALTANTE",ABS((I142-$W$8)/$X$8)&gt;1.92,"ATÍPICO",ABS((I142-$W$8)/$X$8)&lt;=1.92,"NO ATÍPICO")</f>
        <v>NO ATÍPICO</v>
      </c>
      <c r="L142">
        <f t="shared" si="10"/>
        <v>297046</v>
      </c>
      <c r="M142" t="str">
        <f t="shared" si="14"/>
        <v>TRABAJADOR INDEPENDIENTE</v>
      </c>
      <c r="N142">
        <f t="shared" si="11"/>
        <v>65</v>
      </c>
      <c r="O142" s="19" t="str">
        <f t="shared" si="12"/>
        <v>0–300k</v>
      </c>
      <c r="P142" s="19" t="str">
        <f t="shared" si="13"/>
        <v>56+</v>
      </c>
    </row>
    <row r="143" spans="1:16" x14ac:dyDescent="0.25">
      <c r="A143">
        <v>142</v>
      </c>
      <c r="B143" t="s">
        <v>15</v>
      </c>
      <c r="C143">
        <v>400000</v>
      </c>
      <c r="D143" t="s">
        <v>10</v>
      </c>
      <c r="E143" t="s">
        <v>16</v>
      </c>
      <c r="F143" t="s">
        <v>12</v>
      </c>
      <c r="G143" t="s">
        <v>13</v>
      </c>
      <c r="H143" t="s">
        <v>13</v>
      </c>
      <c r="I143">
        <v>46</v>
      </c>
      <c r="J143" t="str" cm="1">
        <f t="array" ref="J143">_xlfn.IFS(ISBLANK(C143),"FALTANTE",ABS((C143-$W$5)/$X$5)&gt;1.96,"ATÍPICO",ABS((C143-$W$5)/$X$5)&lt;=1.96,"NO ATÍPICO")</f>
        <v>NO ATÍPICO</v>
      </c>
      <c r="K143" t="str" cm="1">
        <f t="array" ref="K143">_xlfn.IFS(ISBLANK(I143),"FALTANTE",ABS((I143-$W$8)/$X$8)&gt;1.92,"ATÍPICO",ABS((I143-$W$8)/$X$8)&lt;=1.92,"NO ATÍPICO")</f>
        <v>NO ATÍPICO</v>
      </c>
      <c r="L143">
        <f t="shared" si="10"/>
        <v>400000</v>
      </c>
      <c r="M143" t="str">
        <f t="shared" si="14"/>
        <v>ASALARIADO</v>
      </c>
      <c r="N143">
        <f t="shared" si="11"/>
        <v>46</v>
      </c>
      <c r="O143" s="19" t="str">
        <f t="shared" si="12"/>
        <v>300k–600k</v>
      </c>
      <c r="P143" s="19" t="str">
        <f t="shared" si="13"/>
        <v>46-55</v>
      </c>
    </row>
    <row r="144" spans="1:16" x14ac:dyDescent="0.25">
      <c r="A144">
        <v>143</v>
      </c>
      <c r="B144" t="s">
        <v>15</v>
      </c>
      <c r="C144">
        <v>497114.36</v>
      </c>
      <c r="D144" t="s">
        <v>10</v>
      </c>
      <c r="E144" t="s">
        <v>11</v>
      </c>
      <c r="F144" t="s">
        <v>12</v>
      </c>
      <c r="G144" t="s">
        <v>13</v>
      </c>
      <c r="H144" t="s">
        <v>13</v>
      </c>
      <c r="I144">
        <v>28</v>
      </c>
      <c r="J144" t="str" cm="1">
        <f t="array" ref="J144">_xlfn.IFS(ISBLANK(C144),"FALTANTE",ABS((C144-$W$5)/$X$5)&gt;1.96,"ATÍPICO",ABS((C144-$W$5)/$X$5)&lt;=1.96,"NO ATÍPICO")</f>
        <v>NO ATÍPICO</v>
      </c>
      <c r="K144" t="str" cm="1">
        <f t="array" ref="K144">_xlfn.IFS(ISBLANK(I144),"FALTANTE",ABS((I144-$W$8)/$X$8)&gt;1.92,"ATÍPICO",ABS((I144-$W$8)/$X$8)&lt;=1.92,"NO ATÍPICO")</f>
        <v>NO ATÍPICO</v>
      </c>
      <c r="L144">
        <f t="shared" si="10"/>
        <v>497114.36</v>
      </c>
      <c r="M144" t="str">
        <f t="shared" si="14"/>
        <v>ASALARIADO</v>
      </c>
      <c r="N144">
        <f t="shared" si="11"/>
        <v>28</v>
      </c>
      <c r="O144" s="19" t="str">
        <f t="shared" si="12"/>
        <v>300k–600k</v>
      </c>
      <c r="P144" s="19" t="str">
        <f t="shared" si="13"/>
        <v>26-35</v>
      </c>
    </row>
    <row r="145" spans="1:16" x14ac:dyDescent="0.25">
      <c r="A145">
        <v>144</v>
      </c>
      <c r="B145" t="s">
        <v>9</v>
      </c>
      <c r="C145">
        <v>270074</v>
      </c>
      <c r="D145" t="s">
        <v>10</v>
      </c>
      <c r="E145" t="s">
        <v>16</v>
      </c>
      <c r="F145" t="s">
        <v>12</v>
      </c>
      <c r="G145" t="s">
        <v>13</v>
      </c>
      <c r="H145" t="s">
        <v>12</v>
      </c>
      <c r="I145">
        <v>60</v>
      </c>
      <c r="J145" t="str" cm="1">
        <f t="array" ref="J145">_xlfn.IFS(ISBLANK(C145),"FALTANTE",ABS((C145-$W$5)/$X$5)&gt;1.96,"ATÍPICO",ABS((C145-$W$5)/$X$5)&lt;=1.96,"NO ATÍPICO")</f>
        <v>NO ATÍPICO</v>
      </c>
      <c r="K145" t="str" cm="1">
        <f t="array" ref="K145">_xlfn.IFS(ISBLANK(I145),"FALTANTE",ABS((I145-$W$8)/$X$8)&gt;1.92,"ATÍPICO",ABS((I145-$W$8)/$X$8)&lt;=1.92,"NO ATÍPICO")</f>
        <v>NO ATÍPICO</v>
      </c>
      <c r="L145">
        <f t="shared" si="10"/>
        <v>270074</v>
      </c>
      <c r="M145" t="str">
        <f t="shared" si="14"/>
        <v>ASALARIADO</v>
      </c>
      <c r="N145">
        <f t="shared" si="11"/>
        <v>60</v>
      </c>
      <c r="O145" s="19" t="str">
        <f t="shared" si="12"/>
        <v>0–300k</v>
      </c>
      <c r="P145" s="19" t="str">
        <f t="shared" si="13"/>
        <v>56+</v>
      </c>
    </row>
    <row r="146" spans="1:16" x14ac:dyDescent="0.25">
      <c r="A146">
        <v>145</v>
      </c>
      <c r="B146" t="s">
        <v>9</v>
      </c>
      <c r="C146">
        <v>680668.64</v>
      </c>
      <c r="D146" t="s">
        <v>10</v>
      </c>
      <c r="E146" t="s">
        <v>16</v>
      </c>
      <c r="F146" t="s">
        <v>12</v>
      </c>
      <c r="G146" t="s">
        <v>13</v>
      </c>
      <c r="H146" t="s">
        <v>13</v>
      </c>
      <c r="I146">
        <v>37</v>
      </c>
      <c r="J146" t="str" cm="1">
        <f t="array" ref="J146">_xlfn.IFS(ISBLANK(C146),"FALTANTE",ABS((C146-$W$5)/$X$5)&gt;1.96,"ATÍPICO",ABS((C146-$W$5)/$X$5)&lt;=1.96,"NO ATÍPICO")</f>
        <v>NO ATÍPICO</v>
      </c>
      <c r="K146" t="str" cm="1">
        <f t="array" ref="K146">_xlfn.IFS(ISBLANK(I146),"FALTANTE",ABS((I146-$W$8)/$X$8)&gt;1.92,"ATÍPICO",ABS((I146-$W$8)/$X$8)&lt;=1.92,"NO ATÍPICO")</f>
        <v>NO ATÍPICO</v>
      </c>
      <c r="L146">
        <f t="shared" si="10"/>
        <v>680668.64</v>
      </c>
      <c r="M146" t="str">
        <f t="shared" si="14"/>
        <v>ASALARIADO</v>
      </c>
      <c r="N146">
        <f t="shared" si="11"/>
        <v>37</v>
      </c>
      <c r="O146" s="19" t="str">
        <f t="shared" si="12"/>
        <v>600k–900k</v>
      </c>
      <c r="P146" s="19" t="str">
        <f t="shared" si="13"/>
        <v>36-45</v>
      </c>
    </row>
    <row r="147" spans="1:16" x14ac:dyDescent="0.25">
      <c r="A147">
        <v>146</v>
      </c>
      <c r="B147" t="s">
        <v>15</v>
      </c>
      <c r="C147">
        <v>148500</v>
      </c>
      <c r="D147" t="s">
        <v>10</v>
      </c>
      <c r="E147" t="s">
        <v>16</v>
      </c>
      <c r="F147" t="s">
        <v>12</v>
      </c>
      <c r="G147" t="s">
        <v>13</v>
      </c>
      <c r="H147" t="s">
        <v>13</v>
      </c>
      <c r="I147">
        <v>50</v>
      </c>
      <c r="J147" t="str" cm="1">
        <f t="array" ref="J147">_xlfn.IFS(ISBLANK(C147),"FALTANTE",ABS((C147-$W$5)/$X$5)&gt;1.96,"ATÍPICO",ABS((C147-$W$5)/$X$5)&lt;=1.96,"NO ATÍPICO")</f>
        <v>NO ATÍPICO</v>
      </c>
      <c r="K147" t="str" cm="1">
        <f t="array" ref="K147">_xlfn.IFS(ISBLANK(I147),"FALTANTE",ABS((I147-$W$8)/$X$8)&gt;1.92,"ATÍPICO",ABS((I147-$W$8)/$X$8)&lt;=1.92,"NO ATÍPICO")</f>
        <v>NO ATÍPICO</v>
      </c>
      <c r="L147">
        <f t="shared" si="10"/>
        <v>148500</v>
      </c>
      <c r="M147" t="str">
        <f t="shared" si="14"/>
        <v>ASALARIADO</v>
      </c>
      <c r="N147">
        <f t="shared" si="11"/>
        <v>50</v>
      </c>
      <c r="O147" s="19" t="str">
        <f t="shared" si="12"/>
        <v>0–300k</v>
      </c>
      <c r="P147" s="19" t="str">
        <f t="shared" si="13"/>
        <v>46-55</v>
      </c>
    </row>
    <row r="148" spans="1:16" x14ac:dyDescent="0.25">
      <c r="A148">
        <v>147</v>
      </c>
      <c r="B148" t="s">
        <v>15</v>
      </c>
      <c r="C148">
        <v>372323</v>
      </c>
      <c r="D148" t="s">
        <v>10</v>
      </c>
      <c r="E148" t="s">
        <v>11</v>
      </c>
      <c r="F148" t="s">
        <v>12</v>
      </c>
      <c r="G148" t="s">
        <v>13</v>
      </c>
      <c r="H148" t="s">
        <v>13</v>
      </c>
      <c r="I148">
        <v>29</v>
      </c>
      <c r="J148" t="str" cm="1">
        <f t="array" ref="J148">_xlfn.IFS(ISBLANK(C148),"FALTANTE",ABS((C148-$W$5)/$X$5)&gt;1.96,"ATÍPICO",ABS((C148-$W$5)/$X$5)&lt;=1.96,"NO ATÍPICO")</f>
        <v>NO ATÍPICO</v>
      </c>
      <c r="K148" t="str" cm="1">
        <f t="array" ref="K148">_xlfn.IFS(ISBLANK(I148),"FALTANTE",ABS((I148-$W$8)/$X$8)&gt;1.92,"ATÍPICO",ABS((I148-$W$8)/$X$8)&lt;=1.92,"NO ATÍPICO")</f>
        <v>NO ATÍPICO</v>
      </c>
      <c r="L148">
        <f t="shared" si="10"/>
        <v>372323</v>
      </c>
      <c r="M148" t="str">
        <f t="shared" si="14"/>
        <v>ASALARIADO</v>
      </c>
      <c r="N148">
        <f t="shared" si="11"/>
        <v>29</v>
      </c>
      <c r="O148" s="19" t="str">
        <f t="shared" si="12"/>
        <v>300k–600k</v>
      </c>
      <c r="P148" s="19" t="str">
        <f t="shared" si="13"/>
        <v>26-35</v>
      </c>
    </row>
    <row r="149" spans="1:16" x14ac:dyDescent="0.25">
      <c r="A149">
        <v>148</v>
      </c>
      <c r="B149" t="s">
        <v>15</v>
      </c>
      <c r="C149">
        <v>1069289.8</v>
      </c>
      <c r="D149" t="s">
        <v>14</v>
      </c>
      <c r="E149" t="s">
        <v>11</v>
      </c>
      <c r="F149" t="s">
        <v>12</v>
      </c>
      <c r="G149" t="s">
        <v>13</v>
      </c>
      <c r="H149" t="s">
        <v>13</v>
      </c>
      <c r="I149">
        <v>86</v>
      </c>
      <c r="J149" t="str" cm="1">
        <f t="array" ref="J149">_xlfn.IFS(ISBLANK(C149),"FALTANTE",ABS((C149-$W$5)/$X$5)&gt;1.96,"ATÍPICO",ABS((C149-$W$5)/$X$5)&lt;=1.96,"NO ATÍPICO")</f>
        <v>NO ATÍPICO</v>
      </c>
      <c r="K149" t="str" cm="1">
        <f t="array" ref="K149">_xlfn.IFS(ISBLANK(I149),"FALTANTE",ABS((I149-$W$8)/$X$8)&gt;1.92,"ATÍPICO",ABS((I149-$W$8)/$X$8)&lt;=1.92,"NO ATÍPICO")</f>
        <v>ATÍPICO</v>
      </c>
      <c r="L149">
        <f t="shared" si="10"/>
        <v>1069289.8</v>
      </c>
      <c r="M149" t="str">
        <f t="shared" si="14"/>
        <v>PENSIONADOS EN SU PROPIO SISTEMA</v>
      </c>
      <c r="N149">
        <f t="shared" si="11"/>
        <v>86</v>
      </c>
      <c r="O149" s="19" t="str">
        <f t="shared" si="12"/>
        <v>900k–1200k</v>
      </c>
      <c r="P149" s="19" t="str">
        <f t="shared" si="13"/>
        <v>56+</v>
      </c>
    </row>
    <row r="150" spans="1:16" x14ac:dyDescent="0.25">
      <c r="A150">
        <v>149</v>
      </c>
      <c r="B150" t="s">
        <v>15</v>
      </c>
      <c r="C150">
        <v>258000</v>
      </c>
      <c r="D150" t="s">
        <v>10</v>
      </c>
      <c r="E150" t="s">
        <v>16</v>
      </c>
      <c r="F150" t="s">
        <v>12</v>
      </c>
      <c r="G150" t="s">
        <v>13</v>
      </c>
      <c r="H150" t="s">
        <v>13</v>
      </c>
      <c r="I150">
        <v>30</v>
      </c>
      <c r="J150" t="str" cm="1">
        <f t="array" ref="J150">_xlfn.IFS(ISBLANK(C150),"FALTANTE",ABS((C150-$W$5)/$X$5)&gt;1.96,"ATÍPICO",ABS((C150-$W$5)/$X$5)&lt;=1.96,"NO ATÍPICO")</f>
        <v>NO ATÍPICO</v>
      </c>
      <c r="K150" t="str" cm="1">
        <f t="array" ref="K150">_xlfn.IFS(ISBLANK(I150),"FALTANTE",ABS((I150-$W$8)/$X$8)&gt;1.92,"ATÍPICO",ABS((I150-$W$8)/$X$8)&lt;=1.92,"NO ATÍPICO")</f>
        <v>NO ATÍPICO</v>
      </c>
      <c r="L150">
        <f t="shared" si="10"/>
        <v>258000</v>
      </c>
      <c r="M150" t="str">
        <f t="shared" si="14"/>
        <v>ASALARIADO</v>
      </c>
      <c r="N150">
        <f t="shared" si="11"/>
        <v>30</v>
      </c>
      <c r="O150" s="19" t="str">
        <f t="shared" si="12"/>
        <v>0–300k</v>
      </c>
      <c r="P150" s="19" t="str">
        <f t="shared" si="13"/>
        <v>26-35</v>
      </c>
    </row>
    <row r="151" spans="1:16" x14ac:dyDescent="0.25">
      <c r="A151">
        <v>150</v>
      </c>
      <c r="B151" t="s">
        <v>15</v>
      </c>
      <c r="C151">
        <v>304345</v>
      </c>
      <c r="D151" t="s">
        <v>17</v>
      </c>
      <c r="E151" t="s">
        <v>16</v>
      </c>
      <c r="F151" t="s">
        <v>12</v>
      </c>
      <c r="G151" t="s">
        <v>13</v>
      </c>
      <c r="H151" t="s">
        <v>13</v>
      </c>
      <c r="I151">
        <v>50</v>
      </c>
      <c r="J151" t="str" cm="1">
        <f t="array" ref="J151">_xlfn.IFS(ISBLANK(C151),"FALTANTE",ABS((C151-$W$5)/$X$5)&gt;1.96,"ATÍPICO",ABS((C151-$W$5)/$X$5)&lt;=1.96,"NO ATÍPICO")</f>
        <v>NO ATÍPICO</v>
      </c>
      <c r="K151" t="str" cm="1">
        <f t="array" ref="K151">_xlfn.IFS(ISBLANK(I151),"FALTANTE",ABS((I151-$W$8)/$X$8)&gt;1.92,"ATÍPICO",ABS((I151-$W$8)/$X$8)&lt;=1.92,"NO ATÍPICO")</f>
        <v>NO ATÍPICO</v>
      </c>
      <c r="L151">
        <f t="shared" si="10"/>
        <v>304345</v>
      </c>
      <c r="M151" t="str">
        <f t="shared" si="14"/>
        <v>ASEGURADO VOLUNTARIO</v>
      </c>
      <c r="N151">
        <f t="shared" si="11"/>
        <v>50</v>
      </c>
      <c r="O151" s="19" t="str">
        <f t="shared" si="12"/>
        <v>300k–600k</v>
      </c>
      <c r="P151" s="19" t="str">
        <f t="shared" si="13"/>
        <v>46-55</v>
      </c>
    </row>
    <row r="152" spans="1:16" x14ac:dyDescent="0.25">
      <c r="A152">
        <v>151</v>
      </c>
      <c r="B152" t="s">
        <v>15</v>
      </c>
      <c r="C152">
        <v>299647</v>
      </c>
      <c r="D152" t="s">
        <v>20</v>
      </c>
      <c r="E152" t="s">
        <v>16</v>
      </c>
      <c r="F152" t="s">
        <v>12</v>
      </c>
      <c r="G152" t="s">
        <v>13</v>
      </c>
      <c r="H152" t="s">
        <v>13</v>
      </c>
      <c r="I152">
        <v>40</v>
      </c>
      <c r="J152" t="str" cm="1">
        <f t="array" ref="J152">_xlfn.IFS(ISBLANK(C152),"FALTANTE",ABS((C152-$W$5)/$X$5)&gt;1.96,"ATÍPICO",ABS((C152-$W$5)/$X$5)&lt;=1.96,"NO ATÍPICO")</f>
        <v>NO ATÍPICO</v>
      </c>
      <c r="K152" t="str" cm="1">
        <f t="array" ref="K152">_xlfn.IFS(ISBLANK(I152),"FALTANTE",ABS((I152-$W$8)/$X$8)&gt;1.92,"ATÍPICO",ABS((I152-$W$8)/$X$8)&lt;=1.92,"NO ATÍPICO")</f>
        <v>NO ATÍPICO</v>
      </c>
      <c r="L152">
        <f t="shared" si="10"/>
        <v>299647</v>
      </c>
      <c r="M152" t="str" cm="1">
        <f t="array" ref="M152">INDEX(D2:D5001, _xlfn.MODE.SNGL(MATCH(D2:D5001, D2:D5001, 0)))</f>
        <v>ASALARIADO</v>
      </c>
      <c r="N152">
        <f t="shared" si="11"/>
        <v>40</v>
      </c>
      <c r="O152" s="19" t="str">
        <f t="shared" si="12"/>
        <v>0–300k</v>
      </c>
      <c r="P152" s="19" t="str">
        <f t="shared" si="13"/>
        <v>36-45</v>
      </c>
    </row>
    <row r="153" spans="1:16" x14ac:dyDescent="0.25">
      <c r="A153">
        <v>152</v>
      </c>
      <c r="B153" t="s">
        <v>9</v>
      </c>
      <c r="C153">
        <v>253472</v>
      </c>
      <c r="D153" t="s">
        <v>10</v>
      </c>
      <c r="E153" t="s">
        <v>16</v>
      </c>
      <c r="F153" t="s">
        <v>12</v>
      </c>
      <c r="G153" t="s">
        <v>12</v>
      </c>
      <c r="H153" t="s">
        <v>13</v>
      </c>
      <c r="I153">
        <v>21</v>
      </c>
      <c r="J153" t="str" cm="1">
        <f t="array" ref="J153">_xlfn.IFS(ISBLANK(C153),"FALTANTE",ABS((C153-$W$5)/$X$5)&gt;1.96,"ATÍPICO",ABS((C153-$W$5)/$X$5)&lt;=1.96,"NO ATÍPICO")</f>
        <v>NO ATÍPICO</v>
      </c>
      <c r="K153" t="str" cm="1">
        <f t="array" ref="K153">_xlfn.IFS(ISBLANK(I153),"FALTANTE",ABS((I153-$W$8)/$X$8)&gt;1.92,"ATÍPICO",ABS((I153-$W$8)/$X$8)&lt;=1.92,"NO ATÍPICO")</f>
        <v>NO ATÍPICO</v>
      </c>
      <c r="L153">
        <f t="shared" si="10"/>
        <v>253472</v>
      </c>
      <c r="M153" t="str">
        <f t="shared" si="14"/>
        <v>ASALARIADO</v>
      </c>
      <c r="N153">
        <f t="shared" si="11"/>
        <v>21</v>
      </c>
      <c r="O153" s="19" t="str">
        <f t="shared" si="12"/>
        <v>0–300k</v>
      </c>
      <c r="P153" s="19" t="str">
        <f t="shared" si="13"/>
        <v>18-25</v>
      </c>
    </row>
    <row r="154" spans="1:16" x14ac:dyDescent="0.25">
      <c r="A154">
        <v>153</v>
      </c>
      <c r="B154" t="s">
        <v>9</v>
      </c>
      <c r="C154">
        <v>851079</v>
      </c>
      <c r="D154" t="s">
        <v>10</v>
      </c>
      <c r="E154" t="s">
        <v>16</v>
      </c>
      <c r="F154" t="s">
        <v>12</v>
      </c>
      <c r="G154" t="s">
        <v>13</v>
      </c>
      <c r="H154" t="s">
        <v>13</v>
      </c>
      <c r="I154">
        <v>58</v>
      </c>
      <c r="J154" t="str" cm="1">
        <f t="array" ref="J154">_xlfn.IFS(ISBLANK(C154),"FALTANTE",ABS((C154-$W$5)/$X$5)&gt;1.96,"ATÍPICO",ABS((C154-$W$5)/$X$5)&lt;=1.96,"NO ATÍPICO")</f>
        <v>NO ATÍPICO</v>
      </c>
      <c r="K154" t="str" cm="1">
        <f t="array" ref="K154">_xlfn.IFS(ISBLANK(I154),"FALTANTE",ABS((I154-$W$8)/$X$8)&gt;1.92,"ATÍPICO",ABS((I154-$W$8)/$X$8)&lt;=1.92,"NO ATÍPICO")</f>
        <v>NO ATÍPICO</v>
      </c>
      <c r="L154">
        <f t="shared" si="10"/>
        <v>851079</v>
      </c>
      <c r="M154" t="str">
        <f t="shared" si="14"/>
        <v>ASALARIADO</v>
      </c>
      <c r="N154">
        <f t="shared" si="11"/>
        <v>58</v>
      </c>
      <c r="O154" s="19" t="str">
        <f t="shared" si="12"/>
        <v>600k–900k</v>
      </c>
      <c r="P154" s="19" t="str">
        <f t="shared" si="13"/>
        <v>56+</v>
      </c>
    </row>
    <row r="155" spans="1:16" x14ac:dyDescent="0.25">
      <c r="A155">
        <v>154</v>
      </c>
      <c r="B155" t="s">
        <v>15</v>
      </c>
      <c r="C155">
        <v>353911.5</v>
      </c>
      <c r="D155" t="s">
        <v>10</v>
      </c>
      <c r="E155" t="s">
        <v>11</v>
      </c>
      <c r="F155" t="s">
        <v>12</v>
      </c>
      <c r="G155" t="s">
        <v>13</v>
      </c>
      <c r="H155" t="s">
        <v>13</v>
      </c>
      <c r="I155">
        <v>41</v>
      </c>
      <c r="J155" t="str" cm="1">
        <f t="array" ref="J155">_xlfn.IFS(ISBLANK(C155),"FALTANTE",ABS((C155-$W$5)/$X$5)&gt;1.96,"ATÍPICO",ABS((C155-$W$5)/$X$5)&lt;=1.96,"NO ATÍPICO")</f>
        <v>NO ATÍPICO</v>
      </c>
      <c r="K155" t="str" cm="1">
        <f t="array" ref="K155">_xlfn.IFS(ISBLANK(I155),"FALTANTE",ABS((I155-$W$8)/$X$8)&gt;1.92,"ATÍPICO",ABS((I155-$W$8)/$X$8)&lt;=1.92,"NO ATÍPICO")</f>
        <v>NO ATÍPICO</v>
      </c>
      <c r="L155">
        <f t="shared" si="10"/>
        <v>353911.5</v>
      </c>
      <c r="M155" t="str">
        <f t="shared" si="14"/>
        <v>ASALARIADO</v>
      </c>
      <c r="N155">
        <f t="shared" si="11"/>
        <v>41</v>
      </c>
      <c r="O155" s="19" t="str">
        <f t="shared" si="12"/>
        <v>300k–600k</v>
      </c>
      <c r="P155" s="19" t="str">
        <f t="shared" si="13"/>
        <v>36-45</v>
      </c>
    </row>
    <row r="156" spans="1:16" x14ac:dyDescent="0.25">
      <c r="A156">
        <v>155</v>
      </c>
      <c r="B156" t="s">
        <v>15</v>
      </c>
      <c r="C156">
        <v>513465</v>
      </c>
      <c r="D156" t="s">
        <v>10</v>
      </c>
      <c r="E156" t="s">
        <v>16</v>
      </c>
      <c r="F156" t="s">
        <v>12</v>
      </c>
      <c r="G156" t="s">
        <v>13</v>
      </c>
      <c r="H156" t="s">
        <v>13</v>
      </c>
      <c r="I156">
        <v>49</v>
      </c>
      <c r="J156" t="str" cm="1">
        <f t="array" ref="J156">_xlfn.IFS(ISBLANK(C156),"FALTANTE",ABS((C156-$W$5)/$X$5)&gt;1.96,"ATÍPICO",ABS((C156-$W$5)/$X$5)&lt;=1.96,"NO ATÍPICO")</f>
        <v>NO ATÍPICO</v>
      </c>
      <c r="K156" t="str" cm="1">
        <f t="array" ref="K156">_xlfn.IFS(ISBLANK(I156),"FALTANTE",ABS((I156-$W$8)/$X$8)&gt;1.92,"ATÍPICO",ABS((I156-$W$8)/$X$8)&lt;=1.92,"NO ATÍPICO")</f>
        <v>NO ATÍPICO</v>
      </c>
      <c r="L156">
        <f t="shared" si="10"/>
        <v>513465</v>
      </c>
      <c r="M156" t="str">
        <f t="shared" si="14"/>
        <v>ASALARIADO</v>
      </c>
      <c r="N156">
        <f t="shared" si="11"/>
        <v>49</v>
      </c>
      <c r="O156" s="19" t="str">
        <f t="shared" si="12"/>
        <v>300k–600k</v>
      </c>
      <c r="P156" s="19" t="str">
        <f t="shared" si="13"/>
        <v>46-55</v>
      </c>
    </row>
    <row r="157" spans="1:16" x14ac:dyDescent="0.25">
      <c r="A157">
        <v>156</v>
      </c>
      <c r="B157" t="s">
        <v>9</v>
      </c>
      <c r="C157">
        <v>300018</v>
      </c>
      <c r="D157" t="s">
        <v>17</v>
      </c>
      <c r="E157" t="s">
        <v>16</v>
      </c>
      <c r="F157" t="s">
        <v>12</v>
      </c>
      <c r="G157" t="s">
        <v>13</v>
      </c>
      <c r="H157" t="s">
        <v>13</v>
      </c>
      <c r="I157">
        <v>57</v>
      </c>
      <c r="J157" t="str" cm="1">
        <f t="array" ref="J157">_xlfn.IFS(ISBLANK(C157),"FALTANTE",ABS((C157-$W$5)/$X$5)&gt;1.96,"ATÍPICO",ABS((C157-$W$5)/$X$5)&lt;=1.96,"NO ATÍPICO")</f>
        <v>NO ATÍPICO</v>
      </c>
      <c r="K157" t="str" cm="1">
        <f t="array" ref="K157">_xlfn.IFS(ISBLANK(I157),"FALTANTE",ABS((I157-$W$8)/$X$8)&gt;1.92,"ATÍPICO",ABS((I157-$W$8)/$X$8)&lt;=1.92,"NO ATÍPICO")</f>
        <v>NO ATÍPICO</v>
      </c>
      <c r="L157">
        <f t="shared" si="10"/>
        <v>300018</v>
      </c>
      <c r="M157" t="str">
        <f t="shared" si="14"/>
        <v>ASEGURADO VOLUNTARIO</v>
      </c>
      <c r="N157">
        <f t="shared" si="11"/>
        <v>57</v>
      </c>
      <c r="O157" s="19" t="str">
        <f t="shared" si="12"/>
        <v>300k–600k</v>
      </c>
      <c r="P157" s="19" t="str">
        <f t="shared" si="13"/>
        <v>56+</v>
      </c>
    </row>
    <row r="158" spans="1:16" x14ac:dyDescent="0.25">
      <c r="A158">
        <v>157</v>
      </c>
      <c r="B158" t="s">
        <v>9</v>
      </c>
      <c r="C158">
        <v>659491.07999999996</v>
      </c>
      <c r="D158" t="s">
        <v>10</v>
      </c>
      <c r="E158" t="s">
        <v>16</v>
      </c>
      <c r="F158" t="s">
        <v>12</v>
      </c>
      <c r="G158" t="s">
        <v>13</v>
      </c>
      <c r="H158" t="s">
        <v>13</v>
      </c>
      <c r="I158">
        <v>27</v>
      </c>
      <c r="J158" t="str" cm="1">
        <f t="array" ref="J158">_xlfn.IFS(ISBLANK(C158),"FALTANTE",ABS((C158-$W$5)/$X$5)&gt;1.96,"ATÍPICO",ABS((C158-$W$5)/$X$5)&lt;=1.96,"NO ATÍPICO")</f>
        <v>NO ATÍPICO</v>
      </c>
      <c r="K158" t="str" cm="1">
        <f t="array" ref="K158">_xlfn.IFS(ISBLANK(I158),"FALTANTE",ABS((I158-$W$8)/$X$8)&gt;1.92,"ATÍPICO",ABS((I158-$W$8)/$X$8)&lt;=1.92,"NO ATÍPICO")</f>
        <v>NO ATÍPICO</v>
      </c>
      <c r="L158">
        <f t="shared" si="10"/>
        <v>659491.07999999996</v>
      </c>
      <c r="M158" t="str">
        <f t="shared" si="14"/>
        <v>ASALARIADO</v>
      </c>
      <c r="N158">
        <f t="shared" si="11"/>
        <v>27</v>
      </c>
      <c r="O158" s="19" t="str">
        <f t="shared" si="12"/>
        <v>600k–900k</v>
      </c>
      <c r="P158" s="19" t="str">
        <f t="shared" si="13"/>
        <v>26-35</v>
      </c>
    </row>
    <row r="159" spans="1:16" x14ac:dyDescent="0.25">
      <c r="A159">
        <v>158</v>
      </c>
      <c r="B159" t="s">
        <v>9</v>
      </c>
      <c r="C159">
        <v>356000</v>
      </c>
      <c r="D159" t="s">
        <v>10</v>
      </c>
      <c r="E159" t="s">
        <v>16</v>
      </c>
      <c r="F159" t="s">
        <v>12</v>
      </c>
      <c r="G159" t="s">
        <v>13</v>
      </c>
      <c r="H159" t="s">
        <v>12</v>
      </c>
      <c r="I159">
        <v>56</v>
      </c>
      <c r="J159" t="str" cm="1">
        <f t="array" ref="J159">_xlfn.IFS(ISBLANK(C159),"FALTANTE",ABS((C159-$W$5)/$X$5)&gt;1.96,"ATÍPICO",ABS((C159-$W$5)/$X$5)&lt;=1.96,"NO ATÍPICO")</f>
        <v>NO ATÍPICO</v>
      </c>
      <c r="K159" t="str" cm="1">
        <f t="array" ref="K159">_xlfn.IFS(ISBLANK(I159),"FALTANTE",ABS((I159-$W$8)/$X$8)&gt;1.92,"ATÍPICO",ABS((I159-$W$8)/$X$8)&lt;=1.92,"NO ATÍPICO")</f>
        <v>NO ATÍPICO</v>
      </c>
      <c r="L159">
        <f t="shared" si="10"/>
        <v>356000</v>
      </c>
      <c r="M159" t="str">
        <f t="shared" si="14"/>
        <v>ASALARIADO</v>
      </c>
      <c r="N159">
        <f t="shared" si="11"/>
        <v>56</v>
      </c>
      <c r="O159" s="19" t="str">
        <f t="shared" si="12"/>
        <v>300k–600k</v>
      </c>
      <c r="P159" s="19" t="str">
        <f t="shared" si="13"/>
        <v>56+</v>
      </c>
    </row>
    <row r="160" spans="1:16" x14ac:dyDescent="0.25">
      <c r="A160">
        <v>159</v>
      </c>
      <c r="B160" t="s">
        <v>9</v>
      </c>
      <c r="C160">
        <v>315941</v>
      </c>
      <c r="D160" t="s">
        <v>10</v>
      </c>
      <c r="E160" t="s">
        <v>16</v>
      </c>
      <c r="F160" t="s">
        <v>12</v>
      </c>
      <c r="G160" t="s">
        <v>12</v>
      </c>
      <c r="H160" t="s">
        <v>13</v>
      </c>
      <c r="I160">
        <v>52</v>
      </c>
      <c r="J160" t="str" cm="1">
        <f t="array" ref="J160">_xlfn.IFS(ISBLANK(C160),"FALTANTE",ABS((C160-$W$5)/$X$5)&gt;1.96,"ATÍPICO",ABS((C160-$W$5)/$X$5)&lt;=1.96,"NO ATÍPICO")</f>
        <v>NO ATÍPICO</v>
      </c>
      <c r="K160" t="str" cm="1">
        <f t="array" ref="K160">_xlfn.IFS(ISBLANK(I160),"FALTANTE",ABS((I160-$W$8)/$X$8)&gt;1.92,"ATÍPICO",ABS((I160-$W$8)/$X$8)&lt;=1.92,"NO ATÍPICO")</f>
        <v>NO ATÍPICO</v>
      </c>
      <c r="L160">
        <f t="shared" si="10"/>
        <v>315941</v>
      </c>
      <c r="M160" t="str">
        <f t="shared" si="14"/>
        <v>ASALARIADO</v>
      </c>
      <c r="N160">
        <f t="shared" si="11"/>
        <v>52</v>
      </c>
      <c r="O160" s="19" t="str">
        <f t="shared" si="12"/>
        <v>300k–600k</v>
      </c>
      <c r="P160" s="19" t="str">
        <f t="shared" si="13"/>
        <v>46-55</v>
      </c>
    </row>
    <row r="161" spans="1:16" x14ac:dyDescent="0.25">
      <c r="A161">
        <v>160</v>
      </c>
      <c r="B161" t="s">
        <v>9</v>
      </c>
      <c r="C161">
        <v>427506.38</v>
      </c>
      <c r="D161" t="s">
        <v>19</v>
      </c>
      <c r="E161" t="s">
        <v>16</v>
      </c>
      <c r="F161" t="s">
        <v>12</v>
      </c>
      <c r="G161" t="s">
        <v>13</v>
      </c>
      <c r="H161" t="s">
        <v>13</v>
      </c>
      <c r="I161">
        <v>28</v>
      </c>
      <c r="J161" t="str" cm="1">
        <f t="array" ref="J161">_xlfn.IFS(ISBLANK(C161),"FALTANTE",ABS((C161-$W$5)/$X$5)&gt;1.96,"ATÍPICO",ABS((C161-$W$5)/$X$5)&lt;=1.96,"NO ATÍPICO")</f>
        <v>NO ATÍPICO</v>
      </c>
      <c r="K161" t="str" cm="1">
        <f t="array" ref="K161">_xlfn.IFS(ISBLANK(I161),"FALTANTE",ABS((I161-$W$8)/$X$8)&gt;1.92,"ATÍPICO",ABS((I161-$W$8)/$X$8)&lt;=1.92,"NO ATÍPICO")</f>
        <v>NO ATÍPICO</v>
      </c>
      <c r="L161">
        <f t="shared" si="10"/>
        <v>427506.38</v>
      </c>
      <c r="M161" t="str">
        <f t="shared" si="14"/>
        <v>CONVENIOS ESPECIALES DE TRABAJADORES INDEPENDIENTES</v>
      </c>
      <c r="N161">
        <f t="shared" si="11"/>
        <v>28</v>
      </c>
      <c r="O161" s="19" t="str">
        <f t="shared" si="12"/>
        <v>300k–600k</v>
      </c>
      <c r="P161" s="19" t="str">
        <f t="shared" si="13"/>
        <v>26-35</v>
      </c>
    </row>
    <row r="162" spans="1:16" x14ac:dyDescent="0.25">
      <c r="A162">
        <v>161</v>
      </c>
      <c r="B162" t="s">
        <v>9</v>
      </c>
      <c r="C162">
        <v>299441</v>
      </c>
      <c r="D162" t="s">
        <v>18</v>
      </c>
      <c r="E162" t="s">
        <v>16</v>
      </c>
      <c r="F162" t="s">
        <v>12</v>
      </c>
      <c r="G162" t="s">
        <v>13</v>
      </c>
      <c r="H162" t="s">
        <v>13</v>
      </c>
      <c r="I162">
        <v>54</v>
      </c>
      <c r="J162" t="str" cm="1">
        <f t="array" ref="J162">_xlfn.IFS(ISBLANK(C162),"FALTANTE",ABS((C162-$W$5)/$X$5)&gt;1.96,"ATÍPICO",ABS((C162-$W$5)/$X$5)&lt;=1.96,"NO ATÍPICO")</f>
        <v>NO ATÍPICO</v>
      </c>
      <c r="K162" t="str" cm="1">
        <f t="array" ref="K162">_xlfn.IFS(ISBLANK(I162),"FALTANTE",ABS((I162-$W$8)/$X$8)&gt;1.92,"ATÍPICO",ABS((I162-$W$8)/$X$8)&lt;=1.92,"NO ATÍPICO")</f>
        <v>NO ATÍPICO</v>
      </c>
      <c r="L162">
        <f t="shared" si="10"/>
        <v>299441</v>
      </c>
      <c r="M162" t="str">
        <f t="shared" si="14"/>
        <v>TRABAJADOR INDEPENDIENTE</v>
      </c>
      <c r="N162">
        <f t="shared" si="11"/>
        <v>54</v>
      </c>
      <c r="O162" s="19" t="str">
        <f t="shared" si="12"/>
        <v>0–300k</v>
      </c>
      <c r="P162" s="19" t="str">
        <f t="shared" si="13"/>
        <v>46-55</v>
      </c>
    </row>
    <row r="163" spans="1:16" x14ac:dyDescent="0.25">
      <c r="A163">
        <v>162</v>
      </c>
      <c r="B163" t="s">
        <v>9</v>
      </c>
      <c r="C163">
        <v>360458</v>
      </c>
      <c r="D163" t="s">
        <v>10</v>
      </c>
      <c r="E163" t="s">
        <v>11</v>
      </c>
      <c r="F163" t="s">
        <v>12</v>
      </c>
      <c r="G163" t="s">
        <v>13</v>
      </c>
      <c r="H163" t="s">
        <v>13</v>
      </c>
      <c r="I163">
        <v>30</v>
      </c>
      <c r="J163" t="str" cm="1">
        <f t="array" ref="J163">_xlfn.IFS(ISBLANK(C163),"FALTANTE",ABS((C163-$W$5)/$X$5)&gt;1.96,"ATÍPICO",ABS((C163-$W$5)/$X$5)&lt;=1.96,"NO ATÍPICO")</f>
        <v>NO ATÍPICO</v>
      </c>
      <c r="K163" t="str" cm="1">
        <f t="array" ref="K163">_xlfn.IFS(ISBLANK(I163),"FALTANTE",ABS((I163-$W$8)/$X$8)&gt;1.92,"ATÍPICO",ABS((I163-$W$8)/$X$8)&lt;=1.92,"NO ATÍPICO")</f>
        <v>NO ATÍPICO</v>
      </c>
      <c r="L163">
        <f t="shared" si="10"/>
        <v>360458</v>
      </c>
      <c r="M163" t="str">
        <f t="shared" si="14"/>
        <v>ASALARIADO</v>
      </c>
      <c r="N163">
        <f t="shared" si="11"/>
        <v>30</v>
      </c>
      <c r="O163" s="19" t="str">
        <f t="shared" si="12"/>
        <v>300k–600k</v>
      </c>
      <c r="P163" s="19" t="str">
        <f t="shared" si="13"/>
        <v>26-35</v>
      </c>
    </row>
    <row r="164" spans="1:16" x14ac:dyDescent="0.25">
      <c r="A164">
        <v>163</v>
      </c>
      <c r="B164" t="s">
        <v>9</v>
      </c>
      <c r="C164">
        <v>297050</v>
      </c>
      <c r="D164" t="s">
        <v>18</v>
      </c>
      <c r="E164" t="s">
        <v>16</v>
      </c>
      <c r="F164" t="s">
        <v>12</v>
      </c>
      <c r="G164" t="s">
        <v>13</v>
      </c>
      <c r="H164" t="s">
        <v>13</v>
      </c>
      <c r="I164">
        <v>46</v>
      </c>
      <c r="J164" t="str" cm="1">
        <f t="array" ref="J164">_xlfn.IFS(ISBLANK(C164),"FALTANTE",ABS((C164-$W$5)/$X$5)&gt;1.96,"ATÍPICO",ABS((C164-$W$5)/$X$5)&lt;=1.96,"NO ATÍPICO")</f>
        <v>NO ATÍPICO</v>
      </c>
      <c r="K164" t="str" cm="1">
        <f t="array" ref="K164">_xlfn.IFS(ISBLANK(I164),"FALTANTE",ABS((I164-$W$8)/$X$8)&gt;1.92,"ATÍPICO",ABS((I164-$W$8)/$X$8)&lt;=1.92,"NO ATÍPICO")</f>
        <v>NO ATÍPICO</v>
      </c>
      <c r="L164">
        <f t="shared" si="10"/>
        <v>297050</v>
      </c>
      <c r="M164" t="str">
        <f t="shared" si="14"/>
        <v>TRABAJADOR INDEPENDIENTE</v>
      </c>
      <c r="N164">
        <f t="shared" si="11"/>
        <v>46</v>
      </c>
      <c r="O164" s="19" t="str">
        <f t="shared" si="12"/>
        <v>0–300k</v>
      </c>
      <c r="P164" s="19" t="str">
        <f t="shared" si="13"/>
        <v>46-55</v>
      </c>
    </row>
    <row r="165" spans="1:16" x14ac:dyDescent="0.25">
      <c r="A165">
        <v>164</v>
      </c>
      <c r="B165" t="s">
        <v>9</v>
      </c>
      <c r="C165">
        <v>338659.6</v>
      </c>
      <c r="D165" t="s">
        <v>10</v>
      </c>
      <c r="E165" t="s">
        <v>16</v>
      </c>
      <c r="F165" t="s">
        <v>12</v>
      </c>
      <c r="G165" t="s">
        <v>12</v>
      </c>
      <c r="H165" t="s">
        <v>13</v>
      </c>
      <c r="I165">
        <v>33</v>
      </c>
      <c r="J165" t="str" cm="1">
        <f t="array" ref="J165">_xlfn.IFS(ISBLANK(C165),"FALTANTE",ABS((C165-$W$5)/$X$5)&gt;1.96,"ATÍPICO",ABS((C165-$W$5)/$X$5)&lt;=1.96,"NO ATÍPICO")</f>
        <v>NO ATÍPICO</v>
      </c>
      <c r="K165" t="str" cm="1">
        <f t="array" ref="K165">_xlfn.IFS(ISBLANK(I165),"FALTANTE",ABS((I165-$W$8)/$X$8)&gt;1.92,"ATÍPICO",ABS((I165-$W$8)/$X$8)&lt;=1.92,"NO ATÍPICO")</f>
        <v>NO ATÍPICO</v>
      </c>
      <c r="L165">
        <f t="shared" si="10"/>
        <v>338659.6</v>
      </c>
      <c r="M165" t="str">
        <f t="shared" si="14"/>
        <v>ASALARIADO</v>
      </c>
      <c r="N165">
        <f t="shared" si="11"/>
        <v>33</v>
      </c>
      <c r="O165" s="19" t="str">
        <f t="shared" si="12"/>
        <v>300k–600k</v>
      </c>
      <c r="P165" s="19" t="str">
        <f t="shared" si="13"/>
        <v>26-35</v>
      </c>
    </row>
    <row r="166" spans="1:16" x14ac:dyDescent="0.25">
      <c r="A166">
        <v>165</v>
      </c>
      <c r="B166" t="s">
        <v>9</v>
      </c>
      <c r="C166">
        <v>4605901.54</v>
      </c>
      <c r="D166" t="s">
        <v>10</v>
      </c>
      <c r="E166" t="s">
        <v>11</v>
      </c>
      <c r="F166" t="s">
        <v>12</v>
      </c>
      <c r="G166" t="s">
        <v>13</v>
      </c>
      <c r="H166" t="s">
        <v>13</v>
      </c>
      <c r="I166">
        <v>68</v>
      </c>
      <c r="J166" t="str" cm="1">
        <f t="array" ref="J166">_xlfn.IFS(ISBLANK(C166),"FALTANTE",ABS((C166-$W$5)/$X$5)&gt;1.96,"ATÍPICO",ABS((C166-$W$5)/$X$5)&lt;=1.96,"NO ATÍPICO")</f>
        <v>ATÍPICO</v>
      </c>
      <c r="K166" t="str" cm="1">
        <f t="array" ref="K166">_xlfn.IFS(ISBLANK(I166),"FALTANTE",ABS((I166-$W$8)/$X$8)&gt;1.92,"ATÍPICO",ABS((I166-$W$8)/$X$8)&lt;=1.92,"NO ATÍPICO")</f>
        <v>NO ATÍPICO</v>
      </c>
      <c r="L166">
        <f t="shared" si="10"/>
        <v>4605901.54</v>
      </c>
      <c r="M166" t="str">
        <f t="shared" si="14"/>
        <v>ASALARIADO</v>
      </c>
      <c r="N166">
        <f t="shared" si="11"/>
        <v>68</v>
      </c>
      <c r="O166" s="19" t="str">
        <f t="shared" si="12"/>
        <v>1200k+</v>
      </c>
      <c r="P166" s="19" t="str">
        <f t="shared" si="13"/>
        <v>56+</v>
      </c>
    </row>
    <row r="167" spans="1:16" x14ac:dyDescent="0.25">
      <c r="A167">
        <v>166</v>
      </c>
      <c r="B167" t="s">
        <v>9</v>
      </c>
      <c r="C167">
        <v>299647</v>
      </c>
      <c r="D167" t="s">
        <v>17</v>
      </c>
      <c r="E167" t="s">
        <v>16</v>
      </c>
      <c r="F167" t="s">
        <v>12</v>
      </c>
      <c r="G167" t="s">
        <v>13</v>
      </c>
      <c r="H167" t="s">
        <v>13</v>
      </c>
      <c r="I167">
        <v>68</v>
      </c>
      <c r="J167" t="str" cm="1">
        <f t="array" ref="J167">_xlfn.IFS(ISBLANK(C167),"FALTANTE",ABS((C167-$W$5)/$X$5)&gt;1.96,"ATÍPICO",ABS((C167-$W$5)/$X$5)&lt;=1.96,"NO ATÍPICO")</f>
        <v>NO ATÍPICO</v>
      </c>
      <c r="K167" t="str" cm="1">
        <f t="array" ref="K167">_xlfn.IFS(ISBLANK(I167),"FALTANTE",ABS((I167-$W$8)/$X$8)&gt;1.92,"ATÍPICO",ABS((I167-$W$8)/$X$8)&lt;=1.92,"NO ATÍPICO")</f>
        <v>NO ATÍPICO</v>
      </c>
      <c r="L167">
        <f t="shared" si="10"/>
        <v>299647</v>
      </c>
      <c r="M167" t="str">
        <f t="shared" si="14"/>
        <v>ASEGURADO VOLUNTARIO</v>
      </c>
      <c r="N167">
        <f t="shared" si="11"/>
        <v>68</v>
      </c>
      <c r="O167" s="19" t="str">
        <f t="shared" si="12"/>
        <v>0–300k</v>
      </c>
      <c r="P167" s="19" t="str">
        <f t="shared" si="13"/>
        <v>56+</v>
      </c>
    </row>
    <row r="168" spans="1:16" x14ac:dyDescent="0.25">
      <c r="A168">
        <v>167</v>
      </c>
      <c r="B168" t="s">
        <v>15</v>
      </c>
      <c r="C168">
        <v>111053</v>
      </c>
      <c r="D168" t="s">
        <v>10</v>
      </c>
      <c r="E168" t="s">
        <v>16</v>
      </c>
      <c r="F168" t="s">
        <v>12</v>
      </c>
      <c r="G168" t="s">
        <v>13</v>
      </c>
      <c r="H168" t="s">
        <v>13</v>
      </c>
      <c r="I168">
        <v>54</v>
      </c>
      <c r="J168" t="str" cm="1">
        <f t="array" ref="J168">_xlfn.IFS(ISBLANK(C168),"FALTANTE",ABS((C168-$W$5)/$X$5)&gt;1.96,"ATÍPICO",ABS((C168-$W$5)/$X$5)&lt;=1.96,"NO ATÍPICO")</f>
        <v>NO ATÍPICO</v>
      </c>
      <c r="K168" t="str" cm="1">
        <f t="array" ref="K168">_xlfn.IFS(ISBLANK(I168),"FALTANTE",ABS((I168-$W$8)/$X$8)&gt;1.92,"ATÍPICO",ABS((I168-$W$8)/$X$8)&lt;=1.92,"NO ATÍPICO")</f>
        <v>NO ATÍPICO</v>
      </c>
      <c r="L168">
        <f t="shared" si="10"/>
        <v>111053</v>
      </c>
      <c r="M168" t="str">
        <f t="shared" si="14"/>
        <v>ASALARIADO</v>
      </c>
      <c r="N168">
        <f t="shared" si="11"/>
        <v>54</v>
      </c>
      <c r="O168" s="19" t="str">
        <f t="shared" si="12"/>
        <v>0–300k</v>
      </c>
      <c r="P168" s="19" t="str">
        <f t="shared" si="13"/>
        <v>46-55</v>
      </c>
    </row>
    <row r="169" spans="1:16" x14ac:dyDescent="0.25">
      <c r="A169">
        <v>168</v>
      </c>
      <c r="B169" t="s">
        <v>9</v>
      </c>
      <c r="C169">
        <v>371304</v>
      </c>
      <c r="D169" t="s">
        <v>18</v>
      </c>
      <c r="E169" t="s">
        <v>16</v>
      </c>
      <c r="F169" t="s">
        <v>12</v>
      </c>
      <c r="G169" t="s">
        <v>13</v>
      </c>
      <c r="H169" t="s">
        <v>12</v>
      </c>
      <c r="I169">
        <v>46</v>
      </c>
      <c r="J169" t="str" cm="1">
        <f t="array" ref="J169">_xlfn.IFS(ISBLANK(C169),"FALTANTE",ABS((C169-$W$5)/$X$5)&gt;1.96,"ATÍPICO",ABS((C169-$W$5)/$X$5)&lt;=1.96,"NO ATÍPICO")</f>
        <v>NO ATÍPICO</v>
      </c>
      <c r="K169" t="str" cm="1">
        <f t="array" ref="K169">_xlfn.IFS(ISBLANK(I169),"FALTANTE",ABS((I169-$W$8)/$X$8)&gt;1.92,"ATÍPICO",ABS((I169-$W$8)/$X$8)&lt;=1.92,"NO ATÍPICO")</f>
        <v>NO ATÍPICO</v>
      </c>
      <c r="L169">
        <f t="shared" si="10"/>
        <v>371304</v>
      </c>
      <c r="M169" t="str">
        <f t="shared" si="14"/>
        <v>TRABAJADOR INDEPENDIENTE</v>
      </c>
      <c r="N169">
        <f t="shared" si="11"/>
        <v>46</v>
      </c>
      <c r="O169" s="19" t="str">
        <f t="shared" si="12"/>
        <v>300k–600k</v>
      </c>
      <c r="P169" s="19" t="str">
        <f t="shared" si="13"/>
        <v>46-55</v>
      </c>
    </row>
    <row r="170" spans="1:16" x14ac:dyDescent="0.25">
      <c r="A170">
        <v>169</v>
      </c>
      <c r="B170" t="s">
        <v>15</v>
      </c>
      <c r="C170">
        <v>672365.54</v>
      </c>
      <c r="D170" t="s">
        <v>10</v>
      </c>
      <c r="E170" t="s">
        <v>16</v>
      </c>
      <c r="F170" t="s">
        <v>12</v>
      </c>
      <c r="G170" t="s">
        <v>13</v>
      </c>
      <c r="H170" t="s">
        <v>13</v>
      </c>
      <c r="I170">
        <v>38</v>
      </c>
      <c r="J170" t="str" cm="1">
        <f t="array" ref="J170">_xlfn.IFS(ISBLANK(C170),"FALTANTE",ABS((C170-$W$5)/$X$5)&gt;1.96,"ATÍPICO",ABS((C170-$W$5)/$X$5)&lt;=1.96,"NO ATÍPICO")</f>
        <v>NO ATÍPICO</v>
      </c>
      <c r="K170" t="str" cm="1">
        <f t="array" ref="K170">_xlfn.IFS(ISBLANK(I170),"FALTANTE",ABS((I170-$W$8)/$X$8)&gt;1.92,"ATÍPICO",ABS((I170-$W$8)/$X$8)&lt;=1.92,"NO ATÍPICO")</f>
        <v>NO ATÍPICO</v>
      </c>
      <c r="L170">
        <f t="shared" si="10"/>
        <v>672365.54</v>
      </c>
      <c r="M170" t="str">
        <f t="shared" si="14"/>
        <v>ASALARIADO</v>
      </c>
      <c r="N170">
        <f t="shared" si="11"/>
        <v>38</v>
      </c>
      <c r="O170" s="19" t="str">
        <f t="shared" si="12"/>
        <v>600k–900k</v>
      </c>
      <c r="P170" s="19" t="str">
        <f t="shared" si="13"/>
        <v>36-45</v>
      </c>
    </row>
    <row r="171" spans="1:16" x14ac:dyDescent="0.25">
      <c r="A171">
        <v>170</v>
      </c>
      <c r="B171" t="s">
        <v>9</v>
      </c>
      <c r="C171">
        <v>475269</v>
      </c>
      <c r="D171" t="s">
        <v>18</v>
      </c>
      <c r="E171" t="s">
        <v>16</v>
      </c>
      <c r="F171" t="s">
        <v>12</v>
      </c>
      <c r="G171" t="s">
        <v>13</v>
      </c>
      <c r="H171" t="s">
        <v>12</v>
      </c>
      <c r="I171">
        <v>63</v>
      </c>
      <c r="J171" t="str" cm="1">
        <f t="array" ref="J171">_xlfn.IFS(ISBLANK(C171),"FALTANTE",ABS((C171-$W$5)/$X$5)&gt;1.96,"ATÍPICO",ABS((C171-$W$5)/$X$5)&lt;=1.96,"NO ATÍPICO")</f>
        <v>NO ATÍPICO</v>
      </c>
      <c r="K171" t="str" cm="1">
        <f t="array" ref="K171">_xlfn.IFS(ISBLANK(I171),"FALTANTE",ABS((I171-$W$8)/$X$8)&gt;1.92,"ATÍPICO",ABS((I171-$W$8)/$X$8)&lt;=1.92,"NO ATÍPICO")</f>
        <v>NO ATÍPICO</v>
      </c>
      <c r="L171">
        <f t="shared" si="10"/>
        <v>475269</v>
      </c>
      <c r="M171" t="str">
        <f t="shared" si="14"/>
        <v>TRABAJADOR INDEPENDIENTE</v>
      </c>
      <c r="N171">
        <f t="shared" si="11"/>
        <v>63</v>
      </c>
      <c r="O171" s="19" t="str">
        <f t="shared" si="12"/>
        <v>300k–600k</v>
      </c>
      <c r="P171" s="19" t="str">
        <f t="shared" si="13"/>
        <v>56+</v>
      </c>
    </row>
    <row r="172" spans="1:16" x14ac:dyDescent="0.25">
      <c r="A172">
        <v>171</v>
      </c>
      <c r="B172" t="s">
        <v>9</v>
      </c>
      <c r="C172">
        <v>360420</v>
      </c>
      <c r="D172" t="s">
        <v>18</v>
      </c>
      <c r="E172" t="s">
        <v>16</v>
      </c>
      <c r="F172" t="s">
        <v>12</v>
      </c>
      <c r="G172" t="s">
        <v>13</v>
      </c>
      <c r="H172" t="s">
        <v>12</v>
      </c>
      <c r="I172">
        <v>33</v>
      </c>
      <c r="J172" t="str" cm="1">
        <f t="array" ref="J172">_xlfn.IFS(ISBLANK(C172),"FALTANTE",ABS((C172-$W$5)/$X$5)&gt;1.96,"ATÍPICO",ABS((C172-$W$5)/$X$5)&lt;=1.96,"NO ATÍPICO")</f>
        <v>NO ATÍPICO</v>
      </c>
      <c r="K172" t="str" cm="1">
        <f t="array" ref="K172">_xlfn.IFS(ISBLANK(I172),"FALTANTE",ABS((I172-$W$8)/$X$8)&gt;1.92,"ATÍPICO",ABS((I172-$W$8)/$X$8)&lt;=1.92,"NO ATÍPICO")</f>
        <v>NO ATÍPICO</v>
      </c>
      <c r="L172">
        <f t="shared" si="10"/>
        <v>360420</v>
      </c>
      <c r="M172" t="str">
        <f t="shared" si="14"/>
        <v>TRABAJADOR INDEPENDIENTE</v>
      </c>
      <c r="N172">
        <f t="shared" si="11"/>
        <v>33</v>
      </c>
      <c r="O172" s="19" t="str">
        <f t="shared" si="12"/>
        <v>300k–600k</v>
      </c>
      <c r="P172" s="19" t="str">
        <f t="shared" si="13"/>
        <v>26-35</v>
      </c>
    </row>
    <row r="173" spans="1:16" x14ac:dyDescent="0.25">
      <c r="A173">
        <v>172</v>
      </c>
      <c r="B173" t="s">
        <v>9</v>
      </c>
      <c r="C173">
        <v>278030</v>
      </c>
      <c r="D173" t="s">
        <v>19</v>
      </c>
      <c r="E173" t="s">
        <v>16</v>
      </c>
      <c r="F173" t="s">
        <v>12</v>
      </c>
      <c r="G173" t="s">
        <v>13</v>
      </c>
      <c r="H173" t="s">
        <v>13</v>
      </c>
      <c r="I173">
        <v>48</v>
      </c>
      <c r="J173" t="str" cm="1">
        <f t="array" ref="J173">_xlfn.IFS(ISBLANK(C173),"FALTANTE",ABS((C173-$W$5)/$X$5)&gt;1.96,"ATÍPICO",ABS((C173-$W$5)/$X$5)&lt;=1.96,"NO ATÍPICO")</f>
        <v>NO ATÍPICO</v>
      </c>
      <c r="K173" t="str" cm="1">
        <f t="array" ref="K173">_xlfn.IFS(ISBLANK(I173),"FALTANTE",ABS((I173-$W$8)/$X$8)&gt;1.92,"ATÍPICO",ABS((I173-$W$8)/$X$8)&lt;=1.92,"NO ATÍPICO")</f>
        <v>NO ATÍPICO</v>
      </c>
      <c r="L173">
        <f t="shared" si="10"/>
        <v>278030</v>
      </c>
      <c r="M173" t="str">
        <f t="shared" si="14"/>
        <v>CONVENIOS ESPECIALES DE TRABAJADORES INDEPENDIENTES</v>
      </c>
      <c r="N173">
        <f t="shared" si="11"/>
        <v>48</v>
      </c>
      <c r="O173" s="19" t="str">
        <f t="shared" si="12"/>
        <v>0–300k</v>
      </c>
      <c r="P173" s="19" t="str">
        <f t="shared" si="13"/>
        <v>46-55</v>
      </c>
    </row>
    <row r="174" spans="1:16" x14ac:dyDescent="0.25">
      <c r="A174">
        <v>173</v>
      </c>
      <c r="B174" t="s">
        <v>9</v>
      </c>
      <c r="C174">
        <v>472546.14</v>
      </c>
      <c r="D174" t="s">
        <v>10</v>
      </c>
      <c r="E174" t="s">
        <v>16</v>
      </c>
      <c r="F174" t="s">
        <v>12</v>
      </c>
      <c r="G174" t="s">
        <v>13</v>
      </c>
      <c r="H174" t="s">
        <v>13</v>
      </c>
      <c r="I174">
        <v>28</v>
      </c>
      <c r="J174" t="str" cm="1">
        <f t="array" ref="J174">_xlfn.IFS(ISBLANK(C174),"FALTANTE",ABS((C174-$W$5)/$X$5)&gt;1.96,"ATÍPICO",ABS((C174-$W$5)/$X$5)&lt;=1.96,"NO ATÍPICO")</f>
        <v>NO ATÍPICO</v>
      </c>
      <c r="K174" t="str" cm="1">
        <f t="array" ref="K174">_xlfn.IFS(ISBLANK(I174),"FALTANTE",ABS((I174-$W$8)/$X$8)&gt;1.92,"ATÍPICO",ABS((I174-$W$8)/$X$8)&lt;=1.92,"NO ATÍPICO")</f>
        <v>NO ATÍPICO</v>
      </c>
      <c r="L174">
        <f t="shared" si="10"/>
        <v>472546.14</v>
      </c>
      <c r="M174" t="str">
        <f t="shared" si="14"/>
        <v>ASALARIADO</v>
      </c>
      <c r="N174">
        <f t="shared" si="11"/>
        <v>28</v>
      </c>
      <c r="O174" s="19" t="str">
        <f t="shared" si="12"/>
        <v>300k–600k</v>
      </c>
      <c r="P174" s="19" t="str">
        <f t="shared" si="13"/>
        <v>26-35</v>
      </c>
    </row>
    <row r="175" spans="1:16" x14ac:dyDescent="0.25">
      <c r="A175">
        <v>174</v>
      </c>
      <c r="B175" t="s">
        <v>9</v>
      </c>
      <c r="C175">
        <v>11102.62</v>
      </c>
      <c r="D175" t="s">
        <v>10</v>
      </c>
      <c r="E175" t="s">
        <v>16</v>
      </c>
      <c r="F175" t="s">
        <v>12</v>
      </c>
      <c r="G175" t="s">
        <v>13</v>
      </c>
      <c r="H175" t="s">
        <v>13</v>
      </c>
      <c r="I175">
        <v>23</v>
      </c>
      <c r="J175" t="str" cm="1">
        <f t="array" ref="J175">_xlfn.IFS(ISBLANK(C175),"FALTANTE",ABS((C175-$W$5)/$X$5)&gt;1.96,"ATÍPICO",ABS((C175-$W$5)/$X$5)&lt;=1.96,"NO ATÍPICO")</f>
        <v>NO ATÍPICO</v>
      </c>
      <c r="K175" t="str" cm="1">
        <f t="array" ref="K175">_xlfn.IFS(ISBLANK(I175),"FALTANTE",ABS((I175-$W$8)/$X$8)&gt;1.92,"ATÍPICO",ABS((I175-$W$8)/$X$8)&lt;=1.92,"NO ATÍPICO")</f>
        <v>NO ATÍPICO</v>
      </c>
      <c r="L175">
        <f t="shared" si="10"/>
        <v>11102.62</v>
      </c>
      <c r="M175" t="str">
        <f t="shared" si="14"/>
        <v>ASALARIADO</v>
      </c>
      <c r="N175">
        <f t="shared" si="11"/>
        <v>23</v>
      </c>
      <c r="O175" s="19" t="str">
        <f t="shared" si="12"/>
        <v>0–300k</v>
      </c>
      <c r="P175" s="19" t="str">
        <f t="shared" si="13"/>
        <v>18-25</v>
      </c>
    </row>
    <row r="176" spans="1:16" x14ac:dyDescent="0.25">
      <c r="A176">
        <v>175</v>
      </c>
      <c r="B176" t="s">
        <v>15</v>
      </c>
      <c r="C176">
        <v>444259.2</v>
      </c>
      <c r="D176" t="s">
        <v>10</v>
      </c>
      <c r="E176" t="s">
        <v>16</v>
      </c>
      <c r="F176" t="s">
        <v>12</v>
      </c>
      <c r="G176" t="s">
        <v>13</v>
      </c>
      <c r="H176" t="s">
        <v>13</v>
      </c>
      <c r="I176">
        <v>28</v>
      </c>
      <c r="J176" t="str" cm="1">
        <f t="array" ref="J176">_xlfn.IFS(ISBLANK(C176),"FALTANTE",ABS((C176-$W$5)/$X$5)&gt;1.96,"ATÍPICO",ABS((C176-$W$5)/$X$5)&lt;=1.96,"NO ATÍPICO")</f>
        <v>NO ATÍPICO</v>
      </c>
      <c r="K176" t="str" cm="1">
        <f t="array" ref="K176">_xlfn.IFS(ISBLANK(I176),"FALTANTE",ABS((I176-$W$8)/$X$8)&gt;1.92,"ATÍPICO",ABS((I176-$W$8)/$X$8)&lt;=1.92,"NO ATÍPICO")</f>
        <v>NO ATÍPICO</v>
      </c>
      <c r="L176">
        <f t="shared" si="10"/>
        <v>444259.2</v>
      </c>
      <c r="M176" t="str">
        <f t="shared" si="14"/>
        <v>ASALARIADO</v>
      </c>
      <c r="N176">
        <f t="shared" si="11"/>
        <v>28</v>
      </c>
      <c r="O176" s="19" t="str">
        <f t="shared" si="12"/>
        <v>300k–600k</v>
      </c>
      <c r="P176" s="19" t="str">
        <f t="shared" si="13"/>
        <v>26-35</v>
      </c>
    </row>
    <row r="177" spans="1:16" x14ac:dyDescent="0.25">
      <c r="A177">
        <v>176</v>
      </c>
      <c r="B177" t="s">
        <v>9</v>
      </c>
      <c r="C177">
        <v>793801.12</v>
      </c>
      <c r="D177" t="s">
        <v>10</v>
      </c>
      <c r="E177" t="s">
        <v>16</v>
      </c>
      <c r="F177" t="s">
        <v>12</v>
      </c>
      <c r="G177" t="s">
        <v>12</v>
      </c>
      <c r="H177" t="s">
        <v>13</v>
      </c>
      <c r="I177">
        <v>36</v>
      </c>
      <c r="J177" t="str" cm="1">
        <f t="array" ref="J177">_xlfn.IFS(ISBLANK(C177),"FALTANTE",ABS((C177-$W$5)/$X$5)&gt;1.96,"ATÍPICO",ABS((C177-$W$5)/$X$5)&lt;=1.96,"NO ATÍPICO")</f>
        <v>NO ATÍPICO</v>
      </c>
      <c r="K177" t="str" cm="1">
        <f t="array" ref="K177">_xlfn.IFS(ISBLANK(I177),"FALTANTE",ABS((I177-$W$8)/$X$8)&gt;1.92,"ATÍPICO",ABS((I177-$W$8)/$X$8)&lt;=1.92,"NO ATÍPICO")</f>
        <v>NO ATÍPICO</v>
      </c>
      <c r="L177">
        <f t="shared" si="10"/>
        <v>793801.12</v>
      </c>
      <c r="M177" t="str">
        <f t="shared" si="14"/>
        <v>ASALARIADO</v>
      </c>
      <c r="N177">
        <f t="shared" si="11"/>
        <v>36</v>
      </c>
      <c r="O177" s="19" t="str">
        <f t="shared" si="12"/>
        <v>600k–900k</v>
      </c>
      <c r="P177" s="19" t="str">
        <f t="shared" si="13"/>
        <v>36-45</v>
      </c>
    </row>
    <row r="178" spans="1:16" x14ac:dyDescent="0.25">
      <c r="A178">
        <v>177</v>
      </c>
      <c r="B178" t="s">
        <v>15</v>
      </c>
      <c r="C178">
        <v>504963.25</v>
      </c>
      <c r="D178" t="s">
        <v>10</v>
      </c>
      <c r="E178" t="s">
        <v>16</v>
      </c>
      <c r="F178" t="s">
        <v>12</v>
      </c>
      <c r="G178" t="s">
        <v>13</v>
      </c>
      <c r="H178" t="s">
        <v>13</v>
      </c>
      <c r="I178">
        <v>44</v>
      </c>
      <c r="J178" t="str" cm="1">
        <f t="array" ref="J178">_xlfn.IFS(ISBLANK(C178),"FALTANTE",ABS((C178-$W$5)/$X$5)&gt;1.96,"ATÍPICO",ABS((C178-$W$5)/$X$5)&lt;=1.96,"NO ATÍPICO")</f>
        <v>NO ATÍPICO</v>
      </c>
      <c r="K178" t="str" cm="1">
        <f t="array" ref="K178">_xlfn.IFS(ISBLANK(I178),"FALTANTE",ABS((I178-$W$8)/$X$8)&gt;1.92,"ATÍPICO",ABS((I178-$W$8)/$X$8)&lt;=1.92,"NO ATÍPICO")</f>
        <v>NO ATÍPICO</v>
      </c>
      <c r="L178">
        <f t="shared" si="10"/>
        <v>504963.25</v>
      </c>
      <c r="M178" t="str">
        <f t="shared" si="14"/>
        <v>ASALARIADO</v>
      </c>
      <c r="N178">
        <f t="shared" si="11"/>
        <v>44</v>
      </c>
      <c r="O178" s="19" t="str">
        <f t="shared" si="12"/>
        <v>300k–600k</v>
      </c>
      <c r="P178" s="19" t="str">
        <f t="shared" si="13"/>
        <v>36-45</v>
      </c>
    </row>
    <row r="179" spans="1:16" x14ac:dyDescent="0.25">
      <c r="A179">
        <v>178</v>
      </c>
      <c r="B179" t="s">
        <v>9</v>
      </c>
      <c r="C179">
        <v>345802.5</v>
      </c>
      <c r="D179" t="s">
        <v>10</v>
      </c>
      <c r="E179" t="s">
        <v>16</v>
      </c>
      <c r="F179" t="s">
        <v>12</v>
      </c>
      <c r="G179" t="s">
        <v>13</v>
      </c>
      <c r="H179" t="s">
        <v>13</v>
      </c>
      <c r="I179">
        <v>52</v>
      </c>
      <c r="J179" t="str" cm="1">
        <f t="array" ref="J179">_xlfn.IFS(ISBLANK(C179),"FALTANTE",ABS((C179-$W$5)/$X$5)&gt;1.96,"ATÍPICO",ABS((C179-$W$5)/$X$5)&lt;=1.96,"NO ATÍPICO")</f>
        <v>NO ATÍPICO</v>
      </c>
      <c r="K179" t="str" cm="1">
        <f t="array" ref="K179">_xlfn.IFS(ISBLANK(I179),"FALTANTE",ABS((I179-$W$8)/$X$8)&gt;1.92,"ATÍPICO",ABS((I179-$W$8)/$X$8)&lt;=1.92,"NO ATÍPICO")</f>
        <v>NO ATÍPICO</v>
      </c>
      <c r="L179">
        <f t="shared" si="10"/>
        <v>345802.5</v>
      </c>
      <c r="M179" t="str">
        <f t="shared" si="14"/>
        <v>ASALARIADO</v>
      </c>
      <c r="N179">
        <f t="shared" si="11"/>
        <v>52</v>
      </c>
      <c r="O179" s="19" t="str">
        <f t="shared" si="12"/>
        <v>300k–600k</v>
      </c>
      <c r="P179" s="19" t="str">
        <f t="shared" si="13"/>
        <v>46-55</v>
      </c>
    </row>
    <row r="180" spans="1:16" x14ac:dyDescent="0.25">
      <c r="A180">
        <v>179</v>
      </c>
      <c r="B180" t="s">
        <v>9</v>
      </c>
      <c r="C180">
        <v>413497</v>
      </c>
      <c r="D180" t="s">
        <v>18</v>
      </c>
      <c r="E180" t="s">
        <v>16</v>
      </c>
      <c r="F180" t="s">
        <v>12</v>
      </c>
      <c r="G180" t="s">
        <v>13</v>
      </c>
      <c r="H180" t="s">
        <v>12</v>
      </c>
      <c r="I180">
        <v>54</v>
      </c>
      <c r="J180" t="str" cm="1">
        <f t="array" ref="J180">_xlfn.IFS(ISBLANK(C180),"FALTANTE",ABS((C180-$W$5)/$X$5)&gt;1.96,"ATÍPICO",ABS((C180-$W$5)/$X$5)&lt;=1.96,"NO ATÍPICO")</f>
        <v>NO ATÍPICO</v>
      </c>
      <c r="K180" t="str" cm="1">
        <f t="array" ref="K180">_xlfn.IFS(ISBLANK(I180),"FALTANTE",ABS((I180-$W$8)/$X$8)&gt;1.92,"ATÍPICO",ABS((I180-$W$8)/$X$8)&lt;=1.92,"NO ATÍPICO")</f>
        <v>NO ATÍPICO</v>
      </c>
      <c r="L180">
        <f t="shared" si="10"/>
        <v>413497</v>
      </c>
      <c r="M180" t="str">
        <f t="shared" si="14"/>
        <v>TRABAJADOR INDEPENDIENTE</v>
      </c>
      <c r="N180">
        <f t="shared" si="11"/>
        <v>54</v>
      </c>
      <c r="O180" s="19" t="str">
        <f t="shared" si="12"/>
        <v>300k–600k</v>
      </c>
      <c r="P180" s="19" t="str">
        <f t="shared" si="13"/>
        <v>46-55</v>
      </c>
    </row>
    <row r="181" spans="1:16" x14ac:dyDescent="0.25">
      <c r="A181">
        <v>180</v>
      </c>
      <c r="B181" t="s">
        <v>9</v>
      </c>
      <c r="C181">
        <v>683560</v>
      </c>
      <c r="D181" t="s">
        <v>10</v>
      </c>
      <c r="E181" t="s">
        <v>11</v>
      </c>
      <c r="F181" t="s">
        <v>12</v>
      </c>
      <c r="G181" t="s">
        <v>13</v>
      </c>
      <c r="H181" t="s">
        <v>13</v>
      </c>
      <c r="I181">
        <v>61</v>
      </c>
      <c r="J181" t="str" cm="1">
        <f t="array" ref="J181">_xlfn.IFS(ISBLANK(C181),"FALTANTE",ABS((C181-$W$5)/$X$5)&gt;1.96,"ATÍPICO",ABS((C181-$W$5)/$X$5)&lt;=1.96,"NO ATÍPICO")</f>
        <v>NO ATÍPICO</v>
      </c>
      <c r="K181" t="str" cm="1">
        <f t="array" ref="K181">_xlfn.IFS(ISBLANK(I181),"FALTANTE",ABS((I181-$W$8)/$X$8)&gt;1.92,"ATÍPICO",ABS((I181-$W$8)/$X$8)&lt;=1.92,"NO ATÍPICO")</f>
        <v>NO ATÍPICO</v>
      </c>
      <c r="L181">
        <f t="shared" si="10"/>
        <v>683560</v>
      </c>
      <c r="M181" t="str">
        <f t="shared" si="14"/>
        <v>ASALARIADO</v>
      </c>
      <c r="N181">
        <f t="shared" si="11"/>
        <v>61</v>
      </c>
      <c r="O181" s="19" t="str">
        <f t="shared" si="12"/>
        <v>600k–900k</v>
      </c>
      <c r="P181" s="19" t="str">
        <f t="shared" si="13"/>
        <v>56+</v>
      </c>
    </row>
    <row r="182" spans="1:16" x14ac:dyDescent="0.25">
      <c r="A182">
        <v>181</v>
      </c>
      <c r="B182" t="s">
        <v>9</v>
      </c>
      <c r="C182">
        <v>375000</v>
      </c>
      <c r="D182" t="s">
        <v>10</v>
      </c>
      <c r="E182" t="s">
        <v>16</v>
      </c>
      <c r="F182" t="s">
        <v>12</v>
      </c>
      <c r="G182" t="s">
        <v>13</v>
      </c>
      <c r="H182" t="s">
        <v>12</v>
      </c>
      <c r="I182">
        <v>27</v>
      </c>
      <c r="J182" t="str" cm="1">
        <f t="array" ref="J182">_xlfn.IFS(ISBLANK(C182),"FALTANTE",ABS((C182-$W$5)/$X$5)&gt;1.96,"ATÍPICO",ABS((C182-$W$5)/$X$5)&lt;=1.96,"NO ATÍPICO")</f>
        <v>NO ATÍPICO</v>
      </c>
      <c r="K182" t="str" cm="1">
        <f t="array" ref="K182">_xlfn.IFS(ISBLANK(I182),"FALTANTE",ABS((I182-$W$8)/$X$8)&gt;1.92,"ATÍPICO",ABS((I182-$W$8)/$X$8)&lt;=1.92,"NO ATÍPICO")</f>
        <v>NO ATÍPICO</v>
      </c>
      <c r="L182">
        <f t="shared" si="10"/>
        <v>375000</v>
      </c>
      <c r="M182" t="str">
        <f t="shared" si="14"/>
        <v>ASALARIADO</v>
      </c>
      <c r="N182">
        <f t="shared" si="11"/>
        <v>27</v>
      </c>
      <c r="O182" s="19" t="str">
        <f t="shared" si="12"/>
        <v>300k–600k</v>
      </c>
      <c r="P182" s="19" t="str">
        <f t="shared" si="13"/>
        <v>26-35</v>
      </c>
    </row>
    <row r="183" spans="1:16" x14ac:dyDescent="0.25">
      <c r="A183">
        <v>182</v>
      </c>
      <c r="B183" t="s">
        <v>15</v>
      </c>
      <c r="C183">
        <v>1244526</v>
      </c>
      <c r="D183" t="s">
        <v>10</v>
      </c>
      <c r="E183" t="s">
        <v>16</v>
      </c>
      <c r="F183" t="s">
        <v>12</v>
      </c>
      <c r="G183" t="s">
        <v>13</v>
      </c>
      <c r="H183" t="s">
        <v>13</v>
      </c>
      <c r="I183">
        <v>26</v>
      </c>
      <c r="J183" t="str" cm="1">
        <f t="array" ref="J183">_xlfn.IFS(ISBLANK(C183),"FALTANTE",ABS((C183-$W$5)/$X$5)&gt;1.96,"ATÍPICO",ABS((C183-$W$5)/$X$5)&lt;=1.96,"NO ATÍPICO")</f>
        <v>NO ATÍPICO</v>
      </c>
      <c r="K183" t="str" cm="1">
        <f t="array" ref="K183">_xlfn.IFS(ISBLANK(I183),"FALTANTE",ABS((I183-$W$8)/$X$8)&gt;1.92,"ATÍPICO",ABS((I183-$W$8)/$X$8)&lt;=1.92,"NO ATÍPICO")</f>
        <v>NO ATÍPICO</v>
      </c>
      <c r="L183">
        <f t="shared" si="10"/>
        <v>1244526</v>
      </c>
      <c r="M183" t="str">
        <f t="shared" si="14"/>
        <v>ASALARIADO</v>
      </c>
      <c r="N183">
        <f t="shared" si="11"/>
        <v>26</v>
      </c>
      <c r="O183" s="19" t="str">
        <f t="shared" si="12"/>
        <v>1200k+</v>
      </c>
      <c r="P183" s="19" t="str">
        <f t="shared" si="13"/>
        <v>26-35</v>
      </c>
    </row>
    <row r="184" spans="1:16" x14ac:dyDescent="0.25">
      <c r="A184">
        <v>183</v>
      </c>
      <c r="B184" t="s">
        <v>15</v>
      </c>
      <c r="C184">
        <v>1379419</v>
      </c>
      <c r="D184" t="s">
        <v>14</v>
      </c>
      <c r="E184" t="s">
        <v>11</v>
      </c>
      <c r="F184" t="s">
        <v>12</v>
      </c>
      <c r="G184" t="s">
        <v>13</v>
      </c>
      <c r="H184" t="s">
        <v>13</v>
      </c>
      <c r="I184">
        <v>70</v>
      </c>
      <c r="J184" t="str" cm="1">
        <f t="array" ref="J184">_xlfn.IFS(ISBLANK(C184),"FALTANTE",ABS((C184-$W$5)/$X$5)&gt;1.96,"ATÍPICO",ABS((C184-$W$5)/$X$5)&lt;=1.96,"NO ATÍPICO")</f>
        <v>NO ATÍPICO</v>
      </c>
      <c r="K184" t="str" cm="1">
        <f t="array" ref="K184">_xlfn.IFS(ISBLANK(I184),"FALTANTE",ABS((I184-$W$8)/$X$8)&gt;1.92,"ATÍPICO",ABS((I184-$W$8)/$X$8)&lt;=1.92,"NO ATÍPICO")</f>
        <v>ATÍPICO</v>
      </c>
      <c r="L184">
        <f t="shared" si="10"/>
        <v>1379419</v>
      </c>
      <c r="M184" t="str">
        <f t="shared" si="14"/>
        <v>PENSIONADOS EN SU PROPIO SISTEMA</v>
      </c>
      <c r="N184">
        <f t="shared" si="11"/>
        <v>70</v>
      </c>
      <c r="O184" s="19" t="str">
        <f t="shared" si="12"/>
        <v>1200k+</v>
      </c>
      <c r="P184" s="19" t="str">
        <f t="shared" si="13"/>
        <v>56+</v>
      </c>
    </row>
    <row r="185" spans="1:16" x14ac:dyDescent="0.25">
      <c r="A185">
        <v>184</v>
      </c>
      <c r="B185" t="s">
        <v>15</v>
      </c>
      <c r="C185">
        <v>987935</v>
      </c>
      <c r="D185" t="s">
        <v>10</v>
      </c>
      <c r="E185" t="s">
        <v>11</v>
      </c>
      <c r="F185" t="s">
        <v>12</v>
      </c>
      <c r="G185" t="s">
        <v>13</v>
      </c>
      <c r="H185" t="s">
        <v>13</v>
      </c>
      <c r="I185">
        <v>36</v>
      </c>
      <c r="J185" t="str" cm="1">
        <f t="array" ref="J185">_xlfn.IFS(ISBLANK(C185),"FALTANTE",ABS((C185-$W$5)/$X$5)&gt;1.96,"ATÍPICO",ABS((C185-$W$5)/$X$5)&lt;=1.96,"NO ATÍPICO")</f>
        <v>NO ATÍPICO</v>
      </c>
      <c r="K185" t="str" cm="1">
        <f t="array" ref="K185">_xlfn.IFS(ISBLANK(I185),"FALTANTE",ABS((I185-$W$8)/$X$8)&gt;1.92,"ATÍPICO",ABS((I185-$W$8)/$X$8)&lt;=1.92,"NO ATÍPICO")</f>
        <v>NO ATÍPICO</v>
      </c>
      <c r="L185">
        <f t="shared" si="10"/>
        <v>987935</v>
      </c>
      <c r="M185" t="str">
        <f t="shared" si="14"/>
        <v>ASALARIADO</v>
      </c>
      <c r="N185">
        <f t="shared" si="11"/>
        <v>36</v>
      </c>
      <c r="O185" s="19" t="str">
        <f t="shared" si="12"/>
        <v>900k–1200k</v>
      </c>
      <c r="P185" s="19" t="str">
        <f t="shared" si="13"/>
        <v>36-45</v>
      </c>
    </row>
    <row r="186" spans="1:16" x14ac:dyDescent="0.25">
      <c r="A186">
        <v>185</v>
      </c>
      <c r="B186" t="s">
        <v>9</v>
      </c>
      <c r="C186">
        <v>373465.3</v>
      </c>
      <c r="D186" t="s">
        <v>10</v>
      </c>
      <c r="E186" t="s">
        <v>16</v>
      </c>
      <c r="F186" t="s">
        <v>12</v>
      </c>
      <c r="G186" t="s">
        <v>13</v>
      </c>
      <c r="H186" t="s">
        <v>13</v>
      </c>
      <c r="I186">
        <v>39</v>
      </c>
      <c r="J186" t="str" cm="1">
        <f t="array" ref="J186">_xlfn.IFS(ISBLANK(C186),"FALTANTE",ABS((C186-$W$5)/$X$5)&gt;1.96,"ATÍPICO",ABS((C186-$W$5)/$X$5)&lt;=1.96,"NO ATÍPICO")</f>
        <v>NO ATÍPICO</v>
      </c>
      <c r="K186" t="str" cm="1">
        <f t="array" ref="K186">_xlfn.IFS(ISBLANK(I186),"FALTANTE",ABS((I186-$W$8)/$X$8)&gt;1.92,"ATÍPICO",ABS((I186-$W$8)/$X$8)&lt;=1.92,"NO ATÍPICO")</f>
        <v>NO ATÍPICO</v>
      </c>
      <c r="L186">
        <f t="shared" si="10"/>
        <v>373465.3</v>
      </c>
      <c r="M186" t="str">
        <f t="shared" si="14"/>
        <v>ASALARIADO</v>
      </c>
      <c r="N186">
        <f t="shared" si="11"/>
        <v>39</v>
      </c>
      <c r="O186" s="19" t="str">
        <f t="shared" si="12"/>
        <v>300k–600k</v>
      </c>
      <c r="P186" s="19" t="str">
        <f t="shared" si="13"/>
        <v>36-45</v>
      </c>
    </row>
    <row r="187" spans="1:16" x14ac:dyDescent="0.25">
      <c r="A187">
        <v>186</v>
      </c>
      <c r="B187" t="s">
        <v>9</v>
      </c>
      <c r="C187">
        <v>165495</v>
      </c>
      <c r="D187" t="s">
        <v>10</v>
      </c>
      <c r="E187" t="s">
        <v>16</v>
      </c>
      <c r="F187" t="s">
        <v>12</v>
      </c>
      <c r="G187" t="s">
        <v>13</v>
      </c>
      <c r="H187" t="s">
        <v>13</v>
      </c>
      <c r="I187">
        <v>59</v>
      </c>
      <c r="J187" t="str" cm="1">
        <f t="array" ref="J187">_xlfn.IFS(ISBLANK(C187),"FALTANTE",ABS((C187-$W$5)/$X$5)&gt;1.96,"ATÍPICO",ABS((C187-$W$5)/$X$5)&lt;=1.96,"NO ATÍPICO")</f>
        <v>NO ATÍPICO</v>
      </c>
      <c r="K187" t="str" cm="1">
        <f t="array" ref="K187">_xlfn.IFS(ISBLANK(I187),"FALTANTE",ABS((I187-$W$8)/$X$8)&gt;1.92,"ATÍPICO",ABS((I187-$W$8)/$X$8)&lt;=1.92,"NO ATÍPICO")</f>
        <v>NO ATÍPICO</v>
      </c>
      <c r="L187">
        <f t="shared" si="10"/>
        <v>165495</v>
      </c>
      <c r="M187" t="str">
        <f t="shared" si="14"/>
        <v>ASALARIADO</v>
      </c>
      <c r="N187">
        <f t="shared" si="11"/>
        <v>59</v>
      </c>
      <c r="O187" s="19" t="str">
        <f t="shared" si="12"/>
        <v>0–300k</v>
      </c>
      <c r="P187" s="19" t="str">
        <f t="shared" si="13"/>
        <v>56+</v>
      </c>
    </row>
    <row r="188" spans="1:16" x14ac:dyDescent="0.25">
      <c r="A188">
        <v>187</v>
      </c>
      <c r="B188" t="s">
        <v>15</v>
      </c>
      <c r="C188">
        <v>297046</v>
      </c>
      <c r="D188" t="s">
        <v>17</v>
      </c>
      <c r="E188" t="s">
        <v>16</v>
      </c>
      <c r="F188" t="s">
        <v>12</v>
      </c>
      <c r="G188" t="s">
        <v>13</v>
      </c>
      <c r="H188" t="s">
        <v>13</v>
      </c>
      <c r="I188">
        <v>64</v>
      </c>
      <c r="J188" t="str" cm="1">
        <f t="array" ref="J188">_xlfn.IFS(ISBLANK(C188),"FALTANTE",ABS((C188-$W$5)/$X$5)&gt;1.96,"ATÍPICO",ABS((C188-$W$5)/$X$5)&lt;=1.96,"NO ATÍPICO")</f>
        <v>NO ATÍPICO</v>
      </c>
      <c r="K188" t="str" cm="1">
        <f t="array" ref="K188">_xlfn.IFS(ISBLANK(I188),"FALTANTE",ABS((I188-$W$8)/$X$8)&gt;1.92,"ATÍPICO",ABS((I188-$W$8)/$X$8)&lt;=1.92,"NO ATÍPICO")</f>
        <v>NO ATÍPICO</v>
      </c>
      <c r="L188">
        <f t="shared" si="10"/>
        <v>297046</v>
      </c>
      <c r="M188" t="str">
        <f t="shared" si="14"/>
        <v>ASEGURADO VOLUNTARIO</v>
      </c>
      <c r="N188">
        <f t="shared" si="11"/>
        <v>64</v>
      </c>
      <c r="O188" s="19" t="str">
        <f t="shared" si="12"/>
        <v>0–300k</v>
      </c>
      <c r="P188" s="19" t="str">
        <f t="shared" si="13"/>
        <v>56+</v>
      </c>
    </row>
    <row r="189" spans="1:16" x14ac:dyDescent="0.25">
      <c r="A189">
        <v>188</v>
      </c>
      <c r="B189" t="s">
        <v>15</v>
      </c>
      <c r="C189">
        <v>2050000</v>
      </c>
      <c r="D189" t="s">
        <v>10</v>
      </c>
      <c r="E189" t="s">
        <v>16</v>
      </c>
      <c r="F189" t="s">
        <v>12</v>
      </c>
      <c r="G189" t="s">
        <v>13</v>
      </c>
      <c r="H189" t="s">
        <v>13</v>
      </c>
      <c r="I189">
        <v>46</v>
      </c>
      <c r="J189" t="str" cm="1">
        <f t="array" ref="J189">_xlfn.IFS(ISBLANK(C189),"FALTANTE",ABS((C189-$W$5)/$X$5)&gt;1.96,"ATÍPICO",ABS((C189-$W$5)/$X$5)&lt;=1.96,"NO ATÍPICO")</f>
        <v>NO ATÍPICO</v>
      </c>
      <c r="K189" t="str" cm="1">
        <f t="array" ref="K189">_xlfn.IFS(ISBLANK(I189),"FALTANTE",ABS((I189-$W$8)/$X$8)&gt;1.92,"ATÍPICO",ABS((I189-$W$8)/$X$8)&lt;=1.92,"NO ATÍPICO")</f>
        <v>NO ATÍPICO</v>
      </c>
      <c r="L189">
        <f t="shared" si="10"/>
        <v>2050000</v>
      </c>
      <c r="M189" t="str">
        <f t="shared" si="14"/>
        <v>ASALARIADO</v>
      </c>
      <c r="N189">
        <f t="shared" si="11"/>
        <v>46</v>
      </c>
      <c r="O189" s="19" t="str">
        <f t="shared" si="12"/>
        <v>1200k+</v>
      </c>
      <c r="P189" s="19" t="str">
        <f t="shared" si="13"/>
        <v>46-55</v>
      </c>
    </row>
    <row r="190" spans="1:16" x14ac:dyDescent="0.25">
      <c r="A190">
        <v>189</v>
      </c>
      <c r="B190" t="s">
        <v>15</v>
      </c>
      <c r="C190">
        <v>297045</v>
      </c>
      <c r="D190" t="s">
        <v>18</v>
      </c>
      <c r="E190" t="s">
        <v>16</v>
      </c>
      <c r="F190" t="s">
        <v>12</v>
      </c>
      <c r="G190" t="s">
        <v>13</v>
      </c>
      <c r="H190" t="s">
        <v>12</v>
      </c>
      <c r="I190">
        <v>38</v>
      </c>
      <c r="J190" t="str" cm="1">
        <f t="array" ref="J190">_xlfn.IFS(ISBLANK(C190),"FALTANTE",ABS((C190-$W$5)/$X$5)&gt;1.96,"ATÍPICO",ABS((C190-$W$5)/$X$5)&lt;=1.96,"NO ATÍPICO")</f>
        <v>NO ATÍPICO</v>
      </c>
      <c r="K190" t="str" cm="1">
        <f t="array" ref="K190">_xlfn.IFS(ISBLANK(I190),"FALTANTE",ABS((I190-$W$8)/$X$8)&gt;1.92,"ATÍPICO",ABS((I190-$W$8)/$X$8)&lt;=1.92,"NO ATÍPICO")</f>
        <v>NO ATÍPICO</v>
      </c>
      <c r="L190">
        <f t="shared" si="10"/>
        <v>297045</v>
      </c>
      <c r="M190" t="str">
        <f t="shared" si="14"/>
        <v>TRABAJADOR INDEPENDIENTE</v>
      </c>
      <c r="N190">
        <f t="shared" si="11"/>
        <v>38</v>
      </c>
      <c r="O190" s="19" t="str">
        <f t="shared" si="12"/>
        <v>0–300k</v>
      </c>
      <c r="P190" s="19" t="str">
        <f t="shared" si="13"/>
        <v>36-45</v>
      </c>
    </row>
    <row r="191" spans="1:16" x14ac:dyDescent="0.25">
      <c r="A191">
        <v>190</v>
      </c>
      <c r="B191" t="s">
        <v>15</v>
      </c>
      <c r="C191">
        <v>297045</v>
      </c>
      <c r="D191" t="s">
        <v>18</v>
      </c>
      <c r="E191" t="s">
        <v>16</v>
      </c>
      <c r="F191" t="s">
        <v>13</v>
      </c>
      <c r="G191" t="s">
        <v>13</v>
      </c>
      <c r="H191" t="s">
        <v>12</v>
      </c>
      <c r="I191">
        <v>42</v>
      </c>
      <c r="J191" t="str" cm="1">
        <f t="array" ref="J191">_xlfn.IFS(ISBLANK(C191),"FALTANTE",ABS((C191-$W$5)/$X$5)&gt;1.96,"ATÍPICO",ABS((C191-$W$5)/$X$5)&lt;=1.96,"NO ATÍPICO")</f>
        <v>NO ATÍPICO</v>
      </c>
      <c r="K191" t="str" cm="1">
        <f t="array" ref="K191">_xlfn.IFS(ISBLANK(I191),"FALTANTE",ABS((I191-$W$8)/$X$8)&gt;1.92,"ATÍPICO",ABS((I191-$W$8)/$X$8)&lt;=1.92,"NO ATÍPICO")</f>
        <v>NO ATÍPICO</v>
      </c>
      <c r="L191">
        <f t="shared" si="10"/>
        <v>297045</v>
      </c>
      <c r="M191" t="str">
        <f t="shared" si="14"/>
        <v>TRABAJADOR INDEPENDIENTE</v>
      </c>
      <c r="N191">
        <f t="shared" si="11"/>
        <v>42</v>
      </c>
      <c r="O191" s="19" t="str">
        <f t="shared" si="12"/>
        <v>0–300k</v>
      </c>
      <c r="P191" s="19" t="str">
        <f t="shared" si="13"/>
        <v>36-45</v>
      </c>
    </row>
    <row r="192" spans="1:16" x14ac:dyDescent="0.25">
      <c r="A192">
        <v>191</v>
      </c>
      <c r="B192" t="s">
        <v>15</v>
      </c>
      <c r="C192">
        <v>405063</v>
      </c>
      <c r="D192" t="s">
        <v>18</v>
      </c>
      <c r="E192" t="s">
        <v>16</v>
      </c>
      <c r="F192" t="s">
        <v>12</v>
      </c>
      <c r="G192" t="s">
        <v>13</v>
      </c>
      <c r="H192" t="s">
        <v>12</v>
      </c>
      <c r="I192">
        <v>69</v>
      </c>
      <c r="J192" t="str" cm="1">
        <f t="array" ref="J192">_xlfn.IFS(ISBLANK(C192),"FALTANTE",ABS((C192-$W$5)/$X$5)&gt;1.96,"ATÍPICO",ABS((C192-$W$5)/$X$5)&lt;=1.96,"NO ATÍPICO")</f>
        <v>NO ATÍPICO</v>
      </c>
      <c r="K192" t="str" cm="1">
        <f t="array" ref="K192">_xlfn.IFS(ISBLANK(I192),"FALTANTE",ABS((I192-$W$8)/$X$8)&gt;1.92,"ATÍPICO",ABS((I192-$W$8)/$X$8)&lt;=1.92,"NO ATÍPICO")</f>
        <v>NO ATÍPICO</v>
      </c>
      <c r="L192">
        <f t="shared" si="10"/>
        <v>405063</v>
      </c>
      <c r="M192" t="str">
        <f t="shared" si="14"/>
        <v>TRABAJADOR INDEPENDIENTE</v>
      </c>
      <c r="N192">
        <f t="shared" si="11"/>
        <v>69</v>
      </c>
      <c r="O192" s="19" t="str">
        <f t="shared" si="12"/>
        <v>300k–600k</v>
      </c>
      <c r="P192" s="19" t="str">
        <f t="shared" si="13"/>
        <v>56+</v>
      </c>
    </row>
    <row r="193" spans="1:16" x14ac:dyDescent="0.25">
      <c r="A193">
        <v>192</v>
      </c>
      <c r="B193" t="s">
        <v>15</v>
      </c>
      <c r="C193">
        <v>496208.33</v>
      </c>
      <c r="D193" t="s">
        <v>10</v>
      </c>
      <c r="E193" t="s">
        <v>16</v>
      </c>
      <c r="F193" t="s">
        <v>12</v>
      </c>
      <c r="G193" t="s">
        <v>12</v>
      </c>
      <c r="H193" t="s">
        <v>13</v>
      </c>
      <c r="I193">
        <v>45</v>
      </c>
      <c r="J193" t="str" cm="1">
        <f t="array" ref="J193">_xlfn.IFS(ISBLANK(C193),"FALTANTE",ABS((C193-$W$5)/$X$5)&gt;1.96,"ATÍPICO",ABS((C193-$W$5)/$X$5)&lt;=1.96,"NO ATÍPICO")</f>
        <v>NO ATÍPICO</v>
      </c>
      <c r="K193" t="str" cm="1">
        <f t="array" ref="K193">_xlfn.IFS(ISBLANK(I193),"FALTANTE",ABS((I193-$W$8)/$X$8)&gt;1.92,"ATÍPICO",ABS((I193-$W$8)/$X$8)&lt;=1.92,"NO ATÍPICO")</f>
        <v>NO ATÍPICO</v>
      </c>
      <c r="L193">
        <f t="shared" si="10"/>
        <v>496208.33</v>
      </c>
      <c r="M193" t="str">
        <f t="shared" si="14"/>
        <v>ASALARIADO</v>
      </c>
      <c r="N193">
        <f t="shared" si="11"/>
        <v>45</v>
      </c>
      <c r="O193" s="19" t="str">
        <f t="shared" si="12"/>
        <v>300k–600k</v>
      </c>
      <c r="P193" s="19" t="str">
        <f t="shared" si="13"/>
        <v>36-45</v>
      </c>
    </row>
    <row r="194" spans="1:16" x14ac:dyDescent="0.25">
      <c r="A194">
        <v>193</v>
      </c>
      <c r="B194" t="s">
        <v>9</v>
      </c>
      <c r="C194">
        <v>2033150.05</v>
      </c>
      <c r="D194" t="s">
        <v>19</v>
      </c>
      <c r="E194" t="s">
        <v>16</v>
      </c>
      <c r="F194" t="s">
        <v>12</v>
      </c>
      <c r="G194" t="s">
        <v>13</v>
      </c>
      <c r="H194" t="s">
        <v>13</v>
      </c>
      <c r="I194">
        <v>46</v>
      </c>
      <c r="J194" t="str" cm="1">
        <f t="array" ref="J194">_xlfn.IFS(ISBLANK(C194),"FALTANTE",ABS((C194-$W$5)/$X$5)&gt;1.96,"ATÍPICO",ABS((C194-$W$5)/$X$5)&lt;=1.96,"NO ATÍPICO")</f>
        <v>NO ATÍPICO</v>
      </c>
      <c r="K194" t="str" cm="1">
        <f t="array" ref="K194">_xlfn.IFS(ISBLANK(I194),"FALTANTE",ABS((I194-$W$8)/$X$8)&gt;1.92,"ATÍPICO",ABS((I194-$W$8)/$X$8)&lt;=1.92,"NO ATÍPICO")</f>
        <v>NO ATÍPICO</v>
      </c>
      <c r="L194">
        <f t="shared" ref="L194:L257" si="15">C194</f>
        <v>2033150.05</v>
      </c>
      <c r="M194" t="str">
        <f t="shared" si="14"/>
        <v>CONVENIOS ESPECIALES DE TRABAJADORES INDEPENDIENTES</v>
      </c>
      <c r="N194">
        <f t="shared" ref="N194:N257" si="16">I194</f>
        <v>46</v>
      </c>
      <c r="O194" s="19" t="str">
        <f t="shared" ref="O194:O257" si="17">IF(L194&lt;=300000,"0–300k",IF(L194&lt;=600000,"300k–600k",IF(L194&lt;=900000,"600k–900k",IF(L194&lt;=1200000,"900k–1200k","1200k+"))))</f>
        <v>1200k+</v>
      </c>
      <c r="P194" s="19" t="str">
        <f t="shared" ref="P194:P257" si="18">IF(N194 &lt;=25,"18-25", IF(N194&lt;=35,"26-35", IF(N194 &lt;=45,"36-45", IF(N194&lt;=55,"46-55","56+"))))</f>
        <v>46-55</v>
      </c>
    </row>
    <row r="195" spans="1:16" x14ac:dyDescent="0.25">
      <c r="A195">
        <v>194</v>
      </c>
      <c r="B195" t="s">
        <v>15</v>
      </c>
      <c r="C195">
        <v>155250</v>
      </c>
      <c r="D195" t="s">
        <v>10</v>
      </c>
      <c r="E195" t="s">
        <v>16</v>
      </c>
      <c r="F195" t="s">
        <v>12</v>
      </c>
      <c r="G195" t="s">
        <v>13</v>
      </c>
      <c r="H195" t="s">
        <v>13</v>
      </c>
      <c r="I195">
        <v>36</v>
      </c>
      <c r="J195" t="str" cm="1">
        <f t="array" ref="J195">_xlfn.IFS(ISBLANK(C195),"FALTANTE",ABS((C195-$W$5)/$X$5)&gt;1.96,"ATÍPICO",ABS((C195-$W$5)/$X$5)&lt;=1.96,"NO ATÍPICO")</f>
        <v>NO ATÍPICO</v>
      </c>
      <c r="K195" t="str" cm="1">
        <f t="array" ref="K195">_xlfn.IFS(ISBLANK(I195),"FALTANTE",ABS((I195-$W$8)/$X$8)&gt;1.92,"ATÍPICO",ABS((I195-$W$8)/$X$8)&lt;=1.92,"NO ATÍPICO")</f>
        <v>NO ATÍPICO</v>
      </c>
      <c r="L195">
        <f t="shared" si="15"/>
        <v>155250</v>
      </c>
      <c r="M195" t="str">
        <f t="shared" si="14"/>
        <v>ASALARIADO</v>
      </c>
      <c r="N195">
        <f t="shared" si="16"/>
        <v>36</v>
      </c>
      <c r="O195" s="19" t="str">
        <f t="shared" si="17"/>
        <v>0–300k</v>
      </c>
      <c r="P195" s="19" t="str">
        <f t="shared" si="18"/>
        <v>36-45</v>
      </c>
    </row>
    <row r="196" spans="1:16" x14ac:dyDescent="0.25">
      <c r="A196">
        <v>195</v>
      </c>
      <c r="B196" t="s">
        <v>15</v>
      </c>
      <c r="C196">
        <v>278030</v>
      </c>
      <c r="D196" t="s">
        <v>18</v>
      </c>
      <c r="E196" t="s">
        <v>16</v>
      </c>
      <c r="F196" t="s">
        <v>12</v>
      </c>
      <c r="G196" t="s">
        <v>13</v>
      </c>
      <c r="H196" t="s">
        <v>12</v>
      </c>
      <c r="I196">
        <v>56</v>
      </c>
      <c r="J196" t="str" cm="1">
        <f t="array" ref="J196">_xlfn.IFS(ISBLANK(C196),"FALTANTE",ABS((C196-$W$5)/$X$5)&gt;1.96,"ATÍPICO",ABS((C196-$W$5)/$X$5)&lt;=1.96,"NO ATÍPICO")</f>
        <v>NO ATÍPICO</v>
      </c>
      <c r="K196" t="str" cm="1">
        <f t="array" ref="K196">_xlfn.IFS(ISBLANK(I196),"FALTANTE",ABS((I196-$W$8)/$X$8)&gt;1.92,"ATÍPICO",ABS((I196-$W$8)/$X$8)&lt;=1.92,"NO ATÍPICO")</f>
        <v>NO ATÍPICO</v>
      </c>
      <c r="L196">
        <f t="shared" si="15"/>
        <v>278030</v>
      </c>
      <c r="M196" t="str">
        <f t="shared" ref="M196:M259" si="19">D196</f>
        <v>TRABAJADOR INDEPENDIENTE</v>
      </c>
      <c r="N196">
        <f t="shared" si="16"/>
        <v>56</v>
      </c>
      <c r="O196" s="19" t="str">
        <f t="shared" si="17"/>
        <v>0–300k</v>
      </c>
      <c r="P196" s="19" t="str">
        <f t="shared" si="18"/>
        <v>56+</v>
      </c>
    </row>
    <row r="197" spans="1:16" x14ac:dyDescent="0.25">
      <c r="A197">
        <v>196</v>
      </c>
      <c r="B197" t="s">
        <v>15</v>
      </c>
      <c r="C197">
        <v>846788</v>
      </c>
      <c r="D197" t="s">
        <v>10</v>
      </c>
      <c r="E197" t="s">
        <v>11</v>
      </c>
      <c r="F197" t="s">
        <v>12</v>
      </c>
      <c r="G197" t="s">
        <v>13</v>
      </c>
      <c r="H197" t="s">
        <v>12</v>
      </c>
      <c r="I197">
        <v>31</v>
      </c>
      <c r="J197" t="str" cm="1">
        <f t="array" ref="J197">_xlfn.IFS(ISBLANK(C197),"FALTANTE",ABS((C197-$W$5)/$X$5)&gt;1.96,"ATÍPICO",ABS((C197-$W$5)/$X$5)&lt;=1.96,"NO ATÍPICO")</f>
        <v>NO ATÍPICO</v>
      </c>
      <c r="K197" t="str" cm="1">
        <f t="array" ref="K197">_xlfn.IFS(ISBLANK(I197),"FALTANTE",ABS((I197-$W$8)/$X$8)&gt;1.92,"ATÍPICO",ABS((I197-$W$8)/$X$8)&lt;=1.92,"NO ATÍPICO")</f>
        <v>NO ATÍPICO</v>
      </c>
      <c r="L197">
        <f t="shared" si="15"/>
        <v>846788</v>
      </c>
      <c r="M197" t="str">
        <f t="shared" si="19"/>
        <v>ASALARIADO</v>
      </c>
      <c r="N197">
        <f t="shared" si="16"/>
        <v>31</v>
      </c>
      <c r="O197" s="19" t="str">
        <f t="shared" si="17"/>
        <v>600k–900k</v>
      </c>
      <c r="P197" s="19" t="str">
        <f t="shared" si="18"/>
        <v>26-35</v>
      </c>
    </row>
    <row r="198" spans="1:16" x14ac:dyDescent="0.25">
      <c r="A198">
        <v>197</v>
      </c>
      <c r="B198" t="s">
        <v>9</v>
      </c>
      <c r="C198">
        <v>300018</v>
      </c>
      <c r="D198" t="s">
        <v>18</v>
      </c>
      <c r="E198" t="s">
        <v>16</v>
      </c>
      <c r="F198" t="s">
        <v>12</v>
      </c>
      <c r="G198" t="s">
        <v>13</v>
      </c>
      <c r="H198" t="s">
        <v>13</v>
      </c>
      <c r="I198">
        <v>32</v>
      </c>
      <c r="J198" t="str" cm="1">
        <f t="array" ref="J198">_xlfn.IFS(ISBLANK(C198),"FALTANTE",ABS((C198-$W$5)/$X$5)&gt;1.96,"ATÍPICO",ABS((C198-$W$5)/$X$5)&lt;=1.96,"NO ATÍPICO")</f>
        <v>NO ATÍPICO</v>
      </c>
      <c r="K198" t="str" cm="1">
        <f t="array" ref="K198">_xlfn.IFS(ISBLANK(I198),"FALTANTE",ABS((I198-$W$8)/$X$8)&gt;1.92,"ATÍPICO",ABS((I198-$W$8)/$X$8)&lt;=1.92,"NO ATÍPICO")</f>
        <v>NO ATÍPICO</v>
      </c>
      <c r="L198">
        <f t="shared" si="15"/>
        <v>300018</v>
      </c>
      <c r="M198" t="str">
        <f t="shared" si="19"/>
        <v>TRABAJADOR INDEPENDIENTE</v>
      </c>
      <c r="N198">
        <f t="shared" si="16"/>
        <v>32</v>
      </c>
      <c r="O198" s="19" t="str">
        <f t="shared" si="17"/>
        <v>300k–600k</v>
      </c>
      <c r="P198" s="19" t="str">
        <f t="shared" si="18"/>
        <v>26-35</v>
      </c>
    </row>
    <row r="199" spans="1:16" x14ac:dyDescent="0.25">
      <c r="A199">
        <v>198</v>
      </c>
      <c r="B199" t="s">
        <v>15</v>
      </c>
      <c r="C199">
        <v>1476004</v>
      </c>
      <c r="D199" t="s">
        <v>14</v>
      </c>
      <c r="E199" t="s">
        <v>11</v>
      </c>
      <c r="F199" t="s">
        <v>12</v>
      </c>
      <c r="G199" t="s">
        <v>13</v>
      </c>
      <c r="H199" t="s">
        <v>13</v>
      </c>
      <c r="I199">
        <v>68</v>
      </c>
      <c r="J199" t="str" cm="1">
        <f t="array" ref="J199">_xlfn.IFS(ISBLANK(C199),"FALTANTE",ABS((C199-$W$5)/$X$5)&gt;1.96,"ATÍPICO",ABS((C199-$W$5)/$X$5)&lt;=1.96,"NO ATÍPICO")</f>
        <v>NO ATÍPICO</v>
      </c>
      <c r="K199" t="str" cm="1">
        <f t="array" ref="K199">_xlfn.IFS(ISBLANK(I199),"FALTANTE",ABS((I199-$W$8)/$X$8)&gt;1.92,"ATÍPICO",ABS((I199-$W$8)/$X$8)&lt;=1.92,"NO ATÍPICO")</f>
        <v>NO ATÍPICO</v>
      </c>
      <c r="L199">
        <f t="shared" si="15"/>
        <v>1476004</v>
      </c>
      <c r="M199" t="str">
        <f t="shared" si="19"/>
        <v>PENSIONADOS EN SU PROPIO SISTEMA</v>
      </c>
      <c r="N199">
        <f t="shared" si="16"/>
        <v>68</v>
      </c>
      <c r="O199" s="19" t="str">
        <f t="shared" si="17"/>
        <v>1200k+</v>
      </c>
      <c r="P199" s="19" t="str">
        <f t="shared" si="18"/>
        <v>56+</v>
      </c>
    </row>
    <row r="200" spans="1:16" x14ac:dyDescent="0.25">
      <c r="A200">
        <v>199</v>
      </c>
      <c r="B200" t="s">
        <v>9</v>
      </c>
      <c r="C200">
        <v>174167</v>
      </c>
      <c r="D200" t="s">
        <v>10</v>
      </c>
      <c r="E200" t="s">
        <v>16</v>
      </c>
      <c r="F200" t="s">
        <v>12</v>
      </c>
      <c r="G200" t="s">
        <v>12</v>
      </c>
      <c r="H200" t="s">
        <v>13</v>
      </c>
      <c r="I200">
        <v>32</v>
      </c>
      <c r="J200" t="str" cm="1">
        <f t="array" ref="J200">_xlfn.IFS(ISBLANK(C200),"FALTANTE",ABS((C200-$W$5)/$X$5)&gt;1.96,"ATÍPICO",ABS((C200-$W$5)/$X$5)&lt;=1.96,"NO ATÍPICO")</f>
        <v>NO ATÍPICO</v>
      </c>
      <c r="K200" t="str" cm="1">
        <f t="array" ref="K200">_xlfn.IFS(ISBLANK(I200),"FALTANTE",ABS((I200-$W$8)/$X$8)&gt;1.92,"ATÍPICO",ABS((I200-$W$8)/$X$8)&lt;=1.92,"NO ATÍPICO")</f>
        <v>NO ATÍPICO</v>
      </c>
      <c r="L200">
        <f t="shared" si="15"/>
        <v>174167</v>
      </c>
      <c r="M200" t="str">
        <f t="shared" si="19"/>
        <v>ASALARIADO</v>
      </c>
      <c r="N200">
        <f t="shared" si="16"/>
        <v>32</v>
      </c>
      <c r="O200" s="19" t="str">
        <f t="shared" si="17"/>
        <v>0–300k</v>
      </c>
      <c r="P200" s="19" t="str">
        <f t="shared" si="18"/>
        <v>26-35</v>
      </c>
    </row>
    <row r="201" spans="1:16" x14ac:dyDescent="0.25">
      <c r="A201">
        <v>200</v>
      </c>
      <c r="B201" t="s">
        <v>9</v>
      </c>
      <c r="C201">
        <v>622035.84</v>
      </c>
      <c r="D201" t="s">
        <v>10</v>
      </c>
      <c r="E201" t="s">
        <v>11</v>
      </c>
      <c r="F201" t="s">
        <v>12</v>
      </c>
      <c r="G201" t="s">
        <v>13</v>
      </c>
      <c r="H201" t="s">
        <v>13</v>
      </c>
      <c r="I201">
        <v>27</v>
      </c>
      <c r="J201" t="str" cm="1">
        <f t="array" ref="J201">_xlfn.IFS(ISBLANK(C201),"FALTANTE",ABS((C201-$W$5)/$X$5)&gt;1.96,"ATÍPICO",ABS((C201-$W$5)/$X$5)&lt;=1.96,"NO ATÍPICO")</f>
        <v>NO ATÍPICO</v>
      </c>
      <c r="K201" t="str" cm="1">
        <f t="array" ref="K201">_xlfn.IFS(ISBLANK(I201),"FALTANTE",ABS((I201-$W$8)/$X$8)&gt;1.92,"ATÍPICO",ABS((I201-$W$8)/$X$8)&lt;=1.92,"NO ATÍPICO")</f>
        <v>NO ATÍPICO</v>
      </c>
      <c r="L201">
        <f t="shared" si="15"/>
        <v>622035.84</v>
      </c>
      <c r="M201" t="str">
        <f t="shared" si="19"/>
        <v>ASALARIADO</v>
      </c>
      <c r="N201">
        <f t="shared" si="16"/>
        <v>27</v>
      </c>
      <c r="O201" s="19" t="str">
        <f t="shared" si="17"/>
        <v>600k–900k</v>
      </c>
      <c r="P201" s="19" t="str">
        <f t="shared" si="18"/>
        <v>26-35</v>
      </c>
    </row>
    <row r="202" spans="1:16" x14ac:dyDescent="0.25">
      <c r="A202">
        <v>201</v>
      </c>
      <c r="B202" t="s">
        <v>9</v>
      </c>
      <c r="C202">
        <v>563607</v>
      </c>
      <c r="D202" t="s">
        <v>18</v>
      </c>
      <c r="E202" t="s">
        <v>16</v>
      </c>
      <c r="F202" t="s">
        <v>12</v>
      </c>
      <c r="G202" t="s">
        <v>13</v>
      </c>
      <c r="H202" t="s">
        <v>12</v>
      </c>
      <c r="I202">
        <v>72</v>
      </c>
      <c r="J202" t="str" cm="1">
        <f t="array" ref="J202">_xlfn.IFS(ISBLANK(C202),"FALTANTE",ABS((C202-$W$5)/$X$5)&gt;1.96,"ATÍPICO",ABS((C202-$W$5)/$X$5)&lt;=1.96,"NO ATÍPICO")</f>
        <v>NO ATÍPICO</v>
      </c>
      <c r="K202" t="str" cm="1">
        <f t="array" ref="K202">_xlfn.IFS(ISBLANK(I202),"FALTANTE",ABS((I202-$W$8)/$X$8)&gt;1.92,"ATÍPICO",ABS((I202-$W$8)/$X$8)&lt;=1.92,"NO ATÍPICO")</f>
        <v>ATÍPICO</v>
      </c>
      <c r="L202">
        <f t="shared" si="15"/>
        <v>563607</v>
      </c>
      <c r="M202" t="str">
        <f t="shared" si="19"/>
        <v>TRABAJADOR INDEPENDIENTE</v>
      </c>
      <c r="N202">
        <f t="shared" si="16"/>
        <v>72</v>
      </c>
      <c r="O202" s="19" t="str">
        <f t="shared" si="17"/>
        <v>300k–600k</v>
      </c>
      <c r="P202" s="19" t="str">
        <f t="shared" si="18"/>
        <v>56+</v>
      </c>
    </row>
    <row r="203" spans="1:16" x14ac:dyDescent="0.25">
      <c r="A203">
        <v>202</v>
      </c>
      <c r="B203" t="s">
        <v>15</v>
      </c>
      <c r="C203">
        <v>386190.46</v>
      </c>
      <c r="D203" t="s">
        <v>10</v>
      </c>
      <c r="E203" t="s">
        <v>16</v>
      </c>
      <c r="F203" t="s">
        <v>12</v>
      </c>
      <c r="G203" t="s">
        <v>13</v>
      </c>
      <c r="H203" t="s">
        <v>13</v>
      </c>
      <c r="I203">
        <v>33</v>
      </c>
      <c r="J203" t="str" cm="1">
        <f t="array" ref="J203">_xlfn.IFS(ISBLANK(C203),"FALTANTE",ABS((C203-$W$5)/$X$5)&gt;1.96,"ATÍPICO",ABS((C203-$W$5)/$X$5)&lt;=1.96,"NO ATÍPICO")</f>
        <v>NO ATÍPICO</v>
      </c>
      <c r="K203" t="str" cm="1">
        <f t="array" ref="K203">_xlfn.IFS(ISBLANK(I203),"FALTANTE",ABS((I203-$W$8)/$X$8)&gt;1.92,"ATÍPICO",ABS((I203-$W$8)/$X$8)&lt;=1.92,"NO ATÍPICO")</f>
        <v>NO ATÍPICO</v>
      </c>
      <c r="L203">
        <f t="shared" si="15"/>
        <v>386190.46</v>
      </c>
      <c r="M203" t="str">
        <f t="shared" si="19"/>
        <v>ASALARIADO</v>
      </c>
      <c r="N203">
        <f t="shared" si="16"/>
        <v>33</v>
      </c>
      <c r="O203" s="19" t="str">
        <f t="shared" si="17"/>
        <v>300k–600k</v>
      </c>
      <c r="P203" s="19" t="str">
        <f t="shared" si="18"/>
        <v>26-35</v>
      </c>
    </row>
    <row r="204" spans="1:16" x14ac:dyDescent="0.25">
      <c r="A204">
        <v>203</v>
      </c>
      <c r="B204" t="s">
        <v>9</v>
      </c>
      <c r="C204">
        <v>378684</v>
      </c>
      <c r="D204" t="s">
        <v>18</v>
      </c>
      <c r="E204" t="s">
        <v>16</v>
      </c>
      <c r="F204" t="s">
        <v>12</v>
      </c>
      <c r="G204" t="s">
        <v>13</v>
      </c>
      <c r="H204" t="s">
        <v>12</v>
      </c>
      <c r="I204">
        <v>38</v>
      </c>
      <c r="J204" t="str" cm="1">
        <f t="array" ref="J204">_xlfn.IFS(ISBLANK(C204),"FALTANTE",ABS((C204-$W$5)/$X$5)&gt;1.96,"ATÍPICO",ABS((C204-$W$5)/$X$5)&lt;=1.96,"NO ATÍPICO")</f>
        <v>NO ATÍPICO</v>
      </c>
      <c r="K204" t="str" cm="1">
        <f t="array" ref="K204">_xlfn.IFS(ISBLANK(I204),"FALTANTE",ABS((I204-$W$8)/$X$8)&gt;1.92,"ATÍPICO",ABS((I204-$W$8)/$X$8)&lt;=1.92,"NO ATÍPICO")</f>
        <v>NO ATÍPICO</v>
      </c>
      <c r="L204">
        <f t="shared" si="15"/>
        <v>378684</v>
      </c>
      <c r="M204" t="str">
        <f t="shared" si="19"/>
        <v>TRABAJADOR INDEPENDIENTE</v>
      </c>
      <c r="N204">
        <f t="shared" si="16"/>
        <v>38</v>
      </c>
      <c r="O204" s="19" t="str">
        <f t="shared" si="17"/>
        <v>300k–600k</v>
      </c>
      <c r="P204" s="19" t="str">
        <f t="shared" si="18"/>
        <v>36-45</v>
      </c>
    </row>
    <row r="205" spans="1:16" x14ac:dyDescent="0.25">
      <c r="A205">
        <v>204</v>
      </c>
      <c r="B205" t="s">
        <v>9</v>
      </c>
      <c r="C205">
        <v>1623057.2</v>
      </c>
      <c r="D205" t="s">
        <v>10</v>
      </c>
      <c r="E205" t="s">
        <v>16</v>
      </c>
      <c r="F205" t="s">
        <v>12</v>
      </c>
      <c r="G205" t="s">
        <v>13</v>
      </c>
      <c r="H205" t="s">
        <v>13</v>
      </c>
      <c r="I205">
        <v>31</v>
      </c>
      <c r="J205" t="str" cm="1">
        <f t="array" ref="J205">_xlfn.IFS(ISBLANK(C205),"FALTANTE",ABS((C205-$W$5)/$X$5)&gt;1.96,"ATÍPICO",ABS((C205-$W$5)/$X$5)&lt;=1.96,"NO ATÍPICO")</f>
        <v>NO ATÍPICO</v>
      </c>
      <c r="K205" t="str" cm="1">
        <f t="array" ref="K205">_xlfn.IFS(ISBLANK(I205),"FALTANTE",ABS((I205-$W$8)/$X$8)&gt;1.92,"ATÍPICO",ABS((I205-$W$8)/$X$8)&lt;=1.92,"NO ATÍPICO")</f>
        <v>NO ATÍPICO</v>
      </c>
      <c r="L205">
        <f t="shared" si="15"/>
        <v>1623057.2</v>
      </c>
      <c r="M205" t="str">
        <f t="shared" si="19"/>
        <v>ASALARIADO</v>
      </c>
      <c r="N205">
        <f t="shared" si="16"/>
        <v>31</v>
      </c>
      <c r="O205" s="19" t="str">
        <f t="shared" si="17"/>
        <v>1200k+</v>
      </c>
      <c r="P205" s="19" t="str">
        <f t="shared" si="18"/>
        <v>26-35</v>
      </c>
    </row>
    <row r="206" spans="1:16" x14ac:dyDescent="0.25">
      <c r="A206">
        <v>205</v>
      </c>
      <c r="B206" t="s">
        <v>15</v>
      </c>
      <c r="C206">
        <v>126835.08</v>
      </c>
      <c r="D206" t="s">
        <v>14</v>
      </c>
      <c r="E206" t="s">
        <v>11</v>
      </c>
      <c r="F206" t="s">
        <v>12</v>
      </c>
      <c r="G206" t="s">
        <v>13</v>
      </c>
      <c r="H206" t="s">
        <v>13</v>
      </c>
      <c r="I206">
        <v>67</v>
      </c>
      <c r="J206" t="str" cm="1">
        <f t="array" ref="J206">_xlfn.IFS(ISBLANK(C206),"FALTANTE",ABS((C206-$W$5)/$X$5)&gt;1.96,"ATÍPICO",ABS((C206-$W$5)/$X$5)&lt;=1.96,"NO ATÍPICO")</f>
        <v>NO ATÍPICO</v>
      </c>
      <c r="K206" t="str" cm="1">
        <f t="array" ref="K206">_xlfn.IFS(ISBLANK(I206),"FALTANTE",ABS((I206-$W$8)/$X$8)&gt;1.92,"ATÍPICO",ABS((I206-$W$8)/$X$8)&lt;=1.92,"NO ATÍPICO")</f>
        <v>NO ATÍPICO</v>
      </c>
      <c r="L206">
        <f t="shared" si="15"/>
        <v>126835.08</v>
      </c>
      <c r="M206" t="str">
        <f t="shared" si="19"/>
        <v>PENSIONADOS EN SU PROPIO SISTEMA</v>
      </c>
      <c r="N206">
        <f t="shared" si="16"/>
        <v>67</v>
      </c>
      <c r="O206" s="19" t="str">
        <f t="shared" si="17"/>
        <v>0–300k</v>
      </c>
      <c r="P206" s="19" t="str">
        <f t="shared" si="18"/>
        <v>56+</v>
      </c>
    </row>
    <row r="207" spans="1:16" x14ac:dyDescent="0.25">
      <c r="A207">
        <v>206</v>
      </c>
      <c r="B207" t="s">
        <v>9</v>
      </c>
      <c r="C207">
        <v>404467</v>
      </c>
      <c r="D207" t="s">
        <v>17</v>
      </c>
      <c r="E207" t="s">
        <v>16</v>
      </c>
      <c r="F207" t="s">
        <v>12</v>
      </c>
      <c r="G207" t="s">
        <v>13</v>
      </c>
      <c r="H207" t="s">
        <v>13</v>
      </c>
      <c r="I207">
        <v>64</v>
      </c>
      <c r="J207" t="str" cm="1">
        <f t="array" ref="J207">_xlfn.IFS(ISBLANK(C207),"FALTANTE",ABS((C207-$W$5)/$X$5)&gt;1.96,"ATÍPICO",ABS((C207-$W$5)/$X$5)&lt;=1.96,"NO ATÍPICO")</f>
        <v>NO ATÍPICO</v>
      </c>
      <c r="K207" t="str" cm="1">
        <f t="array" ref="K207">_xlfn.IFS(ISBLANK(I207),"FALTANTE",ABS((I207-$W$8)/$X$8)&gt;1.92,"ATÍPICO",ABS((I207-$W$8)/$X$8)&lt;=1.92,"NO ATÍPICO")</f>
        <v>NO ATÍPICO</v>
      </c>
      <c r="L207">
        <f t="shared" si="15"/>
        <v>404467</v>
      </c>
      <c r="M207" t="str">
        <f t="shared" si="19"/>
        <v>ASEGURADO VOLUNTARIO</v>
      </c>
      <c r="N207">
        <f t="shared" si="16"/>
        <v>64</v>
      </c>
      <c r="O207" s="19" t="str">
        <f t="shared" si="17"/>
        <v>300k–600k</v>
      </c>
      <c r="P207" s="19" t="str">
        <f t="shared" si="18"/>
        <v>56+</v>
      </c>
    </row>
    <row r="208" spans="1:16" x14ac:dyDescent="0.25">
      <c r="A208">
        <v>207</v>
      </c>
      <c r="B208" t="s">
        <v>9</v>
      </c>
      <c r="C208">
        <v>586511.31000000006</v>
      </c>
      <c r="D208" t="s">
        <v>10</v>
      </c>
      <c r="E208" t="s">
        <v>16</v>
      </c>
      <c r="F208" t="s">
        <v>12</v>
      </c>
      <c r="G208" t="s">
        <v>13</v>
      </c>
      <c r="H208" t="s">
        <v>13</v>
      </c>
      <c r="I208">
        <v>24</v>
      </c>
      <c r="J208" t="str" cm="1">
        <f t="array" ref="J208">_xlfn.IFS(ISBLANK(C208),"FALTANTE",ABS((C208-$W$5)/$X$5)&gt;1.96,"ATÍPICO",ABS((C208-$W$5)/$X$5)&lt;=1.96,"NO ATÍPICO")</f>
        <v>NO ATÍPICO</v>
      </c>
      <c r="K208" t="str" cm="1">
        <f t="array" ref="K208">_xlfn.IFS(ISBLANK(I208),"FALTANTE",ABS((I208-$W$8)/$X$8)&gt;1.92,"ATÍPICO",ABS((I208-$W$8)/$X$8)&lt;=1.92,"NO ATÍPICO")</f>
        <v>NO ATÍPICO</v>
      </c>
      <c r="L208">
        <f t="shared" si="15"/>
        <v>586511.31000000006</v>
      </c>
      <c r="M208" t="str">
        <f t="shared" si="19"/>
        <v>ASALARIADO</v>
      </c>
      <c r="N208">
        <f t="shared" si="16"/>
        <v>24</v>
      </c>
      <c r="O208" s="19" t="str">
        <f t="shared" si="17"/>
        <v>300k–600k</v>
      </c>
      <c r="P208" s="19" t="str">
        <f t="shared" si="18"/>
        <v>18-25</v>
      </c>
    </row>
    <row r="209" spans="1:16" x14ac:dyDescent="0.25">
      <c r="A209">
        <v>208</v>
      </c>
      <c r="B209" t="s">
        <v>9</v>
      </c>
      <c r="C209">
        <v>808295.5</v>
      </c>
      <c r="D209" t="s">
        <v>10</v>
      </c>
      <c r="E209" t="s">
        <v>11</v>
      </c>
      <c r="F209" t="s">
        <v>12</v>
      </c>
      <c r="G209" t="s">
        <v>13</v>
      </c>
      <c r="H209" t="s">
        <v>13</v>
      </c>
      <c r="I209">
        <v>42</v>
      </c>
      <c r="J209" t="str" cm="1">
        <f t="array" ref="J209">_xlfn.IFS(ISBLANK(C209),"FALTANTE",ABS((C209-$W$5)/$X$5)&gt;1.96,"ATÍPICO",ABS((C209-$W$5)/$X$5)&lt;=1.96,"NO ATÍPICO")</f>
        <v>NO ATÍPICO</v>
      </c>
      <c r="K209" t="str" cm="1">
        <f t="array" ref="K209">_xlfn.IFS(ISBLANK(I209),"FALTANTE",ABS((I209-$W$8)/$X$8)&gt;1.92,"ATÍPICO",ABS((I209-$W$8)/$X$8)&lt;=1.92,"NO ATÍPICO")</f>
        <v>NO ATÍPICO</v>
      </c>
      <c r="L209">
        <f t="shared" si="15"/>
        <v>808295.5</v>
      </c>
      <c r="M209" t="str">
        <f t="shared" si="19"/>
        <v>ASALARIADO</v>
      </c>
      <c r="N209">
        <f t="shared" si="16"/>
        <v>42</v>
      </c>
      <c r="O209" s="19" t="str">
        <f t="shared" si="17"/>
        <v>600k–900k</v>
      </c>
      <c r="P209" s="19" t="str">
        <f t="shared" si="18"/>
        <v>36-45</v>
      </c>
    </row>
    <row r="210" spans="1:16" x14ac:dyDescent="0.25">
      <c r="A210">
        <v>209</v>
      </c>
      <c r="B210" t="s">
        <v>15</v>
      </c>
      <c r="C210">
        <v>819816.67</v>
      </c>
      <c r="D210" t="s">
        <v>10</v>
      </c>
      <c r="E210" t="s">
        <v>16</v>
      </c>
      <c r="F210" t="s">
        <v>12</v>
      </c>
      <c r="G210" t="s">
        <v>12</v>
      </c>
      <c r="H210" t="s">
        <v>13</v>
      </c>
      <c r="I210">
        <v>32</v>
      </c>
      <c r="J210" t="str" cm="1">
        <f t="array" ref="J210">_xlfn.IFS(ISBLANK(C210),"FALTANTE",ABS((C210-$W$5)/$X$5)&gt;1.96,"ATÍPICO",ABS((C210-$W$5)/$X$5)&lt;=1.96,"NO ATÍPICO")</f>
        <v>NO ATÍPICO</v>
      </c>
      <c r="K210" t="str" cm="1">
        <f t="array" ref="K210">_xlfn.IFS(ISBLANK(I210),"FALTANTE",ABS((I210-$W$8)/$X$8)&gt;1.92,"ATÍPICO",ABS((I210-$W$8)/$X$8)&lt;=1.92,"NO ATÍPICO")</f>
        <v>NO ATÍPICO</v>
      </c>
      <c r="L210">
        <f t="shared" si="15"/>
        <v>819816.67</v>
      </c>
      <c r="M210" t="str">
        <f t="shared" si="19"/>
        <v>ASALARIADO</v>
      </c>
      <c r="N210">
        <f t="shared" si="16"/>
        <v>32</v>
      </c>
      <c r="O210" s="19" t="str">
        <f t="shared" si="17"/>
        <v>600k–900k</v>
      </c>
      <c r="P210" s="19" t="str">
        <f t="shared" si="18"/>
        <v>26-35</v>
      </c>
    </row>
    <row r="211" spans="1:16" x14ac:dyDescent="0.25">
      <c r="A211">
        <v>210</v>
      </c>
      <c r="B211" t="s">
        <v>9</v>
      </c>
      <c r="C211">
        <v>57724</v>
      </c>
      <c r="D211" t="s">
        <v>10</v>
      </c>
      <c r="E211" t="s">
        <v>16</v>
      </c>
      <c r="F211" t="s">
        <v>12</v>
      </c>
      <c r="G211" t="s">
        <v>13</v>
      </c>
      <c r="H211" t="s">
        <v>12</v>
      </c>
      <c r="I211">
        <v>19</v>
      </c>
      <c r="J211" t="str" cm="1">
        <f t="array" ref="J211">_xlfn.IFS(ISBLANK(C211),"FALTANTE",ABS((C211-$W$5)/$X$5)&gt;1.96,"ATÍPICO",ABS((C211-$W$5)/$X$5)&lt;=1.96,"NO ATÍPICO")</f>
        <v>NO ATÍPICO</v>
      </c>
      <c r="K211" t="str" cm="1">
        <f t="array" ref="K211">_xlfn.IFS(ISBLANK(I211),"FALTANTE",ABS((I211-$W$8)/$X$8)&gt;1.92,"ATÍPICO",ABS((I211-$W$8)/$X$8)&lt;=1.92,"NO ATÍPICO")</f>
        <v>NO ATÍPICO</v>
      </c>
      <c r="L211">
        <f t="shared" si="15"/>
        <v>57724</v>
      </c>
      <c r="M211" t="str">
        <f t="shared" si="19"/>
        <v>ASALARIADO</v>
      </c>
      <c r="N211">
        <f t="shared" si="16"/>
        <v>19</v>
      </c>
      <c r="O211" s="19" t="str">
        <f t="shared" si="17"/>
        <v>0–300k</v>
      </c>
      <c r="P211" s="19" t="str">
        <f t="shared" si="18"/>
        <v>18-25</v>
      </c>
    </row>
    <row r="212" spans="1:16" x14ac:dyDescent="0.25">
      <c r="A212">
        <v>211</v>
      </c>
      <c r="B212" t="s">
        <v>15</v>
      </c>
      <c r="C212">
        <v>2230223.4</v>
      </c>
      <c r="D212" t="s">
        <v>10</v>
      </c>
      <c r="E212" t="s">
        <v>11</v>
      </c>
      <c r="F212" t="s">
        <v>12</v>
      </c>
      <c r="G212" t="s">
        <v>13</v>
      </c>
      <c r="H212" t="s">
        <v>13</v>
      </c>
      <c r="I212">
        <v>56</v>
      </c>
      <c r="J212" t="str" cm="1">
        <f t="array" ref="J212">_xlfn.IFS(ISBLANK(C212),"FALTANTE",ABS((C212-$W$5)/$X$5)&gt;1.96,"ATÍPICO",ABS((C212-$W$5)/$X$5)&lt;=1.96,"NO ATÍPICO")</f>
        <v>NO ATÍPICO</v>
      </c>
      <c r="K212" t="str" cm="1">
        <f t="array" ref="K212">_xlfn.IFS(ISBLANK(I212),"FALTANTE",ABS((I212-$W$8)/$X$8)&gt;1.92,"ATÍPICO",ABS((I212-$W$8)/$X$8)&lt;=1.92,"NO ATÍPICO")</f>
        <v>NO ATÍPICO</v>
      </c>
      <c r="L212">
        <f t="shared" si="15"/>
        <v>2230223.4</v>
      </c>
      <c r="M212" t="str">
        <f t="shared" si="19"/>
        <v>ASALARIADO</v>
      </c>
      <c r="N212">
        <f t="shared" si="16"/>
        <v>56</v>
      </c>
      <c r="O212" s="19" t="str">
        <f t="shared" si="17"/>
        <v>1200k+</v>
      </c>
      <c r="P212" s="19" t="str">
        <f t="shared" si="18"/>
        <v>56+</v>
      </c>
    </row>
    <row r="213" spans="1:16" x14ac:dyDescent="0.25">
      <c r="A213">
        <v>212</v>
      </c>
      <c r="B213" t="s">
        <v>9</v>
      </c>
      <c r="C213">
        <v>681656.18</v>
      </c>
      <c r="D213" t="s">
        <v>10</v>
      </c>
      <c r="E213" t="s">
        <v>16</v>
      </c>
      <c r="F213" t="s">
        <v>12</v>
      </c>
      <c r="G213" t="s">
        <v>13</v>
      </c>
      <c r="H213" t="s">
        <v>13</v>
      </c>
      <c r="I213">
        <v>42</v>
      </c>
      <c r="J213" t="str" cm="1">
        <f t="array" ref="J213">_xlfn.IFS(ISBLANK(C213),"FALTANTE",ABS((C213-$W$5)/$X$5)&gt;1.96,"ATÍPICO",ABS((C213-$W$5)/$X$5)&lt;=1.96,"NO ATÍPICO")</f>
        <v>NO ATÍPICO</v>
      </c>
      <c r="K213" t="str" cm="1">
        <f t="array" ref="K213">_xlfn.IFS(ISBLANK(I213),"FALTANTE",ABS((I213-$W$8)/$X$8)&gt;1.92,"ATÍPICO",ABS((I213-$W$8)/$X$8)&lt;=1.92,"NO ATÍPICO")</f>
        <v>NO ATÍPICO</v>
      </c>
      <c r="L213">
        <f t="shared" si="15"/>
        <v>681656.18</v>
      </c>
      <c r="M213" t="str">
        <f t="shared" si="19"/>
        <v>ASALARIADO</v>
      </c>
      <c r="N213">
        <f t="shared" si="16"/>
        <v>42</v>
      </c>
      <c r="O213" s="19" t="str">
        <f t="shared" si="17"/>
        <v>600k–900k</v>
      </c>
      <c r="P213" s="19" t="str">
        <f t="shared" si="18"/>
        <v>36-45</v>
      </c>
    </row>
    <row r="214" spans="1:16" x14ac:dyDescent="0.25">
      <c r="A214">
        <v>213</v>
      </c>
      <c r="B214" t="s">
        <v>15</v>
      </c>
      <c r="C214">
        <v>1611959.32</v>
      </c>
      <c r="D214" t="s">
        <v>10</v>
      </c>
      <c r="E214" t="s">
        <v>11</v>
      </c>
      <c r="F214" t="s">
        <v>12</v>
      </c>
      <c r="G214" t="s">
        <v>13</v>
      </c>
      <c r="H214" t="s">
        <v>13</v>
      </c>
      <c r="I214">
        <v>47</v>
      </c>
      <c r="J214" t="str" cm="1">
        <f t="array" ref="J214">_xlfn.IFS(ISBLANK(C214),"FALTANTE",ABS((C214-$W$5)/$X$5)&gt;1.96,"ATÍPICO",ABS((C214-$W$5)/$X$5)&lt;=1.96,"NO ATÍPICO")</f>
        <v>NO ATÍPICO</v>
      </c>
      <c r="K214" t="str" cm="1">
        <f t="array" ref="K214">_xlfn.IFS(ISBLANK(I214),"FALTANTE",ABS((I214-$W$8)/$X$8)&gt;1.92,"ATÍPICO",ABS((I214-$W$8)/$X$8)&lt;=1.92,"NO ATÍPICO")</f>
        <v>NO ATÍPICO</v>
      </c>
      <c r="L214">
        <f t="shared" si="15"/>
        <v>1611959.32</v>
      </c>
      <c r="M214" t="str">
        <f t="shared" si="19"/>
        <v>ASALARIADO</v>
      </c>
      <c r="N214">
        <f t="shared" si="16"/>
        <v>47</v>
      </c>
      <c r="O214" s="19" t="str">
        <f t="shared" si="17"/>
        <v>1200k+</v>
      </c>
      <c r="P214" s="19" t="str">
        <f t="shared" si="18"/>
        <v>46-55</v>
      </c>
    </row>
    <row r="215" spans="1:16" x14ac:dyDescent="0.25">
      <c r="A215">
        <v>214</v>
      </c>
      <c r="B215" t="s">
        <v>15</v>
      </c>
      <c r="C215">
        <v>1307797.8700000001</v>
      </c>
      <c r="D215" t="s">
        <v>10</v>
      </c>
      <c r="E215" t="s">
        <v>16</v>
      </c>
      <c r="F215" t="s">
        <v>12</v>
      </c>
      <c r="G215" t="s">
        <v>13</v>
      </c>
      <c r="H215" t="s">
        <v>13</v>
      </c>
      <c r="I215">
        <v>30</v>
      </c>
      <c r="J215" t="str" cm="1">
        <f t="array" ref="J215">_xlfn.IFS(ISBLANK(C215),"FALTANTE",ABS((C215-$W$5)/$X$5)&gt;1.96,"ATÍPICO",ABS((C215-$W$5)/$X$5)&lt;=1.96,"NO ATÍPICO")</f>
        <v>NO ATÍPICO</v>
      </c>
      <c r="K215" t="str" cm="1">
        <f t="array" ref="K215">_xlfn.IFS(ISBLANK(I215),"FALTANTE",ABS((I215-$W$8)/$X$8)&gt;1.92,"ATÍPICO",ABS((I215-$W$8)/$X$8)&lt;=1.92,"NO ATÍPICO")</f>
        <v>NO ATÍPICO</v>
      </c>
      <c r="L215">
        <f t="shared" si="15"/>
        <v>1307797.8700000001</v>
      </c>
      <c r="M215" t="str">
        <f t="shared" si="19"/>
        <v>ASALARIADO</v>
      </c>
      <c r="N215">
        <f t="shared" si="16"/>
        <v>30</v>
      </c>
      <c r="O215" s="19" t="str">
        <f t="shared" si="17"/>
        <v>1200k+</v>
      </c>
      <c r="P215" s="19" t="str">
        <f t="shared" si="18"/>
        <v>26-35</v>
      </c>
    </row>
    <row r="216" spans="1:16" x14ac:dyDescent="0.25">
      <c r="A216">
        <v>215</v>
      </c>
      <c r="B216" t="s">
        <v>9</v>
      </c>
      <c r="C216">
        <v>366599</v>
      </c>
      <c r="D216" t="s">
        <v>10</v>
      </c>
      <c r="E216" t="s">
        <v>16</v>
      </c>
      <c r="F216" t="s">
        <v>12</v>
      </c>
      <c r="G216" t="s">
        <v>13</v>
      </c>
      <c r="H216" t="s">
        <v>13</v>
      </c>
      <c r="I216">
        <v>53</v>
      </c>
      <c r="J216" t="str" cm="1">
        <f t="array" ref="J216">_xlfn.IFS(ISBLANK(C216),"FALTANTE",ABS((C216-$W$5)/$X$5)&gt;1.96,"ATÍPICO",ABS((C216-$W$5)/$X$5)&lt;=1.96,"NO ATÍPICO")</f>
        <v>NO ATÍPICO</v>
      </c>
      <c r="K216" t="str" cm="1">
        <f t="array" ref="K216">_xlfn.IFS(ISBLANK(I216),"FALTANTE",ABS((I216-$W$8)/$X$8)&gt;1.92,"ATÍPICO",ABS((I216-$W$8)/$X$8)&lt;=1.92,"NO ATÍPICO")</f>
        <v>NO ATÍPICO</v>
      </c>
      <c r="L216">
        <f t="shared" si="15"/>
        <v>366599</v>
      </c>
      <c r="M216" t="str">
        <f t="shared" si="19"/>
        <v>ASALARIADO</v>
      </c>
      <c r="N216">
        <f t="shared" si="16"/>
        <v>53</v>
      </c>
      <c r="O216" s="19" t="str">
        <f t="shared" si="17"/>
        <v>300k–600k</v>
      </c>
      <c r="P216" s="19" t="str">
        <f t="shared" si="18"/>
        <v>46-55</v>
      </c>
    </row>
    <row r="217" spans="1:16" x14ac:dyDescent="0.25">
      <c r="A217">
        <v>216</v>
      </c>
      <c r="B217" t="s">
        <v>9</v>
      </c>
      <c r="C217">
        <v>462831</v>
      </c>
      <c r="D217" t="s">
        <v>18</v>
      </c>
      <c r="E217" t="s">
        <v>16</v>
      </c>
      <c r="F217" t="s">
        <v>12</v>
      </c>
      <c r="G217" t="s">
        <v>13</v>
      </c>
      <c r="H217" t="s">
        <v>13</v>
      </c>
      <c r="I217">
        <v>32</v>
      </c>
      <c r="J217" t="str" cm="1">
        <f t="array" ref="J217">_xlfn.IFS(ISBLANK(C217),"FALTANTE",ABS((C217-$W$5)/$X$5)&gt;1.96,"ATÍPICO",ABS((C217-$W$5)/$X$5)&lt;=1.96,"NO ATÍPICO")</f>
        <v>NO ATÍPICO</v>
      </c>
      <c r="K217" t="str" cm="1">
        <f t="array" ref="K217">_xlfn.IFS(ISBLANK(I217),"FALTANTE",ABS((I217-$W$8)/$X$8)&gt;1.92,"ATÍPICO",ABS((I217-$W$8)/$X$8)&lt;=1.92,"NO ATÍPICO")</f>
        <v>NO ATÍPICO</v>
      </c>
      <c r="L217">
        <f t="shared" si="15"/>
        <v>462831</v>
      </c>
      <c r="M217" t="str">
        <f t="shared" si="19"/>
        <v>TRABAJADOR INDEPENDIENTE</v>
      </c>
      <c r="N217">
        <f t="shared" si="16"/>
        <v>32</v>
      </c>
      <c r="O217" s="19" t="str">
        <f t="shared" si="17"/>
        <v>300k–600k</v>
      </c>
      <c r="P217" s="19" t="str">
        <f t="shared" si="18"/>
        <v>26-35</v>
      </c>
    </row>
    <row r="218" spans="1:16" x14ac:dyDescent="0.25">
      <c r="A218">
        <v>217</v>
      </c>
      <c r="B218" t="s">
        <v>9</v>
      </c>
      <c r="C218">
        <v>639148</v>
      </c>
      <c r="D218" t="s">
        <v>18</v>
      </c>
      <c r="E218" t="s">
        <v>16</v>
      </c>
      <c r="F218" t="s">
        <v>12</v>
      </c>
      <c r="G218" t="s">
        <v>13</v>
      </c>
      <c r="H218" t="s">
        <v>12</v>
      </c>
      <c r="I218">
        <v>41</v>
      </c>
      <c r="J218" t="str" cm="1">
        <f t="array" ref="J218">_xlfn.IFS(ISBLANK(C218),"FALTANTE",ABS((C218-$W$5)/$X$5)&gt;1.96,"ATÍPICO",ABS((C218-$W$5)/$X$5)&lt;=1.96,"NO ATÍPICO")</f>
        <v>NO ATÍPICO</v>
      </c>
      <c r="K218" t="str" cm="1">
        <f t="array" ref="K218">_xlfn.IFS(ISBLANK(I218),"FALTANTE",ABS((I218-$W$8)/$X$8)&gt;1.92,"ATÍPICO",ABS((I218-$W$8)/$X$8)&lt;=1.92,"NO ATÍPICO")</f>
        <v>NO ATÍPICO</v>
      </c>
      <c r="L218">
        <f t="shared" si="15"/>
        <v>639148</v>
      </c>
      <c r="M218" t="str">
        <f t="shared" si="19"/>
        <v>TRABAJADOR INDEPENDIENTE</v>
      </c>
      <c r="N218">
        <f t="shared" si="16"/>
        <v>41</v>
      </c>
      <c r="O218" s="19" t="str">
        <f t="shared" si="17"/>
        <v>600k–900k</v>
      </c>
      <c r="P218" s="19" t="str">
        <f t="shared" si="18"/>
        <v>36-45</v>
      </c>
    </row>
    <row r="219" spans="1:16" x14ac:dyDescent="0.25">
      <c r="A219">
        <v>218</v>
      </c>
      <c r="B219" t="s">
        <v>9</v>
      </c>
      <c r="C219">
        <v>310124</v>
      </c>
      <c r="D219" t="s">
        <v>18</v>
      </c>
      <c r="E219" t="s">
        <v>16</v>
      </c>
      <c r="F219" t="s">
        <v>12</v>
      </c>
      <c r="G219" t="s">
        <v>13</v>
      </c>
      <c r="H219" t="s">
        <v>13</v>
      </c>
      <c r="I219">
        <v>34</v>
      </c>
      <c r="J219" t="str" cm="1">
        <f t="array" ref="J219">_xlfn.IFS(ISBLANK(C219),"FALTANTE",ABS((C219-$W$5)/$X$5)&gt;1.96,"ATÍPICO",ABS((C219-$W$5)/$X$5)&lt;=1.96,"NO ATÍPICO")</f>
        <v>NO ATÍPICO</v>
      </c>
      <c r="K219" t="str" cm="1">
        <f t="array" ref="K219">_xlfn.IFS(ISBLANK(I219),"FALTANTE",ABS((I219-$W$8)/$X$8)&gt;1.92,"ATÍPICO",ABS((I219-$W$8)/$X$8)&lt;=1.92,"NO ATÍPICO")</f>
        <v>NO ATÍPICO</v>
      </c>
      <c r="L219">
        <f t="shared" si="15"/>
        <v>310124</v>
      </c>
      <c r="M219" t="str">
        <f t="shared" si="19"/>
        <v>TRABAJADOR INDEPENDIENTE</v>
      </c>
      <c r="N219">
        <f t="shared" si="16"/>
        <v>34</v>
      </c>
      <c r="O219" s="19" t="str">
        <f t="shared" si="17"/>
        <v>300k–600k</v>
      </c>
      <c r="P219" s="19" t="str">
        <f t="shared" si="18"/>
        <v>26-35</v>
      </c>
    </row>
    <row r="220" spans="1:16" x14ac:dyDescent="0.25">
      <c r="A220">
        <v>219</v>
      </c>
      <c r="B220" t="s">
        <v>15</v>
      </c>
      <c r="C220">
        <v>800000</v>
      </c>
      <c r="D220" t="s">
        <v>10</v>
      </c>
      <c r="E220" t="s">
        <v>16</v>
      </c>
      <c r="F220" t="s">
        <v>12</v>
      </c>
      <c r="G220" t="s">
        <v>13</v>
      </c>
      <c r="H220" t="s">
        <v>13</v>
      </c>
      <c r="I220">
        <v>30</v>
      </c>
      <c r="J220" t="str" cm="1">
        <f t="array" ref="J220">_xlfn.IFS(ISBLANK(C220),"FALTANTE",ABS((C220-$W$5)/$X$5)&gt;1.96,"ATÍPICO",ABS((C220-$W$5)/$X$5)&lt;=1.96,"NO ATÍPICO")</f>
        <v>NO ATÍPICO</v>
      </c>
      <c r="K220" t="str" cm="1">
        <f t="array" ref="K220">_xlfn.IFS(ISBLANK(I220),"FALTANTE",ABS((I220-$W$8)/$X$8)&gt;1.92,"ATÍPICO",ABS((I220-$W$8)/$X$8)&lt;=1.92,"NO ATÍPICO")</f>
        <v>NO ATÍPICO</v>
      </c>
      <c r="L220">
        <f t="shared" si="15"/>
        <v>800000</v>
      </c>
      <c r="M220" t="str">
        <f t="shared" si="19"/>
        <v>ASALARIADO</v>
      </c>
      <c r="N220">
        <f t="shared" si="16"/>
        <v>30</v>
      </c>
      <c r="O220" s="19" t="str">
        <f t="shared" si="17"/>
        <v>600k–900k</v>
      </c>
      <c r="P220" s="19" t="str">
        <f t="shared" si="18"/>
        <v>26-35</v>
      </c>
    </row>
    <row r="221" spans="1:16" x14ac:dyDescent="0.25">
      <c r="A221">
        <v>220</v>
      </c>
      <c r="B221" t="s">
        <v>15</v>
      </c>
      <c r="C221">
        <v>1520118</v>
      </c>
      <c r="D221" t="s">
        <v>10</v>
      </c>
      <c r="E221" t="s">
        <v>11</v>
      </c>
      <c r="F221" t="s">
        <v>12</v>
      </c>
      <c r="G221" t="s">
        <v>13</v>
      </c>
      <c r="H221" t="s">
        <v>13</v>
      </c>
      <c r="I221">
        <v>32</v>
      </c>
      <c r="J221" t="str" cm="1">
        <f t="array" ref="J221">_xlfn.IFS(ISBLANK(C221),"FALTANTE",ABS((C221-$W$5)/$X$5)&gt;1.96,"ATÍPICO",ABS((C221-$W$5)/$X$5)&lt;=1.96,"NO ATÍPICO")</f>
        <v>NO ATÍPICO</v>
      </c>
      <c r="K221" t="str" cm="1">
        <f t="array" ref="K221">_xlfn.IFS(ISBLANK(I221),"FALTANTE",ABS((I221-$W$8)/$X$8)&gt;1.92,"ATÍPICO",ABS((I221-$W$8)/$X$8)&lt;=1.92,"NO ATÍPICO")</f>
        <v>NO ATÍPICO</v>
      </c>
      <c r="L221">
        <f t="shared" si="15"/>
        <v>1520118</v>
      </c>
      <c r="M221" t="str">
        <f t="shared" si="19"/>
        <v>ASALARIADO</v>
      </c>
      <c r="N221">
        <f t="shared" si="16"/>
        <v>32</v>
      </c>
      <c r="O221" s="19" t="str">
        <f t="shared" si="17"/>
        <v>1200k+</v>
      </c>
      <c r="P221" s="19" t="str">
        <f t="shared" si="18"/>
        <v>26-35</v>
      </c>
    </row>
    <row r="222" spans="1:16" x14ac:dyDescent="0.25">
      <c r="A222">
        <v>221</v>
      </c>
      <c r="B222" t="s">
        <v>15</v>
      </c>
      <c r="C222">
        <v>460000</v>
      </c>
      <c r="D222" t="s">
        <v>10</v>
      </c>
      <c r="E222" t="s">
        <v>16</v>
      </c>
      <c r="F222" t="s">
        <v>12</v>
      </c>
      <c r="G222" t="s">
        <v>13</v>
      </c>
      <c r="H222" t="s">
        <v>13</v>
      </c>
      <c r="I222">
        <v>28</v>
      </c>
      <c r="J222" t="str" cm="1">
        <f t="array" ref="J222">_xlfn.IFS(ISBLANK(C222),"FALTANTE",ABS((C222-$W$5)/$X$5)&gt;1.96,"ATÍPICO",ABS((C222-$W$5)/$X$5)&lt;=1.96,"NO ATÍPICO")</f>
        <v>NO ATÍPICO</v>
      </c>
      <c r="K222" t="str" cm="1">
        <f t="array" ref="K222">_xlfn.IFS(ISBLANK(I222),"FALTANTE",ABS((I222-$W$8)/$X$8)&gt;1.92,"ATÍPICO",ABS((I222-$W$8)/$X$8)&lt;=1.92,"NO ATÍPICO")</f>
        <v>NO ATÍPICO</v>
      </c>
      <c r="L222">
        <f t="shared" si="15"/>
        <v>460000</v>
      </c>
      <c r="M222" t="str">
        <f t="shared" si="19"/>
        <v>ASALARIADO</v>
      </c>
      <c r="N222">
        <f t="shared" si="16"/>
        <v>28</v>
      </c>
      <c r="O222" s="19" t="str">
        <f t="shared" si="17"/>
        <v>300k–600k</v>
      </c>
      <c r="P222" s="19" t="str">
        <f t="shared" si="18"/>
        <v>26-35</v>
      </c>
    </row>
    <row r="223" spans="1:16" x14ac:dyDescent="0.25">
      <c r="A223">
        <v>222</v>
      </c>
      <c r="B223" t="s">
        <v>15</v>
      </c>
      <c r="C223">
        <v>446964</v>
      </c>
      <c r="D223" t="s">
        <v>10</v>
      </c>
      <c r="E223" t="s">
        <v>16</v>
      </c>
      <c r="F223" t="s">
        <v>12</v>
      </c>
      <c r="G223" t="s">
        <v>13</v>
      </c>
      <c r="H223" t="s">
        <v>13</v>
      </c>
      <c r="I223">
        <v>64</v>
      </c>
      <c r="J223" t="str" cm="1">
        <f t="array" ref="J223">_xlfn.IFS(ISBLANK(C223),"FALTANTE",ABS((C223-$W$5)/$X$5)&gt;1.96,"ATÍPICO",ABS((C223-$W$5)/$X$5)&lt;=1.96,"NO ATÍPICO")</f>
        <v>NO ATÍPICO</v>
      </c>
      <c r="K223" t="str" cm="1">
        <f t="array" ref="K223">_xlfn.IFS(ISBLANK(I223),"FALTANTE",ABS((I223-$W$8)/$X$8)&gt;1.92,"ATÍPICO",ABS((I223-$W$8)/$X$8)&lt;=1.92,"NO ATÍPICO")</f>
        <v>NO ATÍPICO</v>
      </c>
      <c r="L223">
        <f t="shared" si="15"/>
        <v>446964</v>
      </c>
      <c r="M223" t="str">
        <f t="shared" si="19"/>
        <v>ASALARIADO</v>
      </c>
      <c r="N223">
        <f t="shared" si="16"/>
        <v>64</v>
      </c>
      <c r="O223" s="19" t="str">
        <f t="shared" si="17"/>
        <v>300k–600k</v>
      </c>
      <c r="P223" s="19" t="str">
        <f t="shared" si="18"/>
        <v>56+</v>
      </c>
    </row>
    <row r="224" spans="1:16" x14ac:dyDescent="0.25">
      <c r="A224">
        <v>223</v>
      </c>
      <c r="B224" t="s">
        <v>15</v>
      </c>
      <c r="C224">
        <v>241000</v>
      </c>
      <c r="D224" t="s">
        <v>10</v>
      </c>
      <c r="E224" t="s">
        <v>16</v>
      </c>
      <c r="F224" t="s">
        <v>12</v>
      </c>
      <c r="G224" t="s">
        <v>12</v>
      </c>
      <c r="H224" t="s">
        <v>13</v>
      </c>
      <c r="I224">
        <v>35</v>
      </c>
      <c r="J224" t="str" cm="1">
        <f t="array" ref="J224">_xlfn.IFS(ISBLANK(C224),"FALTANTE",ABS((C224-$W$5)/$X$5)&gt;1.96,"ATÍPICO",ABS((C224-$W$5)/$X$5)&lt;=1.96,"NO ATÍPICO")</f>
        <v>NO ATÍPICO</v>
      </c>
      <c r="K224" t="str" cm="1">
        <f t="array" ref="K224">_xlfn.IFS(ISBLANK(I224),"FALTANTE",ABS((I224-$W$8)/$X$8)&gt;1.92,"ATÍPICO",ABS((I224-$W$8)/$X$8)&lt;=1.92,"NO ATÍPICO")</f>
        <v>NO ATÍPICO</v>
      </c>
      <c r="L224">
        <f t="shared" si="15"/>
        <v>241000</v>
      </c>
      <c r="M224" t="str">
        <f t="shared" si="19"/>
        <v>ASALARIADO</v>
      </c>
      <c r="N224">
        <f t="shared" si="16"/>
        <v>35</v>
      </c>
      <c r="O224" s="19" t="str">
        <f t="shared" si="17"/>
        <v>0–300k</v>
      </c>
      <c r="P224" s="19" t="str">
        <f t="shared" si="18"/>
        <v>26-35</v>
      </c>
    </row>
    <row r="225" spans="1:16" x14ac:dyDescent="0.25">
      <c r="A225">
        <v>224</v>
      </c>
      <c r="B225" t="s">
        <v>9</v>
      </c>
      <c r="C225">
        <v>1254322.1299999999</v>
      </c>
      <c r="D225" t="s">
        <v>10</v>
      </c>
      <c r="E225" t="s">
        <v>16</v>
      </c>
      <c r="F225" t="s">
        <v>12</v>
      </c>
      <c r="G225" t="s">
        <v>13</v>
      </c>
      <c r="H225" t="s">
        <v>13</v>
      </c>
      <c r="I225">
        <v>33</v>
      </c>
      <c r="J225" t="str" cm="1">
        <f t="array" ref="J225">_xlfn.IFS(ISBLANK(C225),"FALTANTE",ABS((C225-$W$5)/$X$5)&gt;1.96,"ATÍPICO",ABS((C225-$W$5)/$X$5)&lt;=1.96,"NO ATÍPICO")</f>
        <v>NO ATÍPICO</v>
      </c>
      <c r="K225" t="str" cm="1">
        <f t="array" ref="K225">_xlfn.IFS(ISBLANK(I225),"FALTANTE",ABS((I225-$W$8)/$X$8)&gt;1.92,"ATÍPICO",ABS((I225-$W$8)/$X$8)&lt;=1.92,"NO ATÍPICO")</f>
        <v>NO ATÍPICO</v>
      </c>
      <c r="L225">
        <f t="shared" si="15"/>
        <v>1254322.1299999999</v>
      </c>
      <c r="M225" t="str">
        <f t="shared" si="19"/>
        <v>ASALARIADO</v>
      </c>
      <c r="N225">
        <f t="shared" si="16"/>
        <v>33</v>
      </c>
      <c r="O225" s="19" t="str">
        <f t="shared" si="17"/>
        <v>1200k+</v>
      </c>
      <c r="P225" s="19" t="str">
        <f t="shared" si="18"/>
        <v>26-35</v>
      </c>
    </row>
    <row r="226" spans="1:16" x14ac:dyDescent="0.25">
      <c r="A226">
        <v>225</v>
      </c>
      <c r="B226" t="s">
        <v>9</v>
      </c>
      <c r="C226">
        <v>503396</v>
      </c>
      <c r="D226" t="s">
        <v>10</v>
      </c>
      <c r="E226" t="s">
        <v>11</v>
      </c>
      <c r="F226" t="s">
        <v>12</v>
      </c>
      <c r="G226" t="s">
        <v>13</v>
      </c>
      <c r="H226" t="s">
        <v>13</v>
      </c>
      <c r="I226">
        <v>55</v>
      </c>
      <c r="J226" t="str" cm="1">
        <f t="array" ref="J226">_xlfn.IFS(ISBLANK(C226),"FALTANTE",ABS((C226-$W$5)/$X$5)&gt;1.96,"ATÍPICO",ABS((C226-$W$5)/$X$5)&lt;=1.96,"NO ATÍPICO")</f>
        <v>NO ATÍPICO</v>
      </c>
      <c r="K226" t="str" cm="1">
        <f t="array" ref="K226">_xlfn.IFS(ISBLANK(I226),"FALTANTE",ABS((I226-$W$8)/$X$8)&gt;1.92,"ATÍPICO",ABS((I226-$W$8)/$X$8)&lt;=1.92,"NO ATÍPICO")</f>
        <v>NO ATÍPICO</v>
      </c>
      <c r="L226">
        <f t="shared" si="15"/>
        <v>503396</v>
      </c>
      <c r="M226" t="str">
        <f t="shared" si="19"/>
        <v>ASALARIADO</v>
      </c>
      <c r="N226">
        <f t="shared" si="16"/>
        <v>55</v>
      </c>
      <c r="O226" s="19" t="str">
        <f t="shared" si="17"/>
        <v>300k–600k</v>
      </c>
      <c r="P226" s="19" t="str">
        <f t="shared" si="18"/>
        <v>46-55</v>
      </c>
    </row>
    <row r="227" spans="1:16" x14ac:dyDescent="0.25">
      <c r="A227">
        <v>226</v>
      </c>
      <c r="B227" t="s">
        <v>9</v>
      </c>
      <c r="C227">
        <v>1845300</v>
      </c>
      <c r="D227" t="s">
        <v>10</v>
      </c>
      <c r="E227" t="s">
        <v>16</v>
      </c>
      <c r="F227" t="s">
        <v>12</v>
      </c>
      <c r="G227" t="s">
        <v>13</v>
      </c>
      <c r="H227" t="s">
        <v>13</v>
      </c>
      <c r="I227">
        <v>37</v>
      </c>
      <c r="J227" t="str" cm="1">
        <f t="array" ref="J227">_xlfn.IFS(ISBLANK(C227),"FALTANTE",ABS((C227-$W$5)/$X$5)&gt;1.96,"ATÍPICO",ABS((C227-$W$5)/$X$5)&lt;=1.96,"NO ATÍPICO")</f>
        <v>NO ATÍPICO</v>
      </c>
      <c r="K227" t="str" cm="1">
        <f t="array" ref="K227">_xlfn.IFS(ISBLANK(I227),"FALTANTE",ABS((I227-$W$8)/$X$8)&gt;1.92,"ATÍPICO",ABS((I227-$W$8)/$X$8)&lt;=1.92,"NO ATÍPICO")</f>
        <v>NO ATÍPICO</v>
      </c>
      <c r="L227">
        <f t="shared" si="15"/>
        <v>1845300</v>
      </c>
      <c r="M227" t="str">
        <f t="shared" si="19"/>
        <v>ASALARIADO</v>
      </c>
      <c r="N227">
        <f t="shared" si="16"/>
        <v>37</v>
      </c>
      <c r="O227" s="19" t="str">
        <f t="shared" si="17"/>
        <v>1200k+</v>
      </c>
      <c r="P227" s="19" t="str">
        <f t="shared" si="18"/>
        <v>36-45</v>
      </c>
    </row>
    <row r="228" spans="1:16" x14ac:dyDescent="0.25">
      <c r="A228">
        <v>227</v>
      </c>
      <c r="B228" t="s">
        <v>9</v>
      </c>
      <c r="C228">
        <v>505464</v>
      </c>
      <c r="D228" t="s">
        <v>18</v>
      </c>
      <c r="E228" t="s">
        <v>16</v>
      </c>
      <c r="F228" t="s">
        <v>12</v>
      </c>
      <c r="G228" t="s">
        <v>13</v>
      </c>
      <c r="H228" t="s">
        <v>13</v>
      </c>
      <c r="I228">
        <v>42</v>
      </c>
      <c r="J228" t="str" cm="1">
        <f t="array" ref="J228">_xlfn.IFS(ISBLANK(C228),"FALTANTE",ABS((C228-$W$5)/$X$5)&gt;1.96,"ATÍPICO",ABS((C228-$W$5)/$X$5)&lt;=1.96,"NO ATÍPICO")</f>
        <v>NO ATÍPICO</v>
      </c>
      <c r="K228" t="str" cm="1">
        <f t="array" ref="K228">_xlfn.IFS(ISBLANK(I228),"FALTANTE",ABS((I228-$W$8)/$X$8)&gt;1.92,"ATÍPICO",ABS((I228-$W$8)/$X$8)&lt;=1.92,"NO ATÍPICO")</f>
        <v>NO ATÍPICO</v>
      </c>
      <c r="L228">
        <f t="shared" si="15"/>
        <v>505464</v>
      </c>
      <c r="M228" t="str">
        <f t="shared" si="19"/>
        <v>TRABAJADOR INDEPENDIENTE</v>
      </c>
      <c r="N228">
        <f t="shared" si="16"/>
        <v>42</v>
      </c>
      <c r="O228" s="19" t="str">
        <f t="shared" si="17"/>
        <v>300k–600k</v>
      </c>
      <c r="P228" s="19" t="str">
        <f t="shared" si="18"/>
        <v>36-45</v>
      </c>
    </row>
    <row r="229" spans="1:16" x14ac:dyDescent="0.25">
      <c r="A229">
        <v>228</v>
      </c>
      <c r="B229" t="s">
        <v>15</v>
      </c>
      <c r="C229">
        <v>1083593.7</v>
      </c>
      <c r="D229" t="s">
        <v>10</v>
      </c>
      <c r="E229" t="s">
        <v>11</v>
      </c>
      <c r="F229" t="s">
        <v>12</v>
      </c>
      <c r="G229" t="s">
        <v>13</v>
      </c>
      <c r="H229" t="s">
        <v>13</v>
      </c>
      <c r="I229">
        <v>30</v>
      </c>
      <c r="J229" t="str" cm="1">
        <f t="array" ref="J229">_xlfn.IFS(ISBLANK(C229),"FALTANTE",ABS((C229-$W$5)/$X$5)&gt;1.96,"ATÍPICO",ABS((C229-$W$5)/$X$5)&lt;=1.96,"NO ATÍPICO")</f>
        <v>NO ATÍPICO</v>
      </c>
      <c r="K229" t="str" cm="1">
        <f t="array" ref="K229">_xlfn.IFS(ISBLANK(I229),"FALTANTE",ABS((I229-$W$8)/$X$8)&gt;1.92,"ATÍPICO",ABS((I229-$W$8)/$X$8)&lt;=1.92,"NO ATÍPICO")</f>
        <v>NO ATÍPICO</v>
      </c>
      <c r="L229">
        <f t="shared" si="15"/>
        <v>1083593.7</v>
      </c>
      <c r="M229" t="str">
        <f t="shared" si="19"/>
        <v>ASALARIADO</v>
      </c>
      <c r="N229">
        <f t="shared" si="16"/>
        <v>30</v>
      </c>
      <c r="O229" s="19" t="str">
        <f t="shared" si="17"/>
        <v>900k–1200k</v>
      </c>
      <c r="P229" s="19" t="str">
        <f t="shared" si="18"/>
        <v>26-35</v>
      </c>
    </row>
    <row r="230" spans="1:16" x14ac:dyDescent="0.25">
      <c r="A230">
        <v>229</v>
      </c>
      <c r="B230" t="s">
        <v>15</v>
      </c>
      <c r="C230">
        <v>450680</v>
      </c>
      <c r="D230" t="s">
        <v>18</v>
      </c>
      <c r="E230" t="s">
        <v>16</v>
      </c>
      <c r="F230" t="s">
        <v>12</v>
      </c>
      <c r="G230" t="s">
        <v>13</v>
      </c>
      <c r="H230" t="s">
        <v>12</v>
      </c>
      <c r="I230">
        <v>28</v>
      </c>
      <c r="J230" t="str" cm="1">
        <f t="array" ref="J230">_xlfn.IFS(ISBLANK(C230),"FALTANTE",ABS((C230-$W$5)/$X$5)&gt;1.96,"ATÍPICO",ABS((C230-$W$5)/$X$5)&lt;=1.96,"NO ATÍPICO")</f>
        <v>NO ATÍPICO</v>
      </c>
      <c r="K230" t="str" cm="1">
        <f t="array" ref="K230">_xlfn.IFS(ISBLANK(I230),"FALTANTE",ABS((I230-$W$8)/$X$8)&gt;1.92,"ATÍPICO",ABS((I230-$W$8)/$X$8)&lt;=1.92,"NO ATÍPICO")</f>
        <v>NO ATÍPICO</v>
      </c>
      <c r="L230">
        <f t="shared" si="15"/>
        <v>450680</v>
      </c>
      <c r="M230" t="str">
        <f t="shared" si="19"/>
        <v>TRABAJADOR INDEPENDIENTE</v>
      </c>
      <c r="N230">
        <f t="shared" si="16"/>
        <v>28</v>
      </c>
      <c r="O230" s="19" t="str">
        <f t="shared" si="17"/>
        <v>300k–600k</v>
      </c>
      <c r="P230" s="19" t="str">
        <f t="shared" si="18"/>
        <v>26-35</v>
      </c>
    </row>
    <row r="231" spans="1:16" x14ac:dyDescent="0.25">
      <c r="A231">
        <v>230</v>
      </c>
      <c r="B231" t="s">
        <v>9</v>
      </c>
      <c r="C231">
        <v>407031</v>
      </c>
      <c r="D231" t="s">
        <v>10</v>
      </c>
      <c r="E231" t="s">
        <v>16</v>
      </c>
      <c r="F231" t="s">
        <v>12</v>
      </c>
      <c r="G231" t="s">
        <v>13</v>
      </c>
      <c r="H231" t="s">
        <v>13</v>
      </c>
      <c r="I231">
        <v>51</v>
      </c>
      <c r="J231" t="str" cm="1">
        <f t="array" ref="J231">_xlfn.IFS(ISBLANK(C231),"FALTANTE",ABS((C231-$W$5)/$X$5)&gt;1.96,"ATÍPICO",ABS((C231-$W$5)/$X$5)&lt;=1.96,"NO ATÍPICO")</f>
        <v>NO ATÍPICO</v>
      </c>
      <c r="K231" t="str" cm="1">
        <f t="array" ref="K231">_xlfn.IFS(ISBLANK(I231),"FALTANTE",ABS((I231-$W$8)/$X$8)&gt;1.92,"ATÍPICO",ABS((I231-$W$8)/$X$8)&lt;=1.92,"NO ATÍPICO")</f>
        <v>NO ATÍPICO</v>
      </c>
      <c r="L231">
        <f t="shared" si="15"/>
        <v>407031</v>
      </c>
      <c r="M231" t="str">
        <f t="shared" si="19"/>
        <v>ASALARIADO</v>
      </c>
      <c r="N231">
        <f t="shared" si="16"/>
        <v>51</v>
      </c>
      <c r="O231" s="19" t="str">
        <f t="shared" si="17"/>
        <v>300k–600k</v>
      </c>
      <c r="P231" s="19" t="str">
        <f t="shared" si="18"/>
        <v>46-55</v>
      </c>
    </row>
    <row r="232" spans="1:16" x14ac:dyDescent="0.25">
      <c r="A232">
        <v>231</v>
      </c>
      <c r="B232" t="s">
        <v>9</v>
      </c>
      <c r="C232">
        <v>800000</v>
      </c>
      <c r="D232" t="s">
        <v>10</v>
      </c>
      <c r="E232" t="s">
        <v>16</v>
      </c>
      <c r="F232" t="s">
        <v>12</v>
      </c>
      <c r="G232" t="s">
        <v>13</v>
      </c>
      <c r="H232" t="s">
        <v>13</v>
      </c>
      <c r="I232">
        <v>54</v>
      </c>
      <c r="J232" t="str" cm="1">
        <f t="array" ref="J232">_xlfn.IFS(ISBLANK(C232),"FALTANTE",ABS((C232-$W$5)/$X$5)&gt;1.96,"ATÍPICO",ABS((C232-$W$5)/$X$5)&lt;=1.96,"NO ATÍPICO")</f>
        <v>NO ATÍPICO</v>
      </c>
      <c r="K232" t="str" cm="1">
        <f t="array" ref="K232">_xlfn.IFS(ISBLANK(I232),"FALTANTE",ABS((I232-$W$8)/$X$8)&gt;1.92,"ATÍPICO",ABS((I232-$W$8)/$X$8)&lt;=1.92,"NO ATÍPICO")</f>
        <v>NO ATÍPICO</v>
      </c>
      <c r="L232">
        <f t="shared" si="15"/>
        <v>800000</v>
      </c>
      <c r="M232" t="str">
        <f t="shared" si="19"/>
        <v>ASALARIADO</v>
      </c>
      <c r="N232">
        <f t="shared" si="16"/>
        <v>54</v>
      </c>
      <c r="O232" s="19" t="str">
        <f t="shared" si="17"/>
        <v>600k–900k</v>
      </c>
      <c r="P232" s="19" t="str">
        <f t="shared" si="18"/>
        <v>46-55</v>
      </c>
    </row>
    <row r="233" spans="1:16" x14ac:dyDescent="0.25">
      <c r="A233">
        <v>232</v>
      </c>
      <c r="B233" t="s">
        <v>9</v>
      </c>
      <c r="C233">
        <v>366302.13</v>
      </c>
      <c r="D233" t="s">
        <v>10</v>
      </c>
      <c r="E233" t="s">
        <v>16</v>
      </c>
      <c r="F233" t="s">
        <v>12</v>
      </c>
      <c r="G233" t="s">
        <v>13</v>
      </c>
      <c r="H233" t="s">
        <v>13</v>
      </c>
      <c r="I233">
        <v>52</v>
      </c>
      <c r="J233" t="str" cm="1">
        <f t="array" ref="J233">_xlfn.IFS(ISBLANK(C233),"FALTANTE",ABS((C233-$W$5)/$X$5)&gt;1.96,"ATÍPICO",ABS((C233-$W$5)/$X$5)&lt;=1.96,"NO ATÍPICO")</f>
        <v>NO ATÍPICO</v>
      </c>
      <c r="K233" t="str" cm="1">
        <f t="array" ref="K233">_xlfn.IFS(ISBLANK(I233),"FALTANTE",ABS((I233-$W$8)/$X$8)&gt;1.92,"ATÍPICO",ABS((I233-$W$8)/$X$8)&lt;=1.92,"NO ATÍPICO")</f>
        <v>NO ATÍPICO</v>
      </c>
      <c r="L233">
        <f t="shared" si="15"/>
        <v>366302.13</v>
      </c>
      <c r="M233" t="str">
        <f t="shared" si="19"/>
        <v>ASALARIADO</v>
      </c>
      <c r="N233">
        <f t="shared" si="16"/>
        <v>52</v>
      </c>
      <c r="O233" s="19" t="str">
        <f t="shared" si="17"/>
        <v>300k–600k</v>
      </c>
      <c r="P233" s="19" t="str">
        <f t="shared" si="18"/>
        <v>46-55</v>
      </c>
    </row>
    <row r="234" spans="1:16" x14ac:dyDescent="0.25">
      <c r="A234">
        <v>233</v>
      </c>
      <c r="B234" t="s">
        <v>15</v>
      </c>
      <c r="C234">
        <v>801100.65</v>
      </c>
      <c r="D234" t="s">
        <v>10</v>
      </c>
      <c r="E234" t="s">
        <v>16</v>
      </c>
      <c r="F234" t="s">
        <v>12</v>
      </c>
      <c r="G234" t="s">
        <v>13</v>
      </c>
      <c r="H234" t="s">
        <v>13</v>
      </c>
      <c r="I234">
        <v>46</v>
      </c>
      <c r="J234" t="str" cm="1">
        <f t="array" ref="J234">_xlfn.IFS(ISBLANK(C234),"FALTANTE",ABS((C234-$W$5)/$X$5)&gt;1.96,"ATÍPICO",ABS((C234-$W$5)/$X$5)&lt;=1.96,"NO ATÍPICO")</f>
        <v>NO ATÍPICO</v>
      </c>
      <c r="K234" t="str" cm="1">
        <f t="array" ref="K234">_xlfn.IFS(ISBLANK(I234),"FALTANTE",ABS((I234-$W$8)/$X$8)&gt;1.92,"ATÍPICO",ABS((I234-$W$8)/$X$8)&lt;=1.92,"NO ATÍPICO")</f>
        <v>NO ATÍPICO</v>
      </c>
      <c r="L234">
        <f t="shared" si="15"/>
        <v>801100.65</v>
      </c>
      <c r="M234" t="str">
        <f t="shared" si="19"/>
        <v>ASALARIADO</v>
      </c>
      <c r="N234">
        <f t="shared" si="16"/>
        <v>46</v>
      </c>
      <c r="O234" s="19" t="str">
        <f t="shared" si="17"/>
        <v>600k–900k</v>
      </c>
      <c r="P234" s="19" t="str">
        <f t="shared" si="18"/>
        <v>46-55</v>
      </c>
    </row>
    <row r="235" spans="1:16" x14ac:dyDescent="0.25">
      <c r="A235">
        <v>234</v>
      </c>
      <c r="B235" t="s">
        <v>9</v>
      </c>
      <c r="C235">
        <v>278030</v>
      </c>
      <c r="D235" t="s">
        <v>19</v>
      </c>
      <c r="E235" t="s">
        <v>16</v>
      </c>
      <c r="F235" t="s">
        <v>12</v>
      </c>
      <c r="G235" t="s">
        <v>13</v>
      </c>
      <c r="H235" t="s">
        <v>13</v>
      </c>
      <c r="I235">
        <v>37</v>
      </c>
      <c r="J235" t="str" cm="1">
        <f t="array" ref="J235">_xlfn.IFS(ISBLANK(C235),"FALTANTE",ABS((C235-$W$5)/$X$5)&gt;1.96,"ATÍPICO",ABS((C235-$W$5)/$X$5)&lt;=1.96,"NO ATÍPICO")</f>
        <v>NO ATÍPICO</v>
      </c>
      <c r="K235" t="str" cm="1">
        <f t="array" ref="K235">_xlfn.IFS(ISBLANK(I235),"FALTANTE",ABS((I235-$W$8)/$X$8)&gt;1.92,"ATÍPICO",ABS((I235-$W$8)/$X$8)&lt;=1.92,"NO ATÍPICO")</f>
        <v>NO ATÍPICO</v>
      </c>
      <c r="L235">
        <f t="shared" si="15"/>
        <v>278030</v>
      </c>
      <c r="M235" t="str">
        <f t="shared" si="19"/>
        <v>CONVENIOS ESPECIALES DE TRABAJADORES INDEPENDIENTES</v>
      </c>
      <c r="N235">
        <f t="shared" si="16"/>
        <v>37</v>
      </c>
      <c r="O235" s="19" t="str">
        <f t="shared" si="17"/>
        <v>0–300k</v>
      </c>
      <c r="P235" s="19" t="str">
        <f t="shared" si="18"/>
        <v>36-45</v>
      </c>
    </row>
    <row r="236" spans="1:16" x14ac:dyDescent="0.25">
      <c r="A236">
        <v>235</v>
      </c>
      <c r="B236" t="s">
        <v>15</v>
      </c>
      <c r="C236">
        <v>300018</v>
      </c>
      <c r="D236" t="s">
        <v>17</v>
      </c>
      <c r="E236" t="s">
        <v>16</v>
      </c>
      <c r="F236" t="s">
        <v>12</v>
      </c>
      <c r="G236" t="s">
        <v>13</v>
      </c>
      <c r="H236" t="s">
        <v>13</v>
      </c>
      <c r="I236">
        <v>56</v>
      </c>
      <c r="J236" t="str" cm="1">
        <f t="array" ref="J236">_xlfn.IFS(ISBLANK(C236),"FALTANTE",ABS((C236-$W$5)/$X$5)&gt;1.96,"ATÍPICO",ABS((C236-$W$5)/$X$5)&lt;=1.96,"NO ATÍPICO")</f>
        <v>NO ATÍPICO</v>
      </c>
      <c r="K236" t="str" cm="1">
        <f t="array" ref="K236">_xlfn.IFS(ISBLANK(I236),"FALTANTE",ABS((I236-$W$8)/$X$8)&gt;1.92,"ATÍPICO",ABS((I236-$W$8)/$X$8)&lt;=1.92,"NO ATÍPICO")</f>
        <v>NO ATÍPICO</v>
      </c>
      <c r="L236">
        <f t="shared" si="15"/>
        <v>300018</v>
      </c>
      <c r="M236" t="str">
        <f t="shared" si="19"/>
        <v>ASEGURADO VOLUNTARIO</v>
      </c>
      <c r="N236">
        <f t="shared" si="16"/>
        <v>56</v>
      </c>
      <c r="O236" s="19" t="str">
        <f t="shared" si="17"/>
        <v>300k–600k</v>
      </c>
      <c r="P236" s="19" t="str">
        <f t="shared" si="18"/>
        <v>56+</v>
      </c>
    </row>
    <row r="237" spans="1:16" x14ac:dyDescent="0.25">
      <c r="A237">
        <v>236</v>
      </c>
      <c r="B237" t="s">
        <v>15</v>
      </c>
      <c r="C237">
        <v>1002472.71</v>
      </c>
      <c r="D237" t="s">
        <v>10</v>
      </c>
      <c r="E237" t="s">
        <v>11</v>
      </c>
      <c r="F237" t="s">
        <v>12</v>
      </c>
      <c r="G237" t="s">
        <v>13</v>
      </c>
      <c r="H237" t="s">
        <v>13</v>
      </c>
      <c r="I237">
        <v>51</v>
      </c>
      <c r="J237" t="str" cm="1">
        <f t="array" ref="J237">_xlfn.IFS(ISBLANK(C237),"FALTANTE",ABS((C237-$W$5)/$X$5)&gt;1.96,"ATÍPICO",ABS((C237-$W$5)/$X$5)&lt;=1.96,"NO ATÍPICO")</f>
        <v>NO ATÍPICO</v>
      </c>
      <c r="K237" t="str" cm="1">
        <f t="array" ref="K237">_xlfn.IFS(ISBLANK(I237),"FALTANTE",ABS((I237-$W$8)/$X$8)&gt;1.92,"ATÍPICO",ABS((I237-$W$8)/$X$8)&lt;=1.92,"NO ATÍPICO")</f>
        <v>NO ATÍPICO</v>
      </c>
      <c r="L237">
        <f t="shared" si="15"/>
        <v>1002472.71</v>
      </c>
      <c r="M237" t="str">
        <f t="shared" si="19"/>
        <v>ASALARIADO</v>
      </c>
      <c r="N237">
        <f t="shared" si="16"/>
        <v>51</v>
      </c>
      <c r="O237" s="19" t="str">
        <f t="shared" si="17"/>
        <v>900k–1200k</v>
      </c>
      <c r="P237" s="19" t="str">
        <f t="shared" si="18"/>
        <v>46-55</v>
      </c>
    </row>
    <row r="238" spans="1:16" x14ac:dyDescent="0.25">
      <c r="A238">
        <v>237</v>
      </c>
      <c r="B238" t="s">
        <v>9</v>
      </c>
      <c r="C238">
        <v>904595.72</v>
      </c>
      <c r="D238" t="s">
        <v>10</v>
      </c>
      <c r="E238" t="s">
        <v>16</v>
      </c>
      <c r="F238" t="s">
        <v>12</v>
      </c>
      <c r="G238" t="s">
        <v>13</v>
      </c>
      <c r="H238" t="s">
        <v>13</v>
      </c>
      <c r="I238">
        <v>39</v>
      </c>
      <c r="J238" t="str" cm="1">
        <f t="array" ref="J238">_xlfn.IFS(ISBLANK(C238),"FALTANTE",ABS((C238-$W$5)/$X$5)&gt;1.96,"ATÍPICO",ABS((C238-$W$5)/$X$5)&lt;=1.96,"NO ATÍPICO")</f>
        <v>NO ATÍPICO</v>
      </c>
      <c r="K238" t="str" cm="1">
        <f t="array" ref="K238">_xlfn.IFS(ISBLANK(I238),"FALTANTE",ABS((I238-$W$8)/$X$8)&gt;1.92,"ATÍPICO",ABS((I238-$W$8)/$X$8)&lt;=1.92,"NO ATÍPICO")</f>
        <v>NO ATÍPICO</v>
      </c>
      <c r="L238">
        <f t="shared" si="15"/>
        <v>904595.72</v>
      </c>
      <c r="M238" t="str">
        <f t="shared" si="19"/>
        <v>ASALARIADO</v>
      </c>
      <c r="N238">
        <f t="shared" si="16"/>
        <v>39</v>
      </c>
      <c r="O238" s="19" t="str">
        <f t="shared" si="17"/>
        <v>900k–1200k</v>
      </c>
      <c r="P238" s="19" t="str">
        <f t="shared" si="18"/>
        <v>36-45</v>
      </c>
    </row>
    <row r="239" spans="1:16" x14ac:dyDescent="0.25">
      <c r="A239">
        <v>238</v>
      </c>
      <c r="B239" t="s">
        <v>15</v>
      </c>
      <c r="C239">
        <v>354854</v>
      </c>
      <c r="D239" t="s">
        <v>10</v>
      </c>
      <c r="E239" t="s">
        <v>16</v>
      </c>
      <c r="F239" t="s">
        <v>12</v>
      </c>
      <c r="G239" t="s">
        <v>13</v>
      </c>
      <c r="H239" t="s">
        <v>13</v>
      </c>
      <c r="I239">
        <v>25</v>
      </c>
      <c r="J239" t="str" cm="1">
        <f t="array" ref="J239">_xlfn.IFS(ISBLANK(C239),"FALTANTE",ABS((C239-$W$5)/$X$5)&gt;1.96,"ATÍPICO",ABS((C239-$W$5)/$X$5)&lt;=1.96,"NO ATÍPICO")</f>
        <v>NO ATÍPICO</v>
      </c>
      <c r="K239" t="str" cm="1">
        <f t="array" ref="K239">_xlfn.IFS(ISBLANK(I239),"FALTANTE",ABS((I239-$W$8)/$X$8)&gt;1.92,"ATÍPICO",ABS((I239-$W$8)/$X$8)&lt;=1.92,"NO ATÍPICO")</f>
        <v>NO ATÍPICO</v>
      </c>
      <c r="L239">
        <f t="shared" si="15"/>
        <v>354854</v>
      </c>
      <c r="M239" t="str">
        <f t="shared" si="19"/>
        <v>ASALARIADO</v>
      </c>
      <c r="N239">
        <f t="shared" si="16"/>
        <v>25</v>
      </c>
      <c r="O239" s="19" t="str">
        <f t="shared" si="17"/>
        <v>300k–600k</v>
      </c>
      <c r="P239" s="19" t="str">
        <f t="shared" si="18"/>
        <v>18-25</v>
      </c>
    </row>
    <row r="240" spans="1:16" x14ac:dyDescent="0.25">
      <c r="A240">
        <v>239</v>
      </c>
      <c r="B240" t="s">
        <v>15</v>
      </c>
      <c r="C240">
        <v>448927.5</v>
      </c>
      <c r="D240" t="s">
        <v>10</v>
      </c>
      <c r="E240" t="s">
        <v>16</v>
      </c>
      <c r="F240" t="s">
        <v>12</v>
      </c>
      <c r="G240" t="s">
        <v>13</v>
      </c>
      <c r="H240" t="s">
        <v>13</v>
      </c>
      <c r="I240">
        <v>45</v>
      </c>
      <c r="J240" t="str" cm="1">
        <f t="array" ref="J240">_xlfn.IFS(ISBLANK(C240),"FALTANTE",ABS((C240-$W$5)/$X$5)&gt;1.96,"ATÍPICO",ABS((C240-$W$5)/$X$5)&lt;=1.96,"NO ATÍPICO")</f>
        <v>NO ATÍPICO</v>
      </c>
      <c r="K240" t="str" cm="1">
        <f t="array" ref="K240">_xlfn.IFS(ISBLANK(I240),"FALTANTE",ABS((I240-$W$8)/$X$8)&gt;1.92,"ATÍPICO",ABS((I240-$W$8)/$X$8)&lt;=1.92,"NO ATÍPICO")</f>
        <v>NO ATÍPICO</v>
      </c>
      <c r="L240">
        <f t="shared" si="15"/>
        <v>448927.5</v>
      </c>
      <c r="M240" t="str">
        <f t="shared" si="19"/>
        <v>ASALARIADO</v>
      </c>
      <c r="N240">
        <f t="shared" si="16"/>
        <v>45</v>
      </c>
      <c r="O240" s="19" t="str">
        <f t="shared" si="17"/>
        <v>300k–600k</v>
      </c>
      <c r="P240" s="19" t="str">
        <f t="shared" si="18"/>
        <v>36-45</v>
      </c>
    </row>
    <row r="241" spans="1:16" x14ac:dyDescent="0.25">
      <c r="A241">
        <v>240</v>
      </c>
      <c r="B241" t="s">
        <v>15</v>
      </c>
      <c r="C241">
        <v>762579</v>
      </c>
      <c r="D241" t="s">
        <v>10</v>
      </c>
      <c r="E241" t="s">
        <v>16</v>
      </c>
      <c r="F241" t="s">
        <v>12</v>
      </c>
      <c r="G241" t="s">
        <v>13</v>
      </c>
      <c r="H241" t="s">
        <v>13</v>
      </c>
      <c r="I241">
        <v>26</v>
      </c>
      <c r="J241" t="str" cm="1">
        <f t="array" ref="J241">_xlfn.IFS(ISBLANK(C241),"FALTANTE",ABS((C241-$W$5)/$X$5)&gt;1.96,"ATÍPICO",ABS((C241-$W$5)/$X$5)&lt;=1.96,"NO ATÍPICO")</f>
        <v>NO ATÍPICO</v>
      </c>
      <c r="K241" t="str" cm="1">
        <f t="array" ref="K241">_xlfn.IFS(ISBLANK(I241),"FALTANTE",ABS((I241-$W$8)/$X$8)&gt;1.92,"ATÍPICO",ABS((I241-$W$8)/$X$8)&lt;=1.92,"NO ATÍPICO")</f>
        <v>NO ATÍPICO</v>
      </c>
      <c r="L241">
        <f t="shared" si="15"/>
        <v>762579</v>
      </c>
      <c r="M241" t="str">
        <f t="shared" si="19"/>
        <v>ASALARIADO</v>
      </c>
      <c r="N241">
        <f t="shared" si="16"/>
        <v>26</v>
      </c>
      <c r="O241" s="19" t="str">
        <f t="shared" si="17"/>
        <v>600k–900k</v>
      </c>
      <c r="P241" s="19" t="str">
        <f t="shared" si="18"/>
        <v>26-35</v>
      </c>
    </row>
    <row r="242" spans="1:16" x14ac:dyDescent="0.25">
      <c r="A242">
        <v>241</v>
      </c>
      <c r="B242" t="s">
        <v>9</v>
      </c>
      <c r="C242">
        <v>500000</v>
      </c>
      <c r="D242" t="s">
        <v>10</v>
      </c>
      <c r="E242" t="s">
        <v>16</v>
      </c>
      <c r="F242" t="s">
        <v>12</v>
      </c>
      <c r="G242" t="s">
        <v>13</v>
      </c>
      <c r="H242" t="s">
        <v>12</v>
      </c>
      <c r="I242">
        <v>61</v>
      </c>
      <c r="J242" t="str" cm="1">
        <f t="array" ref="J242">_xlfn.IFS(ISBLANK(C242),"FALTANTE",ABS((C242-$W$5)/$X$5)&gt;1.96,"ATÍPICO",ABS((C242-$W$5)/$X$5)&lt;=1.96,"NO ATÍPICO")</f>
        <v>NO ATÍPICO</v>
      </c>
      <c r="K242" t="str" cm="1">
        <f t="array" ref="K242">_xlfn.IFS(ISBLANK(I242),"FALTANTE",ABS((I242-$W$8)/$X$8)&gt;1.92,"ATÍPICO",ABS((I242-$W$8)/$X$8)&lt;=1.92,"NO ATÍPICO")</f>
        <v>NO ATÍPICO</v>
      </c>
      <c r="L242">
        <f t="shared" si="15"/>
        <v>500000</v>
      </c>
      <c r="M242" t="str">
        <f t="shared" si="19"/>
        <v>ASALARIADO</v>
      </c>
      <c r="N242">
        <f t="shared" si="16"/>
        <v>61</v>
      </c>
      <c r="O242" s="19" t="str">
        <f t="shared" si="17"/>
        <v>300k–600k</v>
      </c>
      <c r="P242" s="19" t="str">
        <f t="shared" si="18"/>
        <v>56+</v>
      </c>
    </row>
    <row r="243" spans="1:16" x14ac:dyDescent="0.25">
      <c r="A243">
        <v>242</v>
      </c>
      <c r="B243" t="s">
        <v>9</v>
      </c>
      <c r="C243">
        <v>606345.6</v>
      </c>
      <c r="D243" t="s">
        <v>10</v>
      </c>
      <c r="E243" t="s">
        <v>16</v>
      </c>
      <c r="F243" t="s">
        <v>12</v>
      </c>
      <c r="G243" t="s">
        <v>13</v>
      </c>
      <c r="H243" t="s">
        <v>13</v>
      </c>
      <c r="I243">
        <v>21</v>
      </c>
      <c r="J243" t="str" cm="1">
        <f t="array" ref="J243">_xlfn.IFS(ISBLANK(C243),"FALTANTE",ABS((C243-$W$5)/$X$5)&gt;1.96,"ATÍPICO",ABS((C243-$W$5)/$X$5)&lt;=1.96,"NO ATÍPICO")</f>
        <v>NO ATÍPICO</v>
      </c>
      <c r="K243" t="str" cm="1">
        <f t="array" ref="K243">_xlfn.IFS(ISBLANK(I243),"FALTANTE",ABS((I243-$W$8)/$X$8)&gt;1.92,"ATÍPICO",ABS((I243-$W$8)/$X$8)&lt;=1.92,"NO ATÍPICO")</f>
        <v>NO ATÍPICO</v>
      </c>
      <c r="L243">
        <f t="shared" si="15"/>
        <v>606345.6</v>
      </c>
      <c r="M243" t="str">
        <f t="shared" si="19"/>
        <v>ASALARIADO</v>
      </c>
      <c r="N243">
        <f t="shared" si="16"/>
        <v>21</v>
      </c>
      <c r="O243" s="19" t="str">
        <f t="shared" si="17"/>
        <v>600k–900k</v>
      </c>
      <c r="P243" s="19" t="str">
        <f t="shared" si="18"/>
        <v>18-25</v>
      </c>
    </row>
    <row r="244" spans="1:16" x14ac:dyDescent="0.25">
      <c r="A244">
        <v>243</v>
      </c>
      <c r="B244" t="s">
        <v>15</v>
      </c>
      <c r="C244">
        <v>411069</v>
      </c>
      <c r="D244" t="s">
        <v>18</v>
      </c>
      <c r="E244" t="s">
        <v>16</v>
      </c>
      <c r="F244" t="s">
        <v>12</v>
      </c>
      <c r="G244" t="s">
        <v>13</v>
      </c>
      <c r="H244" t="s">
        <v>12</v>
      </c>
      <c r="I244">
        <v>56</v>
      </c>
      <c r="J244" t="str" cm="1">
        <f t="array" ref="J244">_xlfn.IFS(ISBLANK(C244),"FALTANTE",ABS((C244-$W$5)/$X$5)&gt;1.96,"ATÍPICO",ABS((C244-$W$5)/$X$5)&lt;=1.96,"NO ATÍPICO")</f>
        <v>NO ATÍPICO</v>
      </c>
      <c r="K244" t="str" cm="1">
        <f t="array" ref="K244">_xlfn.IFS(ISBLANK(I244),"FALTANTE",ABS((I244-$W$8)/$X$8)&gt;1.92,"ATÍPICO",ABS((I244-$W$8)/$X$8)&lt;=1.92,"NO ATÍPICO")</f>
        <v>NO ATÍPICO</v>
      </c>
      <c r="L244">
        <f t="shared" si="15"/>
        <v>411069</v>
      </c>
      <c r="M244" t="str">
        <f t="shared" si="19"/>
        <v>TRABAJADOR INDEPENDIENTE</v>
      </c>
      <c r="N244">
        <f t="shared" si="16"/>
        <v>56</v>
      </c>
      <c r="O244" s="19" t="str">
        <f t="shared" si="17"/>
        <v>300k–600k</v>
      </c>
      <c r="P244" s="19" t="str">
        <f t="shared" si="18"/>
        <v>56+</v>
      </c>
    </row>
    <row r="245" spans="1:16" x14ac:dyDescent="0.25">
      <c r="A245">
        <v>244</v>
      </c>
      <c r="B245" t="s">
        <v>9</v>
      </c>
      <c r="C245">
        <v>636770</v>
      </c>
      <c r="D245" t="s">
        <v>10</v>
      </c>
      <c r="E245" t="s">
        <v>16</v>
      </c>
      <c r="F245" t="s">
        <v>12</v>
      </c>
      <c r="G245" t="s">
        <v>13</v>
      </c>
      <c r="H245" t="s">
        <v>13</v>
      </c>
      <c r="I245">
        <v>37</v>
      </c>
      <c r="J245" t="str" cm="1">
        <f t="array" ref="J245">_xlfn.IFS(ISBLANK(C245),"FALTANTE",ABS((C245-$W$5)/$X$5)&gt;1.96,"ATÍPICO",ABS((C245-$W$5)/$X$5)&lt;=1.96,"NO ATÍPICO")</f>
        <v>NO ATÍPICO</v>
      </c>
      <c r="K245" t="str" cm="1">
        <f t="array" ref="K245">_xlfn.IFS(ISBLANK(I245),"FALTANTE",ABS((I245-$W$8)/$X$8)&gt;1.92,"ATÍPICO",ABS((I245-$W$8)/$X$8)&lt;=1.92,"NO ATÍPICO")</f>
        <v>NO ATÍPICO</v>
      </c>
      <c r="L245">
        <f t="shared" si="15"/>
        <v>636770</v>
      </c>
      <c r="M245" t="str">
        <f t="shared" si="19"/>
        <v>ASALARIADO</v>
      </c>
      <c r="N245">
        <f t="shared" si="16"/>
        <v>37</v>
      </c>
      <c r="O245" s="19" t="str">
        <f t="shared" si="17"/>
        <v>600k–900k</v>
      </c>
      <c r="P245" s="19" t="str">
        <f t="shared" si="18"/>
        <v>36-45</v>
      </c>
    </row>
    <row r="246" spans="1:16" x14ac:dyDescent="0.25">
      <c r="A246">
        <v>245</v>
      </c>
      <c r="B246" t="s">
        <v>9</v>
      </c>
      <c r="C246">
        <v>299647</v>
      </c>
      <c r="D246" t="s">
        <v>17</v>
      </c>
      <c r="E246" t="s">
        <v>16</v>
      </c>
      <c r="F246" t="s">
        <v>12</v>
      </c>
      <c r="G246" t="s">
        <v>13</v>
      </c>
      <c r="H246" t="s">
        <v>13</v>
      </c>
      <c r="I246">
        <v>42</v>
      </c>
      <c r="J246" t="str" cm="1">
        <f t="array" ref="J246">_xlfn.IFS(ISBLANK(C246),"FALTANTE",ABS((C246-$W$5)/$X$5)&gt;1.96,"ATÍPICO",ABS((C246-$W$5)/$X$5)&lt;=1.96,"NO ATÍPICO")</f>
        <v>NO ATÍPICO</v>
      </c>
      <c r="K246" t="str" cm="1">
        <f t="array" ref="K246">_xlfn.IFS(ISBLANK(I246),"FALTANTE",ABS((I246-$W$8)/$X$8)&gt;1.92,"ATÍPICO",ABS((I246-$W$8)/$X$8)&lt;=1.92,"NO ATÍPICO")</f>
        <v>NO ATÍPICO</v>
      </c>
      <c r="L246">
        <f t="shared" si="15"/>
        <v>299647</v>
      </c>
      <c r="M246" t="str">
        <f t="shared" si="19"/>
        <v>ASEGURADO VOLUNTARIO</v>
      </c>
      <c r="N246">
        <f t="shared" si="16"/>
        <v>42</v>
      </c>
      <c r="O246" s="19" t="str">
        <f t="shared" si="17"/>
        <v>0–300k</v>
      </c>
      <c r="P246" s="19" t="str">
        <f t="shared" si="18"/>
        <v>36-45</v>
      </c>
    </row>
    <row r="247" spans="1:16" x14ac:dyDescent="0.25">
      <c r="A247">
        <v>246</v>
      </c>
      <c r="B247" t="s">
        <v>9</v>
      </c>
      <c r="C247">
        <v>435182.43</v>
      </c>
      <c r="D247" t="s">
        <v>10</v>
      </c>
      <c r="E247" t="s">
        <v>16</v>
      </c>
      <c r="F247" t="s">
        <v>12</v>
      </c>
      <c r="G247" t="s">
        <v>13</v>
      </c>
      <c r="H247" t="s">
        <v>13</v>
      </c>
      <c r="I247">
        <v>24</v>
      </c>
      <c r="J247" t="str" cm="1">
        <f t="array" ref="J247">_xlfn.IFS(ISBLANK(C247),"FALTANTE",ABS((C247-$W$5)/$X$5)&gt;1.96,"ATÍPICO",ABS((C247-$W$5)/$X$5)&lt;=1.96,"NO ATÍPICO")</f>
        <v>NO ATÍPICO</v>
      </c>
      <c r="K247" t="str" cm="1">
        <f t="array" ref="K247">_xlfn.IFS(ISBLANK(I247),"FALTANTE",ABS((I247-$W$8)/$X$8)&gt;1.92,"ATÍPICO",ABS((I247-$W$8)/$X$8)&lt;=1.92,"NO ATÍPICO")</f>
        <v>NO ATÍPICO</v>
      </c>
      <c r="L247">
        <f t="shared" si="15"/>
        <v>435182.43</v>
      </c>
      <c r="M247" t="str">
        <f t="shared" si="19"/>
        <v>ASALARIADO</v>
      </c>
      <c r="N247">
        <f t="shared" si="16"/>
        <v>24</v>
      </c>
      <c r="O247" s="19" t="str">
        <f t="shared" si="17"/>
        <v>300k–600k</v>
      </c>
      <c r="P247" s="19" t="str">
        <f t="shared" si="18"/>
        <v>18-25</v>
      </c>
    </row>
    <row r="248" spans="1:16" x14ac:dyDescent="0.25">
      <c r="A248">
        <v>247</v>
      </c>
      <c r="B248" t="s">
        <v>15</v>
      </c>
      <c r="C248">
        <v>2891000</v>
      </c>
      <c r="D248" t="s">
        <v>10</v>
      </c>
      <c r="E248" t="s">
        <v>16</v>
      </c>
      <c r="F248" t="s">
        <v>12</v>
      </c>
      <c r="G248" t="s">
        <v>13</v>
      </c>
      <c r="H248" t="s">
        <v>13</v>
      </c>
      <c r="I248">
        <v>32</v>
      </c>
      <c r="J248" t="str" cm="1">
        <f t="array" ref="J248">_xlfn.IFS(ISBLANK(C248),"FALTANTE",ABS((C248-$W$5)/$X$5)&gt;1.96,"ATÍPICO",ABS((C248-$W$5)/$X$5)&lt;=1.96,"NO ATÍPICO")</f>
        <v>ATÍPICO</v>
      </c>
      <c r="K248" t="str" cm="1">
        <f t="array" ref="K248">_xlfn.IFS(ISBLANK(I248),"FALTANTE",ABS((I248-$W$8)/$X$8)&gt;1.92,"ATÍPICO",ABS((I248-$W$8)/$X$8)&lt;=1.92,"NO ATÍPICO")</f>
        <v>NO ATÍPICO</v>
      </c>
      <c r="L248">
        <f t="shared" si="15"/>
        <v>2891000</v>
      </c>
      <c r="M248" t="str">
        <f t="shared" si="19"/>
        <v>ASALARIADO</v>
      </c>
      <c r="N248">
        <f t="shared" si="16"/>
        <v>32</v>
      </c>
      <c r="O248" s="19" t="str">
        <f t="shared" si="17"/>
        <v>1200k+</v>
      </c>
      <c r="P248" s="19" t="str">
        <f t="shared" si="18"/>
        <v>26-35</v>
      </c>
    </row>
    <row r="249" spans="1:16" x14ac:dyDescent="0.25">
      <c r="A249">
        <v>248</v>
      </c>
      <c r="B249" t="s">
        <v>9</v>
      </c>
      <c r="C249">
        <v>409154</v>
      </c>
      <c r="D249" t="s">
        <v>10</v>
      </c>
      <c r="E249" t="s">
        <v>11</v>
      </c>
      <c r="F249" t="s">
        <v>12</v>
      </c>
      <c r="G249" t="s">
        <v>13</v>
      </c>
      <c r="H249" t="s">
        <v>12</v>
      </c>
      <c r="I249">
        <v>36</v>
      </c>
      <c r="J249" t="str" cm="1">
        <f t="array" ref="J249">_xlfn.IFS(ISBLANK(C249),"FALTANTE",ABS((C249-$W$5)/$X$5)&gt;1.96,"ATÍPICO",ABS((C249-$W$5)/$X$5)&lt;=1.96,"NO ATÍPICO")</f>
        <v>NO ATÍPICO</v>
      </c>
      <c r="K249" t="str" cm="1">
        <f t="array" ref="K249">_xlfn.IFS(ISBLANK(I249),"FALTANTE",ABS((I249-$W$8)/$X$8)&gt;1.92,"ATÍPICO",ABS((I249-$W$8)/$X$8)&lt;=1.92,"NO ATÍPICO")</f>
        <v>NO ATÍPICO</v>
      </c>
      <c r="L249">
        <f t="shared" si="15"/>
        <v>409154</v>
      </c>
      <c r="M249" t="str">
        <f t="shared" si="19"/>
        <v>ASALARIADO</v>
      </c>
      <c r="N249">
        <f t="shared" si="16"/>
        <v>36</v>
      </c>
      <c r="O249" s="19" t="str">
        <f t="shared" si="17"/>
        <v>300k–600k</v>
      </c>
      <c r="P249" s="19" t="str">
        <f t="shared" si="18"/>
        <v>36-45</v>
      </c>
    </row>
    <row r="250" spans="1:16" x14ac:dyDescent="0.25">
      <c r="A250">
        <v>249</v>
      </c>
      <c r="B250" t="s">
        <v>15</v>
      </c>
      <c r="C250">
        <v>556132</v>
      </c>
      <c r="D250" t="s">
        <v>10</v>
      </c>
      <c r="E250" t="s">
        <v>11</v>
      </c>
      <c r="F250" t="s">
        <v>12</v>
      </c>
      <c r="G250" t="s">
        <v>13</v>
      </c>
      <c r="H250" t="s">
        <v>13</v>
      </c>
      <c r="I250">
        <v>51</v>
      </c>
      <c r="J250" t="str" cm="1">
        <f t="array" ref="J250">_xlfn.IFS(ISBLANK(C250),"FALTANTE",ABS((C250-$W$5)/$X$5)&gt;1.96,"ATÍPICO",ABS((C250-$W$5)/$X$5)&lt;=1.96,"NO ATÍPICO")</f>
        <v>NO ATÍPICO</v>
      </c>
      <c r="K250" t="str" cm="1">
        <f t="array" ref="K250">_xlfn.IFS(ISBLANK(I250),"FALTANTE",ABS((I250-$W$8)/$X$8)&gt;1.92,"ATÍPICO",ABS((I250-$W$8)/$X$8)&lt;=1.92,"NO ATÍPICO")</f>
        <v>NO ATÍPICO</v>
      </c>
      <c r="L250">
        <f t="shared" si="15"/>
        <v>556132</v>
      </c>
      <c r="M250" t="str">
        <f t="shared" si="19"/>
        <v>ASALARIADO</v>
      </c>
      <c r="N250">
        <f t="shared" si="16"/>
        <v>51</v>
      </c>
      <c r="O250" s="19" t="str">
        <f t="shared" si="17"/>
        <v>300k–600k</v>
      </c>
      <c r="P250" s="19" t="str">
        <f t="shared" si="18"/>
        <v>46-55</v>
      </c>
    </row>
    <row r="251" spans="1:16" x14ac:dyDescent="0.25">
      <c r="A251">
        <v>250</v>
      </c>
      <c r="B251" t="s">
        <v>15</v>
      </c>
      <c r="C251">
        <v>173710</v>
      </c>
      <c r="D251" t="s">
        <v>10</v>
      </c>
      <c r="E251" t="s">
        <v>16</v>
      </c>
      <c r="F251" t="s">
        <v>12</v>
      </c>
      <c r="G251" t="s">
        <v>13</v>
      </c>
      <c r="H251" t="s">
        <v>13</v>
      </c>
      <c r="I251">
        <v>20</v>
      </c>
      <c r="J251" t="str" cm="1">
        <f t="array" ref="J251">_xlfn.IFS(ISBLANK(C251),"FALTANTE",ABS((C251-$W$5)/$X$5)&gt;1.96,"ATÍPICO",ABS((C251-$W$5)/$X$5)&lt;=1.96,"NO ATÍPICO")</f>
        <v>NO ATÍPICO</v>
      </c>
      <c r="K251" t="str" cm="1">
        <f t="array" ref="K251">_xlfn.IFS(ISBLANK(I251),"FALTANTE",ABS((I251-$W$8)/$X$8)&gt;1.92,"ATÍPICO",ABS((I251-$W$8)/$X$8)&lt;=1.92,"NO ATÍPICO")</f>
        <v>NO ATÍPICO</v>
      </c>
      <c r="L251">
        <f t="shared" si="15"/>
        <v>173710</v>
      </c>
      <c r="M251" t="str">
        <f t="shared" si="19"/>
        <v>ASALARIADO</v>
      </c>
      <c r="N251">
        <f t="shared" si="16"/>
        <v>20</v>
      </c>
      <c r="O251" s="19" t="str">
        <f t="shared" si="17"/>
        <v>0–300k</v>
      </c>
      <c r="P251" s="19" t="str">
        <f t="shared" si="18"/>
        <v>18-25</v>
      </c>
    </row>
    <row r="252" spans="1:16" x14ac:dyDescent="0.25">
      <c r="A252">
        <v>251</v>
      </c>
      <c r="B252" t="s">
        <v>15</v>
      </c>
      <c r="C252">
        <v>601898.22</v>
      </c>
      <c r="D252" t="s">
        <v>10</v>
      </c>
      <c r="E252" t="s">
        <v>11</v>
      </c>
      <c r="F252" t="s">
        <v>12</v>
      </c>
      <c r="G252" t="s">
        <v>13</v>
      </c>
      <c r="H252" t="s">
        <v>13</v>
      </c>
      <c r="I252">
        <v>21</v>
      </c>
      <c r="J252" t="str" cm="1">
        <f t="array" ref="J252">_xlfn.IFS(ISBLANK(C252),"FALTANTE",ABS((C252-$W$5)/$X$5)&gt;1.96,"ATÍPICO",ABS((C252-$W$5)/$X$5)&lt;=1.96,"NO ATÍPICO")</f>
        <v>NO ATÍPICO</v>
      </c>
      <c r="K252" t="str" cm="1">
        <f t="array" ref="K252">_xlfn.IFS(ISBLANK(I252),"FALTANTE",ABS((I252-$W$8)/$X$8)&gt;1.92,"ATÍPICO",ABS((I252-$W$8)/$X$8)&lt;=1.92,"NO ATÍPICO")</f>
        <v>NO ATÍPICO</v>
      </c>
      <c r="L252">
        <f t="shared" si="15"/>
        <v>601898.22</v>
      </c>
      <c r="M252" t="str">
        <f t="shared" si="19"/>
        <v>ASALARIADO</v>
      </c>
      <c r="N252">
        <f t="shared" si="16"/>
        <v>21</v>
      </c>
      <c r="O252" s="19" t="str">
        <f t="shared" si="17"/>
        <v>600k–900k</v>
      </c>
      <c r="P252" s="19" t="str">
        <f t="shared" si="18"/>
        <v>18-25</v>
      </c>
    </row>
    <row r="253" spans="1:16" x14ac:dyDescent="0.25">
      <c r="A253">
        <v>252</v>
      </c>
      <c r="B253" t="s">
        <v>9</v>
      </c>
      <c r="C253">
        <v>297046</v>
      </c>
      <c r="D253" t="s">
        <v>17</v>
      </c>
      <c r="E253" t="s">
        <v>16</v>
      </c>
      <c r="F253" t="s">
        <v>12</v>
      </c>
      <c r="G253" t="s">
        <v>13</v>
      </c>
      <c r="H253" t="s">
        <v>13</v>
      </c>
      <c r="I253">
        <v>26</v>
      </c>
      <c r="J253" t="str" cm="1">
        <f t="array" ref="J253">_xlfn.IFS(ISBLANK(C253),"FALTANTE",ABS((C253-$W$5)/$X$5)&gt;1.96,"ATÍPICO",ABS((C253-$W$5)/$X$5)&lt;=1.96,"NO ATÍPICO")</f>
        <v>NO ATÍPICO</v>
      </c>
      <c r="K253" t="str" cm="1">
        <f t="array" ref="K253">_xlfn.IFS(ISBLANK(I253),"FALTANTE",ABS((I253-$W$8)/$X$8)&gt;1.92,"ATÍPICO",ABS((I253-$W$8)/$X$8)&lt;=1.92,"NO ATÍPICO")</f>
        <v>NO ATÍPICO</v>
      </c>
      <c r="L253">
        <f t="shared" si="15"/>
        <v>297046</v>
      </c>
      <c r="M253" t="str">
        <f t="shared" si="19"/>
        <v>ASEGURADO VOLUNTARIO</v>
      </c>
      <c r="N253">
        <f t="shared" si="16"/>
        <v>26</v>
      </c>
      <c r="O253" s="19" t="str">
        <f t="shared" si="17"/>
        <v>0–300k</v>
      </c>
      <c r="P253" s="19" t="str">
        <f t="shared" si="18"/>
        <v>26-35</v>
      </c>
    </row>
    <row r="254" spans="1:16" x14ac:dyDescent="0.25">
      <c r="A254">
        <v>253</v>
      </c>
      <c r="B254" t="s">
        <v>9</v>
      </c>
      <c r="C254">
        <v>455087.65</v>
      </c>
      <c r="D254" t="s">
        <v>10</v>
      </c>
      <c r="E254" t="s">
        <v>16</v>
      </c>
      <c r="F254" t="s">
        <v>12</v>
      </c>
      <c r="G254" t="s">
        <v>13</v>
      </c>
      <c r="H254" t="s">
        <v>13</v>
      </c>
      <c r="I254">
        <v>58</v>
      </c>
      <c r="J254" t="str" cm="1">
        <f t="array" ref="J254">_xlfn.IFS(ISBLANK(C254),"FALTANTE",ABS((C254-$W$5)/$X$5)&gt;1.96,"ATÍPICO",ABS((C254-$W$5)/$X$5)&lt;=1.96,"NO ATÍPICO")</f>
        <v>NO ATÍPICO</v>
      </c>
      <c r="K254" t="str" cm="1">
        <f t="array" ref="K254">_xlfn.IFS(ISBLANK(I254),"FALTANTE",ABS((I254-$W$8)/$X$8)&gt;1.92,"ATÍPICO",ABS((I254-$W$8)/$X$8)&lt;=1.92,"NO ATÍPICO")</f>
        <v>NO ATÍPICO</v>
      </c>
      <c r="L254">
        <f t="shared" si="15"/>
        <v>455087.65</v>
      </c>
      <c r="M254" t="str">
        <f t="shared" si="19"/>
        <v>ASALARIADO</v>
      </c>
      <c r="N254">
        <f t="shared" si="16"/>
        <v>58</v>
      </c>
      <c r="O254" s="19" t="str">
        <f t="shared" si="17"/>
        <v>300k–600k</v>
      </c>
      <c r="P254" s="19" t="str">
        <f t="shared" si="18"/>
        <v>56+</v>
      </c>
    </row>
    <row r="255" spans="1:16" x14ac:dyDescent="0.25">
      <c r="A255">
        <v>254</v>
      </c>
      <c r="B255" t="s">
        <v>9</v>
      </c>
      <c r="C255">
        <v>278030</v>
      </c>
      <c r="D255" t="s">
        <v>19</v>
      </c>
      <c r="E255" t="s">
        <v>16</v>
      </c>
      <c r="F255" t="s">
        <v>12</v>
      </c>
      <c r="G255" t="s">
        <v>13</v>
      </c>
      <c r="H255" t="s">
        <v>12</v>
      </c>
      <c r="I255">
        <v>50</v>
      </c>
      <c r="J255" t="str" cm="1">
        <f t="array" ref="J255">_xlfn.IFS(ISBLANK(C255),"FALTANTE",ABS((C255-$W$5)/$X$5)&gt;1.96,"ATÍPICO",ABS((C255-$W$5)/$X$5)&lt;=1.96,"NO ATÍPICO")</f>
        <v>NO ATÍPICO</v>
      </c>
      <c r="K255" t="str" cm="1">
        <f t="array" ref="K255">_xlfn.IFS(ISBLANK(I255),"FALTANTE",ABS((I255-$W$8)/$X$8)&gt;1.92,"ATÍPICO",ABS((I255-$W$8)/$X$8)&lt;=1.92,"NO ATÍPICO")</f>
        <v>NO ATÍPICO</v>
      </c>
      <c r="L255">
        <f t="shared" si="15"/>
        <v>278030</v>
      </c>
      <c r="M255" t="str">
        <f t="shared" si="19"/>
        <v>CONVENIOS ESPECIALES DE TRABAJADORES INDEPENDIENTES</v>
      </c>
      <c r="N255">
        <f t="shared" si="16"/>
        <v>50</v>
      </c>
      <c r="O255" s="19" t="str">
        <f t="shared" si="17"/>
        <v>0–300k</v>
      </c>
      <c r="P255" s="19" t="str">
        <f t="shared" si="18"/>
        <v>46-55</v>
      </c>
    </row>
    <row r="256" spans="1:16" x14ac:dyDescent="0.25">
      <c r="A256">
        <v>255</v>
      </c>
      <c r="B256" t="s">
        <v>15</v>
      </c>
      <c r="C256">
        <v>1198261.6000000001</v>
      </c>
      <c r="D256" t="s">
        <v>10</v>
      </c>
      <c r="E256" t="s">
        <v>11</v>
      </c>
      <c r="F256" t="s">
        <v>12</v>
      </c>
      <c r="G256" t="s">
        <v>13</v>
      </c>
      <c r="H256" t="s">
        <v>13</v>
      </c>
      <c r="I256">
        <v>43</v>
      </c>
      <c r="J256" t="str" cm="1">
        <f t="array" ref="J256">_xlfn.IFS(ISBLANK(C256),"FALTANTE",ABS((C256-$W$5)/$X$5)&gt;1.96,"ATÍPICO",ABS((C256-$W$5)/$X$5)&lt;=1.96,"NO ATÍPICO")</f>
        <v>NO ATÍPICO</v>
      </c>
      <c r="K256" t="str" cm="1">
        <f t="array" ref="K256">_xlfn.IFS(ISBLANK(I256),"FALTANTE",ABS((I256-$W$8)/$X$8)&gt;1.92,"ATÍPICO",ABS((I256-$W$8)/$X$8)&lt;=1.92,"NO ATÍPICO")</f>
        <v>NO ATÍPICO</v>
      </c>
      <c r="L256">
        <f t="shared" si="15"/>
        <v>1198261.6000000001</v>
      </c>
      <c r="M256" t="str">
        <f t="shared" si="19"/>
        <v>ASALARIADO</v>
      </c>
      <c r="N256">
        <f t="shared" si="16"/>
        <v>43</v>
      </c>
      <c r="O256" s="19" t="str">
        <f t="shared" si="17"/>
        <v>900k–1200k</v>
      </c>
      <c r="P256" s="19" t="str">
        <f t="shared" si="18"/>
        <v>36-45</v>
      </c>
    </row>
    <row r="257" spans="1:16" x14ac:dyDescent="0.25">
      <c r="A257">
        <v>256</v>
      </c>
      <c r="B257" t="s">
        <v>15</v>
      </c>
      <c r="C257">
        <v>430147.81</v>
      </c>
      <c r="D257" t="s">
        <v>10</v>
      </c>
      <c r="E257" t="s">
        <v>16</v>
      </c>
      <c r="F257" t="s">
        <v>12</v>
      </c>
      <c r="G257" t="s">
        <v>13</v>
      </c>
      <c r="H257" t="s">
        <v>13</v>
      </c>
      <c r="I257">
        <v>50</v>
      </c>
      <c r="J257" t="str" cm="1">
        <f t="array" ref="J257">_xlfn.IFS(ISBLANK(C257),"FALTANTE",ABS((C257-$W$5)/$X$5)&gt;1.96,"ATÍPICO",ABS((C257-$W$5)/$X$5)&lt;=1.96,"NO ATÍPICO")</f>
        <v>NO ATÍPICO</v>
      </c>
      <c r="K257" t="str" cm="1">
        <f t="array" ref="K257">_xlfn.IFS(ISBLANK(I257),"FALTANTE",ABS((I257-$W$8)/$X$8)&gt;1.92,"ATÍPICO",ABS((I257-$W$8)/$X$8)&lt;=1.92,"NO ATÍPICO")</f>
        <v>NO ATÍPICO</v>
      </c>
      <c r="L257">
        <f t="shared" si="15"/>
        <v>430147.81</v>
      </c>
      <c r="M257" t="str">
        <f t="shared" si="19"/>
        <v>ASALARIADO</v>
      </c>
      <c r="N257">
        <f t="shared" si="16"/>
        <v>50</v>
      </c>
      <c r="O257" s="19" t="str">
        <f t="shared" si="17"/>
        <v>300k–600k</v>
      </c>
      <c r="P257" s="19" t="str">
        <f t="shared" si="18"/>
        <v>46-55</v>
      </c>
    </row>
    <row r="258" spans="1:16" x14ac:dyDescent="0.25">
      <c r="A258">
        <v>257</v>
      </c>
      <c r="B258" t="s">
        <v>15</v>
      </c>
      <c r="C258">
        <v>500000</v>
      </c>
      <c r="D258" t="s">
        <v>10</v>
      </c>
      <c r="E258" t="s">
        <v>16</v>
      </c>
      <c r="F258" t="s">
        <v>12</v>
      </c>
      <c r="G258" t="s">
        <v>13</v>
      </c>
      <c r="H258" t="s">
        <v>12</v>
      </c>
      <c r="I258">
        <v>23</v>
      </c>
      <c r="J258" t="str" cm="1">
        <f t="array" ref="J258">_xlfn.IFS(ISBLANK(C258),"FALTANTE",ABS((C258-$W$5)/$X$5)&gt;1.96,"ATÍPICO",ABS((C258-$W$5)/$X$5)&lt;=1.96,"NO ATÍPICO")</f>
        <v>NO ATÍPICO</v>
      </c>
      <c r="K258" t="str" cm="1">
        <f t="array" ref="K258">_xlfn.IFS(ISBLANK(I258),"FALTANTE",ABS((I258-$W$8)/$X$8)&gt;1.92,"ATÍPICO",ABS((I258-$W$8)/$X$8)&lt;=1.92,"NO ATÍPICO")</f>
        <v>NO ATÍPICO</v>
      </c>
      <c r="L258">
        <f t="shared" ref="L258:L321" si="20">C258</f>
        <v>500000</v>
      </c>
      <c r="M258" t="str">
        <f t="shared" si="19"/>
        <v>ASALARIADO</v>
      </c>
      <c r="N258">
        <f t="shared" ref="N258:N321" si="21">I258</f>
        <v>23</v>
      </c>
      <c r="O258" s="19" t="str">
        <f t="shared" ref="O258:O321" si="22">IF(L258&lt;=300000,"0–300k",IF(L258&lt;=600000,"300k–600k",IF(L258&lt;=900000,"600k–900k",IF(L258&lt;=1200000,"900k–1200k","1200k+"))))</f>
        <v>300k–600k</v>
      </c>
      <c r="P258" s="19" t="str">
        <f t="shared" ref="P258:P321" si="23">IF(N258 &lt;=25,"18-25", IF(N258&lt;=35,"26-35", IF(N258 &lt;=45,"36-45", IF(N258&lt;=55,"46-55","56+"))))</f>
        <v>18-25</v>
      </c>
    </row>
    <row r="259" spans="1:16" x14ac:dyDescent="0.25">
      <c r="A259">
        <v>258</v>
      </c>
      <c r="B259" t="s">
        <v>15</v>
      </c>
      <c r="C259">
        <v>1819625.78</v>
      </c>
      <c r="D259" t="s">
        <v>10</v>
      </c>
      <c r="E259" t="s">
        <v>16</v>
      </c>
      <c r="F259" t="s">
        <v>12</v>
      </c>
      <c r="G259" t="s">
        <v>13</v>
      </c>
      <c r="H259" t="s">
        <v>13</v>
      </c>
      <c r="I259">
        <v>38</v>
      </c>
      <c r="J259" t="str" cm="1">
        <f t="array" ref="J259">_xlfn.IFS(ISBLANK(C259),"FALTANTE",ABS((C259-$W$5)/$X$5)&gt;1.96,"ATÍPICO",ABS((C259-$W$5)/$X$5)&lt;=1.96,"NO ATÍPICO")</f>
        <v>NO ATÍPICO</v>
      </c>
      <c r="K259" t="str" cm="1">
        <f t="array" ref="K259">_xlfn.IFS(ISBLANK(I259),"FALTANTE",ABS((I259-$W$8)/$X$8)&gt;1.92,"ATÍPICO",ABS((I259-$W$8)/$X$8)&lt;=1.92,"NO ATÍPICO")</f>
        <v>NO ATÍPICO</v>
      </c>
      <c r="L259">
        <f t="shared" si="20"/>
        <v>1819625.78</v>
      </c>
      <c r="M259" t="str">
        <f t="shared" si="19"/>
        <v>ASALARIADO</v>
      </c>
      <c r="N259">
        <f t="shared" si="21"/>
        <v>38</v>
      </c>
      <c r="O259" s="19" t="str">
        <f t="shared" si="22"/>
        <v>1200k+</v>
      </c>
      <c r="P259" s="19" t="str">
        <f t="shared" si="23"/>
        <v>36-45</v>
      </c>
    </row>
    <row r="260" spans="1:16" x14ac:dyDescent="0.25">
      <c r="A260">
        <v>259</v>
      </c>
      <c r="B260" t="s">
        <v>15</v>
      </c>
      <c r="C260">
        <v>355312</v>
      </c>
      <c r="D260" t="s">
        <v>10</v>
      </c>
      <c r="E260" t="s">
        <v>16</v>
      </c>
      <c r="F260" t="s">
        <v>12</v>
      </c>
      <c r="G260" t="s">
        <v>13</v>
      </c>
      <c r="H260" t="s">
        <v>13</v>
      </c>
      <c r="I260">
        <v>56</v>
      </c>
      <c r="J260" t="str" cm="1">
        <f t="array" ref="J260">_xlfn.IFS(ISBLANK(C260),"FALTANTE",ABS((C260-$W$5)/$X$5)&gt;1.96,"ATÍPICO",ABS((C260-$W$5)/$X$5)&lt;=1.96,"NO ATÍPICO")</f>
        <v>NO ATÍPICO</v>
      </c>
      <c r="K260" t="str" cm="1">
        <f t="array" ref="K260">_xlfn.IFS(ISBLANK(I260),"FALTANTE",ABS((I260-$W$8)/$X$8)&gt;1.92,"ATÍPICO",ABS((I260-$W$8)/$X$8)&lt;=1.92,"NO ATÍPICO")</f>
        <v>NO ATÍPICO</v>
      </c>
      <c r="L260">
        <f t="shared" si="20"/>
        <v>355312</v>
      </c>
      <c r="M260" t="str">
        <f t="shared" ref="M260:M323" si="24">D260</f>
        <v>ASALARIADO</v>
      </c>
      <c r="N260">
        <f t="shared" si="21"/>
        <v>56</v>
      </c>
      <c r="O260" s="19" t="str">
        <f t="shared" si="22"/>
        <v>300k–600k</v>
      </c>
      <c r="P260" s="19" t="str">
        <f t="shared" si="23"/>
        <v>56+</v>
      </c>
    </row>
    <row r="261" spans="1:16" x14ac:dyDescent="0.25">
      <c r="A261">
        <v>260</v>
      </c>
      <c r="B261" t="s">
        <v>9</v>
      </c>
      <c r="C261">
        <v>262016</v>
      </c>
      <c r="D261" t="s">
        <v>10</v>
      </c>
      <c r="E261" t="s">
        <v>16</v>
      </c>
      <c r="F261" t="s">
        <v>12</v>
      </c>
      <c r="G261" t="s">
        <v>13</v>
      </c>
      <c r="H261" t="s">
        <v>13</v>
      </c>
      <c r="I261">
        <v>40</v>
      </c>
      <c r="J261" t="str" cm="1">
        <f t="array" ref="J261">_xlfn.IFS(ISBLANK(C261),"FALTANTE",ABS((C261-$W$5)/$X$5)&gt;1.96,"ATÍPICO",ABS((C261-$W$5)/$X$5)&lt;=1.96,"NO ATÍPICO")</f>
        <v>NO ATÍPICO</v>
      </c>
      <c r="K261" t="str" cm="1">
        <f t="array" ref="K261">_xlfn.IFS(ISBLANK(I261),"FALTANTE",ABS((I261-$W$8)/$X$8)&gt;1.92,"ATÍPICO",ABS((I261-$W$8)/$X$8)&lt;=1.92,"NO ATÍPICO")</f>
        <v>NO ATÍPICO</v>
      </c>
      <c r="L261">
        <f t="shared" si="20"/>
        <v>262016</v>
      </c>
      <c r="M261" t="str">
        <f t="shared" si="24"/>
        <v>ASALARIADO</v>
      </c>
      <c r="N261">
        <f t="shared" si="21"/>
        <v>40</v>
      </c>
      <c r="O261" s="19" t="str">
        <f t="shared" si="22"/>
        <v>0–300k</v>
      </c>
      <c r="P261" s="19" t="str">
        <f t="shared" si="23"/>
        <v>36-45</v>
      </c>
    </row>
    <row r="262" spans="1:16" x14ac:dyDescent="0.25">
      <c r="A262">
        <v>261</v>
      </c>
      <c r="B262" t="s">
        <v>9</v>
      </c>
      <c r="C262">
        <v>507212.75</v>
      </c>
      <c r="D262" t="s">
        <v>10</v>
      </c>
      <c r="E262" t="s">
        <v>11</v>
      </c>
      <c r="F262" t="s">
        <v>12</v>
      </c>
      <c r="G262" t="s">
        <v>13</v>
      </c>
      <c r="H262" t="s">
        <v>13</v>
      </c>
      <c r="I262">
        <v>62</v>
      </c>
      <c r="J262" t="str" cm="1">
        <f t="array" ref="J262">_xlfn.IFS(ISBLANK(C262),"FALTANTE",ABS((C262-$W$5)/$X$5)&gt;1.96,"ATÍPICO",ABS((C262-$W$5)/$X$5)&lt;=1.96,"NO ATÍPICO")</f>
        <v>NO ATÍPICO</v>
      </c>
      <c r="K262" t="str" cm="1">
        <f t="array" ref="K262">_xlfn.IFS(ISBLANK(I262),"FALTANTE",ABS((I262-$W$8)/$X$8)&gt;1.92,"ATÍPICO",ABS((I262-$W$8)/$X$8)&lt;=1.92,"NO ATÍPICO")</f>
        <v>NO ATÍPICO</v>
      </c>
      <c r="L262">
        <f t="shared" si="20"/>
        <v>507212.75</v>
      </c>
      <c r="M262" t="str">
        <f t="shared" si="24"/>
        <v>ASALARIADO</v>
      </c>
      <c r="N262">
        <f t="shared" si="21"/>
        <v>62</v>
      </c>
      <c r="O262" s="19" t="str">
        <f t="shared" si="22"/>
        <v>300k–600k</v>
      </c>
      <c r="P262" s="19" t="str">
        <f t="shared" si="23"/>
        <v>56+</v>
      </c>
    </row>
    <row r="263" spans="1:16" x14ac:dyDescent="0.25">
      <c r="A263">
        <v>262</v>
      </c>
      <c r="B263" t="s">
        <v>9</v>
      </c>
      <c r="C263">
        <v>319590</v>
      </c>
      <c r="D263" t="s">
        <v>10</v>
      </c>
      <c r="E263" t="s">
        <v>16</v>
      </c>
      <c r="F263" t="s">
        <v>12</v>
      </c>
      <c r="G263" t="s">
        <v>13</v>
      </c>
      <c r="H263" t="s">
        <v>13</v>
      </c>
      <c r="I263">
        <v>28</v>
      </c>
      <c r="J263" t="str" cm="1">
        <f t="array" ref="J263">_xlfn.IFS(ISBLANK(C263),"FALTANTE",ABS((C263-$W$5)/$X$5)&gt;1.96,"ATÍPICO",ABS((C263-$W$5)/$X$5)&lt;=1.96,"NO ATÍPICO")</f>
        <v>NO ATÍPICO</v>
      </c>
      <c r="K263" t="str" cm="1">
        <f t="array" ref="K263">_xlfn.IFS(ISBLANK(I263),"FALTANTE",ABS((I263-$W$8)/$X$8)&gt;1.92,"ATÍPICO",ABS((I263-$W$8)/$X$8)&lt;=1.92,"NO ATÍPICO")</f>
        <v>NO ATÍPICO</v>
      </c>
      <c r="L263">
        <f t="shared" si="20"/>
        <v>319590</v>
      </c>
      <c r="M263" t="str">
        <f t="shared" si="24"/>
        <v>ASALARIADO</v>
      </c>
      <c r="N263">
        <f t="shared" si="21"/>
        <v>28</v>
      </c>
      <c r="O263" s="19" t="str">
        <f t="shared" si="22"/>
        <v>300k–600k</v>
      </c>
      <c r="P263" s="19" t="str">
        <f t="shared" si="23"/>
        <v>26-35</v>
      </c>
    </row>
    <row r="264" spans="1:16" x14ac:dyDescent="0.25">
      <c r="A264">
        <v>263</v>
      </c>
      <c r="B264" t="s">
        <v>9</v>
      </c>
      <c r="C264">
        <v>331181</v>
      </c>
      <c r="D264" t="s">
        <v>18</v>
      </c>
      <c r="E264" t="s">
        <v>16</v>
      </c>
      <c r="F264" t="s">
        <v>12</v>
      </c>
      <c r="G264" t="s">
        <v>13</v>
      </c>
      <c r="H264" t="s">
        <v>12</v>
      </c>
      <c r="I264">
        <v>62</v>
      </c>
      <c r="J264" t="str" cm="1">
        <f t="array" ref="J264">_xlfn.IFS(ISBLANK(C264),"FALTANTE",ABS((C264-$W$5)/$X$5)&gt;1.96,"ATÍPICO",ABS((C264-$W$5)/$X$5)&lt;=1.96,"NO ATÍPICO")</f>
        <v>NO ATÍPICO</v>
      </c>
      <c r="K264" t="str" cm="1">
        <f t="array" ref="K264">_xlfn.IFS(ISBLANK(I264),"FALTANTE",ABS((I264-$W$8)/$X$8)&gt;1.92,"ATÍPICO",ABS((I264-$W$8)/$X$8)&lt;=1.92,"NO ATÍPICO")</f>
        <v>NO ATÍPICO</v>
      </c>
      <c r="L264">
        <f t="shared" si="20"/>
        <v>331181</v>
      </c>
      <c r="M264" t="str">
        <f t="shared" si="24"/>
        <v>TRABAJADOR INDEPENDIENTE</v>
      </c>
      <c r="N264">
        <f t="shared" si="21"/>
        <v>62</v>
      </c>
      <c r="O264" s="19" t="str">
        <f t="shared" si="22"/>
        <v>300k–600k</v>
      </c>
      <c r="P264" s="19" t="str">
        <f t="shared" si="23"/>
        <v>56+</v>
      </c>
    </row>
    <row r="265" spans="1:16" x14ac:dyDescent="0.25">
      <c r="A265">
        <v>264</v>
      </c>
      <c r="B265" t="s">
        <v>9</v>
      </c>
      <c r="C265">
        <v>509509</v>
      </c>
      <c r="D265" t="s">
        <v>18</v>
      </c>
      <c r="E265" t="s">
        <v>16</v>
      </c>
      <c r="F265" t="s">
        <v>12</v>
      </c>
      <c r="G265" t="s">
        <v>13</v>
      </c>
      <c r="H265" t="s">
        <v>13</v>
      </c>
      <c r="I265">
        <v>42</v>
      </c>
      <c r="J265" t="str" cm="1">
        <f t="array" ref="J265">_xlfn.IFS(ISBLANK(C265),"FALTANTE",ABS((C265-$W$5)/$X$5)&gt;1.96,"ATÍPICO",ABS((C265-$W$5)/$X$5)&lt;=1.96,"NO ATÍPICO")</f>
        <v>NO ATÍPICO</v>
      </c>
      <c r="K265" t="str" cm="1">
        <f t="array" ref="K265">_xlfn.IFS(ISBLANK(I265),"FALTANTE",ABS((I265-$W$8)/$X$8)&gt;1.92,"ATÍPICO",ABS((I265-$W$8)/$X$8)&lt;=1.92,"NO ATÍPICO")</f>
        <v>NO ATÍPICO</v>
      </c>
      <c r="L265">
        <f t="shared" si="20"/>
        <v>509509</v>
      </c>
      <c r="M265" t="str">
        <f t="shared" si="24"/>
        <v>TRABAJADOR INDEPENDIENTE</v>
      </c>
      <c r="N265">
        <f t="shared" si="21"/>
        <v>42</v>
      </c>
      <c r="O265" s="19" t="str">
        <f t="shared" si="22"/>
        <v>300k–600k</v>
      </c>
      <c r="P265" s="19" t="str">
        <f t="shared" si="23"/>
        <v>36-45</v>
      </c>
    </row>
    <row r="266" spans="1:16" x14ac:dyDescent="0.25">
      <c r="A266">
        <v>265</v>
      </c>
      <c r="B266" t="s">
        <v>15</v>
      </c>
      <c r="C266">
        <v>820120</v>
      </c>
      <c r="D266" t="s">
        <v>10</v>
      </c>
      <c r="E266" t="s">
        <v>16</v>
      </c>
      <c r="F266" t="s">
        <v>12</v>
      </c>
      <c r="G266" t="s">
        <v>13</v>
      </c>
      <c r="H266" t="s">
        <v>13</v>
      </c>
      <c r="I266">
        <v>27</v>
      </c>
      <c r="J266" t="str" cm="1">
        <f t="array" ref="J266">_xlfn.IFS(ISBLANK(C266),"FALTANTE",ABS((C266-$W$5)/$X$5)&gt;1.96,"ATÍPICO",ABS((C266-$W$5)/$X$5)&lt;=1.96,"NO ATÍPICO")</f>
        <v>NO ATÍPICO</v>
      </c>
      <c r="K266" t="str" cm="1">
        <f t="array" ref="K266">_xlfn.IFS(ISBLANK(I266),"FALTANTE",ABS((I266-$W$8)/$X$8)&gt;1.92,"ATÍPICO",ABS((I266-$W$8)/$X$8)&lt;=1.92,"NO ATÍPICO")</f>
        <v>NO ATÍPICO</v>
      </c>
      <c r="L266">
        <f t="shared" si="20"/>
        <v>820120</v>
      </c>
      <c r="M266" t="str">
        <f t="shared" si="24"/>
        <v>ASALARIADO</v>
      </c>
      <c r="N266">
        <f t="shared" si="21"/>
        <v>27</v>
      </c>
      <c r="O266" s="19" t="str">
        <f t="shared" si="22"/>
        <v>600k–900k</v>
      </c>
      <c r="P266" s="19" t="str">
        <f t="shared" si="23"/>
        <v>26-35</v>
      </c>
    </row>
    <row r="267" spans="1:16" x14ac:dyDescent="0.25">
      <c r="A267">
        <v>266</v>
      </c>
      <c r="B267" t="s">
        <v>15</v>
      </c>
      <c r="C267">
        <v>439400</v>
      </c>
      <c r="D267" t="s">
        <v>10</v>
      </c>
      <c r="E267" t="s">
        <v>16</v>
      </c>
      <c r="F267" t="s">
        <v>12</v>
      </c>
      <c r="G267" t="s">
        <v>13</v>
      </c>
      <c r="H267" t="s">
        <v>13</v>
      </c>
      <c r="I267">
        <v>34</v>
      </c>
      <c r="J267" t="str" cm="1">
        <f t="array" ref="J267">_xlfn.IFS(ISBLANK(C267),"FALTANTE",ABS((C267-$W$5)/$X$5)&gt;1.96,"ATÍPICO",ABS((C267-$W$5)/$X$5)&lt;=1.96,"NO ATÍPICO")</f>
        <v>NO ATÍPICO</v>
      </c>
      <c r="K267" t="str" cm="1">
        <f t="array" ref="K267">_xlfn.IFS(ISBLANK(I267),"FALTANTE",ABS((I267-$W$8)/$X$8)&gt;1.92,"ATÍPICO",ABS((I267-$W$8)/$X$8)&lt;=1.92,"NO ATÍPICO")</f>
        <v>NO ATÍPICO</v>
      </c>
      <c r="L267">
        <f t="shared" si="20"/>
        <v>439400</v>
      </c>
      <c r="M267" t="str">
        <f t="shared" si="24"/>
        <v>ASALARIADO</v>
      </c>
      <c r="N267">
        <f t="shared" si="21"/>
        <v>34</v>
      </c>
      <c r="O267" s="19" t="str">
        <f t="shared" si="22"/>
        <v>300k–600k</v>
      </c>
      <c r="P267" s="19" t="str">
        <f t="shared" si="23"/>
        <v>26-35</v>
      </c>
    </row>
    <row r="268" spans="1:16" x14ac:dyDescent="0.25">
      <c r="A268">
        <v>267</v>
      </c>
      <c r="B268" t="s">
        <v>9</v>
      </c>
      <c r="C268">
        <v>2184000</v>
      </c>
      <c r="D268" t="s">
        <v>10</v>
      </c>
      <c r="E268" t="s">
        <v>16</v>
      </c>
      <c r="F268" t="s">
        <v>12</v>
      </c>
      <c r="G268" t="s">
        <v>13</v>
      </c>
      <c r="H268" t="s">
        <v>13</v>
      </c>
      <c r="I268">
        <v>41</v>
      </c>
      <c r="J268" t="str" cm="1">
        <f t="array" ref="J268">_xlfn.IFS(ISBLANK(C268),"FALTANTE",ABS((C268-$W$5)/$X$5)&gt;1.96,"ATÍPICO",ABS((C268-$W$5)/$X$5)&lt;=1.96,"NO ATÍPICO")</f>
        <v>NO ATÍPICO</v>
      </c>
      <c r="K268" t="str" cm="1">
        <f t="array" ref="K268">_xlfn.IFS(ISBLANK(I268),"FALTANTE",ABS((I268-$W$8)/$X$8)&gt;1.92,"ATÍPICO",ABS((I268-$W$8)/$X$8)&lt;=1.92,"NO ATÍPICO")</f>
        <v>NO ATÍPICO</v>
      </c>
      <c r="L268">
        <f t="shared" si="20"/>
        <v>2184000</v>
      </c>
      <c r="M268" t="str">
        <f t="shared" si="24"/>
        <v>ASALARIADO</v>
      </c>
      <c r="N268">
        <f t="shared" si="21"/>
        <v>41</v>
      </c>
      <c r="O268" s="19" t="str">
        <f t="shared" si="22"/>
        <v>1200k+</v>
      </c>
      <c r="P268" s="19" t="str">
        <f t="shared" si="23"/>
        <v>36-45</v>
      </c>
    </row>
    <row r="269" spans="1:16" x14ac:dyDescent="0.25">
      <c r="A269">
        <v>268</v>
      </c>
      <c r="B269" t="s">
        <v>15</v>
      </c>
      <c r="C269">
        <v>110000</v>
      </c>
      <c r="D269" t="s">
        <v>10</v>
      </c>
      <c r="E269" t="s">
        <v>16</v>
      </c>
      <c r="F269" t="s">
        <v>12</v>
      </c>
      <c r="G269" t="s">
        <v>12</v>
      </c>
      <c r="H269" t="s">
        <v>13</v>
      </c>
      <c r="I269">
        <v>28</v>
      </c>
      <c r="J269" t="str" cm="1">
        <f t="array" ref="J269">_xlfn.IFS(ISBLANK(C269),"FALTANTE",ABS((C269-$W$5)/$X$5)&gt;1.96,"ATÍPICO",ABS((C269-$W$5)/$X$5)&lt;=1.96,"NO ATÍPICO")</f>
        <v>NO ATÍPICO</v>
      </c>
      <c r="K269" t="str" cm="1">
        <f t="array" ref="K269">_xlfn.IFS(ISBLANK(I269),"FALTANTE",ABS((I269-$W$8)/$X$8)&gt;1.92,"ATÍPICO",ABS((I269-$W$8)/$X$8)&lt;=1.92,"NO ATÍPICO")</f>
        <v>NO ATÍPICO</v>
      </c>
      <c r="L269">
        <f t="shared" si="20"/>
        <v>110000</v>
      </c>
      <c r="M269" t="str">
        <f t="shared" si="24"/>
        <v>ASALARIADO</v>
      </c>
      <c r="N269">
        <f t="shared" si="21"/>
        <v>28</v>
      </c>
      <c r="O269" s="19" t="str">
        <f t="shared" si="22"/>
        <v>0–300k</v>
      </c>
      <c r="P269" s="19" t="str">
        <f t="shared" si="23"/>
        <v>26-35</v>
      </c>
    </row>
    <row r="270" spans="1:16" x14ac:dyDescent="0.25">
      <c r="A270">
        <v>269</v>
      </c>
      <c r="B270" t="s">
        <v>9</v>
      </c>
      <c r="C270">
        <v>180000</v>
      </c>
      <c r="D270" t="s">
        <v>10</v>
      </c>
      <c r="E270" t="s">
        <v>16</v>
      </c>
      <c r="F270" t="s">
        <v>12</v>
      </c>
      <c r="G270" t="s">
        <v>13</v>
      </c>
      <c r="H270" t="s">
        <v>13</v>
      </c>
      <c r="I270">
        <v>45</v>
      </c>
      <c r="J270" t="str" cm="1">
        <f t="array" ref="J270">_xlfn.IFS(ISBLANK(C270),"FALTANTE",ABS((C270-$W$5)/$X$5)&gt;1.96,"ATÍPICO",ABS((C270-$W$5)/$X$5)&lt;=1.96,"NO ATÍPICO")</f>
        <v>NO ATÍPICO</v>
      </c>
      <c r="K270" t="str" cm="1">
        <f t="array" ref="K270">_xlfn.IFS(ISBLANK(I270),"FALTANTE",ABS((I270-$W$8)/$X$8)&gt;1.92,"ATÍPICO",ABS((I270-$W$8)/$X$8)&lt;=1.92,"NO ATÍPICO")</f>
        <v>NO ATÍPICO</v>
      </c>
      <c r="L270">
        <f t="shared" si="20"/>
        <v>180000</v>
      </c>
      <c r="M270" t="str">
        <f t="shared" si="24"/>
        <v>ASALARIADO</v>
      </c>
      <c r="N270">
        <f t="shared" si="21"/>
        <v>45</v>
      </c>
      <c r="O270" s="19" t="str">
        <f t="shared" si="22"/>
        <v>0–300k</v>
      </c>
      <c r="P270" s="19" t="str">
        <f t="shared" si="23"/>
        <v>36-45</v>
      </c>
    </row>
    <row r="271" spans="1:16" x14ac:dyDescent="0.25">
      <c r="A271">
        <v>270</v>
      </c>
      <c r="B271" t="s">
        <v>15</v>
      </c>
      <c r="C271">
        <v>350000</v>
      </c>
      <c r="D271" t="s">
        <v>10</v>
      </c>
      <c r="E271" t="s">
        <v>16</v>
      </c>
      <c r="F271" t="s">
        <v>12</v>
      </c>
      <c r="G271" t="s">
        <v>13</v>
      </c>
      <c r="H271" t="s">
        <v>13</v>
      </c>
      <c r="I271">
        <v>29</v>
      </c>
      <c r="J271" t="str" cm="1">
        <f t="array" ref="J271">_xlfn.IFS(ISBLANK(C271),"FALTANTE",ABS((C271-$W$5)/$X$5)&gt;1.96,"ATÍPICO",ABS((C271-$W$5)/$X$5)&lt;=1.96,"NO ATÍPICO")</f>
        <v>NO ATÍPICO</v>
      </c>
      <c r="K271" t="str" cm="1">
        <f t="array" ref="K271">_xlfn.IFS(ISBLANK(I271),"FALTANTE",ABS((I271-$W$8)/$X$8)&gt;1.92,"ATÍPICO",ABS((I271-$W$8)/$X$8)&lt;=1.92,"NO ATÍPICO")</f>
        <v>NO ATÍPICO</v>
      </c>
      <c r="L271">
        <f t="shared" si="20"/>
        <v>350000</v>
      </c>
      <c r="M271" t="str">
        <f t="shared" si="24"/>
        <v>ASALARIADO</v>
      </c>
      <c r="N271">
        <f t="shared" si="21"/>
        <v>29</v>
      </c>
      <c r="O271" s="19" t="str">
        <f t="shared" si="22"/>
        <v>300k–600k</v>
      </c>
      <c r="P271" s="19" t="str">
        <f t="shared" si="23"/>
        <v>26-35</v>
      </c>
    </row>
    <row r="272" spans="1:16" x14ac:dyDescent="0.25">
      <c r="A272">
        <v>271</v>
      </c>
      <c r="B272" t="s">
        <v>9</v>
      </c>
      <c r="C272">
        <v>281250</v>
      </c>
      <c r="D272" t="s">
        <v>10</v>
      </c>
      <c r="E272" t="s">
        <v>11</v>
      </c>
      <c r="F272" t="s">
        <v>12</v>
      </c>
      <c r="G272" t="s">
        <v>13</v>
      </c>
      <c r="H272" t="s">
        <v>13</v>
      </c>
      <c r="I272">
        <v>58</v>
      </c>
      <c r="J272" t="str" cm="1">
        <f t="array" ref="J272">_xlfn.IFS(ISBLANK(C272),"FALTANTE",ABS((C272-$W$5)/$X$5)&gt;1.96,"ATÍPICO",ABS((C272-$W$5)/$X$5)&lt;=1.96,"NO ATÍPICO")</f>
        <v>NO ATÍPICO</v>
      </c>
      <c r="K272" t="str" cm="1">
        <f t="array" ref="K272">_xlfn.IFS(ISBLANK(I272),"FALTANTE",ABS((I272-$W$8)/$X$8)&gt;1.92,"ATÍPICO",ABS((I272-$W$8)/$X$8)&lt;=1.92,"NO ATÍPICO")</f>
        <v>NO ATÍPICO</v>
      </c>
      <c r="L272">
        <f t="shared" si="20"/>
        <v>281250</v>
      </c>
      <c r="M272" t="str">
        <f t="shared" si="24"/>
        <v>ASALARIADO</v>
      </c>
      <c r="N272">
        <f t="shared" si="21"/>
        <v>58</v>
      </c>
      <c r="O272" s="19" t="str">
        <f t="shared" si="22"/>
        <v>0–300k</v>
      </c>
      <c r="P272" s="19" t="str">
        <f t="shared" si="23"/>
        <v>56+</v>
      </c>
    </row>
    <row r="273" spans="1:16" x14ac:dyDescent="0.25">
      <c r="A273">
        <v>272</v>
      </c>
      <c r="B273" t="s">
        <v>15</v>
      </c>
      <c r="C273">
        <v>829364.58</v>
      </c>
      <c r="D273" t="s">
        <v>10</v>
      </c>
      <c r="E273" t="s">
        <v>16</v>
      </c>
      <c r="F273" t="s">
        <v>12</v>
      </c>
      <c r="G273" t="s">
        <v>13</v>
      </c>
      <c r="H273" t="s">
        <v>13</v>
      </c>
      <c r="I273">
        <v>30</v>
      </c>
      <c r="J273" t="str" cm="1">
        <f t="array" ref="J273">_xlfn.IFS(ISBLANK(C273),"FALTANTE",ABS((C273-$W$5)/$X$5)&gt;1.96,"ATÍPICO",ABS((C273-$W$5)/$X$5)&lt;=1.96,"NO ATÍPICO")</f>
        <v>NO ATÍPICO</v>
      </c>
      <c r="K273" t="str" cm="1">
        <f t="array" ref="K273">_xlfn.IFS(ISBLANK(I273),"FALTANTE",ABS((I273-$W$8)/$X$8)&gt;1.92,"ATÍPICO",ABS((I273-$W$8)/$X$8)&lt;=1.92,"NO ATÍPICO")</f>
        <v>NO ATÍPICO</v>
      </c>
      <c r="L273">
        <f t="shared" si="20"/>
        <v>829364.58</v>
      </c>
      <c r="M273" t="str">
        <f t="shared" si="24"/>
        <v>ASALARIADO</v>
      </c>
      <c r="N273">
        <f t="shared" si="21"/>
        <v>30</v>
      </c>
      <c r="O273" s="19" t="str">
        <f t="shared" si="22"/>
        <v>600k–900k</v>
      </c>
      <c r="P273" s="19" t="str">
        <f t="shared" si="23"/>
        <v>26-35</v>
      </c>
    </row>
    <row r="274" spans="1:16" x14ac:dyDescent="0.25">
      <c r="A274">
        <v>273</v>
      </c>
      <c r="B274" t="s">
        <v>15</v>
      </c>
      <c r="C274">
        <v>403983</v>
      </c>
      <c r="D274" t="s">
        <v>18</v>
      </c>
      <c r="E274" t="s">
        <v>16</v>
      </c>
      <c r="F274" t="s">
        <v>12</v>
      </c>
      <c r="G274" t="s">
        <v>13</v>
      </c>
      <c r="H274" t="s">
        <v>12</v>
      </c>
      <c r="I274">
        <v>41</v>
      </c>
      <c r="J274" t="str" cm="1">
        <f t="array" ref="J274">_xlfn.IFS(ISBLANK(C274),"FALTANTE",ABS((C274-$W$5)/$X$5)&gt;1.96,"ATÍPICO",ABS((C274-$W$5)/$X$5)&lt;=1.96,"NO ATÍPICO")</f>
        <v>NO ATÍPICO</v>
      </c>
      <c r="K274" t="str" cm="1">
        <f t="array" ref="K274">_xlfn.IFS(ISBLANK(I274),"FALTANTE",ABS((I274-$W$8)/$X$8)&gt;1.92,"ATÍPICO",ABS((I274-$W$8)/$X$8)&lt;=1.92,"NO ATÍPICO")</f>
        <v>NO ATÍPICO</v>
      </c>
      <c r="L274">
        <f t="shared" si="20"/>
        <v>403983</v>
      </c>
      <c r="M274" t="str">
        <f t="shared" si="24"/>
        <v>TRABAJADOR INDEPENDIENTE</v>
      </c>
      <c r="N274">
        <f t="shared" si="21"/>
        <v>41</v>
      </c>
      <c r="O274" s="19" t="str">
        <f t="shared" si="22"/>
        <v>300k–600k</v>
      </c>
      <c r="P274" s="19" t="str">
        <f t="shared" si="23"/>
        <v>36-45</v>
      </c>
    </row>
    <row r="275" spans="1:16" x14ac:dyDescent="0.25">
      <c r="A275">
        <v>274</v>
      </c>
      <c r="B275" t="s">
        <v>15</v>
      </c>
      <c r="C275">
        <v>545646</v>
      </c>
      <c r="D275" t="s">
        <v>10</v>
      </c>
      <c r="E275" t="s">
        <v>16</v>
      </c>
      <c r="F275" t="s">
        <v>12</v>
      </c>
      <c r="G275" t="s">
        <v>13</v>
      </c>
      <c r="H275" t="s">
        <v>13</v>
      </c>
      <c r="I275">
        <v>44</v>
      </c>
      <c r="J275" t="str" cm="1">
        <f t="array" ref="J275">_xlfn.IFS(ISBLANK(C275),"FALTANTE",ABS((C275-$W$5)/$X$5)&gt;1.96,"ATÍPICO",ABS((C275-$W$5)/$X$5)&lt;=1.96,"NO ATÍPICO")</f>
        <v>NO ATÍPICO</v>
      </c>
      <c r="K275" t="str" cm="1">
        <f t="array" ref="K275">_xlfn.IFS(ISBLANK(I275),"FALTANTE",ABS((I275-$W$8)/$X$8)&gt;1.92,"ATÍPICO",ABS((I275-$W$8)/$X$8)&lt;=1.92,"NO ATÍPICO")</f>
        <v>NO ATÍPICO</v>
      </c>
      <c r="L275">
        <f t="shared" si="20"/>
        <v>545646</v>
      </c>
      <c r="M275" t="str">
        <f t="shared" si="24"/>
        <v>ASALARIADO</v>
      </c>
      <c r="N275">
        <f t="shared" si="21"/>
        <v>44</v>
      </c>
      <c r="O275" s="19" t="str">
        <f t="shared" si="22"/>
        <v>300k–600k</v>
      </c>
      <c r="P275" s="19" t="str">
        <f t="shared" si="23"/>
        <v>36-45</v>
      </c>
    </row>
    <row r="276" spans="1:16" x14ac:dyDescent="0.25">
      <c r="A276">
        <v>275</v>
      </c>
      <c r="B276" t="s">
        <v>9</v>
      </c>
      <c r="C276">
        <v>417064</v>
      </c>
      <c r="D276" t="s">
        <v>10</v>
      </c>
      <c r="E276" t="s">
        <v>16</v>
      </c>
      <c r="F276" t="s">
        <v>12</v>
      </c>
      <c r="G276" t="s">
        <v>13</v>
      </c>
      <c r="H276" t="s">
        <v>13</v>
      </c>
      <c r="I276">
        <v>59</v>
      </c>
      <c r="J276" t="str" cm="1">
        <f t="array" ref="J276">_xlfn.IFS(ISBLANK(C276),"FALTANTE",ABS((C276-$W$5)/$X$5)&gt;1.96,"ATÍPICO",ABS((C276-$W$5)/$X$5)&lt;=1.96,"NO ATÍPICO")</f>
        <v>NO ATÍPICO</v>
      </c>
      <c r="K276" t="str" cm="1">
        <f t="array" ref="K276">_xlfn.IFS(ISBLANK(I276),"FALTANTE",ABS((I276-$W$8)/$X$8)&gt;1.92,"ATÍPICO",ABS((I276-$W$8)/$X$8)&lt;=1.92,"NO ATÍPICO")</f>
        <v>NO ATÍPICO</v>
      </c>
      <c r="L276">
        <f t="shared" si="20"/>
        <v>417064</v>
      </c>
      <c r="M276" t="str">
        <f t="shared" si="24"/>
        <v>ASALARIADO</v>
      </c>
      <c r="N276">
        <f t="shared" si="21"/>
        <v>59</v>
      </c>
      <c r="O276" s="19" t="str">
        <f t="shared" si="22"/>
        <v>300k–600k</v>
      </c>
      <c r="P276" s="19" t="str">
        <f t="shared" si="23"/>
        <v>56+</v>
      </c>
    </row>
    <row r="277" spans="1:16" x14ac:dyDescent="0.25">
      <c r="A277">
        <v>276</v>
      </c>
      <c r="B277" t="s">
        <v>9</v>
      </c>
      <c r="C277">
        <v>621333.79</v>
      </c>
      <c r="D277" t="s">
        <v>10</v>
      </c>
      <c r="E277" t="s">
        <v>16</v>
      </c>
      <c r="F277" t="s">
        <v>12</v>
      </c>
      <c r="G277" t="s">
        <v>13</v>
      </c>
      <c r="H277" t="s">
        <v>13</v>
      </c>
      <c r="I277">
        <v>47</v>
      </c>
      <c r="J277" t="str" cm="1">
        <f t="array" ref="J277">_xlfn.IFS(ISBLANK(C277),"FALTANTE",ABS((C277-$W$5)/$X$5)&gt;1.96,"ATÍPICO",ABS((C277-$W$5)/$X$5)&lt;=1.96,"NO ATÍPICO")</f>
        <v>NO ATÍPICO</v>
      </c>
      <c r="K277" t="str" cm="1">
        <f t="array" ref="K277">_xlfn.IFS(ISBLANK(I277),"FALTANTE",ABS((I277-$W$8)/$X$8)&gt;1.92,"ATÍPICO",ABS((I277-$W$8)/$X$8)&lt;=1.92,"NO ATÍPICO")</f>
        <v>NO ATÍPICO</v>
      </c>
      <c r="L277">
        <f t="shared" si="20"/>
        <v>621333.79</v>
      </c>
      <c r="M277" t="str">
        <f t="shared" si="24"/>
        <v>ASALARIADO</v>
      </c>
      <c r="N277">
        <f t="shared" si="21"/>
        <v>47</v>
      </c>
      <c r="O277" s="19" t="str">
        <f t="shared" si="22"/>
        <v>600k–900k</v>
      </c>
      <c r="P277" s="19" t="str">
        <f t="shared" si="23"/>
        <v>46-55</v>
      </c>
    </row>
    <row r="278" spans="1:16" x14ac:dyDescent="0.25">
      <c r="A278">
        <v>277</v>
      </c>
      <c r="B278" t="s">
        <v>9</v>
      </c>
      <c r="C278">
        <v>297046</v>
      </c>
      <c r="D278" t="s">
        <v>17</v>
      </c>
      <c r="E278" t="s">
        <v>16</v>
      </c>
      <c r="F278" t="s">
        <v>12</v>
      </c>
      <c r="G278" t="s">
        <v>13</v>
      </c>
      <c r="H278" t="s">
        <v>13</v>
      </c>
      <c r="I278">
        <v>24</v>
      </c>
      <c r="J278" t="str" cm="1">
        <f t="array" ref="J278">_xlfn.IFS(ISBLANK(C278),"FALTANTE",ABS((C278-$W$5)/$X$5)&gt;1.96,"ATÍPICO",ABS((C278-$W$5)/$X$5)&lt;=1.96,"NO ATÍPICO")</f>
        <v>NO ATÍPICO</v>
      </c>
      <c r="K278" t="str" cm="1">
        <f t="array" ref="K278">_xlfn.IFS(ISBLANK(I278),"FALTANTE",ABS((I278-$W$8)/$X$8)&gt;1.92,"ATÍPICO",ABS((I278-$W$8)/$X$8)&lt;=1.92,"NO ATÍPICO")</f>
        <v>NO ATÍPICO</v>
      </c>
      <c r="L278">
        <f t="shared" si="20"/>
        <v>297046</v>
      </c>
      <c r="M278" t="str">
        <f t="shared" si="24"/>
        <v>ASEGURADO VOLUNTARIO</v>
      </c>
      <c r="N278">
        <f t="shared" si="21"/>
        <v>24</v>
      </c>
      <c r="O278" s="19" t="str">
        <f t="shared" si="22"/>
        <v>0–300k</v>
      </c>
      <c r="P278" s="19" t="str">
        <f t="shared" si="23"/>
        <v>18-25</v>
      </c>
    </row>
    <row r="279" spans="1:16" x14ac:dyDescent="0.25">
      <c r="A279">
        <v>278</v>
      </c>
      <c r="B279" t="s">
        <v>15</v>
      </c>
      <c r="C279">
        <v>527824.5</v>
      </c>
      <c r="D279" t="s">
        <v>14</v>
      </c>
      <c r="E279" t="s">
        <v>11</v>
      </c>
      <c r="F279" t="s">
        <v>12</v>
      </c>
      <c r="G279" t="s">
        <v>13</v>
      </c>
      <c r="H279" t="s">
        <v>13</v>
      </c>
      <c r="I279">
        <v>68</v>
      </c>
      <c r="J279" t="str" cm="1">
        <f t="array" ref="J279">_xlfn.IFS(ISBLANK(C279),"FALTANTE",ABS((C279-$W$5)/$X$5)&gt;1.96,"ATÍPICO",ABS((C279-$W$5)/$X$5)&lt;=1.96,"NO ATÍPICO")</f>
        <v>NO ATÍPICO</v>
      </c>
      <c r="K279" t="str" cm="1">
        <f t="array" ref="K279">_xlfn.IFS(ISBLANK(I279),"FALTANTE",ABS((I279-$W$8)/$X$8)&gt;1.92,"ATÍPICO",ABS((I279-$W$8)/$X$8)&lt;=1.92,"NO ATÍPICO")</f>
        <v>NO ATÍPICO</v>
      </c>
      <c r="L279">
        <f t="shared" si="20"/>
        <v>527824.5</v>
      </c>
      <c r="M279" t="str">
        <f t="shared" si="24"/>
        <v>PENSIONADOS EN SU PROPIO SISTEMA</v>
      </c>
      <c r="N279">
        <f t="shared" si="21"/>
        <v>68</v>
      </c>
      <c r="O279" s="19" t="str">
        <f t="shared" si="22"/>
        <v>300k–600k</v>
      </c>
      <c r="P279" s="19" t="str">
        <f t="shared" si="23"/>
        <v>56+</v>
      </c>
    </row>
    <row r="280" spans="1:16" x14ac:dyDescent="0.25">
      <c r="A280">
        <v>279</v>
      </c>
      <c r="B280" t="s">
        <v>9</v>
      </c>
      <c r="C280">
        <v>278030</v>
      </c>
      <c r="D280" t="s">
        <v>19</v>
      </c>
      <c r="E280" t="s">
        <v>16</v>
      </c>
      <c r="F280" t="s">
        <v>12</v>
      </c>
      <c r="G280" t="s">
        <v>13</v>
      </c>
      <c r="H280" t="s">
        <v>13</v>
      </c>
      <c r="I280">
        <v>43</v>
      </c>
      <c r="J280" t="str" cm="1">
        <f t="array" ref="J280">_xlfn.IFS(ISBLANK(C280),"FALTANTE",ABS((C280-$W$5)/$X$5)&gt;1.96,"ATÍPICO",ABS((C280-$W$5)/$X$5)&lt;=1.96,"NO ATÍPICO")</f>
        <v>NO ATÍPICO</v>
      </c>
      <c r="K280" t="str" cm="1">
        <f t="array" ref="K280">_xlfn.IFS(ISBLANK(I280),"FALTANTE",ABS((I280-$W$8)/$X$8)&gt;1.92,"ATÍPICO",ABS((I280-$W$8)/$X$8)&lt;=1.92,"NO ATÍPICO")</f>
        <v>NO ATÍPICO</v>
      </c>
      <c r="L280">
        <f t="shared" si="20"/>
        <v>278030</v>
      </c>
      <c r="M280" t="str">
        <f t="shared" si="24"/>
        <v>CONVENIOS ESPECIALES DE TRABAJADORES INDEPENDIENTES</v>
      </c>
      <c r="N280">
        <f t="shared" si="21"/>
        <v>43</v>
      </c>
      <c r="O280" s="19" t="str">
        <f t="shared" si="22"/>
        <v>0–300k</v>
      </c>
      <c r="P280" s="19" t="str">
        <f t="shared" si="23"/>
        <v>36-45</v>
      </c>
    </row>
    <row r="281" spans="1:16" x14ac:dyDescent="0.25">
      <c r="A281">
        <v>280</v>
      </c>
      <c r="B281" t="s">
        <v>15</v>
      </c>
      <c r="C281">
        <v>300000</v>
      </c>
      <c r="D281" t="s">
        <v>17</v>
      </c>
      <c r="E281" t="s">
        <v>16</v>
      </c>
      <c r="F281" t="s">
        <v>12</v>
      </c>
      <c r="G281" t="s">
        <v>12</v>
      </c>
      <c r="H281" t="s">
        <v>13</v>
      </c>
      <c r="I281">
        <v>57</v>
      </c>
      <c r="J281" t="str" cm="1">
        <f t="array" ref="J281">_xlfn.IFS(ISBLANK(C281),"FALTANTE",ABS((C281-$W$5)/$X$5)&gt;1.96,"ATÍPICO",ABS((C281-$W$5)/$X$5)&lt;=1.96,"NO ATÍPICO")</f>
        <v>NO ATÍPICO</v>
      </c>
      <c r="K281" t="str" cm="1">
        <f t="array" ref="K281">_xlfn.IFS(ISBLANK(I281),"FALTANTE",ABS((I281-$W$8)/$X$8)&gt;1.92,"ATÍPICO",ABS((I281-$W$8)/$X$8)&lt;=1.92,"NO ATÍPICO")</f>
        <v>NO ATÍPICO</v>
      </c>
      <c r="L281">
        <f t="shared" si="20"/>
        <v>300000</v>
      </c>
      <c r="M281" t="str">
        <f t="shared" si="24"/>
        <v>ASEGURADO VOLUNTARIO</v>
      </c>
      <c r="N281">
        <f t="shared" si="21"/>
        <v>57</v>
      </c>
      <c r="O281" s="19" t="str">
        <f t="shared" si="22"/>
        <v>0–300k</v>
      </c>
      <c r="P281" s="19" t="str">
        <f t="shared" si="23"/>
        <v>56+</v>
      </c>
    </row>
    <row r="282" spans="1:16" x14ac:dyDescent="0.25">
      <c r="A282">
        <v>281</v>
      </c>
      <c r="B282" t="s">
        <v>15</v>
      </c>
      <c r="C282">
        <v>453393.84</v>
      </c>
      <c r="D282" t="s">
        <v>10</v>
      </c>
      <c r="E282" t="s">
        <v>16</v>
      </c>
      <c r="F282" t="s">
        <v>12</v>
      </c>
      <c r="G282" t="s">
        <v>13</v>
      </c>
      <c r="H282" t="s">
        <v>13</v>
      </c>
      <c r="I282">
        <v>31</v>
      </c>
      <c r="J282" t="str" cm="1">
        <f t="array" ref="J282">_xlfn.IFS(ISBLANK(C282),"FALTANTE",ABS((C282-$W$5)/$X$5)&gt;1.96,"ATÍPICO",ABS((C282-$W$5)/$X$5)&lt;=1.96,"NO ATÍPICO")</f>
        <v>NO ATÍPICO</v>
      </c>
      <c r="K282" t="str" cm="1">
        <f t="array" ref="K282">_xlfn.IFS(ISBLANK(I282),"FALTANTE",ABS((I282-$W$8)/$X$8)&gt;1.92,"ATÍPICO",ABS((I282-$W$8)/$X$8)&lt;=1.92,"NO ATÍPICO")</f>
        <v>NO ATÍPICO</v>
      </c>
      <c r="L282">
        <f t="shared" si="20"/>
        <v>453393.84</v>
      </c>
      <c r="M282" t="str">
        <f t="shared" si="24"/>
        <v>ASALARIADO</v>
      </c>
      <c r="N282">
        <f t="shared" si="21"/>
        <v>31</v>
      </c>
      <c r="O282" s="19" t="str">
        <f t="shared" si="22"/>
        <v>300k–600k</v>
      </c>
      <c r="P282" s="19" t="str">
        <f t="shared" si="23"/>
        <v>26-35</v>
      </c>
    </row>
    <row r="283" spans="1:16" x14ac:dyDescent="0.25">
      <c r="A283">
        <v>282</v>
      </c>
      <c r="B283" t="s">
        <v>15</v>
      </c>
      <c r="C283">
        <v>297062</v>
      </c>
      <c r="D283" t="s">
        <v>18</v>
      </c>
      <c r="E283" t="s">
        <v>16</v>
      </c>
      <c r="F283" t="s">
        <v>12</v>
      </c>
      <c r="G283" t="s">
        <v>13</v>
      </c>
      <c r="H283" t="s">
        <v>12</v>
      </c>
      <c r="I283">
        <v>40</v>
      </c>
      <c r="J283" t="str" cm="1">
        <f t="array" ref="J283">_xlfn.IFS(ISBLANK(C283),"FALTANTE",ABS((C283-$W$5)/$X$5)&gt;1.96,"ATÍPICO",ABS((C283-$W$5)/$X$5)&lt;=1.96,"NO ATÍPICO")</f>
        <v>NO ATÍPICO</v>
      </c>
      <c r="K283" t="str" cm="1">
        <f t="array" ref="K283">_xlfn.IFS(ISBLANK(I283),"FALTANTE",ABS((I283-$W$8)/$X$8)&gt;1.92,"ATÍPICO",ABS((I283-$W$8)/$X$8)&lt;=1.92,"NO ATÍPICO")</f>
        <v>NO ATÍPICO</v>
      </c>
      <c r="L283">
        <f t="shared" si="20"/>
        <v>297062</v>
      </c>
      <c r="M283" t="str">
        <f t="shared" si="24"/>
        <v>TRABAJADOR INDEPENDIENTE</v>
      </c>
      <c r="N283">
        <f t="shared" si="21"/>
        <v>40</v>
      </c>
      <c r="O283" s="19" t="str">
        <f t="shared" si="22"/>
        <v>0–300k</v>
      </c>
      <c r="P283" s="19" t="str">
        <f t="shared" si="23"/>
        <v>36-45</v>
      </c>
    </row>
    <row r="284" spans="1:16" x14ac:dyDescent="0.25">
      <c r="A284">
        <v>283</v>
      </c>
      <c r="B284" t="s">
        <v>15</v>
      </c>
      <c r="C284">
        <v>245436.97</v>
      </c>
      <c r="D284" t="s">
        <v>10</v>
      </c>
      <c r="E284" t="s">
        <v>16</v>
      </c>
      <c r="F284" t="s">
        <v>12</v>
      </c>
      <c r="G284" t="s">
        <v>13</v>
      </c>
      <c r="H284" t="s">
        <v>13</v>
      </c>
      <c r="I284">
        <v>27</v>
      </c>
      <c r="J284" t="str" cm="1">
        <f t="array" ref="J284">_xlfn.IFS(ISBLANK(C284),"FALTANTE",ABS((C284-$W$5)/$X$5)&gt;1.96,"ATÍPICO",ABS((C284-$W$5)/$X$5)&lt;=1.96,"NO ATÍPICO")</f>
        <v>NO ATÍPICO</v>
      </c>
      <c r="K284" t="str" cm="1">
        <f t="array" ref="K284">_xlfn.IFS(ISBLANK(I284),"FALTANTE",ABS((I284-$W$8)/$X$8)&gt;1.92,"ATÍPICO",ABS((I284-$W$8)/$X$8)&lt;=1.92,"NO ATÍPICO")</f>
        <v>NO ATÍPICO</v>
      </c>
      <c r="L284">
        <f t="shared" si="20"/>
        <v>245436.97</v>
      </c>
      <c r="M284" t="str">
        <f t="shared" si="24"/>
        <v>ASALARIADO</v>
      </c>
      <c r="N284">
        <f t="shared" si="21"/>
        <v>27</v>
      </c>
      <c r="O284" s="19" t="str">
        <f t="shared" si="22"/>
        <v>0–300k</v>
      </c>
      <c r="P284" s="19" t="str">
        <f t="shared" si="23"/>
        <v>26-35</v>
      </c>
    </row>
    <row r="285" spans="1:16" x14ac:dyDescent="0.25">
      <c r="A285">
        <v>284</v>
      </c>
      <c r="B285" t="s">
        <v>9</v>
      </c>
      <c r="C285">
        <v>2005101</v>
      </c>
      <c r="D285" t="s">
        <v>10</v>
      </c>
      <c r="E285" t="s">
        <v>16</v>
      </c>
      <c r="F285" t="s">
        <v>12</v>
      </c>
      <c r="G285" t="s">
        <v>13</v>
      </c>
      <c r="H285" t="s">
        <v>13</v>
      </c>
      <c r="I285">
        <v>32</v>
      </c>
      <c r="J285" t="str" cm="1">
        <f t="array" ref="J285">_xlfn.IFS(ISBLANK(C285),"FALTANTE",ABS((C285-$W$5)/$X$5)&gt;1.96,"ATÍPICO",ABS((C285-$W$5)/$X$5)&lt;=1.96,"NO ATÍPICO")</f>
        <v>NO ATÍPICO</v>
      </c>
      <c r="K285" t="str" cm="1">
        <f t="array" ref="K285">_xlfn.IFS(ISBLANK(I285),"FALTANTE",ABS((I285-$W$8)/$X$8)&gt;1.92,"ATÍPICO",ABS((I285-$W$8)/$X$8)&lt;=1.92,"NO ATÍPICO")</f>
        <v>NO ATÍPICO</v>
      </c>
      <c r="L285">
        <f t="shared" si="20"/>
        <v>2005101</v>
      </c>
      <c r="M285" t="str">
        <f t="shared" si="24"/>
        <v>ASALARIADO</v>
      </c>
      <c r="N285">
        <f t="shared" si="21"/>
        <v>32</v>
      </c>
      <c r="O285" s="19" t="str">
        <f t="shared" si="22"/>
        <v>1200k+</v>
      </c>
      <c r="P285" s="19" t="str">
        <f t="shared" si="23"/>
        <v>26-35</v>
      </c>
    </row>
    <row r="286" spans="1:16" x14ac:dyDescent="0.25">
      <c r="A286">
        <v>285</v>
      </c>
      <c r="B286" t="s">
        <v>15</v>
      </c>
      <c r="C286">
        <v>342332</v>
      </c>
      <c r="D286" t="s">
        <v>18</v>
      </c>
      <c r="E286" t="s">
        <v>16</v>
      </c>
      <c r="F286" t="s">
        <v>12</v>
      </c>
      <c r="G286" t="s">
        <v>13</v>
      </c>
      <c r="H286" t="s">
        <v>13</v>
      </c>
      <c r="I286">
        <v>61</v>
      </c>
      <c r="J286" t="str" cm="1">
        <f t="array" ref="J286">_xlfn.IFS(ISBLANK(C286),"FALTANTE",ABS((C286-$W$5)/$X$5)&gt;1.96,"ATÍPICO",ABS((C286-$W$5)/$X$5)&lt;=1.96,"NO ATÍPICO")</f>
        <v>NO ATÍPICO</v>
      </c>
      <c r="K286" t="str" cm="1">
        <f t="array" ref="K286">_xlfn.IFS(ISBLANK(I286),"FALTANTE",ABS((I286-$W$8)/$X$8)&gt;1.92,"ATÍPICO",ABS((I286-$W$8)/$X$8)&lt;=1.92,"NO ATÍPICO")</f>
        <v>NO ATÍPICO</v>
      </c>
      <c r="L286">
        <f t="shared" si="20"/>
        <v>342332</v>
      </c>
      <c r="M286" t="str">
        <f t="shared" si="24"/>
        <v>TRABAJADOR INDEPENDIENTE</v>
      </c>
      <c r="N286">
        <f t="shared" si="21"/>
        <v>61</v>
      </c>
      <c r="O286" s="19" t="str">
        <f t="shared" si="22"/>
        <v>300k–600k</v>
      </c>
      <c r="P286" s="19" t="str">
        <f t="shared" si="23"/>
        <v>56+</v>
      </c>
    </row>
    <row r="287" spans="1:16" x14ac:dyDescent="0.25">
      <c r="A287">
        <v>286</v>
      </c>
      <c r="B287" t="s">
        <v>9</v>
      </c>
      <c r="C287">
        <v>1000000</v>
      </c>
      <c r="D287" t="s">
        <v>10</v>
      </c>
      <c r="E287" t="s">
        <v>16</v>
      </c>
      <c r="F287" t="s">
        <v>12</v>
      </c>
      <c r="G287" t="s">
        <v>13</v>
      </c>
      <c r="H287" t="s">
        <v>12</v>
      </c>
      <c r="I287">
        <v>52</v>
      </c>
      <c r="J287" t="str" cm="1">
        <f t="array" ref="J287">_xlfn.IFS(ISBLANK(C287),"FALTANTE",ABS((C287-$W$5)/$X$5)&gt;1.96,"ATÍPICO",ABS((C287-$W$5)/$X$5)&lt;=1.96,"NO ATÍPICO")</f>
        <v>NO ATÍPICO</v>
      </c>
      <c r="K287" t="str" cm="1">
        <f t="array" ref="K287">_xlfn.IFS(ISBLANK(I287),"FALTANTE",ABS((I287-$W$8)/$X$8)&gt;1.92,"ATÍPICO",ABS((I287-$W$8)/$X$8)&lt;=1.92,"NO ATÍPICO")</f>
        <v>NO ATÍPICO</v>
      </c>
      <c r="L287">
        <f t="shared" si="20"/>
        <v>1000000</v>
      </c>
      <c r="M287" t="str">
        <f t="shared" si="24"/>
        <v>ASALARIADO</v>
      </c>
      <c r="N287">
        <f t="shared" si="21"/>
        <v>52</v>
      </c>
      <c r="O287" s="19" t="str">
        <f t="shared" si="22"/>
        <v>900k–1200k</v>
      </c>
      <c r="P287" s="19" t="str">
        <f t="shared" si="23"/>
        <v>46-55</v>
      </c>
    </row>
    <row r="288" spans="1:16" x14ac:dyDescent="0.25">
      <c r="A288">
        <v>287</v>
      </c>
      <c r="B288" t="s">
        <v>9</v>
      </c>
      <c r="C288">
        <v>347514.23</v>
      </c>
      <c r="D288" t="s">
        <v>10</v>
      </c>
      <c r="E288" t="s">
        <v>16</v>
      </c>
      <c r="F288" t="s">
        <v>12</v>
      </c>
      <c r="G288" t="s">
        <v>13</v>
      </c>
      <c r="H288" t="s">
        <v>13</v>
      </c>
      <c r="I288">
        <v>30</v>
      </c>
      <c r="J288" t="str" cm="1">
        <f t="array" ref="J288">_xlfn.IFS(ISBLANK(C288),"FALTANTE",ABS((C288-$W$5)/$X$5)&gt;1.96,"ATÍPICO",ABS((C288-$W$5)/$X$5)&lt;=1.96,"NO ATÍPICO")</f>
        <v>NO ATÍPICO</v>
      </c>
      <c r="K288" t="str" cm="1">
        <f t="array" ref="K288">_xlfn.IFS(ISBLANK(I288),"FALTANTE",ABS((I288-$W$8)/$X$8)&gt;1.92,"ATÍPICO",ABS((I288-$W$8)/$X$8)&lt;=1.92,"NO ATÍPICO")</f>
        <v>NO ATÍPICO</v>
      </c>
      <c r="L288">
        <f t="shared" si="20"/>
        <v>347514.23</v>
      </c>
      <c r="M288" t="str">
        <f t="shared" si="24"/>
        <v>ASALARIADO</v>
      </c>
      <c r="N288">
        <f t="shared" si="21"/>
        <v>30</v>
      </c>
      <c r="O288" s="19" t="str">
        <f t="shared" si="22"/>
        <v>300k–600k</v>
      </c>
      <c r="P288" s="19" t="str">
        <f t="shared" si="23"/>
        <v>26-35</v>
      </c>
    </row>
    <row r="289" spans="1:16" x14ac:dyDescent="0.25">
      <c r="A289">
        <v>288</v>
      </c>
      <c r="B289" t="s">
        <v>15</v>
      </c>
      <c r="C289">
        <v>750000</v>
      </c>
      <c r="D289" t="s">
        <v>10</v>
      </c>
      <c r="E289" t="s">
        <v>16</v>
      </c>
      <c r="F289" t="s">
        <v>12</v>
      </c>
      <c r="G289" t="s">
        <v>13</v>
      </c>
      <c r="H289" t="s">
        <v>12</v>
      </c>
      <c r="I289">
        <v>28</v>
      </c>
      <c r="J289" t="str" cm="1">
        <f t="array" ref="J289">_xlfn.IFS(ISBLANK(C289),"FALTANTE",ABS((C289-$W$5)/$X$5)&gt;1.96,"ATÍPICO",ABS((C289-$W$5)/$X$5)&lt;=1.96,"NO ATÍPICO")</f>
        <v>NO ATÍPICO</v>
      </c>
      <c r="K289" t="str" cm="1">
        <f t="array" ref="K289">_xlfn.IFS(ISBLANK(I289),"FALTANTE",ABS((I289-$W$8)/$X$8)&gt;1.92,"ATÍPICO",ABS((I289-$W$8)/$X$8)&lt;=1.92,"NO ATÍPICO")</f>
        <v>NO ATÍPICO</v>
      </c>
      <c r="L289">
        <f t="shared" si="20"/>
        <v>750000</v>
      </c>
      <c r="M289" t="str">
        <f t="shared" si="24"/>
        <v>ASALARIADO</v>
      </c>
      <c r="N289">
        <f t="shared" si="21"/>
        <v>28</v>
      </c>
      <c r="O289" s="19" t="str">
        <f t="shared" si="22"/>
        <v>600k–900k</v>
      </c>
      <c r="P289" s="19" t="str">
        <f t="shared" si="23"/>
        <v>26-35</v>
      </c>
    </row>
    <row r="290" spans="1:16" x14ac:dyDescent="0.25">
      <c r="A290">
        <v>289</v>
      </c>
      <c r="B290" t="s">
        <v>9</v>
      </c>
      <c r="C290">
        <v>336364.94</v>
      </c>
      <c r="D290" t="s">
        <v>10</v>
      </c>
      <c r="E290" t="s">
        <v>16</v>
      </c>
      <c r="F290" t="s">
        <v>12</v>
      </c>
      <c r="G290" t="s">
        <v>13</v>
      </c>
      <c r="H290" t="s">
        <v>13</v>
      </c>
      <c r="I290">
        <v>24</v>
      </c>
      <c r="J290" t="str" cm="1">
        <f t="array" ref="J290">_xlfn.IFS(ISBLANK(C290),"FALTANTE",ABS((C290-$W$5)/$X$5)&gt;1.96,"ATÍPICO",ABS((C290-$W$5)/$X$5)&lt;=1.96,"NO ATÍPICO")</f>
        <v>NO ATÍPICO</v>
      </c>
      <c r="K290" t="str" cm="1">
        <f t="array" ref="K290">_xlfn.IFS(ISBLANK(I290),"FALTANTE",ABS((I290-$W$8)/$X$8)&gt;1.92,"ATÍPICO",ABS((I290-$W$8)/$X$8)&lt;=1.92,"NO ATÍPICO")</f>
        <v>NO ATÍPICO</v>
      </c>
      <c r="L290">
        <f t="shared" si="20"/>
        <v>336364.94</v>
      </c>
      <c r="M290" t="str">
        <f t="shared" si="24"/>
        <v>ASALARIADO</v>
      </c>
      <c r="N290">
        <f t="shared" si="21"/>
        <v>24</v>
      </c>
      <c r="O290" s="19" t="str">
        <f t="shared" si="22"/>
        <v>300k–600k</v>
      </c>
      <c r="P290" s="19" t="str">
        <f t="shared" si="23"/>
        <v>18-25</v>
      </c>
    </row>
    <row r="291" spans="1:16" x14ac:dyDescent="0.25">
      <c r="A291">
        <v>290</v>
      </c>
      <c r="B291" t="s">
        <v>9</v>
      </c>
      <c r="C291">
        <v>351055</v>
      </c>
      <c r="D291" t="s">
        <v>18</v>
      </c>
      <c r="E291" t="s">
        <v>16</v>
      </c>
      <c r="F291" t="s">
        <v>12</v>
      </c>
      <c r="G291" t="s">
        <v>13</v>
      </c>
      <c r="H291" t="s">
        <v>12</v>
      </c>
      <c r="I291">
        <v>51</v>
      </c>
      <c r="J291" t="str" cm="1">
        <f t="array" ref="J291">_xlfn.IFS(ISBLANK(C291),"FALTANTE",ABS((C291-$W$5)/$X$5)&gt;1.96,"ATÍPICO",ABS((C291-$W$5)/$X$5)&lt;=1.96,"NO ATÍPICO")</f>
        <v>NO ATÍPICO</v>
      </c>
      <c r="K291" t="str" cm="1">
        <f t="array" ref="K291">_xlfn.IFS(ISBLANK(I291),"FALTANTE",ABS((I291-$W$8)/$X$8)&gt;1.92,"ATÍPICO",ABS((I291-$W$8)/$X$8)&lt;=1.92,"NO ATÍPICO")</f>
        <v>NO ATÍPICO</v>
      </c>
      <c r="L291">
        <f t="shared" si="20"/>
        <v>351055</v>
      </c>
      <c r="M291" t="str">
        <f t="shared" si="24"/>
        <v>TRABAJADOR INDEPENDIENTE</v>
      </c>
      <c r="N291">
        <f t="shared" si="21"/>
        <v>51</v>
      </c>
      <c r="O291" s="19" t="str">
        <f t="shared" si="22"/>
        <v>300k–600k</v>
      </c>
      <c r="P291" s="19" t="str">
        <f t="shared" si="23"/>
        <v>46-55</v>
      </c>
    </row>
    <row r="292" spans="1:16" x14ac:dyDescent="0.25">
      <c r="A292">
        <v>291</v>
      </c>
      <c r="B292" t="s">
        <v>9</v>
      </c>
      <c r="C292">
        <v>345385</v>
      </c>
      <c r="D292" t="s">
        <v>10</v>
      </c>
      <c r="E292" t="s">
        <v>16</v>
      </c>
      <c r="F292" t="s">
        <v>12</v>
      </c>
      <c r="G292" t="s">
        <v>13</v>
      </c>
      <c r="H292" t="s">
        <v>13</v>
      </c>
      <c r="I292">
        <v>32</v>
      </c>
      <c r="J292" t="str" cm="1">
        <f t="array" ref="J292">_xlfn.IFS(ISBLANK(C292),"FALTANTE",ABS((C292-$W$5)/$X$5)&gt;1.96,"ATÍPICO",ABS((C292-$W$5)/$X$5)&lt;=1.96,"NO ATÍPICO")</f>
        <v>NO ATÍPICO</v>
      </c>
      <c r="K292" t="str" cm="1">
        <f t="array" ref="K292">_xlfn.IFS(ISBLANK(I292),"FALTANTE",ABS((I292-$W$8)/$X$8)&gt;1.92,"ATÍPICO",ABS((I292-$W$8)/$X$8)&lt;=1.92,"NO ATÍPICO")</f>
        <v>NO ATÍPICO</v>
      </c>
      <c r="L292">
        <f t="shared" si="20"/>
        <v>345385</v>
      </c>
      <c r="M292" t="str">
        <f t="shared" si="24"/>
        <v>ASALARIADO</v>
      </c>
      <c r="N292">
        <f t="shared" si="21"/>
        <v>32</v>
      </c>
      <c r="O292" s="19" t="str">
        <f t="shared" si="22"/>
        <v>300k–600k</v>
      </c>
      <c r="P292" s="19" t="str">
        <f t="shared" si="23"/>
        <v>26-35</v>
      </c>
    </row>
    <row r="293" spans="1:16" x14ac:dyDescent="0.25">
      <c r="A293">
        <v>292</v>
      </c>
      <c r="B293" t="s">
        <v>9</v>
      </c>
      <c r="C293">
        <v>396805</v>
      </c>
      <c r="D293" t="s">
        <v>10</v>
      </c>
      <c r="E293" t="s">
        <v>16</v>
      </c>
      <c r="F293" t="s">
        <v>12</v>
      </c>
      <c r="G293" t="s">
        <v>13</v>
      </c>
      <c r="H293" t="s">
        <v>13</v>
      </c>
      <c r="I293">
        <v>40</v>
      </c>
      <c r="J293" t="str" cm="1">
        <f t="array" ref="J293">_xlfn.IFS(ISBLANK(C293),"FALTANTE",ABS((C293-$W$5)/$X$5)&gt;1.96,"ATÍPICO",ABS((C293-$W$5)/$X$5)&lt;=1.96,"NO ATÍPICO")</f>
        <v>NO ATÍPICO</v>
      </c>
      <c r="K293" t="str" cm="1">
        <f t="array" ref="K293">_xlfn.IFS(ISBLANK(I293),"FALTANTE",ABS((I293-$W$8)/$X$8)&gt;1.92,"ATÍPICO",ABS((I293-$W$8)/$X$8)&lt;=1.92,"NO ATÍPICO")</f>
        <v>NO ATÍPICO</v>
      </c>
      <c r="L293">
        <f t="shared" si="20"/>
        <v>396805</v>
      </c>
      <c r="M293" t="str">
        <f t="shared" si="24"/>
        <v>ASALARIADO</v>
      </c>
      <c r="N293">
        <f t="shared" si="21"/>
        <v>40</v>
      </c>
      <c r="O293" s="19" t="str">
        <f t="shared" si="22"/>
        <v>300k–600k</v>
      </c>
      <c r="P293" s="19" t="str">
        <f t="shared" si="23"/>
        <v>36-45</v>
      </c>
    </row>
    <row r="294" spans="1:16" x14ac:dyDescent="0.25">
      <c r="A294">
        <v>293</v>
      </c>
      <c r="B294" t="s">
        <v>15</v>
      </c>
      <c r="C294">
        <v>297045</v>
      </c>
      <c r="D294" t="s">
        <v>18</v>
      </c>
      <c r="E294" t="s">
        <v>16</v>
      </c>
      <c r="F294" t="s">
        <v>12</v>
      </c>
      <c r="G294" t="s">
        <v>13</v>
      </c>
      <c r="H294" t="s">
        <v>12</v>
      </c>
      <c r="I294">
        <v>62</v>
      </c>
      <c r="J294" t="str" cm="1">
        <f t="array" ref="J294">_xlfn.IFS(ISBLANK(C294),"FALTANTE",ABS((C294-$W$5)/$X$5)&gt;1.96,"ATÍPICO",ABS((C294-$W$5)/$X$5)&lt;=1.96,"NO ATÍPICO")</f>
        <v>NO ATÍPICO</v>
      </c>
      <c r="K294" t="str" cm="1">
        <f t="array" ref="K294">_xlfn.IFS(ISBLANK(I294),"FALTANTE",ABS((I294-$W$8)/$X$8)&gt;1.92,"ATÍPICO",ABS((I294-$W$8)/$X$8)&lt;=1.92,"NO ATÍPICO")</f>
        <v>NO ATÍPICO</v>
      </c>
      <c r="L294">
        <f t="shared" si="20"/>
        <v>297045</v>
      </c>
      <c r="M294" t="str">
        <f t="shared" si="24"/>
        <v>TRABAJADOR INDEPENDIENTE</v>
      </c>
      <c r="N294">
        <f t="shared" si="21"/>
        <v>62</v>
      </c>
      <c r="O294" s="19" t="str">
        <f t="shared" si="22"/>
        <v>0–300k</v>
      </c>
      <c r="P294" s="19" t="str">
        <f t="shared" si="23"/>
        <v>56+</v>
      </c>
    </row>
    <row r="295" spans="1:16" x14ac:dyDescent="0.25">
      <c r="A295">
        <v>294</v>
      </c>
      <c r="B295" t="s">
        <v>9</v>
      </c>
      <c r="C295">
        <v>1313852.97</v>
      </c>
      <c r="D295" t="s">
        <v>10</v>
      </c>
      <c r="E295" t="s">
        <v>16</v>
      </c>
      <c r="F295" t="s">
        <v>12</v>
      </c>
      <c r="G295" t="s">
        <v>13</v>
      </c>
      <c r="H295" t="s">
        <v>13</v>
      </c>
      <c r="I295">
        <v>52</v>
      </c>
      <c r="J295" t="str" cm="1">
        <f t="array" ref="J295">_xlfn.IFS(ISBLANK(C295),"FALTANTE",ABS((C295-$W$5)/$X$5)&gt;1.96,"ATÍPICO",ABS((C295-$W$5)/$X$5)&lt;=1.96,"NO ATÍPICO")</f>
        <v>NO ATÍPICO</v>
      </c>
      <c r="K295" t="str" cm="1">
        <f t="array" ref="K295">_xlfn.IFS(ISBLANK(I295),"FALTANTE",ABS((I295-$W$8)/$X$8)&gt;1.92,"ATÍPICO",ABS((I295-$W$8)/$X$8)&lt;=1.92,"NO ATÍPICO")</f>
        <v>NO ATÍPICO</v>
      </c>
      <c r="L295">
        <f t="shared" si="20"/>
        <v>1313852.97</v>
      </c>
      <c r="M295" t="str">
        <f t="shared" si="24"/>
        <v>ASALARIADO</v>
      </c>
      <c r="N295">
        <f t="shared" si="21"/>
        <v>52</v>
      </c>
      <c r="O295" s="19" t="str">
        <f t="shared" si="22"/>
        <v>1200k+</v>
      </c>
      <c r="P295" s="19" t="str">
        <f t="shared" si="23"/>
        <v>46-55</v>
      </c>
    </row>
    <row r="296" spans="1:16" x14ac:dyDescent="0.25">
      <c r="A296">
        <v>295</v>
      </c>
      <c r="B296" t="s">
        <v>9</v>
      </c>
      <c r="C296">
        <v>328192</v>
      </c>
      <c r="D296" t="s">
        <v>18</v>
      </c>
      <c r="E296" t="s">
        <v>16</v>
      </c>
      <c r="F296" t="s">
        <v>12</v>
      </c>
      <c r="G296" t="s">
        <v>12</v>
      </c>
      <c r="H296" t="s">
        <v>12</v>
      </c>
      <c r="I296">
        <v>32</v>
      </c>
      <c r="J296" t="str" cm="1">
        <f t="array" ref="J296">_xlfn.IFS(ISBLANK(C296),"FALTANTE",ABS((C296-$W$5)/$X$5)&gt;1.96,"ATÍPICO",ABS((C296-$W$5)/$X$5)&lt;=1.96,"NO ATÍPICO")</f>
        <v>NO ATÍPICO</v>
      </c>
      <c r="K296" t="str" cm="1">
        <f t="array" ref="K296">_xlfn.IFS(ISBLANK(I296),"FALTANTE",ABS((I296-$W$8)/$X$8)&gt;1.92,"ATÍPICO",ABS((I296-$W$8)/$X$8)&lt;=1.92,"NO ATÍPICO")</f>
        <v>NO ATÍPICO</v>
      </c>
      <c r="L296">
        <f t="shared" si="20"/>
        <v>328192</v>
      </c>
      <c r="M296" t="str">
        <f t="shared" si="24"/>
        <v>TRABAJADOR INDEPENDIENTE</v>
      </c>
      <c r="N296">
        <f t="shared" si="21"/>
        <v>32</v>
      </c>
      <c r="O296" s="19" t="str">
        <f t="shared" si="22"/>
        <v>300k–600k</v>
      </c>
      <c r="P296" s="19" t="str">
        <f t="shared" si="23"/>
        <v>26-35</v>
      </c>
    </row>
    <row r="297" spans="1:16" x14ac:dyDescent="0.25">
      <c r="A297">
        <v>296</v>
      </c>
      <c r="B297" t="s">
        <v>15</v>
      </c>
      <c r="C297">
        <v>478452</v>
      </c>
      <c r="D297" t="s">
        <v>18</v>
      </c>
      <c r="E297" t="s">
        <v>16</v>
      </c>
      <c r="F297" t="s">
        <v>12</v>
      </c>
      <c r="G297" t="s">
        <v>13</v>
      </c>
      <c r="H297" t="s">
        <v>12</v>
      </c>
      <c r="I297">
        <v>58</v>
      </c>
      <c r="J297" t="str" cm="1">
        <f t="array" ref="J297">_xlfn.IFS(ISBLANK(C297),"FALTANTE",ABS((C297-$W$5)/$X$5)&gt;1.96,"ATÍPICO",ABS((C297-$W$5)/$X$5)&lt;=1.96,"NO ATÍPICO")</f>
        <v>NO ATÍPICO</v>
      </c>
      <c r="K297" t="str" cm="1">
        <f t="array" ref="K297">_xlfn.IFS(ISBLANK(I297),"FALTANTE",ABS((I297-$W$8)/$X$8)&gt;1.92,"ATÍPICO",ABS((I297-$W$8)/$X$8)&lt;=1.92,"NO ATÍPICO")</f>
        <v>NO ATÍPICO</v>
      </c>
      <c r="L297">
        <f t="shared" si="20"/>
        <v>478452</v>
      </c>
      <c r="M297" t="str">
        <f t="shared" si="24"/>
        <v>TRABAJADOR INDEPENDIENTE</v>
      </c>
      <c r="N297">
        <f t="shared" si="21"/>
        <v>58</v>
      </c>
      <c r="O297" s="19" t="str">
        <f t="shared" si="22"/>
        <v>300k–600k</v>
      </c>
      <c r="P297" s="19" t="str">
        <f t="shared" si="23"/>
        <v>56+</v>
      </c>
    </row>
    <row r="298" spans="1:16" x14ac:dyDescent="0.25">
      <c r="A298">
        <v>297</v>
      </c>
      <c r="B298" t="s">
        <v>9</v>
      </c>
      <c r="C298">
        <v>299647</v>
      </c>
      <c r="D298" t="s">
        <v>18</v>
      </c>
      <c r="E298" t="s">
        <v>16</v>
      </c>
      <c r="F298" t="s">
        <v>12</v>
      </c>
      <c r="G298" t="s">
        <v>13</v>
      </c>
      <c r="H298" t="s">
        <v>12</v>
      </c>
      <c r="I298">
        <v>57</v>
      </c>
      <c r="J298" t="str" cm="1">
        <f t="array" ref="J298">_xlfn.IFS(ISBLANK(C298),"FALTANTE",ABS((C298-$W$5)/$X$5)&gt;1.96,"ATÍPICO",ABS((C298-$W$5)/$X$5)&lt;=1.96,"NO ATÍPICO")</f>
        <v>NO ATÍPICO</v>
      </c>
      <c r="K298" t="str" cm="1">
        <f t="array" ref="K298">_xlfn.IFS(ISBLANK(I298),"FALTANTE",ABS((I298-$W$8)/$X$8)&gt;1.92,"ATÍPICO",ABS((I298-$W$8)/$X$8)&lt;=1.92,"NO ATÍPICO")</f>
        <v>NO ATÍPICO</v>
      </c>
      <c r="L298">
        <f t="shared" si="20"/>
        <v>299647</v>
      </c>
      <c r="M298" t="str">
        <f t="shared" si="24"/>
        <v>TRABAJADOR INDEPENDIENTE</v>
      </c>
      <c r="N298">
        <f t="shared" si="21"/>
        <v>57</v>
      </c>
      <c r="O298" s="19" t="str">
        <f t="shared" si="22"/>
        <v>0–300k</v>
      </c>
      <c r="P298" s="19" t="str">
        <f t="shared" si="23"/>
        <v>56+</v>
      </c>
    </row>
    <row r="299" spans="1:16" x14ac:dyDescent="0.25">
      <c r="A299">
        <v>298</v>
      </c>
      <c r="B299" t="s">
        <v>9</v>
      </c>
      <c r="C299">
        <v>263360.19</v>
      </c>
      <c r="D299" t="s">
        <v>10</v>
      </c>
      <c r="E299" t="s">
        <v>16</v>
      </c>
      <c r="F299" t="s">
        <v>12</v>
      </c>
      <c r="G299" t="s">
        <v>13</v>
      </c>
      <c r="H299" t="s">
        <v>13</v>
      </c>
      <c r="I299">
        <v>24</v>
      </c>
      <c r="J299" t="str" cm="1">
        <f t="array" ref="J299">_xlfn.IFS(ISBLANK(C299),"FALTANTE",ABS((C299-$W$5)/$X$5)&gt;1.96,"ATÍPICO",ABS((C299-$W$5)/$X$5)&lt;=1.96,"NO ATÍPICO")</f>
        <v>NO ATÍPICO</v>
      </c>
      <c r="K299" t="str" cm="1">
        <f t="array" ref="K299">_xlfn.IFS(ISBLANK(I299),"FALTANTE",ABS((I299-$W$8)/$X$8)&gt;1.92,"ATÍPICO",ABS((I299-$W$8)/$X$8)&lt;=1.92,"NO ATÍPICO")</f>
        <v>NO ATÍPICO</v>
      </c>
      <c r="L299">
        <f t="shared" si="20"/>
        <v>263360.19</v>
      </c>
      <c r="M299" t="str">
        <f t="shared" si="24"/>
        <v>ASALARIADO</v>
      </c>
      <c r="N299">
        <f t="shared" si="21"/>
        <v>24</v>
      </c>
      <c r="O299" s="19" t="str">
        <f t="shared" si="22"/>
        <v>0–300k</v>
      </c>
      <c r="P299" s="19" t="str">
        <f t="shared" si="23"/>
        <v>18-25</v>
      </c>
    </row>
    <row r="300" spans="1:16" x14ac:dyDescent="0.25">
      <c r="A300">
        <v>299</v>
      </c>
      <c r="B300" t="s">
        <v>15</v>
      </c>
      <c r="C300">
        <v>2312395</v>
      </c>
      <c r="D300" t="s">
        <v>10</v>
      </c>
      <c r="E300" t="s">
        <v>11</v>
      </c>
      <c r="F300" t="s">
        <v>12</v>
      </c>
      <c r="G300" t="s">
        <v>13</v>
      </c>
      <c r="H300" t="s">
        <v>13</v>
      </c>
      <c r="I300">
        <v>61</v>
      </c>
      <c r="J300" t="str" cm="1">
        <f t="array" ref="J300">_xlfn.IFS(ISBLANK(C300),"FALTANTE",ABS((C300-$W$5)/$X$5)&gt;1.96,"ATÍPICO",ABS((C300-$W$5)/$X$5)&lt;=1.96,"NO ATÍPICO")</f>
        <v>ATÍPICO</v>
      </c>
      <c r="K300" t="str" cm="1">
        <f t="array" ref="K300">_xlfn.IFS(ISBLANK(I300),"FALTANTE",ABS((I300-$W$8)/$X$8)&gt;1.92,"ATÍPICO",ABS((I300-$W$8)/$X$8)&lt;=1.92,"NO ATÍPICO")</f>
        <v>NO ATÍPICO</v>
      </c>
      <c r="L300">
        <f t="shared" si="20"/>
        <v>2312395</v>
      </c>
      <c r="M300" t="str">
        <f t="shared" si="24"/>
        <v>ASALARIADO</v>
      </c>
      <c r="N300">
        <f t="shared" si="21"/>
        <v>61</v>
      </c>
      <c r="O300" s="19" t="str">
        <f t="shared" si="22"/>
        <v>1200k+</v>
      </c>
      <c r="P300" s="19" t="str">
        <f t="shared" si="23"/>
        <v>56+</v>
      </c>
    </row>
    <row r="301" spans="1:16" x14ac:dyDescent="0.25">
      <c r="A301">
        <v>300</v>
      </c>
      <c r="B301" t="s">
        <v>9</v>
      </c>
      <c r="C301">
        <v>300000</v>
      </c>
      <c r="D301" t="s">
        <v>10</v>
      </c>
      <c r="E301" t="s">
        <v>16</v>
      </c>
      <c r="F301" t="s">
        <v>12</v>
      </c>
      <c r="G301" t="s">
        <v>13</v>
      </c>
      <c r="H301" t="s">
        <v>13</v>
      </c>
      <c r="I301">
        <v>26</v>
      </c>
      <c r="J301" t="str" cm="1">
        <f t="array" ref="J301">_xlfn.IFS(ISBLANK(C301),"FALTANTE",ABS((C301-$W$5)/$X$5)&gt;1.96,"ATÍPICO",ABS((C301-$W$5)/$X$5)&lt;=1.96,"NO ATÍPICO")</f>
        <v>NO ATÍPICO</v>
      </c>
      <c r="K301" t="str" cm="1">
        <f t="array" ref="K301">_xlfn.IFS(ISBLANK(I301),"FALTANTE",ABS((I301-$W$8)/$X$8)&gt;1.92,"ATÍPICO",ABS((I301-$W$8)/$X$8)&lt;=1.92,"NO ATÍPICO")</f>
        <v>NO ATÍPICO</v>
      </c>
      <c r="L301">
        <f t="shared" si="20"/>
        <v>300000</v>
      </c>
      <c r="M301" t="str">
        <f t="shared" si="24"/>
        <v>ASALARIADO</v>
      </c>
      <c r="N301">
        <f t="shared" si="21"/>
        <v>26</v>
      </c>
      <c r="O301" s="19" t="str">
        <f t="shared" si="22"/>
        <v>0–300k</v>
      </c>
      <c r="P301" s="19" t="str">
        <f t="shared" si="23"/>
        <v>26-35</v>
      </c>
    </row>
    <row r="302" spans="1:16" x14ac:dyDescent="0.25">
      <c r="A302">
        <v>301</v>
      </c>
      <c r="B302" t="s">
        <v>9</v>
      </c>
      <c r="C302">
        <v>1819599</v>
      </c>
      <c r="D302" t="s">
        <v>14</v>
      </c>
      <c r="E302" t="s">
        <v>11</v>
      </c>
      <c r="F302" t="s">
        <v>12</v>
      </c>
      <c r="G302" t="s">
        <v>13</v>
      </c>
      <c r="H302" t="s">
        <v>13</v>
      </c>
      <c r="I302">
        <v>80</v>
      </c>
      <c r="J302" t="str" cm="1">
        <f t="array" ref="J302">_xlfn.IFS(ISBLANK(C302),"FALTANTE",ABS((C302-$W$5)/$X$5)&gt;1.96,"ATÍPICO",ABS((C302-$W$5)/$X$5)&lt;=1.96,"NO ATÍPICO")</f>
        <v>NO ATÍPICO</v>
      </c>
      <c r="K302" t="str" cm="1">
        <f t="array" ref="K302">_xlfn.IFS(ISBLANK(I302),"FALTANTE",ABS((I302-$W$8)/$X$8)&gt;1.92,"ATÍPICO",ABS((I302-$W$8)/$X$8)&lt;=1.92,"NO ATÍPICO")</f>
        <v>ATÍPICO</v>
      </c>
      <c r="L302">
        <f t="shared" si="20"/>
        <v>1819599</v>
      </c>
      <c r="M302" t="str">
        <f t="shared" si="24"/>
        <v>PENSIONADOS EN SU PROPIO SISTEMA</v>
      </c>
      <c r="N302">
        <f t="shared" si="21"/>
        <v>80</v>
      </c>
      <c r="O302" s="19" t="str">
        <f t="shared" si="22"/>
        <v>1200k+</v>
      </c>
      <c r="P302" s="19" t="str">
        <f t="shared" si="23"/>
        <v>56+</v>
      </c>
    </row>
    <row r="303" spans="1:16" x14ac:dyDescent="0.25">
      <c r="A303">
        <v>302</v>
      </c>
      <c r="B303" t="s">
        <v>9</v>
      </c>
      <c r="C303">
        <v>551500</v>
      </c>
      <c r="D303" t="s">
        <v>10</v>
      </c>
      <c r="E303" t="s">
        <v>16</v>
      </c>
      <c r="F303" t="s">
        <v>12</v>
      </c>
      <c r="G303" t="s">
        <v>13</v>
      </c>
      <c r="H303" t="s">
        <v>13</v>
      </c>
      <c r="I303">
        <v>34</v>
      </c>
      <c r="J303" t="str" cm="1">
        <f t="array" ref="J303">_xlfn.IFS(ISBLANK(C303),"FALTANTE",ABS((C303-$W$5)/$X$5)&gt;1.96,"ATÍPICO",ABS((C303-$W$5)/$X$5)&lt;=1.96,"NO ATÍPICO")</f>
        <v>NO ATÍPICO</v>
      </c>
      <c r="K303" t="str" cm="1">
        <f t="array" ref="K303">_xlfn.IFS(ISBLANK(I303),"FALTANTE",ABS((I303-$W$8)/$X$8)&gt;1.92,"ATÍPICO",ABS((I303-$W$8)/$X$8)&lt;=1.92,"NO ATÍPICO")</f>
        <v>NO ATÍPICO</v>
      </c>
      <c r="L303">
        <f t="shared" si="20"/>
        <v>551500</v>
      </c>
      <c r="M303" t="str">
        <f t="shared" si="24"/>
        <v>ASALARIADO</v>
      </c>
      <c r="N303">
        <f t="shared" si="21"/>
        <v>34</v>
      </c>
      <c r="O303" s="19" t="str">
        <f t="shared" si="22"/>
        <v>300k–600k</v>
      </c>
      <c r="P303" s="19" t="str">
        <f t="shared" si="23"/>
        <v>26-35</v>
      </c>
    </row>
    <row r="304" spans="1:16" x14ac:dyDescent="0.25">
      <c r="A304">
        <v>303</v>
      </c>
      <c r="B304" t="s">
        <v>15</v>
      </c>
      <c r="C304">
        <v>338775.81</v>
      </c>
      <c r="D304" t="s">
        <v>10</v>
      </c>
      <c r="E304" t="s">
        <v>16</v>
      </c>
      <c r="F304" t="s">
        <v>12</v>
      </c>
      <c r="G304" t="s">
        <v>13</v>
      </c>
      <c r="H304" t="s">
        <v>13</v>
      </c>
      <c r="I304">
        <v>46</v>
      </c>
      <c r="J304" t="str" cm="1">
        <f t="array" ref="J304">_xlfn.IFS(ISBLANK(C304),"FALTANTE",ABS((C304-$W$5)/$X$5)&gt;1.96,"ATÍPICO",ABS((C304-$W$5)/$X$5)&lt;=1.96,"NO ATÍPICO")</f>
        <v>NO ATÍPICO</v>
      </c>
      <c r="K304" t="str" cm="1">
        <f t="array" ref="K304">_xlfn.IFS(ISBLANK(I304),"FALTANTE",ABS((I304-$W$8)/$X$8)&gt;1.92,"ATÍPICO",ABS((I304-$W$8)/$X$8)&lt;=1.92,"NO ATÍPICO")</f>
        <v>NO ATÍPICO</v>
      </c>
      <c r="L304">
        <f t="shared" si="20"/>
        <v>338775.81</v>
      </c>
      <c r="M304" t="str">
        <f t="shared" si="24"/>
        <v>ASALARIADO</v>
      </c>
      <c r="N304">
        <f t="shared" si="21"/>
        <v>46</v>
      </c>
      <c r="O304" s="19" t="str">
        <f t="shared" si="22"/>
        <v>300k–600k</v>
      </c>
      <c r="P304" s="19" t="str">
        <f t="shared" si="23"/>
        <v>46-55</v>
      </c>
    </row>
    <row r="305" spans="1:16" x14ac:dyDescent="0.25">
      <c r="A305">
        <v>304</v>
      </c>
      <c r="B305" t="s">
        <v>15</v>
      </c>
      <c r="C305">
        <v>278030</v>
      </c>
      <c r="D305" t="s">
        <v>19</v>
      </c>
      <c r="E305" t="s">
        <v>16</v>
      </c>
      <c r="F305" t="s">
        <v>12</v>
      </c>
      <c r="G305" t="s">
        <v>13</v>
      </c>
      <c r="H305" t="s">
        <v>13</v>
      </c>
      <c r="I305">
        <v>70</v>
      </c>
      <c r="J305" t="str" cm="1">
        <f t="array" ref="J305">_xlfn.IFS(ISBLANK(C305),"FALTANTE",ABS((C305-$W$5)/$X$5)&gt;1.96,"ATÍPICO",ABS((C305-$W$5)/$X$5)&lt;=1.96,"NO ATÍPICO")</f>
        <v>NO ATÍPICO</v>
      </c>
      <c r="K305" t="str" cm="1">
        <f t="array" ref="K305">_xlfn.IFS(ISBLANK(I305),"FALTANTE",ABS((I305-$W$8)/$X$8)&gt;1.92,"ATÍPICO",ABS((I305-$W$8)/$X$8)&lt;=1.92,"NO ATÍPICO")</f>
        <v>ATÍPICO</v>
      </c>
      <c r="L305">
        <f t="shared" si="20"/>
        <v>278030</v>
      </c>
      <c r="M305" t="str">
        <f t="shared" si="24"/>
        <v>CONVENIOS ESPECIALES DE TRABAJADORES INDEPENDIENTES</v>
      </c>
      <c r="N305">
        <f t="shared" si="21"/>
        <v>70</v>
      </c>
      <c r="O305" s="19" t="str">
        <f t="shared" si="22"/>
        <v>0–300k</v>
      </c>
      <c r="P305" s="19" t="str">
        <f t="shared" si="23"/>
        <v>56+</v>
      </c>
    </row>
    <row r="306" spans="1:16" x14ac:dyDescent="0.25">
      <c r="A306">
        <v>305</v>
      </c>
      <c r="B306" t="s">
        <v>15</v>
      </c>
      <c r="C306">
        <v>1068785</v>
      </c>
      <c r="D306" t="s">
        <v>14</v>
      </c>
      <c r="E306" t="s">
        <v>11</v>
      </c>
      <c r="F306" t="s">
        <v>12</v>
      </c>
      <c r="G306" t="s">
        <v>13</v>
      </c>
      <c r="H306" t="s">
        <v>13</v>
      </c>
      <c r="I306">
        <v>63</v>
      </c>
      <c r="J306" t="str" cm="1">
        <f t="array" ref="J306">_xlfn.IFS(ISBLANK(C306),"FALTANTE",ABS((C306-$W$5)/$X$5)&gt;1.96,"ATÍPICO",ABS((C306-$W$5)/$X$5)&lt;=1.96,"NO ATÍPICO")</f>
        <v>NO ATÍPICO</v>
      </c>
      <c r="K306" t="str" cm="1">
        <f t="array" ref="K306">_xlfn.IFS(ISBLANK(I306),"FALTANTE",ABS((I306-$W$8)/$X$8)&gt;1.92,"ATÍPICO",ABS((I306-$W$8)/$X$8)&lt;=1.92,"NO ATÍPICO")</f>
        <v>NO ATÍPICO</v>
      </c>
      <c r="L306">
        <f t="shared" si="20"/>
        <v>1068785</v>
      </c>
      <c r="M306" t="str">
        <f t="shared" si="24"/>
        <v>PENSIONADOS EN SU PROPIO SISTEMA</v>
      </c>
      <c r="N306">
        <f t="shared" si="21"/>
        <v>63</v>
      </c>
      <c r="O306" s="19" t="str">
        <f t="shared" si="22"/>
        <v>900k–1200k</v>
      </c>
      <c r="P306" s="19" t="str">
        <f t="shared" si="23"/>
        <v>56+</v>
      </c>
    </row>
    <row r="307" spans="1:16" x14ac:dyDescent="0.25">
      <c r="A307">
        <v>306</v>
      </c>
      <c r="B307" t="s">
        <v>9</v>
      </c>
      <c r="C307">
        <v>2549958.42</v>
      </c>
      <c r="D307" t="s">
        <v>10</v>
      </c>
      <c r="E307" t="s">
        <v>16</v>
      </c>
      <c r="F307" t="s">
        <v>12</v>
      </c>
      <c r="G307" t="s">
        <v>13</v>
      </c>
      <c r="H307" t="s">
        <v>13</v>
      </c>
      <c r="I307">
        <v>41</v>
      </c>
      <c r="J307" t="str" cm="1">
        <f t="array" ref="J307">_xlfn.IFS(ISBLANK(C307),"FALTANTE",ABS((C307-$W$5)/$X$5)&gt;1.96,"ATÍPICO",ABS((C307-$W$5)/$X$5)&lt;=1.96,"NO ATÍPICO")</f>
        <v>ATÍPICO</v>
      </c>
      <c r="K307" t="str" cm="1">
        <f t="array" ref="K307">_xlfn.IFS(ISBLANK(I307),"FALTANTE",ABS((I307-$W$8)/$X$8)&gt;1.92,"ATÍPICO",ABS((I307-$W$8)/$X$8)&lt;=1.92,"NO ATÍPICO")</f>
        <v>NO ATÍPICO</v>
      </c>
      <c r="L307">
        <f t="shared" si="20"/>
        <v>2549958.42</v>
      </c>
      <c r="M307" t="str">
        <f t="shared" si="24"/>
        <v>ASALARIADO</v>
      </c>
      <c r="N307">
        <f t="shared" si="21"/>
        <v>41</v>
      </c>
      <c r="O307" s="19" t="str">
        <f t="shared" si="22"/>
        <v>1200k+</v>
      </c>
      <c r="P307" s="19" t="str">
        <f t="shared" si="23"/>
        <v>36-45</v>
      </c>
    </row>
    <row r="308" spans="1:16" x14ac:dyDescent="0.25">
      <c r="A308">
        <v>307</v>
      </c>
      <c r="B308" t="s">
        <v>9</v>
      </c>
      <c r="C308">
        <v>181084</v>
      </c>
      <c r="D308" t="s">
        <v>10</v>
      </c>
      <c r="E308" t="s">
        <v>16</v>
      </c>
      <c r="F308" t="s">
        <v>12</v>
      </c>
      <c r="G308" t="s">
        <v>13</v>
      </c>
      <c r="H308" t="s">
        <v>13</v>
      </c>
      <c r="I308">
        <v>55</v>
      </c>
      <c r="J308" t="str" cm="1">
        <f t="array" ref="J308">_xlfn.IFS(ISBLANK(C308),"FALTANTE",ABS((C308-$W$5)/$X$5)&gt;1.96,"ATÍPICO",ABS((C308-$W$5)/$X$5)&lt;=1.96,"NO ATÍPICO")</f>
        <v>NO ATÍPICO</v>
      </c>
      <c r="K308" t="str" cm="1">
        <f t="array" ref="K308">_xlfn.IFS(ISBLANK(I308),"FALTANTE",ABS((I308-$W$8)/$X$8)&gt;1.92,"ATÍPICO",ABS((I308-$W$8)/$X$8)&lt;=1.92,"NO ATÍPICO")</f>
        <v>NO ATÍPICO</v>
      </c>
      <c r="L308">
        <f t="shared" si="20"/>
        <v>181084</v>
      </c>
      <c r="M308" t="str">
        <f t="shared" si="24"/>
        <v>ASALARIADO</v>
      </c>
      <c r="N308">
        <f t="shared" si="21"/>
        <v>55</v>
      </c>
      <c r="O308" s="19" t="str">
        <f t="shared" si="22"/>
        <v>0–300k</v>
      </c>
      <c r="P308" s="19" t="str">
        <f t="shared" si="23"/>
        <v>46-55</v>
      </c>
    </row>
    <row r="309" spans="1:16" x14ac:dyDescent="0.25">
      <c r="A309">
        <v>308</v>
      </c>
      <c r="B309" t="s">
        <v>9</v>
      </c>
      <c r="C309">
        <v>1059381.6000000001</v>
      </c>
      <c r="D309" t="s">
        <v>10</v>
      </c>
      <c r="E309" t="s">
        <v>16</v>
      </c>
      <c r="F309" t="s">
        <v>12</v>
      </c>
      <c r="G309" t="s">
        <v>13</v>
      </c>
      <c r="H309" t="s">
        <v>13</v>
      </c>
      <c r="I309">
        <v>28</v>
      </c>
      <c r="J309" t="str" cm="1">
        <f t="array" ref="J309">_xlfn.IFS(ISBLANK(C309),"FALTANTE",ABS((C309-$W$5)/$X$5)&gt;1.96,"ATÍPICO",ABS((C309-$W$5)/$X$5)&lt;=1.96,"NO ATÍPICO")</f>
        <v>NO ATÍPICO</v>
      </c>
      <c r="K309" t="str" cm="1">
        <f t="array" ref="K309">_xlfn.IFS(ISBLANK(I309),"FALTANTE",ABS((I309-$W$8)/$X$8)&gt;1.92,"ATÍPICO",ABS((I309-$W$8)/$X$8)&lt;=1.92,"NO ATÍPICO")</f>
        <v>NO ATÍPICO</v>
      </c>
      <c r="L309">
        <f t="shared" si="20"/>
        <v>1059381.6000000001</v>
      </c>
      <c r="M309" t="str">
        <f t="shared" si="24"/>
        <v>ASALARIADO</v>
      </c>
      <c r="N309">
        <f t="shared" si="21"/>
        <v>28</v>
      </c>
      <c r="O309" s="19" t="str">
        <f t="shared" si="22"/>
        <v>900k–1200k</v>
      </c>
      <c r="P309" s="19" t="str">
        <f t="shared" si="23"/>
        <v>26-35</v>
      </c>
    </row>
    <row r="310" spans="1:16" x14ac:dyDescent="0.25">
      <c r="A310">
        <v>309</v>
      </c>
      <c r="B310" t="s">
        <v>9</v>
      </c>
      <c r="C310">
        <v>343178</v>
      </c>
      <c r="D310" t="s">
        <v>10</v>
      </c>
      <c r="E310" t="s">
        <v>16</v>
      </c>
      <c r="F310" t="s">
        <v>12</v>
      </c>
      <c r="G310" t="s">
        <v>13</v>
      </c>
      <c r="H310" t="s">
        <v>12</v>
      </c>
      <c r="I310">
        <v>32</v>
      </c>
      <c r="J310" t="str" cm="1">
        <f t="array" ref="J310">_xlfn.IFS(ISBLANK(C310),"FALTANTE",ABS((C310-$W$5)/$X$5)&gt;1.96,"ATÍPICO",ABS((C310-$W$5)/$X$5)&lt;=1.96,"NO ATÍPICO")</f>
        <v>NO ATÍPICO</v>
      </c>
      <c r="K310" t="str" cm="1">
        <f t="array" ref="K310">_xlfn.IFS(ISBLANK(I310),"FALTANTE",ABS((I310-$W$8)/$X$8)&gt;1.92,"ATÍPICO",ABS((I310-$W$8)/$X$8)&lt;=1.92,"NO ATÍPICO")</f>
        <v>NO ATÍPICO</v>
      </c>
      <c r="L310">
        <f t="shared" si="20"/>
        <v>343178</v>
      </c>
      <c r="M310" t="str">
        <f t="shared" si="24"/>
        <v>ASALARIADO</v>
      </c>
      <c r="N310">
        <f t="shared" si="21"/>
        <v>32</v>
      </c>
      <c r="O310" s="19" t="str">
        <f t="shared" si="22"/>
        <v>300k–600k</v>
      </c>
      <c r="P310" s="19" t="str">
        <f t="shared" si="23"/>
        <v>26-35</v>
      </c>
    </row>
    <row r="311" spans="1:16" x14ac:dyDescent="0.25">
      <c r="A311">
        <v>310</v>
      </c>
      <c r="B311" t="s">
        <v>9</v>
      </c>
      <c r="C311">
        <v>606620</v>
      </c>
      <c r="D311" t="s">
        <v>10</v>
      </c>
      <c r="E311" t="s">
        <v>16</v>
      </c>
      <c r="F311" t="s">
        <v>12</v>
      </c>
      <c r="G311" t="s">
        <v>13</v>
      </c>
      <c r="H311" t="s">
        <v>13</v>
      </c>
      <c r="I311">
        <v>20</v>
      </c>
      <c r="J311" t="str" cm="1">
        <f t="array" ref="J311">_xlfn.IFS(ISBLANK(C311),"FALTANTE",ABS((C311-$W$5)/$X$5)&gt;1.96,"ATÍPICO",ABS((C311-$W$5)/$X$5)&lt;=1.96,"NO ATÍPICO")</f>
        <v>NO ATÍPICO</v>
      </c>
      <c r="K311" t="str" cm="1">
        <f t="array" ref="K311">_xlfn.IFS(ISBLANK(I311),"FALTANTE",ABS((I311-$W$8)/$X$8)&gt;1.92,"ATÍPICO",ABS((I311-$W$8)/$X$8)&lt;=1.92,"NO ATÍPICO")</f>
        <v>NO ATÍPICO</v>
      </c>
      <c r="L311">
        <f t="shared" si="20"/>
        <v>606620</v>
      </c>
      <c r="M311" t="str">
        <f t="shared" si="24"/>
        <v>ASALARIADO</v>
      </c>
      <c r="N311">
        <f t="shared" si="21"/>
        <v>20</v>
      </c>
      <c r="O311" s="19" t="str">
        <f t="shared" si="22"/>
        <v>600k–900k</v>
      </c>
      <c r="P311" s="19" t="str">
        <f t="shared" si="23"/>
        <v>18-25</v>
      </c>
    </row>
    <row r="312" spans="1:16" x14ac:dyDescent="0.25">
      <c r="A312">
        <v>311</v>
      </c>
      <c r="B312" t="s">
        <v>9</v>
      </c>
      <c r="C312">
        <v>320524.5</v>
      </c>
      <c r="D312" t="s">
        <v>10</v>
      </c>
      <c r="E312" t="s">
        <v>16</v>
      </c>
      <c r="F312" t="s">
        <v>12</v>
      </c>
      <c r="G312" t="s">
        <v>13</v>
      </c>
      <c r="H312" t="s">
        <v>13</v>
      </c>
      <c r="I312">
        <v>29</v>
      </c>
      <c r="J312" t="str" cm="1">
        <f t="array" ref="J312">_xlfn.IFS(ISBLANK(C312),"FALTANTE",ABS((C312-$W$5)/$X$5)&gt;1.96,"ATÍPICO",ABS((C312-$W$5)/$X$5)&lt;=1.96,"NO ATÍPICO")</f>
        <v>NO ATÍPICO</v>
      </c>
      <c r="K312" t="str" cm="1">
        <f t="array" ref="K312">_xlfn.IFS(ISBLANK(I312),"FALTANTE",ABS((I312-$W$8)/$X$8)&gt;1.92,"ATÍPICO",ABS((I312-$W$8)/$X$8)&lt;=1.92,"NO ATÍPICO")</f>
        <v>NO ATÍPICO</v>
      </c>
      <c r="L312">
        <f t="shared" si="20"/>
        <v>320524.5</v>
      </c>
      <c r="M312" t="str">
        <f t="shared" si="24"/>
        <v>ASALARIADO</v>
      </c>
      <c r="N312">
        <f t="shared" si="21"/>
        <v>29</v>
      </c>
      <c r="O312" s="19" t="str">
        <f t="shared" si="22"/>
        <v>300k–600k</v>
      </c>
      <c r="P312" s="19" t="str">
        <f t="shared" si="23"/>
        <v>26-35</v>
      </c>
    </row>
    <row r="313" spans="1:16" x14ac:dyDescent="0.25">
      <c r="A313">
        <v>312</v>
      </c>
      <c r="B313" t="s">
        <v>15</v>
      </c>
      <c r="C313">
        <v>1171666.67</v>
      </c>
      <c r="D313" t="s">
        <v>10</v>
      </c>
      <c r="E313" t="s">
        <v>16</v>
      </c>
      <c r="F313" t="s">
        <v>12</v>
      </c>
      <c r="G313" t="s">
        <v>13</v>
      </c>
      <c r="H313" t="s">
        <v>13</v>
      </c>
      <c r="I313">
        <v>51</v>
      </c>
      <c r="J313" t="str" cm="1">
        <f t="array" ref="J313">_xlfn.IFS(ISBLANK(C313),"FALTANTE",ABS((C313-$W$5)/$X$5)&gt;1.96,"ATÍPICO",ABS((C313-$W$5)/$X$5)&lt;=1.96,"NO ATÍPICO")</f>
        <v>NO ATÍPICO</v>
      </c>
      <c r="K313" t="str" cm="1">
        <f t="array" ref="K313">_xlfn.IFS(ISBLANK(I313),"FALTANTE",ABS((I313-$W$8)/$X$8)&gt;1.92,"ATÍPICO",ABS((I313-$W$8)/$X$8)&lt;=1.92,"NO ATÍPICO")</f>
        <v>NO ATÍPICO</v>
      </c>
      <c r="L313">
        <f t="shared" si="20"/>
        <v>1171666.67</v>
      </c>
      <c r="M313" t="str">
        <f t="shared" si="24"/>
        <v>ASALARIADO</v>
      </c>
      <c r="N313">
        <f t="shared" si="21"/>
        <v>51</v>
      </c>
      <c r="O313" s="19" t="str">
        <f t="shared" si="22"/>
        <v>900k–1200k</v>
      </c>
      <c r="P313" s="19" t="str">
        <f t="shared" si="23"/>
        <v>46-55</v>
      </c>
    </row>
    <row r="314" spans="1:16" x14ac:dyDescent="0.25">
      <c r="A314">
        <v>313</v>
      </c>
      <c r="B314" t="s">
        <v>15</v>
      </c>
      <c r="C314">
        <v>113848</v>
      </c>
      <c r="D314" t="s">
        <v>10</v>
      </c>
      <c r="E314" t="s">
        <v>16</v>
      </c>
      <c r="F314" t="s">
        <v>12</v>
      </c>
      <c r="G314" t="s">
        <v>13</v>
      </c>
      <c r="H314" t="s">
        <v>13</v>
      </c>
      <c r="I314">
        <v>31</v>
      </c>
      <c r="J314" t="str" cm="1">
        <f t="array" ref="J314">_xlfn.IFS(ISBLANK(C314),"FALTANTE",ABS((C314-$W$5)/$X$5)&gt;1.96,"ATÍPICO",ABS((C314-$W$5)/$X$5)&lt;=1.96,"NO ATÍPICO")</f>
        <v>NO ATÍPICO</v>
      </c>
      <c r="K314" t="str" cm="1">
        <f t="array" ref="K314">_xlfn.IFS(ISBLANK(I314),"FALTANTE",ABS((I314-$W$8)/$X$8)&gt;1.92,"ATÍPICO",ABS((I314-$W$8)/$X$8)&lt;=1.92,"NO ATÍPICO")</f>
        <v>NO ATÍPICO</v>
      </c>
      <c r="L314">
        <f t="shared" si="20"/>
        <v>113848</v>
      </c>
      <c r="M314" t="str">
        <f t="shared" si="24"/>
        <v>ASALARIADO</v>
      </c>
      <c r="N314">
        <f t="shared" si="21"/>
        <v>31</v>
      </c>
      <c r="O314" s="19" t="str">
        <f t="shared" si="22"/>
        <v>0–300k</v>
      </c>
      <c r="P314" s="19" t="str">
        <f t="shared" si="23"/>
        <v>26-35</v>
      </c>
    </row>
    <row r="315" spans="1:16" x14ac:dyDescent="0.25">
      <c r="A315">
        <v>314</v>
      </c>
      <c r="B315" t="s">
        <v>9</v>
      </c>
      <c r="C315">
        <v>391476</v>
      </c>
      <c r="D315" t="s">
        <v>10</v>
      </c>
      <c r="E315" t="s">
        <v>11</v>
      </c>
      <c r="F315" t="s">
        <v>12</v>
      </c>
      <c r="G315" t="s">
        <v>13</v>
      </c>
      <c r="H315" t="s">
        <v>13</v>
      </c>
      <c r="I315">
        <v>60</v>
      </c>
      <c r="J315" t="str" cm="1">
        <f t="array" ref="J315">_xlfn.IFS(ISBLANK(C315),"FALTANTE",ABS((C315-$W$5)/$X$5)&gt;1.96,"ATÍPICO",ABS((C315-$W$5)/$X$5)&lt;=1.96,"NO ATÍPICO")</f>
        <v>NO ATÍPICO</v>
      </c>
      <c r="K315" t="str" cm="1">
        <f t="array" ref="K315">_xlfn.IFS(ISBLANK(I315),"FALTANTE",ABS((I315-$W$8)/$X$8)&gt;1.92,"ATÍPICO",ABS((I315-$W$8)/$X$8)&lt;=1.92,"NO ATÍPICO")</f>
        <v>NO ATÍPICO</v>
      </c>
      <c r="L315">
        <f t="shared" si="20"/>
        <v>391476</v>
      </c>
      <c r="M315" t="str">
        <f t="shared" si="24"/>
        <v>ASALARIADO</v>
      </c>
      <c r="N315">
        <f t="shared" si="21"/>
        <v>60</v>
      </c>
      <c r="O315" s="19" t="str">
        <f t="shared" si="22"/>
        <v>300k–600k</v>
      </c>
      <c r="P315" s="19" t="str">
        <f t="shared" si="23"/>
        <v>56+</v>
      </c>
    </row>
    <row r="316" spans="1:16" x14ac:dyDescent="0.25">
      <c r="A316">
        <v>315</v>
      </c>
      <c r="B316" t="s">
        <v>15</v>
      </c>
      <c r="C316">
        <v>558250</v>
      </c>
      <c r="D316" t="s">
        <v>10</v>
      </c>
      <c r="E316" t="s">
        <v>16</v>
      </c>
      <c r="F316" t="s">
        <v>12</v>
      </c>
      <c r="G316" t="s">
        <v>13</v>
      </c>
      <c r="H316" t="s">
        <v>13</v>
      </c>
      <c r="I316">
        <v>28</v>
      </c>
      <c r="J316" t="str" cm="1">
        <f t="array" ref="J316">_xlfn.IFS(ISBLANK(C316),"FALTANTE",ABS((C316-$W$5)/$X$5)&gt;1.96,"ATÍPICO",ABS((C316-$W$5)/$X$5)&lt;=1.96,"NO ATÍPICO")</f>
        <v>NO ATÍPICO</v>
      </c>
      <c r="K316" t="str" cm="1">
        <f t="array" ref="K316">_xlfn.IFS(ISBLANK(I316),"FALTANTE",ABS((I316-$W$8)/$X$8)&gt;1.92,"ATÍPICO",ABS((I316-$W$8)/$X$8)&lt;=1.92,"NO ATÍPICO")</f>
        <v>NO ATÍPICO</v>
      </c>
      <c r="L316">
        <f t="shared" si="20"/>
        <v>558250</v>
      </c>
      <c r="M316" t="str">
        <f t="shared" si="24"/>
        <v>ASALARIADO</v>
      </c>
      <c r="N316">
        <f t="shared" si="21"/>
        <v>28</v>
      </c>
      <c r="O316" s="19" t="str">
        <f t="shared" si="22"/>
        <v>300k–600k</v>
      </c>
      <c r="P316" s="19" t="str">
        <f t="shared" si="23"/>
        <v>26-35</v>
      </c>
    </row>
    <row r="317" spans="1:16" x14ac:dyDescent="0.25">
      <c r="A317">
        <v>316</v>
      </c>
      <c r="B317" t="s">
        <v>9</v>
      </c>
      <c r="C317">
        <v>313164</v>
      </c>
      <c r="D317" t="s">
        <v>10</v>
      </c>
      <c r="E317" t="s">
        <v>16</v>
      </c>
      <c r="F317" t="s">
        <v>12</v>
      </c>
      <c r="G317" t="s">
        <v>13</v>
      </c>
      <c r="H317" t="s">
        <v>13</v>
      </c>
      <c r="I317">
        <v>56</v>
      </c>
      <c r="J317" t="str" cm="1">
        <f t="array" ref="J317">_xlfn.IFS(ISBLANK(C317),"FALTANTE",ABS((C317-$W$5)/$X$5)&gt;1.96,"ATÍPICO",ABS((C317-$W$5)/$X$5)&lt;=1.96,"NO ATÍPICO")</f>
        <v>NO ATÍPICO</v>
      </c>
      <c r="K317" t="str" cm="1">
        <f t="array" ref="K317">_xlfn.IFS(ISBLANK(I317),"FALTANTE",ABS((I317-$W$8)/$X$8)&gt;1.92,"ATÍPICO",ABS((I317-$W$8)/$X$8)&lt;=1.92,"NO ATÍPICO")</f>
        <v>NO ATÍPICO</v>
      </c>
      <c r="L317">
        <f t="shared" si="20"/>
        <v>313164</v>
      </c>
      <c r="M317" t="str">
        <f t="shared" si="24"/>
        <v>ASALARIADO</v>
      </c>
      <c r="N317">
        <f t="shared" si="21"/>
        <v>56</v>
      </c>
      <c r="O317" s="19" t="str">
        <f t="shared" si="22"/>
        <v>300k–600k</v>
      </c>
      <c r="P317" s="19" t="str">
        <f t="shared" si="23"/>
        <v>56+</v>
      </c>
    </row>
    <row r="318" spans="1:16" x14ac:dyDescent="0.25">
      <c r="A318">
        <v>317</v>
      </c>
      <c r="B318" t="s">
        <v>9</v>
      </c>
      <c r="C318">
        <v>433000</v>
      </c>
      <c r="D318" t="s">
        <v>10</v>
      </c>
      <c r="E318" t="s">
        <v>16</v>
      </c>
      <c r="F318" t="s">
        <v>12</v>
      </c>
      <c r="G318" t="s">
        <v>13</v>
      </c>
      <c r="H318" t="s">
        <v>13</v>
      </c>
      <c r="I318">
        <v>45</v>
      </c>
      <c r="J318" t="str" cm="1">
        <f t="array" ref="J318">_xlfn.IFS(ISBLANK(C318),"FALTANTE",ABS((C318-$W$5)/$X$5)&gt;1.96,"ATÍPICO",ABS((C318-$W$5)/$X$5)&lt;=1.96,"NO ATÍPICO")</f>
        <v>NO ATÍPICO</v>
      </c>
      <c r="K318" t="str" cm="1">
        <f t="array" ref="K318">_xlfn.IFS(ISBLANK(I318),"FALTANTE",ABS((I318-$W$8)/$X$8)&gt;1.92,"ATÍPICO",ABS((I318-$W$8)/$X$8)&lt;=1.92,"NO ATÍPICO")</f>
        <v>NO ATÍPICO</v>
      </c>
      <c r="L318">
        <f t="shared" si="20"/>
        <v>433000</v>
      </c>
      <c r="M318" t="str">
        <f t="shared" si="24"/>
        <v>ASALARIADO</v>
      </c>
      <c r="N318">
        <f t="shared" si="21"/>
        <v>45</v>
      </c>
      <c r="O318" s="19" t="str">
        <f t="shared" si="22"/>
        <v>300k–600k</v>
      </c>
      <c r="P318" s="19" t="str">
        <f t="shared" si="23"/>
        <v>36-45</v>
      </c>
    </row>
    <row r="319" spans="1:16" x14ac:dyDescent="0.25">
      <c r="A319">
        <v>318</v>
      </c>
      <c r="B319" t="s">
        <v>9</v>
      </c>
      <c r="C319">
        <v>124453.88</v>
      </c>
      <c r="D319" t="s">
        <v>10</v>
      </c>
      <c r="E319" t="s">
        <v>16</v>
      </c>
      <c r="F319" t="s">
        <v>12</v>
      </c>
      <c r="G319" t="s">
        <v>13</v>
      </c>
      <c r="H319" t="s">
        <v>13</v>
      </c>
      <c r="I319">
        <v>40</v>
      </c>
      <c r="J319" t="str" cm="1">
        <f t="array" ref="J319">_xlfn.IFS(ISBLANK(C319),"FALTANTE",ABS((C319-$W$5)/$X$5)&gt;1.96,"ATÍPICO",ABS((C319-$W$5)/$X$5)&lt;=1.96,"NO ATÍPICO")</f>
        <v>NO ATÍPICO</v>
      </c>
      <c r="K319" t="str" cm="1">
        <f t="array" ref="K319">_xlfn.IFS(ISBLANK(I319),"FALTANTE",ABS((I319-$W$8)/$X$8)&gt;1.92,"ATÍPICO",ABS((I319-$W$8)/$X$8)&lt;=1.92,"NO ATÍPICO")</f>
        <v>NO ATÍPICO</v>
      </c>
      <c r="L319">
        <f t="shared" si="20"/>
        <v>124453.88</v>
      </c>
      <c r="M319" t="str">
        <f t="shared" si="24"/>
        <v>ASALARIADO</v>
      </c>
      <c r="N319">
        <f t="shared" si="21"/>
        <v>40</v>
      </c>
      <c r="O319" s="19" t="str">
        <f t="shared" si="22"/>
        <v>0–300k</v>
      </c>
      <c r="P319" s="19" t="str">
        <f t="shared" si="23"/>
        <v>36-45</v>
      </c>
    </row>
    <row r="320" spans="1:16" x14ac:dyDescent="0.25">
      <c r="A320">
        <v>319</v>
      </c>
      <c r="B320" t="s">
        <v>15</v>
      </c>
      <c r="C320">
        <v>382136</v>
      </c>
      <c r="D320" t="s">
        <v>18</v>
      </c>
      <c r="E320" t="s">
        <v>16</v>
      </c>
      <c r="F320" t="s">
        <v>12</v>
      </c>
      <c r="G320" t="s">
        <v>13</v>
      </c>
      <c r="H320" t="s">
        <v>12</v>
      </c>
      <c r="I320">
        <v>42</v>
      </c>
      <c r="J320" t="str" cm="1">
        <f t="array" ref="J320">_xlfn.IFS(ISBLANK(C320),"FALTANTE",ABS((C320-$W$5)/$X$5)&gt;1.96,"ATÍPICO",ABS((C320-$W$5)/$X$5)&lt;=1.96,"NO ATÍPICO")</f>
        <v>NO ATÍPICO</v>
      </c>
      <c r="K320" t="str" cm="1">
        <f t="array" ref="K320">_xlfn.IFS(ISBLANK(I320),"FALTANTE",ABS((I320-$W$8)/$X$8)&gt;1.92,"ATÍPICO",ABS((I320-$W$8)/$X$8)&lt;=1.92,"NO ATÍPICO")</f>
        <v>NO ATÍPICO</v>
      </c>
      <c r="L320">
        <f t="shared" si="20"/>
        <v>382136</v>
      </c>
      <c r="M320" t="str">
        <f t="shared" si="24"/>
        <v>TRABAJADOR INDEPENDIENTE</v>
      </c>
      <c r="N320">
        <f t="shared" si="21"/>
        <v>42</v>
      </c>
      <c r="O320" s="19" t="str">
        <f t="shared" si="22"/>
        <v>300k–600k</v>
      </c>
      <c r="P320" s="19" t="str">
        <f t="shared" si="23"/>
        <v>36-45</v>
      </c>
    </row>
    <row r="321" spans="1:16" x14ac:dyDescent="0.25">
      <c r="A321">
        <v>320</v>
      </c>
      <c r="B321" t="s">
        <v>9</v>
      </c>
      <c r="C321">
        <v>297046</v>
      </c>
      <c r="D321" t="s">
        <v>18</v>
      </c>
      <c r="E321" t="s">
        <v>16</v>
      </c>
      <c r="F321" t="s">
        <v>12</v>
      </c>
      <c r="G321" t="s">
        <v>13</v>
      </c>
      <c r="H321" t="s">
        <v>13</v>
      </c>
      <c r="I321">
        <v>50</v>
      </c>
      <c r="J321" t="str" cm="1">
        <f t="array" ref="J321">_xlfn.IFS(ISBLANK(C321),"FALTANTE",ABS((C321-$W$5)/$X$5)&gt;1.96,"ATÍPICO",ABS((C321-$W$5)/$X$5)&lt;=1.96,"NO ATÍPICO")</f>
        <v>NO ATÍPICO</v>
      </c>
      <c r="K321" t="str" cm="1">
        <f t="array" ref="K321">_xlfn.IFS(ISBLANK(I321),"FALTANTE",ABS((I321-$W$8)/$X$8)&gt;1.92,"ATÍPICO",ABS((I321-$W$8)/$X$8)&lt;=1.92,"NO ATÍPICO")</f>
        <v>NO ATÍPICO</v>
      </c>
      <c r="L321">
        <f t="shared" si="20"/>
        <v>297046</v>
      </c>
      <c r="M321" t="str">
        <f t="shared" si="24"/>
        <v>TRABAJADOR INDEPENDIENTE</v>
      </c>
      <c r="N321">
        <f t="shared" si="21"/>
        <v>50</v>
      </c>
      <c r="O321" s="19" t="str">
        <f t="shared" si="22"/>
        <v>0–300k</v>
      </c>
      <c r="P321" s="19" t="str">
        <f t="shared" si="23"/>
        <v>46-55</v>
      </c>
    </row>
    <row r="322" spans="1:16" x14ac:dyDescent="0.25">
      <c r="A322">
        <v>321</v>
      </c>
      <c r="B322" t="s">
        <v>9</v>
      </c>
      <c r="C322">
        <v>401814.2</v>
      </c>
      <c r="D322" t="s">
        <v>10</v>
      </c>
      <c r="E322" t="s">
        <v>16</v>
      </c>
      <c r="F322" t="s">
        <v>12</v>
      </c>
      <c r="G322" t="s">
        <v>13</v>
      </c>
      <c r="H322" t="s">
        <v>13</v>
      </c>
      <c r="I322">
        <v>46</v>
      </c>
      <c r="J322" t="str" cm="1">
        <f t="array" ref="J322">_xlfn.IFS(ISBLANK(C322),"FALTANTE",ABS((C322-$W$5)/$X$5)&gt;1.96,"ATÍPICO",ABS((C322-$W$5)/$X$5)&lt;=1.96,"NO ATÍPICO")</f>
        <v>NO ATÍPICO</v>
      </c>
      <c r="K322" t="str" cm="1">
        <f t="array" ref="K322">_xlfn.IFS(ISBLANK(I322),"FALTANTE",ABS((I322-$W$8)/$X$8)&gt;1.92,"ATÍPICO",ABS((I322-$W$8)/$X$8)&lt;=1.92,"NO ATÍPICO")</f>
        <v>NO ATÍPICO</v>
      </c>
      <c r="L322">
        <f t="shared" ref="L322:L385" si="25">C322</f>
        <v>401814.2</v>
      </c>
      <c r="M322" t="str">
        <f t="shared" si="24"/>
        <v>ASALARIADO</v>
      </c>
      <c r="N322">
        <f t="shared" ref="N322:N385" si="26">I322</f>
        <v>46</v>
      </c>
      <c r="O322" s="19" t="str">
        <f t="shared" ref="O322:O385" si="27">IF(L322&lt;=300000,"0–300k",IF(L322&lt;=600000,"300k–600k",IF(L322&lt;=900000,"600k–900k",IF(L322&lt;=1200000,"900k–1200k","1200k+"))))</f>
        <v>300k–600k</v>
      </c>
      <c r="P322" s="19" t="str">
        <f t="shared" ref="P322:P385" si="28">IF(N322 &lt;=25,"18-25", IF(N322&lt;=35,"26-35", IF(N322 &lt;=45,"36-45", IF(N322&lt;=55,"46-55","56+"))))</f>
        <v>46-55</v>
      </c>
    </row>
    <row r="323" spans="1:16" x14ac:dyDescent="0.25">
      <c r="A323">
        <v>322</v>
      </c>
      <c r="B323" t="s">
        <v>15</v>
      </c>
      <c r="C323">
        <v>1103954</v>
      </c>
      <c r="D323" t="s">
        <v>10</v>
      </c>
      <c r="E323" t="s">
        <v>11</v>
      </c>
      <c r="F323" t="s">
        <v>12</v>
      </c>
      <c r="G323" t="s">
        <v>13</v>
      </c>
      <c r="H323" t="s">
        <v>12</v>
      </c>
      <c r="I323">
        <v>60</v>
      </c>
      <c r="J323" t="str" cm="1">
        <f t="array" ref="J323">_xlfn.IFS(ISBLANK(C323),"FALTANTE",ABS((C323-$W$5)/$X$5)&gt;1.96,"ATÍPICO",ABS((C323-$W$5)/$X$5)&lt;=1.96,"NO ATÍPICO")</f>
        <v>NO ATÍPICO</v>
      </c>
      <c r="K323" t="str" cm="1">
        <f t="array" ref="K323">_xlfn.IFS(ISBLANK(I323),"FALTANTE",ABS((I323-$W$8)/$X$8)&gt;1.92,"ATÍPICO",ABS((I323-$W$8)/$X$8)&lt;=1.92,"NO ATÍPICO")</f>
        <v>NO ATÍPICO</v>
      </c>
      <c r="L323">
        <f t="shared" si="25"/>
        <v>1103954</v>
      </c>
      <c r="M323" t="str">
        <f t="shared" si="24"/>
        <v>ASALARIADO</v>
      </c>
      <c r="N323">
        <f t="shared" si="26"/>
        <v>60</v>
      </c>
      <c r="O323" s="19" t="str">
        <f t="shared" si="27"/>
        <v>900k–1200k</v>
      </c>
      <c r="P323" s="19" t="str">
        <f t="shared" si="28"/>
        <v>56+</v>
      </c>
    </row>
    <row r="324" spans="1:16" x14ac:dyDescent="0.25">
      <c r="A324">
        <v>323</v>
      </c>
      <c r="B324" t="s">
        <v>9</v>
      </c>
      <c r="C324">
        <v>207648</v>
      </c>
      <c r="D324" t="s">
        <v>10</v>
      </c>
      <c r="E324" t="s">
        <v>16</v>
      </c>
      <c r="F324" t="s">
        <v>12</v>
      </c>
      <c r="G324" t="s">
        <v>13</v>
      </c>
      <c r="H324" t="s">
        <v>13</v>
      </c>
      <c r="I324">
        <v>28</v>
      </c>
      <c r="J324" t="str" cm="1">
        <f t="array" ref="J324">_xlfn.IFS(ISBLANK(C324),"FALTANTE",ABS((C324-$W$5)/$X$5)&gt;1.96,"ATÍPICO",ABS((C324-$W$5)/$X$5)&lt;=1.96,"NO ATÍPICO")</f>
        <v>NO ATÍPICO</v>
      </c>
      <c r="K324" t="str" cm="1">
        <f t="array" ref="K324">_xlfn.IFS(ISBLANK(I324),"FALTANTE",ABS((I324-$W$8)/$X$8)&gt;1.92,"ATÍPICO",ABS((I324-$W$8)/$X$8)&lt;=1.92,"NO ATÍPICO")</f>
        <v>NO ATÍPICO</v>
      </c>
      <c r="L324">
        <f t="shared" si="25"/>
        <v>207648</v>
      </c>
      <c r="M324" t="str">
        <f t="shared" ref="M324:M387" si="29">D324</f>
        <v>ASALARIADO</v>
      </c>
      <c r="N324">
        <f t="shared" si="26"/>
        <v>28</v>
      </c>
      <c r="O324" s="19" t="str">
        <f t="shared" si="27"/>
        <v>0–300k</v>
      </c>
      <c r="P324" s="19" t="str">
        <f t="shared" si="28"/>
        <v>26-35</v>
      </c>
    </row>
    <row r="325" spans="1:16" x14ac:dyDescent="0.25">
      <c r="A325">
        <v>324</v>
      </c>
      <c r="B325" t="s">
        <v>9</v>
      </c>
      <c r="C325">
        <v>719752.5</v>
      </c>
      <c r="D325" t="s">
        <v>10</v>
      </c>
      <c r="E325" t="s">
        <v>11</v>
      </c>
      <c r="F325" t="s">
        <v>12</v>
      </c>
      <c r="G325" t="s">
        <v>13</v>
      </c>
      <c r="H325" t="s">
        <v>13</v>
      </c>
      <c r="I325">
        <v>39</v>
      </c>
      <c r="J325" t="str" cm="1">
        <f t="array" ref="J325">_xlfn.IFS(ISBLANK(C325),"FALTANTE",ABS((C325-$W$5)/$X$5)&gt;1.96,"ATÍPICO",ABS((C325-$W$5)/$X$5)&lt;=1.96,"NO ATÍPICO")</f>
        <v>NO ATÍPICO</v>
      </c>
      <c r="K325" t="str" cm="1">
        <f t="array" ref="K325">_xlfn.IFS(ISBLANK(I325),"FALTANTE",ABS((I325-$W$8)/$X$8)&gt;1.92,"ATÍPICO",ABS((I325-$W$8)/$X$8)&lt;=1.92,"NO ATÍPICO")</f>
        <v>NO ATÍPICO</v>
      </c>
      <c r="L325">
        <f t="shared" si="25"/>
        <v>719752.5</v>
      </c>
      <c r="M325" t="str">
        <f t="shared" si="29"/>
        <v>ASALARIADO</v>
      </c>
      <c r="N325">
        <f t="shared" si="26"/>
        <v>39</v>
      </c>
      <c r="O325" s="19" t="str">
        <f t="shared" si="27"/>
        <v>600k–900k</v>
      </c>
      <c r="P325" s="19" t="str">
        <f t="shared" si="28"/>
        <v>36-45</v>
      </c>
    </row>
    <row r="326" spans="1:16" x14ac:dyDescent="0.25">
      <c r="A326">
        <v>325</v>
      </c>
      <c r="B326" t="s">
        <v>15</v>
      </c>
      <c r="C326">
        <v>140000</v>
      </c>
      <c r="D326" t="s">
        <v>10</v>
      </c>
      <c r="E326" t="s">
        <v>16</v>
      </c>
      <c r="F326" t="s">
        <v>12</v>
      </c>
      <c r="G326" t="s">
        <v>12</v>
      </c>
      <c r="H326" t="s">
        <v>12</v>
      </c>
      <c r="I326">
        <v>49</v>
      </c>
      <c r="J326" t="str" cm="1">
        <f t="array" ref="J326">_xlfn.IFS(ISBLANK(C326),"FALTANTE",ABS((C326-$W$5)/$X$5)&gt;1.96,"ATÍPICO",ABS((C326-$W$5)/$X$5)&lt;=1.96,"NO ATÍPICO")</f>
        <v>NO ATÍPICO</v>
      </c>
      <c r="K326" t="str" cm="1">
        <f t="array" ref="K326">_xlfn.IFS(ISBLANK(I326),"FALTANTE",ABS((I326-$W$8)/$X$8)&gt;1.92,"ATÍPICO",ABS((I326-$W$8)/$X$8)&lt;=1.92,"NO ATÍPICO")</f>
        <v>NO ATÍPICO</v>
      </c>
      <c r="L326">
        <f t="shared" si="25"/>
        <v>140000</v>
      </c>
      <c r="M326" t="str">
        <f t="shared" si="29"/>
        <v>ASALARIADO</v>
      </c>
      <c r="N326">
        <f t="shared" si="26"/>
        <v>49</v>
      </c>
      <c r="O326" s="19" t="str">
        <f t="shared" si="27"/>
        <v>0–300k</v>
      </c>
      <c r="P326" s="19" t="str">
        <f t="shared" si="28"/>
        <v>46-55</v>
      </c>
    </row>
    <row r="327" spans="1:16" x14ac:dyDescent="0.25">
      <c r="A327">
        <v>326</v>
      </c>
      <c r="B327" t="s">
        <v>15</v>
      </c>
      <c r="C327">
        <v>1883093.97</v>
      </c>
      <c r="D327" t="s">
        <v>10</v>
      </c>
      <c r="E327" t="s">
        <v>16</v>
      </c>
      <c r="F327" t="s">
        <v>12</v>
      </c>
      <c r="G327" t="s">
        <v>13</v>
      </c>
      <c r="H327" t="s">
        <v>13</v>
      </c>
      <c r="I327">
        <v>34</v>
      </c>
      <c r="J327" t="str" cm="1">
        <f t="array" ref="J327">_xlfn.IFS(ISBLANK(C327),"FALTANTE",ABS((C327-$W$5)/$X$5)&gt;1.96,"ATÍPICO",ABS((C327-$W$5)/$X$5)&lt;=1.96,"NO ATÍPICO")</f>
        <v>NO ATÍPICO</v>
      </c>
      <c r="K327" t="str" cm="1">
        <f t="array" ref="K327">_xlfn.IFS(ISBLANK(I327),"FALTANTE",ABS((I327-$W$8)/$X$8)&gt;1.92,"ATÍPICO",ABS((I327-$W$8)/$X$8)&lt;=1.92,"NO ATÍPICO")</f>
        <v>NO ATÍPICO</v>
      </c>
      <c r="L327">
        <f t="shared" si="25"/>
        <v>1883093.97</v>
      </c>
      <c r="M327" t="str">
        <f t="shared" si="29"/>
        <v>ASALARIADO</v>
      </c>
      <c r="N327">
        <f t="shared" si="26"/>
        <v>34</v>
      </c>
      <c r="O327" s="19" t="str">
        <f t="shared" si="27"/>
        <v>1200k+</v>
      </c>
      <c r="P327" s="19" t="str">
        <f t="shared" si="28"/>
        <v>26-35</v>
      </c>
    </row>
    <row r="328" spans="1:16" x14ac:dyDescent="0.25">
      <c r="A328">
        <v>327</v>
      </c>
      <c r="B328" t="s">
        <v>15</v>
      </c>
      <c r="C328">
        <v>1366089.12</v>
      </c>
      <c r="D328" t="s">
        <v>14</v>
      </c>
      <c r="E328" t="s">
        <v>11</v>
      </c>
      <c r="F328" t="s">
        <v>12</v>
      </c>
      <c r="G328" t="s">
        <v>12</v>
      </c>
      <c r="H328" t="s">
        <v>13</v>
      </c>
      <c r="I328">
        <v>73</v>
      </c>
      <c r="J328" t="str" cm="1">
        <f t="array" ref="J328">_xlfn.IFS(ISBLANK(C328),"FALTANTE",ABS((C328-$W$5)/$X$5)&gt;1.96,"ATÍPICO",ABS((C328-$W$5)/$X$5)&lt;=1.96,"NO ATÍPICO")</f>
        <v>NO ATÍPICO</v>
      </c>
      <c r="K328" t="str" cm="1">
        <f t="array" ref="K328">_xlfn.IFS(ISBLANK(I328),"FALTANTE",ABS((I328-$W$8)/$X$8)&gt;1.92,"ATÍPICO",ABS((I328-$W$8)/$X$8)&lt;=1.92,"NO ATÍPICO")</f>
        <v>ATÍPICO</v>
      </c>
      <c r="L328">
        <f t="shared" si="25"/>
        <v>1366089.12</v>
      </c>
      <c r="M328" t="str">
        <f t="shared" si="29"/>
        <v>PENSIONADOS EN SU PROPIO SISTEMA</v>
      </c>
      <c r="N328">
        <f t="shared" si="26"/>
        <v>73</v>
      </c>
      <c r="O328" s="19" t="str">
        <f t="shared" si="27"/>
        <v>1200k+</v>
      </c>
      <c r="P328" s="19" t="str">
        <f t="shared" si="28"/>
        <v>56+</v>
      </c>
    </row>
    <row r="329" spans="1:16" x14ac:dyDescent="0.25">
      <c r="A329">
        <v>328</v>
      </c>
      <c r="B329" t="s">
        <v>9</v>
      </c>
      <c r="C329">
        <v>298155</v>
      </c>
      <c r="D329" t="s">
        <v>18</v>
      </c>
      <c r="E329" t="s">
        <v>16</v>
      </c>
      <c r="F329" t="s">
        <v>12</v>
      </c>
      <c r="G329" t="s">
        <v>13</v>
      </c>
      <c r="H329" t="s">
        <v>12</v>
      </c>
      <c r="I329">
        <v>39</v>
      </c>
      <c r="J329" t="str" cm="1">
        <f t="array" ref="J329">_xlfn.IFS(ISBLANK(C329),"FALTANTE",ABS((C329-$W$5)/$X$5)&gt;1.96,"ATÍPICO",ABS((C329-$W$5)/$X$5)&lt;=1.96,"NO ATÍPICO")</f>
        <v>NO ATÍPICO</v>
      </c>
      <c r="K329" t="str" cm="1">
        <f t="array" ref="K329">_xlfn.IFS(ISBLANK(I329),"FALTANTE",ABS((I329-$W$8)/$X$8)&gt;1.92,"ATÍPICO",ABS((I329-$W$8)/$X$8)&lt;=1.92,"NO ATÍPICO")</f>
        <v>NO ATÍPICO</v>
      </c>
      <c r="L329">
        <f t="shared" si="25"/>
        <v>298155</v>
      </c>
      <c r="M329" t="str">
        <f t="shared" si="29"/>
        <v>TRABAJADOR INDEPENDIENTE</v>
      </c>
      <c r="N329">
        <f t="shared" si="26"/>
        <v>39</v>
      </c>
      <c r="O329" s="19" t="str">
        <f t="shared" si="27"/>
        <v>0–300k</v>
      </c>
      <c r="P329" s="19" t="str">
        <f t="shared" si="28"/>
        <v>36-45</v>
      </c>
    </row>
    <row r="330" spans="1:16" x14ac:dyDescent="0.25">
      <c r="A330">
        <v>329</v>
      </c>
      <c r="B330" t="s">
        <v>9</v>
      </c>
      <c r="C330">
        <v>499999</v>
      </c>
      <c r="D330" t="s">
        <v>10</v>
      </c>
      <c r="E330" t="s">
        <v>16</v>
      </c>
      <c r="F330" t="s">
        <v>12</v>
      </c>
      <c r="G330" t="s">
        <v>13</v>
      </c>
      <c r="H330" t="s">
        <v>13</v>
      </c>
      <c r="I330">
        <v>31</v>
      </c>
      <c r="J330" t="str" cm="1">
        <f t="array" ref="J330">_xlfn.IFS(ISBLANK(C330),"FALTANTE",ABS((C330-$W$5)/$X$5)&gt;1.96,"ATÍPICO",ABS((C330-$W$5)/$X$5)&lt;=1.96,"NO ATÍPICO")</f>
        <v>NO ATÍPICO</v>
      </c>
      <c r="K330" t="str" cm="1">
        <f t="array" ref="K330">_xlfn.IFS(ISBLANK(I330),"FALTANTE",ABS((I330-$W$8)/$X$8)&gt;1.92,"ATÍPICO",ABS((I330-$W$8)/$X$8)&lt;=1.92,"NO ATÍPICO")</f>
        <v>NO ATÍPICO</v>
      </c>
      <c r="L330">
        <f t="shared" si="25"/>
        <v>499999</v>
      </c>
      <c r="M330" t="str">
        <f t="shared" si="29"/>
        <v>ASALARIADO</v>
      </c>
      <c r="N330">
        <f t="shared" si="26"/>
        <v>31</v>
      </c>
      <c r="O330" s="19" t="str">
        <f t="shared" si="27"/>
        <v>300k–600k</v>
      </c>
      <c r="P330" s="19" t="str">
        <f t="shared" si="28"/>
        <v>26-35</v>
      </c>
    </row>
    <row r="331" spans="1:16" x14ac:dyDescent="0.25">
      <c r="A331">
        <v>330</v>
      </c>
      <c r="B331" t="s">
        <v>9</v>
      </c>
      <c r="C331">
        <v>1340908</v>
      </c>
      <c r="D331" t="s">
        <v>10</v>
      </c>
      <c r="E331" t="s">
        <v>11</v>
      </c>
      <c r="F331" t="s">
        <v>12</v>
      </c>
      <c r="G331" t="s">
        <v>13</v>
      </c>
      <c r="H331" t="s">
        <v>13</v>
      </c>
      <c r="I331">
        <v>54</v>
      </c>
      <c r="J331" t="str" cm="1">
        <f t="array" ref="J331">_xlfn.IFS(ISBLANK(C331),"FALTANTE",ABS((C331-$W$5)/$X$5)&gt;1.96,"ATÍPICO",ABS((C331-$W$5)/$X$5)&lt;=1.96,"NO ATÍPICO")</f>
        <v>NO ATÍPICO</v>
      </c>
      <c r="K331" t="str" cm="1">
        <f t="array" ref="K331">_xlfn.IFS(ISBLANK(I331),"FALTANTE",ABS((I331-$W$8)/$X$8)&gt;1.92,"ATÍPICO",ABS((I331-$W$8)/$X$8)&lt;=1.92,"NO ATÍPICO")</f>
        <v>NO ATÍPICO</v>
      </c>
      <c r="L331">
        <f t="shared" si="25"/>
        <v>1340908</v>
      </c>
      <c r="M331" t="str">
        <f t="shared" si="29"/>
        <v>ASALARIADO</v>
      </c>
      <c r="N331">
        <f t="shared" si="26"/>
        <v>54</v>
      </c>
      <c r="O331" s="19" t="str">
        <f t="shared" si="27"/>
        <v>1200k+</v>
      </c>
      <c r="P331" s="19" t="str">
        <f t="shared" si="28"/>
        <v>46-55</v>
      </c>
    </row>
    <row r="332" spans="1:16" x14ac:dyDescent="0.25">
      <c r="A332">
        <v>331</v>
      </c>
      <c r="B332" t="s">
        <v>9</v>
      </c>
      <c r="C332">
        <v>300000</v>
      </c>
      <c r="D332" t="s">
        <v>10</v>
      </c>
      <c r="E332" t="s">
        <v>16</v>
      </c>
      <c r="F332" t="s">
        <v>12</v>
      </c>
      <c r="G332" t="s">
        <v>12</v>
      </c>
      <c r="H332" t="s">
        <v>13</v>
      </c>
      <c r="I332">
        <v>28</v>
      </c>
      <c r="J332" t="str" cm="1">
        <f t="array" ref="J332">_xlfn.IFS(ISBLANK(C332),"FALTANTE",ABS((C332-$W$5)/$X$5)&gt;1.96,"ATÍPICO",ABS((C332-$W$5)/$X$5)&lt;=1.96,"NO ATÍPICO")</f>
        <v>NO ATÍPICO</v>
      </c>
      <c r="K332" t="str" cm="1">
        <f t="array" ref="K332">_xlfn.IFS(ISBLANK(I332),"FALTANTE",ABS((I332-$W$8)/$X$8)&gt;1.92,"ATÍPICO",ABS((I332-$W$8)/$X$8)&lt;=1.92,"NO ATÍPICO")</f>
        <v>NO ATÍPICO</v>
      </c>
      <c r="L332">
        <f t="shared" si="25"/>
        <v>300000</v>
      </c>
      <c r="M332" t="str">
        <f t="shared" si="29"/>
        <v>ASALARIADO</v>
      </c>
      <c r="N332">
        <f t="shared" si="26"/>
        <v>28</v>
      </c>
      <c r="O332" s="19" t="str">
        <f t="shared" si="27"/>
        <v>0–300k</v>
      </c>
      <c r="P332" s="19" t="str">
        <f t="shared" si="28"/>
        <v>26-35</v>
      </c>
    </row>
    <row r="333" spans="1:16" x14ac:dyDescent="0.25">
      <c r="A333">
        <v>332</v>
      </c>
      <c r="B333" t="s">
        <v>15</v>
      </c>
      <c r="C333">
        <v>297046</v>
      </c>
      <c r="D333" t="s">
        <v>17</v>
      </c>
      <c r="E333" t="s">
        <v>16</v>
      </c>
      <c r="F333" t="s">
        <v>12</v>
      </c>
      <c r="G333" t="s">
        <v>12</v>
      </c>
      <c r="H333" t="s">
        <v>13</v>
      </c>
      <c r="I333">
        <v>27</v>
      </c>
      <c r="J333" t="str" cm="1">
        <f t="array" ref="J333">_xlfn.IFS(ISBLANK(C333),"FALTANTE",ABS((C333-$W$5)/$X$5)&gt;1.96,"ATÍPICO",ABS((C333-$W$5)/$X$5)&lt;=1.96,"NO ATÍPICO")</f>
        <v>NO ATÍPICO</v>
      </c>
      <c r="K333" t="str" cm="1">
        <f t="array" ref="K333">_xlfn.IFS(ISBLANK(I333),"FALTANTE",ABS((I333-$W$8)/$X$8)&gt;1.92,"ATÍPICO",ABS((I333-$W$8)/$X$8)&lt;=1.92,"NO ATÍPICO")</f>
        <v>NO ATÍPICO</v>
      </c>
      <c r="L333">
        <f t="shared" si="25"/>
        <v>297046</v>
      </c>
      <c r="M333" t="str">
        <f t="shared" si="29"/>
        <v>ASEGURADO VOLUNTARIO</v>
      </c>
      <c r="N333">
        <f t="shared" si="26"/>
        <v>27</v>
      </c>
      <c r="O333" s="19" t="str">
        <f t="shared" si="27"/>
        <v>0–300k</v>
      </c>
      <c r="P333" s="19" t="str">
        <f t="shared" si="28"/>
        <v>26-35</v>
      </c>
    </row>
    <row r="334" spans="1:16" x14ac:dyDescent="0.25">
      <c r="A334">
        <v>333</v>
      </c>
      <c r="B334" t="s">
        <v>9</v>
      </c>
      <c r="C334">
        <v>304232.90000000002</v>
      </c>
      <c r="D334" t="s">
        <v>10</v>
      </c>
      <c r="E334" t="s">
        <v>16</v>
      </c>
      <c r="F334" t="s">
        <v>12</v>
      </c>
      <c r="G334" t="s">
        <v>12</v>
      </c>
      <c r="H334" t="s">
        <v>13</v>
      </c>
      <c r="I334">
        <v>24</v>
      </c>
      <c r="J334" t="str" cm="1">
        <f t="array" ref="J334">_xlfn.IFS(ISBLANK(C334),"FALTANTE",ABS((C334-$W$5)/$X$5)&gt;1.96,"ATÍPICO",ABS((C334-$W$5)/$X$5)&lt;=1.96,"NO ATÍPICO")</f>
        <v>NO ATÍPICO</v>
      </c>
      <c r="K334" t="str" cm="1">
        <f t="array" ref="K334">_xlfn.IFS(ISBLANK(I334),"FALTANTE",ABS((I334-$W$8)/$X$8)&gt;1.92,"ATÍPICO",ABS((I334-$W$8)/$X$8)&lt;=1.92,"NO ATÍPICO")</f>
        <v>NO ATÍPICO</v>
      </c>
      <c r="L334">
        <f t="shared" si="25"/>
        <v>304232.90000000002</v>
      </c>
      <c r="M334" t="str">
        <f t="shared" si="29"/>
        <v>ASALARIADO</v>
      </c>
      <c r="N334">
        <f t="shared" si="26"/>
        <v>24</v>
      </c>
      <c r="O334" s="19" t="str">
        <f t="shared" si="27"/>
        <v>300k–600k</v>
      </c>
      <c r="P334" s="19" t="str">
        <f t="shared" si="28"/>
        <v>18-25</v>
      </c>
    </row>
    <row r="335" spans="1:16" x14ac:dyDescent="0.25">
      <c r="A335">
        <v>334</v>
      </c>
      <c r="B335" t="s">
        <v>9</v>
      </c>
      <c r="C335">
        <v>509509</v>
      </c>
      <c r="D335" t="s">
        <v>18</v>
      </c>
      <c r="E335" t="s">
        <v>16</v>
      </c>
      <c r="F335" t="s">
        <v>12</v>
      </c>
      <c r="G335" t="s">
        <v>13</v>
      </c>
      <c r="H335" t="s">
        <v>12</v>
      </c>
      <c r="I335">
        <v>35</v>
      </c>
      <c r="J335" t="str" cm="1">
        <f t="array" ref="J335">_xlfn.IFS(ISBLANK(C335),"FALTANTE",ABS((C335-$W$5)/$X$5)&gt;1.96,"ATÍPICO",ABS((C335-$W$5)/$X$5)&lt;=1.96,"NO ATÍPICO")</f>
        <v>NO ATÍPICO</v>
      </c>
      <c r="K335" t="str" cm="1">
        <f t="array" ref="K335">_xlfn.IFS(ISBLANK(I335),"FALTANTE",ABS((I335-$W$8)/$X$8)&gt;1.92,"ATÍPICO",ABS((I335-$W$8)/$X$8)&lt;=1.92,"NO ATÍPICO")</f>
        <v>NO ATÍPICO</v>
      </c>
      <c r="L335">
        <f t="shared" si="25"/>
        <v>509509</v>
      </c>
      <c r="M335" t="str">
        <f t="shared" si="29"/>
        <v>TRABAJADOR INDEPENDIENTE</v>
      </c>
      <c r="N335">
        <f t="shared" si="26"/>
        <v>35</v>
      </c>
      <c r="O335" s="19" t="str">
        <f t="shared" si="27"/>
        <v>300k–600k</v>
      </c>
      <c r="P335" s="19" t="str">
        <f t="shared" si="28"/>
        <v>26-35</v>
      </c>
    </row>
    <row r="336" spans="1:16" x14ac:dyDescent="0.25">
      <c r="A336">
        <v>335</v>
      </c>
      <c r="B336" t="s">
        <v>9</v>
      </c>
      <c r="C336">
        <v>1202425</v>
      </c>
      <c r="D336" t="s">
        <v>10</v>
      </c>
      <c r="E336" t="s">
        <v>11</v>
      </c>
      <c r="F336" t="s">
        <v>12</v>
      </c>
      <c r="G336" t="s">
        <v>13</v>
      </c>
      <c r="H336" t="s">
        <v>13</v>
      </c>
      <c r="I336">
        <v>40</v>
      </c>
      <c r="J336" t="str" cm="1">
        <f t="array" ref="J336">_xlfn.IFS(ISBLANK(C336),"FALTANTE",ABS((C336-$W$5)/$X$5)&gt;1.96,"ATÍPICO",ABS((C336-$W$5)/$X$5)&lt;=1.96,"NO ATÍPICO")</f>
        <v>NO ATÍPICO</v>
      </c>
      <c r="K336" t="str" cm="1">
        <f t="array" ref="K336">_xlfn.IFS(ISBLANK(I336),"FALTANTE",ABS((I336-$W$8)/$X$8)&gt;1.92,"ATÍPICO",ABS((I336-$W$8)/$X$8)&lt;=1.92,"NO ATÍPICO")</f>
        <v>NO ATÍPICO</v>
      </c>
      <c r="L336">
        <f t="shared" si="25"/>
        <v>1202425</v>
      </c>
      <c r="M336" t="str">
        <f t="shared" si="29"/>
        <v>ASALARIADO</v>
      </c>
      <c r="N336">
        <f t="shared" si="26"/>
        <v>40</v>
      </c>
      <c r="O336" s="19" t="str">
        <f t="shared" si="27"/>
        <v>1200k+</v>
      </c>
      <c r="P336" s="19" t="str">
        <f t="shared" si="28"/>
        <v>36-45</v>
      </c>
    </row>
    <row r="337" spans="1:16" x14ac:dyDescent="0.25">
      <c r="A337">
        <v>336</v>
      </c>
      <c r="B337" t="s">
        <v>9</v>
      </c>
      <c r="C337">
        <v>591445.27</v>
      </c>
      <c r="D337" t="s">
        <v>10</v>
      </c>
      <c r="E337" t="s">
        <v>16</v>
      </c>
      <c r="F337" t="s">
        <v>12</v>
      </c>
      <c r="G337" t="s">
        <v>13</v>
      </c>
      <c r="H337" t="s">
        <v>13</v>
      </c>
      <c r="I337">
        <v>30</v>
      </c>
      <c r="J337" t="str" cm="1">
        <f t="array" ref="J337">_xlfn.IFS(ISBLANK(C337),"FALTANTE",ABS((C337-$W$5)/$X$5)&gt;1.96,"ATÍPICO",ABS((C337-$W$5)/$X$5)&lt;=1.96,"NO ATÍPICO")</f>
        <v>NO ATÍPICO</v>
      </c>
      <c r="K337" t="str" cm="1">
        <f t="array" ref="K337">_xlfn.IFS(ISBLANK(I337),"FALTANTE",ABS((I337-$W$8)/$X$8)&gt;1.92,"ATÍPICO",ABS((I337-$W$8)/$X$8)&lt;=1.92,"NO ATÍPICO")</f>
        <v>NO ATÍPICO</v>
      </c>
      <c r="L337">
        <f t="shared" si="25"/>
        <v>591445.27</v>
      </c>
      <c r="M337" t="str">
        <f t="shared" si="29"/>
        <v>ASALARIADO</v>
      </c>
      <c r="N337">
        <f t="shared" si="26"/>
        <v>30</v>
      </c>
      <c r="O337" s="19" t="str">
        <f t="shared" si="27"/>
        <v>300k–600k</v>
      </c>
      <c r="P337" s="19" t="str">
        <f t="shared" si="28"/>
        <v>26-35</v>
      </c>
    </row>
    <row r="338" spans="1:16" x14ac:dyDescent="0.25">
      <c r="A338">
        <v>337</v>
      </c>
      <c r="B338" t="s">
        <v>15</v>
      </c>
      <c r="C338">
        <v>1953183.27</v>
      </c>
      <c r="D338" t="s">
        <v>10</v>
      </c>
      <c r="E338" t="s">
        <v>16</v>
      </c>
      <c r="F338" t="s">
        <v>12</v>
      </c>
      <c r="G338" t="s">
        <v>13</v>
      </c>
      <c r="H338" t="s">
        <v>13</v>
      </c>
      <c r="I338">
        <v>36</v>
      </c>
      <c r="J338" t="str" cm="1">
        <f t="array" ref="J338">_xlfn.IFS(ISBLANK(C338),"FALTANTE",ABS((C338-$W$5)/$X$5)&gt;1.96,"ATÍPICO",ABS((C338-$W$5)/$X$5)&lt;=1.96,"NO ATÍPICO")</f>
        <v>NO ATÍPICO</v>
      </c>
      <c r="K338" t="str" cm="1">
        <f t="array" ref="K338">_xlfn.IFS(ISBLANK(I338),"FALTANTE",ABS((I338-$W$8)/$X$8)&gt;1.92,"ATÍPICO",ABS((I338-$W$8)/$X$8)&lt;=1.92,"NO ATÍPICO")</f>
        <v>NO ATÍPICO</v>
      </c>
      <c r="L338">
        <f t="shared" si="25"/>
        <v>1953183.27</v>
      </c>
      <c r="M338" t="str">
        <f t="shared" si="29"/>
        <v>ASALARIADO</v>
      </c>
      <c r="N338">
        <f t="shared" si="26"/>
        <v>36</v>
      </c>
      <c r="O338" s="19" t="str">
        <f t="shared" si="27"/>
        <v>1200k+</v>
      </c>
      <c r="P338" s="19" t="str">
        <f t="shared" si="28"/>
        <v>36-45</v>
      </c>
    </row>
    <row r="339" spans="1:16" x14ac:dyDescent="0.25">
      <c r="A339">
        <v>338</v>
      </c>
      <c r="B339" t="s">
        <v>15</v>
      </c>
      <c r="C339">
        <v>570798.64</v>
      </c>
      <c r="D339" t="s">
        <v>10</v>
      </c>
      <c r="E339" t="s">
        <v>16</v>
      </c>
      <c r="F339" t="s">
        <v>12</v>
      </c>
      <c r="G339" t="s">
        <v>13</v>
      </c>
      <c r="H339" t="s">
        <v>13</v>
      </c>
      <c r="I339">
        <v>26</v>
      </c>
      <c r="J339" t="str" cm="1">
        <f t="array" ref="J339">_xlfn.IFS(ISBLANK(C339),"FALTANTE",ABS((C339-$W$5)/$X$5)&gt;1.96,"ATÍPICO",ABS((C339-$W$5)/$X$5)&lt;=1.96,"NO ATÍPICO")</f>
        <v>NO ATÍPICO</v>
      </c>
      <c r="K339" t="str" cm="1">
        <f t="array" ref="K339">_xlfn.IFS(ISBLANK(I339),"FALTANTE",ABS((I339-$W$8)/$X$8)&gt;1.92,"ATÍPICO",ABS((I339-$W$8)/$X$8)&lt;=1.92,"NO ATÍPICO")</f>
        <v>NO ATÍPICO</v>
      </c>
      <c r="L339">
        <f t="shared" si="25"/>
        <v>570798.64</v>
      </c>
      <c r="M339" t="str">
        <f t="shared" si="29"/>
        <v>ASALARIADO</v>
      </c>
      <c r="N339">
        <f t="shared" si="26"/>
        <v>26</v>
      </c>
      <c r="O339" s="19" t="str">
        <f t="shared" si="27"/>
        <v>300k–600k</v>
      </c>
      <c r="P339" s="19" t="str">
        <f t="shared" si="28"/>
        <v>26-35</v>
      </c>
    </row>
    <row r="340" spans="1:16" x14ac:dyDescent="0.25">
      <c r="A340">
        <v>339</v>
      </c>
      <c r="B340" t="s">
        <v>15</v>
      </c>
      <c r="C340">
        <v>539203</v>
      </c>
      <c r="D340" t="s">
        <v>10</v>
      </c>
      <c r="E340" t="s">
        <v>16</v>
      </c>
      <c r="F340" t="s">
        <v>12</v>
      </c>
      <c r="G340" t="s">
        <v>13</v>
      </c>
      <c r="H340" t="s">
        <v>13</v>
      </c>
      <c r="I340">
        <v>29</v>
      </c>
      <c r="J340" t="str" cm="1">
        <f t="array" ref="J340">_xlfn.IFS(ISBLANK(C340),"FALTANTE",ABS((C340-$W$5)/$X$5)&gt;1.96,"ATÍPICO",ABS((C340-$W$5)/$X$5)&lt;=1.96,"NO ATÍPICO")</f>
        <v>NO ATÍPICO</v>
      </c>
      <c r="K340" t="str" cm="1">
        <f t="array" ref="K340">_xlfn.IFS(ISBLANK(I340),"FALTANTE",ABS((I340-$W$8)/$X$8)&gt;1.92,"ATÍPICO",ABS((I340-$W$8)/$X$8)&lt;=1.92,"NO ATÍPICO")</f>
        <v>NO ATÍPICO</v>
      </c>
      <c r="L340">
        <f t="shared" si="25"/>
        <v>539203</v>
      </c>
      <c r="M340" t="str">
        <f t="shared" si="29"/>
        <v>ASALARIADO</v>
      </c>
      <c r="N340">
        <f t="shared" si="26"/>
        <v>29</v>
      </c>
      <c r="O340" s="19" t="str">
        <f t="shared" si="27"/>
        <v>300k–600k</v>
      </c>
      <c r="P340" s="19" t="str">
        <f t="shared" si="28"/>
        <v>26-35</v>
      </c>
    </row>
    <row r="341" spans="1:16" x14ac:dyDescent="0.25">
      <c r="A341">
        <v>340</v>
      </c>
      <c r="B341" t="s">
        <v>15</v>
      </c>
      <c r="C341">
        <v>359544.27</v>
      </c>
      <c r="D341" t="s">
        <v>21</v>
      </c>
      <c r="E341" t="s">
        <v>16</v>
      </c>
      <c r="F341" t="s">
        <v>12</v>
      </c>
      <c r="G341" t="s">
        <v>12</v>
      </c>
      <c r="H341" t="s">
        <v>13</v>
      </c>
      <c r="I341">
        <v>32</v>
      </c>
      <c r="J341" t="str" cm="1">
        <f t="array" ref="J341">_xlfn.IFS(ISBLANK(C341),"FALTANTE",ABS((C341-$W$5)/$X$5)&gt;1.96,"ATÍPICO",ABS((C341-$W$5)/$X$5)&lt;=1.96,"NO ATÍPICO")</f>
        <v>NO ATÍPICO</v>
      </c>
      <c r="K341" t="str" cm="1">
        <f t="array" ref="K341">_xlfn.IFS(ISBLANK(I341),"FALTANTE",ABS((I341-$W$8)/$X$8)&gt;1.92,"ATÍPICO",ABS((I341-$W$8)/$X$8)&lt;=1.92,"NO ATÍPICO")</f>
        <v>NO ATÍPICO</v>
      </c>
      <c r="L341">
        <f t="shared" si="25"/>
        <v>359544.27</v>
      </c>
      <c r="M341" t="str">
        <f t="shared" si="29"/>
        <v>CONVENIOS ESPECIALES DE ASEGURADOS VOLUNTARIOS</v>
      </c>
      <c r="N341">
        <f t="shared" si="26"/>
        <v>32</v>
      </c>
      <c r="O341" s="19" t="str">
        <f t="shared" si="27"/>
        <v>300k–600k</v>
      </c>
      <c r="P341" s="19" t="str">
        <f t="shared" si="28"/>
        <v>26-35</v>
      </c>
    </row>
    <row r="342" spans="1:16" x14ac:dyDescent="0.25">
      <c r="A342">
        <v>341</v>
      </c>
      <c r="B342" t="s">
        <v>15</v>
      </c>
      <c r="C342">
        <v>516446.5</v>
      </c>
      <c r="D342" t="s">
        <v>10</v>
      </c>
      <c r="E342" t="s">
        <v>11</v>
      </c>
      <c r="F342" t="s">
        <v>12</v>
      </c>
      <c r="G342" t="s">
        <v>13</v>
      </c>
      <c r="H342" t="s">
        <v>13</v>
      </c>
      <c r="I342">
        <v>33</v>
      </c>
      <c r="J342" t="str" cm="1">
        <f t="array" ref="J342">_xlfn.IFS(ISBLANK(C342),"FALTANTE",ABS((C342-$W$5)/$X$5)&gt;1.96,"ATÍPICO",ABS((C342-$W$5)/$X$5)&lt;=1.96,"NO ATÍPICO")</f>
        <v>NO ATÍPICO</v>
      </c>
      <c r="K342" t="str" cm="1">
        <f t="array" ref="K342">_xlfn.IFS(ISBLANK(I342),"FALTANTE",ABS((I342-$W$8)/$X$8)&gt;1.92,"ATÍPICO",ABS((I342-$W$8)/$X$8)&lt;=1.92,"NO ATÍPICO")</f>
        <v>NO ATÍPICO</v>
      </c>
      <c r="L342">
        <f t="shared" si="25"/>
        <v>516446.5</v>
      </c>
      <c r="M342" t="str">
        <f t="shared" si="29"/>
        <v>ASALARIADO</v>
      </c>
      <c r="N342">
        <f t="shared" si="26"/>
        <v>33</v>
      </c>
      <c r="O342" s="19" t="str">
        <f t="shared" si="27"/>
        <v>300k–600k</v>
      </c>
      <c r="P342" s="19" t="str">
        <f t="shared" si="28"/>
        <v>26-35</v>
      </c>
    </row>
    <row r="343" spans="1:16" x14ac:dyDescent="0.25">
      <c r="A343">
        <v>342</v>
      </c>
      <c r="B343" t="s">
        <v>15</v>
      </c>
      <c r="C343">
        <v>378355</v>
      </c>
      <c r="D343" t="s">
        <v>10</v>
      </c>
      <c r="E343" t="s">
        <v>16</v>
      </c>
      <c r="F343" t="s">
        <v>12</v>
      </c>
      <c r="G343" t="s">
        <v>12</v>
      </c>
      <c r="H343" t="s">
        <v>13</v>
      </c>
      <c r="I343">
        <v>62</v>
      </c>
      <c r="J343" t="str" cm="1">
        <f t="array" ref="J343">_xlfn.IFS(ISBLANK(C343),"FALTANTE",ABS((C343-$W$5)/$X$5)&gt;1.96,"ATÍPICO",ABS((C343-$W$5)/$X$5)&lt;=1.96,"NO ATÍPICO")</f>
        <v>NO ATÍPICO</v>
      </c>
      <c r="K343" t="str" cm="1">
        <f t="array" ref="K343">_xlfn.IFS(ISBLANK(I343),"FALTANTE",ABS((I343-$W$8)/$X$8)&gt;1.92,"ATÍPICO",ABS((I343-$W$8)/$X$8)&lt;=1.92,"NO ATÍPICO")</f>
        <v>NO ATÍPICO</v>
      </c>
      <c r="L343">
        <f t="shared" si="25"/>
        <v>378355</v>
      </c>
      <c r="M343" t="str">
        <f t="shared" si="29"/>
        <v>ASALARIADO</v>
      </c>
      <c r="N343">
        <f t="shared" si="26"/>
        <v>62</v>
      </c>
      <c r="O343" s="19" t="str">
        <f t="shared" si="27"/>
        <v>300k–600k</v>
      </c>
      <c r="P343" s="19" t="str">
        <f t="shared" si="28"/>
        <v>56+</v>
      </c>
    </row>
    <row r="344" spans="1:16" x14ac:dyDescent="0.25">
      <c r="A344">
        <v>343</v>
      </c>
      <c r="B344" t="s">
        <v>9</v>
      </c>
      <c r="C344">
        <v>454558.2</v>
      </c>
      <c r="D344" t="s">
        <v>10</v>
      </c>
      <c r="E344" t="s">
        <v>11</v>
      </c>
      <c r="F344" t="s">
        <v>12</v>
      </c>
      <c r="G344" t="s">
        <v>13</v>
      </c>
      <c r="H344" t="s">
        <v>13</v>
      </c>
      <c r="I344">
        <v>34</v>
      </c>
      <c r="J344" t="str" cm="1">
        <f t="array" ref="J344">_xlfn.IFS(ISBLANK(C344),"FALTANTE",ABS((C344-$W$5)/$X$5)&gt;1.96,"ATÍPICO",ABS((C344-$W$5)/$X$5)&lt;=1.96,"NO ATÍPICO")</f>
        <v>NO ATÍPICO</v>
      </c>
      <c r="K344" t="str" cm="1">
        <f t="array" ref="K344">_xlfn.IFS(ISBLANK(I344),"FALTANTE",ABS((I344-$W$8)/$X$8)&gt;1.92,"ATÍPICO",ABS((I344-$W$8)/$X$8)&lt;=1.92,"NO ATÍPICO")</f>
        <v>NO ATÍPICO</v>
      </c>
      <c r="L344">
        <f t="shared" si="25"/>
        <v>454558.2</v>
      </c>
      <c r="M344" t="str">
        <f t="shared" si="29"/>
        <v>ASALARIADO</v>
      </c>
      <c r="N344">
        <f t="shared" si="26"/>
        <v>34</v>
      </c>
      <c r="O344" s="19" t="str">
        <f t="shared" si="27"/>
        <v>300k–600k</v>
      </c>
      <c r="P344" s="19" t="str">
        <f t="shared" si="28"/>
        <v>26-35</v>
      </c>
    </row>
    <row r="345" spans="1:16" x14ac:dyDescent="0.25">
      <c r="A345">
        <v>344</v>
      </c>
      <c r="B345" t="s">
        <v>15</v>
      </c>
      <c r="C345">
        <v>403983</v>
      </c>
      <c r="D345" t="s">
        <v>18</v>
      </c>
      <c r="E345" t="s">
        <v>16</v>
      </c>
      <c r="F345" t="s">
        <v>12</v>
      </c>
      <c r="G345" t="s">
        <v>13</v>
      </c>
      <c r="H345" t="s">
        <v>12</v>
      </c>
      <c r="I345">
        <v>67</v>
      </c>
      <c r="J345" t="str" cm="1">
        <f t="array" ref="J345">_xlfn.IFS(ISBLANK(C345),"FALTANTE",ABS((C345-$W$5)/$X$5)&gt;1.96,"ATÍPICO",ABS((C345-$W$5)/$X$5)&lt;=1.96,"NO ATÍPICO")</f>
        <v>NO ATÍPICO</v>
      </c>
      <c r="K345" t="str" cm="1">
        <f t="array" ref="K345">_xlfn.IFS(ISBLANK(I345),"FALTANTE",ABS((I345-$W$8)/$X$8)&gt;1.92,"ATÍPICO",ABS((I345-$W$8)/$X$8)&lt;=1.92,"NO ATÍPICO")</f>
        <v>NO ATÍPICO</v>
      </c>
      <c r="L345">
        <f t="shared" si="25"/>
        <v>403983</v>
      </c>
      <c r="M345" t="str">
        <f t="shared" si="29"/>
        <v>TRABAJADOR INDEPENDIENTE</v>
      </c>
      <c r="N345">
        <f t="shared" si="26"/>
        <v>67</v>
      </c>
      <c r="O345" s="19" t="str">
        <f t="shared" si="27"/>
        <v>300k–600k</v>
      </c>
      <c r="P345" s="19" t="str">
        <f t="shared" si="28"/>
        <v>56+</v>
      </c>
    </row>
    <row r="346" spans="1:16" x14ac:dyDescent="0.25">
      <c r="A346">
        <v>345</v>
      </c>
      <c r="B346" t="s">
        <v>15</v>
      </c>
      <c r="C346">
        <v>1544187.5</v>
      </c>
      <c r="D346" t="s">
        <v>10</v>
      </c>
      <c r="E346" t="s">
        <v>16</v>
      </c>
      <c r="F346" t="s">
        <v>12</v>
      </c>
      <c r="G346" t="s">
        <v>12</v>
      </c>
      <c r="H346" t="s">
        <v>13</v>
      </c>
      <c r="I346">
        <v>28</v>
      </c>
      <c r="J346" t="str" cm="1">
        <f t="array" ref="J346">_xlfn.IFS(ISBLANK(C346),"FALTANTE",ABS((C346-$W$5)/$X$5)&gt;1.96,"ATÍPICO",ABS((C346-$W$5)/$X$5)&lt;=1.96,"NO ATÍPICO")</f>
        <v>NO ATÍPICO</v>
      </c>
      <c r="K346" t="str" cm="1">
        <f t="array" ref="K346">_xlfn.IFS(ISBLANK(I346),"FALTANTE",ABS((I346-$W$8)/$X$8)&gt;1.92,"ATÍPICO",ABS((I346-$W$8)/$X$8)&lt;=1.92,"NO ATÍPICO")</f>
        <v>NO ATÍPICO</v>
      </c>
      <c r="L346">
        <f t="shared" si="25"/>
        <v>1544187.5</v>
      </c>
      <c r="M346" t="str">
        <f t="shared" si="29"/>
        <v>ASALARIADO</v>
      </c>
      <c r="N346">
        <f t="shared" si="26"/>
        <v>28</v>
      </c>
      <c r="O346" s="19" t="str">
        <f t="shared" si="27"/>
        <v>1200k+</v>
      </c>
      <c r="P346" s="19" t="str">
        <f t="shared" si="28"/>
        <v>26-35</v>
      </c>
    </row>
    <row r="347" spans="1:16" x14ac:dyDescent="0.25">
      <c r="A347">
        <v>346</v>
      </c>
      <c r="B347" t="s">
        <v>9</v>
      </c>
      <c r="C347">
        <v>328196</v>
      </c>
      <c r="D347" t="s">
        <v>18</v>
      </c>
      <c r="E347" t="s">
        <v>16</v>
      </c>
      <c r="F347" t="s">
        <v>12</v>
      </c>
      <c r="G347" t="s">
        <v>12</v>
      </c>
      <c r="H347" t="s">
        <v>12</v>
      </c>
      <c r="I347">
        <v>27</v>
      </c>
      <c r="J347" t="str" cm="1">
        <f t="array" ref="J347">_xlfn.IFS(ISBLANK(C347),"FALTANTE",ABS((C347-$W$5)/$X$5)&gt;1.96,"ATÍPICO",ABS((C347-$W$5)/$X$5)&lt;=1.96,"NO ATÍPICO")</f>
        <v>NO ATÍPICO</v>
      </c>
      <c r="K347" t="str" cm="1">
        <f t="array" ref="K347">_xlfn.IFS(ISBLANK(I347),"FALTANTE",ABS((I347-$W$8)/$X$8)&gt;1.92,"ATÍPICO",ABS((I347-$W$8)/$X$8)&lt;=1.92,"NO ATÍPICO")</f>
        <v>NO ATÍPICO</v>
      </c>
      <c r="L347">
        <f t="shared" si="25"/>
        <v>328196</v>
      </c>
      <c r="M347" t="str">
        <f t="shared" si="29"/>
        <v>TRABAJADOR INDEPENDIENTE</v>
      </c>
      <c r="N347">
        <f t="shared" si="26"/>
        <v>27</v>
      </c>
      <c r="O347" s="19" t="str">
        <f t="shared" si="27"/>
        <v>300k–600k</v>
      </c>
      <c r="P347" s="19" t="str">
        <f t="shared" si="28"/>
        <v>26-35</v>
      </c>
    </row>
    <row r="348" spans="1:16" x14ac:dyDescent="0.25">
      <c r="A348">
        <v>347</v>
      </c>
      <c r="B348" t="s">
        <v>9</v>
      </c>
      <c r="C348">
        <v>574094.44999999995</v>
      </c>
      <c r="D348" t="s">
        <v>10</v>
      </c>
      <c r="E348" t="s">
        <v>16</v>
      </c>
      <c r="F348" t="s">
        <v>12</v>
      </c>
      <c r="G348" t="s">
        <v>13</v>
      </c>
      <c r="H348" t="s">
        <v>13</v>
      </c>
      <c r="I348">
        <v>57</v>
      </c>
      <c r="J348" t="str" cm="1">
        <f t="array" ref="J348">_xlfn.IFS(ISBLANK(C348),"FALTANTE",ABS((C348-$W$5)/$X$5)&gt;1.96,"ATÍPICO",ABS((C348-$W$5)/$X$5)&lt;=1.96,"NO ATÍPICO")</f>
        <v>NO ATÍPICO</v>
      </c>
      <c r="K348" t="str" cm="1">
        <f t="array" ref="K348">_xlfn.IFS(ISBLANK(I348),"FALTANTE",ABS((I348-$W$8)/$X$8)&gt;1.92,"ATÍPICO",ABS((I348-$W$8)/$X$8)&lt;=1.92,"NO ATÍPICO")</f>
        <v>NO ATÍPICO</v>
      </c>
      <c r="L348">
        <f t="shared" si="25"/>
        <v>574094.44999999995</v>
      </c>
      <c r="M348" t="str">
        <f t="shared" si="29"/>
        <v>ASALARIADO</v>
      </c>
      <c r="N348">
        <f t="shared" si="26"/>
        <v>57</v>
      </c>
      <c r="O348" s="19" t="str">
        <f t="shared" si="27"/>
        <v>300k–600k</v>
      </c>
      <c r="P348" s="19" t="str">
        <f t="shared" si="28"/>
        <v>56+</v>
      </c>
    </row>
    <row r="349" spans="1:16" x14ac:dyDescent="0.25">
      <c r="A349">
        <v>348</v>
      </c>
      <c r="B349" t="s">
        <v>15</v>
      </c>
      <c r="C349">
        <v>1320518.73</v>
      </c>
      <c r="D349" t="s">
        <v>10</v>
      </c>
      <c r="E349" t="s">
        <v>11</v>
      </c>
      <c r="F349" t="s">
        <v>12</v>
      </c>
      <c r="G349" t="s">
        <v>13</v>
      </c>
      <c r="H349" t="s">
        <v>13</v>
      </c>
      <c r="I349">
        <v>34</v>
      </c>
      <c r="J349" t="str" cm="1">
        <f t="array" ref="J349">_xlfn.IFS(ISBLANK(C349),"FALTANTE",ABS((C349-$W$5)/$X$5)&gt;1.96,"ATÍPICO",ABS((C349-$W$5)/$X$5)&lt;=1.96,"NO ATÍPICO")</f>
        <v>NO ATÍPICO</v>
      </c>
      <c r="K349" t="str" cm="1">
        <f t="array" ref="K349">_xlfn.IFS(ISBLANK(I349),"FALTANTE",ABS((I349-$W$8)/$X$8)&gt;1.92,"ATÍPICO",ABS((I349-$W$8)/$X$8)&lt;=1.92,"NO ATÍPICO")</f>
        <v>NO ATÍPICO</v>
      </c>
      <c r="L349">
        <f t="shared" si="25"/>
        <v>1320518.73</v>
      </c>
      <c r="M349" t="str">
        <f t="shared" si="29"/>
        <v>ASALARIADO</v>
      </c>
      <c r="N349">
        <f t="shared" si="26"/>
        <v>34</v>
      </c>
      <c r="O349" s="19" t="str">
        <f t="shared" si="27"/>
        <v>1200k+</v>
      </c>
      <c r="P349" s="19" t="str">
        <f t="shared" si="28"/>
        <v>26-35</v>
      </c>
    </row>
    <row r="350" spans="1:16" x14ac:dyDescent="0.25">
      <c r="A350">
        <v>349</v>
      </c>
      <c r="B350" t="s">
        <v>9</v>
      </c>
      <c r="C350">
        <v>356455</v>
      </c>
      <c r="D350" t="s">
        <v>18</v>
      </c>
      <c r="E350" t="s">
        <v>16</v>
      </c>
      <c r="F350" t="s">
        <v>12</v>
      </c>
      <c r="G350" t="s">
        <v>13</v>
      </c>
      <c r="H350" t="s">
        <v>12</v>
      </c>
      <c r="I350">
        <v>40</v>
      </c>
      <c r="J350" t="str" cm="1">
        <f t="array" ref="J350">_xlfn.IFS(ISBLANK(C350),"FALTANTE",ABS((C350-$W$5)/$X$5)&gt;1.96,"ATÍPICO",ABS((C350-$W$5)/$X$5)&lt;=1.96,"NO ATÍPICO")</f>
        <v>NO ATÍPICO</v>
      </c>
      <c r="K350" t="str" cm="1">
        <f t="array" ref="K350">_xlfn.IFS(ISBLANK(I350),"FALTANTE",ABS((I350-$W$8)/$X$8)&gt;1.92,"ATÍPICO",ABS((I350-$W$8)/$X$8)&lt;=1.92,"NO ATÍPICO")</f>
        <v>NO ATÍPICO</v>
      </c>
      <c r="L350">
        <f t="shared" si="25"/>
        <v>356455</v>
      </c>
      <c r="M350" t="str">
        <f t="shared" si="29"/>
        <v>TRABAJADOR INDEPENDIENTE</v>
      </c>
      <c r="N350">
        <f t="shared" si="26"/>
        <v>40</v>
      </c>
      <c r="O350" s="19" t="str">
        <f t="shared" si="27"/>
        <v>300k–600k</v>
      </c>
      <c r="P350" s="19" t="str">
        <f t="shared" si="28"/>
        <v>36-45</v>
      </c>
    </row>
    <row r="351" spans="1:16" x14ac:dyDescent="0.25">
      <c r="A351">
        <v>350</v>
      </c>
      <c r="B351" t="s">
        <v>9</v>
      </c>
      <c r="C351">
        <v>297046</v>
      </c>
      <c r="D351" t="s">
        <v>18</v>
      </c>
      <c r="E351" t="s">
        <v>16</v>
      </c>
      <c r="F351" t="s">
        <v>12</v>
      </c>
      <c r="G351" t="s">
        <v>13</v>
      </c>
      <c r="H351" t="s">
        <v>13</v>
      </c>
      <c r="I351">
        <v>42</v>
      </c>
      <c r="J351" t="str" cm="1">
        <f t="array" ref="J351">_xlfn.IFS(ISBLANK(C351),"FALTANTE",ABS((C351-$W$5)/$X$5)&gt;1.96,"ATÍPICO",ABS((C351-$W$5)/$X$5)&lt;=1.96,"NO ATÍPICO")</f>
        <v>NO ATÍPICO</v>
      </c>
      <c r="K351" t="str" cm="1">
        <f t="array" ref="K351">_xlfn.IFS(ISBLANK(I351),"FALTANTE",ABS((I351-$W$8)/$X$8)&gt;1.92,"ATÍPICO",ABS((I351-$W$8)/$X$8)&lt;=1.92,"NO ATÍPICO")</f>
        <v>NO ATÍPICO</v>
      </c>
      <c r="L351">
        <f t="shared" si="25"/>
        <v>297046</v>
      </c>
      <c r="M351" t="str">
        <f t="shared" si="29"/>
        <v>TRABAJADOR INDEPENDIENTE</v>
      </c>
      <c r="N351">
        <f t="shared" si="26"/>
        <v>42</v>
      </c>
      <c r="O351" s="19" t="str">
        <f t="shared" si="27"/>
        <v>0–300k</v>
      </c>
      <c r="P351" s="19" t="str">
        <f t="shared" si="28"/>
        <v>36-45</v>
      </c>
    </row>
    <row r="352" spans="1:16" x14ac:dyDescent="0.25">
      <c r="A352">
        <v>351</v>
      </c>
      <c r="B352" t="s">
        <v>9</v>
      </c>
      <c r="C352">
        <v>505686.39</v>
      </c>
      <c r="D352" t="s">
        <v>10</v>
      </c>
      <c r="E352" t="s">
        <v>16</v>
      </c>
      <c r="F352" t="s">
        <v>12</v>
      </c>
      <c r="G352" t="s">
        <v>13</v>
      </c>
      <c r="H352" t="s">
        <v>13</v>
      </c>
      <c r="I352">
        <v>22</v>
      </c>
      <c r="J352" t="str" cm="1">
        <f t="array" ref="J352">_xlfn.IFS(ISBLANK(C352),"FALTANTE",ABS((C352-$W$5)/$X$5)&gt;1.96,"ATÍPICO",ABS((C352-$W$5)/$X$5)&lt;=1.96,"NO ATÍPICO")</f>
        <v>NO ATÍPICO</v>
      </c>
      <c r="K352" t="str" cm="1">
        <f t="array" ref="K352">_xlfn.IFS(ISBLANK(I352),"FALTANTE",ABS((I352-$W$8)/$X$8)&gt;1.92,"ATÍPICO",ABS((I352-$W$8)/$X$8)&lt;=1.92,"NO ATÍPICO")</f>
        <v>NO ATÍPICO</v>
      </c>
      <c r="L352">
        <f t="shared" si="25"/>
        <v>505686.39</v>
      </c>
      <c r="M352" t="str">
        <f t="shared" si="29"/>
        <v>ASALARIADO</v>
      </c>
      <c r="N352">
        <f t="shared" si="26"/>
        <v>22</v>
      </c>
      <c r="O352" s="19" t="str">
        <f t="shared" si="27"/>
        <v>300k–600k</v>
      </c>
      <c r="P352" s="19" t="str">
        <f t="shared" si="28"/>
        <v>18-25</v>
      </c>
    </row>
    <row r="353" spans="1:16" x14ac:dyDescent="0.25">
      <c r="A353">
        <v>352</v>
      </c>
      <c r="B353" t="s">
        <v>15</v>
      </c>
      <c r="C353">
        <v>511789.2</v>
      </c>
      <c r="D353" t="s">
        <v>10</v>
      </c>
      <c r="E353" t="s">
        <v>16</v>
      </c>
      <c r="F353" t="s">
        <v>12</v>
      </c>
      <c r="G353" t="s">
        <v>13</v>
      </c>
      <c r="H353" t="s">
        <v>13</v>
      </c>
      <c r="I353">
        <v>29</v>
      </c>
      <c r="J353" t="str" cm="1">
        <f t="array" ref="J353">_xlfn.IFS(ISBLANK(C353),"FALTANTE",ABS((C353-$W$5)/$X$5)&gt;1.96,"ATÍPICO",ABS((C353-$W$5)/$X$5)&lt;=1.96,"NO ATÍPICO")</f>
        <v>NO ATÍPICO</v>
      </c>
      <c r="K353" t="str" cm="1">
        <f t="array" ref="K353">_xlfn.IFS(ISBLANK(I353),"FALTANTE",ABS((I353-$W$8)/$X$8)&gt;1.92,"ATÍPICO",ABS((I353-$W$8)/$X$8)&lt;=1.92,"NO ATÍPICO")</f>
        <v>NO ATÍPICO</v>
      </c>
      <c r="L353">
        <f t="shared" si="25"/>
        <v>511789.2</v>
      </c>
      <c r="M353" t="str">
        <f t="shared" si="29"/>
        <v>ASALARIADO</v>
      </c>
      <c r="N353">
        <f t="shared" si="26"/>
        <v>29</v>
      </c>
      <c r="O353" s="19" t="str">
        <f t="shared" si="27"/>
        <v>300k–600k</v>
      </c>
      <c r="P353" s="19" t="str">
        <f t="shared" si="28"/>
        <v>26-35</v>
      </c>
    </row>
    <row r="354" spans="1:16" x14ac:dyDescent="0.25">
      <c r="A354">
        <v>353</v>
      </c>
      <c r="B354" t="s">
        <v>15</v>
      </c>
      <c r="C354">
        <v>333094.01</v>
      </c>
      <c r="D354" t="s">
        <v>10</v>
      </c>
      <c r="E354" t="s">
        <v>16</v>
      </c>
      <c r="F354" t="s">
        <v>12</v>
      </c>
      <c r="G354" t="s">
        <v>13</v>
      </c>
      <c r="H354" t="s">
        <v>13</v>
      </c>
      <c r="I354">
        <v>32</v>
      </c>
      <c r="J354" t="str" cm="1">
        <f t="array" ref="J354">_xlfn.IFS(ISBLANK(C354),"FALTANTE",ABS((C354-$W$5)/$X$5)&gt;1.96,"ATÍPICO",ABS((C354-$W$5)/$X$5)&lt;=1.96,"NO ATÍPICO")</f>
        <v>NO ATÍPICO</v>
      </c>
      <c r="K354" t="str" cm="1">
        <f t="array" ref="K354">_xlfn.IFS(ISBLANK(I354),"FALTANTE",ABS((I354-$W$8)/$X$8)&gt;1.92,"ATÍPICO",ABS((I354-$W$8)/$X$8)&lt;=1.92,"NO ATÍPICO")</f>
        <v>NO ATÍPICO</v>
      </c>
      <c r="L354">
        <f t="shared" si="25"/>
        <v>333094.01</v>
      </c>
      <c r="M354" t="str">
        <f t="shared" si="29"/>
        <v>ASALARIADO</v>
      </c>
      <c r="N354">
        <f t="shared" si="26"/>
        <v>32</v>
      </c>
      <c r="O354" s="19" t="str">
        <f t="shared" si="27"/>
        <v>300k–600k</v>
      </c>
      <c r="P354" s="19" t="str">
        <f t="shared" si="28"/>
        <v>26-35</v>
      </c>
    </row>
    <row r="355" spans="1:16" x14ac:dyDescent="0.25">
      <c r="A355">
        <v>354</v>
      </c>
      <c r="B355" t="s">
        <v>15</v>
      </c>
      <c r="C355">
        <v>419608</v>
      </c>
      <c r="D355" t="s">
        <v>18</v>
      </c>
      <c r="E355" t="s">
        <v>16</v>
      </c>
      <c r="F355" t="s">
        <v>12</v>
      </c>
      <c r="G355" t="s">
        <v>13</v>
      </c>
      <c r="H355" t="s">
        <v>13</v>
      </c>
      <c r="I355">
        <v>43</v>
      </c>
      <c r="J355" t="str" cm="1">
        <f t="array" ref="J355">_xlfn.IFS(ISBLANK(C355),"FALTANTE",ABS((C355-$W$5)/$X$5)&gt;1.96,"ATÍPICO",ABS((C355-$W$5)/$X$5)&lt;=1.96,"NO ATÍPICO")</f>
        <v>NO ATÍPICO</v>
      </c>
      <c r="K355" t="str" cm="1">
        <f t="array" ref="K355">_xlfn.IFS(ISBLANK(I355),"FALTANTE",ABS((I355-$W$8)/$X$8)&gt;1.92,"ATÍPICO",ABS((I355-$W$8)/$X$8)&lt;=1.92,"NO ATÍPICO")</f>
        <v>NO ATÍPICO</v>
      </c>
      <c r="L355">
        <f t="shared" si="25"/>
        <v>419608</v>
      </c>
      <c r="M355" t="str">
        <f t="shared" si="29"/>
        <v>TRABAJADOR INDEPENDIENTE</v>
      </c>
      <c r="N355">
        <f t="shared" si="26"/>
        <v>43</v>
      </c>
      <c r="O355" s="19" t="str">
        <f t="shared" si="27"/>
        <v>300k–600k</v>
      </c>
      <c r="P355" s="19" t="str">
        <f t="shared" si="28"/>
        <v>36-45</v>
      </c>
    </row>
    <row r="356" spans="1:16" x14ac:dyDescent="0.25">
      <c r="A356">
        <v>355</v>
      </c>
      <c r="B356" t="s">
        <v>15</v>
      </c>
      <c r="C356">
        <v>297046</v>
      </c>
      <c r="D356" t="s">
        <v>18</v>
      </c>
      <c r="E356" t="s">
        <v>16</v>
      </c>
      <c r="F356" t="s">
        <v>12</v>
      </c>
      <c r="G356" t="s">
        <v>13</v>
      </c>
      <c r="H356" t="s">
        <v>12</v>
      </c>
      <c r="I356">
        <v>28</v>
      </c>
      <c r="J356" t="str" cm="1">
        <f t="array" ref="J356">_xlfn.IFS(ISBLANK(C356),"FALTANTE",ABS((C356-$W$5)/$X$5)&gt;1.96,"ATÍPICO",ABS((C356-$W$5)/$X$5)&lt;=1.96,"NO ATÍPICO")</f>
        <v>NO ATÍPICO</v>
      </c>
      <c r="K356" t="str" cm="1">
        <f t="array" ref="K356">_xlfn.IFS(ISBLANK(I356),"FALTANTE",ABS((I356-$W$8)/$X$8)&gt;1.92,"ATÍPICO",ABS((I356-$W$8)/$X$8)&lt;=1.92,"NO ATÍPICO")</f>
        <v>NO ATÍPICO</v>
      </c>
      <c r="L356">
        <f t="shared" si="25"/>
        <v>297046</v>
      </c>
      <c r="M356" t="str">
        <f t="shared" si="29"/>
        <v>TRABAJADOR INDEPENDIENTE</v>
      </c>
      <c r="N356">
        <f t="shared" si="26"/>
        <v>28</v>
      </c>
      <c r="O356" s="19" t="str">
        <f t="shared" si="27"/>
        <v>0–300k</v>
      </c>
      <c r="P356" s="19" t="str">
        <f t="shared" si="28"/>
        <v>26-35</v>
      </c>
    </row>
    <row r="357" spans="1:16" x14ac:dyDescent="0.25">
      <c r="A357">
        <v>356</v>
      </c>
      <c r="B357" t="s">
        <v>9</v>
      </c>
      <c r="C357">
        <v>297046</v>
      </c>
      <c r="D357" t="s">
        <v>18</v>
      </c>
      <c r="E357" t="s">
        <v>16</v>
      </c>
      <c r="F357" t="s">
        <v>12</v>
      </c>
      <c r="G357" t="s">
        <v>13</v>
      </c>
      <c r="H357" t="s">
        <v>12</v>
      </c>
      <c r="I357">
        <v>39</v>
      </c>
      <c r="J357" t="str" cm="1">
        <f t="array" ref="J357">_xlfn.IFS(ISBLANK(C357),"FALTANTE",ABS((C357-$W$5)/$X$5)&gt;1.96,"ATÍPICO",ABS((C357-$W$5)/$X$5)&lt;=1.96,"NO ATÍPICO")</f>
        <v>NO ATÍPICO</v>
      </c>
      <c r="K357" t="str" cm="1">
        <f t="array" ref="K357">_xlfn.IFS(ISBLANK(I357),"FALTANTE",ABS((I357-$W$8)/$X$8)&gt;1.92,"ATÍPICO",ABS((I357-$W$8)/$X$8)&lt;=1.92,"NO ATÍPICO")</f>
        <v>NO ATÍPICO</v>
      </c>
      <c r="L357">
        <f t="shared" si="25"/>
        <v>297046</v>
      </c>
      <c r="M357" t="str">
        <f t="shared" si="29"/>
        <v>TRABAJADOR INDEPENDIENTE</v>
      </c>
      <c r="N357">
        <f t="shared" si="26"/>
        <v>39</v>
      </c>
      <c r="O357" s="19" t="str">
        <f t="shared" si="27"/>
        <v>0–300k</v>
      </c>
      <c r="P357" s="19" t="str">
        <f t="shared" si="28"/>
        <v>36-45</v>
      </c>
    </row>
    <row r="358" spans="1:16" x14ac:dyDescent="0.25">
      <c r="A358">
        <v>357</v>
      </c>
      <c r="B358" t="s">
        <v>9</v>
      </c>
      <c r="C358">
        <v>1540950</v>
      </c>
      <c r="D358" t="s">
        <v>17</v>
      </c>
      <c r="E358" t="s">
        <v>16</v>
      </c>
      <c r="F358" t="s">
        <v>12</v>
      </c>
      <c r="G358" t="s">
        <v>12</v>
      </c>
      <c r="H358" t="s">
        <v>13</v>
      </c>
      <c r="I358">
        <v>63</v>
      </c>
      <c r="J358" t="str" cm="1">
        <f t="array" ref="J358">_xlfn.IFS(ISBLANK(C358),"FALTANTE",ABS((C358-$W$5)/$X$5)&gt;1.96,"ATÍPICO",ABS((C358-$W$5)/$X$5)&lt;=1.96,"NO ATÍPICO")</f>
        <v>NO ATÍPICO</v>
      </c>
      <c r="K358" t="str" cm="1">
        <f t="array" ref="K358">_xlfn.IFS(ISBLANK(I358),"FALTANTE",ABS((I358-$W$8)/$X$8)&gt;1.92,"ATÍPICO",ABS((I358-$W$8)/$X$8)&lt;=1.92,"NO ATÍPICO")</f>
        <v>NO ATÍPICO</v>
      </c>
      <c r="L358">
        <f t="shared" si="25"/>
        <v>1540950</v>
      </c>
      <c r="M358" t="str">
        <f t="shared" si="29"/>
        <v>ASEGURADO VOLUNTARIO</v>
      </c>
      <c r="N358">
        <f t="shared" si="26"/>
        <v>63</v>
      </c>
      <c r="O358" s="19" t="str">
        <f t="shared" si="27"/>
        <v>1200k+</v>
      </c>
      <c r="P358" s="19" t="str">
        <f t="shared" si="28"/>
        <v>56+</v>
      </c>
    </row>
    <row r="359" spans="1:16" x14ac:dyDescent="0.25">
      <c r="A359">
        <v>358</v>
      </c>
      <c r="B359" t="s">
        <v>15</v>
      </c>
      <c r="C359">
        <v>416150</v>
      </c>
      <c r="D359" t="s">
        <v>10</v>
      </c>
      <c r="E359" t="s">
        <v>16</v>
      </c>
      <c r="F359" t="s">
        <v>12</v>
      </c>
      <c r="G359" t="s">
        <v>12</v>
      </c>
      <c r="H359" t="s">
        <v>13</v>
      </c>
      <c r="I359">
        <v>30</v>
      </c>
      <c r="J359" t="str" cm="1">
        <f t="array" ref="J359">_xlfn.IFS(ISBLANK(C359),"FALTANTE",ABS((C359-$W$5)/$X$5)&gt;1.96,"ATÍPICO",ABS((C359-$W$5)/$X$5)&lt;=1.96,"NO ATÍPICO")</f>
        <v>NO ATÍPICO</v>
      </c>
      <c r="K359" t="str" cm="1">
        <f t="array" ref="K359">_xlfn.IFS(ISBLANK(I359),"FALTANTE",ABS((I359-$W$8)/$X$8)&gt;1.92,"ATÍPICO",ABS((I359-$W$8)/$X$8)&lt;=1.92,"NO ATÍPICO")</f>
        <v>NO ATÍPICO</v>
      </c>
      <c r="L359">
        <f t="shared" si="25"/>
        <v>416150</v>
      </c>
      <c r="M359" t="str">
        <f t="shared" si="29"/>
        <v>ASALARIADO</v>
      </c>
      <c r="N359">
        <f t="shared" si="26"/>
        <v>30</v>
      </c>
      <c r="O359" s="19" t="str">
        <f t="shared" si="27"/>
        <v>300k–600k</v>
      </c>
      <c r="P359" s="19" t="str">
        <f t="shared" si="28"/>
        <v>26-35</v>
      </c>
    </row>
    <row r="360" spans="1:16" x14ac:dyDescent="0.25">
      <c r="A360">
        <v>359</v>
      </c>
      <c r="B360" t="s">
        <v>9</v>
      </c>
      <c r="C360">
        <v>400353</v>
      </c>
      <c r="D360" t="s">
        <v>18</v>
      </c>
      <c r="E360" t="s">
        <v>16</v>
      </c>
      <c r="F360" t="s">
        <v>12</v>
      </c>
      <c r="G360" t="s">
        <v>13</v>
      </c>
      <c r="H360" t="s">
        <v>13</v>
      </c>
      <c r="I360">
        <v>30</v>
      </c>
      <c r="J360" t="str" cm="1">
        <f t="array" ref="J360">_xlfn.IFS(ISBLANK(C360),"FALTANTE",ABS((C360-$W$5)/$X$5)&gt;1.96,"ATÍPICO",ABS((C360-$W$5)/$X$5)&lt;=1.96,"NO ATÍPICO")</f>
        <v>NO ATÍPICO</v>
      </c>
      <c r="K360" t="str" cm="1">
        <f t="array" ref="K360">_xlfn.IFS(ISBLANK(I360),"FALTANTE",ABS((I360-$W$8)/$X$8)&gt;1.92,"ATÍPICO",ABS((I360-$W$8)/$X$8)&lt;=1.92,"NO ATÍPICO")</f>
        <v>NO ATÍPICO</v>
      </c>
      <c r="L360">
        <f t="shared" si="25"/>
        <v>400353</v>
      </c>
      <c r="M360" t="str">
        <f t="shared" si="29"/>
        <v>TRABAJADOR INDEPENDIENTE</v>
      </c>
      <c r="N360">
        <f t="shared" si="26"/>
        <v>30</v>
      </c>
      <c r="O360" s="19" t="str">
        <f t="shared" si="27"/>
        <v>300k–600k</v>
      </c>
      <c r="P360" s="19" t="str">
        <f t="shared" si="28"/>
        <v>26-35</v>
      </c>
    </row>
    <row r="361" spans="1:16" x14ac:dyDescent="0.25">
      <c r="A361">
        <v>360</v>
      </c>
      <c r="B361" t="s">
        <v>9</v>
      </c>
      <c r="C361">
        <v>323296</v>
      </c>
      <c r="D361" t="s">
        <v>18</v>
      </c>
      <c r="E361" t="s">
        <v>16</v>
      </c>
      <c r="F361" t="s">
        <v>12</v>
      </c>
      <c r="G361" t="s">
        <v>12</v>
      </c>
      <c r="H361" t="s">
        <v>12</v>
      </c>
      <c r="I361">
        <v>67</v>
      </c>
      <c r="J361" t="str" cm="1">
        <f t="array" ref="J361">_xlfn.IFS(ISBLANK(C361),"FALTANTE",ABS((C361-$W$5)/$X$5)&gt;1.96,"ATÍPICO",ABS((C361-$W$5)/$X$5)&lt;=1.96,"NO ATÍPICO")</f>
        <v>NO ATÍPICO</v>
      </c>
      <c r="K361" t="str" cm="1">
        <f t="array" ref="K361">_xlfn.IFS(ISBLANK(I361),"FALTANTE",ABS((I361-$W$8)/$X$8)&gt;1.92,"ATÍPICO",ABS((I361-$W$8)/$X$8)&lt;=1.92,"NO ATÍPICO")</f>
        <v>NO ATÍPICO</v>
      </c>
      <c r="L361">
        <f t="shared" si="25"/>
        <v>323296</v>
      </c>
      <c r="M361" t="str">
        <f t="shared" si="29"/>
        <v>TRABAJADOR INDEPENDIENTE</v>
      </c>
      <c r="N361">
        <f t="shared" si="26"/>
        <v>67</v>
      </c>
      <c r="O361" s="19" t="str">
        <f t="shared" si="27"/>
        <v>300k–600k</v>
      </c>
      <c r="P361" s="19" t="str">
        <f t="shared" si="28"/>
        <v>56+</v>
      </c>
    </row>
    <row r="362" spans="1:16" x14ac:dyDescent="0.25">
      <c r="A362">
        <v>361</v>
      </c>
      <c r="B362" t="s">
        <v>15</v>
      </c>
      <c r="C362">
        <v>159000</v>
      </c>
      <c r="D362" t="s">
        <v>10</v>
      </c>
      <c r="E362" t="s">
        <v>16</v>
      </c>
      <c r="F362" t="s">
        <v>12</v>
      </c>
      <c r="G362" t="s">
        <v>13</v>
      </c>
      <c r="H362" t="s">
        <v>13</v>
      </c>
      <c r="I362">
        <v>49</v>
      </c>
      <c r="J362" t="str" cm="1">
        <f t="array" ref="J362">_xlfn.IFS(ISBLANK(C362),"FALTANTE",ABS((C362-$W$5)/$X$5)&gt;1.96,"ATÍPICO",ABS((C362-$W$5)/$X$5)&lt;=1.96,"NO ATÍPICO")</f>
        <v>NO ATÍPICO</v>
      </c>
      <c r="K362" t="str" cm="1">
        <f t="array" ref="K362">_xlfn.IFS(ISBLANK(I362),"FALTANTE",ABS((I362-$W$8)/$X$8)&gt;1.92,"ATÍPICO",ABS((I362-$W$8)/$X$8)&lt;=1.92,"NO ATÍPICO")</f>
        <v>NO ATÍPICO</v>
      </c>
      <c r="L362">
        <f t="shared" si="25"/>
        <v>159000</v>
      </c>
      <c r="M362" t="str">
        <f t="shared" si="29"/>
        <v>ASALARIADO</v>
      </c>
      <c r="N362">
        <f t="shared" si="26"/>
        <v>49</v>
      </c>
      <c r="O362" s="19" t="str">
        <f t="shared" si="27"/>
        <v>0–300k</v>
      </c>
      <c r="P362" s="19" t="str">
        <f t="shared" si="28"/>
        <v>46-55</v>
      </c>
    </row>
    <row r="363" spans="1:16" x14ac:dyDescent="0.25">
      <c r="A363">
        <v>362</v>
      </c>
      <c r="B363" t="s">
        <v>15</v>
      </c>
      <c r="C363">
        <v>172428.6</v>
      </c>
      <c r="D363" t="s">
        <v>10</v>
      </c>
      <c r="E363" t="s">
        <v>16</v>
      </c>
      <c r="F363" t="s">
        <v>12</v>
      </c>
      <c r="G363" t="s">
        <v>13</v>
      </c>
      <c r="H363" t="s">
        <v>13</v>
      </c>
      <c r="I363">
        <v>27</v>
      </c>
      <c r="J363" t="str" cm="1">
        <f t="array" ref="J363">_xlfn.IFS(ISBLANK(C363),"FALTANTE",ABS((C363-$W$5)/$X$5)&gt;1.96,"ATÍPICO",ABS((C363-$W$5)/$X$5)&lt;=1.96,"NO ATÍPICO")</f>
        <v>NO ATÍPICO</v>
      </c>
      <c r="K363" t="str" cm="1">
        <f t="array" ref="K363">_xlfn.IFS(ISBLANK(I363),"FALTANTE",ABS((I363-$W$8)/$X$8)&gt;1.92,"ATÍPICO",ABS((I363-$W$8)/$X$8)&lt;=1.92,"NO ATÍPICO")</f>
        <v>NO ATÍPICO</v>
      </c>
      <c r="L363">
        <f t="shared" si="25"/>
        <v>172428.6</v>
      </c>
      <c r="M363" t="str">
        <f t="shared" si="29"/>
        <v>ASALARIADO</v>
      </c>
      <c r="N363">
        <f t="shared" si="26"/>
        <v>27</v>
      </c>
      <c r="O363" s="19" t="str">
        <f t="shared" si="27"/>
        <v>0–300k</v>
      </c>
      <c r="P363" s="19" t="str">
        <f t="shared" si="28"/>
        <v>26-35</v>
      </c>
    </row>
    <row r="364" spans="1:16" x14ac:dyDescent="0.25">
      <c r="A364">
        <v>363</v>
      </c>
      <c r="B364" t="s">
        <v>15</v>
      </c>
      <c r="C364">
        <v>1331904</v>
      </c>
      <c r="D364" t="s">
        <v>10</v>
      </c>
      <c r="E364" t="s">
        <v>11</v>
      </c>
      <c r="F364" t="s">
        <v>12</v>
      </c>
      <c r="G364" t="s">
        <v>13</v>
      </c>
      <c r="H364" t="s">
        <v>13</v>
      </c>
      <c r="I364">
        <v>42</v>
      </c>
      <c r="J364" t="str" cm="1">
        <f t="array" ref="J364">_xlfn.IFS(ISBLANK(C364),"FALTANTE",ABS((C364-$W$5)/$X$5)&gt;1.96,"ATÍPICO",ABS((C364-$W$5)/$X$5)&lt;=1.96,"NO ATÍPICO")</f>
        <v>NO ATÍPICO</v>
      </c>
      <c r="K364" t="str" cm="1">
        <f t="array" ref="K364">_xlfn.IFS(ISBLANK(I364),"FALTANTE",ABS((I364-$W$8)/$X$8)&gt;1.92,"ATÍPICO",ABS((I364-$W$8)/$X$8)&lt;=1.92,"NO ATÍPICO")</f>
        <v>NO ATÍPICO</v>
      </c>
      <c r="L364">
        <f t="shared" si="25"/>
        <v>1331904</v>
      </c>
      <c r="M364" t="str">
        <f t="shared" si="29"/>
        <v>ASALARIADO</v>
      </c>
      <c r="N364">
        <f t="shared" si="26"/>
        <v>42</v>
      </c>
      <c r="O364" s="19" t="str">
        <f t="shared" si="27"/>
        <v>1200k+</v>
      </c>
      <c r="P364" s="19" t="str">
        <f t="shared" si="28"/>
        <v>36-45</v>
      </c>
    </row>
    <row r="365" spans="1:16" x14ac:dyDescent="0.25">
      <c r="A365">
        <v>364</v>
      </c>
      <c r="B365" t="s">
        <v>9</v>
      </c>
      <c r="C365">
        <v>339750</v>
      </c>
      <c r="D365" t="s">
        <v>17</v>
      </c>
      <c r="E365" t="s">
        <v>16</v>
      </c>
      <c r="F365" t="s">
        <v>12</v>
      </c>
      <c r="G365" t="s">
        <v>12</v>
      </c>
      <c r="H365" t="s">
        <v>13</v>
      </c>
      <c r="I365">
        <v>30</v>
      </c>
      <c r="J365" t="str" cm="1">
        <f t="array" ref="J365">_xlfn.IFS(ISBLANK(C365),"FALTANTE",ABS((C365-$W$5)/$X$5)&gt;1.96,"ATÍPICO",ABS((C365-$W$5)/$X$5)&lt;=1.96,"NO ATÍPICO")</f>
        <v>NO ATÍPICO</v>
      </c>
      <c r="K365" t="str" cm="1">
        <f t="array" ref="K365">_xlfn.IFS(ISBLANK(I365),"FALTANTE",ABS((I365-$W$8)/$X$8)&gt;1.92,"ATÍPICO",ABS((I365-$W$8)/$X$8)&lt;=1.92,"NO ATÍPICO")</f>
        <v>NO ATÍPICO</v>
      </c>
      <c r="L365">
        <f t="shared" si="25"/>
        <v>339750</v>
      </c>
      <c r="M365" t="str">
        <f t="shared" si="29"/>
        <v>ASEGURADO VOLUNTARIO</v>
      </c>
      <c r="N365">
        <f t="shared" si="26"/>
        <v>30</v>
      </c>
      <c r="O365" s="19" t="str">
        <f t="shared" si="27"/>
        <v>300k–600k</v>
      </c>
      <c r="P365" s="19" t="str">
        <f t="shared" si="28"/>
        <v>26-35</v>
      </c>
    </row>
    <row r="366" spans="1:16" x14ac:dyDescent="0.25">
      <c r="A366">
        <v>365</v>
      </c>
      <c r="B366" t="s">
        <v>9</v>
      </c>
      <c r="C366">
        <v>445567</v>
      </c>
      <c r="D366" t="s">
        <v>18</v>
      </c>
      <c r="E366" t="s">
        <v>16</v>
      </c>
      <c r="F366" t="s">
        <v>12</v>
      </c>
      <c r="G366" t="s">
        <v>13</v>
      </c>
      <c r="H366" t="s">
        <v>12</v>
      </c>
      <c r="I366">
        <v>74</v>
      </c>
      <c r="J366" t="str" cm="1">
        <f t="array" ref="J366">_xlfn.IFS(ISBLANK(C366),"FALTANTE",ABS((C366-$W$5)/$X$5)&gt;1.96,"ATÍPICO",ABS((C366-$W$5)/$X$5)&lt;=1.96,"NO ATÍPICO")</f>
        <v>NO ATÍPICO</v>
      </c>
      <c r="K366" t="str" cm="1">
        <f t="array" ref="K366">_xlfn.IFS(ISBLANK(I366),"FALTANTE",ABS((I366-$W$8)/$X$8)&gt;1.92,"ATÍPICO",ABS((I366-$W$8)/$X$8)&lt;=1.92,"NO ATÍPICO")</f>
        <v>ATÍPICO</v>
      </c>
      <c r="L366">
        <f t="shared" si="25"/>
        <v>445567</v>
      </c>
      <c r="M366" t="str">
        <f t="shared" si="29"/>
        <v>TRABAJADOR INDEPENDIENTE</v>
      </c>
      <c r="N366">
        <f t="shared" si="26"/>
        <v>74</v>
      </c>
      <c r="O366" s="19" t="str">
        <f t="shared" si="27"/>
        <v>300k–600k</v>
      </c>
      <c r="P366" s="19" t="str">
        <f t="shared" si="28"/>
        <v>56+</v>
      </c>
    </row>
    <row r="367" spans="1:16" x14ac:dyDescent="0.25">
      <c r="A367">
        <v>366</v>
      </c>
      <c r="B367" t="s">
        <v>9</v>
      </c>
      <c r="C367">
        <v>1076127.4099999999</v>
      </c>
      <c r="D367" t="s">
        <v>10</v>
      </c>
      <c r="E367" t="s">
        <v>16</v>
      </c>
      <c r="F367" t="s">
        <v>12</v>
      </c>
      <c r="G367" t="s">
        <v>13</v>
      </c>
      <c r="H367" t="s">
        <v>13</v>
      </c>
      <c r="I367">
        <v>48</v>
      </c>
      <c r="J367" t="str" cm="1">
        <f t="array" ref="J367">_xlfn.IFS(ISBLANK(C367),"FALTANTE",ABS((C367-$W$5)/$X$5)&gt;1.96,"ATÍPICO",ABS((C367-$W$5)/$X$5)&lt;=1.96,"NO ATÍPICO")</f>
        <v>NO ATÍPICO</v>
      </c>
      <c r="K367" t="str" cm="1">
        <f t="array" ref="K367">_xlfn.IFS(ISBLANK(I367),"FALTANTE",ABS((I367-$W$8)/$X$8)&gt;1.92,"ATÍPICO",ABS((I367-$W$8)/$X$8)&lt;=1.92,"NO ATÍPICO")</f>
        <v>NO ATÍPICO</v>
      </c>
      <c r="L367">
        <f t="shared" si="25"/>
        <v>1076127.4099999999</v>
      </c>
      <c r="M367" t="str">
        <f t="shared" si="29"/>
        <v>ASALARIADO</v>
      </c>
      <c r="N367">
        <f t="shared" si="26"/>
        <v>48</v>
      </c>
      <c r="O367" s="19" t="str">
        <f t="shared" si="27"/>
        <v>900k–1200k</v>
      </c>
      <c r="P367" s="19" t="str">
        <f t="shared" si="28"/>
        <v>46-55</v>
      </c>
    </row>
    <row r="368" spans="1:16" x14ac:dyDescent="0.25">
      <c r="A368">
        <v>367</v>
      </c>
      <c r="B368" t="s">
        <v>9</v>
      </c>
      <c r="C368">
        <v>597379.25</v>
      </c>
      <c r="D368" t="s">
        <v>10</v>
      </c>
      <c r="E368" t="s">
        <v>16</v>
      </c>
      <c r="F368" t="s">
        <v>12</v>
      </c>
      <c r="G368" t="s">
        <v>13</v>
      </c>
      <c r="H368" t="s">
        <v>13</v>
      </c>
      <c r="I368">
        <v>36</v>
      </c>
      <c r="J368" t="str" cm="1">
        <f t="array" ref="J368">_xlfn.IFS(ISBLANK(C368),"FALTANTE",ABS((C368-$W$5)/$X$5)&gt;1.96,"ATÍPICO",ABS((C368-$W$5)/$X$5)&lt;=1.96,"NO ATÍPICO")</f>
        <v>NO ATÍPICO</v>
      </c>
      <c r="K368" t="str" cm="1">
        <f t="array" ref="K368">_xlfn.IFS(ISBLANK(I368),"FALTANTE",ABS((I368-$W$8)/$X$8)&gt;1.92,"ATÍPICO",ABS((I368-$W$8)/$X$8)&lt;=1.92,"NO ATÍPICO")</f>
        <v>NO ATÍPICO</v>
      </c>
      <c r="L368">
        <f t="shared" si="25"/>
        <v>597379.25</v>
      </c>
      <c r="M368" t="str">
        <f t="shared" si="29"/>
        <v>ASALARIADO</v>
      </c>
      <c r="N368">
        <f t="shared" si="26"/>
        <v>36</v>
      </c>
      <c r="O368" s="19" t="str">
        <f t="shared" si="27"/>
        <v>300k–600k</v>
      </c>
      <c r="P368" s="19" t="str">
        <f t="shared" si="28"/>
        <v>36-45</v>
      </c>
    </row>
    <row r="369" spans="1:16" x14ac:dyDescent="0.25">
      <c r="A369">
        <v>368</v>
      </c>
      <c r="B369" t="s">
        <v>9</v>
      </c>
      <c r="C369">
        <v>400000</v>
      </c>
      <c r="D369" t="s">
        <v>10</v>
      </c>
      <c r="E369" t="s">
        <v>16</v>
      </c>
      <c r="F369" t="s">
        <v>12</v>
      </c>
      <c r="G369" t="s">
        <v>12</v>
      </c>
      <c r="H369" t="s">
        <v>13</v>
      </c>
      <c r="I369">
        <v>34</v>
      </c>
      <c r="J369" t="str" cm="1">
        <f t="array" ref="J369">_xlfn.IFS(ISBLANK(C369),"FALTANTE",ABS((C369-$W$5)/$X$5)&gt;1.96,"ATÍPICO",ABS((C369-$W$5)/$X$5)&lt;=1.96,"NO ATÍPICO")</f>
        <v>NO ATÍPICO</v>
      </c>
      <c r="K369" t="str" cm="1">
        <f t="array" ref="K369">_xlfn.IFS(ISBLANK(I369),"FALTANTE",ABS((I369-$W$8)/$X$8)&gt;1.92,"ATÍPICO",ABS((I369-$W$8)/$X$8)&lt;=1.92,"NO ATÍPICO")</f>
        <v>NO ATÍPICO</v>
      </c>
      <c r="L369">
        <f t="shared" si="25"/>
        <v>400000</v>
      </c>
      <c r="M369" t="str">
        <f t="shared" si="29"/>
        <v>ASALARIADO</v>
      </c>
      <c r="N369">
        <f t="shared" si="26"/>
        <v>34</v>
      </c>
      <c r="O369" s="19" t="str">
        <f t="shared" si="27"/>
        <v>300k–600k</v>
      </c>
      <c r="P369" s="19" t="str">
        <f t="shared" si="28"/>
        <v>26-35</v>
      </c>
    </row>
    <row r="370" spans="1:16" x14ac:dyDescent="0.25">
      <c r="A370">
        <v>369</v>
      </c>
      <c r="B370" t="s">
        <v>9</v>
      </c>
      <c r="C370">
        <v>10652</v>
      </c>
      <c r="D370" t="s">
        <v>10</v>
      </c>
      <c r="E370" t="s">
        <v>16</v>
      </c>
      <c r="F370" t="s">
        <v>12</v>
      </c>
      <c r="G370" t="s">
        <v>12</v>
      </c>
      <c r="H370" t="s">
        <v>13</v>
      </c>
      <c r="I370">
        <v>42</v>
      </c>
      <c r="J370" t="str" cm="1">
        <f t="array" ref="J370">_xlfn.IFS(ISBLANK(C370),"FALTANTE",ABS((C370-$W$5)/$X$5)&gt;1.96,"ATÍPICO",ABS((C370-$W$5)/$X$5)&lt;=1.96,"NO ATÍPICO")</f>
        <v>NO ATÍPICO</v>
      </c>
      <c r="K370" t="str" cm="1">
        <f t="array" ref="K370">_xlfn.IFS(ISBLANK(I370),"FALTANTE",ABS((I370-$W$8)/$X$8)&gt;1.92,"ATÍPICO",ABS((I370-$W$8)/$X$8)&lt;=1.92,"NO ATÍPICO")</f>
        <v>NO ATÍPICO</v>
      </c>
      <c r="L370">
        <f t="shared" si="25"/>
        <v>10652</v>
      </c>
      <c r="M370" t="str">
        <f t="shared" si="29"/>
        <v>ASALARIADO</v>
      </c>
      <c r="N370">
        <f t="shared" si="26"/>
        <v>42</v>
      </c>
      <c r="O370" s="19" t="str">
        <f t="shared" si="27"/>
        <v>0–300k</v>
      </c>
      <c r="P370" s="19" t="str">
        <f t="shared" si="28"/>
        <v>36-45</v>
      </c>
    </row>
    <row r="371" spans="1:16" x14ac:dyDescent="0.25">
      <c r="A371">
        <v>370</v>
      </c>
      <c r="B371" t="s">
        <v>15</v>
      </c>
      <c r="C371">
        <v>474509.98</v>
      </c>
      <c r="D371" t="s">
        <v>10</v>
      </c>
      <c r="E371" t="s">
        <v>16</v>
      </c>
      <c r="F371" t="s">
        <v>12</v>
      </c>
      <c r="G371" t="s">
        <v>13</v>
      </c>
      <c r="H371" t="s">
        <v>13</v>
      </c>
      <c r="I371">
        <v>28</v>
      </c>
      <c r="J371" t="str" cm="1">
        <f t="array" ref="J371">_xlfn.IFS(ISBLANK(C371),"FALTANTE",ABS((C371-$W$5)/$X$5)&gt;1.96,"ATÍPICO",ABS((C371-$W$5)/$X$5)&lt;=1.96,"NO ATÍPICO")</f>
        <v>NO ATÍPICO</v>
      </c>
      <c r="K371" t="str" cm="1">
        <f t="array" ref="K371">_xlfn.IFS(ISBLANK(I371),"FALTANTE",ABS((I371-$W$8)/$X$8)&gt;1.92,"ATÍPICO",ABS((I371-$W$8)/$X$8)&lt;=1.92,"NO ATÍPICO")</f>
        <v>NO ATÍPICO</v>
      </c>
      <c r="L371">
        <f t="shared" si="25"/>
        <v>474509.98</v>
      </c>
      <c r="M371" t="str">
        <f t="shared" si="29"/>
        <v>ASALARIADO</v>
      </c>
      <c r="N371">
        <f t="shared" si="26"/>
        <v>28</v>
      </c>
      <c r="O371" s="19" t="str">
        <f t="shared" si="27"/>
        <v>300k–600k</v>
      </c>
      <c r="P371" s="19" t="str">
        <f t="shared" si="28"/>
        <v>26-35</v>
      </c>
    </row>
    <row r="372" spans="1:16" x14ac:dyDescent="0.25">
      <c r="A372">
        <v>371</v>
      </c>
      <c r="B372" t="s">
        <v>15</v>
      </c>
      <c r="C372">
        <v>3053247.24</v>
      </c>
      <c r="D372" t="s">
        <v>14</v>
      </c>
      <c r="E372" t="s">
        <v>11</v>
      </c>
      <c r="F372" t="s">
        <v>12</v>
      </c>
      <c r="G372" t="s">
        <v>13</v>
      </c>
      <c r="H372" t="s">
        <v>13</v>
      </c>
      <c r="I372">
        <v>99</v>
      </c>
      <c r="J372" t="str" cm="1">
        <f t="array" ref="J372">_xlfn.IFS(ISBLANK(C372),"FALTANTE",ABS((C372-$W$5)/$X$5)&gt;1.96,"ATÍPICO",ABS((C372-$W$5)/$X$5)&lt;=1.96,"NO ATÍPICO")</f>
        <v>ATÍPICO</v>
      </c>
      <c r="K372" t="str" cm="1">
        <f t="array" ref="K372">_xlfn.IFS(ISBLANK(I372),"FALTANTE",ABS((I372-$W$8)/$X$8)&gt;1.92,"ATÍPICO",ABS((I372-$W$8)/$X$8)&lt;=1.92,"NO ATÍPICO")</f>
        <v>ATÍPICO</v>
      </c>
      <c r="L372">
        <f t="shared" si="25"/>
        <v>3053247.24</v>
      </c>
      <c r="M372" t="str">
        <f t="shared" si="29"/>
        <v>PENSIONADOS EN SU PROPIO SISTEMA</v>
      </c>
      <c r="N372">
        <f t="shared" si="26"/>
        <v>99</v>
      </c>
      <c r="O372" s="19" t="str">
        <f t="shared" si="27"/>
        <v>1200k+</v>
      </c>
      <c r="P372" s="19" t="str">
        <f t="shared" si="28"/>
        <v>56+</v>
      </c>
    </row>
    <row r="373" spans="1:16" x14ac:dyDescent="0.25">
      <c r="A373">
        <v>372</v>
      </c>
      <c r="B373" t="s">
        <v>9</v>
      </c>
      <c r="C373">
        <v>1233060.23</v>
      </c>
      <c r="D373" t="s">
        <v>10</v>
      </c>
      <c r="E373" t="s">
        <v>16</v>
      </c>
      <c r="F373" t="s">
        <v>12</v>
      </c>
      <c r="G373" t="s">
        <v>13</v>
      </c>
      <c r="H373" t="s">
        <v>13</v>
      </c>
      <c r="I373">
        <v>30</v>
      </c>
      <c r="J373" t="str" cm="1">
        <f t="array" ref="J373">_xlfn.IFS(ISBLANK(C373),"FALTANTE",ABS((C373-$W$5)/$X$5)&gt;1.96,"ATÍPICO",ABS((C373-$W$5)/$X$5)&lt;=1.96,"NO ATÍPICO")</f>
        <v>NO ATÍPICO</v>
      </c>
      <c r="K373" t="str" cm="1">
        <f t="array" ref="K373">_xlfn.IFS(ISBLANK(I373),"FALTANTE",ABS((I373-$W$8)/$X$8)&gt;1.92,"ATÍPICO",ABS((I373-$W$8)/$X$8)&lt;=1.92,"NO ATÍPICO")</f>
        <v>NO ATÍPICO</v>
      </c>
      <c r="L373">
        <f t="shared" si="25"/>
        <v>1233060.23</v>
      </c>
      <c r="M373" t="str">
        <f t="shared" si="29"/>
        <v>ASALARIADO</v>
      </c>
      <c r="N373">
        <f t="shared" si="26"/>
        <v>30</v>
      </c>
      <c r="O373" s="19" t="str">
        <f t="shared" si="27"/>
        <v>1200k+</v>
      </c>
      <c r="P373" s="19" t="str">
        <f t="shared" si="28"/>
        <v>26-35</v>
      </c>
    </row>
    <row r="374" spans="1:16" x14ac:dyDescent="0.25">
      <c r="A374">
        <v>373</v>
      </c>
      <c r="B374" t="s">
        <v>15</v>
      </c>
      <c r="C374">
        <v>529014.48</v>
      </c>
      <c r="D374" t="s">
        <v>10</v>
      </c>
      <c r="E374" t="s">
        <v>16</v>
      </c>
      <c r="F374" t="s">
        <v>12</v>
      </c>
      <c r="G374" t="s">
        <v>13</v>
      </c>
      <c r="H374" t="s">
        <v>13</v>
      </c>
      <c r="I374">
        <v>29</v>
      </c>
      <c r="J374" t="str" cm="1">
        <f t="array" ref="J374">_xlfn.IFS(ISBLANK(C374),"FALTANTE",ABS((C374-$W$5)/$X$5)&gt;1.96,"ATÍPICO",ABS((C374-$W$5)/$X$5)&lt;=1.96,"NO ATÍPICO")</f>
        <v>NO ATÍPICO</v>
      </c>
      <c r="K374" t="str" cm="1">
        <f t="array" ref="K374">_xlfn.IFS(ISBLANK(I374),"FALTANTE",ABS((I374-$W$8)/$X$8)&gt;1.92,"ATÍPICO",ABS((I374-$W$8)/$X$8)&lt;=1.92,"NO ATÍPICO")</f>
        <v>NO ATÍPICO</v>
      </c>
      <c r="L374">
        <f t="shared" si="25"/>
        <v>529014.48</v>
      </c>
      <c r="M374" t="str">
        <f t="shared" si="29"/>
        <v>ASALARIADO</v>
      </c>
      <c r="N374">
        <f t="shared" si="26"/>
        <v>29</v>
      </c>
      <c r="O374" s="19" t="str">
        <f t="shared" si="27"/>
        <v>300k–600k</v>
      </c>
      <c r="P374" s="19" t="str">
        <f t="shared" si="28"/>
        <v>26-35</v>
      </c>
    </row>
    <row r="375" spans="1:16" x14ac:dyDescent="0.25">
      <c r="A375">
        <v>374</v>
      </c>
      <c r="B375" t="s">
        <v>9</v>
      </c>
      <c r="C375">
        <v>297000</v>
      </c>
      <c r="D375" t="s">
        <v>18</v>
      </c>
      <c r="E375" t="s">
        <v>16</v>
      </c>
      <c r="F375" t="s">
        <v>12</v>
      </c>
      <c r="G375" t="s">
        <v>13</v>
      </c>
      <c r="H375" t="s">
        <v>13</v>
      </c>
      <c r="I375">
        <v>21</v>
      </c>
      <c r="J375" t="str" cm="1">
        <f t="array" ref="J375">_xlfn.IFS(ISBLANK(C375),"FALTANTE",ABS((C375-$W$5)/$X$5)&gt;1.96,"ATÍPICO",ABS((C375-$W$5)/$X$5)&lt;=1.96,"NO ATÍPICO")</f>
        <v>NO ATÍPICO</v>
      </c>
      <c r="K375" t="str" cm="1">
        <f t="array" ref="K375">_xlfn.IFS(ISBLANK(I375),"FALTANTE",ABS((I375-$W$8)/$X$8)&gt;1.92,"ATÍPICO",ABS((I375-$W$8)/$X$8)&lt;=1.92,"NO ATÍPICO")</f>
        <v>NO ATÍPICO</v>
      </c>
      <c r="L375">
        <f t="shared" si="25"/>
        <v>297000</v>
      </c>
      <c r="M375" t="str">
        <f t="shared" si="29"/>
        <v>TRABAJADOR INDEPENDIENTE</v>
      </c>
      <c r="N375">
        <f t="shared" si="26"/>
        <v>21</v>
      </c>
      <c r="O375" s="19" t="str">
        <f t="shared" si="27"/>
        <v>0–300k</v>
      </c>
      <c r="P375" s="19" t="str">
        <f t="shared" si="28"/>
        <v>18-25</v>
      </c>
    </row>
    <row r="376" spans="1:16" x14ac:dyDescent="0.25">
      <c r="A376">
        <v>375</v>
      </c>
      <c r="B376" t="s">
        <v>9</v>
      </c>
      <c r="C376">
        <v>711457.86</v>
      </c>
      <c r="D376" t="s">
        <v>10</v>
      </c>
      <c r="E376" t="s">
        <v>16</v>
      </c>
      <c r="F376" t="s">
        <v>12</v>
      </c>
      <c r="G376" t="s">
        <v>12</v>
      </c>
      <c r="H376" t="s">
        <v>13</v>
      </c>
      <c r="I376">
        <v>44</v>
      </c>
      <c r="J376" t="str" cm="1">
        <f t="array" ref="J376">_xlfn.IFS(ISBLANK(C376),"FALTANTE",ABS((C376-$W$5)/$X$5)&gt;1.96,"ATÍPICO",ABS((C376-$W$5)/$X$5)&lt;=1.96,"NO ATÍPICO")</f>
        <v>NO ATÍPICO</v>
      </c>
      <c r="K376" t="str" cm="1">
        <f t="array" ref="K376">_xlfn.IFS(ISBLANK(I376),"FALTANTE",ABS((I376-$W$8)/$X$8)&gt;1.92,"ATÍPICO",ABS((I376-$W$8)/$X$8)&lt;=1.92,"NO ATÍPICO")</f>
        <v>NO ATÍPICO</v>
      </c>
      <c r="L376">
        <f t="shared" si="25"/>
        <v>711457.86</v>
      </c>
      <c r="M376" t="str">
        <f t="shared" si="29"/>
        <v>ASALARIADO</v>
      </c>
      <c r="N376">
        <f t="shared" si="26"/>
        <v>44</v>
      </c>
      <c r="O376" s="19" t="str">
        <f t="shared" si="27"/>
        <v>600k–900k</v>
      </c>
      <c r="P376" s="19" t="str">
        <f t="shared" si="28"/>
        <v>36-45</v>
      </c>
    </row>
    <row r="377" spans="1:16" x14ac:dyDescent="0.25">
      <c r="A377">
        <v>376</v>
      </c>
      <c r="B377" t="s">
        <v>9</v>
      </c>
      <c r="C377">
        <v>765532.1</v>
      </c>
      <c r="D377" t="s">
        <v>10</v>
      </c>
      <c r="E377" t="s">
        <v>16</v>
      </c>
      <c r="F377" t="s">
        <v>12</v>
      </c>
      <c r="G377" t="s">
        <v>12</v>
      </c>
      <c r="H377" t="s">
        <v>13</v>
      </c>
      <c r="I377">
        <v>43</v>
      </c>
      <c r="J377" t="str" cm="1">
        <f t="array" ref="J377">_xlfn.IFS(ISBLANK(C377),"FALTANTE",ABS((C377-$W$5)/$X$5)&gt;1.96,"ATÍPICO",ABS((C377-$W$5)/$X$5)&lt;=1.96,"NO ATÍPICO")</f>
        <v>NO ATÍPICO</v>
      </c>
      <c r="K377" t="str" cm="1">
        <f t="array" ref="K377">_xlfn.IFS(ISBLANK(I377),"FALTANTE",ABS((I377-$W$8)/$X$8)&gt;1.92,"ATÍPICO",ABS((I377-$W$8)/$X$8)&lt;=1.92,"NO ATÍPICO")</f>
        <v>NO ATÍPICO</v>
      </c>
      <c r="L377">
        <f t="shared" si="25"/>
        <v>765532.1</v>
      </c>
      <c r="M377" t="str">
        <f t="shared" si="29"/>
        <v>ASALARIADO</v>
      </c>
      <c r="N377">
        <f t="shared" si="26"/>
        <v>43</v>
      </c>
      <c r="O377" s="19" t="str">
        <f t="shared" si="27"/>
        <v>600k–900k</v>
      </c>
      <c r="P377" s="19" t="str">
        <f t="shared" si="28"/>
        <v>36-45</v>
      </c>
    </row>
    <row r="378" spans="1:16" x14ac:dyDescent="0.25">
      <c r="A378">
        <v>377</v>
      </c>
      <c r="B378" t="s">
        <v>15</v>
      </c>
      <c r="C378">
        <v>300018</v>
      </c>
      <c r="D378" t="s">
        <v>18</v>
      </c>
      <c r="E378" t="s">
        <v>16</v>
      </c>
      <c r="F378" t="s">
        <v>12</v>
      </c>
      <c r="G378" t="s">
        <v>13</v>
      </c>
      <c r="H378" t="s">
        <v>13</v>
      </c>
      <c r="I378">
        <v>55</v>
      </c>
      <c r="J378" t="str" cm="1">
        <f t="array" ref="J378">_xlfn.IFS(ISBLANK(C378),"FALTANTE",ABS((C378-$W$5)/$X$5)&gt;1.96,"ATÍPICO",ABS((C378-$W$5)/$X$5)&lt;=1.96,"NO ATÍPICO")</f>
        <v>NO ATÍPICO</v>
      </c>
      <c r="K378" t="str" cm="1">
        <f t="array" ref="K378">_xlfn.IFS(ISBLANK(I378),"FALTANTE",ABS((I378-$W$8)/$X$8)&gt;1.92,"ATÍPICO",ABS((I378-$W$8)/$X$8)&lt;=1.92,"NO ATÍPICO")</f>
        <v>NO ATÍPICO</v>
      </c>
      <c r="L378">
        <f t="shared" si="25"/>
        <v>300018</v>
      </c>
      <c r="M378" t="str">
        <f t="shared" si="29"/>
        <v>TRABAJADOR INDEPENDIENTE</v>
      </c>
      <c r="N378">
        <f t="shared" si="26"/>
        <v>55</v>
      </c>
      <c r="O378" s="19" t="str">
        <f t="shared" si="27"/>
        <v>300k–600k</v>
      </c>
      <c r="P378" s="19" t="str">
        <f t="shared" si="28"/>
        <v>46-55</v>
      </c>
    </row>
    <row r="379" spans="1:16" x14ac:dyDescent="0.25">
      <c r="A379">
        <v>378</v>
      </c>
      <c r="B379" t="s">
        <v>9</v>
      </c>
      <c r="C379">
        <v>594092</v>
      </c>
      <c r="D379" t="s">
        <v>18</v>
      </c>
      <c r="E379" t="s">
        <v>16</v>
      </c>
      <c r="F379" t="s">
        <v>12</v>
      </c>
      <c r="G379" t="s">
        <v>13</v>
      </c>
      <c r="H379" t="s">
        <v>12</v>
      </c>
      <c r="I379">
        <v>53</v>
      </c>
      <c r="J379" t="str" cm="1">
        <f t="array" ref="J379">_xlfn.IFS(ISBLANK(C379),"FALTANTE",ABS((C379-$W$5)/$X$5)&gt;1.96,"ATÍPICO",ABS((C379-$W$5)/$X$5)&lt;=1.96,"NO ATÍPICO")</f>
        <v>NO ATÍPICO</v>
      </c>
      <c r="K379" t="str" cm="1">
        <f t="array" ref="K379">_xlfn.IFS(ISBLANK(I379),"FALTANTE",ABS((I379-$W$8)/$X$8)&gt;1.92,"ATÍPICO",ABS((I379-$W$8)/$X$8)&lt;=1.92,"NO ATÍPICO")</f>
        <v>NO ATÍPICO</v>
      </c>
      <c r="L379">
        <f t="shared" si="25"/>
        <v>594092</v>
      </c>
      <c r="M379" t="str">
        <f t="shared" si="29"/>
        <v>TRABAJADOR INDEPENDIENTE</v>
      </c>
      <c r="N379">
        <f t="shared" si="26"/>
        <v>53</v>
      </c>
      <c r="O379" s="19" t="str">
        <f t="shared" si="27"/>
        <v>300k–600k</v>
      </c>
      <c r="P379" s="19" t="str">
        <f t="shared" si="28"/>
        <v>46-55</v>
      </c>
    </row>
    <row r="380" spans="1:16" x14ac:dyDescent="0.25">
      <c r="A380">
        <v>379</v>
      </c>
      <c r="B380" t="s">
        <v>15</v>
      </c>
      <c r="C380">
        <v>943396.65</v>
      </c>
      <c r="D380" t="s">
        <v>10</v>
      </c>
      <c r="E380" t="s">
        <v>11</v>
      </c>
      <c r="F380" t="s">
        <v>12</v>
      </c>
      <c r="G380" t="s">
        <v>13</v>
      </c>
      <c r="H380" t="s">
        <v>13</v>
      </c>
      <c r="I380">
        <v>38</v>
      </c>
      <c r="J380" t="str" cm="1">
        <f t="array" ref="J380">_xlfn.IFS(ISBLANK(C380),"FALTANTE",ABS((C380-$W$5)/$X$5)&gt;1.96,"ATÍPICO",ABS((C380-$W$5)/$X$5)&lt;=1.96,"NO ATÍPICO")</f>
        <v>NO ATÍPICO</v>
      </c>
      <c r="K380" t="str" cm="1">
        <f t="array" ref="K380">_xlfn.IFS(ISBLANK(I380),"FALTANTE",ABS((I380-$W$8)/$X$8)&gt;1.92,"ATÍPICO",ABS((I380-$W$8)/$X$8)&lt;=1.92,"NO ATÍPICO")</f>
        <v>NO ATÍPICO</v>
      </c>
      <c r="L380">
        <f t="shared" si="25"/>
        <v>943396.65</v>
      </c>
      <c r="M380" t="str">
        <f t="shared" si="29"/>
        <v>ASALARIADO</v>
      </c>
      <c r="N380">
        <f t="shared" si="26"/>
        <v>38</v>
      </c>
      <c r="O380" s="19" t="str">
        <f t="shared" si="27"/>
        <v>900k–1200k</v>
      </c>
      <c r="P380" s="19" t="str">
        <f t="shared" si="28"/>
        <v>36-45</v>
      </c>
    </row>
    <row r="381" spans="1:16" x14ac:dyDescent="0.25">
      <c r="A381">
        <v>380</v>
      </c>
      <c r="B381" t="s">
        <v>9</v>
      </c>
      <c r="C381">
        <v>280000</v>
      </c>
      <c r="D381" t="s">
        <v>10</v>
      </c>
      <c r="E381" t="s">
        <v>16</v>
      </c>
      <c r="F381" t="s">
        <v>12</v>
      </c>
      <c r="G381" t="s">
        <v>13</v>
      </c>
      <c r="H381" t="s">
        <v>13</v>
      </c>
      <c r="I381">
        <v>33</v>
      </c>
      <c r="J381" t="str" cm="1">
        <f t="array" ref="J381">_xlfn.IFS(ISBLANK(C381),"FALTANTE",ABS((C381-$W$5)/$X$5)&gt;1.96,"ATÍPICO",ABS((C381-$W$5)/$X$5)&lt;=1.96,"NO ATÍPICO")</f>
        <v>NO ATÍPICO</v>
      </c>
      <c r="K381" t="str" cm="1">
        <f t="array" ref="K381">_xlfn.IFS(ISBLANK(I381),"FALTANTE",ABS((I381-$W$8)/$X$8)&gt;1.92,"ATÍPICO",ABS((I381-$W$8)/$X$8)&lt;=1.92,"NO ATÍPICO")</f>
        <v>NO ATÍPICO</v>
      </c>
      <c r="L381">
        <f t="shared" si="25"/>
        <v>280000</v>
      </c>
      <c r="M381" t="str">
        <f t="shared" si="29"/>
        <v>ASALARIADO</v>
      </c>
      <c r="N381">
        <f t="shared" si="26"/>
        <v>33</v>
      </c>
      <c r="O381" s="19" t="str">
        <f t="shared" si="27"/>
        <v>0–300k</v>
      </c>
      <c r="P381" s="19" t="str">
        <f t="shared" si="28"/>
        <v>26-35</v>
      </c>
    </row>
    <row r="382" spans="1:16" x14ac:dyDescent="0.25">
      <c r="A382">
        <v>381</v>
      </c>
      <c r="B382" t="s">
        <v>9</v>
      </c>
      <c r="C382">
        <v>1414130.5</v>
      </c>
      <c r="D382" t="s">
        <v>10</v>
      </c>
      <c r="E382" t="s">
        <v>11</v>
      </c>
      <c r="F382" t="s">
        <v>12</v>
      </c>
      <c r="G382" t="s">
        <v>13</v>
      </c>
      <c r="H382" t="s">
        <v>13</v>
      </c>
      <c r="I382">
        <v>34</v>
      </c>
      <c r="J382" t="str" cm="1">
        <f t="array" ref="J382">_xlfn.IFS(ISBLANK(C382),"FALTANTE",ABS((C382-$W$5)/$X$5)&gt;1.96,"ATÍPICO",ABS((C382-$W$5)/$X$5)&lt;=1.96,"NO ATÍPICO")</f>
        <v>NO ATÍPICO</v>
      </c>
      <c r="K382" t="str" cm="1">
        <f t="array" ref="K382">_xlfn.IFS(ISBLANK(I382),"FALTANTE",ABS((I382-$W$8)/$X$8)&gt;1.92,"ATÍPICO",ABS((I382-$W$8)/$X$8)&lt;=1.92,"NO ATÍPICO")</f>
        <v>NO ATÍPICO</v>
      </c>
      <c r="L382">
        <f t="shared" si="25"/>
        <v>1414130.5</v>
      </c>
      <c r="M382" t="str">
        <f t="shared" si="29"/>
        <v>ASALARIADO</v>
      </c>
      <c r="N382">
        <f t="shared" si="26"/>
        <v>34</v>
      </c>
      <c r="O382" s="19" t="str">
        <f t="shared" si="27"/>
        <v>1200k+</v>
      </c>
      <c r="P382" s="19" t="str">
        <f t="shared" si="28"/>
        <v>26-35</v>
      </c>
    </row>
    <row r="383" spans="1:16" x14ac:dyDescent="0.25">
      <c r="A383">
        <v>382</v>
      </c>
      <c r="B383" t="s">
        <v>15</v>
      </c>
      <c r="C383">
        <v>300018</v>
      </c>
      <c r="D383" t="s">
        <v>18</v>
      </c>
      <c r="E383" t="s">
        <v>16</v>
      </c>
      <c r="F383" t="s">
        <v>12</v>
      </c>
      <c r="G383" t="s">
        <v>13</v>
      </c>
      <c r="H383" t="s">
        <v>12</v>
      </c>
      <c r="I383">
        <v>32</v>
      </c>
      <c r="J383" t="str" cm="1">
        <f t="array" ref="J383">_xlfn.IFS(ISBLANK(C383),"FALTANTE",ABS((C383-$W$5)/$X$5)&gt;1.96,"ATÍPICO",ABS((C383-$W$5)/$X$5)&lt;=1.96,"NO ATÍPICO")</f>
        <v>NO ATÍPICO</v>
      </c>
      <c r="K383" t="str" cm="1">
        <f t="array" ref="K383">_xlfn.IFS(ISBLANK(I383),"FALTANTE",ABS((I383-$W$8)/$X$8)&gt;1.92,"ATÍPICO",ABS((I383-$W$8)/$X$8)&lt;=1.92,"NO ATÍPICO")</f>
        <v>NO ATÍPICO</v>
      </c>
      <c r="L383">
        <f t="shared" si="25"/>
        <v>300018</v>
      </c>
      <c r="M383" t="str">
        <f t="shared" si="29"/>
        <v>TRABAJADOR INDEPENDIENTE</v>
      </c>
      <c r="N383">
        <f t="shared" si="26"/>
        <v>32</v>
      </c>
      <c r="O383" s="19" t="str">
        <f t="shared" si="27"/>
        <v>300k–600k</v>
      </c>
      <c r="P383" s="19" t="str">
        <f t="shared" si="28"/>
        <v>26-35</v>
      </c>
    </row>
    <row r="384" spans="1:16" x14ac:dyDescent="0.25">
      <c r="A384">
        <v>383</v>
      </c>
      <c r="B384" t="s">
        <v>9</v>
      </c>
      <c r="C384">
        <v>695508.19</v>
      </c>
      <c r="D384" t="s">
        <v>10</v>
      </c>
      <c r="E384" t="s">
        <v>16</v>
      </c>
      <c r="F384" t="s">
        <v>12</v>
      </c>
      <c r="G384" t="s">
        <v>13</v>
      </c>
      <c r="H384" t="s">
        <v>13</v>
      </c>
      <c r="I384">
        <v>36</v>
      </c>
      <c r="J384" t="str" cm="1">
        <f t="array" ref="J384">_xlfn.IFS(ISBLANK(C384),"FALTANTE",ABS((C384-$W$5)/$X$5)&gt;1.96,"ATÍPICO",ABS((C384-$W$5)/$X$5)&lt;=1.96,"NO ATÍPICO")</f>
        <v>NO ATÍPICO</v>
      </c>
      <c r="K384" t="str" cm="1">
        <f t="array" ref="K384">_xlfn.IFS(ISBLANK(I384),"FALTANTE",ABS((I384-$W$8)/$X$8)&gt;1.92,"ATÍPICO",ABS((I384-$W$8)/$X$8)&lt;=1.92,"NO ATÍPICO")</f>
        <v>NO ATÍPICO</v>
      </c>
      <c r="L384">
        <f t="shared" si="25"/>
        <v>695508.19</v>
      </c>
      <c r="M384" t="str">
        <f t="shared" si="29"/>
        <v>ASALARIADO</v>
      </c>
      <c r="N384">
        <f t="shared" si="26"/>
        <v>36</v>
      </c>
      <c r="O384" s="19" t="str">
        <f t="shared" si="27"/>
        <v>600k–900k</v>
      </c>
      <c r="P384" s="19" t="str">
        <f t="shared" si="28"/>
        <v>36-45</v>
      </c>
    </row>
    <row r="385" spans="1:16" x14ac:dyDescent="0.25">
      <c r="A385">
        <v>384</v>
      </c>
      <c r="B385" t="s">
        <v>9</v>
      </c>
      <c r="C385">
        <v>343811</v>
      </c>
      <c r="D385" t="s">
        <v>18</v>
      </c>
      <c r="E385" t="s">
        <v>16</v>
      </c>
      <c r="F385" t="s">
        <v>12</v>
      </c>
      <c r="G385" t="s">
        <v>13</v>
      </c>
      <c r="H385" t="s">
        <v>13</v>
      </c>
      <c r="I385">
        <v>64</v>
      </c>
      <c r="J385" t="str" cm="1">
        <f t="array" ref="J385">_xlfn.IFS(ISBLANK(C385),"FALTANTE",ABS((C385-$W$5)/$X$5)&gt;1.96,"ATÍPICO",ABS((C385-$W$5)/$X$5)&lt;=1.96,"NO ATÍPICO")</f>
        <v>NO ATÍPICO</v>
      </c>
      <c r="K385" t="str" cm="1">
        <f t="array" ref="K385">_xlfn.IFS(ISBLANK(I385),"FALTANTE",ABS((I385-$W$8)/$X$8)&gt;1.92,"ATÍPICO",ABS((I385-$W$8)/$X$8)&lt;=1.92,"NO ATÍPICO")</f>
        <v>NO ATÍPICO</v>
      </c>
      <c r="L385">
        <f t="shared" si="25"/>
        <v>343811</v>
      </c>
      <c r="M385" t="str">
        <f t="shared" si="29"/>
        <v>TRABAJADOR INDEPENDIENTE</v>
      </c>
      <c r="N385">
        <f t="shared" si="26"/>
        <v>64</v>
      </c>
      <c r="O385" s="19" t="str">
        <f t="shared" si="27"/>
        <v>300k–600k</v>
      </c>
      <c r="P385" s="19" t="str">
        <f t="shared" si="28"/>
        <v>56+</v>
      </c>
    </row>
    <row r="386" spans="1:16" x14ac:dyDescent="0.25">
      <c r="A386">
        <v>385</v>
      </c>
      <c r="B386" t="s">
        <v>9</v>
      </c>
      <c r="C386">
        <v>356858</v>
      </c>
      <c r="D386" t="s">
        <v>18</v>
      </c>
      <c r="E386" t="s">
        <v>16</v>
      </c>
      <c r="F386" t="s">
        <v>12</v>
      </c>
      <c r="G386" t="s">
        <v>13</v>
      </c>
      <c r="H386" t="s">
        <v>13</v>
      </c>
      <c r="I386">
        <v>57</v>
      </c>
      <c r="J386" t="str" cm="1">
        <f t="array" ref="J386">_xlfn.IFS(ISBLANK(C386),"FALTANTE",ABS((C386-$W$5)/$X$5)&gt;1.96,"ATÍPICO",ABS((C386-$W$5)/$X$5)&lt;=1.96,"NO ATÍPICO")</f>
        <v>NO ATÍPICO</v>
      </c>
      <c r="K386" t="str" cm="1">
        <f t="array" ref="K386">_xlfn.IFS(ISBLANK(I386),"FALTANTE",ABS((I386-$W$8)/$X$8)&gt;1.92,"ATÍPICO",ABS((I386-$W$8)/$X$8)&lt;=1.92,"NO ATÍPICO")</f>
        <v>NO ATÍPICO</v>
      </c>
      <c r="L386">
        <f t="shared" ref="L386:L449" si="30">C386</f>
        <v>356858</v>
      </c>
      <c r="M386" t="str">
        <f t="shared" si="29"/>
        <v>TRABAJADOR INDEPENDIENTE</v>
      </c>
      <c r="N386">
        <f t="shared" ref="N386:N449" si="31">I386</f>
        <v>57</v>
      </c>
      <c r="O386" s="19" t="str">
        <f t="shared" ref="O386:O449" si="32">IF(L386&lt;=300000,"0–300k",IF(L386&lt;=600000,"300k–600k",IF(L386&lt;=900000,"600k–900k",IF(L386&lt;=1200000,"900k–1200k","1200k+"))))</f>
        <v>300k–600k</v>
      </c>
      <c r="P386" s="19" t="str">
        <f t="shared" ref="P386:P449" si="33">IF(N386 &lt;=25,"18-25", IF(N386&lt;=35,"26-35", IF(N386 &lt;=45,"36-45", IF(N386&lt;=55,"46-55","56+"))))</f>
        <v>56+</v>
      </c>
    </row>
    <row r="387" spans="1:16" x14ac:dyDescent="0.25">
      <c r="A387">
        <v>386</v>
      </c>
      <c r="B387" t="s">
        <v>15</v>
      </c>
      <c r="C387">
        <v>1314924.8600000001</v>
      </c>
      <c r="D387" t="s">
        <v>10</v>
      </c>
      <c r="E387" t="s">
        <v>16</v>
      </c>
      <c r="F387" t="s">
        <v>12</v>
      </c>
      <c r="G387" t="s">
        <v>13</v>
      </c>
      <c r="H387" t="s">
        <v>13</v>
      </c>
      <c r="I387">
        <v>37</v>
      </c>
      <c r="J387" t="str" cm="1">
        <f t="array" ref="J387">_xlfn.IFS(ISBLANK(C387),"FALTANTE",ABS((C387-$W$5)/$X$5)&gt;1.96,"ATÍPICO",ABS((C387-$W$5)/$X$5)&lt;=1.96,"NO ATÍPICO")</f>
        <v>NO ATÍPICO</v>
      </c>
      <c r="K387" t="str" cm="1">
        <f t="array" ref="K387">_xlfn.IFS(ISBLANK(I387),"FALTANTE",ABS((I387-$W$8)/$X$8)&gt;1.92,"ATÍPICO",ABS((I387-$W$8)/$X$8)&lt;=1.92,"NO ATÍPICO")</f>
        <v>NO ATÍPICO</v>
      </c>
      <c r="L387">
        <f t="shared" si="30"/>
        <v>1314924.8600000001</v>
      </c>
      <c r="M387" t="str">
        <f t="shared" si="29"/>
        <v>ASALARIADO</v>
      </c>
      <c r="N387">
        <f t="shared" si="31"/>
        <v>37</v>
      </c>
      <c r="O387" s="19" t="str">
        <f t="shared" si="32"/>
        <v>1200k+</v>
      </c>
      <c r="P387" s="19" t="str">
        <f t="shared" si="33"/>
        <v>36-45</v>
      </c>
    </row>
    <row r="388" spans="1:16" x14ac:dyDescent="0.25">
      <c r="A388">
        <v>387</v>
      </c>
      <c r="B388" t="s">
        <v>9</v>
      </c>
      <c r="C388">
        <v>652872.57999999996</v>
      </c>
      <c r="D388" t="s">
        <v>10</v>
      </c>
      <c r="E388" t="s">
        <v>16</v>
      </c>
      <c r="F388" t="s">
        <v>12</v>
      </c>
      <c r="G388" t="s">
        <v>12</v>
      </c>
      <c r="H388" t="s">
        <v>13</v>
      </c>
      <c r="I388">
        <v>54</v>
      </c>
      <c r="J388" t="str" cm="1">
        <f t="array" ref="J388">_xlfn.IFS(ISBLANK(C388),"FALTANTE",ABS((C388-$W$5)/$X$5)&gt;1.96,"ATÍPICO",ABS((C388-$W$5)/$X$5)&lt;=1.96,"NO ATÍPICO")</f>
        <v>NO ATÍPICO</v>
      </c>
      <c r="K388" t="str" cm="1">
        <f t="array" ref="K388">_xlfn.IFS(ISBLANK(I388),"FALTANTE",ABS((I388-$W$8)/$X$8)&gt;1.92,"ATÍPICO",ABS((I388-$W$8)/$X$8)&lt;=1.92,"NO ATÍPICO")</f>
        <v>NO ATÍPICO</v>
      </c>
      <c r="L388">
        <f t="shared" si="30"/>
        <v>652872.57999999996</v>
      </c>
      <c r="M388" t="str">
        <f t="shared" ref="M388:M451" si="34">D388</f>
        <v>ASALARIADO</v>
      </c>
      <c r="N388">
        <f t="shared" si="31"/>
        <v>54</v>
      </c>
      <c r="O388" s="19" t="str">
        <f t="shared" si="32"/>
        <v>600k–900k</v>
      </c>
      <c r="P388" s="19" t="str">
        <f t="shared" si="33"/>
        <v>46-55</v>
      </c>
    </row>
    <row r="389" spans="1:16" x14ac:dyDescent="0.25">
      <c r="A389">
        <v>388</v>
      </c>
      <c r="B389" t="s">
        <v>9</v>
      </c>
      <c r="C389">
        <v>297045</v>
      </c>
      <c r="D389" t="s">
        <v>17</v>
      </c>
      <c r="E389" t="s">
        <v>16</v>
      </c>
      <c r="F389" t="s">
        <v>12</v>
      </c>
      <c r="G389" t="s">
        <v>13</v>
      </c>
      <c r="H389" t="s">
        <v>13</v>
      </c>
      <c r="I389">
        <v>44</v>
      </c>
      <c r="J389" t="str" cm="1">
        <f t="array" ref="J389">_xlfn.IFS(ISBLANK(C389),"FALTANTE",ABS((C389-$W$5)/$X$5)&gt;1.96,"ATÍPICO",ABS((C389-$W$5)/$X$5)&lt;=1.96,"NO ATÍPICO")</f>
        <v>NO ATÍPICO</v>
      </c>
      <c r="K389" t="str" cm="1">
        <f t="array" ref="K389">_xlfn.IFS(ISBLANK(I389),"FALTANTE",ABS((I389-$W$8)/$X$8)&gt;1.92,"ATÍPICO",ABS((I389-$W$8)/$X$8)&lt;=1.92,"NO ATÍPICO")</f>
        <v>NO ATÍPICO</v>
      </c>
      <c r="L389">
        <f t="shared" si="30"/>
        <v>297045</v>
      </c>
      <c r="M389" t="str">
        <f t="shared" si="34"/>
        <v>ASEGURADO VOLUNTARIO</v>
      </c>
      <c r="N389">
        <f t="shared" si="31"/>
        <v>44</v>
      </c>
      <c r="O389" s="19" t="str">
        <f t="shared" si="32"/>
        <v>0–300k</v>
      </c>
      <c r="P389" s="19" t="str">
        <f t="shared" si="33"/>
        <v>36-45</v>
      </c>
    </row>
    <row r="390" spans="1:16" x14ac:dyDescent="0.25">
      <c r="A390">
        <v>389</v>
      </c>
      <c r="B390" t="s">
        <v>9</v>
      </c>
      <c r="C390">
        <v>463313.7</v>
      </c>
      <c r="D390" t="s">
        <v>10</v>
      </c>
      <c r="E390" t="s">
        <v>11</v>
      </c>
      <c r="F390" t="s">
        <v>12</v>
      </c>
      <c r="G390" t="s">
        <v>13</v>
      </c>
      <c r="H390" t="s">
        <v>13</v>
      </c>
      <c r="I390">
        <v>36</v>
      </c>
      <c r="J390" t="str" cm="1">
        <f t="array" ref="J390">_xlfn.IFS(ISBLANK(C390),"FALTANTE",ABS((C390-$W$5)/$X$5)&gt;1.96,"ATÍPICO",ABS((C390-$W$5)/$X$5)&lt;=1.96,"NO ATÍPICO")</f>
        <v>NO ATÍPICO</v>
      </c>
      <c r="K390" t="str" cm="1">
        <f t="array" ref="K390">_xlfn.IFS(ISBLANK(I390),"FALTANTE",ABS((I390-$W$8)/$X$8)&gt;1.92,"ATÍPICO",ABS((I390-$W$8)/$X$8)&lt;=1.92,"NO ATÍPICO")</f>
        <v>NO ATÍPICO</v>
      </c>
      <c r="L390">
        <f t="shared" si="30"/>
        <v>463313.7</v>
      </c>
      <c r="M390" t="str">
        <f t="shared" si="34"/>
        <v>ASALARIADO</v>
      </c>
      <c r="N390">
        <f t="shared" si="31"/>
        <v>36</v>
      </c>
      <c r="O390" s="19" t="str">
        <f t="shared" si="32"/>
        <v>300k–600k</v>
      </c>
      <c r="P390" s="19" t="str">
        <f t="shared" si="33"/>
        <v>36-45</v>
      </c>
    </row>
    <row r="391" spans="1:16" x14ac:dyDescent="0.25">
      <c r="A391">
        <v>390</v>
      </c>
      <c r="B391" t="s">
        <v>15</v>
      </c>
      <c r="C391">
        <v>144000</v>
      </c>
      <c r="D391" t="s">
        <v>10</v>
      </c>
      <c r="E391" t="s">
        <v>16</v>
      </c>
      <c r="F391" t="s">
        <v>12</v>
      </c>
      <c r="G391" t="s">
        <v>13</v>
      </c>
      <c r="H391" t="s">
        <v>13</v>
      </c>
      <c r="I391">
        <v>20</v>
      </c>
      <c r="J391" t="str" cm="1">
        <f t="array" ref="J391">_xlfn.IFS(ISBLANK(C391),"FALTANTE",ABS((C391-$W$5)/$X$5)&gt;1.96,"ATÍPICO",ABS((C391-$W$5)/$X$5)&lt;=1.96,"NO ATÍPICO")</f>
        <v>NO ATÍPICO</v>
      </c>
      <c r="K391" t="str" cm="1">
        <f t="array" ref="K391">_xlfn.IFS(ISBLANK(I391),"FALTANTE",ABS((I391-$W$8)/$X$8)&gt;1.92,"ATÍPICO",ABS((I391-$W$8)/$X$8)&lt;=1.92,"NO ATÍPICO")</f>
        <v>NO ATÍPICO</v>
      </c>
      <c r="L391">
        <f t="shared" si="30"/>
        <v>144000</v>
      </c>
      <c r="M391" t="str">
        <f t="shared" si="34"/>
        <v>ASALARIADO</v>
      </c>
      <c r="N391">
        <f t="shared" si="31"/>
        <v>20</v>
      </c>
      <c r="O391" s="19" t="str">
        <f t="shared" si="32"/>
        <v>0–300k</v>
      </c>
      <c r="P391" s="19" t="str">
        <f t="shared" si="33"/>
        <v>18-25</v>
      </c>
    </row>
    <row r="392" spans="1:16" x14ac:dyDescent="0.25">
      <c r="A392">
        <v>391</v>
      </c>
      <c r="B392" t="s">
        <v>9</v>
      </c>
      <c r="C392">
        <v>610513</v>
      </c>
      <c r="D392" t="s">
        <v>18</v>
      </c>
      <c r="E392" t="s">
        <v>16</v>
      </c>
      <c r="F392" t="s">
        <v>12</v>
      </c>
      <c r="G392" t="s">
        <v>13</v>
      </c>
      <c r="H392" t="s">
        <v>12</v>
      </c>
      <c r="I392">
        <v>34</v>
      </c>
      <c r="J392" t="str" cm="1">
        <f t="array" ref="J392">_xlfn.IFS(ISBLANK(C392),"FALTANTE",ABS((C392-$W$5)/$X$5)&gt;1.96,"ATÍPICO",ABS((C392-$W$5)/$X$5)&lt;=1.96,"NO ATÍPICO")</f>
        <v>NO ATÍPICO</v>
      </c>
      <c r="K392" t="str" cm="1">
        <f t="array" ref="K392">_xlfn.IFS(ISBLANK(I392),"FALTANTE",ABS((I392-$W$8)/$X$8)&gt;1.92,"ATÍPICO",ABS((I392-$W$8)/$X$8)&lt;=1.92,"NO ATÍPICO")</f>
        <v>NO ATÍPICO</v>
      </c>
      <c r="L392">
        <f t="shared" si="30"/>
        <v>610513</v>
      </c>
      <c r="M392" t="str">
        <f t="shared" si="34"/>
        <v>TRABAJADOR INDEPENDIENTE</v>
      </c>
      <c r="N392">
        <f t="shared" si="31"/>
        <v>34</v>
      </c>
      <c r="O392" s="19" t="str">
        <f t="shared" si="32"/>
        <v>600k–900k</v>
      </c>
      <c r="P392" s="19" t="str">
        <f t="shared" si="33"/>
        <v>26-35</v>
      </c>
    </row>
    <row r="393" spans="1:16" x14ac:dyDescent="0.25">
      <c r="A393">
        <v>392</v>
      </c>
      <c r="B393" t="s">
        <v>15</v>
      </c>
      <c r="C393">
        <v>950292</v>
      </c>
      <c r="D393" t="s">
        <v>10</v>
      </c>
      <c r="E393" t="s">
        <v>16</v>
      </c>
      <c r="F393" t="s">
        <v>12</v>
      </c>
      <c r="G393" t="s">
        <v>13</v>
      </c>
      <c r="H393" t="s">
        <v>13</v>
      </c>
      <c r="I393">
        <v>38</v>
      </c>
      <c r="J393" t="str" cm="1">
        <f t="array" ref="J393">_xlfn.IFS(ISBLANK(C393),"FALTANTE",ABS((C393-$W$5)/$X$5)&gt;1.96,"ATÍPICO",ABS((C393-$W$5)/$X$5)&lt;=1.96,"NO ATÍPICO")</f>
        <v>NO ATÍPICO</v>
      </c>
      <c r="K393" t="str" cm="1">
        <f t="array" ref="K393">_xlfn.IFS(ISBLANK(I393),"FALTANTE",ABS((I393-$W$8)/$X$8)&gt;1.92,"ATÍPICO",ABS((I393-$W$8)/$X$8)&lt;=1.92,"NO ATÍPICO")</f>
        <v>NO ATÍPICO</v>
      </c>
      <c r="L393">
        <f t="shared" si="30"/>
        <v>950292</v>
      </c>
      <c r="M393" t="str">
        <f t="shared" si="34"/>
        <v>ASALARIADO</v>
      </c>
      <c r="N393">
        <f t="shared" si="31"/>
        <v>38</v>
      </c>
      <c r="O393" s="19" t="str">
        <f t="shared" si="32"/>
        <v>900k–1200k</v>
      </c>
      <c r="P393" s="19" t="str">
        <f t="shared" si="33"/>
        <v>36-45</v>
      </c>
    </row>
    <row r="394" spans="1:16" x14ac:dyDescent="0.25">
      <c r="A394">
        <v>393</v>
      </c>
      <c r="B394" t="s">
        <v>9</v>
      </c>
      <c r="C394">
        <v>798210</v>
      </c>
      <c r="D394" t="s">
        <v>10</v>
      </c>
      <c r="E394" t="s">
        <v>11</v>
      </c>
      <c r="F394" t="s">
        <v>12</v>
      </c>
      <c r="G394" t="s">
        <v>13</v>
      </c>
      <c r="H394" t="s">
        <v>13</v>
      </c>
      <c r="I394">
        <v>39</v>
      </c>
      <c r="J394" t="str" cm="1">
        <f t="array" ref="J394">_xlfn.IFS(ISBLANK(C394),"FALTANTE",ABS((C394-$W$5)/$X$5)&gt;1.96,"ATÍPICO",ABS((C394-$W$5)/$X$5)&lt;=1.96,"NO ATÍPICO")</f>
        <v>NO ATÍPICO</v>
      </c>
      <c r="K394" t="str" cm="1">
        <f t="array" ref="K394">_xlfn.IFS(ISBLANK(I394),"FALTANTE",ABS((I394-$W$8)/$X$8)&gt;1.92,"ATÍPICO",ABS((I394-$W$8)/$X$8)&lt;=1.92,"NO ATÍPICO")</f>
        <v>NO ATÍPICO</v>
      </c>
      <c r="L394">
        <f t="shared" si="30"/>
        <v>798210</v>
      </c>
      <c r="M394" t="str">
        <f t="shared" si="34"/>
        <v>ASALARIADO</v>
      </c>
      <c r="N394">
        <f t="shared" si="31"/>
        <v>39</v>
      </c>
      <c r="O394" s="19" t="str">
        <f t="shared" si="32"/>
        <v>600k–900k</v>
      </c>
      <c r="P394" s="19" t="str">
        <f t="shared" si="33"/>
        <v>36-45</v>
      </c>
    </row>
    <row r="395" spans="1:16" x14ac:dyDescent="0.25">
      <c r="A395">
        <v>394</v>
      </c>
      <c r="B395" t="s">
        <v>9</v>
      </c>
      <c r="C395">
        <v>783125</v>
      </c>
      <c r="D395" t="s">
        <v>10</v>
      </c>
      <c r="E395" t="s">
        <v>16</v>
      </c>
      <c r="F395" t="s">
        <v>12</v>
      </c>
      <c r="G395" t="s">
        <v>13</v>
      </c>
      <c r="H395" t="s">
        <v>12</v>
      </c>
      <c r="I395">
        <v>32</v>
      </c>
      <c r="J395" t="str" cm="1">
        <f t="array" ref="J395">_xlfn.IFS(ISBLANK(C395),"FALTANTE",ABS((C395-$W$5)/$X$5)&gt;1.96,"ATÍPICO",ABS((C395-$W$5)/$X$5)&lt;=1.96,"NO ATÍPICO")</f>
        <v>NO ATÍPICO</v>
      </c>
      <c r="K395" t="str" cm="1">
        <f t="array" ref="K395">_xlfn.IFS(ISBLANK(I395),"FALTANTE",ABS((I395-$W$8)/$X$8)&gt;1.92,"ATÍPICO",ABS((I395-$W$8)/$X$8)&lt;=1.92,"NO ATÍPICO")</f>
        <v>NO ATÍPICO</v>
      </c>
      <c r="L395">
        <f t="shared" si="30"/>
        <v>783125</v>
      </c>
      <c r="M395" t="str">
        <f t="shared" si="34"/>
        <v>ASALARIADO</v>
      </c>
      <c r="N395">
        <f t="shared" si="31"/>
        <v>32</v>
      </c>
      <c r="O395" s="19" t="str">
        <f t="shared" si="32"/>
        <v>600k–900k</v>
      </c>
      <c r="P395" s="19" t="str">
        <f t="shared" si="33"/>
        <v>26-35</v>
      </c>
    </row>
    <row r="396" spans="1:16" x14ac:dyDescent="0.25">
      <c r="A396">
        <v>395</v>
      </c>
      <c r="B396" t="s">
        <v>9</v>
      </c>
      <c r="C396">
        <v>466553.21</v>
      </c>
      <c r="D396" t="s">
        <v>10</v>
      </c>
      <c r="E396" t="s">
        <v>16</v>
      </c>
      <c r="F396" t="s">
        <v>12</v>
      </c>
      <c r="G396" t="s">
        <v>13</v>
      </c>
      <c r="H396" t="s">
        <v>13</v>
      </c>
      <c r="I396">
        <v>36</v>
      </c>
      <c r="J396" t="str" cm="1">
        <f t="array" ref="J396">_xlfn.IFS(ISBLANK(C396),"FALTANTE",ABS((C396-$W$5)/$X$5)&gt;1.96,"ATÍPICO",ABS((C396-$W$5)/$X$5)&lt;=1.96,"NO ATÍPICO")</f>
        <v>NO ATÍPICO</v>
      </c>
      <c r="K396" t="str" cm="1">
        <f t="array" ref="K396">_xlfn.IFS(ISBLANK(I396),"FALTANTE",ABS((I396-$W$8)/$X$8)&gt;1.92,"ATÍPICO",ABS((I396-$W$8)/$X$8)&lt;=1.92,"NO ATÍPICO")</f>
        <v>NO ATÍPICO</v>
      </c>
      <c r="L396">
        <f t="shared" si="30"/>
        <v>466553.21</v>
      </c>
      <c r="M396" t="str">
        <f t="shared" si="34"/>
        <v>ASALARIADO</v>
      </c>
      <c r="N396">
        <f t="shared" si="31"/>
        <v>36</v>
      </c>
      <c r="O396" s="19" t="str">
        <f t="shared" si="32"/>
        <v>300k–600k</v>
      </c>
      <c r="P396" s="19" t="str">
        <f t="shared" si="33"/>
        <v>36-45</v>
      </c>
    </row>
    <row r="397" spans="1:16" x14ac:dyDescent="0.25">
      <c r="A397">
        <v>396</v>
      </c>
      <c r="B397" t="s">
        <v>9</v>
      </c>
      <c r="C397">
        <v>14290</v>
      </c>
      <c r="D397" t="s">
        <v>10</v>
      </c>
      <c r="E397" t="s">
        <v>16</v>
      </c>
      <c r="F397" t="s">
        <v>12</v>
      </c>
      <c r="G397" t="s">
        <v>13</v>
      </c>
      <c r="H397" t="s">
        <v>13</v>
      </c>
      <c r="I397">
        <v>57</v>
      </c>
      <c r="J397" t="str" cm="1">
        <f t="array" ref="J397">_xlfn.IFS(ISBLANK(C397),"FALTANTE",ABS((C397-$W$5)/$X$5)&gt;1.96,"ATÍPICO",ABS((C397-$W$5)/$X$5)&lt;=1.96,"NO ATÍPICO")</f>
        <v>NO ATÍPICO</v>
      </c>
      <c r="K397" t="str" cm="1">
        <f t="array" ref="K397">_xlfn.IFS(ISBLANK(I397),"FALTANTE",ABS((I397-$W$8)/$X$8)&gt;1.92,"ATÍPICO",ABS((I397-$W$8)/$X$8)&lt;=1.92,"NO ATÍPICO")</f>
        <v>NO ATÍPICO</v>
      </c>
      <c r="L397">
        <f t="shared" si="30"/>
        <v>14290</v>
      </c>
      <c r="M397" t="str">
        <f t="shared" si="34"/>
        <v>ASALARIADO</v>
      </c>
      <c r="N397">
        <f t="shared" si="31"/>
        <v>57</v>
      </c>
      <c r="O397" s="19" t="str">
        <f t="shared" si="32"/>
        <v>0–300k</v>
      </c>
      <c r="P397" s="19" t="str">
        <f t="shared" si="33"/>
        <v>56+</v>
      </c>
    </row>
    <row r="398" spans="1:16" x14ac:dyDescent="0.25">
      <c r="A398">
        <v>397</v>
      </c>
      <c r="B398" t="s">
        <v>9</v>
      </c>
      <c r="C398">
        <v>289448</v>
      </c>
      <c r="D398" t="s">
        <v>18</v>
      </c>
      <c r="E398" t="s">
        <v>16</v>
      </c>
      <c r="F398" t="s">
        <v>12</v>
      </c>
      <c r="G398" t="s">
        <v>13</v>
      </c>
      <c r="H398" t="s">
        <v>13</v>
      </c>
      <c r="I398">
        <v>52</v>
      </c>
      <c r="J398" t="str" cm="1">
        <f t="array" ref="J398">_xlfn.IFS(ISBLANK(C398),"FALTANTE",ABS((C398-$W$5)/$X$5)&gt;1.96,"ATÍPICO",ABS((C398-$W$5)/$X$5)&lt;=1.96,"NO ATÍPICO")</f>
        <v>NO ATÍPICO</v>
      </c>
      <c r="K398" t="str" cm="1">
        <f t="array" ref="K398">_xlfn.IFS(ISBLANK(I398),"FALTANTE",ABS((I398-$W$8)/$X$8)&gt;1.92,"ATÍPICO",ABS((I398-$W$8)/$X$8)&lt;=1.92,"NO ATÍPICO")</f>
        <v>NO ATÍPICO</v>
      </c>
      <c r="L398">
        <f t="shared" si="30"/>
        <v>289448</v>
      </c>
      <c r="M398" t="str">
        <f t="shared" si="34"/>
        <v>TRABAJADOR INDEPENDIENTE</v>
      </c>
      <c r="N398">
        <f t="shared" si="31"/>
        <v>52</v>
      </c>
      <c r="O398" s="19" t="str">
        <f t="shared" si="32"/>
        <v>0–300k</v>
      </c>
      <c r="P398" s="19" t="str">
        <f t="shared" si="33"/>
        <v>46-55</v>
      </c>
    </row>
    <row r="399" spans="1:16" x14ac:dyDescent="0.25">
      <c r="A399">
        <v>398</v>
      </c>
      <c r="B399" t="s">
        <v>9</v>
      </c>
      <c r="C399">
        <v>323432.7</v>
      </c>
      <c r="D399" t="s">
        <v>10</v>
      </c>
      <c r="E399" t="s">
        <v>16</v>
      </c>
      <c r="F399" t="s">
        <v>12</v>
      </c>
      <c r="G399" t="s">
        <v>12</v>
      </c>
      <c r="H399" t="s">
        <v>13</v>
      </c>
      <c r="I399">
        <v>50</v>
      </c>
      <c r="J399" t="str" cm="1">
        <f t="array" ref="J399">_xlfn.IFS(ISBLANK(C399),"FALTANTE",ABS((C399-$W$5)/$X$5)&gt;1.96,"ATÍPICO",ABS((C399-$W$5)/$X$5)&lt;=1.96,"NO ATÍPICO")</f>
        <v>NO ATÍPICO</v>
      </c>
      <c r="K399" t="str" cm="1">
        <f t="array" ref="K399">_xlfn.IFS(ISBLANK(I399),"FALTANTE",ABS((I399-$W$8)/$X$8)&gt;1.92,"ATÍPICO",ABS((I399-$W$8)/$X$8)&lt;=1.92,"NO ATÍPICO")</f>
        <v>NO ATÍPICO</v>
      </c>
      <c r="L399">
        <f t="shared" si="30"/>
        <v>323432.7</v>
      </c>
      <c r="M399" t="str">
        <f t="shared" si="34"/>
        <v>ASALARIADO</v>
      </c>
      <c r="N399">
        <f t="shared" si="31"/>
        <v>50</v>
      </c>
      <c r="O399" s="19" t="str">
        <f t="shared" si="32"/>
        <v>300k–600k</v>
      </c>
      <c r="P399" s="19" t="str">
        <f t="shared" si="33"/>
        <v>46-55</v>
      </c>
    </row>
    <row r="400" spans="1:16" x14ac:dyDescent="0.25">
      <c r="A400">
        <v>399</v>
      </c>
      <c r="B400" t="s">
        <v>15</v>
      </c>
      <c r="C400">
        <v>577151</v>
      </c>
      <c r="D400" t="s">
        <v>10</v>
      </c>
      <c r="E400" t="s">
        <v>11</v>
      </c>
      <c r="F400" t="s">
        <v>12</v>
      </c>
      <c r="G400" t="s">
        <v>13</v>
      </c>
      <c r="H400" t="s">
        <v>13</v>
      </c>
      <c r="I400">
        <v>34</v>
      </c>
      <c r="J400" t="str" cm="1">
        <f t="array" ref="J400">_xlfn.IFS(ISBLANK(C400),"FALTANTE",ABS((C400-$W$5)/$X$5)&gt;1.96,"ATÍPICO",ABS((C400-$W$5)/$X$5)&lt;=1.96,"NO ATÍPICO")</f>
        <v>NO ATÍPICO</v>
      </c>
      <c r="K400" t="str" cm="1">
        <f t="array" ref="K400">_xlfn.IFS(ISBLANK(I400),"FALTANTE",ABS((I400-$W$8)/$X$8)&gt;1.92,"ATÍPICO",ABS((I400-$W$8)/$X$8)&lt;=1.92,"NO ATÍPICO")</f>
        <v>NO ATÍPICO</v>
      </c>
      <c r="L400">
        <f t="shared" si="30"/>
        <v>577151</v>
      </c>
      <c r="M400" t="str">
        <f t="shared" si="34"/>
        <v>ASALARIADO</v>
      </c>
      <c r="N400">
        <f t="shared" si="31"/>
        <v>34</v>
      </c>
      <c r="O400" s="19" t="str">
        <f t="shared" si="32"/>
        <v>300k–600k</v>
      </c>
      <c r="P400" s="19" t="str">
        <f t="shared" si="33"/>
        <v>26-35</v>
      </c>
    </row>
    <row r="401" spans="1:16" x14ac:dyDescent="0.25">
      <c r="A401">
        <v>400</v>
      </c>
      <c r="B401" t="s">
        <v>9</v>
      </c>
      <c r="C401">
        <v>622335.6</v>
      </c>
      <c r="D401" t="s">
        <v>10</v>
      </c>
      <c r="E401" t="s">
        <v>16</v>
      </c>
      <c r="F401" t="s">
        <v>12</v>
      </c>
      <c r="G401" t="s">
        <v>13</v>
      </c>
      <c r="H401" t="s">
        <v>13</v>
      </c>
      <c r="I401">
        <v>50</v>
      </c>
      <c r="J401" t="str" cm="1">
        <f t="array" ref="J401">_xlfn.IFS(ISBLANK(C401),"FALTANTE",ABS((C401-$W$5)/$X$5)&gt;1.96,"ATÍPICO",ABS((C401-$W$5)/$X$5)&lt;=1.96,"NO ATÍPICO")</f>
        <v>NO ATÍPICO</v>
      </c>
      <c r="K401" t="str" cm="1">
        <f t="array" ref="K401">_xlfn.IFS(ISBLANK(I401),"FALTANTE",ABS((I401-$W$8)/$X$8)&gt;1.92,"ATÍPICO",ABS((I401-$W$8)/$X$8)&lt;=1.92,"NO ATÍPICO")</f>
        <v>NO ATÍPICO</v>
      </c>
      <c r="L401">
        <f t="shared" si="30"/>
        <v>622335.6</v>
      </c>
      <c r="M401" t="str">
        <f t="shared" si="34"/>
        <v>ASALARIADO</v>
      </c>
      <c r="N401">
        <f t="shared" si="31"/>
        <v>50</v>
      </c>
      <c r="O401" s="19" t="str">
        <f t="shared" si="32"/>
        <v>600k–900k</v>
      </c>
      <c r="P401" s="19" t="str">
        <f t="shared" si="33"/>
        <v>46-55</v>
      </c>
    </row>
    <row r="402" spans="1:16" x14ac:dyDescent="0.25">
      <c r="A402">
        <v>401</v>
      </c>
      <c r="B402" t="s">
        <v>15</v>
      </c>
      <c r="C402">
        <v>205048</v>
      </c>
      <c r="D402" t="s">
        <v>10</v>
      </c>
      <c r="E402" t="s">
        <v>16</v>
      </c>
      <c r="F402" t="s">
        <v>12</v>
      </c>
      <c r="G402" t="s">
        <v>12</v>
      </c>
      <c r="H402" t="s">
        <v>13</v>
      </c>
      <c r="I402">
        <v>36</v>
      </c>
      <c r="J402" t="str" cm="1">
        <f t="array" ref="J402">_xlfn.IFS(ISBLANK(C402),"FALTANTE",ABS((C402-$W$5)/$X$5)&gt;1.96,"ATÍPICO",ABS((C402-$W$5)/$X$5)&lt;=1.96,"NO ATÍPICO")</f>
        <v>NO ATÍPICO</v>
      </c>
      <c r="K402" t="str" cm="1">
        <f t="array" ref="K402">_xlfn.IFS(ISBLANK(I402),"FALTANTE",ABS((I402-$W$8)/$X$8)&gt;1.92,"ATÍPICO",ABS((I402-$W$8)/$X$8)&lt;=1.92,"NO ATÍPICO")</f>
        <v>NO ATÍPICO</v>
      </c>
      <c r="L402">
        <f t="shared" si="30"/>
        <v>205048</v>
      </c>
      <c r="M402" t="str">
        <f t="shared" si="34"/>
        <v>ASALARIADO</v>
      </c>
      <c r="N402">
        <f t="shared" si="31"/>
        <v>36</v>
      </c>
      <c r="O402" s="19" t="str">
        <f t="shared" si="32"/>
        <v>0–300k</v>
      </c>
      <c r="P402" s="19" t="str">
        <f t="shared" si="33"/>
        <v>36-45</v>
      </c>
    </row>
    <row r="403" spans="1:16" x14ac:dyDescent="0.25">
      <c r="A403">
        <v>402</v>
      </c>
      <c r="B403" t="s">
        <v>9</v>
      </c>
      <c r="C403">
        <v>278030.99</v>
      </c>
      <c r="D403" t="s">
        <v>19</v>
      </c>
      <c r="E403" t="s">
        <v>16</v>
      </c>
      <c r="F403" t="s">
        <v>12</v>
      </c>
      <c r="G403" t="s">
        <v>13</v>
      </c>
      <c r="H403" t="s">
        <v>13</v>
      </c>
      <c r="I403">
        <v>52</v>
      </c>
      <c r="J403" t="str" cm="1">
        <f t="array" ref="J403">_xlfn.IFS(ISBLANK(C403),"FALTANTE",ABS((C403-$W$5)/$X$5)&gt;1.96,"ATÍPICO",ABS((C403-$W$5)/$X$5)&lt;=1.96,"NO ATÍPICO")</f>
        <v>NO ATÍPICO</v>
      </c>
      <c r="K403" t="str" cm="1">
        <f t="array" ref="K403">_xlfn.IFS(ISBLANK(I403),"FALTANTE",ABS((I403-$W$8)/$X$8)&gt;1.92,"ATÍPICO",ABS((I403-$W$8)/$X$8)&lt;=1.92,"NO ATÍPICO")</f>
        <v>NO ATÍPICO</v>
      </c>
      <c r="L403">
        <f t="shared" si="30"/>
        <v>278030.99</v>
      </c>
      <c r="M403" t="str">
        <f t="shared" si="34"/>
        <v>CONVENIOS ESPECIALES DE TRABAJADORES INDEPENDIENTES</v>
      </c>
      <c r="N403">
        <f t="shared" si="31"/>
        <v>52</v>
      </c>
      <c r="O403" s="19" t="str">
        <f t="shared" si="32"/>
        <v>0–300k</v>
      </c>
      <c r="P403" s="19" t="str">
        <f t="shared" si="33"/>
        <v>46-55</v>
      </c>
    </row>
    <row r="404" spans="1:16" x14ac:dyDescent="0.25">
      <c r="A404">
        <v>403</v>
      </c>
      <c r="B404" t="s">
        <v>9</v>
      </c>
      <c r="C404">
        <v>425699.65</v>
      </c>
      <c r="D404" t="s">
        <v>10</v>
      </c>
      <c r="E404" t="s">
        <v>16</v>
      </c>
      <c r="F404" t="s">
        <v>12</v>
      </c>
      <c r="G404" t="s">
        <v>13</v>
      </c>
      <c r="H404" t="s">
        <v>13</v>
      </c>
      <c r="I404">
        <v>42</v>
      </c>
      <c r="J404" t="str" cm="1">
        <f t="array" ref="J404">_xlfn.IFS(ISBLANK(C404),"FALTANTE",ABS((C404-$W$5)/$X$5)&gt;1.96,"ATÍPICO",ABS((C404-$W$5)/$X$5)&lt;=1.96,"NO ATÍPICO")</f>
        <v>NO ATÍPICO</v>
      </c>
      <c r="K404" t="str" cm="1">
        <f t="array" ref="K404">_xlfn.IFS(ISBLANK(I404),"FALTANTE",ABS((I404-$W$8)/$X$8)&gt;1.92,"ATÍPICO",ABS((I404-$W$8)/$X$8)&lt;=1.92,"NO ATÍPICO")</f>
        <v>NO ATÍPICO</v>
      </c>
      <c r="L404">
        <f t="shared" si="30"/>
        <v>425699.65</v>
      </c>
      <c r="M404" t="str">
        <f t="shared" si="34"/>
        <v>ASALARIADO</v>
      </c>
      <c r="N404">
        <f t="shared" si="31"/>
        <v>42</v>
      </c>
      <c r="O404" s="19" t="str">
        <f t="shared" si="32"/>
        <v>300k–600k</v>
      </c>
      <c r="P404" s="19" t="str">
        <f t="shared" si="33"/>
        <v>36-45</v>
      </c>
    </row>
    <row r="405" spans="1:16" x14ac:dyDescent="0.25">
      <c r="A405">
        <v>404</v>
      </c>
      <c r="B405" t="s">
        <v>9</v>
      </c>
      <c r="C405">
        <v>74118.77</v>
      </c>
      <c r="D405" t="s">
        <v>10</v>
      </c>
      <c r="E405" t="s">
        <v>11</v>
      </c>
      <c r="F405" t="s">
        <v>12</v>
      </c>
      <c r="G405" t="s">
        <v>13</v>
      </c>
      <c r="H405" t="s">
        <v>13</v>
      </c>
      <c r="I405">
        <v>22</v>
      </c>
      <c r="J405" t="str" cm="1">
        <f t="array" ref="J405">_xlfn.IFS(ISBLANK(C405),"FALTANTE",ABS((C405-$W$5)/$X$5)&gt;1.96,"ATÍPICO",ABS((C405-$W$5)/$X$5)&lt;=1.96,"NO ATÍPICO")</f>
        <v>NO ATÍPICO</v>
      </c>
      <c r="K405" t="str" cm="1">
        <f t="array" ref="K405">_xlfn.IFS(ISBLANK(I405),"FALTANTE",ABS((I405-$W$8)/$X$8)&gt;1.92,"ATÍPICO",ABS((I405-$W$8)/$X$8)&lt;=1.92,"NO ATÍPICO")</f>
        <v>NO ATÍPICO</v>
      </c>
      <c r="L405">
        <f t="shared" si="30"/>
        <v>74118.77</v>
      </c>
      <c r="M405" t="str">
        <f t="shared" si="34"/>
        <v>ASALARIADO</v>
      </c>
      <c r="N405">
        <f t="shared" si="31"/>
        <v>22</v>
      </c>
      <c r="O405" s="19" t="str">
        <f t="shared" si="32"/>
        <v>0–300k</v>
      </c>
      <c r="P405" s="19" t="str">
        <f t="shared" si="33"/>
        <v>18-25</v>
      </c>
    </row>
    <row r="406" spans="1:16" x14ac:dyDescent="0.25">
      <c r="A406">
        <v>405</v>
      </c>
      <c r="B406" t="s">
        <v>9</v>
      </c>
      <c r="C406">
        <v>1063180</v>
      </c>
      <c r="D406" t="s">
        <v>10</v>
      </c>
      <c r="E406" t="s">
        <v>16</v>
      </c>
      <c r="F406" t="s">
        <v>12</v>
      </c>
      <c r="G406" t="s">
        <v>13</v>
      </c>
      <c r="H406" t="s">
        <v>13</v>
      </c>
      <c r="I406">
        <v>55</v>
      </c>
      <c r="J406" t="str" cm="1">
        <f t="array" ref="J406">_xlfn.IFS(ISBLANK(C406),"FALTANTE",ABS((C406-$W$5)/$X$5)&gt;1.96,"ATÍPICO",ABS((C406-$W$5)/$X$5)&lt;=1.96,"NO ATÍPICO")</f>
        <v>NO ATÍPICO</v>
      </c>
      <c r="K406" t="str" cm="1">
        <f t="array" ref="K406">_xlfn.IFS(ISBLANK(I406),"FALTANTE",ABS((I406-$W$8)/$X$8)&gt;1.92,"ATÍPICO",ABS((I406-$W$8)/$X$8)&lt;=1.92,"NO ATÍPICO")</f>
        <v>NO ATÍPICO</v>
      </c>
      <c r="L406">
        <f t="shared" si="30"/>
        <v>1063180</v>
      </c>
      <c r="M406" t="str">
        <f t="shared" si="34"/>
        <v>ASALARIADO</v>
      </c>
      <c r="N406">
        <f t="shared" si="31"/>
        <v>55</v>
      </c>
      <c r="O406" s="19" t="str">
        <f t="shared" si="32"/>
        <v>900k–1200k</v>
      </c>
      <c r="P406" s="19" t="str">
        <f t="shared" si="33"/>
        <v>46-55</v>
      </c>
    </row>
    <row r="407" spans="1:16" x14ac:dyDescent="0.25">
      <c r="A407">
        <v>406</v>
      </c>
      <c r="B407" t="s">
        <v>9</v>
      </c>
      <c r="C407">
        <v>614527</v>
      </c>
      <c r="D407" t="s">
        <v>10</v>
      </c>
      <c r="E407" t="s">
        <v>16</v>
      </c>
      <c r="F407" t="s">
        <v>12</v>
      </c>
      <c r="G407" t="s">
        <v>13</v>
      </c>
      <c r="H407" t="s">
        <v>13</v>
      </c>
      <c r="I407">
        <v>38</v>
      </c>
      <c r="J407" t="str" cm="1">
        <f t="array" ref="J407">_xlfn.IFS(ISBLANK(C407),"FALTANTE",ABS((C407-$W$5)/$X$5)&gt;1.96,"ATÍPICO",ABS((C407-$W$5)/$X$5)&lt;=1.96,"NO ATÍPICO")</f>
        <v>NO ATÍPICO</v>
      </c>
      <c r="K407" t="str" cm="1">
        <f t="array" ref="K407">_xlfn.IFS(ISBLANK(I407),"FALTANTE",ABS((I407-$W$8)/$X$8)&gt;1.92,"ATÍPICO",ABS((I407-$W$8)/$X$8)&lt;=1.92,"NO ATÍPICO")</f>
        <v>NO ATÍPICO</v>
      </c>
      <c r="L407">
        <f t="shared" si="30"/>
        <v>614527</v>
      </c>
      <c r="M407" t="str">
        <f t="shared" si="34"/>
        <v>ASALARIADO</v>
      </c>
      <c r="N407">
        <f t="shared" si="31"/>
        <v>38</v>
      </c>
      <c r="O407" s="19" t="str">
        <f t="shared" si="32"/>
        <v>600k–900k</v>
      </c>
      <c r="P407" s="19" t="str">
        <f t="shared" si="33"/>
        <v>36-45</v>
      </c>
    </row>
    <row r="408" spans="1:16" x14ac:dyDescent="0.25">
      <c r="A408">
        <v>407</v>
      </c>
      <c r="B408" t="s">
        <v>9</v>
      </c>
      <c r="C408">
        <v>278030</v>
      </c>
      <c r="D408" t="s">
        <v>19</v>
      </c>
      <c r="E408" t="s">
        <v>16</v>
      </c>
      <c r="F408" t="s">
        <v>12</v>
      </c>
      <c r="G408" t="s">
        <v>13</v>
      </c>
      <c r="H408" t="s">
        <v>13</v>
      </c>
      <c r="I408">
        <v>42</v>
      </c>
      <c r="J408" t="str" cm="1">
        <f t="array" ref="J408">_xlfn.IFS(ISBLANK(C408),"FALTANTE",ABS((C408-$W$5)/$X$5)&gt;1.96,"ATÍPICO",ABS((C408-$W$5)/$X$5)&lt;=1.96,"NO ATÍPICO")</f>
        <v>NO ATÍPICO</v>
      </c>
      <c r="K408" t="str" cm="1">
        <f t="array" ref="K408">_xlfn.IFS(ISBLANK(I408),"FALTANTE",ABS((I408-$W$8)/$X$8)&gt;1.92,"ATÍPICO",ABS((I408-$W$8)/$X$8)&lt;=1.92,"NO ATÍPICO")</f>
        <v>NO ATÍPICO</v>
      </c>
      <c r="L408">
        <f t="shared" si="30"/>
        <v>278030</v>
      </c>
      <c r="M408" t="str">
        <f t="shared" si="34"/>
        <v>CONVENIOS ESPECIALES DE TRABAJADORES INDEPENDIENTES</v>
      </c>
      <c r="N408">
        <f t="shared" si="31"/>
        <v>42</v>
      </c>
      <c r="O408" s="19" t="str">
        <f t="shared" si="32"/>
        <v>0–300k</v>
      </c>
      <c r="P408" s="19" t="str">
        <f t="shared" si="33"/>
        <v>36-45</v>
      </c>
    </row>
    <row r="409" spans="1:16" x14ac:dyDescent="0.25">
      <c r="A409">
        <v>408</v>
      </c>
      <c r="B409" t="s">
        <v>15</v>
      </c>
      <c r="C409">
        <v>398320</v>
      </c>
      <c r="D409" t="s">
        <v>10</v>
      </c>
      <c r="E409" t="s">
        <v>11</v>
      </c>
      <c r="F409" t="s">
        <v>12</v>
      </c>
      <c r="G409" t="s">
        <v>13</v>
      </c>
      <c r="H409" t="s">
        <v>12</v>
      </c>
      <c r="I409">
        <v>62</v>
      </c>
      <c r="J409" t="str" cm="1">
        <f t="array" ref="J409">_xlfn.IFS(ISBLANK(C409),"FALTANTE",ABS((C409-$W$5)/$X$5)&gt;1.96,"ATÍPICO",ABS((C409-$W$5)/$X$5)&lt;=1.96,"NO ATÍPICO")</f>
        <v>NO ATÍPICO</v>
      </c>
      <c r="K409" t="str" cm="1">
        <f t="array" ref="K409">_xlfn.IFS(ISBLANK(I409),"FALTANTE",ABS((I409-$W$8)/$X$8)&gt;1.92,"ATÍPICO",ABS((I409-$W$8)/$X$8)&lt;=1.92,"NO ATÍPICO")</f>
        <v>NO ATÍPICO</v>
      </c>
      <c r="L409">
        <f t="shared" si="30"/>
        <v>398320</v>
      </c>
      <c r="M409" t="str">
        <f t="shared" si="34"/>
        <v>ASALARIADO</v>
      </c>
      <c r="N409">
        <f t="shared" si="31"/>
        <v>62</v>
      </c>
      <c r="O409" s="19" t="str">
        <f t="shared" si="32"/>
        <v>300k–600k</v>
      </c>
      <c r="P409" s="19" t="str">
        <f t="shared" si="33"/>
        <v>56+</v>
      </c>
    </row>
    <row r="410" spans="1:16" x14ac:dyDescent="0.25">
      <c r="A410">
        <v>409</v>
      </c>
      <c r="B410" t="s">
        <v>9</v>
      </c>
      <c r="C410">
        <v>302188</v>
      </c>
      <c r="D410" t="s">
        <v>17</v>
      </c>
      <c r="E410" t="s">
        <v>16</v>
      </c>
      <c r="F410" t="s">
        <v>12</v>
      </c>
      <c r="G410" t="s">
        <v>13</v>
      </c>
      <c r="H410" t="s">
        <v>13</v>
      </c>
      <c r="I410">
        <v>36</v>
      </c>
      <c r="J410" t="str" cm="1">
        <f t="array" ref="J410">_xlfn.IFS(ISBLANK(C410),"FALTANTE",ABS((C410-$W$5)/$X$5)&gt;1.96,"ATÍPICO",ABS((C410-$W$5)/$X$5)&lt;=1.96,"NO ATÍPICO")</f>
        <v>NO ATÍPICO</v>
      </c>
      <c r="K410" t="str" cm="1">
        <f t="array" ref="K410">_xlfn.IFS(ISBLANK(I410),"FALTANTE",ABS((I410-$W$8)/$X$8)&gt;1.92,"ATÍPICO",ABS((I410-$W$8)/$X$8)&lt;=1.92,"NO ATÍPICO")</f>
        <v>NO ATÍPICO</v>
      </c>
      <c r="L410">
        <f t="shared" si="30"/>
        <v>302188</v>
      </c>
      <c r="M410" t="str">
        <f t="shared" si="34"/>
        <v>ASEGURADO VOLUNTARIO</v>
      </c>
      <c r="N410">
        <f t="shared" si="31"/>
        <v>36</v>
      </c>
      <c r="O410" s="19" t="str">
        <f t="shared" si="32"/>
        <v>300k–600k</v>
      </c>
      <c r="P410" s="19" t="str">
        <f t="shared" si="33"/>
        <v>36-45</v>
      </c>
    </row>
    <row r="411" spans="1:16" x14ac:dyDescent="0.25">
      <c r="A411">
        <v>410</v>
      </c>
      <c r="B411" t="s">
        <v>9</v>
      </c>
      <c r="C411">
        <v>500000</v>
      </c>
      <c r="D411" t="s">
        <v>10</v>
      </c>
      <c r="E411" t="s">
        <v>16</v>
      </c>
      <c r="F411" t="s">
        <v>12</v>
      </c>
      <c r="G411" t="s">
        <v>13</v>
      </c>
      <c r="H411" t="s">
        <v>13</v>
      </c>
      <c r="I411">
        <v>22</v>
      </c>
      <c r="J411" t="str" cm="1">
        <f t="array" ref="J411">_xlfn.IFS(ISBLANK(C411),"FALTANTE",ABS((C411-$W$5)/$X$5)&gt;1.96,"ATÍPICO",ABS((C411-$W$5)/$X$5)&lt;=1.96,"NO ATÍPICO")</f>
        <v>NO ATÍPICO</v>
      </c>
      <c r="K411" t="str" cm="1">
        <f t="array" ref="K411">_xlfn.IFS(ISBLANK(I411),"FALTANTE",ABS((I411-$W$8)/$X$8)&gt;1.92,"ATÍPICO",ABS((I411-$W$8)/$X$8)&lt;=1.92,"NO ATÍPICO")</f>
        <v>NO ATÍPICO</v>
      </c>
      <c r="L411">
        <f t="shared" si="30"/>
        <v>500000</v>
      </c>
      <c r="M411" t="str">
        <f t="shared" si="34"/>
        <v>ASALARIADO</v>
      </c>
      <c r="N411">
        <f t="shared" si="31"/>
        <v>22</v>
      </c>
      <c r="O411" s="19" t="str">
        <f t="shared" si="32"/>
        <v>300k–600k</v>
      </c>
      <c r="P411" s="19" t="str">
        <f t="shared" si="33"/>
        <v>18-25</v>
      </c>
    </row>
    <row r="412" spans="1:16" x14ac:dyDescent="0.25">
      <c r="A412">
        <v>411</v>
      </c>
      <c r="B412" t="s">
        <v>15</v>
      </c>
      <c r="C412">
        <v>594092</v>
      </c>
      <c r="D412" t="s">
        <v>18</v>
      </c>
      <c r="E412" t="s">
        <v>16</v>
      </c>
      <c r="F412" t="s">
        <v>12</v>
      </c>
      <c r="G412" t="s">
        <v>13</v>
      </c>
      <c r="H412" t="s">
        <v>13</v>
      </c>
      <c r="I412">
        <v>55</v>
      </c>
      <c r="J412" t="str" cm="1">
        <f t="array" ref="J412">_xlfn.IFS(ISBLANK(C412),"FALTANTE",ABS((C412-$W$5)/$X$5)&gt;1.96,"ATÍPICO",ABS((C412-$W$5)/$X$5)&lt;=1.96,"NO ATÍPICO")</f>
        <v>NO ATÍPICO</v>
      </c>
      <c r="K412" t="str" cm="1">
        <f t="array" ref="K412">_xlfn.IFS(ISBLANK(I412),"FALTANTE",ABS((I412-$W$8)/$X$8)&gt;1.92,"ATÍPICO",ABS((I412-$W$8)/$X$8)&lt;=1.92,"NO ATÍPICO")</f>
        <v>NO ATÍPICO</v>
      </c>
      <c r="L412">
        <f t="shared" si="30"/>
        <v>594092</v>
      </c>
      <c r="M412" t="str">
        <f t="shared" si="34"/>
        <v>TRABAJADOR INDEPENDIENTE</v>
      </c>
      <c r="N412">
        <f t="shared" si="31"/>
        <v>55</v>
      </c>
      <c r="O412" s="19" t="str">
        <f t="shared" si="32"/>
        <v>300k–600k</v>
      </c>
      <c r="P412" s="19" t="str">
        <f t="shared" si="33"/>
        <v>46-55</v>
      </c>
    </row>
    <row r="413" spans="1:16" x14ac:dyDescent="0.25">
      <c r="A413">
        <v>412</v>
      </c>
      <c r="B413" t="s">
        <v>9</v>
      </c>
      <c r="C413">
        <v>639148</v>
      </c>
      <c r="D413" t="s">
        <v>18</v>
      </c>
      <c r="E413" t="s">
        <v>16</v>
      </c>
      <c r="F413" t="s">
        <v>12</v>
      </c>
      <c r="G413" t="s">
        <v>12</v>
      </c>
      <c r="H413" t="s">
        <v>12</v>
      </c>
      <c r="I413">
        <v>49</v>
      </c>
      <c r="J413" t="str" cm="1">
        <f t="array" ref="J413">_xlfn.IFS(ISBLANK(C413),"FALTANTE",ABS((C413-$W$5)/$X$5)&gt;1.96,"ATÍPICO",ABS((C413-$W$5)/$X$5)&lt;=1.96,"NO ATÍPICO")</f>
        <v>NO ATÍPICO</v>
      </c>
      <c r="K413" t="str" cm="1">
        <f t="array" ref="K413">_xlfn.IFS(ISBLANK(I413),"FALTANTE",ABS((I413-$W$8)/$X$8)&gt;1.92,"ATÍPICO",ABS((I413-$W$8)/$X$8)&lt;=1.92,"NO ATÍPICO")</f>
        <v>NO ATÍPICO</v>
      </c>
      <c r="L413">
        <f t="shared" si="30"/>
        <v>639148</v>
      </c>
      <c r="M413" t="str">
        <f t="shared" si="34"/>
        <v>TRABAJADOR INDEPENDIENTE</v>
      </c>
      <c r="N413">
        <f t="shared" si="31"/>
        <v>49</v>
      </c>
      <c r="O413" s="19" t="str">
        <f t="shared" si="32"/>
        <v>600k–900k</v>
      </c>
      <c r="P413" s="19" t="str">
        <f t="shared" si="33"/>
        <v>46-55</v>
      </c>
    </row>
    <row r="414" spans="1:16" x14ac:dyDescent="0.25">
      <c r="A414">
        <v>413</v>
      </c>
      <c r="B414" t="s">
        <v>9</v>
      </c>
      <c r="C414">
        <v>415861</v>
      </c>
      <c r="D414" t="s">
        <v>18</v>
      </c>
      <c r="E414" t="s">
        <v>16</v>
      </c>
      <c r="F414" t="s">
        <v>12</v>
      </c>
      <c r="G414" t="s">
        <v>12</v>
      </c>
      <c r="H414" t="s">
        <v>12</v>
      </c>
      <c r="I414">
        <v>45</v>
      </c>
      <c r="J414" t="str" cm="1">
        <f t="array" ref="J414">_xlfn.IFS(ISBLANK(C414),"FALTANTE",ABS((C414-$W$5)/$X$5)&gt;1.96,"ATÍPICO",ABS((C414-$W$5)/$X$5)&lt;=1.96,"NO ATÍPICO")</f>
        <v>NO ATÍPICO</v>
      </c>
      <c r="K414" t="str" cm="1">
        <f t="array" ref="K414">_xlfn.IFS(ISBLANK(I414),"FALTANTE",ABS((I414-$W$8)/$X$8)&gt;1.92,"ATÍPICO",ABS((I414-$W$8)/$X$8)&lt;=1.92,"NO ATÍPICO")</f>
        <v>NO ATÍPICO</v>
      </c>
      <c r="L414">
        <f t="shared" si="30"/>
        <v>415861</v>
      </c>
      <c r="M414" t="str">
        <f t="shared" si="34"/>
        <v>TRABAJADOR INDEPENDIENTE</v>
      </c>
      <c r="N414">
        <f t="shared" si="31"/>
        <v>45</v>
      </c>
      <c r="O414" s="19" t="str">
        <f t="shared" si="32"/>
        <v>300k–600k</v>
      </c>
      <c r="P414" s="19" t="str">
        <f t="shared" si="33"/>
        <v>36-45</v>
      </c>
    </row>
    <row r="415" spans="1:16" x14ac:dyDescent="0.25">
      <c r="A415">
        <v>414</v>
      </c>
      <c r="B415" t="s">
        <v>9</v>
      </c>
      <c r="C415">
        <v>854328.45</v>
      </c>
      <c r="D415" t="s">
        <v>10</v>
      </c>
      <c r="E415" t="s">
        <v>11</v>
      </c>
      <c r="F415" t="s">
        <v>12</v>
      </c>
      <c r="G415" t="s">
        <v>13</v>
      </c>
      <c r="H415" t="s">
        <v>13</v>
      </c>
      <c r="I415">
        <v>50</v>
      </c>
      <c r="J415" t="str" cm="1">
        <f t="array" ref="J415">_xlfn.IFS(ISBLANK(C415),"FALTANTE",ABS((C415-$W$5)/$X$5)&gt;1.96,"ATÍPICO",ABS((C415-$W$5)/$X$5)&lt;=1.96,"NO ATÍPICO")</f>
        <v>NO ATÍPICO</v>
      </c>
      <c r="K415" t="str" cm="1">
        <f t="array" ref="K415">_xlfn.IFS(ISBLANK(I415),"FALTANTE",ABS((I415-$W$8)/$X$8)&gt;1.92,"ATÍPICO",ABS((I415-$W$8)/$X$8)&lt;=1.92,"NO ATÍPICO")</f>
        <v>NO ATÍPICO</v>
      </c>
      <c r="L415">
        <f t="shared" si="30"/>
        <v>854328.45</v>
      </c>
      <c r="M415" t="str">
        <f t="shared" si="34"/>
        <v>ASALARIADO</v>
      </c>
      <c r="N415">
        <f t="shared" si="31"/>
        <v>50</v>
      </c>
      <c r="O415" s="19" t="str">
        <f t="shared" si="32"/>
        <v>600k–900k</v>
      </c>
      <c r="P415" s="19" t="str">
        <f t="shared" si="33"/>
        <v>46-55</v>
      </c>
    </row>
    <row r="416" spans="1:16" x14ac:dyDescent="0.25">
      <c r="A416">
        <v>415</v>
      </c>
      <c r="B416" t="s">
        <v>9</v>
      </c>
      <c r="C416">
        <v>293000</v>
      </c>
      <c r="D416" t="s">
        <v>10</v>
      </c>
      <c r="E416" t="s">
        <v>16</v>
      </c>
      <c r="F416" t="s">
        <v>12</v>
      </c>
      <c r="G416" t="s">
        <v>13</v>
      </c>
      <c r="H416" t="s">
        <v>13</v>
      </c>
      <c r="I416">
        <v>38</v>
      </c>
      <c r="J416" t="str" cm="1">
        <f t="array" ref="J416">_xlfn.IFS(ISBLANK(C416),"FALTANTE",ABS((C416-$W$5)/$X$5)&gt;1.96,"ATÍPICO",ABS((C416-$W$5)/$X$5)&lt;=1.96,"NO ATÍPICO")</f>
        <v>NO ATÍPICO</v>
      </c>
      <c r="K416" t="str" cm="1">
        <f t="array" ref="K416">_xlfn.IFS(ISBLANK(I416),"FALTANTE",ABS((I416-$W$8)/$X$8)&gt;1.92,"ATÍPICO",ABS((I416-$W$8)/$X$8)&lt;=1.92,"NO ATÍPICO")</f>
        <v>NO ATÍPICO</v>
      </c>
      <c r="L416">
        <f t="shared" si="30"/>
        <v>293000</v>
      </c>
      <c r="M416" t="str">
        <f t="shared" si="34"/>
        <v>ASALARIADO</v>
      </c>
      <c r="N416">
        <f t="shared" si="31"/>
        <v>38</v>
      </c>
      <c r="O416" s="19" t="str">
        <f t="shared" si="32"/>
        <v>0–300k</v>
      </c>
      <c r="P416" s="19" t="str">
        <f t="shared" si="33"/>
        <v>36-45</v>
      </c>
    </row>
    <row r="417" spans="1:16" x14ac:dyDescent="0.25">
      <c r="A417">
        <v>416</v>
      </c>
      <c r="B417" t="s">
        <v>9</v>
      </c>
      <c r="C417">
        <v>213192</v>
      </c>
      <c r="D417" t="s">
        <v>10</v>
      </c>
      <c r="E417" t="s">
        <v>16</v>
      </c>
      <c r="F417" t="s">
        <v>12</v>
      </c>
      <c r="G417" t="s">
        <v>13</v>
      </c>
      <c r="H417" t="s">
        <v>13</v>
      </c>
      <c r="I417">
        <v>30</v>
      </c>
      <c r="J417" t="str" cm="1">
        <f t="array" ref="J417">_xlfn.IFS(ISBLANK(C417),"FALTANTE",ABS((C417-$W$5)/$X$5)&gt;1.96,"ATÍPICO",ABS((C417-$W$5)/$X$5)&lt;=1.96,"NO ATÍPICO")</f>
        <v>NO ATÍPICO</v>
      </c>
      <c r="K417" t="str" cm="1">
        <f t="array" ref="K417">_xlfn.IFS(ISBLANK(I417),"FALTANTE",ABS((I417-$W$8)/$X$8)&gt;1.92,"ATÍPICO",ABS((I417-$W$8)/$X$8)&lt;=1.92,"NO ATÍPICO")</f>
        <v>NO ATÍPICO</v>
      </c>
      <c r="L417">
        <f t="shared" si="30"/>
        <v>213192</v>
      </c>
      <c r="M417" t="str">
        <f t="shared" si="34"/>
        <v>ASALARIADO</v>
      </c>
      <c r="N417">
        <f t="shared" si="31"/>
        <v>30</v>
      </c>
      <c r="O417" s="19" t="str">
        <f t="shared" si="32"/>
        <v>0–300k</v>
      </c>
      <c r="P417" s="19" t="str">
        <f t="shared" si="33"/>
        <v>26-35</v>
      </c>
    </row>
    <row r="418" spans="1:16" x14ac:dyDescent="0.25">
      <c r="A418">
        <v>417</v>
      </c>
      <c r="B418" t="s">
        <v>15</v>
      </c>
      <c r="C418">
        <v>5063660</v>
      </c>
      <c r="D418" t="s">
        <v>10</v>
      </c>
      <c r="E418" t="s">
        <v>11</v>
      </c>
      <c r="F418" t="s">
        <v>12</v>
      </c>
      <c r="G418" t="s">
        <v>13</v>
      </c>
      <c r="H418" t="s">
        <v>12</v>
      </c>
      <c r="I418">
        <v>40</v>
      </c>
      <c r="J418" t="str" cm="1">
        <f t="array" ref="J418">_xlfn.IFS(ISBLANK(C418),"FALTANTE",ABS((C418-$W$5)/$X$5)&gt;1.96,"ATÍPICO",ABS((C418-$W$5)/$X$5)&lt;=1.96,"NO ATÍPICO")</f>
        <v>ATÍPICO</v>
      </c>
      <c r="K418" t="str" cm="1">
        <f t="array" ref="K418">_xlfn.IFS(ISBLANK(I418),"FALTANTE",ABS((I418-$W$8)/$X$8)&gt;1.92,"ATÍPICO",ABS((I418-$W$8)/$X$8)&lt;=1.92,"NO ATÍPICO")</f>
        <v>NO ATÍPICO</v>
      </c>
      <c r="L418">
        <f t="shared" si="30"/>
        <v>5063660</v>
      </c>
      <c r="M418" t="str">
        <f t="shared" si="34"/>
        <v>ASALARIADO</v>
      </c>
      <c r="N418">
        <f t="shared" si="31"/>
        <v>40</v>
      </c>
      <c r="O418" s="19" t="str">
        <f t="shared" si="32"/>
        <v>1200k+</v>
      </c>
      <c r="P418" s="19" t="str">
        <f t="shared" si="33"/>
        <v>36-45</v>
      </c>
    </row>
    <row r="419" spans="1:16" x14ac:dyDescent="0.25">
      <c r="A419">
        <v>418</v>
      </c>
      <c r="B419" t="s">
        <v>15</v>
      </c>
      <c r="C419">
        <v>736280</v>
      </c>
      <c r="D419" t="s">
        <v>10</v>
      </c>
      <c r="E419" t="s">
        <v>16</v>
      </c>
      <c r="F419" t="s">
        <v>12</v>
      </c>
      <c r="G419" t="s">
        <v>13</v>
      </c>
      <c r="H419" t="s">
        <v>13</v>
      </c>
      <c r="I419">
        <v>33</v>
      </c>
      <c r="J419" t="str" cm="1">
        <f t="array" ref="J419">_xlfn.IFS(ISBLANK(C419),"FALTANTE",ABS((C419-$W$5)/$X$5)&gt;1.96,"ATÍPICO",ABS((C419-$W$5)/$X$5)&lt;=1.96,"NO ATÍPICO")</f>
        <v>NO ATÍPICO</v>
      </c>
      <c r="K419" t="str" cm="1">
        <f t="array" ref="K419">_xlfn.IFS(ISBLANK(I419),"FALTANTE",ABS((I419-$W$8)/$X$8)&gt;1.92,"ATÍPICO",ABS((I419-$W$8)/$X$8)&lt;=1.92,"NO ATÍPICO")</f>
        <v>NO ATÍPICO</v>
      </c>
      <c r="L419">
        <f t="shared" si="30"/>
        <v>736280</v>
      </c>
      <c r="M419" t="str">
        <f t="shared" si="34"/>
        <v>ASALARIADO</v>
      </c>
      <c r="N419">
        <f t="shared" si="31"/>
        <v>33</v>
      </c>
      <c r="O419" s="19" t="str">
        <f t="shared" si="32"/>
        <v>600k–900k</v>
      </c>
      <c r="P419" s="19" t="str">
        <f t="shared" si="33"/>
        <v>26-35</v>
      </c>
    </row>
    <row r="420" spans="1:16" x14ac:dyDescent="0.25">
      <c r="A420">
        <v>419</v>
      </c>
      <c r="B420" t="s">
        <v>9</v>
      </c>
      <c r="C420">
        <v>200000</v>
      </c>
      <c r="D420" t="s">
        <v>10</v>
      </c>
      <c r="E420" t="s">
        <v>16</v>
      </c>
      <c r="F420" t="s">
        <v>12</v>
      </c>
      <c r="G420" t="s">
        <v>13</v>
      </c>
      <c r="H420" t="s">
        <v>13</v>
      </c>
      <c r="I420">
        <v>46</v>
      </c>
      <c r="J420" t="str" cm="1">
        <f t="array" ref="J420">_xlfn.IFS(ISBLANK(C420),"FALTANTE",ABS((C420-$W$5)/$X$5)&gt;1.96,"ATÍPICO",ABS((C420-$W$5)/$X$5)&lt;=1.96,"NO ATÍPICO")</f>
        <v>NO ATÍPICO</v>
      </c>
      <c r="K420" t="str" cm="1">
        <f t="array" ref="K420">_xlfn.IFS(ISBLANK(I420),"FALTANTE",ABS((I420-$W$8)/$X$8)&gt;1.92,"ATÍPICO",ABS((I420-$W$8)/$X$8)&lt;=1.92,"NO ATÍPICO")</f>
        <v>NO ATÍPICO</v>
      </c>
      <c r="L420">
        <f t="shared" si="30"/>
        <v>200000</v>
      </c>
      <c r="M420" t="str">
        <f t="shared" si="34"/>
        <v>ASALARIADO</v>
      </c>
      <c r="N420">
        <f t="shared" si="31"/>
        <v>46</v>
      </c>
      <c r="O420" s="19" t="str">
        <f t="shared" si="32"/>
        <v>0–300k</v>
      </c>
      <c r="P420" s="19" t="str">
        <f t="shared" si="33"/>
        <v>46-55</v>
      </c>
    </row>
    <row r="421" spans="1:16" x14ac:dyDescent="0.25">
      <c r="A421">
        <v>420</v>
      </c>
      <c r="B421" t="s">
        <v>9</v>
      </c>
      <c r="C421">
        <v>92670</v>
      </c>
      <c r="D421" t="s">
        <v>10</v>
      </c>
      <c r="E421" t="s">
        <v>16</v>
      </c>
      <c r="F421" t="s">
        <v>12</v>
      </c>
      <c r="G421" t="s">
        <v>13</v>
      </c>
      <c r="H421" t="s">
        <v>13</v>
      </c>
      <c r="I421">
        <v>22</v>
      </c>
      <c r="J421" t="str" cm="1">
        <f t="array" ref="J421">_xlfn.IFS(ISBLANK(C421),"FALTANTE",ABS((C421-$W$5)/$X$5)&gt;1.96,"ATÍPICO",ABS((C421-$W$5)/$X$5)&lt;=1.96,"NO ATÍPICO")</f>
        <v>NO ATÍPICO</v>
      </c>
      <c r="K421" t="str" cm="1">
        <f t="array" ref="K421">_xlfn.IFS(ISBLANK(I421),"FALTANTE",ABS((I421-$W$8)/$X$8)&gt;1.92,"ATÍPICO",ABS((I421-$W$8)/$X$8)&lt;=1.92,"NO ATÍPICO")</f>
        <v>NO ATÍPICO</v>
      </c>
      <c r="L421">
        <f t="shared" si="30"/>
        <v>92670</v>
      </c>
      <c r="M421" t="str">
        <f t="shared" si="34"/>
        <v>ASALARIADO</v>
      </c>
      <c r="N421">
        <f t="shared" si="31"/>
        <v>22</v>
      </c>
      <c r="O421" s="19" t="str">
        <f t="shared" si="32"/>
        <v>0–300k</v>
      </c>
      <c r="P421" s="19" t="str">
        <f t="shared" si="33"/>
        <v>18-25</v>
      </c>
    </row>
    <row r="422" spans="1:16" x14ac:dyDescent="0.25">
      <c r="A422">
        <v>421</v>
      </c>
      <c r="B422" t="s">
        <v>9</v>
      </c>
      <c r="C422">
        <v>492739.1</v>
      </c>
      <c r="D422" t="s">
        <v>10</v>
      </c>
      <c r="E422" t="s">
        <v>16</v>
      </c>
      <c r="F422" t="s">
        <v>12</v>
      </c>
      <c r="G422" t="s">
        <v>12</v>
      </c>
      <c r="H422" t="s">
        <v>13</v>
      </c>
      <c r="I422">
        <v>45</v>
      </c>
      <c r="J422" t="str" cm="1">
        <f t="array" ref="J422">_xlfn.IFS(ISBLANK(C422),"FALTANTE",ABS((C422-$W$5)/$X$5)&gt;1.96,"ATÍPICO",ABS((C422-$W$5)/$X$5)&lt;=1.96,"NO ATÍPICO")</f>
        <v>NO ATÍPICO</v>
      </c>
      <c r="K422" t="str" cm="1">
        <f t="array" ref="K422">_xlfn.IFS(ISBLANK(I422),"FALTANTE",ABS((I422-$W$8)/$X$8)&gt;1.92,"ATÍPICO",ABS((I422-$W$8)/$X$8)&lt;=1.92,"NO ATÍPICO")</f>
        <v>NO ATÍPICO</v>
      </c>
      <c r="L422">
        <f t="shared" si="30"/>
        <v>492739.1</v>
      </c>
      <c r="M422" t="str">
        <f t="shared" si="34"/>
        <v>ASALARIADO</v>
      </c>
      <c r="N422">
        <f t="shared" si="31"/>
        <v>45</v>
      </c>
      <c r="O422" s="19" t="str">
        <f t="shared" si="32"/>
        <v>300k–600k</v>
      </c>
      <c r="P422" s="19" t="str">
        <f t="shared" si="33"/>
        <v>36-45</v>
      </c>
    </row>
    <row r="423" spans="1:16" x14ac:dyDescent="0.25">
      <c r="A423">
        <v>422</v>
      </c>
      <c r="B423" t="s">
        <v>9</v>
      </c>
      <c r="C423">
        <v>136224.42000000001</v>
      </c>
      <c r="D423" t="s">
        <v>10</v>
      </c>
      <c r="E423" t="s">
        <v>16</v>
      </c>
      <c r="F423" t="s">
        <v>12</v>
      </c>
      <c r="G423" t="s">
        <v>13</v>
      </c>
      <c r="H423" t="s">
        <v>13</v>
      </c>
      <c r="I423">
        <v>30</v>
      </c>
      <c r="J423" t="str" cm="1">
        <f t="array" ref="J423">_xlfn.IFS(ISBLANK(C423),"FALTANTE",ABS((C423-$W$5)/$X$5)&gt;1.96,"ATÍPICO",ABS((C423-$W$5)/$X$5)&lt;=1.96,"NO ATÍPICO")</f>
        <v>NO ATÍPICO</v>
      </c>
      <c r="K423" t="str" cm="1">
        <f t="array" ref="K423">_xlfn.IFS(ISBLANK(I423),"FALTANTE",ABS((I423-$W$8)/$X$8)&gt;1.92,"ATÍPICO",ABS((I423-$W$8)/$X$8)&lt;=1.92,"NO ATÍPICO")</f>
        <v>NO ATÍPICO</v>
      </c>
      <c r="L423">
        <f t="shared" si="30"/>
        <v>136224.42000000001</v>
      </c>
      <c r="M423" t="str">
        <f t="shared" si="34"/>
        <v>ASALARIADO</v>
      </c>
      <c r="N423">
        <f t="shared" si="31"/>
        <v>30</v>
      </c>
      <c r="O423" s="19" t="str">
        <f t="shared" si="32"/>
        <v>0–300k</v>
      </c>
      <c r="P423" s="19" t="str">
        <f t="shared" si="33"/>
        <v>26-35</v>
      </c>
    </row>
    <row r="424" spans="1:16" x14ac:dyDescent="0.25">
      <c r="A424">
        <v>423</v>
      </c>
      <c r="B424" t="s">
        <v>9</v>
      </c>
      <c r="C424">
        <v>1189549</v>
      </c>
      <c r="D424" t="s">
        <v>18</v>
      </c>
      <c r="E424" t="s">
        <v>16</v>
      </c>
      <c r="F424" t="s">
        <v>12</v>
      </c>
      <c r="G424" t="s">
        <v>13</v>
      </c>
      <c r="H424" t="s">
        <v>13</v>
      </c>
      <c r="I424">
        <v>50</v>
      </c>
      <c r="J424" t="str" cm="1">
        <f t="array" ref="J424">_xlfn.IFS(ISBLANK(C424),"FALTANTE",ABS((C424-$W$5)/$X$5)&gt;1.96,"ATÍPICO",ABS((C424-$W$5)/$X$5)&lt;=1.96,"NO ATÍPICO")</f>
        <v>NO ATÍPICO</v>
      </c>
      <c r="K424" t="str" cm="1">
        <f t="array" ref="K424">_xlfn.IFS(ISBLANK(I424),"FALTANTE",ABS((I424-$W$8)/$X$8)&gt;1.92,"ATÍPICO",ABS((I424-$W$8)/$X$8)&lt;=1.92,"NO ATÍPICO")</f>
        <v>NO ATÍPICO</v>
      </c>
      <c r="L424">
        <f t="shared" si="30"/>
        <v>1189549</v>
      </c>
      <c r="M424" t="str">
        <f t="shared" si="34"/>
        <v>TRABAJADOR INDEPENDIENTE</v>
      </c>
      <c r="N424">
        <f t="shared" si="31"/>
        <v>50</v>
      </c>
      <c r="O424" s="19" t="str">
        <f t="shared" si="32"/>
        <v>900k–1200k</v>
      </c>
      <c r="P424" s="19" t="str">
        <f t="shared" si="33"/>
        <v>46-55</v>
      </c>
    </row>
    <row r="425" spans="1:16" x14ac:dyDescent="0.25">
      <c r="A425">
        <v>424</v>
      </c>
      <c r="B425" t="s">
        <v>15</v>
      </c>
      <c r="C425">
        <v>339035</v>
      </c>
      <c r="D425" t="s">
        <v>10</v>
      </c>
      <c r="E425" t="s">
        <v>16</v>
      </c>
      <c r="F425" t="s">
        <v>12</v>
      </c>
      <c r="G425" t="s">
        <v>13</v>
      </c>
      <c r="H425" t="s">
        <v>13</v>
      </c>
      <c r="I425">
        <v>40</v>
      </c>
      <c r="J425" t="str" cm="1">
        <f t="array" ref="J425">_xlfn.IFS(ISBLANK(C425),"FALTANTE",ABS((C425-$W$5)/$X$5)&gt;1.96,"ATÍPICO",ABS((C425-$W$5)/$X$5)&lt;=1.96,"NO ATÍPICO")</f>
        <v>NO ATÍPICO</v>
      </c>
      <c r="K425" t="str" cm="1">
        <f t="array" ref="K425">_xlfn.IFS(ISBLANK(I425),"FALTANTE",ABS((I425-$W$8)/$X$8)&gt;1.92,"ATÍPICO",ABS((I425-$W$8)/$X$8)&lt;=1.92,"NO ATÍPICO")</f>
        <v>NO ATÍPICO</v>
      </c>
      <c r="L425">
        <f t="shared" si="30"/>
        <v>339035</v>
      </c>
      <c r="M425" t="str">
        <f t="shared" si="34"/>
        <v>ASALARIADO</v>
      </c>
      <c r="N425">
        <f t="shared" si="31"/>
        <v>40</v>
      </c>
      <c r="O425" s="19" t="str">
        <f t="shared" si="32"/>
        <v>300k–600k</v>
      </c>
      <c r="P425" s="19" t="str">
        <f t="shared" si="33"/>
        <v>36-45</v>
      </c>
    </row>
    <row r="426" spans="1:16" x14ac:dyDescent="0.25">
      <c r="A426">
        <v>425</v>
      </c>
      <c r="B426" t="s">
        <v>9</v>
      </c>
      <c r="C426">
        <v>581850</v>
      </c>
      <c r="D426" t="s">
        <v>10</v>
      </c>
      <c r="E426" t="s">
        <v>16</v>
      </c>
      <c r="F426" t="s">
        <v>12</v>
      </c>
      <c r="G426" t="s">
        <v>13</v>
      </c>
      <c r="H426" t="s">
        <v>13</v>
      </c>
      <c r="I426">
        <v>32</v>
      </c>
      <c r="J426" t="str" cm="1">
        <f t="array" ref="J426">_xlfn.IFS(ISBLANK(C426),"FALTANTE",ABS((C426-$W$5)/$X$5)&gt;1.96,"ATÍPICO",ABS((C426-$W$5)/$X$5)&lt;=1.96,"NO ATÍPICO")</f>
        <v>NO ATÍPICO</v>
      </c>
      <c r="K426" t="str" cm="1">
        <f t="array" ref="K426">_xlfn.IFS(ISBLANK(I426),"FALTANTE",ABS((I426-$W$8)/$X$8)&gt;1.92,"ATÍPICO",ABS((I426-$W$8)/$X$8)&lt;=1.92,"NO ATÍPICO")</f>
        <v>NO ATÍPICO</v>
      </c>
      <c r="L426">
        <f t="shared" si="30"/>
        <v>581850</v>
      </c>
      <c r="M426" t="str">
        <f t="shared" si="34"/>
        <v>ASALARIADO</v>
      </c>
      <c r="N426">
        <f t="shared" si="31"/>
        <v>32</v>
      </c>
      <c r="O426" s="19" t="str">
        <f t="shared" si="32"/>
        <v>300k–600k</v>
      </c>
      <c r="P426" s="19" t="str">
        <f t="shared" si="33"/>
        <v>26-35</v>
      </c>
    </row>
    <row r="427" spans="1:16" x14ac:dyDescent="0.25">
      <c r="A427">
        <v>426</v>
      </c>
      <c r="B427" t="s">
        <v>9</v>
      </c>
      <c r="C427">
        <v>425737</v>
      </c>
      <c r="D427" t="s">
        <v>18</v>
      </c>
      <c r="E427" t="s">
        <v>16</v>
      </c>
      <c r="F427" t="s">
        <v>12</v>
      </c>
      <c r="G427" t="s">
        <v>13</v>
      </c>
      <c r="H427" t="s">
        <v>12</v>
      </c>
      <c r="I427">
        <v>52</v>
      </c>
      <c r="J427" t="str" cm="1">
        <f t="array" ref="J427">_xlfn.IFS(ISBLANK(C427),"FALTANTE",ABS((C427-$W$5)/$X$5)&gt;1.96,"ATÍPICO",ABS((C427-$W$5)/$X$5)&lt;=1.96,"NO ATÍPICO")</f>
        <v>NO ATÍPICO</v>
      </c>
      <c r="K427" t="str" cm="1">
        <f t="array" ref="K427">_xlfn.IFS(ISBLANK(I427),"FALTANTE",ABS((I427-$W$8)/$X$8)&gt;1.92,"ATÍPICO",ABS((I427-$W$8)/$X$8)&lt;=1.92,"NO ATÍPICO")</f>
        <v>NO ATÍPICO</v>
      </c>
      <c r="L427">
        <f t="shared" si="30"/>
        <v>425737</v>
      </c>
      <c r="M427" t="str">
        <f t="shared" si="34"/>
        <v>TRABAJADOR INDEPENDIENTE</v>
      </c>
      <c r="N427">
        <f t="shared" si="31"/>
        <v>52</v>
      </c>
      <c r="O427" s="19" t="str">
        <f t="shared" si="32"/>
        <v>300k–600k</v>
      </c>
      <c r="P427" s="19" t="str">
        <f t="shared" si="33"/>
        <v>46-55</v>
      </c>
    </row>
    <row r="428" spans="1:16" x14ac:dyDescent="0.25">
      <c r="A428">
        <v>427</v>
      </c>
      <c r="B428" t="s">
        <v>15</v>
      </c>
      <c r="C428">
        <v>622188</v>
      </c>
      <c r="D428" t="s">
        <v>10</v>
      </c>
      <c r="E428" t="s">
        <v>16</v>
      </c>
      <c r="F428" t="s">
        <v>12</v>
      </c>
      <c r="G428" t="s">
        <v>13</v>
      </c>
      <c r="H428" t="s">
        <v>13</v>
      </c>
      <c r="I428">
        <v>31</v>
      </c>
      <c r="J428" t="str" cm="1">
        <f t="array" ref="J428">_xlfn.IFS(ISBLANK(C428),"FALTANTE",ABS((C428-$W$5)/$X$5)&gt;1.96,"ATÍPICO",ABS((C428-$W$5)/$X$5)&lt;=1.96,"NO ATÍPICO")</f>
        <v>NO ATÍPICO</v>
      </c>
      <c r="K428" t="str" cm="1">
        <f t="array" ref="K428">_xlfn.IFS(ISBLANK(I428),"FALTANTE",ABS((I428-$W$8)/$X$8)&gt;1.92,"ATÍPICO",ABS((I428-$W$8)/$X$8)&lt;=1.92,"NO ATÍPICO")</f>
        <v>NO ATÍPICO</v>
      </c>
      <c r="L428">
        <f t="shared" si="30"/>
        <v>622188</v>
      </c>
      <c r="M428" t="str">
        <f t="shared" si="34"/>
        <v>ASALARIADO</v>
      </c>
      <c r="N428">
        <f t="shared" si="31"/>
        <v>31</v>
      </c>
      <c r="O428" s="19" t="str">
        <f t="shared" si="32"/>
        <v>600k–900k</v>
      </c>
      <c r="P428" s="19" t="str">
        <f t="shared" si="33"/>
        <v>26-35</v>
      </c>
    </row>
    <row r="429" spans="1:16" x14ac:dyDescent="0.25">
      <c r="A429">
        <v>428</v>
      </c>
      <c r="B429" t="s">
        <v>15</v>
      </c>
      <c r="C429">
        <v>519825</v>
      </c>
      <c r="D429" t="s">
        <v>18</v>
      </c>
      <c r="E429" t="s">
        <v>16</v>
      </c>
      <c r="F429" t="s">
        <v>12</v>
      </c>
      <c r="G429" t="s">
        <v>13</v>
      </c>
      <c r="H429" t="s">
        <v>12</v>
      </c>
      <c r="I429">
        <v>52</v>
      </c>
      <c r="J429" t="str" cm="1">
        <f t="array" ref="J429">_xlfn.IFS(ISBLANK(C429),"FALTANTE",ABS((C429-$W$5)/$X$5)&gt;1.96,"ATÍPICO",ABS((C429-$W$5)/$X$5)&lt;=1.96,"NO ATÍPICO")</f>
        <v>NO ATÍPICO</v>
      </c>
      <c r="K429" t="str" cm="1">
        <f t="array" ref="K429">_xlfn.IFS(ISBLANK(I429),"FALTANTE",ABS((I429-$W$8)/$X$8)&gt;1.92,"ATÍPICO",ABS((I429-$W$8)/$X$8)&lt;=1.92,"NO ATÍPICO")</f>
        <v>NO ATÍPICO</v>
      </c>
      <c r="L429">
        <f t="shared" si="30"/>
        <v>519825</v>
      </c>
      <c r="M429" t="str">
        <f t="shared" si="34"/>
        <v>TRABAJADOR INDEPENDIENTE</v>
      </c>
      <c r="N429">
        <f t="shared" si="31"/>
        <v>52</v>
      </c>
      <c r="O429" s="19" t="str">
        <f t="shared" si="32"/>
        <v>300k–600k</v>
      </c>
      <c r="P429" s="19" t="str">
        <f t="shared" si="33"/>
        <v>46-55</v>
      </c>
    </row>
    <row r="430" spans="1:16" x14ac:dyDescent="0.25">
      <c r="A430">
        <v>429</v>
      </c>
      <c r="B430" t="s">
        <v>15</v>
      </c>
      <c r="C430">
        <v>651555</v>
      </c>
      <c r="D430" t="s">
        <v>10</v>
      </c>
      <c r="E430" t="s">
        <v>16</v>
      </c>
      <c r="F430" t="s">
        <v>12</v>
      </c>
      <c r="G430" t="s">
        <v>13</v>
      </c>
      <c r="H430" t="s">
        <v>13</v>
      </c>
      <c r="I430">
        <v>39</v>
      </c>
      <c r="J430" t="str" cm="1">
        <f t="array" ref="J430">_xlfn.IFS(ISBLANK(C430),"FALTANTE",ABS((C430-$W$5)/$X$5)&gt;1.96,"ATÍPICO",ABS((C430-$W$5)/$X$5)&lt;=1.96,"NO ATÍPICO")</f>
        <v>NO ATÍPICO</v>
      </c>
      <c r="K430" t="str" cm="1">
        <f t="array" ref="K430">_xlfn.IFS(ISBLANK(I430),"FALTANTE",ABS((I430-$W$8)/$X$8)&gt;1.92,"ATÍPICO",ABS((I430-$W$8)/$X$8)&lt;=1.92,"NO ATÍPICO")</f>
        <v>NO ATÍPICO</v>
      </c>
      <c r="L430">
        <f t="shared" si="30"/>
        <v>651555</v>
      </c>
      <c r="M430" t="str">
        <f t="shared" si="34"/>
        <v>ASALARIADO</v>
      </c>
      <c r="N430">
        <f t="shared" si="31"/>
        <v>39</v>
      </c>
      <c r="O430" s="19" t="str">
        <f t="shared" si="32"/>
        <v>600k–900k</v>
      </c>
      <c r="P430" s="19" t="str">
        <f t="shared" si="33"/>
        <v>36-45</v>
      </c>
    </row>
    <row r="431" spans="1:16" x14ac:dyDescent="0.25">
      <c r="A431">
        <v>430</v>
      </c>
      <c r="B431" t="s">
        <v>9</v>
      </c>
      <c r="C431">
        <v>432667</v>
      </c>
      <c r="D431" t="s">
        <v>10</v>
      </c>
      <c r="E431" t="s">
        <v>16</v>
      </c>
      <c r="F431" t="s">
        <v>12</v>
      </c>
      <c r="G431" t="s">
        <v>13</v>
      </c>
      <c r="H431" t="s">
        <v>13</v>
      </c>
      <c r="I431">
        <v>23</v>
      </c>
      <c r="J431" t="str" cm="1">
        <f t="array" ref="J431">_xlfn.IFS(ISBLANK(C431),"FALTANTE",ABS((C431-$W$5)/$X$5)&gt;1.96,"ATÍPICO",ABS((C431-$W$5)/$X$5)&lt;=1.96,"NO ATÍPICO")</f>
        <v>NO ATÍPICO</v>
      </c>
      <c r="K431" t="str" cm="1">
        <f t="array" ref="K431">_xlfn.IFS(ISBLANK(I431),"FALTANTE",ABS((I431-$W$8)/$X$8)&gt;1.92,"ATÍPICO",ABS((I431-$W$8)/$X$8)&lt;=1.92,"NO ATÍPICO")</f>
        <v>NO ATÍPICO</v>
      </c>
      <c r="L431">
        <f t="shared" si="30"/>
        <v>432667</v>
      </c>
      <c r="M431" t="str">
        <f t="shared" si="34"/>
        <v>ASALARIADO</v>
      </c>
      <c r="N431">
        <f t="shared" si="31"/>
        <v>23</v>
      </c>
      <c r="O431" s="19" t="str">
        <f t="shared" si="32"/>
        <v>300k–600k</v>
      </c>
      <c r="P431" s="19" t="str">
        <f t="shared" si="33"/>
        <v>18-25</v>
      </c>
    </row>
    <row r="432" spans="1:16" x14ac:dyDescent="0.25">
      <c r="A432">
        <v>431</v>
      </c>
      <c r="B432" t="s">
        <v>15</v>
      </c>
      <c r="C432">
        <v>575270</v>
      </c>
      <c r="D432" t="s">
        <v>10</v>
      </c>
      <c r="E432" t="s">
        <v>16</v>
      </c>
      <c r="F432" t="s">
        <v>12</v>
      </c>
      <c r="G432" t="s">
        <v>13</v>
      </c>
      <c r="H432" t="s">
        <v>13</v>
      </c>
      <c r="I432">
        <v>54</v>
      </c>
      <c r="J432" t="str" cm="1">
        <f t="array" ref="J432">_xlfn.IFS(ISBLANK(C432),"FALTANTE",ABS((C432-$W$5)/$X$5)&gt;1.96,"ATÍPICO",ABS((C432-$W$5)/$X$5)&lt;=1.96,"NO ATÍPICO")</f>
        <v>NO ATÍPICO</v>
      </c>
      <c r="K432" t="str" cm="1">
        <f t="array" ref="K432">_xlfn.IFS(ISBLANK(I432),"FALTANTE",ABS((I432-$W$8)/$X$8)&gt;1.92,"ATÍPICO",ABS((I432-$W$8)/$X$8)&lt;=1.92,"NO ATÍPICO")</f>
        <v>NO ATÍPICO</v>
      </c>
      <c r="L432">
        <f t="shared" si="30"/>
        <v>575270</v>
      </c>
      <c r="M432" t="str">
        <f t="shared" si="34"/>
        <v>ASALARIADO</v>
      </c>
      <c r="N432">
        <f t="shared" si="31"/>
        <v>54</v>
      </c>
      <c r="O432" s="19" t="str">
        <f t="shared" si="32"/>
        <v>300k–600k</v>
      </c>
      <c r="P432" s="19" t="str">
        <f t="shared" si="33"/>
        <v>46-55</v>
      </c>
    </row>
    <row r="433" spans="1:16" x14ac:dyDescent="0.25">
      <c r="A433">
        <v>432</v>
      </c>
      <c r="B433" t="s">
        <v>15</v>
      </c>
      <c r="C433">
        <v>297046</v>
      </c>
      <c r="D433" t="s">
        <v>17</v>
      </c>
      <c r="E433" t="s">
        <v>16</v>
      </c>
      <c r="F433" t="s">
        <v>12</v>
      </c>
      <c r="G433" t="s">
        <v>13</v>
      </c>
      <c r="H433" t="s">
        <v>13</v>
      </c>
      <c r="I433">
        <v>54</v>
      </c>
      <c r="J433" t="str" cm="1">
        <f t="array" ref="J433">_xlfn.IFS(ISBLANK(C433),"FALTANTE",ABS((C433-$W$5)/$X$5)&gt;1.96,"ATÍPICO",ABS((C433-$W$5)/$X$5)&lt;=1.96,"NO ATÍPICO")</f>
        <v>NO ATÍPICO</v>
      </c>
      <c r="K433" t="str" cm="1">
        <f t="array" ref="K433">_xlfn.IFS(ISBLANK(I433),"FALTANTE",ABS((I433-$W$8)/$X$8)&gt;1.92,"ATÍPICO",ABS((I433-$W$8)/$X$8)&lt;=1.92,"NO ATÍPICO")</f>
        <v>NO ATÍPICO</v>
      </c>
      <c r="L433">
        <f t="shared" si="30"/>
        <v>297046</v>
      </c>
      <c r="M433" t="str">
        <f t="shared" si="34"/>
        <v>ASEGURADO VOLUNTARIO</v>
      </c>
      <c r="N433">
        <f t="shared" si="31"/>
        <v>54</v>
      </c>
      <c r="O433" s="19" t="str">
        <f t="shared" si="32"/>
        <v>0–300k</v>
      </c>
      <c r="P433" s="19" t="str">
        <f t="shared" si="33"/>
        <v>46-55</v>
      </c>
    </row>
    <row r="434" spans="1:16" x14ac:dyDescent="0.25">
      <c r="A434">
        <v>433</v>
      </c>
      <c r="B434" t="s">
        <v>9</v>
      </c>
      <c r="C434">
        <v>107146.67</v>
      </c>
      <c r="D434" t="s">
        <v>10</v>
      </c>
      <c r="E434" t="s">
        <v>16</v>
      </c>
      <c r="F434" t="s">
        <v>12</v>
      </c>
      <c r="G434" t="s">
        <v>12</v>
      </c>
      <c r="H434" t="s">
        <v>13</v>
      </c>
      <c r="I434">
        <v>34</v>
      </c>
      <c r="J434" t="str" cm="1">
        <f t="array" ref="J434">_xlfn.IFS(ISBLANK(C434),"FALTANTE",ABS((C434-$W$5)/$X$5)&gt;1.96,"ATÍPICO",ABS((C434-$W$5)/$X$5)&lt;=1.96,"NO ATÍPICO")</f>
        <v>NO ATÍPICO</v>
      </c>
      <c r="K434" t="str" cm="1">
        <f t="array" ref="K434">_xlfn.IFS(ISBLANK(I434),"FALTANTE",ABS((I434-$W$8)/$X$8)&gt;1.92,"ATÍPICO",ABS((I434-$W$8)/$X$8)&lt;=1.92,"NO ATÍPICO")</f>
        <v>NO ATÍPICO</v>
      </c>
      <c r="L434">
        <f t="shared" si="30"/>
        <v>107146.67</v>
      </c>
      <c r="M434" t="str">
        <f t="shared" si="34"/>
        <v>ASALARIADO</v>
      </c>
      <c r="N434">
        <f t="shared" si="31"/>
        <v>34</v>
      </c>
      <c r="O434" s="19" t="str">
        <f t="shared" si="32"/>
        <v>0–300k</v>
      </c>
      <c r="P434" s="19" t="str">
        <f t="shared" si="33"/>
        <v>26-35</v>
      </c>
    </row>
    <row r="435" spans="1:16" x14ac:dyDescent="0.25">
      <c r="A435">
        <v>434</v>
      </c>
      <c r="B435" t="s">
        <v>15</v>
      </c>
      <c r="C435">
        <v>389357</v>
      </c>
      <c r="D435" t="s">
        <v>10</v>
      </c>
      <c r="E435" t="s">
        <v>16</v>
      </c>
      <c r="F435" t="s">
        <v>12</v>
      </c>
      <c r="G435" t="s">
        <v>13</v>
      </c>
      <c r="H435" t="s">
        <v>12</v>
      </c>
      <c r="I435">
        <v>51</v>
      </c>
      <c r="J435" t="str" cm="1">
        <f t="array" ref="J435">_xlfn.IFS(ISBLANK(C435),"FALTANTE",ABS((C435-$W$5)/$X$5)&gt;1.96,"ATÍPICO",ABS((C435-$W$5)/$X$5)&lt;=1.96,"NO ATÍPICO")</f>
        <v>NO ATÍPICO</v>
      </c>
      <c r="K435" t="str" cm="1">
        <f t="array" ref="K435">_xlfn.IFS(ISBLANK(I435),"FALTANTE",ABS((I435-$W$8)/$X$8)&gt;1.92,"ATÍPICO",ABS((I435-$W$8)/$X$8)&lt;=1.92,"NO ATÍPICO")</f>
        <v>NO ATÍPICO</v>
      </c>
      <c r="L435">
        <f t="shared" si="30"/>
        <v>389357</v>
      </c>
      <c r="M435" t="str">
        <f t="shared" si="34"/>
        <v>ASALARIADO</v>
      </c>
      <c r="N435">
        <f t="shared" si="31"/>
        <v>51</v>
      </c>
      <c r="O435" s="19" t="str">
        <f t="shared" si="32"/>
        <v>300k–600k</v>
      </c>
      <c r="P435" s="19" t="str">
        <f t="shared" si="33"/>
        <v>46-55</v>
      </c>
    </row>
    <row r="436" spans="1:16" x14ac:dyDescent="0.25">
      <c r="A436">
        <v>435</v>
      </c>
      <c r="B436" t="s">
        <v>9</v>
      </c>
      <c r="C436">
        <v>408495</v>
      </c>
      <c r="D436" t="s">
        <v>10</v>
      </c>
      <c r="E436" t="s">
        <v>16</v>
      </c>
      <c r="F436" t="s">
        <v>12</v>
      </c>
      <c r="G436" t="s">
        <v>13</v>
      </c>
      <c r="H436" t="s">
        <v>13</v>
      </c>
      <c r="I436">
        <v>49</v>
      </c>
      <c r="J436" t="str" cm="1">
        <f t="array" ref="J436">_xlfn.IFS(ISBLANK(C436),"FALTANTE",ABS((C436-$W$5)/$X$5)&gt;1.96,"ATÍPICO",ABS((C436-$W$5)/$X$5)&lt;=1.96,"NO ATÍPICO")</f>
        <v>NO ATÍPICO</v>
      </c>
      <c r="K436" t="str" cm="1">
        <f t="array" ref="K436">_xlfn.IFS(ISBLANK(I436),"FALTANTE",ABS((I436-$W$8)/$X$8)&gt;1.92,"ATÍPICO",ABS((I436-$W$8)/$X$8)&lt;=1.92,"NO ATÍPICO")</f>
        <v>NO ATÍPICO</v>
      </c>
      <c r="L436">
        <f t="shared" si="30"/>
        <v>408495</v>
      </c>
      <c r="M436" t="str">
        <f t="shared" si="34"/>
        <v>ASALARIADO</v>
      </c>
      <c r="N436">
        <f t="shared" si="31"/>
        <v>49</v>
      </c>
      <c r="O436" s="19" t="str">
        <f t="shared" si="32"/>
        <v>300k–600k</v>
      </c>
      <c r="P436" s="19" t="str">
        <f t="shared" si="33"/>
        <v>46-55</v>
      </c>
    </row>
    <row r="437" spans="1:16" x14ac:dyDescent="0.25">
      <c r="A437">
        <v>436</v>
      </c>
      <c r="B437" t="s">
        <v>9</v>
      </c>
      <c r="C437">
        <v>150222</v>
      </c>
      <c r="D437" t="s">
        <v>10</v>
      </c>
      <c r="E437" t="s">
        <v>16</v>
      </c>
      <c r="F437" t="s">
        <v>12</v>
      </c>
      <c r="G437" t="s">
        <v>13</v>
      </c>
      <c r="H437" t="s">
        <v>13</v>
      </c>
      <c r="I437">
        <v>56</v>
      </c>
      <c r="J437" t="str" cm="1">
        <f t="array" ref="J437">_xlfn.IFS(ISBLANK(C437),"FALTANTE",ABS((C437-$W$5)/$X$5)&gt;1.96,"ATÍPICO",ABS((C437-$W$5)/$X$5)&lt;=1.96,"NO ATÍPICO")</f>
        <v>NO ATÍPICO</v>
      </c>
      <c r="K437" t="str" cm="1">
        <f t="array" ref="K437">_xlfn.IFS(ISBLANK(I437),"FALTANTE",ABS((I437-$W$8)/$X$8)&gt;1.92,"ATÍPICO",ABS((I437-$W$8)/$X$8)&lt;=1.92,"NO ATÍPICO")</f>
        <v>NO ATÍPICO</v>
      </c>
      <c r="L437">
        <f t="shared" si="30"/>
        <v>150222</v>
      </c>
      <c r="M437" t="str">
        <f t="shared" si="34"/>
        <v>ASALARIADO</v>
      </c>
      <c r="N437">
        <f t="shared" si="31"/>
        <v>56</v>
      </c>
      <c r="O437" s="19" t="str">
        <f t="shared" si="32"/>
        <v>0–300k</v>
      </c>
      <c r="P437" s="19" t="str">
        <f t="shared" si="33"/>
        <v>56+</v>
      </c>
    </row>
    <row r="438" spans="1:16" x14ac:dyDescent="0.25">
      <c r="A438">
        <v>437</v>
      </c>
      <c r="B438" t="s">
        <v>15</v>
      </c>
      <c r="C438">
        <v>297046</v>
      </c>
      <c r="D438" t="s">
        <v>17</v>
      </c>
      <c r="E438" t="s">
        <v>16</v>
      </c>
      <c r="F438" t="s">
        <v>12</v>
      </c>
      <c r="G438" t="s">
        <v>12</v>
      </c>
      <c r="H438" t="s">
        <v>13</v>
      </c>
      <c r="I438">
        <v>47</v>
      </c>
      <c r="J438" t="str" cm="1">
        <f t="array" ref="J438">_xlfn.IFS(ISBLANK(C438),"FALTANTE",ABS((C438-$W$5)/$X$5)&gt;1.96,"ATÍPICO",ABS((C438-$W$5)/$X$5)&lt;=1.96,"NO ATÍPICO")</f>
        <v>NO ATÍPICO</v>
      </c>
      <c r="K438" t="str" cm="1">
        <f t="array" ref="K438">_xlfn.IFS(ISBLANK(I438),"FALTANTE",ABS((I438-$W$8)/$X$8)&gt;1.92,"ATÍPICO",ABS((I438-$W$8)/$X$8)&lt;=1.92,"NO ATÍPICO")</f>
        <v>NO ATÍPICO</v>
      </c>
      <c r="L438">
        <f t="shared" si="30"/>
        <v>297046</v>
      </c>
      <c r="M438" t="str">
        <f t="shared" si="34"/>
        <v>ASEGURADO VOLUNTARIO</v>
      </c>
      <c r="N438">
        <f t="shared" si="31"/>
        <v>47</v>
      </c>
      <c r="O438" s="19" t="str">
        <f t="shared" si="32"/>
        <v>0–300k</v>
      </c>
      <c r="P438" s="19" t="str">
        <f t="shared" si="33"/>
        <v>46-55</v>
      </c>
    </row>
    <row r="439" spans="1:16" x14ac:dyDescent="0.25">
      <c r="A439">
        <v>438</v>
      </c>
      <c r="B439" t="s">
        <v>9</v>
      </c>
      <c r="C439">
        <v>1042254.3</v>
      </c>
      <c r="D439" t="s">
        <v>10</v>
      </c>
      <c r="E439" t="s">
        <v>16</v>
      </c>
      <c r="F439" t="s">
        <v>12</v>
      </c>
      <c r="G439" t="s">
        <v>13</v>
      </c>
      <c r="H439" t="s">
        <v>13</v>
      </c>
      <c r="I439">
        <v>41</v>
      </c>
      <c r="J439" t="str" cm="1">
        <f t="array" ref="J439">_xlfn.IFS(ISBLANK(C439),"FALTANTE",ABS((C439-$W$5)/$X$5)&gt;1.96,"ATÍPICO",ABS((C439-$W$5)/$X$5)&lt;=1.96,"NO ATÍPICO")</f>
        <v>NO ATÍPICO</v>
      </c>
      <c r="K439" t="str" cm="1">
        <f t="array" ref="K439">_xlfn.IFS(ISBLANK(I439),"FALTANTE",ABS((I439-$W$8)/$X$8)&gt;1.92,"ATÍPICO",ABS((I439-$W$8)/$X$8)&lt;=1.92,"NO ATÍPICO")</f>
        <v>NO ATÍPICO</v>
      </c>
      <c r="L439">
        <f t="shared" si="30"/>
        <v>1042254.3</v>
      </c>
      <c r="M439" t="str">
        <f t="shared" si="34"/>
        <v>ASALARIADO</v>
      </c>
      <c r="N439">
        <f t="shared" si="31"/>
        <v>41</v>
      </c>
      <c r="O439" s="19" t="str">
        <f t="shared" si="32"/>
        <v>900k–1200k</v>
      </c>
      <c r="P439" s="19" t="str">
        <f t="shared" si="33"/>
        <v>36-45</v>
      </c>
    </row>
    <row r="440" spans="1:16" x14ac:dyDescent="0.25">
      <c r="A440">
        <v>439</v>
      </c>
      <c r="B440" t="s">
        <v>9</v>
      </c>
      <c r="C440">
        <v>685221</v>
      </c>
      <c r="D440" t="s">
        <v>14</v>
      </c>
      <c r="E440" t="s">
        <v>11</v>
      </c>
      <c r="F440" t="s">
        <v>12</v>
      </c>
      <c r="G440" t="s">
        <v>13</v>
      </c>
      <c r="H440" t="s">
        <v>13</v>
      </c>
      <c r="I440">
        <v>81</v>
      </c>
      <c r="J440" t="str" cm="1">
        <f t="array" ref="J440">_xlfn.IFS(ISBLANK(C440),"FALTANTE",ABS((C440-$W$5)/$X$5)&gt;1.96,"ATÍPICO",ABS((C440-$W$5)/$X$5)&lt;=1.96,"NO ATÍPICO")</f>
        <v>NO ATÍPICO</v>
      </c>
      <c r="K440" t="str" cm="1">
        <f t="array" ref="K440">_xlfn.IFS(ISBLANK(I440),"FALTANTE",ABS((I440-$W$8)/$X$8)&gt;1.92,"ATÍPICO",ABS((I440-$W$8)/$X$8)&lt;=1.92,"NO ATÍPICO")</f>
        <v>ATÍPICO</v>
      </c>
      <c r="L440">
        <f t="shared" si="30"/>
        <v>685221</v>
      </c>
      <c r="M440" t="str">
        <f t="shared" si="34"/>
        <v>PENSIONADOS EN SU PROPIO SISTEMA</v>
      </c>
      <c r="N440">
        <f t="shared" si="31"/>
        <v>81</v>
      </c>
      <c r="O440" s="19" t="str">
        <f t="shared" si="32"/>
        <v>600k–900k</v>
      </c>
      <c r="P440" s="19" t="str">
        <f t="shared" si="33"/>
        <v>56+</v>
      </c>
    </row>
    <row r="441" spans="1:16" x14ac:dyDescent="0.25">
      <c r="A441">
        <v>440</v>
      </c>
      <c r="B441" t="s">
        <v>9</v>
      </c>
      <c r="C441">
        <v>806740.07</v>
      </c>
      <c r="D441" t="s">
        <v>10</v>
      </c>
      <c r="E441" t="s">
        <v>16</v>
      </c>
      <c r="F441" t="s">
        <v>12</v>
      </c>
      <c r="G441" t="s">
        <v>13</v>
      </c>
      <c r="H441" t="s">
        <v>13</v>
      </c>
      <c r="I441">
        <v>23</v>
      </c>
      <c r="J441" t="str" cm="1">
        <f t="array" ref="J441">_xlfn.IFS(ISBLANK(C441),"FALTANTE",ABS((C441-$W$5)/$X$5)&gt;1.96,"ATÍPICO",ABS((C441-$W$5)/$X$5)&lt;=1.96,"NO ATÍPICO")</f>
        <v>NO ATÍPICO</v>
      </c>
      <c r="K441" t="str" cm="1">
        <f t="array" ref="K441">_xlfn.IFS(ISBLANK(I441),"FALTANTE",ABS((I441-$W$8)/$X$8)&gt;1.92,"ATÍPICO",ABS((I441-$W$8)/$X$8)&lt;=1.92,"NO ATÍPICO")</f>
        <v>NO ATÍPICO</v>
      </c>
      <c r="L441">
        <f t="shared" si="30"/>
        <v>806740.07</v>
      </c>
      <c r="M441" t="str">
        <f t="shared" si="34"/>
        <v>ASALARIADO</v>
      </c>
      <c r="N441">
        <f t="shared" si="31"/>
        <v>23</v>
      </c>
      <c r="O441" s="19" t="str">
        <f t="shared" si="32"/>
        <v>600k–900k</v>
      </c>
      <c r="P441" s="19" t="str">
        <f t="shared" si="33"/>
        <v>18-25</v>
      </c>
    </row>
    <row r="442" spans="1:16" x14ac:dyDescent="0.25">
      <c r="A442">
        <v>441</v>
      </c>
      <c r="B442" t="s">
        <v>15</v>
      </c>
      <c r="C442">
        <v>140000</v>
      </c>
      <c r="D442" t="s">
        <v>10</v>
      </c>
      <c r="E442" t="s">
        <v>16</v>
      </c>
      <c r="F442" t="s">
        <v>12</v>
      </c>
      <c r="G442" t="s">
        <v>12</v>
      </c>
      <c r="H442" t="s">
        <v>13</v>
      </c>
      <c r="I442">
        <v>39</v>
      </c>
      <c r="J442" t="str" cm="1">
        <f t="array" ref="J442">_xlfn.IFS(ISBLANK(C442),"FALTANTE",ABS((C442-$W$5)/$X$5)&gt;1.96,"ATÍPICO",ABS((C442-$W$5)/$X$5)&lt;=1.96,"NO ATÍPICO")</f>
        <v>NO ATÍPICO</v>
      </c>
      <c r="K442" t="str" cm="1">
        <f t="array" ref="K442">_xlfn.IFS(ISBLANK(I442),"FALTANTE",ABS((I442-$W$8)/$X$8)&gt;1.92,"ATÍPICO",ABS((I442-$W$8)/$X$8)&lt;=1.92,"NO ATÍPICO")</f>
        <v>NO ATÍPICO</v>
      </c>
      <c r="L442">
        <f t="shared" si="30"/>
        <v>140000</v>
      </c>
      <c r="M442" t="str">
        <f t="shared" si="34"/>
        <v>ASALARIADO</v>
      </c>
      <c r="N442">
        <f t="shared" si="31"/>
        <v>39</v>
      </c>
      <c r="O442" s="19" t="str">
        <f t="shared" si="32"/>
        <v>0–300k</v>
      </c>
      <c r="P442" s="19" t="str">
        <f t="shared" si="33"/>
        <v>36-45</v>
      </c>
    </row>
    <row r="443" spans="1:16" x14ac:dyDescent="0.25">
      <c r="A443">
        <v>442</v>
      </c>
      <c r="B443" t="s">
        <v>15</v>
      </c>
      <c r="C443">
        <v>567930</v>
      </c>
      <c r="D443" t="s">
        <v>18</v>
      </c>
      <c r="E443" t="s">
        <v>16</v>
      </c>
      <c r="F443" t="s">
        <v>12</v>
      </c>
      <c r="G443" t="s">
        <v>13</v>
      </c>
      <c r="H443" t="s">
        <v>12</v>
      </c>
      <c r="I443">
        <v>74</v>
      </c>
      <c r="J443" t="str" cm="1">
        <f t="array" ref="J443">_xlfn.IFS(ISBLANK(C443),"FALTANTE",ABS((C443-$W$5)/$X$5)&gt;1.96,"ATÍPICO",ABS((C443-$W$5)/$X$5)&lt;=1.96,"NO ATÍPICO")</f>
        <v>NO ATÍPICO</v>
      </c>
      <c r="K443" t="str" cm="1">
        <f t="array" ref="K443">_xlfn.IFS(ISBLANK(I443),"FALTANTE",ABS((I443-$W$8)/$X$8)&gt;1.92,"ATÍPICO",ABS((I443-$W$8)/$X$8)&lt;=1.92,"NO ATÍPICO")</f>
        <v>ATÍPICO</v>
      </c>
      <c r="L443">
        <f t="shared" si="30"/>
        <v>567930</v>
      </c>
      <c r="M443" t="str">
        <f t="shared" si="34"/>
        <v>TRABAJADOR INDEPENDIENTE</v>
      </c>
      <c r="N443">
        <f t="shared" si="31"/>
        <v>74</v>
      </c>
      <c r="O443" s="19" t="str">
        <f t="shared" si="32"/>
        <v>300k–600k</v>
      </c>
      <c r="P443" s="19" t="str">
        <f t="shared" si="33"/>
        <v>56+</v>
      </c>
    </row>
    <row r="444" spans="1:16" x14ac:dyDescent="0.25">
      <c r="A444">
        <v>443</v>
      </c>
      <c r="B444" t="s">
        <v>9</v>
      </c>
      <c r="C444">
        <v>539324</v>
      </c>
      <c r="D444" t="s">
        <v>10</v>
      </c>
      <c r="E444" t="s">
        <v>11</v>
      </c>
      <c r="F444" t="s">
        <v>12</v>
      </c>
      <c r="G444" t="s">
        <v>13</v>
      </c>
      <c r="H444" t="s">
        <v>13</v>
      </c>
      <c r="I444">
        <v>38</v>
      </c>
      <c r="J444" t="str" cm="1">
        <f t="array" ref="J444">_xlfn.IFS(ISBLANK(C444),"FALTANTE",ABS((C444-$W$5)/$X$5)&gt;1.96,"ATÍPICO",ABS((C444-$W$5)/$X$5)&lt;=1.96,"NO ATÍPICO")</f>
        <v>NO ATÍPICO</v>
      </c>
      <c r="K444" t="str" cm="1">
        <f t="array" ref="K444">_xlfn.IFS(ISBLANK(I444),"FALTANTE",ABS((I444-$W$8)/$X$8)&gt;1.92,"ATÍPICO",ABS((I444-$W$8)/$X$8)&lt;=1.92,"NO ATÍPICO")</f>
        <v>NO ATÍPICO</v>
      </c>
      <c r="L444">
        <f t="shared" si="30"/>
        <v>539324</v>
      </c>
      <c r="M444" t="str">
        <f t="shared" si="34"/>
        <v>ASALARIADO</v>
      </c>
      <c r="N444">
        <f t="shared" si="31"/>
        <v>38</v>
      </c>
      <c r="O444" s="19" t="str">
        <f t="shared" si="32"/>
        <v>300k–600k</v>
      </c>
      <c r="P444" s="19" t="str">
        <f t="shared" si="33"/>
        <v>36-45</v>
      </c>
    </row>
    <row r="445" spans="1:16" x14ac:dyDescent="0.25">
      <c r="A445">
        <v>444</v>
      </c>
      <c r="B445" t="s">
        <v>15</v>
      </c>
      <c r="C445">
        <v>105633.33</v>
      </c>
      <c r="D445" t="s">
        <v>10</v>
      </c>
      <c r="E445" t="s">
        <v>11</v>
      </c>
      <c r="F445" t="s">
        <v>12</v>
      </c>
      <c r="G445" t="s">
        <v>13</v>
      </c>
      <c r="H445" t="s">
        <v>13</v>
      </c>
      <c r="I445">
        <v>40</v>
      </c>
      <c r="J445" t="str" cm="1">
        <f t="array" ref="J445">_xlfn.IFS(ISBLANK(C445),"FALTANTE",ABS((C445-$W$5)/$X$5)&gt;1.96,"ATÍPICO",ABS((C445-$W$5)/$X$5)&lt;=1.96,"NO ATÍPICO")</f>
        <v>NO ATÍPICO</v>
      </c>
      <c r="K445" t="str" cm="1">
        <f t="array" ref="K445">_xlfn.IFS(ISBLANK(I445),"FALTANTE",ABS((I445-$W$8)/$X$8)&gt;1.92,"ATÍPICO",ABS((I445-$W$8)/$X$8)&lt;=1.92,"NO ATÍPICO")</f>
        <v>NO ATÍPICO</v>
      </c>
      <c r="L445">
        <f t="shared" si="30"/>
        <v>105633.33</v>
      </c>
      <c r="M445" t="str">
        <f t="shared" si="34"/>
        <v>ASALARIADO</v>
      </c>
      <c r="N445">
        <f t="shared" si="31"/>
        <v>40</v>
      </c>
      <c r="O445" s="19" t="str">
        <f t="shared" si="32"/>
        <v>0–300k</v>
      </c>
      <c r="P445" s="19" t="str">
        <f t="shared" si="33"/>
        <v>36-45</v>
      </c>
    </row>
    <row r="446" spans="1:16" x14ac:dyDescent="0.25">
      <c r="A446">
        <v>445</v>
      </c>
      <c r="B446" t="s">
        <v>9</v>
      </c>
      <c r="C446">
        <v>310544</v>
      </c>
      <c r="D446" t="s">
        <v>17</v>
      </c>
      <c r="E446" t="s">
        <v>16</v>
      </c>
      <c r="F446" t="s">
        <v>12</v>
      </c>
      <c r="G446" t="s">
        <v>13</v>
      </c>
      <c r="H446" t="s">
        <v>13</v>
      </c>
      <c r="I446">
        <v>58</v>
      </c>
      <c r="J446" t="str" cm="1">
        <f t="array" ref="J446">_xlfn.IFS(ISBLANK(C446),"FALTANTE",ABS((C446-$W$5)/$X$5)&gt;1.96,"ATÍPICO",ABS((C446-$W$5)/$X$5)&lt;=1.96,"NO ATÍPICO")</f>
        <v>NO ATÍPICO</v>
      </c>
      <c r="K446" t="str" cm="1">
        <f t="array" ref="K446">_xlfn.IFS(ISBLANK(I446),"FALTANTE",ABS((I446-$W$8)/$X$8)&gt;1.92,"ATÍPICO",ABS((I446-$W$8)/$X$8)&lt;=1.92,"NO ATÍPICO")</f>
        <v>NO ATÍPICO</v>
      </c>
      <c r="L446">
        <f t="shared" si="30"/>
        <v>310544</v>
      </c>
      <c r="M446" t="str">
        <f t="shared" si="34"/>
        <v>ASEGURADO VOLUNTARIO</v>
      </c>
      <c r="N446">
        <f t="shared" si="31"/>
        <v>58</v>
      </c>
      <c r="O446" s="19" t="str">
        <f t="shared" si="32"/>
        <v>300k–600k</v>
      </c>
      <c r="P446" s="19" t="str">
        <f t="shared" si="33"/>
        <v>56+</v>
      </c>
    </row>
    <row r="447" spans="1:16" x14ac:dyDescent="0.25">
      <c r="A447">
        <v>446</v>
      </c>
      <c r="B447" t="s">
        <v>15</v>
      </c>
      <c r="C447">
        <v>375321.53</v>
      </c>
      <c r="D447" t="s">
        <v>10</v>
      </c>
      <c r="E447" t="s">
        <v>16</v>
      </c>
      <c r="F447" t="s">
        <v>12</v>
      </c>
      <c r="G447" t="s">
        <v>13</v>
      </c>
      <c r="H447" t="s">
        <v>12</v>
      </c>
      <c r="I447">
        <v>32</v>
      </c>
      <c r="J447" t="str" cm="1">
        <f t="array" ref="J447">_xlfn.IFS(ISBLANK(C447),"FALTANTE",ABS((C447-$W$5)/$X$5)&gt;1.96,"ATÍPICO",ABS((C447-$W$5)/$X$5)&lt;=1.96,"NO ATÍPICO")</f>
        <v>NO ATÍPICO</v>
      </c>
      <c r="K447" t="str" cm="1">
        <f t="array" ref="K447">_xlfn.IFS(ISBLANK(I447),"FALTANTE",ABS((I447-$W$8)/$X$8)&gt;1.92,"ATÍPICO",ABS((I447-$W$8)/$X$8)&lt;=1.92,"NO ATÍPICO")</f>
        <v>NO ATÍPICO</v>
      </c>
      <c r="L447">
        <f t="shared" si="30"/>
        <v>375321.53</v>
      </c>
      <c r="M447" t="str">
        <f t="shared" si="34"/>
        <v>ASALARIADO</v>
      </c>
      <c r="N447">
        <f t="shared" si="31"/>
        <v>32</v>
      </c>
      <c r="O447" s="19" t="str">
        <f t="shared" si="32"/>
        <v>300k–600k</v>
      </c>
      <c r="P447" s="19" t="str">
        <f t="shared" si="33"/>
        <v>26-35</v>
      </c>
    </row>
    <row r="448" spans="1:16" x14ac:dyDescent="0.25">
      <c r="A448">
        <v>447</v>
      </c>
      <c r="B448" t="s">
        <v>9</v>
      </c>
      <c r="C448">
        <v>255660</v>
      </c>
      <c r="D448" t="s">
        <v>10</v>
      </c>
      <c r="E448" t="s">
        <v>16</v>
      </c>
      <c r="F448" t="s">
        <v>12</v>
      </c>
      <c r="G448" t="s">
        <v>12</v>
      </c>
      <c r="H448" t="s">
        <v>13</v>
      </c>
      <c r="I448">
        <v>22</v>
      </c>
      <c r="J448" t="str" cm="1">
        <f t="array" ref="J448">_xlfn.IFS(ISBLANK(C448),"FALTANTE",ABS((C448-$W$5)/$X$5)&gt;1.96,"ATÍPICO",ABS((C448-$W$5)/$X$5)&lt;=1.96,"NO ATÍPICO")</f>
        <v>NO ATÍPICO</v>
      </c>
      <c r="K448" t="str" cm="1">
        <f t="array" ref="K448">_xlfn.IFS(ISBLANK(I448),"FALTANTE",ABS((I448-$W$8)/$X$8)&gt;1.92,"ATÍPICO",ABS((I448-$W$8)/$X$8)&lt;=1.92,"NO ATÍPICO")</f>
        <v>NO ATÍPICO</v>
      </c>
      <c r="L448">
        <f t="shared" si="30"/>
        <v>255660</v>
      </c>
      <c r="M448" t="str">
        <f t="shared" si="34"/>
        <v>ASALARIADO</v>
      </c>
      <c r="N448">
        <f t="shared" si="31"/>
        <v>22</v>
      </c>
      <c r="O448" s="19" t="str">
        <f t="shared" si="32"/>
        <v>0–300k</v>
      </c>
      <c r="P448" s="19" t="str">
        <f t="shared" si="33"/>
        <v>18-25</v>
      </c>
    </row>
    <row r="449" spans="1:16" x14ac:dyDescent="0.25">
      <c r="A449">
        <v>448</v>
      </c>
      <c r="B449" t="s">
        <v>15</v>
      </c>
      <c r="C449">
        <v>213862.5</v>
      </c>
      <c r="D449" t="s">
        <v>10</v>
      </c>
      <c r="E449" t="s">
        <v>16</v>
      </c>
      <c r="F449" t="s">
        <v>12</v>
      </c>
      <c r="G449" t="s">
        <v>13</v>
      </c>
      <c r="H449" t="s">
        <v>13</v>
      </c>
      <c r="I449">
        <v>32</v>
      </c>
      <c r="J449" t="str" cm="1">
        <f t="array" ref="J449">_xlfn.IFS(ISBLANK(C449),"FALTANTE",ABS((C449-$W$5)/$X$5)&gt;1.96,"ATÍPICO",ABS((C449-$W$5)/$X$5)&lt;=1.96,"NO ATÍPICO")</f>
        <v>NO ATÍPICO</v>
      </c>
      <c r="K449" t="str" cm="1">
        <f t="array" ref="K449">_xlfn.IFS(ISBLANK(I449),"FALTANTE",ABS((I449-$W$8)/$X$8)&gt;1.92,"ATÍPICO",ABS((I449-$W$8)/$X$8)&lt;=1.92,"NO ATÍPICO")</f>
        <v>NO ATÍPICO</v>
      </c>
      <c r="L449">
        <f t="shared" si="30"/>
        <v>213862.5</v>
      </c>
      <c r="M449" t="str">
        <f t="shared" si="34"/>
        <v>ASALARIADO</v>
      </c>
      <c r="N449">
        <f t="shared" si="31"/>
        <v>32</v>
      </c>
      <c r="O449" s="19" t="str">
        <f t="shared" si="32"/>
        <v>0–300k</v>
      </c>
      <c r="P449" s="19" t="str">
        <f t="shared" si="33"/>
        <v>26-35</v>
      </c>
    </row>
    <row r="450" spans="1:16" x14ac:dyDescent="0.25">
      <c r="A450">
        <v>449</v>
      </c>
      <c r="B450" t="s">
        <v>15</v>
      </c>
      <c r="C450">
        <v>404463</v>
      </c>
      <c r="D450" t="s">
        <v>18</v>
      </c>
      <c r="E450" t="s">
        <v>16</v>
      </c>
      <c r="F450" t="s">
        <v>12</v>
      </c>
      <c r="G450" t="s">
        <v>13</v>
      </c>
      <c r="H450" t="s">
        <v>12</v>
      </c>
      <c r="I450">
        <v>38</v>
      </c>
      <c r="J450" t="str" cm="1">
        <f t="array" ref="J450">_xlfn.IFS(ISBLANK(C450),"FALTANTE",ABS((C450-$W$5)/$X$5)&gt;1.96,"ATÍPICO",ABS((C450-$W$5)/$X$5)&lt;=1.96,"NO ATÍPICO")</f>
        <v>NO ATÍPICO</v>
      </c>
      <c r="K450" t="str" cm="1">
        <f t="array" ref="K450">_xlfn.IFS(ISBLANK(I450),"FALTANTE",ABS((I450-$W$8)/$X$8)&gt;1.92,"ATÍPICO",ABS((I450-$W$8)/$X$8)&lt;=1.92,"NO ATÍPICO")</f>
        <v>NO ATÍPICO</v>
      </c>
      <c r="L450">
        <f t="shared" ref="L450:L513" si="35">C450</f>
        <v>404463</v>
      </c>
      <c r="M450" t="str">
        <f t="shared" si="34"/>
        <v>TRABAJADOR INDEPENDIENTE</v>
      </c>
      <c r="N450">
        <f t="shared" ref="N450:N513" si="36">I450</f>
        <v>38</v>
      </c>
      <c r="O450" s="19" t="str">
        <f t="shared" ref="O450:O513" si="37">IF(L450&lt;=300000,"0–300k",IF(L450&lt;=600000,"300k–600k",IF(L450&lt;=900000,"600k–900k",IF(L450&lt;=1200000,"900k–1200k","1200k+"))))</f>
        <v>300k–600k</v>
      </c>
      <c r="P450" s="19" t="str">
        <f t="shared" ref="P450:P513" si="38">IF(N450 &lt;=25,"18-25", IF(N450&lt;=35,"26-35", IF(N450 &lt;=45,"36-45", IF(N450&lt;=55,"46-55","56+"))))</f>
        <v>36-45</v>
      </c>
    </row>
    <row r="451" spans="1:16" x14ac:dyDescent="0.25">
      <c r="A451">
        <v>450</v>
      </c>
      <c r="B451" t="s">
        <v>9</v>
      </c>
      <c r="C451">
        <v>5712732</v>
      </c>
      <c r="D451" t="s">
        <v>10</v>
      </c>
      <c r="E451" t="s">
        <v>16</v>
      </c>
      <c r="F451" t="s">
        <v>12</v>
      </c>
      <c r="G451" t="s">
        <v>13</v>
      </c>
      <c r="H451" t="s">
        <v>13</v>
      </c>
      <c r="I451">
        <v>37</v>
      </c>
      <c r="J451" t="str" cm="1">
        <f t="array" ref="J451">_xlfn.IFS(ISBLANK(C451),"FALTANTE",ABS((C451-$W$5)/$X$5)&gt;1.96,"ATÍPICO",ABS((C451-$W$5)/$X$5)&lt;=1.96,"NO ATÍPICO")</f>
        <v>ATÍPICO</v>
      </c>
      <c r="K451" t="str" cm="1">
        <f t="array" ref="K451">_xlfn.IFS(ISBLANK(I451),"FALTANTE",ABS((I451-$W$8)/$X$8)&gt;1.92,"ATÍPICO",ABS((I451-$W$8)/$X$8)&lt;=1.92,"NO ATÍPICO")</f>
        <v>NO ATÍPICO</v>
      </c>
      <c r="L451">
        <f t="shared" si="35"/>
        <v>5712732</v>
      </c>
      <c r="M451" t="str">
        <f t="shared" si="34"/>
        <v>ASALARIADO</v>
      </c>
      <c r="N451">
        <f t="shared" si="36"/>
        <v>37</v>
      </c>
      <c r="O451" s="19" t="str">
        <f t="shared" si="37"/>
        <v>1200k+</v>
      </c>
      <c r="P451" s="19" t="str">
        <f t="shared" si="38"/>
        <v>36-45</v>
      </c>
    </row>
    <row r="452" spans="1:16" x14ac:dyDescent="0.25">
      <c r="A452">
        <v>451</v>
      </c>
      <c r="B452" t="s">
        <v>15</v>
      </c>
      <c r="C452">
        <v>1633023.24</v>
      </c>
      <c r="D452" t="s">
        <v>10</v>
      </c>
      <c r="E452" t="s">
        <v>11</v>
      </c>
      <c r="F452" t="s">
        <v>12</v>
      </c>
      <c r="G452" t="s">
        <v>13</v>
      </c>
      <c r="H452" t="s">
        <v>13</v>
      </c>
      <c r="I452">
        <v>31</v>
      </c>
      <c r="J452" t="str" cm="1">
        <f t="array" ref="J452">_xlfn.IFS(ISBLANK(C452),"FALTANTE",ABS((C452-$W$5)/$X$5)&gt;1.96,"ATÍPICO",ABS((C452-$W$5)/$X$5)&lt;=1.96,"NO ATÍPICO")</f>
        <v>NO ATÍPICO</v>
      </c>
      <c r="K452" t="str" cm="1">
        <f t="array" ref="K452">_xlfn.IFS(ISBLANK(I452),"FALTANTE",ABS((I452-$W$8)/$X$8)&gt;1.92,"ATÍPICO",ABS((I452-$W$8)/$X$8)&lt;=1.92,"NO ATÍPICO")</f>
        <v>NO ATÍPICO</v>
      </c>
      <c r="L452">
        <f t="shared" si="35"/>
        <v>1633023.24</v>
      </c>
      <c r="M452" t="str">
        <f t="shared" ref="M452:M515" si="39">D452</f>
        <v>ASALARIADO</v>
      </c>
      <c r="N452">
        <f t="shared" si="36"/>
        <v>31</v>
      </c>
      <c r="O452" s="19" t="str">
        <f t="shared" si="37"/>
        <v>1200k+</v>
      </c>
      <c r="P452" s="19" t="str">
        <f t="shared" si="38"/>
        <v>26-35</v>
      </c>
    </row>
    <row r="453" spans="1:16" x14ac:dyDescent="0.25">
      <c r="A453">
        <v>452</v>
      </c>
      <c r="B453" t="s">
        <v>9</v>
      </c>
      <c r="C453">
        <v>269000</v>
      </c>
      <c r="D453" t="s">
        <v>10</v>
      </c>
      <c r="E453" t="s">
        <v>16</v>
      </c>
      <c r="F453" t="s">
        <v>12</v>
      </c>
      <c r="G453" t="s">
        <v>12</v>
      </c>
      <c r="H453" t="s">
        <v>13</v>
      </c>
      <c r="I453">
        <v>43</v>
      </c>
      <c r="J453" t="str" cm="1">
        <f t="array" ref="J453">_xlfn.IFS(ISBLANK(C453),"FALTANTE",ABS((C453-$W$5)/$X$5)&gt;1.96,"ATÍPICO",ABS((C453-$W$5)/$X$5)&lt;=1.96,"NO ATÍPICO")</f>
        <v>NO ATÍPICO</v>
      </c>
      <c r="K453" t="str" cm="1">
        <f t="array" ref="K453">_xlfn.IFS(ISBLANK(I453),"FALTANTE",ABS((I453-$W$8)/$X$8)&gt;1.92,"ATÍPICO",ABS((I453-$W$8)/$X$8)&lt;=1.92,"NO ATÍPICO")</f>
        <v>NO ATÍPICO</v>
      </c>
      <c r="L453">
        <f t="shared" si="35"/>
        <v>269000</v>
      </c>
      <c r="M453" t="str">
        <f t="shared" si="39"/>
        <v>ASALARIADO</v>
      </c>
      <c r="N453">
        <f t="shared" si="36"/>
        <v>43</v>
      </c>
      <c r="O453" s="19" t="str">
        <f t="shared" si="37"/>
        <v>0–300k</v>
      </c>
      <c r="P453" s="19" t="str">
        <f t="shared" si="38"/>
        <v>36-45</v>
      </c>
    </row>
    <row r="454" spans="1:16" x14ac:dyDescent="0.25">
      <c r="A454">
        <v>453</v>
      </c>
      <c r="B454" t="s">
        <v>9</v>
      </c>
      <c r="C454">
        <v>531666.67000000004</v>
      </c>
      <c r="D454" t="s">
        <v>10</v>
      </c>
      <c r="E454" t="s">
        <v>16</v>
      </c>
      <c r="F454" t="s">
        <v>12</v>
      </c>
      <c r="G454" t="s">
        <v>13</v>
      </c>
      <c r="H454" t="s">
        <v>13</v>
      </c>
      <c r="I454">
        <v>29</v>
      </c>
      <c r="J454" t="str" cm="1">
        <f t="array" ref="J454">_xlfn.IFS(ISBLANK(C454),"FALTANTE",ABS((C454-$W$5)/$X$5)&gt;1.96,"ATÍPICO",ABS((C454-$W$5)/$X$5)&lt;=1.96,"NO ATÍPICO")</f>
        <v>NO ATÍPICO</v>
      </c>
      <c r="K454" t="str" cm="1">
        <f t="array" ref="K454">_xlfn.IFS(ISBLANK(I454),"FALTANTE",ABS((I454-$W$8)/$X$8)&gt;1.92,"ATÍPICO",ABS((I454-$W$8)/$X$8)&lt;=1.92,"NO ATÍPICO")</f>
        <v>NO ATÍPICO</v>
      </c>
      <c r="L454">
        <f t="shared" si="35"/>
        <v>531666.67000000004</v>
      </c>
      <c r="M454" t="str">
        <f t="shared" si="39"/>
        <v>ASALARIADO</v>
      </c>
      <c r="N454">
        <f t="shared" si="36"/>
        <v>29</v>
      </c>
      <c r="O454" s="19" t="str">
        <f t="shared" si="37"/>
        <v>300k–600k</v>
      </c>
      <c r="P454" s="19" t="str">
        <f t="shared" si="38"/>
        <v>26-35</v>
      </c>
    </row>
    <row r="455" spans="1:16" x14ac:dyDescent="0.25">
      <c r="A455">
        <v>454</v>
      </c>
      <c r="B455" t="s">
        <v>15</v>
      </c>
      <c r="C455">
        <v>3263393.64</v>
      </c>
      <c r="D455" t="s">
        <v>10</v>
      </c>
      <c r="E455" t="s">
        <v>11</v>
      </c>
      <c r="F455" t="s">
        <v>12</v>
      </c>
      <c r="G455" t="s">
        <v>13</v>
      </c>
      <c r="H455" t="s">
        <v>13</v>
      </c>
      <c r="I455">
        <v>39</v>
      </c>
      <c r="J455" t="str" cm="1">
        <f t="array" ref="J455">_xlfn.IFS(ISBLANK(C455),"FALTANTE",ABS((C455-$W$5)/$X$5)&gt;1.96,"ATÍPICO",ABS((C455-$W$5)/$X$5)&lt;=1.96,"NO ATÍPICO")</f>
        <v>ATÍPICO</v>
      </c>
      <c r="K455" t="str" cm="1">
        <f t="array" ref="K455">_xlfn.IFS(ISBLANK(I455),"FALTANTE",ABS((I455-$W$8)/$X$8)&gt;1.92,"ATÍPICO",ABS((I455-$W$8)/$X$8)&lt;=1.92,"NO ATÍPICO")</f>
        <v>NO ATÍPICO</v>
      </c>
      <c r="L455">
        <f t="shared" si="35"/>
        <v>3263393.64</v>
      </c>
      <c r="M455" t="str">
        <f t="shared" si="39"/>
        <v>ASALARIADO</v>
      </c>
      <c r="N455">
        <f t="shared" si="36"/>
        <v>39</v>
      </c>
      <c r="O455" s="19" t="str">
        <f t="shared" si="37"/>
        <v>1200k+</v>
      </c>
      <c r="P455" s="19" t="str">
        <f t="shared" si="38"/>
        <v>36-45</v>
      </c>
    </row>
    <row r="456" spans="1:16" x14ac:dyDescent="0.25">
      <c r="A456">
        <v>455</v>
      </c>
      <c r="B456" t="s">
        <v>9</v>
      </c>
      <c r="C456">
        <v>404950</v>
      </c>
      <c r="D456" t="s">
        <v>10</v>
      </c>
      <c r="E456" t="s">
        <v>16</v>
      </c>
      <c r="F456" t="s">
        <v>12</v>
      </c>
      <c r="G456" t="s">
        <v>12</v>
      </c>
      <c r="H456" t="s">
        <v>13</v>
      </c>
      <c r="I456">
        <v>36</v>
      </c>
      <c r="J456" t="str" cm="1">
        <f t="array" ref="J456">_xlfn.IFS(ISBLANK(C456),"FALTANTE",ABS((C456-$W$5)/$X$5)&gt;1.96,"ATÍPICO",ABS((C456-$W$5)/$X$5)&lt;=1.96,"NO ATÍPICO")</f>
        <v>NO ATÍPICO</v>
      </c>
      <c r="K456" t="str" cm="1">
        <f t="array" ref="K456">_xlfn.IFS(ISBLANK(I456),"FALTANTE",ABS((I456-$W$8)/$X$8)&gt;1.92,"ATÍPICO",ABS((I456-$W$8)/$X$8)&lt;=1.92,"NO ATÍPICO")</f>
        <v>NO ATÍPICO</v>
      </c>
      <c r="L456">
        <f t="shared" si="35"/>
        <v>404950</v>
      </c>
      <c r="M456" t="str">
        <f t="shared" si="39"/>
        <v>ASALARIADO</v>
      </c>
      <c r="N456">
        <f t="shared" si="36"/>
        <v>36</v>
      </c>
      <c r="O456" s="19" t="str">
        <f t="shared" si="37"/>
        <v>300k–600k</v>
      </c>
      <c r="P456" s="19" t="str">
        <f t="shared" si="38"/>
        <v>36-45</v>
      </c>
    </row>
    <row r="457" spans="1:16" x14ac:dyDescent="0.25">
      <c r="A457">
        <v>456</v>
      </c>
      <c r="B457" t="s">
        <v>9</v>
      </c>
      <c r="C457">
        <v>1549936.32</v>
      </c>
      <c r="D457" t="s">
        <v>10</v>
      </c>
      <c r="E457" t="s">
        <v>16</v>
      </c>
      <c r="F457" t="s">
        <v>12</v>
      </c>
      <c r="G457" t="s">
        <v>13</v>
      </c>
      <c r="H457" t="s">
        <v>13</v>
      </c>
      <c r="I457">
        <v>39</v>
      </c>
      <c r="J457" t="str" cm="1">
        <f t="array" ref="J457">_xlfn.IFS(ISBLANK(C457),"FALTANTE",ABS((C457-$W$5)/$X$5)&gt;1.96,"ATÍPICO",ABS((C457-$W$5)/$X$5)&lt;=1.96,"NO ATÍPICO")</f>
        <v>NO ATÍPICO</v>
      </c>
      <c r="K457" t="str" cm="1">
        <f t="array" ref="K457">_xlfn.IFS(ISBLANK(I457),"FALTANTE",ABS((I457-$W$8)/$X$8)&gt;1.92,"ATÍPICO",ABS((I457-$W$8)/$X$8)&lt;=1.92,"NO ATÍPICO")</f>
        <v>NO ATÍPICO</v>
      </c>
      <c r="L457">
        <f t="shared" si="35"/>
        <v>1549936.32</v>
      </c>
      <c r="M457" t="str">
        <f t="shared" si="39"/>
        <v>ASALARIADO</v>
      </c>
      <c r="N457">
        <f t="shared" si="36"/>
        <v>39</v>
      </c>
      <c r="O457" s="19" t="str">
        <f t="shared" si="37"/>
        <v>1200k+</v>
      </c>
      <c r="P457" s="19" t="str">
        <f t="shared" si="38"/>
        <v>36-45</v>
      </c>
    </row>
    <row r="458" spans="1:16" x14ac:dyDescent="0.25">
      <c r="A458">
        <v>457</v>
      </c>
      <c r="B458" t="s">
        <v>15</v>
      </c>
      <c r="C458">
        <v>300018</v>
      </c>
      <c r="D458" t="s">
        <v>18</v>
      </c>
      <c r="E458" t="s">
        <v>16</v>
      </c>
      <c r="F458" t="s">
        <v>12</v>
      </c>
      <c r="G458" t="s">
        <v>13</v>
      </c>
      <c r="H458" t="s">
        <v>13</v>
      </c>
      <c r="I458">
        <v>56</v>
      </c>
      <c r="J458" t="str" cm="1">
        <f t="array" ref="J458">_xlfn.IFS(ISBLANK(C458),"FALTANTE",ABS((C458-$W$5)/$X$5)&gt;1.96,"ATÍPICO",ABS((C458-$W$5)/$X$5)&lt;=1.96,"NO ATÍPICO")</f>
        <v>NO ATÍPICO</v>
      </c>
      <c r="K458" t="str" cm="1">
        <f t="array" ref="K458">_xlfn.IFS(ISBLANK(I458),"FALTANTE",ABS((I458-$W$8)/$X$8)&gt;1.92,"ATÍPICO",ABS((I458-$W$8)/$X$8)&lt;=1.92,"NO ATÍPICO")</f>
        <v>NO ATÍPICO</v>
      </c>
      <c r="L458">
        <f t="shared" si="35"/>
        <v>300018</v>
      </c>
      <c r="M458" t="str">
        <f t="shared" si="39"/>
        <v>TRABAJADOR INDEPENDIENTE</v>
      </c>
      <c r="N458">
        <f t="shared" si="36"/>
        <v>56</v>
      </c>
      <c r="O458" s="19" t="str">
        <f t="shared" si="37"/>
        <v>300k–600k</v>
      </c>
      <c r="P458" s="19" t="str">
        <f t="shared" si="38"/>
        <v>56+</v>
      </c>
    </row>
    <row r="459" spans="1:16" x14ac:dyDescent="0.25">
      <c r="A459">
        <v>458</v>
      </c>
      <c r="B459" t="s">
        <v>15</v>
      </c>
      <c r="C459">
        <v>157790</v>
      </c>
      <c r="D459" t="s">
        <v>10</v>
      </c>
      <c r="E459" t="s">
        <v>16</v>
      </c>
      <c r="F459" t="s">
        <v>12</v>
      </c>
      <c r="G459" t="s">
        <v>13</v>
      </c>
      <c r="H459" t="s">
        <v>13</v>
      </c>
      <c r="I459">
        <v>24</v>
      </c>
      <c r="J459" t="str" cm="1">
        <f t="array" ref="J459">_xlfn.IFS(ISBLANK(C459),"FALTANTE",ABS((C459-$W$5)/$X$5)&gt;1.96,"ATÍPICO",ABS((C459-$W$5)/$X$5)&lt;=1.96,"NO ATÍPICO")</f>
        <v>NO ATÍPICO</v>
      </c>
      <c r="K459" t="str" cm="1">
        <f t="array" ref="K459">_xlfn.IFS(ISBLANK(I459),"FALTANTE",ABS((I459-$W$8)/$X$8)&gt;1.92,"ATÍPICO",ABS((I459-$W$8)/$X$8)&lt;=1.92,"NO ATÍPICO")</f>
        <v>NO ATÍPICO</v>
      </c>
      <c r="L459">
        <f t="shared" si="35"/>
        <v>157790</v>
      </c>
      <c r="M459" t="str">
        <f t="shared" si="39"/>
        <v>ASALARIADO</v>
      </c>
      <c r="N459">
        <f t="shared" si="36"/>
        <v>24</v>
      </c>
      <c r="O459" s="19" t="str">
        <f t="shared" si="37"/>
        <v>0–300k</v>
      </c>
      <c r="P459" s="19" t="str">
        <f t="shared" si="38"/>
        <v>18-25</v>
      </c>
    </row>
    <row r="460" spans="1:16" x14ac:dyDescent="0.25">
      <c r="A460">
        <v>459</v>
      </c>
      <c r="B460" t="s">
        <v>9</v>
      </c>
      <c r="C460">
        <v>1642037.78</v>
      </c>
      <c r="D460" t="s">
        <v>14</v>
      </c>
      <c r="E460" t="s">
        <v>11</v>
      </c>
      <c r="F460" t="s">
        <v>12</v>
      </c>
      <c r="G460" t="s">
        <v>13</v>
      </c>
      <c r="H460" t="s">
        <v>13</v>
      </c>
      <c r="I460">
        <v>80</v>
      </c>
      <c r="J460" t="str" cm="1">
        <f t="array" ref="J460">_xlfn.IFS(ISBLANK(C460),"FALTANTE",ABS((C460-$W$5)/$X$5)&gt;1.96,"ATÍPICO",ABS((C460-$W$5)/$X$5)&lt;=1.96,"NO ATÍPICO")</f>
        <v>NO ATÍPICO</v>
      </c>
      <c r="K460" t="str" cm="1">
        <f t="array" ref="K460">_xlfn.IFS(ISBLANK(I460),"FALTANTE",ABS((I460-$W$8)/$X$8)&gt;1.92,"ATÍPICO",ABS((I460-$W$8)/$X$8)&lt;=1.92,"NO ATÍPICO")</f>
        <v>ATÍPICO</v>
      </c>
      <c r="L460">
        <f t="shared" si="35"/>
        <v>1642037.78</v>
      </c>
      <c r="M460" t="str">
        <f t="shared" si="39"/>
        <v>PENSIONADOS EN SU PROPIO SISTEMA</v>
      </c>
      <c r="N460">
        <f t="shared" si="36"/>
        <v>80</v>
      </c>
      <c r="O460" s="19" t="str">
        <f t="shared" si="37"/>
        <v>1200k+</v>
      </c>
      <c r="P460" s="19" t="str">
        <f t="shared" si="38"/>
        <v>56+</v>
      </c>
    </row>
    <row r="461" spans="1:16" x14ac:dyDescent="0.25">
      <c r="A461">
        <v>460</v>
      </c>
      <c r="B461" t="s">
        <v>9</v>
      </c>
      <c r="C461">
        <v>335205.06</v>
      </c>
      <c r="D461" t="s">
        <v>10</v>
      </c>
      <c r="E461" t="s">
        <v>16</v>
      </c>
      <c r="F461" t="s">
        <v>12</v>
      </c>
      <c r="G461" t="s">
        <v>12</v>
      </c>
      <c r="H461" t="s">
        <v>13</v>
      </c>
      <c r="I461">
        <v>52</v>
      </c>
      <c r="J461" t="str" cm="1">
        <f t="array" ref="J461">_xlfn.IFS(ISBLANK(C461),"FALTANTE",ABS((C461-$W$5)/$X$5)&gt;1.96,"ATÍPICO",ABS((C461-$W$5)/$X$5)&lt;=1.96,"NO ATÍPICO")</f>
        <v>NO ATÍPICO</v>
      </c>
      <c r="K461" t="str" cm="1">
        <f t="array" ref="K461">_xlfn.IFS(ISBLANK(I461),"FALTANTE",ABS((I461-$W$8)/$X$8)&gt;1.92,"ATÍPICO",ABS((I461-$W$8)/$X$8)&lt;=1.92,"NO ATÍPICO")</f>
        <v>NO ATÍPICO</v>
      </c>
      <c r="L461">
        <f t="shared" si="35"/>
        <v>335205.06</v>
      </c>
      <c r="M461" t="str">
        <f t="shared" si="39"/>
        <v>ASALARIADO</v>
      </c>
      <c r="N461">
        <f t="shared" si="36"/>
        <v>52</v>
      </c>
      <c r="O461" s="19" t="str">
        <f t="shared" si="37"/>
        <v>300k–600k</v>
      </c>
      <c r="P461" s="19" t="str">
        <f t="shared" si="38"/>
        <v>46-55</v>
      </c>
    </row>
    <row r="462" spans="1:16" x14ac:dyDescent="0.25">
      <c r="A462">
        <v>461</v>
      </c>
      <c r="B462" t="s">
        <v>15</v>
      </c>
      <c r="C462">
        <v>639148</v>
      </c>
      <c r="D462" t="s">
        <v>18</v>
      </c>
      <c r="E462" t="s">
        <v>16</v>
      </c>
      <c r="F462" t="s">
        <v>12</v>
      </c>
      <c r="G462" t="s">
        <v>12</v>
      </c>
      <c r="H462" t="s">
        <v>13</v>
      </c>
      <c r="I462">
        <v>44</v>
      </c>
      <c r="J462" t="str" cm="1">
        <f t="array" ref="J462">_xlfn.IFS(ISBLANK(C462),"FALTANTE",ABS((C462-$W$5)/$X$5)&gt;1.96,"ATÍPICO",ABS((C462-$W$5)/$X$5)&lt;=1.96,"NO ATÍPICO")</f>
        <v>NO ATÍPICO</v>
      </c>
      <c r="K462" t="str" cm="1">
        <f t="array" ref="K462">_xlfn.IFS(ISBLANK(I462),"FALTANTE",ABS((I462-$W$8)/$X$8)&gt;1.92,"ATÍPICO",ABS((I462-$W$8)/$X$8)&lt;=1.92,"NO ATÍPICO")</f>
        <v>NO ATÍPICO</v>
      </c>
      <c r="L462">
        <f t="shared" si="35"/>
        <v>639148</v>
      </c>
      <c r="M462" t="str">
        <f t="shared" si="39"/>
        <v>TRABAJADOR INDEPENDIENTE</v>
      </c>
      <c r="N462">
        <f t="shared" si="36"/>
        <v>44</v>
      </c>
      <c r="O462" s="19" t="str">
        <f t="shared" si="37"/>
        <v>600k–900k</v>
      </c>
      <c r="P462" s="19" t="str">
        <f t="shared" si="38"/>
        <v>36-45</v>
      </c>
    </row>
    <row r="463" spans="1:16" x14ac:dyDescent="0.25">
      <c r="A463">
        <v>462</v>
      </c>
      <c r="B463" t="s">
        <v>9</v>
      </c>
      <c r="C463">
        <v>316964.69</v>
      </c>
      <c r="D463" t="s">
        <v>10</v>
      </c>
      <c r="E463" t="s">
        <v>16</v>
      </c>
      <c r="F463" t="s">
        <v>12</v>
      </c>
      <c r="G463" t="s">
        <v>12</v>
      </c>
      <c r="H463" t="s">
        <v>13</v>
      </c>
      <c r="I463">
        <v>19</v>
      </c>
      <c r="J463" t="str" cm="1">
        <f t="array" ref="J463">_xlfn.IFS(ISBLANK(C463),"FALTANTE",ABS((C463-$W$5)/$X$5)&gt;1.96,"ATÍPICO",ABS((C463-$W$5)/$X$5)&lt;=1.96,"NO ATÍPICO")</f>
        <v>NO ATÍPICO</v>
      </c>
      <c r="K463" t="str" cm="1">
        <f t="array" ref="K463">_xlfn.IFS(ISBLANK(I463),"FALTANTE",ABS((I463-$W$8)/$X$8)&gt;1.92,"ATÍPICO",ABS((I463-$W$8)/$X$8)&lt;=1.92,"NO ATÍPICO")</f>
        <v>NO ATÍPICO</v>
      </c>
      <c r="L463">
        <f t="shared" si="35"/>
        <v>316964.69</v>
      </c>
      <c r="M463" t="str">
        <f t="shared" si="39"/>
        <v>ASALARIADO</v>
      </c>
      <c r="N463">
        <f t="shared" si="36"/>
        <v>19</v>
      </c>
      <c r="O463" s="19" t="str">
        <f t="shared" si="37"/>
        <v>300k–600k</v>
      </c>
      <c r="P463" s="19" t="str">
        <f t="shared" si="38"/>
        <v>18-25</v>
      </c>
    </row>
    <row r="464" spans="1:16" x14ac:dyDescent="0.25">
      <c r="A464">
        <v>463</v>
      </c>
      <c r="B464" t="s">
        <v>15</v>
      </c>
      <c r="C464">
        <v>525373.54</v>
      </c>
      <c r="D464" t="s">
        <v>10</v>
      </c>
      <c r="E464" t="s">
        <v>16</v>
      </c>
      <c r="F464" t="s">
        <v>12</v>
      </c>
      <c r="G464" t="s">
        <v>13</v>
      </c>
      <c r="H464" t="s">
        <v>13</v>
      </c>
      <c r="I464">
        <v>27</v>
      </c>
      <c r="J464" t="str" cm="1">
        <f t="array" ref="J464">_xlfn.IFS(ISBLANK(C464),"FALTANTE",ABS((C464-$W$5)/$X$5)&gt;1.96,"ATÍPICO",ABS((C464-$W$5)/$X$5)&lt;=1.96,"NO ATÍPICO")</f>
        <v>NO ATÍPICO</v>
      </c>
      <c r="K464" t="str" cm="1">
        <f t="array" ref="K464">_xlfn.IFS(ISBLANK(I464),"FALTANTE",ABS((I464-$W$8)/$X$8)&gt;1.92,"ATÍPICO",ABS((I464-$W$8)/$X$8)&lt;=1.92,"NO ATÍPICO")</f>
        <v>NO ATÍPICO</v>
      </c>
      <c r="L464">
        <f t="shared" si="35"/>
        <v>525373.54</v>
      </c>
      <c r="M464" t="str">
        <f t="shared" si="39"/>
        <v>ASALARIADO</v>
      </c>
      <c r="N464">
        <f t="shared" si="36"/>
        <v>27</v>
      </c>
      <c r="O464" s="19" t="str">
        <f t="shared" si="37"/>
        <v>300k–600k</v>
      </c>
      <c r="P464" s="19" t="str">
        <f t="shared" si="38"/>
        <v>26-35</v>
      </c>
    </row>
    <row r="465" spans="1:16" x14ac:dyDescent="0.25">
      <c r="A465">
        <v>464</v>
      </c>
      <c r="B465" t="s">
        <v>15</v>
      </c>
      <c r="C465">
        <v>150000</v>
      </c>
      <c r="D465" t="s">
        <v>10</v>
      </c>
      <c r="E465" t="s">
        <v>16</v>
      </c>
      <c r="F465" t="s">
        <v>12</v>
      </c>
      <c r="G465" t="s">
        <v>13</v>
      </c>
      <c r="H465" t="s">
        <v>13</v>
      </c>
      <c r="I465">
        <v>42</v>
      </c>
      <c r="J465" t="str" cm="1">
        <f t="array" ref="J465">_xlfn.IFS(ISBLANK(C465),"FALTANTE",ABS((C465-$W$5)/$X$5)&gt;1.96,"ATÍPICO",ABS((C465-$W$5)/$X$5)&lt;=1.96,"NO ATÍPICO")</f>
        <v>NO ATÍPICO</v>
      </c>
      <c r="K465" t="str" cm="1">
        <f t="array" ref="K465">_xlfn.IFS(ISBLANK(I465),"FALTANTE",ABS((I465-$W$8)/$X$8)&gt;1.92,"ATÍPICO",ABS((I465-$W$8)/$X$8)&lt;=1.92,"NO ATÍPICO")</f>
        <v>NO ATÍPICO</v>
      </c>
      <c r="L465">
        <f t="shared" si="35"/>
        <v>150000</v>
      </c>
      <c r="M465" t="str">
        <f t="shared" si="39"/>
        <v>ASALARIADO</v>
      </c>
      <c r="N465">
        <f t="shared" si="36"/>
        <v>42</v>
      </c>
      <c r="O465" s="19" t="str">
        <f t="shared" si="37"/>
        <v>0–300k</v>
      </c>
      <c r="P465" s="19" t="str">
        <f t="shared" si="38"/>
        <v>36-45</v>
      </c>
    </row>
    <row r="466" spans="1:16" x14ac:dyDescent="0.25">
      <c r="A466">
        <v>465</v>
      </c>
      <c r="B466" t="s">
        <v>15</v>
      </c>
      <c r="C466">
        <v>1346033</v>
      </c>
      <c r="D466" t="s">
        <v>14</v>
      </c>
      <c r="E466" t="s">
        <v>11</v>
      </c>
      <c r="F466" t="s">
        <v>12</v>
      </c>
      <c r="G466" t="s">
        <v>13</v>
      </c>
      <c r="H466" t="s">
        <v>13</v>
      </c>
      <c r="I466">
        <v>55</v>
      </c>
      <c r="J466" t="str" cm="1">
        <f t="array" ref="J466">_xlfn.IFS(ISBLANK(C466),"FALTANTE",ABS((C466-$W$5)/$X$5)&gt;1.96,"ATÍPICO",ABS((C466-$W$5)/$X$5)&lt;=1.96,"NO ATÍPICO")</f>
        <v>NO ATÍPICO</v>
      </c>
      <c r="K466" t="str" cm="1">
        <f t="array" ref="K466">_xlfn.IFS(ISBLANK(I466),"FALTANTE",ABS((I466-$W$8)/$X$8)&gt;1.92,"ATÍPICO",ABS((I466-$W$8)/$X$8)&lt;=1.92,"NO ATÍPICO")</f>
        <v>NO ATÍPICO</v>
      </c>
      <c r="L466">
        <f t="shared" si="35"/>
        <v>1346033</v>
      </c>
      <c r="M466" t="str">
        <f t="shared" si="39"/>
        <v>PENSIONADOS EN SU PROPIO SISTEMA</v>
      </c>
      <c r="N466">
        <f t="shared" si="36"/>
        <v>55</v>
      </c>
      <c r="O466" s="19" t="str">
        <f t="shared" si="37"/>
        <v>1200k+</v>
      </c>
      <c r="P466" s="19" t="str">
        <f t="shared" si="38"/>
        <v>46-55</v>
      </c>
    </row>
    <row r="467" spans="1:16" x14ac:dyDescent="0.25">
      <c r="A467">
        <v>466</v>
      </c>
      <c r="B467" t="s">
        <v>15</v>
      </c>
      <c r="C467">
        <v>963278.53</v>
      </c>
      <c r="D467" t="s">
        <v>10</v>
      </c>
      <c r="E467" t="s">
        <v>11</v>
      </c>
      <c r="F467" t="s">
        <v>12</v>
      </c>
      <c r="G467" t="s">
        <v>13</v>
      </c>
      <c r="H467" t="s">
        <v>13</v>
      </c>
      <c r="I467">
        <v>57</v>
      </c>
      <c r="J467" t="str" cm="1">
        <f t="array" ref="J467">_xlfn.IFS(ISBLANK(C467),"FALTANTE",ABS((C467-$W$5)/$X$5)&gt;1.96,"ATÍPICO",ABS((C467-$W$5)/$X$5)&lt;=1.96,"NO ATÍPICO")</f>
        <v>NO ATÍPICO</v>
      </c>
      <c r="K467" t="str" cm="1">
        <f t="array" ref="K467">_xlfn.IFS(ISBLANK(I467),"FALTANTE",ABS((I467-$W$8)/$X$8)&gt;1.92,"ATÍPICO",ABS((I467-$W$8)/$X$8)&lt;=1.92,"NO ATÍPICO")</f>
        <v>NO ATÍPICO</v>
      </c>
      <c r="L467">
        <f t="shared" si="35"/>
        <v>963278.53</v>
      </c>
      <c r="M467" t="str">
        <f t="shared" si="39"/>
        <v>ASALARIADO</v>
      </c>
      <c r="N467">
        <f t="shared" si="36"/>
        <v>57</v>
      </c>
      <c r="O467" s="19" t="str">
        <f t="shared" si="37"/>
        <v>900k–1200k</v>
      </c>
      <c r="P467" s="19" t="str">
        <f t="shared" si="38"/>
        <v>56+</v>
      </c>
    </row>
    <row r="468" spans="1:16" x14ac:dyDescent="0.25">
      <c r="A468">
        <v>467</v>
      </c>
      <c r="B468" t="s">
        <v>9</v>
      </c>
      <c r="C468">
        <v>2172786.41</v>
      </c>
      <c r="D468" t="s">
        <v>10</v>
      </c>
      <c r="E468" t="s">
        <v>11</v>
      </c>
      <c r="F468" t="s">
        <v>12</v>
      </c>
      <c r="G468" t="s">
        <v>13</v>
      </c>
      <c r="H468" t="s">
        <v>13</v>
      </c>
      <c r="I468">
        <v>34</v>
      </c>
      <c r="J468" t="str" cm="1">
        <f t="array" ref="J468">_xlfn.IFS(ISBLANK(C468),"FALTANTE",ABS((C468-$W$5)/$X$5)&gt;1.96,"ATÍPICO",ABS((C468-$W$5)/$X$5)&lt;=1.96,"NO ATÍPICO")</f>
        <v>NO ATÍPICO</v>
      </c>
      <c r="K468" t="str" cm="1">
        <f t="array" ref="K468">_xlfn.IFS(ISBLANK(I468),"FALTANTE",ABS((I468-$W$8)/$X$8)&gt;1.92,"ATÍPICO",ABS((I468-$W$8)/$X$8)&lt;=1.92,"NO ATÍPICO")</f>
        <v>NO ATÍPICO</v>
      </c>
      <c r="L468">
        <f t="shared" si="35"/>
        <v>2172786.41</v>
      </c>
      <c r="M468" t="str">
        <f t="shared" si="39"/>
        <v>ASALARIADO</v>
      </c>
      <c r="N468">
        <f t="shared" si="36"/>
        <v>34</v>
      </c>
      <c r="O468" s="19" t="str">
        <f t="shared" si="37"/>
        <v>1200k+</v>
      </c>
      <c r="P468" s="19" t="str">
        <f t="shared" si="38"/>
        <v>26-35</v>
      </c>
    </row>
    <row r="469" spans="1:16" x14ac:dyDescent="0.25">
      <c r="A469">
        <v>468</v>
      </c>
      <c r="B469" t="s">
        <v>9</v>
      </c>
      <c r="C469">
        <v>400000</v>
      </c>
      <c r="D469" t="s">
        <v>10</v>
      </c>
      <c r="E469" t="s">
        <v>16</v>
      </c>
      <c r="F469" t="s">
        <v>12</v>
      </c>
      <c r="G469" t="s">
        <v>13</v>
      </c>
      <c r="H469" t="s">
        <v>13</v>
      </c>
      <c r="I469">
        <v>35</v>
      </c>
      <c r="J469" t="str" cm="1">
        <f t="array" ref="J469">_xlfn.IFS(ISBLANK(C469),"FALTANTE",ABS((C469-$W$5)/$X$5)&gt;1.96,"ATÍPICO",ABS((C469-$W$5)/$X$5)&lt;=1.96,"NO ATÍPICO")</f>
        <v>NO ATÍPICO</v>
      </c>
      <c r="K469" t="str" cm="1">
        <f t="array" ref="K469">_xlfn.IFS(ISBLANK(I469),"FALTANTE",ABS((I469-$W$8)/$X$8)&gt;1.92,"ATÍPICO",ABS((I469-$W$8)/$X$8)&lt;=1.92,"NO ATÍPICO")</f>
        <v>NO ATÍPICO</v>
      </c>
      <c r="L469">
        <f t="shared" si="35"/>
        <v>400000</v>
      </c>
      <c r="M469" t="str">
        <f t="shared" si="39"/>
        <v>ASALARIADO</v>
      </c>
      <c r="N469">
        <f t="shared" si="36"/>
        <v>35</v>
      </c>
      <c r="O469" s="19" t="str">
        <f t="shared" si="37"/>
        <v>300k–600k</v>
      </c>
      <c r="P469" s="19" t="str">
        <f t="shared" si="38"/>
        <v>26-35</v>
      </c>
    </row>
    <row r="470" spans="1:16" x14ac:dyDescent="0.25">
      <c r="A470">
        <v>469</v>
      </c>
      <c r="B470" t="s">
        <v>15</v>
      </c>
      <c r="C470">
        <v>355252.75</v>
      </c>
      <c r="D470" t="s">
        <v>10</v>
      </c>
      <c r="E470" t="s">
        <v>16</v>
      </c>
      <c r="F470" t="s">
        <v>12</v>
      </c>
      <c r="G470" t="s">
        <v>13</v>
      </c>
      <c r="H470" t="s">
        <v>13</v>
      </c>
      <c r="I470">
        <v>47</v>
      </c>
      <c r="J470" t="str" cm="1">
        <f t="array" ref="J470">_xlfn.IFS(ISBLANK(C470),"FALTANTE",ABS((C470-$W$5)/$X$5)&gt;1.96,"ATÍPICO",ABS((C470-$W$5)/$X$5)&lt;=1.96,"NO ATÍPICO")</f>
        <v>NO ATÍPICO</v>
      </c>
      <c r="K470" t="str" cm="1">
        <f t="array" ref="K470">_xlfn.IFS(ISBLANK(I470),"FALTANTE",ABS((I470-$W$8)/$X$8)&gt;1.92,"ATÍPICO",ABS((I470-$W$8)/$X$8)&lt;=1.92,"NO ATÍPICO")</f>
        <v>NO ATÍPICO</v>
      </c>
      <c r="L470">
        <f t="shared" si="35"/>
        <v>355252.75</v>
      </c>
      <c r="M470" t="str">
        <f t="shared" si="39"/>
        <v>ASALARIADO</v>
      </c>
      <c r="N470">
        <f t="shared" si="36"/>
        <v>47</v>
      </c>
      <c r="O470" s="19" t="str">
        <f t="shared" si="37"/>
        <v>300k–600k</v>
      </c>
      <c r="P470" s="19" t="str">
        <f t="shared" si="38"/>
        <v>46-55</v>
      </c>
    </row>
    <row r="471" spans="1:16" x14ac:dyDescent="0.25">
      <c r="A471">
        <v>470</v>
      </c>
      <c r="B471" t="s">
        <v>9</v>
      </c>
      <c r="C471">
        <v>451135</v>
      </c>
      <c r="D471" t="s">
        <v>10</v>
      </c>
      <c r="E471" t="s">
        <v>16</v>
      </c>
      <c r="F471" t="s">
        <v>12</v>
      </c>
      <c r="G471" t="s">
        <v>13</v>
      </c>
      <c r="H471" t="s">
        <v>13</v>
      </c>
      <c r="I471">
        <v>28</v>
      </c>
      <c r="J471" t="str" cm="1">
        <f t="array" ref="J471">_xlfn.IFS(ISBLANK(C471),"FALTANTE",ABS((C471-$W$5)/$X$5)&gt;1.96,"ATÍPICO",ABS((C471-$W$5)/$X$5)&lt;=1.96,"NO ATÍPICO")</f>
        <v>NO ATÍPICO</v>
      </c>
      <c r="K471" t="str" cm="1">
        <f t="array" ref="K471">_xlfn.IFS(ISBLANK(I471),"FALTANTE",ABS((I471-$W$8)/$X$8)&gt;1.92,"ATÍPICO",ABS((I471-$W$8)/$X$8)&lt;=1.92,"NO ATÍPICO")</f>
        <v>NO ATÍPICO</v>
      </c>
      <c r="L471">
        <f t="shared" si="35"/>
        <v>451135</v>
      </c>
      <c r="M471" t="str">
        <f t="shared" si="39"/>
        <v>ASALARIADO</v>
      </c>
      <c r="N471">
        <f t="shared" si="36"/>
        <v>28</v>
      </c>
      <c r="O471" s="19" t="str">
        <f t="shared" si="37"/>
        <v>300k–600k</v>
      </c>
      <c r="P471" s="19" t="str">
        <f t="shared" si="38"/>
        <v>26-35</v>
      </c>
    </row>
    <row r="472" spans="1:16" x14ac:dyDescent="0.25">
      <c r="A472">
        <v>471</v>
      </c>
      <c r="B472" t="s">
        <v>15</v>
      </c>
      <c r="C472">
        <v>1554200</v>
      </c>
      <c r="D472" t="s">
        <v>10</v>
      </c>
      <c r="E472" t="s">
        <v>11</v>
      </c>
      <c r="F472" t="s">
        <v>12</v>
      </c>
      <c r="G472" t="s">
        <v>13</v>
      </c>
      <c r="H472" t="s">
        <v>12</v>
      </c>
      <c r="I472">
        <v>55</v>
      </c>
      <c r="J472" t="str" cm="1">
        <f t="array" ref="J472">_xlfn.IFS(ISBLANK(C472),"FALTANTE",ABS((C472-$W$5)/$X$5)&gt;1.96,"ATÍPICO",ABS((C472-$W$5)/$X$5)&lt;=1.96,"NO ATÍPICO")</f>
        <v>NO ATÍPICO</v>
      </c>
      <c r="K472" t="str" cm="1">
        <f t="array" ref="K472">_xlfn.IFS(ISBLANK(I472),"FALTANTE",ABS((I472-$W$8)/$X$8)&gt;1.92,"ATÍPICO",ABS((I472-$W$8)/$X$8)&lt;=1.92,"NO ATÍPICO")</f>
        <v>NO ATÍPICO</v>
      </c>
      <c r="L472">
        <f t="shared" si="35"/>
        <v>1554200</v>
      </c>
      <c r="M472" t="str">
        <f t="shared" si="39"/>
        <v>ASALARIADO</v>
      </c>
      <c r="N472">
        <f t="shared" si="36"/>
        <v>55</v>
      </c>
      <c r="O472" s="19" t="str">
        <f t="shared" si="37"/>
        <v>1200k+</v>
      </c>
      <c r="P472" s="19" t="str">
        <f t="shared" si="38"/>
        <v>46-55</v>
      </c>
    </row>
    <row r="473" spans="1:16" x14ac:dyDescent="0.25">
      <c r="A473">
        <v>472</v>
      </c>
      <c r="B473" t="s">
        <v>15</v>
      </c>
      <c r="C473">
        <v>300000</v>
      </c>
      <c r="D473" t="s">
        <v>18</v>
      </c>
      <c r="E473" t="s">
        <v>16</v>
      </c>
      <c r="F473" t="s">
        <v>12</v>
      </c>
      <c r="G473" t="s">
        <v>13</v>
      </c>
      <c r="H473" t="s">
        <v>13</v>
      </c>
      <c r="I473">
        <v>41</v>
      </c>
      <c r="J473" t="str" cm="1">
        <f t="array" ref="J473">_xlfn.IFS(ISBLANK(C473),"FALTANTE",ABS((C473-$W$5)/$X$5)&gt;1.96,"ATÍPICO",ABS((C473-$W$5)/$X$5)&lt;=1.96,"NO ATÍPICO")</f>
        <v>NO ATÍPICO</v>
      </c>
      <c r="K473" t="str" cm="1">
        <f t="array" ref="K473">_xlfn.IFS(ISBLANK(I473),"FALTANTE",ABS((I473-$W$8)/$X$8)&gt;1.92,"ATÍPICO",ABS((I473-$W$8)/$X$8)&lt;=1.92,"NO ATÍPICO")</f>
        <v>NO ATÍPICO</v>
      </c>
      <c r="L473">
        <f t="shared" si="35"/>
        <v>300000</v>
      </c>
      <c r="M473" t="str">
        <f t="shared" si="39"/>
        <v>TRABAJADOR INDEPENDIENTE</v>
      </c>
      <c r="N473">
        <f t="shared" si="36"/>
        <v>41</v>
      </c>
      <c r="O473" s="19" t="str">
        <f t="shared" si="37"/>
        <v>0–300k</v>
      </c>
      <c r="P473" s="19" t="str">
        <f t="shared" si="38"/>
        <v>36-45</v>
      </c>
    </row>
    <row r="474" spans="1:16" x14ac:dyDescent="0.25">
      <c r="A474">
        <v>473</v>
      </c>
      <c r="B474" t="s">
        <v>9</v>
      </c>
      <c r="C474">
        <v>229799.17</v>
      </c>
      <c r="D474" t="s">
        <v>10</v>
      </c>
      <c r="E474" t="s">
        <v>16</v>
      </c>
      <c r="F474" t="s">
        <v>12</v>
      </c>
      <c r="G474" t="s">
        <v>13</v>
      </c>
      <c r="H474" t="s">
        <v>13</v>
      </c>
      <c r="I474">
        <v>34</v>
      </c>
      <c r="J474" t="str" cm="1">
        <f t="array" ref="J474">_xlfn.IFS(ISBLANK(C474),"FALTANTE",ABS((C474-$W$5)/$X$5)&gt;1.96,"ATÍPICO",ABS((C474-$W$5)/$X$5)&lt;=1.96,"NO ATÍPICO")</f>
        <v>NO ATÍPICO</v>
      </c>
      <c r="K474" t="str" cm="1">
        <f t="array" ref="K474">_xlfn.IFS(ISBLANK(I474),"FALTANTE",ABS((I474-$W$8)/$X$8)&gt;1.92,"ATÍPICO",ABS((I474-$W$8)/$X$8)&lt;=1.92,"NO ATÍPICO")</f>
        <v>NO ATÍPICO</v>
      </c>
      <c r="L474">
        <f t="shared" si="35"/>
        <v>229799.17</v>
      </c>
      <c r="M474" t="str">
        <f t="shared" si="39"/>
        <v>ASALARIADO</v>
      </c>
      <c r="N474">
        <f t="shared" si="36"/>
        <v>34</v>
      </c>
      <c r="O474" s="19" t="str">
        <f t="shared" si="37"/>
        <v>0–300k</v>
      </c>
      <c r="P474" s="19" t="str">
        <f t="shared" si="38"/>
        <v>26-35</v>
      </c>
    </row>
    <row r="475" spans="1:16" x14ac:dyDescent="0.25">
      <c r="A475">
        <v>474</v>
      </c>
      <c r="B475" t="s">
        <v>9</v>
      </c>
      <c r="C475">
        <v>202270</v>
      </c>
      <c r="D475" t="s">
        <v>10</v>
      </c>
      <c r="E475" t="s">
        <v>16</v>
      </c>
      <c r="F475" t="s">
        <v>12</v>
      </c>
      <c r="G475" t="s">
        <v>13</v>
      </c>
      <c r="H475" t="s">
        <v>12</v>
      </c>
      <c r="I475">
        <v>27</v>
      </c>
      <c r="J475" t="str" cm="1">
        <f t="array" ref="J475">_xlfn.IFS(ISBLANK(C475),"FALTANTE",ABS((C475-$W$5)/$X$5)&gt;1.96,"ATÍPICO",ABS((C475-$W$5)/$X$5)&lt;=1.96,"NO ATÍPICO")</f>
        <v>NO ATÍPICO</v>
      </c>
      <c r="K475" t="str" cm="1">
        <f t="array" ref="K475">_xlfn.IFS(ISBLANK(I475),"FALTANTE",ABS((I475-$W$8)/$X$8)&gt;1.92,"ATÍPICO",ABS((I475-$W$8)/$X$8)&lt;=1.92,"NO ATÍPICO")</f>
        <v>NO ATÍPICO</v>
      </c>
      <c r="L475">
        <f t="shared" si="35"/>
        <v>202270</v>
      </c>
      <c r="M475" t="str">
        <f t="shared" si="39"/>
        <v>ASALARIADO</v>
      </c>
      <c r="N475">
        <f t="shared" si="36"/>
        <v>27</v>
      </c>
      <c r="O475" s="19" t="str">
        <f t="shared" si="37"/>
        <v>0–300k</v>
      </c>
      <c r="P475" s="19" t="str">
        <f t="shared" si="38"/>
        <v>26-35</v>
      </c>
    </row>
    <row r="476" spans="1:16" x14ac:dyDescent="0.25">
      <c r="A476">
        <v>475</v>
      </c>
      <c r="B476" t="s">
        <v>9</v>
      </c>
      <c r="C476">
        <v>278030</v>
      </c>
      <c r="D476" t="s">
        <v>19</v>
      </c>
      <c r="E476" t="s">
        <v>16</v>
      </c>
      <c r="F476" t="s">
        <v>12</v>
      </c>
      <c r="G476" t="s">
        <v>13</v>
      </c>
      <c r="H476" t="s">
        <v>13</v>
      </c>
      <c r="I476">
        <v>43</v>
      </c>
      <c r="J476" t="str" cm="1">
        <f t="array" ref="J476">_xlfn.IFS(ISBLANK(C476),"FALTANTE",ABS((C476-$W$5)/$X$5)&gt;1.96,"ATÍPICO",ABS((C476-$W$5)/$X$5)&lt;=1.96,"NO ATÍPICO")</f>
        <v>NO ATÍPICO</v>
      </c>
      <c r="K476" t="str" cm="1">
        <f t="array" ref="K476">_xlfn.IFS(ISBLANK(I476),"FALTANTE",ABS((I476-$W$8)/$X$8)&gt;1.92,"ATÍPICO",ABS((I476-$W$8)/$X$8)&lt;=1.92,"NO ATÍPICO")</f>
        <v>NO ATÍPICO</v>
      </c>
      <c r="L476">
        <f t="shared" si="35"/>
        <v>278030</v>
      </c>
      <c r="M476" t="str">
        <f t="shared" si="39"/>
        <v>CONVENIOS ESPECIALES DE TRABAJADORES INDEPENDIENTES</v>
      </c>
      <c r="N476">
        <f t="shared" si="36"/>
        <v>43</v>
      </c>
      <c r="O476" s="19" t="str">
        <f t="shared" si="37"/>
        <v>0–300k</v>
      </c>
      <c r="P476" s="19" t="str">
        <f t="shared" si="38"/>
        <v>36-45</v>
      </c>
    </row>
    <row r="477" spans="1:16" x14ac:dyDescent="0.25">
      <c r="A477">
        <v>476</v>
      </c>
      <c r="B477" t="s">
        <v>9</v>
      </c>
      <c r="C477">
        <v>298195</v>
      </c>
      <c r="D477" t="s">
        <v>18</v>
      </c>
      <c r="E477" t="s">
        <v>16</v>
      </c>
      <c r="F477" t="s">
        <v>12</v>
      </c>
      <c r="G477" t="s">
        <v>13</v>
      </c>
      <c r="H477" t="s">
        <v>12</v>
      </c>
      <c r="I477">
        <v>40</v>
      </c>
      <c r="J477" t="str" cm="1">
        <f t="array" ref="J477">_xlfn.IFS(ISBLANK(C477),"FALTANTE",ABS((C477-$W$5)/$X$5)&gt;1.96,"ATÍPICO",ABS((C477-$W$5)/$X$5)&lt;=1.96,"NO ATÍPICO")</f>
        <v>NO ATÍPICO</v>
      </c>
      <c r="K477" t="str" cm="1">
        <f t="array" ref="K477">_xlfn.IFS(ISBLANK(I477),"FALTANTE",ABS((I477-$W$8)/$X$8)&gt;1.92,"ATÍPICO",ABS((I477-$W$8)/$X$8)&lt;=1.92,"NO ATÍPICO")</f>
        <v>NO ATÍPICO</v>
      </c>
      <c r="L477">
        <f t="shared" si="35"/>
        <v>298195</v>
      </c>
      <c r="M477" t="str">
        <f t="shared" si="39"/>
        <v>TRABAJADOR INDEPENDIENTE</v>
      </c>
      <c r="N477">
        <f t="shared" si="36"/>
        <v>40</v>
      </c>
      <c r="O477" s="19" t="str">
        <f t="shared" si="37"/>
        <v>0–300k</v>
      </c>
      <c r="P477" s="19" t="str">
        <f t="shared" si="38"/>
        <v>36-45</v>
      </c>
    </row>
    <row r="478" spans="1:16" x14ac:dyDescent="0.25">
      <c r="A478">
        <v>477</v>
      </c>
      <c r="B478" t="s">
        <v>9</v>
      </c>
      <c r="C478">
        <v>297050</v>
      </c>
      <c r="D478" t="s">
        <v>17</v>
      </c>
      <c r="E478" t="s">
        <v>16</v>
      </c>
      <c r="F478" t="s">
        <v>12</v>
      </c>
      <c r="G478" t="s">
        <v>13</v>
      </c>
      <c r="H478" t="s">
        <v>13</v>
      </c>
      <c r="I478">
        <v>48</v>
      </c>
      <c r="J478" t="str" cm="1">
        <f t="array" ref="J478">_xlfn.IFS(ISBLANK(C478),"FALTANTE",ABS((C478-$W$5)/$X$5)&gt;1.96,"ATÍPICO",ABS((C478-$W$5)/$X$5)&lt;=1.96,"NO ATÍPICO")</f>
        <v>NO ATÍPICO</v>
      </c>
      <c r="K478" t="str" cm="1">
        <f t="array" ref="K478">_xlfn.IFS(ISBLANK(I478),"FALTANTE",ABS((I478-$W$8)/$X$8)&gt;1.92,"ATÍPICO",ABS((I478-$W$8)/$X$8)&lt;=1.92,"NO ATÍPICO")</f>
        <v>NO ATÍPICO</v>
      </c>
      <c r="L478">
        <f t="shared" si="35"/>
        <v>297050</v>
      </c>
      <c r="M478" t="str">
        <f t="shared" si="39"/>
        <v>ASEGURADO VOLUNTARIO</v>
      </c>
      <c r="N478">
        <f t="shared" si="36"/>
        <v>48</v>
      </c>
      <c r="O478" s="19" t="str">
        <f t="shared" si="37"/>
        <v>0–300k</v>
      </c>
      <c r="P478" s="19" t="str">
        <f t="shared" si="38"/>
        <v>46-55</v>
      </c>
    </row>
    <row r="479" spans="1:16" x14ac:dyDescent="0.25">
      <c r="A479">
        <v>478</v>
      </c>
      <c r="B479" t="s">
        <v>9</v>
      </c>
      <c r="C479">
        <v>5189999.8</v>
      </c>
      <c r="D479" t="s">
        <v>10</v>
      </c>
      <c r="E479" t="s">
        <v>16</v>
      </c>
      <c r="F479" t="s">
        <v>12</v>
      </c>
      <c r="G479" t="s">
        <v>13</v>
      </c>
      <c r="H479" t="s">
        <v>13</v>
      </c>
      <c r="I479">
        <v>49</v>
      </c>
      <c r="J479" t="str" cm="1">
        <f t="array" ref="J479">_xlfn.IFS(ISBLANK(C479),"FALTANTE",ABS((C479-$W$5)/$X$5)&gt;1.96,"ATÍPICO",ABS((C479-$W$5)/$X$5)&lt;=1.96,"NO ATÍPICO")</f>
        <v>ATÍPICO</v>
      </c>
      <c r="K479" t="str" cm="1">
        <f t="array" ref="K479">_xlfn.IFS(ISBLANK(I479),"FALTANTE",ABS((I479-$W$8)/$X$8)&gt;1.92,"ATÍPICO",ABS((I479-$W$8)/$X$8)&lt;=1.92,"NO ATÍPICO")</f>
        <v>NO ATÍPICO</v>
      </c>
      <c r="L479">
        <f t="shared" si="35"/>
        <v>5189999.8</v>
      </c>
      <c r="M479" t="str">
        <f t="shared" si="39"/>
        <v>ASALARIADO</v>
      </c>
      <c r="N479">
        <f t="shared" si="36"/>
        <v>49</v>
      </c>
      <c r="O479" s="19" t="str">
        <f t="shared" si="37"/>
        <v>1200k+</v>
      </c>
      <c r="P479" s="19" t="str">
        <f t="shared" si="38"/>
        <v>46-55</v>
      </c>
    </row>
    <row r="480" spans="1:16" x14ac:dyDescent="0.25">
      <c r="A480">
        <v>479</v>
      </c>
      <c r="B480" t="s">
        <v>9</v>
      </c>
      <c r="C480">
        <v>3309108</v>
      </c>
      <c r="D480" t="s">
        <v>10</v>
      </c>
      <c r="E480" t="s">
        <v>11</v>
      </c>
      <c r="F480" t="s">
        <v>12</v>
      </c>
      <c r="G480" t="s">
        <v>13</v>
      </c>
      <c r="H480" t="s">
        <v>13</v>
      </c>
      <c r="I480">
        <v>47</v>
      </c>
      <c r="J480" t="str" cm="1">
        <f t="array" ref="J480">_xlfn.IFS(ISBLANK(C480),"FALTANTE",ABS((C480-$W$5)/$X$5)&gt;1.96,"ATÍPICO",ABS((C480-$W$5)/$X$5)&lt;=1.96,"NO ATÍPICO")</f>
        <v>ATÍPICO</v>
      </c>
      <c r="K480" t="str" cm="1">
        <f t="array" ref="K480">_xlfn.IFS(ISBLANK(I480),"FALTANTE",ABS((I480-$W$8)/$X$8)&gt;1.92,"ATÍPICO",ABS((I480-$W$8)/$X$8)&lt;=1.92,"NO ATÍPICO")</f>
        <v>NO ATÍPICO</v>
      </c>
      <c r="L480">
        <f t="shared" si="35"/>
        <v>3309108</v>
      </c>
      <c r="M480" t="str">
        <f t="shared" si="39"/>
        <v>ASALARIADO</v>
      </c>
      <c r="N480">
        <f t="shared" si="36"/>
        <v>47</v>
      </c>
      <c r="O480" s="19" t="str">
        <f t="shared" si="37"/>
        <v>1200k+</v>
      </c>
      <c r="P480" s="19" t="str">
        <f t="shared" si="38"/>
        <v>46-55</v>
      </c>
    </row>
    <row r="481" spans="1:16" x14ac:dyDescent="0.25">
      <c r="A481">
        <v>480</v>
      </c>
      <c r="B481" t="s">
        <v>9</v>
      </c>
      <c r="C481">
        <v>575846</v>
      </c>
      <c r="D481" t="s">
        <v>18</v>
      </c>
      <c r="E481" t="s">
        <v>16</v>
      </c>
      <c r="F481" t="s">
        <v>12</v>
      </c>
      <c r="G481" t="s">
        <v>12</v>
      </c>
      <c r="H481" t="s">
        <v>12</v>
      </c>
      <c r="I481">
        <v>46</v>
      </c>
      <c r="J481" t="str" cm="1">
        <f t="array" ref="J481">_xlfn.IFS(ISBLANK(C481),"FALTANTE",ABS((C481-$W$5)/$X$5)&gt;1.96,"ATÍPICO",ABS((C481-$W$5)/$X$5)&lt;=1.96,"NO ATÍPICO")</f>
        <v>NO ATÍPICO</v>
      </c>
      <c r="K481" t="str" cm="1">
        <f t="array" ref="K481">_xlfn.IFS(ISBLANK(I481),"FALTANTE",ABS((I481-$W$8)/$X$8)&gt;1.92,"ATÍPICO",ABS((I481-$W$8)/$X$8)&lt;=1.92,"NO ATÍPICO")</f>
        <v>NO ATÍPICO</v>
      </c>
      <c r="L481">
        <f t="shared" si="35"/>
        <v>575846</v>
      </c>
      <c r="M481" t="str">
        <f t="shared" si="39"/>
        <v>TRABAJADOR INDEPENDIENTE</v>
      </c>
      <c r="N481">
        <f t="shared" si="36"/>
        <v>46</v>
      </c>
      <c r="O481" s="19" t="str">
        <f t="shared" si="37"/>
        <v>300k–600k</v>
      </c>
      <c r="P481" s="19" t="str">
        <f t="shared" si="38"/>
        <v>46-55</v>
      </c>
    </row>
    <row r="482" spans="1:16" x14ac:dyDescent="0.25">
      <c r="A482">
        <v>481</v>
      </c>
      <c r="B482" t="s">
        <v>9</v>
      </c>
      <c r="C482">
        <v>458557</v>
      </c>
      <c r="D482" t="s">
        <v>18</v>
      </c>
      <c r="E482" t="s">
        <v>16</v>
      </c>
      <c r="F482" t="s">
        <v>12</v>
      </c>
      <c r="G482" t="s">
        <v>13</v>
      </c>
      <c r="H482" t="s">
        <v>12</v>
      </c>
      <c r="I482">
        <v>49</v>
      </c>
      <c r="J482" t="str" cm="1">
        <f t="array" ref="J482">_xlfn.IFS(ISBLANK(C482),"FALTANTE",ABS((C482-$W$5)/$X$5)&gt;1.96,"ATÍPICO",ABS((C482-$W$5)/$X$5)&lt;=1.96,"NO ATÍPICO")</f>
        <v>NO ATÍPICO</v>
      </c>
      <c r="K482" t="str" cm="1">
        <f t="array" ref="K482">_xlfn.IFS(ISBLANK(I482),"FALTANTE",ABS((I482-$W$8)/$X$8)&gt;1.92,"ATÍPICO",ABS((I482-$W$8)/$X$8)&lt;=1.92,"NO ATÍPICO")</f>
        <v>NO ATÍPICO</v>
      </c>
      <c r="L482">
        <f t="shared" si="35"/>
        <v>458557</v>
      </c>
      <c r="M482" t="str">
        <f t="shared" si="39"/>
        <v>TRABAJADOR INDEPENDIENTE</v>
      </c>
      <c r="N482">
        <f t="shared" si="36"/>
        <v>49</v>
      </c>
      <c r="O482" s="19" t="str">
        <f t="shared" si="37"/>
        <v>300k–600k</v>
      </c>
      <c r="P482" s="19" t="str">
        <f t="shared" si="38"/>
        <v>46-55</v>
      </c>
    </row>
    <row r="483" spans="1:16" x14ac:dyDescent="0.25">
      <c r="A483">
        <v>482</v>
      </c>
      <c r="B483" t="s">
        <v>9</v>
      </c>
      <c r="C483">
        <v>449214</v>
      </c>
      <c r="D483" t="s">
        <v>10</v>
      </c>
      <c r="E483" t="s">
        <v>16</v>
      </c>
      <c r="F483" t="s">
        <v>12</v>
      </c>
      <c r="G483" t="s">
        <v>12</v>
      </c>
      <c r="H483" t="s">
        <v>13</v>
      </c>
      <c r="I483">
        <v>47</v>
      </c>
      <c r="J483" t="str" cm="1">
        <f t="array" ref="J483">_xlfn.IFS(ISBLANK(C483),"FALTANTE",ABS((C483-$W$5)/$X$5)&gt;1.96,"ATÍPICO",ABS((C483-$W$5)/$X$5)&lt;=1.96,"NO ATÍPICO")</f>
        <v>NO ATÍPICO</v>
      </c>
      <c r="K483" t="str" cm="1">
        <f t="array" ref="K483">_xlfn.IFS(ISBLANK(I483),"FALTANTE",ABS((I483-$W$8)/$X$8)&gt;1.92,"ATÍPICO",ABS((I483-$W$8)/$X$8)&lt;=1.92,"NO ATÍPICO")</f>
        <v>NO ATÍPICO</v>
      </c>
      <c r="L483">
        <f t="shared" si="35"/>
        <v>449214</v>
      </c>
      <c r="M483" t="str">
        <f t="shared" si="39"/>
        <v>ASALARIADO</v>
      </c>
      <c r="N483">
        <f t="shared" si="36"/>
        <v>47</v>
      </c>
      <c r="O483" s="19" t="str">
        <f t="shared" si="37"/>
        <v>300k–600k</v>
      </c>
      <c r="P483" s="19" t="str">
        <f t="shared" si="38"/>
        <v>46-55</v>
      </c>
    </row>
    <row r="484" spans="1:16" x14ac:dyDescent="0.25">
      <c r="A484">
        <v>483</v>
      </c>
      <c r="B484" t="s">
        <v>9</v>
      </c>
      <c r="C484">
        <v>957595</v>
      </c>
      <c r="D484" t="s">
        <v>10</v>
      </c>
      <c r="E484" t="s">
        <v>16</v>
      </c>
      <c r="F484" t="s">
        <v>12</v>
      </c>
      <c r="G484" t="s">
        <v>13</v>
      </c>
      <c r="H484" t="s">
        <v>13</v>
      </c>
      <c r="I484">
        <v>30</v>
      </c>
      <c r="J484" t="str" cm="1">
        <f t="array" ref="J484">_xlfn.IFS(ISBLANK(C484),"FALTANTE",ABS((C484-$W$5)/$X$5)&gt;1.96,"ATÍPICO",ABS((C484-$W$5)/$X$5)&lt;=1.96,"NO ATÍPICO")</f>
        <v>NO ATÍPICO</v>
      </c>
      <c r="K484" t="str" cm="1">
        <f t="array" ref="K484">_xlfn.IFS(ISBLANK(I484),"FALTANTE",ABS((I484-$W$8)/$X$8)&gt;1.92,"ATÍPICO",ABS((I484-$W$8)/$X$8)&lt;=1.92,"NO ATÍPICO")</f>
        <v>NO ATÍPICO</v>
      </c>
      <c r="L484">
        <f t="shared" si="35"/>
        <v>957595</v>
      </c>
      <c r="M484" t="str">
        <f t="shared" si="39"/>
        <v>ASALARIADO</v>
      </c>
      <c r="N484">
        <f t="shared" si="36"/>
        <v>30</v>
      </c>
      <c r="O484" s="19" t="str">
        <f t="shared" si="37"/>
        <v>900k–1200k</v>
      </c>
      <c r="P484" s="19" t="str">
        <f t="shared" si="38"/>
        <v>26-35</v>
      </c>
    </row>
    <row r="485" spans="1:16" x14ac:dyDescent="0.25">
      <c r="A485">
        <v>484</v>
      </c>
      <c r="B485" t="s">
        <v>9</v>
      </c>
      <c r="C485">
        <v>667314</v>
      </c>
      <c r="D485" t="s">
        <v>10</v>
      </c>
      <c r="E485" t="s">
        <v>11</v>
      </c>
      <c r="F485" t="s">
        <v>12</v>
      </c>
      <c r="G485" t="s">
        <v>13</v>
      </c>
      <c r="H485" t="s">
        <v>13</v>
      </c>
      <c r="I485">
        <v>40</v>
      </c>
      <c r="J485" t="str" cm="1">
        <f t="array" ref="J485">_xlfn.IFS(ISBLANK(C485),"FALTANTE",ABS((C485-$W$5)/$X$5)&gt;1.96,"ATÍPICO",ABS((C485-$W$5)/$X$5)&lt;=1.96,"NO ATÍPICO")</f>
        <v>NO ATÍPICO</v>
      </c>
      <c r="K485" t="str" cm="1">
        <f t="array" ref="K485">_xlfn.IFS(ISBLANK(I485),"FALTANTE",ABS((I485-$W$8)/$X$8)&gt;1.92,"ATÍPICO",ABS((I485-$W$8)/$X$8)&lt;=1.92,"NO ATÍPICO")</f>
        <v>NO ATÍPICO</v>
      </c>
      <c r="L485">
        <f t="shared" si="35"/>
        <v>667314</v>
      </c>
      <c r="M485" t="str">
        <f t="shared" si="39"/>
        <v>ASALARIADO</v>
      </c>
      <c r="N485">
        <f t="shared" si="36"/>
        <v>40</v>
      </c>
      <c r="O485" s="19" t="str">
        <f t="shared" si="37"/>
        <v>600k–900k</v>
      </c>
      <c r="P485" s="19" t="str">
        <f t="shared" si="38"/>
        <v>36-45</v>
      </c>
    </row>
    <row r="486" spans="1:16" x14ac:dyDescent="0.25">
      <c r="A486">
        <v>485</v>
      </c>
      <c r="B486" t="s">
        <v>15</v>
      </c>
      <c r="C486">
        <v>297046</v>
      </c>
      <c r="D486" t="s">
        <v>17</v>
      </c>
      <c r="E486" t="s">
        <v>16</v>
      </c>
      <c r="F486" t="s">
        <v>12</v>
      </c>
      <c r="G486" t="s">
        <v>13</v>
      </c>
      <c r="H486" t="s">
        <v>13</v>
      </c>
      <c r="I486">
        <v>49</v>
      </c>
      <c r="J486" t="str" cm="1">
        <f t="array" ref="J486">_xlfn.IFS(ISBLANK(C486),"FALTANTE",ABS((C486-$W$5)/$X$5)&gt;1.96,"ATÍPICO",ABS((C486-$W$5)/$X$5)&lt;=1.96,"NO ATÍPICO")</f>
        <v>NO ATÍPICO</v>
      </c>
      <c r="K486" t="str" cm="1">
        <f t="array" ref="K486">_xlfn.IFS(ISBLANK(I486),"FALTANTE",ABS((I486-$W$8)/$X$8)&gt;1.92,"ATÍPICO",ABS((I486-$W$8)/$X$8)&lt;=1.92,"NO ATÍPICO")</f>
        <v>NO ATÍPICO</v>
      </c>
      <c r="L486">
        <f t="shared" si="35"/>
        <v>297046</v>
      </c>
      <c r="M486" t="str">
        <f t="shared" si="39"/>
        <v>ASEGURADO VOLUNTARIO</v>
      </c>
      <c r="N486">
        <f t="shared" si="36"/>
        <v>49</v>
      </c>
      <c r="O486" s="19" t="str">
        <f t="shared" si="37"/>
        <v>0–300k</v>
      </c>
      <c r="P486" s="19" t="str">
        <f t="shared" si="38"/>
        <v>46-55</v>
      </c>
    </row>
    <row r="487" spans="1:16" x14ac:dyDescent="0.25">
      <c r="A487">
        <v>486</v>
      </c>
      <c r="B487" t="s">
        <v>15</v>
      </c>
      <c r="C487">
        <v>1476678</v>
      </c>
      <c r="D487" t="s">
        <v>10</v>
      </c>
      <c r="E487" t="s">
        <v>11</v>
      </c>
      <c r="F487" t="s">
        <v>12</v>
      </c>
      <c r="G487" t="s">
        <v>13</v>
      </c>
      <c r="H487" t="s">
        <v>12</v>
      </c>
      <c r="I487">
        <v>54</v>
      </c>
      <c r="J487" t="str" cm="1">
        <f t="array" ref="J487">_xlfn.IFS(ISBLANK(C487),"FALTANTE",ABS((C487-$W$5)/$X$5)&gt;1.96,"ATÍPICO",ABS((C487-$W$5)/$X$5)&lt;=1.96,"NO ATÍPICO")</f>
        <v>NO ATÍPICO</v>
      </c>
      <c r="K487" t="str" cm="1">
        <f t="array" ref="K487">_xlfn.IFS(ISBLANK(I487),"FALTANTE",ABS((I487-$W$8)/$X$8)&gt;1.92,"ATÍPICO",ABS((I487-$W$8)/$X$8)&lt;=1.92,"NO ATÍPICO")</f>
        <v>NO ATÍPICO</v>
      </c>
      <c r="L487">
        <f t="shared" si="35"/>
        <v>1476678</v>
      </c>
      <c r="M487" t="str">
        <f t="shared" si="39"/>
        <v>ASALARIADO</v>
      </c>
      <c r="N487">
        <f t="shared" si="36"/>
        <v>54</v>
      </c>
      <c r="O487" s="19" t="str">
        <f t="shared" si="37"/>
        <v>1200k+</v>
      </c>
      <c r="P487" s="19" t="str">
        <f t="shared" si="38"/>
        <v>46-55</v>
      </c>
    </row>
    <row r="488" spans="1:16" x14ac:dyDescent="0.25">
      <c r="A488">
        <v>487</v>
      </c>
      <c r="B488" t="s">
        <v>9</v>
      </c>
      <c r="C488">
        <v>1708336.5</v>
      </c>
      <c r="D488" t="s">
        <v>10</v>
      </c>
      <c r="E488" t="s">
        <v>11</v>
      </c>
      <c r="F488" t="s">
        <v>12</v>
      </c>
      <c r="G488" t="s">
        <v>13</v>
      </c>
      <c r="H488" t="s">
        <v>13</v>
      </c>
      <c r="I488">
        <v>25</v>
      </c>
      <c r="J488" t="str" cm="1">
        <f t="array" ref="J488">_xlfn.IFS(ISBLANK(C488),"FALTANTE",ABS((C488-$W$5)/$X$5)&gt;1.96,"ATÍPICO",ABS((C488-$W$5)/$X$5)&lt;=1.96,"NO ATÍPICO")</f>
        <v>NO ATÍPICO</v>
      </c>
      <c r="K488" t="str" cm="1">
        <f t="array" ref="K488">_xlfn.IFS(ISBLANK(I488),"FALTANTE",ABS((I488-$W$8)/$X$8)&gt;1.92,"ATÍPICO",ABS((I488-$W$8)/$X$8)&lt;=1.92,"NO ATÍPICO")</f>
        <v>NO ATÍPICO</v>
      </c>
      <c r="L488">
        <f t="shared" si="35"/>
        <v>1708336.5</v>
      </c>
      <c r="M488" t="str">
        <f t="shared" si="39"/>
        <v>ASALARIADO</v>
      </c>
      <c r="N488">
        <f t="shared" si="36"/>
        <v>25</v>
      </c>
      <c r="O488" s="19" t="str">
        <f t="shared" si="37"/>
        <v>1200k+</v>
      </c>
      <c r="P488" s="19" t="str">
        <f t="shared" si="38"/>
        <v>18-25</v>
      </c>
    </row>
    <row r="489" spans="1:16" x14ac:dyDescent="0.25">
      <c r="A489">
        <v>488</v>
      </c>
      <c r="B489" t="s">
        <v>9</v>
      </c>
      <c r="C489">
        <v>294619</v>
      </c>
      <c r="D489" t="s">
        <v>10</v>
      </c>
      <c r="E489" t="s">
        <v>16</v>
      </c>
      <c r="F489" t="s">
        <v>12</v>
      </c>
      <c r="G489" t="s">
        <v>13</v>
      </c>
      <c r="H489" t="s">
        <v>13</v>
      </c>
      <c r="I489">
        <v>46</v>
      </c>
      <c r="J489" t="str" cm="1">
        <f t="array" ref="J489">_xlfn.IFS(ISBLANK(C489),"FALTANTE",ABS((C489-$W$5)/$X$5)&gt;1.96,"ATÍPICO",ABS((C489-$W$5)/$X$5)&lt;=1.96,"NO ATÍPICO")</f>
        <v>NO ATÍPICO</v>
      </c>
      <c r="K489" t="str" cm="1">
        <f t="array" ref="K489">_xlfn.IFS(ISBLANK(I489),"FALTANTE",ABS((I489-$W$8)/$X$8)&gt;1.92,"ATÍPICO",ABS((I489-$W$8)/$X$8)&lt;=1.92,"NO ATÍPICO")</f>
        <v>NO ATÍPICO</v>
      </c>
      <c r="L489">
        <f t="shared" si="35"/>
        <v>294619</v>
      </c>
      <c r="M489" t="str">
        <f t="shared" si="39"/>
        <v>ASALARIADO</v>
      </c>
      <c r="N489">
        <f t="shared" si="36"/>
        <v>46</v>
      </c>
      <c r="O489" s="19" t="str">
        <f t="shared" si="37"/>
        <v>0–300k</v>
      </c>
      <c r="P489" s="19" t="str">
        <f t="shared" si="38"/>
        <v>46-55</v>
      </c>
    </row>
    <row r="490" spans="1:16" x14ac:dyDescent="0.25">
      <c r="A490">
        <v>489</v>
      </c>
      <c r="B490" t="s">
        <v>15</v>
      </c>
      <c r="C490">
        <v>480000</v>
      </c>
      <c r="D490" t="s">
        <v>10</v>
      </c>
      <c r="E490" t="s">
        <v>16</v>
      </c>
      <c r="F490" t="s">
        <v>12</v>
      </c>
      <c r="G490" t="s">
        <v>13</v>
      </c>
      <c r="H490" t="s">
        <v>13</v>
      </c>
      <c r="I490">
        <v>26</v>
      </c>
      <c r="J490" t="str" cm="1">
        <f t="array" ref="J490">_xlfn.IFS(ISBLANK(C490),"FALTANTE",ABS((C490-$W$5)/$X$5)&gt;1.96,"ATÍPICO",ABS((C490-$W$5)/$X$5)&lt;=1.96,"NO ATÍPICO")</f>
        <v>NO ATÍPICO</v>
      </c>
      <c r="K490" t="str" cm="1">
        <f t="array" ref="K490">_xlfn.IFS(ISBLANK(I490),"FALTANTE",ABS((I490-$W$8)/$X$8)&gt;1.92,"ATÍPICO",ABS((I490-$W$8)/$X$8)&lt;=1.92,"NO ATÍPICO")</f>
        <v>NO ATÍPICO</v>
      </c>
      <c r="L490">
        <f t="shared" si="35"/>
        <v>480000</v>
      </c>
      <c r="M490" t="str">
        <f t="shared" si="39"/>
        <v>ASALARIADO</v>
      </c>
      <c r="N490">
        <f t="shared" si="36"/>
        <v>26</v>
      </c>
      <c r="O490" s="19" t="str">
        <f t="shared" si="37"/>
        <v>300k–600k</v>
      </c>
      <c r="P490" s="19" t="str">
        <f t="shared" si="38"/>
        <v>26-35</v>
      </c>
    </row>
    <row r="491" spans="1:16" x14ac:dyDescent="0.25">
      <c r="A491">
        <v>490</v>
      </c>
      <c r="B491" t="s">
        <v>9</v>
      </c>
      <c r="C491">
        <v>131000</v>
      </c>
      <c r="D491" t="s">
        <v>10</v>
      </c>
      <c r="E491" t="s">
        <v>16</v>
      </c>
      <c r="F491" t="s">
        <v>12</v>
      </c>
      <c r="G491" t="s">
        <v>13</v>
      </c>
      <c r="H491" t="s">
        <v>13</v>
      </c>
      <c r="I491">
        <v>53</v>
      </c>
      <c r="J491" t="str" cm="1">
        <f t="array" ref="J491">_xlfn.IFS(ISBLANK(C491),"FALTANTE",ABS((C491-$W$5)/$X$5)&gt;1.96,"ATÍPICO",ABS((C491-$W$5)/$X$5)&lt;=1.96,"NO ATÍPICO")</f>
        <v>NO ATÍPICO</v>
      </c>
      <c r="K491" t="str" cm="1">
        <f t="array" ref="K491">_xlfn.IFS(ISBLANK(I491),"FALTANTE",ABS((I491-$W$8)/$X$8)&gt;1.92,"ATÍPICO",ABS((I491-$W$8)/$X$8)&lt;=1.92,"NO ATÍPICO")</f>
        <v>NO ATÍPICO</v>
      </c>
      <c r="L491">
        <f t="shared" si="35"/>
        <v>131000</v>
      </c>
      <c r="M491" t="str">
        <f t="shared" si="39"/>
        <v>ASALARIADO</v>
      </c>
      <c r="N491">
        <f t="shared" si="36"/>
        <v>53</v>
      </c>
      <c r="O491" s="19" t="str">
        <f t="shared" si="37"/>
        <v>0–300k</v>
      </c>
      <c r="P491" s="19" t="str">
        <f t="shared" si="38"/>
        <v>46-55</v>
      </c>
    </row>
    <row r="492" spans="1:16" x14ac:dyDescent="0.25">
      <c r="A492">
        <v>491</v>
      </c>
      <c r="B492" t="s">
        <v>9</v>
      </c>
      <c r="C492">
        <v>2034486</v>
      </c>
      <c r="D492" t="s">
        <v>10</v>
      </c>
      <c r="E492" t="s">
        <v>16</v>
      </c>
      <c r="F492" t="s">
        <v>12</v>
      </c>
      <c r="G492" t="s">
        <v>13</v>
      </c>
      <c r="H492" t="s">
        <v>13</v>
      </c>
      <c r="I492">
        <v>36</v>
      </c>
      <c r="J492" t="str" cm="1">
        <f t="array" ref="J492">_xlfn.IFS(ISBLANK(C492),"FALTANTE",ABS((C492-$W$5)/$X$5)&gt;1.96,"ATÍPICO",ABS((C492-$W$5)/$X$5)&lt;=1.96,"NO ATÍPICO")</f>
        <v>NO ATÍPICO</v>
      </c>
      <c r="K492" t="str" cm="1">
        <f t="array" ref="K492">_xlfn.IFS(ISBLANK(I492),"FALTANTE",ABS((I492-$W$8)/$X$8)&gt;1.92,"ATÍPICO",ABS((I492-$W$8)/$X$8)&lt;=1.92,"NO ATÍPICO")</f>
        <v>NO ATÍPICO</v>
      </c>
      <c r="L492">
        <f t="shared" si="35"/>
        <v>2034486</v>
      </c>
      <c r="M492" t="str">
        <f t="shared" si="39"/>
        <v>ASALARIADO</v>
      </c>
      <c r="N492">
        <f t="shared" si="36"/>
        <v>36</v>
      </c>
      <c r="O492" s="19" t="str">
        <f t="shared" si="37"/>
        <v>1200k+</v>
      </c>
      <c r="P492" s="19" t="str">
        <f t="shared" si="38"/>
        <v>36-45</v>
      </c>
    </row>
    <row r="493" spans="1:16" x14ac:dyDescent="0.25">
      <c r="A493">
        <v>492</v>
      </c>
      <c r="B493" t="s">
        <v>9</v>
      </c>
      <c r="C493">
        <v>450886</v>
      </c>
      <c r="D493" t="s">
        <v>18</v>
      </c>
      <c r="E493" t="s">
        <v>16</v>
      </c>
      <c r="F493" t="s">
        <v>12</v>
      </c>
      <c r="G493" t="s">
        <v>13</v>
      </c>
      <c r="H493" t="s">
        <v>13</v>
      </c>
      <c r="I493">
        <v>42</v>
      </c>
      <c r="J493" t="str" cm="1">
        <f t="array" ref="J493">_xlfn.IFS(ISBLANK(C493),"FALTANTE",ABS((C493-$W$5)/$X$5)&gt;1.96,"ATÍPICO",ABS((C493-$W$5)/$X$5)&lt;=1.96,"NO ATÍPICO")</f>
        <v>NO ATÍPICO</v>
      </c>
      <c r="K493" t="str" cm="1">
        <f t="array" ref="K493">_xlfn.IFS(ISBLANK(I493),"FALTANTE",ABS((I493-$W$8)/$X$8)&gt;1.92,"ATÍPICO",ABS((I493-$W$8)/$X$8)&lt;=1.92,"NO ATÍPICO")</f>
        <v>NO ATÍPICO</v>
      </c>
      <c r="L493">
        <f t="shared" si="35"/>
        <v>450886</v>
      </c>
      <c r="M493" t="str">
        <f t="shared" si="39"/>
        <v>TRABAJADOR INDEPENDIENTE</v>
      </c>
      <c r="N493">
        <f t="shared" si="36"/>
        <v>42</v>
      </c>
      <c r="O493" s="19" t="str">
        <f t="shared" si="37"/>
        <v>300k–600k</v>
      </c>
      <c r="P493" s="19" t="str">
        <f t="shared" si="38"/>
        <v>36-45</v>
      </c>
    </row>
    <row r="494" spans="1:16" x14ac:dyDescent="0.25">
      <c r="A494">
        <v>493</v>
      </c>
      <c r="B494" t="s">
        <v>9</v>
      </c>
      <c r="C494">
        <v>911309</v>
      </c>
      <c r="D494" t="s">
        <v>18</v>
      </c>
      <c r="E494" t="s">
        <v>16</v>
      </c>
      <c r="F494" t="s">
        <v>12</v>
      </c>
      <c r="G494" t="s">
        <v>13</v>
      </c>
      <c r="H494" t="s">
        <v>13</v>
      </c>
      <c r="I494">
        <v>51</v>
      </c>
      <c r="J494" t="str" cm="1">
        <f t="array" ref="J494">_xlfn.IFS(ISBLANK(C494),"FALTANTE",ABS((C494-$W$5)/$X$5)&gt;1.96,"ATÍPICO",ABS((C494-$W$5)/$X$5)&lt;=1.96,"NO ATÍPICO")</f>
        <v>NO ATÍPICO</v>
      </c>
      <c r="K494" t="str" cm="1">
        <f t="array" ref="K494">_xlfn.IFS(ISBLANK(I494),"FALTANTE",ABS((I494-$W$8)/$X$8)&gt;1.92,"ATÍPICO",ABS((I494-$W$8)/$X$8)&lt;=1.92,"NO ATÍPICO")</f>
        <v>NO ATÍPICO</v>
      </c>
      <c r="L494">
        <f t="shared" si="35"/>
        <v>911309</v>
      </c>
      <c r="M494" t="str">
        <f t="shared" si="39"/>
        <v>TRABAJADOR INDEPENDIENTE</v>
      </c>
      <c r="N494">
        <f t="shared" si="36"/>
        <v>51</v>
      </c>
      <c r="O494" s="19" t="str">
        <f t="shared" si="37"/>
        <v>900k–1200k</v>
      </c>
      <c r="P494" s="19" t="str">
        <f t="shared" si="38"/>
        <v>46-55</v>
      </c>
    </row>
    <row r="495" spans="1:16" x14ac:dyDescent="0.25">
      <c r="A495">
        <v>494</v>
      </c>
      <c r="B495" t="s">
        <v>9</v>
      </c>
      <c r="C495">
        <v>297046</v>
      </c>
      <c r="D495" t="s">
        <v>17</v>
      </c>
      <c r="E495" t="s">
        <v>16</v>
      </c>
      <c r="F495" t="s">
        <v>12</v>
      </c>
      <c r="G495" t="s">
        <v>12</v>
      </c>
      <c r="H495" t="s">
        <v>13</v>
      </c>
      <c r="I495">
        <v>36</v>
      </c>
      <c r="J495" t="str" cm="1">
        <f t="array" ref="J495">_xlfn.IFS(ISBLANK(C495),"FALTANTE",ABS((C495-$W$5)/$X$5)&gt;1.96,"ATÍPICO",ABS((C495-$W$5)/$X$5)&lt;=1.96,"NO ATÍPICO")</f>
        <v>NO ATÍPICO</v>
      </c>
      <c r="K495" t="str" cm="1">
        <f t="array" ref="K495">_xlfn.IFS(ISBLANK(I495),"FALTANTE",ABS((I495-$W$8)/$X$8)&gt;1.92,"ATÍPICO",ABS((I495-$W$8)/$X$8)&lt;=1.92,"NO ATÍPICO")</f>
        <v>NO ATÍPICO</v>
      </c>
      <c r="L495">
        <f t="shared" si="35"/>
        <v>297046</v>
      </c>
      <c r="M495" t="str">
        <f t="shared" si="39"/>
        <v>ASEGURADO VOLUNTARIO</v>
      </c>
      <c r="N495">
        <f t="shared" si="36"/>
        <v>36</v>
      </c>
      <c r="O495" s="19" t="str">
        <f t="shared" si="37"/>
        <v>0–300k</v>
      </c>
      <c r="P495" s="19" t="str">
        <f t="shared" si="38"/>
        <v>36-45</v>
      </c>
    </row>
    <row r="496" spans="1:16" x14ac:dyDescent="0.25">
      <c r="A496">
        <v>495</v>
      </c>
      <c r="B496" t="s">
        <v>15</v>
      </c>
      <c r="C496">
        <v>570322.28</v>
      </c>
      <c r="D496" t="s">
        <v>10</v>
      </c>
      <c r="E496" t="s">
        <v>16</v>
      </c>
      <c r="F496" t="s">
        <v>12</v>
      </c>
      <c r="G496" t="s">
        <v>12</v>
      </c>
      <c r="H496" t="s">
        <v>13</v>
      </c>
      <c r="I496">
        <v>43</v>
      </c>
      <c r="J496" t="str" cm="1">
        <f t="array" ref="J496">_xlfn.IFS(ISBLANK(C496),"FALTANTE",ABS((C496-$W$5)/$X$5)&gt;1.96,"ATÍPICO",ABS((C496-$W$5)/$X$5)&lt;=1.96,"NO ATÍPICO")</f>
        <v>NO ATÍPICO</v>
      </c>
      <c r="K496" t="str" cm="1">
        <f t="array" ref="K496">_xlfn.IFS(ISBLANK(I496),"FALTANTE",ABS((I496-$W$8)/$X$8)&gt;1.92,"ATÍPICO",ABS((I496-$W$8)/$X$8)&lt;=1.92,"NO ATÍPICO")</f>
        <v>NO ATÍPICO</v>
      </c>
      <c r="L496">
        <f t="shared" si="35"/>
        <v>570322.28</v>
      </c>
      <c r="M496" t="str">
        <f t="shared" si="39"/>
        <v>ASALARIADO</v>
      </c>
      <c r="N496">
        <f t="shared" si="36"/>
        <v>43</v>
      </c>
      <c r="O496" s="19" t="str">
        <f t="shared" si="37"/>
        <v>300k–600k</v>
      </c>
      <c r="P496" s="19" t="str">
        <f t="shared" si="38"/>
        <v>36-45</v>
      </c>
    </row>
    <row r="497" spans="1:16" x14ac:dyDescent="0.25">
      <c r="A497">
        <v>496</v>
      </c>
      <c r="B497" t="s">
        <v>9</v>
      </c>
      <c r="C497">
        <v>398239.35</v>
      </c>
      <c r="D497" t="s">
        <v>10</v>
      </c>
      <c r="E497" t="s">
        <v>16</v>
      </c>
      <c r="F497" t="s">
        <v>12</v>
      </c>
      <c r="G497" t="s">
        <v>13</v>
      </c>
      <c r="H497" t="s">
        <v>13</v>
      </c>
      <c r="I497">
        <v>20</v>
      </c>
      <c r="J497" t="str" cm="1">
        <f t="array" ref="J497">_xlfn.IFS(ISBLANK(C497),"FALTANTE",ABS((C497-$W$5)/$X$5)&gt;1.96,"ATÍPICO",ABS((C497-$W$5)/$X$5)&lt;=1.96,"NO ATÍPICO")</f>
        <v>NO ATÍPICO</v>
      </c>
      <c r="K497" t="str" cm="1">
        <f t="array" ref="K497">_xlfn.IFS(ISBLANK(I497),"FALTANTE",ABS((I497-$W$8)/$X$8)&gt;1.92,"ATÍPICO",ABS((I497-$W$8)/$X$8)&lt;=1.92,"NO ATÍPICO")</f>
        <v>NO ATÍPICO</v>
      </c>
      <c r="L497">
        <f t="shared" si="35"/>
        <v>398239.35</v>
      </c>
      <c r="M497" t="str">
        <f t="shared" si="39"/>
        <v>ASALARIADO</v>
      </c>
      <c r="N497">
        <f t="shared" si="36"/>
        <v>20</v>
      </c>
      <c r="O497" s="19" t="str">
        <f t="shared" si="37"/>
        <v>300k–600k</v>
      </c>
      <c r="P497" s="19" t="str">
        <f t="shared" si="38"/>
        <v>18-25</v>
      </c>
    </row>
    <row r="498" spans="1:16" x14ac:dyDescent="0.25">
      <c r="A498">
        <v>497</v>
      </c>
      <c r="B498" t="s">
        <v>9</v>
      </c>
      <c r="C498">
        <v>525200</v>
      </c>
      <c r="D498" t="s">
        <v>10</v>
      </c>
      <c r="E498" t="s">
        <v>16</v>
      </c>
      <c r="F498" t="s">
        <v>12</v>
      </c>
      <c r="G498" t="s">
        <v>13</v>
      </c>
      <c r="H498" t="s">
        <v>13</v>
      </c>
      <c r="I498">
        <v>32</v>
      </c>
      <c r="J498" t="str" cm="1">
        <f t="array" ref="J498">_xlfn.IFS(ISBLANK(C498),"FALTANTE",ABS((C498-$W$5)/$X$5)&gt;1.96,"ATÍPICO",ABS((C498-$W$5)/$X$5)&lt;=1.96,"NO ATÍPICO")</f>
        <v>NO ATÍPICO</v>
      </c>
      <c r="K498" t="str" cm="1">
        <f t="array" ref="K498">_xlfn.IFS(ISBLANK(I498),"FALTANTE",ABS((I498-$W$8)/$X$8)&gt;1.92,"ATÍPICO",ABS((I498-$W$8)/$X$8)&lt;=1.92,"NO ATÍPICO")</f>
        <v>NO ATÍPICO</v>
      </c>
      <c r="L498">
        <f t="shared" si="35"/>
        <v>525200</v>
      </c>
      <c r="M498" t="str">
        <f t="shared" si="39"/>
        <v>ASALARIADO</v>
      </c>
      <c r="N498">
        <f t="shared" si="36"/>
        <v>32</v>
      </c>
      <c r="O498" s="19" t="str">
        <f t="shared" si="37"/>
        <v>300k–600k</v>
      </c>
      <c r="P498" s="19" t="str">
        <f t="shared" si="38"/>
        <v>26-35</v>
      </c>
    </row>
    <row r="499" spans="1:16" x14ac:dyDescent="0.25">
      <c r="A499">
        <v>498</v>
      </c>
      <c r="B499" t="s">
        <v>15</v>
      </c>
      <c r="C499">
        <v>278030</v>
      </c>
      <c r="D499" t="s">
        <v>19</v>
      </c>
      <c r="E499" t="s">
        <v>16</v>
      </c>
      <c r="F499" t="s">
        <v>12</v>
      </c>
      <c r="G499" t="s">
        <v>13</v>
      </c>
      <c r="H499" t="s">
        <v>13</v>
      </c>
      <c r="I499">
        <v>47</v>
      </c>
      <c r="J499" t="str" cm="1">
        <f t="array" ref="J499">_xlfn.IFS(ISBLANK(C499),"FALTANTE",ABS((C499-$W$5)/$X$5)&gt;1.96,"ATÍPICO",ABS((C499-$W$5)/$X$5)&lt;=1.96,"NO ATÍPICO")</f>
        <v>NO ATÍPICO</v>
      </c>
      <c r="K499" t="str" cm="1">
        <f t="array" ref="K499">_xlfn.IFS(ISBLANK(I499),"FALTANTE",ABS((I499-$W$8)/$X$8)&gt;1.92,"ATÍPICO",ABS((I499-$W$8)/$X$8)&lt;=1.92,"NO ATÍPICO")</f>
        <v>NO ATÍPICO</v>
      </c>
      <c r="L499">
        <f t="shared" si="35"/>
        <v>278030</v>
      </c>
      <c r="M499" t="str">
        <f t="shared" si="39"/>
        <v>CONVENIOS ESPECIALES DE TRABAJADORES INDEPENDIENTES</v>
      </c>
      <c r="N499">
        <f t="shared" si="36"/>
        <v>47</v>
      </c>
      <c r="O499" s="19" t="str">
        <f t="shared" si="37"/>
        <v>0–300k</v>
      </c>
      <c r="P499" s="19" t="str">
        <f t="shared" si="38"/>
        <v>46-55</v>
      </c>
    </row>
    <row r="500" spans="1:16" x14ac:dyDescent="0.25">
      <c r="A500">
        <v>499</v>
      </c>
      <c r="B500" t="s">
        <v>9</v>
      </c>
      <c r="C500">
        <v>447826</v>
      </c>
      <c r="D500" t="s">
        <v>18</v>
      </c>
      <c r="E500" t="s">
        <v>16</v>
      </c>
      <c r="F500" t="s">
        <v>12</v>
      </c>
      <c r="G500" t="s">
        <v>13</v>
      </c>
      <c r="H500" t="s">
        <v>12</v>
      </c>
      <c r="I500">
        <v>56</v>
      </c>
      <c r="J500" t="str" cm="1">
        <f t="array" ref="J500">_xlfn.IFS(ISBLANK(C500),"FALTANTE",ABS((C500-$W$5)/$X$5)&gt;1.96,"ATÍPICO",ABS((C500-$W$5)/$X$5)&lt;=1.96,"NO ATÍPICO")</f>
        <v>NO ATÍPICO</v>
      </c>
      <c r="K500" t="str" cm="1">
        <f t="array" ref="K500">_xlfn.IFS(ISBLANK(I500),"FALTANTE",ABS((I500-$W$8)/$X$8)&gt;1.92,"ATÍPICO",ABS((I500-$W$8)/$X$8)&lt;=1.92,"NO ATÍPICO")</f>
        <v>NO ATÍPICO</v>
      </c>
      <c r="L500">
        <f t="shared" si="35"/>
        <v>447826</v>
      </c>
      <c r="M500" t="str">
        <f t="shared" si="39"/>
        <v>TRABAJADOR INDEPENDIENTE</v>
      </c>
      <c r="N500">
        <f t="shared" si="36"/>
        <v>56</v>
      </c>
      <c r="O500" s="19" t="str">
        <f t="shared" si="37"/>
        <v>300k–600k</v>
      </c>
      <c r="P500" s="19" t="str">
        <f t="shared" si="38"/>
        <v>56+</v>
      </c>
    </row>
    <row r="501" spans="1:16" x14ac:dyDescent="0.25">
      <c r="A501">
        <v>500</v>
      </c>
      <c r="B501" t="s">
        <v>15</v>
      </c>
      <c r="C501">
        <v>600000</v>
      </c>
      <c r="D501" t="s">
        <v>10</v>
      </c>
      <c r="E501" t="s">
        <v>16</v>
      </c>
      <c r="F501" t="s">
        <v>12</v>
      </c>
      <c r="G501" t="s">
        <v>13</v>
      </c>
      <c r="H501" t="s">
        <v>13</v>
      </c>
      <c r="I501">
        <v>37</v>
      </c>
      <c r="J501" t="str" cm="1">
        <f t="array" ref="J501">_xlfn.IFS(ISBLANK(C501),"FALTANTE",ABS((C501-$W$5)/$X$5)&gt;1.96,"ATÍPICO",ABS((C501-$W$5)/$X$5)&lt;=1.96,"NO ATÍPICO")</f>
        <v>NO ATÍPICO</v>
      </c>
      <c r="K501" t="str" cm="1">
        <f t="array" ref="K501">_xlfn.IFS(ISBLANK(I501),"FALTANTE",ABS((I501-$W$8)/$X$8)&gt;1.92,"ATÍPICO",ABS((I501-$W$8)/$X$8)&lt;=1.92,"NO ATÍPICO")</f>
        <v>NO ATÍPICO</v>
      </c>
      <c r="L501">
        <f t="shared" si="35"/>
        <v>600000</v>
      </c>
      <c r="M501" t="str">
        <f t="shared" si="39"/>
        <v>ASALARIADO</v>
      </c>
      <c r="N501">
        <f t="shared" si="36"/>
        <v>37</v>
      </c>
      <c r="O501" s="19" t="str">
        <f t="shared" si="37"/>
        <v>300k–600k</v>
      </c>
      <c r="P501" s="19" t="str">
        <f t="shared" si="38"/>
        <v>36-45</v>
      </c>
    </row>
    <row r="502" spans="1:16" x14ac:dyDescent="0.25">
      <c r="A502">
        <v>501</v>
      </c>
      <c r="B502" t="s">
        <v>9</v>
      </c>
      <c r="C502">
        <v>461711</v>
      </c>
      <c r="D502" t="s">
        <v>18</v>
      </c>
      <c r="E502" t="s">
        <v>16</v>
      </c>
      <c r="F502" t="s">
        <v>12</v>
      </c>
      <c r="G502" t="s">
        <v>12</v>
      </c>
      <c r="H502" t="s">
        <v>12</v>
      </c>
      <c r="I502">
        <v>40</v>
      </c>
      <c r="J502" t="str" cm="1">
        <f t="array" ref="J502">_xlfn.IFS(ISBLANK(C502),"FALTANTE",ABS((C502-$W$5)/$X$5)&gt;1.96,"ATÍPICO",ABS((C502-$W$5)/$X$5)&lt;=1.96,"NO ATÍPICO")</f>
        <v>NO ATÍPICO</v>
      </c>
      <c r="K502" t="str" cm="1">
        <f t="array" ref="K502">_xlfn.IFS(ISBLANK(I502),"FALTANTE",ABS((I502-$W$8)/$X$8)&gt;1.92,"ATÍPICO",ABS((I502-$W$8)/$X$8)&lt;=1.92,"NO ATÍPICO")</f>
        <v>NO ATÍPICO</v>
      </c>
      <c r="L502">
        <f t="shared" si="35"/>
        <v>461711</v>
      </c>
      <c r="M502" t="str">
        <f t="shared" si="39"/>
        <v>TRABAJADOR INDEPENDIENTE</v>
      </c>
      <c r="N502">
        <f t="shared" si="36"/>
        <v>40</v>
      </c>
      <c r="O502" s="19" t="str">
        <f t="shared" si="37"/>
        <v>300k–600k</v>
      </c>
      <c r="P502" s="19" t="str">
        <f t="shared" si="38"/>
        <v>36-45</v>
      </c>
    </row>
    <row r="503" spans="1:16" x14ac:dyDescent="0.25">
      <c r="A503">
        <v>502</v>
      </c>
      <c r="B503" t="s">
        <v>9</v>
      </c>
      <c r="C503">
        <v>482134</v>
      </c>
      <c r="D503" t="s">
        <v>18</v>
      </c>
      <c r="E503" t="s">
        <v>16</v>
      </c>
      <c r="F503" t="s">
        <v>12</v>
      </c>
      <c r="G503" t="s">
        <v>13</v>
      </c>
      <c r="H503" t="s">
        <v>13</v>
      </c>
      <c r="I503">
        <v>69</v>
      </c>
      <c r="J503" t="str" cm="1">
        <f t="array" ref="J503">_xlfn.IFS(ISBLANK(C503),"FALTANTE",ABS((C503-$W$5)/$X$5)&gt;1.96,"ATÍPICO",ABS((C503-$W$5)/$X$5)&lt;=1.96,"NO ATÍPICO")</f>
        <v>NO ATÍPICO</v>
      </c>
      <c r="K503" t="str" cm="1">
        <f t="array" ref="K503">_xlfn.IFS(ISBLANK(I503),"FALTANTE",ABS((I503-$W$8)/$X$8)&gt;1.92,"ATÍPICO",ABS((I503-$W$8)/$X$8)&lt;=1.92,"NO ATÍPICO")</f>
        <v>NO ATÍPICO</v>
      </c>
      <c r="L503">
        <f t="shared" si="35"/>
        <v>482134</v>
      </c>
      <c r="M503" t="str">
        <f t="shared" si="39"/>
        <v>TRABAJADOR INDEPENDIENTE</v>
      </c>
      <c r="N503">
        <f t="shared" si="36"/>
        <v>69</v>
      </c>
      <c r="O503" s="19" t="str">
        <f t="shared" si="37"/>
        <v>300k–600k</v>
      </c>
      <c r="P503" s="19" t="str">
        <f t="shared" si="38"/>
        <v>56+</v>
      </c>
    </row>
    <row r="504" spans="1:16" x14ac:dyDescent="0.25">
      <c r="A504">
        <v>503</v>
      </c>
      <c r="B504" t="s">
        <v>15</v>
      </c>
      <c r="C504">
        <v>355157</v>
      </c>
      <c r="D504" t="s">
        <v>10</v>
      </c>
      <c r="E504" t="s">
        <v>16</v>
      </c>
      <c r="F504" t="s">
        <v>12</v>
      </c>
      <c r="G504" t="s">
        <v>13</v>
      </c>
      <c r="H504" t="s">
        <v>13</v>
      </c>
      <c r="I504">
        <v>40</v>
      </c>
      <c r="J504" t="str" cm="1">
        <f t="array" ref="J504">_xlfn.IFS(ISBLANK(C504),"FALTANTE",ABS((C504-$W$5)/$X$5)&gt;1.96,"ATÍPICO",ABS((C504-$W$5)/$X$5)&lt;=1.96,"NO ATÍPICO")</f>
        <v>NO ATÍPICO</v>
      </c>
      <c r="K504" t="str" cm="1">
        <f t="array" ref="K504">_xlfn.IFS(ISBLANK(I504),"FALTANTE",ABS((I504-$W$8)/$X$8)&gt;1.92,"ATÍPICO",ABS((I504-$W$8)/$X$8)&lt;=1.92,"NO ATÍPICO")</f>
        <v>NO ATÍPICO</v>
      </c>
      <c r="L504">
        <f t="shared" si="35"/>
        <v>355157</v>
      </c>
      <c r="M504" t="str">
        <f t="shared" si="39"/>
        <v>ASALARIADO</v>
      </c>
      <c r="N504">
        <f t="shared" si="36"/>
        <v>40</v>
      </c>
      <c r="O504" s="19" t="str">
        <f t="shared" si="37"/>
        <v>300k–600k</v>
      </c>
      <c r="P504" s="19" t="str">
        <f t="shared" si="38"/>
        <v>36-45</v>
      </c>
    </row>
    <row r="505" spans="1:16" x14ac:dyDescent="0.25">
      <c r="A505">
        <v>504</v>
      </c>
      <c r="B505" t="s">
        <v>9</v>
      </c>
      <c r="C505">
        <v>2029285.16</v>
      </c>
      <c r="D505" t="s">
        <v>10</v>
      </c>
      <c r="E505" t="s">
        <v>16</v>
      </c>
      <c r="F505" t="s">
        <v>12</v>
      </c>
      <c r="G505" t="s">
        <v>13</v>
      </c>
      <c r="H505" t="s">
        <v>13</v>
      </c>
      <c r="I505">
        <v>38</v>
      </c>
      <c r="J505" t="str" cm="1">
        <f t="array" ref="J505">_xlfn.IFS(ISBLANK(C505),"FALTANTE",ABS((C505-$W$5)/$X$5)&gt;1.96,"ATÍPICO",ABS((C505-$W$5)/$X$5)&lt;=1.96,"NO ATÍPICO")</f>
        <v>NO ATÍPICO</v>
      </c>
      <c r="K505" t="str" cm="1">
        <f t="array" ref="K505">_xlfn.IFS(ISBLANK(I505),"FALTANTE",ABS((I505-$W$8)/$X$8)&gt;1.92,"ATÍPICO",ABS((I505-$W$8)/$X$8)&lt;=1.92,"NO ATÍPICO")</f>
        <v>NO ATÍPICO</v>
      </c>
      <c r="L505">
        <f t="shared" si="35"/>
        <v>2029285.16</v>
      </c>
      <c r="M505" t="str">
        <f t="shared" si="39"/>
        <v>ASALARIADO</v>
      </c>
      <c r="N505">
        <f t="shared" si="36"/>
        <v>38</v>
      </c>
      <c r="O505" s="19" t="str">
        <f t="shared" si="37"/>
        <v>1200k+</v>
      </c>
      <c r="P505" s="19" t="str">
        <f t="shared" si="38"/>
        <v>36-45</v>
      </c>
    </row>
    <row r="506" spans="1:16" x14ac:dyDescent="0.25">
      <c r="A506">
        <v>505</v>
      </c>
      <c r="B506" t="s">
        <v>9</v>
      </c>
      <c r="C506">
        <v>278030</v>
      </c>
      <c r="D506" t="s">
        <v>19</v>
      </c>
      <c r="E506" t="s">
        <v>16</v>
      </c>
      <c r="F506" t="s">
        <v>12</v>
      </c>
      <c r="G506" t="s">
        <v>13</v>
      </c>
      <c r="H506" t="s">
        <v>13</v>
      </c>
      <c r="I506">
        <v>54</v>
      </c>
      <c r="J506" t="str" cm="1">
        <f t="array" ref="J506">_xlfn.IFS(ISBLANK(C506),"FALTANTE",ABS((C506-$W$5)/$X$5)&gt;1.96,"ATÍPICO",ABS((C506-$W$5)/$X$5)&lt;=1.96,"NO ATÍPICO")</f>
        <v>NO ATÍPICO</v>
      </c>
      <c r="K506" t="str" cm="1">
        <f t="array" ref="K506">_xlfn.IFS(ISBLANK(I506),"FALTANTE",ABS((I506-$W$8)/$X$8)&gt;1.92,"ATÍPICO",ABS((I506-$W$8)/$X$8)&lt;=1.92,"NO ATÍPICO")</f>
        <v>NO ATÍPICO</v>
      </c>
      <c r="L506">
        <f t="shared" si="35"/>
        <v>278030</v>
      </c>
      <c r="M506" t="str">
        <f t="shared" si="39"/>
        <v>CONVENIOS ESPECIALES DE TRABAJADORES INDEPENDIENTES</v>
      </c>
      <c r="N506">
        <f t="shared" si="36"/>
        <v>54</v>
      </c>
      <c r="O506" s="19" t="str">
        <f t="shared" si="37"/>
        <v>0–300k</v>
      </c>
      <c r="P506" s="19" t="str">
        <f t="shared" si="38"/>
        <v>46-55</v>
      </c>
    </row>
    <row r="507" spans="1:16" x14ac:dyDescent="0.25">
      <c r="A507">
        <v>506</v>
      </c>
      <c r="B507" t="s">
        <v>9</v>
      </c>
      <c r="C507">
        <v>104180.5</v>
      </c>
      <c r="D507" t="s">
        <v>10</v>
      </c>
      <c r="E507" t="s">
        <v>16</v>
      </c>
      <c r="F507" t="s">
        <v>12</v>
      </c>
      <c r="G507" t="s">
        <v>13</v>
      </c>
      <c r="H507" t="s">
        <v>13</v>
      </c>
      <c r="I507">
        <v>28</v>
      </c>
      <c r="J507" t="str" cm="1">
        <f t="array" ref="J507">_xlfn.IFS(ISBLANK(C507),"FALTANTE",ABS((C507-$W$5)/$X$5)&gt;1.96,"ATÍPICO",ABS((C507-$W$5)/$X$5)&lt;=1.96,"NO ATÍPICO")</f>
        <v>NO ATÍPICO</v>
      </c>
      <c r="K507" t="str" cm="1">
        <f t="array" ref="K507">_xlfn.IFS(ISBLANK(I507),"FALTANTE",ABS((I507-$W$8)/$X$8)&gt;1.92,"ATÍPICO",ABS((I507-$W$8)/$X$8)&lt;=1.92,"NO ATÍPICO")</f>
        <v>NO ATÍPICO</v>
      </c>
      <c r="L507">
        <f t="shared" si="35"/>
        <v>104180.5</v>
      </c>
      <c r="M507" t="str">
        <f t="shared" si="39"/>
        <v>ASALARIADO</v>
      </c>
      <c r="N507">
        <f t="shared" si="36"/>
        <v>28</v>
      </c>
      <c r="O507" s="19" t="str">
        <f t="shared" si="37"/>
        <v>0–300k</v>
      </c>
      <c r="P507" s="19" t="str">
        <f t="shared" si="38"/>
        <v>26-35</v>
      </c>
    </row>
    <row r="508" spans="1:16" x14ac:dyDescent="0.25">
      <c r="A508">
        <v>507</v>
      </c>
      <c r="B508" t="s">
        <v>15</v>
      </c>
      <c r="C508">
        <v>450000</v>
      </c>
      <c r="D508" t="s">
        <v>10</v>
      </c>
      <c r="E508" t="s">
        <v>16</v>
      </c>
      <c r="F508" t="s">
        <v>12</v>
      </c>
      <c r="G508" t="s">
        <v>13</v>
      </c>
      <c r="H508" t="s">
        <v>13</v>
      </c>
      <c r="I508">
        <v>54</v>
      </c>
      <c r="J508" t="str" cm="1">
        <f t="array" ref="J508">_xlfn.IFS(ISBLANK(C508),"FALTANTE",ABS((C508-$W$5)/$X$5)&gt;1.96,"ATÍPICO",ABS((C508-$W$5)/$X$5)&lt;=1.96,"NO ATÍPICO")</f>
        <v>NO ATÍPICO</v>
      </c>
      <c r="K508" t="str" cm="1">
        <f t="array" ref="K508">_xlfn.IFS(ISBLANK(I508),"FALTANTE",ABS((I508-$W$8)/$X$8)&gt;1.92,"ATÍPICO",ABS((I508-$W$8)/$X$8)&lt;=1.92,"NO ATÍPICO")</f>
        <v>NO ATÍPICO</v>
      </c>
      <c r="L508">
        <f t="shared" si="35"/>
        <v>450000</v>
      </c>
      <c r="M508" t="str">
        <f t="shared" si="39"/>
        <v>ASALARIADO</v>
      </c>
      <c r="N508">
        <f t="shared" si="36"/>
        <v>54</v>
      </c>
      <c r="O508" s="19" t="str">
        <f t="shared" si="37"/>
        <v>300k–600k</v>
      </c>
      <c r="P508" s="19" t="str">
        <f t="shared" si="38"/>
        <v>46-55</v>
      </c>
    </row>
    <row r="509" spans="1:16" x14ac:dyDescent="0.25">
      <c r="A509">
        <v>508</v>
      </c>
      <c r="B509" t="s">
        <v>15</v>
      </c>
      <c r="C509">
        <v>300018</v>
      </c>
      <c r="D509" t="s">
        <v>17</v>
      </c>
      <c r="E509" t="s">
        <v>16</v>
      </c>
      <c r="F509" t="s">
        <v>12</v>
      </c>
      <c r="G509" t="s">
        <v>13</v>
      </c>
      <c r="H509" t="s">
        <v>13</v>
      </c>
      <c r="I509">
        <v>55</v>
      </c>
      <c r="J509" t="str" cm="1">
        <f t="array" ref="J509">_xlfn.IFS(ISBLANK(C509),"FALTANTE",ABS((C509-$W$5)/$X$5)&gt;1.96,"ATÍPICO",ABS((C509-$W$5)/$X$5)&lt;=1.96,"NO ATÍPICO")</f>
        <v>NO ATÍPICO</v>
      </c>
      <c r="K509" t="str" cm="1">
        <f t="array" ref="K509">_xlfn.IFS(ISBLANK(I509),"FALTANTE",ABS((I509-$W$8)/$X$8)&gt;1.92,"ATÍPICO",ABS((I509-$W$8)/$X$8)&lt;=1.92,"NO ATÍPICO")</f>
        <v>NO ATÍPICO</v>
      </c>
      <c r="L509">
        <f t="shared" si="35"/>
        <v>300018</v>
      </c>
      <c r="M509" t="str">
        <f t="shared" si="39"/>
        <v>ASEGURADO VOLUNTARIO</v>
      </c>
      <c r="N509">
        <f t="shared" si="36"/>
        <v>55</v>
      </c>
      <c r="O509" s="19" t="str">
        <f t="shared" si="37"/>
        <v>300k–600k</v>
      </c>
      <c r="P509" s="19" t="str">
        <f t="shared" si="38"/>
        <v>46-55</v>
      </c>
    </row>
    <row r="510" spans="1:16" x14ac:dyDescent="0.25">
      <c r="A510">
        <v>509</v>
      </c>
      <c r="B510" t="s">
        <v>9</v>
      </c>
      <c r="C510">
        <v>562770.44999999995</v>
      </c>
      <c r="D510" t="s">
        <v>10</v>
      </c>
      <c r="E510" t="s">
        <v>16</v>
      </c>
      <c r="F510" t="s">
        <v>12</v>
      </c>
      <c r="G510" t="s">
        <v>13</v>
      </c>
      <c r="H510" t="s">
        <v>13</v>
      </c>
      <c r="I510">
        <v>36</v>
      </c>
      <c r="J510" t="str" cm="1">
        <f t="array" ref="J510">_xlfn.IFS(ISBLANK(C510),"FALTANTE",ABS((C510-$W$5)/$X$5)&gt;1.96,"ATÍPICO",ABS((C510-$W$5)/$X$5)&lt;=1.96,"NO ATÍPICO")</f>
        <v>NO ATÍPICO</v>
      </c>
      <c r="K510" t="str" cm="1">
        <f t="array" ref="K510">_xlfn.IFS(ISBLANK(I510),"FALTANTE",ABS((I510-$W$8)/$X$8)&gt;1.92,"ATÍPICO",ABS((I510-$W$8)/$X$8)&lt;=1.92,"NO ATÍPICO")</f>
        <v>NO ATÍPICO</v>
      </c>
      <c r="L510">
        <f t="shared" si="35"/>
        <v>562770.44999999995</v>
      </c>
      <c r="M510" t="str">
        <f t="shared" si="39"/>
        <v>ASALARIADO</v>
      </c>
      <c r="N510">
        <f t="shared" si="36"/>
        <v>36</v>
      </c>
      <c r="O510" s="19" t="str">
        <f t="shared" si="37"/>
        <v>300k–600k</v>
      </c>
      <c r="P510" s="19" t="str">
        <f t="shared" si="38"/>
        <v>36-45</v>
      </c>
    </row>
    <row r="511" spans="1:16" x14ac:dyDescent="0.25">
      <c r="A511">
        <v>510</v>
      </c>
      <c r="B511" t="s">
        <v>15</v>
      </c>
      <c r="C511">
        <v>571789</v>
      </c>
      <c r="D511" t="s">
        <v>18</v>
      </c>
      <c r="E511" t="s">
        <v>16</v>
      </c>
      <c r="F511" t="s">
        <v>12</v>
      </c>
      <c r="G511" t="s">
        <v>13</v>
      </c>
      <c r="H511" t="s">
        <v>13</v>
      </c>
      <c r="I511">
        <v>30</v>
      </c>
      <c r="J511" t="str" cm="1">
        <f t="array" ref="J511">_xlfn.IFS(ISBLANK(C511),"FALTANTE",ABS((C511-$W$5)/$X$5)&gt;1.96,"ATÍPICO",ABS((C511-$W$5)/$X$5)&lt;=1.96,"NO ATÍPICO")</f>
        <v>NO ATÍPICO</v>
      </c>
      <c r="K511" t="str" cm="1">
        <f t="array" ref="K511">_xlfn.IFS(ISBLANK(I511),"FALTANTE",ABS((I511-$W$8)/$X$8)&gt;1.92,"ATÍPICO",ABS((I511-$W$8)/$X$8)&lt;=1.92,"NO ATÍPICO")</f>
        <v>NO ATÍPICO</v>
      </c>
      <c r="L511">
        <f t="shared" si="35"/>
        <v>571789</v>
      </c>
      <c r="M511" t="str">
        <f t="shared" si="39"/>
        <v>TRABAJADOR INDEPENDIENTE</v>
      </c>
      <c r="N511">
        <f t="shared" si="36"/>
        <v>30</v>
      </c>
      <c r="O511" s="19" t="str">
        <f t="shared" si="37"/>
        <v>300k–600k</v>
      </c>
      <c r="P511" s="19" t="str">
        <f t="shared" si="38"/>
        <v>26-35</v>
      </c>
    </row>
    <row r="512" spans="1:16" x14ac:dyDescent="0.25">
      <c r="A512">
        <v>511</v>
      </c>
      <c r="B512" t="s">
        <v>9</v>
      </c>
      <c r="C512">
        <v>896977</v>
      </c>
      <c r="D512" t="s">
        <v>10</v>
      </c>
      <c r="E512" t="s">
        <v>16</v>
      </c>
      <c r="F512" t="s">
        <v>12</v>
      </c>
      <c r="G512" t="s">
        <v>13</v>
      </c>
      <c r="H512" t="s">
        <v>13</v>
      </c>
      <c r="I512">
        <v>53</v>
      </c>
      <c r="J512" t="str" cm="1">
        <f t="array" ref="J512">_xlfn.IFS(ISBLANK(C512),"FALTANTE",ABS((C512-$W$5)/$X$5)&gt;1.96,"ATÍPICO",ABS((C512-$W$5)/$X$5)&lt;=1.96,"NO ATÍPICO")</f>
        <v>NO ATÍPICO</v>
      </c>
      <c r="K512" t="str" cm="1">
        <f t="array" ref="K512">_xlfn.IFS(ISBLANK(I512),"FALTANTE",ABS((I512-$W$8)/$X$8)&gt;1.92,"ATÍPICO",ABS((I512-$W$8)/$X$8)&lt;=1.92,"NO ATÍPICO")</f>
        <v>NO ATÍPICO</v>
      </c>
      <c r="L512">
        <f t="shared" si="35"/>
        <v>896977</v>
      </c>
      <c r="M512" t="str">
        <f t="shared" si="39"/>
        <v>ASALARIADO</v>
      </c>
      <c r="N512">
        <f t="shared" si="36"/>
        <v>53</v>
      </c>
      <c r="O512" s="19" t="str">
        <f t="shared" si="37"/>
        <v>600k–900k</v>
      </c>
      <c r="P512" s="19" t="str">
        <f t="shared" si="38"/>
        <v>46-55</v>
      </c>
    </row>
    <row r="513" spans="1:16" x14ac:dyDescent="0.25">
      <c r="A513">
        <v>512</v>
      </c>
      <c r="B513" t="s">
        <v>15</v>
      </c>
      <c r="C513">
        <v>220000</v>
      </c>
      <c r="D513" t="s">
        <v>10</v>
      </c>
      <c r="E513" t="s">
        <v>16</v>
      </c>
      <c r="F513" t="s">
        <v>12</v>
      </c>
      <c r="G513" t="s">
        <v>13</v>
      </c>
      <c r="H513" t="s">
        <v>13</v>
      </c>
      <c r="I513">
        <v>19</v>
      </c>
      <c r="J513" t="str" cm="1">
        <f t="array" ref="J513">_xlfn.IFS(ISBLANK(C513),"FALTANTE",ABS((C513-$W$5)/$X$5)&gt;1.96,"ATÍPICO",ABS((C513-$W$5)/$X$5)&lt;=1.96,"NO ATÍPICO")</f>
        <v>NO ATÍPICO</v>
      </c>
      <c r="K513" t="str" cm="1">
        <f t="array" ref="K513">_xlfn.IFS(ISBLANK(I513),"FALTANTE",ABS((I513-$W$8)/$X$8)&gt;1.92,"ATÍPICO",ABS((I513-$W$8)/$X$8)&lt;=1.92,"NO ATÍPICO")</f>
        <v>NO ATÍPICO</v>
      </c>
      <c r="L513">
        <f t="shared" si="35"/>
        <v>220000</v>
      </c>
      <c r="M513" t="str">
        <f t="shared" si="39"/>
        <v>ASALARIADO</v>
      </c>
      <c r="N513">
        <f t="shared" si="36"/>
        <v>19</v>
      </c>
      <c r="O513" s="19" t="str">
        <f t="shared" si="37"/>
        <v>0–300k</v>
      </c>
      <c r="P513" s="19" t="str">
        <f t="shared" si="38"/>
        <v>18-25</v>
      </c>
    </row>
    <row r="514" spans="1:16" x14ac:dyDescent="0.25">
      <c r="A514">
        <v>513</v>
      </c>
      <c r="B514" t="s">
        <v>9</v>
      </c>
      <c r="C514">
        <v>447772</v>
      </c>
      <c r="D514" t="s">
        <v>10</v>
      </c>
      <c r="E514" t="s">
        <v>11</v>
      </c>
      <c r="F514" t="s">
        <v>12</v>
      </c>
      <c r="G514" t="s">
        <v>13</v>
      </c>
      <c r="H514" t="s">
        <v>13</v>
      </c>
      <c r="I514">
        <v>41</v>
      </c>
      <c r="J514" t="str" cm="1">
        <f t="array" ref="J514">_xlfn.IFS(ISBLANK(C514),"FALTANTE",ABS((C514-$W$5)/$X$5)&gt;1.96,"ATÍPICO",ABS((C514-$W$5)/$X$5)&lt;=1.96,"NO ATÍPICO")</f>
        <v>NO ATÍPICO</v>
      </c>
      <c r="K514" t="str" cm="1">
        <f t="array" ref="K514">_xlfn.IFS(ISBLANK(I514),"FALTANTE",ABS((I514-$W$8)/$X$8)&gt;1.92,"ATÍPICO",ABS((I514-$W$8)/$X$8)&lt;=1.92,"NO ATÍPICO")</f>
        <v>NO ATÍPICO</v>
      </c>
      <c r="L514">
        <f t="shared" ref="L514:L577" si="40">C514</f>
        <v>447772</v>
      </c>
      <c r="M514" t="str">
        <f t="shared" si="39"/>
        <v>ASALARIADO</v>
      </c>
      <c r="N514">
        <f t="shared" ref="N514:N577" si="41">I514</f>
        <v>41</v>
      </c>
      <c r="O514" s="19" t="str">
        <f t="shared" ref="O514:O577" si="42">IF(L514&lt;=300000,"0–300k",IF(L514&lt;=600000,"300k–600k",IF(L514&lt;=900000,"600k–900k",IF(L514&lt;=1200000,"900k–1200k","1200k+"))))</f>
        <v>300k–600k</v>
      </c>
      <c r="P514" s="19" t="str">
        <f t="shared" ref="P514:P577" si="43">IF(N514 &lt;=25,"18-25", IF(N514&lt;=35,"26-35", IF(N514 &lt;=45,"36-45", IF(N514&lt;=55,"46-55","56+"))))</f>
        <v>36-45</v>
      </c>
    </row>
    <row r="515" spans="1:16" x14ac:dyDescent="0.25">
      <c r="A515">
        <v>514</v>
      </c>
      <c r="B515" t="s">
        <v>9</v>
      </c>
      <c r="C515">
        <v>297046</v>
      </c>
      <c r="D515" t="s">
        <v>17</v>
      </c>
      <c r="E515" t="s">
        <v>16</v>
      </c>
      <c r="F515" t="s">
        <v>12</v>
      </c>
      <c r="G515" t="s">
        <v>13</v>
      </c>
      <c r="H515" t="s">
        <v>13</v>
      </c>
      <c r="I515">
        <v>39</v>
      </c>
      <c r="J515" t="str" cm="1">
        <f t="array" ref="J515">_xlfn.IFS(ISBLANK(C515),"FALTANTE",ABS((C515-$W$5)/$X$5)&gt;1.96,"ATÍPICO",ABS((C515-$W$5)/$X$5)&lt;=1.96,"NO ATÍPICO")</f>
        <v>NO ATÍPICO</v>
      </c>
      <c r="K515" t="str" cm="1">
        <f t="array" ref="K515">_xlfn.IFS(ISBLANK(I515),"FALTANTE",ABS((I515-$W$8)/$X$8)&gt;1.92,"ATÍPICO",ABS((I515-$W$8)/$X$8)&lt;=1.92,"NO ATÍPICO")</f>
        <v>NO ATÍPICO</v>
      </c>
      <c r="L515">
        <f t="shared" si="40"/>
        <v>297046</v>
      </c>
      <c r="M515" t="str">
        <f t="shared" si="39"/>
        <v>ASEGURADO VOLUNTARIO</v>
      </c>
      <c r="N515">
        <f t="shared" si="41"/>
        <v>39</v>
      </c>
      <c r="O515" s="19" t="str">
        <f t="shared" si="42"/>
        <v>0–300k</v>
      </c>
      <c r="P515" s="19" t="str">
        <f t="shared" si="43"/>
        <v>36-45</v>
      </c>
    </row>
    <row r="516" spans="1:16" x14ac:dyDescent="0.25">
      <c r="A516">
        <v>515</v>
      </c>
      <c r="B516" t="s">
        <v>9</v>
      </c>
      <c r="C516">
        <v>319574.40000000002</v>
      </c>
      <c r="D516" t="s">
        <v>10</v>
      </c>
      <c r="E516" t="s">
        <v>16</v>
      </c>
      <c r="F516" t="s">
        <v>12</v>
      </c>
      <c r="G516" t="s">
        <v>13</v>
      </c>
      <c r="H516" t="s">
        <v>12</v>
      </c>
      <c r="I516">
        <v>52</v>
      </c>
      <c r="J516" t="str" cm="1">
        <f t="array" ref="J516">_xlfn.IFS(ISBLANK(C516),"FALTANTE",ABS((C516-$W$5)/$X$5)&gt;1.96,"ATÍPICO",ABS((C516-$W$5)/$X$5)&lt;=1.96,"NO ATÍPICO")</f>
        <v>NO ATÍPICO</v>
      </c>
      <c r="K516" t="str" cm="1">
        <f t="array" ref="K516">_xlfn.IFS(ISBLANK(I516),"FALTANTE",ABS((I516-$W$8)/$X$8)&gt;1.92,"ATÍPICO",ABS((I516-$W$8)/$X$8)&lt;=1.92,"NO ATÍPICO")</f>
        <v>NO ATÍPICO</v>
      </c>
      <c r="L516">
        <f t="shared" si="40"/>
        <v>319574.40000000002</v>
      </c>
      <c r="M516" t="str">
        <f t="shared" ref="M516:M579" si="44">D516</f>
        <v>ASALARIADO</v>
      </c>
      <c r="N516">
        <f t="shared" si="41"/>
        <v>52</v>
      </c>
      <c r="O516" s="19" t="str">
        <f t="shared" si="42"/>
        <v>300k–600k</v>
      </c>
      <c r="P516" s="19" t="str">
        <f t="shared" si="43"/>
        <v>46-55</v>
      </c>
    </row>
    <row r="517" spans="1:16" x14ac:dyDescent="0.25">
      <c r="A517">
        <v>516</v>
      </c>
      <c r="B517" t="s">
        <v>9</v>
      </c>
      <c r="C517">
        <v>343390.86</v>
      </c>
      <c r="D517" t="s">
        <v>10</v>
      </c>
      <c r="E517" t="s">
        <v>16</v>
      </c>
      <c r="F517" t="s">
        <v>12</v>
      </c>
      <c r="G517" t="s">
        <v>12</v>
      </c>
      <c r="H517" t="s">
        <v>13</v>
      </c>
      <c r="I517">
        <v>64</v>
      </c>
      <c r="J517" t="str" cm="1">
        <f t="array" ref="J517">_xlfn.IFS(ISBLANK(C517),"FALTANTE",ABS((C517-$W$5)/$X$5)&gt;1.96,"ATÍPICO",ABS((C517-$W$5)/$X$5)&lt;=1.96,"NO ATÍPICO")</f>
        <v>NO ATÍPICO</v>
      </c>
      <c r="K517" t="str" cm="1">
        <f t="array" ref="K517">_xlfn.IFS(ISBLANK(I517),"FALTANTE",ABS((I517-$W$8)/$X$8)&gt;1.92,"ATÍPICO",ABS((I517-$W$8)/$X$8)&lt;=1.92,"NO ATÍPICO")</f>
        <v>NO ATÍPICO</v>
      </c>
      <c r="L517">
        <f t="shared" si="40"/>
        <v>343390.86</v>
      </c>
      <c r="M517" t="str">
        <f t="shared" si="44"/>
        <v>ASALARIADO</v>
      </c>
      <c r="N517">
        <f t="shared" si="41"/>
        <v>64</v>
      </c>
      <c r="O517" s="19" t="str">
        <f t="shared" si="42"/>
        <v>300k–600k</v>
      </c>
      <c r="P517" s="19" t="str">
        <f t="shared" si="43"/>
        <v>56+</v>
      </c>
    </row>
    <row r="518" spans="1:16" x14ac:dyDescent="0.25">
      <c r="A518">
        <v>517</v>
      </c>
      <c r="B518" t="s">
        <v>15</v>
      </c>
      <c r="C518">
        <v>184342.85</v>
      </c>
      <c r="D518" t="s">
        <v>10</v>
      </c>
      <c r="E518" t="s">
        <v>16</v>
      </c>
      <c r="F518" t="s">
        <v>12</v>
      </c>
      <c r="G518" t="s">
        <v>13</v>
      </c>
      <c r="H518" t="s">
        <v>13</v>
      </c>
      <c r="I518">
        <v>28</v>
      </c>
      <c r="J518" t="str" cm="1">
        <f t="array" ref="J518">_xlfn.IFS(ISBLANK(C518),"FALTANTE",ABS((C518-$W$5)/$X$5)&gt;1.96,"ATÍPICO",ABS((C518-$W$5)/$X$5)&lt;=1.96,"NO ATÍPICO")</f>
        <v>NO ATÍPICO</v>
      </c>
      <c r="K518" t="str" cm="1">
        <f t="array" ref="K518">_xlfn.IFS(ISBLANK(I518),"FALTANTE",ABS((I518-$W$8)/$X$8)&gt;1.92,"ATÍPICO",ABS((I518-$W$8)/$X$8)&lt;=1.92,"NO ATÍPICO")</f>
        <v>NO ATÍPICO</v>
      </c>
      <c r="L518">
        <f t="shared" si="40"/>
        <v>184342.85</v>
      </c>
      <c r="M518" t="str">
        <f t="shared" si="44"/>
        <v>ASALARIADO</v>
      </c>
      <c r="N518">
        <f t="shared" si="41"/>
        <v>28</v>
      </c>
      <c r="O518" s="19" t="str">
        <f t="shared" si="42"/>
        <v>0–300k</v>
      </c>
      <c r="P518" s="19" t="str">
        <f t="shared" si="43"/>
        <v>26-35</v>
      </c>
    </row>
    <row r="519" spans="1:16" x14ac:dyDescent="0.25">
      <c r="A519">
        <v>518</v>
      </c>
      <c r="B519" t="s">
        <v>9</v>
      </c>
      <c r="C519">
        <v>699800</v>
      </c>
      <c r="D519" t="s">
        <v>10</v>
      </c>
      <c r="E519" t="s">
        <v>16</v>
      </c>
      <c r="F519" t="s">
        <v>12</v>
      </c>
      <c r="G519" t="s">
        <v>13</v>
      </c>
      <c r="H519" t="s">
        <v>13</v>
      </c>
      <c r="I519">
        <v>26</v>
      </c>
      <c r="J519" t="str" cm="1">
        <f t="array" ref="J519">_xlfn.IFS(ISBLANK(C519),"FALTANTE",ABS((C519-$W$5)/$X$5)&gt;1.96,"ATÍPICO",ABS((C519-$W$5)/$X$5)&lt;=1.96,"NO ATÍPICO")</f>
        <v>NO ATÍPICO</v>
      </c>
      <c r="K519" t="str" cm="1">
        <f t="array" ref="K519">_xlfn.IFS(ISBLANK(I519),"FALTANTE",ABS((I519-$W$8)/$X$8)&gt;1.92,"ATÍPICO",ABS((I519-$W$8)/$X$8)&lt;=1.92,"NO ATÍPICO")</f>
        <v>NO ATÍPICO</v>
      </c>
      <c r="L519">
        <f t="shared" si="40"/>
        <v>699800</v>
      </c>
      <c r="M519" t="str">
        <f t="shared" si="44"/>
        <v>ASALARIADO</v>
      </c>
      <c r="N519">
        <f t="shared" si="41"/>
        <v>26</v>
      </c>
      <c r="O519" s="19" t="str">
        <f t="shared" si="42"/>
        <v>600k–900k</v>
      </c>
      <c r="P519" s="19" t="str">
        <f t="shared" si="43"/>
        <v>26-35</v>
      </c>
    </row>
    <row r="520" spans="1:16" x14ac:dyDescent="0.25">
      <c r="A520">
        <v>519</v>
      </c>
      <c r="B520" t="s">
        <v>15</v>
      </c>
      <c r="C520">
        <v>177298.8</v>
      </c>
      <c r="D520" t="s">
        <v>10</v>
      </c>
      <c r="E520" t="s">
        <v>16</v>
      </c>
      <c r="F520" t="s">
        <v>12</v>
      </c>
      <c r="G520" t="s">
        <v>13</v>
      </c>
      <c r="H520" t="s">
        <v>13</v>
      </c>
      <c r="I520">
        <v>33</v>
      </c>
      <c r="J520" t="str" cm="1">
        <f t="array" ref="J520">_xlfn.IFS(ISBLANK(C520),"FALTANTE",ABS((C520-$W$5)/$X$5)&gt;1.96,"ATÍPICO",ABS((C520-$W$5)/$X$5)&lt;=1.96,"NO ATÍPICO")</f>
        <v>NO ATÍPICO</v>
      </c>
      <c r="K520" t="str" cm="1">
        <f t="array" ref="K520">_xlfn.IFS(ISBLANK(I520),"FALTANTE",ABS((I520-$W$8)/$X$8)&gt;1.92,"ATÍPICO",ABS((I520-$W$8)/$X$8)&lt;=1.92,"NO ATÍPICO")</f>
        <v>NO ATÍPICO</v>
      </c>
      <c r="L520">
        <f t="shared" si="40"/>
        <v>177298.8</v>
      </c>
      <c r="M520" t="str">
        <f t="shared" si="44"/>
        <v>ASALARIADO</v>
      </c>
      <c r="N520">
        <f t="shared" si="41"/>
        <v>33</v>
      </c>
      <c r="O520" s="19" t="str">
        <f t="shared" si="42"/>
        <v>0–300k</v>
      </c>
      <c r="P520" s="19" t="str">
        <f t="shared" si="43"/>
        <v>26-35</v>
      </c>
    </row>
    <row r="521" spans="1:16" x14ac:dyDescent="0.25">
      <c r="A521">
        <v>520</v>
      </c>
      <c r="B521" t="s">
        <v>9</v>
      </c>
      <c r="C521">
        <v>1599143.96</v>
      </c>
      <c r="D521" t="s">
        <v>10</v>
      </c>
      <c r="E521" t="s">
        <v>11</v>
      </c>
      <c r="F521" t="s">
        <v>12</v>
      </c>
      <c r="G521" t="s">
        <v>13</v>
      </c>
      <c r="H521" t="s">
        <v>13</v>
      </c>
      <c r="I521">
        <v>31</v>
      </c>
      <c r="J521" t="str" cm="1">
        <f t="array" ref="J521">_xlfn.IFS(ISBLANK(C521),"FALTANTE",ABS((C521-$W$5)/$X$5)&gt;1.96,"ATÍPICO",ABS((C521-$W$5)/$X$5)&lt;=1.96,"NO ATÍPICO")</f>
        <v>NO ATÍPICO</v>
      </c>
      <c r="K521" t="str" cm="1">
        <f t="array" ref="K521">_xlfn.IFS(ISBLANK(I521),"FALTANTE",ABS((I521-$W$8)/$X$8)&gt;1.92,"ATÍPICO",ABS((I521-$W$8)/$X$8)&lt;=1.92,"NO ATÍPICO")</f>
        <v>NO ATÍPICO</v>
      </c>
      <c r="L521">
        <f t="shared" si="40"/>
        <v>1599143.96</v>
      </c>
      <c r="M521" t="str">
        <f t="shared" si="44"/>
        <v>ASALARIADO</v>
      </c>
      <c r="N521">
        <f t="shared" si="41"/>
        <v>31</v>
      </c>
      <c r="O521" s="19" t="str">
        <f t="shared" si="42"/>
        <v>1200k+</v>
      </c>
      <c r="P521" s="19" t="str">
        <f t="shared" si="43"/>
        <v>26-35</v>
      </c>
    </row>
    <row r="522" spans="1:16" x14ac:dyDescent="0.25">
      <c r="A522">
        <v>521</v>
      </c>
      <c r="B522" t="s">
        <v>9</v>
      </c>
      <c r="C522">
        <v>556296.12</v>
      </c>
      <c r="D522" t="s">
        <v>14</v>
      </c>
      <c r="E522" t="s">
        <v>11</v>
      </c>
      <c r="F522" t="s">
        <v>12</v>
      </c>
      <c r="G522" t="s">
        <v>13</v>
      </c>
      <c r="H522" t="s">
        <v>13</v>
      </c>
      <c r="I522">
        <v>63</v>
      </c>
      <c r="J522" t="str" cm="1">
        <f t="array" ref="J522">_xlfn.IFS(ISBLANK(C522),"FALTANTE",ABS((C522-$W$5)/$X$5)&gt;1.96,"ATÍPICO",ABS((C522-$W$5)/$X$5)&lt;=1.96,"NO ATÍPICO")</f>
        <v>NO ATÍPICO</v>
      </c>
      <c r="K522" t="str" cm="1">
        <f t="array" ref="K522">_xlfn.IFS(ISBLANK(I522),"FALTANTE",ABS((I522-$W$8)/$X$8)&gt;1.92,"ATÍPICO",ABS((I522-$W$8)/$X$8)&lt;=1.92,"NO ATÍPICO")</f>
        <v>NO ATÍPICO</v>
      </c>
      <c r="L522">
        <f t="shared" si="40"/>
        <v>556296.12</v>
      </c>
      <c r="M522" t="str">
        <f t="shared" si="44"/>
        <v>PENSIONADOS EN SU PROPIO SISTEMA</v>
      </c>
      <c r="N522">
        <f t="shared" si="41"/>
        <v>63</v>
      </c>
      <c r="O522" s="19" t="str">
        <f t="shared" si="42"/>
        <v>300k–600k</v>
      </c>
      <c r="P522" s="19" t="str">
        <f t="shared" si="43"/>
        <v>56+</v>
      </c>
    </row>
    <row r="523" spans="1:16" x14ac:dyDescent="0.25">
      <c r="A523">
        <v>522</v>
      </c>
      <c r="B523" t="s">
        <v>15</v>
      </c>
      <c r="C523">
        <v>206538</v>
      </c>
      <c r="D523" t="s">
        <v>10</v>
      </c>
      <c r="E523" t="s">
        <v>16</v>
      </c>
      <c r="F523" t="s">
        <v>12</v>
      </c>
      <c r="G523" t="s">
        <v>13</v>
      </c>
      <c r="H523" t="s">
        <v>12</v>
      </c>
      <c r="I523">
        <v>56</v>
      </c>
      <c r="J523" t="str" cm="1">
        <f t="array" ref="J523">_xlfn.IFS(ISBLANK(C523),"FALTANTE",ABS((C523-$W$5)/$X$5)&gt;1.96,"ATÍPICO",ABS((C523-$W$5)/$X$5)&lt;=1.96,"NO ATÍPICO")</f>
        <v>NO ATÍPICO</v>
      </c>
      <c r="K523" t="str" cm="1">
        <f t="array" ref="K523">_xlfn.IFS(ISBLANK(I523),"FALTANTE",ABS((I523-$W$8)/$X$8)&gt;1.92,"ATÍPICO",ABS((I523-$W$8)/$X$8)&lt;=1.92,"NO ATÍPICO")</f>
        <v>NO ATÍPICO</v>
      </c>
      <c r="L523">
        <f t="shared" si="40"/>
        <v>206538</v>
      </c>
      <c r="M523" t="str">
        <f t="shared" si="44"/>
        <v>ASALARIADO</v>
      </c>
      <c r="N523">
        <f t="shared" si="41"/>
        <v>56</v>
      </c>
      <c r="O523" s="19" t="str">
        <f t="shared" si="42"/>
        <v>0–300k</v>
      </c>
      <c r="P523" s="19" t="str">
        <f t="shared" si="43"/>
        <v>56+</v>
      </c>
    </row>
    <row r="524" spans="1:16" x14ac:dyDescent="0.25">
      <c r="A524">
        <v>523</v>
      </c>
      <c r="B524" t="s">
        <v>9</v>
      </c>
      <c r="C524">
        <v>436481</v>
      </c>
      <c r="D524" t="s">
        <v>18</v>
      </c>
      <c r="E524" t="s">
        <v>16</v>
      </c>
      <c r="F524" t="s">
        <v>12</v>
      </c>
      <c r="G524" t="s">
        <v>13</v>
      </c>
      <c r="H524" t="s">
        <v>12</v>
      </c>
      <c r="I524">
        <v>51</v>
      </c>
      <c r="J524" t="str" cm="1">
        <f t="array" ref="J524">_xlfn.IFS(ISBLANK(C524),"FALTANTE",ABS((C524-$W$5)/$X$5)&gt;1.96,"ATÍPICO",ABS((C524-$W$5)/$X$5)&lt;=1.96,"NO ATÍPICO")</f>
        <v>NO ATÍPICO</v>
      </c>
      <c r="K524" t="str" cm="1">
        <f t="array" ref="K524">_xlfn.IFS(ISBLANK(I524),"FALTANTE",ABS((I524-$W$8)/$X$8)&gt;1.92,"ATÍPICO",ABS((I524-$W$8)/$X$8)&lt;=1.92,"NO ATÍPICO")</f>
        <v>NO ATÍPICO</v>
      </c>
      <c r="L524">
        <f t="shared" si="40"/>
        <v>436481</v>
      </c>
      <c r="M524" t="str">
        <f t="shared" si="44"/>
        <v>TRABAJADOR INDEPENDIENTE</v>
      </c>
      <c r="N524">
        <f t="shared" si="41"/>
        <v>51</v>
      </c>
      <c r="O524" s="19" t="str">
        <f t="shared" si="42"/>
        <v>300k–600k</v>
      </c>
      <c r="P524" s="19" t="str">
        <f t="shared" si="43"/>
        <v>46-55</v>
      </c>
    </row>
    <row r="525" spans="1:16" x14ac:dyDescent="0.25">
      <c r="A525">
        <v>524</v>
      </c>
      <c r="B525" t="s">
        <v>9</v>
      </c>
      <c r="C525">
        <v>318445</v>
      </c>
      <c r="D525" t="s">
        <v>18</v>
      </c>
      <c r="E525" t="s">
        <v>16</v>
      </c>
      <c r="F525" t="s">
        <v>12</v>
      </c>
      <c r="G525" t="s">
        <v>13</v>
      </c>
      <c r="H525" t="s">
        <v>13</v>
      </c>
      <c r="I525">
        <v>47</v>
      </c>
      <c r="J525" t="str" cm="1">
        <f t="array" ref="J525">_xlfn.IFS(ISBLANK(C525),"FALTANTE",ABS((C525-$W$5)/$X$5)&gt;1.96,"ATÍPICO",ABS((C525-$W$5)/$X$5)&lt;=1.96,"NO ATÍPICO")</f>
        <v>NO ATÍPICO</v>
      </c>
      <c r="K525" t="str" cm="1">
        <f t="array" ref="K525">_xlfn.IFS(ISBLANK(I525),"FALTANTE",ABS((I525-$W$8)/$X$8)&gt;1.92,"ATÍPICO",ABS((I525-$W$8)/$X$8)&lt;=1.92,"NO ATÍPICO")</f>
        <v>NO ATÍPICO</v>
      </c>
      <c r="L525">
        <f t="shared" si="40"/>
        <v>318445</v>
      </c>
      <c r="M525" t="str">
        <f t="shared" si="44"/>
        <v>TRABAJADOR INDEPENDIENTE</v>
      </c>
      <c r="N525">
        <f t="shared" si="41"/>
        <v>47</v>
      </c>
      <c r="O525" s="19" t="str">
        <f t="shared" si="42"/>
        <v>300k–600k</v>
      </c>
      <c r="P525" s="19" t="str">
        <f t="shared" si="43"/>
        <v>46-55</v>
      </c>
    </row>
    <row r="526" spans="1:16" x14ac:dyDescent="0.25">
      <c r="A526">
        <v>525</v>
      </c>
      <c r="B526" t="s">
        <v>15</v>
      </c>
      <c r="C526">
        <v>280000</v>
      </c>
      <c r="D526" t="s">
        <v>10</v>
      </c>
      <c r="E526" t="s">
        <v>16</v>
      </c>
      <c r="F526" t="s">
        <v>12</v>
      </c>
      <c r="G526" t="s">
        <v>13</v>
      </c>
      <c r="H526" t="s">
        <v>13</v>
      </c>
      <c r="I526">
        <v>27</v>
      </c>
      <c r="J526" t="str" cm="1">
        <f t="array" ref="J526">_xlfn.IFS(ISBLANK(C526),"FALTANTE",ABS((C526-$W$5)/$X$5)&gt;1.96,"ATÍPICO",ABS((C526-$W$5)/$X$5)&lt;=1.96,"NO ATÍPICO")</f>
        <v>NO ATÍPICO</v>
      </c>
      <c r="K526" t="str" cm="1">
        <f t="array" ref="K526">_xlfn.IFS(ISBLANK(I526),"FALTANTE",ABS((I526-$W$8)/$X$8)&gt;1.92,"ATÍPICO",ABS((I526-$W$8)/$X$8)&lt;=1.92,"NO ATÍPICO")</f>
        <v>NO ATÍPICO</v>
      </c>
      <c r="L526">
        <f t="shared" si="40"/>
        <v>280000</v>
      </c>
      <c r="M526" t="str">
        <f t="shared" si="44"/>
        <v>ASALARIADO</v>
      </c>
      <c r="N526">
        <f t="shared" si="41"/>
        <v>27</v>
      </c>
      <c r="O526" s="19" t="str">
        <f t="shared" si="42"/>
        <v>0–300k</v>
      </c>
      <c r="P526" s="19" t="str">
        <f t="shared" si="43"/>
        <v>26-35</v>
      </c>
    </row>
    <row r="527" spans="1:16" x14ac:dyDescent="0.25">
      <c r="A527">
        <v>526</v>
      </c>
      <c r="B527" t="s">
        <v>15</v>
      </c>
      <c r="C527">
        <v>250070.75</v>
      </c>
      <c r="D527" t="s">
        <v>10</v>
      </c>
      <c r="E527" t="s">
        <v>16</v>
      </c>
      <c r="F527" t="s">
        <v>12</v>
      </c>
      <c r="G527" t="s">
        <v>13</v>
      </c>
      <c r="H527" t="s">
        <v>13</v>
      </c>
      <c r="I527">
        <v>54</v>
      </c>
      <c r="J527" t="str" cm="1">
        <f t="array" ref="J527">_xlfn.IFS(ISBLANK(C527),"FALTANTE",ABS((C527-$W$5)/$X$5)&gt;1.96,"ATÍPICO",ABS((C527-$W$5)/$X$5)&lt;=1.96,"NO ATÍPICO")</f>
        <v>NO ATÍPICO</v>
      </c>
      <c r="K527" t="str" cm="1">
        <f t="array" ref="K527">_xlfn.IFS(ISBLANK(I527),"FALTANTE",ABS((I527-$W$8)/$X$8)&gt;1.92,"ATÍPICO",ABS((I527-$W$8)/$X$8)&lt;=1.92,"NO ATÍPICO")</f>
        <v>NO ATÍPICO</v>
      </c>
      <c r="L527">
        <f t="shared" si="40"/>
        <v>250070.75</v>
      </c>
      <c r="M527" t="str">
        <f t="shared" si="44"/>
        <v>ASALARIADO</v>
      </c>
      <c r="N527">
        <f t="shared" si="41"/>
        <v>54</v>
      </c>
      <c r="O527" s="19" t="str">
        <f t="shared" si="42"/>
        <v>0–300k</v>
      </c>
      <c r="P527" s="19" t="str">
        <f t="shared" si="43"/>
        <v>46-55</v>
      </c>
    </row>
    <row r="528" spans="1:16" x14ac:dyDescent="0.25">
      <c r="A528">
        <v>527</v>
      </c>
      <c r="B528" t="s">
        <v>9</v>
      </c>
      <c r="C528">
        <v>1214203</v>
      </c>
      <c r="D528" t="s">
        <v>10</v>
      </c>
      <c r="E528" t="s">
        <v>11</v>
      </c>
      <c r="F528" t="s">
        <v>12</v>
      </c>
      <c r="G528" t="s">
        <v>13</v>
      </c>
      <c r="H528" t="s">
        <v>13</v>
      </c>
      <c r="I528">
        <v>36</v>
      </c>
      <c r="J528" t="str" cm="1">
        <f t="array" ref="J528">_xlfn.IFS(ISBLANK(C528),"FALTANTE",ABS((C528-$W$5)/$X$5)&gt;1.96,"ATÍPICO",ABS((C528-$W$5)/$X$5)&lt;=1.96,"NO ATÍPICO")</f>
        <v>NO ATÍPICO</v>
      </c>
      <c r="K528" t="str" cm="1">
        <f t="array" ref="K528">_xlfn.IFS(ISBLANK(I528),"FALTANTE",ABS((I528-$W$8)/$X$8)&gt;1.92,"ATÍPICO",ABS((I528-$W$8)/$X$8)&lt;=1.92,"NO ATÍPICO")</f>
        <v>NO ATÍPICO</v>
      </c>
      <c r="L528">
        <f t="shared" si="40"/>
        <v>1214203</v>
      </c>
      <c r="M528" t="str">
        <f t="shared" si="44"/>
        <v>ASALARIADO</v>
      </c>
      <c r="N528">
        <f t="shared" si="41"/>
        <v>36</v>
      </c>
      <c r="O528" s="19" t="str">
        <f t="shared" si="42"/>
        <v>1200k+</v>
      </c>
      <c r="P528" s="19" t="str">
        <f t="shared" si="43"/>
        <v>36-45</v>
      </c>
    </row>
    <row r="529" spans="1:16" x14ac:dyDescent="0.25">
      <c r="A529">
        <v>528</v>
      </c>
      <c r="B529" t="s">
        <v>9</v>
      </c>
      <c r="C529">
        <v>430371</v>
      </c>
      <c r="D529" t="s">
        <v>18</v>
      </c>
      <c r="E529" t="s">
        <v>16</v>
      </c>
      <c r="F529" t="s">
        <v>12</v>
      </c>
      <c r="G529" t="s">
        <v>13</v>
      </c>
      <c r="H529" t="s">
        <v>12</v>
      </c>
      <c r="I529">
        <v>34</v>
      </c>
      <c r="J529" t="str" cm="1">
        <f t="array" ref="J529">_xlfn.IFS(ISBLANK(C529),"FALTANTE",ABS((C529-$W$5)/$X$5)&gt;1.96,"ATÍPICO",ABS((C529-$W$5)/$X$5)&lt;=1.96,"NO ATÍPICO")</f>
        <v>NO ATÍPICO</v>
      </c>
      <c r="K529" t="str" cm="1">
        <f t="array" ref="K529">_xlfn.IFS(ISBLANK(I529),"FALTANTE",ABS((I529-$W$8)/$X$8)&gt;1.92,"ATÍPICO",ABS((I529-$W$8)/$X$8)&lt;=1.92,"NO ATÍPICO")</f>
        <v>NO ATÍPICO</v>
      </c>
      <c r="L529">
        <f t="shared" si="40"/>
        <v>430371</v>
      </c>
      <c r="M529" t="str">
        <f t="shared" si="44"/>
        <v>TRABAJADOR INDEPENDIENTE</v>
      </c>
      <c r="N529">
        <f t="shared" si="41"/>
        <v>34</v>
      </c>
      <c r="O529" s="19" t="str">
        <f t="shared" si="42"/>
        <v>300k–600k</v>
      </c>
      <c r="P529" s="19" t="str">
        <f t="shared" si="43"/>
        <v>26-35</v>
      </c>
    </row>
    <row r="530" spans="1:16" x14ac:dyDescent="0.25">
      <c r="A530">
        <v>529</v>
      </c>
      <c r="B530" t="s">
        <v>9</v>
      </c>
      <c r="C530">
        <v>558244.5</v>
      </c>
      <c r="D530" t="s">
        <v>10</v>
      </c>
      <c r="E530" t="s">
        <v>16</v>
      </c>
      <c r="F530" t="s">
        <v>12</v>
      </c>
      <c r="G530" t="s">
        <v>13</v>
      </c>
      <c r="H530" t="s">
        <v>13</v>
      </c>
      <c r="I530">
        <v>51</v>
      </c>
      <c r="J530" t="str" cm="1">
        <f t="array" ref="J530">_xlfn.IFS(ISBLANK(C530),"FALTANTE",ABS((C530-$W$5)/$X$5)&gt;1.96,"ATÍPICO",ABS((C530-$W$5)/$X$5)&lt;=1.96,"NO ATÍPICO")</f>
        <v>NO ATÍPICO</v>
      </c>
      <c r="K530" t="str" cm="1">
        <f t="array" ref="K530">_xlfn.IFS(ISBLANK(I530),"FALTANTE",ABS((I530-$W$8)/$X$8)&gt;1.92,"ATÍPICO",ABS((I530-$W$8)/$X$8)&lt;=1.92,"NO ATÍPICO")</f>
        <v>NO ATÍPICO</v>
      </c>
      <c r="L530">
        <f t="shared" si="40"/>
        <v>558244.5</v>
      </c>
      <c r="M530" t="str">
        <f t="shared" si="44"/>
        <v>ASALARIADO</v>
      </c>
      <c r="N530">
        <f t="shared" si="41"/>
        <v>51</v>
      </c>
      <c r="O530" s="19" t="str">
        <f t="shared" si="42"/>
        <v>300k–600k</v>
      </c>
      <c r="P530" s="19" t="str">
        <f t="shared" si="43"/>
        <v>46-55</v>
      </c>
    </row>
    <row r="531" spans="1:16" x14ac:dyDescent="0.25">
      <c r="A531">
        <v>530</v>
      </c>
      <c r="B531" t="s">
        <v>15</v>
      </c>
      <c r="C531">
        <v>304913</v>
      </c>
      <c r="D531" t="s">
        <v>10</v>
      </c>
      <c r="E531" t="s">
        <v>11</v>
      </c>
      <c r="F531" t="s">
        <v>12</v>
      </c>
      <c r="G531" t="s">
        <v>13</v>
      </c>
      <c r="H531" t="s">
        <v>13</v>
      </c>
      <c r="I531">
        <v>45</v>
      </c>
      <c r="J531" t="str" cm="1">
        <f t="array" ref="J531">_xlfn.IFS(ISBLANK(C531),"FALTANTE",ABS((C531-$W$5)/$X$5)&gt;1.96,"ATÍPICO",ABS((C531-$W$5)/$X$5)&lt;=1.96,"NO ATÍPICO")</f>
        <v>NO ATÍPICO</v>
      </c>
      <c r="K531" t="str" cm="1">
        <f t="array" ref="K531">_xlfn.IFS(ISBLANK(I531),"FALTANTE",ABS((I531-$W$8)/$X$8)&gt;1.92,"ATÍPICO",ABS((I531-$W$8)/$X$8)&lt;=1.92,"NO ATÍPICO")</f>
        <v>NO ATÍPICO</v>
      </c>
      <c r="L531">
        <f t="shared" si="40"/>
        <v>304913</v>
      </c>
      <c r="M531" t="str">
        <f t="shared" si="44"/>
        <v>ASALARIADO</v>
      </c>
      <c r="N531">
        <f t="shared" si="41"/>
        <v>45</v>
      </c>
      <c r="O531" s="19" t="str">
        <f t="shared" si="42"/>
        <v>300k–600k</v>
      </c>
      <c r="P531" s="19" t="str">
        <f t="shared" si="43"/>
        <v>36-45</v>
      </c>
    </row>
    <row r="532" spans="1:16" x14ac:dyDescent="0.25">
      <c r="A532">
        <v>531</v>
      </c>
      <c r="B532" t="s">
        <v>9</v>
      </c>
      <c r="C532">
        <v>1736277</v>
      </c>
      <c r="D532" t="s">
        <v>10</v>
      </c>
      <c r="E532" t="s">
        <v>11</v>
      </c>
      <c r="F532" t="s">
        <v>12</v>
      </c>
      <c r="G532" t="s">
        <v>13</v>
      </c>
      <c r="H532" t="s">
        <v>13</v>
      </c>
      <c r="I532">
        <v>42</v>
      </c>
      <c r="J532" t="str" cm="1">
        <f t="array" ref="J532">_xlfn.IFS(ISBLANK(C532),"FALTANTE",ABS((C532-$W$5)/$X$5)&gt;1.96,"ATÍPICO",ABS((C532-$W$5)/$X$5)&lt;=1.96,"NO ATÍPICO")</f>
        <v>NO ATÍPICO</v>
      </c>
      <c r="K532" t="str" cm="1">
        <f t="array" ref="K532">_xlfn.IFS(ISBLANK(I532),"FALTANTE",ABS((I532-$W$8)/$X$8)&gt;1.92,"ATÍPICO",ABS((I532-$W$8)/$X$8)&lt;=1.92,"NO ATÍPICO")</f>
        <v>NO ATÍPICO</v>
      </c>
      <c r="L532">
        <f t="shared" si="40"/>
        <v>1736277</v>
      </c>
      <c r="M532" t="str">
        <f t="shared" si="44"/>
        <v>ASALARIADO</v>
      </c>
      <c r="N532">
        <f t="shared" si="41"/>
        <v>42</v>
      </c>
      <c r="O532" s="19" t="str">
        <f t="shared" si="42"/>
        <v>1200k+</v>
      </c>
      <c r="P532" s="19" t="str">
        <f t="shared" si="43"/>
        <v>36-45</v>
      </c>
    </row>
    <row r="533" spans="1:16" x14ac:dyDescent="0.25">
      <c r="A533">
        <v>532</v>
      </c>
      <c r="B533" t="s">
        <v>15</v>
      </c>
      <c r="C533">
        <v>934810.14</v>
      </c>
      <c r="D533" t="s">
        <v>10</v>
      </c>
      <c r="E533" t="s">
        <v>11</v>
      </c>
      <c r="F533" t="s">
        <v>12</v>
      </c>
      <c r="G533" t="s">
        <v>13</v>
      </c>
      <c r="H533" t="s">
        <v>13</v>
      </c>
      <c r="I533">
        <v>44</v>
      </c>
      <c r="J533" t="str" cm="1">
        <f t="array" ref="J533">_xlfn.IFS(ISBLANK(C533),"FALTANTE",ABS((C533-$W$5)/$X$5)&gt;1.96,"ATÍPICO",ABS((C533-$W$5)/$X$5)&lt;=1.96,"NO ATÍPICO")</f>
        <v>NO ATÍPICO</v>
      </c>
      <c r="K533" t="str" cm="1">
        <f t="array" ref="K533">_xlfn.IFS(ISBLANK(I533),"FALTANTE",ABS((I533-$W$8)/$X$8)&gt;1.92,"ATÍPICO",ABS((I533-$W$8)/$X$8)&lt;=1.92,"NO ATÍPICO")</f>
        <v>NO ATÍPICO</v>
      </c>
      <c r="L533">
        <f t="shared" si="40"/>
        <v>934810.14</v>
      </c>
      <c r="M533" t="str">
        <f t="shared" si="44"/>
        <v>ASALARIADO</v>
      </c>
      <c r="N533">
        <f t="shared" si="41"/>
        <v>44</v>
      </c>
      <c r="O533" s="19" t="str">
        <f t="shared" si="42"/>
        <v>900k–1200k</v>
      </c>
      <c r="P533" s="19" t="str">
        <f t="shared" si="43"/>
        <v>36-45</v>
      </c>
    </row>
    <row r="534" spans="1:16" x14ac:dyDescent="0.25">
      <c r="A534">
        <v>533</v>
      </c>
      <c r="B534" t="s">
        <v>15</v>
      </c>
      <c r="C534">
        <v>319303</v>
      </c>
      <c r="D534" t="s">
        <v>17</v>
      </c>
      <c r="E534" t="s">
        <v>16</v>
      </c>
      <c r="F534" t="s">
        <v>12</v>
      </c>
      <c r="G534" t="s">
        <v>12</v>
      </c>
      <c r="H534" t="s">
        <v>12</v>
      </c>
      <c r="I534">
        <v>42</v>
      </c>
      <c r="J534" t="str" cm="1">
        <f t="array" ref="J534">_xlfn.IFS(ISBLANK(C534),"FALTANTE",ABS((C534-$W$5)/$X$5)&gt;1.96,"ATÍPICO",ABS((C534-$W$5)/$X$5)&lt;=1.96,"NO ATÍPICO")</f>
        <v>NO ATÍPICO</v>
      </c>
      <c r="K534" t="str" cm="1">
        <f t="array" ref="K534">_xlfn.IFS(ISBLANK(I534),"FALTANTE",ABS((I534-$W$8)/$X$8)&gt;1.92,"ATÍPICO",ABS((I534-$W$8)/$X$8)&lt;=1.92,"NO ATÍPICO")</f>
        <v>NO ATÍPICO</v>
      </c>
      <c r="L534">
        <f t="shared" si="40"/>
        <v>319303</v>
      </c>
      <c r="M534" t="str">
        <f t="shared" si="44"/>
        <v>ASEGURADO VOLUNTARIO</v>
      </c>
      <c r="N534">
        <f t="shared" si="41"/>
        <v>42</v>
      </c>
      <c r="O534" s="19" t="str">
        <f t="shared" si="42"/>
        <v>300k–600k</v>
      </c>
      <c r="P534" s="19" t="str">
        <f t="shared" si="43"/>
        <v>36-45</v>
      </c>
    </row>
    <row r="535" spans="1:16" x14ac:dyDescent="0.25">
      <c r="A535">
        <v>534</v>
      </c>
      <c r="B535" t="s">
        <v>15</v>
      </c>
      <c r="C535">
        <v>629752</v>
      </c>
      <c r="D535" t="s">
        <v>10</v>
      </c>
      <c r="E535" t="s">
        <v>11</v>
      </c>
      <c r="F535" t="s">
        <v>12</v>
      </c>
      <c r="G535" t="s">
        <v>13</v>
      </c>
      <c r="H535" t="s">
        <v>13</v>
      </c>
      <c r="I535">
        <v>35</v>
      </c>
      <c r="J535" t="str" cm="1">
        <f t="array" ref="J535">_xlfn.IFS(ISBLANK(C535),"FALTANTE",ABS((C535-$W$5)/$X$5)&gt;1.96,"ATÍPICO",ABS((C535-$W$5)/$X$5)&lt;=1.96,"NO ATÍPICO")</f>
        <v>NO ATÍPICO</v>
      </c>
      <c r="K535" t="str" cm="1">
        <f t="array" ref="K535">_xlfn.IFS(ISBLANK(I535),"FALTANTE",ABS((I535-$W$8)/$X$8)&gt;1.92,"ATÍPICO",ABS((I535-$W$8)/$X$8)&lt;=1.92,"NO ATÍPICO")</f>
        <v>NO ATÍPICO</v>
      </c>
      <c r="L535">
        <f t="shared" si="40"/>
        <v>629752</v>
      </c>
      <c r="M535" t="str">
        <f t="shared" si="44"/>
        <v>ASALARIADO</v>
      </c>
      <c r="N535">
        <f t="shared" si="41"/>
        <v>35</v>
      </c>
      <c r="O535" s="19" t="str">
        <f t="shared" si="42"/>
        <v>600k–900k</v>
      </c>
      <c r="P535" s="19" t="str">
        <f t="shared" si="43"/>
        <v>26-35</v>
      </c>
    </row>
    <row r="536" spans="1:16" x14ac:dyDescent="0.25">
      <c r="A536">
        <v>535</v>
      </c>
      <c r="B536" t="s">
        <v>9</v>
      </c>
      <c r="C536">
        <v>10700</v>
      </c>
      <c r="D536" t="s">
        <v>10</v>
      </c>
      <c r="E536" t="s">
        <v>16</v>
      </c>
      <c r="F536" t="s">
        <v>12</v>
      </c>
      <c r="G536" t="s">
        <v>13</v>
      </c>
      <c r="H536" t="s">
        <v>13</v>
      </c>
      <c r="I536">
        <v>22</v>
      </c>
      <c r="J536" t="str" cm="1">
        <f t="array" ref="J536">_xlfn.IFS(ISBLANK(C536),"FALTANTE",ABS((C536-$W$5)/$X$5)&gt;1.96,"ATÍPICO",ABS((C536-$W$5)/$X$5)&lt;=1.96,"NO ATÍPICO")</f>
        <v>NO ATÍPICO</v>
      </c>
      <c r="K536" t="str" cm="1">
        <f t="array" ref="K536">_xlfn.IFS(ISBLANK(I536),"FALTANTE",ABS((I536-$W$8)/$X$8)&gt;1.92,"ATÍPICO",ABS((I536-$W$8)/$X$8)&lt;=1.92,"NO ATÍPICO")</f>
        <v>NO ATÍPICO</v>
      </c>
      <c r="L536">
        <f t="shared" si="40"/>
        <v>10700</v>
      </c>
      <c r="M536" t="str">
        <f t="shared" si="44"/>
        <v>ASALARIADO</v>
      </c>
      <c r="N536">
        <f t="shared" si="41"/>
        <v>22</v>
      </c>
      <c r="O536" s="19" t="str">
        <f t="shared" si="42"/>
        <v>0–300k</v>
      </c>
      <c r="P536" s="19" t="str">
        <f t="shared" si="43"/>
        <v>18-25</v>
      </c>
    </row>
    <row r="537" spans="1:16" x14ac:dyDescent="0.25">
      <c r="A537">
        <v>536</v>
      </c>
      <c r="B537" t="s">
        <v>9</v>
      </c>
      <c r="C537">
        <v>278030</v>
      </c>
      <c r="D537" t="s">
        <v>19</v>
      </c>
      <c r="E537" t="s">
        <v>16</v>
      </c>
      <c r="F537" t="s">
        <v>12</v>
      </c>
      <c r="G537" t="s">
        <v>13</v>
      </c>
      <c r="H537" t="s">
        <v>13</v>
      </c>
      <c r="I537">
        <v>56</v>
      </c>
      <c r="J537" t="str" cm="1">
        <f t="array" ref="J537">_xlfn.IFS(ISBLANK(C537),"FALTANTE",ABS((C537-$W$5)/$X$5)&gt;1.96,"ATÍPICO",ABS((C537-$W$5)/$X$5)&lt;=1.96,"NO ATÍPICO")</f>
        <v>NO ATÍPICO</v>
      </c>
      <c r="K537" t="str" cm="1">
        <f t="array" ref="K537">_xlfn.IFS(ISBLANK(I537),"FALTANTE",ABS((I537-$W$8)/$X$8)&gt;1.92,"ATÍPICO",ABS((I537-$W$8)/$X$8)&lt;=1.92,"NO ATÍPICO")</f>
        <v>NO ATÍPICO</v>
      </c>
      <c r="L537">
        <f t="shared" si="40"/>
        <v>278030</v>
      </c>
      <c r="M537" t="str">
        <f t="shared" si="44"/>
        <v>CONVENIOS ESPECIALES DE TRABAJADORES INDEPENDIENTES</v>
      </c>
      <c r="N537">
        <f t="shared" si="41"/>
        <v>56</v>
      </c>
      <c r="O537" s="19" t="str">
        <f t="shared" si="42"/>
        <v>0–300k</v>
      </c>
      <c r="P537" s="19" t="str">
        <f t="shared" si="43"/>
        <v>56+</v>
      </c>
    </row>
    <row r="538" spans="1:16" x14ac:dyDescent="0.25">
      <c r="A538">
        <v>537</v>
      </c>
      <c r="B538" t="s">
        <v>9</v>
      </c>
      <c r="C538">
        <v>1555300.2</v>
      </c>
      <c r="D538" t="s">
        <v>10</v>
      </c>
      <c r="E538" t="s">
        <v>11</v>
      </c>
      <c r="F538" t="s">
        <v>12</v>
      </c>
      <c r="G538" t="s">
        <v>13</v>
      </c>
      <c r="H538" t="s">
        <v>13</v>
      </c>
      <c r="I538">
        <v>51</v>
      </c>
      <c r="J538" t="str" cm="1">
        <f t="array" ref="J538">_xlfn.IFS(ISBLANK(C538),"FALTANTE",ABS((C538-$W$5)/$X$5)&gt;1.96,"ATÍPICO",ABS((C538-$W$5)/$X$5)&lt;=1.96,"NO ATÍPICO")</f>
        <v>NO ATÍPICO</v>
      </c>
      <c r="K538" t="str" cm="1">
        <f t="array" ref="K538">_xlfn.IFS(ISBLANK(I538),"FALTANTE",ABS((I538-$W$8)/$X$8)&gt;1.92,"ATÍPICO",ABS((I538-$W$8)/$X$8)&lt;=1.92,"NO ATÍPICO")</f>
        <v>NO ATÍPICO</v>
      </c>
      <c r="L538">
        <f t="shared" si="40"/>
        <v>1555300.2</v>
      </c>
      <c r="M538" t="str">
        <f t="shared" si="44"/>
        <v>ASALARIADO</v>
      </c>
      <c r="N538">
        <f t="shared" si="41"/>
        <v>51</v>
      </c>
      <c r="O538" s="19" t="str">
        <f t="shared" si="42"/>
        <v>1200k+</v>
      </c>
      <c r="P538" s="19" t="str">
        <f t="shared" si="43"/>
        <v>46-55</v>
      </c>
    </row>
    <row r="539" spans="1:16" x14ac:dyDescent="0.25">
      <c r="A539">
        <v>538</v>
      </c>
      <c r="B539" t="s">
        <v>9</v>
      </c>
      <c r="C539">
        <v>812000</v>
      </c>
      <c r="D539" t="s">
        <v>10</v>
      </c>
      <c r="E539" t="s">
        <v>16</v>
      </c>
      <c r="F539" t="s">
        <v>12</v>
      </c>
      <c r="G539" t="s">
        <v>13</v>
      </c>
      <c r="H539" t="s">
        <v>12</v>
      </c>
      <c r="I539">
        <v>30</v>
      </c>
      <c r="J539" t="str" cm="1">
        <f t="array" ref="J539">_xlfn.IFS(ISBLANK(C539),"FALTANTE",ABS((C539-$W$5)/$X$5)&gt;1.96,"ATÍPICO",ABS((C539-$W$5)/$X$5)&lt;=1.96,"NO ATÍPICO")</f>
        <v>NO ATÍPICO</v>
      </c>
      <c r="K539" t="str" cm="1">
        <f t="array" ref="K539">_xlfn.IFS(ISBLANK(I539),"FALTANTE",ABS((I539-$W$8)/$X$8)&gt;1.92,"ATÍPICO",ABS((I539-$W$8)/$X$8)&lt;=1.92,"NO ATÍPICO")</f>
        <v>NO ATÍPICO</v>
      </c>
      <c r="L539">
        <f t="shared" si="40"/>
        <v>812000</v>
      </c>
      <c r="M539" t="str">
        <f t="shared" si="44"/>
        <v>ASALARIADO</v>
      </c>
      <c r="N539">
        <f t="shared" si="41"/>
        <v>30</v>
      </c>
      <c r="O539" s="19" t="str">
        <f t="shared" si="42"/>
        <v>600k–900k</v>
      </c>
      <c r="P539" s="19" t="str">
        <f t="shared" si="43"/>
        <v>26-35</v>
      </c>
    </row>
    <row r="540" spans="1:16" x14ac:dyDescent="0.25">
      <c r="A540">
        <v>539</v>
      </c>
      <c r="B540" t="s">
        <v>9</v>
      </c>
      <c r="C540">
        <v>563607</v>
      </c>
      <c r="D540" t="s">
        <v>18</v>
      </c>
      <c r="E540" t="s">
        <v>16</v>
      </c>
      <c r="F540" t="s">
        <v>12</v>
      </c>
      <c r="G540" t="s">
        <v>12</v>
      </c>
      <c r="H540" t="s">
        <v>12</v>
      </c>
      <c r="I540">
        <v>53</v>
      </c>
      <c r="J540" t="str" cm="1">
        <f t="array" ref="J540">_xlfn.IFS(ISBLANK(C540),"FALTANTE",ABS((C540-$W$5)/$X$5)&gt;1.96,"ATÍPICO",ABS((C540-$W$5)/$X$5)&lt;=1.96,"NO ATÍPICO")</f>
        <v>NO ATÍPICO</v>
      </c>
      <c r="K540" t="str" cm="1">
        <f t="array" ref="K540">_xlfn.IFS(ISBLANK(I540),"FALTANTE",ABS((I540-$W$8)/$X$8)&gt;1.92,"ATÍPICO",ABS((I540-$W$8)/$X$8)&lt;=1.92,"NO ATÍPICO")</f>
        <v>NO ATÍPICO</v>
      </c>
      <c r="L540">
        <f t="shared" si="40"/>
        <v>563607</v>
      </c>
      <c r="M540" t="str">
        <f t="shared" si="44"/>
        <v>TRABAJADOR INDEPENDIENTE</v>
      </c>
      <c r="N540">
        <f t="shared" si="41"/>
        <v>53</v>
      </c>
      <c r="O540" s="19" t="str">
        <f t="shared" si="42"/>
        <v>300k–600k</v>
      </c>
      <c r="P540" s="19" t="str">
        <f t="shared" si="43"/>
        <v>46-55</v>
      </c>
    </row>
    <row r="541" spans="1:16" x14ac:dyDescent="0.25">
      <c r="A541">
        <v>540</v>
      </c>
      <c r="B541" t="s">
        <v>9</v>
      </c>
      <c r="C541">
        <v>175000</v>
      </c>
      <c r="D541" t="s">
        <v>10</v>
      </c>
      <c r="E541" t="s">
        <v>16</v>
      </c>
      <c r="F541" t="s">
        <v>12</v>
      </c>
      <c r="G541" t="s">
        <v>13</v>
      </c>
      <c r="H541" t="s">
        <v>13</v>
      </c>
      <c r="I541">
        <v>29</v>
      </c>
      <c r="J541" t="str" cm="1">
        <f t="array" ref="J541">_xlfn.IFS(ISBLANK(C541),"FALTANTE",ABS((C541-$W$5)/$X$5)&gt;1.96,"ATÍPICO",ABS((C541-$W$5)/$X$5)&lt;=1.96,"NO ATÍPICO")</f>
        <v>NO ATÍPICO</v>
      </c>
      <c r="K541" t="str" cm="1">
        <f t="array" ref="K541">_xlfn.IFS(ISBLANK(I541),"FALTANTE",ABS((I541-$W$8)/$X$8)&gt;1.92,"ATÍPICO",ABS((I541-$W$8)/$X$8)&lt;=1.92,"NO ATÍPICO")</f>
        <v>NO ATÍPICO</v>
      </c>
      <c r="L541">
        <f t="shared" si="40"/>
        <v>175000</v>
      </c>
      <c r="M541" t="str">
        <f t="shared" si="44"/>
        <v>ASALARIADO</v>
      </c>
      <c r="N541">
        <f t="shared" si="41"/>
        <v>29</v>
      </c>
      <c r="O541" s="19" t="str">
        <f t="shared" si="42"/>
        <v>0–300k</v>
      </c>
      <c r="P541" s="19" t="str">
        <f t="shared" si="43"/>
        <v>26-35</v>
      </c>
    </row>
    <row r="542" spans="1:16" x14ac:dyDescent="0.25">
      <c r="A542">
        <v>541</v>
      </c>
      <c r="B542" t="s">
        <v>9</v>
      </c>
      <c r="C542">
        <v>403293</v>
      </c>
      <c r="D542" t="s">
        <v>17</v>
      </c>
      <c r="E542" t="s">
        <v>16</v>
      </c>
      <c r="F542" t="s">
        <v>12</v>
      </c>
      <c r="G542" t="s">
        <v>12</v>
      </c>
      <c r="H542" t="s">
        <v>13</v>
      </c>
      <c r="I542">
        <v>29</v>
      </c>
      <c r="J542" t="str" cm="1">
        <f t="array" ref="J542">_xlfn.IFS(ISBLANK(C542),"FALTANTE",ABS((C542-$W$5)/$X$5)&gt;1.96,"ATÍPICO",ABS((C542-$W$5)/$X$5)&lt;=1.96,"NO ATÍPICO")</f>
        <v>NO ATÍPICO</v>
      </c>
      <c r="K542" t="str" cm="1">
        <f t="array" ref="K542">_xlfn.IFS(ISBLANK(I542),"FALTANTE",ABS((I542-$W$8)/$X$8)&gt;1.92,"ATÍPICO",ABS((I542-$W$8)/$X$8)&lt;=1.92,"NO ATÍPICO")</f>
        <v>NO ATÍPICO</v>
      </c>
      <c r="L542">
        <f t="shared" si="40"/>
        <v>403293</v>
      </c>
      <c r="M542" t="str">
        <f t="shared" si="44"/>
        <v>ASEGURADO VOLUNTARIO</v>
      </c>
      <c r="N542">
        <f t="shared" si="41"/>
        <v>29</v>
      </c>
      <c r="O542" s="19" t="str">
        <f t="shared" si="42"/>
        <v>300k–600k</v>
      </c>
      <c r="P542" s="19" t="str">
        <f t="shared" si="43"/>
        <v>26-35</v>
      </c>
    </row>
    <row r="543" spans="1:16" x14ac:dyDescent="0.25">
      <c r="A543">
        <v>542</v>
      </c>
      <c r="B543" t="s">
        <v>9</v>
      </c>
      <c r="C543">
        <v>1523795.76</v>
      </c>
      <c r="D543" t="s">
        <v>10</v>
      </c>
      <c r="E543" t="s">
        <v>11</v>
      </c>
      <c r="F543" t="s">
        <v>12</v>
      </c>
      <c r="G543" t="s">
        <v>13</v>
      </c>
      <c r="H543" t="s">
        <v>13</v>
      </c>
      <c r="I543">
        <v>61</v>
      </c>
      <c r="J543" t="str" cm="1">
        <f t="array" ref="J543">_xlfn.IFS(ISBLANK(C543),"FALTANTE",ABS((C543-$W$5)/$X$5)&gt;1.96,"ATÍPICO",ABS((C543-$W$5)/$X$5)&lt;=1.96,"NO ATÍPICO")</f>
        <v>NO ATÍPICO</v>
      </c>
      <c r="K543" t="str" cm="1">
        <f t="array" ref="K543">_xlfn.IFS(ISBLANK(I543),"FALTANTE",ABS((I543-$W$8)/$X$8)&gt;1.92,"ATÍPICO",ABS((I543-$W$8)/$X$8)&lt;=1.92,"NO ATÍPICO")</f>
        <v>NO ATÍPICO</v>
      </c>
      <c r="L543">
        <f t="shared" si="40"/>
        <v>1523795.76</v>
      </c>
      <c r="M543" t="str">
        <f t="shared" si="44"/>
        <v>ASALARIADO</v>
      </c>
      <c r="N543">
        <f t="shared" si="41"/>
        <v>61</v>
      </c>
      <c r="O543" s="19" t="str">
        <f t="shared" si="42"/>
        <v>1200k+</v>
      </c>
      <c r="P543" s="19" t="str">
        <f t="shared" si="43"/>
        <v>56+</v>
      </c>
    </row>
    <row r="544" spans="1:16" x14ac:dyDescent="0.25">
      <c r="A544">
        <v>543</v>
      </c>
      <c r="B544" t="s">
        <v>9</v>
      </c>
      <c r="C544">
        <v>997036</v>
      </c>
      <c r="D544" t="s">
        <v>10</v>
      </c>
      <c r="E544" t="s">
        <v>11</v>
      </c>
      <c r="F544" t="s">
        <v>12</v>
      </c>
      <c r="G544" t="s">
        <v>13</v>
      </c>
      <c r="H544" t="s">
        <v>13</v>
      </c>
      <c r="I544">
        <v>63</v>
      </c>
      <c r="J544" t="str" cm="1">
        <f t="array" ref="J544">_xlfn.IFS(ISBLANK(C544),"FALTANTE",ABS((C544-$W$5)/$X$5)&gt;1.96,"ATÍPICO",ABS((C544-$W$5)/$X$5)&lt;=1.96,"NO ATÍPICO")</f>
        <v>NO ATÍPICO</v>
      </c>
      <c r="K544" t="str" cm="1">
        <f t="array" ref="K544">_xlfn.IFS(ISBLANK(I544),"FALTANTE",ABS((I544-$W$8)/$X$8)&gt;1.92,"ATÍPICO",ABS((I544-$W$8)/$X$8)&lt;=1.92,"NO ATÍPICO")</f>
        <v>NO ATÍPICO</v>
      </c>
      <c r="L544">
        <f t="shared" si="40"/>
        <v>997036</v>
      </c>
      <c r="M544" t="str">
        <f t="shared" si="44"/>
        <v>ASALARIADO</v>
      </c>
      <c r="N544">
        <f t="shared" si="41"/>
        <v>63</v>
      </c>
      <c r="O544" s="19" t="str">
        <f t="shared" si="42"/>
        <v>900k–1200k</v>
      </c>
      <c r="P544" s="19" t="str">
        <f t="shared" si="43"/>
        <v>56+</v>
      </c>
    </row>
    <row r="545" spans="1:16" x14ac:dyDescent="0.25">
      <c r="A545">
        <v>544</v>
      </c>
      <c r="B545" t="s">
        <v>9</v>
      </c>
      <c r="C545">
        <v>532934.25</v>
      </c>
      <c r="D545" t="s">
        <v>10</v>
      </c>
      <c r="E545" t="s">
        <v>16</v>
      </c>
      <c r="F545" t="s">
        <v>12</v>
      </c>
      <c r="G545" t="s">
        <v>13</v>
      </c>
      <c r="H545" t="s">
        <v>13</v>
      </c>
      <c r="I545">
        <v>36</v>
      </c>
      <c r="J545" t="str" cm="1">
        <f t="array" ref="J545">_xlfn.IFS(ISBLANK(C545),"FALTANTE",ABS((C545-$W$5)/$X$5)&gt;1.96,"ATÍPICO",ABS((C545-$W$5)/$X$5)&lt;=1.96,"NO ATÍPICO")</f>
        <v>NO ATÍPICO</v>
      </c>
      <c r="K545" t="str" cm="1">
        <f t="array" ref="K545">_xlfn.IFS(ISBLANK(I545),"FALTANTE",ABS((I545-$W$8)/$X$8)&gt;1.92,"ATÍPICO",ABS((I545-$W$8)/$X$8)&lt;=1.92,"NO ATÍPICO")</f>
        <v>NO ATÍPICO</v>
      </c>
      <c r="L545">
        <f t="shared" si="40"/>
        <v>532934.25</v>
      </c>
      <c r="M545" t="str">
        <f t="shared" si="44"/>
        <v>ASALARIADO</v>
      </c>
      <c r="N545">
        <f t="shared" si="41"/>
        <v>36</v>
      </c>
      <c r="O545" s="19" t="str">
        <f t="shared" si="42"/>
        <v>300k–600k</v>
      </c>
      <c r="P545" s="19" t="str">
        <f t="shared" si="43"/>
        <v>36-45</v>
      </c>
    </row>
    <row r="546" spans="1:16" x14ac:dyDescent="0.25">
      <c r="A546">
        <v>545</v>
      </c>
      <c r="B546" t="s">
        <v>9</v>
      </c>
      <c r="C546">
        <v>877312.5</v>
      </c>
      <c r="D546" t="s">
        <v>10</v>
      </c>
      <c r="E546" t="s">
        <v>16</v>
      </c>
      <c r="F546" t="s">
        <v>12</v>
      </c>
      <c r="G546" t="s">
        <v>13</v>
      </c>
      <c r="H546" t="s">
        <v>13</v>
      </c>
      <c r="I546">
        <v>29</v>
      </c>
      <c r="J546" t="str" cm="1">
        <f t="array" ref="J546">_xlfn.IFS(ISBLANK(C546),"FALTANTE",ABS((C546-$W$5)/$X$5)&gt;1.96,"ATÍPICO",ABS((C546-$W$5)/$X$5)&lt;=1.96,"NO ATÍPICO")</f>
        <v>NO ATÍPICO</v>
      </c>
      <c r="K546" t="str" cm="1">
        <f t="array" ref="K546">_xlfn.IFS(ISBLANK(I546),"FALTANTE",ABS((I546-$W$8)/$X$8)&gt;1.92,"ATÍPICO",ABS((I546-$W$8)/$X$8)&lt;=1.92,"NO ATÍPICO")</f>
        <v>NO ATÍPICO</v>
      </c>
      <c r="L546">
        <f t="shared" si="40"/>
        <v>877312.5</v>
      </c>
      <c r="M546" t="str">
        <f t="shared" si="44"/>
        <v>ASALARIADO</v>
      </c>
      <c r="N546">
        <f t="shared" si="41"/>
        <v>29</v>
      </c>
      <c r="O546" s="19" t="str">
        <f t="shared" si="42"/>
        <v>600k–900k</v>
      </c>
      <c r="P546" s="19" t="str">
        <f t="shared" si="43"/>
        <v>26-35</v>
      </c>
    </row>
    <row r="547" spans="1:16" x14ac:dyDescent="0.25">
      <c r="A547">
        <v>546</v>
      </c>
      <c r="B547" t="s">
        <v>9</v>
      </c>
      <c r="C547">
        <v>1738706</v>
      </c>
      <c r="D547" t="s">
        <v>14</v>
      </c>
      <c r="E547" t="s">
        <v>11</v>
      </c>
      <c r="F547" t="s">
        <v>12</v>
      </c>
      <c r="G547" t="s">
        <v>13</v>
      </c>
      <c r="H547" t="s">
        <v>13</v>
      </c>
      <c r="I547">
        <v>50</v>
      </c>
      <c r="J547" t="str" cm="1">
        <f t="array" ref="J547">_xlfn.IFS(ISBLANK(C547),"FALTANTE",ABS((C547-$W$5)/$X$5)&gt;1.96,"ATÍPICO",ABS((C547-$W$5)/$X$5)&lt;=1.96,"NO ATÍPICO")</f>
        <v>NO ATÍPICO</v>
      </c>
      <c r="K547" t="str" cm="1">
        <f t="array" ref="K547">_xlfn.IFS(ISBLANK(I547),"FALTANTE",ABS((I547-$W$8)/$X$8)&gt;1.92,"ATÍPICO",ABS((I547-$W$8)/$X$8)&lt;=1.92,"NO ATÍPICO")</f>
        <v>NO ATÍPICO</v>
      </c>
      <c r="L547">
        <f t="shared" si="40"/>
        <v>1738706</v>
      </c>
      <c r="M547" t="str">
        <f t="shared" si="44"/>
        <v>PENSIONADOS EN SU PROPIO SISTEMA</v>
      </c>
      <c r="N547">
        <f t="shared" si="41"/>
        <v>50</v>
      </c>
      <c r="O547" s="19" t="str">
        <f t="shared" si="42"/>
        <v>1200k+</v>
      </c>
      <c r="P547" s="19" t="str">
        <f t="shared" si="43"/>
        <v>46-55</v>
      </c>
    </row>
    <row r="548" spans="1:16" x14ac:dyDescent="0.25">
      <c r="A548">
        <v>547</v>
      </c>
      <c r="B548" t="s">
        <v>9</v>
      </c>
      <c r="C548">
        <v>487592.14</v>
      </c>
      <c r="D548" t="s">
        <v>14</v>
      </c>
      <c r="E548" t="s">
        <v>11</v>
      </c>
      <c r="F548" t="s">
        <v>12</v>
      </c>
      <c r="G548" t="s">
        <v>13</v>
      </c>
      <c r="H548" t="s">
        <v>13</v>
      </c>
      <c r="I548">
        <v>69</v>
      </c>
      <c r="J548" t="str" cm="1">
        <f t="array" ref="J548">_xlfn.IFS(ISBLANK(C548),"FALTANTE",ABS((C548-$W$5)/$X$5)&gt;1.96,"ATÍPICO",ABS((C548-$W$5)/$X$5)&lt;=1.96,"NO ATÍPICO")</f>
        <v>NO ATÍPICO</v>
      </c>
      <c r="K548" t="str" cm="1">
        <f t="array" ref="K548">_xlfn.IFS(ISBLANK(I548),"FALTANTE",ABS((I548-$W$8)/$X$8)&gt;1.92,"ATÍPICO",ABS((I548-$W$8)/$X$8)&lt;=1.92,"NO ATÍPICO")</f>
        <v>NO ATÍPICO</v>
      </c>
      <c r="L548">
        <f t="shared" si="40"/>
        <v>487592.14</v>
      </c>
      <c r="M548" t="str">
        <f t="shared" si="44"/>
        <v>PENSIONADOS EN SU PROPIO SISTEMA</v>
      </c>
      <c r="N548">
        <f t="shared" si="41"/>
        <v>69</v>
      </c>
      <c r="O548" s="19" t="str">
        <f t="shared" si="42"/>
        <v>300k–600k</v>
      </c>
      <c r="P548" s="19" t="str">
        <f t="shared" si="43"/>
        <v>56+</v>
      </c>
    </row>
    <row r="549" spans="1:16" x14ac:dyDescent="0.25">
      <c r="A549">
        <v>548</v>
      </c>
      <c r="B549" t="s">
        <v>15</v>
      </c>
      <c r="C549">
        <v>772981.75</v>
      </c>
      <c r="D549" t="s">
        <v>10</v>
      </c>
      <c r="E549" t="s">
        <v>16</v>
      </c>
      <c r="F549" t="s">
        <v>12</v>
      </c>
      <c r="G549" t="s">
        <v>13</v>
      </c>
      <c r="H549" t="s">
        <v>13</v>
      </c>
      <c r="I549">
        <v>37</v>
      </c>
      <c r="J549" t="str" cm="1">
        <f t="array" ref="J549">_xlfn.IFS(ISBLANK(C549),"FALTANTE",ABS((C549-$W$5)/$X$5)&gt;1.96,"ATÍPICO",ABS((C549-$W$5)/$X$5)&lt;=1.96,"NO ATÍPICO")</f>
        <v>NO ATÍPICO</v>
      </c>
      <c r="K549" t="str" cm="1">
        <f t="array" ref="K549">_xlfn.IFS(ISBLANK(I549),"FALTANTE",ABS((I549-$W$8)/$X$8)&gt;1.92,"ATÍPICO",ABS((I549-$W$8)/$X$8)&lt;=1.92,"NO ATÍPICO")</f>
        <v>NO ATÍPICO</v>
      </c>
      <c r="L549">
        <f t="shared" si="40"/>
        <v>772981.75</v>
      </c>
      <c r="M549" t="str">
        <f t="shared" si="44"/>
        <v>ASALARIADO</v>
      </c>
      <c r="N549">
        <f t="shared" si="41"/>
        <v>37</v>
      </c>
      <c r="O549" s="19" t="str">
        <f t="shared" si="42"/>
        <v>600k–900k</v>
      </c>
      <c r="P549" s="19" t="str">
        <f t="shared" si="43"/>
        <v>36-45</v>
      </c>
    </row>
    <row r="550" spans="1:16" x14ac:dyDescent="0.25">
      <c r="A550">
        <v>549</v>
      </c>
      <c r="B550" t="s">
        <v>15</v>
      </c>
      <c r="C550">
        <v>297046</v>
      </c>
      <c r="D550" t="s">
        <v>17</v>
      </c>
      <c r="E550" t="s">
        <v>16</v>
      </c>
      <c r="F550" t="s">
        <v>12</v>
      </c>
      <c r="G550" t="s">
        <v>13</v>
      </c>
      <c r="H550" t="s">
        <v>13</v>
      </c>
      <c r="I550">
        <v>43</v>
      </c>
      <c r="J550" t="str" cm="1">
        <f t="array" ref="J550">_xlfn.IFS(ISBLANK(C550),"FALTANTE",ABS((C550-$W$5)/$X$5)&gt;1.96,"ATÍPICO",ABS((C550-$W$5)/$X$5)&lt;=1.96,"NO ATÍPICO")</f>
        <v>NO ATÍPICO</v>
      </c>
      <c r="K550" t="str" cm="1">
        <f t="array" ref="K550">_xlfn.IFS(ISBLANK(I550),"FALTANTE",ABS((I550-$W$8)/$X$8)&gt;1.92,"ATÍPICO",ABS((I550-$W$8)/$X$8)&lt;=1.92,"NO ATÍPICO")</f>
        <v>NO ATÍPICO</v>
      </c>
      <c r="L550">
        <f t="shared" si="40"/>
        <v>297046</v>
      </c>
      <c r="M550" t="str">
        <f t="shared" si="44"/>
        <v>ASEGURADO VOLUNTARIO</v>
      </c>
      <c r="N550">
        <f t="shared" si="41"/>
        <v>43</v>
      </c>
      <c r="O550" s="19" t="str">
        <f t="shared" si="42"/>
        <v>0–300k</v>
      </c>
      <c r="P550" s="19" t="str">
        <f t="shared" si="43"/>
        <v>36-45</v>
      </c>
    </row>
    <row r="551" spans="1:16" x14ac:dyDescent="0.25">
      <c r="A551">
        <v>550</v>
      </c>
      <c r="B551" t="s">
        <v>9</v>
      </c>
      <c r="C551">
        <v>1769790</v>
      </c>
      <c r="D551" t="s">
        <v>10</v>
      </c>
      <c r="E551" t="s">
        <v>16</v>
      </c>
      <c r="F551" t="s">
        <v>12</v>
      </c>
      <c r="G551" t="s">
        <v>13</v>
      </c>
      <c r="H551" t="s">
        <v>13</v>
      </c>
      <c r="I551">
        <v>25</v>
      </c>
      <c r="J551" t="str" cm="1">
        <f t="array" ref="J551">_xlfn.IFS(ISBLANK(C551),"FALTANTE",ABS((C551-$W$5)/$X$5)&gt;1.96,"ATÍPICO",ABS((C551-$W$5)/$X$5)&lt;=1.96,"NO ATÍPICO")</f>
        <v>NO ATÍPICO</v>
      </c>
      <c r="K551" t="str" cm="1">
        <f t="array" ref="K551">_xlfn.IFS(ISBLANK(I551),"FALTANTE",ABS((I551-$W$8)/$X$8)&gt;1.92,"ATÍPICO",ABS((I551-$W$8)/$X$8)&lt;=1.92,"NO ATÍPICO")</f>
        <v>NO ATÍPICO</v>
      </c>
      <c r="L551">
        <f t="shared" si="40"/>
        <v>1769790</v>
      </c>
      <c r="M551" t="str">
        <f t="shared" si="44"/>
        <v>ASALARIADO</v>
      </c>
      <c r="N551">
        <f t="shared" si="41"/>
        <v>25</v>
      </c>
      <c r="O551" s="19" t="str">
        <f t="shared" si="42"/>
        <v>1200k+</v>
      </c>
      <c r="P551" s="19" t="str">
        <f t="shared" si="43"/>
        <v>18-25</v>
      </c>
    </row>
    <row r="552" spans="1:16" x14ac:dyDescent="0.25">
      <c r="A552">
        <v>551</v>
      </c>
      <c r="B552" t="s">
        <v>15</v>
      </c>
      <c r="C552">
        <v>561272.5</v>
      </c>
      <c r="D552" t="s">
        <v>10</v>
      </c>
      <c r="E552" t="s">
        <v>11</v>
      </c>
      <c r="F552" t="s">
        <v>12</v>
      </c>
      <c r="G552" t="s">
        <v>13</v>
      </c>
      <c r="H552" t="s">
        <v>13</v>
      </c>
      <c r="I552">
        <v>52</v>
      </c>
      <c r="J552" t="str" cm="1">
        <f t="array" ref="J552">_xlfn.IFS(ISBLANK(C552),"FALTANTE",ABS((C552-$W$5)/$X$5)&gt;1.96,"ATÍPICO",ABS((C552-$W$5)/$X$5)&lt;=1.96,"NO ATÍPICO")</f>
        <v>NO ATÍPICO</v>
      </c>
      <c r="K552" t="str" cm="1">
        <f t="array" ref="K552">_xlfn.IFS(ISBLANK(I552),"FALTANTE",ABS((I552-$W$8)/$X$8)&gt;1.92,"ATÍPICO",ABS((I552-$W$8)/$X$8)&lt;=1.92,"NO ATÍPICO")</f>
        <v>NO ATÍPICO</v>
      </c>
      <c r="L552">
        <f t="shared" si="40"/>
        <v>561272.5</v>
      </c>
      <c r="M552" t="str">
        <f t="shared" si="44"/>
        <v>ASALARIADO</v>
      </c>
      <c r="N552">
        <f t="shared" si="41"/>
        <v>52</v>
      </c>
      <c r="O552" s="19" t="str">
        <f t="shared" si="42"/>
        <v>300k–600k</v>
      </c>
      <c r="P552" s="19" t="str">
        <f t="shared" si="43"/>
        <v>46-55</v>
      </c>
    </row>
    <row r="553" spans="1:16" x14ac:dyDescent="0.25">
      <c r="A553">
        <v>552</v>
      </c>
      <c r="B553" t="s">
        <v>9</v>
      </c>
      <c r="C553">
        <v>1088603.02</v>
      </c>
      <c r="D553" t="s">
        <v>10</v>
      </c>
      <c r="E553" t="s">
        <v>16</v>
      </c>
      <c r="F553" t="s">
        <v>12</v>
      </c>
      <c r="G553" t="s">
        <v>13</v>
      </c>
      <c r="H553" t="s">
        <v>13</v>
      </c>
      <c r="I553">
        <v>38</v>
      </c>
      <c r="J553" t="str" cm="1">
        <f t="array" ref="J553">_xlfn.IFS(ISBLANK(C553),"FALTANTE",ABS((C553-$W$5)/$X$5)&gt;1.96,"ATÍPICO",ABS((C553-$W$5)/$X$5)&lt;=1.96,"NO ATÍPICO")</f>
        <v>NO ATÍPICO</v>
      </c>
      <c r="K553" t="str" cm="1">
        <f t="array" ref="K553">_xlfn.IFS(ISBLANK(I553),"FALTANTE",ABS((I553-$W$8)/$X$8)&gt;1.92,"ATÍPICO",ABS((I553-$W$8)/$X$8)&lt;=1.92,"NO ATÍPICO")</f>
        <v>NO ATÍPICO</v>
      </c>
      <c r="L553">
        <f t="shared" si="40"/>
        <v>1088603.02</v>
      </c>
      <c r="M553" t="str">
        <f t="shared" si="44"/>
        <v>ASALARIADO</v>
      </c>
      <c r="N553">
        <f t="shared" si="41"/>
        <v>38</v>
      </c>
      <c r="O553" s="19" t="str">
        <f t="shared" si="42"/>
        <v>900k–1200k</v>
      </c>
      <c r="P553" s="19" t="str">
        <f t="shared" si="43"/>
        <v>36-45</v>
      </c>
    </row>
    <row r="554" spans="1:16" x14ac:dyDescent="0.25">
      <c r="A554">
        <v>553</v>
      </c>
      <c r="B554" t="s">
        <v>9</v>
      </c>
      <c r="C554">
        <v>1024300.76</v>
      </c>
      <c r="D554" t="s">
        <v>10</v>
      </c>
      <c r="E554" t="s">
        <v>16</v>
      </c>
      <c r="F554" t="s">
        <v>12</v>
      </c>
      <c r="G554" t="s">
        <v>13</v>
      </c>
      <c r="H554" t="s">
        <v>13</v>
      </c>
      <c r="I554">
        <v>38</v>
      </c>
      <c r="J554" t="str" cm="1">
        <f t="array" ref="J554">_xlfn.IFS(ISBLANK(C554),"FALTANTE",ABS((C554-$W$5)/$X$5)&gt;1.96,"ATÍPICO",ABS((C554-$W$5)/$X$5)&lt;=1.96,"NO ATÍPICO")</f>
        <v>NO ATÍPICO</v>
      </c>
      <c r="K554" t="str" cm="1">
        <f t="array" ref="K554">_xlfn.IFS(ISBLANK(I554),"FALTANTE",ABS((I554-$W$8)/$X$8)&gt;1.92,"ATÍPICO",ABS((I554-$W$8)/$X$8)&lt;=1.92,"NO ATÍPICO")</f>
        <v>NO ATÍPICO</v>
      </c>
      <c r="L554">
        <f t="shared" si="40"/>
        <v>1024300.76</v>
      </c>
      <c r="M554" t="str">
        <f t="shared" si="44"/>
        <v>ASALARIADO</v>
      </c>
      <c r="N554">
        <f t="shared" si="41"/>
        <v>38</v>
      </c>
      <c r="O554" s="19" t="str">
        <f t="shared" si="42"/>
        <v>900k–1200k</v>
      </c>
      <c r="P554" s="19" t="str">
        <f t="shared" si="43"/>
        <v>36-45</v>
      </c>
    </row>
    <row r="555" spans="1:16" x14ac:dyDescent="0.25">
      <c r="A555">
        <v>554</v>
      </c>
      <c r="B555" t="s">
        <v>9</v>
      </c>
      <c r="C555">
        <v>278030</v>
      </c>
      <c r="D555" t="s">
        <v>19</v>
      </c>
      <c r="E555" t="s">
        <v>16</v>
      </c>
      <c r="F555" t="s">
        <v>12</v>
      </c>
      <c r="G555" t="s">
        <v>13</v>
      </c>
      <c r="H555" t="s">
        <v>13</v>
      </c>
      <c r="I555">
        <v>30</v>
      </c>
      <c r="J555" t="str" cm="1">
        <f t="array" ref="J555">_xlfn.IFS(ISBLANK(C555),"FALTANTE",ABS((C555-$W$5)/$X$5)&gt;1.96,"ATÍPICO",ABS((C555-$W$5)/$X$5)&lt;=1.96,"NO ATÍPICO")</f>
        <v>NO ATÍPICO</v>
      </c>
      <c r="K555" t="str" cm="1">
        <f t="array" ref="K555">_xlfn.IFS(ISBLANK(I555),"FALTANTE",ABS((I555-$W$8)/$X$8)&gt;1.92,"ATÍPICO",ABS((I555-$W$8)/$X$8)&lt;=1.92,"NO ATÍPICO")</f>
        <v>NO ATÍPICO</v>
      </c>
      <c r="L555">
        <f t="shared" si="40"/>
        <v>278030</v>
      </c>
      <c r="M555" t="str">
        <f t="shared" si="44"/>
        <v>CONVENIOS ESPECIALES DE TRABAJADORES INDEPENDIENTES</v>
      </c>
      <c r="N555">
        <f t="shared" si="41"/>
        <v>30</v>
      </c>
      <c r="O555" s="19" t="str">
        <f t="shared" si="42"/>
        <v>0–300k</v>
      </c>
      <c r="P555" s="19" t="str">
        <f t="shared" si="43"/>
        <v>26-35</v>
      </c>
    </row>
    <row r="556" spans="1:16" x14ac:dyDescent="0.25">
      <c r="A556">
        <v>555</v>
      </c>
      <c r="B556" t="s">
        <v>15</v>
      </c>
      <c r="C556">
        <v>426667</v>
      </c>
      <c r="D556" t="s">
        <v>10</v>
      </c>
      <c r="E556" t="s">
        <v>16</v>
      </c>
      <c r="F556" t="s">
        <v>12</v>
      </c>
      <c r="G556" t="s">
        <v>13</v>
      </c>
      <c r="H556" t="s">
        <v>13</v>
      </c>
      <c r="I556">
        <v>25</v>
      </c>
      <c r="J556" t="str" cm="1">
        <f t="array" ref="J556">_xlfn.IFS(ISBLANK(C556),"FALTANTE",ABS((C556-$W$5)/$X$5)&gt;1.96,"ATÍPICO",ABS((C556-$W$5)/$X$5)&lt;=1.96,"NO ATÍPICO")</f>
        <v>NO ATÍPICO</v>
      </c>
      <c r="K556" t="str" cm="1">
        <f t="array" ref="K556">_xlfn.IFS(ISBLANK(I556),"FALTANTE",ABS((I556-$W$8)/$X$8)&gt;1.92,"ATÍPICO",ABS((I556-$W$8)/$X$8)&lt;=1.92,"NO ATÍPICO")</f>
        <v>NO ATÍPICO</v>
      </c>
      <c r="L556">
        <f t="shared" si="40"/>
        <v>426667</v>
      </c>
      <c r="M556" t="str">
        <f t="shared" si="44"/>
        <v>ASALARIADO</v>
      </c>
      <c r="N556">
        <f t="shared" si="41"/>
        <v>25</v>
      </c>
      <c r="O556" s="19" t="str">
        <f t="shared" si="42"/>
        <v>300k–600k</v>
      </c>
      <c r="P556" s="19" t="str">
        <f t="shared" si="43"/>
        <v>18-25</v>
      </c>
    </row>
    <row r="557" spans="1:16" x14ac:dyDescent="0.25">
      <c r="A557">
        <v>556</v>
      </c>
      <c r="B557" t="s">
        <v>9</v>
      </c>
      <c r="C557">
        <v>523027</v>
      </c>
      <c r="D557" t="s">
        <v>18</v>
      </c>
      <c r="E557" t="s">
        <v>16</v>
      </c>
      <c r="F557" t="s">
        <v>12</v>
      </c>
      <c r="G557" t="s">
        <v>13</v>
      </c>
      <c r="H557" t="s">
        <v>12</v>
      </c>
      <c r="I557">
        <v>33</v>
      </c>
      <c r="J557" t="str" cm="1">
        <f t="array" ref="J557">_xlfn.IFS(ISBLANK(C557),"FALTANTE",ABS((C557-$W$5)/$X$5)&gt;1.96,"ATÍPICO",ABS((C557-$W$5)/$X$5)&lt;=1.96,"NO ATÍPICO")</f>
        <v>NO ATÍPICO</v>
      </c>
      <c r="K557" t="str" cm="1">
        <f t="array" ref="K557">_xlfn.IFS(ISBLANK(I557),"FALTANTE",ABS((I557-$W$8)/$X$8)&gt;1.92,"ATÍPICO",ABS((I557-$W$8)/$X$8)&lt;=1.92,"NO ATÍPICO")</f>
        <v>NO ATÍPICO</v>
      </c>
      <c r="L557">
        <f t="shared" si="40"/>
        <v>523027</v>
      </c>
      <c r="M557" t="str">
        <f t="shared" si="44"/>
        <v>TRABAJADOR INDEPENDIENTE</v>
      </c>
      <c r="N557">
        <f t="shared" si="41"/>
        <v>33</v>
      </c>
      <c r="O557" s="19" t="str">
        <f t="shared" si="42"/>
        <v>300k–600k</v>
      </c>
      <c r="P557" s="19" t="str">
        <f t="shared" si="43"/>
        <v>26-35</v>
      </c>
    </row>
    <row r="558" spans="1:16" x14ac:dyDescent="0.25">
      <c r="A558">
        <v>557</v>
      </c>
      <c r="B558" t="s">
        <v>9</v>
      </c>
      <c r="C558">
        <v>358433</v>
      </c>
      <c r="D558" t="s">
        <v>10</v>
      </c>
      <c r="E558" t="s">
        <v>16</v>
      </c>
      <c r="F558" t="s">
        <v>12</v>
      </c>
      <c r="G558" t="s">
        <v>13</v>
      </c>
      <c r="H558" t="s">
        <v>13</v>
      </c>
      <c r="I558">
        <v>42</v>
      </c>
      <c r="J558" t="str" cm="1">
        <f t="array" ref="J558">_xlfn.IFS(ISBLANK(C558),"FALTANTE",ABS((C558-$W$5)/$X$5)&gt;1.96,"ATÍPICO",ABS((C558-$W$5)/$X$5)&lt;=1.96,"NO ATÍPICO")</f>
        <v>NO ATÍPICO</v>
      </c>
      <c r="K558" t="str" cm="1">
        <f t="array" ref="K558">_xlfn.IFS(ISBLANK(I558),"FALTANTE",ABS((I558-$W$8)/$X$8)&gt;1.92,"ATÍPICO",ABS((I558-$W$8)/$X$8)&lt;=1.92,"NO ATÍPICO")</f>
        <v>NO ATÍPICO</v>
      </c>
      <c r="L558">
        <f t="shared" si="40"/>
        <v>358433</v>
      </c>
      <c r="M558" t="str">
        <f t="shared" si="44"/>
        <v>ASALARIADO</v>
      </c>
      <c r="N558">
        <f t="shared" si="41"/>
        <v>42</v>
      </c>
      <c r="O558" s="19" t="str">
        <f t="shared" si="42"/>
        <v>300k–600k</v>
      </c>
      <c r="P558" s="19" t="str">
        <f t="shared" si="43"/>
        <v>36-45</v>
      </c>
    </row>
    <row r="559" spans="1:16" x14ac:dyDescent="0.25">
      <c r="A559">
        <v>558</v>
      </c>
      <c r="B559" t="s">
        <v>15</v>
      </c>
      <c r="C559">
        <v>290307.3</v>
      </c>
      <c r="D559" t="s">
        <v>10</v>
      </c>
      <c r="E559" t="s">
        <v>11</v>
      </c>
      <c r="F559" t="s">
        <v>12</v>
      </c>
      <c r="G559" t="s">
        <v>13</v>
      </c>
      <c r="H559" t="s">
        <v>13</v>
      </c>
      <c r="I559">
        <v>25</v>
      </c>
      <c r="J559" t="str" cm="1">
        <f t="array" ref="J559">_xlfn.IFS(ISBLANK(C559),"FALTANTE",ABS((C559-$W$5)/$X$5)&gt;1.96,"ATÍPICO",ABS((C559-$W$5)/$X$5)&lt;=1.96,"NO ATÍPICO")</f>
        <v>NO ATÍPICO</v>
      </c>
      <c r="K559" t="str" cm="1">
        <f t="array" ref="K559">_xlfn.IFS(ISBLANK(I559),"FALTANTE",ABS((I559-$W$8)/$X$8)&gt;1.92,"ATÍPICO",ABS((I559-$W$8)/$X$8)&lt;=1.92,"NO ATÍPICO")</f>
        <v>NO ATÍPICO</v>
      </c>
      <c r="L559">
        <f t="shared" si="40"/>
        <v>290307.3</v>
      </c>
      <c r="M559" t="str">
        <f t="shared" si="44"/>
        <v>ASALARIADO</v>
      </c>
      <c r="N559">
        <f t="shared" si="41"/>
        <v>25</v>
      </c>
      <c r="O559" s="19" t="str">
        <f t="shared" si="42"/>
        <v>0–300k</v>
      </c>
      <c r="P559" s="19" t="str">
        <f t="shared" si="43"/>
        <v>18-25</v>
      </c>
    </row>
    <row r="560" spans="1:16" x14ac:dyDescent="0.25">
      <c r="A560">
        <v>559</v>
      </c>
      <c r="B560" t="s">
        <v>9</v>
      </c>
      <c r="C560">
        <v>475208</v>
      </c>
      <c r="D560" t="s">
        <v>10</v>
      </c>
      <c r="E560" t="s">
        <v>11</v>
      </c>
      <c r="F560" t="s">
        <v>12</v>
      </c>
      <c r="G560" t="s">
        <v>13</v>
      </c>
      <c r="H560" t="s">
        <v>13</v>
      </c>
      <c r="I560">
        <v>41</v>
      </c>
      <c r="J560" t="str" cm="1">
        <f t="array" ref="J560">_xlfn.IFS(ISBLANK(C560),"FALTANTE",ABS((C560-$W$5)/$X$5)&gt;1.96,"ATÍPICO",ABS((C560-$W$5)/$X$5)&lt;=1.96,"NO ATÍPICO")</f>
        <v>NO ATÍPICO</v>
      </c>
      <c r="K560" t="str" cm="1">
        <f t="array" ref="K560">_xlfn.IFS(ISBLANK(I560),"FALTANTE",ABS((I560-$W$8)/$X$8)&gt;1.92,"ATÍPICO",ABS((I560-$W$8)/$X$8)&lt;=1.92,"NO ATÍPICO")</f>
        <v>NO ATÍPICO</v>
      </c>
      <c r="L560">
        <f t="shared" si="40"/>
        <v>475208</v>
      </c>
      <c r="M560" t="str">
        <f t="shared" si="44"/>
        <v>ASALARIADO</v>
      </c>
      <c r="N560">
        <f t="shared" si="41"/>
        <v>41</v>
      </c>
      <c r="O560" s="19" t="str">
        <f t="shared" si="42"/>
        <v>300k–600k</v>
      </c>
      <c r="P560" s="19" t="str">
        <f t="shared" si="43"/>
        <v>36-45</v>
      </c>
    </row>
    <row r="561" spans="1:16" x14ac:dyDescent="0.25">
      <c r="A561">
        <v>560</v>
      </c>
      <c r="B561" t="s">
        <v>9</v>
      </c>
      <c r="C561">
        <v>385702</v>
      </c>
      <c r="D561" t="s">
        <v>17</v>
      </c>
      <c r="E561" t="s">
        <v>16</v>
      </c>
      <c r="F561" t="s">
        <v>12</v>
      </c>
      <c r="G561" t="s">
        <v>13</v>
      </c>
      <c r="H561" t="s">
        <v>13</v>
      </c>
      <c r="I561">
        <v>32</v>
      </c>
      <c r="J561" t="str" cm="1">
        <f t="array" ref="J561">_xlfn.IFS(ISBLANK(C561),"FALTANTE",ABS((C561-$W$5)/$X$5)&gt;1.96,"ATÍPICO",ABS((C561-$W$5)/$X$5)&lt;=1.96,"NO ATÍPICO")</f>
        <v>NO ATÍPICO</v>
      </c>
      <c r="K561" t="str" cm="1">
        <f t="array" ref="K561">_xlfn.IFS(ISBLANK(I561),"FALTANTE",ABS((I561-$W$8)/$X$8)&gt;1.92,"ATÍPICO",ABS((I561-$W$8)/$X$8)&lt;=1.92,"NO ATÍPICO")</f>
        <v>NO ATÍPICO</v>
      </c>
      <c r="L561">
        <f t="shared" si="40"/>
        <v>385702</v>
      </c>
      <c r="M561" t="str">
        <f t="shared" si="44"/>
        <v>ASEGURADO VOLUNTARIO</v>
      </c>
      <c r="N561">
        <f t="shared" si="41"/>
        <v>32</v>
      </c>
      <c r="O561" s="19" t="str">
        <f t="shared" si="42"/>
        <v>300k–600k</v>
      </c>
      <c r="P561" s="19" t="str">
        <f t="shared" si="43"/>
        <v>26-35</v>
      </c>
    </row>
    <row r="562" spans="1:16" x14ac:dyDescent="0.25">
      <c r="A562">
        <v>561</v>
      </c>
      <c r="B562" t="s">
        <v>9</v>
      </c>
      <c r="C562">
        <v>297046</v>
      </c>
      <c r="D562" t="s">
        <v>18</v>
      </c>
      <c r="E562" t="s">
        <v>16</v>
      </c>
      <c r="F562" t="s">
        <v>12</v>
      </c>
      <c r="G562" t="s">
        <v>13</v>
      </c>
      <c r="H562" t="s">
        <v>13</v>
      </c>
      <c r="I562">
        <v>61</v>
      </c>
      <c r="J562" t="str" cm="1">
        <f t="array" ref="J562">_xlfn.IFS(ISBLANK(C562),"FALTANTE",ABS((C562-$W$5)/$X$5)&gt;1.96,"ATÍPICO",ABS((C562-$W$5)/$X$5)&lt;=1.96,"NO ATÍPICO")</f>
        <v>NO ATÍPICO</v>
      </c>
      <c r="K562" t="str" cm="1">
        <f t="array" ref="K562">_xlfn.IFS(ISBLANK(I562),"FALTANTE",ABS((I562-$W$8)/$X$8)&gt;1.92,"ATÍPICO",ABS((I562-$W$8)/$X$8)&lt;=1.92,"NO ATÍPICO")</f>
        <v>NO ATÍPICO</v>
      </c>
      <c r="L562">
        <f t="shared" si="40"/>
        <v>297046</v>
      </c>
      <c r="M562" t="str">
        <f t="shared" si="44"/>
        <v>TRABAJADOR INDEPENDIENTE</v>
      </c>
      <c r="N562">
        <f t="shared" si="41"/>
        <v>61</v>
      </c>
      <c r="O562" s="19" t="str">
        <f t="shared" si="42"/>
        <v>0–300k</v>
      </c>
      <c r="P562" s="19" t="str">
        <f t="shared" si="43"/>
        <v>56+</v>
      </c>
    </row>
    <row r="563" spans="1:16" x14ac:dyDescent="0.25">
      <c r="A563">
        <v>562</v>
      </c>
      <c r="B563" t="s">
        <v>15</v>
      </c>
      <c r="C563">
        <v>344000</v>
      </c>
      <c r="D563" t="s">
        <v>10</v>
      </c>
      <c r="E563" t="s">
        <v>16</v>
      </c>
      <c r="F563" t="s">
        <v>12</v>
      </c>
      <c r="G563" t="s">
        <v>13</v>
      </c>
      <c r="H563" t="s">
        <v>13</v>
      </c>
      <c r="I563">
        <v>26</v>
      </c>
      <c r="J563" t="str" cm="1">
        <f t="array" ref="J563">_xlfn.IFS(ISBLANK(C563),"FALTANTE",ABS((C563-$W$5)/$X$5)&gt;1.96,"ATÍPICO",ABS((C563-$W$5)/$X$5)&lt;=1.96,"NO ATÍPICO")</f>
        <v>NO ATÍPICO</v>
      </c>
      <c r="K563" t="str" cm="1">
        <f t="array" ref="K563">_xlfn.IFS(ISBLANK(I563),"FALTANTE",ABS((I563-$W$8)/$X$8)&gt;1.92,"ATÍPICO",ABS((I563-$W$8)/$X$8)&lt;=1.92,"NO ATÍPICO")</f>
        <v>NO ATÍPICO</v>
      </c>
      <c r="L563">
        <f t="shared" si="40"/>
        <v>344000</v>
      </c>
      <c r="M563" t="str">
        <f t="shared" si="44"/>
        <v>ASALARIADO</v>
      </c>
      <c r="N563">
        <f t="shared" si="41"/>
        <v>26</v>
      </c>
      <c r="O563" s="19" t="str">
        <f t="shared" si="42"/>
        <v>300k–600k</v>
      </c>
      <c r="P563" s="19" t="str">
        <f t="shared" si="43"/>
        <v>26-35</v>
      </c>
    </row>
    <row r="564" spans="1:16" x14ac:dyDescent="0.25">
      <c r="A564">
        <v>563</v>
      </c>
      <c r="B564" t="s">
        <v>15</v>
      </c>
      <c r="C564">
        <v>1302556.5</v>
      </c>
      <c r="D564" t="s">
        <v>10</v>
      </c>
      <c r="E564" t="s">
        <v>11</v>
      </c>
      <c r="F564" t="s">
        <v>12</v>
      </c>
      <c r="G564" t="s">
        <v>13</v>
      </c>
      <c r="H564" t="s">
        <v>13</v>
      </c>
      <c r="I564">
        <v>41</v>
      </c>
      <c r="J564" t="str" cm="1">
        <f t="array" ref="J564">_xlfn.IFS(ISBLANK(C564),"FALTANTE",ABS((C564-$W$5)/$X$5)&gt;1.96,"ATÍPICO",ABS((C564-$W$5)/$X$5)&lt;=1.96,"NO ATÍPICO")</f>
        <v>NO ATÍPICO</v>
      </c>
      <c r="K564" t="str" cm="1">
        <f t="array" ref="K564">_xlfn.IFS(ISBLANK(I564),"FALTANTE",ABS((I564-$W$8)/$X$8)&gt;1.92,"ATÍPICO",ABS((I564-$W$8)/$X$8)&lt;=1.92,"NO ATÍPICO")</f>
        <v>NO ATÍPICO</v>
      </c>
      <c r="L564">
        <f t="shared" si="40"/>
        <v>1302556.5</v>
      </c>
      <c r="M564" t="str">
        <f t="shared" si="44"/>
        <v>ASALARIADO</v>
      </c>
      <c r="N564">
        <f t="shared" si="41"/>
        <v>41</v>
      </c>
      <c r="O564" s="19" t="str">
        <f t="shared" si="42"/>
        <v>1200k+</v>
      </c>
      <c r="P564" s="19" t="str">
        <f t="shared" si="43"/>
        <v>36-45</v>
      </c>
    </row>
    <row r="565" spans="1:16" x14ac:dyDescent="0.25">
      <c r="A565">
        <v>564</v>
      </c>
      <c r="B565" t="s">
        <v>15</v>
      </c>
      <c r="C565">
        <v>939461.54</v>
      </c>
      <c r="D565" t="s">
        <v>10</v>
      </c>
      <c r="E565" t="s">
        <v>16</v>
      </c>
      <c r="F565" t="s">
        <v>12</v>
      </c>
      <c r="G565" t="s">
        <v>13</v>
      </c>
      <c r="H565" t="s">
        <v>13</v>
      </c>
      <c r="I565">
        <v>25</v>
      </c>
      <c r="J565" t="str" cm="1">
        <f t="array" ref="J565">_xlfn.IFS(ISBLANK(C565),"FALTANTE",ABS((C565-$W$5)/$X$5)&gt;1.96,"ATÍPICO",ABS((C565-$W$5)/$X$5)&lt;=1.96,"NO ATÍPICO")</f>
        <v>NO ATÍPICO</v>
      </c>
      <c r="K565" t="str" cm="1">
        <f t="array" ref="K565">_xlfn.IFS(ISBLANK(I565),"FALTANTE",ABS((I565-$W$8)/$X$8)&gt;1.92,"ATÍPICO",ABS((I565-$W$8)/$X$8)&lt;=1.92,"NO ATÍPICO")</f>
        <v>NO ATÍPICO</v>
      </c>
      <c r="L565">
        <f t="shared" si="40"/>
        <v>939461.54</v>
      </c>
      <c r="M565" t="str">
        <f t="shared" si="44"/>
        <v>ASALARIADO</v>
      </c>
      <c r="N565">
        <f t="shared" si="41"/>
        <v>25</v>
      </c>
      <c r="O565" s="19" t="str">
        <f t="shared" si="42"/>
        <v>900k–1200k</v>
      </c>
      <c r="P565" s="19" t="str">
        <f t="shared" si="43"/>
        <v>18-25</v>
      </c>
    </row>
    <row r="566" spans="1:16" x14ac:dyDescent="0.25">
      <c r="A566">
        <v>565</v>
      </c>
      <c r="B566" t="s">
        <v>9</v>
      </c>
      <c r="C566">
        <v>402139.4</v>
      </c>
      <c r="D566" t="s">
        <v>10</v>
      </c>
      <c r="E566" t="s">
        <v>16</v>
      </c>
      <c r="F566" t="s">
        <v>12</v>
      </c>
      <c r="G566" t="s">
        <v>13</v>
      </c>
      <c r="H566" t="s">
        <v>13</v>
      </c>
      <c r="I566">
        <v>39</v>
      </c>
      <c r="J566" t="str" cm="1">
        <f t="array" ref="J566">_xlfn.IFS(ISBLANK(C566),"FALTANTE",ABS((C566-$W$5)/$X$5)&gt;1.96,"ATÍPICO",ABS((C566-$W$5)/$X$5)&lt;=1.96,"NO ATÍPICO")</f>
        <v>NO ATÍPICO</v>
      </c>
      <c r="K566" t="str" cm="1">
        <f t="array" ref="K566">_xlfn.IFS(ISBLANK(I566),"FALTANTE",ABS((I566-$W$8)/$X$8)&gt;1.92,"ATÍPICO",ABS((I566-$W$8)/$X$8)&lt;=1.92,"NO ATÍPICO")</f>
        <v>NO ATÍPICO</v>
      </c>
      <c r="L566">
        <f t="shared" si="40"/>
        <v>402139.4</v>
      </c>
      <c r="M566" t="str">
        <f t="shared" si="44"/>
        <v>ASALARIADO</v>
      </c>
      <c r="N566">
        <f t="shared" si="41"/>
        <v>39</v>
      </c>
      <c r="O566" s="19" t="str">
        <f t="shared" si="42"/>
        <v>300k–600k</v>
      </c>
      <c r="P566" s="19" t="str">
        <f t="shared" si="43"/>
        <v>36-45</v>
      </c>
    </row>
    <row r="567" spans="1:16" x14ac:dyDescent="0.25">
      <c r="A567">
        <v>566</v>
      </c>
      <c r="B567" t="s">
        <v>9</v>
      </c>
      <c r="C567">
        <v>387763</v>
      </c>
      <c r="D567" t="s">
        <v>18</v>
      </c>
      <c r="E567" t="s">
        <v>16</v>
      </c>
      <c r="F567" t="s">
        <v>12</v>
      </c>
      <c r="G567" t="s">
        <v>13</v>
      </c>
      <c r="H567" t="s">
        <v>13</v>
      </c>
      <c r="I567">
        <v>53</v>
      </c>
      <c r="J567" t="str" cm="1">
        <f t="array" ref="J567">_xlfn.IFS(ISBLANK(C567),"FALTANTE",ABS((C567-$W$5)/$X$5)&gt;1.96,"ATÍPICO",ABS((C567-$W$5)/$X$5)&lt;=1.96,"NO ATÍPICO")</f>
        <v>NO ATÍPICO</v>
      </c>
      <c r="K567" t="str" cm="1">
        <f t="array" ref="K567">_xlfn.IFS(ISBLANK(I567),"FALTANTE",ABS((I567-$W$8)/$X$8)&gt;1.92,"ATÍPICO",ABS((I567-$W$8)/$X$8)&lt;=1.92,"NO ATÍPICO")</f>
        <v>NO ATÍPICO</v>
      </c>
      <c r="L567">
        <f t="shared" si="40"/>
        <v>387763</v>
      </c>
      <c r="M567" t="str">
        <f t="shared" si="44"/>
        <v>TRABAJADOR INDEPENDIENTE</v>
      </c>
      <c r="N567">
        <f t="shared" si="41"/>
        <v>53</v>
      </c>
      <c r="O567" s="19" t="str">
        <f t="shared" si="42"/>
        <v>300k–600k</v>
      </c>
      <c r="P567" s="19" t="str">
        <f t="shared" si="43"/>
        <v>46-55</v>
      </c>
    </row>
    <row r="568" spans="1:16" x14ac:dyDescent="0.25">
      <c r="A568">
        <v>567</v>
      </c>
      <c r="B568" t="s">
        <v>9</v>
      </c>
      <c r="C568">
        <v>370000</v>
      </c>
      <c r="D568" t="s">
        <v>10</v>
      </c>
      <c r="E568" t="s">
        <v>16</v>
      </c>
      <c r="F568" t="s">
        <v>12</v>
      </c>
      <c r="G568" t="s">
        <v>12</v>
      </c>
      <c r="H568" t="s">
        <v>13</v>
      </c>
      <c r="I568">
        <v>45</v>
      </c>
      <c r="J568" t="str" cm="1">
        <f t="array" ref="J568">_xlfn.IFS(ISBLANK(C568),"FALTANTE",ABS((C568-$W$5)/$X$5)&gt;1.96,"ATÍPICO",ABS((C568-$W$5)/$X$5)&lt;=1.96,"NO ATÍPICO")</f>
        <v>NO ATÍPICO</v>
      </c>
      <c r="K568" t="str" cm="1">
        <f t="array" ref="K568">_xlfn.IFS(ISBLANK(I568),"FALTANTE",ABS((I568-$W$8)/$X$8)&gt;1.92,"ATÍPICO",ABS((I568-$W$8)/$X$8)&lt;=1.92,"NO ATÍPICO")</f>
        <v>NO ATÍPICO</v>
      </c>
      <c r="L568">
        <f t="shared" si="40"/>
        <v>370000</v>
      </c>
      <c r="M568" t="str">
        <f t="shared" si="44"/>
        <v>ASALARIADO</v>
      </c>
      <c r="N568">
        <f t="shared" si="41"/>
        <v>45</v>
      </c>
      <c r="O568" s="19" t="str">
        <f t="shared" si="42"/>
        <v>300k–600k</v>
      </c>
      <c r="P568" s="19" t="str">
        <f t="shared" si="43"/>
        <v>36-45</v>
      </c>
    </row>
    <row r="569" spans="1:16" x14ac:dyDescent="0.25">
      <c r="A569">
        <v>568</v>
      </c>
      <c r="B569" t="s">
        <v>15</v>
      </c>
      <c r="C569">
        <v>444333.33</v>
      </c>
      <c r="D569" t="s">
        <v>10</v>
      </c>
      <c r="E569" t="s">
        <v>16</v>
      </c>
      <c r="F569" t="s">
        <v>12</v>
      </c>
      <c r="G569" t="s">
        <v>13</v>
      </c>
      <c r="H569" t="s">
        <v>13</v>
      </c>
      <c r="I569">
        <v>23</v>
      </c>
      <c r="J569" t="str" cm="1">
        <f t="array" ref="J569">_xlfn.IFS(ISBLANK(C569),"FALTANTE",ABS((C569-$W$5)/$X$5)&gt;1.96,"ATÍPICO",ABS((C569-$W$5)/$X$5)&lt;=1.96,"NO ATÍPICO")</f>
        <v>NO ATÍPICO</v>
      </c>
      <c r="K569" t="str" cm="1">
        <f t="array" ref="K569">_xlfn.IFS(ISBLANK(I569),"FALTANTE",ABS((I569-$W$8)/$X$8)&gt;1.92,"ATÍPICO",ABS((I569-$W$8)/$X$8)&lt;=1.92,"NO ATÍPICO")</f>
        <v>NO ATÍPICO</v>
      </c>
      <c r="L569">
        <f t="shared" si="40"/>
        <v>444333.33</v>
      </c>
      <c r="M569" t="str">
        <f t="shared" si="44"/>
        <v>ASALARIADO</v>
      </c>
      <c r="N569">
        <f t="shared" si="41"/>
        <v>23</v>
      </c>
      <c r="O569" s="19" t="str">
        <f t="shared" si="42"/>
        <v>300k–600k</v>
      </c>
      <c r="P569" s="19" t="str">
        <f t="shared" si="43"/>
        <v>18-25</v>
      </c>
    </row>
    <row r="570" spans="1:16" x14ac:dyDescent="0.25">
      <c r="A570">
        <v>569</v>
      </c>
      <c r="B570" t="s">
        <v>9</v>
      </c>
      <c r="C570">
        <v>179344</v>
      </c>
      <c r="D570" t="s">
        <v>10</v>
      </c>
      <c r="E570" t="s">
        <v>16</v>
      </c>
      <c r="F570" t="s">
        <v>12</v>
      </c>
      <c r="G570" t="s">
        <v>13</v>
      </c>
      <c r="H570" t="s">
        <v>13</v>
      </c>
      <c r="I570">
        <v>29</v>
      </c>
      <c r="J570" t="str" cm="1">
        <f t="array" ref="J570">_xlfn.IFS(ISBLANK(C570),"FALTANTE",ABS((C570-$W$5)/$X$5)&gt;1.96,"ATÍPICO",ABS((C570-$W$5)/$X$5)&lt;=1.96,"NO ATÍPICO")</f>
        <v>NO ATÍPICO</v>
      </c>
      <c r="K570" t="str" cm="1">
        <f t="array" ref="K570">_xlfn.IFS(ISBLANK(I570),"FALTANTE",ABS((I570-$W$8)/$X$8)&gt;1.92,"ATÍPICO",ABS((I570-$W$8)/$X$8)&lt;=1.92,"NO ATÍPICO")</f>
        <v>NO ATÍPICO</v>
      </c>
      <c r="L570">
        <f t="shared" si="40"/>
        <v>179344</v>
      </c>
      <c r="M570" t="str">
        <f t="shared" si="44"/>
        <v>ASALARIADO</v>
      </c>
      <c r="N570">
        <f t="shared" si="41"/>
        <v>29</v>
      </c>
      <c r="O570" s="19" t="str">
        <f t="shared" si="42"/>
        <v>0–300k</v>
      </c>
      <c r="P570" s="19" t="str">
        <f t="shared" si="43"/>
        <v>26-35</v>
      </c>
    </row>
    <row r="571" spans="1:16" x14ac:dyDescent="0.25">
      <c r="A571">
        <v>570</v>
      </c>
      <c r="B571" t="s">
        <v>15</v>
      </c>
      <c r="C571">
        <v>289448</v>
      </c>
      <c r="D571" t="s">
        <v>18</v>
      </c>
      <c r="E571" t="s">
        <v>16</v>
      </c>
      <c r="F571" t="s">
        <v>12</v>
      </c>
      <c r="G571" t="s">
        <v>13</v>
      </c>
      <c r="H571" t="s">
        <v>13</v>
      </c>
      <c r="I571">
        <v>52</v>
      </c>
      <c r="J571" t="str" cm="1">
        <f t="array" ref="J571">_xlfn.IFS(ISBLANK(C571),"FALTANTE",ABS((C571-$W$5)/$X$5)&gt;1.96,"ATÍPICO",ABS((C571-$W$5)/$X$5)&lt;=1.96,"NO ATÍPICO")</f>
        <v>NO ATÍPICO</v>
      </c>
      <c r="K571" t="str" cm="1">
        <f t="array" ref="K571">_xlfn.IFS(ISBLANK(I571),"FALTANTE",ABS((I571-$W$8)/$X$8)&gt;1.92,"ATÍPICO",ABS((I571-$W$8)/$X$8)&lt;=1.92,"NO ATÍPICO")</f>
        <v>NO ATÍPICO</v>
      </c>
      <c r="L571">
        <f t="shared" si="40"/>
        <v>289448</v>
      </c>
      <c r="M571" t="str">
        <f t="shared" si="44"/>
        <v>TRABAJADOR INDEPENDIENTE</v>
      </c>
      <c r="N571">
        <f t="shared" si="41"/>
        <v>52</v>
      </c>
      <c r="O571" s="19" t="str">
        <f t="shared" si="42"/>
        <v>0–300k</v>
      </c>
      <c r="P571" s="19" t="str">
        <f t="shared" si="43"/>
        <v>46-55</v>
      </c>
    </row>
    <row r="572" spans="1:16" x14ac:dyDescent="0.25">
      <c r="A572">
        <v>571</v>
      </c>
      <c r="B572" t="s">
        <v>9</v>
      </c>
      <c r="C572">
        <v>588210</v>
      </c>
      <c r="D572" t="s">
        <v>10</v>
      </c>
      <c r="E572" t="s">
        <v>11</v>
      </c>
      <c r="F572" t="s">
        <v>12</v>
      </c>
      <c r="G572" t="s">
        <v>13</v>
      </c>
      <c r="H572" t="s">
        <v>12</v>
      </c>
      <c r="I572">
        <v>35</v>
      </c>
      <c r="J572" t="str" cm="1">
        <f t="array" ref="J572">_xlfn.IFS(ISBLANK(C572),"FALTANTE",ABS((C572-$W$5)/$X$5)&gt;1.96,"ATÍPICO",ABS((C572-$W$5)/$X$5)&lt;=1.96,"NO ATÍPICO")</f>
        <v>NO ATÍPICO</v>
      </c>
      <c r="K572" t="str" cm="1">
        <f t="array" ref="K572">_xlfn.IFS(ISBLANK(I572),"FALTANTE",ABS((I572-$W$8)/$X$8)&gt;1.92,"ATÍPICO",ABS((I572-$W$8)/$X$8)&lt;=1.92,"NO ATÍPICO")</f>
        <v>NO ATÍPICO</v>
      </c>
      <c r="L572">
        <f t="shared" si="40"/>
        <v>588210</v>
      </c>
      <c r="M572" t="str">
        <f t="shared" si="44"/>
        <v>ASALARIADO</v>
      </c>
      <c r="N572">
        <f t="shared" si="41"/>
        <v>35</v>
      </c>
      <c r="O572" s="19" t="str">
        <f t="shared" si="42"/>
        <v>300k–600k</v>
      </c>
      <c r="P572" s="19" t="str">
        <f t="shared" si="43"/>
        <v>26-35</v>
      </c>
    </row>
    <row r="573" spans="1:16" x14ac:dyDescent="0.25">
      <c r="A573">
        <v>572</v>
      </c>
      <c r="B573" t="s">
        <v>9</v>
      </c>
      <c r="C573">
        <v>336000</v>
      </c>
      <c r="D573" t="s">
        <v>10</v>
      </c>
      <c r="E573" t="s">
        <v>16</v>
      </c>
      <c r="F573" t="s">
        <v>12</v>
      </c>
      <c r="G573" t="s">
        <v>13</v>
      </c>
      <c r="H573" t="s">
        <v>13</v>
      </c>
      <c r="I573">
        <v>53</v>
      </c>
      <c r="J573" t="str" cm="1">
        <f t="array" ref="J573">_xlfn.IFS(ISBLANK(C573),"FALTANTE",ABS((C573-$W$5)/$X$5)&gt;1.96,"ATÍPICO",ABS((C573-$W$5)/$X$5)&lt;=1.96,"NO ATÍPICO")</f>
        <v>NO ATÍPICO</v>
      </c>
      <c r="K573" t="str" cm="1">
        <f t="array" ref="K573">_xlfn.IFS(ISBLANK(I573),"FALTANTE",ABS((I573-$W$8)/$X$8)&gt;1.92,"ATÍPICO",ABS((I573-$W$8)/$X$8)&lt;=1.92,"NO ATÍPICO")</f>
        <v>NO ATÍPICO</v>
      </c>
      <c r="L573">
        <f t="shared" si="40"/>
        <v>336000</v>
      </c>
      <c r="M573" t="str">
        <f t="shared" si="44"/>
        <v>ASALARIADO</v>
      </c>
      <c r="N573">
        <f t="shared" si="41"/>
        <v>53</v>
      </c>
      <c r="O573" s="19" t="str">
        <f t="shared" si="42"/>
        <v>300k–600k</v>
      </c>
      <c r="P573" s="19" t="str">
        <f t="shared" si="43"/>
        <v>46-55</v>
      </c>
    </row>
    <row r="574" spans="1:16" x14ac:dyDescent="0.25">
      <c r="A574">
        <v>573</v>
      </c>
      <c r="B574" t="s">
        <v>9</v>
      </c>
      <c r="C574">
        <v>452192.8</v>
      </c>
      <c r="D574" t="s">
        <v>10</v>
      </c>
      <c r="E574" t="s">
        <v>16</v>
      </c>
      <c r="F574" t="s">
        <v>12</v>
      </c>
      <c r="G574" t="s">
        <v>13</v>
      </c>
      <c r="H574" t="s">
        <v>13</v>
      </c>
      <c r="I574">
        <v>49</v>
      </c>
      <c r="J574" t="str" cm="1">
        <f t="array" ref="J574">_xlfn.IFS(ISBLANK(C574),"FALTANTE",ABS((C574-$W$5)/$X$5)&gt;1.96,"ATÍPICO",ABS((C574-$W$5)/$X$5)&lt;=1.96,"NO ATÍPICO")</f>
        <v>NO ATÍPICO</v>
      </c>
      <c r="K574" t="str" cm="1">
        <f t="array" ref="K574">_xlfn.IFS(ISBLANK(I574),"FALTANTE",ABS((I574-$W$8)/$X$8)&gt;1.92,"ATÍPICO",ABS((I574-$W$8)/$X$8)&lt;=1.92,"NO ATÍPICO")</f>
        <v>NO ATÍPICO</v>
      </c>
      <c r="L574">
        <f t="shared" si="40"/>
        <v>452192.8</v>
      </c>
      <c r="M574" t="str">
        <f t="shared" si="44"/>
        <v>ASALARIADO</v>
      </c>
      <c r="N574">
        <f t="shared" si="41"/>
        <v>49</v>
      </c>
      <c r="O574" s="19" t="str">
        <f t="shared" si="42"/>
        <v>300k–600k</v>
      </c>
      <c r="P574" s="19" t="str">
        <f t="shared" si="43"/>
        <v>46-55</v>
      </c>
    </row>
    <row r="575" spans="1:16" x14ac:dyDescent="0.25">
      <c r="A575">
        <v>574</v>
      </c>
      <c r="B575" t="s">
        <v>9</v>
      </c>
      <c r="C575">
        <v>360000</v>
      </c>
      <c r="D575" t="s">
        <v>10</v>
      </c>
      <c r="E575" t="s">
        <v>16</v>
      </c>
      <c r="F575" t="s">
        <v>12</v>
      </c>
      <c r="G575" t="s">
        <v>13</v>
      </c>
      <c r="H575" t="s">
        <v>13</v>
      </c>
      <c r="I575">
        <v>36</v>
      </c>
      <c r="J575" t="str" cm="1">
        <f t="array" ref="J575">_xlfn.IFS(ISBLANK(C575),"FALTANTE",ABS((C575-$W$5)/$X$5)&gt;1.96,"ATÍPICO",ABS((C575-$W$5)/$X$5)&lt;=1.96,"NO ATÍPICO")</f>
        <v>NO ATÍPICO</v>
      </c>
      <c r="K575" t="str" cm="1">
        <f t="array" ref="K575">_xlfn.IFS(ISBLANK(I575),"FALTANTE",ABS((I575-$W$8)/$X$8)&gt;1.92,"ATÍPICO",ABS((I575-$W$8)/$X$8)&lt;=1.92,"NO ATÍPICO")</f>
        <v>NO ATÍPICO</v>
      </c>
      <c r="L575">
        <f t="shared" si="40"/>
        <v>360000</v>
      </c>
      <c r="M575" t="str">
        <f t="shared" si="44"/>
        <v>ASALARIADO</v>
      </c>
      <c r="N575">
        <f t="shared" si="41"/>
        <v>36</v>
      </c>
      <c r="O575" s="19" t="str">
        <f t="shared" si="42"/>
        <v>300k–600k</v>
      </c>
      <c r="P575" s="19" t="str">
        <f t="shared" si="43"/>
        <v>36-45</v>
      </c>
    </row>
    <row r="576" spans="1:16" x14ac:dyDescent="0.25">
      <c r="A576">
        <v>575</v>
      </c>
      <c r="B576" t="s">
        <v>15</v>
      </c>
      <c r="C576">
        <v>3033354.29</v>
      </c>
      <c r="D576" t="s">
        <v>10</v>
      </c>
      <c r="E576" t="s">
        <v>11</v>
      </c>
      <c r="F576" t="s">
        <v>12</v>
      </c>
      <c r="G576" t="s">
        <v>13</v>
      </c>
      <c r="H576" t="s">
        <v>13</v>
      </c>
      <c r="I576">
        <v>27</v>
      </c>
      <c r="J576" t="str" cm="1">
        <f t="array" ref="J576">_xlfn.IFS(ISBLANK(C576),"FALTANTE",ABS((C576-$W$5)/$X$5)&gt;1.96,"ATÍPICO",ABS((C576-$W$5)/$X$5)&lt;=1.96,"NO ATÍPICO")</f>
        <v>ATÍPICO</v>
      </c>
      <c r="K576" t="str" cm="1">
        <f t="array" ref="K576">_xlfn.IFS(ISBLANK(I576),"FALTANTE",ABS((I576-$W$8)/$X$8)&gt;1.92,"ATÍPICO",ABS((I576-$W$8)/$X$8)&lt;=1.92,"NO ATÍPICO")</f>
        <v>NO ATÍPICO</v>
      </c>
      <c r="L576">
        <f t="shared" si="40"/>
        <v>3033354.29</v>
      </c>
      <c r="M576" t="str">
        <f t="shared" si="44"/>
        <v>ASALARIADO</v>
      </c>
      <c r="N576">
        <f t="shared" si="41"/>
        <v>27</v>
      </c>
      <c r="O576" s="19" t="str">
        <f t="shared" si="42"/>
        <v>1200k+</v>
      </c>
      <c r="P576" s="19" t="str">
        <f t="shared" si="43"/>
        <v>26-35</v>
      </c>
    </row>
    <row r="577" spans="1:16" x14ac:dyDescent="0.25">
      <c r="A577">
        <v>576</v>
      </c>
      <c r="B577" t="s">
        <v>15</v>
      </c>
      <c r="C577">
        <v>1176797.18</v>
      </c>
      <c r="D577" t="s">
        <v>10</v>
      </c>
      <c r="E577" t="s">
        <v>16</v>
      </c>
      <c r="F577" t="s">
        <v>12</v>
      </c>
      <c r="G577" t="s">
        <v>13</v>
      </c>
      <c r="H577" t="s">
        <v>13</v>
      </c>
      <c r="I577">
        <v>60</v>
      </c>
      <c r="J577" t="str" cm="1">
        <f t="array" ref="J577">_xlfn.IFS(ISBLANK(C577),"FALTANTE",ABS((C577-$W$5)/$X$5)&gt;1.96,"ATÍPICO",ABS((C577-$W$5)/$X$5)&lt;=1.96,"NO ATÍPICO")</f>
        <v>NO ATÍPICO</v>
      </c>
      <c r="K577" t="str" cm="1">
        <f t="array" ref="K577">_xlfn.IFS(ISBLANK(I577),"FALTANTE",ABS((I577-$W$8)/$X$8)&gt;1.92,"ATÍPICO",ABS((I577-$W$8)/$X$8)&lt;=1.92,"NO ATÍPICO")</f>
        <v>NO ATÍPICO</v>
      </c>
      <c r="L577">
        <f t="shared" si="40"/>
        <v>1176797.18</v>
      </c>
      <c r="M577" t="str">
        <f t="shared" si="44"/>
        <v>ASALARIADO</v>
      </c>
      <c r="N577">
        <f t="shared" si="41"/>
        <v>60</v>
      </c>
      <c r="O577" s="19" t="str">
        <f t="shared" si="42"/>
        <v>900k–1200k</v>
      </c>
      <c r="P577" s="19" t="str">
        <f t="shared" si="43"/>
        <v>56+</v>
      </c>
    </row>
    <row r="578" spans="1:16" x14ac:dyDescent="0.25">
      <c r="A578">
        <v>577</v>
      </c>
      <c r="B578" t="s">
        <v>9</v>
      </c>
      <c r="C578">
        <v>293293</v>
      </c>
      <c r="D578" t="s">
        <v>10</v>
      </c>
      <c r="E578" t="s">
        <v>16</v>
      </c>
      <c r="F578" t="s">
        <v>12</v>
      </c>
      <c r="G578" t="s">
        <v>13</v>
      </c>
      <c r="H578" t="s">
        <v>13</v>
      </c>
      <c r="I578">
        <v>51</v>
      </c>
      <c r="J578" t="str" cm="1">
        <f t="array" ref="J578">_xlfn.IFS(ISBLANK(C578),"FALTANTE",ABS((C578-$W$5)/$X$5)&gt;1.96,"ATÍPICO",ABS((C578-$W$5)/$X$5)&lt;=1.96,"NO ATÍPICO")</f>
        <v>NO ATÍPICO</v>
      </c>
      <c r="K578" t="str" cm="1">
        <f t="array" ref="K578">_xlfn.IFS(ISBLANK(I578),"FALTANTE",ABS((I578-$W$8)/$X$8)&gt;1.92,"ATÍPICO",ABS((I578-$W$8)/$X$8)&lt;=1.92,"NO ATÍPICO")</f>
        <v>NO ATÍPICO</v>
      </c>
      <c r="L578">
        <f t="shared" ref="L578:L641" si="45">C578</f>
        <v>293293</v>
      </c>
      <c r="M578" t="str">
        <f t="shared" si="44"/>
        <v>ASALARIADO</v>
      </c>
      <c r="N578">
        <f t="shared" ref="N578:N641" si="46">I578</f>
        <v>51</v>
      </c>
      <c r="O578" s="19" t="str">
        <f t="shared" ref="O578:O641" si="47">IF(L578&lt;=300000,"0–300k",IF(L578&lt;=600000,"300k–600k",IF(L578&lt;=900000,"600k–900k",IF(L578&lt;=1200000,"900k–1200k","1200k+"))))</f>
        <v>0–300k</v>
      </c>
      <c r="P578" s="19" t="str">
        <f t="shared" ref="P578:P641" si="48">IF(N578 &lt;=25,"18-25", IF(N578&lt;=35,"26-35", IF(N578 &lt;=45,"36-45", IF(N578&lt;=55,"46-55","56+"))))</f>
        <v>46-55</v>
      </c>
    </row>
    <row r="579" spans="1:16" x14ac:dyDescent="0.25">
      <c r="A579">
        <v>578</v>
      </c>
      <c r="B579" t="s">
        <v>9</v>
      </c>
      <c r="C579">
        <v>297046</v>
      </c>
      <c r="D579" t="s">
        <v>17</v>
      </c>
      <c r="E579" t="s">
        <v>16</v>
      </c>
      <c r="F579" t="s">
        <v>12</v>
      </c>
      <c r="G579" t="s">
        <v>13</v>
      </c>
      <c r="H579" t="s">
        <v>13</v>
      </c>
      <c r="I579">
        <v>30</v>
      </c>
      <c r="J579" t="str" cm="1">
        <f t="array" ref="J579">_xlfn.IFS(ISBLANK(C579),"FALTANTE",ABS((C579-$W$5)/$X$5)&gt;1.96,"ATÍPICO",ABS((C579-$W$5)/$X$5)&lt;=1.96,"NO ATÍPICO")</f>
        <v>NO ATÍPICO</v>
      </c>
      <c r="K579" t="str" cm="1">
        <f t="array" ref="K579">_xlfn.IFS(ISBLANK(I579),"FALTANTE",ABS((I579-$W$8)/$X$8)&gt;1.92,"ATÍPICO",ABS((I579-$W$8)/$X$8)&lt;=1.92,"NO ATÍPICO")</f>
        <v>NO ATÍPICO</v>
      </c>
      <c r="L579">
        <f t="shared" si="45"/>
        <v>297046</v>
      </c>
      <c r="M579" t="str">
        <f t="shared" si="44"/>
        <v>ASEGURADO VOLUNTARIO</v>
      </c>
      <c r="N579">
        <f t="shared" si="46"/>
        <v>30</v>
      </c>
      <c r="O579" s="19" t="str">
        <f t="shared" si="47"/>
        <v>0–300k</v>
      </c>
      <c r="P579" s="19" t="str">
        <f t="shared" si="48"/>
        <v>26-35</v>
      </c>
    </row>
    <row r="580" spans="1:16" x14ac:dyDescent="0.25">
      <c r="A580">
        <v>579</v>
      </c>
      <c r="B580" t="s">
        <v>15</v>
      </c>
      <c r="C580">
        <v>962128.4</v>
      </c>
      <c r="D580" t="s">
        <v>10</v>
      </c>
      <c r="E580" t="s">
        <v>16</v>
      </c>
      <c r="F580" t="s">
        <v>12</v>
      </c>
      <c r="G580" t="s">
        <v>13</v>
      </c>
      <c r="H580" t="s">
        <v>13</v>
      </c>
      <c r="I580">
        <v>32</v>
      </c>
      <c r="J580" t="str" cm="1">
        <f t="array" ref="J580">_xlfn.IFS(ISBLANK(C580),"FALTANTE",ABS((C580-$W$5)/$X$5)&gt;1.96,"ATÍPICO",ABS((C580-$W$5)/$X$5)&lt;=1.96,"NO ATÍPICO")</f>
        <v>NO ATÍPICO</v>
      </c>
      <c r="K580" t="str" cm="1">
        <f t="array" ref="K580">_xlfn.IFS(ISBLANK(I580),"FALTANTE",ABS((I580-$W$8)/$X$8)&gt;1.92,"ATÍPICO",ABS((I580-$W$8)/$X$8)&lt;=1.92,"NO ATÍPICO")</f>
        <v>NO ATÍPICO</v>
      </c>
      <c r="L580">
        <f t="shared" si="45"/>
        <v>962128.4</v>
      </c>
      <c r="M580" t="str">
        <f t="shared" ref="M580:M643" si="49">D580</f>
        <v>ASALARIADO</v>
      </c>
      <c r="N580">
        <f t="shared" si="46"/>
        <v>32</v>
      </c>
      <c r="O580" s="19" t="str">
        <f t="shared" si="47"/>
        <v>900k–1200k</v>
      </c>
      <c r="P580" s="19" t="str">
        <f t="shared" si="48"/>
        <v>26-35</v>
      </c>
    </row>
    <row r="581" spans="1:16" x14ac:dyDescent="0.25">
      <c r="A581">
        <v>580</v>
      </c>
      <c r="B581" t="s">
        <v>9</v>
      </c>
      <c r="C581">
        <v>800945.46</v>
      </c>
      <c r="D581" t="s">
        <v>10</v>
      </c>
      <c r="E581" t="s">
        <v>16</v>
      </c>
      <c r="F581" t="s">
        <v>12</v>
      </c>
      <c r="G581" t="s">
        <v>13</v>
      </c>
      <c r="H581" t="s">
        <v>13</v>
      </c>
      <c r="I581">
        <v>46</v>
      </c>
      <c r="J581" t="str" cm="1">
        <f t="array" ref="J581">_xlfn.IFS(ISBLANK(C581),"FALTANTE",ABS((C581-$W$5)/$X$5)&gt;1.96,"ATÍPICO",ABS((C581-$W$5)/$X$5)&lt;=1.96,"NO ATÍPICO")</f>
        <v>NO ATÍPICO</v>
      </c>
      <c r="K581" t="str" cm="1">
        <f t="array" ref="K581">_xlfn.IFS(ISBLANK(I581),"FALTANTE",ABS((I581-$W$8)/$X$8)&gt;1.92,"ATÍPICO",ABS((I581-$W$8)/$X$8)&lt;=1.92,"NO ATÍPICO")</f>
        <v>NO ATÍPICO</v>
      </c>
      <c r="L581">
        <f t="shared" si="45"/>
        <v>800945.46</v>
      </c>
      <c r="M581" t="str">
        <f t="shared" si="49"/>
        <v>ASALARIADO</v>
      </c>
      <c r="N581">
        <f t="shared" si="46"/>
        <v>46</v>
      </c>
      <c r="O581" s="19" t="str">
        <f t="shared" si="47"/>
        <v>600k–900k</v>
      </c>
      <c r="P581" s="19" t="str">
        <f t="shared" si="48"/>
        <v>46-55</v>
      </c>
    </row>
    <row r="582" spans="1:16" x14ac:dyDescent="0.25">
      <c r="A582">
        <v>581</v>
      </c>
      <c r="B582" t="s">
        <v>9</v>
      </c>
      <c r="C582">
        <v>445567</v>
      </c>
      <c r="D582" t="s">
        <v>18</v>
      </c>
      <c r="E582" t="s">
        <v>16</v>
      </c>
      <c r="F582" t="s">
        <v>12</v>
      </c>
      <c r="G582" t="s">
        <v>13</v>
      </c>
      <c r="H582" t="s">
        <v>12</v>
      </c>
      <c r="I582">
        <v>56</v>
      </c>
      <c r="J582" t="str" cm="1">
        <f t="array" ref="J582">_xlfn.IFS(ISBLANK(C582),"FALTANTE",ABS((C582-$W$5)/$X$5)&gt;1.96,"ATÍPICO",ABS((C582-$W$5)/$X$5)&lt;=1.96,"NO ATÍPICO")</f>
        <v>NO ATÍPICO</v>
      </c>
      <c r="K582" t="str" cm="1">
        <f t="array" ref="K582">_xlfn.IFS(ISBLANK(I582),"FALTANTE",ABS((I582-$W$8)/$X$8)&gt;1.92,"ATÍPICO",ABS((I582-$W$8)/$X$8)&lt;=1.92,"NO ATÍPICO")</f>
        <v>NO ATÍPICO</v>
      </c>
      <c r="L582">
        <f t="shared" si="45"/>
        <v>445567</v>
      </c>
      <c r="M582" t="str">
        <f t="shared" si="49"/>
        <v>TRABAJADOR INDEPENDIENTE</v>
      </c>
      <c r="N582">
        <f t="shared" si="46"/>
        <v>56</v>
      </c>
      <c r="O582" s="19" t="str">
        <f t="shared" si="47"/>
        <v>300k–600k</v>
      </c>
      <c r="P582" s="19" t="str">
        <f t="shared" si="48"/>
        <v>56+</v>
      </c>
    </row>
    <row r="583" spans="1:16" x14ac:dyDescent="0.25">
      <c r="A583">
        <v>582</v>
      </c>
      <c r="B583" t="s">
        <v>9</v>
      </c>
      <c r="C583">
        <v>130000</v>
      </c>
      <c r="D583" t="s">
        <v>10</v>
      </c>
      <c r="E583" t="s">
        <v>16</v>
      </c>
      <c r="F583" t="s">
        <v>12</v>
      </c>
      <c r="G583" t="s">
        <v>13</v>
      </c>
      <c r="H583" t="s">
        <v>13</v>
      </c>
      <c r="I583">
        <v>26</v>
      </c>
      <c r="J583" t="str" cm="1">
        <f t="array" ref="J583">_xlfn.IFS(ISBLANK(C583),"FALTANTE",ABS((C583-$W$5)/$X$5)&gt;1.96,"ATÍPICO",ABS((C583-$W$5)/$X$5)&lt;=1.96,"NO ATÍPICO")</f>
        <v>NO ATÍPICO</v>
      </c>
      <c r="K583" t="str" cm="1">
        <f t="array" ref="K583">_xlfn.IFS(ISBLANK(I583),"FALTANTE",ABS((I583-$W$8)/$X$8)&gt;1.92,"ATÍPICO",ABS((I583-$W$8)/$X$8)&lt;=1.92,"NO ATÍPICO")</f>
        <v>NO ATÍPICO</v>
      </c>
      <c r="L583">
        <f t="shared" si="45"/>
        <v>130000</v>
      </c>
      <c r="M583" t="str">
        <f t="shared" si="49"/>
        <v>ASALARIADO</v>
      </c>
      <c r="N583">
        <f t="shared" si="46"/>
        <v>26</v>
      </c>
      <c r="O583" s="19" t="str">
        <f t="shared" si="47"/>
        <v>0–300k</v>
      </c>
      <c r="P583" s="19" t="str">
        <f t="shared" si="48"/>
        <v>26-35</v>
      </c>
    </row>
    <row r="584" spans="1:16" x14ac:dyDescent="0.25">
      <c r="A584">
        <v>583</v>
      </c>
      <c r="B584" t="s">
        <v>9</v>
      </c>
      <c r="C584">
        <v>753130.72</v>
      </c>
      <c r="D584" t="s">
        <v>10</v>
      </c>
      <c r="E584" t="s">
        <v>16</v>
      </c>
      <c r="F584" t="s">
        <v>12</v>
      </c>
      <c r="G584" t="s">
        <v>13</v>
      </c>
      <c r="H584" t="s">
        <v>13</v>
      </c>
      <c r="I584">
        <v>22</v>
      </c>
      <c r="J584" t="str" cm="1">
        <f t="array" ref="J584">_xlfn.IFS(ISBLANK(C584),"FALTANTE",ABS((C584-$W$5)/$X$5)&gt;1.96,"ATÍPICO",ABS((C584-$W$5)/$X$5)&lt;=1.96,"NO ATÍPICO")</f>
        <v>NO ATÍPICO</v>
      </c>
      <c r="K584" t="str" cm="1">
        <f t="array" ref="K584">_xlfn.IFS(ISBLANK(I584),"FALTANTE",ABS((I584-$W$8)/$X$8)&gt;1.92,"ATÍPICO",ABS((I584-$W$8)/$X$8)&lt;=1.92,"NO ATÍPICO")</f>
        <v>NO ATÍPICO</v>
      </c>
      <c r="L584">
        <f t="shared" si="45"/>
        <v>753130.72</v>
      </c>
      <c r="M584" t="str">
        <f t="shared" si="49"/>
        <v>ASALARIADO</v>
      </c>
      <c r="N584">
        <f t="shared" si="46"/>
        <v>22</v>
      </c>
      <c r="O584" s="19" t="str">
        <f t="shared" si="47"/>
        <v>600k–900k</v>
      </c>
      <c r="P584" s="19" t="str">
        <f t="shared" si="48"/>
        <v>18-25</v>
      </c>
    </row>
    <row r="585" spans="1:16" x14ac:dyDescent="0.25">
      <c r="A585">
        <v>584</v>
      </c>
      <c r="B585" t="s">
        <v>9</v>
      </c>
      <c r="C585">
        <v>180000</v>
      </c>
      <c r="D585" t="s">
        <v>10</v>
      </c>
      <c r="E585" t="s">
        <v>16</v>
      </c>
      <c r="F585" t="s">
        <v>12</v>
      </c>
      <c r="G585" t="s">
        <v>13</v>
      </c>
      <c r="H585" t="s">
        <v>13</v>
      </c>
      <c r="I585">
        <v>28</v>
      </c>
      <c r="J585" t="str" cm="1">
        <f t="array" ref="J585">_xlfn.IFS(ISBLANK(C585),"FALTANTE",ABS((C585-$W$5)/$X$5)&gt;1.96,"ATÍPICO",ABS((C585-$W$5)/$X$5)&lt;=1.96,"NO ATÍPICO")</f>
        <v>NO ATÍPICO</v>
      </c>
      <c r="K585" t="str" cm="1">
        <f t="array" ref="K585">_xlfn.IFS(ISBLANK(I585),"FALTANTE",ABS((I585-$W$8)/$X$8)&gt;1.92,"ATÍPICO",ABS((I585-$W$8)/$X$8)&lt;=1.92,"NO ATÍPICO")</f>
        <v>NO ATÍPICO</v>
      </c>
      <c r="L585">
        <f t="shared" si="45"/>
        <v>180000</v>
      </c>
      <c r="M585" t="str">
        <f t="shared" si="49"/>
        <v>ASALARIADO</v>
      </c>
      <c r="N585">
        <f t="shared" si="46"/>
        <v>28</v>
      </c>
      <c r="O585" s="19" t="str">
        <f t="shared" si="47"/>
        <v>0–300k</v>
      </c>
      <c r="P585" s="19" t="str">
        <f t="shared" si="48"/>
        <v>26-35</v>
      </c>
    </row>
    <row r="586" spans="1:16" x14ac:dyDescent="0.25">
      <c r="A586">
        <v>585</v>
      </c>
      <c r="B586" t="s">
        <v>9</v>
      </c>
      <c r="C586">
        <v>377035</v>
      </c>
      <c r="D586" t="s">
        <v>18</v>
      </c>
      <c r="E586" t="s">
        <v>16</v>
      </c>
      <c r="F586" t="s">
        <v>12</v>
      </c>
      <c r="G586" t="s">
        <v>13</v>
      </c>
      <c r="H586" t="s">
        <v>12</v>
      </c>
      <c r="I586">
        <v>49</v>
      </c>
      <c r="J586" t="str" cm="1">
        <f t="array" ref="J586">_xlfn.IFS(ISBLANK(C586),"FALTANTE",ABS((C586-$W$5)/$X$5)&gt;1.96,"ATÍPICO",ABS((C586-$W$5)/$X$5)&lt;=1.96,"NO ATÍPICO")</f>
        <v>NO ATÍPICO</v>
      </c>
      <c r="K586" t="str" cm="1">
        <f t="array" ref="K586">_xlfn.IFS(ISBLANK(I586),"FALTANTE",ABS((I586-$W$8)/$X$8)&gt;1.92,"ATÍPICO",ABS((I586-$W$8)/$X$8)&lt;=1.92,"NO ATÍPICO")</f>
        <v>NO ATÍPICO</v>
      </c>
      <c r="L586">
        <f t="shared" si="45"/>
        <v>377035</v>
      </c>
      <c r="M586" t="str">
        <f t="shared" si="49"/>
        <v>TRABAJADOR INDEPENDIENTE</v>
      </c>
      <c r="N586">
        <f t="shared" si="46"/>
        <v>49</v>
      </c>
      <c r="O586" s="19" t="str">
        <f t="shared" si="47"/>
        <v>300k–600k</v>
      </c>
      <c r="P586" s="19" t="str">
        <f t="shared" si="48"/>
        <v>46-55</v>
      </c>
    </row>
    <row r="587" spans="1:16" x14ac:dyDescent="0.25">
      <c r="A587">
        <v>586</v>
      </c>
      <c r="B587" t="s">
        <v>15</v>
      </c>
      <c r="C587">
        <v>308874</v>
      </c>
      <c r="D587" t="s">
        <v>10</v>
      </c>
      <c r="E587" t="s">
        <v>11</v>
      </c>
      <c r="F587" t="s">
        <v>12</v>
      </c>
      <c r="G587" t="s">
        <v>13</v>
      </c>
      <c r="H587" t="s">
        <v>12</v>
      </c>
      <c r="I587">
        <v>57</v>
      </c>
      <c r="J587" t="str" cm="1">
        <f t="array" ref="J587">_xlfn.IFS(ISBLANK(C587),"FALTANTE",ABS((C587-$W$5)/$X$5)&gt;1.96,"ATÍPICO",ABS((C587-$W$5)/$X$5)&lt;=1.96,"NO ATÍPICO")</f>
        <v>NO ATÍPICO</v>
      </c>
      <c r="K587" t="str" cm="1">
        <f t="array" ref="K587">_xlfn.IFS(ISBLANK(I587),"FALTANTE",ABS((I587-$W$8)/$X$8)&gt;1.92,"ATÍPICO",ABS((I587-$W$8)/$X$8)&lt;=1.92,"NO ATÍPICO")</f>
        <v>NO ATÍPICO</v>
      </c>
      <c r="L587">
        <f t="shared" si="45"/>
        <v>308874</v>
      </c>
      <c r="M587" t="str">
        <f t="shared" si="49"/>
        <v>ASALARIADO</v>
      </c>
      <c r="N587">
        <f t="shared" si="46"/>
        <v>57</v>
      </c>
      <c r="O587" s="19" t="str">
        <f t="shared" si="47"/>
        <v>300k–600k</v>
      </c>
      <c r="P587" s="19" t="str">
        <f t="shared" si="48"/>
        <v>56+</v>
      </c>
    </row>
    <row r="588" spans="1:16" x14ac:dyDescent="0.25">
      <c r="A588">
        <v>587</v>
      </c>
      <c r="B588" t="s">
        <v>15</v>
      </c>
      <c r="C588">
        <v>1591051.5</v>
      </c>
      <c r="D588" t="s">
        <v>10</v>
      </c>
      <c r="E588" t="s">
        <v>11</v>
      </c>
      <c r="F588" t="s">
        <v>12</v>
      </c>
      <c r="G588" t="s">
        <v>13</v>
      </c>
      <c r="H588" t="s">
        <v>13</v>
      </c>
      <c r="I588">
        <v>62</v>
      </c>
      <c r="J588" t="str" cm="1">
        <f t="array" ref="J588">_xlfn.IFS(ISBLANK(C588),"FALTANTE",ABS((C588-$W$5)/$X$5)&gt;1.96,"ATÍPICO",ABS((C588-$W$5)/$X$5)&lt;=1.96,"NO ATÍPICO")</f>
        <v>NO ATÍPICO</v>
      </c>
      <c r="K588" t="str" cm="1">
        <f t="array" ref="K588">_xlfn.IFS(ISBLANK(I588),"FALTANTE",ABS((I588-$W$8)/$X$8)&gt;1.92,"ATÍPICO",ABS((I588-$W$8)/$X$8)&lt;=1.92,"NO ATÍPICO")</f>
        <v>NO ATÍPICO</v>
      </c>
      <c r="L588">
        <f t="shared" si="45"/>
        <v>1591051.5</v>
      </c>
      <c r="M588" t="str">
        <f t="shared" si="49"/>
        <v>ASALARIADO</v>
      </c>
      <c r="N588">
        <f t="shared" si="46"/>
        <v>62</v>
      </c>
      <c r="O588" s="19" t="str">
        <f t="shared" si="47"/>
        <v>1200k+</v>
      </c>
      <c r="P588" s="19" t="str">
        <f t="shared" si="48"/>
        <v>56+</v>
      </c>
    </row>
    <row r="589" spans="1:16" x14ac:dyDescent="0.25">
      <c r="A589">
        <v>588</v>
      </c>
      <c r="B589" t="s">
        <v>9</v>
      </c>
      <c r="C589">
        <v>415503</v>
      </c>
      <c r="D589" t="s">
        <v>10</v>
      </c>
      <c r="E589" t="s">
        <v>16</v>
      </c>
      <c r="F589" t="s">
        <v>12</v>
      </c>
      <c r="G589" t="s">
        <v>13</v>
      </c>
      <c r="H589" t="s">
        <v>13</v>
      </c>
      <c r="I589">
        <v>52</v>
      </c>
      <c r="J589" t="str" cm="1">
        <f t="array" ref="J589">_xlfn.IFS(ISBLANK(C589),"FALTANTE",ABS((C589-$W$5)/$X$5)&gt;1.96,"ATÍPICO",ABS((C589-$W$5)/$X$5)&lt;=1.96,"NO ATÍPICO")</f>
        <v>NO ATÍPICO</v>
      </c>
      <c r="K589" t="str" cm="1">
        <f t="array" ref="K589">_xlfn.IFS(ISBLANK(I589),"FALTANTE",ABS((I589-$W$8)/$X$8)&gt;1.92,"ATÍPICO",ABS((I589-$W$8)/$X$8)&lt;=1.92,"NO ATÍPICO")</f>
        <v>NO ATÍPICO</v>
      </c>
      <c r="L589">
        <f t="shared" si="45"/>
        <v>415503</v>
      </c>
      <c r="M589" t="str">
        <f t="shared" si="49"/>
        <v>ASALARIADO</v>
      </c>
      <c r="N589">
        <f t="shared" si="46"/>
        <v>52</v>
      </c>
      <c r="O589" s="19" t="str">
        <f t="shared" si="47"/>
        <v>300k–600k</v>
      </c>
      <c r="P589" s="19" t="str">
        <f t="shared" si="48"/>
        <v>46-55</v>
      </c>
    </row>
    <row r="590" spans="1:16" x14ac:dyDescent="0.25">
      <c r="A590">
        <v>589</v>
      </c>
      <c r="B590" t="s">
        <v>15</v>
      </c>
      <c r="C590">
        <v>397559.9</v>
      </c>
      <c r="D590" t="s">
        <v>10</v>
      </c>
      <c r="E590" t="s">
        <v>16</v>
      </c>
      <c r="F590" t="s">
        <v>12</v>
      </c>
      <c r="G590" t="s">
        <v>13</v>
      </c>
      <c r="H590" t="s">
        <v>13</v>
      </c>
      <c r="I590">
        <v>21</v>
      </c>
      <c r="J590" t="str" cm="1">
        <f t="array" ref="J590">_xlfn.IFS(ISBLANK(C590),"FALTANTE",ABS((C590-$W$5)/$X$5)&gt;1.96,"ATÍPICO",ABS((C590-$W$5)/$X$5)&lt;=1.96,"NO ATÍPICO")</f>
        <v>NO ATÍPICO</v>
      </c>
      <c r="K590" t="str" cm="1">
        <f t="array" ref="K590">_xlfn.IFS(ISBLANK(I590),"FALTANTE",ABS((I590-$W$8)/$X$8)&gt;1.92,"ATÍPICO",ABS((I590-$W$8)/$X$8)&lt;=1.92,"NO ATÍPICO")</f>
        <v>NO ATÍPICO</v>
      </c>
      <c r="L590">
        <f t="shared" si="45"/>
        <v>397559.9</v>
      </c>
      <c r="M590" t="str">
        <f t="shared" si="49"/>
        <v>ASALARIADO</v>
      </c>
      <c r="N590">
        <f t="shared" si="46"/>
        <v>21</v>
      </c>
      <c r="O590" s="19" t="str">
        <f t="shared" si="47"/>
        <v>300k–600k</v>
      </c>
      <c r="P590" s="19" t="str">
        <f t="shared" si="48"/>
        <v>18-25</v>
      </c>
    </row>
    <row r="591" spans="1:16" x14ac:dyDescent="0.25">
      <c r="A591">
        <v>590</v>
      </c>
      <c r="B591" t="s">
        <v>15</v>
      </c>
      <c r="C591">
        <v>1422244</v>
      </c>
      <c r="D591" t="s">
        <v>14</v>
      </c>
      <c r="E591" t="s">
        <v>11</v>
      </c>
      <c r="F591" t="s">
        <v>12</v>
      </c>
      <c r="G591" t="s">
        <v>13</v>
      </c>
      <c r="H591" t="s">
        <v>13</v>
      </c>
      <c r="I591">
        <v>77</v>
      </c>
      <c r="J591" t="str" cm="1">
        <f t="array" ref="J591">_xlfn.IFS(ISBLANK(C591),"FALTANTE",ABS((C591-$W$5)/$X$5)&gt;1.96,"ATÍPICO",ABS((C591-$W$5)/$X$5)&lt;=1.96,"NO ATÍPICO")</f>
        <v>NO ATÍPICO</v>
      </c>
      <c r="K591" t="str" cm="1">
        <f t="array" ref="K591">_xlfn.IFS(ISBLANK(I591),"FALTANTE",ABS((I591-$W$8)/$X$8)&gt;1.92,"ATÍPICO",ABS((I591-$W$8)/$X$8)&lt;=1.92,"NO ATÍPICO")</f>
        <v>ATÍPICO</v>
      </c>
      <c r="L591">
        <f t="shared" si="45"/>
        <v>1422244</v>
      </c>
      <c r="M591" t="str">
        <f t="shared" si="49"/>
        <v>PENSIONADOS EN SU PROPIO SISTEMA</v>
      </c>
      <c r="N591">
        <f t="shared" si="46"/>
        <v>77</v>
      </c>
      <c r="O591" s="19" t="str">
        <f t="shared" si="47"/>
        <v>1200k+</v>
      </c>
      <c r="P591" s="19" t="str">
        <f t="shared" si="48"/>
        <v>56+</v>
      </c>
    </row>
    <row r="592" spans="1:16" x14ac:dyDescent="0.25">
      <c r="A592">
        <v>591</v>
      </c>
      <c r="B592" t="s">
        <v>15</v>
      </c>
      <c r="C592">
        <v>297046</v>
      </c>
      <c r="D592" t="s">
        <v>17</v>
      </c>
      <c r="E592" t="s">
        <v>16</v>
      </c>
      <c r="F592" t="s">
        <v>12</v>
      </c>
      <c r="G592" t="s">
        <v>13</v>
      </c>
      <c r="H592" t="s">
        <v>13</v>
      </c>
      <c r="I592">
        <v>26</v>
      </c>
      <c r="J592" t="str" cm="1">
        <f t="array" ref="J592">_xlfn.IFS(ISBLANK(C592),"FALTANTE",ABS((C592-$W$5)/$X$5)&gt;1.96,"ATÍPICO",ABS((C592-$W$5)/$X$5)&lt;=1.96,"NO ATÍPICO")</f>
        <v>NO ATÍPICO</v>
      </c>
      <c r="K592" t="str" cm="1">
        <f t="array" ref="K592">_xlfn.IFS(ISBLANK(I592),"FALTANTE",ABS((I592-$W$8)/$X$8)&gt;1.92,"ATÍPICO",ABS((I592-$W$8)/$X$8)&lt;=1.92,"NO ATÍPICO")</f>
        <v>NO ATÍPICO</v>
      </c>
      <c r="L592">
        <f t="shared" si="45"/>
        <v>297046</v>
      </c>
      <c r="M592" t="str">
        <f t="shared" si="49"/>
        <v>ASEGURADO VOLUNTARIO</v>
      </c>
      <c r="N592">
        <f t="shared" si="46"/>
        <v>26</v>
      </c>
      <c r="O592" s="19" t="str">
        <f t="shared" si="47"/>
        <v>0–300k</v>
      </c>
      <c r="P592" s="19" t="str">
        <f t="shared" si="48"/>
        <v>26-35</v>
      </c>
    </row>
    <row r="593" spans="1:16" x14ac:dyDescent="0.25">
      <c r="A593">
        <v>592</v>
      </c>
      <c r="B593" t="s">
        <v>15</v>
      </c>
      <c r="C593">
        <v>1039384</v>
      </c>
      <c r="D593" t="s">
        <v>10</v>
      </c>
      <c r="E593" t="s">
        <v>11</v>
      </c>
      <c r="F593" t="s">
        <v>12</v>
      </c>
      <c r="G593" t="s">
        <v>13</v>
      </c>
      <c r="H593" t="s">
        <v>12</v>
      </c>
      <c r="I593">
        <v>43</v>
      </c>
      <c r="J593" t="str" cm="1">
        <f t="array" ref="J593">_xlfn.IFS(ISBLANK(C593),"FALTANTE",ABS((C593-$W$5)/$X$5)&gt;1.96,"ATÍPICO",ABS((C593-$W$5)/$X$5)&lt;=1.96,"NO ATÍPICO")</f>
        <v>NO ATÍPICO</v>
      </c>
      <c r="K593" t="str" cm="1">
        <f t="array" ref="K593">_xlfn.IFS(ISBLANK(I593),"FALTANTE",ABS((I593-$W$8)/$X$8)&gt;1.92,"ATÍPICO",ABS((I593-$W$8)/$X$8)&lt;=1.92,"NO ATÍPICO")</f>
        <v>NO ATÍPICO</v>
      </c>
      <c r="L593">
        <f t="shared" si="45"/>
        <v>1039384</v>
      </c>
      <c r="M593" t="str">
        <f t="shared" si="49"/>
        <v>ASALARIADO</v>
      </c>
      <c r="N593">
        <f t="shared" si="46"/>
        <v>43</v>
      </c>
      <c r="O593" s="19" t="str">
        <f t="shared" si="47"/>
        <v>900k–1200k</v>
      </c>
      <c r="P593" s="19" t="str">
        <f t="shared" si="48"/>
        <v>36-45</v>
      </c>
    </row>
    <row r="594" spans="1:16" x14ac:dyDescent="0.25">
      <c r="A594">
        <v>593</v>
      </c>
      <c r="B594" t="s">
        <v>9</v>
      </c>
      <c r="C594">
        <v>310363</v>
      </c>
      <c r="D594" t="s">
        <v>17</v>
      </c>
      <c r="E594" t="s">
        <v>16</v>
      </c>
      <c r="F594" t="s">
        <v>12</v>
      </c>
      <c r="G594" t="s">
        <v>13</v>
      </c>
      <c r="H594" t="s">
        <v>13</v>
      </c>
      <c r="I594">
        <v>60</v>
      </c>
      <c r="J594" t="str" cm="1">
        <f t="array" ref="J594">_xlfn.IFS(ISBLANK(C594),"FALTANTE",ABS((C594-$W$5)/$X$5)&gt;1.96,"ATÍPICO",ABS((C594-$W$5)/$X$5)&lt;=1.96,"NO ATÍPICO")</f>
        <v>NO ATÍPICO</v>
      </c>
      <c r="K594" t="str" cm="1">
        <f t="array" ref="K594">_xlfn.IFS(ISBLANK(I594),"FALTANTE",ABS((I594-$W$8)/$X$8)&gt;1.92,"ATÍPICO",ABS((I594-$W$8)/$X$8)&lt;=1.92,"NO ATÍPICO")</f>
        <v>NO ATÍPICO</v>
      </c>
      <c r="L594">
        <f t="shared" si="45"/>
        <v>310363</v>
      </c>
      <c r="M594" t="str">
        <f t="shared" si="49"/>
        <v>ASEGURADO VOLUNTARIO</v>
      </c>
      <c r="N594">
        <f t="shared" si="46"/>
        <v>60</v>
      </c>
      <c r="O594" s="19" t="str">
        <f t="shared" si="47"/>
        <v>300k–600k</v>
      </c>
      <c r="P594" s="19" t="str">
        <f t="shared" si="48"/>
        <v>56+</v>
      </c>
    </row>
    <row r="595" spans="1:16" x14ac:dyDescent="0.25">
      <c r="A595">
        <v>594</v>
      </c>
      <c r="B595" t="s">
        <v>9</v>
      </c>
      <c r="C595">
        <v>1150000</v>
      </c>
      <c r="D595" t="s">
        <v>10</v>
      </c>
      <c r="E595" t="s">
        <v>16</v>
      </c>
      <c r="F595" t="s">
        <v>12</v>
      </c>
      <c r="G595" t="s">
        <v>13</v>
      </c>
      <c r="H595" t="s">
        <v>13</v>
      </c>
      <c r="I595">
        <v>37</v>
      </c>
      <c r="J595" t="str" cm="1">
        <f t="array" ref="J595">_xlfn.IFS(ISBLANK(C595),"FALTANTE",ABS((C595-$W$5)/$X$5)&gt;1.96,"ATÍPICO",ABS((C595-$W$5)/$X$5)&lt;=1.96,"NO ATÍPICO")</f>
        <v>NO ATÍPICO</v>
      </c>
      <c r="K595" t="str" cm="1">
        <f t="array" ref="K595">_xlfn.IFS(ISBLANK(I595),"FALTANTE",ABS((I595-$W$8)/$X$8)&gt;1.92,"ATÍPICO",ABS((I595-$W$8)/$X$8)&lt;=1.92,"NO ATÍPICO")</f>
        <v>NO ATÍPICO</v>
      </c>
      <c r="L595">
        <f t="shared" si="45"/>
        <v>1150000</v>
      </c>
      <c r="M595" t="str">
        <f t="shared" si="49"/>
        <v>ASALARIADO</v>
      </c>
      <c r="N595">
        <f t="shared" si="46"/>
        <v>37</v>
      </c>
      <c r="O595" s="19" t="str">
        <f t="shared" si="47"/>
        <v>900k–1200k</v>
      </c>
      <c r="P595" s="19" t="str">
        <f t="shared" si="48"/>
        <v>36-45</v>
      </c>
    </row>
    <row r="596" spans="1:16" x14ac:dyDescent="0.25">
      <c r="A596">
        <v>595</v>
      </c>
      <c r="B596" t="s">
        <v>15</v>
      </c>
      <c r="C596">
        <v>360191</v>
      </c>
      <c r="D596" t="s">
        <v>10</v>
      </c>
      <c r="E596" t="s">
        <v>11</v>
      </c>
      <c r="F596" t="s">
        <v>12</v>
      </c>
      <c r="G596" t="s">
        <v>13</v>
      </c>
      <c r="H596" t="s">
        <v>12</v>
      </c>
      <c r="I596">
        <v>42</v>
      </c>
      <c r="J596" t="str" cm="1">
        <f t="array" ref="J596">_xlfn.IFS(ISBLANK(C596),"FALTANTE",ABS((C596-$W$5)/$X$5)&gt;1.96,"ATÍPICO",ABS((C596-$W$5)/$X$5)&lt;=1.96,"NO ATÍPICO")</f>
        <v>NO ATÍPICO</v>
      </c>
      <c r="K596" t="str" cm="1">
        <f t="array" ref="K596">_xlfn.IFS(ISBLANK(I596),"FALTANTE",ABS((I596-$W$8)/$X$8)&gt;1.92,"ATÍPICO",ABS((I596-$W$8)/$X$8)&lt;=1.92,"NO ATÍPICO")</f>
        <v>NO ATÍPICO</v>
      </c>
      <c r="L596">
        <f t="shared" si="45"/>
        <v>360191</v>
      </c>
      <c r="M596" t="str">
        <f t="shared" si="49"/>
        <v>ASALARIADO</v>
      </c>
      <c r="N596">
        <f t="shared" si="46"/>
        <v>42</v>
      </c>
      <c r="O596" s="19" t="str">
        <f t="shared" si="47"/>
        <v>300k–600k</v>
      </c>
      <c r="P596" s="19" t="str">
        <f t="shared" si="48"/>
        <v>36-45</v>
      </c>
    </row>
    <row r="597" spans="1:16" x14ac:dyDescent="0.25">
      <c r="A597">
        <v>596</v>
      </c>
      <c r="B597" t="s">
        <v>9</v>
      </c>
      <c r="C597">
        <v>2183437.7799999998</v>
      </c>
      <c r="D597" t="s">
        <v>10</v>
      </c>
      <c r="E597" t="s">
        <v>11</v>
      </c>
      <c r="F597" t="s">
        <v>12</v>
      </c>
      <c r="G597" t="s">
        <v>13</v>
      </c>
      <c r="H597" t="s">
        <v>13</v>
      </c>
      <c r="I597">
        <v>43</v>
      </c>
      <c r="J597" t="str" cm="1">
        <f t="array" ref="J597">_xlfn.IFS(ISBLANK(C597),"FALTANTE",ABS((C597-$W$5)/$X$5)&gt;1.96,"ATÍPICO",ABS((C597-$W$5)/$X$5)&lt;=1.96,"NO ATÍPICO")</f>
        <v>NO ATÍPICO</v>
      </c>
      <c r="K597" t="str" cm="1">
        <f t="array" ref="K597">_xlfn.IFS(ISBLANK(I597),"FALTANTE",ABS((I597-$W$8)/$X$8)&gt;1.92,"ATÍPICO",ABS((I597-$W$8)/$X$8)&lt;=1.92,"NO ATÍPICO")</f>
        <v>NO ATÍPICO</v>
      </c>
      <c r="L597">
        <f t="shared" si="45"/>
        <v>2183437.7799999998</v>
      </c>
      <c r="M597" t="str">
        <f t="shared" si="49"/>
        <v>ASALARIADO</v>
      </c>
      <c r="N597">
        <f t="shared" si="46"/>
        <v>43</v>
      </c>
      <c r="O597" s="19" t="str">
        <f t="shared" si="47"/>
        <v>1200k+</v>
      </c>
      <c r="P597" s="19" t="str">
        <f t="shared" si="48"/>
        <v>36-45</v>
      </c>
    </row>
    <row r="598" spans="1:16" x14ac:dyDescent="0.25">
      <c r="A598">
        <v>597</v>
      </c>
      <c r="B598" t="s">
        <v>9</v>
      </c>
      <c r="C598">
        <v>278030</v>
      </c>
      <c r="D598" t="s">
        <v>19</v>
      </c>
      <c r="E598" t="s">
        <v>16</v>
      </c>
      <c r="F598" t="s">
        <v>12</v>
      </c>
      <c r="G598" t="s">
        <v>13</v>
      </c>
      <c r="H598" t="s">
        <v>13</v>
      </c>
      <c r="I598">
        <v>53</v>
      </c>
      <c r="J598" t="str" cm="1">
        <f t="array" ref="J598">_xlfn.IFS(ISBLANK(C598),"FALTANTE",ABS((C598-$W$5)/$X$5)&gt;1.96,"ATÍPICO",ABS((C598-$W$5)/$X$5)&lt;=1.96,"NO ATÍPICO")</f>
        <v>NO ATÍPICO</v>
      </c>
      <c r="K598" t="str" cm="1">
        <f t="array" ref="K598">_xlfn.IFS(ISBLANK(I598),"FALTANTE",ABS((I598-$W$8)/$X$8)&gt;1.92,"ATÍPICO",ABS((I598-$W$8)/$X$8)&lt;=1.92,"NO ATÍPICO")</f>
        <v>NO ATÍPICO</v>
      </c>
      <c r="L598">
        <f t="shared" si="45"/>
        <v>278030</v>
      </c>
      <c r="M598" t="str">
        <f t="shared" si="49"/>
        <v>CONVENIOS ESPECIALES DE TRABAJADORES INDEPENDIENTES</v>
      </c>
      <c r="N598">
        <f t="shared" si="46"/>
        <v>53</v>
      </c>
      <c r="O598" s="19" t="str">
        <f t="shared" si="47"/>
        <v>0–300k</v>
      </c>
      <c r="P598" s="19" t="str">
        <f t="shared" si="48"/>
        <v>46-55</v>
      </c>
    </row>
    <row r="599" spans="1:16" x14ac:dyDescent="0.25">
      <c r="A599">
        <v>598</v>
      </c>
      <c r="B599" t="s">
        <v>15</v>
      </c>
      <c r="C599">
        <v>518073.51</v>
      </c>
      <c r="D599" t="s">
        <v>10</v>
      </c>
      <c r="E599" t="s">
        <v>16</v>
      </c>
      <c r="F599" t="s">
        <v>12</v>
      </c>
      <c r="G599" t="s">
        <v>13</v>
      </c>
      <c r="H599" t="s">
        <v>13</v>
      </c>
      <c r="I599">
        <v>46</v>
      </c>
      <c r="J599" t="str" cm="1">
        <f t="array" ref="J599">_xlfn.IFS(ISBLANK(C599),"FALTANTE",ABS((C599-$W$5)/$X$5)&gt;1.96,"ATÍPICO",ABS((C599-$W$5)/$X$5)&lt;=1.96,"NO ATÍPICO")</f>
        <v>NO ATÍPICO</v>
      </c>
      <c r="K599" t="str" cm="1">
        <f t="array" ref="K599">_xlfn.IFS(ISBLANK(I599),"FALTANTE",ABS((I599-$W$8)/$X$8)&gt;1.92,"ATÍPICO",ABS((I599-$W$8)/$X$8)&lt;=1.92,"NO ATÍPICO")</f>
        <v>NO ATÍPICO</v>
      </c>
      <c r="L599">
        <f t="shared" si="45"/>
        <v>518073.51</v>
      </c>
      <c r="M599" t="str">
        <f t="shared" si="49"/>
        <v>ASALARIADO</v>
      </c>
      <c r="N599">
        <f t="shared" si="46"/>
        <v>46</v>
      </c>
      <c r="O599" s="19" t="str">
        <f t="shared" si="47"/>
        <v>300k–600k</v>
      </c>
      <c r="P599" s="19" t="str">
        <f t="shared" si="48"/>
        <v>46-55</v>
      </c>
    </row>
    <row r="600" spans="1:16" x14ac:dyDescent="0.25">
      <c r="A600">
        <v>599</v>
      </c>
      <c r="B600" t="s">
        <v>9</v>
      </c>
      <c r="C600">
        <v>390486.2</v>
      </c>
      <c r="D600" t="s">
        <v>10</v>
      </c>
      <c r="E600" t="s">
        <v>11</v>
      </c>
      <c r="F600" t="s">
        <v>12</v>
      </c>
      <c r="G600" t="s">
        <v>13</v>
      </c>
      <c r="H600" t="s">
        <v>13</v>
      </c>
      <c r="I600">
        <v>51</v>
      </c>
      <c r="J600" t="str" cm="1">
        <f t="array" ref="J600">_xlfn.IFS(ISBLANK(C600),"FALTANTE",ABS((C600-$W$5)/$X$5)&gt;1.96,"ATÍPICO",ABS((C600-$W$5)/$X$5)&lt;=1.96,"NO ATÍPICO")</f>
        <v>NO ATÍPICO</v>
      </c>
      <c r="K600" t="str" cm="1">
        <f t="array" ref="K600">_xlfn.IFS(ISBLANK(I600),"FALTANTE",ABS((I600-$W$8)/$X$8)&gt;1.92,"ATÍPICO",ABS((I600-$W$8)/$X$8)&lt;=1.92,"NO ATÍPICO")</f>
        <v>NO ATÍPICO</v>
      </c>
      <c r="L600">
        <f t="shared" si="45"/>
        <v>390486.2</v>
      </c>
      <c r="M600" t="str">
        <f t="shared" si="49"/>
        <v>ASALARIADO</v>
      </c>
      <c r="N600">
        <f t="shared" si="46"/>
        <v>51</v>
      </c>
      <c r="O600" s="19" t="str">
        <f t="shared" si="47"/>
        <v>300k–600k</v>
      </c>
      <c r="P600" s="19" t="str">
        <f t="shared" si="48"/>
        <v>46-55</v>
      </c>
    </row>
    <row r="601" spans="1:16" x14ac:dyDescent="0.25">
      <c r="A601">
        <v>600</v>
      </c>
      <c r="B601" t="s">
        <v>9</v>
      </c>
      <c r="C601">
        <v>2170393.56</v>
      </c>
      <c r="D601" t="s">
        <v>10</v>
      </c>
      <c r="E601" t="s">
        <v>11</v>
      </c>
      <c r="F601" t="s">
        <v>12</v>
      </c>
      <c r="G601" t="s">
        <v>13</v>
      </c>
      <c r="H601" t="s">
        <v>13</v>
      </c>
      <c r="I601">
        <v>41</v>
      </c>
      <c r="J601" t="str" cm="1">
        <f t="array" ref="J601">_xlfn.IFS(ISBLANK(C601),"FALTANTE",ABS((C601-$W$5)/$X$5)&gt;1.96,"ATÍPICO",ABS((C601-$W$5)/$X$5)&lt;=1.96,"NO ATÍPICO")</f>
        <v>NO ATÍPICO</v>
      </c>
      <c r="K601" t="str" cm="1">
        <f t="array" ref="K601">_xlfn.IFS(ISBLANK(I601),"FALTANTE",ABS((I601-$W$8)/$X$8)&gt;1.92,"ATÍPICO",ABS((I601-$W$8)/$X$8)&lt;=1.92,"NO ATÍPICO")</f>
        <v>NO ATÍPICO</v>
      </c>
      <c r="L601">
        <f t="shared" si="45"/>
        <v>2170393.56</v>
      </c>
      <c r="M601" t="str">
        <f t="shared" si="49"/>
        <v>ASALARIADO</v>
      </c>
      <c r="N601">
        <f t="shared" si="46"/>
        <v>41</v>
      </c>
      <c r="O601" s="19" t="str">
        <f t="shared" si="47"/>
        <v>1200k+</v>
      </c>
      <c r="P601" s="19" t="str">
        <f t="shared" si="48"/>
        <v>36-45</v>
      </c>
    </row>
    <row r="602" spans="1:16" x14ac:dyDescent="0.25">
      <c r="A602">
        <v>601</v>
      </c>
      <c r="B602" t="s">
        <v>9</v>
      </c>
      <c r="C602">
        <v>299825</v>
      </c>
      <c r="D602" t="s">
        <v>18</v>
      </c>
      <c r="E602" t="s">
        <v>16</v>
      </c>
      <c r="F602" t="s">
        <v>12</v>
      </c>
      <c r="G602" t="s">
        <v>12</v>
      </c>
      <c r="H602" t="s">
        <v>12</v>
      </c>
      <c r="I602">
        <v>36</v>
      </c>
      <c r="J602" t="str" cm="1">
        <f t="array" ref="J602">_xlfn.IFS(ISBLANK(C602),"FALTANTE",ABS((C602-$W$5)/$X$5)&gt;1.96,"ATÍPICO",ABS((C602-$W$5)/$X$5)&lt;=1.96,"NO ATÍPICO")</f>
        <v>NO ATÍPICO</v>
      </c>
      <c r="K602" t="str" cm="1">
        <f t="array" ref="K602">_xlfn.IFS(ISBLANK(I602),"FALTANTE",ABS((I602-$W$8)/$X$8)&gt;1.92,"ATÍPICO",ABS((I602-$W$8)/$X$8)&lt;=1.92,"NO ATÍPICO")</f>
        <v>NO ATÍPICO</v>
      </c>
      <c r="L602">
        <f t="shared" si="45"/>
        <v>299825</v>
      </c>
      <c r="M602" t="str">
        <f t="shared" si="49"/>
        <v>TRABAJADOR INDEPENDIENTE</v>
      </c>
      <c r="N602">
        <f t="shared" si="46"/>
        <v>36</v>
      </c>
      <c r="O602" s="19" t="str">
        <f t="shared" si="47"/>
        <v>0–300k</v>
      </c>
      <c r="P602" s="19" t="str">
        <f t="shared" si="48"/>
        <v>36-45</v>
      </c>
    </row>
    <row r="603" spans="1:16" x14ac:dyDescent="0.25">
      <c r="A603">
        <v>602</v>
      </c>
      <c r="B603" t="s">
        <v>15</v>
      </c>
      <c r="C603">
        <v>273601</v>
      </c>
      <c r="D603" t="s">
        <v>10</v>
      </c>
      <c r="E603" t="s">
        <v>16</v>
      </c>
      <c r="F603" t="s">
        <v>12</v>
      </c>
      <c r="G603" t="s">
        <v>12</v>
      </c>
      <c r="H603" t="s">
        <v>13</v>
      </c>
      <c r="I603">
        <v>39</v>
      </c>
      <c r="J603" t="str" cm="1">
        <f t="array" ref="J603">_xlfn.IFS(ISBLANK(C603),"FALTANTE",ABS((C603-$W$5)/$X$5)&gt;1.96,"ATÍPICO",ABS((C603-$W$5)/$X$5)&lt;=1.96,"NO ATÍPICO")</f>
        <v>NO ATÍPICO</v>
      </c>
      <c r="K603" t="str" cm="1">
        <f t="array" ref="K603">_xlfn.IFS(ISBLANK(I603),"FALTANTE",ABS((I603-$W$8)/$X$8)&gt;1.92,"ATÍPICO",ABS((I603-$W$8)/$X$8)&lt;=1.92,"NO ATÍPICO")</f>
        <v>NO ATÍPICO</v>
      </c>
      <c r="L603">
        <f t="shared" si="45"/>
        <v>273601</v>
      </c>
      <c r="M603" t="str">
        <f t="shared" si="49"/>
        <v>ASALARIADO</v>
      </c>
      <c r="N603">
        <f t="shared" si="46"/>
        <v>39</v>
      </c>
      <c r="O603" s="19" t="str">
        <f t="shared" si="47"/>
        <v>0–300k</v>
      </c>
      <c r="P603" s="19" t="str">
        <f t="shared" si="48"/>
        <v>36-45</v>
      </c>
    </row>
    <row r="604" spans="1:16" x14ac:dyDescent="0.25">
      <c r="A604">
        <v>603</v>
      </c>
      <c r="B604" t="s">
        <v>9</v>
      </c>
      <c r="C604">
        <v>751546.8</v>
      </c>
      <c r="D604" t="s">
        <v>10</v>
      </c>
      <c r="E604" t="s">
        <v>16</v>
      </c>
      <c r="F604" t="s">
        <v>12</v>
      </c>
      <c r="G604" t="s">
        <v>13</v>
      </c>
      <c r="H604" t="s">
        <v>13</v>
      </c>
      <c r="I604">
        <v>29</v>
      </c>
      <c r="J604" t="str" cm="1">
        <f t="array" ref="J604">_xlfn.IFS(ISBLANK(C604),"FALTANTE",ABS((C604-$W$5)/$X$5)&gt;1.96,"ATÍPICO",ABS((C604-$W$5)/$X$5)&lt;=1.96,"NO ATÍPICO")</f>
        <v>NO ATÍPICO</v>
      </c>
      <c r="K604" t="str" cm="1">
        <f t="array" ref="K604">_xlfn.IFS(ISBLANK(I604),"FALTANTE",ABS((I604-$W$8)/$X$8)&gt;1.92,"ATÍPICO",ABS((I604-$W$8)/$X$8)&lt;=1.92,"NO ATÍPICO")</f>
        <v>NO ATÍPICO</v>
      </c>
      <c r="L604">
        <f t="shared" si="45"/>
        <v>751546.8</v>
      </c>
      <c r="M604" t="str">
        <f t="shared" si="49"/>
        <v>ASALARIADO</v>
      </c>
      <c r="N604">
        <f t="shared" si="46"/>
        <v>29</v>
      </c>
      <c r="O604" s="19" t="str">
        <f t="shared" si="47"/>
        <v>600k–900k</v>
      </c>
      <c r="P604" s="19" t="str">
        <f t="shared" si="48"/>
        <v>26-35</v>
      </c>
    </row>
    <row r="605" spans="1:16" x14ac:dyDescent="0.25">
      <c r="A605">
        <v>604</v>
      </c>
      <c r="B605" t="s">
        <v>9</v>
      </c>
      <c r="C605">
        <v>839652</v>
      </c>
      <c r="D605" t="s">
        <v>18</v>
      </c>
      <c r="E605" t="s">
        <v>16</v>
      </c>
      <c r="F605" t="s">
        <v>12</v>
      </c>
      <c r="G605" t="s">
        <v>13</v>
      </c>
      <c r="H605" t="s">
        <v>12</v>
      </c>
      <c r="I605">
        <v>77</v>
      </c>
      <c r="J605" t="str" cm="1">
        <f t="array" ref="J605">_xlfn.IFS(ISBLANK(C605),"FALTANTE",ABS((C605-$W$5)/$X$5)&gt;1.96,"ATÍPICO",ABS((C605-$W$5)/$X$5)&lt;=1.96,"NO ATÍPICO")</f>
        <v>NO ATÍPICO</v>
      </c>
      <c r="K605" t="str" cm="1">
        <f t="array" ref="K605">_xlfn.IFS(ISBLANK(I605),"FALTANTE",ABS((I605-$W$8)/$X$8)&gt;1.92,"ATÍPICO",ABS((I605-$W$8)/$X$8)&lt;=1.92,"NO ATÍPICO")</f>
        <v>ATÍPICO</v>
      </c>
      <c r="L605">
        <f t="shared" si="45"/>
        <v>839652</v>
      </c>
      <c r="M605" t="str">
        <f t="shared" si="49"/>
        <v>TRABAJADOR INDEPENDIENTE</v>
      </c>
      <c r="N605">
        <f t="shared" si="46"/>
        <v>77</v>
      </c>
      <c r="O605" s="19" t="str">
        <f t="shared" si="47"/>
        <v>600k–900k</v>
      </c>
      <c r="P605" s="19" t="str">
        <f t="shared" si="48"/>
        <v>56+</v>
      </c>
    </row>
    <row r="606" spans="1:16" x14ac:dyDescent="0.25">
      <c r="A606">
        <v>605</v>
      </c>
      <c r="B606" t="s">
        <v>15</v>
      </c>
      <c r="C606">
        <v>1742394.77</v>
      </c>
      <c r="D606" t="s">
        <v>10</v>
      </c>
      <c r="E606" t="s">
        <v>16</v>
      </c>
      <c r="F606" t="s">
        <v>12</v>
      </c>
      <c r="G606" t="s">
        <v>13</v>
      </c>
      <c r="H606" t="s">
        <v>13</v>
      </c>
      <c r="I606">
        <v>39</v>
      </c>
      <c r="J606" t="str" cm="1">
        <f t="array" ref="J606">_xlfn.IFS(ISBLANK(C606),"FALTANTE",ABS((C606-$W$5)/$X$5)&gt;1.96,"ATÍPICO",ABS((C606-$W$5)/$X$5)&lt;=1.96,"NO ATÍPICO")</f>
        <v>NO ATÍPICO</v>
      </c>
      <c r="K606" t="str" cm="1">
        <f t="array" ref="K606">_xlfn.IFS(ISBLANK(I606),"FALTANTE",ABS((I606-$W$8)/$X$8)&gt;1.92,"ATÍPICO",ABS((I606-$W$8)/$X$8)&lt;=1.92,"NO ATÍPICO")</f>
        <v>NO ATÍPICO</v>
      </c>
      <c r="L606">
        <f t="shared" si="45"/>
        <v>1742394.77</v>
      </c>
      <c r="M606" t="str">
        <f t="shared" si="49"/>
        <v>ASALARIADO</v>
      </c>
      <c r="N606">
        <f t="shared" si="46"/>
        <v>39</v>
      </c>
      <c r="O606" s="19" t="str">
        <f t="shared" si="47"/>
        <v>1200k+</v>
      </c>
      <c r="P606" s="19" t="str">
        <f t="shared" si="48"/>
        <v>36-45</v>
      </c>
    </row>
    <row r="607" spans="1:16" x14ac:dyDescent="0.25">
      <c r="A607">
        <v>606</v>
      </c>
      <c r="B607" t="s">
        <v>9</v>
      </c>
      <c r="C607">
        <v>1008778</v>
      </c>
      <c r="D607" t="s">
        <v>14</v>
      </c>
      <c r="E607" t="s">
        <v>11</v>
      </c>
      <c r="F607" t="s">
        <v>12</v>
      </c>
      <c r="G607" t="s">
        <v>13</v>
      </c>
      <c r="H607" t="s">
        <v>13</v>
      </c>
      <c r="I607">
        <v>75</v>
      </c>
      <c r="J607" t="str" cm="1">
        <f t="array" ref="J607">_xlfn.IFS(ISBLANK(C607),"FALTANTE",ABS((C607-$W$5)/$X$5)&gt;1.96,"ATÍPICO",ABS((C607-$W$5)/$X$5)&lt;=1.96,"NO ATÍPICO")</f>
        <v>NO ATÍPICO</v>
      </c>
      <c r="K607" t="str" cm="1">
        <f t="array" ref="K607">_xlfn.IFS(ISBLANK(I607),"FALTANTE",ABS((I607-$W$8)/$X$8)&gt;1.92,"ATÍPICO",ABS((I607-$W$8)/$X$8)&lt;=1.92,"NO ATÍPICO")</f>
        <v>ATÍPICO</v>
      </c>
      <c r="L607">
        <f t="shared" si="45"/>
        <v>1008778</v>
      </c>
      <c r="M607" t="str">
        <f t="shared" si="49"/>
        <v>PENSIONADOS EN SU PROPIO SISTEMA</v>
      </c>
      <c r="N607">
        <f t="shared" si="46"/>
        <v>75</v>
      </c>
      <c r="O607" s="19" t="str">
        <f t="shared" si="47"/>
        <v>900k–1200k</v>
      </c>
      <c r="P607" s="19" t="str">
        <f t="shared" si="48"/>
        <v>56+</v>
      </c>
    </row>
    <row r="608" spans="1:16" x14ac:dyDescent="0.25">
      <c r="A608">
        <v>607</v>
      </c>
      <c r="B608" t="s">
        <v>9</v>
      </c>
      <c r="C608">
        <v>587551.63</v>
      </c>
      <c r="D608" t="s">
        <v>14</v>
      </c>
      <c r="E608" t="s">
        <v>11</v>
      </c>
      <c r="F608" t="s">
        <v>12</v>
      </c>
      <c r="G608" t="s">
        <v>13</v>
      </c>
      <c r="H608" t="s">
        <v>13</v>
      </c>
      <c r="I608">
        <v>68</v>
      </c>
      <c r="J608" t="str" cm="1">
        <f t="array" ref="J608">_xlfn.IFS(ISBLANK(C608),"FALTANTE",ABS((C608-$W$5)/$X$5)&gt;1.96,"ATÍPICO",ABS((C608-$W$5)/$X$5)&lt;=1.96,"NO ATÍPICO")</f>
        <v>NO ATÍPICO</v>
      </c>
      <c r="K608" t="str" cm="1">
        <f t="array" ref="K608">_xlfn.IFS(ISBLANK(I608),"FALTANTE",ABS((I608-$W$8)/$X$8)&gt;1.92,"ATÍPICO",ABS((I608-$W$8)/$X$8)&lt;=1.92,"NO ATÍPICO")</f>
        <v>NO ATÍPICO</v>
      </c>
      <c r="L608">
        <f t="shared" si="45"/>
        <v>587551.63</v>
      </c>
      <c r="M608" t="str">
        <f t="shared" si="49"/>
        <v>PENSIONADOS EN SU PROPIO SISTEMA</v>
      </c>
      <c r="N608">
        <f t="shared" si="46"/>
        <v>68</v>
      </c>
      <c r="O608" s="19" t="str">
        <f t="shared" si="47"/>
        <v>300k–600k</v>
      </c>
      <c r="P608" s="19" t="str">
        <f t="shared" si="48"/>
        <v>56+</v>
      </c>
    </row>
    <row r="609" spans="1:16" x14ac:dyDescent="0.25">
      <c r="A609">
        <v>608</v>
      </c>
      <c r="B609" t="s">
        <v>15</v>
      </c>
      <c r="C609">
        <v>112200</v>
      </c>
      <c r="D609" t="s">
        <v>10</v>
      </c>
      <c r="E609" t="s">
        <v>16</v>
      </c>
      <c r="F609" t="s">
        <v>12</v>
      </c>
      <c r="G609" t="s">
        <v>13</v>
      </c>
      <c r="H609" t="s">
        <v>13</v>
      </c>
      <c r="I609">
        <v>53</v>
      </c>
      <c r="J609" t="str" cm="1">
        <f t="array" ref="J609">_xlfn.IFS(ISBLANK(C609),"FALTANTE",ABS((C609-$W$5)/$X$5)&gt;1.96,"ATÍPICO",ABS((C609-$W$5)/$X$5)&lt;=1.96,"NO ATÍPICO")</f>
        <v>NO ATÍPICO</v>
      </c>
      <c r="K609" t="str" cm="1">
        <f t="array" ref="K609">_xlfn.IFS(ISBLANK(I609),"FALTANTE",ABS((I609-$W$8)/$X$8)&gt;1.92,"ATÍPICO",ABS((I609-$W$8)/$X$8)&lt;=1.92,"NO ATÍPICO")</f>
        <v>NO ATÍPICO</v>
      </c>
      <c r="L609">
        <f t="shared" si="45"/>
        <v>112200</v>
      </c>
      <c r="M609" t="str">
        <f t="shared" si="49"/>
        <v>ASALARIADO</v>
      </c>
      <c r="N609">
        <f t="shared" si="46"/>
        <v>53</v>
      </c>
      <c r="O609" s="19" t="str">
        <f t="shared" si="47"/>
        <v>0–300k</v>
      </c>
      <c r="P609" s="19" t="str">
        <f t="shared" si="48"/>
        <v>46-55</v>
      </c>
    </row>
    <row r="610" spans="1:16" x14ac:dyDescent="0.25">
      <c r="A610">
        <v>609</v>
      </c>
      <c r="B610" t="s">
        <v>15</v>
      </c>
      <c r="C610">
        <v>927718</v>
      </c>
      <c r="D610" t="s">
        <v>10</v>
      </c>
      <c r="E610" t="s">
        <v>11</v>
      </c>
      <c r="F610" t="s">
        <v>12</v>
      </c>
      <c r="G610" t="s">
        <v>13</v>
      </c>
      <c r="H610" t="s">
        <v>12</v>
      </c>
      <c r="I610">
        <v>29</v>
      </c>
      <c r="J610" t="str" cm="1">
        <f t="array" ref="J610">_xlfn.IFS(ISBLANK(C610),"FALTANTE",ABS((C610-$W$5)/$X$5)&gt;1.96,"ATÍPICO",ABS((C610-$W$5)/$X$5)&lt;=1.96,"NO ATÍPICO")</f>
        <v>NO ATÍPICO</v>
      </c>
      <c r="K610" t="str" cm="1">
        <f t="array" ref="K610">_xlfn.IFS(ISBLANK(I610),"FALTANTE",ABS((I610-$W$8)/$X$8)&gt;1.92,"ATÍPICO",ABS((I610-$W$8)/$X$8)&lt;=1.92,"NO ATÍPICO")</f>
        <v>NO ATÍPICO</v>
      </c>
      <c r="L610">
        <f t="shared" si="45"/>
        <v>927718</v>
      </c>
      <c r="M610" t="str">
        <f t="shared" si="49"/>
        <v>ASALARIADO</v>
      </c>
      <c r="N610">
        <f t="shared" si="46"/>
        <v>29</v>
      </c>
      <c r="O610" s="19" t="str">
        <f t="shared" si="47"/>
        <v>900k–1200k</v>
      </c>
      <c r="P610" s="19" t="str">
        <f t="shared" si="48"/>
        <v>26-35</v>
      </c>
    </row>
    <row r="611" spans="1:16" x14ac:dyDescent="0.25">
      <c r="A611">
        <v>610</v>
      </c>
      <c r="B611" t="s">
        <v>9</v>
      </c>
      <c r="C611">
        <v>400166.55</v>
      </c>
      <c r="D611" t="s">
        <v>10</v>
      </c>
      <c r="E611" t="s">
        <v>16</v>
      </c>
      <c r="F611" t="s">
        <v>12</v>
      </c>
      <c r="G611" t="s">
        <v>12</v>
      </c>
      <c r="H611" t="s">
        <v>13</v>
      </c>
      <c r="I611">
        <v>31</v>
      </c>
      <c r="J611" t="str" cm="1">
        <f t="array" ref="J611">_xlfn.IFS(ISBLANK(C611),"FALTANTE",ABS((C611-$W$5)/$X$5)&gt;1.96,"ATÍPICO",ABS((C611-$W$5)/$X$5)&lt;=1.96,"NO ATÍPICO")</f>
        <v>NO ATÍPICO</v>
      </c>
      <c r="K611" t="str" cm="1">
        <f t="array" ref="K611">_xlfn.IFS(ISBLANK(I611),"FALTANTE",ABS((I611-$W$8)/$X$8)&gt;1.92,"ATÍPICO",ABS((I611-$W$8)/$X$8)&lt;=1.92,"NO ATÍPICO")</f>
        <v>NO ATÍPICO</v>
      </c>
      <c r="L611">
        <f t="shared" si="45"/>
        <v>400166.55</v>
      </c>
      <c r="M611" t="str">
        <f t="shared" si="49"/>
        <v>ASALARIADO</v>
      </c>
      <c r="N611">
        <f t="shared" si="46"/>
        <v>31</v>
      </c>
      <c r="O611" s="19" t="str">
        <f t="shared" si="47"/>
        <v>300k–600k</v>
      </c>
      <c r="P611" s="19" t="str">
        <f t="shared" si="48"/>
        <v>26-35</v>
      </c>
    </row>
    <row r="612" spans="1:16" x14ac:dyDescent="0.25">
      <c r="A612">
        <v>611</v>
      </c>
      <c r="B612" t="s">
        <v>15</v>
      </c>
      <c r="C612">
        <v>1173695</v>
      </c>
      <c r="D612" t="s">
        <v>14</v>
      </c>
      <c r="E612" t="s">
        <v>11</v>
      </c>
      <c r="F612" t="s">
        <v>12</v>
      </c>
      <c r="G612" t="s">
        <v>13</v>
      </c>
      <c r="H612" t="s">
        <v>13</v>
      </c>
      <c r="I612">
        <v>71</v>
      </c>
      <c r="J612" t="str" cm="1">
        <f t="array" ref="J612">_xlfn.IFS(ISBLANK(C612),"FALTANTE",ABS((C612-$W$5)/$X$5)&gt;1.96,"ATÍPICO",ABS((C612-$W$5)/$X$5)&lt;=1.96,"NO ATÍPICO")</f>
        <v>NO ATÍPICO</v>
      </c>
      <c r="K612" t="str" cm="1">
        <f t="array" ref="K612">_xlfn.IFS(ISBLANK(I612),"FALTANTE",ABS((I612-$W$8)/$X$8)&gt;1.92,"ATÍPICO",ABS((I612-$W$8)/$X$8)&lt;=1.92,"NO ATÍPICO")</f>
        <v>ATÍPICO</v>
      </c>
      <c r="L612">
        <f t="shared" si="45"/>
        <v>1173695</v>
      </c>
      <c r="M612" t="str">
        <f t="shared" si="49"/>
        <v>PENSIONADOS EN SU PROPIO SISTEMA</v>
      </c>
      <c r="N612">
        <f t="shared" si="46"/>
        <v>71</v>
      </c>
      <c r="O612" s="19" t="str">
        <f t="shared" si="47"/>
        <v>900k–1200k</v>
      </c>
      <c r="P612" s="19" t="str">
        <f t="shared" si="48"/>
        <v>56+</v>
      </c>
    </row>
    <row r="613" spans="1:16" x14ac:dyDescent="0.25">
      <c r="A613">
        <v>612</v>
      </c>
      <c r="B613" t="s">
        <v>15</v>
      </c>
      <c r="C613">
        <v>317000</v>
      </c>
      <c r="D613" t="s">
        <v>10</v>
      </c>
      <c r="E613" t="s">
        <v>16</v>
      </c>
      <c r="F613" t="s">
        <v>12</v>
      </c>
      <c r="G613" t="s">
        <v>13</v>
      </c>
      <c r="H613" t="s">
        <v>12</v>
      </c>
      <c r="I613">
        <v>39</v>
      </c>
      <c r="J613" t="str" cm="1">
        <f t="array" ref="J613">_xlfn.IFS(ISBLANK(C613),"FALTANTE",ABS((C613-$W$5)/$X$5)&gt;1.96,"ATÍPICO",ABS((C613-$W$5)/$X$5)&lt;=1.96,"NO ATÍPICO")</f>
        <v>NO ATÍPICO</v>
      </c>
      <c r="K613" t="str" cm="1">
        <f t="array" ref="K613">_xlfn.IFS(ISBLANK(I613),"FALTANTE",ABS((I613-$W$8)/$X$8)&gt;1.92,"ATÍPICO",ABS((I613-$W$8)/$X$8)&lt;=1.92,"NO ATÍPICO")</f>
        <v>NO ATÍPICO</v>
      </c>
      <c r="L613">
        <f t="shared" si="45"/>
        <v>317000</v>
      </c>
      <c r="M613" t="str">
        <f t="shared" si="49"/>
        <v>ASALARIADO</v>
      </c>
      <c r="N613">
        <f t="shared" si="46"/>
        <v>39</v>
      </c>
      <c r="O613" s="19" t="str">
        <f t="shared" si="47"/>
        <v>300k–600k</v>
      </c>
      <c r="P613" s="19" t="str">
        <f t="shared" si="48"/>
        <v>36-45</v>
      </c>
    </row>
    <row r="614" spans="1:16" x14ac:dyDescent="0.25">
      <c r="A614">
        <v>613</v>
      </c>
      <c r="B614" t="s">
        <v>9</v>
      </c>
      <c r="C614">
        <v>369367.93</v>
      </c>
      <c r="D614" t="s">
        <v>10</v>
      </c>
      <c r="E614" t="s">
        <v>11</v>
      </c>
      <c r="F614" t="s">
        <v>12</v>
      </c>
      <c r="G614" t="s">
        <v>13</v>
      </c>
      <c r="H614" t="s">
        <v>13</v>
      </c>
      <c r="I614">
        <v>35</v>
      </c>
      <c r="J614" t="str" cm="1">
        <f t="array" ref="J614">_xlfn.IFS(ISBLANK(C614),"FALTANTE",ABS((C614-$W$5)/$X$5)&gt;1.96,"ATÍPICO",ABS((C614-$W$5)/$X$5)&lt;=1.96,"NO ATÍPICO")</f>
        <v>NO ATÍPICO</v>
      </c>
      <c r="K614" t="str" cm="1">
        <f t="array" ref="K614">_xlfn.IFS(ISBLANK(I614),"FALTANTE",ABS((I614-$W$8)/$X$8)&gt;1.92,"ATÍPICO",ABS((I614-$W$8)/$X$8)&lt;=1.92,"NO ATÍPICO")</f>
        <v>NO ATÍPICO</v>
      </c>
      <c r="L614">
        <f t="shared" si="45"/>
        <v>369367.93</v>
      </c>
      <c r="M614" t="str">
        <f t="shared" si="49"/>
        <v>ASALARIADO</v>
      </c>
      <c r="N614">
        <f t="shared" si="46"/>
        <v>35</v>
      </c>
      <c r="O614" s="19" t="str">
        <f t="shared" si="47"/>
        <v>300k–600k</v>
      </c>
      <c r="P614" s="19" t="str">
        <f t="shared" si="48"/>
        <v>26-35</v>
      </c>
    </row>
    <row r="615" spans="1:16" x14ac:dyDescent="0.25">
      <c r="A615">
        <v>614</v>
      </c>
      <c r="B615" t="s">
        <v>15</v>
      </c>
      <c r="C615">
        <v>453746</v>
      </c>
      <c r="D615" t="s">
        <v>14</v>
      </c>
      <c r="E615" t="s">
        <v>11</v>
      </c>
      <c r="F615" t="s">
        <v>12</v>
      </c>
      <c r="G615" t="s">
        <v>13</v>
      </c>
      <c r="H615" t="s">
        <v>13</v>
      </c>
      <c r="I615">
        <v>81</v>
      </c>
      <c r="J615" t="str" cm="1">
        <f t="array" ref="J615">_xlfn.IFS(ISBLANK(C615),"FALTANTE",ABS((C615-$W$5)/$X$5)&gt;1.96,"ATÍPICO",ABS((C615-$W$5)/$X$5)&lt;=1.96,"NO ATÍPICO")</f>
        <v>NO ATÍPICO</v>
      </c>
      <c r="K615" t="str" cm="1">
        <f t="array" ref="K615">_xlfn.IFS(ISBLANK(I615),"FALTANTE",ABS((I615-$W$8)/$X$8)&gt;1.92,"ATÍPICO",ABS((I615-$W$8)/$X$8)&lt;=1.92,"NO ATÍPICO")</f>
        <v>ATÍPICO</v>
      </c>
      <c r="L615">
        <f t="shared" si="45"/>
        <v>453746</v>
      </c>
      <c r="M615" t="str">
        <f t="shared" si="49"/>
        <v>PENSIONADOS EN SU PROPIO SISTEMA</v>
      </c>
      <c r="N615">
        <f t="shared" si="46"/>
        <v>81</v>
      </c>
      <c r="O615" s="19" t="str">
        <f t="shared" si="47"/>
        <v>300k–600k</v>
      </c>
      <c r="P615" s="19" t="str">
        <f t="shared" si="48"/>
        <v>56+</v>
      </c>
    </row>
    <row r="616" spans="1:16" x14ac:dyDescent="0.25">
      <c r="A616">
        <v>615</v>
      </c>
      <c r="B616" t="s">
        <v>9</v>
      </c>
      <c r="C616">
        <v>319572</v>
      </c>
      <c r="D616" t="s">
        <v>10</v>
      </c>
      <c r="E616" t="s">
        <v>16</v>
      </c>
      <c r="F616" t="s">
        <v>12</v>
      </c>
      <c r="G616" t="s">
        <v>12</v>
      </c>
      <c r="H616" t="s">
        <v>13</v>
      </c>
      <c r="I616">
        <v>43</v>
      </c>
      <c r="J616" t="str" cm="1">
        <f t="array" ref="J616">_xlfn.IFS(ISBLANK(C616),"FALTANTE",ABS((C616-$W$5)/$X$5)&gt;1.96,"ATÍPICO",ABS((C616-$W$5)/$X$5)&lt;=1.96,"NO ATÍPICO")</f>
        <v>NO ATÍPICO</v>
      </c>
      <c r="K616" t="str" cm="1">
        <f t="array" ref="K616">_xlfn.IFS(ISBLANK(I616),"FALTANTE",ABS((I616-$W$8)/$X$8)&gt;1.92,"ATÍPICO",ABS((I616-$W$8)/$X$8)&lt;=1.92,"NO ATÍPICO")</f>
        <v>NO ATÍPICO</v>
      </c>
      <c r="L616">
        <f t="shared" si="45"/>
        <v>319572</v>
      </c>
      <c r="M616" t="str">
        <f t="shared" si="49"/>
        <v>ASALARIADO</v>
      </c>
      <c r="N616">
        <f t="shared" si="46"/>
        <v>43</v>
      </c>
      <c r="O616" s="19" t="str">
        <f t="shared" si="47"/>
        <v>300k–600k</v>
      </c>
      <c r="P616" s="19" t="str">
        <f t="shared" si="48"/>
        <v>36-45</v>
      </c>
    </row>
    <row r="617" spans="1:16" x14ac:dyDescent="0.25">
      <c r="A617">
        <v>616</v>
      </c>
      <c r="B617" t="s">
        <v>9</v>
      </c>
      <c r="C617">
        <v>1486691</v>
      </c>
      <c r="D617" t="s">
        <v>10</v>
      </c>
      <c r="E617" t="s">
        <v>11</v>
      </c>
      <c r="F617" t="s">
        <v>12</v>
      </c>
      <c r="G617" t="s">
        <v>13</v>
      </c>
      <c r="H617" t="s">
        <v>12</v>
      </c>
      <c r="I617">
        <v>31</v>
      </c>
      <c r="J617" t="str" cm="1">
        <f t="array" ref="J617">_xlfn.IFS(ISBLANK(C617),"FALTANTE",ABS((C617-$W$5)/$X$5)&gt;1.96,"ATÍPICO",ABS((C617-$W$5)/$X$5)&lt;=1.96,"NO ATÍPICO")</f>
        <v>NO ATÍPICO</v>
      </c>
      <c r="K617" t="str" cm="1">
        <f t="array" ref="K617">_xlfn.IFS(ISBLANK(I617),"FALTANTE",ABS((I617-$W$8)/$X$8)&gt;1.92,"ATÍPICO",ABS((I617-$W$8)/$X$8)&lt;=1.92,"NO ATÍPICO")</f>
        <v>NO ATÍPICO</v>
      </c>
      <c r="L617">
        <f t="shared" si="45"/>
        <v>1486691</v>
      </c>
      <c r="M617" t="str">
        <f t="shared" si="49"/>
        <v>ASALARIADO</v>
      </c>
      <c r="N617">
        <f t="shared" si="46"/>
        <v>31</v>
      </c>
      <c r="O617" s="19" t="str">
        <f t="shared" si="47"/>
        <v>1200k+</v>
      </c>
      <c r="P617" s="19" t="str">
        <f t="shared" si="48"/>
        <v>26-35</v>
      </c>
    </row>
    <row r="618" spans="1:16" x14ac:dyDescent="0.25">
      <c r="A618">
        <v>617</v>
      </c>
      <c r="B618" t="s">
        <v>9</v>
      </c>
      <c r="C618">
        <v>352881</v>
      </c>
      <c r="D618" t="s">
        <v>18</v>
      </c>
      <c r="E618" t="s">
        <v>16</v>
      </c>
      <c r="F618" t="s">
        <v>12</v>
      </c>
      <c r="G618" t="s">
        <v>13</v>
      </c>
      <c r="H618" t="s">
        <v>13</v>
      </c>
      <c r="I618">
        <v>53</v>
      </c>
      <c r="J618" t="str" cm="1">
        <f t="array" ref="J618">_xlfn.IFS(ISBLANK(C618),"FALTANTE",ABS((C618-$W$5)/$X$5)&gt;1.96,"ATÍPICO",ABS((C618-$W$5)/$X$5)&lt;=1.96,"NO ATÍPICO")</f>
        <v>NO ATÍPICO</v>
      </c>
      <c r="K618" t="str" cm="1">
        <f t="array" ref="K618">_xlfn.IFS(ISBLANK(I618),"FALTANTE",ABS((I618-$W$8)/$X$8)&gt;1.92,"ATÍPICO",ABS((I618-$W$8)/$X$8)&lt;=1.92,"NO ATÍPICO")</f>
        <v>NO ATÍPICO</v>
      </c>
      <c r="L618">
        <f t="shared" si="45"/>
        <v>352881</v>
      </c>
      <c r="M618" t="str">
        <f t="shared" si="49"/>
        <v>TRABAJADOR INDEPENDIENTE</v>
      </c>
      <c r="N618">
        <f t="shared" si="46"/>
        <v>53</v>
      </c>
      <c r="O618" s="19" t="str">
        <f t="shared" si="47"/>
        <v>300k–600k</v>
      </c>
      <c r="P618" s="19" t="str">
        <f t="shared" si="48"/>
        <v>46-55</v>
      </c>
    </row>
    <row r="619" spans="1:16" x14ac:dyDescent="0.25">
      <c r="A619">
        <v>618</v>
      </c>
      <c r="B619" t="s">
        <v>15</v>
      </c>
      <c r="C619">
        <v>352852</v>
      </c>
      <c r="D619" t="s">
        <v>10</v>
      </c>
      <c r="E619" t="s">
        <v>11</v>
      </c>
      <c r="F619" t="s">
        <v>12</v>
      </c>
      <c r="G619" t="s">
        <v>13</v>
      </c>
      <c r="H619" t="s">
        <v>13</v>
      </c>
      <c r="I619">
        <v>53</v>
      </c>
      <c r="J619" t="str" cm="1">
        <f t="array" ref="J619">_xlfn.IFS(ISBLANK(C619),"FALTANTE",ABS((C619-$W$5)/$X$5)&gt;1.96,"ATÍPICO",ABS((C619-$W$5)/$X$5)&lt;=1.96,"NO ATÍPICO")</f>
        <v>NO ATÍPICO</v>
      </c>
      <c r="K619" t="str" cm="1">
        <f t="array" ref="K619">_xlfn.IFS(ISBLANK(I619),"FALTANTE",ABS((I619-$W$8)/$X$8)&gt;1.92,"ATÍPICO",ABS((I619-$W$8)/$X$8)&lt;=1.92,"NO ATÍPICO")</f>
        <v>NO ATÍPICO</v>
      </c>
      <c r="L619">
        <f t="shared" si="45"/>
        <v>352852</v>
      </c>
      <c r="M619" t="str">
        <f t="shared" si="49"/>
        <v>ASALARIADO</v>
      </c>
      <c r="N619">
        <f t="shared" si="46"/>
        <v>53</v>
      </c>
      <c r="O619" s="19" t="str">
        <f t="shared" si="47"/>
        <v>300k–600k</v>
      </c>
      <c r="P619" s="19" t="str">
        <f t="shared" si="48"/>
        <v>46-55</v>
      </c>
    </row>
    <row r="620" spans="1:16" x14ac:dyDescent="0.25">
      <c r="A620">
        <v>619</v>
      </c>
      <c r="B620" t="s">
        <v>9</v>
      </c>
      <c r="C620">
        <v>223463</v>
      </c>
      <c r="D620" t="s">
        <v>10</v>
      </c>
      <c r="E620" t="s">
        <v>16</v>
      </c>
      <c r="F620" t="s">
        <v>12</v>
      </c>
      <c r="G620" t="s">
        <v>12</v>
      </c>
      <c r="H620" t="s">
        <v>13</v>
      </c>
      <c r="I620">
        <v>20</v>
      </c>
      <c r="J620" t="str" cm="1">
        <f t="array" ref="J620">_xlfn.IFS(ISBLANK(C620),"FALTANTE",ABS((C620-$W$5)/$X$5)&gt;1.96,"ATÍPICO",ABS((C620-$W$5)/$X$5)&lt;=1.96,"NO ATÍPICO")</f>
        <v>NO ATÍPICO</v>
      </c>
      <c r="K620" t="str" cm="1">
        <f t="array" ref="K620">_xlfn.IFS(ISBLANK(I620),"FALTANTE",ABS((I620-$W$8)/$X$8)&gt;1.92,"ATÍPICO",ABS((I620-$W$8)/$X$8)&lt;=1.92,"NO ATÍPICO")</f>
        <v>NO ATÍPICO</v>
      </c>
      <c r="L620">
        <f t="shared" si="45"/>
        <v>223463</v>
      </c>
      <c r="M620" t="str">
        <f t="shared" si="49"/>
        <v>ASALARIADO</v>
      </c>
      <c r="N620">
        <f t="shared" si="46"/>
        <v>20</v>
      </c>
      <c r="O620" s="19" t="str">
        <f t="shared" si="47"/>
        <v>0–300k</v>
      </c>
      <c r="P620" s="19" t="str">
        <f t="shared" si="48"/>
        <v>18-25</v>
      </c>
    </row>
    <row r="621" spans="1:16" x14ac:dyDescent="0.25">
      <c r="A621">
        <v>620</v>
      </c>
      <c r="B621" t="s">
        <v>9</v>
      </c>
      <c r="C621">
        <v>573400</v>
      </c>
      <c r="D621" t="s">
        <v>10</v>
      </c>
      <c r="E621" t="s">
        <v>16</v>
      </c>
      <c r="F621" t="s">
        <v>12</v>
      </c>
      <c r="G621" t="s">
        <v>13</v>
      </c>
      <c r="H621" t="s">
        <v>13</v>
      </c>
      <c r="I621">
        <v>23</v>
      </c>
      <c r="J621" t="str" cm="1">
        <f t="array" ref="J621">_xlfn.IFS(ISBLANK(C621),"FALTANTE",ABS((C621-$W$5)/$X$5)&gt;1.96,"ATÍPICO",ABS((C621-$W$5)/$X$5)&lt;=1.96,"NO ATÍPICO")</f>
        <v>NO ATÍPICO</v>
      </c>
      <c r="K621" t="str" cm="1">
        <f t="array" ref="K621">_xlfn.IFS(ISBLANK(I621),"FALTANTE",ABS((I621-$W$8)/$X$8)&gt;1.92,"ATÍPICO",ABS((I621-$W$8)/$X$8)&lt;=1.92,"NO ATÍPICO")</f>
        <v>NO ATÍPICO</v>
      </c>
      <c r="L621">
        <f t="shared" si="45"/>
        <v>573400</v>
      </c>
      <c r="M621" t="str">
        <f t="shared" si="49"/>
        <v>ASALARIADO</v>
      </c>
      <c r="N621">
        <f t="shared" si="46"/>
        <v>23</v>
      </c>
      <c r="O621" s="19" t="str">
        <f t="shared" si="47"/>
        <v>300k–600k</v>
      </c>
      <c r="P621" s="19" t="str">
        <f t="shared" si="48"/>
        <v>18-25</v>
      </c>
    </row>
    <row r="622" spans="1:16" x14ac:dyDescent="0.25">
      <c r="A622">
        <v>621</v>
      </c>
      <c r="B622" t="s">
        <v>9</v>
      </c>
      <c r="C622">
        <v>278030</v>
      </c>
      <c r="D622" t="s">
        <v>19</v>
      </c>
      <c r="E622" t="s">
        <v>16</v>
      </c>
      <c r="F622" t="s">
        <v>12</v>
      </c>
      <c r="G622" t="s">
        <v>13</v>
      </c>
      <c r="H622" t="s">
        <v>13</v>
      </c>
      <c r="I622">
        <v>78</v>
      </c>
      <c r="J622" t="str" cm="1">
        <f t="array" ref="J622">_xlfn.IFS(ISBLANK(C622),"FALTANTE",ABS((C622-$W$5)/$X$5)&gt;1.96,"ATÍPICO",ABS((C622-$W$5)/$X$5)&lt;=1.96,"NO ATÍPICO")</f>
        <v>NO ATÍPICO</v>
      </c>
      <c r="K622" t="str" cm="1">
        <f t="array" ref="K622">_xlfn.IFS(ISBLANK(I622),"FALTANTE",ABS((I622-$W$8)/$X$8)&gt;1.92,"ATÍPICO",ABS((I622-$W$8)/$X$8)&lt;=1.92,"NO ATÍPICO")</f>
        <v>ATÍPICO</v>
      </c>
      <c r="L622">
        <f t="shared" si="45"/>
        <v>278030</v>
      </c>
      <c r="M622" t="str">
        <f t="shared" si="49"/>
        <v>CONVENIOS ESPECIALES DE TRABAJADORES INDEPENDIENTES</v>
      </c>
      <c r="N622">
        <f t="shared" si="46"/>
        <v>78</v>
      </c>
      <c r="O622" s="19" t="str">
        <f t="shared" si="47"/>
        <v>0–300k</v>
      </c>
      <c r="P622" s="19" t="str">
        <f t="shared" si="48"/>
        <v>56+</v>
      </c>
    </row>
    <row r="623" spans="1:16" x14ac:dyDescent="0.25">
      <c r="A623">
        <v>622</v>
      </c>
      <c r="B623" t="s">
        <v>15</v>
      </c>
      <c r="C623">
        <v>502100</v>
      </c>
      <c r="D623" t="s">
        <v>18</v>
      </c>
      <c r="E623" t="s">
        <v>16</v>
      </c>
      <c r="F623" t="s">
        <v>12</v>
      </c>
      <c r="G623" t="s">
        <v>13</v>
      </c>
      <c r="H623" t="s">
        <v>13</v>
      </c>
      <c r="I623">
        <v>48</v>
      </c>
      <c r="J623" t="str" cm="1">
        <f t="array" ref="J623">_xlfn.IFS(ISBLANK(C623),"FALTANTE",ABS((C623-$W$5)/$X$5)&gt;1.96,"ATÍPICO",ABS((C623-$W$5)/$X$5)&lt;=1.96,"NO ATÍPICO")</f>
        <v>NO ATÍPICO</v>
      </c>
      <c r="K623" t="str" cm="1">
        <f t="array" ref="K623">_xlfn.IFS(ISBLANK(I623),"FALTANTE",ABS((I623-$W$8)/$X$8)&gt;1.92,"ATÍPICO",ABS((I623-$W$8)/$X$8)&lt;=1.92,"NO ATÍPICO")</f>
        <v>NO ATÍPICO</v>
      </c>
      <c r="L623">
        <f t="shared" si="45"/>
        <v>502100</v>
      </c>
      <c r="M623" t="str">
        <f t="shared" si="49"/>
        <v>TRABAJADOR INDEPENDIENTE</v>
      </c>
      <c r="N623">
        <f t="shared" si="46"/>
        <v>48</v>
      </c>
      <c r="O623" s="19" t="str">
        <f t="shared" si="47"/>
        <v>300k–600k</v>
      </c>
      <c r="P623" s="19" t="str">
        <f t="shared" si="48"/>
        <v>46-55</v>
      </c>
    </row>
    <row r="624" spans="1:16" x14ac:dyDescent="0.25">
      <c r="A624">
        <v>623</v>
      </c>
      <c r="B624" t="s">
        <v>9</v>
      </c>
      <c r="C624">
        <v>215000</v>
      </c>
      <c r="D624" t="s">
        <v>10</v>
      </c>
      <c r="E624" t="s">
        <v>16</v>
      </c>
      <c r="F624" t="s">
        <v>12</v>
      </c>
      <c r="G624" t="s">
        <v>13</v>
      </c>
      <c r="H624" t="s">
        <v>13</v>
      </c>
      <c r="I624">
        <v>60</v>
      </c>
      <c r="J624" t="str" cm="1">
        <f t="array" ref="J624">_xlfn.IFS(ISBLANK(C624),"FALTANTE",ABS((C624-$W$5)/$X$5)&gt;1.96,"ATÍPICO",ABS((C624-$W$5)/$X$5)&lt;=1.96,"NO ATÍPICO")</f>
        <v>NO ATÍPICO</v>
      </c>
      <c r="K624" t="str" cm="1">
        <f t="array" ref="K624">_xlfn.IFS(ISBLANK(I624),"FALTANTE",ABS((I624-$W$8)/$X$8)&gt;1.92,"ATÍPICO",ABS((I624-$W$8)/$X$8)&lt;=1.92,"NO ATÍPICO")</f>
        <v>NO ATÍPICO</v>
      </c>
      <c r="L624">
        <f t="shared" si="45"/>
        <v>215000</v>
      </c>
      <c r="M624" t="str">
        <f t="shared" si="49"/>
        <v>ASALARIADO</v>
      </c>
      <c r="N624">
        <f t="shared" si="46"/>
        <v>60</v>
      </c>
      <c r="O624" s="19" t="str">
        <f t="shared" si="47"/>
        <v>0–300k</v>
      </c>
      <c r="P624" s="19" t="str">
        <f t="shared" si="48"/>
        <v>56+</v>
      </c>
    </row>
    <row r="625" spans="1:16" x14ac:dyDescent="0.25">
      <c r="A625">
        <v>624</v>
      </c>
      <c r="B625" t="s">
        <v>9</v>
      </c>
      <c r="C625">
        <v>367392</v>
      </c>
      <c r="D625" t="s">
        <v>10</v>
      </c>
      <c r="E625" t="s">
        <v>16</v>
      </c>
      <c r="F625" t="s">
        <v>12</v>
      </c>
      <c r="G625" t="s">
        <v>13</v>
      </c>
      <c r="H625" t="s">
        <v>13</v>
      </c>
      <c r="I625">
        <v>24</v>
      </c>
      <c r="J625" t="str" cm="1">
        <f t="array" ref="J625">_xlfn.IFS(ISBLANK(C625),"FALTANTE",ABS((C625-$W$5)/$X$5)&gt;1.96,"ATÍPICO",ABS((C625-$W$5)/$X$5)&lt;=1.96,"NO ATÍPICO")</f>
        <v>NO ATÍPICO</v>
      </c>
      <c r="K625" t="str" cm="1">
        <f t="array" ref="K625">_xlfn.IFS(ISBLANK(I625),"FALTANTE",ABS((I625-$W$8)/$X$8)&gt;1.92,"ATÍPICO",ABS((I625-$W$8)/$X$8)&lt;=1.92,"NO ATÍPICO")</f>
        <v>NO ATÍPICO</v>
      </c>
      <c r="L625">
        <f t="shared" si="45"/>
        <v>367392</v>
      </c>
      <c r="M625" t="str">
        <f t="shared" si="49"/>
        <v>ASALARIADO</v>
      </c>
      <c r="N625">
        <f t="shared" si="46"/>
        <v>24</v>
      </c>
      <c r="O625" s="19" t="str">
        <f t="shared" si="47"/>
        <v>300k–600k</v>
      </c>
      <c r="P625" s="19" t="str">
        <f t="shared" si="48"/>
        <v>18-25</v>
      </c>
    </row>
    <row r="626" spans="1:16" x14ac:dyDescent="0.25">
      <c r="A626">
        <v>625</v>
      </c>
      <c r="B626" t="s">
        <v>15</v>
      </c>
      <c r="C626">
        <v>150000</v>
      </c>
      <c r="D626" t="s">
        <v>10</v>
      </c>
      <c r="E626" t="s">
        <v>16</v>
      </c>
      <c r="F626" t="s">
        <v>12</v>
      </c>
      <c r="G626" t="s">
        <v>13</v>
      </c>
      <c r="H626" t="s">
        <v>13</v>
      </c>
      <c r="I626">
        <v>44</v>
      </c>
      <c r="J626" t="str" cm="1">
        <f t="array" ref="J626">_xlfn.IFS(ISBLANK(C626),"FALTANTE",ABS((C626-$W$5)/$X$5)&gt;1.96,"ATÍPICO",ABS((C626-$W$5)/$X$5)&lt;=1.96,"NO ATÍPICO")</f>
        <v>NO ATÍPICO</v>
      </c>
      <c r="K626" t="str" cm="1">
        <f t="array" ref="K626">_xlfn.IFS(ISBLANK(I626),"FALTANTE",ABS((I626-$W$8)/$X$8)&gt;1.92,"ATÍPICO",ABS((I626-$W$8)/$X$8)&lt;=1.92,"NO ATÍPICO")</f>
        <v>NO ATÍPICO</v>
      </c>
      <c r="L626">
        <f t="shared" si="45"/>
        <v>150000</v>
      </c>
      <c r="M626" t="str">
        <f t="shared" si="49"/>
        <v>ASALARIADO</v>
      </c>
      <c r="N626">
        <f t="shared" si="46"/>
        <v>44</v>
      </c>
      <c r="O626" s="19" t="str">
        <f t="shared" si="47"/>
        <v>0–300k</v>
      </c>
      <c r="P626" s="19" t="str">
        <f t="shared" si="48"/>
        <v>36-45</v>
      </c>
    </row>
    <row r="627" spans="1:16" x14ac:dyDescent="0.25">
      <c r="A627">
        <v>626</v>
      </c>
      <c r="B627" t="s">
        <v>9</v>
      </c>
      <c r="C627">
        <v>679660.62</v>
      </c>
      <c r="D627" t="s">
        <v>10</v>
      </c>
      <c r="E627" t="s">
        <v>16</v>
      </c>
      <c r="F627" t="s">
        <v>12</v>
      </c>
      <c r="G627" t="s">
        <v>13</v>
      </c>
      <c r="H627" t="s">
        <v>13</v>
      </c>
      <c r="I627">
        <v>21</v>
      </c>
      <c r="J627" t="str" cm="1">
        <f t="array" ref="J627">_xlfn.IFS(ISBLANK(C627),"FALTANTE",ABS((C627-$W$5)/$X$5)&gt;1.96,"ATÍPICO",ABS((C627-$W$5)/$X$5)&lt;=1.96,"NO ATÍPICO")</f>
        <v>NO ATÍPICO</v>
      </c>
      <c r="K627" t="str" cm="1">
        <f t="array" ref="K627">_xlfn.IFS(ISBLANK(I627),"FALTANTE",ABS((I627-$W$8)/$X$8)&gt;1.92,"ATÍPICO",ABS((I627-$W$8)/$X$8)&lt;=1.92,"NO ATÍPICO")</f>
        <v>NO ATÍPICO</v>
      </c>
      <c r="L627">
        <f t="shared" si="45"/>
        <v>679660.62</v>
      </c>
      <c r="M627" t="str">
        <f t="shared" si="49"/>
        <v>ASALARIADO</v>
      </c>
      <c r="N627">
        <f t="shared" si="46"/>
        <v>21</v>
      </c>
      <c r="O627" s="19" t="str">
        <f t="shared" si="47"/>
        <v>600k–900k</v>
      </c>
      <c r="P627" s="19" t="str">
        <f t="shared" si="48"/>
        <v>18-25</v>
      </c>
    </row>
    <row r="628" spans="1:16" x14ac:dyDescent="0.25">
      <c r="A628">
        <v>627</v>
      </c>
      <c r="B628" t="s">
        <v>9</v>
      </c>
      <c r="C628">
        <v>2796475</v>
      </c>
      <c r="D628" t="s">
        <v>10</v>
      </c>
      <c r="E628" t="s">
        <v>11</v>
      </c>
      <c r="F628" t="s">
        <v>12</v>
      </c>
      <c r="G628" t="s">
        <v>13</v>
      </c>
      <c r="H628" t="s">
        <v>12</v>
      </c>
      <c r="I628">
        <v>52</v>
      </c>
      <c r="J628" t="str" cm="1">
        <f t="array" ref="J628">_xlfn.IFS(ISBLANK(C628),"FALTANTE",ABS((C628-$W$5)/$X$5)&gt;1.96,"ATÍPICO",ABS((C628-$W$5)/$X$5)&lt;=1.96,"NO ATÍPICO")</f>
        <v>ATÍPICO</v>
      </c>
      <c r="K628" t="str" cm="1">
        <f t="array" ref="K628">_xlfn.IFS(ISBLANK(I628),"FALTANTE",ABS((I628-$W$8)/$X$8)&gt;1.92,"ATÍPICO",ABS((I628-$W$8)/$X$8)&lt;=1.92,"NO ATÍPICO")</f>
        <v>NO ATÍPICO</v>
      </c>
      <c r="L628">
        <f t="shared" si="45"/>
        <v>2796475</v>
      </c>
      <c r="M628" t="str">
        <f t="shared" si="49"/>
        <v>ASALARIADO</v>
      </c>
      <c r="N628">
        <f t="shared" si="46"/>
        <v>52</v>
      </c>
      <c r="O628" s="19" t="str">
        <f t="shared" si="47"/>
        <v>1200k+</v>
      </c>
      <c r="P628" s="19" t="str">
        <f t="shared" si="48"/>
        <v>46-55</v>
      </c>
    </row>
    <row r="629" spans="1:16" x14ac:dyDescent="0.25">
      <c r="A629">
        <v>628</v>
      </c>
      <c r="B629" t="s">
        <v>15</v>
      </c>
      <c r="C629">
        <v>359544.27</v>
      </c>
      <c r="D629" t="s">
        <v>21</v>
      </c>
      <c r="E629" t="s">
        <v>16</v>
      </c>
      <c r="F629" t="s">
        <v>12</v>
      </c>
      <c r="G629" t="s">
        <v>12</v>
      </c>
      <c r="H629" t="s">
        <v>13</v>
      </c>
      <c r="I629">
        <v>46</v>
      </c>
      <c r="J629" t="str" cm="1">
        <f t="array" ref="J629">_xlfn.IFS(ISBLANK(C629),"FALTANTE",ABS((C629-$W$5)/$X$5)&gt;1.96,"ATÍPICO",ABS((C629-$W$5)/$X$5)&lt;=1.96,"NO ATÍPICO")</f>
        <v>NO ATÍPICO</v>
      </c>
      <c r="K629" t="str" cm="1">
        <f t="array" ref="K629">_xlfn.IFS(ISBLANK(I629),"FALTANTE",ABS((I629-$W$8)/$X$8)&gt;1.92,"ATÍPICO",ABS((I629-$W$8)/$X$8)&lt;=1.92,"NO ATÍPICO")</f>
        <v>NO ATÍPICO</v>
      </c>
      <c r="L629">
        <f t="shared" si="45"/>
        <v>359544.27</v>
      </c>
      <c r="M629" t="str">
        <f t="shared" si="49"/>
        <v>CONVENIOS ESPECIALES DE ASEGURADOS VOLUNTARIOS</v>
      </c>
      <c r="N629">
        <f t="shared" si="46"/>
        <v>46</v>
      </c>
      <c r="O629" s="19" t="str">
        <f t="shared" si="47"/>
        <v>300k–600k</v>
      </c>
      <c r="P629" s="19" t="str">
        <f t="shared" si="48"/>
        <v>46-55</v>
      </c>
    </row>
    <row r="630" spans="1:16" x14ac:dyDescent="0.25">
      <c r="A630">
        <v>629</v>
      </c>
      <c r="B630" t="s">
        <v>9</v>
      </c>
      <c r="C630">
        <v>298018</v>
      </c>
      <c r="D630" t="s">
        <v>17</v>
      </c>
      <c r="E630" t="s">
        <v>16</v>
      </c>
      <c r="F630" t="s">
        <v>12</v>
      </c>
      <c r="G630" t="s">
        <v>13</v>
      </c>
      <c r="H630" t="s">
        <v>13</v>
      </c>
      <c r="I630">
        <v>36</v>
      </c>
      <c r="J630" t="str" cm="1">
        <f t="array" ref="J630">_xlfn.IFS(ISBLANK(C630),"FALTANTE",ABS((C630-$W$5)/$X$5)&gt;1.96,"ATÍPICO",ABS((C630-$W$5)/$X$5)&lt;=1.96,"NO ATÍPICO")</f>
        <v>NO ATÍPICO</v>
      </c>
      <c r="K630" t="str" cm="1">
        <f t="array" ref="K630">_xlfn.IFS(ISBLANK(I630),"FALTANTE",ABS((I630-$W$8)/$X$8)&gt;1.92,"ATÍPICO",ABS((I630-$W$8)/$X$8)&lt;=1.92,"NO ATÍPICO")</f>
        <v>NO ATÍPICO</v>
      </c>
      <c r="L630">
        <f t="shared" si="45"/>
        <v>298018</v>
      </c>
      <c r="M630" t="str">
        <f t="shared" si="49"/>
        <v>ASEGURADO VOLUNTARIO</v>
      </c>
      <c r="N630">
        <f t="shared" si="46"/>
        <v>36</v>
      </c>
      <c r="O630" s="19" t="str">
        <f t="shared" si="47"/>
        <v>0–300k</v>
      </c>
      <c r="P630" s="19" t="str">
        <f t="shared" si="48"/>
        <v>36-45</v>
      </c>
    </row>
    <row r="631" spans="1:16" x14ac:dyDescent="0.25">
      <c r="A631">
        <v>630</v>
      </c>
      <c r="B631" t="s">
        <v>15</v>
      </c>
      <c r="C631">
        <v>382136</v>
      </c>
      <c r="D631" t="s">
        <v>18</v>
      </c>
      <c r="E631" t="s">
        <v>16</v>
      </c>
      <c r="F631" t="s">
        <v>12</v>
      </c>
      <c r="G631" t="s">
        <v>13</v>
      </c>
      <c r="H631" t="s">
        <v>13</v>
      </c>
      <c r="I631">
        <v>53</v>
      </c>
      <c r="J631" t="str" cm="1">
        <f t="array" ref="J631">_xlfn.IFS(ISBLANK(C631),"FALTANTE",ABS((C631-$W$5)/$X$5)&gt;1.96,"ATÍPICO",ABS((C631-$W$5)/$X$5)&lt;=1.96,"NO ATÍPICO")</f>
        <v>NO ATÍPICO</v>
      </c>
      <c r="K631" t="str" cm="1">
        <f t="array" ref="K631">_xlfn.IFS(ISBLANK(I631),"FALTANTE",ABS((I631-$W$8)/$X$8)&gt;1.92,"ATÍPICO",ABS((I631-$W$8)/$X$8)&lt;=1.92,"NO ATÍPICO")</f>
        <v>NO ATÍPICO</v>
      </c>
      <c r="L631">
        <f t="shared" si="45"/>
        <v>382136</v>
      </c>
      <c r="M631" t="str">
        <f t="shared" si="49"/>
        <v>TRABAJADOR INDEPENDIENTE</v>
      </c>
      <c r="N631">
        <f t="shared" si="46"/>
        <v>53</v>
      </c>
      <c r="O631" s="19" t="str">
        <f t="shared" si="47"/>
        <v>300k–600k</v>
      </c>
      <c r="P631" s="19" t="str">
        <f t="shared" si="48"/>
        <v>46-55</v>
      </c>
    </row>
    <row r="632" spans="1:16" x14ac:dyDescent="0.25">
      <c r="A632">
        <v>631</v>
      </c>
      <c r="B632" t="s">
        <v>15</v>
      </c>
      <c r="C632">
        <v>297046</v>
      </c>
      <c r="D632" t="s">
        <v>17</v>
      </c>
      <c r="E632" t="s">
        <v>16</v>
      </c>
      <c r="F632" t="s">
        <v>12</v>
      </c>
      <c r="G632" t="s">
        <v>13</v>
      </c>
      <c r="H632" t="s">
        <v>12</v>
      </c>
      <c r="I632">
        <v>35</v>
      </c>
      <c r="J632" t="str" cm="1">
        <f t="array" ref="J632">_xlfn.IFS(ISBLANK(C632),"FALTANTE",ABS((C632-$W$5)/$X$5)&gt;1.96,"ATÍPICO",ABS((C632-$W$5)/$X$5)&lt;=1.96,"NO ATÍPICO")</f>
        <v>NO ATÍPICO</v>
      </c>
      <c r="K632" t="str" cm="1">
        <f t="array" ref="K632">_xlfn.IFS(ISBLANK(I632),"FALTANTE",ABS((I632-$W$8)/$X$8)&gt;1.92,"ATÍPICO",ABS((I632-$W$8)/$X$8)&lt;=1.92,"NO ATÍPICO")</f>
        <v>NO ATÍPICO</v>
      </c>
      <c r="L632">
        <f t="shared" si="45"/>
        <v>297046</v>
      </c>
      <c r="M632" t="str">
        <f t="shared" si="49"/>
        <v>ASEGURADO VOLUNTARIO</v>
      </c>
      <c r="N632">
        <f t="shared" si="46"/>
        <v>35</v>
      </c>
      <c r="O632" s="19" t="str">
        <f t="shared" si="47"/>
        <v>0–300k</v>
      </c>
      <c r="P632" s="19" t="str">
        <f t="shared" si="48"/>
        <v>26-35</v>
      </c>
    </row>
    <row r="633" spans="1:16" x14ac:dyDescent="0.25">
      <c r="A633">
        <v>632</v>
      </c>
      <c r="B633" t="s">
        <v>9</v>
      </c>
      <c r="C633">
        <v>297046</v>
      </c>
      <c r="D633" t="s">
        <v>17</v>
      </c>
      <c r="E633" t="s">
        <v>16</v>
      </c>
      <c r="F633" t="s">
        <v>12</v>
      </c>
      <c r="G633" t="s">
        <v>13</v>
      </c>
      <c r="H633" t="s">
        <v>13</v>
      </c>
      <c r="I633">
        <v>39</v>
      </c>
      <c r="J633" t="str" cm="1">
        <f t="array" ref="J633">_xlfn.IFS(ISBLANK(C633),"FALTANTE",ABS((C633-$W$5)/$X$5)&gt;1.96,"ATÍPICO",ABS((C633-$W$5)/$X$5)&lt;=1.96,"NO ATÍPICO")</f>
        <v>NO ATÍPICO</v>
      </c>
      <c r="K633" t="str" cm="1">
        <f t="array" ref="K633">_xlfn.IFS(ISBLANK(I633),"FALTANTE",ABS((I633-$W$8)/$X$8)&gt;1.92,"ATÍPICO",ABS((I633-$W$8)/$X$8)&lt;=1.92,"NO ATÍPICO")</f>
        <v>NO ATÍPICO</v>
      </c>
      <c r="L633">
        <f t="shared" si="45"/>
        <v>297046</v>
      </c>
      <c r="M633" t="str">
        <f t="shared" si="49"/>
        <v>ASEGURADO VOLUNTARIO</v>
      </c>
      <c r="N633">
        <f t="shared" si="46"/>
        <v>39</v>
      </c>
      <c r="O633" s="19" t="str">
        <f t="shared" si="47"/>
        <v>0–300k</v>
      </c>
      <c r="P633" s="19" t="str">
        <f t="shared" si="48"/>
        <v>36-45</v>
      </c>
    </row>
    <row r="634" spans="1:16" x14ac:dyDescent="0.25">
      <c r="A634">
        <v>633</v>
      </c>
      <c r="B634" t="s">
        <v>15</v>
      </c>
      <c r="C634">
        <v>347615</v>
      </c>
      <c r="D634" t="s">
        <v>18</v>
      </c>
      <c r="E634" t="s">
        <v>16</v>
      </c>
      <c r="F634" t="s">
        <v>12</v>
      </c>
      <c r="G634" t="s">
        <v>13</v>
      </c>
      <c r="H634" t="s">
        <v>13</v>
      </c>
      <c r="I634">
        <v>36</v>
      </c>
      <c r="J634" t="str" cm="1">
        <f t="array" ref="J634">_xlfn.IFS(ISBLANK(C634),"FALTANTE",ABS((C634-$W$5)/$X$5)&gt;1.96,"ATÍPICO",ABS((C634-$W$5)/$X$5)&lt;=1.96,"NO ATÍPICO")</f>
        <v>NO ATÍPICO</v>
      </c>
      <c r="K634" t="str" cm="1">
        <f t="array" ref="K634">_xlfn.IFS(ISBLANK(I634),"FALTANTE",ABS((I634-$W$8)/$X$8)&gt;1.92,"ATÍPICO",ABS((I634-$W$8)/$X$8)&lt;=1.92,"NO ATÍPICO")</f>
        <v>NO ATÍPICO</v>
      </c>
      <c r="L634">
        <f t="shared" si="45"/>
        <v>347615</v>
      </c>
      <c r="M634" t="str">
        <f t="shared" si="49"/>
        <v>TRABAJADOR INDEPENDIENTE</v>
      </c>
      <c r="N634">
        <f t="shared" si="46"/>
        <v>36</v>
      </c>
      <c r="O634" s="19" t="str">
        <f t="shared" si="47"/>
        <v>300k–600k</v>
      </c>
      <c r="P634" s="19" t="str">
        <f t="shared" si="48"/>
        <v>36-45</v>
      </c>
    </row>
    <row r="635" spans="1:16" x14ac:dyDescent="0.25">
      <c r="A635">
        <v>634</v>
      </c>
      <c r="B635" t="s">
        <v>15</v>
      </c>
      <c r="C635">
        <v>297044</v>
      </c>
      <c r="D635" t="s">
        <v>17</v>
      </c>
      <c r="E635" t="s">
        <v>16</v>
      </c>
      <c r="F635" t="s">
        <v>12</v>
      </c>
      <c r="G635" t="s">
        <v>13</v>
      </c>
      <c r="H635" t="s">
        <v>13</v>
      </c>
      <c r="I635">
        <v>19</v>
      </c>
      <c r="J635" t="str" cm="1">
        <f t="array" ref="J635">_xlfn.IFS(ISBLANK(C635),"FALTANTE",ABS((C635-$W$5)/$X$5)&gt;1.96,"ATÍPICO",ABS((C635-$W$5)/$X$5)&lt;=1.96,"NO ATÍPICO")</f>
        <v>NO ATÍPICO</v>
      </c>
      <c r="K635" t="str" cm="1">
        <f t="array" ref="K635">_xlfn.IFS(ISBLANK(I635),"FALTANTE",ABS((I635-$W$8)/$X$8)&gt;1.92,"ATÍPICO",ABS((I635-$W$8)/$X$8)&lt;=1.92,"NO ATÍPICO")</f>
        <v>NO ATÍPICO</v>
      </c>
      <c r="L635">
        <f t="shared" si="45"/>
        <v>297044</v>
      </c>
      <c r="M635" t="str">
        <f t="shared" si="49"/>
        <v>ASEGURADO VOLUNTARIO</v>
      </c>
      <c r="N635">
        <f t="shared" si="46"/>
        <v>19</v>
      </c>
      <c r="O635" s="19" t="str">
        <f t="shared" si="47"/>
        <v>0–300k</v>
      </c>
      <c r="P635" s="19" t="str">
        <f t="shared" si="48"/>
        <v>18-25</v>
      </c>
    </row>
    <row r="636" spans="1:16" x14ac:dyDescent="0.25">
      <c r="A636">
        <v>635</v>
      </c>
      <c r="B636" t="s">
        <v>15</v>
      </c>
      <c r="C636">
        <v>297046</v>
      </c>
      <c r="D636" t="s">
        <v>17</v>
      </c>
      <c r="E636" t="s">
        <v>16</v>
      </c>
      <c r="F636" t="s">
        <v>12</v>
      </c>
      <c r="G636" t="s">
        <v>13</v>
      </c>
      <c r="H636" t="s">
        <v>13</v>
      </c>
      <c r="I636">
        <v>31</v>
      </c>
      <c r="J636" t="str" cm="1">
        <f t="array" ref="J636">_xlfn.IFS(ISBLANK(C636),"FALTANTE",ABS((C636-$W$5)/$X$5)&gt;1.96,"ATÍPICO",ABS((C636-$W$5)/$X$5)&lt;=1.96,"NO ATÍPICO")</f>
        <v>NO ATÍPICO</v>
      </c>
      <c r="K636" t="str" cm="1">
        <f t="array" ref="K636">_xlfn.IFS(ISBLANK(I636),"FALTANTE",ABS((I636-$W$8)/$X$8)&gt;1.92,"ATÍPICO",ABS((I636-$W$8)/$X$8)&lt;=1.92,"NO ATÍPICO")</f>
        <v>NO ATÍPICO</v>
      </c>
      <c r="L636">
        <f t="shared" si="45"/>
        <v>297046</v>
      </c>
      <c r="M636" t="str">
        <f t="shared" si="49"/>
        <v>ASEGURADO VOLUNTARIO</v>
      </c>
      <c r="N636">
        <f t="shared" si="46"/>
        <v>31</v>
      </c>
      <c r="O636" s="19" t="str">
        <f t="shared" si="47"/>
        <v>0–300k</v>
      </c>
      <c r="P636" s="19" t="str">
        <f t="shared" si="48"/>
        <v>26-35</v>
      </c>
    </row>
    <row r="637" spans="1:16" x14ac:dyDescent="0.25">
      <c r="A637">
        <v>636</v>
      </c>
      <c r="B637" t="s">
        <v>9</v>
      </c>
      <c r="C637">
        <v>1169887</v>
      </c>
      <c r="D637" t="s">
        <v>10</v>
      </c>
      <c r="E637" t="s">
        <v>11</v>
      </c>
      <c r="F637" t="s">
        <v>12</v>
      </c>
      <c r="G637" t="s">
        <v>13</v>
      </c>
      <c r="H637" t="s">
        <v>13</v>
      </c>
      <c r="I637">
        <v>45</v>
      </c>
      <c r="J637" t="str" cm="1">
        <f t="array" ref="J637">_xlfn.IFS(ISBLANK(C637),"FALTANTE",ABS((C637-$W$5)/$X$5)&gt;1.96,"ATÍPICO",ABS((C637-$W$5)/$X$5)&lt;=1.96,"NO ATÍPICO")</f>
        <v>NO ATÍPICO</v>
      </c>
      <c r="K637" t="str" cm="1">
        <f t="array" ref="K637">_xlfn.IFS(ISBLANK(I637),"FALTANTE",ABS((I637-$W$8)/$X$8)&gt;1.92,"ATÍPICO",ABS((I637-$W$8)/$X$8)&lt;=1.92,"NO ATÍPICO")</f>
        <v>NO ATÍPICO</v>
      </c>
      <c r="L637">
        <f t="shared" si="45"/>
        <v>1169887</v>
      </c>
      <c r="M637" t="str">
        <f t="shared" si="49"/>
        <v>ASALARIADO</v>
      </c>
      <c r="N637">
        <f t="shared" si="46"/>
        <v>45</v>
      </c>
      <c r="O637" s="19" t="str">
        <f t="shared" si="47"/>
        <v>900k–1200k</v>
      </c>
      <c r="P637" s="19" t="str">
        <f t="shared" si="48"/>
        <v>36-45</v>
      </c>
    </row>
    <row r="638" spans="1:16" x14ac:dyDescent="0.25">
      <c r="A638">
        <v>637</v>
      </c>
      <c r="B638" t="s">
        <v>9</v>
      </c>
      <c r="C638">
        <v>1253145.82</v>
      </c>
      <c r="D638" t="s">
        <v>10</v>
      </c>
      <c r="E638" t="s">
        <v>11</v>
      </c>
      <c r="F638" t="s">
        <v>12</v>
      </c>
      <c r="G638" t="s">
        <v>13</v>
      </c>
      <c r="H638" t="s">
        <v>13</v>
      </c>
      <c r="I638">
        <v>34</v>
      </c>
      <c r="J638" t="str" cm="1">
        <f t="array" ref="J638">_xlfn.IFS(ISBLANK(C638),"FALTANTE",ABS((C638-$W$5)/$X$5)&gt;1.96,"ATÍPICO",ABS((C638-$W$5)/$X$5)&lt;=1.96,"NO ATÍPICO")</f>
        <v>NO ATÍPICO</v>
      </c>
      <c r="K638" t="str" cm="1">
        <f t="array" ref="K638">_xlfn.IFS(ISBLANK(I638),"FALTANTE",ABS((I638-$W$8)/$X$8)&gt;1.92,"ATÍPICO",ABS((I638-$W$8)/$X$8)&lt;=1.92,"NO ATÍPICO")</f>
        <v>NO ATÍPICO</v>
      </c>
      <c r="L638">
        <f t="shared" si="45"/>
        <v>1253145.82</v>
      </c>
      <c r="M638" t="str">
        <f t="shared" si="49"/>
        <v>ASALARIADO</v>
      </c>
      <c r="N638">
        <f t="shared" si="46"/>
        <v>34</v>
      </c>
      <c r="O638" s="19" t="str">
        <f t="shared" si="47"/>
        <v>1200k+</v>
      </c>
      <c r="P638" s="19" t="str">
        <f t="shared" si="48"/>
        <v>26-35</v>
      </c>
    </row>
    <row r="639" spans="1:16" x14ac:dyDescent="0.25">
      <c r="A639">
        <v>638</v>
      </c>
      <c r="B639" t="s">
        <v>9</v>
      </c>
      <c r="C639">
        <v>577032.5</v>
      </c>
      <c r="D639" t="s">
        <v>10</v>
      </c>
      <c r="E639" t="s">
        <v>16</v>
      </c>
      <c r="F639" t="s">
        <v>12</v>
      </c>
      <c r="G639" t="s">
        <v>13</v>
      </c>
      <c r="H639" t="s">
        <v>13</v>
      </c>
      <c r="I639">
        <v>53</v>
      </c>
      <c r="J639" t="str" cm="1">
        <f t="array" ref="J639">_xlfn.IFS(ISBLANK(C639),"FALTANTE",ABS((C639-$W$5)/$X$5)&gt;1.96,"ATÍPICO",ABS((C639-$W$5)/$X$5)&lt;=1.96,"NO ATÍPICO")</f>
        <v>NO ATÍPICO</v>
      </c>
      <c r="K639" t="str" cm="1">
        <f t="array" ref="K639">_xlfn.IFS(ISBLANK(I639),"FALTANTE",ABS((I639-$W$8)/$X$8)&gt;1.92,"ATÍPICO",ABS((I639-$W$8)/$X$8)&lt;=1.92,"NO ATÍPICO")</f>
        <v>NO ATÍPICO</v>
      </c>
      <c r="L639">
        <f t="shared" si="45"/>
        <v>577032.5</v>
      </c>
      <c r="M639" t="str">
        <f t="shared" si="49"/>
        <v>ASALARIADO</v>
      </c>
      <c r="N639">
        <f t="shared" si="46"/>
        <v>53</v>
      </c>
      <c r="O639" s="19" t="str">
        <f t="shared" si="47"/>
        <v>300k–600k</v>
      </c>
      <c r="P639" s="19" t="str">
        <f t="shared" si="48"/>
        <v>46-55</v>
      </c>
    </row>
    <row r="640" spans="1:16" x14ac:dyDescent="0.25">
      <c r="A640">
        <v>639</v>
      </c>
      <c r="B640" t="s">
        <v>9</v>
      </c>
      <c r="C640">
        <v>305704</v>
      </c>
      <c r="D640" t="s">
        <v>18</v>
      </c>
      <c r="E640" t="s">
        <v>16</v>
      </c>
      <c r="F640" t="s">
        <v>12</v>
      </c>
      <c r="G640" t="s">
        <v>13</v>
      </c>
      <c r="H640" t="s">
        <v>13</v>
      </c>
      <c r="I640">
        <v>68</v>
      </c>
      <c r="J640" t="str" cm="1">
        <f t="array" ref="J640">_xlfn.IFS(ISBLANK(C640),"FALTANTE",ABS((C640-$W$5)/$X$5)&gt;1.96,"ATÍPICO",ABS((C640-$W$5)/$X$5)&lt;=1.96,"NO ATÍPICO")</f>
        <v>NO ATÍPICO</v>
      </c>
      <c r="K640" t="str" cm="1">
        <f t="array" ref="K640">_xlfn.IFS(ISBLANK(I640),"FALTANTE",ABS((I640-$W$8)/$X$8)&gt;1.92,"ATÍPICO",ABS((I640-$W$8)/$X$8)&lt;=1.92,"NO ATÍPICO")</f>
        <v>NO ATÍPICO</v>
      </c>
      <c r="L640">
        <f t="shared" si="45"/>
        <v>305704</v>
      </c>
      <c r="M640" t="str">
        <f t="shared" si="49"/>
        <v>TRABAJADOR INDEPENDIENTE</v>
      </c>
      <c r="N640">
        <f t="shared" si="46"/>
        <v>68</v>
      </c>
      <c r="O640" s="19" t="str">
        <f t="shared" si="47"/>
        <v>300k–600k</v>
      </c>
      <c r="P640" s="19" t="str">
        <f t="shared" si="48"/>
        <v>56+</v>
      </c>
    </row>
    <row r="641" spans="1:16" x14ac:dyDescent="0.25">
      <c r="A641">
        <v>640</v>
      </c>
      <c r="B641" t="s">
        <v>15</v>
      </c>
      <c r="C641">
        <v>297045</v>
      </c>
      <c r="D641" t="s">
        <v>17</v>
      </c>
      <c r="E641" t="s">
        <v>16</v>
      </c>
      <c r="F641" t="s">
        <v>12</v>
      </c>
      <c r="G641" t="s">
        <v>13</v>
      </c>
      <c r="H641" t="s">
        <v>13</v>
      </c>
      <c r="I641">
        <v>30</v>
      </c>
      <c r="J641" t="str" cm="1">
        <f t="array" ref="J641">_xlfn.IFS(ISBLANK(C641),"FALTANTE",ABS((C641-$W$5)/$X$5)&gt;1.96,"ATÍPICO",ABS((C641-$W$5)/$X$5)&lt;=1.96,"NO ATÍPICO")</f>
        <v>NO ATÍPICO</v>
      </c>
      <c r="K641" t="str" cm="1">
        <f t="array" ref="K641">_xlfn.IFS(ISBLANK(I641),"FALTANTE",ABS((I641-$W$8)/$X$8)&gt;1.92,"ATÍPICO",ABS((I641-$W$8)/$X$8)&lt;=1.92,"NO ATÍPICO")</f>
        <v>NO ATÍPICO</v>
      </c>
      <c r="L641">
        <f t="shared" si="45"/>
        <v>297045</v>
      </c>
      <c r="M641" t="str">
        <f t="shared" si="49"/>
        <v>ASEGURADO VOLUNTARIO</v>
      </c>
      <c r="N641">
        <f t="shared" si="46"/>
        <v>30</v>
      </c>
      <c r="O641" s="19" t="str">
        <f t="shared" si="47"/>
        <v>0–300k</v>
      </c>
      <c r="P641" s="19" t="str">
        <f t="shared" si="48"/>
        <v>26-35</v>
      </c>
    </row>
    <row r="642" spans="1:16" x14ac:dyDescent="0.25">
      <c r="A642">
        <v>641</v>
      </c>
      <c r="B642" t="s">
        <v>15</v>
      </c>
      <c r="C642">
        <v>697711</v>
      </c>
      <c r="D642" t="s">
        <v>14</v>
      </c>
      <c r="E642" t="s">
        <v>11</v>
      </c>
      <c r="F642" t="s">
        <v>12</v>
      </c>
      <c r="G642" t="s">
        <v>13</v>
      </c>
      <c r="H642" t="s">
        <v>13</v>
      </c>
      <c r="I642">
        <v>76</v>
      </c>
      <c r="J642" t="str" cm="1">
        <f t="array" ref="J642">_xlfn.IFS(ISBLANK(C642),"FALTANTE",ABS((C642-$W$5)/$X$5)&gt;1.96,"ATÍPICO",ABS((C642-$W$5)/$X$5)&lt;=1.96,"NO ATÍPICO")</f>
        <v>NO ATÍPICO</v>
      </c>
      <c r="K642" t="str" cm="1">
        <f t="array" ref="K642">_xlfn.IFS(ISBLANK(I642),"FALTANTE",ABS((I642-$W$8)/$X$8)&gt;1.92,"ATÍPICO",ABS((I642-$W$8)/$X$8)&lt;=1.92,"NO ATÍPICO")</f>
        <v>ATÍPICO</v>
      </c>
      <c r="L642">
        <f t="shared" ref="L642:L705" si="50">C642</f>
        <v>697711</v>
      </c>
      <c r="M642" t="str">
        <f t="shared" si="49"/>
        <v>PENSIONADOS EN SU PROPIO SISTEMA</v>
      </c>
      <c r="N642">
        <f t="shared" ref="N642:N705" si="51">I642</f>
        <v>76</v>
      </c>
      <c r="O642" s="19" t="str">
        <f t="shared" ref="O642:O705" si="52">IF(L642&lt;=300000,"0–300k",IF(L642&lt;=600000,"300k–600k",IF(L642&lt;=900000,"600k–900k",IF(L642&lt;=1200000,"900k–1200k","1200k+"))))</f>
        <v>600k–900k</v>
      </c>
      <c r="P642" s="19" t="str">
        <f t="shared" ref="P642:P705" si="53">IF(N642 &lt;=25,"18-25", IF(N642&lt;=35,"26-35", IF(N642 &lt;=45,"36-45", IF(N642&lt;=55,"46-55","56+"))))</f>
        <v>56+</v>
      </c>
    </row>
    <row r="643" spans="1:16" x14ac:dyDescent="0.25">
      <c r="A643">
        <v>642</v>
      </c>
      <c r="B643" t="s">
        <v>9</v>
      </c>
      <c r="C643">
        <v>1611056.5</v>
      </c>
      <c r="D643" t="s">
        <v>10</v>
      </c>
      <c r="E643" t="s">
        <v>11</v>
      </c>
      <c r="F643" t="s">
        <v>12</v>
      </c>
      <c r="G643" t="s">
        <v>13</v>
      </c>
      <c r="H643" t="s">
        <v>13</v>
      </c>
      <c r="I643">
        <v>55</v>
      </c>
      <c r="J643" t="str" cm="1">
        <f t="array" ref="J643">_xlfn.IFS(ISBLANK(C643),"FALTANTE",ABS((C643-$W$5)/$X$5)&gt;1.96,"ATÍPICO",ABS((C643-$W$5)/$X$5)&lt;=1.96,"NO ATÍPICO")</f>
        <v>NO ATÍPICO</v>
      </c>
      <c r="K643" t="str" cm="1">
        <f t="array" ref="K643">_xlfn.IFS(ISBLANK(I643),"FALTANTE",ABS((I643-$W$8)/$X$8)&gt;1.92,"ATÍPICO",ABS((I643-$W$8)/$X$8)&lt;=1.92,"NO ATÍPICO")</f>
        <v>NO ATÍPICO</v>
      </c>
      <c r="L643">
        <f t="shared" si="50"/>
        <v>1611056.5</v>
      </c>
      <c r="M643" t="str">
        <f t="shared" si="49"/>
        <v>ASALARIADO</v>
      </c>
      <c r="N643">
        <f t="shared" si="51"/>
        <v>55</v>
      </c>
      <c r="O643" s="19" t="str">
        <f t="shared" si="52"/>
        <v>1200k+</v>
      </c>
      <c r="P643" s="19" t="str">
        <f t="shared" si="53"/>
        <v>46-55</v>
      </c>
    </row>
    <row r="644" spans="1:16" x14ac:dyDescent="0.25">
      <c r="A644">
        <v>643</v>
      </c>
      <c r="B644" t="s">
        <v>9</v>
      </c>
      <c r="C644">
        <v>278030</v>
      </c>
      <c r="D644" t="s">
        <v>19</v>
      </c>
      <c r="E644" t="s">
        <v>16</v>
      </c>
      <c r="F644" t="s">
        <v>12</v>
      </c>
      <c r="G644" t="s">
        <v>13</v>
      </c>
      <c r="H644" t="s">
        <v>13</v>
      </c>
      <c r="I644">
        <v>26</v>
      </c>
      <c r="J644" t="str" cm="1">
        <f t="array" ref="J644">_xlfn.IFS(ISBLANK(C644),"FALTANTE",ABS((C644-$W$5)/$X$5)&gt;1.96,"ATÍPICO",ABS((C644-$W$5)/$X$5)&lt;=1.96,"NO ATÍPICO")</f>
        <v>NO ATÍPICO</v>
      </c>
      <c r="K644" t="str" cm="1">
        <f t="array" ref="K644">_xlfn.IFS(ISBLANK(I644),"FALTANTE",ABS((I644-$W$8)/$X$8)&gt;1.92,"ATÍPICO",ABS((I644-$W$8)/$X$8)&lt;=1.92,"NO ATÍPICO")</f>
        <v>NO ATÍPICO</v>
      </c>
      <c r="L644">
        <f t="shared" si="50"/>
        <v>278030</v>
      </c>
      <c r="M644" t="str">
        <f t="shared" ref="M644:M707" si="54">D644</f>
        <v>CONVENIOS ESPECIALES DE TRABAJADORES INDEPENDIENTES</v>
      </c>
      <c r="N644">
        <f t="shared" si="51"/>
        <v>26</v>
      </c>
      <c r="O644" s="19" t="str">
        <f t="shared" si="52"/>
        <v>0–300k</v>
      </c>
      <c r="P644" s="19" t="str">
        <f t="shared" si="53"/>
        <v>26-35</v>
      </c>
    </row>
    <row r="645" spans="1:16" x14ac:dyDescent="0.25">
      <c r="A645">
        <v>644</v>
      </c>
      <c r="B645" t="s">
        <v>15</v>
      </c>
      <c r="C645">
        <v>970360</v>
      </c>
      <c r="D645" t="s">
        <v>10</v>
      </c>
      <c r="E645" t="s">
        <v>11</v>
      </c>
      <c r="F645" t="s">
        <v>12</v>
      </c>
      <c r="G645" t="s">
        <v>13</v>
      </c>
      <c r="H645" t="s">
        <v>13</v>
      </c>
      <c r="I645">
        <v>41</v>
      </c>
      <c r="J645" t="str" cm="1">
        <f t="array" ref="J645">_xlfn.IFS(ISBLANK(C645),"FALTANTE",ABS((C645-$W$5)/$X$5)&gt;1.96,"ATÍPICO",ABS((C645-$W$5)/$X$5)&lt;=1.96,"NO ATÍPICO")</f>
        <v>NO ATÍPICO</v>
      </c>
      <c r="K645" t="str" cm="1">
        <f t="array" ref="K645">_xlfn.IFS(ISBLANK(I645),"FALTANTE",ABS((I645-$W$8)/$X$8)&gt;1.92,"ATÍPICO",ABS((I645-$W$8)/$X$8)&lt;=1.92,"NO ATÍPICO")</f>
        <v>NO ATÍPICO</v>
      </c>
      <c r="L645">
        <f t="shared" si="50"/>
        <v>970360</v>
      </c>
      <c r="M645" t="str">
        <f t="shared" si="54"/>
        <v>ASALARIADO</v>
      </c>
      <c r="N645">
        <f t="shared" si="51"/>
        <v>41</v>
      </c>
      <c r="O645" s="19" t="str">
        <f t="shared" si="52"/>
        <v>900k–1200k</v>
      </c>
      <c r="P645" s="19" t="str">
        <f t="shared" si="53"/>
        <v>36-45</v>
      </c>
    </row>
    <row r="646" spans="1:16" x14ac:dyDescent="0.25">
      <c r="A646">
        <v>645</v>
      </c>
      <c r="B646" t="s">
        <v>15</v>
      </c>
      <c r="C646">
        <v>159787.23000000001</v>
      </c>
      <c r="D646" t="s">
        <v>10</v>
      </c>
      <c r="E646" t="s">
        <v>16</v>
      </c>
      <c r="F646" t="s">
        <v>12</v>
      </c>
      <c r="G646" t="s">
        <v>13</v>
      </c>
      <c r="H646" t="s">
        <v>13</v>
      </c>
      <c r="I646">
        <v>36</v>
      </c>
      <c r="J646" t="str" cm="1">
        <f t="array" ref="J646">_xlfn.IFS(ISBLANK(C646),"FALTANTE",ABS((C646-$W$5)/$X$5)&gt;1.96,"ATÍPICO",ABS((C646-$W$5)/$X$5)&lt;=1.96,"NO ATÍPICO")</f>
        <v>NO ATÍPICO</v>
      </c>
      <c r="K646" t="str" cm="1">
        <f t="array" ref="K646">_xlfn.IFS(ISBLANK(I646),"FALTANTE",ABS((I646-$W$8)/$X$8)&gt;1.92,"ATÍPICO",ABS((I646-$W$8)/$X$8)&lt;=1.92,"NO ATÍPICO")</f>
        <v>NO ATÍPICO</v>
      </c>
      <c r="L646">
        <f t="shared" si="50"/>
        <v>159787.23000000001</v>
      </c>
      <c r="M646" t="str">
        <f t="shared" si="54"/>
        <v>ASALARIADO</v>
      </c>
      <c r="N646">
        <f t="shared" si="51"/>
        <v>36</v>
      </c>
      <c r="O646" s="19" t="str">
        <f t="shared" si="52"/>
        <v>0–300k</v>
      </c>
      <c r="P646" s="19" t="str">
        <f t="shared" si="53"/>
        <v>36-45</v>
      </c>
    </row>
    <row r="647" spans="1:16" x14ac:dyDescent="0.25">
      <c r="A647">
        <v>646</v>
      </c>
      <c r="B647" t="s">
        <v>9</v>
      </c>
      <c r="C647">
        <v>680400</v>
      </c>
      <c r="D647" t="s">
        <v>10</v>
      </c>
      <c r="E647" t="s">
        <v>16</v>
      </c>
      <c r="F647" t="s">
        <v>12</v>
      </c>
      <c r="G647" t="s">
        <v>13</v>
      </c>
      <c r="H647" t="s">
        <v>13</v>
      </c>
      <c r="I647">
        <v>63</v>
      </c>
      <c r="J647" t="str" cm="1">
        <f t="array" ref="J647">_xlfn.IFS(ISBLANK(C647),"FALTANTE",ABS((C647-$W$5)/$X$5)&gt;1.96,"ATÍPICO",ABS((C647-$W$5)/$X$5)&lt;=1.96,"NO ATÍPICO")</f>
        <v>NO ATÍPICO</v>
      </c>
      <c r="K647" t="str" cm="1">
        <f t="array" ref="K647">_xlfn.IFS(ISBLANK(I647),"FALTANTE",ABS((I647-$W$8)/$X$8)&gt;1.92,"ATÍPICO",ABS((I647-$W$8)/$X$8)&lt;=1.92,"NO ATÍPICO")</f>
        <v>NO ATÍPICO</v>
      </c>
      <c r="L647">
        <f t="shared" si="50"/>
        <v>680400</v>
      </c>
      <c r="M647" t="str">
        <f t="shared" si="54"/>
        <v>ASALARIADO</v>
      </c>
      <c r="N647">
        <f t="shared" si="51"/>
        <v>63</v>
      </c>
      <c r="O647" s="19" t="str">
        <f t="shared" si="52"/>
        <v>600k–900k</v>
      </c>
      <c r="P647" s="19" t="str">
        <f t="shared" si="53"/>
        <v>56+</v>
      </c>
    </row>
    <row r="648" spans="1:16" x14ac:dyDescent="0.25">
      <c r="A648">
        <v>647</v>
      </c>
      <c r="B648" t="s">
        <v>15</v>
      </c>
      <c r="C648">
        <v>1556653.39</v>
      </c>
      <c r="D648" t="s">
        <v>10</v>
      </c>
      <c r="E648" t="s">
        <v>16</v>
      </c>
      <c r="F648" t="s">
        <v>12</v>
      </c>
      <c r="G648" t="s">
        <v>13</v>
      </c>
      <c r="H648" t="s">
        <v>13</v>
      </c>
      <c r="I648">
        <v>44</v>
      </c>
      <c r="J648" t="str" cm="1">
        <f t="array" ref="J648">_xlfn.IFS(ISBLANK(C648),"FALTANTE",ABS((C648-$W$5)/$X$5)&gt;1.96,"ATÍPICO",ABS((C648-$W$5)/$X$5)&lt;=1.96,"NO ATÍPICO")</f>
        <v>NO ATÍPICO</v>
      </c>
      <c r="K648" t="str" cm="1">
        <f t="array" ref="K648">_xlfn.IFS(ISBLANK(I648),"FALTANTE",ABS((I648-$W$8)/$X$8)&gt;1.92,"ATÍPICO",ABS((I648-$W$8)/$X$8)&lt;=1.92,"NO ATÍPICO")</f>
        <v>NO ATÍPICO</v>
      </c>
      <c r="L648">
        <f t="shared" si="50"/>
        <v>1556653.39</v>
      </c>
      <c r="M648" t="str">
        <f t="shared" si="54"/>
        <v>ASALARIADO</v>
      </c>
      <c r="N648">
        <f t="shared" si="51"/>
        <v>44</v>
      </c>
      <c r="O648" s="19" t="str">
        <f t="shared" si="52"/>
        <v>1200k+</v>
      </c>
      <c r="P648" s="19" t="str">
        <f t="shared" si="53"/>
        <v>36-45</v>
      </c>
    </row>
    <row r="649" spans="1:16" x14ac:dyDescent="0.25">
      <c r="A649">
        <v>648</v>
      </c>
      <c r="B649" t="s">
        <v>15</v>
      </c>
      <c r="C649">
        <v>280000</v>
      </c>
      <c r="D649" t="s">
        <v>10</v>
      </c>
      <c r="E649" t="s">
        <v>16</v>
      </c>
      <c r="F649" t="s">
        <v>12</v>
      </c>
      <c r="G649" t="s">
        <v>12</v>
      </c>
      <c r="H649" t="s">
        <v>13</v>
      </c>
      <c r="I649">
        <v>59</v>
      </c>
      <c r="J649" t="str" cm="1">
        <f t="array" ref="J649">_xlfn.IFS(ISBLANK(C649),"FALTANTE",ABS((C649-$W$5)/$X$5)&gt;1.96,"ATÍPICO",ABS((C649-$W$5)/$X$5)&lt;=1.96,"NO ATÍPICO")</f>
        <v>NO ATÍPICO</v>
      </c>
      <c r="K649" t="str" cm="1">
        <f t="array" ref="K649">_xlfn.IFS(ISBLANK(I649),"FALTANTE",ABS((I649-$W$8)/$X$8)&gt;1.92,"ATÍPICO",ABS((I649-$W$8)/$X$8)&lt;=1.92,"NO ATÍPICO")</f>
        <v>NO ATÍPICO</v>
      </c>
      <c r="L649">
        <f t="shared" si="50"/>
        <v>280000</v>
      </c>
      <c r="M649" t="str">
        <f t="shared" si="54"/>
        <v>ASALARIADO</v>
      </c>
      <c r="N649">
        <f t="shared" si="51"/>
        <v>59</v>
      </c>
      <c r="O649" s="19" t="str">
        <f t="shared" si="52"/>
        <v>0–300k</v>
      </c>
      <c r="P649" s="19" t="str">
        <f t="shared" si="53"/>
        <v>56+</v>
      </c>
    </row>
    <row r="650" spans="1:16" x14ac:dyDescent="0.25">
      <c r="A650">
        <v>649</v>
      </c>
      <c r="B650" t="s">
        <v>9</v>
      </c>
      <c r="C650">
        <v>311895</v>
      </c>
      <c r="D650" t="s">
        <v>18</v>
      </c>
      <c r="E650" t="s">
        <v>16</v>
      </c>
      <c r="F650" t="s">
        <v>12</v>
      </c>
      <c r="G650" t="s">
        <v>13</v>
      </c>
      <c r="H650" t="s">
        <v>12</v>
      </c>
      <c r="I650">
        <v>41</v>
      </c>
      <c r="J650" t="str" cm="1">
        <f t="array" ref="J650">_xlfn.IFS(ISBLANK(C650),"FALTANTE",ABS((C650-$W$5)/$X$5)&gt;1.96,"ATÍPICO",ABS((C650-$W$5)/$X$5)&lt;=1.96,"NO ATÍPICO")</f>
        <v>NO ATÍPICO</v>
      </c>
      <c r="K650" t="str" cm="1">
        <f t="array" ref="K650">_xlfn.IFS(ISBLANK(I650),"FALTANTE",ABS((I650-$W$8)/$X$8)&gt;1.92,"ATÍPICO",ABS((I650-$W$8)/$X$8)&lt;=1.92,"NO ATÍPICO")</f>
        <v>NO ATÍPICO</v>
      </c>
      <c r="L650">
        <f t="shared" si="50"/>
        <v>311895</v>
      </c>
      <c r="M650" t="str">
        <f t="shared" si="54"/>
        <v>TRABAJADOR INDEPENDIENTE</v>
      </c>
      <c r="N650">
        <f t="shared" si="51"/>
        <v>41</v>
      </c>
      <c r="O650" s="19" t="str">
        <f t="shared" si="52"/>
        <v>300k–600k</v>
      </c>
      <c r="P650" s="19" t="str">
        <f t="shared" si="53"/>
        <v>36-45</v>
      </c>
    </row>
    <row r="651" spans="1:16" x14ac:dyDescent="0.25">
      <c r="A651">
        <v>650</v>
      </c>
      <c r="B651" t="s">
        <v>9</v>
      </c>
      <c r="C651">
        <v>297046</v>
      </c>
      <c r="D651" t="s">
        <v>17</v>
      </c>
      <c r="E651" t="s">
        <v>16</v>
      </c>
      <c r="F651" t="s">
        <v>13</v>
      </c>
      <c r="G651" t="s">
        <v>12</v>
      </c>
      <c r="H651" t="s">
        <v>13</v>
      </c>
      <c r="I651">
        <v>71</v>
      </c>
      <c r="J651" t="str" cm="1">
        <f t="array" ref="J651">_xlfn.IFS(ISBLANK(C651),"FALTANTE",ABS((C651-$W$5)/$X$5)&gt;1.96,"ATÍPICO",ABS((C651-$W$5)/$X$5)&lt;=1.96,"NO ATÍPICO")</f>
        <v>NO ATÍPICO</v>
      </c>
      <c r="K651" t="str" cm="1">
        <f t="array" ref="K651">_xlfn.IFS(ISBLANK(I651),"FALTANTE",ABS((I651-$W$8)/$X$8)&gt;1.92,"ATÍPICO",ABS((I651-$W$8)/$X$8)&lt;=1.92,"NO ATÍPICO")</f>
        <v>ATÍPICO</v>
      </c>
      <c r="L651">
        <f t="shared" si="50"/>
        <v>297046</v>
      </c>
      <c r="M651" t="str">
        <f t="shared" si="54"/>
        <v>ASEGURADO VOLUNTARIO</v>
      </c>
      <c r="N651">
        <f t="shared" si="51"/>
        <v>71</v>
      </c>
      <c r="O651" s="19" t="str">
        <f t="shared" si="52"/>
        <v>0–300k</v>
      </c>
      <c r="P651" s="19" t="str">
        <f t="shared" si="53"/>
        <v>56+</v>
      </c>
    </row>
    <row r="652" spans="1:16" x14ac:dyDescent="0.25">
      <c r="A652">
        <v>651</v>
      </c>
      <c r="B652" t="s">
        <v>15</v>
      </c>
      <c r="C652">
        <v>540000</v>
      </c>
      <c r="D652" t="s">
        <v>10</v>
      </c>
      <c r="E652" t="s">
        <v>16</v>
      </c>
      <c r="F652" t="s">
        <v>12</v>
      </c>
      <c r="G652" t="s">
        <v>13</v>
      </c>
      <c r="H652" t="s">
        <v>13</v>
      </c>
      <c r="I652">
        <v>26</v>
      </c>
      <c r="J652" t="str" cm="1">
        <f t="array" ref="J652">_xlfn.IFS(ISBLANK(C652),"FALTANTE",ABS((C652-$W$5)/$X$5)&gt;1.96,"ATÍPICO",ABS((C652-$W$5)/$X$5)&lt;=1.96,"NO ATÍPICO")</f>
        <v>NO ATÍPICO</v>
      </c>
      <c r="K652" t="str" cm="1">
        <f t="array" ref="K652">_xlfn.IFS(ISBLANK(I652),"FALTANTE",ABS((I652-$W$8)/$X$8)&gt;1.92,"ATÍPICO",ABS((I652-$W$8)/$X$8)&lt;=1.92,"NO ATÍPICO")</f>
        <v>NO ATÍPICO</v>
      </c>
      <c r="L652">
        <f t="shared" si="50"/>
        <v>540000</v>
      </c>
      <c r="M652" t="str">
        <f t="shared" si="54"/>
        <v>ASALARIADO</v>
      </c>
      <c r="N652">
        <f t="shared" si="51"/>
        <v>26</v>
      </c>
      <c r="O652" s="19" t="str">
        <f t="shared" si="52"/>
        <v>300k–600k</v>
      </c>
      <c r="P652" s="19" t="str">
        <f t="shared" si="53"/>
        <v>26-35</v>
      </c>
    </row>
    <row r="653" spans="1:16" x14ac:dyDescent="0.25">
      <c r="A653">
        <v>652</v>
      </c>
      <c r="B653" t="s">
        <v>15</v>
      </c>
      <c r="C653">
        <v>312690</v>
      </c>
      <c r="D653" t="s">
        <v>10</v>
      </c>
      <c r="E653" t="s">
        <v>11</v>
      </c>
      <c r="F653" t="s">
        <v>12</v>
      </c>
      <c r="G653" t="s">
        <v>13</v>
      </c>
      <c r="H653" t="s">
        <v>13</v>
      </c>
      <c r="I653">
        <v>57</v>
      </c>
      <c r="J653" t="str" cm="1">
        <f t="array" ref="J653">_xlfn.IFS(ISBLANK(C653),"FALTANTE",ABS((C653-$W$5)/$X$5)&gt;1.96,"ATÍPICO",ABS((C653-$W$5)/$X$5)&lt;=1.96,"NO ATÍPICO")</f>
        <v>NO ATÍPICO</v>
      </c>
      <c r="K653" t="str" cm="1">
        <f t="array" ref="K653">_xlfn.IFS(ISBLANK(I653),"FALTANTE",ABS((I653-$W$8)/$X$8)&gt;1.92,"ATÍPICO",ABS((I653-$W$8)/$X$8)&lt;=1.92,"NO ATÍPICO")</f>
        <v>NO ATÍPICO</v>
      </c>
      <c r="L653">
        <f t="shared" si="50"/>
        <v>312690</v>
      </c>
      <c r="M653" t="str">
        <f t="shared" si="54"/>
        <v>ASALARIADO</v>
      </c>
      <c r="N653">
        <f t="shared" si="51"/>
        <v>57</v>
      </c>
      <c r="O653" s="19" t="str">
        <f t="shared" si="52"/>
        <v>300k–600k</v>
      </c>
      <c r="P653" s="19" t="str">
        <f t="shared" si="53"/>
        <v>56+</v>
      </c>
    </row>
    <row r="654" spans="1:16" x14ac:dyDescent="0.25">
      <c r="A654">
        <v>653</v>
      </c>
      <c r="B654" t="s">
        <v>9</v>
      </c>
      <c r="C654">
        <v>216975</v>
      </c>
      <c r="D654" t="s">
        <v>10</v>
      </c>
      <c r="E654" t="s">
        <v>16</v>
      </c>
      <c r="F654" t="s">
        <v>12</v>
      </c>
      <c r="G654" t="s">
        <v>13</v>
      </c>
      <c r="H654" t="s">
        <v>13</v>
      </c>
      <c r="I654">
        <v>32</v>
      </c>
      <c r="J654" t="str" cm="1">
        <f t="array" ref="J654">_xlfn.IFS(ISBLANK(C654),"FALTANTE",ABS((C654-$W$5)/$X$5)&gt;1.96,"ATÍPICO",ABS((C654-$W$5)/$X$5)&lt;=1.96,"NO ATÍPICO")</f>
        <v>NO ATÍPICO</v>
      </c>
      <c r="K654" t="str" cm="1">
        <f t="array" ref="K654">_xlfn.IFS(ISBLANK(I654),"FALTANTE",ABS((I654-$W$8)/$X$8)&gt;1.92,"ATÍPICO",ABS((I654-$W$8)/$X$8)&lt;=1.92,"NO ATÍPICO")</f>
        <v>NO ATÍPICO</v>
      </c>
      <c r="L654">
        <f t="shared" si="50"/>
        <v>216975</v>
      </c>
      <c r="M654" t="str">
        <f t="shared" si="54"/>
        <v>ASALARIADO</v>
      </c>
      <c r="N654">
        <f t="shared" si="51"/>
        <v>32</v>
      </c>
      <c r="O654" s="19" t="str">
        <f t="shared" si="52"/>
        <v>0–300k</v>
      </c>
      <c r="P654" s="19" t="str">
        <f t="shared" si="53"/>
        <v>26-35</v>
      </c>
    </row>
    <row r="655" spans="1:16" x14ac:dyDescent="0.25">
      <c r="A655">
        <v>654</v>
      </c>
      <c r="B655" t="s">
        <v>9</v>
      </c>
      <c r="C655">
        <v>254494.92</v>
      </c>
      <c r="D655" t="s">
        <v>10</v>
      </c>
      <c r="E655" t="s">
        <v>11</v>
      </c>
      <c r="F655" t="s">
        <v>12</v>
      </c>
      <c r="G655" t="s">
        <v>13</v>
      </c>
      <c r="H655" t="s">
        <v>13</v>
      </c>
      <c r="I655">
        <v>31</v>
      </c>
      <c r="J655" t="str" cm="1">
        <f t="array" ref="J655">_xlfn.IFS(ISBLANK(C655),"FALTANTE",ABS((C655-$W$5)/$X$5)&gt;1.96,"ATÍPICO",ABS((C655-$W$5)/$X$5)&lt;=1.96,"NO ATÍPICO")</f>
        <v>NO ATÍPICO</v>
      </c>
      <c r="K655" t="str" cm="1">
        <f t="array" ref="K655">_xlfn.IFS(ISBLANK(I655),"FALTANTE",ABS((I655-$W$8)/$X$8)&gt;1.92,"ATÍPICO",ABS((I655-$W$8)/$X$8)&lt;=1.92,"NO ATÍPICO")</f>
        <v>NO ATÍPICO</v>
      </c>
      <c r="L655">
        <f t="shared" si="50"/>
        <v>254494.92</v>
      </c>
      <c r="M655" t="str">
        <f t="shared" si="54"/>
        <v>ASALARIADO</v>
      </c>
      <c r="N655">
        <f t="shared" si="51"/>
        <v>31</v>
      </c>
      <c r="O655" s="19" t="str">
        <f t="shared" si="52"/>
        <v>0–300k</v>
      </c>
      <c r="P655" s="19" t="str">
        <f t="shared" si="53"/>
        <v>26-35</v>
      </c>
    </row>
    <row r="656" spans="1:16" x14ac:dyDescent="0.25">
      <c r="A656">
        <v>655</v>
      </c>
      <c r="B656" t="s">
        <v>9</v>
      </c>
      <c r="C656">
        <v>278030</v>
      </c>
      <c r="D656" t="s">
        <v>19</v>
      </c>
      <c r="E656" t="s">
        <v>16</v>
      </c>
      <c r="F656" t="s">
        <v>12</v>
      </c>
      <c r="G656" t="s">
        <v>12</v>
      </c>
      <c r="H656" t="s">
        <v>13</v>
      </c>
      <c r="I656">
        <v>38</v>
      </c>
      <c r="J656" t="str" cm="1">
        <f t="array" ref="J656">_xlfn.IFS(ISBLANK(C656),"FALTANTE",ABS((C656-$W$5)/$X$5)&gt;1.96,"ATÍPICO",ABS((C656-$W$5)/$X$5)&lt;=1.96,"NO ATÍPICO")</f>
        <v>NO ATÍPICO</v>
      </c>
      <c r="K656" t="str" cm="1">
        <f t="array" ref="K656">_xlfn.IFS(ISBLANK(I656),"FALTANTE",ABS((I656-$W$8)/$X$8)&gt;1.92,"ATÍPICO",ABS((I656-$W$8)/$X$8)&lt;=1.92,"NO ATÍPICO")</f>
        <v>NO ATÍPICO</v>
      </c>
      <c r="L656">
        <f t="shared" si="50"/>
        <v>278030</v>
      </c>
      <c r="M656" t="str">
        <f t="shared" si="54"/>
        <v>CONVENIOS ESPECIALES DE TRABAJADORES INDEPENDIENTES</v>
      </c>
      <c r="N656">
        <f t="shared" si="51"/>
        <v>38</v>
      </c>
      <c r="O656" s="19" t="str">
        <f t="shared" si="52"/>
        <v>0–300k</v>
      </c>
      <c r="P656" s="19" t="str">
        <f t="shared" si="53"/>
        <v>36-45</v>
      </c>
    </row>
    <row r="657" spans="1:16" x14ac:dyDescent="0.25">
      <c r="A657">
        <v>656</v>
      </c>
      <c r="B657" t="s">
        <v>9</v>
      </c>
      <c r="C657">
        <v>291178.01</v>
      </c>
      <c r="D657" t="s">
        <v>10</v>
      </c>
      <c r="E657" t="s">
        <v>16</v>
      </c>
      <c r="F657" t="s">
        <v>12</v>
      </c>
      <c r="G657" t="s">
        <v>13</v>
      </c>
      <c r="H657" t="s">
        <v>13</v>
      </c>
      <c r="I657">
        <v>34</v>
      </c>
      <c r="J657" t="str" cm="1">
        <f t="array" ref="J657">_xlfn.IFS(ISBLANK(C657),"FALTANTE",ABS((C657-$W$5)/$X$5)&gt;1.96,"ATÍPICO",ABS((C657-$W$5)/$X$5)&lt;=1.96,"NO ATÍPICO")</f>
        <v>NO ATÍPICO</v>
      </c>
      <c r="K657" t="str" cm="1">
        <f t="array" ref="K657">_xlfn.IFS(ISBLANK(I657),"FALTANTE",ABS((I657-$W$8)/$X$8)&gt;1.92,"ATÍPICO",ABS((I657-$W$8)/$X$8)&lt;=1.92,"NO ATÍPICO")</f>
        <v>NO ATÍPICO</v>
      </c>
      <c r="L657">
        <f t="shared" si="50"/>
        <v>291178.01</v>
      </c>
      <c r="M657" t="str">
        <f t="shared" si="54"/>
        <v>ASALARIADO</v>
      </c>
      <c r="N657">
        <f t="shared" si="51"/>
        <v>34</v>
      </c>
      <c r="O657" s="19" t="str">
        <f t="shared" si="52"/>
        <v>0–300k</v>
      </c>
      <c r="P657" s="19" t="str">
        <f t="shared" si="53"/>
        <v>26-35</v>
      </c>
    </row>
    <row r="658" spans="1:16" x14ac:dyDescent="0.25">
      <c r="A658">
        <v>657</v>
      </c>
      <c r="B658" t="s">
        <v>9</v>
      </c>
      <c r="C658">
        <v>1181901</v>
      </c>
      <c r="D658" t="s">
        <v>10</v>
      </c>
      <c r="E658" t="s">
        <v>11</v>
      </c>
      <c r="F658" t="s">
        <v>12</v>
      </c>
      <c r="G658" t="s">
        <v>13</v>
      </c>
      <c r="H658" t="s">
        <v>13</v>
      </c>
      <c r="I658">
        <v>55</v>
      </c>
      <c r="J658" t="str" cm="1">
        <f t="array" ref="J658">_xlfn.IFS(ISBLANK(C658),"FALTANTE",ABS((C658-$W$5)/$X$5)&gt;1.96,"ATÍPICO",ABS((C658-$W$5)/$X$5)&lt;=1.96,"NO ATÍPICO")</f>
        <v>NO ATÍPICO</v>
      </c>
      <c r="K658" t="str" cm="1">
        <f t="array" ref="K658">_xlfn.IFS(ISBLANK(I658),"FALTANTE",ABS((I658-$W$8)/$X$8)&gt;1.92,"ATÍPICO",ABS((I658-$W$8)/$X$8)&lt;=1.92,"NO ATÍPICO")</f>
        <v>NO ATÍPICO</v>
      </c>
      <c r="L658">
        <f t="shared" si="50"/>
        <v>1181901</v>
      </c>
      <c r="M658" t="str">
        <f t="shared" si="54"/>
        <v>ASALARIADO</v>
      </c>
      <c r="N658">
        <f t="shared" si="51"/>
        <v>55</v>
      </c>
      <c r="O658" s="19" t="str">
        <f t="shared" si="52"/>
        <v>900k–1200k</v>
      </c>
      <c r="P658" s="19" t="str">
        <f t="shared" si="53"/>
        <v>46-55</v>
      </c>
    </row>
    <row r="659" spans="1:16" x14ac:dyDescent="0.25">
      <c r="A659">
        <v>658</v>
      </c>
      <c r="B659" t="s">
        <v>9</v>
      </c>
      <c r="C659">
        <v>494539.06</v>
      </c>
      <c r="D659" t="s">
        <v>10</v>
      </c>
      <c r="E659" t="s">
        <v>16</v>
      </c>
      <c r="F659" t="s">
        <v>12</v>
      </c>
      <c r="G659" t="s">
        <v>12</v>
      </c>
      <c r="H659" t="s">
        <v>13</v>
      </c>
      <c r="I659">
        <v>39</v>
      </c>
      <c r="J659" t="str" cm="1">
        <f t="array" ref="J659">_xlfn.IFS(ISBLANK(C659),"FALTANTE",ABS((C659-$W$5)/$X$5)&gt;1.96,"ATÍPICO",ABS((C659-$W$5)/$X$5)&lt;=1.96,"NO ATÍPICO")</f>
        <v>NO ATÍPICO</v>
      </c>
      <c r="K659" t="str" cm="1">
        <f t="array" ref="K659">_xlfn.IFS(ISBLANK(I659),"FALTANTE",ABS((I659-$W$8)/$X$8)&gt;1.92,"ATÍPICO",ABS((I659-$W$8)/$X$8)&lt;=1.92,"NO ATÍPICO")</f>
        <v>NO ATÍPICO</v>
      </c>
      <c r="L659">
        <f t="shared" si="50"/>
        <v>494539.06</v>
      </c>
      <c r="M659" t="str">
        <f t="shared" si="54"/>
        <v>ASALARIADO</v>
      </c>
      <c r="N659">
        <f t="shared" si="51"/>
        <v>39</v>
      </c>
      <c r="O659" s="19" t="str">
        <f t="shared" si="52"/>
        <v>300k–600k</v>
      </c>
      <c r="P659" s="19" t="str">
        <f t="shared" si="53"/>
        <v>36-45</v>
      </c>
    </row>
    <row r="660" spans="1:16" x14ac:dyDescent="0.25">
      <c r="A660">
        <v>659</v>
      </c>
      <c r="B660" t="s">
        <v>15</v>
      </c>
      <c r="C660">
        <v>299647</v>
      </c>
      <c r="D660" t="s">
        <v>17</v>
      </c>
      <c r="E660" t="s">
        <v>16</v>
      </c>
      <c r="F660" t="s">
        <v>12</v>
      </c>
      <c r="G660" t="s">
        <v>13</v>
      </c>
      <c r="H660" t="s">
        <v>13</v>
      </c>
      <c r="I660">
        <v>51</v>
      </c>
      <c r="J660" t="str" cm="1">
        <f t="array" ref="J660">_xlfn.IFS(ISBLANK(C660),"FALTANTE",ABS((C660-$W$5)/$X$5)&gt;1.96,"ATÍPICO",ABS((C660-$W$5)/$X$5)&lt;=1.96,"NO ATÍPICO")</f>
        <v>NO ATÍPICO</v>
      </c>
      <c r="K660" t="str" cm="1">
        <f t="array" ref="K660">_xlfn.IFS(ISBLANK(I660),"FALTANTE",ABS((I660-$W$8)/$X$8)&gt;1.92,"ATÍPICO",ABS((I660-$W$8)/$X$8)&lt;=1.92,"NO ATÍPICO")</f>
        <v>NO ATÍPICO</v>
      </c>
      <c r="L660">
        <f t="shared" si="50"/>
        <v>299647</v>
      </c>
      <c r="M660" t="str">
        <f t="shared" si="54"/>
        <v>ASEGURADO VOLUNTARIO</v>
      </c>
      <c r="N660">
        <f t="shared" si="51"/>
        <v>51</v>
      </c>
      <c r="O660" s="19" t="str">
        <f t="shared" si="52"/>
        <v>0–300k</v>
      </c>
      <c r="P660" s="19" t="str">
        <f t="shared" si="53"/>
        <v>46-55</v>
      </c>
    </row>
    <row r="661" spans="1:16" x14ac:dyDescent="0.25">
      <c r="A661">
        <v>660</v>
      </c>
      <c r="B661" t="s">
        <v>9</v>
      </c>
      <c r="C661">
        <v>386161</v>
      </c>
      <c r="D661" t="s">
        <v>18</v>
      </c>
      <c r="E661" t="s">
        <v>16</v>
      </c>
      <c r="F661" t="s">
        <v>12</v>
      </c>
      <c r="G661" t="s">
        <v>13</v>
      </c>
      <c r="H661" t="s">
        <v>12</v>
      </c>
      <c r="I661">
        <v>49</v>
      </c>
      <c r="J661" t="str" cm="1">
        <f t="array" ref="J661">_xlfn.IFS(ISBLANK(C661),"FALTANTE",ABS((C661-$W$5)/$X$5)&gt;1.96,"ATÍPICO",ABS((C661-$W$5)/$X$5)&lt;=1.96,"NO ATÍPICO")</f>
        <v>NO ATÍPICO</v>
      </c>
      <c r="K661" t="str" cm="1">
        <f t="array" ref="K661">_xlfn.IFS(ISBLANK(I661),"FALTANTE",ABS((I661-$W$8)/$X$8)&gt;1.92,"ATÍPICO",ABS((I661-$W$8)/$X$8)&lt;=1.92,"NO ATÍPICO")</f>
        <v>NO ATÍPICO</v>
      </c>
      <c r="L661">
        <f t="shared" si="50"/>
        <v>386161</v>
      </c>
      <c r="M661" t="str">
        <f t="shared" si="54"/>
        <v>TRABAJADOR INDEPENDIENTE</v>
      </c>
      <c r="N661">
        <f t="shared" si="51"/>
        <v>49</v>
      </c>
      <c r="O661" s="19" t="str">
        <f t="shared" si="52"/>
        <v>300k–600k</v>
      </c>
      <c r="P661" s="19" t="str">
        <f t="shared" si="53"/>
        <v>46-55</v>
      </c>
    </row>
    <row r="662" spans="1:16" x14ac:dyDescent="0.25">
      <c r="A662">
        <v>661</v>
      </c>
      <c r="B662" t="s">
        <v>9</v>
      </c>
      <c r="C662">
        <v>300000</v>
      </c>
      <c r="D662" t="s">
        <v>18</v>
      </c>
      <c r="E662" t="s">
        <v>16</v>
      </c>
      <c r="F662" t="s">
        <v>12</v>
      </c>
      <c r="G662" t="s">
        <v>13</v>
      </c>
      <c r="H662" t="s">
        <v>13</v>
      </c>
      <c r="I662">
        <v>30</v>
      </c>
      <c r="J662" t="str" cm="1">
        <f t="array" ref="J662">_xlfn.IFS(ISBLANK(C662),"FALTANTE",ABS((C662-$W$5)/$X$5)&gt;1.96,"ATÍPICO",ABS((C662-$W$5)/$X$5)&lt;=1.96,"NO ATÍPICO")</f>
        <v>NO ATÍPICO</v>
      </c>
      <c r="K662" t="str" cm="1">
        <f t="array" ref="K662">_xlfn.IFS(ISBLANK(I662),"FALTANTE",ABS((I662-$W$8)/$X$8)&gt;1.92,"ATÍPICO",ABS((I662-$W$8)/$X$8)&lt;=1.92,"NO ATÍPICO")</f>
        <v>NO ATÍPICO</v>
      </c>
      <c r="L662">
        <f t="shared" si="50"/>
        <v>300000</v>
      </c>
      <c r="M662" t="str">
        <f t="shared" si="54"/>
        <v>TRABAJADOR INDEPENDIENTE</v>
      </c>
      <c r="N662">
        <f t="shared" si="51"/>
        <v>30</v>
      </c>
      <c r="O662" s="19" t="str">
        <f t="shared" si="52"/>
        <v>0–300k</v>
      </c>
      <c r="P662" s="19" t="str">
        <f t="shared" si="53"/>
        <v>26-35</v>
      </c>
    </row>
    <row r="663" spans="1:16" x14ac:dyDescent="0.25">
      <c r="A663">
        <v>662</v>
      </c>
      <c r="B663" t="s">
        <v>9</v>
      </c>
      <c r="C663">
        <v>2425879.86</v>
      </c>
      <c r="D663" t="s">
        <v>10</v>
      </c>
      <c r="E663" t="s">
        <v>16</v>
      </c>
      <c r="F663" t="s">
        <v>12</v>
      </c>
      <c r="G663" t="s">
        <v>13</v>
      </c>
      <c r="H663" t="s">
        <v>13</v>
      </c>
      <c r="I663">
        <v>31</v>
      </c>
      <c r="J663" t="str" cm="1">
        <f t="array" ref="J663">_xlfn.IFS(ISBLANK(C663),"FALTANTE",ABS((C663-$W$5)/$X$5)&gt;1.96,"ATÍPICO",ABS((C663-$W$5)/$X$5)&lt;=1.96,"NO ATÍPICO")</f>
        <v>ATÍPICO</v>
      </c>
      <c r="K663" t="str" cm="1">
        <f t="array" ref="K663">_xlfn.IFS(ISBLANK(I663),"FALTANTE",ABS((I663-$W$8)/$X$8)&gt;1.92,"ATÍPICO",ABS((I663-$W$8)/$X$8)&lt;=1.92,"NO ATÍPICO")</f>
        <v>NO ATÍPICO</v>
      </c>
      <c r="L663">
        <f t="shared" si="50"/>
        <v>2425879.86</v>
      </c>
      <c r="M663" t="str">
        <f t="shared" si="54"/>
        <v>ASALARIADO</v>
      </c>
      <c r="N663">
        <f t="shared" si="51"/>
        <v>31</v>
      </c>
      <c r="O663" s="19" t="str">
        <f t="shared" si="52"/>
        <v>1200k+</v>
      </c>
      <c r="P663" s="19" t="str">
        <f t="shared" si="53"/>
        <v>26-35</v>
      </c>
    </row>
    <row r="664" spans="1:16" x14ac:dyDescent="0.25">
      <c r="A664">
        <v>663</v>
      </c>
      <c r="B664" t="s">
        <v>9</v>
      </c>
      <c r="C664">
        <v>552616.01</v>
      </c>
      <c r="D664" t="s">
        <v>10</v>
      </c>
      <c r="E664" t="s">
        <v>16</v>
      </c>
      <c r="F664" t="s">
        <v>12</v>
      </c>
      <c r="G664" t="s">
        <v>13</v>
      </c>
      <c r="H664" t="s">
        <v>13</v>
      </c>
      <c r="I664">
        <v>30</v>
      </c>
      <c r="J664" t="str" cm="1">
        <f t="array" ref="J664">_xlfn.IFS(ISBLANK(C664),"FALTANTE",ABS((C664-$W$5)/$X$5)&gt;1.96,"ATÍPICO",ABS((C664-$W$5)/$X$5)&lt;=1.96,"NO ATÍPICO")</f>
        <v>NO ATÍPICO</v>
      </c>
      <c r="K664" t="str" cm="1">
        <f t="array" ref="K664">_xlfn.IFS(ISBLANK(I664),"FALTANTE",ABS((I664-$W$8)/$X$8)&gt;1.92,"ATÍPICO",ABS((I664-$W$8)/$X$8)&lt;=1.92,"NO ATÍPICO")</f>
        <v>NO ATÍPICO</v>
      </c>
      <c r="L664">
        <f t="shared" si="50"/>
        <v>552616.01</v>
      </c>
      <c r="M664" t="str">
        <f t="shared" si="54"/>
        <v>ASALARIADO</v>
      </c>
      <c r="N664">
        <f t="shared" si="51"/>
        <v>30</v>
      </c>
      <c r="O664" s="19" t="str">
        <f t="shared" si="52"/>
        <v>300k–600k</v>
      </c>
      <c r="P664" s="19" t="str">
        <f t="shared" si="53"/>
        <v>26-35</v>
      </c>
    </row>
    <row r="665" spans="1:16" x14ac:dyDescent="0.25">
      <c r="A665">
        <v>664</v>
      </c>
      <c r="B665" t="s">
        <v>9</v>
      </c>
      <c r="C665">
        <v>454965.33</v>
      </c>
      <c r="D665" t="s">
        <v>10</v>
      </c>
      <c r="E665" t="s">
        <v>16</v>
      </c>
      <c r="F665" t="s">
        <v>12</v>
      </c>
      <c r="G665" t="s">
        <v>13</v>
      </c>
      <c r="H665" t="s">
        <v>12</v>
      </c>
      <c r="I665">
        <v>48</v>
      </c>
      <c r="J665" t="str" cm="1">
        <f t="array" ref="J665">_xlfn.IFS(ISBLANK(C665),"FALTANTE",ABS((C665-$W$5)/$X$5)&gt;1.96,"ATÍPICO",ABS((C665-$W$5)/$X$5)&lt;=1.96,"NO ATÍPICO")</f>
        <v>NO ATÍPICO</v>
      </c>
      <c r="K665" t="str" cm="1">
        <f t="array" ref="K665">_xlfn.IFS(ISBLANK(I665),"FALTANTE",ABS((I665-$W$8)/$X$8)&gt;1.92,"ATÍPICO",ABS((I665-$W$8)/$X$8)&lt;=1.92,"NO ATÍPICO")</f>
        <v>NO ATÍPICO</v>
      </c>
      <c r="L665">
        <f t="shared" si="50"/>
        <v>454965.33</v>
      </c>
      <c r="M665" t="str">
        <f t="shared" si="54"/>
        <v>ASALARIADO</v>
      </c>
      <c r="N665">
        <f t="shared" si="51"/>
        <v>48</v>
      </c>
      <c r="O665" s="19" t="str">
        <f t="shared" si="52"/>
        <v>300k–600k</v>
      </c>
      <c r="P665" s="19" t="str">
        <f t="shared" si="53"/>
        <v>46-55</v>
      </c>
    </row>
    <row r="666" spans="1:16" x14ac:dyDescent="0.25">
      <c r="A666">
        <v>665</v>
      </c>
      <c r="B666" t="s">
        <v>15</v>
      </c>
      <c r="C666">
        <v>834260</v>
      </c>
      <c r="D666" t="s">
        <v>10</v>
      </c>
      <c r="E666" t="s">
        <v>11</v>
      </c>
      <c r="F666" t="s">
        <v>12</v>
      </c>
      <c r="G666" t="s">
        <v>13</v>
      </c>
      <c r="H666" t="s">
        <v>12</v>
      </c>
      <c r="I666">
        <v>42</v>
      </c>
      <c r="J666" t="str" cm="1">
        <f t="array" ref="J666">_xlfn.IFS(ISBLANK(C666),"FALTANTE",ABS((C666-$W$5)/$X$5)&gt;1.96,"ATÍPICO",ABS((C666-$W$5)/$X$5)&lt;=1.96,"NO ATÍPICO")</f>
        <v>NO ATÍPICO</v>
      </c>
      <c r="K666" t="str" cm="1">
        <f t="array" ref="K666">_xlfn.IFS(ISBLANK(I666),"FALTANTE",ABS((I666-$W$8)/$X$8)&gt;1.92,"ATÍPICO",ABS((I666-$W$8)/$X$8)&lt;=1.92,"NO ATÍPICO")</f>
        <v>NO ATÍPICO</v>
      </c>
      <c r="L666">
        <f t="shared" si="50"/>
        <v>834260</v>
      </c>
      <c r="M666" t="str">
        <f t="shared" si="54"/>
        <v>ASALARIADO</v>
      </c>
      <c r="N666">
        <f t="shared" si="51"/>
        <v>42</v>
      </c>
      <c r="O666" s="19" t="str">
        <f t="shared" si="52"/>
        <v>600k–900k</v>
      </c>
      <c r="P666" s="19" t="str">
        <f t="shared" si="53"/>
        <v>36-45</v>
      </c>
    </row>
    <row r="667" spans="1:16" x14ac:dyDescent="0.25">
      <c r="A667">
        <v>666</v>
      </c>
      <c r="B667" t="s">
        <v>9</v>
      </c>
      <c r="C667">
        <v>329950</v>
      </c>
      <c r="D667" t="s">
        <v>18</v>
      </c>
      <c r="E667" t="s">
        <v>16</v>
      </c>
      <c r="F667" t="s">
        <v>12</v>
      </c>
      <c r="G667" t="s">
        <v>13</v>
      </c>
      <c r="H667" t="s">
        <v>12</v>
      </c>
      <c r="I667">
        <v>41</v>
      </c>
      <c r="J667" t="str" cm="1">
        <f t="array" ref="J667">_xlfn.IFS(ISBLANK(C667),"FALTANTE",ABS((C667-$W$5)/$X$5)&gt;1.96,"ATÍPICO",ABS((C667-$W$5)/$X$5)&lt;=1.96,"NO ATÍPICO")</f>
        <v>NO ATÍPICO</v>
      </c>
      <c r="K667" t="str" cm="1">
        <f t="array" ref="K667">_xlfn.IFS(ISBLANK(I667),"FALTANTE",ABS((I667-$W$8)/$X$8)&gt;1.92,"ATÍPICO",ABS((I667-$W$8)/$X$8)&lt;=1.92,"NO ATÍPICO")</f>
        <v>NO ATÍPICO</v>
      </c>
      <c r="L667">
        <f t="shared" si="50"/>
        <v>329950</v>
      </c>
      <c r="M667" t="str">
        <f t="shared" si="54"/>
        <v>TRABAJADOR INDEPENDIENTE</v>
      </c>
      <c r="N667">
        <f t="shared" si="51"/>
        <v>41</v>
      </c>
      <c r="O667" s="19" t="str">
        <f t="shared" si="52"/>
        <v>300k–600k</v>
      </c>
      <c r="P667" s="19" t="str">
        <f t="shared" si="53"/>
        <v>36-45</v>
      </c>
    </row>
    <row r="668" spans="1:16" x14ac:dyDescent="0.25">
      <c r="A668">
        <v>667</v>
      </c>
      <c r="B668" t="s">
        <v>9</v>
      </c>
      <c r="C668">
        <v>11.98</v>
      </c>
      <c r="D668" t="s">
        <v>10</v>
      </c>
      <c r="E668" t="s">
        <v>16</v>
      </c>
      <c r="F668" t="s">
        <v>12</v>
      </c>
      <c r="G668" t="s">
        <v>13</v>
      </c>
      <c r="H668" t="s">
        <v>13</v>
      </c>
      <c r="I668">
        <v>25</v>
      </c>
      <c r="J668" t="str" cm="1">
        <f t="array" ref="J668">_xlfn.IFS(ISBLANK(C668),"FALTANTE",ABS((C668-$W$5)/$X$5)&gt;1.96,"ATÍPICO",ABS((C668-$W$5)/$X$5)&lt;=1.96,"NO ATÍPICO")</f>
        <v>NO ATÍPICO</v>
      </c>
      <c r="K668" t="str" cm="1">
        <f t="array" ref="K668">_xlfn.IFS(ISBLANK(I668),"FALTANTE",ABS((I668-$W$8)/$X$8)&gt;1.92,"ATÍPICO",ABS((I668-$W$8)/$X$8)&lt;=1.92,"NO ATÍPICO")</f>
        <v>NO ATÍPICO</v>
      </c>
      <c r="L668">
        <f t="shared" si="50"/>
        <v>11.98</v>
      </c>
      <c r="M668" t="str">
        <f t="shared" si="54"/>
        <v>ASALARIADO</v>
      </c>
      <c r="N668">
        <f t="shared" si="51"/>
        <v>25</v>
      </c>
      <c r="O668" s="19" t="str">
        <f t="shared" si="52"/>
        <v>0–300k</v>
      </c>
      <c r="P668" s="19" t="str">
        <f t="shared" si="53"/>
        <v>18-25</v>
      </c>
    </row>
    <row r="669" spans="1:16" x14ac:dyDescent="0.25">
      <c r="A669">
        <v>668</v>
      </c>
      <c r="B669" t="s">
        <v>15</v>
      </c>
      <c r="C669">
        <v>293333.33</v>
      </c>
      <c r="D669" t="s">
        <v>10</v>
      </c>
      <c r="E669" t="s">
        <v>16</v>
      </c>
      <c r="F669" t="s">
        <v>12</v>
      </c>
      <c r="G669" t="s">
        <v>13</v>
      </c>
      <c r="H669" t="s">
        <v>13</v>
      </c>
      <c r="I669">
        <v>24</v>
      </c>
      <c r="J669" t="str" cm="1">
        <f t="array" ref="J669">_xlfn.IFS(ISBLANK(C669),"FALTANTE",ABS((C669-$W$5)/$X$5)&gt;1.96,"ATÍPICO",ABS((C669-$W$5)/$X$5)&lt;=1.96,"NO ATÍPICO")</f>
        <v>NO ATÍPICO</v>
      </c>
      <c r="K669" t="str" cm="1">
        <f t="array" ref="K669">_xlfn.IFS(ISBLANK(I669),"FALTANTE",ABS((I669-$W$8)/$X$8)&gt;1.92,"ATÍPICO",ABS((I669-$W$8)/$X$8)&lt;=1.92,"NO ATÍPICO")</f>
        <v>NO ATÍPICO</v>
      </c>
      <c r="L669">
        <f t="shared" si="50"/>
        <v>293333.33</v>
      </c>
      <c r="M669" t="str">
        <f t="shared" si="54"/>
        <v>ASALARIADO</v>
      </c>
      <c r="N669">
        <f t="shared" si="51"/>
        <v>24</v>
      </c>
      <c r="O669" s="19" t="str">
        <f t="shared" si="52"/>
        <v>0–300k</v>
      </c>
      <c r="P669" s="19" t="str">
        <f t="shared" si="53"/>
        <v>18-25</v>
      </c>
    </row>
    <row r="670" spans="1:16" x14ac:dyDescent="0.25">
      <c r="A670">
        <v>669</v>
      </c>
      <c r="B670" t="s">
        <v>9</v>
      </c>
      <c r="C670">
        <v>580000</v>
      </c>
      <c r="D670" t="s">
        <v>10</v>
      </c>
      <c r="E670" t="s">
        <v>16</v>
      </c>
      <c r="F670" t="s">
        <v>12</v>
      </c>
      <c r="G670" t="s">
        <v>13</v>
      </c>
      <c r="H670" t="s">
        <v>13</v>
      </c>
      <c r="I670">
        <v>36</v>
      </c>
      <c r="J670" t="str" cm="1">
        <f t="array" ref="J670">_xlfn.IFS(ISBLANK(C670),"FALTANTE",ABS((C670-$W$5)/$X$5)&gt;1.96,"ATÍPICO",ABS((C670-$W$5)/$X$5)&lt;=1.96,"NO ATÍPICO")</f>
        <v>NO ATÍPICO</v>
      </c>
      <c r="K670" t="str" cm="1">
        <f t="array" ref="K670">_xlfn.IFS(ISBLANK(I670),"FALTANTE",ABS((I670-$W$8)/$X$8)&gt;1.92,"ATÍPICO",ABS((I670-$W$8)/$X$8)&lt;=1.92,"NO ATÍPICO")</f>
        <v>NO ATÍPICO</v>
      </c>
      <c r="L670">
        <f t="shared" si="50"/>
        <v>580000</v>
      </c>
      <c r="M670" t="str">
        <f t="shared" si="54"/>
        <v>ASALARIADO</v>
      </c>
      <c r="N670">
        <f t="shared" si="51"/>
        <v>36</v>
      </c>
      <c r="O670" s="19" t="str">
        <f t="shared" si="52"/>
        <v>300k–600k</v>
      </c>
      <c r="P670" s="19" t="str">
        <f t="shared" si="53"/>
        <v>36-45</v>
      </c>
    </row>
    <row r="671" spans="1:16" x14ac:dyDescent="0.25">
      <c r="A671">
        <v>670</v>
      </c>
      <c r="B671" t="s">
        <v>15</v>
      </c>
      <c r="C671">
        <v>817600</v>
      </c>
      <c r="D671" t="s">
        <v>10</v>
      </c>
      <c r="E671" t="s">
        <v>16</v>
      </c>
      <c r="F671" t="s">
        <v>12</v>
      </c>
      <c r="G671" t="s">
        <v>13</v>
      </c>
      <c r="H671" t="s">
        <v>13</v>
      </c>
      <c r="I671">
        <v>38</v>
      </c>
      <c r="J671" t="str" cm="1">
        <f t="array" ref="J671">_xlfn.IFS(ISBLANK(C671),"FALTANTE",ABS((C671-$W$5)/$X$5)&gt;1.96,"ATÍPICO",ABS((C671-$W$5)/$X$5)&lt;=1.96,"NO ATÍPICO")</f>
        <v>NO ATÍPICO</v>
      </c>
      <c r="K671" t="str" cm="1">
        <f t="array" ref="K671">_xlfn.IFS(ISBLANK(I671),"FALTANTE",ABS((I671-$W$8)/$X$8)&gt;1.92,"ATÍPICO",ABS((I671-$W$8)/$X$8)&lt;=1.92,"NO ATÍPICO")</f>
        <v>NO ATÍPICO</v>
      </c>
      <c r="L671">
        <f t="shared" si="50"/>
        <v>817600</v>
      </c>
      <c r="M671" t="str">
        <f t="shared" si="54"/>
        <v>ASALARIADO</v>
      </c>
      <c r="N671">
        <f t="shared" si="51"/>
        <v>38</v>
      </c>
      <c r="O671" s="19" t="str">
        <f t="shared" si="52"/>
        <v>600k–900k</v>
      </c>
      <c r="P671" s="19" t="str">
        <f t="shared" si="53"/>
        <v>36-45</v>
      </c>
    </row>
    <row r="672" spans="1:16" x14ac:dyDescent="0.25">
      <c r="A672">
        <v>671</v>
      </c>
      <c r="B672" t="s">
        <v>15</v>
      </c>
      <c r="C672">
        <v>380590.81</v>
      </c>
      <c r="D672" t="s">
        <v>10</v>
      </c>
      <c r="E672" t="s">
        <v>16</v>
      </c>
      <c r="F672" t="s">
        <v>12</v>
      </c>
      <c r="G672" t="s">
        <v>13</v>
      </c>
      <c r="H672" t="s">
        <v>13</v>
      </c>
      <c r="I672">
        <v>33</v>
      </c>
      <c r="J672" t="str" cm="1">
        <f t="array" ref="J672">_xlfn.IFS(ISBLANK(C672),"FALTANTE",ABS((C672-$W$5)/$X$5)&gt;1.96,"ATÍPICO",ABS((C672-$W$5)/$X$5)&lt;=1.96,"NO ATÍPICO")</f>
        <v>NO ATÍPICO</v>
      </c>
      <c r="K672" t="str" cm="1">
        <f t="array" ref="K672">_xlfn.IFS(ISBLANK(I672),"FALTANTE",ABS((I672-$W$8)/$X$8)&gt;1.92,"ATÍPICO",ABS((I672-$W$8)/$X$8)&lt;=1.92,"NO ATÍPICO")</f>
        <v>NO ATÍPICO</v>
      </c>
      <c r="L672">
        <f t="shared" si="50"/>
        <v>380590.81</v>
      </c>
      <c r="M672" t="str">
        <f t="shared" si="54"/>
        <v>ASALARIADO</v>
      </c>
      <c r="N672">
        <f t="shared" si="51"/>
        <v>33</v>
      </c>
      <c r="O672" s="19" t="str">
        <f t="shared" si="52"/>
        <v>300k–600k</v>
      </c>
      <c r="P672" s="19" t="str">
        <f t="shared" si="53"/>
        <v>26-35</v>
      </c>
    </row>
    <row r="673" spans="1:16" x14ac:dyDescent="0.25">
      <c r="A673">
        <v>672</v>
      </c>
      <c r="B673" t="s">
        <v>15</v>
      </c>
      <c r="C673">
        <v>278868</v>
      </c>
      <c r="D673" t="s">
        <v>10</v>
      </c>
      <c r="E673" t="s">
        <v>16</v>
      </c>
      <c r="F673" t="s">
        <v>12</v>
      </c>
      <c r="G673" t="s">
        <v>13</v>
      </c>
      <c r="H673" t="s">
        <v>13</v>
      </c>
      <c r="I673">
        <v>22</v>
      </c>
      <c r="J673" t="str" cm="1">
        <f t="array" ref="J673">_xlfn.IFS(ISBLANK(C673),"FALTANTE",ABS((C673-$W$5)/$X$5)&gt;1.96,"ATÍPICO",ABS((C673-$W$5)/$X$5)&lt;=1.96,"NO ATÍPICO")</f>
        <v>NO ATÍPICO</v>
      </c>
      <c r="K673" t="str" cm="1">
        <f t="array" ref="K673">_xlfn.IFS(ISBLANK(I673),"FALTANTE",ABS((I673-$W$8)/$X$8)&gt;1.92,"ATÍPICO",ABS((I673-$W$8)/$X$8)&lt;=1.92,"NO ATÍPICO")</f>
        <v>NO ATÍPICO</v>
      </c>
      <c r="L673">
        <f t="shared" si="50"/>
        <v>278868</v>
      </c>
      <c r="M673" t="str">
        <f t="shared" si="54"/>
        <v>ASALARIADO</v>
      </c>
      <c r="N673">
        <f t="shared" si="51"/>
        <v>22</v>
      </c>
      <c r="O673" s="19" t="str">
        <f t="shared" si="52"/>
        <v>0–300k</v>
      </c>
      <c r="P673" s="19" t="str">
        <f t="shared" si="53"/>
        <v>18-25</v>
      </c>
    </row>
    <row r="674" spans="1:16" x14ac:dyDescent="0.25">
      <c r="A674">
        <v>673</v>
      </c>
      <c r="B674" t="s">
        <v>9</v>
      </c>
      <c r="C674">
        <v>600538.5</v>
      </c>
      <c r="D674" t="s">
        <v>10</v>
      </c>
      <c r="E674" t="s">
        <v>16</v>
      </c>
      <c r="F674" t="s">
        <v>12</v>
      </c>
      <c r="G674" t="s">
        <v>13</v>
      </c>
      <c r="H674" t="s">
        <v>13</v>
      </c>
      <c r="I674">
        <v>27</v>
      </c>
      <c r="J674" t="str" cm="1">
        <f t="array" ref="J674">_xlfn.IFS(ISBLANK(C674),"FALTANTE",ABS((C674-$W$5)/$X$5)&gt;1.96,"ATÍPICO",ABS((C674-$W$5)/$X$5)&lt;=1.96,"NO ATÍPICO")</f>
        <v>NO ATÍPICO</v>
      </c>
      <c r="K674" t="str" cm="1">
        <f t="array" ref="K674">_xlfn.IFS(ISBLANK(I674),"FALTANTE",ABS((I674-$W$8)/$X$8)&gt;1.92,"ATÍPICO",ABS((I674-$W$8)/$X$8)&lt;=1.92,"NO ATÍPICO")</f>
        <v>NO ATÍPICO</v>
      </c>
      <c r="L674">
        <f t="shared" si="50"/>
        <v>600538.5</v>
      </c>
      <c r="M674" t="str">
        <f t="shared" si="54"/>
        <v>ASALARIADO</v>
      </c>
      <c r="N674">
        <f t="shared" si="51"/>
        <v>27</v>
      </c>
      <c r="O674" s="19" t="str">
        <f t="shared" si="52"/>
        <v>600k–900k</v>
      </c>
      <c r="P674" s="19" t="str">
        <f t="shared" si="53"/>
        <v>26-35</v>
      </c>
    </row>
    <row r="675" spans="1:16" x14ac:dyDescent="0.25">
      <c r="A675">
        <v>674</v>
      </c>
      <c r="B675" t="s">
        <v>9</v>
      </c>
      <c r="C675">
        <v>4764816.1399999997</v>
      </c>
      <c r="D675" t="s">
        <v>10</v>
      </c>
      <c r="E675" t="s">
        <v>16</v>
      </c>
      <c r="F675" t="s">
        <v>12</v>
      </c>
      <c r="G675" t="s">
        <v>12</v>
      </c>
      <c r="H675" t="s">
        <v>13</v>
      </c>
      <c r="I675">
        <v>53</v>
      </c>
      <c r="J675" t="str" cm="1">
        <f t="array" ref="J675">_xlfn.IFS(ISBLANK(C675),"FALTANTE",ABS((C675-$W$5)/$X$5)&gt;1.96,"ATÍPICO",ABS((C675-$W$5)/$X$5)&lt;=1.96,"NO ATÍPICO")</f>
        <v>ATÍPICO</v>
      </c>
      <c r="K675" t="str" cm="1">
        <f t="array" ref="K675">_xlfn.IFS(ISBLANK(I675),"FALTANTE",ABS((I675-$W$8)/$X$8)&gt;1.92,"ATÍPICO",ABS((I675-$W$8)/$X$8)&lt;=1.92,"NO ATÍPICO")</f>
        <v>NO ATÍPICO</v>
      </c>
      <c r="L675">
        <f t="shared" si="50"/>
        <v>4764816.1399999997</v>
      </c>
      <c r="M675" t="str">
        <f t="shared" si="54"/>
        <v>ASALARIADO</v>
      </c>
      <c r="N675">
        <f t="shared" si="51"/>
        <v>53</v>
      </c>
      <c r="O675" s="19" t="str">
        <f t="shared" si="52"/>
        <v>1200k+</v>
      </c>
      <c r="P675" s="19" t="str">
        <f t="shared" si="53"/>
        <v>46-55</v>
      </c>
    </row>
    <row r="676" spans="1:16" x14ac:dyDescent="0.25">
      <c r="A676">
        <v>675</v>
      </c>
      <c r="B676" t="s">
        <v>9</v>
      </c>
      <c r="C676">
        <v>278035</v>
      </c>
      <c r="D676" t="s">
        <v>17</v>
      </c>
      <c r="E676" t="s">
        <v>16</v>
      </c>
      <c r="F676" t="s">
        <v>12</v>
      </c>
      <c r="G676" t="s">
        <v>13</v>
      </c>
      <c r="H676" t="s">
        <v>12</v>
      </c>
      <c r="I676">
        <v>54</v>
      </c>
      <c r="J676" t="str" cm="1">
        <f t="array" ref="J676">_xlfn.IFS(ISBLANK(C676),"FALTANTE",ABS((C676-$W$5)/$X$5)&gt;1.96,"ATÍPICO",ABS((C676-$W$5)/$X$5)&lt;=1.96,"NO ATÍPICO")</f>
        <v>NO ATÍPICO</v>
      </c>
      <c r="K676" t="str" cm="1">
        <f t="array" ref="K676">_xlfn.IFS(ISBLANK(I676),"FALTANTE",ABS((I676-$W$8)/$X$8)&gt;1.92,"ATÍPICO",ABS((I676-$W$8)/$X$8)&lt;=1.92,"NO ATÍPICO")</f>
        <v>NO ATÍPICO</v>
      </c>
      <c r="L676">
        <f t="shared" si="50"/>
        <v>278035</v>
      </c>
      <c r="M676" t="str">
        <f t="shared" si="54"/>
        <v>ASEGURADO VOLUNTARIO</v>
      </c>
      <c r="N676">
        <f t="shared" si="51"/>
        <v>54</v>
      </c>
      <c r="O676" s="19" t="str">
        <f t="shared" si="52"/>
        <v>0–300k</v>
      </c>
      <c r="P676" s="19" t="str">
        <f t="shared" si="53"/>
        <v>46-55</v>
      </c>
    </row>
    <row r="677" spans="1:16" x14ac:dyDescent="0.25">
      <c r="A677">
        <v>676</v>
      </c>
      <c r="B677" t="s">
        <v>15</v>
      </c>
      <c r="C677">
        <v>5215081</v>
      </c>
      <c r="D677" t="s">
        <v>10</v>
      </c>
      <c r="E677" t="s">
        <v>11</v>
      </c>
      <c r="F677" t="s">
        <v>12</v>
      </c>
      <c r="G677" t="s">
        <v>13</v>
      </c>
      <c r="H677" t="s">
        <v>13</v>
      </c>
      <c r="I677">
        <v>65</v>
      </c>
      <c r="J677" t="str" cm="1">
        <f t="array" ref="J677">_xlfn.IFS(ISBLANK(C677),"FALTANTE",ABS((C677-$W$5)/$X$5)&gt;1.96,"ATÍPICO",ABS((C677-$W$5)/$X$5)&lt;=1.96,"NO ATÍPICO")</f>
        <v>ATÍPICO</v>
      </c>
      <c r="K677" t="str" cm="1">
        <f t="array" ref="K677">_xlfn.IFS(ISBLANK(I677),"FALTANTE",ABS((I677-$W$8)/$X$8)&gt;1.92,"ATÍPICO",ABS((I677-$W$8)/$X$8)&lt;=1.92,"NO ATÍPICO")</f>
        <v>NO ATÍPICO</v>
      </c>
      <c r="L677">
        <f t="shared" si="50"/>
        <v>5215081</v>
      </c>
      <c r="M677" t="str">
        <f t="shared" si="54"/>
        <v>ASALARIADO</v>
      </c>
      <c r="N677">
        <f t="shared" si="51"/>
        <v>65</v>
      </c>
      <c r="O677" s="19" t="str">
        <f t="shared" si="52"/>
        <v>1200k+</v>
      </c>
      <c r="P677" s="19" t="str">
        <f t="shared" si="53"/>
        <v>56+</v>
      </c>
    </row>
    <row r="678" spans="1:16" x14ac:dyDescent="0.25">
      <c r="A678">
        <v>677</v>
      </c>
      <c r="B678" t="s">
        <v>9</v>
      </c>
      <c r="C678">
        <v>319600</v>
      </c>
      <c r="D678" t="s">
        <v>10</v>
      </c>
      <c r="E678" t="s">
        <v>16</v>
      </c>
      <c r="F678" t="s">
        <v>12</v>
      </c>
      <c r="G678" t="s">
        <v>13</v>
      </c>
      <c r="H678" t="s">
        <v>13</v>
      </c>
      <c r="I678">
        <v>61</v>
      </c>
      <c r="J678" t="str" cm="1">
        <f t="array" ref="J678">_xlfn.IFS(ISBLANK(C678),"FALTANTE",ABS((C678-$W$5)/$X$5)&gt;1.96,"ATÍPICO",ABS((C678-$W$5)/$X$5)&lt;=1.96,"NO ATÍPICO")</f>
        <v>NO ATÍPICO</v>
      </c>
      <c r="K678" t="str" cm="1">
        <f t="array" ref="K678">_xlfn.IFS(ISBLANK(I678),"FALTANTE",ABS((I678-$W$8)/$X$8)&gt;1.92,"ATÍPICO",ABS((I678-$W$8)/$X$8)&lt;=1.92,"NO ATÍPICO")</f>
        <v>NO ATÍPICO</v>
      </c>
      <c r="L678">
        <f t="shared" si="50"/>
        <v>319600</v>
      </c>
      <c r="M678" t="str">
        <f t="shared" si="54"/>
        <v>ASALARIADO</v>
      </c>
      <c r="N678">
        <f t="shared" si="51"/>
        <v>61</v>
      </c>
      <c r="O678" s="19" t="str">
        <f t="shared" si="52"/>
        <v>300k–600k</v>
      </c>
      <c r="P678" s="19" t="str">
        <f t="shared" si="53"/>
        <v>56+</v>
      </c>
    </row>
    <row r="679" spans="1:16" x14ac:dyDescent="0.25">
      <c r="A679">
        <v>678</v>
      </c>
      <c r="B679" t="s">
        <v>15</v>
      </c>
      <c r="C679">
        <v>152460</v>
      </c>
      <c r="D679" t="s">
        <v>10</v>
      </c>
      <c r="E679" t="s">
        <v>16</v>
      </c>
      <c r="F679" t="s">
        <v>12</v>
      </c>
      <c r="G679" t="s">
        <v>13</v>
      </c>
      <c r="H679" t="s">
        <v>13</v>
      </c>
      <c r="I679">
        <v>65</v>
      </c>
      <c r="J679" t="str" cm="1">
        <f t="array" ref="J679">_xlfn.IFS(ISBLANK(C679),"FALTANTE",ABS((C679-$W$5)/$X$5)&gt;1.96,"ATÍPICO",ABS((C679-$W$5)/$X$5)&lt;=1.96,"NO ATÍPICO")</f>
        <v>NO ATÍPICO</v>
      </c>
      <c r="K679" t="str" cm="1">
        <f t="array" ref="K679">_xlfn.IFS(ISBLANK(I679),"FALTANTE",ABS((I679-$W$8)/$X$8)&gt;1.92,"ATÍPICO",ABS((I679-$W$8)/$X$8)&lt;=1.92,"NO ATÍPICO")</f>
        <v>NO ATÍPICO</v>
      </c>
      <c r="L679">
        <f t="shared" si="50"/>
        <v>152460</v>
      </c>
      <c r="M679" t="str">
        <f t="shared" si="54"/>
        <v>ASALARIADO</v>
      </c>
      <c r="N679">
        <f t="shared" si="51"/>
        <v>65</v>
      </c>
      <c r="O679" s="19" t="str">
        <f t="shared" si="52"/>
        <v>0–300k</v>
      </c>
      <c r="P679" s="19" t="str">
        <f t="shared" si="53"/>
        <v>56+</v>
      </c>
    </row>
    <row r="680" spans="1:16" x14ac:dyDescent="0.25">
      <c r="A680">
        <v>679</v>
      </c>
      <c r="B680" t="s">
        <v>9</v>
      </c>
      <c r="C680">
        <v>608941</v>
      </c>
      <c r="D680" t="s">
        <v>18</v>
      </c>
      <c r="E680" t="s">
        <v>16</v>
      </c>
      <c r="F680" t="s">
        <v>12</v>
      </c>
      <c r="G680" t="s">
        <v>13</v>
      </c>
      <c r="H680" t="s">
        <v>12</v>
      </c>
      <c r="I680">
        <v>45</v>
      </c>
      <c r="J680" t="str" cm="1">
        <f t="array" ref="J680">_xlfn.IFS(ISBLANK(C680),"FALTANTE",ABS((C680-$W$5)/$X$5)&gt;1.96,"ATÍPICO",ABS((C680-$W$5)/$X$5)&lt;=1.96,"NO ATÍPICO")</f>
        <v>NO ATÍPICO</v>
      </c>
      <c r="K680" t="str" cm="1">
        <f t="array" ref="K680">_xlfn.IFS(ISBLANK(I680),"FALTANTE",ABS((I680-$W$8)/$X$8)&gt;1.92,"ATÍPICO",ABS((I680-$W$8)/$X$8)&lt;=1.92,"NO ATÍPICO")</f>
        <v>NO ATÍPICO</v>
      </c>
      <c r="L680">
        <f t="shared" si="50"/>
        <v>608941</v>
      </c>
      <c r="M680" t="str">
        <f t="shared" si="54"/>
        <v>TRABAJADOR INDEPENDIENTE</v>
      </c>
      <c r="N680">
        <f t="shared" si="51"/>
        <v>45</v>
      </c>
      <c r="O680" s="19" t="str">
        <f t="shared" si="52"/>
        <v>600k–900k</v>
      </c>
      <c r="P680" s="19" t="str">
        <f t="shared" si="53"/>
        <v>36-45</v>
      </c>
    </row>
    <row r="681" spans="1:16" x14ac:dyDescent="0.25">
      <c r="A681">
        <v>680</v>
      </c>
      <c r="B681" t="s">
        <v>15</v>
      </c>
      <c r="C681">
        <v>454962.33</v>
      </c>
      <c r="D681" t="s">
        <v>10</v>
      </c>
      <c r="E681" t="s">
        <v>16</v>
      </c>
      <c r="F681" t="s">
        <v>12</v>
      </c>
      <c r="G681" t="s">
        <v>13</v>
      </c>
      <c r="H681" t="s">
        <v>13</v>
      </c>
      <c r="I681">
        <v>44</v>
      </c>
      <c r="J681" t="str" cm="1">
        <f t="array" ref="J681">_xlfn.IFS(ISBLANK(C681),"FALTANTE",ABS((C681-$W$5)/$X$5)&gt;1.96,"ATÍPICO",ABS((C681-$W$5)/$X$5)&lt;=1.96,"NO ATÍPICO")</f>
        <v>NO ATÍPICO</v>
      </c>
      <c r="K681" t="str" cm="1">
        <f t="array" ref="K681">_xlfn.IFS(ISBLANK(I681),"FALTANTE",ABS((I681-$W$8)/$X$8)&gt;1.92,"ATÍPICO",ABS((I681-$W$8)/$X$8)&lt;=1.92,"NO ATÍPICO")</f>
        <v>NO ATÍPICO</v>
      </c>
      <c r="L681">
        <f t="shared" si="50"/>
        <v>454962.33</v>
      </c>
      <c r="M681" t="str">
        <f t="shared" si="54"/>
        <v>ASALARIADO</v>
      </c>
      <c r="N681">
        <f t="shared" si="51"/>
        <v>44</v>
      </c>
      <c r="O681" s="19" t="str">
        <f t="shared" si="52"/>
        <v>300k–600k</v>
      </c>
      <c r="P681" s="19" t="str">
        <f t="shared" si="53"/>
        <v>36-45</v>
      </c>
    </row>
    <row r="682" spans="1:16" x14ac:dyDescent="0.25">
      <c r="A682">
        <v>681</v>
      </c>
      <c r="B682" t="s">
        <v>9</v>
      </c>
      <c r="C682">
        <v>458557</v>
      </c>
      <c r="D682" t="s">
        <v>18</v>
      </c>
      <c r="E682" t="s">
        <v>16</v>
      </c>
      <c r="F682" t="s">
        <v>12</v>
      </c>
      <c r="G682" t="s">
        <v>13</v>
      </c>
      <c r="H682" t="s">
        <v>13</v>
      </c>
      <c r="I682">
        <v>54</v>
      </c>
      <c r="J682" t="str" cm="1">
        <f t="array" ref="J682">_xlfn.IFS(ISBLANK(C682),"FALTANTE",ABS((C682-$W$5)/$X$5)&gt;1.96,"ATÍPICO",ABS((C682-$W$5)/$X$5)&lt;=1.96,"NO ATÍPICO")</f>
        <v>NO ATÍPICO</v>
      </c>
      <c r="K682" t="str" cm="1">
        <f t="array" ref="K682">_xlfn.IFS(ISBLANK(I682),"FALTANTE",ABS((I682-$W$8)/$X$8)&gt;1.92,"ATÍPICO",ABS((I682-$W$8)/$X$8)&lt;=1.92,"NO ATÍPICO")</f>
        <v>NO ATÍPICO</v>
      </c>
      <c r="L682">
        <f t="shared" si="50"/>
        <v>458557</v>
      </c>
      <c r="M682" t="str">
        <f t="shared" si="54"/>
        <v>TRABAJADOR INDEPENDIENTE</v>
      </c>
      <c r="N682">
        <f t="shared" si="51"/>
        <v>54</v>
      </c>
      <c r="O682" s="19" t="str">
        <f t="shared" si="52"/>
        <v>300k–600k</v>
      </c>
      <c r="P682" s="19" t="str">
        <f t="shared" si="53"/>
        <v>46-55</v>
      </c>
    </row>
    <row r="683" spans="1:16" x14ac:dyDescent="0.25">
      <c r="A683">
        <v>682</v>
      </c>
      <c r="B683" t="s">
        <v>15</v>
      </c>
      <c r="C683">
        <v>791538.55</v>
      </c>
      <c r="D683" t="s">
        <v>10</v>
      </c>
      <c r="E683" t="s">
        <v>11</v>
      </c>
      <c r="F683" t="s">
        <v>12</v>
      </c>
      <c r="G683" t="s">
        <v>13</v>
      </c>
      <c r="H683" t="s">
        <v>13</v>
      </c>
      <c r="I683">
        <v>40</v>
      </c>
      <c r="J683" t="str" cm="1">
        <f t="array" ref="J683">_xlfn.IFS(ISBLANK(C683),"FALTANTE",ABS((C683-$W$5)/$X$5)&gt;1.96,"ATÍPICO",ABS((C683-$W$5)/$X$5)&lt;=1.96,"NO ATÍPICO")</f>
        <v>NO ATÍPICO</v>
      </c>
      <c r="K683" t="str" cm="1">
        <f t="array" ref="K683">_xlfn.IFS(ISBLANK(I683),"FALTANTE",ABS((I683-$W$8)/$X$8)&gt;1.92,"ATÍPICO",ABS((I683-$W$8)/$X$8)&lt;=1.92,"NO ATÍPICO")</f>
        <v>NO ATÍPICO</v>
      </c>
      <c r="L683">
        <f t="shared" si="50"/>
        <v>791538.55</v>
      </c>
      <c r="M683" t="str">
        <f t="shared" si="54"/>
        <v>ASALARIADO</v>
      </c>
      <c r="N683">
        <f t="shared" si="51"/>
        <v>40</v>
      </c>
      <c r="O683" s="19" t="str">
        <f t="shared" si="52"/>
        <v>600k–900k</v>
      </c>
      <c r="P683" s="19" t="str">
        <f t="shared" si="53"/>
        <v>36-45</v>
      </c>
    </row>
    <row r="684" spans="1:16" x14ac:dyDescent="0.25">
      <c r="A684">
        <v>683</v>
      </c>
      <c r="B684" t="s">
        <v>9</v>
      </c>
      <c r="C684">
        <v>240000</v>
      </c>
      <c r="D684" t="s">
        <v>10</v>
      </c>
      <c r="E684" t="s">
        <v>16</v>
      </c>
      <c r="F684" t="s">
        <v>12</v>
      </c>
      <c r="G684" t="s">
        <v>13</v>
      </c>
      <c r="H684" t="s">
        <v>13</v>
      </c>
      <c r="I684">
        <v>18</v>
      </c>
      <c r="J684" t="str" cm="1">
        <f t="array" ref="J684">_xlfn.IFS(ISBLANK(C684),"FALTANTE",ABS((C684-$W$5)/$X$5)&gt;1.96,"ATÍPICO",ABS((C684-$W$5)/$X$5)&lt;=1.96,"NO ATÍPICO")</f>
        <v>NO ATÍPICO</v>
      </c>
      <c r="K684" t="str" cm="1">
        <f t="array" ref="K684">_xlfn.IFS(ISBLANK(I684),"FALTANTE",ABS((I684-$W$8)/$X$8)&gt;1.92,"ATÍPICO",ABS((I684-$W$8)/$X$8)&lt;=1.92,"NO ATÍPICO")</f>
        <v>NO ATÍPICO</v>
      </c>
      <c r="L684">
        <f t="shared" si="50"/>
        <v>240000</v>
      </c>
      <c r="M684" t="str">
        <f t="shared" si="54"/>
        <v>ASALARIADO</v>
      </c>
      <c r="N684">
        <f t="shared" si="51"/>
        <v>18</v>
      </c>
      <c r="O684" s="19" t="str">
        <f t="shared" si="52"/>
        <v>0–300k</v>
      </c>
      <c r="P684" s="19" t="str">
        <f t="shared" si="53"/>
        <v>18-25</v>
      </c>
    </row>
    <row r="685" spans="1:16" x14ac:dyDescent="0.25">
      <c r="A685">
        <v>684</v>
      </c>
      <c r="B685" t="s">
        <v>9</v>
      </c>
      <c r="C685">
        <v>278030</v>
      </c>
      <c r="D685" t="s">
        <v>19</v>
      </c>
      <c r="E685" t="s">
        <v>16</v>
      </c>
      <c r="F685" t="s">
        <v>12</v>
      </c>
      <c r="G685" t="s">
        <v>13</v>
      </c>
      <c r="H685" t="s">
        <v>13</v>
      </c>
      <c r="I685">
        <v>52</v>
      </c>
      <c r="J685" t="str" cm="1">
        <f t="array" ref="J685">_xlfn.IFS(ISBLANK(C685),"FALTANTE",ABS((C685-$W$5)/$X$5)&gt;1.96,"ATÍPICO",ABS((C685-$W$5)/$X$5)&lt;=1.96,"NO ATÍPICO")</f>
        <v>NO ATÍPICO</v>
      </c>
      <c r="K685" t="str" cm="1">
        <f t="array" ref="K685">_xlfn.IFS(ISBLANK(I685),"FALTANTE",ABS((I685-$W$8)/$X$8)&gt;1.92,"ATÍPICO",ABS((I685-$W$8)/$X$8)&lt;=1.92,"NO ATÍPICO")</f>
        <v>NO ATÍPICO</v>
      </c>
      <c r="L685">
        <f t="shared" si="50"/>
        <v>278030</v>
      </c>
      <c r="M685" t="str">
        <f t="shared" si="54"/>
        <v>CONVENIOS ESPECIALES DE TRABAJADORES INDEPENDIENTES</v>
      </c>
      <c r="N685">
        <f t="shared" si="51"/>
        <v>52</v>
      </c>
      <c r="O685" s="19" t="str">
        <f t="shared" si="52"/>
        <v>0–300k</v>
      </c>
      <c r="P685" s="19" t="str">
        <f t="shared" si="53"/>
        <v>46-55</v>
      </c>
    </row>
    <row r="686" spans="1:16" x14ac:dyDescent="0.25">
      <c r="A686">
        <v>685</v>
      </c>
      <c r="B686" t="s">
        <v>15</v>
      </c>
      <c r="C686">
        <v>2115710.04</v>
      </c>
      <c r="D686" t="s">
        <v>10</v>
      </c>
      <c r="E686" t="s">
        <v>11</v>
      </c>
      <c r="F686" t="s">
        <v>12</v>
      </c>
      <c r="G686" t="s">
        <v>13</v>
      </c>
      <c r="H686" t="s">
        <v>13</v>
      </c>
      <c r="I686">
        <v>46</v>
      </c>
      <c r="J686" t="str" cm="1">
        <f t="array" ref="J686">_xlfn.IFS(ISBLANK(C686),"FALTANTE",ABS((C686-$W$5)/$X$5)&gt;1.96,"ATÍPICO",ABS((C686-$W$5)/$X$5)&lt;=1.96,"NO ATÍPICO")</f>
        <v>NO ATÍPICO</v>
      </c>
      <c r="K686" t="str" cm="1">
        <f t="array" ref="K686">_xlfn.IFS(ISBLANK(I686),"FALTANTE",ABS((I686-$W$8)/$X$8)&gt;1.92,"ATÍPICO",ABS((I686-$W$8)/$X$8)&lt;=1.92,"NO ATÍPICO")</f>
        <v>NO ATÍPICO</v>
      </c>
      <c r="L686">
        <f t="shared" si="50"/>
        <v>2115710.04</v>
      </c>
      <c r="M686" t="str">
        <f t="shared" si="54"/>
        <v>ASALARIADO</v>
      </c>
      <c r="N686">
        <f t="shared" si="51"/>
        <v>46</v>
      </c>
      <c r="O686" s="19" t="str">
        <f t="shared" si="52"/>
        <v>1200k+</v>
      </c>
      <c r="P686" s="19" t="str">
        <f t="shared" si="53"/>
        <v>46-55</v>
      </c>
    </row>
    <row r="687" spans="1:16" x14ac:dyDescent="0.25">
      <c r="A687">
        <v>686</v>
      </c>
      <c r="B687" t="s">
        <v>15</v>
      </c>
      <c r="C687">
        <v>450000</v>
      </c>
      <c r="D687" t="s">
        <v>10</v>
      </c>
      <c r="E687" t="s">
        <v>16</v>
      </c>
      <c r="F687" t="s">
        <v>12</v>
      </c>
      <c r="G687" t="s">
        <v>13</v>
      </c>
      <c r="H687" t="s">
        <v>13</v>
      </c>
      <c r="I687">
        <v>21</v>
      </c>
      <c r="J687" t="str" cm="1">
        <f t="array" ref="J687">_xlfn.IFS(ISBLANK(C687),"FALTANTE",ABS((C687-$W$5)/$X$5)&gt;1.96,"ATÍPICO",ABS((C687-$W$5)/$X$5)&lt;=1.96,"NO ATÍPICO")</f>
        <v>NO ATÍPICO</v>
      </c>
      <c r="K687" t="str" cm="1">
        <f t="array" ref="K687">_xlfn.IFS(ISBLANK(I687),"FALTANTE",ABS((I687-$W$8)/$X$8)&gt;1.92,"ATÍPICO",ABS((I687-$W$8)/$X$8)&lt;=1.92,"NO ATÍPICO")</f>
        <v>NO ATÍPICO</v>
      </c>
      <c r="L687">
        <f t="shared" si="50"/>
        <v>450000</v>
      </c>
      <c r="M687" t="str">
        <f t="shared" si="54"/>
        <v>ASALARIADO</v>
      </c>
      <c r="N687">
        <f t="shared" si="51"/>
        <v>21</v>
      </c>
      <c r="O687" s="19" t="str">
        <f t="shared" si="52"/>
        <v>300k–600k</v>
      </c>
      <c r="P687" s="19" t="str">
        <f t="shared" si="53"/>
        <v>18-25</v>
      </c>
    </row>
    <row r="688" spans="1:16" x14ac:dyDescent="0.25">
      <c r="A688">
        <v>687</v>
      </c>
      <c r="B688" t="s">
        <v>9</v>
      </c>
      <c r="C688">
        <v>594527</v>
      </c>
      <c r="D688" t="s">
        <v>18</v>
      </c>
      <c r="E688" t="s">
        <v>16</v>
      </c>
      <c r="F688" t="s">
        <v>12</v>
      </c>
      <c r="G688" t="s">
        <v>13</v>
      </c>
      <c r="H688" t="s">
        <v>12</v>
      </c>
      <c r="I688">
        <v>53</v>
      </c>
      <c r="J688" t="str" cm="1">
        <f t="array" ref="J688">_xlfn.IFS(ISBLANK(C688),"FALTANTE",ABS((C688-$W$5)/$X$5)&gt;1.96,"ATÍPICO",ABS((C688-$W$5)/$X$5)&lt;=1.96,"NO ATÍPICO")</f>
        <v>NO ATÍPICO</v>
      </c>
      <c r="K688" t="str" cm="1">
        <f t="array" ref="K688">_xlfn.IFS(ISBLANK(I688),"FALTANTE",ABS((I688-$W$8)/$X$8)&gt;1.92,"ATÍPICO",ABS((I688-$W$8)/$X$8)&lt;=1.92,"NO ATÍPICO")</f>
        <v>NO ATÍPICO</v>
      </c>
      <c r="L688">
        <f t="shared" si="50"/>
        <v>594527</v>
      </c>
      <c r="M688" t="str">
        <f t="shared" si="54"/>
        <v>TRABAJADOR INDEPENDIENTE</v>
      </c>
      <c r="N688">
        <f t="shared" si="51"/>
        <v>53</v>
      </c>
      <c r="O688" s="19" t="str">
        <f t="shared" si="52"/>
        <v>300k–600k</v>
      </c>
      <c r="P688" s="19" t="str">
        <f t="shared" si="53"/>
        <v>46-55</v>
      </c>
    </row>
    <row r="689" spans="1:16" x14ac:dyDescent="0.25">
      <c r="A689">
        <v>688</v>
      </c>
      <c r="B689" t="s">
        <v>9</v>
      </c>
      <c r="C689">
        <v>311895</v>
      </c>
      <c r="D689" t="s">
        <v>18</v>
      </c>
      <c r="E689" t="s">
        <v>16</v>
      </c>
      <c r="F689" t="s">
        <v>12</v>
      </c>
      <c r="G689" t="s">
        <v>13</v>
      </c>
      <c r="H689" t="s">
        <v>12</v>
      </c>
      <c r="I689">
        <v>37</v>
      </c>
      <c r="J689" t="str" cm="1">
        <f t="array" ref="J689">_xlfn.IFS(ISBLANK(C689),"FALTANTE",ABS((C689-$W$5)/$X$5)&gt;1.96,"ATÍPICO",ABS((C689-$W$5)/$X$5)&lt;=1.96,"NO ATÍPICO")</f>
        <v>NO ATÍPICO</v>
      </c>
      <c r="K689" t="str" cm="1">
        <f t="array" ref="K689">_xlfn.IFS(ISBLANK(I689),"FALTANTE",ABS((I689-$W$8)/$X$8)&gt;1.92,"ATÍPICO",ABS((I689-$W$8)/$X$8)&lt;=1.92,"NO ATÍPICO")</f>
        <v>NO ATÍPICO</v>
      </c>
      <c r="L689">
        <f t="shared" si="50"/>
        <v>311895</v>
      </c>
      <c r="M689" t="str">
        <f t="shared" si="54"/>
        <v>TRABAJADOR INDEPENDIENTE</v>
      </c>
      <c r="N689">
        <f t="shared" si="51"/>
        <v>37</v>
      </c>
      <c r="O689" s="19" t="str">
        <f t="shared" si="52"/>
        <v>300k–600k</v>
      </c>
      <c r="P689" s="19" t="str">
        <f t="shared" si="53"/>
        <v>36-45</v>
      </c>
    </row>
    <row r="690" spans="1:16" x14ac:dyDescent="0.25">
      <c r="A690">
        <v>689</v>
      </c>
      <c r="B690" t="s">
        <v>15</v>
      </c>
      <c r="C690">
        <v>360000</v>
      </c>
      <c r="D690" t="s">
        <v>10</v>
      </c>
      <c r="E690" t="s">
        <v>16</v>
      </c>
      <c r="F690" t="s">
        <v>12</v>
      </c>
      <c r="G690" t="s">
        <v>13</v>
      </c>
      <c r="H690" t="s">
        <v>13</v>
      </c>
      <c r="I690">
        <v>52</v>
      </c>
      <c r="J690" t="str" cm="1">
        <f t="array" ref="J690">_xlfn.IFS(ISBLANK(C690),"FALTANTE",ABS((C690-$W$5)/$X$5)&gt;1.96,"ATÍPICO",ABS((C690-$W$5)/$X$5)&lt;=1.96,"NO ATÍPICO")</f>
        <v>NO ATÍPICO</v>
      </c>
      <c r="K690" t="str" cm="1">
        <f t="array" ref="K690">_xlfn.IFS(ISBLANK(I690),"FALTANTE",ABS((I690-$W$8)/$X$8)&gt;1.92,"ATÍPICO",ABS((I690-$W$8)/$X$8)&lt;=1.92,"NO ATÍPICO")</f>
        <v>NO ATÍPICO</v>
      </c>
      <c r="L690">
        <f t="shared" si="50"/>
        <v>360000</v>
      </c>
      <c r="M690" t="str">
        <f t="shared" si="54"/>
        <v>ASALARIADO</v>
      </c>
      <c r="N690">
        <f t="shared" si="51"/>
        <v>52</v>
      </c>
      <c r="O690" s="19" t="str">
        <f t="shared" si="52"/>
        <v>300k–600k</v>
      </c>
      <c r="P690" s="19" t="str">
        <f t="shared" si="53"/>
        <v>46-55</v>
      </c>
    </row>
    <row r="691" spans="1:16" x14ac:dyDescent="0.25">
      <c r="A691">
        <v>690</v>
      </c>
      <c r="B691" t="s">
        <v>15</v>
      </c>
      <c r="C691">
        <v>369131</v>
      </c>
      <c r="D691" t="s">
        <v>18</v>
      </c>
      <c r="E691" t="s">
        <v>16</v>
      </c>
      <c r="F691" t="s">
        <v>12</v>
      </c>
      <c r="G691" t="s">
        <v>13</v>
      </c>
      <c r="H691" t="s">
        <v>13</v>
      </c>
      <c r="I691">
        <v>47</v>
      </c>
      <c r="J691" t="str" cm="1">
        <f t="array" ref="J691">_xlfn.IFS(ISBLANK(C691),"FALTANTE",ABS((C691-$W$5)/$X$5)&gt;1.96,"ATÍPICO",ABS((C691-$W$5)/$X$5)&lt;=1.96,"NO ATÍPICO")</f>
        <v>NO ATÍPICO</v>
      </c>
      <c r="K691" t="str" cm="1">
        <f t="array" ref="K691">_xlfn.IFS(ISBLANK(I691),"FALTANTE",ABS((I691-$W$8)/$X$8)&gt;1.92,"ATÍPICO",ABS((I691-$W$8)/$X$8)&lt;=1.92,"NO ATÍPICO")</f>
        <v>NO ATÍPICO</v>
      </c>
      <c r="L691">
        <f t="shared" si="50"/>
        <v>369131</v>
      </c>
      <c r="M691" t="str">
        <f t="shared" si="54"/>
        <v>TRABAJADOR INDEPENDIENTE</v>
      </c>
      <c r="N691">
        <f t="shared" si="51"/>
        <v>47</v>
      </c>
      <c r="O691" s="19" t="str">
        <f t="shared" si="52"/>
        <v>300k–600k</v>
      </c>
      <c r="P691" s="19" t="str">
        <f t="shared" si="53"/>
        <v>46-55</v>
      </c>
    </row>
    <row r="692" spans="1:16" x14ac:dyDescent="0.25">
      <c r="A692">
        <v>691</v>
      </c>
      <c r="B692" t="s">
        <v>15</v>
      </c>
      <c r="C692">
        <v>1041736</v>
      </c>
      <c r="D692" t="s">
        <v>10</v>
      </c>
      <c r="E692" t="s">
        <v>16</v>
      </c>
      <c r="F692" t="s">
        <v>12</v>
      </c>
      <c r="G692" t="s">
        <v>13</v>
      </c>
      <c r="H692" t="s">
        <v>13</v>
      </c>
      <c r="I692">
        <v>24</v>
      </c>
      <c r="J692" t="str" cm="1">
        <f t="array" ref="J692">_xlfn.IFS(ISBLANK(C692),"FALTANTE",ABS((C692-$W$5)/$X$5)&gt;1.96,"ATÍPICO",ABS((C692-$W$5)/$X$5)&lt;=1.96,"NO ATÍPICO")</f>
        <v>NO ATÍPICO</v>
      </c>
      <c r="K692" t="str" cm="1">
        <f t="array" ref="K692">_xlfn.IFS(ISBLANK(I692),"FALTANTE",ABS((I692-$W$8)/$X$8)&gt;1.92,"ATÍPICO",ABS((I692-$W$8)/$X$8)&lt;=1.92,"NO ATÍPICO")</f>
        <v>NO ATÍPICO</v>
      </c>
      <c r="L692">
        <f t="shared" si="50"/>
        <v>1041736</v>
      </c>
      <c r="M692" t="str">
        <f t="shared" si="54"/>
        <v>ASALARIADO</v>
      </c>
      <c r="N692">
        <f t="shared" si="51"/>
        <v>24</v>
      </c>
      <c r="O692" s="19" t="str">
        <f t="shared" si="52"/>
        <v>900k–1200k</v>
      </c>
      <c r="P692" s="19" t="str">
        <f t="shared" si="53"/>
        <v>18-25</v>
      </c>
    </row>
    <row r="693" spans="1:16" x14ac:dyDescent="0.25">
      <c r="A693">
        <v>692</v>
      </c>
      <c r="B693" t="s">
        <v>9</v>
      </c>
      <c r="C693">
        <v>311895</v>
      </c>
      <c r="D693" t="s">
        <v>18</v>
      </c>
      <c r="E693" t="s">
        <v>16</v>
      </c>
      <c r="F693" t="s">
        <v>12</v>
      </c>
      <c r="G693" t="s">
        <v>13</v>
      </c>
      <c r="H693" t="s">
        <v>13</v>
      </c>
      <c r="I693">
        <v>40</v>
      </c>
      <c r="J693" t="str" cm="1">
        <f t="array" ref="J693">_xlfn.IFS(ISBLANK(C693),"FALTANTE",ABS((C693-$W$5)/$X$5)&gt;1.96,"ATÍPICO",ABS((C693-$W$5)/$X$5)&lt;=1.96,"NO ATÍPICO")</f>
        <v>NO ATÍPICO</v>
      </c>
      <c r="K693" t="str" cm="1">
        <f t="array" ref="K693">_xlfn.IFS(ISBLANK(I693),"FALTANTE",ABS((I693-$W$8)/$X$8)&gt;1.92,"ATÍPICO",ABS((I693-$W$8)/$X$8)&lt;=1.92,"NO ATÍPICO")</f>
        <v>NO ATÍPICO</v>
      </c>
      <c r="L693">
        <f t="shared" si="50"/>
        <v>311895</v>
      </c>
      <c r="M693" t="str">
        <f t="shared" si="54"/>
        <v>TRABAJADOR INDEPENDIENTE</v>
      </c>
      <c r="N693">
        <f t="shared" si="51"/>
        <v>40</v>
      </c>
      <c r="O693" s="19" t="str">
        <f t="shared" si="52"/>
        <v>300k–600k</v>
      </c>
      <c r="P693" s="19" t="str">
        <f t="shared" si="53"/>
        <v>36-45</v>
      </c>
    </row>
    <row r="694" spans="1:16" x14ac:dyDescent="0.25">
      <c r="A694">
        <v>693</v>
      </c>
      <c r="B694" t="s">
        <v>9</v>
      </c>
      <c r="C694">
        <v>1256604.3</v>
      </c>
      <c r="D694" t="s">
        <v>10</v>
      </c>
      <c r="E694" t="s">
        <v>11</v>
      </c>
      <c r="F694" t="s">
        <v>12</v>
      </c>
      <c r="G694" t="s">
        <v>13</v>
      </c>
      <c r="H694" t="s">
        <v>13</v>
      </c>
      <c r="I694">
        <v>36</v>
      </c>
      <c r="J694" t="str" cm="1">
        <f t="array" ref="J694">_xlfn.IFS(ISBLANK(C694),"FALTANTE",ABS((C694-$W$5)/$X$5)&gt;1.96,"ATÍPICO",ABS((C694-$W$5)/$X$5)&lt;=1.96,"NO ATÍPICO")</f>
        <v>NO ATÍPICO</v>
      </c>
      <c r="K694" t="str" cm="1">
        <f t="array" ref="K694">_xlfn.IFS(ISBLANK(I694),"FALTANTE",ABS((I694-$W$8)/$X$8)&gt;1.92,"ATÍPICO",ABS((I694-$W$8)/$X$8)&lt;=1.92,"NO ATÍPICO")</f>
        <v>NO ATÍPICO</v>
      </c>
      <c r="L694">
        <f t="shared" si="50"/>
        <v>1256604.3</v>
      </c>
      <c r="M694" t="str">
        <f t="shared" si="54"/>
        <v>ASALARIADO</v>
      </c>
      <c r="N694">
        <f t="shared" si="51"/>
        <v>36</v>
      </c>
      <c r="O694" s="19" t="str">
        <f t="shared" si="52"/>
        <v>1200k+</v>
      </c>
      <c r="P694" s="19" t="str">
        <f t="shared" si="53"/>
        <v>36-45</v>
      </c>
    </row>
    <row r="695" spans="1:16" x14ac:dyDescent="0.25">
      <c r="A695">
        <v>694</v>
      </c>
      <c r="B695" t="s">
        <v>9</v>
      </c>
      <c r="C695">
        <v>292181.09999999998</v>
      </c>
      <c r="D695" t="s">
        <v>10</v>
      </c>
      <c r="E695" t="s">
        <v>16</v>
      </c>
      <c r="F695" t="s">
        <v>12</v>
      </c>
      <c r="G695" t="s">
        <v>13</v>
      </c>
      <c r="H695" t="s">
        <v>13</v>
      </c>
      <c r="I695">
        <v>42</v>
      </c>
      <c r="J695" t="str" cm="1">
        <f t="array" ref="J695">_xlfn.IFS(ISBLANK(C695),"FALTANTE",ABS((C695-$W$5)/$X$5)&gt;1.96,"ATÍPICO",ABS((C695-$W$5)/$X$5)&lt;=1.96,"NO ATÍPICO")</f>
        <v>NO ATÍPICO</v>
      </c>
      <c r="K695" t="str" cm="1">
        <f t="array" ref="K695">_xlfn.IFS(ISBLANK(I695),"FALTANTE",ABS((I695-$W$8)/$X$8)&gt;1.92,"ATÍPICO",ABS((I695-$W$8)/$X$8)&lt;=1.92,"NO ATÍPICO")</f>
        <v>NO ATÍPICO</v>
      </c>
      <c r="L695">
        <f t="shared" si="50"/>
        <v>292181.09999999998</v>
      </c>
      <c r="M695" t="str">
        <f t="shared" si="54"/>
        <v>ASALARIADO</v>
      </c>
      <c r="N695">
        <f t="shared" si="51"/>
        <v>42</v>
      </c>
      <c r="O695" s="19" t="str">
        <f t="shared" si="52"/>
        <v>0–300k</v>
      </c>
      <c r="P695" s="19" t="str">
        <f t="shared" si="53"/>
        <v>36-45</v>
      </c>
    </row>
    <row r="696" spans="1:16" x14ac:dyDescent="0.25">
      <c r="A696">
        <v>695</v>
      </c>
      <c r="B696" t="s">
        <v>9</v>
      </c>
      <c r="C696">
        <v>643426.84</v>
      </c>
      <c r="D696" t="s">
        <v>10</v>
      </c>
      <c r="E696" t="s">
        <v>11</v>
      </c>
      <c r="F696" t="s">
        <v>12</v>
      </c>
      <c r="G696" t="s">
        <v>13</v>
      </c>
      <c r="H696" t="s">
        <v>13</v>
      </c>
      <c r="I696">
        <v>34</v>
      </c>
      <c r="J696" t="str" cm="1">
        <f t="array" ref="J696">_xlfn.IFS(ISBLANK(C696),"FALTANTE",ABS((C696-$W$5)/$X$5)&gt;1.96,"ATÍPICO",ABS((C696-$W$5)/$X$5)&lt;=1.96,"NO ATÍPICO")</f>
        <v>NO ATÍPICO</v>
      </c>
      <c r="K696" t="str" cm="1">
        <f t="array" ref="K696">_xlfn.IFS(ISBLANK(I696),"FALTANTE",ABS((I696-$W$8)/$X$8)&gt;1.92,"ATÍPICO",ABS((I696-$W$8)/$X$8)&lt;=1.92,"NO ATÍPICO")</f>
        <v>NO ATÍPICO</v>
      </c>
      <c r="L696">
        <f t="shared" si="50"/>
        <v>643426.84</v>
      </c>
      <c r="M696" t="str">
        <f t="shared" si="54"/>
        <v>ASALARIADO</v>
      </c>
      <c r="N696">
        <f t="shared" si="51"/>
        <v>34</v>
      </c>
      <c r="O696" s="19" t="str">
        <f t="shared" si="52"/>
        <v>600k–900k</v>
      </c>
      <c r="P696" s="19" t="str">
        <f t="shared" si="53"/>
        <v>26-35</v>
      </c>
    </row>
    <row r="697" spans="1:16" x14ac:dyDescent="0.25">
      <c r="A697">
        <v>696</v>
      </c>
      <c r="B697" t="s">
        <v>9</v>
      </c>
      <c r="C697">
        <v>377730.1</v>
      </c>
      <c r="D697" t="s">
        <v>10</v>
      </c>
      <c r="E697" t="s">
        <v>16</v>
      </c>
      <c r="F697" t="s">
        <v>12</v>
      </c>
      <c r="G697" t="s">
        <v>13</v>
      </c>
      <c r="H697" t="s">
        <v>13</v>
      </c>
      <c r="I697">
        <v>43</v>
      </c>
      <c r="J697" t="str" cm="1">
        <f t="array" ref="J697">_xlfn.IFS(ISBLANK(C697),"FALTANTE",ABS((C697-$W$5)/$X$5)&gt;1.96,"ATÍPICO",ABS((C697-$W$5)/$X$5)&lt;=1.96,"NO ATÍPICO")</f>
        <v>NO ATÍPICO</v>
      </c>
      <c r="K697" t="str" cm="1">
        <f t="array" ref="K697">_xlfn.IFS(ISBLANK(I697),"FALTANTE",ABS((I697-$W$8)/$X$8)&gt;1.92,"ATÍPICO",ABS((I697-$W$8)/$X$8)&lt;=1.92,"NO ATÍPICO")</f>
        <v>NO ATÍPICO</v>
      </c>
      <c r="L697">
        <f t="shared" si="50"/>
        <v>377730.1</v>
      </c>
      <c r="M697" t="str">
        <f t="shared" si="54"/>
        <v>ASALARIADO</v>
      </c>
      <c r="N697">
        <f t="shared" si="51"/>
        <v>43</v>
      </c>
      <c r="O697" s="19" t="str">
        <f t="shared" si="52"/>
        <v>300k–600k</v>
      </c>
      <c r="P697" s="19" t="str">
        <f t="shared" si="53"/>
        <v>36-45</v>
      </c>
    </row>
    <row r="698" spans="1:16" x14ac:dyDescent="0.25">
      <c r="A698">
        <v>697</v>
      </c>
      <c r="B698" t="s">
        <v>9</v>
      </c>
      <c r="C698">
        <v>326653</v>
      </c>
      <c r="D698" t="s">
        <v>10</v>
      </c>
      <c r="E698" t="s">
        <v>16</v>
      </c>
      <c r="F698" t="s">
        <v>12</v>
      </c>
      <c r="G698" t="s">
        <v>13</v>
      </c>
      <c r="H698" t="s">
        <v>13</v>
      </c>
      <c r="I698">
        <v>53</v>
      </c>
      <c r="J698" t="str" cm="1">
        <f t="array" ref="J698">_xlfn.IFS(ISBLANK(C698),"FALTANTE",ABS((C698-$W$5)/$X$5)&gt;1.96,"ATÍPICO",ABS((C698-$W$5)/$X$5)&lt;=1.96,"NO ATÍPICO")</f>
        <v>NO ATÍPICO</v>
      </c>
      <c r="K698" t="str" cm="1">
        <f t="array" ref="K698">_xlfn.IFS(ISBLANK(I698),"FALTANTE",ABS((I698-$W$8)/$X$8)&gt;1.92,"ATÍPICO",ABS((I698-$W$8)/$X$8)&lt;=1.92,"NO ATÍPICO")</f>
        <v>NO ATÍPICO</v>
      </c>
      <c r="L698">
        <f t="shared" si="50"/>
        <v>326653</v>
      </c>
      <c r="M698" t="str">
        <f t="shared" si="54"/>
        <v>ASALARIADO</v>
      </c>
      <c r="N698">
        <f t="shared" si="51"/>
        <v>53</v>
      </c>
      <c r="O698" s="19" t="str">
        <f t="shared" si="52"/>
        <v>300k–600k</v>
      </c>
      <c r="P698" s="19" t="str">
        <f t="shared" si="53"/>
        <v>46-55</v>
      </c>
    </row>
    <row r="699" spans="1:16" x14ac:dyDescent="0.25">
      <c r="A699">
        <v>698</v>
      </c>
      <c r="B699" t="s">
        <v>9</v>
      </c>
      <c r="C699">
        <v>814289.32</v>
      </c>
      <c r="D699" t="s">
        <v>10</v>
      </c>
      <c r="E699" t="s">
        <v>16</v>
      </c>
      <c r="F699" t="s">
        <v>12</v>
      </c>
      <c r="G699" t="s">
        <v>13</v>
      </c>
      <c r="H699" t="s">
        <v>13</v>
      </c>
      <c r="I699">
        <v>36</v>
      </c>
      <c r="J699" t="str" cm="1">
        <f t="array" ref="J699">_xlfn.IFS(ISBLANK(C699),"FALTANTE",ABS((C699-$W$5)/$X$5)&gt;1.96,"ATÍPICO",ABS((C699-$W$5)/$X$5)&lt;=1.96,"NO ATÍPICO")</f>
        <v>NO ATÍPICO</v>
      </c>
      <c r="K699" t="str" cm="1">
        <f t="array" ref="K699">_xlfn.IFS(ISBLANK(I699),"FALTANTE",ABS((I699-$W$8)/$X$8)&gt;1.92,"ATÍPICO",ABS((I699-$W$8)/$X$8)&lt;=1.92,"NO ATÍPICO")</f>
        <v>NO ATÍPICO</v>
      </c>
      <c r="L699">
        <f t="shared" si="50"/>
        <v>814289.32</v>
      </c>
      <c r="M699" t="str">
        <f t="shared" si="54"/>
        <v>ASALARIADO</v>
      </c>
      <c r="N699">
        <f t="shared" si="51"/>
        <v>36</v>
      </c>
      <c r="O699" s="19" t="str">
        <f t="shared" si="52"/>
        <v>600k–900k</v>
      </c>
      <c r="P699" s="19" t="str">
        <f t="shared" si="53"/>
        <v>36-45</v>
      </c>
    </row>
    <row r="700" spans="1:16" x14ac:dyDescent="0.25">
      <c r="A700">
        <v>699</v>
      </c>
      <c r="B700" t="s">
        <v>9</v>
      </c>
      <c r="C700">
        <v>800000</v>
      </c>
      <c r="D700" t="s">
        <v>10</v>
      </c>
      <c r="E700" t="s">
        <v>16</v>
      </c>
      <c r="F700" t="s">
        <v>12</v>
      </c>
      <c r="G700" t="s">
        <v>13</v>
      </c>
      <c r="H700" t="s">
        <v>13</v>
      </c>
      <c r="I700">
        <v>25</v>
      </c>
      <c r="J700" t="str" cm="1">
        <f t="array" ref="J700">_xlfn.IFS(ISBLANK(C700),"FALTANTE",ABS((C700-$W$5)/$X$5)&gt;1.96,"ATÍPICO",ABS((C700-$W$5)/$X$5)&lt;=1.96,"NO ATÍPICO")</f>
        <v>NO ATÍPICO</v>
      </c>
      <c r="K700" t="str" cm="1">
        <f t="array" ref="K700">_xlfn.IFS(ISBLANK(I700),"FALTANTE",ABS((I700-$W$8)/$X$8)&gt;1.92,"ATÍPICO",ABS((I700-$W$8)/$X$8)&lt;=1.92,"NO ATÍPICO")</f>
        <v>NO ATÍPICO</v>
      </c>
      <c r="L700">
        <f t="shared" si="50"/>
        <v>800000</v>
      </c>
      <c r="M700" t="str">
        <f t="shared" si="54"/>
        <v>ASALARIADO</v>
      </c>
      <c r="N700">
        <f t="shared" si="51"/>
        <v>25</v>
      </c>
      <c r="O700" s="19" t="str">
        <f t="shared" si="52"/>
        <v>600k–900k</v>
      </c>
      <c r="P700" s="19" t="str">
        <f t="shared" si="53"/>
        <v>18-25</v>
      </c>
    </row>
    <row r="701" spans="1:16" x14ac:dyDescent="0.25">
      <c r="A701">
        <v>700</v>
      </c>
      <c r="B701" t="s">
        <v>9</v>
      </c>
      <c r="C701">
        <v>127421.77</v>
      </c>
      <c r="D701" t="s">
        <v>10</v>
      </c>
      <c r="E701" t="s">
        <v>16</v>
      </c>
      <c r="F701" t="s">
        <v>12</v>
      </c>
      <c r="G701" t="s">
        <v>13</v>
      </c>
      <c r="H701" t="s">
        <v>13</v>
      </c>
      <c r="I701">
        <v>49</v>
      </c>
      <c r="J701" t="str" cm="1">
        <f t="array" ref="J701">_xlfn.IFS(ISBLANK(C701),"FALTANTE",ABS((C701-$W$5)/$X$5)&gt;1.96,"ATÍPICO",ABS((C701-$W$5)/$X$5)&lt;=1.96,"NO ATÍPICO")</f>
        <v>NO ATÍPICO</v>
      </c>
      <c r="K701" t="str" cm="1">
        <f t="array" ref="K701">_xlfn.IFS(ISBLANK(I701),"FALTANTE",ABS((I701-$W$8)/$X$8)&gt;1.92,"ATÍPICO",ABS((I701-$W$8)/$X$8)&lt;=1.92,"NO ATÍPICO")</f>
        <v>NO ATÍPICO</v>
      </c>
      <c r="L701">
        <f t="shared" si="50"/>
        <v>127421.77</v>
      </c>
      <c r="M701" t="str">
        <f t="shared" si="54"/>
        <v>ASALARIADO</v>
      </c>
      <c r="N701">
        <f t="shared" si="51"/>
        <v>49</v>
      </c>
      <c r="O701" s="19" t="str">
        <f t="shared" si="52"/>
        <v>0–300k</v>
      </c>
      <c r="P701" s="19" t="str">
        <f t="shared" si="53"/>
        <v>46-55</v>
      </c>
    </row>
    <row r="702" spans="1:16" x14ac:dyDescent="0.25">
      <c r="A702">
        <v>701</v>
      </c>
      <c r="B702" t="s">
        <v>9</v>
      </c>
      <c r="C702">
        <v>278030</v>
      </c>
      <c r="D702" t="s">
        <v>19</v>
      </c>
      <c r="E702" t="s">
        <v>16</v>
      </c>
      <c r="F702" t="s">
        <v>12</v>
      </c>
      <c r="G702" t="s">
        <v>13</v>
      </c>
      <c r="H702" t="s">
        <v>13</v>
      </c>
      <c r="I702">
        <v>40</v>
      </c>
      <c r="J702" t="str" cm="1">
        <f t="array" ref="J702">_xlfn.IFS(ISBLANK(C702),"FALTANTE",ABS((C702-$W$5)/$X$5)&gt;1.96,"ATÍPICO",ABS((C702-$W$5)/$X$5)&lt;=1.96,"NO ATÍPICO")</f>
        <v>NO ATÍPICO</v>
      </c>
      <c r="K702" t="str" cm="1">
        <f t="array" ref="K702">_xlfn.IFS(ISBLANK(I702),"FALTANTE",ABS((I702-$W$8)/$X$8)&gt;1.92,"ATÍPICO",ABS((I702-$W$8)/$X$8)&lt;=1.92,"NO ATÍPICO")</f>
        <v>NO ATÍPICO</v>
      </c>
      <c r="L702">
        <f t="shared" si="50"/>
        <v>278030</v>
      </c>
      <c r="M702" t="str">
        <f t="shared" si="54"/>
        <v>CONVENIOS ESPECIALES DE TRABAJADORES INDEPENDIENTES</v>
      </c>
      <c r="N702">
        <f t="shared" si="51"/>
        <v>40</v>
      </c>
      <c r="O702" s="19" t="str">
        <f t="shared" si="52"/>
        <v>0–300k</v>
      </c>
      <c r="P702" s="19" t="str">
        <f t="shared" si="53"/>
        <v>36-45</v>
      </c>
    </row>
    <row r="703" spans="1:16" x14ac:dyDescent="0.25">
      <c r="A703">
        <v>702</v>
      </c>
      <c r="B703" t="s">
        <v>9</v>
      </c>
      <c r="C703">
        <v>1120849.99</v>
      </c>
      <c r="D703" t="s">
        <v>14</v>
      </c>
      <c r="E703" t="s">
        <v>11</v>
      </c>
      <c r="F703" t="s">
        <v>12</v>
      </c>
      <c r="G703" t="s">
        <v>13</v>
      </c>
      <c r="H703" t="s">
        <v>13</v>
      </c>
      <c r="I703">
        <v>63</v>
      </c>
      <c r="J703" t="str" cm="1">
        <f t="array" ref="J703">_xlfn.IFS(ISBLANK(C703),"FALTANTE",ABS((C703-$W$5)/$X$5)&gt;1.96,"ATÍPICO",ABS((C703-$W$5)/$X$5)&lt;=1.96,"NO ATÍPICO")</f>
        <v>NO ATÍPICO</v>
      </c>
      <c r="K703" t="str" cm="1">
        <f t="array" ref="K703">_xlfn.IFS(ISBLANK(I703),"FALTANTE",ABS((I703-$W$8)/$X$8)&gt;1.92,"ATÍPICO",ABS((I703-$W$8)/$X$8)&lt;=1.92,"NO ATÍPICO")</f>
        <v>NO ATÍPICO</v>
      </c>
      <c r="L703">
        <f t="shared" si="50"/>
        <v>1120849.99</v>
      </c>
      <c r="M703" t="str">
        <f t="shared" si="54"/>
        <v>PENSIONADOS EN SU PROPIO SISTEMA</v>
      </c>
      <c r="N703">
        <f t="shared" si="51"/>
        <v>63</v>
      </c>
      <c r="O703" s="19" t="str">
        <f t="shared" si="52"/>
        <v>900k–1200k</v>
      </c>
      <c r="P703" s="19" t="str">
        <f t="shared" si="53"/>
        <v>56+</v>
      </c>
    </row>
    <row r="704" spans="1:16" x14ac:dyDescent="0.25">
      <c r="A704">
        <v>703</v>
      </c>
      <c r="B704" t="s">
        <v>15</v>
      </c>
      <c r="C704">
        <v>297078</v>
      </c>
      <c r="D704" t="s">
        <v>10</v>
      </c>
      <c r="E704" t="s">
        <v>16</v>
      </c>
      <c r="F704" t="s">
        <v>12</v>
      </c>
      <c r="G704" t="s">
        <v>13</v>
      </c>
      <c r="H704" t="s">
        <v>13</v>
      </c>
      <c r="I704">
        <v>26</v>
      </c>
      <c r="J704" t="str" cm="1">
        <f t="array" ref="J704">_xlfn.IFS(ISBLANK(C704),"FALTANTE",ABS((C704-$W$5)/$X$5)&gt;1.96,"ATÍPICO",ABS((C704-$W$5)/$X$5)&lt;=1.96,"NO ATÍPICO")</f>
        <v>NO ATÍPICO</v>
      </c>
      <c r="K704" t="str" cm="1">
        <f t="array" ref="K704">_xlfn.IFS(ISBLANK(I704),"FALTANTE",ABS((I704-$W$8)/$X$8)&gt;1.92,"ATÍPICO",ABS((I704-$W$8)/$X$8)&lt;=1.92,"NO ATÍPICO")</f>
        <v>NO ATÍPICO</v>
      </c>
      <c r="L704">
        <f t="shared" si="50"/>
        <v>297078</v>
      </c>
      <c r="M704" t="str">
        <f t="shared" si="54"/>
        <v>ASALARIADO</v>
      </c>
      <c r="N704">
        <f t="shared" si="51"/>
        <v>26</v>
      </c>
      <c r="O704" s="19" t="str">
        <f t="shared" si="52"/>
        <v>0–300k</v>
      </c>
      <c r="P704" s="19" t="str">
        <f t="shared" si="53"/>
        <v>26-35</v>
      </c>
    </row>
    <row r="705" spans="1:16" x14ac:dyDescent="0.25">
      <c r="A705">
        <v>704</v>
      </c>
      <c r="B705" t="s">
        <v>15</v>
      </c>
      <c r="C705">
        <v>890323</v>
      </c>
      <c r="D705" t="s">
        <v>10</v>
      </c>
      <c r="E705" t="s">
        <v>11</v>
      </c>
      <c r="F705" t="s">
        <v>12</v>
      </c>
      <c r="G705" t="s">
        <v>13</v>
      </c>
      <c r="H705" t="s">
        <v>13</v>
      </c>
      <c r="I705">
        <v>39</v>
      </c>
      <c r="J705" t="str" cm="1">
        <f t="array" ref="J705">_xlfn.IFS(ISBLANK(C705),"FALTANTE",ABS((C705-$W$5)/$X$5)&gt;1.96,"ATÍPICO",ABS((C705-$W$5)/$X$5)&lt;=1.96,"NO ATÍPICO")</f>
        <v>NO ATÍPICO</v>
      </c>
      <c r="K705" t="str" cm="1">
        <f t="array" ref="K705">_xlfn.IFS(ISBLANK(I705),"FALTANTE",ABS((I705-$W$8)/$X$8)&gt;1.92,"ATÍPICO",ABS((I705-$W$8)/$X$8)&lt;=1.92,"NO ATÍPICO")</f>
        <v>NO ATÍPICO</v>
      </c>
      <c r="L705">
        <f t="shared" si="50"/>
        <v>890323</v>
      </c>
      <c r="M705" t="str">
        <f t="shared" si="54"/>
        <v>ASALARIADO</v>
      </c>
      <c r="N705">
        <f t="shared" si="51"/>
        <v>39</v>
      </c>
      <c r="O705" s="19" t="str">
        <f t="shared" si="52"/>
        <v>600k–900k</v>
      </c>
      <c r="P705" s="19" t="str">
        <f t="shared" si="53"/>
        <v>36-45</v>
      </c>
    </row>
    <row r="706" spans="1:16" x14ac:dyDescent="0.25">
      <c r="A706">
        <v>705</v>
      </c>
      <c r="B706" t="s">
        <v>9</v>
      </c>
      <c r="C706">
        <v>387953</v>
      </c>
      <c r="D706" t="s">
        <v>18</v>
      </c>
      <c r="E706" t="s">
        <v>16</v>
      </c>
      <c r="F706" t="s">
        <v>12</v>
      </c>
      <c r="G706" t="s">
        <v>12</v>
      </c>
      <c r="H706" t="s">
        <v>12</v>
      </c>
      <c r="I706">
        <v>39</v>
      </c>
      <c r="J706" t="str" cm="1">
        <f t="array" ref="J706">_xlfn.IFS(ISBLANK(C706),"FALTANTE",ABS((C706-$W$5)/$X$5)&gt;1.96,"ATÍPICO",ABS((C706-$W$5)/$X$5)&lt;=1.96,"NO ATÍPICO")</f>
        <v>NO ATÍPICO</v>
      </c>
      <c r="K706" t="str" cm="1">
        <f t="array" ref="K706">_xlfn.IFS(ISBLANK(I706),"FALTANTE",ABS((I706-$W$8)/$X$8)&gt;1.92,"ATÍPICO",ABS((I706-$W$8)/$X$8)&lt;=1.92,"NO ATÍPICO")</f>
        <v>NO ATÍPICO</v>
      </c>
      <c r="L706">
        <f t="shared" ref="L706:L769" si="55">C706</f>
        <v>387953</v>
      </c>
      <c r="M706" t="str">
        <f t="shared" si="54"/>
        <v>TRABAJADOR INDEPENDIENTE</v>
      </c>
      <c r="N706">
        <f t="shared" ref="N706:N769" si="56">I706</f>
        <v>39</v>
      </c>
      <c r="O706" s="19" t="str">
        <f t="shared" ref="O706:O769" si="57">IF(L706&lt;=300000,"0–300k",IF(L706&lt;=600000,"300k–600k",IF(L706&lt;=900000,"600k–900k",IF(L706&lt;=1200000,"900k–1200k","1200k+"))))</f>
        <v>300k–600k</v>
      </c>
      <c r="P706" s="19" t="str">
        <f t="shared" ref="P706:P769" si="58">IF(N706 &lt;=25,"18-25", IF(N706&lt;=35,"26-35", IF(N706 &lt;=45,"36-45", IF(N706&lt;=55,"46-55","56+"))))</f>
        <v>36-45</v>
      </c>
    </row>
    <row r="707" spans="1:16" x14ac:dyDescent="0.25">
      <c r="A707">
        <v>706</v>
      </c>
      <c r="B707" t="s">
        <v>9</v>
      </c>
      <c r="C707">
        <v>148360</v>
      </c>
      <c r="D707" t="s">
        <v>10</v>
      </c>
      <c r="E707" t="s">
        <v>16</v>
      </c>
      <c r="F707" t="s">
        <v>12</v>
      </c>
      <c r="G707" t="s">
        <v>13</v>
      </c>
      <c r="H707" t="s">
        <v>13</v>
      </c>
      <c r="I707">
        <v>58</v>
      </c>
      <c r="J707" t="str" cm="1">
        <f t="array" ref="J707">_xlfn.IFS(ISBLANK(C707),"FALTANTE",ABS((C707-$W$5)/$X$5)&gt;1.96,"ATÍPICO",ABS((C707-$W$5)/$X$5)&lt;=1.96,"NO ATÍPICO")</f>
        <v>NO ATÍPICO</v>
      </c>
      <c r="K707" t="str" cm="1">
        <f t="array" ref="K707">_xlfn.IFS(ISBLANK(I707),"FALTANTE",ABS((I707-$W$8)/$X$8)&gt;1.92,"ATÍPICO",ABS((I707-$W$8)/$X$8)&lt;=1.92,"NO ATÍPICO")</f>
        <v>NO ATÍPICO</v>
      </c>
      <c r="L707">
        <f t="shared" si="55"/>
        <v>148360</v>
      </c>
      <c r="M707" t="str">
        <f t="shared" si="54"/>
        <v>ASALARIADO</v>
      </c>
      <c r="N707">
        <f t="shared" si="56"/>
        <v>58</v>
      </c>
      <c r="O707" s="19" t="str">
        <f t="shared" si="57"/>
        <v>0–300k</v>
      </c>
      <c r="P707" s="19" t="str">
        <f t="shared" si="58"/>
        <v>56+</v>
      </c>
    </row>
    <row r="708" spans="1:16" x14ac:dyDescent="0.25">
      <c r="A708">
        <v>707</v>
      </c>
      <c r="B708" t="s">
        <v>15</v>
      </c>
      <c r="C708">
        <v>337511.75</v>
      </c>
      <c r="D708" t="s">
        <v>10</v>
      </c>
      <c r="E708" t="s">
        <v>11</v>
      </c>
      <c r="F708" t="s">
        <v>12</v>
      </c>
      <c r="G708" t="s">
        <v>13</v>
      </c>
      <c r="H708" t="s">
        <v>13</v>
      </c>
      <c r="I708">
        <v>30</v>
      </c>
      <c r="J708" t="str" cm="1">
        <f t="array" ref="J708">_xlfn.IFS(ISBLANK(C708),"FALTANTE",ABS((C708-$W$5)/$X$5)&gt;1.96,"ATÍPICO",ABS((C708-$W$5)/$X$5)&lt;=1.96,"NO ATÍPICO")</f>
        <v>NO ATÍPICO</v>
      </c>
      <c r="K708" t="str" cm="1">
        <f t="array" ref="K708">_xlfn.IFS(ISBLANK(I708),"FALTANTE",ABS((I708-$W$8)/$X$8)&gt;1.92,"ATÍPICO",ABS((I708-$W$8)/$X$8)&lt;=1.92,"NO ATÍPICO")</f>
        <v>NO ATÍPICO</v>
      </c>
      <c r="L708">
        <f t="shared" si="55"/>
        <v>337511.75</v>
      </c>
      <c r="M708" t="str">
        <f t="shared" ref="M708:M771" si="59">D708</f>
        <v>ASALARIADO</v>
      </c>
      <c r="N708">
        <f t="shared" si="56"/>
        <v>30</v>
      </c>
      <c r="O708" s="19" t="str">
        <f t="shared" si="57"/>
        <v>300k–600k</v>
      </c>
      <c r="P708" s="19" t="str">
        <f t="shared" si="58"/>
        <v>26-35</v>
      </c>
    </row>
    <row r="709" spans="1:16" x14ac:dyDescent="0.25">
      <c r="A709">
        <v>708</v>
      </c>
      <c r="B709" t="s">
        <v>15</v>
      </c>
      <c r="C709">
        <v>223874</v>
      </c>
      <c r="D709" t="s">
        <v>10</v>
      </c>
      <c r="E709" t="s">
        <v>16</v>
      </c>
      <c r="F709" t="s">
        <v>12</v>
      </c>
      <c r="G709" t="s">
        <v>13</v>
      </c>
      <c r="H709" t="s">
        <v>13</v>
      </c>
      <c r="I709">
        <v>58</v>
      </c>
      <c r="J709" t="str" cm="1">
        <f t="array" ref="J709">_xlfn.IFS(ISBLANK(C709),"FALTANTE",ABS((C709-$W$5)/$X$5)&gt;1.96,"ATÍPICO",ABS((C709-$W$5)/$X$5)&lt;=1.96,"NO ATÍPICO")</f>
        <v>NO ATÍPICO</v>
      </c>
      <c r="K709" t="str" cm="1">
        <f t="array" ref="K709">_xlfn.IFS(ISBLANK(I709),"FALTANTE",ABS((I709-$W$8)/$X$8)&gt;1.92,"ATÍPICO",ABS((I709-$W$8)/$X$8)&lt;=1.92,"NO ATÍPICO")</f>
        <v>NO ATÍPICO</v>
      </c>
      <c r="L709">
        <f t="shared" si="55"/>
        <v>223874</v>
      </c>
      <c r="M709" t="str">
        <f t="shared" si="59"/>
        <v>ASALARIADO</v>
      </c>
      <c r="N709">
        <f t="shared" si="56"/>
        <v>58</v>
      </c>
      <c r="O709" s="19" t="str">
        <f t="shared" si="57"/>
        <v>0–300k</v>
      </c>
      <c r="P709" s="19" t="str">
        <f t="shared" si="58"/>
        <v>56+</v>
      </c>
    </row>
    <row r="710" spans="1:16" x14ac:dyDescent="0.25">
      <c r="A710">
        <v>709</v>
      </c>
      <c r="B710" t="s">
        <v>9</v>
      </c>
      <c r="C710">
        <v>351531.84</v>
      </c>
      <c r="D710" t="s">
        <v>10</v>
      </c>
      <c r="E710" t="s">
        <v>16</v>
      </c>
      <c r="F710" t="s">
        <v>12</v>
      </c>
      <c r="G710" t="s">
        <v>13</v>
      </c>
      <c r="H710" t="s">
        <v>13</v>
      </c>
      <c r="I710">
        <v>26</v>
      </c>
      <c r="J710" t="str" cm="1">
        <f t="array" ref="J710">_xlfn.IFS(ISBLANK(C710),"FALTANTE",ABS((C710-$W$5)/$X$5)&gt;1.96,"ATÍPICO",ABS((C710-$W$5)/$X$5)&lt;=1.96,"NO ATÍPICO")</f>
        <v>NO ATÍPICO</v>
      </c>
      <c r="K710" t="str" cm="1">
        <f t="array" ref="K710">_xlfn.IFS(ISBLANK(I710),"FALTANTE",ABS((I710-$W$8)/$X$8)&gt;1.92,"ATÍPICO",ABS((I710-$W$8)/$X$8)&lt;=1.92,"NO ATÍPICO")</f>
        <v>NO ATÍPICO</v>
      </c>
      <c r="L710">
        <f t="shared" si="55"/>
        <v>351531.84</v>
      </c>
      <c r="M710" t="str">
        <f t="shared" si="59"/>
        <v>ASALARIADO</v>
      </c>
      <c r="N710">
        <f t="shared" si="56"/>
        <v>26</v>
      </c>
      <c r="O710" s="19" t="str">
        <f t="shared" si="57"/>
        <v>300k–600k</v>
      </c>
      <c r="P710" s="19" t="str">
        <f t="shared" si="58"/>
        <v>26-35</v>
      </c>
    </row>
    <row r="711" spans="1:16" x14ac:dyDescent="0.25">
      <c r="A711">
        <v>710</v>
      </c>
      <c r="B711" t="s">
        <v>15</v>
      </c>
      <c r="C711">
        <v>300018</v>
      </c>
      <c r="D711" t="s">
        <v>18</v>
      </c>
      <c r="E711" t="s">
        <v>16</v>
      </c>
      <c r="F711" t="s">
        <v>12</v>
      </c>
      <c r="G711" t="s">
        <v>12</v>
      </c>
      <c r="H711" t="s">
        <v>12</v>
      </c>
      <c r="I711">
        <v>38</v>
      </c>
      <c r="J711" t="str" cm="1">
        <f t="array" ref="J711">_xlfn.IFS(ISBLANK(C711),"FALTANTE",ABS((C711-$W$5)/$X$5)&gt;1.96,"ATÍPICO",ABS((C711-$W$5)/$X$5)&lt;=1.96,"NO ATÍPICO")</f>
        <v>NO ATÍPICO</v>
      </c>
      <c r="K711" t="str" cm="1">
        <f t="array" ref="K711">_xlfn.IFS(ISBLANK(I711),"FALTANTE",ABS((I711-$W$8)/$X$8)&gt;1.92,"ATÍPICO",ABS((I711-$W$8)/$X$8)&lt;=1.92,"NO ATÍPICO")</f>
        <v>NO ATÍPICO</v>
      </c>
      <c r="L711">
        <f t="shared" si="55"/>
        <v>300018</v>
      </c>
      <c r="M711" t="str">
        <f t="shared" si="59"/>
        <v>TRABAJADOR INDEPENDIENTE</v>
      </c>
      <c r="N711">
        <f t="shared" si="56"/>
        <v>38</v>
      </c>
      <c r="O711" s="19" t="str">
        <f t="shared" si="57"/>
        <v>300k–600k</v>
      </c>
      <c r="P711" s="19" t="str">
        <f t="shared" si="58"/>
        <v>36-45</v>
      </c>
    </row>
    <row r="712" spans="1:16" x14ac:dyDescent="0.25">
      <c r="A712">
        <v>711</v>
      </c>
      <c r="B712" t="s">
        <v>9</v>
      </c>
      <c r="C712">
        <v>8081401.7800000003</v>
      </c>
      <c r="D712" t="s">
        <v>10</v>
      </c>
      <c r="E712" t="s">
        <v>16</v>
      </c>
      <c r="F712" t="s">
        <v>12</v>
      </c>
      <c r="G712" t="s">
        <v>13</v>
      </c>
      <c r="H712" t="s">
        <v>13</v>
      </c>
      <c r="I712">
        <v>34</v>
      </c>
      <c r="J712" t="str" cm="1">
        <f t="array" ref="J712">_xlfn.IFS(ISBLANK(C712),"FALTANTE",ABS((C712-$W$5)/$X$5)&gt;1.96,"ATÍPICO",ABS((C712-$W$5)/$X$5)&lt;=1.96,"NO ATÍPICO")</f>
        <v>ATÍPICO</v>
      </c>
      <c r="K712" t="str" cm="1">
        <f t="array" ref="K712">_xlfn.IFS(ISBLANK(I712),"FALTANTE",ABS((I712-$W$8)/$X$8)&gt;1.92,"ATÍPICO",ABS((I712-$W$8)/$X$8)&lt;=1.92,"NO ATÍPICO")</f>
        <v>NO ATÍPICO</v>
      </c>
      <c r="L712">
        <f t="shared" si="55"/>
        <v>8081401.7800000003</v>
      </c>
      <c r="M712" t="str">
        <f t="shared" si="59"/>
        <v>ASALARIADO</v>
      </c>
      <c r="N712">
        <f t="shared" si="56"/>
        <v>34</v>
      </c>
      <c r="O712" s="19" t="str">
        <f t="shared" si="57"/>
        <v>1200k+</v>
      </c>
      <c r="P712" s="19" t="str">
        <f t="shared" si="58"/>
        <v>26-35</v>
      </c>
    </row>
    <row r="713" spans="1:16" x14ac:dyDescent="0.25">
      <c r="A713">
        <v>712</v>
      </c>
      <c r="B713" t="s">
        <v>15</v>
      </c>
      <c r="C713">
        <v>244860</v>
      </c>
      <c r="D713" t="s">
        <v>10</v>
      </c>
      <c r="E713" t="s">
        <v>16</v>
      </c>
      <c r="F713" t="s">
        <v>12</v>
      </c>
      <c r="G713" t="s">
        <v>13</v>
      </c>
      <c r="H713" t="s">
        <v>13</v>
      </c>
      <c r="I713">
        <v>56</v>
      </c>
      <c r="J713" t="str" cm="1">
        <f t="array" ref="J713">_xlfn.IFS(ISBLANK(C713),"FALTANTE",ABS((C713-$W$5)/$X$5)&gt;1.96,"ATÍPICO",ABS((C713-$W$5)/$X$5)&lt;=1.96,"NO ATÍPICO")</f>
        <v>NO ATÍPICO</v>
      </c>
      <c r="K713" t="str" cm="1">
        <f t="array" ref="K713">_xlfn.IFS(ISBLANK(I713),"FALTANTE",ABS((I713-$W$8)/$X$8)&gt;1.92,"ATÍPICO",ABS((I713-$W$8)/$X$8)&lt;=1.92,"NO ATÍPICO")</f>
        <v>NO ATÍPICO</v>
      </c>
      <c r="L713">
        <f t="shared" si="55"/>
        <v>244860</v>
      </c>
      <c r="M713" t="str">
        <f t="shared" si="59"/>
        <v>ASALARIADO</v>
      </c>
      <c r="N713">
        <f t="shared" si="56"/>
        <v>56</v>
      </c>
      <c r="O713" s="19" t="str">
        <f t="shared" si="57"/>
        <v>0–300k</v>
      </c>
      <c r="P713" s="19" t="str">
        <f t="shared" si="58"/>
        <v>56+</v>
      </c>
    </row>
    <row r="714" spans="1:16" x14ac:dyDescent="0.25">
      <c r="A714">
        <v>713</v>
      </c>
      <c r="B714" t="s">
        <v>9</v>
      </c>
      <c r="C714">
        <v>278030.99</v>
      </c>
      <c r="D714" t="s">
        <v>19</v>
      </c>
      <c r="E714" t="s">
        <v>16</v>
      </c>
      <c r="F714" t="s">
        <v>12</v>
      </c>
      <c r="G714" t="s">
        <v>13</v>
      </c>
      <c r="H714" t="s">
        <v>13</v>
      </c>
      <c r="I714">
        <v>73</v>
      </c>
      <c r="J714" t="str" cm="1">
        <f t="array" ref="J714">_xlfn.IFS(ISBLANK(C714),"FALTANTE",ABS((C714-$W$5)/$X$5)&gt;1.96,"ATÍPICO",ABS((C714-$W$5)/$X$5)&lt;=1.96,"NO ATÍPICO")</f>
        <v>NO ATÍPICO</v>
      </c>
      <c r="K714" t="str" cm="1">
        <f t="array" ref="K714">_xlfn.IFS(ISBLANK(I714),"FALTANTE",ABS((I714-$W$8)/$X$8)&gt;1.92,"ATÍPICO",ABS((I714-$W$8)/$X$8)&lt;=1.92,"NO ATÍPICO")</f>
        <v>ATÍPICO</v>
      </c>
      <c r="L714">
        <f t="shared" si="55"/>
        <v>278030.99</v>
      </c>
      <c r="M714" t="str">
        <f t="shared" si="59"/>
        <v>CONVENIOS ESPECIALES DE TRABAJADORES INDEPENDIENTES</v>
      </c>
      <c r="N714">
        <f t="shared" si="56"/>
        <v>73</v>
      </c>
      <c r="O714" s="19" t="str">
        <f t="shared" si="57"/>
        <v>0–300k</v>
      </c>
      <c r="P714" s="19" t="str">
        <f t="shared" si="58"/>
        <v>56+</v>
      </c>
    </row>
    <row r="715" spans="1:16" x14ac:dyDescent="0.25">
      <c r="A715">
        <v>714</v>
      </c>
      <c r="B715" t="s">
        <v>15</v>
      </c>
      <c r="C715">
        <v>141509.48000000001</v>
      </c>
      <c r="D715" t="s">
        <v>14</v>
      </c>
      <c r="E715" t="s">
        <v>11</v>
      </c>
      <c r="F715" t="s">
        <v>12</v>
      </c>
      <c r="G715" t="s">
        <v>13</v>
      </c>
      <c r="H715" t="s">
        <v>13</v>
      </c>
      <c r="I715">
        <v>89</v>
      </c>
      <c r="J715" t="str" cm="1">
        <f t="array" ref="J715">_xlfn.IFS(ISBLANK(C715),"FALTANTE",ABS((C715-$W$5)/$X$5)&gt;1.96,"ATÍPICO",ABS((C715-$W$5)/$X$5)&lt;=1.96,"NO ATÍPICO")</f>
        <v>NO ATÍPICO</v>
      </c>
      <c r="K715" t="str" cm="1">
        <f t="array" ref="K715">_xlfn.IFS(ISBLANK(I715),"FALTANTE",ABS((I715-$W$8)/$X$8)&gt;1.92,"ATÍPICO",ABS((I715-$W$8)/$X$8)&lt;=1.92,"NO ATÍPICO")</f>
        <v>ATÍPICO</v>
      </c>
      <c r="L715">
        <f t="shared" si="55"/>
        <v>141509.48000000001</v>
      </c>
      <c r="M715" t="str">
        <f t="shared" si="59"/>
        <v>PENSIONADOS EN SU PROPIO SISTEMA</v>
      </c>
      <c r="N715">
        <f t="shared" si="56"/>
        <v>89</v>
      </c>
      <c r="O715" s="19" t="str">
        <f t="shared" si="57"/>
        <v>0–300k</v>
      </c>
      <c r="P715" s="19" t="str">
        <f t="shared" si="58"/>
        <v>56+</v>
      </c>
    </row>
    <row r="716" spans="1:16" x14ac:dyDescent="0.25">
      <c r="A716">
        <v>715</v>
      </c>
      <c r="B716" t="s">
        <v>9</v>
      </c>
      <c r="C716">
        <v>806281.31</v>
      </c>
      <c r="D716" t="s">
        <v>10</v>
      </c>
      <c r="E716" t="s">
        <v>16</v>
      </c>
      <c r="F716" t="s">
        <v>12</v>
      </c>
      <c r="G716" t="s">
        <v>13</v>
      </c>
      <c r="H716" t="s">
        <v>13</v>
      </c>
      <c r="I716">
        <v>41</v>
      </c>
      <c r="J716" t="str" cm="1">
        <f t="array" ref="J716">_xlfn.IFS(ISBLANK(C716),"FALTANTE",ABS((C716-$W$5)/$X$5)&gt;1.96,"ATÍPICO",ABS((C716-$W$5)/$X$5)&lt;=1.96,"NO ATÍPICO")</f>
        <v>NO ATÍPICO</v>
      </c>
      <c r="K716" t="str" cm="1">
        <f t="array" ref="K716">_xlfn.IFS(ISBLANK(I716),"FALTANTE",ABS((I716-$W$8)/$X$8)&gt;1.92,"ATÍPICO",ABS((I716-$W$8)/$X$8)&lt;=1.92,"NO ATÍPICO")</f>
        <v>NO ATÍPICO</v>
      </c>
      <c r="L716">
        <f t="shared" si="55"/>
        <v>806281.31</v>
      </c>
      <c r="M716" t="str">
        <f t="shared" si="59"/>
        <v>ASALARIADO</v>
      </c>
      <c r="N716">
        <f t="shared" si="56"/>
        <v>41</v>
      </c>
      <c r="O716" s="19" t="str">
        <f t="shared" si="57"/>
        <v>600k–900k</v>
      </c>
      <c r="P716" s="19" t="str">
        <f t="shared" si="58"/>
        <v>36-45</v>
      </c>
    </row>
    <row r="717" spans="1:16" x14ac:dyDescent="0.25">
      <c r="A717">
        <v>716</v>
      </c>
      <c r="B717" t="s">
        <v>9</v>
      </c>
      <c r="C717">
        <v>360561</v>
      </c>
      <c r="D717" t="s">
        <v>10</v>
      </c>
      <c r="E717" t="s">
        <v>16</v>
      </c>
      <c r="F717" t="s">
        <v>12</v>
      </c>
      <c r="G717" t="s">
        <v>13</v>
      </c>
      <c r="H717" t="s">
        <v>13</v>
      </c>
      <c r="I717">
        <v>28</v>
      </c>
      <c r="J717" t="str" cm="1">
        <f t="array" ref="J717">_xlfn.IFS(ISBLANK(C717),"FALTANTE",ABS((C717-$W$5)/$X$5)&gt;1.96,"ATÍPICO",ABS((C717-$W$5)/$X$5)&lt;=1.96,"NO ATÍPICO")</f>
        <v>NO ATÍPICO</v>
      </c>
      <c r="K717" t="str" cm="1">
        <f t="array" ref="K717">_xlfn.IFS(ISBLANK(I717),"FALTANTE",ABS((I717-$W$8)/$X$8)&gt;1.92,"ATÍPICO",ABS((I717-$W$8)/$X$8)&lt;=1.92,"NO ATÍPICO")</f>
        <v>NO ATÍPICO</v>
      </c>
      <c r="L717">
        <f t="shared" si="55"/>
        <v>360561</v>
      </c>
      <c r="M717" t="str">
        <f t="shared" si="59"/>
        <v>ASALARIADO</v>
      </c>
      <c r="N717">
        <f t="shared" si="56"/>
        <v>28</v>
      </c>
      <c r="O717" s="19" t="str">
        <f t="shared" si="57"/>
        <v>300k–600k</v>
      </c>
      <c r="P717" s="19" t="str">
        <f t="shared" si="58"/>
        <v>26-35</v>
      </c>
    </row>
    <row r="718" spans="1:16" x14ac:dyDescent="0.25">
      <c r="A718">
        <v>717</v>
      </c>
      <c r="B718" t="s">
        <v>15</v>
      </c>
      <c r="C718">
        <v>593749.30000000005</v>
      </c>
      <c r="D718" t="s">
        <v>10</v>
      </c>
      <c r="E718" t="s">
        <v>16</v>
      </c>
      <c r="F718" t="s">
        <v>12</v>
      </c>
      <c r="G718" t="s">
        <v>13</v>
      </c>
      <c r="H718" t="s">
        <v>13</v>
      </c>
      <c r="I718">
        <v>27</v>
      </c>
      <c r="J718" t="str" cm="1">
        <f t="array" ref="J718">_xlfn.IFS(ISBLANK(C718),"FALTANTE",ABS((C718-$W$5)/$X$5)&gt;1.96,"ATÍPICO",ABS((C718-$W$5)/$X$5)&lt;=1.96,"NO ATÍPICO")</f>
        <v>NO ATÍPICO</v>
      </c>
      <c r="K718" t="str" cm="1">
        <f t="array" ref="K718">_xlfn.IFS(ISBLANK(I718),"FALTANTE",ABS((I718-$W$8)/$X$8)&gt;1.92,"ATÍPICO",ABS((I718-$W$8)/$X$8)&lt;=1.92,"NO ATÍPICO")</f>
        <v>NO ATÍPICO</v>
      </c>
      <c r="L718">
        <f t="shared" si="55"/>
        <v>593749.30000000005</v>
      </c>
      <c r="M718" t="str">
        <f t="shared" si="59"/>
        <v>ASALARIADO</v>
      </c>
      <c r="N718">
        <f t="shared" si="56"/>
        <v>27</v>
      </c>
      <c r="O718" s="19" t="str">
        <f t="shared" si="57"/>
        <v>300k–600k</v>
      </c>
      <c r="P718" s="19" t="str">
        <f t="shared" si="58"/>
        <v>26-35</v>
      </c>
    </row>
    <row r="719" spans="1:16" x14ac:dyDescent="0.25">
      <c r="A719">
        <v>718</v>
      </c>
      <c r="B719" t="s">
        <v>15</v>
      </c>
      <c r="C719">
        <v>2992612.3</v>
      </c>
      <c r="D719" t="s">
        <v>10</v>
      </c>
      <c r="E719" t="s">
        <v>11</v>
      </c>
      <c r="F719" t="s">
        <v>12</v>
      </c>
      <c r="G719" t="s">
        <v>13</v>
      </c>
      <c r="H719" t="s">
        <v>13</v>
      </c>
      <c r="I719">
        <v>44</v>
      </c>
      <c r="J719" t="str" cm="1">
        <f t="array" ref="J719">_xlfn.IFS(ISBLANK(C719),"FALTANTE",ABS((C719-$W$5)/$X$5)&gt;1.96,"ATÍPICO",ABS((C719-$W$5)/$X$5)&lt;=1.96,"NO ATÍPICO")</f>
        <v>ATÍPICO</v>
      </c>
      <c r="K719" t="str" cm="1">
        <f t="array" ref="K719">_xlfn.IFS(ISBLANK(I719),"FALTANTE",ABS((I719-$W$8)/$X$8)&gt;1.92,"ATÍPICO",ABS((I719-$W$8)/$X$8)&lt;=1.92,"NO ATÍPICO")</f>
        <v>NO ATÍPICO</v>
      </c>
      <c r="L719">
        <f t="shared" si="55"/>
        <v>2992612.3</v>
      </c>
      <c r="M719" t="str">
        <f t="shared" si="59"/>
        <v>ASALARIADO</v>
      </c>
      <c r="N719">
        <f t="shared" si="56"/>
        <v>44</v>
      </c>
      <c r="O719" s="19" t="str">
        <f t="shared" si="57"/>
        <v>1200k+</v>
      </c>
      <c r="P719" s="19" t="str">
        <f t="shared" si="58"/>
        <v>36-45</v>
      </c>
    </row>
    <row r="720" spans="1:16" x14ac:dyDescent="0.25">
      <c r="A720">
        <v>719</v>
      </c>
      <c r="B720" t="s">
        <v>9</v>
      </c>
      <c r="C720">
        <v>2269748.2000000002</v>
      </c>
      <c r="D720" t="s">
        <v>10</v>
      </c>
      <c r="E720" t="s">
        <v>16</v>
      </c>
      <c r="F720" t="s">
        <v>12</v>
      </c>
      <c r="G720" t="s">
        <v>13</v>
      </c>
      <c r="H720" t="s">
        <v>13</v>
      </c>
      <c r="I720">
        <v>31</v>
      </c>
      <c r="J720" t="str" cm="1">
        <f t="array" ref="J720">_xlfn.IFS(ISBLANK(C720),"FALTANTE",ABS((C720-$W$5)/$X$5)&gt;1.96,"ATÍPICO",ABS((C720-$W$5)/$X$5)&lt;=1.96,"NO ATÍPICO")</f>
        <v>ATÍPICO</v>
      </c>
      <c r="K720" t="str" cm="1">
        <f t="array" ref="K720">_xlfn.IFS(ISBLANK(I720),"FALTANTE",ABS((I720-$W$8)/$X$8)&gt;1.92,"ATÍPICO",ABS((I720-$W$8)/$X$8)&lt;=1.92,"NO ATÍPICO")</f>
        <v>NO ATÍPICO</v>
      </c>
      <c r="L720">
        <f t="shared" si="55"/>
        <v>2269748.2000000002</v>
      </c>
      <c r="M720" t="str">
        <f t="shared" si="59"/>
        <v>ASALARIADO</v>
      </c>
      <c r="N720">
        <f t="shared" si="56"/>
        <v>31</v>
      </c>
      <c r="O720" s="19" t="str">
        <f t="shared" si="57"/>
        <v>1200k+</v>
      </c>
      <c r="P720" s="19" t="str">
        <f t="shared" si="58"/>
        <v>26-35</v>
      </c>
    </row>
    <row r="721" spans="1:16" x14ac:dyDescent="0.25">
      <c r="A721">
        <v>720</v>
      </c>
      <c r="B721" t="s">
        <v>9</v>
      </c>
      <c r="C721">
        <v>380825</v>
      </c>
      <c r="D721" t="s">
        <v>14</v>
      </c>
      <c r="E721" t="s">
        <v>11</v>
      </c>
      <c r="F721" t="s">
        <v>12</v>
      </c>
      <c r="G721" t="s">
        <v>13</v>
      </c>
      <c r="H721" t="s">
        <v>13</v>
      </c>
      <c r="I721">
        <v>68</v>
      </c>
      <c r="J721" t="str" cm="1">
        <f t="array" ref="J721">_xlfn.IFS(ISBLANK(C721),"FALTANTE",ABS((C721-$W$5)/$X$5)&gt;1.96,"ATÍPICO",ABS((C721-$W$5)/$X$5)&lt;=1.96,"NO ATÍPICO")</f>
        <v>NO ATÍPICO</v>
      </c>
      <c r="K721" t="str" cm="1">
        <f t="array" ref="K721">_xlfn.IFS(ISBLANK(I721),"FALTANTE",ABS((I721-$W$8)/$X$8)&gt;1.92,"ATÍPICO",ABS((I721-$W$8)/$X$8)&lt;=1.92,"NO ATÍPICO")</f>
        <v>NO ATÍPICO</v>
      </c>
      <c r="L721">
        <f t="shared" si="55"/>
        <v>380825</v>
      </c>
      <c r="M721" t="str">
        <f t="shared" si="59"/>
        <v>PENSIONADOS EN SU PROPIO SISTEMA</v>
      </c>
      <c r="N721">
        <f t="shared" si="56"/>
        <v>68</v>
      </c>
      <c r="O721" s="19" t="str">
        <f t="shared" si="57"/>
        <v>300k–600k</v>
      </c>
      <c r="P721" s="19" t="str">
        <f t="shared" si="58"/>
        <v>56+</v>
      </c>
    </row>
    <row r="722" spans="1:16" x14ac:dyDescent="0.25">
      <c r="A722">
        <v>721</v>
      </c>
      <c r="B722" t="s">
        <v>9</v>
      </c>
      <c r="C722">
        <v>403092</v>
      </c>
      <c r="D722" t="s">
        <v>18</v>
      </c>
      <c r="E722" t="s">
        <v>16</v>
      </c>
      <c r="F722" t="s">
        <v>12</v>
      </c>
      <c r="G722" t="s">
        <v>13</v>
      </c>
      <c r="H722" t="s">
        <v>12</v>
      </c>
      <c r="I722">
        <v>55</v>
      </c>
      <c r="J722" t="str" cm="1">
        <f t="array" ref="J722">_xlfn.IFS(ISBLANK(C722),"FALTANTE",ABS((C722-$W$5)/$X$5)&gt;1.96,"ATÍPICO",ABS((C722-$W$5)/$X$5)&lt;=1.96,"NO ATÍPICO")</f>
        <v>NO ATÍPICO</v>
      </c>
      <c r="K722" t="str" cm="1">
        <f t="array" ref="K722">_xlfn.IFS(ISBLANK(I722),"FALTANTE",ABS((I722-$W$8)/$X$8)&gt;1.92,"ATÍPICO",ABS((I722-$W$8)/$X$8)&lt;=1.92,"NO ATÍPICO")</f>
        <v>NO ATÍPICO</v>
      </c>
      <c r="L722">
        <f t="shared" si="55"/>
        <v>403092</v>
      </c>
      <c r="M722" t="str">
        <f t="shared" si="59"/>
        <v>TRABAJADOR INDEPENDIENTE</v>
      </c>
      <c r="N722">
        <f t="shared" si="56"/>
        <v>55</v>
      </c>
      <c r="O722" s="19" t="str">
        <f t="shared" si="57"/>
        <v>300k–600k</v>
      </c>
      <c r="P722" s="19" t="str">
        <f t="shared" si="58"/>
        <v>46-55</v>
      </c>
    </row>
    <row r="723" spans="1:16" x14ac:dyDescent="0.25">
      <c r="A723">
        <v>722</v>
      </c>
      <c r="B723" t="s">
        <v>9</v>
      </c>
      <c r="C723">
        <v>408100</v>
      </c>
      <c r="D723" t="s">
        <v>10</v>
      </c>
      <c r="E723" t="s">
        <v>16</v>
      </c>
      <c r="F723" t="s">
        <v>12</v>
      </c>
      <c r="G723" t="s">
        <v>12</v>
      </c>
      <c r="H723" t="s">
        <v>13</v>
      </c>
      <c r="I723">
        <v>50</v>
      </c>
      <c r="J723" t="str" cm="1">
        <f t="array" ref="J723">_xlfn.IFS(ISBLANK(C723),"FALTANTE",ABS((C723-$W$5)/$X$5)&gt;1.96,"ATÍPICO",ABS((C723-$W$5)/$X$5)&lt;=1.96,"NO ATÍPICO")</f>
        <v>NO ATÍPICO</v>
      </c>
      <c r="K723" t="str" cm="1">
        <f t="array" ref="K723">_xlfn.IFS(ISBLANK(I723),"FALTANTE",ABS((I723-$W$8)/$X$8)&gt;1.92,"ATÍPICO",ABS((I723-$W$8)/$X$8)&lt;=1.92,"NO ATÍPICO")</f>
        <v>NO ATÍPICO</v>
      </c>
      <c r="L723">
        <f t="shared" si="55"/>
        <v>408100</v>
      </c>
      <c r="M723" t="str">
        <f t="shared" si="59"/>
        <v>ASALARIADO</v>
      </c>
      <c r="N723">
        <f t="shared" si="56"/>
        <v>50</v>
      </c>
      <c r="O723" s="19" t="str">
        <f t="shared" si="57"/>
        <v>300k–600k</v>
      </c>
      <c r="P723" s="19" t="str">
        <f t="shared" si="58"/>
        <v>46-55</v>
      </c>
    </row>
    <row r="724" spans="1:16" x14ac:dyDescent="0.25">
      <c r="A724">
        <v>723</v>
      </c>
      <c r="B724" t="s">
        <v>9</v>
      </c>
      <c r="C724">
        <v>463260.61</v>
      </c>
      <c r="D724" t="s">
        <v>10</v>
      </c>
      <c r="E724" t="s">
        <v>16</v>
      </c>
      <c r="F724" t="s">
        <v>12</v>
      </c>
      <c r="G724" t="s">
        <v>13</v>
      </c>
      <c r="H724" t="s">
        <v>13</v>
      </c>
      <c r="I724">
        <v>21</v>
      </c>
      <c r="J724" t="str" cm="1">
        <f t="array" ref="J724">_xlfn.IFS(ISBLANK(C724),"FALTANTE",ABS((C724-$W$5)/$X$5)&gt;1.96,"ATÍPICO",ABS((C724-$W$5)/$X$5)&lt;=1.96,"NO ATÍPICO")</f>
        <v>NO ATÍPICO</v>
      </c>
      <c r="K724" t="str" cm="1">
        <f t="array" ref="K724">_xlfn.IFS(ISBLANK(I724),"FALTANTE",ABS((I724-$W$8)/$X$8)&gt;1.92,"ATÍPICO",ABS((I724-$W$8)/$X$8)&lt;=1.92,"NO ATÍPICO")</f>
        <v>NO ATÍPICO</v>
      </c>
      <c r="L724">
        <f t="shared" si="55"/>
        <v>463260.61</v>
      </c>
      <c r="M724" t="str">
        <f t="shared" si="59"/>
        <v>ASALARIADO</v>
      </c>
      <c r="N724">
        <f t="shared" si="56"/>
        <v>21</v>
      </c>
      <c r="O724" s="19" t="str">
        <f t="shared" si="57"/>
        <v>300k–600k</v>
      </c>
      <c r="P724" s="19" t="str">
        <f t="shared" si="58"/>
        <v>18-25</v>
      </c>
    </row>
    <row r="725" spans="1:16" x14ac:dyDescent="0.25">
      <c r="A725">
        <v>724</v>
      </c>
      <c r="B725" t="s">
        <v>9</v>
      </c>
      <c r="C725">
        <v>377506.13</v>
      </c>
      <c r="D725" t="s">
        <v>10</v>
      </c>
      <c r="E725" t="s">
        <v>16</v>
      </c>
      <c r="F725" t="s">
        <v>12</v>
      </c>
      <c r="G725" t="s">
        <v>13</v>
      </c>
      <c r="H725" t="s">
        <v>12</v>
      </c>
      <c r="I725">
        <v>23</v>
      </c>
      <c r="J725" t="str" cm="1">
        <f t="array" ref="J725">_xlfn.IFS(ISBLANK(C725),"FALTANTE",ABS((C725-$W$5)/$X$5)&gt;1.96,"ATÍPICO",ABS((C725-$W$5)/$X$5)&lt;=1.96,"NO ATÍPICO")</f>
        <v>NO ATÍPICO</v>
      </c>
      <c r="K725" t="str" cm="1">
        <f t="array" ref="K725">_xlfn.IFS(ISBLANK(I725),"FALTANTE",ABS((I725-$W$8)/$X$8)&gt;1.92,"ATÍPICO",ABS((I725-$W$8)/$X$8)&lt;=1.92,"NO ATÍPICO")</f>
        <v>NO ATÍPICO</v>
      </c>
      <c r="L725">
        <f t="shared" si="55"/>
        <v>377506.13</v>
      </c>
      <c r="M725" t="str">
        <f t="shared" si="59"/>
        <v>ASALARIADO</v>
      </c>
      <c r="N725">
        <f t="shared" si="56"/>
        <v>23</v>
      </c>
      <c r="O725" s="19" t="str">
        <f t="shared" si="57"/>
        <v>300k–600k</v>
      </c>
      <c r="P725" s="19" t="str">
        <f t="shared" si="58"/>
        <v>18-25</v>
      </c>
    </row>
    <row r="726" spans="1:16" x14ac:dyDescent="0.25">
      <c r="A726">
        <v>725</v>
      </c>
      <c r="B726" t="s">
        <v>15</v>
      </c>
      <c r="C726">
        <v>297045</v>
      </c>
      <c r="D726" t="s">
        <v>18</v>
      </c>
      <c r="E726" t="s">
        <v>16</v>
      </c>
      <c r="F726" t="s">
        <v>12</v>
      </c>
      <c r="G726" t="s">
        <v>12</v>
      </c>
      <c r="H726" t="s">
        <v>12</v>
      </c>
      <c r="I726">
        <v>43</v>
      </c>
      <c r="J726" t="str" cm="1">
        <f t="array" ref="J726">_xlfn.IFS(ISBLANK(C726),"FALTANTE",ABS((C726-$W$5)/$X$5)&gt;1.96,"ATÍPICO",ABS((C726-$W$5)/$X$5)&lt;=1.96,"NO ATÍPICO")</f>
        <v>NO ATÍPICO</v>
      </c>
      <c r="K726" t="str" cm="1">
        <f t="array" ref="K726">_xlfn.IFS(ISBLANK(I726),"FALTANTE",ABS((I726-$W$8)/$X$8)&gt;1.92,"ATÍPICO",ABS((I726-$W$8)/$X$8)&lt;=1.92,"NO ATÍPICO")</f>
        <v>NO ATÍPICO</v>
      </c>
      <c r="L726">
        <f t="shared" si="55"/>
        <v>297045</v>
      </c>
      <c r="M726" t="str">
        <f t="shared" si="59"/>
        <v>TRABAJADOR INDEPENDIENTE</v>
      </c>
      <c r="N726">
        <f t="shared" si="56"/>
        <v>43</v>
      </c>
      <c r="O726" s="19" t="str">
        <f t="shared" si="57"/>
        <v>0–300k</v>
      </c>
      <c r="P726" s="19" t="str">
        <f t="shared" si="58"/>
        <v>36-45</v>
      </c>
    </row>
    <row r="727" spans="1:16" x14ac:dyDescent="0.25">
      <c r="A727">
        <v>726</v>
      </c>
      <c r="B727" t="s">
        <v>9</v>
      </c>
      <c r="C727">
        <v>48602</v>
      </c>
      <c r="D727" t="s">
        <v>10</v>
      </c>
      <c r="E727" t="s">
        <v>16</v>
      </c>
      <c r="F727" t="s">
        <v>12</v>
      </c>
      <c r="G727" t="s">
        <v>13</v>
      </c>
      <c r="H727" t="s">
        <v>13</v>
      </c>
      <c r="I727">
        <v>33</v>
      </c>
      <c r="J727" t="str" cm="1">
        <f t="array" ref="J727">_xlfn.IFS(ISBLANK(C727),"FALTANTE",ABS((C727-$W$5)/$X$5)&gt;1.96,"ATÍPICO",ABS((C727-$W$5)/$X$5)&lt;=1.96,"NO ATÍPICO")</f>
        <v>NO ATÍPICO</v>
      </c>
      <c r="K727" t="str" cm="1">
        <f t="array" ref="K727">_xlfn.IFS(ISBLANK(I727),"FALTANTE",ABS((I727-$W$8)/$X$8)&gt;1.92,"ATÍPICO",ABS((I727-$W$8)/$X$8)&lt;=1.92,"NO ATÍPICO")</f>
        <v>NO ATÍPICO</v>
      </c>
      <c r="L727">
        <f t="shared" si="55"/>
        <v>48602</v>
      </c>
      <c r="M727" t="str">
        <f t="shared" si="59"/>
        <v>ASALARIADO</v>
      </c>
      <c r="N727">
        <f t="shared" si="56"/>
        <v>33</v>
      </c>
      <c r="O727" s="19" t="str">
        <f t="shared" si="57"/>
        <v>0–300k</v>
      </c>
      <c r="P727" s="19" t="str">
        <f t="shared" si="58"/>
        <v>26-35</v>
      </c>
    </row>
    <row r="728" spans="1:16" x14ac:dyDescent="0.25">
      <c r="A728">
        <v>727</v>
      </c>
      <c r="B728" t="s">
        <v>15</v>
      </c>
      <c r="C728">
        <v>375000</v>
      </c>
      <c r="D728" t="s">
        <v>10</v>
      </c>
      <c r="E728" t="s">
        <v>16</v>
      </c>
      <c r="F728" t="s">
        <v>12</v>
      </c>
      <c r="G728" t="s">
        <v>13</v>
      </c>
      <c r="H728" t="s">
        <v>13</v>
      </c>
      <c r="I728">
        <v>36</v>
      </c>
      <c r="J728" t="str" cm="1">
        <f t="array" ref="J728">_xlfn.IFS(ISBLANK(C728),"FALTANTE",ABS((C728-$W$5)/$X$5)&gt;1.96,"ATÍPICO",ABS((C728-$W$5)/$X$5)&lt;=1.96,"NO ATÍPICO")</f>
        <v>NO ATÍPICO</v>
      </c>
      <c r="K728" t="str" cm="1">
        <f t="array" ref="K728">_xlfn.IFS(ISBLANK(I728),"FALTANTE",ABS((I728-$W$8)/$X$8)&gt;1.92,"ATÍPICO",ABS((I728-$W$8)/$X$8)&lt;=1.92,"NO ATÍPICO")</f>
        <v>NO ATÍPICO</v>
      </c>
      <c r="L728">
        <f t="shared" si="55"/>
        <v>375000</v>
      </c>
      <c r="M728" t="str">
        <f t="shared" si="59"/>
        <v>ASALARIADO</v>
      </c>
      <c r="N728">
        <f t="shared" si="56"/>
        <v>36</v>
      </c>
      <c r="O728" s="19" t="str">
        <f t="shared" si="57"/>
        <v>300k–600k</v>
      </c>
      <c r="P728" s="19" t="str">
        <f t="shared" si="58"/>
        <v>36-45</v>
      </c>
    </row>
    <row r="729" spans="1:16" x14ac:dyDescent="0.25">
      <c r="A729">
        <v>728</v>
      </c>
      <c r="B729" t="s">
        <v>9</v>
      </c>
      <c r="C729">
        <v>630761.15</v>
      </c>
      <c r="D729" t="s">
        <v>10</v>
      </c>
      <c r="E729" t="s">
        <v>16</v>
      </c>
      <c r="F729" t="s">
        <v>12</v>
      </c>
      <c r="G729" t="s">
        <v>13</v>
      </c>
      <c r="H729" t="s">
        <v>13</v>
      </c>
      <c r="I729">
        <v>20</v>
      </c>
      <c r="J729" t="str" cm="1">
        <f t="array" ref="J729">_xlfn.IFS(ISBLANK(C729),"FALTANTE",ABS((C729-$W$5)/$X$5)&gt;1.96,"ATÍPICO",ABS((C729-$W$5)/$X$5)&lt;=1.96,"NO ATÍPICO")</f>
        <v>NO ATÍPICO</v>
      </c>
      <c r="K729" t="str" cm="1">
        <f t="array" ref="K729">_xlfn.IFS(ISBLANK(I729),"FALTANTE",ABS((I729-$W$8)/$X$8)&gt;1.92,"ATÍPICO",ABS((I729-$W$8)/$X$8)&lt;=1.92,"NO ATÍPICO")</f>
        <v>NO ATÍPICO</v>
      </c>
      <c r="L729">
        <f t="shared" si="55"/>
        <v>630761.15</v>
      </c>
      <c r="M729" t="str">
        <f t="shared" si="59"/>
        <v>ASALARIADO</v>
      </c>
      <c r="N729">
        <f t="shared" si="56"/>
        <v>20</v>
      </c>
      <c r="O729" s="19" t="str">
        <f t="shared" si="57"/>
        <v>600k–900k</v>
      </c>
      <c r="P729" s="19" t="str">
        <f t="shared" si="58"/>
        <v>18-25</v>
      </c>
    </row>
    <row r="730" spans="1:16" x14ac:dyDescent="0.25">
      <c r="A730">
        <v>729</v>
      </c>
      <c r="B730" t="s">
        <v>15</v>
      </c>
      <c r="C730">
        <v>195874.42</v>
      </c>
      <c r="D730" t="s">
        <v>14</v>
      </c>
      <c r="E730" t="s">
        <v>11</v>
      </c>
      <c r="F730" t="s">
        <v>12</v>
      </c>
      <c r="G730" t="s">
        <v>13</v>
      </c>
      <c r="H730" t="s">
        <v>13</v>
      </c>
      <c r="I730">
        <v>67</v>
      </c>
      <c r="J730" t="str" cm="1">
        <f t="array" ref="J730">_xlfn.IFS(ISBLANK(C730),"FALTANTE",ABS((C730-$W$5)/$X$5)&gt;1.96,"ATÍPICO",ABS((C730-$W$5)/$X$5)&lt;=1.96,"NO ATÍPICO")</f>
        <v>NO ATÍPICO</v>
      </c>
      <c r="K730" t="str" cm="1">
        <f t="array" ref="K730">_xlfn.IFS(ISBLANK(I730),"FALTANTE",ABS((I730-$W$8)/$X$8)&gt;1.92,"ATÍPICO",ABS((I730-$W$8)/$X$8)&lt;=1.92,"NO ATÍPICO")</f>
        <v>NO ATÍPICO</v>
      </c>
      <c r="L730">
        <f t="shared" si="55"/>
        <v>195874.42</v>
      </c>
      <c r="M730" t="str">
        <f t="shared" si="59"/>
        <v>PENSIONADOS EN SU PROPIO SISTEMA</v>
      </c>
      <c r="N730">
        <f t="shared" si="56"/>
        <v>67</v>
      </c>
      <c r="O730" s="19" t="str">
        <f t="shared" si="57"/>
        <v>0–300k</v>
      </c>
      <c r="P730" s="19" t="str">
        <f t="shared" si="58"/>
        <v>56+</v>
      </c>
    </row>
    <row r="731" spans="1:16" x14ac:dyDescent="0.25">
      <c r="A731">
        <v>730</v>
      </c>
      <c r="B731" t="s">
        <v>15</v>
      </c>
      <c r="C731">
        <v>650000</v>
      </c>
      <c r="D731" t="s">
        <v>10</v>
      </c>
      <c r="E731" t="s">
        <v>16</v>
      </c>
      <c r="F731" t="s">
        <v>12</v>
      </c>
      <c r="G731" t="s">
        <v>13</v>
      </c>
      <c r="H731" t="s">
        <v>13</v>
      </c>
      <c r="I731">
        <v>39</v>
      </c>
      <c r="J731" t="str" cm="1">
        <f t="array" ref="J731">_xlfn.IFS(ISBLANK(C731),"FALTANTE",ABS((C731-$W$5)/$X$5)&gt;1.96,"ATÍPICO",ABS((C731-$W$5)/$X$5)&lt;=1.96,"NO ATÍPICO")</f>
        <v>NO ATÍPICO</v>
      </c>
      <c r="K731" t="str" cm="1">
        <f t="array" ref="K731">_xlfn.IFS(ISBLANK(I731),"FALTANTE",ABS((I731-$W$8)/$X$8)&gt;1.92,"ATÍPICO",ABS((I731-$W$8)/$X$8)&lt;=1.92,"NO ATÍPICO")</f>
        <v>NO ATÍPICO</v>
      </c>
      <c r="L731">
        <f t="shared" si="55"/>
        <v>650000</v>
      </c>
      <c r="M731" t="str">
        <f t="shared" si="59"/>
        <v>ASALARIADO</v>
      </c>
      <c r="N731">
        <f t="shared" si="56"/>
        <v>39</v>
      </c>
      <c r="O731" s="19" t="str">
        <f t="shared" si="57"/>
        <v>600k–900k</v>
      </c>
      <c r="P731" s="19" t="str">
        <f t="shared" si="58"/>
        <v>36-45</v>
      </c>
    </row>
    <row r="732" spans="1:16" x14ac:dyDescent="0.25">
      <c r="A732">
        <v>731</v>
      </c>
      <c r="B732" t="s">
        <v>9</v>
      </c>
      <c r="C732">
        <v>1005435.78</v>
      </c>
      <c r="D732" t="s">
        <v>14</v>
      </c>
      <c r="E732" t="s">
        <v>11</v>
      </c>
      <c r="F732" t="s">
        <v>12</v>
      </c>
      <c r="G732" t="s">
        <v>13</v>
      </c>
      <c r="H732" t="s">
        <v>13</v>
      </c>
      <c r="I732">
        <v>60</v>
      </c>
      <c r="J732" t="str" cm="1">
        <f t="array" ref="J732">_xlfn.IFS(ISBLANK(C732),"FALTANTE",ABS((C732-$W$5)/$X$5)&gt;1.96,"ATÍPICO",ABS((C732-$W$5)/$X$5)&lt;=1.96,"NO ATÍPICO")</f>
        <v>NO ATÍPICO</v>
      </c>
      <c r="K732" t="str" cm="1">
        <f t="array" ref="K732">_xlfn.IFS(ISBLANK(I732),"FALTANTE",ABS((I732-$W$8)/$X$8)&gt;1.92,"ATÍPICO",ABS((I732-$W$8)/$X$8)&lt;=1.92,"NO ATÍPICO")</f>
        <v>NO ATÍPICO</v>
      </c>
      <c r="L732">
        <f t="shared" si="55"/>
        <v>1005435.78</v>
      </c>
      <c r="M732" t="str">
        <f t="shared" si="59"/>
        <v>PENSIONADOS EN SU PROPIO SISTEMA</v>
      </c>
      <c r="N732">
        <f t="shared" si="56"/>
        <v>60</v>
      </c>
      <c r="O732" s="19" t="str">
        <f t="shared" si="57"/>
        <v>900k–1200k</v>
      </c>
      <c r="P732" s="19" t="str">
        <f t="shared" si="58"/>
        <v>56+</v>
      </c>
    </row>
    <row r="733" spans="1:16" x14ac:dyDescent="0.25">
      <c r="A733">
        <v>732</v>
      </c>
      <c r="B733" t="s">
        <v>15</v>
      </c>
      <c r="C733">
        <v>639148</v>
      </c>
      <c r="D733" t="s">
        <v>18</v>
      </c>
      <c r="E733" t="s">
        <v>16</v>
      </c>
      <c r="F733" t="s">
        <v>12</v>
      </c>
      <c r="G733" t="s">
        <v>12</v>
      </c>
      <c r="H733" t="s">
        <v>12</v>
      </c>
      <c r="I733">
        <v>49</v>
      </c>
      <c r="J733" t="str" cm="1">
        <f t="array" ref="J733">_xlfn.IFS(ISBLANK(C733),"FALTANTE",ABS((C733-$W$5)/$X$5)&gt;1.96,"ATÍPICO",ABS((C733-$W$5)/$X$5)&lt;=1.96,"NO ATÍPICO")</f>
        <v>NO ATÍPICO</v>
      </c>
      <c r="K733" t="str" cm="1">
        <f t="array" ref="K733">_xlfn.IFS(ISBLANK(I733),"FALTANTE",ABS((I733-$W$8)/$X$8)&gt;1.92,"ATÍPICO",ABS((I733-$W$8)/$X$8)&lt;=1.92,"NO ATÍPICO")</f>
        <v>NO ATÍPICO</v>
      </c>
      <c r="L733">
        <f t="shared" si="55"/>
        <v>639148</v>
      </c>
      <c r="M733" t="str">
        <f t="shared" si="59"/>
        <v>TRABAJADOR INDEPENDIENTE</v>
      </c>
      <c r="N733">
        <f t="shared" si="56"/>
        <v>49</v>
      </c>
      <c r="O733" s="19" t="str">
        <f t="shared" si="57"/>
        <v>600k–900k</v>
      </c>
      <c r="P733" s="19" t="str">
        <f t="shared" si="58"/>
        <v>46-55</v>
      </c>
    </row>
    <row r="734" spans="1:16" x14ac:dyDescent="0.25">
      <c r="A734">
        <v>733</v>
      </c>
      <c r="B734" t="s">
        <v>9</v>
      </c>
      <c r="C734">
        <v>1329203.8999999999</v>
      </c>
      <c r="D734" t="s">
        <v>10</v>
      </c>
      <c r="E734" t="s">
        <v>11</v>
      </c>
      <c r="F734" t="s">
        <v>12</v>
      </c>
      <c r="G734" t="s">
        <v>13</v>
      </c>
      <c r="H734" t="s">
        <v>13</v>
      </c>
      <c r="I734">
        <v>45</v>
      </c>
      <c r="J734" t="str" cm="1">
        <f t="array" ref="J734">_xlfn.IFS(ISBLANK(C734),"FALTANTE",ABS((C734-$W$5)/$X$5)&gt;1.96,"ATÍPICO",ABS((C734-$W$5)/$X$5)&lt;=1.96,"NO ATÍPICO")</f>
        <v>NO ATÍPICO</v>
      </c>
      <c r="K734" t="str" cm="1">
        <f t="array" ref="K734">_xlfn.IFS(ISBLANK(I734),"FALTANTE",ABS((I734-$W$8)/$X$8)&gt;1.92,"ATÍPICO",ABS((I734-$W$8)/$X$8)&lt;=1.92,"NO ATÍPICO")</f>
        <v>NO ATÍPICO</v>
      </c>
      <c r="L734">
        <f t="shared" si="55"/>
        <v>1329203.8999999999</v>
      </c>
      <c r="M734" t="str">
        <f t="shared" si="59"/>
        <v>ASALARIADO</v>
      </c>
      <c r="N734">
        <f t="shared" si="56"/>
        <v>45</v>
      </c>
      <c r="O734" s="19" t="str">
        <f t="shared" si="57"/>
        <v>1200k+</v>
      </c>
      <c r="P734" s="19" t="str">
        <f t="shared" si="58"/>
        <v>36-45</v>
      </c>
    </row>
    <row r="735" spans="1:16" x14ac:dyDescent="0.25">
      <c r="A735">
        <v>734</v>
      </c>
      <c r="B735" t="s">
        <v>15</v>
      </c>
      <c r="C735">
        <v>370861.03</v>
      </c>
      <c r="D735" t="s">
        <v>10</v>
      </c>
      <c r="E735" t="s">
        <v>16</v>
      </c>
      <c r="F735" t="s">
        <v>12</v>
      </c>
      <c r="G735" t="s">
        <v>13</v>
      </c>
      <c r="H735" t="s">
        <v>13</v>
      </c>
      <c r="I735">
        <v>48</v>
      </c>
      <c r="J735" t="str" cm="1">
        <f t="array" ref="J735">_xlfn.IFS(ISBLANK(C735),"FALTANTE",ABS((C735-$W$5)/$X$5)&gt;1.96,"ATÍPICO",ABS((C735-$W$5)/$X$5)&lt;=1.96,"NO ATÍPICO")</f>
        <v>NO ATÍPICO</v>
      </c>
      <c r="K735" t="str" cm="1">
        <f t="array" ref="K735">_xlfn.IFS(ISBLANK(I735),"FALTANTE",ABS((I735-$W$8)/$X$8)&gt;1.92,"ATÍPICO",ABS((I735-$W$8)/$X$8)&lt;=1.92,"NO ATÍPICO")</f>
        <v>NO ATÍPICO</v>
      </c>
      <c r="L735">
        <f t="shared" si="55"/>
        <v>370861.03</v>
      </c>
      <c r="M735" t="str">
        <f t="shared" si="59"/>
        <v>ASALARIADO</v>
      </c>
      <c r="N735">
        <f t="shared" si="56"/>
        <v>48</v>
      </c>
      <c r="O735" s="19" t="str">
        <f t="shared" si="57"/>
        <v>300k–600k</v>
      </c>
      <c r="P735" s="19" t="str">
        <f t="shared" si="58"/>
        <v>46-55</v>
      </c>
    </row>
    <row r="736" spans="1:16" x14ac:dyDescent="0.25">
      <c r="A736">
        <v>735</v>
      </c>
      <c r="B736" t="s">
        <v>9</v>
      </c>
      <c r="C736">
        <v>266312</v>
      </c>
      <c r="D736" t="s">
        <v>10</v>
      </c>
      <c r="E736" t="s">
        <v>16</v>
      </c>
      <c r="F736" t="s">
        <v>12</v>
      </c>
      <c r="G736" t="s">
        <v>13</v>
      </c>
      <c r="H736" t="s">
        <v>13</v>
      </c>
      <c r="I736">
        <v>22</v>
      </c>
      <c r="J736" t="str" cm="1">
        <f t="array" ref="J736">_xlfn.IFS(ISBLANK(C736),"FALTANTE",ABS((C736-$W$5)/$X$5)&gt;1.96,"ATÍPICO",ABS((C736-$W$5)/$X$5)&lt;=1.96,"NO ATÍPICO")</f>
        <v>NO ATÍPICO</v>
      </c>
      <c r="K736" t="str" cm="1">
        <f t="array" ref="K736">_xlfn.IFS(ISBLANK(I736),"FALTANTE",ABS((I736-$W$8)/$X$8)&gt;1.92,"ATÍPICO",ABS((I736-$W$8)/$X$8)&lt;=1.92,"NO ATÍPICO")</f>
        <v>NO ATÍPICO</v>
      </c>
      <c r="L736">
        <f t="shared" si="55"/>
        <v>266312</v>
      </c>
      <c r="M736" t="str">
        <f t="shared" si="59"/>
        <v>ASALARIADO</v>
      </c>
      <c r="N736">
        <f t="shared" si="56"/>
        <v>22</v>
      </c>
      <c r="O736" s="19" t="str">
        <f t="shared" si="57"/>
        <v>0–300k</v>
      </c>
      <c r="P736" s="19" t="str">
        <f t="shared" si="58"/>
        <v>18-25</v>
      </c>
    </row>
    <row r="737" spans="1:16" x14ac:dyDescent="0.25">
      <c r="A737">
        <v>736</v>
      </c>
      <c r="B737" t="s">
        <v>15</v>
      </c>
      <c r="C737">
        <v>841070</v>
      </c>
      <c r="D737" t="s">
        <v>10</v>
      </c>
      <c r="E737" t="s">
        <v>16</v>
      </c>
      <c r="F737" t="s">
        <v>12</v>
      </c>
      <c r="G737" t="s">
        <v>13</v>
      </c>
      <c r="H737" t="s">
        <v>13</v>
      </c>
      <c r="I737">
        <v>25</v>
      </c>
      <c r="J737" t="str" cm="1">
        <f t="array" ref="J737">_xlfn.IFS(ISBLANK(C737),"FALTANTE",ABS((C737-$W$5)/$X$5)&gt;1.96,"ATÍPICO",ABS((C737-$W$5)/$X$5)&lt;=1.96,"NO ATÍPICO")</f>
        <v>NO ATÍPICO</v>
      </c>
      <c r="K737" t="str" cm="1">
        <f t="array" ref="K737">_xlfn.IFS(ISBLANK(I737),"FALTANTE",ABS((I737-$W$8)/$X$8)&gt;1.92,"ATÍPICO",ABS((I737-$W$8)/$X$8)&lt;=1.92,"NO ATÍPICO")</f>
        <v>NO ATÍPICO</v>
      </c>
      <c r="L737">
        <f t="shared" si="55"/>
        <v>841070</v>
      </c>
      <c r="M737" t="str">
        <f t="shared" si="59"/>
        <v>ASALARIADO</v>
      </c>
      <c r="N737">
        <f t="shared" si="56"/>
        <v>25</v>
      </c>
      <c r="O737" s="19" t="str">
        <f t="shared" si="57"/>
        <v>600k–900k</v>
      </c>
      <c r="P737" s="19" t="str">
        <f t="shared" si="58"/>
        <v>18-25</v>
      </c>
    </row>
    <row r="738" spans="1:16" x14ac:dyDescent="0.25">
      <c r="A738">
        <v>737</v>
      </c>
      <c r="B738" t="s">
        <v>9</v>
      </c>
      <c r="C738">
        <v>278035</v>
      </c>
      <c r="D738" t="s">
        <v>18</v>
      </c>
      <c r="E738" t="s">
        <v>16</v>
      </c>
      <c r="F738" t="s">
        <v>12</v>
      </c>
      <c r="G738" t="s">
        <v>13</v>
      </c>
      <c r="H738" t="s">
        <v>13</v>
      </c>
      <c r="I738">
        <v>30</v>
      </c>
      <c r="J738" t="str" cm="1">
        <f t="array" ref="J738">_xlfn.IFS(ISBLANK(C738),"FALTANTE",ABS((C738-$W$5)/$X$5)&gt;1.96,"ATÍPICO",ABS((C738-$W$5)/$X$5)&lt;=1.96,"NO ATÍPICO")</f>
        <v>NO ATÍPICO</v>
      </c>
      <c r="K738" t="str" cm="1">
        <f t="array" ref="K738">_xlfn.IFS(ISBLANK(I738),"FALTANTE",ABS((I738-$W$8)/$X$8)&gt;1.92,"ATÍPICO",ABS((I738-$W$8)/$X$8)&lt;=1.92,"NO ATÍPICO")</f>
        <v>NO ATÍPICO</v>
      </c>
      <c r="L738">
        <f t="shared" si="55"/>
        <v>278035</v>
      </c>
      <c r="M738" t="str">
        <f t="shared" si="59"/>
        <v>TRABAJADOR INDEPENDIENTE</v>
      </c>
      <c r="N738">
        <f t="shared" si="56"/>
        <v>30</v>
      </c>
      <c r="O738" s="19" t="str">
        <f t="shared" si="57"/>
        <v>0–300k</v>
      </c>
      <c r="P738" s="19" t="str">
        <f t="shared" si="58"/>
        <v>26-35</v>
      </c>
    </row>
    <row r="739" spans="1:16" x14ac:dyDescent="0.25">
      <c r="A739">
        <v>738</v>
      </c>
      <c r="B739" t="s">
        <v>15</v>
      </c>
      <c r="C739">
        <v>310124</v>
      </c>
      <c r="D739" t="s">
        <v>18</v>
      </c>
      <c r="E739" t="s">
        <v>16</v>
      </c>
      <c r="F739" t="s">
        <v>12</v>
      </c>
      <c r="G739" t="s">
        <v>13</v>
      </c>
      <c r="H739" t="s">
        <v>13</v>
      </c>
      <c r="I739">
        <v>44</v>
      </c>
      <c r="J739" t="str" cm="1">
        <f t="array" ref="J739">_xlfn.IFS(ISBLANK(C739),"FALTANTE",ABS((C739-$W$5)/$X$5)&gt;1.96,"ATÍPICO",ABS((C739-$W$5)/$X$5)&lt;=1.96,"NO ATÍPICO")</f>
        <v>NO ATÍPICO</v>
      </c>
      <c r="K739" t="str" cm="1">
        <f t="array" ref="K739">_xlfn.IFS(ISBLANK(I739),"FALTANTE",ABS((I739-$W$8)/$X$8)&gt;1.92,"ATÍPICO",ABS((I739-$W$8)/$X$8)&lt;=1.92,"NO ATÍPICO")</f>
        <v>NO ATÍPICO</v>
      </c>
      <c r="L739">
        <f t="shared" si="55"/>
        <v>310124</v>
      </c>
      <c r="M739" t="str">
        <f t="shared" si="59"/>
        <v>TRABAJADOR INDEPENDIENTE</v>
      </c>
      <c r="N739">
        <f t="shared" si="56"/>
        <v>44</v>
      </c>
      <c r="O739" s="19" t="str">
        <f t="shared" si="57"/>
        <v>300k–600k</v>
      </c>
      <c r="P739" s="19" t="str">
        <f t="shared" si="58"/>
        <v>36-45</v>
      </c>
    </row>
    <row r="740" spans="1:16" x14ac:dyDescent="0.25">
      <c r="A740">
        <v>739</v>
      </c>
      <c r="B740" t="s">
        <v>9</v>
      </c>
      <c r="C740">
        <v>299647</v>
      </c>
      <c r="D740" t="s">
        <v>17</v>
      </c>
      <c r="E740" t="s">
        <v>16</v>
      </c>
      <c r="F740" t="s">
        <v>12</v>
      </c>
      <c r="G740" t="s">
        <v>13</v>
      </c>
      <c r="H740" t="s">
        <v>13</v>
      </c>
      <c r="I740">
        <v>67</v>
      </c>
      <c r="J740" t="str" cm="1">
        <f t="array" ref="J740">_xlfn.IFS(ISBLANK(C740),"FALTANTE",ABS((C740-$W$5)/$X$5)&gt;1.96,"ATÍPICO",ABS((C740-$W$5)/$X$5)&lt;=1.96,"NO ATÍPICO")</f>
        <v>NO ATÍPICO</v>
      </c>
      <c r="K740" t="str" cm="1">
        <f t="array" ref="K740">_xlfn.IFS(ISBLANK(I740),"FALTANTE",ABS((I740-$W$8)/$X$8)&gt;1.92,"ATÍPICO",ABS((I740-$W$8)/$X$8)&lt;=1.92,"NO ATÍPICO")</f>
        <v>NO ATÍPICO</v>
      </c>
      <c r="L740">
        <f t="shared" si="55"/>
        <v>299647</v>
      </c>
      <c r="M740" t="str">
        <f t="shared" si="59"/>
        <v>ASEGURADO VOLUNTARIO</v>
      </c>
      <c r="N740">
        <f t="shared" si="56"/>
        <v>67</v>
      </c>
      <c r="O740" s="19" t="str">
        <f t="shared" si="57"/>
        <v>0–300k</v>
      </c>
      <c r="P740" s="19" t="str">
        <f t="shared" si="58"/>
        <v>56+</v>
      </c>
    </row>
    <row r="741" spans="1:16" x14ac:dyDescent="0.25">
      <c r="A741">
        <v>740</v>
      </c>
      <c r="B741" t="s">
        <v>15</v>
      </c>
      <c r="C741">
        <v>300018</v>
      </c>
      <c r="D741" t="s">
        <v>17</v>
      </c>
      <c r="E741" t="s">
        <v>16</v>
      </c>
      <c r="F741" t="s">
        <v>12</v>
      </c>
      <c r="G741" t="s">
        <v>13</v>
      </c>
      <c r="H741" t="s">
        <v>13</v>
      </c>
      <c r="I741">
        <v>61</v>
      </c>
      <c r="J741" t="str" cm="1">
        <f t="array" ref="J741">_xlfn.IFS(ISBLANK(C741),"FALTANTE",ABS((C741-$W$5)/$X$5)&gt;1.96,"ATÍPICO",ABS((C741-$W$5)/$X$5)&lt;=1.96,"NO ATÍPICO")</f>
        <v>NO ATÍPICO</v>
      </c>
      <c r="K741" t="str" cm="1">
        <f t="array" ref="K741">_xlfn.IFS(ISBLANK(I741),"FALTANTE",ABS((I741-$W$8)/$X$8)&gt;1.92,"ATÍPICO",ABS((I741-$W$8)/$X$8)&lt;=1.92,"NO ATÍPICO")</f>
        <v>NO ATÍPICO</v>
      </c>
      <c r="L741">
        <f t="shared" si="55"/>
        <v>300018</v>
      </c>
      <c r="M741" t="str">
        <f t="shared" si="59"/>
        <v>ASEGURADO VOLUNTARIO</v>
      </c>
      <c r="N741">
        <f t="shared" si="56"/>
        <v>61</v>
      </c>
      <c r="O741" s="19" t="str">
        <f t="shared" si="57"/>
        <v>300k–600k</v>
      </c>
      <c r="P741" s="19" t="str">
        <f t="shared" si="58"/>
        <v>56+</v>
      </c>
    </row>
    <row r="742" spans="1:16" x14ac:dyDescent="0.25">
      <c r="A742">
        <v>741</v>
      </c>
      <c r="B742" t="s">
        <v>15</v>
      </c>
      <c r="C742">
        <v>278030</v>
      </c>
      <c r="D742" t="s">
        <v>19</v>
      </c>
      <c r="E742" t="s">
        <v>16</v>
      </c>
      <c r="F742" t="s">
        <v>12</v>
      </c>
      <c r="G742" t="s">
        <v>13</v>
      </c>
      <c r="H742" t="s">
        <v>13</v>
      </c>
      <c r="I742">
        <v>41</v>
      </c>
      <c r="J742" t="str" cm="1">
        <f t="array" ref="J742">_xlfn.IFS(ISBLANK(C742),"FALTANTE",ABS((C742-$W$5)/$X$5)&gt;1.96,"ATÍPICO",ABS((C742-$W$5)/$X$5)&lt;=1.96,"NO ATÍPICO")</f>
        <v>NO ATÍPICO</v>
      </c>
      <c r="K742" t="str" cm="1">
        <f t="array" ref="K742">_xlfn.IFS(ISBLANK(I742),"FALTANTE",ABS((I742-$W$8)/$X$8)&gt;1.92,"ATÍPICO",ABS((I742-$W$8)/$X$8)&lt;=1.92,"NO ATÍPICO")</f>
        <v>NO ATÍPICO</v>
      </c>
      <c r="L742">
        <f t="shared" si="55"/>
        <v>278030</v>
      </c>
      <c r="M742" t="str">
        <f t="shared" si="59"/>
        <v>CONVENIOS ESPECIALES DE TRABAJADORES INDEPENDIENTES</v>
      </c>
      <c r="N742">
        <f t="shared" si="56"/>
        <v>41</v>
      </c>
      <c r="O742" s="19" t="str">
        <f t="shared" si="57"/>
        <v>0–300k</v>
      </c>
      <c r="P742" s="19" t="str">
        <f t="shared" si="58"/>
        <v>36-45</v>
      </c>
    </row>
    <row r="743" spans="1:16" x14ac:dyDescent="0.25">
      <c r="A743">
        <v>742</v>
      </c>
      <c r="B743" t="s">
        <v>15</v>
      </c>
      <c r="C743">
        <v>194000</v>
      </c>
      <c r="D743" t="s">
        <v>10</v>
      </c>
      <c r="E743" t="s">
        <v>16</v>
      </c>
      <c r="F743" t="s">
        <v>12</v>
      </c>
      <c r="G743" t="s">
        <v>12</v>
      </c>
      <c r="H743" t="s">
        <v>13</v>
      </c>
      <c r="I743">
        <v>33</v>
      </c>
      <c r="J743" t="str" cm="1">
        <f t="array" ref="J743">_xlfn.IFS(ISBLANK(C743),"FALTANTE",ABS((C743-$W$5)/$X$5)&gt;1.96,"ATÍPICO",ABS((C743-$W$5)/$X$5)&lt;=1.96,"NO ATÍPICO")</f>
        <v>NO ATÍPICO</v>
      </c>
      <c r="K743" t="str" cm="1">
        <f t="array" ref="K743">_xlfn.IFS(ISBLANK(I743),"FALTANTE",ABS((I743-$W$8)/$X$8)&gt;1.92,"ATÍPICO",ABS((I743-$W$8)/$X$8)&lt;=1.92,"NO ATÍPICO")</f>
        <v>NO ATÍPICO</v>
      </c>
      <c r="L743">
        <f t="shared" si="55"/>
        <v>194000</v>
      </c>
      <c r="M743" t="str">
        <f t="shared" si="59"/>
        <v>ASALARIADO</v>
      </c>
      <c r="N743">
        <f t="shared" si="56"/>
        <v>33</v>
      </c>
      <c r="O743" s="19" t="str">
        <f t="shared" si="57"/>
        <v>0–300k</v>
      </c>
      <c r="P743" s="19" t="str">
        <f t="shared" si="58"/>
        <v>26-35</v>
      </c>
    </row>
    <row r="744" spans="1:16" x14ac:dyDescent="0.25">
      <c r="A744">
        <v>743</v>
      </c>
      <c r="B744" t="s">
        <v>9</v>
      </c>
      <c r="C744">
        <v>639148</v>
      </c>
      <c r="D744" t="s">
        <v>18</v>
      </c>
      <c r="E744" t="s">
        <v>16</v>
      </c>
      <c r="F744" t="s">
        <v>12</v>
      </c>
      <c r="G744" t="s">
        <v>13</v>
      </c>
      <c r="H744" t="s">
        <v>12</v>
      </c>
      <c r="I744">
        <v>39</v>
      </c>
      <c r="J744" t="str" cm="1">
        <f t="array" ref="J744">_xlfn.IFS(ISBLANK(C744),"FALTANTE",ABS((C744-$W$5)/$X$5)&gt;1.96,"ATÍPICO",ABS((C744-$W$5)/$X$5)&lt;=1.96,"NO ATÍPICO")</f>
        <v>NO ATÍPICO</v>
      </c>
      <c r="K744" t="str" cm="1">
        <f t="array" ref="K744">_xlfn.IFS(ISBLANK(I744),"FALTANTE",ABS((I744-$W$8)/$X$8)&gt;1.92,"ATÍPICO",ABS((I744-$W$8)/$X$8)&lt;=1.92,"NO ATÍPICO")</f>
        <v>NO ATÍPICO</v>
      </c>
      <c r="L744">
        <f t="shared" si="55"/>
        <v>639148</v>
      </c>
      <c r="M744" t="str">
        <f t="shared" si="59"/>
        <v>TRABAJADOR INDEPENDIENTE</v>
      </c>
      <c r="N744">
        <f t="shared" si="56"/>
        <v>39</v>
      </c>
      <c r="O744" s="19" t="str">
        <f t="shared" si="57"/>
        <v>600k–900k</v>
      </c>
      <c r="P744" s="19" t="str">
        <f t="shared" si="58"/>
        <v>36-45</v>
      </c>
    </row>
    <row r="745" spans="1:16" x14ac:dyDescent="0.25">
      <c r="A745">
        <v>744</v>
      </c>
      <c r="B745" t="s">
        <v>15</v>
      </c>
      <c r="C745">
        <v>232016.33</v>
      </c>
      <c r="D745" t="s">
        <v>10</v>
      </c>
      <c r="E745" t="s">
        <v>16</v>
      </c>
      <c r="F745" t="s">
        <v>12</v>
      </c>
      <c r="G745" t="s">
        <v>12</v>
      </c>
      <c r="H745" t="s">
        <v>12</v>
      </c>
      <c r="I745">
        <v>47</v>
      </c>
      <c r="J745" t="str" cm="1">
        <f t="array" ref="J745">_xlfn.IFS(ISBLANK(C745),"FALTANTE",ABS((C745-$W$5)/$X$5)&gt;1.96,"ATÍPICO",ABS((C745-$W$5)/$X$5)&lt;=1.96,"NO ATÍPICO")</f>
        <v>NO ATÍPICO</v>
      </c>
      <c r="K745" t="str" cm="1">
        <f t="array" ref="K745">_xlfn.IFS(ISBLANK(I745),"FALTANTE",ABS((I745-$W$8)/$X$8)&gt;1.92,"ATÍPICO",ABS((I745-$W$8)/$X$8)&lt;=1.92,"NO ATÍPICO")</f>
        <v>NO ATÍPICO</v>
      </c>
      <c r="L745">
        <f t="shared" si="55"/>
        <v>232016.33</v>
      </c>
      <c r="M745" t="str">
        <f t="shared" si="59"/>
        <v>ASALARIADO</v>
      </c>
      <c r="N745">
        <f t="shared" si="56"/>
        <v>47</v>
      </c>
      <c r="O745" s="19" t="str">
        <f t="shared" si="57"/>
        <v>0–300k</v>
      </c>
      <c r="P745" s="19" t="str">
        <f t="shared" si="58"/>
        <v>46-55</v>
      </c>
    </row>
    <row r="746" spans="1:16" x14ac:dyDescent="0.25">
      <c r="A746">
        <v>745</v>
      </c>
      <c r="B746" t="s">
        <v>9</v>
      </c>
      <c r="C746">
        <v>255658.75</v>
      </c>
      <c r="D746" t="s">
        <v>10</v>
      </c>
      <c r="E746" t="s">
        <v>16</v>
      </c>
      <c r="F746" t="s">
        <v>12</v>
      </c>
      <c r="G746" t="s">
        <v>13</v>
      </c>
      <c r="H746" t="s">
        <v>13</v>
      </c>
      <c r="I746">
        <v>32</v>
      </c>
      <c r="J746" t="str" cm="1">
        <f t="array" ref="J746">_xlfn.IFS(ISBLANK(C746),"FALTANTE",ABS((C746-$W$5)/$X$5)&gt;1.96,"ATÍPICO",ABS((C746-$W$5)/$X$5)&lt;=1.96,"NO ATÍPICO")</f>
        <v>NO ATÍPICO</v>
      </c>
      <c r="K746" t="str" cm="1">
        <f t="array" ref="K746">_xlfn.IFS(ISBLANK(I746),"FALTANTE",ABS((I746-$W$8)/$X$8)&gt;1.92,"ATÍPICO",ABS((I746-$W$8)/$X$8)&lt;=1.92,"NO ATÍPICO")</f>
        <v>NO ATÍPICO</v>
      </c>
      <c r="L746">
        <f t="shared" si="55"/>
        <v>255658.75</v>
      </c>
      <c r="M746" t="str">
        <f t="shared" si="59"/>
        <v>ASALARIADO</v>
      </c>
      <c r="N746">
        <f t="shared" si="56"/>
        <v>32</v>
      </c>
      <c r="O746" s="19" t="str">
        <f t="shared" si="57"/>
        <v>0–300k</v>
      </c>
      <c r="P746" s="19" t="str">
        <f t="shared" si="58"/>
        <v>26-35</v>
      </c>
    </row>
    <row r="747" spans="1:16" x14ac:dyDescent="0.25">
      <c r="A747">
        <v>746</v>
      </c>
      <c r="B747" t="s">
        <v>9</v>
      </c>
      <c r="C747">
        <v>311586</v>
      </c>
      <c r="D747" t="s">
        <v>10</v>
      </c>
      <c r="E747" t="s">
        <v>16</v>
      </c>
      <c r="F747" t="s">
        <v>12</v>
      </c>
      <c r="G747" t="s">
        <v>13</v>
      </c>
      <c r="H747" t="s">
        <v>13</v>
      </c>
      <c r="I747">
        <v>51</v>
      </c>
      <c r="J747" t="str" cm="1">
        <f t="array" ref="J747">_xlfn.IFS(ISBLANK(C747),"FALTANTE",ABS((C747-$W$5)/$X$5)&gt;1.96,"ATÍPICO",ABS((C747-$W$5)/$X$5)&lt;=1.96,"NO ATÍPICO")</f>
        <v>NO ATÍPICO</v>
      </c>
      <c r="K747" t="str" cm="1">
        <f t="array" ref="K747">_xlfn.IFS(ISBLANK(I747),"FALTANTE",ABS((I747-$W$8)/$X$8)&gt;1.92,"ATÍPICO",ABS((I747-$W$8)/$X$8)&lt;=1.92,"NO ATÍPICO")</f>
        <v>NO ATÍPICO</v>
      </c>
      <c r="L747">
        <f t="shared" si="55"/>
        <v>311586</v>
      </c>
      <c r="M747" t="str">
        <f t="shared" si="59"/>
        <v>ASALARIADO</v>
      </c>
      <c r="N747">
        <f t="shared" si="56"/>
        <v>51</v>
      </c>
      <c r="O747" s="19" t="str">
        <f t="shared" si="57"/>
        <v>300k–600k</v>
      </c>
      <c r="P747" s="19" t="str">
        <f t="shared" si="58"/>
        <v>46-55</v>
      </c>
    </row>
    <row r="748" spans="1:16" x14ac:dyDescent="0.25">
      <c r="A748">
        <v>747</v>
      </c>
      <c r="B748" t="s">
        <v>15</v>
      </c>
      <c r="C748">
        <v>933864.5</v>
      </c>
      <c r="D748" t="s">
        <v>10</v>
      </c>
      <c r="E748" t="s">
        <v>11</v>
      </c>
      <c r="F748" t="s">
        <v>12</v>
      </c>
      <c r="G748" t="s">
        <v>13</v>
      </c>
      <c r="H748" t="s">
        <v>13</v>
      </c>
      <c r="I748">
        <v>31</v>
      </c>
      <c r="J748" t="str" cm="1">
        <f t="array" ref="J748">_xlfn.IFS(ISBLANK(C748),"FALTANTE",ABS((C748-$W$5)/$X$5)&gt;1.96,"ATÍPICO",ABS((C748-$W$5)/$X$5)&lt;=1.96,"NO ATÍPICO")</f>
        <v>NO ATÍPICO</v>
      </c>
      <c r="K748" t="str" cm="1">
        <f t="array" ref="K748">_xlfn.IFS(ISBLANK(I748),"FALTANTE",ABS((I748-$W$8)/$X$8)&gt;1.92,"ATÍPICO",ABS((I748-$W$8)/$X$8)&lt;=1.92,"NO ATÍPICO")</f>
        <v>NO ATÍPICO</v>
      </c>
      <c r="L748">
        <f t="shared" si="55"/>
        <v>933864.5</v>
      </c>
      <c r="M748" t="str">
        <f t="shared" si="59"/>
        <v>ASALARIADO</v>
      </c>
      <c r="N748">
        <f t="shared" si="56"/>
        <v>31</v>
      </c>
      <c r="O748" s="19" t="str">
        <f t="shared" si="57"/>
        <v>900k–1200k</v>
      </c>
      <c r="P748" s="19" t="str">
        <f t="shared" si="58"/>
        <v>26-35</v>
      </c>
    </row>
    <row r="749" spans="1:16" x14ac:dyDescent="0.25">
      <c r="A749">
        <v>748</v>
      </c>
      <c r="B749" t="s">
        <v>9</v>
      </c>
      <c r="C749">
        <v>310124</v>
      </c>
      <c r="D749" t="s">
        <v>18</v>
      </c>
      <c r="E749" t="s">
        <v>16</v>
      </c>
      <c r="F749" t="s">
        <v>12</v>
      </c>
      <c r="G749" t="s">
        <v>13</v>
      </c>
      <c r="H749" t="s">
        <v>13</v>
      </c>
      <c r="I749">
        <v>45</v>
      </c>
      <c r="J749" t="str" cm="1">
        <f t="array" ref="J749">_xlfn.IFS(ISBLANK(C749),"FALTANTE",ABS((C749-$W$5)/$X$5)&gt;1.96,"ATÍPICO",ABS((C749-$W$5)/$X$5)&lt;=1.96,"NO ATÍPICO")</f>
        <v>NO ATÍPICO</v>
      </c>
      <c r="K749" t="str" cm="1">
        <f t="array" ref="K749">_xlfn.IFS(ISBLANK(I749),"FALTANTE",ABS((I749-$W$8)/$X$8)&gt;1.92,"ATÍPICO",ABS((I749-$W$8)/$X$8)&lt;=1.92,"NO ATÍPICO")</f>
        <v>NO ATÍPICO</v>
      </c>
      <c r="L749">
        <f t="shared" si="55"/>
        <v>310124</v>
      </c>
      <c r="M749" t="str">
        <f t="shared" si="59"/>
        <v>TRABAJADOR INDEPENDIENTE</v>
      </c>
      <c r="N749">
        <f t="shared" si="56"/>
        <v>45</v>
      </c>
      <c r="O749" s="19" t="str">
        <f t="shared" si="57"/>
        <v>300k–600k</v>
      </c>
      <c r="P749" s="19" t="str">
        <f t="shared" si="58"/>
        <v>36-45</v>
      </c>
    </row>
    <row r="750" spans="1:16" x14ac:dyDescent="0.25">
      <c r="A750">
        <v>749</v>
      </c>
      <c r="B750" t="s">
        <v>15</v>
      </c>
      <c r="C750">
        <v>359544.27</v>
      </c>
      <c r="D750" t="s">
        <v>10</v>
      </c>
      <c r="E750" t="s">
        <v>16</v>
      </c>
      <c r="F750" t="s">
        <v>12</v>
      </c>
      <c r="G750" t="s">
        <v>13</v>
      </c>
      <c r="H750" t="s">
        <v>13</v>
      </c>
      <c r="I750">
        <v>25</v>
      </c>
      <c r="J750" t="str" cm="1">
        <f t="array" ref="J750">_xlfn.IFS(ISBLANK(C750),"FALTANTE",ABS((C750-$W$5)/$X$5)&gt;1.96,"ATÍPICO",ABS((C750-$W$5)/$X$5)&lt;=1.96,"NO ATÍPICO")</f>
        <v>NO ATÍPICO</v>
      </c>
      <c r="K750" t="str" cm="1">
        <f t="array" ref="K750">_xlfn.IFS(ISBLANK(I750),"FALTANTE",ABS((I750-$W$8)/$X$8)&gt;1.92,"ATÍPICO",ABS((I750-$W$8)/$X$8)&lt;=1.92,"NO ATÍPICO")</f>
        <v>NO ATÍPICO</v>
      </c>
      <c r="L750">
        <f t="shared" si="55"/>
        <v>359544.27</v>
      </c>
      <c r="M750" t="str">
        <f t="shared" si="59"/>
        <v>ASALARIADO</v>
      </c>
      <c r="N750">
        <f t="shared" si="56"/>
        <v>25</v>
      </c>
      <c r="O750" s="19" t="str">
        <f t="shared" si="57"/>
        <v>300k–600k</v>
      </c>
      <c r="P750" s="19" t="str">
        <f t="shared" si="58"/>
        <v>18-25</v>
      </c>
    </row>
    <row r="751" spans="1:16" x14ac:dyDescent="0.25">
      <c r="A751">
        <v>750</v>
      </c>
      <c r="B751" t="s">
        <v>9</v>
      </c>
      <c r="C751">
        <v>298000</v>
      </c>
      <c r="D751" t="s">
        <v>17</v>
      </c>
      <c r="E751" t="s">
        <v>16</v>
      </c>
      <c r="F751" t="s">
        <v>12</v>
      </c>
      <c r="G751" t="s">
        <v>13</v>
      </c>
      <c r="H751" t="s">
        <v>13</v>
      </c>
      <c r="I751">
        <v>63</v>
      </c>
      <c r="J751" t="str" cm="1">
        <f t="array" ref="J751">_xlfn.IFS(ISBLANK(C751),"FALTANTE",ABS((C751-$W$5)/$X$5)&gt;1.96,"ATÍPICO",ABS((C751-$W$5)/$X$5)&lt;=1.96,"NO ATÍPICO")</f>
        <v>NO ATÍPICO</v>
      </c>
      <c r="K751" t="str" cm="1">
        <f t="array" ref="K751">_xlfn.IFS(ISBLANK(I751),"FALTANTE",ABS((I751-$W$8)/$X$8)&gt;1.92,"ATÍPICO",ABS((I751-$W$8)/$X$8)&lt;=1.92,"NO ATÍPICO")</f>
        <v>NO ATÍPICO</v>
      </c>
      <c r="L751">
        <f t="shared" si="55"/>
        <v>298000</v>
      </c>
      <c r="M751" t="str">
        <f t="shared" si="59"/>
        <v>ASEGURADO VOLUNTARIO</v>
      </c>
      <c r="N751">
        <f t="shared" si="56"/>
        <v>63</v>
      </c>
      <c r="O751" s="19" t="str">
        <f t="shared" si="57"/>
        <v>0–300k</v>
      </c>
      <c r="P751" s="19" t="str">
        <f t="shared" si="58"/>
        <v>56+</v>
      </c>
    </row>
    <row r="752" spans="1:16" x14ac:dyDescent="0.25">
      <c r="A752">
        <v>751</v>
      </c>
      <c r="B752" t="s">
        <v>15</v>
      </c>
      <c r="C752">
        <v>990303</v>
      </c>
      <c r="D752" t="s">
        <v>14</v>
      </c>
      <c r="E752" t="s">
        <v>11</v>
      </c>
      <c r="F752" t="s">
        <v>12</v>
      </c>
      <c r="G752" t="s">
        <v>13</v>
      </c>
      <c r="H752" t="s">
        <v>13</v>
      </c>
      <c r="I752">
        <v>80</v>
      </c>
      <c r="J752" t="str" cm="1">
        <f t="array" ref="J752">_xlfn.IFS(ISBLANK(C752),"FALTANTE",ABS((C752-$W$5)/$X$5)&gt;1.96,"ATÍPICO",ABS((C752-$W$5)/$X$5)&lt;=1.96,"NO ATÍPICO")</f>
        <v>NO ATÍPICO</v>
      </c>
      <c r="K752" t="str" cm="1">
        <f t="array" ref="K752">_xlfn.IFS(ISBLANK(I752),"FALTANTE",ABS((I752-$W$8)/$X$8)&gt;1.92,"ATÍPICO",ABS((I752-$W$8)/$X$8)&lt;=1.92,"NO ATÍPICO")</f>
        <v>ATÍPICO</v>
      </c>
      <c r="L752">
        <f t="shared" si="55"/>
        <v>990303</v>
      </c>
      <c r="M752" t="str">
        <f t="shared" si="59"/>
        <v>PENSIONADOS EN SU PROPIO SISTEMA</v>
      </c>
      <c r="N752">
        <f t="shared" si="56"/>
        <v>80</v>
      </c>
      <c r="O752" s="19" t="str">
        <f t="shared" si="57"/>
        <v>900k–1200k</v>
      </c>
      <c r="P752" s="19" t="str">
        <f t="shared" si="58"/>
        <v>56+</v>
      </c>
    </row>
    <row r="753" spans="1:16" x14ac:dyDescent="0.25">
      <c r="A753">
        <v>752</v>
      </c>
      <c r="B753" t="s">
        <v>15</v>
      </c>
      <c r="C753">
        <v>297046</v>
      </c>
      <c r="D753" t="s">
        <v>17</v>
      </c>
      <c r="E753" t="s">
        <v>16</v>
      </c>
      <c r="F753" t="s">
        <v>12</v>
      </c>
      <c r="G753" t="s">
        <v>13</v>
      </c>
      <c r="H753" t="s">
        <v>13</v>
      </c>
      <c r="I753">
        <v>39</v>
      </c>
      <c r="J753" t="str" cm="1">
        <f t="array" ref="J753">_xlfn.IFS(ISBLANK(C753),"FALTANTE",ABS((C753-$W$5)/$X$5)&gt;1.96,"ATÍPICO",ABS((C753-$W$5)/$X$5)&lt;=1.96,"NO ATÍPICO")</f>
        <v>NO ATÍPICO</v>
      </c>
      <c r="K753" t="str" cm="1">
        <f t="array" ref="K753">_xlfn.IFS(ISBLANK(I753),"FALTANTE",ABS((I753-$W$8)/$X$8)&gt;1.92,"ATÍPICO",ABS((I753-$W$8)/$X$8)&lt;=1.92,"NO ATÍPICO")</f>
        <v>NO ATÍPICO</v>
      </c>
      <c r="L753">
        <f t="shared" si="55"/>
        <v>297046</v>
      </c>
      <c r="M753" t="str">
        <f t="shared" si="59"/>
        <v>ASEGURADO VOLUNTARIO</v>
      </c>
      <c r="N753">
        <f t="shared" si="56"/>
        <v>39</v>
      </c>
      <c r="O753" s="19" t="str">
        <f t="shared" si="57"/>
        <v>0–300k</v>
      </c>
      <c r="P753" s="19" t="str">
        <f t="shared" si="58"/>
        <v>36-45</v>
      </c>
    </row>
    <row r="754" spans="1:16" x14ac:dyDescent="0.25">
      <c r="A754">
        <v>753</v>
      </c>
      <c r="B754" t="s">
        <v>9</v>
      </c>
      <c r="C754">
        <v>2760356.1</v>
      </c>
      <c r="D754" t="s">
        <v>10</v>
      </c>
      <c r="E754" t="s">
        <v>11</v>
      </c>
      <c r="F754" t="s">
        <v>12</v>
      </c>
      <c r="G754" t="s">
        <v>13</v>
      </c>
      <c r="H754" t="s">
        <v>13</v>
      </c>
      <c r="I754">
        <v>28</v>
      </c>
      <c r="J754" t="str" cm="1">
        <f t="array" ref="J754">_xlfn.IFS(ISBLANK(C754),"FALTANTE",ABS((C754-$W$5)/$X$5)&gt;1.96,"ATÍPICO",ABS((C754-$W$5)/$X$5)&lt;=1.96,"NO ATÍPICO")</f>
        <v>ATÍPICO</v>
      </c>
      <c r="K754" t="str" cm="1">
        <f t="array" ref="K754">_xlfn.IFS(ISBLANK(I754),"FALTANTE",ABS((I754-$W$8)/$X$8)&gt;1.92,"ATÍPICO",ABS((I754-$W$8)/$X$8)&lt;=1.92,"NO ATÍPICO")</f>
        <v>NO ATÍPICO</v>
      </c>
      <c r="L754">
        <f t="shared" si="55"/>
        <v>2760356.1</v>
      </c>
      <c r="M754" t="str">
        <f t="shared" si="59"/>
        <v>ASALARIADO</v>
      </c>
      <c r="N754">
        <f t="shared" si="56"/>
        <v>28</v>
      </c>
      <c r="O754" s="19" t="str">
        <f t="shared" si="57"/>
        <v>1200k+</v>
      </c>
      <c r="P754" s="19" t="str">
        <f t="shared" si="58"/>
        <v>26-35</v>
      </c>
    </row>
    <row r="755" spans="1:16" x14ac:dyDescent="0.25">
      <c r="A755">
        <v>754</v>
      </c>
      <c r="B755" t="s">
        <v>9</v>
      </c>
      <c r="C755">
        <v>2244669.12</v>
      </c>
      <c r="D755" t="s">
        <v>10</v>
      </c>
      <c r="E755" t="s">
        <v>16</v>
      </c>
      <c r="F755" t="s">
        <v>12</v>
      </c>
      <c r="G755" t="s">
        <v>13</v>
      </c>
      <c r="H755" t="s">
        <v>13</v>
      </c>
      <c r="I755">
        <v>37</v>
      </c>
      <c r="J755" t="str" cm="1">
        <f t="array" ref="J755">_xlfn.IFS(ISBLANK(C755),"FALTANTE",ABS((C755-$W$5)/$X$5)&gt;1.96,"ATÍPICO",ABS((C755-$W$5)/$X$5)&lt;=1.96,"NO ATÍPICO")</f>
        <v>NO ATÍPICO</v>
      </c>
      <c r="K755" t="str" cm="1">
        <f t="array" ref="K755">_xlfn.IFS(ISBLANK(I755),"FALTANTE",ABS((I755-$W$8)/$X$8)&gt;1.92,"ATÍPICO",ABS((I755-$W$8)/$X$8)&lt;=1.92,"NO ATÍPICO")</f>
        <v>NO ATÍPICO</v>
      </c>
      <c r="L755">
        <f t="shared" si="55"/>
        <v>2244669.12</v>
      </c>
      <c r="M755" t="str">
        <f t="shared" si="59"/>
        <v>ASALARIADO</v>
      </c>
      <c r="N755">
        <f t="shared" si="56"/>
        <v>37</v>
      </c>
      <c r="O755" s="19" t="str">
        <f t="shared" si="57"/>
        <v>1200k+</v>
      </c>
      <c r="P755" s="19" t="str">
        <f t="shared" si="58"/>
        <v>36-45</v>
      </c>
    </row>
    <row r="756" spans="1:16" x14ac:dyDescent="0.25">
      <c r="A756">
        <v>755</v>
      </c>
      <c r="B756" t="s">
        <v>15</v>
      </c>
      <c r="C756">
        <v>297045</v>
      </c>
      <c r="D756" t="s">
        <v>18</v>
      </c>
      <c r="E756" t="s">
        <v>16</v>
      </c>
      <c r="F756" t="s">
        <v>12</v>
      </c>
      <c r="G756" t="s">
        <v>13</v>
      </c>
      <c r="H756" t="s">
        <v>12</v>
      </c>
      <c r="I756">
        <v>53</v>
      </c>
      <c r="J756" t="str" cm="1">
        <f t="array" ref="J756">_xlfn.IFS(ISBLANK(C756),"FALTANTE",ABS((C756-$W$5)/$X$5)&gt;1.96,"ATÍPICO",ABS((C756-$W$5)/$X$5)&lt;=1.96,"NO ATÍPICO")</f>
        <v>NO ATÍPICO</v>
      </c>
      <c r="K756" t="str" cm="1">
        <f t="array" ref="K756">_xlfn.IFS(ISBLANK(I756),"FALTANTE",ABS((I756-$W$8)/$X$8)&gt;1.92,"ATÍPICO",ABS((I756-$W$8)/$X$8)&lt;=1.92,"NO ATÍPICO")</f>
        <v>NO ATÍPICO</v>
      </c>
      <c r="L756">
        <f t="shared" si="55"/>
        <v>297045</v>
      </c>
      <c r="M756" t="str">
        <f t="shared" si="59"/>
        <v>TRABAJADOR INDEPENDIENTE</v>
      </c>
      <c r="N756">
        <f t="shared" si="56"/>
        <v>53</v>
      </c>
      <c r="O756" s="19" t="str">
        <f t="shared" si="57"/>
        <v>0–300k</v>
      </c>
      <c r="P756" s="19" t="str">
        <f t="shared" si="58"/>
        <v>46-55</v>
      </c>
    </row>
    <row r="757" spans="1:16" x14ac:dyDescent="0.25">
      <c r="A757">
        <v>756</v>
      </c>
      <c r="B757" t="s">
        <v>9</v>
      </c>
      <c r="C757">
        <v>1271852.72</v>
      </c>
      <c r="D757" t="s">
        <v>10</v>
      </c>
      <c r="E757" t="s">
        <v>16</v>
      </c>
      <c r="F757" t="s">
        <v>12</v>
      </c>
      <c r="G757" t="s">
        <v>13</v>
      </c>
      <c r="H757" t="s">
        <v>13</v>
      </c>
      <c r="I757">
        <v>34</v>
      </c>
      <c r="J757" t="str" cm="1">
        <f t="array" ref="J757">_xlfn.IFS(ISBLANK(C757),"FALTANTE",ABS((C757-$W$5)/$X$5)&gt;1.96,"ATÍPICO",ABS((C757-$W$5)/$X$5)&lt;=1.96,"NO ATÍPICO")</f>
        <v>NO ATÍPICO</v>
      </c>
      <c r="K757" t="str" cm="1">
        <f t="array" ref="K757">_xlfn.IFS(ISBLANK(I757),"FALTANTE",ABS((I757-$W$8)/$X$8)&gt;1.92,"ATÍPICO",ABS((I757-$W$8)/$X$8)&lt;=1.92,"NO ATÍPICO")</f>
        <v>NO ATÍPICO</v>
      </c>
      <c r="L757">
        <f t="shared" si="55"/>
        <v>1271852.72</v>
      </c>
      <c r="M757" t="str">
        <f t="shared" si="59"/>
        <v>ASALARIADO</v>
      </c>
      <c r="N757">
        <f t="shared" si="56"/>
        <v>34</v>
      </c>
      <c r="O757" s="19" t="str">
        <f t="shared" si="57"/>
        <v>1200k+</v>
      </c>
      <c r="P757" s="19" t="str">
        <f t="shared" si="58"/>
        <v>26-35</v>
      </c>
    </row>
    <row r="758" spans="1:16" x14ac:dyDescent="0.25">
      <c r="A758">
        <v>757</v>
      </c>
      <c r="B758" t="s">
        <v>15</v>
      </c>
      <c r="C758">
        <v>2058548.97</v>
      </c>
      <c r="D758" t="s">
        <v>10</v>
      </c>
      <c r="E758" t="s">
        <v>11</v>
      </c>
      <c r="F758" t="s">
        <v>12</v>
      </c>
      <c r="G758" t="s">
        <v>13</v>
      </c>
      <c r="H758" t="s">
        <v>13</v>
      </c>
      <c r="I758">
        <v>38</v>
      </c>
      <c r="J758" t="str" cm="1">
        <f t="array" ref="J758">_xlfn.IFS(ISBLANK(C758),"FALTANTE",ABS((C758-$W$5)/$X$5)&gt;1.96,"ATÍPICO",ABS((C758-$W$5)/$X$5)&lt;=1.96,"NO ATÍPICO")</f>
        <v>NO ATÍPICO</v>
      </c>
      <c r="K758" t="str" cm="1">
        <f t="array" ref="K758">_xlfn.IFS(ISBLANK(I758),"FALTANTE",ABS((I758-$W$8)/$X$8)&gt;1.92,"ATÍPICO",ABS((I758-$W$8)/$X$8)&lt;=1.92,"NO ATÍPICO")</f>
        <v>NO ATÍPICO</v>
      </c>
      <c r="L758">
        <f t="shared" si="55"/>
        <v>2058548.97</v>
      </c>
      <c r="M758" t="str">
        <f t="shared" si="59"/>
        <v>ASALARIADO</v>
      </c>
      <c r="N758">
        <f t="shared" si="56"/>
        <v>38</v>
      </c>
      <c r="O758" s="19" t="str">
        <f t="shared" si="57"/>
        <v>1200k+</v>
      </c>
      <c r="P758" s="19" t="str">
        <f t="shared" si="58"/>
        <v>36-45</v>
      </c>
    </row>
    <row r="759" spans="1:16" x14ac:dyDescent="0.25">
      <c r="A759">
        <v>758</v>
      </c>
      <c r="B759" t="s">
        <v>15</v>
      </c>
      <c r="C759">
        <v>352379</v>
      </c>
      <c r="D759" t="s">
        <v>10</v>
      </c>
      <c r="E759" t="s">
        <v>16</v>
      </c>
      <c r="F759" t="s">
        <v>12</v>
      </c>
      <c r="G759" t="s">
        <v>13</v>
      </c>
      <c r="H759" t="s">
        <v>13</v>
      </c>
      <c r="I759">
        <v>39</v>
      </c>
      <c r="J759" t="str" cm="1">
        <f t="array" ref="J759">_xlfn.IFS(ISBLANK(C759),"FALTANTE",ABS((C759-$W$5)/$X$5)&gt;1.96,"ATÍPICO",ABS((C759-$W$5)/$X$5)&lt;=1.96,"NO ATÍPICO")</f>
        <v>NO ATÍPICO</v>
      </c>
      <c r="K759" t="str" cm="1">
        <f t="array" ref="K759">_xlfn.IFS(ISBLANK(I759),"FALTANTE",ABS((I759-$W$8)/$X$8)&gt;1.92,"ATÍPICO",ABS((I759-$W$8)/$X$8)&lt;=1.92,"NO ATÍPICO")</f>
        <v>NO ATÍPICO</v>
      </c>
      <c r="L759">
        <f t="shared" si="55"/>
        <v>352379</v>
      </c>
      <c r="M759" t="str">
        <f t="shared" si="59"/>
        <v>ASALARIADO</v>
      </c>
      <c r="N759">
        <f t="shared" si="56"/>
        <v>39</v>
      </c>
      <c r="O759" s="19" t="str">
        <f t="shared" si="57"/>
        <v>300k–600k</v>
      </c>
      <c r="P759" s="19" t="str">
        <f t="shared" si="58"/>
        <v>36-45</v>
      </c>
    </row>
    <row r="760" spans="1:16" x14ac:dyDescent="0.25">
      <c r="A760">
        <v>759</v>
      </c>
      <c r="B760" t="s">
        <v>15</v>
      </c>
      <c r="C760">
        <v>2389951.08</v>
      </c>
      <c r="D760" t="s">
        <v>10</v>
      </c>
      <c r="E760" t="s">
        <v>11</v>
      </c>
      <c r="F760" t="s">
        <v>12</v>
      </c>
      <c r="G760" t="s">
        <v>13</v>
      </c>
      <c r="H760" t="s">
        <v>13</v>
      </c>
      <c r="I760">
        <v>61</v>
      </c>
      <c r="J760" t="str" cm="1">
        <f t="array" ref="J760">_xlfn.IFS(ISBLANK(C760),"FALTANTE",ABS((C760-$W$5)/$X$5)&gt;1.96,"ATÍPICO",ABS((C760-$W$5)/$X$5)&lt;=1.96,"NO ATÍPICO")</f>
        <v>ATÍPICO</v>
      </c>
      <c r="K760" t="str" cm="1">
        <f t="array" ref="K760">_xlfn.IFS(ISBLANK(I760),"FALTANTE",ABS((I760-$W$8)/$X$8)&gt;1.92,"ATÍPICO",ABS((I760-$W$8)/$X$8)&lt;=1.92,"NO ATÍPICO")</f>
        <v>NO ATÍPICO</v>
      </c>
      <c r="L760">
        <f t="shared" si="55"/>
        <v>2389951.08</v>
      </c>
      <c r="M760" t="str">
        <f t="shared" si="59"/>
        <v>ASALARIADO</v>
      </c>
      <c r="N760">
        <f t="shared" si="56"/>
        <v>61</v>
      </c>
      <c r="O760" s="19" t="str">
        <f t="shared" si="57"/>
        <v>1200k+</v>
      </c>
      <c r="P760" s="19" t="str">
        <f t="shared" si="58"/>
        <v>56+</v>
      </c>
    </row>
    <row r="761" spans="1:16" x14ac:dyDescent="0.25">
      <c r="A761">
        <v>760</v>
      </c>
      <c r="B761" t="s">
        <v>15</v>
      </c>
      <c r="C761">
        <v>450886</v>
      </c>
      <c r="D761" t="s">
        <v>18</v>
      </c>
      <c r="E761" t="s">
        <v>16</v>
      </c>
      <c r="F761" t="s">
        <v>12</v>
      </c>
      <c r="G761" t="s">
        <v>13</v>
      </c>
      <c r="H761" t="s">
        <v>12</v>
      </c>
      <c r="I761">
        <v>51</v>
      </c>
      <c r="J761" t="str" cm="1">
        <f t="array" ref="J761">_xlfn.IFS(ISBLANK(C761),"FALTANTE",ABS((C761-$W$5)/$X$5)&gt;1.96,"ATÍPICO",ABS((C761-$W$5)/$X$5)&lt;=1.96,"NO ATÍPICO")</f>
        <v>NO ATÍPICO</v>
      </c>
      <c r="K761" t="str" cm="1">
        <f t="array" ref="K761">_xlfn.IFS(ISBLANK(I761),"FALTANTE",ABS((I761-$W$8)/$X$8)&gt;1.92,"ATÍPICO",ABS((I761-$W$8)/$X$8)&lt;=1.92,"NO ATÍPICO")</f>
        <v>NO ATÍPICO</v>
      </c>
      <c r="L761">
        <f t="shared" si="55"/>
        <v>450886</v>
      </c>
      <c r="M761" t="str">
        <f t="shared" si="59"/>
        <v>TRABAJADOR INDEPENDIENTE</v>
      </c>
      <c r="N761">
        <f t="shared" si="56"/>
        <v>51</v>
      </c>
      <c r="O761" s="19" t="str">
        <f t="shared" si="57"/>
        <v>300k–600k</v>
      </c>
      <c r="P761" s="19" t="str">
        <f t="shared" si="58"/>
        <v>46-55</v>
      </c>
    </row>
    <row r="762" spans="1:16" x14ac:dyDescent="0.25">
      <c r="A762">
        <v>761</v>
      </c>
      <c r="B762" t="s">
        <v>9</v>
      </c>
      <c r="C762">
        <v>558635.76</v>
      </c>
      <c r="D762" t="s">
        <v>10</v>
      </c>
      <c r="E762" t="s">
        <v>16</v>
      </c>
      <c r="F762" t="s">
        <v>12</v>
      </c>
      <c r="G762" t="s">
        <v>13</v>
      </c>
      <c r="H762" t="s">
        <v>13</v>
      </c>
      <c r="I762">
        <v>34</v>
      </c>
      <c r="J762" t="str" cm="1">
        <f t="array" ref="J762">_xlfn.IFS(ISBLANK(C762),"FALTANTE",ABS((C762-$W$5)/$X$5)&gt;1.96,"ATÍPICO",ABS((C762-$W$5)/$X$5)&lt;=1.96,"NO ATÍPICO")</f>
        <v>NO ATÍPICO</v>
      </c>
      <c r="K762" t="str" cm="1">
        <f t="array" ref="K762">_xlfn.IFS(ISBLANK(I762),"FALTANTE",ABS((I762-$W$8)/$X$8)&gt;1.92,"ATÍPICO",ABS((I762-$W$8)/$X$8)&lt;=1.92,"NO ATÍPICO")</f>
        <v>NO ATÍPICO</v>
      </c>
      <c r="L762">
        <f t="shared" si="55"/>
        <v>558635.76</v>
      </c>
      <c r="M762" t="str">
        <f t="shared" si="59"/>
        <v>ASALARIADO</v>
      </c>
      <c r="N762">
        <f t="shared" si="56"/>
        <v>34</v>
      </c>
      <c r="O762" s="19" t="str">
        <f t="shared" si="57"/>
        <v>300k–600k</v>
      </c>
      <c r="P762" s="19" t="str">
        <f t="shared" si="58"/>
        <v>26-35</v>
      </c>
    </row>
    <row r="763" spans="1:16" x14ac:dyDescent="0.25">
      <c r="A763">
        <v>762</v>
      </c>
      <c r="B763" t="s">
        <v>9</v>
      </c>
      <c r="C763">
        <v>489159</v>
      </c>
      <c r="D763" t="s">
        <v>10</v>
      </c>
      <c r="E763" t="s">
        <v>16</v>
      </c>
      <c r="F763" t="s">
        <v>12</v>
      </c>
      <c r="G763" t="s">
        <v>12</v>
      </c>
      <c r="H763" t="s">
        <v>13</v>
      </c>
      <c r="I763">
        <v>34</v>
      </c>
      <c r="J763" t="str" cm="1">
        <f t="array" ref="J763">_xlfn.IFS(ISBLANK(C763),"FALTANTE",ABS((C763-$W$5)/$X$5)&gt;1.96,"ATÍPICO",ABS((C763-$W$5)/$X$5)&lt;=1.96,"NO ATÍPICO")</f>
        <v>NO ATÍPICO</v>
      </c>
      <c r="K763" t="str" cm="1">
        <f t="array" ref="K763">_xlfn.IFS(ISBLANK(I763),"FALTANTE",ABS((I763-$W$8)/$X$8)&gt;1.92,"ATÍPICO",ABS((I763-$W$8)/$X$8)&lt;=1.92,"NO ATÍPICO")</f>
        <v>NO ATÍPICO</v>
      </c>
      <c r="L763">
        <f t="shared" si="55"/>
        <v>489159</v>
      </c>
      <c r="M763" t="str">
        <f t="shared" si="59"/>
        <v>ASALARIADO</v>
      </c>
      <c r="N763">
        <f t="shared" si="56"/>
        <v>34</v>
      </c>
      <c r="O763" s="19" t="str">
        <f t="shared" si="57"/>
        <v>300k–600k</v>
      </c>
      <c r="P763" s="19" t="str">
        <f t="shared" si="58"/>
        <v>26-35</v>
      </c>
    </row>
    <row r="764" spans="1:16" x14ac:dyDescent="0.25">
      <c r="A764">
        <v>763</v>
      </c>
      <c r="B764" t="s">
        <v>15</v>
      </c>
      <c r="C764">
        <v>463300</v>
      </c>
      <c r="D764" t="s">
        <v>10</v>
      </c>
      <c r="E764" t="s">
        <v>16</v>
      </c>
      <c r="F764" t="s">
        <v>12</v>
      </c>
      <c r="G764" t="s">
        <v>13</v>
      </c>
      <c r="H764" t="s">
        <v>13</v>
      </c>
      <c r="I764">
        <v>40</v>
      </c>
      <c r="J764" t="str" cm="1">
        <f t="array" ref="J764">_xlfn.IFS(ISBLANK(C764),"FALTANTE",ABS((C764-$W$5)/$X$5)&gt;1.96,"ATÍPICO",ABS((C764-$W$5)/$X$5)&lt;=1.96,"NO ATÍPICO")</f>
        <v>NO ATÍPICO</v>
      </c>
      <c r="K764" t="str" cm="1">
        <f t="array" ref="K764">_xlfn.IFS(ISBLANK(I764),"FALTANTE",ABS((I764-$W$8)/$X$8)&gt;1.92,"ATÍPICO",ABS((I764-$W$8)/$X$8)&lt;=1.92,"NO ATÍPICO")</f>
        <v>NO ATÍPICO</v>
      </c>
      <c r="L764">
        <f t="shared" si="55"/>
        <v>463300</v>
      </c>
      <c r="M764" t="str">
        <f t="shared" si="59"/>
        <v>ASALARIADO</v>
      </c>
      <c r="N764">
        <f t="shared" si="56"/>
        <v>40</v>
      </c>
      <c r="O764" s="19" t="str">
        <f t="shared" si="57"/>
        <v>300k–600k</v>
      </c>
      <c r="P764" s="19" t="str">
        <f t="shared" si="58"/>
        <v>36-45</v>
      </c>
    </row>
    <row r="765" spans="1:16" x14ac:dyDescent="0.25">
      <c r="A765">
        <v>764</v>
      </c>
      <c r="B765" t="s">
        <v>9</v>
      </c>
      <c r="C765">
        <v>360904.76</v>
      </c>
      <c r="D765" t="s">
        <v>10</v>
      </c>
      <c r="E765" t="s">
        <v>16</v>
      </c>
      <c r="F765" t="s">
        <v>12</v>
      </c>
      <c r="G765" t="s">
        <v>12</v>
      </c>
      <c r="H765" t="s">
        <v>13</v>
      </c>
      <c r="I765">
        <v>43</v>
      </c>
      <c r="J765" t="str" cm="1">
        <f t="array" ref="J765">_xlfn.IFS(ISBLANK(C765),"FALTANTE",ABS((C765-$W$5)/$X$5)&gt;1.96,"ATÍPICO",ABS((C765-$W$5)/$X$5)&lt;=1.96,"NO ATÍPICO")</f>
        <v>NO ATÍPICO</v>
      </c>
      <c r="K765" t="str" cm="1">
        <f t="array" ref="K765">_xlfn.IFS(ISBLANK(I765),"FALTANTE",ABS((I765-$W$8)/$X$8)&gt;1.92,"ATÍPICO",ABS((I765-$W$8)/$X$8)&lt;=1.92,"NO ATÍPICO")</f>
        <v>NO ATÍPICO</v>
      </c>
      <c r="L765">
        <f t="shared" si="55"/>
        <v>360904.76</v>
      </c>
      <c r="M765" t="str">
        <f t="shared" si="59"/>
        <v>ASALARIADO</v>
      </c>
      <c r="N765">
        <f t="shared" si="56"/>
        <v>43</v>
      </c>
      <c r="O765" s="19" t="str">
        <f t="shared" si="57"/>
        <v>300k–600k</v>
      </c>
      <c r="P765" s="19" t="str">
        <f t="shared" si="58"/>
        <v>36-45</v>
      </c>
    </row>
    <row r="766" spans="1:16" x14ac:dyDescent="0.25">
      <c r="A766">
        <v>765</v>
      </c>
      <c r="B766" t="s">
        <v>15</v>
      </c>
      <c r="C766">
        <v>1156421</v>
      </c>
      <c r="D766" t="s">
        <v>10</v>
      </c>
      <c r="E766" t="s">
        <v>11</v>
      </c>
      <c r="F766" t="s">
        <v>12</v>
      </c>
      <c r="G766" t="s">
        <v>13</v>
      </c>
      <c r="H766" t="s">
        <v>12</v>
      </c>
      <c r="I766">
        <v>36</v>
      </c>
      <c r="J766" t="str" cm="1">
        <f t="array" ref="J766">_xlfn.IFS(ISBLANK(C766),"FALTANTE",ABS((C766-$W$5)/$X$5)&gt;1.96,"ATÍPICO",ABS((C766-$W$5)/$X$5)&lt;=1.96,"NO ATÍPICO")</f>
        <v>NO ATÍPICO</v>
      </c>
      <c r="K766" t="str" cm="1">
        <f t="array" ref="K766">_xlfn.IFS(ISBLANK(I766),"FALTANTE",ABS((I766-$W$8)/$X$8)&gt;1.92,"ATÍPICO",ABS((I766-$W$8)/$X$8)&lt;=1.92,"NO ATÍPICO")</f>
        <v>NO ATÍPICO</v>
      </c>
      <c r="L766">
        <f t="shared" si="55"/>
        <v>1156421</v>
      </c>
      <c r="M766" t="str">
        <f t="shared" si="59"/>
        <v>ASALARIADO</v>
      </c>
      <c r="N766">
        <f t="shared" si="56"/>
        <v>36</v>
      </c>
      <c r="O766" s="19" t="str">
        <f t="shared" si="57"/>
        <v>900k–1200k</v>
      </c>
      <c r="P766" s="19" t="str">
        <f t="shared" si="58"/>
        <v>36-45</v>
      </c>
    </row>
    <row r="767" spans="1:16" x14ac:dyDescent="0.25">
      <c r="A767">
        <v>766</v>
      </c>
      <c r="B767" t="s">
        <v>9</v>
      </c>
      <c r="C767">
        <v>388293</v>
      </c>
      <c r="D767" t="s">
        <v>10</v>
      </c>
      <c r="E767" t="s">
        <v>16</v>
      </c>
      <c r="F767" t="s">
        <v>12</v>
      </c>
      <c r="G767" t="s">
        <v>13</v>
      </c>
      <c r="H767" t="s">
        <v>13</v>
      </c>
      <c r="I767">
        <v>53</v>
      </c>
      <c r="J767" t="str" cm="1">
        <f t="array" ref="J767">_xlfn.IFS(ISBLANK(C767),"FALTANTE",ABS((C767-$W$5)/$X$5)&gt;1.96,"ATÍPICO",ABS((C767-$W$5)/$X$5)&lt;=1.96,"NO ATÍPICO")</f>
        <v>NO ATÍPICO</v>
      </c>
      <c r="K767" t="str" cm="1">
        <f t="array" ref="K767">_xlfn.IFS(ISBLANK(I767),"FALTANTE",ABS((I767-$W$8)/$X$8)&gt;1.92,"ATÍPICO",ABS((I767-$W$8)/$X$8)&lt;=1.92,"NO ATÍPICO")</f>
        <v>NO ATÍPICO</v>
      </c>
      <c r="L767">
        <f t="shared" si="55"/>
        <v>388293</v>
      </c>
      <c r="M767" t="str">
        <f t="shared" si="59"/>
        <v>ASALARIADO</v>
      </c>
      <c r="N767">
        <f t="shared" si="56"/>
        <v>53</v>
      </c>
      <c r="O767" s="19" t="str">
        <f t="shared" si="57"/>
        <v>300k–600k</v>
      </c>
      <c r="P767" s="19" t="str">
        <f t="shared" si="58"/>
        <v>46-55</v>
      </c>
    </row>
    <row r="768" spans="1:16" x14ac:dyDescent="0.25">
      <c r="A768">
        <v>767</v>
      </c>
      <c r="B768" t="s">
        <v>9</v>
      </c>
      <c r="C768">
        <v>1214906</v>
      </c>
      <c r="D768" t="s">
        <v>10</v>
      </c>
      <c r="E768" t="s">
        <v>11</v>
      </c>
      <c r="F768" t="s">
        <v>12</v>
      </c>
      <c r="G768" t="s">
        <v>13</v>
      </c>
      <c r="H768" t="s">
        <v>13</v>
      </c>
      <c r="I768">
        <v>29</v>
      </c>
      <c r="J768" t="str" cm="1">
        <f t="array" ref="J768">_xlfn.IFS(ISBLANK(C768),"FALTANTE",ABS((C768-$W$5)/$X$5)&gt;1.96,"ATÍPICO",ABS((C768-$W$5)/$X$5)&lt;=1.96,"NO ATÍPICO")</f>
        <v>NO ATÍPICO</v>
      </c>
      <c r="K768" t="str" cm="1">
        <f t="array" ref="K768">_xlfn.IFS(ISBLANK(I768),"FALTANTE",ABS((I768-$W$8)/$X$8)&gt;1.92,"ATÍPICO",ABS((I768-$W$8)/$X$8)&lt;=1.92,"NO ATÍPICO")</f>
        <v>NO ATÍPICO</v>
      </c>
      <c r="L768">
        <f t="shared" si="55"/>
        <v>1214906</v>
      </c>
      <c r="M768" t="str">
        <f t="shared" si="59"/>
        <v>ASALARIADO</v>
      </c>
      <c r="N768">
        <f t="shared" si="56"/>
        <v>29</v>
      </c>
      <c r="O768" s="19" t="str">
        <f t="shared" si="57"/>
        <v>1200k+</v>
      </c>
      <c r="P768" s="19" t="str">
        <f t="shared" si="58"/>
        <v>26-35</v>
      </c>
    </row>
    <row r="769" spans="1:16" x14ac:dyDescent="0.25">
      <c r="A769">
        <v>768</v>
      </c>
      <c r="B769" t="s">
        <v>9</v>
      </c>
      <c r="C769">
        <v>795801</v>
      </c>
      <c r="D769" t="s">
        <v>10</v>
      </c>
      <c r="E769" t="s">
        <v>11</v>
      </c>
      <c r="F769" t="s">
        <v>12</v>
      </c>
      <c r="G769" t="s">
        <v>13</v>
      </c>
      <c r="H769" t="s">
        <v>13</v>
      </c>
      <c r="I769">
        <v>36</v>
      </c>
      <c r="J769" t="str" cm="1">
        <f t="array" ref="J769">_xlfn.IFS(ISBLANK(C769),"FALTANTE",ABS((C769-$W$5)/$X$5)&gt;1.96,"ATÍPICO",ABS((C769-$W$5)/$X$5)&lt;=1.96,"NO ATÍPICO")</f>
        <v>NO ATÍPICO</v>
      </c>
      <c r="K769" t="str" cm="1">
        <f t="array" ref="K769">_xlfn.IFS(ISBLANK(I769),"FALTANTE",ABS((I769-$W$8)/$X$8)&gt;1.92,"ATÍPICO",ABS((I769-$W$8)/$X$8)&lt;=1.92,"NO ATÍPICO")</f>
        <v>NO ATÍPICO</v>
      </c>
      <c r="L769">
        <f t="shared" si="55"/>
        <v>795801</v>
      </c>
      <c r="M769" t="str">
        <f t="shared" si="59"/>
        <v>ASALARIADO</v>
      </c>
      <c r="N769">
        <f t="shared" si="56"/>
        <v>36</v>
      </c>
      <c r="O769" s="19" t="str">
        <f t="shared" si="57"/>
        <v>600k–900k</v>
      </c>
      <c r="P769" s="19" t="str">
        <f t="shared" si="58"/>
        <v>36-45</v>
      </c>
    </row>
    <row r="770" spans="1:16" x14ac:dyDescent="0.25">
      <c r="A770">
        <v>769</v>
      </c>
      <c r="B770" t="s">
        <v>15</v>
      </c>
      <c r="C770">
        <v>318619.2</v>
      </c>
      <c r="D770" t="s">
        <v>10</v>
      </c>
      <c r="E770" t="s">
        <v>16</v>
      </c>
      <c r="F770" t="s">
        <v>12</v>
      </c>
      <c r="G770" t="s">
        <v>12</v>
      </c>
      <c r="H770" t="s">
        <v>13</v>
      </c>
      <c r="I770">
        <v>42</v>
      </c>
      <c r="J770" t="str" cm="1">
        <f t="array" ref="J770">_xlfn.IFS(ISBLANK(C770),"FALTANTE",ABS((C770-$W$5)/$X$5)&gt;1.96,"ATÍPICO",ABS((C770-$W$5)/$X$5)&lt;=1.96,"NO ATÍPICO")</f>
        <v>NO ATÍPICO</v>
      </c>
      <c r="K770" t="str" cm="1">
        <f t="array" ref="K770">_xlfn.IFS(ISBLANK(I770),"FALTANTE",ABS((I770-$W$8)/$X$8)&gt;1.92,"ATÍPICO",ABS((I770-$W$8)/$X$8)&lt;=1.92,"NO ATÍPICO")</f>
        <v>NO ATÍPICO</v>
      </c>
      <c r="L770">
        <f t="shared" ref="L770:L833" si="60">C770</f>
        <v>318619.2</v>
      </c>
      <c r="M770" t="str">
        <f t="shared" si="59"/>
        <v>ASALARIADO</v>
      </c>
      <c r="N770">
        <f t="shared" ref="N770:N833" si="61">I770</f>
        <v>42</v>
      </c>
      <c r="O770" s="19" t="str">
        <f t="shared" ref="O770:O833" si="62">IF(L770&lt;=300000,"0–300k",IF(L770&lt;=600000,"300k–600k",IF(L770&lt;=900000,"600k–900k",IF(L770&lt;=1200000,"900k–1200k","1200k+"))))</f>
        <v>300k–600k</v>
      </c>
      <c r="P770" s="19" t="str">
        <f t="shared" ref="P770:P833" si="63">IF(N770 &lt;=25,"18-25", IF(N770&lt;=35,"26-35", IF(N770 &lt;=45,"36-45", IF(N770&lt;=55,"46-55","56+"))))</f>
        <v>36-45</v>
      </c>
    </row>
    <row r="771" spans="1:16" x14ac:dyDescent="0.25">
      <c r="A771">
        <v>770</v>
      </c>
      <c r="B771" t="s">
        <v>9</v>
      </c>
      <c r="C771">
        <v>650078.5</v>
      </c>
      <c r="D771" t="s">
        <v>10</v>
      </c>
      <c r="E771" t="s">
        <v>11</v>
      </c>
      <c r="F771" t="s">
        <v>12</v>
      </c>
      <c r="G771" t="s">
        <v>13</v>
      </c>
      <c r="H771" t="s">
        <v>13</v>
      </c>
      <c r="I771">
        <v>34</v>
      </c>
      <c r="J771" t="str" cm="1">
        <f t="array" ref="J771">_xlfn.IFS(ISBLANK(C771),"FALTANTE",ABS((C771-$W$5)/$X$5)&gt;1.96,"ATÍPICO",ABS((C771-$W$5)/$X$5)&lt;=1.96,"NO ATÍPICO")</f>
        <v>NO ATÍPICO</v>
      </c>
      <c r="K771" t="str" cm="1">
        <f t="array" ref="K771">_xlfn.IFS(ISBLANK(I771),"FALTANTE",ABS((I771-$W$8)/$X$8)&gt;1.92,"ATÍPICO",ABS((I771-$W$8)/$X$8)&lt;=1.92,"NO ATÍPICO")</f>
        <v>NO ATÍPICO</v>
      </c>
      <c r="L771">
        <f t="shared" si="60"/>
        <v>650078.5</v>
      </c>
      <c r="M771" t="str">
        <f t="shared" si="59"/>
        <v>ASALARIADO</v>
      </c>
      <c r="N771">
        <f t="shared" si="61"/>
        <v>34</v>
      </c>
      <c r="O771" s="19" t="str">
        <f t="shared" si="62"/>
        <v>600k–900k</v>
      </c>
      <c r="P771" s="19" t="str">
        <f t="shared" si="63"/>
        <v>26-35</v>
      </c>
    </row>
    <row r="772" spans="1:16" x14ac:dyDescent="0.25">
      <c r="A772">
        <v>771</v>
      </c>
      <c r="B772" t="s">
        <v>9</v>
      </c>
      <c r="C772">
        <v>433085</v>
      </c>
      <c r="D772" t="s">
        <v>18</v>
      </c>
      <c r="E772" t="s">
        <v>16</v>
      </c>
      <c r="F772" t="s">
        <v>12</v>
      </c>
      <c r="G772" t="s">
        <v>12</v>
      </c>
      <c r="H772" t="s">
        <v>12</v>
      </c>
      <c r="I772">
        <v>53</v>
      </c>
      <c r="J772" t="str" cm="1">
        <f t="array" ref="J772">_xlfn.IFS(ISBLANK(C772),"FALTANTE",ABS((C772-$W$5)/$X$5)&gt;1.96,"ATÍPICO",ABS((C772-$W$5)/$X$5)&lt;=1.96,"NO ATÍPICO")</f>
        <v>NO ATÍPICO</v>
      </c>
      <c r="K772" t="str" cm="1">
        <f t="array" ref="K772">_xlfn.IFS(ISBLANK(I772),"FALTANTE",ABS((I772-$W$8)/$X$8)&gt;1.92,"ATÍPICO",ABS((I772-$W$8)/$X$8)&lt;=1.92,"NO ATÍPICO")</f>
        <v>NO ATÍPICO</v>
      </c>
      <c r="L772">
        <f t="shared" si="60"/>
        <v>433085</v>
      </c>
      <c r="M772" t="str">
        <f t="shared" ref="M772:M835" si="64">D772</f>
        <v>TRABAJADOR INDEPENDIENTE</v>
      </c>
      <c r="N772">
        <f t="shared" si="61"/>
        <v>53</v>
      </c>
      <c r="O772" s="19" t="str">
        <f t="shared" si="62"/>
        <v>300k–600k</v>
      </c>
      <c r="P772" s="19" t="str">
        <f t="shared" si="63"/>
        <v>46-55</v>
      </c>
    </row>
    <row r="773" spans="1:16" x14ac:dyDescent="0.25">
      <c r="A773">
        <v>772</v>
      </c>
      <c r="B773" t="s">
        <v>15</v>
      </c>
      <c r="C773">
        <v>294000</v>
      </c>
      <c r="D773" t="s">
        <v>10</v>
      </c>
      <c r="E773" t="s">
        <v>16</v>
      </c>
      <c r="F773" t="s">
        <v>12</v>
      </c>
      <c r="G773" t="s">
        <v>13</v>
      </c>
      <c r="H773" t="s">
        <v>13</v>
      </c>
      <c r="I773">
        <v>24</v>
      </c>
      <c r="J773" t="str" cm="1">
        <f t="array" ref="J773">_xlfn.IFS(ISBLANK(C773),"FALTANTE",ABS((C773-$W$5)/$X$5)&gt;1.96,"ATÍPICO",ABS((C773-$W$5)/$X$5)&lt;=1.96,"NO ATÍPICO")</f>
        <v>NO ATÍPICO</v>
      </c>
      <c r="K773" t="str" cm="1">
        <f t="array" ref="K773">_xlfn.IFS(ISBLANK(I773),"FALTANTE",ABS((I773-$W$8)/$X$8)&gt;1.92,"ATÍPICO",ABS((I773-$W$8)/$X$8)&lt;=1.92,"NO ATÍPICO")</f>
        <v>NO ATÍPICO</v>
      </c>
      <c r="L773">
        <f t="shared" si="60"/>
        <v>294000</v>
      </c>
      <c r="M773" t="str">
        <f t="shared" si="64"/>
        <v>ASALARIADO</v>
      </c>
      <c r="N773">
        <f t="shared" si="61"/>
        <v>24</v>
      </c>
      <c r="O773" s="19" t="str">
        <f t="shared" si="62"/>
        <v>0–300k</v>
      </c>
      <c r="P773" s="19" t="str">
        <f t="shared" si="63"/>
        <v>18-25</v>
      </c>
    </row>
    <row r="774" spans="1:16" x14ac:dyDescent="0.25">
      <c r="A774">
        <v>773</v>
      </c>
      <c r="B774" t="s">
        <v>9</v>
      </c>
      <c r="C774">
        <v>405063</v>
      </c>
      <c r="D774" t="s">
        <v>18</v>
      </c>
      <c r="E774" t="s">
        <v>16</v>
      </c>
      <c r="F774" t="s">
        <v>12</v>
      </c>
      <c r="G774" t="s">
        <v>13</v>
      </c>
      <c r="H774" t="s">
        <v>12</v>
      </c>
      <c r="I774">
        <v>72</v>
      </c>
      <c r="J774" t="str" cm="1">
        <f t="array" ref="J774">_xlfn.IFS(ISBLANK(C774),"FALTANTE",ABS((C774-$W$5)/$X$5)&gt;1.96,"ATÍPICO",ABS((C774-$W$5)/$X$5)&lt;=1.96,"NO ATÍPICO")</f>
        <v>NO ATÍPICO</v>
      </c>
      <c r="K774" t="str" cm="1">
        <f t="array" ref="K774">_xlfn.IFS(ISBLANK(I774),"FALTANTE",ABS((I774-$W$8)/$X$8)&gt;1.92,"ATÍPICO",ABS((I774-$W$8)/$X$8)&lt;=1.92,"NO ATÍPICO")</f>
        <v>ATÍPICO</v>
      </c>
      <c r="L774">
        <f t="shared" si="60"/>
        <v>405063</v>
      </c>
      <c r="M774" t="str">
        <f t="shared" si="64"/>
        <v>TRABAJADOR INDEPENDIENTE</v>
      </c>
      <c r="N774">
        <f t="shared" si="61"/>
        <v>72</v>
      </c>
      <c r="O774" s="19" t="str">
        <f t="shared" si="62"/>
        <v>300k–600k</v>
      </c>
      <c r="P774" s="19" t="str">
        <f t="shared" si="63"/>
        <v>56+</v>
      </c>
    </row>
    <row r="775" spans="1:16" x14ac:dyDescent="0.25">
      <c r="A775">
        <v>774</v>
      </c>
      <c r="B775" t="s">
        <v>9</v>
      </c>
      <c r="C775">
        <v>299647</v>
      </c>
      <c r="D775" t="s">
        <v>17</v>
      </c>
      <c r="E775" t="s">
        <v>16</v>
      </c>
      <c r="F775" t="s">
        <v>12</v>
      </c>
      <c r="G775" t="s">
        <v>13</v>
      </c>
      <c r="H775" t="s">
        <v>13</v>
      </c>
      <c r="I775">
        <v>59</v>
      </c>
      <c r="J775" t="str" cm="1">
        <f t="array" ref="J775">_xlfn.IFS(ISBLANK(C775),"FALTANTE",ABS((C775-$W$5)/$X$5)&gt;1.96,"ATÍPICO",ABS((C775-$W$5)/$X$5)&lt;=1.96,"NO ATÍPICO")</f>
        <v>NO ATÍPICO</v>
      </c>
      <c r="K775" t="str" cm="1">
        <f t="array" ref="K775">_xlfn.IFS(ISBLANK(I775),"FALTANTE",ABS((I775-$W$8)/$X$8)&gt;1.92,"ATÍPICO",ABS((I775-$W$8)/$X$8)&lt;=1.92,"NO ATÍPICO")</f>
        <v>NO ATÍPICO</v>
      </c>
      <c r="L775">
        <f t="shared" si="60"/>
        <v>299647</v>
      </c>
      <c r="M775" t="str">
        <f t="shared" si="64"/>
        <v>ASEGURADO VOLUNTARIO</v>
      </c>
      <c r="N775">
        <f t="shared" si="61"/>
        <v>59</v>
      </c>
      <c r="O775" s="19" t="str">
        <f t="shared" si="62"/>
        <v>0–300k</v>
      </c>
      <c r="P775" s="19" t="str">
        <f t="shared" si="63"/>
        <v>56+</v>
      </c>
    </row>
    <row r="776" spans="1:16" x14ac:dyDescent="0.25">
      <c r="A776">
        <v>775</v>
      </c>
      <c r="B776" t="s">
        <v>9</v>
      </c>
      <c r="C776">
        <v>10000</v>
      </c>
      <c r="D776" t="s">
        <v>10</v>
      </c>
      <c r="E776" t="s">
        <v>16</v>
      </c>
      <c r="F776" t="s">
        <v>12</v>
      </c>
      <c r="G776" t="s">
        <v>12</v>
      </c>
      <c r="H776" t="s">
        <v>13</v>
      </c>
      <c r="I776">
        <v>51</v>
      </c>
      <c r="J776" t="str" cm="1">
        <f t="array" ref="J776">_xlfn.IFS(ISBLANK(C776),"FALTANTE",ABS((C776-$W$5)/$X$5)&gt;1.96,"ATÍPICO",ABS((C776-$W$5)/$X$5)&lt;=1.96,"NO ATÍPICO")</f>
        <v>NO ATÍPICO</v>
      </c>
      <c r="K776" t="str" cm="1">
        <f t="array" ref="K776">_xlfn.IFS(ISBLANK(I776),"FALTANTE",ABS((I776-$W$8)/$X$8)&gt;1.92,"ATÍPICO",ABS((I776-$W$8)/$X$8)&lt;=1.92,"NO ATÍPICO")</f>
        <v>NO ATÍPICO</v>
      </c>
      <c r="L776">
        <f t="shared" si="60"/>
        <v>10000</v>
      </c>
      <c r="M776" t="str">
        <f t="shared" si="64"/>
        <v>ASALARIADO</v>
      </c>
      <c r="N776">
        <f t="shared" si="61"/>
        <v>51</v>
      </c>
      <c r="O776" s="19" t="str">
        <f t="shared" si="62"/>
        <v>0–300k</v>
      </c>
      <c r="P776" s="19" t="str">
        <f t="shared" si="63"/>
        <v>46-55</v>
      </c>
    </row>
    <row r="777" spans="1:16" x14ac:dyDescent="0.25">
      <c r="A777">
        <v>776</v>
      </c>
      <c r="B777" t="s">
        <v>9</v>
      </c>
      <c r="C777">
        <v>364976.92</v>
      </c>
      <c r="D777" t="s">
        <v>10</v>
      </c>
      <c r="E777" t="s">
        <v>16</v>
      </c>
      <c r="F777" t="s">
        <v>12</v>
      </c>
      <c r="G777" t="s">
        <v>13</v>
      </c>
      <c r="H777" t="s">
        <v>12</v>
      </c>
      <c r="I777">
        <v>51</v>
      </c>
      <c r="J777" t="str" cm="1">
        <f t="array" ref="J777">_xlfn.IFS(ISBLANK(C777),"FALTANTE",ABS((C777-$W$5)/$X$5)&gt;1.96,"ATÍPICO",ABS((C777-$W$5)/$X$5)&lt;=1.96,"NO ATÍPICO")</f>
        <v>NO ATÍPICO</v>
      </c>
      <c r="K777" t="str" cm="1">
        <f t="array" ref="K777">_xlfn.IFS(ISBLANK(I777),"FALTANTE",ABS((I777-$W$8)/$X$8)&gt;1.92,"ATÍPICO",ABS((I777-$W$8)/$X$8)&lt;=1.92,"NO ATÍPICO")</f>
        <v>NO ATÍPICO</v>
      </c>
      <c r="L777">
        <f t="shared" si="60"/>
        <v>364976.92</v>
      </c>
      <c r="M777" t="str">
        <f t="shared" si="64"/>
        <v>ASALARIADO</v>
      </c>
      <c r="N777">
        <f t="shared" si="61"/>
        <v>51</v>
      </c>
      <c r="O777" s="19" t="str">
        <f t="shared" si="62"/>
        <v>300k–600k</v>
      </c>
      <c r="P777" s="19" t="str">
        <f t="shared" si="63"/>
        <v>46-55</v>
      </c>
    </row>
    <row r="778" spans="1:16" x14ac:dyDescent="0.25">
      <c r="A778">
        <v>777</v>
      </c>
      <c r="B778" t="s">
        <v>15</v>
      </c>
      <c r="C778">
        <v>102524</v>
      </c>
      <c r="D778" t="s">
        <v>10</v>
      </c>
      <c r="E778" t="s">
        <v>16</v>
      </c>
      <c r="F778" t="s">
        <v>12</v>
      </c>
      <c r="G778" t="s">
        <v>13</v>
      </c>
      <c r="H778" t="s">
        <v>13</v>
      </c>
      <c r="I778">
        <v>47</v>
      </c>
      <c r="J778" t="str" cm="1">
        <f t="array" ref="J778">_xlfn.IFS(ISBLANK(C778),"FALTANTE",ABS((C778-$W$5)/$X$5)&gt;1.96,"ATÍPICO",ABS((C778-$W$5)/$X$5)&lt;=1.96,"NO ATÍPICO")</f>
        <v>NO ATÍPICO</v>
      </c>
      <c r="K778" t="str" cm="1">
        <f t="array" ref="K778">_xlfn.IFS(ISBLANK(I778),"FALTANTE",ABS((I778-$W$8)/$X$8)&gt;1.92,"ATÍPICO",ABS((I778-$W$8)/$X$8)&lt;=1.92,"NO ATÍPICO")</f>
        <v>NO ATÍPICO</v>
      </c>
      <c r="L778">
        <f t="shared" si="60"/>
        <v>102524</v>
      </c>
      <c r="M778" t="str">
        <f t="shared" si="64"/>
        <v>ASALARIADO</v>
      </c>
      <c r="N778">
        <f t="shared" si="61"/>
        <v>47</v>
      </c>
      <c r="O778" s="19" t="str">
        <f t="shared" si="62"/>
        <v>0–300k</v>
      </c>
      <c r="P778" s="19" t="str">
        <f t="shared" si="63"/>
        <v>46-55</v>
      </c>
    </row>
    <row r="779" spans="1:16" x14ac:dyDescent="0.25">
      <c r="A779">
        <v>778</v>
      </c>
      <c r="B779" t="s">
        <v>9</v>
      </c>
      <c r="C779">
        <v>636512.32999999996</v>
      </c>
      <c r="D779" t="s">
        <v>10</v>
      </c>
      <c r="E779" t="s">
        <v>16</v>
      </c>
      <c r="F779" t="s">
        <v>12</v>
      </c>
      <c r="G779" t="s">
        <v>13</v>
      </c>
      <c r="H779" t="s">
        <v>13</v>
      </c>
      <c r="I779">
        <v>22</v>
      </c>
      <c r="J779" t="str" cm="1">
        <f t="array" ref="J779">_xlfn.IFS(ISBLANK(C779),"FALTANTE",ABS((C779-$W$5)/$X$5)&gt;1.96,"ATÍPICO",ABS((C779-$W$5)/$X$5)&lt;=1.96,"NO ATÍPICO")</f>
        <v>NO ATÍPICO</v>
      </c>
      <c r="K779" t="str" cm="1">
        <f t="array" ref="K779">_xlfn.IFS(ISBLANK(I779),"FALTANTE",ABS((I779-$W$8)/$X$8)&gt;1.92,"ATÍPICO",ABS((I779-$W$8)/$X$8)&lt;=1.92,"NO ATÍPICO")</f>
        <v>NO ATÍPICO</v>
      </c>
      <c r="L779">
        <f t="shared" si="60"/>
        <v>636512.32999999996</v>
      </c>
      <c r="M779" t="str">
        <f t="shared" si="64"/>
        <v>ASALARIADO</v>
      </c>
      <c r="N779">
        <f t="shared" si="61"/>
        <v>22</v>
      </c>
      <c r="O779" s="19" t="str">
        <f t="shared" si="62"/>
        <v>600k–900k</v>
      </c>
      <c r="P779" s="19" t="str">
        <f t="shared" si="63"/>
        <v>18-25</v>
      </c>
    </row>
    <row r="780" spans="1:16" x14ac:dyDescent="0.25">
      <c r="A780">
        <v>779</v>
      </c>
      <c r="B780" t="s">
        <v>9</v>
      </c>
      <c r="C780">
        <v>278030</v>
      </c>
      <c r="D780" t="s">
        <v>19</v>
      </c>
      <c r="E780" t="s">
        <v>16</v>
      </c>
      <c r="F780" t="s">
        <v>12</v>
      </c>
      <c r="G780" t="s">
        <v>13</v>
      </c>
      <c r="H780" t="s">
        <v>13</v>
      </c>
      <c r="I780">
        <v>55</v>
      </c>
      <c r="J780" t="str" cm="1">
        <f t="array" ref="J780">_xlfn.IFS(ISBLANK(C780),"FALTANTE",ABS((C780-$W$5)/$X$5)&gt;1.96,"ATÍPICO",ABS((C780-$W$5)/$X$5)&lt;=1.96,"NO ATÍPICO")</f>
        <v>NO ATÍPICO</v>
      </c>
      <c r="K780" t="str" cm="1">
        <f t="array" ref="K780">_xlfn.IFS(ISBLANK(I780),"FALTANTE",ABS((I780-$W$8)/$X$8)&gt;1.92,"ATÍPICO",ABS((I780-$W$8)/$X$8)&lt;=1.92,"NO ATÍPICO")</f>
        <v>NO ATÍPICO</v>
      </c>
      <c r="L780">
        <f t="shared" si="60"/>
        <v>278030</v>
      </c>
      <c r="M780" t="str">
        <f t="shared" si="64"/>
        <v>CONVENIOS ESPECIALES DE TRABAJADORES INDEPENDIENTES</v>
      </c>
      <c r="N780">
        <f t="shared" si="61"/>
        <v>55</v>
      </c>
      <c r="O780" s="19" t="str">
        <f t="shared" si="62"/>
        <v>0–300k</v>
      </c>
      <c r="P780" s="19" t="str">
        <f t="shared" si="63"/>
        <v>46-55</v>
      </c>
    </row>
    <row r="781" spans="1:16" x14ac:dyDescent="0.25">
      <c r="A781">
        <v>780</v>
      </c>
      <c r="B781" t="s">
        <v>9</v>
      </c>
      <c r="C781">
        <v>453693.52</v>
      </c>
      <c r="D781" t="s">
        <v>10</v>
      </c>
      <c r="E781" t="s">
        <v>16</v>
      </c>
      <c r="F781" t="s">
        <v>12</v>
      </c>
      <c r="G781" t="s">
        <v>12</v>
      </c>
      <c r="H781" t="s">
        <v>13</v>
      </c>
      <c r="I781">
        <v>49</v>
      </c>
      <c r="J781" t="str" cm="1">
        <f t="array" ref="J781">_xlfn.IFS(ISBLANK(C781),"FALTANTE",ABS((C781-$W$5)/$X$5)&gt;1.96,"ATÍPICO",ABS((C781-$W$5)/$X$5)&lt;=1.96,"NO ATÍPICO")</f>
        <v>NO ATÍPICO</v>
      </c>
      <c r="K781" t="str" cm="1">
        <f t="array" ref="K781">_xlfn.IFS(ISBLANK(I781),"FALTANTE",ABS((I781-$W$8)/$X$8)&gt;1.92,"ATÍPICO",ABS((I781-$W$8)/$X$8)&lt;=1.92,"NO ATÍPICO")</f>
        <v>NO ATÍPICO</v>
      </c>
      <c r="L781">
        <f t="shared" si="60"/>
        <v>453693.52</v>
      </c>
      <c r="M781" t="str">
        <f t="shared" si="64"/>
        <v>ASALARIADO</v>
      </c>
      <c r="N781">
        <f t="shared" si="61"/>
        <v>49</v>
      </c>
      <c r="O781" s="19" t="str">
        <f t="shared" si="62"/>
        <v>300k–600k</v>
      </c>
      <c r="P781" s="19" t="str">
        <f t="shared" si="63"/>
        <v>46-55</v>
      </c>
    </row>
    <row r="782" spans="1:16" x14ac:dyDescent="0.25">
      <c r="A782">
        <v>781</v>
      </c>
      <c r="B782" t="s">
        <v>15</v>
      </c>
      <c r="C782">
        <v>1131487.6499999999</v>
      </c>
      <c r="D782" t="s">
        <v>14</v>
      </c>
      <c r="E782" t="s">
        <v>11</v>
      </c>
      <c r="F782" t="s">
        <v>12</v>
      </c>
      <c r="G782" t="s">
        <v>13</v>
      </c>
      <c r="H782" t="s">
        <v>13</v>
      </c>
      <c r="I782">
        <v>68</v>
      </c>
      <c r="J782" t="str" cm="1">
        <f t="array" ref="J782">_xlfn.IFS(ISBLANK(C782),"FALTANTE",ABS((C782-$W$5)/$X$5)&gt;1.96,"ATÍPICO",ABS((C782-$W$5)/$X$5)&lt;=1.96,"NO ATÍPICO")</f>
        <v>NO ATÍPICO</v>
      </c>
      <c r="K782" t="str" cm="1">
        <f t="array" ref="K782">_xlfn.IFS(ISBLANK(I782),"FALTANTE",ABS((I782-$W$8)/$X$8)&gt;1.92,"ATÍPICO",ABS((I782-$W$8)/$X$8)&lt;=1.92,"NO ATÍPICO")</f>
        <v>NO ATÍPICO</v>
      </c>
      <c r="L782">
        <f t="shared" si="60"/>
        <v>1131487.6499999999</v>
      </c>
      <c r="M782" t="str">
        <f t="shared" si="64"/>
        <v>PENSIONADOS EN SU PROPIO SISTEMA</v>
      </c>
      <c r="N782">
        <f t="shared" si="61"/>
        <v>68</v>
      </c>
      <c r="O782" s="19" t="str">
        <f t="shared" si="62"/>
        <v>900k–1200k</v>
      </c>
      <c r="P782" s="19" t="str">
        <f t="shared" si="63"/>
        <v>56+</v>
      </c>
    </row>
    <row r="783" spans="1:16" x14ac:dyDescent="0.25">
      <c r="A783">
        <v>782</v>
      </c>
      <c r="B783" t="s">
        <v>9</v>
      </c>
      <c r="C783">
        <v>297045</v>
      </c>
      <c r="D783" t="s">
        <v>17</v>
      </c>
      <c r="E783" t="s">
        <v>16</v>
      </c>
      <c r="F783" t="s">
        <v>12</v>
      </c>
      <c r="G783" t="s">
        <v>12</v>
      </c>
      <c r="H783" t="s">
        <v>13</v>
      </c>
      <c r="I783">
        <v>66</v>
      </c>
      <c r="J783" t="str" cm="1">
        <f t="array" ref="J783">_xlfn.IFS(ISBLANK(C783),"FALTANTE",ABS((C783-$W$5)/$X$5)&gt;1.96,"ATÍPICO",ABS((C783-$W$5)/$X$5)&lt;=1.96,"NO ATÍPICO")</f>
        <v>NO ATÍPICO</v>
      </c>
      <c r="K783" t="str" cm="1">
        <f t="array" ref="K783">_xlfn.IFS(ISBLANK(I783),"FALTANTE",ABS((I783-$W$8)/$X$8)&gt;1.92,"ATÍPICO",ABS((I783-$W$8)/$X$8)&lt;=1.92,"NO ATÍPICO")</f>
        <v>NO ATÍPICO</v>
      </c>
      <c r="L783">
        <f t="shared" si="60"/>
        <v>297045</v>
      </c>
      <c r="M783" t="str">
        <f t="shared" si="64"/>
        <v>ASEGURADO VOLUNTARIO</v>
      </c>
      <c r="N783">
        <f t="shared" si="61"/>
        <v>66</v>
      </c>
      <c r="O783" s="19" t="str">
        <f t="shared" si="62"/>
        <v>0–300k</v>
      </c>
      <c r="P783" s="19" t="str">
        <f t="shared" si="63"/>
        <v>56+</v>
      </c>
    </row>
    <row r="784" spans="1:16" x14ac:dyDescent="0.25">
      <c r="A784">
        <v>783</v>
      </c>
      <c r="B784" t="s">
        <v>15</v>
      </c>
      <c r="C784">
        <v>629382</v>
      </c>
      <c r="D784" t="s">
        <v>10</v>
      </c>
      <c r="E784" t="s">
        <v>16</v>
      </c>
      <c r="F784" t="s">
        <v>12</v>
      </c>
      <c r="G784" t="s">
        <v>13</v>
      </c>
      <c r="H784" t="s">
        <v>13</v>
      </c>
      <c r="I784">
        <v>29</v>
      </c>
      <c r="J784" t="str" cm="1">
        <f t="array" ref="J784">_xlfn.IFS(ISBLANK(C784),"FALTANTE",ABS((C784-$W$5)/$X$5)&gt;1.96,"ATÍPICO",ABS((C784-$W$5)/$X$5)&lt;=1.96,"NO ATÍPICO")</f>
        <v>NO ATÍPICO</v>
      </c>
      <c r="K784" t="str" cm="1">
        <f t="array" ref="K784">_xlfn.IFS(ISBLANK(I784),"FALTANTE",ABS((I784-$W$8)/$X$8)&gt;1.92,"ATÍPICO",ABS((I784-$W$8)/$X$8)&lt;=1.92,"NO ATÍPICO")</f>
        <v>NO ATÍPICO</v>
      </c>
      <c r="L784">
        <f t="shared" si="60"/>
        <v>629382</v>
      </c>
      <c r="M784" t="str">
        <f t="shared" si="64"/>
        <v>ASALARIADO</v>
      </c>
      <c r="N784">
        <f t="shared" si="61"/>
        <v>29</v>
      </c>
      <c r="O784" s="19" t="str">
        <f t="shared" si="62"/>
        <v>600k–900k</v>
      </c>
      <c r="P784" s="19" t="str">
        <f t="shared" si="63"/>
        <v>26-35</v>
      </c>
    </row>
    <row r="785" spans="1:16" x14ac:dyDescent="0.25">
      <c r="A785">
        <v>784</v>
      </c>
      <c r="B785" t="s">
        <v>9</v>
      </c>
      <c r="C785">
        <v>338166</v>
      </c>
      <c r="D785" t="s">
        <v>18</v>
      </c>
      <c r="E785" t="s">
        <v>16</v>
      </c>
      <c r="F785" t="s">
        <v>12</v>
      </c>
      <c r="G785" t="s">
        <v>13</v>
      </c>
      <c r="H785" t="s">
        <v>13</v>
      </c>
      <c r="I785">
        <v>36</v>
      </c>
      <c r="J785" t="str" cm="1">
        <f t="array" ref="J785">_xlfn.IFS(ISBLANK(C785),"FALTANTE",ABS((C785-$W$5)/$X$5)&gt;1.96,"ATÍPICO",ABS((C785-$W$5)/$X$5)&lt;=1.96,"NO ATÍPICO")</f>
        <v>NO ATÍPICO</v>
      </c>
      <c r="K785" t="str" cm="1">
        <f t="array" ref="K785">_xlfn.IFS(ISBLANK(I785),"FALTANTE",ABS((I785-$W$8)/$X$8)&gt;1.92,"ATÍPICO",ABS((I785-$W$8)/$X$8)&lt;=1.92,"NO ATÍPICO")</f>
        <v>NO ATÍPICO</v>
      </c>
      <c r="L785">
        <f t="shared" si="60"/>
        <v>338166</v>
      </c>
      <c r="M785" t="str">
        <f t="shared" si="64"/>
        <v>TRABAJADOR INDEPENDIENTE</v>
      </c>
      <c r="N785">
        <f t="shared" si="61"/>
        <v>36</v>
      </c>
      <c r="O785" s="19" t="str">
        <f t="shared" si="62"/>
        <v>300k–600k</v>
      </c>
      <c r="P785" s="19" t="str">
        <f t="shared" si="63"/>
        <v>36-45</v>
      </c>
    </row>
    <row r="786" spans="1:16" x14ac:dyDescent="0.25">
      <c r="A786">
        <v>785</v>
      </c>
      <c r="B786" t="s">
        <v>9</v>
      </c>
      <c r="C786">
        <v>350000</v>
      </c>
      <c r="D786" t="s">
        <v>10</v>
      </c>
      <c r="E786" t="s">
        <v>16</v>
      </c>
      <c r="F786" t="s">
        <v>12</v>
      </c>
      <c r="G786" t="s">
        <v>12</v>
      </c>
      <c r="H786" t="s">
        <v>13</v>
      </c>
      <c r="I786">
        <v>38</v>
      </c>
      <c r="J786" t="str" cm="1">
        <f t="array" ref="J786">_xlfn.IFS(ISBLANK(C786),"FALTANTE",ABS((C786-$W$5)/$X$5)&gt;1.96,"ATÍPICO",ABS((C786-$W$5)/$X$5)&lt;=1.96,"NO ATÍPICO")</f>
        <v>NO ATÍPICO</v>
      </c>
      <c r="K786" t="str" cm="1">
        <f t="array" ref="K786">_xlfn.IFS(ISBLANK(I786),"FALTANTE",ABS((I786-$W$8)/$X$8)&gt;1.92,"ATÍPICO",ABS((I786-$W$8)/$X$8)&lt;=1.92,"NO ATÍPICO")</f>
        <v>NO ATÍPICO</v>
      </c>
      <c r="L786">
        <f t="shared" si="60"/>
        <v>350000</v>
      </c>
      <c r="M786" t="str">
        <f t="shared" si="64"/>
        <v>ASALARIADO</v>
      </c>
      <c r="N786">
        <f t="shared" si="61"/>
        <v>38</v>
      </c>
      <c r="O786" s="19" t="str">
        <f t="shared" si="62"/>
        <v>300k–600k</v>
      </c>
      <c r="P786" s="19" t="str">
        <f t="shared" si="63"/>
        <v>36-45</v>
      </c>
    </row>
    <row r="787" spans="1:16" x14ac:dyDescent="0.25">
      <c r="A787">
        <v>786</v>
      </c>
      <c r="B787" t="s">
        <v>9</v>
      </c>
      <c r="C787">
        <v>85000</v>
      </c>
      <c r="D787" t="s">
        <v>10</v>
      </c>
      <c r="E787" t="s">
        <v>16</v>
      </c>
      <c r="F787" t="s">
        <v>12</v>
      </c>
      <c r="G787" t="s">
        <v>12</v>
      </c>
      <c r="H787" t="s">
        <v>12</v>
      </c>
      <c r="I787">
        <v>38</v>
      </c>
      <c r="J787" t="str" cm="1">
        <f t="array" ref="J787">_xlfn.IFS(ISBLANK(C787),"FALTANTE",ABS((C787-$W$5)/$X$5)&gt;1.96,"ATÍPICO",ABS((C787-$W$5)/$X$5)&lt;=1.96,"NO ATÍPICO")</f>
        <v>NO ATÍPICO</v>
      </c>
      <c r="K787" t="str" cm="1">
        <f t="array" ref="K787">_xlfn.IFS(ISBLANK(I787),"FALTANTE",ABS((I787-$W$8)/$X$8)&gt;1.92,"ATÍPICO",ABS((I787-$W$8)/$X$8)&lt;=1.92,"NO ATÍPICO")</f>
        <v>NO ATÍPICO</v>
      </c>
      <c r="L787">
        <f t="shared" si="60"/>
        <v>85000</v>
      </c>
      <c r="M787" t="str">
        <f t="shared" si="64"/>
        <v>ASALARIADO</v>
      </c>
      <c r="N787">
        <f t="shared" si="61"/>
        <v>38</v>
      </c>
      <c r="O787" s="19" t="str">
        <f t="shared" si="62"/>
        <v>0–300k</v>
      </c>
      <c r="P787" s="19" t="str">
        <f t="shared" si="63"/>
        <v>36-45</v>
      </c>
    </row>
    <row r="788" spans="1:16" x14ac:dyDescent="0.25">
      <c r="A788">
        <v>787</v>
      </c>
      <c r="B788" t="s">
        <v>15</v>
      </c>
      <c r="C788">
        <v>675918.4</v>
      </c>
      <c r="D788" t="s">
        <v>10</v>
      </c>
      <c r="E788" t="s">
        <v>16</v>
      </c>
      <c r="F788" t="s">
        <v>12</v>
      </c>
      <c r="G788" t="s">
        <v>13</v>
      </c>
      <c r="H788" t="s">
        <v>13</v>
      </c>
      <c r="I788">
        <v>32</v>
      </c>
      <c r="J788" t="str" cm="1">
        <f t="array" ref="J788">_xlfn.IFS(ISBLANK(C788),"FALTANTE",ABS((C788-$W$5)/$X$5)&gt;1.96,"ATÍPICO",ABS((C788-$W$5)/$X$5)&lt;=1.96,"NO ATÍPICO")</f>
        <v>NO ATÍPICO</v>
      </c>
      <c r="K788" t="str" cm="1">
        <f t="array" ref="K788">_xlfn.IFS(ISBLANK(I788),"FALTANTE",ABS((I788-$W$8)/$X$8)&gt;1.92,"ATÍPICO",ABS((I788-$W$8)/$X$8)&lt;=1.92,"NO ATÍPICO")</f>
        <v>NO ATÍPICO</v>
      </c>
      <c r="L788">
        <f t="shared" si="60"/>
        <v>675918.4</v>
      </c>
      <c r="M788" t="str">
        <f t="shared" si="64"/>
        <v>ASALARIADO</v>
      </c>
      <c r="N788">
        <f t="shared" si="61"/>
        <v>32</v>
      </c>
      <c r="O788" s="19" t="str">
        <f t="shared" si="62"/>
        <v>600k–900k</v>
      </c>
      <c r="P788" s="19" t="str">
        <f t="shared" si="63"/>
        <v>26-35</v>
      </c>
    </row>
    <row r="789" spans="1:16" x14ac:dyDescent="0.25">
      <c r="A789">
        <v>788</v>
      </c>
      <c r="B789" t="s">
        <v>15</v>
      </c>
      <c r="C789">
        <v>250000</v>
      </c>
      <c r="D789" t="s">
        <v>10</v>
      </c>
      <c r="E789" t="s">
        <v>16</v>
      </c>
      <c r="F789" t="s">
        <v>12</v>
      </c>
      <c r="G789" t="s">
        <v>13</v>
      </c>
      <c r="H789" t="s">
        <v>13</v>
      </c>
      <c r="I789">
        <v>37</v>
      </c>
      <c r="J789" t="str" cm="1">
        <f t="array" ref="J789">_xlfn.IFS(ISBLANK(C789),"FALTANTE",ABS((C789-$W$5)/$X$5)&gt;1.96,"ATÍPICO",ABS((C789-$W$5)/$X$5)&lt;=1.96,"NO ATÍPICO")</f>
        <v>NO ATÍPICO</v>
      </c>
      <c r="K789" t="str" cm="1">
        <f t="array" ref="K789">_xlfn.IFS(ISBLANK(I789),"FALTANTE",ABS((I789-$W$8)/$X$8)&gt;1.92,"ATÍPICO",ABS((I789-$W$8)/$X$8)&lt;=1.92,"NO ATÍPICO")</f>
        <v>NO ATÍPICO</v>
      </c>
      <c r="L789">
        <f t="shared" si="60"/>
        <v>250000</v>
      </c>
      <c r="M789" t="str">
        <f t="shared" si="64"/>
        <v>ASALARIADO</v>
      </c>
      <c r="N789">
        <f t="shared" si="61"/>
        <v>37</v>
      </c>
      <c r="O789" s="19" t="str">
        <f t="shared" si="62"/>
        <v>0–300k</v>
      </c>
      <c r="P789" s="19" t="str">
        <f t="shared" si="63"/>
        <v>36-45</v>
      </c>
    </row>
    <row r="790" spans="1:16" x14ac:dyDescent="0.25">
      <c r="A790">
        <v>789</v>
      </c>
      <c r="B790" t="s">
        <v>9</v>
      </c>
      <c r="C790">
        <v>1187649.48</v>
      </c>
      <c r="D790" t="s">
        <v>10</v>
      </c>
      <c r="E790" t="s">
        <v>11</v>
      </c>
      <c r="F790" t="s">
        <v>12</v>
      </c>
      <c r="G790" t="s">
        <v>13</v>
      </c>
      <c r="H790" t="s">
        <v>13</v>
      </c>
      <c r="I790">
        <v>51</v>
      </c>
      <c r="J790" t="str" cm="1">
        <f t="array" ref="J790">_xlfn.IFS(ISBLANK(C790),"FALTANTE",ABS((C790-$W$5)/$X$5)&gt;1.96,"ATÍPICO",ABS((C790-$W$5)/$X$5)&lt;=1.96,"NO ATÍPICO")</f>
        <v>NO ATÍPICO</v>
      </c>
      <c r="K790" t="str" cm="1">
        <f t="array" ref="K790">_xlfn.IFS(ISBLANK(I790),"FALTANTE",ABS((I790-$W$8)/$X$8)&gt;1.92,"ATÍPICO",ABS((I790-$W$8)/$X$8)&lt;=1.92,"NO ATÍPICO")</f>
        <v>NO ATÍPICO</v>
      </c>
      <c r="L790">
        <f t="shared" si="60"/>
        <v>1187649.48</v>
      </c>
      <c r="M790" t="str">
        <f t="shared" si="64"/>
        <v>ASALARIADO</v>
      </c>
      <c r="N790">
        <f t="shared" si="61"/>
        <v>51</v>
      </c>
      <c r="O790" s="19" t="str">
        <f t="shared" si="62"/>
        <v>900k–1200k</v>
      </c>
      <c r="P790" s="19" t="str">
        <f t="shared" si="63"/>
        <v>46-55</v>
      </c>
    </row>
    <row r="791" spans="1:16" x14ac:dyDescent="0.25">
      <c r="A791">
        <v>790</v>
      </c>
      <c r="B791" t="s">
        <v>9</v>
      </c>
      <c r="C791">
        <v>337254.54</v>
      </c>
      <c r="D791" t="s">
        <v>10</v>
      </c>
      <c r="E791" t="s">
        <v>16</v>
      </c>
      <c r="F791" t="s">
        <v>12</v>
      </c>
      <c r="G791" t="s">
        <v>13</v>
      </c>
      <c r="H791" t="s">
        <v>13</v>
      </c>
      <c r="I791">
        <v>38</v>
      </c>
      <c r="J791" t="str" cm="1">
        <f t="array" ref="J791">_xlfn.IFS(ISBLANK(C791),"FALTANTE",ABS((C791-$W$5)/$X$5)&gt;1.96,"ATÍPICO",ABS((C791-$W$5)/$X$5)&lt;=1.96,"NO ATÍPICO")</f>
        <v>NO ATÍPICO</v>
      </c>
      <c r="K791" t="str" cm="1">
        <f t="array" ref="K791">_xlfn.IFS(ISBLANK(I791),"FALTANTE",ABS((I791-$W$8)/$X$8)&gt;1.92,"ATÍPICO",ABS((I791-$W$8)/$X$8)&lt;=1.92,"NO ATÍPICO")</f>
        <v>NO ATÍPICO</v>
      </c>
      <c r="L791">
        <f t="shared" si="60"/>
        <v>337254.54</v>
      </c>
      <c r="M791" t="str">
        <f t="shared" si="64"/>
        <v>ASALARIADO</v>
      </c>
      <c r="N791">
        <f t="shared" si="61"/>
        <v>38</v>
      </c>
      <c r="O791" s="19" t="str">
        <f t="shared" si="62"/>
        <v>300k–600k</v>
      </c>
      <c r="P791" s="19" t="str">
        <f t="shared" si="63"/>
        <v>36-45</v>
      </c>
    </row>
    <row r="792" spans="1:16" x14ac:dyDescent="0.25">
      <c r="A792">
        <v>791</v>
      </c>
      <c r="B792" t="s">
        <v>15</v>
      </c>
      <c r="C792">
        <v>297046</v>
      </c>
      <c r="D792" t="s">
        <v>17</v>
      </c>
      <c r="E792" t="s">
        <v>16</v>
      </c>
      <c r="F792" t="s">
        <v>12</v>
      </c>
      <c r="G792" t="s">
        <v>13</v>
      </c>
      <c r="H792" t="s">
        <v>13</v>
      </c>
      <c r="I792">
        <v>52</v>
      </c>
      <c r="J792" t="str" cm="1">
        <f t="array" ref="J792">_xlfn.IFS(ISBLANK(C792),"FALTANTE",ABS((C792-$W$5)/$X$5)&gt;1.96,"ATÍPICO",ABS((C792-$W$5)/$X$5)&lt;=1.96,"NO ATÍPICO")</f>
        <v>NO ATÍPICO</v>
      </c>
      <c r="K792" t="str" cm="1">
        <f t="array" ref="K792">_xlfn.IFS(ISBLANK(I792),"FALTANTE",ABS((I792-$W$8)/$X$8)&gt;1.92,"ATÍPICO",ABS((I792-$W$8)/$X$8)&lt;=1.92,"NO ATÍPICO")</f>
        <v>NO ATÍPICO</v>
      </c>
      <c r="L792">
        <f t="shared" si="60"/>
        <v>297046</v>
      </c>
      <c r="M792" t="str">
        <f t="shared" si="64"/>
        <v>ASEGURADO VOLUNTARIO</v>
      </c>
      <c r="N792">
        <f t="shared" si="61"/>
        <v>52</v>
      </c>
      <c r="O792" s="19" t="str">
        <f t="shared" si="62"/>
        <v>0–300k</v>
      </c>
      <c r="P792" s="19" t="str">
        <f t="shared" si="63"/>
        <v>46-55</v>
      </c>
    </row>
    <row r="793" spans="1:16" x14ac:dyDescent="0.25">
      <c r="A793">
        <v>792</v>
      </c>
      <c r="B793" t="s">
        <v>15</v>
      </c>
      <c r="C793">
        <v>297102</v>
      </c>
      <c r="D793" t="s">
        <v>17</v>
      </c>
      <c r="E793" t="s">
        <v>16</v>
      </c>
      <c r="F793" t="s">
        <v>12</v>
      </c>
      <c r="G793" t="s">
        <v>13</v>
      </c>
      <c r="H793" t="s">
        <v>13</v>
      </c>
      <c r="I793">
        <v>53</v>
      </c>
      <c r="J793" t="str" cm="1">
        <f t="array" ref="J793">_xlfn.IFS(ISBLANK(C793),"FALTANTE",ABS((C793-$W$5)/$X$5)&gt;1.96,"ATÍPICO",ABS((C793-$W$5)/$X$5)&lt;=1.96,"NO ATÍPICO")</f>
        <v>NO ATÍPICO</v>
      </c>
      <c r="K793" t="str" cm="1">
        <f t="array" ref="K793">_xlfn.IFS(ISBLANK(I793),"FALTANTE",ABS((I793-$W$8)/$X$8)&gt;1.92,"ATÍPICO",ABS((I793-$W$8)/$X$8)&lt;=1.92,"NO ATÍPICO")</f>
        <v>NO ATÍPICO</v>
      </c>
      <c r="L793">
        <f t="shared" si="60"/>
        <v>297102</v>
      </c>
      <c r="M793" t="str">
        <f t="shared" si="64"/>
        <v>ASEGURADO VOLUNTARIO</v>
      </c>
      <c r="N793">
        <f t="shared" si="61"/>
        <v>53</v>
      </c>
      <c r="O793" s="19" t="str">
        <f t="shared" si="62"/>
        <v>0–300k</v>
      </c>
      <c r="P793" s="19" t="str">
        <f t="shared" si="63"/>
        <v>46-55</v>
      </c>
    </row>
    <row r="794" spans="1:16" x14ac:dyDescent="0.25">
      <c r="A794">
        <v>793</v>
      </c>
      <c r="B794" t="s">
        <v>9</v>
      </c>
      <c r="C794">
        <v>1998877</v>
      </c>
      <c r="D794" t="s">
        <v>10</v>
      </c>
      <c r="E794" t="s">
        <v>11</v>
      </c>
      <c r="F794" t="s">
        <v>12</v>
      </c>
      <c r="G794" t="s">
        <v>13</v>
      </c>
      <c r="H794" t="s">
        <v>12</v>
      </c>
      <c r="I794">
        <v>50</v>
      </c>
      <c r="J794" t="str" cm="1">
        <f t="array" ref="J794">_xlfn.IFS(ISBLANK(C794),"FALTANTE",ABS((C794-$W$5)/$X$5)&gt;1.96,"ATÍPICO",ABS((C794-$W$5)/$X$5)&lt;=1.96,"NO ATÍPICO")</f>
        <v>NO ATÍPICO</v>
      </c>
      <c r="K794" t="str" cm="1">
        <f t="array" ref="K794">_xlfn.IFS(ISBLANK(I794),"FALTANTE",ABS((I794-$W$8)/$X$8)&gt;1.92,"ATÍPICO",ABS((I794-$W$8)/$X$8)&lt;=1.92,"NO ATÍPICO")</f>
        <v>NO ATÍPICO</v>
      </c>
      <c r="L794">
        <f t="shared" si="60"/>
        <v>1998877</v>
      </c>
      <c r="M794" t="str">
        <f t="shared" si="64"/>
        <v>ASALARIADO</v>
      </c>
      <c r="N794">
        <f t="shared" si="61"/>
        <v>50</v>
      </c>
      <c r="O794" s="19" t="str">
        <f t="shared" si="62"/>
        <v>1200k+</v>
      </c>
      <c r="P794" s="19" t="str">
        <f t="shared" si="63"/>
        <v>46-55</v>
      </c>
    </row>
    <row r="795" spans="1:16" x14ac:dyDescent="0.25">
      <c r="A795">
        <v>794</v>
      </c>
      <c r="B795" t="s">
        <v>9</v>
      </c>
      <c r="C795">
        <v>208000</v>
      </c>
      <c r="D795" t="s">
        <v>10</v>
      </c>
      <c r="E795" t="s">
        <v>16</v>
      </c>
      <c r="F795" t="s">
        <v>12</v>
      </c>
      <c r="G795" t="s">
        <v>13</v>
      </c>
      <c r="H795" t="s">
        <v>13</v>
      </c>
      <c r="I795">
        <v>29</v>
      </c>
      <c r="J795" t="str" cm="1">
        <f t="array" ref="J795">_xlfn.IFS(ISBLANK(C795),"FALTANTE",ABS((C795-$W$5)/$X$5)&gt;1.96,"ATÍPICO",ABS((C795-$W$5)/$X$5)&lt;=1.96,"NO ATÍPICO")</f>
        <v>NO ATÍPICO</v>
      </c>
      <c r="K795" t="str" cm="1">
        <f t="array" ref="K795">_xlfn.IFS(ISBLANK(I795),"FALTANTE",ABS((I795-$W$8)/$X$8)&gt;1.92,"ATÍPICO",ABS((I795-$W$8)/$X$8)&lt;=1.92,"NO ATÍPICO")</f>
        <v>NO ATÍPICO</v>
      </c>
      <c r="L795">
        <f t="shared" si="60"/>
        <v>208000</v>
      </c>
      <c r="M795" t="str">
        <f t="shared" si="64"/>
        <v>ASALARIADO</v>
      </c>
      <c r="N795">
        <f t="shared" si="61"/>
        <v>29</v>
      </c>
      <c r="O795" s="19" t="str">
        <f t="shared" si="62"/>
        <v>0–300k</v>
      </c>
      <c r="P795" s="19" t="str">
        <f t="shared" si="63"/>
        <v>26-35</v>
      </c>
    </row>
    <row r="796" spans="1:16" x14ac:dyDescent="0.25">
      <c r="A796">
        <v>795</v>
      </c>
      <c r="B796" t="s">
        <v>15</v>
      </c>
      <c r="C796">
        <v>479051.66</v>
      </c>
      <c r="D796" t="s">
        <v>10</v>
      </c>
      <c r="E796" t="s">
        <v>16</v>
      </c>
      <c r="F796" t="s">
        <v>12</v>
      </c>
      <c r="G796" t="s">
        <v>13</v>
      </c>
      <c r="H796" t="s">
        <v>13</v>
      </c>
      <c r="I796">
        <v>47</v>
      </c>
      <c r="J796" t="str" cm="1">
        <f t="array" ref="J796">_xlfn.IFS(ISBLANK(C796),"FALTANTE",ABS((C796-$W$5)/$X$5)&gt;1.96,"ATÍPICO",ABS((C796-$W$5)/$X$5)&lt;=1.96,"NO ATÍPICO")</f>
        <v>NO ATÍPICO</v>
      </c>
      <c r="K796" t="str" cm="1">
        <f t="array" ref="K796">_xlfn.IFS(ISBLANK(I796),"FALTANTE",ABS((I796-$W$8)/$X$8)&gt;1.92,"ATÍPICO",ABS((I796-$W$8)/$X$8)&lt;=1.92,"NO ATÍPICO")</f>
        <v>NO ATÍPICO</v>
      </c>
      <c r="L796">
        <f t="shared" si="60"/>
        <v>479051.66</v>
      </c>
      <c r="M796" t="str">
        <f t="shared" si="64"/>
        <v>ASALARIADO</v>
      </c>
      <c r="N796">
        <f t="shared" si="61"/>
        <v>47</v>
      </c>
      <c r="O796" s="19" t="str">
        <f t="shared" si="62"/>
        <v>300k–600k</v>
      </c>
      <c r="P796" s="19" t="str">
        <f t="shared" si="63"/>
        <v>46-55</v>
      </c>
    </row>
    <row r="797" spans="1:16" x14ac:dyDescent="0.25">
      <c r="A797">
        <v>796</v>
      </c>
      <c r="B797" t="s">
        <v>9</v>
      </c>
      <c r="C797">
        <v>1146094.07</v>
      </c>
      <c r="D797" t="s">
        <v>10</v>
      </c>
      <c r="E797" t="s">
        <v>11</v>
      </c>
      <c r="F797" t="s">
        <v>12</v>
      </c>
      <c r="G797" t="s">
        <v>13</v>
      </c>
      <c r="H797" t="s">
        <v>13</v>
      </c>
      <c r="I797">
        <v>48</v>
      </c>
      <c r="J797" t="str" cm="1">
        <f t="array" ref="J797">_xlfn.IFS(ISBLANK(C797),"FALTANTE",ABS((C797-$W$5)/$X$5)&gt;1.96,"ATÍPICO",ABS((C797-$W$5)/$X$5)&lt;=1.96,"NO ATÍPICO")</f>
        <v>NO ATÍPICO</v>
      </c>
      <c r="K797" t="str" cm="1">
        <f t="array" ref="K797">_xlfn.IFS(ISBLANK(I797),"FALTANTE",ABS((I797-$W$8)/$X$8)&gt;1.92,"ATÍPICO",ABS((I797-$W$8)/$X$8)&lt;=1.92,"NO ATÍPICO")</f>
        <v>NO ATÍPICO</v>
      </c>
      <c r="L797">
        <f t="shared" si="60"/>
        <v>1146094.07</v>
      </c>
      <c r="M797" t="str">
        <f t="shared" si="64"/>
        <v>ASALARIADO</v>
      </c>
      <c r="N797">
        <f t="shared" si="61"/>
        <v>48</v>
      </c>
      <c r="O797" s="19" t="str">
        <f t="shared" si="62"/>
        <v>900k–1200k</v>
      </c>
      <c r="P797" s="19" t="str">
        <f t="shared" si="63"/>
        <v>46-55</v>
      </c>
    </row>
    <row r="798" spans="1:16" x14ac:dyDescent="0.25">
      <c r="A798">
        <v>797</v>
      </c>
      <c r="B798" t="s">
        <v>15</v>
      </c>
      <c r="C798">
        <v>720000</v>
      </c>
      <c r="D798" t="s">
        <v>10</v>
      </c>
      <c r="E798" t="s">
        <v>16</v>
      </c>
      <c r="F798" t="s">
        <v>12</v>
      </c>
      <c r="G798" t="s">
        <v>12</v>
      </c>
      <c r="H798" t="s">
        <v>13</v>
      </c>
      <c r="I798">
        <v>34</v>
      </c>
      <c r="J798" t="str" cm="1">
        <f t="array" ref="J798">_xlfn.IFS(ISBLANK(C798),"FALTANTE",ABS((C798-$W$5)/$X$5)&gt;1.96,"ATÍPICO",ABS((C798-$W$5)/$X$5)&lt;=1.96,"NO ATÍPICO")</f>
        <v>NO ATÍPICO</v>
      </c>
      <c r="K798" t="str" cm="1">
        <f t="array" ref="K798">_xlfn.IFS(ISBLANK(I798),"FALTANTE",ABS((I798-$W$8)/$X$8)&gt;1.92,"ATÍPICO",ABS((I798-$W$8)/$X$8)&lt;=1.92,"NO ATÍPICO")</f>
        <v>NO ATÍPICO</v>
      </c>
      <c r="L798">
        <f t="shared" si="60"/>
        <v>720000</v>
      </c>
      <c r="M798" t="str">
        <f t="shared" si="64"/>
        <v>ASALARIADO</v>
      </c>
      <c r="N798">
        <f t="shared" si="61"/>
        <v>34</v>
      </c>
      <c r="O798" s="19" t="str">
        <f t="shared" si="62"/>
        <v>600k–900k</v>
      </c>
      <c r="P798" s="19" t="str">
        <f t="shared" si="63"/>
        <v>26-35</v>
      </c>
    </row>
    <row r="799" spans="1:16" x14ac:dyDescent="0.25">
      <c r="A799">
        <v>798</v>
      </c>
      <c r="B799" t="s">
        <v>15</v>
      </c>
      <c r="C799">
        <v>451549.84</v>
      </c>
      <c r="D799" t="s">
        <v>10</v>
      </c>
      <c r="E799" t="s">
        <v>16</v>
      </c>
      <c r="F799" t="s">
        <v>12</v>
      </c>
      <c r="G799" t="s">
        <v>13</v>
      </c>
      <c r="H799" t="s">
        <v>13</v>
      </c>
      <c r="I799">
        <v>44</v>
      </c>
      <c r="J799" t="str" cm="1">
        <f t="array" ref="J799">_xlfn.IFS(ISBLANK(C799),"FALTANTE",ABS((C799-$W$5)/$X$5)&gt;1.96,"ATÍPICO",ABS((C799-$W$5)/$X$5)&lt;=1.96,"NO ATÍPICO")</f>
        <v>NO ATÍPICO</v>
      </c>
      <c r="K799" t="str" cm="1">
        <f t="array" ref="K799">_xlfn.IFS(ISBLANK(I799),"FALTANTE",ABS((I799-$W$8)/$X$8)&gt;1.92,"ATÍPICO",ABS((I799-$W$8)/$X$8)&lt;=1.92,"NO ATÍPICO")</f>
        <v>NO ATÍPICO</v>
      </c>
      <c r="L799">
        <f t="shared" si="60"/>
        <v>451549.84</v>
      </c>
      <c r="M799" t="str">
        <f t="shared" si="64"/>
        <v>ASALARIADO</v>
      </c>
      <c r="N799">
        <f t="shared" si="61"/>
        <v>44</v>
      </c>
      <c r="O799" s="19" t="str">
        <f t="shared" si="62"/>
        <v>300k–600k</v>
      </c>
      <c r="P799" s="19" t="str">
        <f t="shared" si="63"/>
        <v>36-45</v>
      </c>
    </row>
    <row r="800" spans="1:16" x14ac:dyDescent="0.25">
      <c r="A800">
        <v>799</v>
      </c>
      <c r="B800" t="s">
        <v>15</v>
      </c>
      <c r="C800">
        <v>382136</v>
      </c>
      <c r="D800" t="s">
        <v>18</v>
      </c>
      <c r="E800" t="s">
        <v>16</v>
      </c>
      <c r="F800" t="s">
        <v>12</v>
      </c>
      <c r="G800" t="s">
        <v>13</v>
      </c>
      <c r="H800" t="s">
        <v>12</v>
      </c>
      <c r="I800">
        <v>35</v>
      </c>
      <c r="J800" t="str" cm="1">
        <f t="array" ref="J800">_xlfn.IFS(ISBLANK(C800),"FALTANTE",ABS((C800-$W$5)/$X$5)&gt;1.96,"ATÍPICO",ABS((C800-$W$5)/$X$5)&lt;=1.96,"NO ATÍPICO")</f>
        <v>NO ATÍPICO</v>
      </c>
      <c r="K800" t="str" cm="1">
        <f t="array" ref="K800">_xlfn.IFS(ISBLANK(I800),"FALTANTE",ABS((I800-$W$8)/$X$8)&gt;1.92,"ATÍPICO",ABS((I800-$W$8)/$X$8)&lt;=1.92,"NO ATÍPICO")</f>
        <v>NO ATÍPICO</v>
      </c>
      <c r="L800">
        <f t="shared" si="60"/>
        <v>382136</v>
      </c>
      <c r="M800" t="str">
        <f t="shared" si="64"/>
        <v>TRABAJADOR INDEPENDIENTE</v>
      </c>
      <c r="N800">
        <f t="shared" si="61"/>
        <v>35</v>
      </c>
      <c r="O800" s="19" t="str">
        <f t="shared" si="62"/>
        <v>300k–600k</v>
      </c>
      <c r="P800" s="19" t="str">
        <f t="shared" si="63"/>
        <v>26-35</v>
      </c>
    </row>
    <row r="801" spans="1:16" x14ac:dyDescent="0.25">
      <c r="A801">
        <v>800</v>
      </c>
      <c r="B801" t="s">
        <v>9</v>
      </c>
      <c r="C801">
        <v>200000</v>
      </c>
      <c r="D801" t="s">
        <v>10</v>
      </c>
      <c r="E801" t="s">
        <v>16</v>
      </c>
      <c r="F801" t="s">
        <v>12</v>
      </c>
      <c r="G801" t="s">
        <v>13</v>
      </c>
      <c r="H801" t="s">
        <v>13</v>
      </c>
      <c r="I801">
        <v>38</v>
      </c>
      <c r="J801" t="str" cm="1">
        <f t="array" ref="J801">_xlfn.IFS(ISBLANK(C801),"FALTANTE",ABS((C801-$W$5)/$X$5)&gt;1.96,"ATÍPICO",ABS((C801-$W$5)/$X$5)&lt;=1.96,"NO ATÍPICO")</f>
        <v>NO ATÍPICO</v>
      </c>
      <c r="K801" t="str" cm="1">
        <f t="array" ref="K801">_xlfn.IFS(ISBLANK(I801),"FALTANTE",ABS((I801-$W$8)/$X$8)&gt;1.92,"ATÍPICO",ABS((I801-$W$8)/$X$8)&lt;=1.92,"NO ATÍPICO")</f>
        <v>NO ATÍPICO</v>
      </c>
      <c r="L801">
        <f t="shared" si="60"/>
        <v>200000</v>
      </c>
      <c r="M801" t="str">
        <f t="shared" si="64"/>
        <v>ASALARIADO</v>
      </c>
      <c r="N801">
        <f t="shared" si="61"/>
        <v>38</v>
      </c>
      <c r="O801" s="19" t="str">
        <f t="shared" si="62"/>
        <v>0–300k</v>
      </c>
      <c r="P801" s="19" t="str">
        <f t="shared" si="63"/>
        <v>36-45</v>
      </c>
    </row>
    <row r="802" spans="1:16" x14ac:dyDescent="0.25">
      <c r="A802">
        <v>801</v>
      </c>
      <c r="B802" t="s">
        <v>9</v>
      </c>
      <c r="C802">
        <v>1017758</v>
      </c>
      <c r="D802" t="s">
        <v>18</v>
      </c>
      <c r="E802" t="s">
        <v>16</v>
      </c>
      <c r="F802" t="s">
        <v>12</v>
      </c>
      <c r="G802" t="s">
        <v>13</v>
      </c>
      <c r="H802" t="s">
        <v>13</v>
      </c>
      <c r="I802">
        <v>61</v>
      </c>
      <c r="J802" t="str" cm="1">
        <f t="array" ref="J802">_xlfn.IFS(ISBLANK(C802),"FALTANTE",ABS((C802-$W$5)/$X$5)&gt;1.96,"ATÍPICO",ABS((C802-$W$5)/$X$5)&lt;=1.96,"NO ATÍPICO")</f>
        <v>NO ATÍPICO</v>
      </c>
      <c r="K802" t="str" cm="1">
        <f t="array" ref="K802">_xlfn.IFS(ISBLANK(I802),"FALTANTE",ABS((I802-$W$8)/$X$8)&gt;1.92,"ATÍPICO",ABS((I802-$W$8)/$X$8)&lt;=1.92,"NO ATÍPICO")</f>
        <v>NO ATÍPICO</v>
      </c>
      <c r="L802">
        <f t="shared" si="60"/>
        <v>1017758</v>
      </c>
      <c r="M802" t="str">
        <f t="shared" si="64"/>
        <v>TRABAJADOR INDEPENDIENTE</v>
      </c>
      <c r="N802">
        <f t="shared" si="61"/>
        <v>61</v>
      </c>
      <c r="O802" s="19" t="str">
        <f t="shared" si="62"/>
        <v>900k–1200k</v>
      </c>
      <c r="P802" s="19" t="str">
        <f t="shared" si="63"/>
        <v>56+</v>
      </c>
    </row>
    <row r="803" spans="1:16" x14ac:dyDescent="0.25">
      <c r="A803">
        <v>802</v>
      </c>
      <c r="B803" t="s">
        <v>15</v>
      </c>
      <c r="C803">
        <v>769515.15</v>
      </c>
      <c r="D803" t="s">
        <v>10</v>
      </c>
      <c r="E803" t="s">
        <v>11</v>
      </c>
      <c r="F803" t="s">
        <v>12</v>
      </c>
      <c r="G803" t="s">
        <v>13</v>
      </c>
      <c r="H803" t="s">
        <v>13</v>
      </c>
      <c r="I803">
        <v>42</v>
      </c>
      <c r="J803" t="str" cm="1">
        <f t="array" ref="J803">_xlfn.IFS(ISBLANK(C803),"FALTANTE",ABS((C803-$W$5)/$X$5)&gt;1.96,"ATÍPICO",ABS((C803-$W$5)/$X$5)&lt;=1.96,"NO ATÍPICO")</f>
        <v>NO ATÍPICO</v>
      </c>
      <c r="K803" t="str" cm="1">
        <f t="array" ref="K803">_xlfn.IFS(ISBLANK(I803),"FALTANTE",ABS((I803-$W$8)/$X$8)&gt;1.92,"ATÍPICO",ABS((I803-$W$8)/$X$8)&lt;=1.92,"NO ATÍPICO")</f>
        <v>NO ATÍPICO</v>
      </c>
      <c r="L803">
        <f t="shared" si="60"/>
        <v>769515.15</v>
      </c>
      <c r="M803" t="str">
        <f t="shared" si="64"/>
        <v>ASALARIADO</v>
      </c>
      <c r="N803">
        <f t="shared" si="61"/>
        <v>42</v>
      </c>
      <c r="O803" s="19" t="str">
        <f t="shared" si="62"/>
        <v>600k–900k</v>
      </c>
      <c r="P803" s="19" t="str">
        <f t="shared" si="63"/>
        <v>36-45</v>
      </c>
    </row>
    <row r="804" spans="1:16" x14ac:dyDescent="0.25">
      <c r="A804">
        <v>803</v>
      </c>
      <c r="B804" t="s">
        <v>15</v>
      </c>
      <c r="C804">
        <v>938855</v>
      </c>
      <c r="D804" t="s">
        <v>14</v>
      </c>
      <c r="E804" t="s">
        <v>11</v>
      </c>
      <c r="F804" t="s">
        <v>12</v>
      </c>
      <c r="G804" t="s">
        <v>13</v>
      </c>
      <c r="H804" t="s">
        <v>13</v>
      </c>
      <c r="I804">
        <v>73</v>
      </c>
      <c r="J804" t="str" cm="1">
        <f t="array" ref="J804">_xlfn.IFS(ISBLANK(C804),"FALTANTE",ABS((C804-$W$5)/$X$5)&gt;1.96,"ATÍPICO",ABS((C804-$W$5)/$X$5)&lt;=1.96,"NO ATÍPICO")</f>
        <v>NO ATÍPICO</v>
      </c>
      <c r="K804" t="str" cm="1">
        <f t="array" ref="K804">_xlfn.IFS(ISBLANK(I804),"FALTANTE",ABS((I804-$W$8)/$X$8)&gt;1.92,"ATÍPICO",ABS((I804-$W$8)/$X$8)&lt;=1.92,"NO ATÍPICO")</f>
        <v>ATÍPICO</v>
      </c>
      <c r="L804">
        <f t="shared" si="60"/>
        <v>938855</v>
      </c>
      <c r="M804" t="str">
        <f t="shared" si="64"/>
        <v>PENSIONADOS EN SU PROPIO SISTEMA</v>
      </c>
      <c r="N804">
        <f t="shared" si="61"/>
        <v>73</v>
      </c>
      <c r="O804" s="19" t="str">
        <f t="shared" si="62"/>
        <v>900k–1200k</v>
      </c>
      <c r="P804" s="19" t="str">
        <f t="shared" si="63"/>
        <v>56+</v>
      </c>
    </row>
    <row r="805" spans="1:16" x14ac:dyDescent="0.25">
      <c r="A805">
        <v>804</v>
      </c>
      <c r="B805" t="s">
        <v>9</v>
      </c>
      <c r="C805">
        <v>75000</v>
      </c>
      <c r="D805" t="s">
        <v>10</v>
      </c>
      <c r="E805" t="s">
        <v>16</v>
      </c>
      <c r="F805" t="s">
        <v>12</v>
      </c>
      <c r="G805" t="s">
        <v>13</v>
      </c>
      <c r="H805" t="s">
        <v>13</v>
      </c>
      <c r="I805">
        <v>26</v>
      </c>
      <c r="J805" t="str" cm="1">
        <f t="array" ref="J805">_xlfn.IFS(ISBLANK(C805),"FALTANTE",ABS((C805-$W$5)/$X$5)&gt;1.96,"ATÍPICO",ABS((C805-$W$5)/$X$5)&lt;=1.96,"NO ATÍPICO")</f>
        <v>NO ATÍPICO</v>
      </c>
      <c r="K805" t="str" cm="1">
        <f t="array" ref="K805">_xlfn.IFS(ISBLANK(I805),"FALTANTE",ABS((I805-$W$8)/$X$8)&gt;1.92,"ATÍPICO",ABS((I805-$W$8)/$X$8)&lt;=1.92,"NO ATÍPICO")</f>
        <v>NO ATÍPICO</v>
      </c>
      <c r="L805">
        <f t="shared" si="60"/>
        <v>75000</v>
      </c>
      <c r="M805" t="str">
        <f t="shared" si="64"/>
        <v>ASALARIADO</v>
      </c>
      <c r="N805">
        <f t="shared" si="61"/>
        <v>26</v>
      </c>
      <c r="O805" s="19" t="str">
        <f t="shared" si="62"/>
        <v>0–300k</v>
      </c>
      <c r="P805" s="19" t="str">
        <f t="shared" si="63"/>
        <v>26-35</v>
      </c>
    </row>
    <row r="806" spans="1:16" x14ac:dyDescent="0.25">
      <c r="A806">
        <v>805</v>
      </c>
      <c r="B806" t="s">
        <v>15</v>
      </c>
      <c r="C806">
        <v>430007.09</v>
      </c>
      <c r="D806" t="s">
        <v>10</v>
      </c>
      <c r="E806" t="s">
        <v>16</v>
      </c>
      <c r="F806" t="s">
        <v>12</v>
      </c>
      <c r="G806" t="s">
        <v>13</v>
      </c>
      <c r="H806" t="s">
        <v>13</v>
      </c>
      <c r="I806">
        <v>25</v>
      </c>
      <c r="J806" t="str" cm="1">
        <f t="array" ref="J806">_xlfn.IFS(ISBLANK(C806),"FALTANTE",ABS((C806-$W$5)/$X$5)&gt;1.96,"ATÍPICO",ABS((C806-$W$5)/$X$5)&lt;=1.96,"NO ATÍPICO")</f>
        <v>NO ATÍPICO</v>
      </c>
      <c r="K806" t="str" cm="1">
        <f t="array" ref="K806">_xlfn.IFS(ISBLANK(I806),"FALTANTE",ABS((I806-$W$8)/$X$8)&gt;1.92,"ATÍPICO",ABS((I806-$W$8)/$X$8)&lt;=1.92,"NO ATÍPICO")</f>
        <v>NO ATÍPICO</v>
      </c>
      <c r="L806">
        <f t="shared" si="60"/>
        <v>430007.09</v>
      </c>
      <c r="M806" t="str">
        <f t="shared" si="64"/>
        <v>ASALARIADO</v>
      </c>
      <c r="N806">
        <f t="shared" si="61"/>
        <v>25</v>
      </c>
      <c r="O806" s="19" t="str">
        <f t="shared" si="62"/>
        <v>300k–600k</v>
      </c>
      <c r="P806" s="19" t="str">
        <f t="shared" si="63"/>
        <v>18-25</v>
      </c>
    </row>
    <row r="807" spans="1:16" x14ac:dyDescent="0.25">
      <c r="A807">
        <v>806</v>
      </c>
      <c r="B807" t="s">
        <v>9</v>
      </c>
      <c r="C807">
        <v>533558</v>
      </c>
      <c r="D807" t="s">
        <v>18</v>
      </c>
      <c r="E807" t="s">
        <v>16</v>
      </c>
      <c r="F807" t="s">
        <v>12</v>
      </c>
      <c r="G807" t="s">
        <v>12</v>
      </c>
      <c r="H807" t="s">
        <v>12</v>
      </c>
      <c r="I807">
        <v>41</v>
      </c>
      <c r="J807" t="str" cm="1">
        <f t="array" ref="J807">_xlfn.IFS(ISBLANK(C807),"FALTANTE",ABS((C807-$W$5)/$X$5)&gt;1.96,"ATÍPICO",ABS((C807-$W$5)/$X$5)&lt;=1.96,"NO ATÍPICO")</f>
        <v>NO ATÍPICO</v>
      </c>
      <c r="K807" t="str" cm="1">
        <f t="array" ref="K807">_xlfn.IFS(ISBLANK(I807),"FALTANTE",ABS((I807-$W$8)/$X$8)&gt;1.92,"ATÍPICO",ABS((I807-$W$8)/$X$8)&lt;=1.92,"NO ATÍPICO")</f>
        <v>NO ATÍPICO</v>
      </c>
      <c r="L807">
        <f t="shared" si="60"/>
        <v>533558</v>
      </c>
      <c r="M807" t="str">
        <f t="shared" si="64"/>
        <v>TRABAJADOR INDEPENDIENTE</v>
      </c>
      <c r="N807">
        <f t="shared" si="61"/>
        <v>41</v>
      </c>
      <c r="O807" s="19" t="str">
        <f t="shared" si="62"/>
        <v>300k–600k</v>
      </c>
      <c r="P807" s="19" t="str">
        <f t="shared" si="63"/>
        <v>36-45</v>
      </c>
    </row>
    <row r="808" spans="1:16" x14ac:dyDescent="0.25">
      <c r="A808">
        <v>807</v>
      </c>
      <c r="B808" t="s">
        <v>15</v>
      </c>
      <c r="C808">
        <v>347514</v>
      </c>
      <c r="D808" t="s">
        <v>10</v>
      </c>
      <c r="E808" t="s">
        <v>16</v>
      </c>
      <c r="F808" t="s">
        <v>12</v>
      </c>
      <c r="G808" t="s">
        <v>13</v>
      </c>
      <c r="H808" t="s">
        <v>13</v>
      </c>
      <c r="I808">
        <v>20</v>
      </c>
      <c r="J808" t="str" cm="1">
        <f t="array" ref="J808">_xlfn.IFS(ISBLANK(C808),"FALTANTE",ABS((C808-$W$5)/$X$5)&gt;1.96,"ATÍPICO",ABS((C808-$W$5)/$X$5)&lt;=1.96,"NO ATÍPICO")</f>
        <v>NO ATÍPICO</v>
      </c>
      <c r="K808" t="str" cm="1">
        <f t="array" ref="K808">_xlfn.IFS(ISBLANK(I808),"FALTANTE",ABS((I808-$W$8)/$X$8)&gt;1.92,"ATÍPICO",ABS((I808-$W$8)/$X$8)&lt;=1.92,"NO ATÍPICO")</f>
        <v>NO ATÍPICO</v>
      </c>
      <c r="L808">
        <f t="shared" si="60"/>
        <v>347514</v>
      </c>
      <c r="M808" t="str">
        <f t="shared" si="64"/>
        <v>ASALARIADO</v>
      </c>
      <c r="N808">
        <f t="shared" si="61"/>
        <v>20</v>
      </c>
      <c r="O808" s="19" t="str">
        <f t="shared" si="62"/>
        <v>300k–600k</v>
      </c>
      <c r="P808" s="19" t="str">
        <f t="shared" si="63"/>
        <v>18-25</v>
      </c>
    </row>
    <row r="809" spans="1:16" x14ac:dyDescent="0.25">
      <c r="A809">
        <v>808</v>
      </c>
      <c r="B809" t="s">
        <v>9</v>
      </c>
      <c r="C809">
        <v>226500</v>
      </c>
      <c r="D809" t="s">
        <v>10</v>
      </c>
      <c r="E809" t="s">
        <v>16</v>
      </c>
      <c r="F809" t="s">
        <v>12</v>
      </c>
      <c r="G809" t="s">
        <v>13</v>
      </c>
      <c r="H809" t="s">
        <v>13</v>
      </c>
      <c r="I809">
        <v>35</v>
      </c>
      <c r="J809" t="str" cm="1">
        <f t="array" ref="J809">_xlfn.IFS(ISBLANK(C809),"FALTANTE",ABS((C809-$W$5)/$X$5)&gt;1.96,"ATÍPICO",ABS((C809-$W$5)/$X$5)&lt;=1.96,"NO ATÍPICO")</f>
        <v>NO ATÍPICO</v>
      </c>
      <c r="K809" t="str" cm="1">
        <f t="array" ref="K809">_xlfn.IFS(ISBLANK(I809),"FALTANTE",ABS((I809-$W$8)/$X$8)&gt;1.92,"ATÍPICO",ABS((I809-$W$8)/$X$8)&lt;=1.92,"NO ATÍPICO")</f>
        <v>NO ATÍPICO</v>
      </c>
      <c r="L809">
        <f t="shared" si="60"/>
        <v>226500</v>
      </c>
      <c r="M809" t="str">
        <f t="shared" si="64"/>
        <v>ASALARIADO</v>
      </c>
      <c r="N809">
        <f t="shared" si="61"/>
        <v>35</v>
      </c>
      <c r="O809" s="19" t="str">
        <f t="shared" si="62"/>
        <v>0–300k</v>
      </c>
      <c r="P809" s="19" t="str">
        <f t="shared" si="63"/>
        <v>26-35</v>
      </c>
    </row>
    <row r="810" spans="1:16" x14ac:dyDescent="0.25">
      <c r="A810">
        <v>809</v>
      </c>
      <c r="B810" t="s">
        <v>15</v>
      </c>
      <c r="C810">
        <v>545926</v>
      </c>
      <c r="D810" t="s">
        <v>18</v>
      </c>
      <c r="E810" t="s">
        <v>16</v>
      </c>
      <c r="F810" t="s">
        <v>12</v>
      </c>
      <c r="G810" t="s">
        <v>13</v>
      </c>
      <c r="H810" t="s">
        <v>13</v>
      </c>
      <c r="I810">
        <v>40</v>
      </c>
      <c r="J810" t="str" cm="1">
        <f t="array" ref="J810">_xlfn.IFS(ISBLANK(C810),"FALTANTE",ABS((C810-$W$5)/$X$5)&gt;1.96,"ATÍPICO",ABS((C810-$W$5)/$X$5)&lt;=1.96,"NO ATÍPICO")</f>
        <v>NO ATÍPICO</v>
      </c>
      <c r="K810" t="str" cm="1">
        <f t="array" ref="K810">_xlfn.IFS(ISBLANK(I810),"FALTANTE",ABS((I810-$W$8)/$X$8)&gt;1.92,"ATÍPICO",ABS((I810-$W$8)/$X$8)&lt;=1.92,"NO ATÍPICO")</f>
        <v>NO ATÍPICO</v>
      </c>
      <c r="L810">
        <f t="shared" si="60"/>
        <v>545926</v>
      </c>
      <c r="M810" t="str">
        <f t="shared" si="64"/>
        <v>TRABAJADOR INDEPENDIENTE</v>
      </c>
      <c r="N810">
        <f t="shared" si="61"/>
        <v>40</v>
      </c>
      <c r="O810" s="19" t="str">
        <f t="shared" si="62"/>
        <v>300k–600k</v>
      </c>
      <c r="P810" s="19" t="str">
        <f t="shared" si="63"/>
        <v>36-45</v>
      </c>
    </row>
    <row r="811" spans="1:16" x14ac:dyDescent="0.25">
      <c r="A811">
        <v>810</v>
      </c>
      <c r="B811" t="s">
        <v>9</v>
      </c>
      <c r="C811">
        <v>289717</v>
      </c>
      <c r="D811" t="s">
        <v>18</v>
      </c>
      <c r="E811" t="s">
        <v>16</v>
      </c>
      <c r="F811" t="s">
        <v>12</v>
      </c>
      <c r="G811" t="s">
        <v>13</v>
      </c>
      <c r="H811" t="s">
        <v>12</v>
      </c>
      <c r="I811">
        <v>30</v>
      </c>
      <c r="J811" t="str" cm="1">
        <f t="array" ref="J811">_xlfn.IFS(ISBLANK(C811),"FALTANTE",ABS((C811-$W$5)/$X$5)&gt;1.96,"ATÍPICO",ABS((C811-$W$5)/$X$5)&lt;=1.96,"NO ATÍPICO")</f>
        <v>NO ATÍPICO</v>
      </c>
      <c r="K811" t="str" cm="1">
        <f t="array" ref="K811">_xlfn.IFS(ISBLANK(I811),"FALTANTE",ABS((I811-$W$8)/$X$8)&gt;1.92,"ATÍPICO",ABS((I811-$W$8)/$X$8)&lt;=1.92,"NO ATÍPICO")</f>
        <v>NO ATÍPICO</v>
      </c>
      <c r="L811">
        <f t="shared" si="60"/>
        <v>289717</v>
      </c>
      <c r="M811" t="str">
        <f t="shared" si="64"/>
        <v>TRABAJADOR INDEPENDIENTE</v>
      </c>
      <c r="N811">
        <f t="shared" si="61"/>
        <v>30</v>
      </c>
      <c r="O811" s="19" t="str">
        <f t="shared" si="62"/>
        <v>0–300k</v>
      </c>
      <c r="P811" s="19" t="str">
        <f t="shared" si="63"/>
        <v>26-35</v>
      </c>
    </row>
    <row r="812" spans="1:16" x14ac:dyDescent="0.25">
      <c r="A812">
        <v>811</v>
      </c>
      <c r="B812" t="s">
        <v>9</v>
      </c>
      <c r="C812">
        <v>1765910</v>
      </c>
      <c r="D812" t="s">
        <v>10</v>
      </c>
      <c r="E812" t="s">
        <v>16</v>
      </c>
      <c r="F812" t="s">
        <v>12</v>
      </c>
      <c r="G812" t="s">
        <v>13</v>
      </c>
      <c r="H812" t="s">
        <v>13</v>
      </c>
      <c r="I812">
        <v>56</v>
      </c>
      <c r="J812" t="str" cm="1">
        <f t="array" ref="J812">_xlfn.IFS(ISBLANK(C812),"FALTANTE",ABS((C812-$W$5)/$X$5)&gt;1.96,"ATÍPICO",ABS((C812-$W$5)/$X$5)&lt;=1.96,"NO ATÍPICO")</f>
        <v>NO ATÍPICO</v>
      </c>
      <c r="K812" t="str" cm="1">
        <f t="array" ref="K812">_xlfn.IFS(ISBLANK(I812),"FALTANTE",ABS((I812-$W$8)/$X$8)&gt;1.92,"ATÍPICO",ABS((I812-$W$8)/$X$8)&lt;=1.92,"NO ATÍPICO")</f>
        <v>NO ATÍPICO</v>
      </c>
      <c r="L812">
        <f t="shared" si="60"/>
        <v>1765910</v>
      </c>
      <c r="M812" t="str">
        <f t="shared" si="64"/>
        <v>ASALARIADO</v>
      </c>
      <c r="N812">
        <f t="shared" si="61"/>
        <v>56</v>
      </c>
      <c r="O812" s="19" t="str">
        <f t="shared" si="62"/>
        <v>1200k+</v>
      </c>
      <c r="P812" s="19" t="str">
        <f t="shared" si="63"/>
        <v>56+</v>
      </c>
    </row>
    <row r="813" spans="1:16" x14ac:dyDescent="0.25">
      <c r="A813">
        <v>812</v>
      </c>
      <c r="B813" t="s">
        <v>9</v>
      </c>
      <c r="C813">
        <v>353119.82</v>
      </c>
      <c r="D813" t="s">
        <v>10</v>
      </c>
      <c r="E813" t="s">
        <v>16</v>
      </c>
      <c r="F813" t="s">
        <v>12</v>
      </c>
      <c r="G813" t="s">
        <v>13</v>
      </c>
      <c r="H813" t="s">
        <v>13</v>
      </c>
      <c r="I813">
        <v>36</v>
      </c>
      <c r="J813" t="str" cm="1">
        <f t="array" ref="J813">_xlfn.IFS(ISBLANK(C813),"FALTANTE",ABS((C813-$W$5)/$X$5)&gt;1.96,"ATÍPICO",ABS((C813-$W$5)/$X$5)&lt;=1.96,"NO ATÍPICO")</f>
        <v>NO ATÍPICO</v>
      </c>
      <c r="K813" t="str" cm="1">
        <f t="array" ref="K813">_xlfn.IFS(ISBLANK(I813),"FALTANTE",ABS((I813-$W$8)/$X$8)&gt;1.92,"ATÍPICO",ABS((I813-$W$8)/$X$8)&lt;=1.92,"NO ATÍPICO")</f>
        <v>NO ATÍPICO</v>
      </c>
      <c r="L813">
        <f t="shared" si="60"/>
        <v>353119.82</v>
      </c>
      <c r="M813" t="str">
        <f t="shared" si="64"/>
        <v>ASALARIADO</v>
      </c>
      <c r="N813">
        <f t="shared" si="61"/>
        <v>36</v>
      </c>
      <c r="O813" s="19" t="str">
        <f t="shared" si="62"/>
        <v>300k–600k</v>
      </c>
      <c r="P813" s="19" t="str">
        <f t="shared" si="63"/>
        <v>36-45</v>
      </c>
    </row>
    <row r="814" spans="1:16" x14ac:dyDescent="0.25">
      <c r="A814">
        <v>813</v>
      </c>
      <c r="B814" t="s">
        <v>15</v>
      </c>
      <c r="C814">
        <v>44230.75</v>
      </c>
      <c r="D814" t="s">
        <v>10</v>
      </c>
      <c r="E814" t="s">
        <v>16</v>
      </c>
      <c r="F814" t="s">
        <v>12</v>
      </c>
      <c r="G814" t="s">
        <v>13</v>
      </c>
      <c r="H814" t="s">
        <v>13</v>
      </c>
      <c r="I814">
        <v>32</v>
      </c>
      <c r="J814" t="str" cm="1">
        <f t="array" ref="J814">_xlfn.IFS(ISBLANK(C814),"FALTANTE",ABS((C814-$W$5)/$X$5)&gt;1.96,"ATÍPICO",ABS((C814-$W$5)/$X$5)&lt;=1.96,"NO ATÍPICO")</f>
        <v>NO ATÍPICO</v>
      </c>
      <c r="K814" t="str" cm="1">
        <f t="array" ref="K814">_xlfn.IFS(ISBLANK(I814),"FALTANTE",ABS((I814-$W$8)/$X$8)&gt;1.92,"ATÍPICO",ABS((I814-$W$8)/$X$8)&lt;=1.92,"NO ATÍPICO")</f>
        <v>NO ATÍPICO</v>
      </c>
      <c r="L814">
        <f t="shared" si="60"/>
        <v>44230.75</v>
      </c>
      <c r="M814" t="str">
        <f t="shared" si="64"/>
        <v>ASALARIADO</v>
      </c>
      <c r="N814">
        <f t="shared" si="61"/>
        <v>32</v>
      </c>
      <c r="O814" s="19" t="str">
        <f t="shared" si="62"/>
        <v>0–300k</v>
      </c>
      <c r="P814" s="19" t="str">
        <f t="shared" si="63"/>
        <v>26-35</v>
      </c>
    </row>
    <row r="815" spans="1:16" x14ac:dyDescent="0.25">
      <c r="A815">
        <v>814</v>
      </c>
      <c r="B815" t="s">
        <v>9</v>
      </c>
      <c r="C815">
        <v>382136</v>
      </c>
      <c r="D815" t="s">
        <v>18</v>
      </c>
      <c r="E815" t="s">
        <v>16</v>
      </c>
      <c r="F815" t="s">
        <v>12</v>
      </c>
      <c r="G815" t="s">
        <v>13</v>
      </c>
      <c r="H815" t="s">
        <v>12</v>
      </c>
      <c r="I815">
        <v>46</v>
      </c>
      <c r="J815" t="str" cm="1">
        <f t="array" ref="J815">_xlfn.IFS(ISBLANK(C815),"FALTANTE",ABS((C815-$W$5)/$X$5)&gt;1.96,"ATÍPICO",ABS((C815-$W$5)/$X$5)&lt;=1.96,"NO ATÍPICO")</f>
        <v>NO ATÍPICO</v>
      </c>
      <c r="K815" t="str" cm="1">
        <f t="array" ref="K815">_xlfn.IFS(ISBLANK(I815),"FALTANTE",ABS((I815-$W$8)/$X$8)&gt;1.92,"ATÍPICO",ABS((I815-$W$8)/$X$8)&lt;=1.92,"NO ATÍPICO")</f>
        <v>NO ATÍPICO</v>
      </c>
      <c r="L815">
        <f t="shared" si="60"/>
        <v>382136</v>
      </c>
      <c r="M815" t="str">
        <f t="shared" si="64"/>
        <v>TRABAJADOR INDEPENDIENTE</v>
      </c>
      <c r="N815">
        <f t="shared" si="61"/>
        <v>46</v>
      </c>
      <c r="O815" s="19" t="str">
        <f t="shared" si="62"/>
        <v>300k–600k</v>
      </c>
      <c r="P815" s="19" t="str">
        <f t="shared" si="63"/>
        <v>46-55</v>
      </c>
    </row>
    <row r="816" spans="1:16" x14ac:dyDescent="0.25">
      <c r="A816">
        <v>815</v>
      </c>
      <c r="B816" t="s">
        <v>15</v>
      </c>
      <c r="C816">
        <v>115500</v>
      </c>
      <c r="D816" t="s">
        <v>10</v>
      </c>
      <c r="E816" t="s">
        <v>16</v>
      </c>
      <c r="F816" t="s">
        <v>12</v>
      </c>
      <c r="G816" t="s">
        <v>13</v>
      </c>
      <c r="H816" t="s">
        <v>13</v>
      </c>
      <c r="I816">
        <v>51</v>
      </c>
      <c r="J816" t="str" cm="1">
        <f t="array" ref="J816">_xlfn.IFS(ISBLANK(C816),"FALTANTE",ABS((C816-$W$5)/$X$5)&gt;1.96,"ATÍPICO",ABS((C816-$W$5)/$X$5)&lt;=1.96,"NO ATÍPICO")</f>
        <v>NO ATÍPICO</v>
      </c>
      <c r="K816" t="str" cm="1">
        <f t="array" ref="K816">_xlfn.IFS(ISBLANK(I816),"FALTANTE",ABS((I816-$W$8)/$X$8)&gt;1.92,"ATÍPICO",ABS((I816-$W$8)/$X$8)&lt;=1.92,"NO ATÍPICO")</f>
        <v>NO ATÍPICO</v>
      </c>
      <c r="L816">
        <f t="shared" si="60"/>
        <v>115500</v>
      </c>
      <c r="M816" t="str">
        <f t="shared" si="64"/>
        <v>ASALARIADO</v>
      </c>
      <c r="N816">
        <f t="shared" si="61"/>
        <v>51</v>
      </c>
      <c r="O816" s="19" t="str">
        <f t="shared" si="62"/>
        <v>0–300k</v>
      </c>
      <c r="P816" s="19" t="str">
        <f t="shared" si="63"/>
        <v>46-55</v>
      </c>
    </row>
    <row r="817" spans="1:16" x14ac:dyDescent="0.25">
      <c r="A817">
        <v>816</v>
      </c>
      <c r="B817" t="s">
        <v>15</v>
      </c>
      <c r="C817">
        <v>3289892.56</v>
      </c>
      <c r="D817" t="s">
        <v>10</v>
      </c>
      <c r="E817" t="s">
        <v>11</v>
      </c>
      <c r="F817" t="s">
        <v>12</v>
      </c>
      <c r="G817" t="s">
        <v>13</v>
      </c>
      <c r="H817" t="s">
        <v>13</v>
      </c>
      <c r="I817">
        <v>43</v>
      </c>
      <c r="J817" t="str" cm="1">
        <f t="array" ref="J817">_xlfn.IFS(ISBLANK(C817),"FALTANTE",ABS((C817-$W$5)/$X$5)&gt;1.96,"ATÍPICO",ABS((C817-$W$5)/$X$5)&lt;=1.96,"NO ATÍPICO")</f>
        <v>ATÍPICO</v>
      </c>
      <c r="K817" t="str" cm="1">
        <f t="array" ref="K817">_xlfn.IFS(ISBLANK(I817),"FALTANTE",ABS((I817-$W$8)/$X$8)&gt;1.92,"ATÍPICO",ABS((I817-$W$8)/$X$8)&lt;=1.92,"NO ATÍPICO")</f>
        <v>NO ATÍPICO</v>
      </c>
      <c r="L817">
        <f t="shared" si="60"/>
        <v>3289892.56</v>
      </c>
      <c r="M817" t="str">
        <f t="shared" si="64"/>
        <v>ASALARIADO</v>
      </c>
      <c r="N817">
        <f t="shared" si="61"/>
        <v>43</v>
      </c>
      <c r="O817" s="19" t="str">
        <f t="shared" si="62"/>
        <v>1200k+</v>
      </c>
      <c r="P817" s="19" t="str">
        <f t="shared" si="63"/>
        <v>36-45</v>
      </c>
    </row>
    <row r="818" spans="1:16" x14ac:dyDescent="0.25">
      <c r="A818">
        <v>817</v>
      </c>
      <c r="B818" t="s">
        <v>9</v>
      </c>
      <c r="C818">
        <v>892687.5</v>
      </c>
      <c r="D818" t="s">
        <v>10</v>
      </c>
      <c r="E818" t="s">
        <v>16</v>
      </c>
      <c r="F818" t="s">
        <v>12</v>
      </c>
      <c r="G818" t="s">
        <v>13</v>
      </c>
      <c r="H818" t="s">
        <v>13</v>
      </c>
      <c r="I818">
        <v>35</v>
      </c>
      <c r="J818" t="str" cm="1">
        <f t="array" ref="J818">_xlfn.IFS(ISBLANK(C818),"FALTANTE",ABS((C818-$W$5)/$X$5)&gt;1.96,"ATÍPICO",ABS((C818-$W$5)/$X$5)&lt;=1.96,"NO ATÍPICO")</f>
        <v>NO ATÍPICO</v>
      </c>
      <c r="K818" t="str" cm="1">
        <f t="array" ref="K818">_xlfn.IFS(ISBLANK(I818),"FALTANTE",ABS((I818-$W$8)/$X$8)&gt;1.92,"ATÍPICO",ABS((I818-$W$8)/$X$8)&lt;=1.92,"NO ATÍPICO")</f>
        <v>NO ATÍPICO</v>
      </c>
      <c r="L818">
        <f t="shared" si="60"/>
        <v>892687.5</v>
      </c>
      <c r="M818" t="str">
        <f t="shared" si="64"/>
        <v>ASALARIADO</v>
      </c>
      <c r="N818">
        <f t="shared" si="61"/>
        <v>35</v>
      </c>
      <c r="O818" s="19" t="str">
        <f t="shared" si="62"/>
        <v>600k–900k</v>
      </c>
      <c r="P818" s="19" t="str">
        <f t="shared" si="63"/>
        <v>26-35</v>
      </c>
    </row>
    <row r="819" spans="1:16" x14ac:dyDescent="0.25">
      <c r="A819">
        <v>818</v>
      </c>
      <c r="B819" t="s">
        <v>15</v>
      </c>
      <c r="C819">
        <v>261476.98</v>
      </c>
      <c r="D819" t="s">
        <v>10</v>
      </c>
      <c r="E819" t="s">
        <v>11</v>
      </c>
      <c r="F819" t="s">
        <v>12</v>
      </c>
      <c r="G819" t="s">
        <v>13</v>
      </c>
      <c r="H819" t="s">
        <v>13</v>
      </c>
      <c r="I819">
        <v>33</v>
      </c>
      <c r="J819" t="str" cm="1">
        <f t="array" ref="J819">_xlfn.IFS(ISBLANK(C819),"FALTANTE",ABS((C819-$W$5)/$X$5)&gt;1.96,"ATÍPICO",ABS((C819-$W$5)/$X$5)&lt;=1.96,"NO ATÍPICO")</f>
        <v>NO ATÍPICO</v>
      </c>
      <c r="K819" t="str" cm="1">
        <f t="array" ref="K819">_xlfn.IFS(ISBLANK(I819),"FALTANTE",ABS((I819-$W$8)/$X$8)&gt;1.92,"ATÍPICO",ABS((I819-$W$8)/$X$8)&lt;=1.92,"NO ATÍPICO")</f>
        <v>NO ATÍPICO</v>
      </c>
      <c r="L819">
        <f t="shared" si="60"/>
        <v>261476.98</v>
      </c>
      <c r="M819" t="str">
        <f t="shared" si="64"/>
        <v>ASALARIADO</v>
      </c>
      <c r="N819">
        <f t="shared" si="61"/>
        <v>33</v>
      </c>
      <c r="O819" s="19" t="str">
        <f t="shared" si="62"/>
        <v>0–300k</v>
      </c>
      <c r="P819" s="19" t="str">
        <f t="shared" si="63"/>
        <v>26-35</v>
      </c>
    </row>
    <row r="820" spans="1:16" x14ac:dyDescent="0.25">
      <c r="A820">
        <v>819</v>
      </c>
      <c r="B820" t="s">
        <v>9</v>
      </c>
      <c r="C820">
        <v>229395.18</v>
      </c>
      <c r="D820" t="s">
        <v>10</v>
      </c>
      <c r="E820" t="s">
        <v>16</v>
      </c>
      <c r="F820" t="s">
        <v>12</v>
      </c>
      <c r="G820" t="s">
        <v>13</v>
      </c>
      <c r="H820" t="s">
        <v>13</v>
      </c>
      <c r="I820">
        <v>57</v>
      </c>
      <c r="J820" t="str" cm="1">
        <f t="array" ref="J820">_xlfn.IFS(ISBLANK(C820),"FALTANTE",ABS((C820-$W$5)/$X$5)&gt;1.96,"ATÍPICO",ABS((C820-$W$5)/$X$5)&lt;=1.96,"NO ATÍPICO")</f>
        <v>NO ATÍPICO</v>
      </c>
      <c r="K820" t="str" cm="1">
        <f t="array" ref="K820">_xlfn.IFS(ISBLANK(I820),"FALTANTE",ABS((I820-$W$8)/$X$8)&gt;1.92,"ATÍPICO",ABS((I820-$W$8)/$X$8)&lt;=1.92,"NO ATÍPICO")</f>
        <v>NO ATÍPICO</v>
      </c>
      <c r="L820">
        <f t="shared" si="60"/>
        <v>229395.18</v>
      </c>
      <c r="M820" t="str">
        <f t="shared" si="64"/>
        <v>ASALARIADO</v>
      </c>
      <c r="N820">
        <f t="shared" si="61"/>
        <v>57</v>
      </c>
      <c r="O820" s="19" t="str">
        <f t="shared" si="62"/>
        <v>0–300k</v>
      </c>
      <c r="P820" s="19" t="str">
        <f t="shared" si="63"/>
        <v>56+</v>
      </c>
    </row>
    <row r="821" spans="1:16" x14ac:dyDescent="0.25">
      <c r="A821">
        <v>820</v>
      </c>
      <c r="B821" t="s">
        <v>15</v>
      </c>
      <c r="C821">
        <v>854646.84</v>
      </c>
      <c r="D821" t="s">
        <v>10</v>
      </c>
      <c r="E821" t="s">
        <v>11</v>
      </c>
      <c r="F821" t="s">
        <v>12</v>
      </c>
      <c r="G821" t="s">
        <v>13</v>
      </c>
      <c r="H821" t="s">
        <v>13</v>
      </c>
      <c r="I821">
        <v>24</v>
      </c>
      <c r="J821" t="str" cm="1">
        <f t="array" ref="J821">_xlfn.IFS(ISBLANK(C821),"FALTANTE",ABS((C821-$W$5)/$X$5)&gt;1.96,"ATÍPICO",ABS((C821-$W$5)/$X$5)&lt;=1.96,"NO ATÍPICO")</f>
        <v>NO ATÍPICO</v>
      </c>
      <c r="K821" t="str" cm="1">
        <f t="array" ref="K821">_xlfn.IFS(ISBLANK(I821),"FALTANTE",ABS((I821-$W$8)/$X$8)&gt;1.92,"ATÍPICO",ABS((I821-$W$8)/$X$8)&lt;=1.92,"NO ATÍPICO")</f>
        <v>NO ATÍPICO</v>
      </c>
      <c r="L821">
        <f t="shared" si="60"/>
        <v>854646.84</v>
      </c>
      <c r="M821" t="str">
        <f t="shared" si="64"/>
        <v>ASALARIADO</v>
      </c>
      <c r="N821">
        <f t="shared" si="61"/>
        <v>24</v>
      </c>
      <c r="O821" s="19" t="str">
        <f t="shared" si="62"/>
        <v>600k–900k</v>
      </c>
      <c r="P821" s="19" t="str">
        <f t="shared" si="63"/>
        <v>18-25</v>
      </c>
    </row>
    <row r="822" spans="1:16" x14ac:dyDescent="0.25">
      <c r="A822">
        <v>821</v>
      </c>
      <c r="B822" t="s">
        <v>9</v>
      </c>
      <c r="C822">
        <v>438402.25</v>
      </c>
      <c r="D822" t="s">
        <v>10</v>
      </c>
      <c r="E822" t="s">
        <v>16</v>
      </c>
      <c r="F822" t="s">
        <v>12</v>
      </c>
      <c r="G822" t="s">
        <v>13</v>
      </c>
      <c r="H822" t="s">
        <v>13</v>
      </c>
      <c r="I822">
        <v>28</v>
      </c>
      <c r="J822" t="str" cm="1">
        <f t="array" ref="J822">_xlfn.IFS(ISBLANK(C822),"FALTANTE",ABS((C822-$W$5)/$X$5)&gt;1.96,"ATÍPICO",ABS((C822-$W$5)/$X$5)&lt;=1.96,"NO ATÍPICO")</f>
        <v>NO ATÍPICO</v>
      </c>
      <c r="K822" t="str" cm="1">
        <f t="array" ref="K822">_xlfn.IFS(ISBLANK(I822),"FALTANTE",ABS((I822-$W$8)/$X$8)&gt;1.92,"ATÍPICO",ABS((I822-$W$8)/$X$8)&lt;=1.92,"NO ATÍPICO")</f>
        <v>NO ATÍPICO</v>
      </c>
      <c r="L822">
        <f t="shared" si="60"/>
        <v>438402.25</v>
      </c>
      <c r="M822" t="str">
        <f t="shared" si="64"/>
        <v>ASALARIADO</v>
      </c>
      <c r="N822">
        <f t="shared" si="61"/>
        <v>28</v>
      </c>
      <c r="O822" s="19" t="str">
        <f t="shared" si="62"/>
        <v>300k–600k</v>
      </c>
      <c r="P822" s="19" t="str">
        <f t="shared" si="63"/>
        <v>26-35</v>
      </c>
    </row>
    <row r="823" spans="1:16" x14ac:dyDescent="0.25">
      <c r="A823">
        <v>822</v>
      </c>
      <c r="B823" t="s">
        <v>9</v>
      </c>
      <c r="C823">
        <v>440612.25</v>
      </c>
      <c r="D823" t="s">
        <v>10</v>
      </c>
      <c r="E823" t="s">
        <v>16</v>
      </c>
      <c r="F823" t="s">
        <v>12</v>
      </c>
      <c r="G823" t="s">
        <v>13</v>
      </c>
      <c r="H823" t="s">
        <v>13</v>
      </c>
      <c r="I823">
        <v>24</v>
      </c>
      <c r="J823" t="str" cm="1">
        <f t="array" ref="J823">_xlfn.IFS(ISBLANK(C823),"FALTANTE",ABS((C823-$W$5)/$X$5)&gt;1.96,"ATÍPICO",ABS((C823-$W$5)/$X$5)&lt;=1.96,"NO ATÍPICO")</f>
        <v>NO ATÍPICO</v>
      </c>
      <c r="K823" t="str" cm="1">
        <f t="array" ref="K823">_xlfn.IFS(ISBLANK(I823),"FALTANTE",ABS((I823-$W$8)/$X$8)&gt;1.92,"ATÍPICO",ABS((I823-$W$8)/$X$8)&lt;=1.92,"NO ATÍPICO")</f>
        <v>NO ATÍPICO</v>
      </c>
      <c r="L823">
        <f t="shared" si="60"/>
        <v>440612.25</v>
      </c>
      <c r="M823" t="str">
        <f t="shared" si="64"/>
        <v>ASALARIADO</v>
      </c>
      <c r="N823">
        <f t="shared" si="61"/>
        <v>24</v>
      </c>
      <c r="O823" s="19" t="str">
        <f t="shared" si="62"/>
        <v>300k–600k</v>
      </c>
      <c r="P823" s="19" t="str">
        <f t="shared" si="63"/>
        <v>18-25</v>
      </c>
    </row>
    <row r="824" spans="1:16" x14ac:dyDescent="0.25">
      <c r="A824">
        <v>823</v>
      </c>
      <c r="B824" t="s">
        <v>9</v>
      </c>
      <c r="C824">
        <v>299784</v>
      </c>
      <c r="D824" t="s">
        <v>17</v>
      </c>
      <c r="E824" t="s">
        <v>16</v>
      </c>
      <c r="F824" t="s">
        <v>12</v>
      </c>
      <c r="G824" t="s">
        <v>13</v>
      </c>
      <c r="H824" t="s">
        <v>13</v>
      </c>
      <c r="I824">
        <v>50</v>
      </c>
      <c r="J824" t="str" cm="1">
        <f t="array" ref="J824">_xlfn.IFS(ISBLANK(C824),"FALTANTE",ABS((C824-$W$5)/$X$5)&gt;1.96,"ATÍPICO",ABS((C824-$W$5)/$X$5)&lt;=1.96,"NO ATÍPICO")</f>
        <v>NO ATÍPICO</v>
      </c>
      <c r="K824" t="str" cm="1">
        <f t="array" ref="K824">_xlfn.IFS(ISBLANK(I824),"FALTANTE",ABS((I824-$W$8)/$X$8)&gt;1.92,"ATÍPICO",ABS((I824-$W$8)/$X$8)&lt;=1.92,"NO ATÍPICO")</f>
        <v>NO ATÍPICO</v>
      </c>
      <c r="L824">
        <f t="shared" si="60"/>
        <v>299784</v>
      </c>
      <c r="M824" t="str">
        <f t="shared" si="64"/>
        <v>ASEGURADO VOLUNTARIO</v>
      </c>
      <c r="N824">
        <f t="shared" si="61"/>
        <v>50</v>
      </c>
      <c r="O824" s="19" t="str">
        <f t="shared" si="62"/>
        <v>0–300k</v>
      </c>
      <c r="P824" s="19" t="str">
        <f t="shared" si="63"/>
        <v>46-55</v>
      </c>
    </row>
    <row r="825" spans="1:16" x14ac:dyDescent="0.25">
      <c r="A825">
        <v>824</v>
      </c>
      <c r="B825" t="s">
        <v>9</v>
      </c>
      <c r="C825">
        <v>320283</v>
      </c>
      <c r="D825" t="s">
        <v>18</v>
      </c>
      <c r="E825" t="s">
        <v>16</v>
      </c>
      <c r="F825" t="s">
        <v>12</v>
      </c>
      <c r="G825" t="s">
        <v>13</v>
      </c>
      <c r="H825" t="s">
        <v>12</v>
      </c>
      <c r="I825">
        <v>36</v>
      </c>
      <c r="J825" t="str" cm="1">
        <f t="array" ref="J825">_xlfn.IFS(ISBLANK(C825),"FALTANTE",ABS((C825-$W$5)/$X$5)&gt;1.96,"ATÍPICO",ABS((C825-$W$5)/$X$5)&lt;=1.96,"NO ATÍPICO")</f>
        <v>NO ATÍPICO</v>
      </c>
      <c r="K825" t="str" cm="1">
        <f t="array" ref="K825">_xlfn.IFS(ISBLANK(I825),"FALTANTE",ABS((I825-$W$8)/$X$8)&gt;1.92,"ATÍPICO",ABS((I825-$W$8)/$X$8)&lt;=1.92,"NO ATÍPICO")</f>
        <v>NO ATÍPICO</v>
      </c>
      <c r="L825">
        <f t="shared" si="60"/>
        <v>320283</v>
      </c>
      <c r="M825" t="str">
        <f t="shared" si="64"/>
        <v>TRABAJADOR INDEPENDIENTE</v>
      </c>
      <c r="N825">
        <f t="shared" si="61"/>
        <v>36</v>
      </c>
      <c r="O825" s="19" t="str">
        <f t="shared" si="62"/>
        <v>300k–600k</v>
      </c>
      <c r="P825" s="19" t="str">
        <f t="shared" si="63"/>
        <v>36-45</v>
      </c>
    </row>
    <row r="826" spans="1:16" x14ac:dyDescent="0.25">
      <c r="A826">
        <v>825</v>
      </c>
      <c r="B826" t="s">
        <v>9</v>
      </c>
      <c r="C826">
        <v>255360</v>
      </c>
      <c r="D826" t="s">
        <v>10</v>
      </c>
      <c r="E826" t="s">
        <v>16</v>
      </c>
      <c r="F826" t="s">
        <v>12</v>
      </c>
      <c r="G826" t="s">
        <v>13</v>
      </c>
      <c r="H826" t="s">
        <v>13</v>
      </c>
      <c r="I826">
        <v>25</v>
      </c>
      <c r="J826" t="str" cm="1">
        <f t="array" ref="J826">_xlfn.IFS(ISBLANK(C826),"FALTANTE",ABS((C826-$W$5)/$X$5)&gt;1.96,"ATÍPICO",ABS((C826-$W$5)/$X$5)&lt;=1.96,"NO ATÍPICO")</f>
        <v>NO ATÍPICO</v>
      </c>
      <c r="K826" t="str" cm="1">
        <f t="array" ref="K826">_xlfn.IFS(ISBLANK(I826),"FALTANTE",ABS((I826-$W$8)/$X$8)&gt;1.92,"ATÍPICO",ABS((I826-$W$8)/$X$8)&lt;=1.92,"NO ATÍPICO")</f>
        <v>NO ATÍPICO</v>
      </c>
      <c r="L826">
        <f t="shared" si="60"/>
        <v>255360</v>
      </c>
      <c r="M826" t="str">
        <f t="shared" si="64"/>
        <v>ASALARIADO</v>
      </c>
      <c r="N826">
        <f t="shared" si="61"/>
        <v>25</v>
      </c>
      <c r="O826" s="19" t="str">
        <f t="shared" si="62"/>
        <v>0–300k</v>
      </c>
      <c r="P826" s="19" t="str">
        <f t="shared" si="63"/>
        <v>18-25</v>
      </c>
    </row>
    <row r="827" spans="1:16" x14ac:dyDescent="0.25">
      <c r="A827">
        <v>826</v>
      </c>
      <c r="B827" t="s">
        <v>15</v>
      </c>
      <c r="C827">
        <v>387500</v>
      </c>
      <c r="D827" t="s">
        <v>10</v>
      </c>
      <c r="E827" t="s">
        <v>16</v>
      </c>
      <c r="F827" t="s">
        <v>12</v>
      </c>
      <c r="G827" t="s">
        <v>13</v>
      </c>
      <c r="H827" t="s">
        <v>13</v>
      </c>
      <c r="I827">
        <v>38</v>
      </c>
      <c r="J827" t="str" cm="1">
        <f t="array" ref="J827">_xlfn.IFS(ISBLANK(C827),"FALTANTE",ABS((C827-$W$5)/$X$5)&gt;1.96,"ATÍPICO",ABS((C827-$W$5)/$X$5)&lt;=1.96,"NO ATÍPICO")</f>
        <v>NO ATÍPICO</v>
      </c>
      <c r="K827" t="str" cm="1">
        <f t="array" ref="K827">_xlfn.IFS(ISBLANK(I827),"FALTANTE",ABS((I827-$W$8)/$X$8)&gt;1.92,"ATÍPICO",ABS((I827-$W$8)/$X$8)&lt;=1.92,"NO ATÍPICO")</f>
        <v>NO ATÍPICO</v>
      </c>
      <c r="L827">
        <f t="shared" si="60"/>
        <v>387500</v>
      </c>
      <c r="M827" t="str">
        <f t="shared" si="64"/>
        <v>ASALARIADO</v>
      </c>
      <c r="N827">
        <f t="shared" si="61"/>
        <v>38</v>
      </c>
      <c r="O827" s="19" t="str">
        <f t="shared" si="62"/>
        <v>300k–600k</v>
      </c>
      <c r="P827" s="19" t="str">
        <f t="shared" si="63"/>
        <v>36-45</v>
      </c>
    </row>
    <row r="828" spans="1:16" x14ac:dyDescent="0.25">
      <c r="A828">
        <v>827</v>
      </c>
      <c r="B828" t="s">
        <v>9</v>
      </c>
      <c r="C828">
        <v>310124</v>
      </c>
      <c r="D828" t="s">
        <v>18</v>
      </c>
      <c r="E828" t="s">
        <v>16</v>
      </c>
      <c r="F828" t="s">
        <v>12</v>
      </c>
      <c r="G828" t="s">
        <v>13</v>
      </c>
      <c r="H828" t="s">
        <v>13</v>
      </c>
      <c r="I828">
        <v>65</v>
      </c>
      <c r="J828" t="str" cm="1">
        <f t="array" ref="J828">_xlfn.IFS(ISBLANK(C828),"FALTANTE",ABS((C828-$W$5)/$X$5)&gt;1.96,"ATÍPICO",ABS((C828-$W$5)/$X$5)&lt;=1.96,"NO ATÍPICO")</f>
        <v>NO ATÍPICO</v>
      </c>
      <c r="K828" t="str" cm="1">
        <f t="array" ref="K828">_xlfn.IFS(ISBLANK(I828),"FALTANTE",ABS((I828-$W$8)/$X$8)&gt;1.92,"ATÍPICO",ABS((I828-$W$8)/$X$8)&lt;=1.92,"NO ATÍPICO")</f>
        <v>NO ATÍPICO</v>
      </c>
      <c r="L828">
        <f t="shared" si="60"/>
        <v>310124</v>
      </c>
      <c r="M828" t="str">
        <f t="shared" si="64"/>
        <v>TRABAJADOR INDEPENDIENTE</v>
      </c>
      <c r="N828">
        <f t="shared" si="61"/>
        <v>65</v>
      </c>
      <c r="O828" s="19" t="str">
        <f t="shared" si="62"/>
        <v>300k–600k</v>
      </c>
      <c r="P828" s="19" t="str">
        <f t="shared" si="63"/>
        <v>56+</v>
      </c>
    </row>
    <row r="829" spans="1:16" x14ac:dyDescent="0.25">
      <c r="A829">
        <v>828</v>
      </c>
      <c r="B829" t="s">
        <v>15</v>
      </c>
      <c r="C829">
        <v>343390.86</v>
      </c>
      <c r="D829" t="s">
        <v>10</v>
      </c>
      <c r="E829" t="s">
        <v>16</v>
      </c>
      <c r="F829" t="s">
        <v>12</v>
      </c>
      <c r="G829" t="s">
        <v>13</v>
      </c>
      <c r="H829" t="s">
        <v>13</v>
      </c>
      <c r="I829">
        <v>28</v>
      </c>
      <c r="J829" t="str" cm="1">
        <f t="array" ref="J829">_xlfn.IFS(ISBLANK(C829),"FALTANTE",ABS((C829-$W$5)/$X$5)&gt;1.96,"ATÍPICO",ABS((C829-$W$5)/$X$5)&lt;=1.96,"NO ATÍPICO")</f>
        <v>NO ATÍPICO</v>
      </c>
      <c r="K829" t="str" cm="1">
        <f t="array" ref="K829">_xlfn.IFS(ISBLANK(I829),"FALTANTE",ABS((I829-$W$8)/$X$8)&gt;1.92,"ATÍPICO",ABS((I829-$W$8)/$X$8)&lt;=1.92,"NO ATÍPICO")</f>
        <v>NO ATÍPICO</v>
      </c>
      <c r="L829">
        <f t="shared" si="60"/>
        <v>343390.86</v>
      </c>
      <c r="M829" t="str">
        <f t="shared" si="64"/>
        <v>ASALARIADO</v>
      </c>
      <c r="N829">
        <f t="shared" si="61"/>
        <v>28</v>
      </c>
      <c r="O829" s="19" t="str">
        <f t="shared" si="62"/>
        <v>300k–600k</v>
      </c>
      <c r="P829" s="19" t="str">
        <f t="shared" si="63"/>
        <v>26-35</v>
      </c>
    </row>
    <row r="830" spans="1:16" x14ac:dyDescent="0.25">
      <c r="A830">
        <v>829</v>
      </c>
      <c r="B830" t="s">
        <v>15</v>
      </c>
      <c r="C830">
        <v>391062</v>
      </c>
      <c r="D830" t="s">
        <v>10</v>
      </c>
      <c r="E830" t="s">
        <v>16</v>
      </c>
      <c r="F830" t="s">
        <v>12</v>
      </c>
      <c r="G830" t="s">
        <v>13</v>
      </c>
      <c r="H830" t="s">
        <v>13</v>
      </c>
      <c r="I830">
        <v>33</v>
      </c>
      <c r="J830" t="str" cm="1">
        <f t="array" ref="J830">_xlfn.IFS(ISBLANK(C830),"FALTANTE",ABS((C830-$W$5)/$X$5)&gt;1.96,"ATÍPICO",ABS((C830-$W$5)/$X$5)&lt;=1.96,"NO ATÍPICO")</f>
        <v>NO ATÍPICO</v>
      </c>
      <c r="K830" t="str" cm="1">
        <f t="array" ref="K830">_xlfn.IFS(ISBLANK(I830),"FALTANTE",ABS((I830-$W$8)/$X$8)&gt;1.92,"ATÍPICO",ABS((I830-$W$8)/$X$8)&lt;=1.92,"NO ATÍPICO")</f>
        <v>NO ATÍPICO</v>
      </c>
      <c r="L830">
        <f t="shared" si="60"/>
        <v>391062</v>
      </c>
      <c r="M830" t="str">
        <f t="shared" si="64"/>
        <v>ASALARIADO</v>
      </c>
      <c r="N830">
        <f t="shared" si="61"/>
        <v>33</v>
      </c>
      <c r="O830" s="19" t="str">
        <f t="shared" si="62"/>
        <v>300k–600k</v>
      </c>
      <c r="P830" s="19" t="str">
        <f t="shared" si="63"/>
        <v>26-35</v>
      </c>
    </row>
    <row r="831" spans="1:16" x14ac:dyDescent="0.25">
      <c r="A831">
        <v>830</v>
      </c>
      <c r="B831" t="s">
        <v>9</v>
      </c>
      <c r="C831">
        <v>584267</v>
      </c>
      <c r="D831" t="s">
        <v>10</v>
      </c>
      <c r="E831" t="s">
        <v>11</v>
      </c>
      <c r="F831" t="s">
        <v>12</v>
      </c>
      <c r="G831" t="s">
        <v>13</v>
      </c>
      <c r="H831" t="s">
        <v>13</v>
      </c>
      <c r="I831">
        <v>29</v>
      </c>
      <c r="J831" t="str" cm="1">
        <f t="array" ref="J831">_xlfn.IFS(ISBLANK(C831),"FALTANTE",ABS((C831-$W$5)/$X$5)&gt;1.96,"ATÍPICO",ABS((C831-$W$5)/$X$5)&lt;=1.96,"NO ATÍPICO")</f>
        <v>NO ATÍPICO</v>
      </c>
      <c r="K831" t="str" cm="1">
        <f t="array" ref="K831">_xlfn.IFS(ISBLANK(I831),"FALTANTE",ABS((I831-$W$8)/$X$8)&gt;1.92,"ATÍPICO",ABS((I831-$W$8)/$X$8)&lt;=1.92,"NO ATÍPICO")</f>
        <v>NO ATÍPICO</v>
      </c>
      <c r="L831">
        <f t="shared" si="60"/>
        <v>584267</v>
      </c>
      <c r="M831" t="str">
        <f t="shared" si="64"/>
        <v>ASALARIADO</v>
      </c>
      <c r="N831">
        <f t="shared" si="61"/>
        <v>29</v>
      </c>
      <c r="O831" s="19" t="str">
        <f t="shared" si="62"/>
        <v>300k–600k</v>
      </c>
      <c r="P831" s="19" t="str">
        <f t="shared" si="63"/>
        <v>26-35</v>
      </c>
    </row>
    <row r="832" spans="1:16" x14ac:dyDescent="0.25">
      <c r="A832">
        <v>831</v>
      </c>
      <c r="B832" t="s">
        <v>9</v>
      </c>
      <c r="C832">
        <v>1034936.1</v>
      </c>
      <c r="D832" t="s">
        <v>10</v>
      </c>
      <c r="E832" t="s">
        <v>11</v>
      </c>
      <c r="F832" t="s">
        <v>12</v>
      </c>
      <c r="G832" t="s">
        <v>13</v>
      </c>
      <c r="H832" t="s">
        <v>13</v>
      </c>
      <c r="I832">
        <v>49</v>
      </c>
      <c r="J832" t="str" cm="1">
        <f t="array" ref="J832">_xlfn.IFS(ISBLANK(C832),"FALTANTE",ABS((C832-$W$5)/$X$5)&gt;1.96,"ATÍPICO",ABS((C832-$W$5)/$X$5)&lt;=1.96,"NO ATÍPICO")</f>
        <v>NO ATÍPICO</v>
      </c>
      <c r="K832" t="str" cm="1">
        <f t="array" ref="K832">_xlfn.IFS(ISBLANK(I832),"FALTANTE",ABS((I832-$W$8)/$X$8)&gt;1.92,"ATÍPICO",ABS((I832-$W$8)/$X$8)&lt;=1.92,"NO ATÍPICO")</f>
        <v>NO ATÍPICO</v>
      </c>
      <c r="L832">
        <f t="shared" si="60"/>
        <v>1034936.1</v>
      </c>
      <c r="M832" t="str">
        <f t="shared" si="64"/>
        <v>ASALARIADO</v>
      </c>
      <c r="N832">
        <f t="shared" si="61"/>
        <v>49</v>
      </c>
      <c r="O832" s="19" t="str">
        <f t="shared" si="62"/>
        <v>900k–1200k</v>
      </c>
      <c r="P832" s="19" t="str">
        <f t="shared" si="63"/>
        <v>46-55</v>
      </c>
    </row>
    <row r="833" spans="1:16" x14ac:dyDescent="0.25">
      <c r="A833">
        <v>832</v>
      </c>
      <c r="B833" t="s">
        <v>9</v>
      </c>
      <c r="C833">
        <v>410000</v>
      </c>
      <c r="D833" t="s">
        <v>10</v>
      </c>
      <c r="E833" t="s">
        <v>16</v>
      </c>
      <c r="F833" t="s">
        <v>12</v>
      </c>
      <c r="G833" t="s">
        <v>13</v>
      </c>
      <c r="H833" t="s">
        <v>13</v>
      </c>
      <c r="I833">
        <v>32</v>
      </c>
      <c r="J833" t="str" cm="1">
        <f t="array" ref="J833">_xlfn.IFS(ISBLANK(C833),"FALTANTE",ABS((C833-$W$5)/$X$5)&gt;1.96,"ATÍPICO",ABS((C833-$W$5)/$X$5)&lt;=1.96,"NO ATÍPICO")</f>
        <v>NO ATÍPICO</v>
      </c>
      <c r="K833" t="str" cm="1">
        <f t="array" ref="K833">_xlfn.IFS(ISBLANK(I833),"FALTANTE",ABS((I833-$W$8)/$X$8)&gt;1.92,"ATÍPICO",ABS((I833-$W$8)/$X$8)&lt;=1.92,"NO ATÍPICO")</f>
        <v>NO ATÍPICO</v>
      </c>
      <c r="L833">
        <f t="shared" si="60"/>
        <v>410000</v>
      </c>
      <c r="M833" t="str">
        <f t="shared" si="64"/>
        <v>ASALARIADO</v>
      </c>
      <c r="N833">
        <f t="shared" si="61"/>
        <v>32</v>
      </c>
      <c r="O833" s="19" t="str">
        <f t="shared" si="62"/>
        <v>300k–600k</v>
      </c>
      <c r="P833" s="19" t="str">
        <f t="shared" si="63"/>
        <v>26-35</v>
      </c>
    </row>
    <row r="834" spans="1:16" x14ac:dyDescent="0.25">
      <c r="A834">
        <v>833</v>
      </c>
      <c r="B834" t="s">
        <v>9</v>
      </c>
      <c r="C834">
        <v>297046</v>
      </c>
      <c r="D834" t="s">
        <v>17</v>
      </c>
      <c r="E834" t="s">
        <v>16</v>
      </c>
      <c r="F834" t="s">
        <v>12</v>
      </c>
      <c r="G834" t="s">
        <v>13</v>
      </c>
      <c r="H834" t="s">
        <v>13</v>
      </c>
      <c r="I834">
        <v>53</v>
      </c>
      <c r="J834" t="str" cm="1">
        <f t="array" ref="J834">_xlfn.IFS(ISBLANK(C834),"FALTANTE",ABS((C834-$W$5)/$X$5)&gt;1.96,"ATÍPICO",ABS((C834-$W$5)/$X$5)&lt;=1.96,"NO ATÍPICO")</f>
        <v>NO ATÍPICO</v>
      </c>
      <c r="K834" t="str" cm="1">
        <f t="array" ref="K834">_xlfn.IFS(ISBLANK(I834),"FALTANTE",ABS((I834-$W$8)/$X$8)&gt;1.92,"ATÍPICO",ABS((I834-$W$8)/$X$8)&lt;=1.92,"NO ATÍPICO")</f>
        <v>NO ATÍPICO</v>
      </c>
      <c r="L834">
        <f t="shared" ref="L834:L897" si="65">C834</f>
        <v>297046</v>
      </c>
      <c r="M834" t="str">
        <f t="shared" si="64"/>
        <v>ASEGURADO VOLUNTARIO</v>
      </c>
      <c r="N834">
        <f t="shared" ref="N834:N897" si="66">I834</f>
        <v>53</v>
      </c>
      <c r="O834" s="19" t="str">
        <f t="shared" ref="O834:O897" si="67">IF(L834&lt;=300000,"0–300k",IF(L834&lt;=600000,"300k–600k",IF(L834&lt;=900000,"600k–900k",IF(L834&lt;=1200000,"900k–1200k","1200k+"))))</f>
        <v>0–300k</v>
      </c>
      <c r="P834" s="19" t="str">
        <f t="shared" ref="P834:P897" si="68">IF(N834 &lt;=25,"18-25", IF(N834&lt;=35,"26-35", IF(N834 &lt;=45,"36-45", IF(N834&lt;=55,"46-55","56+"))))</f>
        <v>46-55</v>
      </c>
    </row>
    <row r="835" spans="1:16" x14ac:dyDescent="0.25">
      <c r="A835">
        <v>834</v>
      </c>
      <c r="B835" t="s">
        <v>15</v>
      </c>
      <c r="C835">
        <v>622035.84</v>
      </c>
      <c r="D835" t="s">
        <v>10</v>
      </c>
      <c r="E835" t="s">
        <v>11</v>
      </c>
      <c r="F835" t="s">
        <v>12</v>
      </c>
      <c r="G835" t="s">
        <v>13</v>
      </c>
      <c r="H835" t="s">
        <v>13</v>
      </c>
      <c r="I835">
        <v>26</v>
      </c>
      <c r="J835" t="str" cm="1">
        <f t="array" ref="J835">_xlfn.IFS(ISBLANK(C835),"FALTANTE",ABS((C835-$W$5)/$X$5)&gt;1.96,"ATÍPICO",ABS((C835-$W$5)/$X$5)&lt;=1.96,"NO ATÍPICO")</f>
        <v>NO ATÍPICO</v>
      </c>
      <c r="K835" t="str" cm="1">
        <f t="array" ref="K835">_xlfn.IFS(ISBLANK(I835),"FALTANTE",ABS((I835-$W$8)/$X$8)&gt;1.92,"ATÍPICO",ABS((I835-$W$8)/$X$8)&lt;=1.92,"NO ATÍPICO")</f>
        <v>NO ATÍPICO</v>
      </c>
      <c r="L835">
        <f t="shared" si="65"/>
        <v>622035.84</v>
      </c>
      <c r="M835" t="str">
        <f t="shared" si="64"/>
        <v>ASALARIADO</v>
      </c>
      <c r="N835">
        <f t="shared" si="66"/>
        <v>26</v>
      </c>
      <c r="O835" s="19" t="str">
        <f t="shared" si="67"/>
        <v>600k–900k</v>
      </c>
      <c r="P835" s="19" t="str">
        <f t="shared" si="68"/>
        <v>26-35</v>
      </c>
    </row>
    <row r="836" spans="1:16" x14ac:dyDescent="0.25">
      <c r="A836">
        <v>835</v>
      </c>
      <c r="B836" t="s">
        <v>15</v>
      </c>
      <c r="C836">
        <v>917703</v>
      </c>
      <c r="D836" t="s">
        <v>10</v>
      </c>
      <c r="E836" t="s">
        <v>11</v>
      </c>
      <c r="F836" t="s">
        <v>12</v>
      </c>
      <c r="G836" t="s">
        <v>13</v>
      </c>
      <c r="H836" t="s">
        <v>13</v>
      </c>
      <c r="I836">
        <v>44</v>
      </c>
      <c r="J836" t="str" cm="1">
        <f t="array" ref="J836">_xlfn.IFS(ISBLANK(C836),"FALTANTE",ABS((C836-$W$5)/$X$5)&gt;1.96,"ATÍPICO",ABS((C836-$W$5)/$X$5)&lt;=1.96,"NO ATÍPICO")</f>
        <v>NO ATÍPICO</v>
      </c>
      <c r="K836" t="str" cm="1">
        <f t="array" ref="K836">_xlfn.IFS(ISBLANK(I836),"FALTANTE",ABS((I836-$W$8)/$X$8)&gt;1.92,"ATÍPICO",ABS((I836-$W$8)/$X$8)&lt;=1.92,"NO ATÍPICO")</f>
        <v>NO ATÍPICO</v>
      </c>
      <c r="L836">
        <f t="shared" si="65"/>
        <v>917703</v>
      </c>
      <c r="M836" t="str">
        <f t="shared" ref="M836:M899" si="69">D836</f>
        <v>ASALARIADO</v>
      </c>
      <c r="N836">
        <f t="shared" si="66"/>
        <v>44</v>
      </c>
      <c r="O836" s="19" t="str">
        <f t="shared" si="67"/>
        <v>900k–1200k</v>
      </c>
      <c r="P836" s="19" t="str">
        <f t="shared" si="68"/>
        <v>36-45</v>
      </c>
    </row>
    <row r="837" spans="1:16" x14ac:dyDescent="0.25">
      <c r="A837">
        <v>836</v>
      </c>
      <c r="B837" t="s">
        <v>9</v>
      </c>
      <c r="C837">
        <v>241454.4</v>
      </c>
      <c r="D837" t="s">
        <v>10</v>
      </c>
      <c r="E837" t="s">
        <v>16</v>
      </c>
      <c r="F837" t="s">
        <v>12</v>
      </c>
      <c r="G837" t="s">
        <v>12</v>
      </c>
      <c r="H837" t="s">
        <v>13</v>
      </c>
      <c r="I837">
        <v>23</v>
      </c>
      <c r="J837" t="str" cm="1">
        <f t="array" ref="J837">_xlfn.IFS(ISBLANK(C837),"FALTANTE",ABS((C837-$W$5)/$X$5)&gt;1.96,"ATÍPICO",ABS((C837-$W$5)/$X$5)&lt;=1.96,"NO ATÍPICO")</f>
        <v>NO ATÍPICO</v>
      </c>
      <c r="K837" t="str" cm="1">
        <f t="array" ref="K837">_xlfn.IFS(ISBLANK(I837),"FALTANTE",ABS((I837-$W$8)/$X$8)&gt;1.92,"ATÍPICO",ABS((I837-$W$8)/$X$8)&lt;=1.92,"NO ATÍPICO")</f>
        <v>NO ATÍPICO</v>
      </c>
      <c r="L837">
        <f t="shared" si="65"/>
        <v>241454.4</v>
      </c>
      <c r="M837" t="str">
        <f t="shared" si="69"/>
        <v>ASALARIADO</v>
      </c>
      <c r="N837">
        <f t="shared" si="66"/>
        <v>23</v>
      </c>
      <c r="O837" s="19" t="str">
        <f t="shared" si="67"/>
        <v>0–300k</v>
      </c>
      <c r="P837" s="19" t="str">
        <f t="shared" si="68"/>
        <v>18-25</v>
      </c>
    </row>
    <row r="838" spans="1:16" x14ac:dyDescent="0.25">
      <c r="A838">
        <v>837</v>
      </c>
      <c r="B838" t="s">
        <v>15</v>
      </c>
      <c r="C838">
        <v>440000</v>
      </c>
      <c r="D838" t="s">
        <v>10</v>
      </c>
      <c r="E838" t="s">
        <v>16</v>
      </c>
      <c r="F838" t="s">
        <v>12</v>
      </c>
      <c r="G838" t="s">
        <v>12</v>
      </c>
      <c r="H838" t="s">
        <v>13</v>
      </c>
      <c r="I838">
        <v>39</v>
      </c>
      <c r="J838" t="str" cm="1">
        <f t="array" ref="J838">_xlfn.IFS(ISBLANK(C838),"FALTANTE",ABS((C838-$W$5)/$X$5)&gt;1.96,"ATÍPICO",ABS((C838-$W$5)/$X$5)&lt;=1.96,"NO ATÍPICO")</f>
        <v>NO ATÍPICO</v>
      </c>
      <c r="K838" t="str" cm="1">
        <f t="array" ref="K838">_xlfn.IFS(ISBLANK(I838),"FALTANTE",ABS((I838-$W$8)/$X$8)&gt;1.92,"ATÍPICO",ABS((I838-$W$8)/$X$8)&lt;=1.92,"NO ATÍPICO")</f>
        <v>NO ATÍPICO</v>
      </c>
      <c r="L838">
        <f t="shared" si="65"/>
        <v>440000</v>
      </c>
      <c r="M838" t="str">
        <f t="shared" si="69"/>
        <v>ASALARIADO</v>
      </c>
      <c r="N838">
        <f t="shared" si="66"/>
        <v>39</v>
      </c>
      <c r="O838" s="19" t="str">
        <f t="shared" si="67"/>
        <v>300k–600k</v>
      </c>
      <c r="P838" s="19" t="str">
        <f t="shared" si="68"/>
        <v>36-45</v>
      </c>
    </row>
    <row r="839" spans="1:16" x14ac:dyDescent="0.25">
      <c r="A839">
        <v>838</v>
      </c>
      <c r="B839" t="s">
        <v>15</v>
      </c>
      <c r="C839">
        <v>623738</v>
      </c>
      <c r="D839" t="s">
        <v>10</v>
      </c>
      <c r="E839" t="s">
        <v>16</v>
      </c>
      <c r="F839" t="s">
        <v>12</v>
      </c>
      <c r="G839" t="s">
        <v>13</v>
      </c>
      <c r="H839" t="s">
        <v>13</v>
      </c>
      <c r="I839">
        <v>26</v>
      </c>
      <c r="J839" t="str" cm="1">
        <f t="array" ref="J839">_xlfn.IFS(ISBLANK(C839),"FALTANTE",ABS((C839-$W$5)/$X$5)&gt;1.96,"ATÍPICO",ABS((C839-$W$5)/$X$5)&lt;=1.96,"NO ATÍPICO")</f>
        <v>NO ATÍPICO</v>
      </c>
      <c r="K839" t="str" cm="1">
        <f t="array" ref="K839">_xlfn.IFS(ISBLANK(I839),"FALTANTE",ABS((I839-$W$8)/$X$8)&gt;1.92,"ATÍPICO",ABS((I839-$W$8)/$X$8)&lt;=1.92,"NO ATÍPICO")</f>
        <v>NO ATÍPICO</v>
      </c>
      <c r="L839">
        <f t="shared" si="65"/>
        <v>623738</v>
      </c>
      <c r="M839" t="str">
        <f t="shared" si="69"/>
        <v>ASALARIADO</v>
      </c>
      <c r="N839">
        <f t="shared" si="66"/>
        <v>26</v>
      </c>
      <c r="O839" s="19" t="str">
        <f t="shared" si="67"/>
        <v>600k–900k</v>
      </c>
      <c r="P839" s="19" t="str">
        <f t="shared" si="68"/>
        <v>26-35</v>
      </c>
    </row>
    <row r="840" spans="1:16" x14ac:dyDescent="0.25">
      <c r="A840">
        <v>839</v>
      </c>
      <c r="B840" t="s">
        <v>9</v>
      </c>
      <c r="C840">
        <v>599294</v>
      </c>
      <c r="D840" t="s">
        <v>17</v>
      </c>
      <c r="E840" t="s">
        <v>16</v>
      </c>
      <c r="F840" t="s">
        <v>12</v>
      </c>
      <c r="G840" t="s">
        <v>13</v>
      </c>
      <c r="H840" t="s">
        <v>13</v>
      </c>
      <c r="I840">
        <v>54</v>
      </c>
      <c r="J840" t="str" cm="1">
        <f t="array" ref="J840">_xlfn.IFS(ISBLANK(C840),"FALTANTE",ABS((C840-$W$5)/$X$5)&gt;1.96,"ATÍPICO",ABS((C840-$W$5)/$X$5)&lt;=1.96,"NO ATÍPICO")</f>
        <v>NO ATÍPICO</v>
      </c>
      <c r="K840" t="str" cm="1">
        <f t="array" ref="K840">_xlfn.IFS(ISBLANK(I840),"FALTANTE",ABS((I840-$W$8)/$X$8)&gt;1.92,"ATÍPICO",ABS((I840-$W$8)/$X$8)&lt;=1.92,"NO ATÍPICO")</f>
        <v>NO ATÍPICO</v>
      </c>
      <c r="L840">
        <f t="shared" si="65"/>
        <v>599294</v>
      </c>
      <c r="M840" t="str">
        <f t="shared" si="69"/>
        <v>ASEGURADO VOLUNTARIO</v>
      </c>
      <c r="N840">
        <f t="shared" si="66"/>
        <v>54</v>
      </c>
      <c r="O840" s="19" t="str">
        <f t="shared" si="67"/>
        <v>300k–600k</v>
      </c>
      <c r="P840" s="19" t="str">
        <f t="shared" si="68"/>
        <v>46-55</v>
      </c>
    </row>
    <row r="841" spans="1:16" x14ac:dyDescent="0.25">
      <c r="A841">
        <v>840</v>
      </c>
      <c r="B841" t="s">
        <v>15</v>
      </c>
      <c r="C841">
        <v>555095.79</v>
      </c>
      <c r="D841" t="s">
        <v>10</v>
      </c>
      <c r="E841" t="s">
        <v>16</v>
      </c>
      <c r="F841" t="s">
        <v>12</v>
      </c>
      <c r="G841" t="s">
        <v>13</v>
      </c>
      <c r="H841" t="s">
        <v>13</v>
      </c>
      <c r="I841">
        <v>33</v>
      </c>
      <c r="J841" t="str" cm="1">
        <f t="array" ref="J841">_xlfn.IFS(ISBLANK(C841),"FALTANTE",ABS((C841-$W$5)/$X$5)&gt;1.96,"ATÍPICO",ABS((C841-$W$5)/$X$5)&lt;=1.96,"NO ATÍPICO")</f>
        <v>NO ATÍPICO</v>
      </c>
      <c r="K841" t="str" cm="1">
        <f t="array" ref="K841">_xlfn.IFS(ISBLANK(I841),"FALTANTE",ABS((I841-$W$8)/$X$8)&gt;1.92,"ATÍPICO",ABS((I841-$W$8)/$X$8)&lt;=1.92,"NO ATÍPICO")</f>
        <v>NO ATÍPICO</v>
      </c>
      <c r="L841">
        <f t="shared" si="65"/>
        <v>555095.79</v>
      </c>
      <c r="M841" t="str">
        <f t="shared" si="69"/>
        <v>ASALARIADO</v>
      </c>
      <c r="N841">
        <f t="shared" si="66"/>
        <v>33</v>
      </c>
      <c r="O841" s="19" t="str">
        <f t="shared" si="67"/>
        <v>300k–600k</v>
      </c>
      <c r="P841" s="19" t="str">
        <f t="shared" si="68"/>
        <v>26-35</v>
      </c>
    </row>
    <row r="842" spans="1:16" x14ac:dyDescent="0.25">
      <c r="A842">
        <v>841</v>
      </c>
      <c r="B842" t="s">
        <v>15</v>
      </c>
      <c r="C842">
        <v>330550</v>
      </c>
      <c r="D842" t="s">
        <v>10</v>
      </c>
      <c r="E842" t="s">
        <v>16</v>
      </c>
      <c r="F842" t="s">
        <v>12</v>
      </c>
      <c r="G842" t="s">
        <v>13</v>
      </c>
      <c r="H842" t="s">
        <v>13</v>
      </c>
      <c r="I842">
        <v>59</v>
      </c>
      <c r="J842" t="str" cm="1">
        <f t="array" ref="J842">_xlfn.IFS(ISBLANK(C842),"FALTANTE",ABS((C842-$W$5)/$X$5)&gt;1.96,"ATÍPICO",ABS((C842-$W$5)/$X$5)&lt;=1.96,"NO ATÍPICO")</f>
        <v>NO ATÍPICO</v>
      </c>
      <c r="K842" t="str" cm="1">
        <f t="array" ref="K842">_xlfn.IFS(ISBLANK(I842),"FALTANTE",ABS((I842-$W$8)/$X$8)&gt;1.92,"ATÍPICO",ABS((I842-$W$8)/$X$8)&lt;=1.92,"NO ATÍPICO")</f>
        <v>NO ATÍPICO</v>
      </c>
      <c r="L842">
        <f t="shared" si="65"/>
        <v>330550</v>
      </c>
      <c r="M842" t="str">
        <f t="shared" si="69"/>
        <v>ASALARIADO</v>
      </c>
      <c r="N842">
        <f t="shared" si="66"/>
        <v>59</v>
      </c>
      <c r="O842" s="19" t="str">
        <f t="shared" si="67"/>
        <v>300k–600k</v>
      </c>
      <c r="P842" s="19" t="str">
        <f t="shared" si="68"/>
        <v>56+</v>
      </c>
    </row>
    <row r="843" spans="1:16" x14ac:dyDescent="0.25">
      <c r="A843">
        <v>842</v>
      </c>
      <c r="B843" t="s">
        <v>15</v>
      </c>
      <c r="C843">
        <v>291759.3</v>
      </c>
      <c r="D843" t="s">
        <v>10</v>
      </c>
      <c r="E843" t="s">
        <v>16</v>
      </c>
      <c r="F843" t="s">
        <v>12</v>
      </c>
      <c r="G843" t="s">
        <v>13</v>
      </c>
      <c r="H843" t="s">
        <v>12</v>
      </c>
      <c r="I843">
        <v>51</v>
      </c>
      <c r="J843" t="str" cm="1">
        <f t="array" ref="J843">_xlfn.IFS(ISBLANK(C843),"FALTANTE",ABS((C843-$W$5)/$X$5)&gt;1.96,"ATÍPICO",ABS((C843-$W$5)/$X$5)&lt;=1.96,"NO ATÍPICO")</f>
        <v>NO ATÍPICO</v>
      </c>
      <c r="K843" t="str" cm="1">
        <f t="array" ref="K843">_xlfn.IFS(ISBLANK(I843),"FALTANTE",ABS((I843-$W$8)/$X$8)&gt;1.92,"ATÍPICO",ABS((I843-$W$8)/$X$8)&lt;=1.92,"NO ATÍPICO")</f>
        <v>NO ATÍPICO</v>
      </c>
      <c r="L843">
        <f t="shared" si="65"/>
        <v>291759.3</v>
      </c>
      <c r="M843" t="str">
        <f t="shared" si="69"/>
        <v>ASALARIADO</v>
      </c>
      <c r="N843">
        <f t="shared" si="66"/>
        <v>51</v>
      </c>
      <c r="O843" s="19" t="str">
        <f t="shared" si="67"/>
        <v>0–300k</v>
      </c>
      <c r="P843" s="19" t="str">
        <f t="shared" si="68"/>
        <v>46-55</v>
      </c>
    </row>
    <row r="844" spans="1:16" x14ac:dyDescent="0.25">
      <c r="A844">
        <v>843</v>
      </c>
      <c r="B844" t="s">
        <v>15</v>
      </c>
      <c r="C844">
        <v>842365.76</v>
      </c>
      <c r="D844" t="s">
        <v>10</v>
      </c>
      <c r="E844" t="s">
        <v>16</v>
      </c>
      <c r="F844" t="s">
        <v>12</v>
      </c>
      <c r="G844" t="s">
        <v>13</v>
      </c>
      <c r="H844" t="s">
        <v>13</v>
      </c>
      <c r="I844">
        <v>29</v>
      </c>
      <c r="J844" t="str" cm="1">
        <f t="array" ref="J844">_xlfn.IFS(ISBLANK(C844),"FALTANTE",ABS((C844-$W$5)/$X$5)&gt;1.96,"ATÍPICO",ABS((C844-$W$5)/$X$5)&lt;=1.96,"NO ATÍPICO")</f>
        <v>NO ATÍPICO</v>
      </c>
      <c r="K844" t="str" cm="1">
        <f t="array" ref="K844">_xlfn.IFS(ISBLANK(I844),"FALTANTE",ABS((I844-$W$8)/$X$8)&gt;1.92,"ATÍPICO",ABS((I844-$W$8)/$X$8)&lt;=1.92,"NO ATÍPICO")</f>
        <v>NO ATÍPICO</v>
      </c>
      <c r="L844">
        <f t="shared" si="65"/>
        <v>842365.76</v>
      </c>
      <c r="M844" t="str">
        <f t="shared" si="69"/>
        <v>ASALARIADO</v>
      </c>
      <c r="N844">
        <f t="shared" si="66"/>
        <v>29</v>
      </c>
      <c r="O844" s="19" t="str">
        <f t="shared" si="67"/>
        <v>600k–900k</v>
      </c>
      <c r="P844" s="19" t="str">
        <f t="shared" si="68"/>
        <v>26-35</v>
      </c>
    </row>
    <row r="845" spans="1:16" x14ac:dyDescent="0.25">
      <c r="A845">
        <v>844</v>
      </c>
      <c r="B845" t="s">
        <v>15</v>
      </c>
      <c r="C845">
        <v>432916.67</v>
      </c>
      <c r="D845" t="s">
        <v>10</v>
      </c>
      <c r="E845" t="s">
        <v>16</v>
      </c>
      <c r="F845" t="s">
        <v>12</v>
      </c>
      <c r="G845" t="s">
        <v>13</v>
      </c>
      <c r="H845" t="s">
        <v>13</v>
      </c>
      <c r="I845">
        <v>23</v>
      </c>
      <c r="J845" t="str" cm="1">
        <f t="array" ref="J845">_xlfn.IFS(ISBLANK(C845),"FALTANTE",ABS((C845-$W$5)/$X$5)&gt;1.96,"ATÍPICO",ABS((C845-$W$5)/$X$5)&lt;=1.96,"NO ATÍPICO")</f>
        <v>NO ATÍPICO</v>
      </c>
      <c r="K845" t="str" cm="1">
        <f t="array" ref="K845">_xlfn.IFS(ISBLANK(I845),"FALTANTE",ABS((I845-$W$8)/$X$8)&gt;1.92,"ATÍPICO",ABS((I845-$W$8)/$X$8)&lt;=1.92,"NO ATÍPICO")</f>
        <v>NO ATÍPICO</v>
      </c>
      <c r="L845">
        <f t="shared" si="65"/>
        <v>432916.67</v>
      </c>
      <c r="M845" t="str">
        <f t="shared" si="69"/>
        <v>ASALARIADO</v>
      </c>
      <c r="N845">
        <f t="shared" si="66"/>
        <v>23</v>
      </c>
      <c r="O845" s="19" t="str">
        <f t="shared" si="67"/>
        <v>300k–600k</v>
      </c>
      <c r="P845" s="19" t="str">
        <f t="shared" si="68"/>
        <v>18-25</v>
      </c>
    </row>
    <row r="846" spans="1:16" x14ac:dyDescent="0.25">
      <c r="A846">
        <v>845</v>
      </c>
      <c r="B846" t="s">
        <v>9</v>
      </c>
      <c r="C846">
        <v>319224</v>
      </c>
      <c r="D846" t="s">
        <v>10</v>
      </c>
      <c r="E846" t="s">
        <v>16</v>
      </c>
      <c r="F846" t="s">
        <v>12</v>
      </c>
      <c r="G846" t="s">
        <v>13</v>
      </c>
      <c r="H846" t="s">
        <v>13</v>
      </c>
      <c r="I846">
        <v>27</v>
      </c>
      <c r="J846" t="str" cm="1">
        <f t="array" ref="J846">_xlfn.IFS(ISBLANK(C846),"FALTANTE",ABS((C846-$W$5)/$X$5)&gt;1.96,"ATÍPICO",ABS((C846-$W$5)/$X$5)&lt;=1.96,"NO ATÍPICO")</f>
        <v>NO ATÍPICO</v>
      </c>
      <c r="K846" t="str" cm="1">
        <f t="array" ref="K846">_xlfn.IFS(ISBLANK(I846),"FALTANTE",ABS((I846-$W$8)/$X$8)&gt;1.92,"ATÍPICO",ABS((I846-$W$8)/$X$8)&lt;=1.92,"NO ATÍPICO")</f>
        <v>NO ATÍPICO</v>
      </c>
      <c r="L846">
        <f t="shared" si="65"/>
        <v>319224</v>
      </c>
      <c r="M846" t="str">
        <f t="shared" si="69"/>
        <v>ASALARIADO</v>
      </c>
      <c r="N846">
        <f t="shared" si="66"/>
        <v>27</v>
      </c>
      <c r="O846" s="19" t="str">
        <f t="shared" si="67"/>
        <v>300k–600k</v>
      </c>
      <c r="P846" s="19" t="str">
        <f t="shared" si="68"/>
        <v>26-35</v>
      </c>
    </row>
    <row r="847" spans="1:16" x14ac:dyDescent="0.25">
      <c r="A847">
        <v>846</v>
      </c>
      <c r="B847" t="s">
        <v>15</v>
      </c>
      <c r="C847">
        <v>3697124</v>
      </c>
      <c r="D847" t="s">
        <v>14</v>
      </c>
      <c r="E847" t="s">
        <v>11</v>
      </c>
      <c r="F847" t="s">
        <v>12</v>
      </c>
      <c r="G847" t="s">
        <v>13</v>
      </c>
      <c r="H847" t="s">
        <v>13</v>
      </c>
      <c r="I847">
        <v>73</v>
      </c>
      <c r="J847" t="str" cm="1">
        <f t="array" ref="J847">_xlfn.IFS(ISBLANK(C847),"FALTANTE",ABS((C847-$W$5)/$X$5)&gt;1.96,"ATÍPICO",ABS((C847-$W$5)/$X$5)&lt;=1.96,"NO ATÍPICO")</f>
        <v>ATÍPICO</v>
      </c>
      <c r="K847" t="str" cm="1">
        <f t="array" ref="K847">_xlfn.IFS(ISBLANK(I847),"FALTANTE",ABS((I847-$W$8)/$X$8)&gt;1.92,"ATÍPICO",ABS((I847-$W$8)/$X$8)&lt;=1.92,"NO ATÍPICO")</f>
        <v>ATÍPICO</v>
      </c>
      <c r="L847">
        <f t="shared" si="65"/>
        <v>3697124</v>
      </c>
      <c r="M847" t="str">
        <f t="shared" si="69"/>
        <v>PENSIONADOS EN SU PROPIO SISTEMA</v>
      </c>
      <c r="N847">
        <f t="shared" si="66"/>
        <v>73</v>
      </c>
      <c r="O847" s="19" t="str">
        <f t="shared" si="67"/>
        <v>1200k+</v>
      </c>
      <c r="P847" s="19" t="str">
        <f t="shared" si="68"/>
        <v>56+</v>
      </c>
    </row>
    <row r="848" spans="1:16" x14ac:dyDescent="0.25">
      <c r="A848">
        <v>847</v>
      </c>
      <c r="B848" t="s">
        <v>15</v>
      </c>
      <c r="C848">
        <v>278030</v>
      </c>
      <c r="D848" t="s">
        <v>17</v>
      </c>
      <c r="E848" t="s">
        <v>16</v>
      </c>
      <c r="F848" t="s">
        <v>12</v>
      </c>
      <c r="G848" t="s">
        <v>13</v>
      </c>
      <c r="H848" t="s">
        <v>12</v>
      </c>
      <c r="I848">
        <v>56</v>
      </c>
      <c r="J848" t="str" cm="1">
        <f t="array" ref="J848">_xlfn.IFS(ISBLANK(C848),"FALTANTE",ABS((C848-$W$5)/$X$5)&gt;1.96,"ATÍPICO",ABS((C848-$W$5)/$X$5)&lt;=1.96,"NO ATÍPICO")</f>
        <v>NO ATÍPICO</v>
      </c>
      <c r="K848" t="str" cm="1">
        <f t="array" ref="K848">_xlfn.IFS(ISBLANK(I848),"FALTANTE",ABS((I848-$W$8)/$X$8)&gt;1.92,"ATÍPICO",ABS((I848-$W$8)/$X$8)&lt;=1.92,"NO ATÍPICO")</f>
        <v>NO ATÍPICO</v>
      </c>
      <c r="L848">
        <f t="shared" si="65"/>
        <v>278030</v>
      </c>
      <c r="M848" t="str">
        <f t="shared" si="69"/>
        <v>ASEGURADO VOLUNTARIO</v>
      </c>
      <c r="N848">
        <f t="shared" si="66"/>
        <v>56</v>
      </c>
      <c r="O848" s="19" t="str">
        <f t="shared" si="67"/>
        <v>0–300k</v>
      </c>
      <c r="P848" s="19" t="str">
        <f t="shared" si="68"/>
        <v>56+</v>
      </c>
    </row>
    <row r="849" spans="1:16" x14ac:dyDescent="0.25">
      <c r="A849">
        <v>848</v>
      </c>
      <c r="B849" t="s">
        <v>15</v>
      </c>
      <c r="C849">
        <v>416328.46</v>
      </c>
      <c r="D849" t="s">
        <v>10</v>
      </c>
      <c r="E849" t="s">
        <v>11</v>
      </c>
      <c r="F849" t="s">
        <v>12</v>
      </c>
      <c r="G849" t="s">
        <v>13</v>
      </c>
      <c r="H849" t="s">
        <v>13</v>
      </c>
      <c r="I849">
        <v>55</v>
      </c>
      <c r="J849" t="str" cm="1">
        <f t="array" ref="J849">_xlfn.IFS(ISBLANK(C849),"FALTANTE",ABS((C849-$W$5)/$X$5)&gt;1.96,"ATÍPICO",ABS((C849-$W$5)/$X$5)&lt;=1.96,"NO ATÍPICO")</f>
        <v>NO ATÍPICO</v>
      </c>
      <c r="K849" t="str" cm="1">
        <f t="array" ref="K849">_xlfn.IFS(ISBLANK(I849),"FALTANTE",ABS((I849-$W$8)/$X$8)&gt;1.92,"ATÍPICO",ABS((I849-$W$8)/$X$8)&lt;=1.92,"NO ATÍPICO")</f>
        <v>NO ATÍPICO</v>
      </c>
      <c r="L849">
        <f t="shared" si="65"/>
        <v>416328.46</v>
      </c>
      <c r="M849" t="str">
        <f t="shared" si="69"/>
        <v>ASALARIADO</v>
      </c>
      <c r="N849">
        <f t="shared" si="66"/>
        <v>55</v>
      </c>
      <c r="O849" s="19" t="str">
        <f t="shared" si="67"/>
        <v>300k–600k</v>
      </c>
      <c r="P849" s="19" t="str">
        <f t="shared" si="68"/>
        <v>46-55</v>
      </c>
    </row>
    <row r="850" spans="1:16" x14ac:dyDescent="0.25">
      <c r="A850">
        <v>849</v>
      </c>
      <c r="B850" t="s">
        <v>9</v>
      </c>
      <c r="C850">
        <v>1907539.5</v>
      </c>
      <c r="D850" t="s">
        <v>10</v>
      </c>
      <c r="E850" t="s">
        <v>11</v>
      </c>
      <c r="F850" t="s">
        <v>12</v>
      </c>
      <c r="G850" t="s">
        <v>13</v>
      </c>
      <c r="H850" t="s">
        <v>13</v>
      </c>
      <c r="I850">
        <v>56</v>
      </c>
      <c r="J850" t="str" cm="1">
        <f t="array" ref="J850">_xlfn.IFS(ISBLANK(C850),"FALTANTE",ABS((C850-$W$5)/$X$5)&gt;1.96,"ATÍPICO",ABS((C850-$W$5)/$X$5)&lt;=1.96,"NO ATÍPICO")</f>
        <v>NO ATÍPICO</v>
      </c>
      <c r="K850" t="str" cm="1">
        <f t="array" ref="K850">_xlfn.IFS(ISBLANK(I850),"FALTANTE",ABS((I850-$W$8)/$X$8)&gt;1.92,"ATÍPICO",ABS((I850-$W$8)/$X$8)&lt;=1.92,"NO ATÍPICO")</f>
        <v>NO ATÍPICO</v>
      </c>
      <c r="L850">
        <f t="shared" si="65"/>
        <v>1907539.5</v>
      </c>
      <c r="M850" t="str">
        <f t="shared" si="69"/>
        <v>ASALARIADO</v>
      </c>
      <c r="N850">
        <f t="shared" si="66"/>
        <v>56</v>
      </c>
      <c r="O850" s="19" t="str">
        <f t="shared" si="67"/>
        <v>1200k+</v>
      </c>
      <c r="P850" s="19" t="str">
        <f t="shared" si="68"/>
        <v>56+</v>
      </c>
    </row>
    <row r="851" spans="1:16" x14ac:dyDescent="0.25">
      <c r="A851">
        <v>850</v>
      </c>
      <c r="B851" t="s">
        <v>15</v>
      </c>
      <c r="C851">
        <v>350000</v>
      </c>
      <c r="D851" t="s">
        <v>10</v>
      </c>
      <c r="E851" t="s">
        <v>16</v>
      </c>
      <c r="F851" t="s">
        <v>12</v>
      </c>
      <c r="G851" t="s">
        <v>13</v>
      </c>
      <c r="H851" t="s">
        <v>13</v>
      </c>
      <c r="I851">
        <v>51</v>
      </c>
      <c r="J851" t="str" cm="1">
        <f t="array" ref="J851">_xlfn.IFS(ISBLANK(C851),"FALTANTE",ABS((C851-$W$5)/$X$5)&gt;1.96,"ATÍPICO",ABS((C851-$W$5)/$X$5)&lt;=1.96,"NO ATÍPICO")</f>
        <v>NO ATÍPICO</v>
      </c>
      <c r="K851" t="str" cm="1">
        <f t="array" ref="K851">_xlfn.IFS(ISBLANK(I851),"FALTANTE",ABS((I851-$W$8)/$X$8)&gt;1.92,"ATÍPICO",ABS((I851-$W$8)/$X$8)&lt;=1.92,"NO ATÍPICO")</f>
        <v>NO ATÍPICO</v>
      </c>
      <c r="L851">
        <f t="shared" si="65"/>
        <v>350000</v>
      </c>
      <c r="M851" t="str">
        <f t="shared" si="69"/>
        <v>ASALARIADO</v>
      </c>
      <c r="N851">
        <f t="shared" si="66"/>
        <v>51</v>
      </c>
      <c r="O851" s="19" t="str">
        <f t="shared" si="67"/>
        <v>300k–600k</v>
      </c>
      <c r="P851" s="19" t="str">
        <f t="shared" si="68"/>
        <v>46-55</v>
      </c>
    </row>
    <row r="852" spans="1:16" x14ac:dyDescent="0.25">
      <c r="A852">
        <v>851</v>
      </c>
      <c r="B852" t="s">
        <v>9</v>
      </c>
      <c r="C852">
        <v>310124</v>
      </c>
      <c r="D852" t="s">
        <v>18</v>
      </c>
      <c r="E852" t="s">
        <v>16</v>
      </c>
      <c r="F852" t="s">
        <v>12</v>
      </c>
      <c r="G852" t="s">
        <v>12</v>
      </c>
      <c r="H852" t="s">
        <v>13</v>
      </c>
      <c r="I852">
        <v>41</v>
      </c>
      <c r="J852" t="str" cm="1">
        <f t="array" ref="J852">_xlfn.IFS(ISBLANK(C852),"FALTANTE",ABS((C852-$W$5)/$X$5)&gt;1.96,"ATÍPICO",ABS((C852-$W$5)/$X$5)&lt;=1.96,"NO ATÍPICO")</f>
        <v>NO ATÍPICO</v>
      </c>
      <c r="K852" t="str" cm="1">
        <f t="array" ref="K852">_xlfn.IFS(ISBLANK(I852),"FALTANTE",ABS((I852-$W$8)/$X$8)&gt;1.92,"ATÍPICO",ABS((I852-$W$8)/$X$8)&lt;=1.92,"NO ATÍPICO")</f>
        <v>NO ATÍPICO</v>
      </c>
      <c r="L852">
        <f t="shared" si="65"/>
        <v>310124</v>
      </c>
      <c r="M852" t="str">
        <f t="shared" si="69"/>
        <v>TRABAJADOR INDEPENDIENTE</v>
      </c>
      <c r="N852">
        <f t="shared" si="66"/>
        <v>41</v>
      </c>
      <c r="O852" s="19" t="str">
        <f t="shared" si="67"/>
        <v>300k–600k</v>
      </c>
      <c r="P852" s="19" t="str">
        <f t="shared" si="68"/>
        <v>36-45</v>
      </c>
    </row>
    <row r="853" spans="1:16" x14ac:dyDescent="0.25">
      <c r="A853">
        <v>852</v>
      </c>
      <c r="B853" t="s">
        <v>15</v>
      </c>
      <c r="C853">
        <v>400000</v>
      </c>
      <c r="D853" t="s">
        <v>10</v>
      </c>
      <c r="E853" t="s">
        <v>16</v>
      </c>
      <c r="F853" t="s">
        <v>12</v>
      </c>
      <c r="G853" t="s">
        <v>13</v>
      </c>
      <c r="H853" t="s">
        <v>13</v>
      </c>
      <c r="I853">
        <v>41</v>
      </c>
      <c r="J853" t="str" cm="1">
        <f t="array" ref="J853">_xlfn.IFS(ISBLANK(C853),"FALTANTE",ABS((C853-$W$5)/$X$5)&gt;1.96,"ATÍPICO",ABS((C853-$W$5)/$X$5)&lt;=1.96,"NO ATÍPICO")</f>
        <v>NO ATÍPICO</v>
      </c>
      <c r="K853" t="str" cm="1">
        <f t="array" ref="K853">_xlfn.IFS(ISBLANK(I853),"FALTANTE",ABS((I853-$W$8)/$X$8)&gt;1.92,"ATÍPICO",ABS((I853-$W$8)/$X$8)&lt;=1.92,"NO ATÍPICO")</f>
        <v>NO ATÍPICO</v>
      </c>
      <c r="L853">
        <f t="shared" si="65"/>
        <v>400000</v>
      </c>
      <c r="M853" t="str">
        <f t="shared" si="69"/>
        <v>ASALARIADO</v>
      </c>
      <c r="N853">
        <f t="shared" si="66"/>
        <v>41</v>
      </c>
      <c r="O853" s="19" t="str">
        <f t="shared" si="67"/>
        <v>300k–600k</v>
      </c>
      <c r="P853" s="19" t="str">
        <f t="shared" si="68"/>
        <v>36-45</v>
      </c>
    </row>
    <row r="854" spans="1:16" x14ac:dyDescent="0.25">
      <c r="A854">
        <v>853</v>
      </c>
      <c r="B854" t="s">
        <v>9</v>
      </c>
      <c r="C854">
        <v>353469</v>
      </c>
      <c r="D854" t="s">
        <v>10</v>
      </c>
      <c r="E854" t="s">
        <v>16</v>
      </c>
      <c r="F854" t="s">
        <v>12</v>
      </c>
      <c r="G854" t="s">
        <v>13</v>
      </c>
      <c r="H854" t="s">
        <v>13</v>
      </c>
      <c r="I854">
        <v>44</v>
      </c>
      <c r="J854" t="str" cm="1">
        <f t="array" ref="J854">_xlfn.IFS(ISBLANK(C854),"FALTANTE",ABS((C854-$W$5)/$X$5)&gt;1.96,"ATÍPICO",ABS((C854-$W$5)/$X$5)&lt;=1.96,"NO ATÍPICO")</f>
        <v>NO ATÍPICO</v>
      </c>
      <c r="K854" t="str" cm="1">
        <f t="array" ref="K854">_xlfn.IFS(ISBLANK(I854),"FALTANTE",ABS((I854-$W$8)/$X$8)&gt;1.92,"ATÍPICO",ABS((I854-$W$8)/$X$8)&lt;=1.92,"NO ATÍPICO")</f>
        <v>NO ATÍPICO</v>
      </c>
      <c r="L854">
        <f t="shared" si="65"/>
        <v>353469</v>
      </c>
      <c r="M854" t="str">
        <f t="shared" si="69"/>
        <v>ASALARIADO</v>
      </c>
      <c r="N854">
        <f t="shared" si="66"/>
        <v>44</v>
      </c>
      <c r="O854" s="19" t="str">
        <f t="shared" si="67"/>
        <v>300k–600k</v>
      </c>
      <c r="P854" s="19" t="str">
        <f t="shared" si="68"/>
        <v>36-45</v>
      </c>
    </row>
    <row r="855" spans="1:16" x14ac:dyDescent="0.25">
      <c r="A855">
        <v>854</v>
      </c>
      <c r="B855" t="s">
        <v>9</v>
      </c>
      <c r="C855">
        <v>362010</v>
      </c>
      <c r="D855" t="s">
        <v>10</v>
      </c>
      <c r="E855" t="s">
        <v>16</v>
      </c>
      <c r="F855" t="s">
        <v>12</v>
      </c>
      <c r="G855" t="s">
        <v>13</v>
      </c>
      <c r="H855" t="s">
        <v>12</v>
      </c>
      <c r="I855">
        <v>72</v>
      </c>
      <c r="J855" t="str" cm="1">
        <f t="array" ref="J855">_xlfn.IFS(ISBLANK(C855),"FALTANTE",ABS((C855-$W$5)/$X$5)&gt;1.96,"ATÍPICO",ABS((C855-$W$5)/$X$5)&lt;=1.96,"NO ATÍPICO")</f>
        <v>NO ATÍPICO</v>
      </c>
      <c r="K855" t="str" cm="1">
        <f t="array" ref="K855">_xlfn.IFS(ISBLANK(I855),"FALTANTE",ABS((I855-$W$8)/$X$8)&gt;1.92,"ATÍPICO",ABS((I855-$W$8)/$X$8)&lt;=1.92,"NO ATÍPICO")</f>
        <v>ATÍPICO</v>
      </c>
      <c r="L855">
        <f t="shared" si="65"/>
        <v>362010</v>
      </c>
      <c r="M855" t="str">
        <f t="shared" si="69"/>
        <v>ASALARIADO</v>
      </c>
      <c r="N855">
        <f t="shared" si="66"/>
        <v>72</v>
      </c>
      <c r="O855" s="19" t="str">
        <f t="shared" si="67"/>
        <v>300k–600k</v>
      </c>
      <c r="P855" s="19" t="str">
        <f t="shared" si="68"/>
        <v>56+</v>
      </c>
    </row>
    <row r="856" spans="1:16" x14ac:dyDescent="0.25">
      <c r="A856">
        <v>855</v>
      </c>
      <c r="B856" t="s">
        <v>9</v>
      </c>
      <c r="C856">
        <v>1547953.43</v>
      </c>
      <c r="D856" t="s">
        <v>10</v>
      </c>
      <c r="E856" t="s">
        <v>16</v>
      </c>
      <c r="F856" t="s">
        <v>12</v>
      </c>
      <c r="G856" t="s">
        <v>13</v>
      </c>
      <c r="H856" t="s">
        <v>13</v>
      </c>
      <c r="I856">
        <v>25</v>
      </c>
      <c r="J856" t="str" cm="1">
        <f t="array" ref="J856">_xlfn.IFS(ISBLANK(C856),"FALTANTE",ABS((C856-$W$5)/$X$5)&gt;1.96,"ATÍPICO",ABS((C856-$W$5)/$X$5)&lt;=1.96,"NO ATÍPICO")</f>
        <v>NO ATÍPICO</v>
      </c>
      <c r="K856" t="str" cm="1">
        <f t="array" ref="K856">_xlfn.IFS(ISBLANK(I856),"FALTANTE",ABS((I856-$W$8)/$X$8)&gt;1.92,"ATÍPICO",ABS((I856-$W$8)/$X$8)&lt;=1.92,"NO ATÍPICO")</f>
        <v>NO ATÍPICO</v>
      </c>
      <c r="L856">
        <f t="shared" si="65"/>
        <v>1547953.43</v>
      </c>
      <c r="M856" t="str">
        <f t="shared" si="69"/>
        <v>ASALARIADO</v>
      </c>
      <c r="N856">
        <f t="shared" si="66"/>
        <v>25</v>
      </c>
      <c r="O856" s="19" t="str">
        <f t="shared" si="67"/>
        <v>1200k+</v>
      </c>
      <c r="P856" s="19" t="str">
        <f t="shared" si="68"/>
        <v>18-25</v>
      </c>
    </row>
    <row r="857" spans="1:16" x14ac:dyDescent="0.25">
      <c r="A857">
        <v>856</v>
      </c>
      <c r="B857" t="s">
        <v>15</v>
      </c>
      <c r="C857">
        <v>297046</v>
      </c>
      <c r="D857" t="s">
        <v>18</v>
      </c>
      <c r="E857" t="s">
        <v>16</v>
      </c>
      <c r="F857" t="s">
        <v>12</v>
      </c>
      <c r="G857" t="s">
        <v>13</v>
      </c>
      <c r="H857" t="s">
        <v>13</v>
      </c>
      <c r="I857">
        <v>34</v>
      </c>
      <c r="J857" t="str" cm="1">
        <f t="array" ref="J857">_xlfn.IFS(ISBLANK(C857),"FALTANTE",ABS((C857-$W$5)/$X$5)&gt;1.96,"ATÍPICO",ABS((C857-$W$5)/$X$5)&lt;=1.96,"NO ATÍPICO")</f>
        <v>NO ATÍPICO</v>
      </c>
      <c r="K857" t="str" cm="1">
        <f t="array" ref="K857">_xlfn.IFS(ISBLANK(I857),"FALTANTE",ABS((I857-$W$8)/$X$8)&gt;1.92,"ATÍPICO",ABS((I857-$W$8)/$X$8)&lt;=1.92,"NO ATÍPICO")</f>
        <v>NO ATÍPICO</v>
      </c>
      <c r="L857">
        <f t="shared" si="65"/>
        <v>297046</v>
      </c>
      <c r="M857" t="str">
        <f t="shared" si="69"/>
        <v>TRABAJADOR INDEPENDIENTE</v>
      </c>
      <c r="N857">
        <f t="shared" si="66"/>
        <v>34</v>
      </c>
      <c r="O857" s="19" t="str">
        <f t="shared" si="67"/>
        <v>0–300k</v>
      </c>
      <c r="P857" s="19" t="str">
        <f t="shared" si="68"/>
        <v>26-35</v>
      </c>
    </row>
    <row r="858" spans="1:16" x14ac:dyDescent="0.25">
      <c r="A858">
        <v>857</v>
      </c>
      <c r="B858" t="s">
        <v>9</v>
      </c>
      <c r="C858">
        <v>653810.62</v>
      </c>
      <c r="D858" t="s">
        <v>10</v>
      </c>
      <c r="E858" t="s">
        <v>16</v>
      </c>
      <c r="F858" t="s">
        <v>12</v>
      </c>
      <c r="G858" t="s">
        <v>13</v>
      </c>
      <c r="H858" t="s">
        <v>13</v>
      </c>
      <c r="I858">
        <v>59</v>
      </c>
      <c r="J858" t="str" cm="1">
        <f t="array" ref="J858">_xlfn.IFS(ISBLANK(C858),"FALTANTE",ABS((C858-$W$5)/$X$5)&gt;1.96,"ATÍPICO",ABS((C858-$W$5)/$X$5)&lt;=1.96,"NO ATÍPICO")</f>
        <v>NO ATÍPICO</v>
      </c>
      <c r="K858" t="str" cm="1">
        <f t="array" ref="K858">_xlfn.IFS(ISBLANK(I858),"FALTANTE",ABS((I858-$W$8)/$X$8)&gt;1.92,"ATÍPICO",ABS((I858-$W$8)/$X$8)&lt;=1.92,"NO ATÍPICO")</f>
        <v>NO ATÍPICO</v>
      </c>
      <c r="L858">
        <f t="shared" si="65"/>
        <v>653810.62</v>
      </c>
      <c r="M858" t="str">
        <f t="shared" si="69"/>
        <v>ASALARIADO</v>
      </c>
      <c r="N858">
        <f t="shared" si="66"/>
        <v>59</v>
      </c>
      <c r="O858" s="19" t="str">
        <f t="shared" si="67"/>
        <v>600k–900k</v>
      </c>
      <c r="P858" s="19" t="str">
        <f t="shared" si="68"/>
        <v>56+</v>
      </c>
    </row>
    <row r="859" spans="1:16" x14ac:dyDescent="0.25">
      <c r="A859">
        <v>858</v>
      </c>
      <c r="B859" t="s">
        <v>15</v>
      </c>
      <c r="C859">
        <v>790070</v>
      </c>
      <c r="D859" t="s">
        <v>14</v>
      </c>
      <c r="E859" t="s">
        <v>11</v>
      </c>
      <c r="F859" t="s">
        <v>12</v>
      </c>
      <c r="G859" t="s">
        <v>13</v>
      </c>
      <c r="H859" t="s">
        <v>13</v>
      </c>
      <c r="I859">
        <v>69</v>
      </c>
      <c r="J859" t="str" cm="1">
        <f t="array" ref="J859">_xlfn.IFS(ISBLANK(C859),"FALTANTE",ABS((C859-$W$5)/$X$5)&gt;1.96,"ATÍPICO",ABS((C859-$W$5)/$X$5)&lt;=1.96,"NO ATÍPICO")</f>
        <v>NO ATÍPICO</v>
      </c>
      <c r="K859" t="str" cm="1">
        <f t="array" ref="K859">_xlfn.IFS(ISBLANK(I859),"FALTANTE",ABS((I859-$W$8)/$X$8)&gt;1.92,"ATÍPICO",ABS((I859-$W$8)/$X$8)&lt;=1.92,"NO ATÍPICO")</f>
        <v>NO ATÍPICO</v>
      </c>
      <c r="L859">
        <f t="shared" si="65"/>
        <v>790070</v>
      </c>
      <c r="M859" t="str">
        <f t="shared" si="69"/>
        <v>PENSIONADOS EN SU PROPIO SISTEMA</v>
      </c>
      <c r="N859">
        <f t="shared" si="66"/>
        <v>69</v>
      </c>
      <c r="O859" s="19" t="str">
        <f t="shared" si="67"/>
        <v>600k–900k</v>
      </c>
      <c r="P859" s="19" t="str">
        <f t="shared" si="68"/>
        <v>56+</v>
      </c>
    </row>
    <row r="860" spans="1:16" x14ac:dyDescent="0.25">
      <c r="A860">
        <v>859</v>
      </c>
      <c r="B860" t="s">
        <v>9</v>
      </c>
      <c r="C860">
        <v>546563</v>
      </c>
      <c r="D860" t="s">
        <v>18</v>
      </c>
      <c r="E860" t="s">
        <v>16</v>
      </c>
      <c r="F860" t="s">
        <v>12</v>
      </c>
      <c r="G860" t="s">
        <v>13</v>
      </c>
      <c r="H860" t="s">
        <v>12</v>
      </c>
      <c r="I860">
        <v>51</v>
      </c>
      <c r="J860" t="str" cm="1">
        <f t="array" ref="J860">_xlfn.IFS(ISBLANK(C860),"FALTANTE",ABS((C860-$W$5)/$X$5)&gt;1.96,"ATÍPICO",ABS((C860-$W$5)/$X$5)&lt;=1.96,"NO ATÍPICO")</f>
        <v>NO ATÍPICO</v>
      </c>
      <c r="K860" t="str" cm="1">
        <f t="array" ref="K860">_xlfn.IFS(ISBLANK(I860),"FALTANTE",ABS((I860-$W$8)/$X$8)&gt;1.92,"ATÍPICO",ABS((I860-$W$8)/$X$8)&lt;=1.92,"NO ATÍPICO")</f>
        <v>NO ATÍPICO</v>
      </c>
      <c r="L860">
        <f t="shared" si="65"/>
        <v>546563</v>
      </c>
      <c r="M860" t="str">
        <f t="shared" si="69"/>
        <v>TRABAJADOR INDEPENDIENTE</v>
      </c>
      <c r="N860">
        <f t="shared" si="66"/>
        <v>51</v>
      </c>
      <c r="O860" s="19" t="str">
        <f t="shared" si="67"/>
        <v>300k–600k</v>
      </c>
      <c r="P860" s="19" t="str">
        <f t="shared" si="68"/>
        <v>46-55</v>
      </c>
    </row>
    <row r="861" spans="1:16" x14ac:dyDescent="0.25">
      <c r="A861">
        <v>860</v>
      </c>
      <c r="B861" t="s">
        <v>15</v>
      </c>
      <c r="C861">
        <v>260000</v>
      </c>
      <c r="D861" t="s">
        <v>10</v>
      </c>
      <c r="E861" t="s">
        <v>16</v>
      </c>
      <c r="F861" t="s">
        <v>12</v>
      </c>
      <c r="G861" t="s">
        <v>13</v>
      </c>
      <c r="H861" t="s">
        <v>12</v>
      </c>
      <c r="I861">
        <v>37</v>
      </c>
      <c r="J861" t="str" cm="1">
        <f t="array" ref="J861">_xlfn.IFS(ISBLANK(C861),"FALTANTE",ABS((C861-$W$5)/$X$5)&gt;1.96,"ATÍPICO",ABS((C861-$W$5)/$X$5)&lt;=1.96,"NO ATÍPICO")</f>
        <v>NO ATÍPICO</v>
      </c>
      <c r="K861" t="str" cm="1">
        <f t="array" ref="K861">_xlfn.IFS(ISBLANK(I861),"FALTANTE",ABS((I861-$W$8)/$X$8)&gt;1.92,"ATÍPICO",ABS((I861-$W$8)/$X$8)&lt;=1.92,"NO ATÍPICO")</f>
        <v>NO ATÍPICO</v>
      </c>
      <c r="L861">
        <f t="shared" si="65"/>
        <v>260000</v>
      </c>
      <c r="M861" t="str">
        <f t="shared" si="69"/>
        <v>ASALARIADO</v>
      </c>
      <c r="N861">
        <f t="shared" si="66"/>
        <v>37</v>
      </c>
      <c r="O861" s="19" t="str">
        <f t="shared" si="67"/>
        <v>0–300k</v>
      </c>
      <c r="P861" s="19" t="str">
        <f t="shared" si="68"/>
        <v>36-45</v>
      </c>
    </row>
    <row r="862" spans="1:16" x14ac:dyDescent="0.25">
      <c r="A862">
        <v>861</v>
      </c>
      <c r="B862" t="s">
        <v>9</v>
      </c>
      <c r="C862">
        <v>343391</v>
      </c>
      <c r="D862" t="s">
        <v>10</v>
      </c>
      <c r="E862" t="s">
        <v>16</v>
      </c>
      <c r="F862" t="s">
        <v>12</v>
      </c>
      <c r="G862" t="s">
        <v>13</v>
      </c>
      <c r="H862" t="s">
        <v>13</v>
      </c>
      <c r="I862">
        <v>32</v>
      </c>
      <c r="J862" t="str" cm="1">
        <f t="array" ref="J862">_xlfn.IFS(ISBLANK(C862),"FALTANTE",ABS((C862-$W$5)/$X$5)&gt;1.96,"ATÍPICO",ABS((C862-$W$5)/$X$5)&lt;=1.96,"NO ATÍPICO")</f>
        <v>NO ATÍPICO</v>
      </c>
      <c r="K862" t="str" cm="1">
        <f t="array" ref="K862">_xlfn.IFS(ISBLANK(I862),"FALTANTE",ABS((I862-$W$8)/$X$8)&gt;1.92,"ATÍPICO",ABS((I862-$W$8)/$X$8)&lt;=1.92,"NO ATÍPICO")</f>
        <v>NO ATÍPICO</v>
      </c>
      <c r="L862">
        <f t="shared" si="65"/>
        <v>343391</v>
      </c>
      <c r="M862" t="str">
        <f t="shared" si="69"/>
        <v>ASALARIADO</v>
      </c>
      <c r="N862">
        <f t="shared" si="66"/>
        <v>32</v>
      </c>
      <c r="O862" s="19" t="str">
        <f t="shared" si="67"/>
        <v>300k–600k</v>
      </c>
      <c r="P862" s="19" t="str">
        <f t="shared" si="68"/>
        <v>26-35</v>
      </c>
    </row>
    <row r="863" spans="1:16" x14ac:dyDescent="0.25">
      <c r="A863">
        <v>862</v>
      </c>
      <c r="B863" t="s">
        <v>15</v>
      </c>
      <c r="C863">
        <v>114247</v>
      </c>
      <c r="D863" t="s">
        <v>10</v>
      </c>
      <c r="E863" t="s">
        <v>11</v>
      </c>
      <c r="F863" t="s">
        <v>12</v>
      </c>
      <c r="G863" t="s">
        <v>13</v>
      </c>
      <c r="H863" t="s">
        <v>13</v>
      </c>
      <c r="I863">
        <v>29</v>
      </c>
      <c r="J863" t="str" cm="1">
        <f t="array" ref="J863">_xlfn.IFS(ISBLANK(C863),"FALTANTE",ABS((C863-$W$5)/$X$5)&gt;1.96,"ATÍPICO",ABS((C863-$W$5)/$X$5)&lt;=1.96,"NO ATÍPICO")</f>
        <v>NO ATÍPICO</v>
      </c>
      <c r="K863" t="str" cm="1">
        <f t="array" ref="K863">_xlfn.IFS(ISBLANK(I863),"FALTANTE",ABS((I863-$W$8)/$X$8)&gt;1.92,"ATÍPICO",ABS((I863-$W$8)/$X$8)&lt;=1.92,"NO ATÍPICO")</f>
        <v>NO ATÍPICO</v>
      </c>
      <c r="L863">
        <f t="shared" si="65"/>
        <v>114247</v>
      </c>
      <c r="M863" t="str">
        <f t="shared" si="69"/>
        <v>ASALARIADO</v>
      </c>
      <c r="N863">
        <f t="shared" si="66"/>
        <v>29</v>
      </c>
      <c r="O863" s="19" t="str">
        <f t="shared" si="67"/>
        <v>0–300k</v>
      </c>
      <c r="P863" s="19" t="str">
        <f t="shared" si="68"/>
        <v>26-35</v>
      </c>
    </row>
    <row r="864" spans="1:16" x14ac:dyDescent="0.25">
      <c r="A864">
        <v>863</v>
      </c>
      <c r="B864" t="s">
        <v>15</v>
      </c>
      <c r="C864">
        <v>100186</v>
      </c>
      <c r="D864" t="s">
        <v>10</v>
      </c>
      <c r="E864" t="s">
        <v>16</v>
      </c>
      <c r="F864" t="s">
        <v>12</v>
      </c>
      <c r="G864" t="s">
        <v>13</v>
      </c>
      <c r="H864" t="s">
        <v>13</v>
      </c>
      <c r="I864">
        <v>48</v>
      </c>
      <c r="J864" t="str" cm="1">
        <f t="array" ref="J864">_xlfn.IFS(ISBLANK(C864),"FALTANTE",ABS((C864-$W$5)/$X$5)&gt;1.96,"ATÍPICO",ABS((C864-$W$5)/$X$5)&lt;=1.96,"NO ATÍPICO")</f>
        <v>NO ATÍPICO</v>
      </c>
      <c r="K864" t="str" cm="1">
        <f t="array" ref="K864">_xlfn.IFS(ISBLANK(I864),"FALTANTE",ABS((I864-$W$8)/$X$8)&gt;1.92,"ATÍPICO",ABS((I864-$W$8)/$X$8)&lt;=1.92,"NO ATÍPICO")</f>
        <v>NO ATÍPICO</v>
      </c>
      <c r="L864">
        <f t="shared" si="65"/>
        <v>100186</v>
      </c>
      <c r="M864" t="str">
        <f t="shared" si="69"/>
        <v>ASALARIADO</v>
      </c>
      <c r="N864">
        <f t="shared" si="66"/>
        <v>48</v>
      </c>
      <c r="O864" s="19" t="str">
        <f t="shared" si="67"/>
        <v>0–300k</v>
      </c>
      <c r="P864" s="19" t="str">
        <f t="shared" si="68"/>
        <v>46-55</v>
      </c>
    </row>
    <row r="865" spans="1:16" x14ac:dyDescent="0.25">
      <c r="A865">
        <v>864</v>
      </c>
      <c r="B865" t="s">
        <v>9</v>
      </c>
      <c r="C865">
        <v>1500000</v>
      </c>
      <c r="D865" t="s">
        <v>10</v>
      </c>
      <c r="E865" t="s">
        <v>16</v>
      </c>
      <c r="F865" t="s">
        <v>12</v>
      </c>
      <c r="G865" t="s">
        <v>12</v>
      </c>
      <c r="H865" t="s">
        <v>13</v>
      </c>
      <c r="I865">
        <v>62</v>
      </c>
      <c r="J865" t="str" cm="1">
        <f t="array" ref="J865">_xlfn.IFS(ISBLANK(C865),"FALTANTE",ABS((C865-$W$5)/$X$5)&gt;1.96,"ATÍPICO",ABS((C865-$W$5)/$X$5)&lt;=1.96,"NO ATÍPICO")</f>
        <v>NO ATÍPICO</v>
      </c>
      <c r="K865" t="str" cm="1">
        <f t="array" ref="K865">_xlfn.IFS(ISBLANK(I865),"FALTANTE",ABS((I865-$W$8)/$X$8)&gt;1.92,"ATÍPICO",ABS((I865-$W$8)/$X$8)&lt;=1.92,"NO ATÍPICO")</f>
        <v>NO ATÍPICO</v>
      </c>
      <c r="L865">
        <f t="shared" si="65"/>
        <v>1500000</v>
      </c>
      <c r="M865" t="str">
        <f t="shared" si="69"/>
        <v>ASALARIADO</v>
      </c>
      <c r="N865">
        <f t="shared" si="66"/>
        <v>62</v>
      </c>
      <c r="O865" s="19" t="str">
        <f t="shared" si="67"/>
        <v>1200k+</v>
      </c>
      <c r="P865" s="19" t="str">
        <f t="shared" si="68"/>
        <v>56+</v>
      </c>
    </row>
    <row r="866" spans="1:16" x14ac:dyDescent="0.25">
      <c r="A866">
        <v>865</v>
      </c>
      <c r="B866" t="s">
        <v>15</v>
      </c>
      <c r="C866">
        <v>278030</v>
      </c>
      <c r="D866" t="s">
        <v>18</v>
      </c>
      <c r="E866" t="s">
        <v>16</v>
      </c>
      <c r="F866" t="s">
        <v>12</v>
      </c>
      <c r="G866" t="s">
        <v>12</v>
      </c>
      <c r="H866" t="s">
        <v>12</v>
      </c>
      <c r="I866">
        <v>40</v>
      </c>
      <c r="J866" t="str" cm="1">
        <f t="array" ref="J866">_xlfn.IFS(ISBLANK(C866),"FALTANTE",ABS((C866-$W$5)/$X$5)&gt;1.96,"ATÍPICO",ABS((C866-$W$5)/$X$5)&lt;=1.96,"NO ATÍPICO")</f>
        <v>NO ATÍPICO</v>
      </c>
      <c r="K866" t="str" cm="1">
        <f t="array" ref="K866">_xlfn.IFS(ISBLANK(I866),"FALTANTE",ABS((I866-$W$8)/$X$8)&gt;1.92,"ATÍPICO",ABS((I866-$W$8)/$X$8)&lt;=1.92,"NO ATÍPICO")</f>
        <v>NO ATÍPICO</v>
      </c>
      <c r="L866">
        <f t="shared" si="65"/>
        <v>278030</v>
      </c>
      <c r="M866" t="str">
        <f t="shared" si="69"/>
        <v>TRABAJADOR INDEPENDIENTE</v>
      </c>
      <c r="N866">
        <f t="shared" si="66"/>
        <v>40</v>
      </c>
      <c r="O866" s="19" t="str">
        <f t="shared" si="67"/>
        <v>0–300k</v>
      </c>
      <c r="P866" s="19" t="str">
        <f t="shared" si="68"/>
        <v>36-45</v>
      </c>
    </row>
    <row r="867" spans="1:16" x14ac:dyDescent="0.25">
      <c r="A867">
        <v>866</v>
      </c>
      <c r="B867" t="s">
        <v>9</v>
      </c>
      <c r="C867">
        <v>445258.23999999999</v>
      </c>
      <c r="D867" t="s">
        <v>10</v>
      </c>
      <c r="E867" t="s">
        <v>16</v>
      </c>
      <c r="F867" t="s">
        <v>12</v>
      </c>
      <c r="G867" t="s">
        <v>13</v>
      </c>
      <c r="H867" t="s">
        <v>13</v>
      </c>
      <c r="I867">
        <v>45</v>
      </c>
      <c r="J867" t="str" cm="1">
        <f t="array" ref="J867">_xlfn.IFS(ISBLANK(C867),"FALTANTE",ABS((C867-$W$5)/$X$5)&gt;1.96,"ATÍPICO",ABS((C867-$W$5)/$X$5)&lt;=1.96,"NO ATÍPICO")</f>
        <v>NO ATÍPICO</v>
      </c>
      <c r="K867" t="str" cm="1">
        <f t="array" ref="K867">_xlfn.IFS(ISBLANK(I867),"FALTANTE",ABS((I867-$W$8)/$X$8)&gt;1.92,"ATÍPICO",ABS((I867-$W$8)/$X$8)&lt;=1.92,"NO ATÍPICO")</f>
        <v>NO ATÍPICO</v>
      </c>
      <c r="L867">
        <f t="shared" si="65"/>
        <v>445258.23999999999</v>
      </c>
      <c r="M867" t="str">
        <f t="shared" si="69"/>
        <v>ASALARIADO</v>
      </c>
      <c r="N867">
        <f t="shared" si="66"/>
        <v>45</v>
      </c>
      <c r="O867" s="19" t="str">
        <f t="shared" si="67"/>
        <v>300k–600k</v>
      </c>
      <c r="P867" s="19" t="str">
        <f t="shared" si="68"/>
        <v>36-45</v>
      </c>
    </row>
    <row r="868" spans="1:16" x14ac:dyDescent="0.25">
      <c r="A868">
        <v>867</v>
      </c>
      <c r="B868" t="s">
        <v>9</v>
      </c>
      <c r="C868">
        <v>257920</v>
      </c>
      <c r="D868" t="s">
        <v>10</v>
      </c>
      <c r="E868" t="s">
        <v>16</v>
      </c>
      <c r="F868" t="s">
        <v>12</v>
      </c>
      <c r="G868" t="s">
        <v>12</v>
      </c>
      <c r="H868" t="s">
        <v>13</v>
      </c>
      <c r="I868">
        <v>58</v>
      </c>
      <c r="J868" t="str" cm="1">
        <f t="array" ref="J868">_xlfn.IFS(ISBLANK(C868),"FALTANTE",ABS((C868-$W$5)/$X$5)&gt;1.96,"ATÍPICO",ABS((C868-$W$5)/$X$5)&lt;=1.96,"NO ATÍPICO")</f>
        <v>NO ATÍPICO</v>
      </c>
      <c r="K868" t="str" cm="1">
        <f t="array" ref="K868">_xlfn.IFS(ISBLANK(I868),"FALTANTE",ABS((I868-$W$8)/$X$8)&gt;1.92,"ATÍPICO",ABS((I868-$W$8)/$X$8)&lt;=1.92,"NO ATÍPICO")</f>
        <v>NO ATÍPICO</v>
      </c>
      <c r="L868">
        <f t="shared" si="65"/>
        <v>257920</v>
      </c>
      <c r="M868" t="str">
        <f t="shared" si="69"/>
        <v>ASALARIADO</v>
      </c>
      <c r="N868">
        <f t="shared" si="66"/>
        <v>58</v>
      </c>
      <c r="O868" s="19" t="str">
        <f t="shared" si="67"/>
        <v>0–300k</v>
      </c>
      <c r="P868" s="19" t="str">
        <f t="shared" si="68"/>
        <v>56+</v>
      </c>
    </row>
    <row r="869" spans="1:16" x14ac:dyDescent="0.25">
      <c r="A869">
        <v>868</v>
      </c>
      <c r="B869" t="s">
        <v>9</v>
      </c>
      <c r="C869">
        <v>1776922.56</v>
      </c>
      <c r="D869" t="s">
        <v>10</v>
      </c>
      <c r="E869" t="s">
        <v>16</v>
      </c>
      <c r="F869" t="s">
        <v>12</v>
      </c>
      <c r="G869" t="s">
        <v>13</v>
      </c>
      <c r="H869" t="s">
        <v>13</v>
      </c>
      <c r="I869">
        <v>27</v>
      </c>
      <c r="J869" t="str" cm="1">
        <f t="array" ref="J869">_xlfn.IFS(ISBLANK(C869),"FALTANTE",ABS((C869-$W$5)/$X$5)&gt;1.96,"ATÍPICO",ABS((C869-$W$5)/$X$5)&lt;=1.96,"NO ATÍPICO")</f>
        <v>NO ATÍPICO</v>
      </c>
      <c r="K869" t="str" cm="1">
        <f t="array" ref="K869">_xlfn.IFS(ISBLANK(I869),"FALTANTE",ABS((I869-$W$8)/$X$8)&gt;1.92,"ATÍPICO",ABS((I869-$W$8)/$X$8)&lt;=1.92,"NO ATÍPICO")</f>
        <v>NO ATÍPICO</v>
      </c>
      <c r="L869">
        <f t="shared" si="65"/>
        <v>1776922.56</v>
      </c>
      <c r="M869" t="str">
        <f t="shared" si="69"/>
        <v>ASALARIADO</v>
      </c>
      <c r="N869">
        <f t="shared" si="66"/>
        <v>27</v>
      </c>
      <c r="O869" s="19" t="str">
        <f t="shared" si="67"/>
        <v>1200k+</v>
      </c>
      <c r="P869" s="19" t="str">
        <f t="shared" si="68"/>
        <v>26-35</v>
      </c>
    </row>
    <row r="870" spans="1:16" x14ac:dyDescent="0.25">
      <c r="A870">
        <v>869</v>
      </c>
      <c r="B870" t="s">
        <v>9</v>
      </c>
      <c r="C870">
        <v>757568</v>
      </c>
      <c r="D870" t="s">
        <v>10</v>
      </c>
      <c r="E870" t="s">
        <v>11</v>
      </c>
      <c r="F870" t="s">
        <v>12</v>
      </c>
      <c r="G870" t="s">
        <v>13</v>
      </c>
      <c r="H870" t="s">
        <v>13</v>
      </c>
      <c r="I870">
        <v>47</v>
      </c>
      <c r="J870" t="str" cm="1">
        <f t="array" ref="J870">_xlfn.IFS(ISBLANK(C870),"FALTANTE",ABS((C870-$W$5)/$X$5)&gt;1.96,"ATÍPICO",ABS((C870-$W$5)/$X$5)&lt;=1.96,"NO ATÍPICO")</f>
        <v>NO ATÍPICO</v>
      </c>
      <c r="K870" t="str" cm="1">
        <f t="array" ref="K870">_xlfn.IFS(ISBLANK(I870),"FALTANTE",ABS((I870-$W$8)/$X$8)&gt;1.92,"ATÍPICO",ABS((I870-$W$8)/$X$8)&lt;=1.92,"NO ATÍPICO")</f>
        <v>NO ATÍPICO</v>
      </c>
      <c r="L870">
        <f t="shared" si="65"/>
        <v>757568</v>
      </c>
      <c r="M870" t="str">
        <f t="shared" si="69"/>
        <v>ASALARIADO</v>
      </c>
      <c r="N870">
        <f t="shared" si="66"/>
        <v>47</v>
      </c>
      <c r="O870" s="19" t="str">
        <f t="shared" si="67"/>
        <v>600k–900k</v>
      </c>
      <c r="P870" s="19" t="str">
        <f t="shared" si="68"/>
        <v>46-55</v>
      </c>
    </row>
    <row r="871" spans="1:16" x14ac:dyDescent="0.25">
      <c r="A871">
        <v>870</v>
      </c>
      <c r="B871" t="s">
        <v>9</v>
      </c>
      <c r="C871">
        <v>509509</v>
      </c>
      <c r="D871" t="s">
        <v>18</v>
      </c>
      <c r="E871" t="s">
        <v>16</v>
      </c>
      <c r="F871" t="s">
        <v>12</v>
      </c>
      <c r="G871" t="s">
        <v>13</v>
      </c>
      <c r="H871" t="s">
        <v>12</v>
      </c>
      <c r="I871">
        <v>63</v>
      </c>
      <c r="J871" t="str" cm="1">
        <f t="array" ref="J871">_xlfn.IFS(ISBLANK(C871),"FALTANTE",ABS((C871-$W$5)/$X$5)&gt;1.96,"ATÍPICO",ABS((C871-$W$5)/$X$5)&lt;=1.96,"NO ATÍPICO")</f>
        <v>NO ATÍPICO</v>
      </c>
      <c r="K871" t="str" cm="1">
        <f t="array" ref="K871">_xlfn.IFS(ISBLANK(I871),"FALTANTE",ABS((I871-$W$8)/$X$8)&gt;1.92,"ATÍPICO",ABS((I871-$W$8)/$X$8)&lt;=1.92,"NO ATÍPICO")</f>
        <v>NO ATÍPICO</v>
      </c>
      <c r="L871">
        <f t="shared" si="65"/>
        <v>509509</v>
      </c>
      <c r="M871" t="str">
        <f t="shared" si="69"/>
        <v>TRABAJADOR INDEPENDIENTE</v>
      </c>
      <c r="N871">
        <f t="shared" si="66"/>
        <v>63</v>
      </c>
      <c r="O871" s="19" t="str">
        <f t="shared" si="67"/>
        <v>300k–600k</v>
      </c>
      <c r="P871" s="19" t="str">
        <f t="shared" si="68"/>
        <v>56+</v>
      </c>
    </row>
    <row r="872" spans="1:16" x14ac:dyDescent="0.25">
      <c r="A872">
        <v>871</v>
      </c>
      <c r="B872" t="s">
        <v>9</v>
      </c>
      <c r="C872">
        <v>805518</v>
      </c>
      <c r="D872" t="s">
        <v>10</v>
      </c>
      <c r="E872" t="s">
        <v>16</v>
      </c>
      <c r="F872" t="s">
        <v>12</v>
      </c>
      <c r="G872" t="s">
        <v>13</v>
      </c>
      <c r="H872" t="s">
        <v>13</v>
      </c>
      <c r="I872">
        <v>61</v>
      </c>
      <c r="J872" t="str" cm="1">
        <f t="array" ref="J872">_xlfn.IFS(ISBLANK(C872),"FALTANTE",ABS((C872-$W$5)/$X$5)&gt;1.96,"ATÍPICO",ABS((C872-$W$5)/$X$5)&lt;=1.96,"NO ATÍPICO")</f>
        <v>NO ATÍPICO</v>
      </c>
      <c r="K872" t="str" cm="1">
        <f t="array" ref="K872">_xlfn.IFS(ISBLANK(I872),"FALTANTE",ABS((I872-$W$8)/$X$8)&gt;1.92,"ATÍPICO",ABS((I872-$W$8)/$X$8)&lt;=1.92,"NO ATÍPICO")</f>
        <v>NO ATÍPICO</v>
      </c>
      <c r="L872">
        <f t="shared" si="65"/>
        <v>805518</v>
      </c>
      <c r="M872" t="str">
        <f t="shared" si="69"/>
        <v>ASALARIADO</v>
      </c>
      <c r="N872">
        <f t="shared" si="66"/>
        <v>61</v>
      </c>
      <c r="O872" s="19" t="str">
        <f t="shared" si="67"/>
        <v>600k–900k</v>
      </c>
      <c r="P872" s="19" t="str">
        <f t="shared" si="68"/>
        <v>56+</v>
      </c>
    </row>
    <row r="873" spans="1:16" x14ac:dyDescent="0.25">
      <c r="A873">
        <v>872</v>
      </c>
      <c r="B873" t="s">
        <v>9</v>
      </c>
      <c r="C873">
        <v>255660</v>
      </c>
      <c r="D873" t="s">
        <v>10</v>
      </c>
      <c r="E873" t="s">
        <v>16</v>
      </c>
      <c r="F873" t="s">
        <v>12</v>
      </c>
      <c r="G873" t="s">
        <v>13</v>
      </c>
      <c r="H873" t="s">
        <v>13</v>
      </c>
      <c r="I873">
        <v>30</v>
      </c>
      <c r="J873" t="str" cm="1">
        <f t="array" ref="J873">_xlfn.IFS(ISBLANK(C873),"FALTANTE",ABS((C873-$W$5)/$X$5)&gt;1.96,"ATÍPICO",ABS((C873-$W$5)/$X$5)&lt;=1.96,"NO ATÍPICO")</f>
        <v>NO ATÍPICO</v>
      </c>
      <c r="K873" t="str" cm="1">
        <f t="array" ref="K873">_xlfn.IFS(ISBLANK(I873),"FALTANTE",ABS((I873-$W$8)/$X$8)&gt;1.92,"ATÍPICO",ABS((I873-$W$8)/$X$8)&lt;=1.92,"NO ATÍPICO")</f>
        <v>NO ATÍPICO</v>
      </c>
      <c r="L873">
        <f t="shared" si="65"/>
        <v>255660</v>
      </c>
      <c r="M873" t="str">
        <f t="shared" si="69"/>
        <v>ASALARIADO</v>
      </c>
      <c r="N873">
        <f t="shared" si="66"/>
        <v>30</v>
      </c>
      <c r="O873" s="19" t="str">
        <f t="shared" si="67"/>
        <v>0–300k</v>
      </c>
      <c r="P873" s="19" t="str">
        <f t="shared" si="68"/>
        <v>26-35</v>
      </c>
    </row>
    <row r="874" spans="1:16" x14ac:dyDescent="0.25">
      <c r="A874">
        <v>873</v>
      </c>
      <c r="B874" t="s">
        <v>15</v>
      </c>
      <c r="C874">
        <v>517272</v>
      </c>
      <c r="D874" t="s">
        <v>18</v>
      </c>
      <c r="E874" t="s">
        <v>16</v>
      </c>
      <c r="F874" t="s">
        <v>12</v>
      </c>
      <c r="G874" t="s">
        <v>13</v>
      </c>
      <c r="H874" t="s">
        <v>13</v>
      </c>
      <c r="I874">
        <v>60</v>
      </c>
      <c r="J874" t="str" cm="1">
        <f t="array" ref="J874">_xlfn.IFS(ISBLANK(C874),"FALTANTE",ABS((C874-$W$5)/$X$5)&gt;1.96,"ATÍPICO",ABS((C874-$W$5)/$X$5)&lt;=1.96,"NO ATÍPICO")</f>
        <v>NO ATÍPICO</v>
      </c>
      <c r="K874" t="str" cm="1">
        <f t="array" ref="K874">_xlfn.IFS(ISBLANK(I874),"FALTANTE",ABS((I874-$W$8)/$X$8)&gt;1.92,"ATÍPICO",ABS((I874-$W$8)/$X$8)&lt;=1.92,"NO ATÍPICO")</f>
        <v>NO ATÍPICO</v>
      </c>
      <c r="L874">
        <f t="shared" si="65"/>
        <v>517272</v>
      </c>
      <c r="M874" t="str">
        <f t="shared" si="69"/>
        <v>TRABAJADOR INDEPENDIENTE</v>
      </c>
      <c r="N874">
        <f t="shared" si="66"/>
        <v>60</v>
      </c>
      <c r="O874" s="19" t="str">
        <f t="shared" si="67"/>
        <v>300k–600k</v>
      </c>
      <c r="P874" s="19" t="str">
        <f t="shared" si="68"/>
        <v>56+</v>
      </c>
    </row>
    <row r="875" spans="1:16" x14ac:dyDescent="0.25">
      <c r="A875">
        <v>874</v>
      </c>
      <c r="B875" t="s">
        <v>9</v>
      </c>
      <c r="C875">
        <v>297050</v>
      </c>
      <c r="D875" t="s">
        <v>17</v>
      </c>
      <c r="E875" t="s">
        <v>16</v>
      </c>
      <c r="F875" t="s">
        <v>12</v>
      </c>
      <c r="G875" t="s">
        <v>13</v>
      </c>
      <c r="H875" t="s">
        <v>12</v>
      </c>
      <c r="I875">
        <v>37</v>
      </c>
      <c r="J875" t="str" cm="1">
        <f t="array" ref="J875">_xlfn.IFS(ISBLANK(C875),"FALTANTE",ABS((C875-$W$5)/$X$5)&gt;1.96,"ATÍPICO",ABS((C875-$W$5)/$X$5)&lt;=1.96,"NO ATÍPICO")</f>
        <v>NO ATÍPICO</v>
      </c>
      <c r="K875" t="str" cm="1">
        <f t="array" ref="K875">_xlfn.IFS(ISBLANK(I875),"FALTANTE",ABS((I875-$W$8)/$X$8)&gt;1.92,"ATÍPICO",ABS((I875-$W$8)/$X$8)&lt;=1.92,"NO ATÍPICO")</f>
        <v>NO ATÍPICO</v>
      </c>
      <c r="L875">
        <f t="shared" si="65"/>
        <v>297050</v>
      </c>
      <c r="M875" t="str">
        <f t="shared" si="69"/>
        <v>ASEGURADO VOLUNTARIO</v>
      </c>
      <c r="N875">
        <f t="shared" si="66"/>
        <v>37</v>
      </c>
      <c r="O875" s="19" t="str">
        <f t="shared" si="67"/>
        <v>0–300k</v>
      </c>
      <c r="P875" s="19" t="str">
        <f t="shared" si="68"/>
        <v>36-45</v>
      </c>
    </row>
    <row r="876" spans="1:16" x14ac:dyDescent="0.25">
      <c r="A876">
        <v>875</v>
      </c>
      <c r="B876" t="s">
        <v>9</v>
      </c>
      <c r="C876">
        <v>315687</v>
      </c>
      <c r="D876" t="s">
        <v>10</v>
      </c>
      <c r="E876" t="s">
        <v>16</v>
      </c>
      <c r="F876" t="s">
        <v>12</v>
      </c>
      <c r="G876" t="s">
        <v>12</v>
      </c>
      <c r="H876" t="s">
        <v>12</v>
      </c>
      <c r="I876">
        <v>45</v>
      </c>
      <c r="J876" t="str" cm="1">
        <f t="array" ref="J876">_xlfn.IFS(ISBLANK(C876),"FALTANTE",ABS((C876-$W$5)/$X$5)&gt;1.96,"ATÍPICO",ABS((C876-$W$5)/$X$5)&lt;=1.96,"NO ATÍPICO")</f>
        <v>NO ATÍPICO</v>
      </c>
      <c r="K876" t="str" cm="1">
        <f t="array" ref="K876">_xlfn.IFS(ISBLANK(I876),"FALTANTE",ABS((I876-$W$8)/$X$8)&gt;1.92,"ATÍPICO",ABS((I876-$W$8)/$X$8)&lt;=1.92,"NO ATÍPICO")</f>
        <v>NO ATÍPICO</v>
      </c>
      <c r="L876">
        <f t="shared" si="65"/>
        <v>315687</v>
      </c>
      <c r="M876" t="str">
        <f t="shared" si="69"/>
        <v>ASALARIADO</v>
      </c>
      <c r="N876">
        <f t="shared" si="66"/>
        <v>45</v>
      </c>
      <c r="O876" s="19" t="str">
        <f t="shared" si="67"/>
        <v>300k–600k</v>
      </c>
      <c r="P876" s="19" t="str">
        <f t="shared" si="68"/>
        <v>36-45</v>
      </c>
    </row>
    <row r="877" spans="1:16" x14ac:dyDescent="0.25">
      <c r="A877">
        <v>876</v>
      </c>
      <c r="B877" t="s">
        <v>15</v>
      </c>
      <c r="C877">
        <v>372300</v>
      </c>
      <c r="D877" t="s">
        <v>10</v>
      </c>
      <c r="E877" t="s">
        <v>16</v>
      </c>
      <c r="F877" t="s">
        <v>12</v>
      </c>
      <c r="G877" t="s">
        <v>13</v>
      </c>
      <c r="H877" t="s">
        <v>12</v>
      </c>
      <c r="I877">
        <v>26</v>
      </c>
      <c r="J877" t="str" cm="1">
        <f t="array" ref="J877">_xlfn.IFS(ISBLANK(C877),"FALTANTE",ABS((C877-$W$5)/$X$5)&gt;1.96,"ATÍPICO",ABS((C877-$W$5)/$X$5)&lt;=1.96,"NO ATÍPICO")</f>
        <v>NO ATÍPICO</v>
      </c>
      <c r="K877" t="str" cm="1">
        <f t="array" ref="K877">_xlfn.IFS(ISBLANK(I877),"FALTANTE",ABS((I877-$W$8)/$X$8)&gt;1.92,"ATÍPICO",ABS((I877-$W$8)/$X$8)&lt;=1.92,"NO ATÍPICO")</f>
        <v>NO ATÍPICO</v>
      </c>
      <c r="L877">
        <f t="shared" si="65"/>
        <v>372300</v>
      </c>
      <c r="M877" t="str">
        <f t="shared" si="69"/>
        <v>ASALARIADO</v>
      </c>
      <c r="N877">
        <f t="shared" si="66"/>
        <v>26</v>
      </c>
      <c r="O877" s="19" t="str">
        <f t="shared" si="67"/>
        <v>300k–600k</v>
      </c>
      <c r="P877" s="19" t="str">
        <f t="shared" si="68"/>
        <v>26-35</v>
      </c>
    </row>
    <row r="878" spans="1:16" x14ac:dyDescent="0.25">
      <c r="A878">
        <v>877</v>
      </c>
      <c r="B878" t="s">
        <v>9</v>
      </c>
      <c r="C878">
        <v>678734.05</v>
      </c>
      <c r="D878" t="s">
        <v>10</v>
      </c>
      <c r="E878" t="s">
        <v>16</v>
      </c>
      <c r="F878" t="s">
        <v>12</v>
      </c>
      <c r="G878" t="s">
        <v>13</v>
      </c>
      <c r="H878" t="s">
        <v>13</v>
      </c>
      <c r="I878">
        <v>33</v>
      </c>
      <c r="J878" t="str" cm="1">
        <f t="array" ref="J878">_xlfn.IFS(ISBLANK(C878),"FALTANTE",ABS((C878-$W$5)/$X$5)&gt;1.96,"ATÍPICO",ABS((C878-$W$5)/$X$5)&lt;=1.96,"NO ATÍPICO")</f>
        <v>NO ATÍPICO</v>
      </c>
      <c r="K878" t="str" cm="1">
        <f t="array" ref="K878">_xlfn.IFS(ISBLANK(I878),"FALTANTE",ABS((I878-$W$8)/$X$8)&gt;1.92,"ATÍPICO",ABS((I878-$W$8)/$X$8)&lt;=1.92,"NO ATÍPICO")</f>
        <v>NO ATÍPICO</v>
      </c>
      <c r="L878">
        <f t="shared" si="65"/>
        <v>678734.05</v>
      </c>
      <c r="M878" t="str">
        <f t="shared" si="69"/>
        <v>ASALARIADO</v>
      </c>
      <c r="N878">
        <f t="shared" si="66"/>
        <v>33</v>
      </c>
      <c r="O878" s="19" t="str">
        <f t="shared" si="67"/>
        <v>600k–900k</v>
      </c>
      <c r="P878" s="19" t="str">
        <f t="shared" si="68"/>
        <v>26-35</v>
      </c>
    </row>
    <row r="879" spans="1:16" x14ac:dyDescent="0.25">
      <c r="A879">
        <v>878</v>
      </c>
      <c r="B879" t="s">
        <v>15</v>
      </c>
      <c r="C879">
        <v>315617</v>
      </c>
      <c r="D879" t="s">
        <v>17</v>
      </c>
      <c r="E879" t="s">
        <v>16</v>
      </c>
      <c r="F879" t="s">
        <v>12</v>
      </c>
      <c r="G879" t="s">
        <v>13</v>
      </c>
      <c r="H879" t="s">
        <v>13</v>
      </c>
      <c r="I879">
        <v>35</v>
      </c>
      <c r="J879" t="str" cm="1">
        <f t="array" ref="J879">_xlfn.IFS(ISBLANK(C879),"FALTANTE",ABS((C879-$W$5)/$X$5)&gt;1.96,"ATÍPICO",ABS((C879-$W$5)/$X$5)&lt;=1.96,"NO ATÍPICO")</f>
        <v>NO ATÍPICO</v>
      </c>
      <c r="K879" t="str" cm="1">
        <f t="array" ref="K879">_xlfn.IFS(ISBLANK(I879),"FALTANTE",ABS((I879-$W$8)/$X$8)&gt;1.92,"ATÍPICO",ABS((I879-$W$8)/$X$8)&lt;=1.92,"NO ATÍPICO")</f>
        <v>NO ATÍPICO</v>
      </c>
      <c r="L879">
        <f t="shared" si="65"/>
        <v>315617</v>
      </c>
      <c r="M879" t="str">
        <f t="shared" si="69"/>
        <v>ASEGURADO VOLUNTARIO</v>
      </c>
      <c r="N879">
        <f t="shared" si="66"/>
        <v>35</v>
      </c>
      <c r="O879" s="19" t="str">
        <f t="shared" si="67"/>
        <v>300k–600k</v>
      </c>
      <c r="P879" s="19" t="str">
        <f t="shared" si="68"/>
        <v>26-35</v>
      </c>
    </row>
    <row r="880" spans="1:16" x14ac:dyDescent="0.25">
      <c r="A880">
        <v>879</v>
      </c>
      <c r="B880" t="s">
        <v>9</v>
      </c>
      <c r="C880">
        <v>1455906.15</v>
      </c>
      <c r="D880" t="s">
        <v>19</v>
      </c>
      <c r="E880" t="s">
        <v>16</v>
      </c>
      <c r="F880" t="s">
        <v>12</v>
      </c>
      <c r="G880" t="s">
        <v>13</v>
      </c>
      <c r="H880" t="s">
        <v>13</v>
      </c>
      <c r="I880">
        <v>38</v>
      </c>
      <c r="J880" t="str" cm="1">
        <f t="array" ref="J880">_xlfn.IFS(ISBLANK(C880),"FALTANTE",ABS((C880-$W$5)/$X$5)&gt;1.96,"ATÍPICO",ABS((C880-$W$5)/$X$5)&lt;=1.96,"NO ATÍPICO")</f>
        <v>NO ATÍPICO</v>
      </c>
      <c r="K880" t="str" cm="1">
        <f t="array" ref="K880">_xlfn.IFS(ISBLANK(I880),"FALTANTE",ABS((I880-$W$8)/$X$8)&gt;1.92,"ATÍPICO",ABS((I880-$W$8)/$X$8)&lt;=1.92,"NO ATÍPICO")</f>
        <v>NO ATÍPICO</v>
      </c>
      <c r="L880">
        <f t="shared" si="65"/>
        <v>1455906.15</v>
      </c>
      <c r="M880" t="str">
        <f t="shared" si="69"/>
        <v>CONVENIOS ESPECIALES DE TRABAJADORES INDEPENDIENTES</v>
      </c>
      <c r="N880">
        <f t="shared" si="66"/>
        <v>38</v>
      </c>
      <c r="O880" s="19" t="str">
        <f t="shared" si="67"/>
        <v>1200k+</v>
      </c>
      <c r="P880" s="19" t="str">
        <f t="shared" si="68"/>
        <v>36-45</v>
      </c>
    </row>
    <row r="881" spans="1:16" x14ac:dyDescent="0.25">
      <c r="A881">
        <v>880</v>
      </c>
      <c r="B881" t="s">
        <v>15</v>
      </c>
      <c r="C881">
        <v>166295</v>
      </c>
      <c r="D881" t="s">
        <v>10</v>
      </c>
      <c r="E881" t="s">
        <v>16</v>
      </c>
      <c r="F881" t="s">
        <v>12</v>
      </c>
      <c r="G881" t="s">
        <v>13</v>
      </c>
      <c r="H881" t="s">
        <v>13</v>
      </c>
      <c r="I881">
        <v>50</v>
      </c>
      <c r="J881" t="str" cm="1">
        <f t="array" ref="J881">_xlfn.IFS(ISBLANK(C881),"FALTANTE",ABS((C881-$W$5)/$X$5)&gt;1.96,"ATÍPICO",ABS((C881-$W$5)/$X$5)&lt;=1.96,"NO ATÍPICO")</f>
        <v>NO ATÍPICO</v>
      </c>
      <c r="K881" t="str" cm="1">
        <f t="array" ref="K881">_xlfn.IFS(ISBLANK(I881),"FALTANTE",ABS((I881-$W$8)/$X$8)&gt;1.92,"ATÍPICO",ABS((I881-$W$8)/$X$8)&lt;=1.92,"NO ATÍPICO")</f>
        <v>NO ATÍPICO</v>
      </c>
      <c r="L881">
        <f t="shared" si="65"/>
        <v>166295</v>
      </c>
      <c r="M881" t="str">
        <f t="shared" si="69"/>
        <v>ASALARIADO</v>
      </c>
      <c r="N881">
        <f t="shared" si="66"/>
        <v>50</v>
      </c>
      <c r="O881" s="19" t="str">
        <f t="shared" si="67"/>
        <v>0–300k</v>
      </c>
      <c r="P881" s="19" t="str">
        <f t="shared" si="68"/>
        <v>46-55</v>
      </c>
    </row>
    <row r="882" spans="1:16" x14ac:dyDescent="0.25">
      <c r="A882">
        <v>881</v>
      </c>
      <c r="B882" t="s">
        <v>15</v>
      </c>
      <c r="C882">
        <v>5887012.5</v>
      </c>
      <c r="D882" t="s">
        <v>10</v>
      </c>
      <c r="E882" t="s">
        <v>16</v>
      </c>
      <c r="F882" t="s">
        <v>12</v>
      </c>
      <c r="G882" t="s">
        <v>13</v>
      </c>
      <c r="H882" t="s">
        <v>13</v>
      </c>
      <c r="I882">
        <v>27</v>
      </c>
      <c r="J882" t="str" cm="1">
        <f t="array" ref="J882">_xlfn.IFS(ISBLANK(C882),"FALTANTE",ABS((C882-$W$5)/$X$5)&gt;1.96,"ATÍPICO",ABS((C882-$W$5)/$X$5)&lt;=1.96,"NO ATÍPICO")</f>
        <v>ATÍPICO</v>
      </c>
      <c r="K882" t="str" cm="1">
        <f t="array" ref="K882">_xlfn.IFS(ISBLANK(I882),"FALTANTE",ABS((I882-$W$8)/$X$8)&gt;1.92,"ATÍPICO",ABS((I882-$W$8)/$X$8)&lt;=1.92,"NO ATÍPICO")</f>
        <v>NO ATÍPICO</v>
      </c>
      <c r="L882">
        <f t="shared" si="65"/>
        <v>5887012.5</v>
      </c>
      <c r="M882" t="str">
        <f t="shared" si="69"/>
        <v>ASALARIADO</v>
      </c>
      <c r="N882">
        <f t="shared" si="66"/>
        <v>27</v>
      </c>
      <c r="O882" s="19" t="str">
        <f t="shared" si="67"/>
        <v>1200k+</v>
      </c>
      <c r="P882" s="19" t="str">
        <f t="shared" si="68"/>
        <v>26-35</v>
      </c>
    </row>
    <row r="883" spans="1:16" x14ac:dyDescent="0.25">
      <c r="A883">
        <v>882</v>
      </c>
      <c r="B883" t="s">
        <v>15</v>
      </c>
      <c r="C883">
        <v>297046</v>
      </c>
      <c r="D883" t="s">
        <v>17</v>
      </c>
      <c r="E883" t="s">
        <v>16</v>
      </c>
      <c r="F883" t="s">
        <v>12</v>
      </c>
      <c r="G883" t="s">
        <v>13</v>
      </c>
      <c r="H883" t="s">
        <v>13</v>
      </c>
      <c r="I883">
        <v>61</v>
      </c>
      <c r="J883" t="str" cm="1">
        <f t="array" ref="J883">_xlfn.IFS(ISBLANK(C883),"FALTANTE",ABS((C883-$W$5)/$X$5)&gt;1.96,"ATÍPICO",ABS((C883-$W$5)/$X$5)&lt;=1.96,"NO ATÍPICO")</f>
        <v>NO ATÍPICO</v>
      </c>
      <c r="K883" t="str" cm="1">
        <f t="array" ref="K883">_xlfn.IFS(ISBLANK(I883),"FALTANTE",ABS((I883-$W$8)/$X$8)&gt;1.92,"ATÍPICO",ABS((I883-$W$8)/$X$8)&lt;=1.92,"NO ATÍPICO")</f>
        <v>NO ATÍPICO</v>
      </c>
      <c r="L883">
        <f t="shared" si="65"/>
        <v>297046</v>
      </c>
      <c r="M883" t="str">
        <f t="shared" si="69"/>
        <v>ASEGURADO VOLUNTARIO</v>
      </c>
      <c r="N883">
        <f t="shared" si="66"/>
        <v>61</v>
      </c>
      <c r="O883" s="19" t="str">
        <f t="shared" si="67"/>
        <v>0–300k</v>
      </c>
      <c r="P883" s="19" t="str">
        <f t="shared" si="68"/>
        <v>56+</v>
      </c>
    </row>
    <row r="884" spans="1:16" x14ac:dyDescent="0.25">
      <c r="A884">
        <v>883</v>
      </c>
      <c r="B884" t="s">
        <v>9</v>
      </c>
      <c r="C884">
        <v>503465</v>
      </c>
      <c r="D884" t="s">
        <v>10</v>
      </c>
      <c r="E884" t="s">
        <v>11</v>
      </c>
      <c r="F884" t="s">
        <v>12</v>
      </c>
      <c r="G884" t="s">
        <v>13</v>
      </c>
      <c r="H884" t="s">
        <v>12</v>
      </c>
      <c r="I884">
        <v>56</v>
      </c>
      <c r="J884" t="str" cm="1">
        <f t="array" ref="J884">_xlfn.IFS(ISBLANK(C884),"FALTANTE",ABS((C884-$W$5)/$X$5)&gt;1.96,"ATÍPICO",ABS((C884-$W$5)/$X$5)&lt;=1.96,"NO ATÍPICO")</f>
        <v>NO ATÍPICO</v>
      </c>
      <c r="K884" t="str" cm="1">
        <f t="array" ref="K884">_xlfn.IFS(ISBLANK(I884),"FALTANTE",ABS((I884-$W$8)/$X$8)&gt;1.92,"ATÍPICO",ABS((I884-$W$8)/$X$8)&lt;=1.92,"NO ATÍPICO")</f>
        <v>NO ATÍPICO</v>
      </c>
      <c r="L884">
        <f t="shared" si="65"/>
        <v>503465</v>
      </c>
      <c r="M884" t="str">
        <f t="shared" si="69"/>
        <v>ASALARIADO</v>
      </c>
      <c r="N884">
        <f t="shared" si="66"/>
        <v>56</v>
      </c>
      <c r="O884" s="19" t="str">
        <f t="shared" si="67"/>
        <v>300k–600k</v>
      </c>
      <c r="P884" s="19" t="str">
        <f t="shared" si="68"/>
        <v>56+</v>
      </c>
    </row>
    <row r="885" spans="1:16" x14ac:dyDescent="0.25">
      <c r="A885">
        <v>884</v>
      </c>
      <c r="B885" t="s">
        <v>15</v>
      </c>
      <c r="C885">
        <v>534815.5</v>
      </c>
      <c r="D885" t="s">
        <v>10</v>
      </c>
      <c r="E885" t="s">
        <v>11</v>
      </c>
      <c r="F885" t="s">
        <v>12</v>
      </c>
      <c r="G885" t="s">
        <v>13</v>
      </c>
      <c r="H885" t="s">
        <v>13</v>
      </c>
      <c r="I885">
        <v>29</v>
      </c>
      <c r="J885" t="str" cm="1">
        <f t="array" ref="J885">_xlfn.IFS(ISBLANK(C885),"FALTANTE",ABS((C885-$W$5)/$X$5)&gt;1.96,"ATÍPICO",ABS((C885-$W$5)/$X$5)&lt;=1.96,"NO ATÍPICO")</f>
        <v>NO ATÍPICO</v>
      </c>
      <c r="K885" t="str" cm="1">
        <f t="array" ref="K885">_xlfn.IFS(ISBLANK(I885),"FALTANTE",ABS((I885-$W$8)/$X$8)&gt;1.92,"ATÍPICO",ABS((I885-$W$8)/$X$8)&lt;=1.92,"NO ATÍPICO")</f>
        <v>NO ATÍPICO</v>
      </c>
      <c r="L885">
        <f t="shared" si="65"/>
        <v>534815.5</v>
      </c>
      <c r="M885" t="str">
        <f t="shared" si="69"/>
        <v>ASALARIADO</v>
      </c>
      <c r="N885">
        <f t="shared" si="66"/>
        <v>29</v>
      </c>
      <c r="O885" s="19" t="str">
        <f t="shared" si="67"/>
        <v>300k–600k</v>
      </c>
      <c r="P885" s="19" t="str">
        <f t="shared" si="68"/>
        <v>26-35</v>
      </c>
    </row>
    <row r="886" spans="1:16" x14ac:dyDescent="0.25">
      <c r="A886">
        <v>885</v>
      </c>
      <c r="B886" t="s">
        <v>15</v>
      </c>
      <c r="C886">
        <v>401010</v>
      </c>
      <c r="D886" t="s">
        <v>18</v>
      </c>
      <c r="E886" t="s">
        <v>16</v>
      </c>
      <c r="F886" t="s">
        <v>12</v>
      </c>
      <c r="G886" t="s">
        <v>13</v>
      </c>
      <c r="H886" t="s">
        <v>12</v>
      </c>
      <c r="I886">
        <v>50</v>
      </c>
      <c r="J886" t="str" cm="1">
        <f t="array" ref="J886">_xlfn.IFS(ISBLANK(C886),"FALTANTE",ABS((C886-$W$5)/$X$5)&gt;1.96,"ATÍPICO",ABS((C886-$W$5)/$X$5)&lt;=1.96,"NO ATÍPICO")</f>
        <v>NO ATÍPICO</v>
      </c>
      <c r="K886" t="str" cm="1">
        <f t="array" ref="K886">_xlfn.IFS(ISBLANK(I886),"FALTANTE",ABS((I886-$W$8)/$X$8)&gt;1.92,"ATÍPICO",ABS((I886-$W$8)/$X$8)&lt;=1.92,"NO ATÍPICO")</f>
        <v>NO ATÍPICO</v>
      </c>
      <c r="L886">
        <f t="shared" si="65"/>
        <v>401010</v>
      </c>
      <c r="M886" t="str">
        <f t="shared" si="69"/>
        <v>TRABAJADOR INDEPENDIENTE</v>
      </c>
      <c r="N886">
        <f t="shared" si="66"/>
        <v>50</v>
      </c>
      <c r="O886" s="19" t="str">
        <f t="shared" si="67"/>
        <v>300k–600k</v>
      </c>
      <c r="P886" s="19" t="str">
        <f t="shared" si="68"/>
        <v>46-55</v>
      </c>
    </row>
    <row r="887" spans="1:16" x14ac:dyDescent="0.25">
      <c r="A887">
        <v>886</v>
      </c>
      <c r="B887" t="s">
        <v>9</v>
      </c>
      <c r="C887">
        <v>325000</v>
      </c>
      <c r="D887" t="s">
        <v>10</v>
      </c>
      <c r="E887" t="s">
        <v>16</v>
      </c>
      <c r="F887" t="s">
        <v>12</v>
      </c>
      <c r="G887" t="s">
        <v>13</v>
      </c>
      <c r="H887" t="s">
        <v>13</v>
      </c>
      <c r="I887">
        <v>37</v>
      </c>
      <c r="J887" t="str" cm="1">
        <f t="array" ref="J887">_xlfn.IFS(ISBLANK(C887),"FALTANTE",ABS((C887-$W$5)/$X$5)&gt;1.96,"ATÍPICO",ABS((C887-$W$5)/$X$5)&lt;=1.96,"NO ATÍPICO")</f>
        <v>NO ATÍPICO</v>
      </c>
      <c r="K887" t="str" cm="1">
        <f t="array" ref="K887">_xlfn.IFS(ISBLANK(I887),"FALTANTE",ABS((I887-$W$8)/$X$8)&gt;1.92,"ATÍPICO",ABS((I887-$W$8)/$X$8)&lt;=1.92,"NO ATÍPICO")</f>
        <v>NO ATÍPICO</v>
      </c>
      <c r="L887">
        <f t="shared" si="65"/>
        <v>325000</v>
      </c>
      <c r="M887" t="str">
        <f t="shared" si="69"/>
        <v>ASALARIADO</v>
      </c>
      <c r="N887">
        <f t="shared" si="66"/>
        <v>37</v>
      </c>
      <c r="O887" s="19" t="str">
        <f t="shared" si="67"/>
        <v>300k–600k</v>
      </c>
      <c r="P887" s="19" t="str">
        <f t="shared" si="68"/>
        <v>36-45</v>
      </c>
    </row>
    <row r="888" spans="1:16" x14ac:dyDescent="0.25">
      <c r="A888">
        <v>887</v>
      </c>
      <c r="B888" t="s">
        <v>9</v>
      </c>
      <c r="C888">
        <v>1142714</v>
      </c>
      <c r="D888" t="s">
        <v>10</v>
      </c>
      <c r="E888" t="s">
        <v>16</v>
      </c>
      <c r="F888" t="s">
        <v>12</v>
      </c>
      <c r="G888" t="s">
        <v>13</v>
      </c>
      <c r="H888" t="s">
        <v>13</v>
      </c>
      <c r="I888">
        <v>37</v>
      </c>
      <c r="J888" t="str" cm="1">
        <f t="array" ref="J888">_xlfn.IFS(ISBLANK(C888),"FALTANTE",ABS((C888-$W$5)/$X$5)&gt;1.96,"ATÍPICO",ABS((C888-$W$5)/$X$5)&lt;=1.96,"NO ATÍPICO")</f>
        <v>NO ATÍPICO</v>
      </c>
      <c r="K888" t="str" cm="1">
        <f t="array" ref="K888">_xlfn.IFS(ISBLANK(I888),"FALTANTE",ABS((I888-$W$8)/$X$8)&gt;1.92,"ATÍPICO",ABS((I888-$W$8)/$X$8)&lt;=1.92,"NO ATÍPICO")</f>
        <v>NO ATÍPICO</v>
      </c>
      <c r="L888">
        <f t="shared" si="65"/>
        <v>1142714</v>
      </c>
      <c r="M888" t="str">
        <f t="shared" si="69"/>
        <v>ASALARIADO</v>
      </c>
      <c r="N888">
        <f t="shared" si="66"/>
        <v>37</v>
      </c>
      <c r="O888" s="19" t="str">
        <f t="shared" si="67"/>
        <v>900k–1200k</v>
      </c>
      <c r="P888" s="19" t="str">
        <f t="shared" si="68"/>
        <v>36-45</v>
      </c>
    </row>
    <row r="889" spans="1:16" x14ac:dyDescent="0.25">
      <c r="A889">
        <v>888</v>
      </c>
      <c r="B889" t="s">
        <v>9</v>
      </c>
      <c r="C889">
        <v>553642.06000000006</v>
      </c>
      <c r="D889" t="s">
        <v>10</v>
      </c>
      <c r="E889" t="s">
        <v>16</v>
      </c>
      <c r="F889" t="s">
        <v>12</v>
      </c>
      <c r="G889" t="s">
        <v>13</v>
      </c>
      <c r="H889" t="s">
        <v>13</v>
      </c>
      <c r="I889">
        <v>27</v>
      </c>
      <c r="J889" t="str" cm="1">
        <f t="array" ref="J889">_xlfn.IFS(ISBLANK(C889),"FALTANTE",ABS((C889-$W$5)/$X$5)&gt;1.96,"ATÍPICO",ABS((C889-$W$5)/$X$5)&lt;=1.96,"NO ATÍPICO")</f>
        <v>NO ATÍPICO</v>
      </c>
      <c r="K889" t="str" cm="1">
        <f t="array" ref="K889">_xlfn.IFS(ISBLANK(I889),"FALTANTE",ABS((I889-$W$8)/$X$8)&gt;1.92,"ATÍPICO",ABS((I889-$W$8)/$X$8)&lt;=1.92,"NO ATÍPICO")</f>
        <v>NO ATÍPICO</v>
      </c>
      <c r="L889">
        <f t="shared" si="65"/>
        <v>553642.06000000006</v>
      </c>
      <c r="M889" t="str">
        <f t="shared" si="69"/>
        <v>ASALARIADO</v>
      </c>
      <c r="N889">
        <f t="shared" si="66"/>
        <v>27</v>
      </c>
      <c r="O889" s="19" t="str">
        <f t="shared" si="67"/>
        <v>300k–600k</v>
      </c>
      <c r="P889" s="19" t="str">
        <f t="shared" si="68"/>
        <v>26-35</v>
      </c>
    </row>
    <row r="890" spans="1:16" x14ac:dyDescent="0.25">
      <c r="A890">
        <v>889</v>
      </c>
      <c r="B890" t="s">
        <v>9</v>
      </c>
      <c r="C890">
        <v>168300</v>
      </c>
      <c r="D890" t="s">
        <v>10</v>
      </c>
      <c r="E890" t="s">
        <v>16</v>
      </c>
      <c r="F890" t="s">
        <v>12</v>
      </c>
      <c r="G890" t="s">
        <v>12</v>
      </c>
      <c r="H890" t="s">
        <v>13</v>
      </c>
      <c r="I890">
        <v>23</v>
      </c>
      <c r="J890" t="str" cm="1">
        <f t="array" ref="J890">_xlfn.IFS(ISBLANK(C890),"FALTANTE",ABS((C890-$W$5)/$X$5)&gt;1.96,"ATÍPICO",ABS((C890-$W$5)/$X$5)&lt;=1.96,"NO ATÍPICO")</f>
        <v>NO ATÍPICO</v>
      </c>
      <c r="K890" t="str" cm="1">
        <f t="array" ref="K890">_xlfn.IFS(ISBLANK(I890),"FALTANTE",ABS((I890-$W$8)/$X$8)&gt;1.92,"ATÍPICO",ABS((I890-$W$8)/$X$8)&lt;=1.92,"NO ATÍPICO")</f>
        <v>NO ATÍPICO</v>
      </c>
      <c r="L890">
        <f t="shared" si="65"/>
        <v>168300</v>
      </c>
      <c r="M890" t="str">
        <f t="shared" si="69"/>
        <v>ASALARIADO</v>
      </c>
      <c r="N890">
        <f t="shared" si="66"/>
        <v>23</v>
      </c>
      <c r="O890" s="19" t="str">
        <f t="shared" si="67"/>
        <v>0–300k</v>
      </c>
      <c r="P890" s="19" t="str">
        <f t="shared" si="68"/>
        <v>18-25</v>
      </c>
    </row>
    <row r="891" spans="1:16" x14ac:dyDescent="0.25">
      <c r="A891">
        <v>890</v>
      </c>
      <c r="B891" t="s">
        <v>9</v>
      </c>
      <c r="C891">
        <v>290371</v>
      </c>
      <c r="D891" t="s">
        <v>18</v>
      </c>
      <c r="E891" t="s">
        <v>16</v>
      </c>
      <c r="F891" t="s">
        <v>12</v>
      </c>
      <c r="G891" t="s">
        <v>13</v>
      </c>
      <c r="H891" t="s">
        <v>13</v>
      </c>
      <c r="I891">
        <v>34</v>
      </c>
      <c r="J891" t="str" cm="1">
        <f t="array" ref="J891">_xlfn.IFS(ISBLANK(C891),"FALTANTE",ABS((C891-$W$5)/$X$5)&gt;1.96,"ATÍPICO",ABS((C891-$W$5)/$X$5)&lt;=1.96,"NO ATÍPICO")</f>
        <v>NO ATÍPICO</v>
      </c>
      <c r="K891" t="str" cm="1">
        <f t="array" ref="K891">_xlfn.IFS(ISBLANK(I891),"FALTANTE",ABS((I891-$W$8)/$X$8)&gt;1.92,"ATÍPICO",ABS((I891-$W$8)/$X$8)&lt;=1.92,"NO ATÍPICO")</f>
        <v>NO ATÍPICO</v>
      </c>
      <c r="L891">
        <f t="shared" si="65"/>
        <v>290371</v>
      </c>
      <c r="M891" t="str">
        <f t="shared" si="69"/>
        <v>TRABAJADOR INDEPENDIENTE</v>
      </c>
      <c r="N891">
        <f t="shared" si="66"/>
        <v>34</v>
      </c>
      <c r="O891" s="19" t="str">
        <f t="shared" si="67"/>
        <v>0–300k</v>
      </c>
      <c r="P891" s="19" t="str">
        <f t="shared" si="68"/>
        <v>26-35</v>
      </c>
    </row>
    <row r="892" spans="1:16" x14ac:dyDescent="0.25">
      <c r="A892">
        <v>891</v>
      </c>
      <c r="B892" t="s">
        <v>9</v>
      </c>
      <c r="C892">
        <v>2687778.85</v>
      </c>
      <c r="D892" t="s">
        <v>10</v>
      </c>
      <c r="E892" t="s">
        <v>16</v>
      </c>
      <c r="F892" t="s">
        <v>12</v>
      </c>
      <c r="G892" t="s">
        <v>13</v>
      </c>
      <c r="H892" t="s">
        <v>13</v>
      </c>
      <c r="I892">
        <v>51</v>
      </c>
      <c r="J892" t="str" cm="1">
        <f t="array" ref="J892">_xlfn.IFS(ISBLANK(C892),"FALTANTE",ABS((C892-$W$5)/$X$5)&gt;1.96,"ATÍPICO",ABS((C892-$W$5)/$X$5)&lt;=1.96,"NO ATÍPICO")</f>
        <v>ATÍPICO</v>
      </c>
      <c r="K892" t="str" cm="1">
        <f t="array" ref="K892">_xlfn.IFS(ISBLANK(I892),"FALTANTE",ABS((I892-$W$8)/$X$8)&gt;1.92,"ATÍPICO",ABS((I892-$W$8)/$X$8)&lt;=1.92,"NO ATÍPICO")</f>
        <v>NO ATÍPICO</v>
      </c>
      <c r="L892">
        <f t="shared" si="65"/>
        <v>2687778.85</v>
      </c>
      <c r="M892" t="str">
        <f t="shared" si="69"/>
        <v>ASALARIADO</v>
      </c>
      <c r="N892">
        <f t="shared" si="66"/>
        <v>51</v>
      </c>
      <c r="O892" s="19" t="str">
        <f t="shared" si="67"/>
        <v>1200k+</v>
      </c>
      <c r="P892" s="19" t="str">
        <f t="shared" si="68"/>
        <v>46-55</v>
      </c>
    </row>
    <row r="893" spans="1:16" x14ac:dyDescent="0.25">
      <c r="A893">
        <v>892</v>
      </c>
      <c r="B893" t="s">
        <v>9</v>
      </c>
      <c r="C893">
        <v>130000</v>
      </c>
      <c r="D893" t="s">
        <v>10</v>
      </c>
      <c r="E893" t="s">
        <v>16</v>
      </c>
      <c r="F893" t="s">
        <v>12</v>
      </c>
      <c r="G893" t="s">
        <v>12</v>
      </c>
      <c r="H893" t="s">
        <v>13</v>
      </c>
      <c r="I893">
        <v>22</v>
      </c>
      <c r="J893" t="str" cm="1">
        <f t="array" ref="J893">_xlfn.IFS(ISBLANK(C893),"FALTANTE",ABS((C893-$W$5)/$X$5)&gt;1.96,"ATÍPICO",ABS((C893-$W$5)/$X$5)&lt;=1.96,"NO ATÍPICO")</f>
        <v>NO ATÍPICO</v>
      </c>
      <c r="K893" t="str" cm="1">
        <f t="array" ref="K893">_xlfn.IFS(ISBLANK(I893),"FALTANTE",ABS((I893-$W$8)/$X$8)&gt;1.92,"ATÍPICO",ABS((I893-$W$8)/$X$8)&lt;=1.92,"NO ATÍPICO")</f>
        <v>NO ATÍPICO</v>
      </c>
      <c r="L893">
        <f t="shared" si="65"/>
        <v>130000</v>
      </c>
      <c r="M893" t="str">
        <f t="shared" si="69"/>
        <v>ASALARIADO</v>
      </c>
      <c r="N893">
        <f t="shared" si="66"/>
        <v>22</v>
      </c>
      <c r="O893" s="19" t="str">
        <f t="shared" si="67"/>
        <v>0–300k</v>
      </c>
      <c r="P893" s="19" t="str">
        <f t="shared" si="68"/>
        <v>18-25</v>
      </c>
    </row>
    <row r="894" spans="1:16" x14ac:dyDescent="0.25">
      <c r="A894">
        <v>893</v>
      </c>
      <c r="B894" t="s">
        <v>9</v>
      </c>
      <c r="C894">
        <v>575032.5</v>
      </c>
      <c r="D894" t="s">
        <v>10</v>
      </c>
      <c r="E894" t="s">
        <v>16</v>
      </c>
      <c r="F894" t="s">
        <v>12</v>
      </c>
      <c r="G894" t="s">
        <v>13</v>
      </c>
      <c r="H894" t="s">
        <v>13</v>
      </c>
      <c r="I894">
        <v>35</v>
      </c>
      <c r="J894" t="str" cm="1">
        <f t="array" ref="J894">_xlfn.IFS(ISBLANK(C894),"FALTANTE",ABS((C894-$W$5)/$X$5)&gt;1.96,"ATÍPICO",ABS((C894-$W$5)/$X$5)&lt;=1.96,"NO ATÍPICO")</f>
        <v>NO ATÍPICO</v>
      </c>
      <c r="K894" t="str" cm="1">
        <f t="array" ref="K894">_xlfn.IFS(ISBLANK(I894),"FALTANTE",ABS((I894-$W$8)/$X$8)&gt;1.92,"ATÍPICO",ABS((I894-$W$8)/$X$8)&lt;=1.92,"NO ATÍPICO")</f>
        <v>NO ATÍPICO</v>
      </c>
      <c r="L894">
        <f t="shared" si="65"/>
        <v>575032.5</v>
      </c>
      <c r="M894" t="str">
        <f t="shared" si="69"/>
        <v>ASALARIADO</v>
      </c>
      <c r="N894">
        <f t="shared" si="66"/>
        <v>35</v>
      </c>
      <c r="O894" s="19" t="str">
        <f t="shared" si="67"/>
        <v>300k–600k</v>
      </c>
      <c r="P894" s="19" t="str">
        <f t="shared" si="68"/>
        <v>26-35</v>
      </c>
    </row>
    <row r="895" spans="1:16" x14ac:dyDescent="0.25">
      <c r="A895">
        <v>894</v>
      </c>
      <c r="B895" t="s">
        <v>9</v>
      </c>
      <c r="C895">
        <v>423268.13</v>
      </c>
      <c r="D895" t="s">
        <v>10</v>
      </c>
      <c r="E895" t="s">
        <v>16</v>
      </c>
      <c r="F895" t="s">
        <v>12</v>
      </c>
      <c r="G895" t="s">
        <v>13</v>
      </c>
      <c r="H895" t="s">
        <v>13</v>
      </c>
      <c r="I895">
        <v>59</v>
      </c>
      <c r="J895" t="str" cm="1">
        <f t="array" ref="J895">_xlfn.IFS(ISBLANK(C895),"FALTANTE",ABS((C895-$W$5)/$X$5)&gt;1.96,"ATÍPICO",ABS((C895-$W$5)/$X$5)&lt;=1.96,"NO ATÍPICO")</f>
        <v>NO ATÍPICO</v>
      </c>
      <c r="K895" t="str" cm="1">
        <f t="array" ref="K895">_xlfn.IFS(ISBLANK(I895),"FALTANTE",ABS((I895-$W$8)/$X$8)&gt;1.92,"ATÍPICO",ABS((I895-$W$8)/$X$8)&lt;=1.92,"NO ATÍPICO")</f>
        <v>NO ATÍPICO</v>
      </c>
      <c r="L895">
        <f t="shared" si="65"/>
        <v>423268.13</v>
      </c>
      <c r="M895" t="str">
        <f t="shared" si="69"/>
        <v>ASALARIADO</v>
      </c>
      <c r="N895">
        <f t="shared" si="66"/>
        <v>59</v>
      </c>
      <c r="O895" s="19" t="str">
        <f t="shared" si="67"/>
        <v>300k–600k</v>
      </c>
      <c r="P895" s="19" t="str">
        <f t="shared" si="68"/>
        <v>56+</v>
      </c>
    </row>
    <row r="896" spans="1:16" x14ac:dyDescent="0.25">
      <c r="A896">
        <v>895</v>
      </c>
      <c r="B896" t="s">
        <v>9</v>
      </c>
      <c r="C896">
        <v>447541.9</v>
      </c>
      <c r="D896" t="s">
        <v>10</v>
      </c>
      <c r="E896" t="s">
        <v>16</v>
      </c>
      <c r="F896" t="s">
        <v>12</v>
      </c>
      <c r="G896" t="s">
        <v>12</v>
      </c>
      <c r="H896" t="s">
        <v>13</v>
      </c>
      <c r="I896">
        <v>31</v>
      </c>
      <c r="J896" t="str" cm="1">
        <f t="array" ref="J896">_xlfn.IFS(ISBLANK(C896),"FALTANTE",ABS((C896-$W$5)/$X$5)&gt;1.96,"ATÍPICO",ABS((C896-$W$5)/$X$5)&lt;=1.96,"NO ATÍPICO")</f>
        <v>NO ATÍPICO</v>
      </c>
      <c r="K896" t="str" cm="1">
        <f t="array" ref="K896">_xlfn.IFS(ISBLANK(I896),"FALTANTE",ABS((I896-$W$8)/$X$8)&gt;1.92,"ATÍPICO",ABS((I896-$W$8)/$X$8)&lt;=1.92,"NO ATÍPICO")</f>
        <v>NO ATÍPICO</v>
      </c>
      <c r="L896">
        <f t="shared" si="65"/>
        <v>447541.9</v>
      </c>
      <c r="M896" t="str">
        <f t="shared" si="69"/>
        <v>ASALARIADO</v>
      </c>
      <c r="N896">
        <f t="shared" si="66"/>
        <v>31</v>
      </c>
      <c r="O896" s="19" t="str">
        <f t="shared" si="67"/>
        <v>300k–600k</v>
      </c>
      <c r="P896" s="19" t="str">
        <f t="shared" si="68"/>
        <v>26-35</v>
      </c>
    </row>
    <row r="897" spans="1:16" x14ac:dyDescent="0.25">
      <c r="A897">
        <v>896</v>
      </c>
      <c r="B897" t="s">
        <v>9</v>
      </c>
      <c r="C897">
        <v>639148</v>
      </c>
      <c r="D897" t="s">
        <v>18</v>
      </c>
      <c r="E897" t="s">
        <v>16</v>
      </c>
      <c r="F897" t="s">
        <v>12</v>
      </c>
      <c r="G897" t="s">
        <v>12</v>
      </c>
      <c r="H897" t="s">
        <v>13</v>
      </c>
      <c r="I897">
        <v>70</v>
      </c>
      <c r="J897" t="str" cm="1">
        <f t="array" ref="J897">_xlfn.IFS(ISBLANK(C897),"FALTANTE",ABS((C897-$W$5)/$X$5)&gt;1.96,"ATÍPICO",ABS((C897-$W$5)/$X$5)&lt;=1.96,"NO ATÍPICO")</f>
        <v>NO ATÍPICO</v>
      </c>
      <c r="K897" t="str" cm="1">
        <f t="array" ref="K897">_xlfn.IFS(ISBLANK(I897),"FALTANTE",ABS((I897-$W$8)/$X$8)&gt;1.92,"ATÍPICO",ABS((I897-$W$8)/$X$8)&lt;=1.92,"NO ATÍPICO")</f>
        <v>ATÍPICO</v>
      </c>
      <c r="L897">
        <f t="shared" si="65"/>
        <v>639148</v>
      </c>
      <c r="M897" t="str">
        <f t="shared" si="69"/>
        <v>TRABAJADOR INDEPENDIENTE</v>
      </c>
      <c r="N897">
        <f t="shared" si="66"/>
        <v>70</v>
      </c>
      <c r="O897" s="19" t="str">
        <f t="shared" si="67"/>
        <v>600k–900k</v>
      </c>
      <c r="P897" s="19" t="str">
        <f t="shared" si="68"/>
        <v>56+</v>
      </c>
    </row>
    <row r="898" spans="1:16" x14ac:dyDescent="0.25">
      <c r="A898">
        <v>897</v>
      </c>
      <c r="B898" t="s">
        <v>15</v>
      </c>
      <c r="C898">
        <v>406742.56</v>
      </c>
      <c r="D898" t="s">
        <v>10</v>
      </c>
      <c r="E898" t="s">
        <v>16</v>
      </c>
      <c r="F898" t="s">
        <v>12</v>
      </c>
      <c r="G898" t="s">
        <v>13</v>
      </c>
      <c r="H898" t="s">
        <v>13</v>
      </c>
      <c r="I898">
        <v>28</v>
      </c>
      <c r="J898" t="str" cm="1">
        <f t="array" ref="J898">_xlfn.IFS(ISBLANK(C898),"FALTANTE",ABS((C898-$W$5)/$X$5)&gt;1.96,"ATÍPICO",ABS((C898-$W$5)/$X$5)&lt;=1.96,"NO ATÍPICO")</f>
        <v>NO ATÍPICO</v>
      </c>
      <c r="K898" t="str" cm="1">
        <f t="array" ref="K898">_xlfn.IFS(ISBLANK(I898),"FALTANTE",ABS((I898-$W$8)/$X$8)&gt;1.92,"ATÍPICO",ABS((I898-$W$8)/$X$8)&lt;=1.92,"NO ATÍPICO")</f>
        <v>NO ATÍPICO</v>
      </c>
      <c r="L898">
        <f t="shared" ref="L898:L961" si="70">C898</f>
        <v>406742.56</v>
      </c>
      <c r="M898" t="str">
        <f t="shared" si="69"/>
        <v>ASALARIADO</v>
      </c>
      <c r="N898">
        <f t="shared" ref="N898:N961" si="71">I898</f>
        <v>28</v>
      </c>
      <c r="O898" s="19" t="str">
        <f t="shared" ref="O898:O961" si="72">IF(L898&lt;=300000,"0–300k",IF(L898&lt;=600000,"300k–600k",IF(L898&lt;=900000,"600k–900k",IF(L898&lt;=1200000,"900k–1200k","1200k+"))))</f>
        <v>300k–600k</v>
      </c>
      <c r="P898" s="19" t="str">
        <f t="shared" ref="P898:P961" si="73">IF(N898 &lt;=25,"18-25", IF(N898&lt;=35,"26-35", IF(N898 &lt;=45,"36-45", IF(N898&lt;=55,"46-55","56+"))))</f>
        <v>26-35</v>
      </c>
    </row>
    <row r="899" spans="1:16" x14ac:dyDescent="0.25">
      <c r="A899">
        <v>898</v>
      </c>
      <c r="B899" t="s">
        <v>9</v>
      </c>
      <c r="C899">
        <v>356653</v>
      </c>
      <c r="D899" t="s">
        <v>18</v>
      </c>
      <c r="E899" t="s">
        <v>16</v>
      </c>
      <c r="F899" t="s">
        <v>12</v>
      </c>
      <c r="G899" t="s">
        <v>13</v>
      </c>
      <c r="H899" t="s">
        <v>12</v>
      </c>
      <c r="I899">
        <v>47</v>
      </c>
      <c r="J899" t="str" cm="1">
        <f t="array" ref="J899">_xlfn.IFS(ISBLANK(C899),"FALTANTE",ABS((C899-$W$5)/$X$5)&gt;1.96,"ATÍPICO",ABS((C899-$W$5)/$X$5)&lt;=1.96,"NO ATÍPICO")</f>
        <v>NO ATÍPICO</v>
      </c>
      <c r="K899" t="str" cm="1">
        <f t="array" ref="K899">_xlfn.IFS(ISBLANK(I899),"FALTANTE",ABS((I899-$W$8)/$X$8)&gt;1.92,"ATÍPICO",ABS((I899-$W$8)/$X$8)&lt;=1.92,"NO ATÍPICO")</f>
        <v>NO ATÍPICO</v>
      </c>
      <c r="L899">
        <f t="shared" si="70"/>
        <v>356653</v>
      </c>
      <c r="M899" t="str">
        <f t="shared" si="69"/>
        <v>TRABAJADOR INDEPENDIENTE</v>
      </c>
      <c r="N899">
        <f t="shared" si="71"/>
        <v>47</v>
      </c>
      <c r="O899" s="19" t="str">
        <f t="shared" si="72"/>
        <v>300k–600k</v>
      </c>
      <c r="P899" s="19" t="str">
        <f t="shared" si="73"/>
        <v>46-55</v>
      </c>
    </row>
    <row r="900" spans="1:16" x14ac:dyDescent="0.25">
      <c r="A900">
        <v>899</v>
      </c>
      <c r="B900" t="s">
        <v>9</v>
      </c>
      <c r="C900">
        <v>550000</v>
      </c>
      <c r="D900" t="s">
        <v>10</v>
      </c>
      <c r="E900" t="s">
        <v>16</v>
      </c>
      <c r="F900" t="s">
        <v>12</v>
      </c>
      <c r="G900" t="s">
        <v>13</v>
      </c>
      <c r="H900" t="s">
        <v>12</v>
      </c>
      <c r="I900">
        <v>25</v>
      </c>
      <c r="J900" t="str" cm="1">
        <f t="array" ref="J900">_xlfn.IFS(ISBLANK(C900),"FALTANTE",ABS((C900-$W$5)/$X$5)&gt;1.96,"ATÍPICO",ABS((C900-$W$5)/$X$5)&lt;=1.96,"NO ATÍPICO")</f>
        <v>NO ATÍPICO</v>
      </c>
      <c r="K900" t="str" cm="1">
        <f t="array" ref="K900">_xlfn.IFS(ISBLANK(I900),"FALTANTE",ABS((I900-$W$8)/$X$8)&gt;1.92,"ATÍPICO",ABS((I900-$W$8)/$X$8)&lt;=1.92,"NO ATÍPICO")</f>
        <v>NO ATÍPICO</v>
      </c>
      <c r="L900">
        <f t="shared" si="70"/>
        <v>550000</v>
      </c>
      <c r="M900" t="str">
        <f t="shared" ref="M900:M963" si="74">D900</f>
        <v>ASALARIADO</v>
      </c>
      <c r="N900">
        <f t="shared" si="71"/>
        <v>25</v>
      </c>
      <c r="O900" s="19" t="str">
        <f t="shared" si="72"/>
        <v>300k–600k</v>
      </c>
      <c r="P900" s="19" t="str">
        <f t="shared" si="73"/>
        <v>18-25</v>
      </c>
    </row>
    <row r="901" spans="1:16" x14ac:dyDescent="0.25">
      <c r="A901">
        <v>900</v>
      </c>
      <c r="B901" t="s">
        <v>9</v>
      </c>
      <c r="C901">
        <v>1813773.65</v>
      </c>
      <c r="D901" t="s">
        <v>10</v>
      </c>
      <c r="E901" t="s">
        <v>16</v>
      </c>
      <c r="F901" t="s">
        <v>12</v>
      </c>
      <c r="G901" t="s">
        <v>13</v>
      </c>
      <c r="H901" t="s">
        <v>13</v>
      </c>
      <c r="I901">
        <v>58</v>
      </c>
      <c r="J901" t="str" cm="1">
        <f t="array" ref="J901">_xlfn.IFS(ISBLANK(C901),"FALTANTE",ABS((C901-$W$5)/$X$5)&gt;1.96,"ATÍPICO",ABS((C901-$W$5)/$X$5)&lt;=1.96,"NO ATÍPICO")</f>
        <v>NO ATÍPICO</v>
      </c>
      <c r="K901" t="str" cm="1">
        <f t="array" ref="K901">_xlfn.IFS(ISBLANK(I901),"FALTANTE",ABS((I901-$W$8)/$X$8)&gt;1.92,"ATÍPICO",ABS((I901-$W$8)/$X$8)&lt;=1.92,"NO ATÍPICO")</f>
        <v>NO ATÍPICO</v>
      </c>
      <c r="L901">
        <f t="shared" si="70"/>
        <v>1813773.65</v>
      </c>
      <c r="M901" t="str">
        <f t="shared" si="74"/>
        <v>ASALARIADO</v>
      </c>
      <c r="N901">
        <f t="shared" si="71"/>
        <v>58</v>
      </c>
      <c r="O901" s="19" t="str">
        <f t="shared" si="72"/>
        <v>1200k+</v>
      </c>
      <c r="P901" s="19" t="str">
        <f t="shared" si="73"/>
        <v>56+</v>
      </c>
    </row>
    <row r="902" spans="1:16" x14ac:dyDescent="0.25">
      <c r="A902">
        <v>901</v>
      </c>
      <c r="B902" t="s">
        <v>15</v>
      </c>
      <c r="C902">
        <v>1807234</v>
      </c>
      <c r="D902" t="s">
        <v>10</v>
      </c>
      <c r="E902" t="s">
        <v>16</v>
      </c>
      <c r="F902" t="s">
        <v>12</v>
      </c>
      <c r="G902" t="s">
        <v>13</v>
      </c>
      <c r="H902" t="s">
        <v>13</v>
      </c>
      <c r="I902">
        <v>39</v>
      </c>
      <c r="J902" t="str" cm="1">
        <f t="array" ref="J902">_xlfn.IFS(ISBLANK(C902),"FALTANTE",ABS((C902-$W$5)/$X$5)&gt;1.96,"ATÍPICO",ABS((C902-$W$5)/$X$5)&lt;=1.96,"NO ATÍPICO")</f>
        <v>NO ATÍPICO</v>
      </c>
      <c r="K902" t="str" cm="1">
        <f t="array" ref="K902">_xlfn.IFS(ISBLANK(I902),"FALTANTE",ABS((I902-$W$8)/$X$8)&gt;1.92,"ATÍPICO",ABS((I902-$W$8)/$X$8)&lt;=1.92,"NO ATÍPICO")</f>
        <v>NO ATÍPICO</v>
      </c>
      <c r="L902">
        <f t="shared" si="70"/>
        <v>1807234</v>
      </c>
      <c r="M902" t="str">
        <f t="shared" si="74"/>
        <v>ASALARIADO</v>
      </c>
      <c r="N902">
        <f t="shared" si="71"/>
        <v>39</v>
      </c>
      <c r="O902" s="19" t="str">
        <f t="shared" si="72"/>
        <v>1200k+</v>
      </c>
      <c r="P902" s="19" t="str">
        <f t="shared" si="73"/>
        <v>36-45</v>
      </c>
    </row>
    <row r="903" spans="1:16" x14ac:dyDescent="0.25">
      <c r="A903">
        <v>902</v>
      </c>
      <c r="B903" t="s">
        <v>9</v>
      </c>
      <c r="C903">
        <v>450000</v>
      </c>
      <c r="D903" t="s">
        <v>10</v>
      </c>
      <c r="E903" t="s">
        <v>16</v>
      </c>
      <c r="F903" t="s">
        <v>12</v>
      </c>
      <c r="G903" t="s">
        <v>13</v>
      </c>
      <c r="H903" t="s">
        <v>13</v>
      </c>
      <c r="I903">
        <v>58</v>
      </c>
      <c r="J903" t="str" cm="1">
        <f t="array" ref="J903">_xlfn.IFS(ISBLANK(C903),"FALTANTE",ABS((C903-$W$5)/$X$5)&gt;1.96,"ATÍPICO",ABS((C903-$W$5)/$X$5)&lt;=1.96,"NO ATÍPICO")</f>
        <v>NO ATÍPICO</v>
      </c>
      <c r="K903" t="str" cm="1">
        <f t="array" ref="K903">_xlfn.IFS(ISBLANK(I903),"FALTANTE",ABS((I903-$W$8)/$X$8)&gt;1.92,"ATÍPICO",ABS((I903-$W$8)/$X$8)&lt;=1.92,"NO ATÍPICO")</f>
        <v>NO ATÍPICO</v>
      </c>
      <c r="L903">
        <f t="shared" si="70"/>
        <v>450000</v>
      </c>
      <c r="M903" t="str">
        <f t="shared" si="74"/>
        <v>ASALARIADO</v>
      </c>
      <c r="N903">
        <f t="shared" si="71"/>
        <v>58</v>
      </c>
      <c r="O903" s="19" t="str">
        <f t="shared" si="72"/>
        <v>300k–600k</v>
      </c>
      <c r="P903" s="19" t="str">
        <f t="shared" si="73"/>
        <v>56+</v>
      </c>
    </row>
    <row r="904" spans="1:16" x14ac:dyDescent="0.25">
      <c r="A904">
        <v>903</v>
      </c>
      <c r="B904" t="s">
        <v>15</v>
      </c>
      <c r="C904">
        <v>297046</v>
      </c>
      <c r="D904" t="s">
        <v>18</v>
      </c>
      <c r="E904" t="s">
        <v>16</v>
      </c>
      <c r="F904" t="s">
        <v>12</v>
      </c>
      <c r="G904" t="s">
        <v>13</v>
      </c>
      <c r="H904" t="s">
        <v>13</v>
      </c>
      <c r="I904">
        <v>34</v>
      </c>
      <c r="J904" t="str" cm="1">
        <f t="array" ref="J904">_xlfn.IFS(ISBLANK(C904),"FALTANTE",ABS((C904-$W$5)/$X$5)&gt;1.96,"ATÍPICO",ABS((C904-$W$5)/$X$5)&lt;=1.96,"NO ATÍPICO")</f>
        <v>NO ATÍPICO</v>
      </c>
      <c r="K904" t="str" cm="1">
        <f t="array" ref="K904">_xlfn.IFS(ISBLANK(I904),"FALTANTE",ABS((I904-$W$8)/$X$8)&gt;1.92,"ATÍPICO",ABS((I904-$W$8)/$X$8)&lt;=1.92,"NO ATÍPICO")</f>
        <v>NO ATÍPICO</v>
      </c>
      <c r="L904">
        <f t="shared" si="70"/>
        <v>297046</v>
      </c>
      <c r="M904" t="str">
        <f t="shared" si="74"/>
        <v>TRABAJADOR INDEPENDIENTE</v>
      </c>
      <c r="N904">
        <f t="shared" si="71"/>
        <v>34</v>
      </c>
      <c r="O904" s="19" t="str">
        <f t="shared" si="72"/>
        <v>0–300k</v>
      </c>
      <c r="P904" s="19" t="str">
        <f t="shared" si="73"/>
        <v>26-35</v>
      </c>
    </row>
    <row r="905" spans="1:16" x14ac:dyDescent="0.25">
      <c r="A905">
        <v>904</v>
      </c>
      <c r="B905" t="s">
        <v>9</v>
      </c>
      <c r="C905">
        <v>785016.42</v>
      </c>
      <c r="D905" t="s">
        <v>10</v>
      </c>
      <c r="E905" t="s">
        <v>16</v>
      </c>
      <c r="F905" t="s">
        <v>12</v>
      </c>
      <c r="G905" t="s">
        <v>13</v>
      </c>
      <c r="H905" t="s">
        <v>13</v>
      </c>
      <c r="I905">
        <v>22</v>
      </c>
      <c r="J905" t="str" cm="1">
        <f t="array" ref="J905">_xlfn.IFS(ISBLANK(C905),"FALTANTE",ABS((C905-$W$5)/$X$5)&gt;1.96,"ATÍPICO",ABS((C905-$W$5)/$X$5)&lt;=1.96,"NO ATÍPICO")</f>
        <v>NO ATÍPICO</v>
      </c>
      <c r="K905" t="str" cm="1">
        <f t="array" ref="K905">_xlfn.IFS(ISBLANK(I905),"FALTANTE",ABS((I905-$W$8)/$X$8)&gt;1.92,"ATÍPICO",ABS((I905-$W$8)/$X$8)&lt;=1.92,"NO ATÍPICO")</f>
        <v>NO ATÍPICO</v>
      </c>
      <c r="L905">
        <f t="shared" si="70"/>
        <v>785016.42</v>
      </c>
      <c r="M905" t="str">
        <f t="shared" si="74"/>
        <v>ASALARIADO</v>
      </c>
      <c r="N905">
        <f t="shared" si="71"/>
        <v>22</v>
      </c>
      <c r="O905" s="19" t="str">
        <f t="shared" si="72"/>
        <v>600k–900k</v>
      </c>
      <c r="P905" s="19" t="str">
        <f t="shared" si="73"/>
        <v>18-25</v>
      </c>
    </row>
    <row r="906" spans="1:16" x14ac:dyDescent="0.25">
      <c r="A906">
        <v>905</v>
      </c>
      <c r="B906" t="s">
        <v>9</v>
      </c>
      <c r="C906">
        <v>299065</v>
      </c>
      <c r="D906" t="s">
        <v>10</v>
      </c>
      <c r="E906" t="s">
        <v>16</v>
      </c>
      <c r="F906" t="s">
        <v>12</v>
      </c>
      <c r="G906" t="s">
        <v>13</v>
      </c>
      <c r="H906" t="s">
        <v>13</v>
      </c>
      <c r="I906">
        <v>36</v>
      </c>
      <c r="J906" t="str" cm="1">
        <f t="array" ref="J906">_xlfn.IFS(ISBLANK(C906),"FALTANTE",ABS((C906-$W$5)/$X$5)&gt;1.96,"ATÍPICO",ABS((C906-$W$5)/$X$5)&lt;=1.96,"NO ATÍPICO")</f>
        <v>NO ATÍPICO</v>
      </c>
      <c r="K906" t="str" cm="1">
        <f t="array" ref="K906">_xlfn.IFS(ISBLANK(I906),"FALTANTE",ABS((I906-$W$8)/$X$8)&gt;1.92,"ATÍPICO",ABS((I906-$W$8)/$X$8)&lt;=1.92,"NO ATÍPICO")</f>
        <v>NO ATÍPICO</v>
      </c>
      <c r="L906">
        <f t="shared" si="70"/>
        <v>299065</v>
      </c>
      <c r="M906" t="str">
        <f t="shared" si="74"/>
        <v>ASALARIADO</v>
      </c>
      <c r="N906">
        <f t="shared" si="71"/>
        <v>36</v>
      </c>
      <c r="O906" s="19" t="str">
        <f t="shared" si="72"/>
        <v>0–300k</v>
      </c>
      <c r="P906" s="19" t="str">
        <f t="shared" si="73"/>
        <v>36-45</v>
      </c>
    </row>
    <row r="907" spans="1:16" x14ac:dyDescent="0.25">
      <c r="A907">
        <v>906</v>
      </c>
      <c r="B907" t="s">
        <v>15</v>
      </c>
      <c r="C907">
        <v>338166</v>
      </c>
      <c r="D907" t="s">
        <v>18</v>
      </c>
      <c r="E907" t="s">
        <v>16</v>
      </c>
      <c r="F907" t="s">
        <v>12</v>
      </c>
      <c r="G907" t="s">
        <v>13</v>
      </c>
      <c r="H907" t="s">
        <v>12</v>
      </c>
      <c r="I907">
        <v>29</v>
      </c>
      <c r="J907" t="str" cm="1">
        <f t="array" ref="J907">_xlfn.IFS(ISBLANK(C907),"FALTANTE",ABS((C907-$W$5)/$X$5)&gt;1.96,"ATÍPICO",ABS((C907-$W$5)/$X$5)&lt;=1.96,"NO ATÍPICO")</f>
        <v>NO ATÍPICO</v>
      </c>
      <c r="K907" t="str" cm="1">
        <f t="array" ref="K907">_xlfn.IFS(ISBLANK(I907),"FALTANTE",ABS((I907-$W$8)/$X$8)&gt;1.92,"ATÍPICO",ABS((I907-$W$8)/$X$8)&lt;=1.92,"NO ATÍPICO")</f>
        <v>NO ATÍPICO</v>
      </c>
      <c r="L907">
        <f t="shared" si="70"/>
        <v>338166</v>
      </c>
      <c r="M907" t="str">
        <f t="shared" si="74"/>
        <v>TRABAJADOR INDEPENDIENTE</v>
      </c>
      <c r="N907">
        <f t="shared" si="71"/>
        <v>29</v>
      </c>
      <c r="O907" s="19" t="str">
        <f t="shared" si="72"/>
        <v>300k–600k</v>
      </c>
      <c r="P907" s="19" t="str">
        <f t="shared" si="73"/>
        <v>26-35</v>
      </c>
    </row>
    <row r="908" spans="1:16" x14ac:dyDescent="0.25">
      <c r="A908">
        <v>907</v>
      </c>
      <c r="B908" t="s">
        <v>15</v>
      </c>
      <c r="C908">
        <v>2623756.52</v>
      </c>
      <c r="D908" t="s">
        <v>10</v>
      </c>
      <c r="E908" t="s">
        <v>11</v>
      </c>
      <c r="F908" t="s">
        <v>12</v>
      </c>
      <c r="G908" t="s">
        <v>13</v>
      </c>
      <c r="H908" t="s">
        <v>13</v>
      </c>
      <c r="I908">
        <v>42</v>
      </c>
      <c r="J908" t="str" cm="1">
        <f t="array" ref="J908">_xlfn.IFS(ISBLANK(C908),"FALTANTE",ABS((C908-$W$5)/$X$5)&gt;1.96,"ATÍPICO",ABS((C908-$W$5)/$X$5)&lt;=1.96,"NO ATÍPICO")</f>
        <v>ATÍPICO</v>
      </c>
      <c r="K908" t="str" cm="1">
        <f t="array" ref="K908">_xlfn.IFS(ISBLANK(I908),"FALTANTE",ABS((I908-$W$8)/$X$8)&gt;1.92,"ATÍPICO",ABS((I908-$W$8)/$X$8)&lt;=1.92,"NO ATÍPICO")</f>
        <v>NO ATÍPICO</v>
      </c>
      <c r="L908">
        <f t="shared" si="70"/>
        <v>2623756.52</v>
      </c>
      <c r="M908" t="str">
        <f t="shared" si="74"/>
        <v>ASALARIADO</v>
      </c>
      <c r="N908">
        <f t="shared" si="71"/>
        <v>42</v>
      </c>
      <c r="O908" s="19" t="str">
        <f t="shared" si="72"/>
        <v>1200k+</v>
      </c>
      <c r="P908" s="19" t="str">
        <f t="shared" si="73"/>
        <v>36-45</v>
      </c>
    </row>
    <row r="909" spans="1:16" x14ac:dyDescent="0.25">
      <c r="A909">
        <v>908</v>
      </c>
      <c r="B909" t="s">
        <v>15</v>
      </c>
      <c r="C909">
        <v>2085526.5</v>
      </c>
      <c r="D909" t="s">
        <v>10</v>
      </c>
      <c r="E909" t="s">
        <v>11</v>
      </c>
      <c r="F909" t="s">
        <v>12</v>
      </c>
      <c r="G909" t="s">
        <v>13</v>
      </c>
      <c r="H909" t="s">
        <v>13</v>
      </c>
      <c r="I909">
        <v>56</v>
      </c>
      <c r="J909" t="str" cm="1">
        <f t="array" ref="J909">_xlfn.IFS(ISBLANK(C909),"FALTANTE",ABS((C909-$W$5)/$X$5)&gt;1.96,"ATÍPICO",ABS((C909-$W$5)/$X$5)&lt;=1.96,"NO ATÍPICO")</f>
        <v>NO ATÍPICO</v>
      </c>
      <c r="K909" t="str" cm="1">
        <f t="array" ref="K909">_xlfn.IFS(ISBLANK(I909),"FALTANTE",ABS((I909-$W$8)/$X$8)&gt;1.92,"ATÍPICO",ABS((I909-$W$8)/$X$8)&lt;=1.92,"NO ATÍPICO")</f>
        <v>NO ATÍPICO</v>
      </c>
      <c r="L909">
        <f t="shared" si="70"/>
        <v>2085526.5</v>
      </c>
      <c r="M909" t="str">
        <f t="shared" si="74"/>
        <v>ASALARIADO</v>
      </c>
      <c r="N909">
        <f t="shared" si="71"/>
        <v>56</v>
      </c>
      <c r="O909" s="19" t="str">
        <f t="shared" si="72"/>
        <v>1200k+</v>
      </c>
      <c r="P909" s="19" t="str">
        <f t="shared" si="73"/>
        <v>56+</v>
      </c>
    </row>
    <row r="910" spans="1:16" x14ac:dyDescent="0.25">
      <c r="A910">
        <v>909</v>
      </c>
      <c r="B910" t="s">
        <v>9</v>
      </c>
      <c r="C910">
        <v>930427.8</v>
      </c>
      <c r="D910" t="s">
        <v>10</v>
      </c>
      <c r="E910" t="s">
        <v>16</v>
      </c>
      <c r="F910" t="s">
        <v>12</v>
      </c>
      <c r="G910" t="s">
        <v>13</v>
      </c>
      <c r="H910" t="s">
        <v>13</v>
      </c>
      <c r="I910">
        <v>33</v>
      </c>
      <c r="J910" t="str" cm="1">
        <f t="array" ref="J910">_xlfn.IFS(ISBLANK(C910),"FALTANTE",ABS((C910-$W$5)/$X$5)&gt;1.96,"ATÍPICO",ABS((C910-$W$5)/$X$5)&lt;=1.96,"NO ATÍPICO")</f>
        <v>NO ATÍPICO</v>
      </c>
      <c r="K910" t="str" cm="1">
        <f t="array" ref="K910">_xlfn.IFS(ISBLANK(I910),"FALTANTE",ABS((I910-$W$8)/$X$8)&gt;1.92,"ATÍPICO",ABS((I910-$W$8)/$X$8)&lt;=1.92,"NO ATÍPICO")</f>
        <v>NO ATÍPICO</v>
      </c>
      <c r="L910">
        <f t="shared" si="70"/>
        <v>930427.8</v>
      </c>
      <c r="M910" t="str">
        <f t="shared" si="74"/>
        <v>ASALARIADO</v>
      </c>
      <c r="N910">
        <f t="shared" si="71"/>
        <v>33</v>
      </c>
      <c r="O910" s="19" t="str">
        <f t="shared" si="72"/>
        <v>900k–1200k</v>
      </c>
      <c r="P910" s="19" t="str">
        <f t="shared" si="73"/>
        <v>26-35</v>
      </c>
    </row>
    <row r="911" spans="1:16" x14ac:dyDescent="0.25">
      <c r="A911">
        <v>910</v>
      </c>
      <c r="B911" t="s">
        <v>9</v>
      </c>
      <c r="C911">
        <v>150000</v>
      </c>
      <c r="D911" t="s">
        <v>10</v>
      </c>
      <c r="E911" t="s">
        <v>16</v>
      </c>
      <c r="F911" t="s">
        <v>12</v>
      </c>
      <c r="G911" t="s">
        <v>13</v>
      </c>
      <c r="H911" t="s">
        <v>13</v>
      </c>
      <c r="I911">
        <v>43</v>
      </c>
      <c r="J911" t="str" cm="1">
        <f t="array" ref="J911">_xlfn.IFS(ISBLANK(C911),"FALTANTE",ABS((C911-$W$5)/$X$5)&gt;1.96,"ATÍPICO",ABS((C911-$W$5)/$X$5)&lt;=1.96,"NO ATÍPICO")</f>
        <v>NO ATÍPICO</v>
      </c>
      <c r="K911" t="str" cm="1">
        <f t="array" ref="K911">_xlfn.IFS(ISBLANK(I911),"FALTANTE",ABS((I911-$W$8)/$X$8)&gt;1.92,"ATÍPICO",ABS((I911-$W$8)/$X$8)&lt;=1.92,"NO ATÍPICO")</f>
        <v>NO ATÍPICO</v>
      </c>
      <c r="L911">
        <f t="shared" si="70"/>
        <v>150000</v>
      </c>
      <c r="M911" t="str">
        <f t="shared" si="74"/>
        <v>ASALARIADO</v>
      </c>
      <c r="N911">
        <f t="shared" si="71"/>
        <v>43</v>
      </c>
      <c r="O911" s="19" t="str">
        <f t="shared" si="72"/>
        <v>0–300k</v>
      </c>
      <c r="P911" s="19" t="str">
        <f t="shared" si="73"/>
        <v>36-45</v>
      </c>
    </row>
    <row r="912" spans="1:16" x14ac:dyDescent="0.25">
      <c r="A912">
        <v>911</v>
      </c>
      <c r="B912" t="s">
        <v>9</v>
      </c>
      <c r="C912">
        <v>299647</v>
      </c>
      <c r="D912" t="s">
        <v>17</v>
      </c>
      <c r="E912" t="s">
        <v>16</v>
      </c>
      <c r="F912" t="s">
        <v>12</v>
      </c>
      <c r="G912" t="s">
        <v>13</v>
      </c>
      <c r="H912" t="s">
        <v>13</v>
      </c>
      <c r="I912">
        <v>75</v>
      </c>
      <c r="J912" t="str" cm="1">
        <f t="array" ref="J912">_xlfn.IFS(ISBLANK(C912),"FALTANTE",ABS((C912-$W$5)/$X$5)&gt;1.96,"ATÍPICO",ABS((C912-$W$5)/$X$5)&lt;=1.96,"NO ATÍPICO")</f>
        <v>NO ATÍPICO</v>
      </c>
      <c r="K912" t="str" cm="1">
        <f t="array" ref="K912">_xlfn.IFS(ISBLANK(I912),"FALTANTE",ABS((I912-$W$8)/$X$8)&gt;1.92,"ATÍPICO",ABS((I912-$W$8)/$X$8)&lt;=1.92,"NO ATÍPICO")</f>
        <v>ATÍPICO</v>
      </c>
      <c r="L912">
        <f t="shared" si="70"/>
        <v>299647</v>
      </c>
      <c r="M912" t="str">
        <f t="shared" si="74"/>
        <v>ASEGURADO VOLUNTARIO</v>
      </c>
      <c r="N912">
        <f t="shared" si="71"/>
        <v>75</v>
      </c>
      <c r="O912" s="19" t="str">
        <f t="shared" si="72"/>
        <v>0–300k</v>
      </c>
      <c r="P912" s="19" t="str">
        <f t="shared" si="73"/>
        <v>56+</v>
      </c>
    </row>
    <row r="913" spans="1:16" x14ac:dyDescent="0.25">
      <c r="A913">
        <v>912</v>
      </c>
      <c r="B913" t="s">
        <v>9</v>
      </c>
      <c r="C913">
        <v>385548</v>
      </c>
      <c r="D913" t="s">
        <v>18</v>
      </c>
      <c r="E913" t="s">
        <v>16</v>
      </c>
      <c r="F913" t="s">
        <v>12</v>
      </c>
      <c r="G913" t="s">
        <v>13</v>
      </c>
      <c r="H913" t="s">
        <v>12</v>
      </c>
      <c r="I913">
        <v>66</v>
      </c>
      <c r="J913" t="str" cm="1">
        <f t="array" ref="J913">_xlfn.IFS(ISBLANK(C913),"FALTANTE",ABS((C913-$W$5)/$X$5)&gt;1.96,"ATÍPICO",ABS((C913-$W$5)/$X$5)&lt;=1.96,"NO ATÍPICO")</f>
        <v>NO ATÍPICO</v>
      </c>
      <c r="K913" t="str" cm="1">
        <f t="array" ref="K913">_xlfn.IFS(ISBLANK(I913),"FALTANTE",ABS((I913-$W$8)/$X$8)&gt;1.92,"ATÍPICO",ABS((I913-$W$8)/$X$8)&lt;=1.92,"NO ATÍPICO")</f>
        <v>NO ATÍPICO</v>
      </c>
      <c r="L913">
        <f t="shared" si="70"/>
        <v>385548</v>
      </c>
      <c r="M913" t="str">
        <f t="shared" si="74"/>
        <v>TRABAJADOR INDEPENDIENTE</v>
      </c>
      <c r="N913">
        <f t="shared" si="71"/>
        <v>66</v>
      </c>
      <c r="O913" s="19" t="str">
        <f t="shared" si="72"/>
        <v>300k–600k</v>
      </c>
      <c r="P913" s="19" t="str">
        <f t="shared" si="73"/>
        <v>56+</v>
      </c>
    </row>
    <row r="914" spans="1:16" x14ac:dyDescent="0.25">
      <c r="A914">
        <v>913</v>
      </c>
      <c r="B914" t="s">
        <v>9</v>
      </c>
      <c r="C914">
        <v>2894048.26</v>
      </c>
      <c r="D914" t="s">
        <v>14</v>
      </c>
      <c r="E914" t="s">
        <v>11</v>
      </c>
      <c r="F914" t="s">
        <v>12</v>
      </c>
      <c r="G914" t="s">
        <v>13</v>
      </c>
      <c r="H914" t="s">
        <v>13</v>
      </c>
      <c r="I914">
        <v>63</v>
      </c>
      <c r="J914" t="str" cm="1">
        <f t="array" ref="J914">_xlfn.IFS(ISBLANK(C914),"FALTANTE",ABS((C914-$W$5)/$X$5)&gt;1.96,"ATÍPICO",ABS((C914-$W$5)/$X$5)&lt;=1.96,"NO ATÍPICO")</f>
        <v>ATÍPICO</v>
      </c>
      <c r="K914" t="str" cm="1">
        <f t="array" ref="K914">_xlfn.IFS(ISBLANK(I914),"FALTANTE",ABS((I914-$W$8)/$X$8)&gt;1.92,"ATÍPICO",ABS((I914-$W$8)/$X$8)&lt;=1.92,"NO ATÍPICO")</f>
        <v>NO ATÍPICO</v>
      </c>
      <c r="L914">
        <f t="shared" si="70"/>
        <v>2894048.26</v>
      </c>
      <c r="M914" t="str">
        <f t="shared" si="74"/>
        <v>PENSIONADOS EN SU PROPIO SISTEMA</v>
      </c>
      <c r="N914">
        <f t="shared" si="71"/>
        <v>63</v>
      </c>
      <c r="O914" s="19" t="str">
        <f t="shared" si="72"/>
        <v>1200k+</v>
      </c>
      <c r="P914" s="19" t="str">
        <f t="shared" si="73"/>
        <v>56+</v>
      </c>
    </row>
    <row r="915" spans="1:16" x14ac:dyDescent="0.25">
      <c r="A915">
        <v>914</v>
      </c>
      <c r="B915" t="s">
        <v>15</v>
      </c>
      <c r="C915">
        <v>297046</v>
      </c>
      <c r="D915" t="s">
        <v>17</v>
      </c>
      <c r="E915" t="s">
        <v>16</v>
      </c>
      <c r="F915" t="s">
        <v>12</v>
      </c>
      <c r="G915" t="s">
        <v>13</v>
      </c>
      <c r="H915" t="s">
        <v>12</v>
      </c>
      <c r="I915">
        <v>60</v>
      </c>
      <c r="J915" t="str" cm="1">
        <f t="array" ref="J915">_xlfn.IFS(ISBLANK(C915),"FALTANTE",ABS((C915-$W$5)/$X$5)&gt;1.96,"ATÍPICO",ABS((C915-$W$5)/$X$5)&lt;=1.96,"NO ATÍPICO")</f>
        <v>NO ATÍPICO</v>
      </c>
      <c r="K915" t="str" cm="1">
        <f t="array" ref="K915">_xlfn.IFS(ISBLANK(I915),"FALTANTE",ABS((I915-$W$8)/$X$8)&gt;1.92,"ATÍPICO",ABS((I915-$W$8)/$X$8)&lt;=1.92,"NO ATÍPICO")</f>
        <v>NO ATÍPICO</v>
      </c>
      <c r="L915">
        <f t="shared" si="70"/>
        <v>297046</v>
      </c>
      <c r="M915" t="str">
        <f t="shared" si="74"/>
        <v>ASEGURADO VOLUNTARIO</v>
      </c>
      <c r="N915">
        <f t="shared" si="71"/>
        <v>60</v>
      </c>
      <c r="O915" s="19" t="str">
        <f t="shared" si="72"/>
        <v>0–300k</v>
      </c>
      <c r="P915" s="19" t="str">
        <f t="shared" si="73"/>
        <v>56+</v>
      </c>
    </row>
    <row r="916" spans="1:16" x14ac:dyDescent="0.25">
      <c r="A916">
        <v>915</v>
      </c>
      <c r="B916" t="s">
        <v>15</v>
      </c>
      <c r="C916">
        <v>451350</v>
      </c>
      <c r="D916" t="s">
        <v>10</v>
      </c>
      <c r="E916" t="s">
        <v>16</v>
      </c>
      <c r="F916" t="s">
        <v>12</v>
      </c>
      <c r="G916" t="s">
        <v>13</v>
      </c>
      <c r="H916" t="s">
        <v>13</v>
      </c>
      <c r="I916">
        <v>25</v>
      </c>
      <c r="J916" t="str" cm="1">
        <f t="array" ref="J916">_xlfn.IFS(ISBLANK(C916),"FALTANTE",ABS((C916-$W$5)/$X$5)&gt;1.96,"ATÍPICO",ABS((C916-$W$5)/$X$5)&lt;=1.96,"NO ATÍPICO")</f>
        <v>NO ATÍPICO</v>
      </c>
      <c r="K916" t="str" cm="1">
        <f t="array" ref="K916">_xlfn.IFS(ISBLANK(I916),"FALTANTE",ABS((I916-$W$8)/$X$8)&gt;1.92,"ATÍPICO",ABS((I916-$W$8)/$X$8)&lt;=1.92,"NO ATÍPICO")</f>
        <v>NO ATÍPICO</v>
      </c>
      <c r="L916">
        <f t="shared" si="70"/>
        <v>451350</v>
      </c>
      <c r="M916" t="str">
        <f t="shared" si="74"/>
        <v>ASALARIADO</v>
      </c>
      <c r="N916">
        <f t="shared" si="71"/>
        <v>25</v>
      </c>
      <c r="O916" s="19" t="str">
        <f t="shared" si="72"/>
        <v>300k–600k</v>
      </c>
      <c r="P916" s="19" t="str">
        <f t="shared" si="73"/>
        <v>18-25</v>
      </c>
    </row>
    <row r="917" spans="1:16" x14ac:dyDescent="0.25">
      <c r="A917">
        <v>916</v>
      </c>
      <c r="B917" t="s">
        <v>15</v>
      </c>
      <c r="C917">
        <v>639148</v>
      </c>
      <c r="D917" t="s">
        <v>18</v>
      </c>
      <c r="E917" t="s">
        <v>16</v>
      </c>
      <c r="F917" t="s">
        <v>12</v>
      </c>
      <c r="G917" t="s">
        <v>12</v>
      </c>
      <c r="H917" t="s">
        <v>13</v>
      </c>
      <c r="I917">
        <v>66</v>
      </c>
      <c r="J917" t="str" cm="1">
        <f t="array" ref="J917">_xlfn.IFS(ISBLANK(C917),"FALTANTE",ABS((C917-$W$5)/$X$5)&gt;1.96,"ATÍPICO",ABS((C917-$W$5)/$X$5)&lt;=1.96,"NO ATÍPICO")</f>
        <v>NO ATÍPICO</v>
      </c>
      <c r="K917" t="str" cm="1">
        <f t="array" ref="K917">_xlfn.IFS(ISBLANK(I917),"FALTANTE",ABS((I917-$W$8)/$X$8)&gt;1.92,"ATÍPICO",ABS((I917-$W$8)/$X$8)&lt;=1.92,"NO ATÍPICO")</f>
        <v>NO ATÍPICO</v>
      </c>
      <c r="L917">
        <f t="shared" si="70"/>
        <v>639148</v>
      </c>
      <c r="M917" t="str">
        <f t="shared" si="74"/>
        <v>TRABAJADOR INDEPENDIENTE</v>
      </c>
      <c r="N917">
        <f t="shared" si="71"/>
        <v>66</v>
      </c>
      <c r="O917" s="19" t="str">
        <f t="shared" si="72"/>
        <v>600k–900k</v>
      </c>
      <c r="P917" s="19" t="str">
        <f t="shared" si="73"/>
        <v>56+</v>
      </c>
    </row>
    <row r="918" spans="1:16" x14ac:dyDescent="0.25">
      <c r="A918">
        <v>917</v>
      </c>
      <c r="B918" t="s">
        <v>9</v>
      </c>
      <c r="C918">
        <v>1529085.26</v>
      </c>
      <c r="D918" t="s">
        <v>10</v>
      </c>
      <c r="E918" t="s">
        <v>11</v>
      </c>
      <c r="F918" t="s">
        <v>12</v>
      </c>
      <c r="G918" t="s">
        <v>13</v>
      </c>
      <c r="H918" t="s">
        <v>13</v>
      </c>
      <c r="I918">
        <v>28</v>
      </c>
      <c r="J918" t="str" cm="1">
        <f t="array" ref="J918">_xlfn.IFS(ISBLANK(C918),"FALTANTE",ABS((C918-$W$5)/$X$5)&gt;1.96,"ATÍPICO",ABS((C918-$W$5)/$X$5)&lt;=1.96,"NO ATÍPICO")</f>
        <v>NO ATÍPICO</v>
      </c>
      <c r="K918" t="str" cm="1">
        <f t="array" ref="K918">_xlfn.IFS(ISBLANK(I918),"FALTANTE",ABS((I918-$W$8)/$X$8)&gt;1.92,"ATÍPICO",ABS((I918-$W$8)/$X$8)&lt;=1.92,"NO ATÍPICO")</f>
        <v>NO ATÍPICO</v>
      </c>
      <c r="L918">
        <f t="shared" si="70"/>
        <v>1529085.26</v>
      </c>
      <c r="M918" t="str">
        <f t="shared" si="74"/>
        <v>ASALARIADO</v>
      </c>
      <c r="N918">
        <f t="shared" si="71"/>
        <v>28</v>
      </c>
      <c r="O918" s="19" t="str">
        <f t="shared" si="72"/>
        <v>1200k+</v>
      </c>
      <c r="P918" s="19" t="str">
        <f t="shared" si="73"/>
        <v>26-35</v>
      </c>
    </row>
    <row r="919" spans="1:16" x14ac:dyDescent="0.25">
      <c r="A919">
        <v>918</v>
      </c>
      <c r="B919" t="s">
        <v>9</v>
      </c>
      <c r="C919">
        <v>230212.72</v>
      </c>
      <c r="D919" t="s">
        <v>10</v>
      </c>
      <c r="E919" t="s">
        <v>16</v>
      </c>
      <c r="F919" t="s">
        <v>12</v>
      </c>
      <c r="G919" t="s">
        <v>13</v>
      </c>
      <c r="H919" t="s">
        <v>13</v>
      </c>
      <c r="I919">
        <v>20</v>
      </c>
      <c r="J919" t="str" cm="1">
        <f t="array" ref="J919">_xlfn.IFS(ISBLANK(C919),"FALTANTE",ABS((C919-$W$5)/$X$5)&gt;1.96,"ATÍPICO",ABS((C919-$W$5)/$X$5)&lt;=1.96,"NO ATÍPICO")</f>
        <v>NO ATÍPICO</v>
      </c>
      <c r="K919" t="str" cm="1">
        <f t="array" ref="K919">_xlfn.IFS(ISBLANK(I919),"FALTANTE",ABS((I919-$W$8)/$X$8)&gt;1.92,"ATÍPICO",ABS((I919-$W$8)/$X$8)&lt;=1.92,"NO ATÍPICO")</f>
        <v>NO ATÍPICO</v>
      </c>
      <c r="L919">
        <f t="shared" si="70"/>
        <v>230212.72</v>
      </c>
      <c r="M919" t="str">
        <f t="shared" si="74"/>
        <v>ASALARIADO</v>
      </c>
      <c r="N919">
        <f t="shared" si="71"/>
        <v>20</v>
      </c>
      <c r="O919" s="19" t="str">
        <f t="shared" si="72"/>
        <v>0–300k</v>
      </c>
      <c r="P919" s="19" t="str">
        <f t="shared" si="73"/>
        <v>18-25</v>
      </c>
    </row>
    <row r="920" spans="1:16" x14ac:dyDescent="0.25">
      <c r="A920">
        <v>919</v>
      </c>
      <c r="B920" t="s">
        <v>9</v>
      </c>
      <c r="C920">
        <v>620245</v>
      </c>
      <c r="D920" t="s">
        <v>18</v>
      </c>
      <c r="E920" t="s">
        <v>16</v>
      </c>
      <c r="F920" t="s">
        <v>12</v>
      </c>
      <c r="G920" t="s">
        <v>13</v>
      </c>
      <c r="H920" t="s">
        <v>12</v>
      </c>
      <c r="I920">
        <v>37</v>
      </c>
      <c r="J920" t="str" cm="1">
        <f t="array" ref="J920">_xlfn.IFS(ISBLANK(C920),"FALTANTE",ABS((C920-$W$5)/$X$5)&gt;1.96,"ATÍPICO",ABS((C920-$W$5)/$X$5)&lt;=1.96,"NO ATÍPICO")</f>
        <v>NO ATÍPICO</v>
      </c>
      <c r="K920" t="str" cm="1">
        <f t="array" ref="K920">_xlfn.IFS(ISBLANK(I920),"FALTANTE",ABS((I920-$W$8)/$X$8)&gt;1.92,"ATÍPICO",ABS((I920-$W$8)/$X$8)&lt;=1.92,"NO ATÍPICO")</f>
        <v>NO ATÍPICO</v>
      </c>
      <c r="L920">
        <f t="shared" si="70"/>
        <v>620245</v>
      </c>
      <c r="M920" t="str">
        <f t="shared" si="74"/>
        <v>TRABAJADOR INDEPENDIENTE</v>
      </c>
      <c r="N920">
        <f t="shared" si="71"/>
        <v>37</v>
      </c>
      <c r="O920" s="19" t="str">
        <f t="shared" si="72"/>
        <v>600k–900k</v>
      </c>
      <c r="P920" s="19" t="str">
        <f t="shared" si="73"/>
        <v>36-45</v>
      </c>
    </row>
    <row r="921" spans="1:16" x14ac:dyDescent="0.25">
      <c r="A921">
        <v>920</v>
      </c>
      <c r="B921" t="s">
        <v>9</v>
      </c>
      <c r="C921">
        <v>353240</v>
      </c>
      <c r="D921" t="s">
        <v>10</v>
      </c>
      <c r="E921" t="s">
        <v>11</v>
      </c>
      <c r="F921" t="s">
        <v>12</v>
      </c>
      <c r="G921" t="s">
        <v>13</v>
      </c>
      <c r="H921" t="s">
        <v>13</v>
      </c>
      <c r="I921">
        <v>35</v>
      </c>
      <c r="J921" t="str" cm="1">
        <f t="array" ref="J921">_xlfn.IFS(ISBLANK(C921),"FALTANTE",ABS((C921-$W$5)/$X$5)&gt;1.96,"ATÍPICO",ABS((C921-$W$5)/$X$5)&lt;=1.96,"NO ATÍPICO")</f>
        <v>NO ATÍPICO</v>
      </c>
      <c r="K921" t="str" cm="1">
        <f t="array" ref="K921">_xlfn.IFS(ISBLANK(I921),"FALTANTE",ABS((I921-$W$8)/$X$8)&gt;1.92,"ATÍPICO",ABS((I921-$W$8)/$X$8)&lt;=1.92,"NO ATÍPICO")</f>
        <v>NO ATÍPICO</v>
      </c>
      <c r="L921">
        <f t="shared" si="70"/>
        <v>353240</v>
      </c>
      <c r="M921" t="str">
        <f t="shared" si="74"/>
        <v>ASALARIADO</v>
      </c>
      <c r="N921">
        <f t="shared" si="71"/>
        <v>35</v>
      </c>
      <c r="O921" s="19" t="str">
        <f t="shared" si="72"/>
        <v>300k–600k</v>
      </c>
      <c r="P921" s="19" t="str">
        <f t="shared" si="73"/>
        <v>26-35</v>
      </c>
    </row>
    <row r="922" spans="1:16" x14ac:dyDescent="0.25">
      <c r="A922">
        <v>921</v>
      </c>
      <c r="B922" t="s">
        <v>9</v>
      </c>
      <c r="C922">
        <v>523001.59999999998</v>
      </c>
      <c r="D922" t="s">
        <v>10</v>
      </c>
      <c r="E922" t="s">
        <v>16</v>
      </c>
      <c r="F922" t="s">
        <v>12</v>
      </c>
      <c r="G922" t="s">
        <v>13</v>
      </c>
      <c r="H922" t="s">
        <v>13</v>
      </c>
      <c r="I922">
        <v>38</v>
      </c>
      <c r="J922" t="str" cm="1">
        <f t="array" ref="J922">_xlfn.IFS(ISBLANK(C922),"FALTANTE",ABS((C922-$W$5)/$X$5)&gt;1.96,"ATÍPICO",ABS((C922-$W$5)/$X$5)&lt;=1.96,"NO ATÍPICO")</f>
        <v>NO ATÍPICO</v>
      </c>
      <c r="K922" t="str" cm="1">
        <f t="array" ref="K922">_xlfn.IFS(ISBLANK(I922),"FALTANTE",ABS((I922-$W$8)/$X$8)&gt;1.92,"ATÍPICO",ABS((I922-$W$8)/$X$8)&lt;=1.92,"NO ATÍPICO")</f>
        <v>NO ATÍPICO</v>
      </c>
      <c r="L922">
        <f t="shared" si="70"/>
        <v>523001.59999999998</v>
      </c>
      <c r="M922" t="str">
        <f t="shared" si="74"/>
        <v>ASALARIADO</v>
      </c>
      <c r="N922">
        <f t="shared" si="71"/>
        <v>38</v>
      </c>
      <c r="O922" s="19" t="str">
        <f t="shared" si="72"/>
        <v>300k–600k</v>
      </c>
      <c r="P922" s="19" t="str">
        <f t="shared" si="73"/>
        <v>36-45</v>
      </c>
    </row>
    <row r="923" spans="1:16" x14ac:dyDescent="0.25">
      <c r="A923">
        <v>922</v>
      </c>
      <c r="B923" t="s">
        <v>9</v>
      </c>
      <c r="C923">
        <v>477172.1</v>
      </c>
      <c r="D923" t="s">
        <v>10</v>
      </c>
      <c r="E923" t="s">
        <v>16</v>
      </c>
      <c r="F923" t="s">
        <v>12</v>
      </c>
      <c r="G923" t="s">
        <v>13</v>
      </c>
      <c r="H923" t="s">
        <v>13</v>
      </c>
      <c r="I923">
        <v>20</v>
      </c>
      <c r="J923" t="str" cm="1">
        <f t="array" ref="J923">_xlfn.IFS(ISBLANK(C923),"FALTANTE",ABS((C923-$W$5)/$X$5)&gt;1.96,"ATÍPICO",ABS((C923-$W$5)/$X$5)&lt;=1.96,"NO ATÍPICO")</f>
        <v>NO ATÍPICO</v>
      </c>
      <c r="K923" t="str" cm="1">
        <f t="array" ref="K923">_xlfn.IFS(ISBLANK(I923),"FALTANTE",ABS((I923-$W$8)/$X$8)&gt;1.92,"ATÍPICO",ABS((I923-$W$8)/$X$8)&lt;=1.92,"NO ATÍPICO")</f>
        <v>NO ATÍPICO</v>
      </c>
      <c r="L923">
        <f t="shared" si="70"/>
        <v>477172.1</v>
      </c>
      <c r="M923" t="str">
        <f t="shared" si="74"/>
        <v>ASALARIADO</v>
      </c>
      <c r="N923">
        <f t="shared" si="71"/>
        <v>20</v>
      </c>
      <c r="O923" s="19" t="str">
        <f t="shared" si="72"/>
        <v>300k–600k</v>
      </c>
      <c r="P923" s="19" t="str">
        <f t="shared" si="73"/>
        <v>18-25</v>
      </c>
    </row>
    <row r="924" spans="1:16" x14ac:dyDescent="0.25">
      <c r="A924">
        <v>923</v>
      </c>
      <c r="B924" t="s">
        <v>9</v>
      </c>
      <c r="C924">
        <v>297046</v>
      </c>
      <c r="D924" t="s">
        <v>18</v>
      </c>
      <c r="E924" t="s">
        <v>16</v>
      </c>
      <c r="F924" t="s">
        <v>12</v>
      </c>
      <c r="G924" t="s">
        <v>13</v>
      </c>
      <c r="H924" t="s">
        <v>13</v>
      </c>
      <c r="I924">
        <v>35</v>
      </c>
      <c r="J924" t="str" cm="1">
        <f t="array" ref="J924">_xlfn.IFS(ISBLANK(C924),"FALTANTE",ABS((C924-$W$5)/$X$5)&gt;1.96,"ATÍPICO",ABS((C924-$W$5)/$X$5)&lt;=1.96,"NO ATÍPICO")</f>
        <v>NO ATÍPICO</v>
      </c>
      <c r="K924" t="str" cm="1">
        <f t="array" ref="K924">_xlfn.IFS(ISBLANK(I924),"FALTANTE",ABS((I924-$W$8)/$X$8)&gt;1.92,"ATÍPICO",ABS((I924-$W$8)/$X$8)&lt;=1.92,"NO ATÍPICO")</f>
        <v>NO ATÍPICO</v>
      </c>
      <c r="L924">
        <f t="shared" si="70"/>
        <v>297046</v>
      </c>
      <c r="M924" t="str">
        <f t="shared" si="74"/>
        <v>TRABAJADOR INDEPENDIENTE</v>
      </c>
      <c r="N924">
        <f t="shared" si="71"/>
        <v>35</v>
      </c>
      <c r="O924" s="19" t="str">
        <f t="shared" si="72"/>
        <v>0–300k</v>
      </c>
      <c r="P924" s="19" t="str">
        <f t="shared" si="73"/>
        <v>26-35</v>
      </c>
    </row>
    <row r="925" spans="1:16" x14ac:dyDescent="0.25">
      <c r="A925">
        <v>924</v>
      </c>
      <c r="B925" t="s">
        <v>9</v>
      </c>
      <c r="C925">
        <v>458557</v>
      </c>
      <c r="D925" t="s">
        <v>18</v>
      </c>
      <c r="E925" t="s">
        <v>16</v>
      </c>
      <c r="F925" t="s">
        <v>12</v>
      </c>
      <c r="G925" t="s">
        <v>12</v>
      </c>
      <c r="H925" t="s">
        <v>12</v>
      </c>
      <c r="I925">
        <v>41</v>
      </c>
      <c r="J925" t="str" cm="1">
        <f t="array" ref="J925">_xlfn.IFS(ISBLANK(C925),"FALTANTE",ABS((C925-$W$5)/$X$5)&gt;1.96,"ATÍPICO",ABS((C925-$W$5)/$X$5)&lt;=1.96,"NO ATÍPICO")</f>
        <v>NO ATÍPICO</v>
      </c>
      <c r="K925" t="str" cm="1">
        <f t="array" ref="K925">_xlfn.IFS(ISBLANK(I925),"FALTANTE",ABS((I925-$W$8)/$X$8)&gt;1.92,"ATÍPICO",ABS((I925-$W$8)/$X$8)&lt;=1.92,"NO ATÍPICO")</f>
        <v>NO ATÍPICO</v>
      </c>
      <c r="L925">
        <f t="shared" si="70"/>
        <v>458557</v>
      </c>
      <c r="M925" t="str">
        <f t="shared" si="74"/>
        <v>TRABAJADOR INDEPENDIENTE</v>
      </c>
      <c r="N925">
        <f t="shared" si="71"/>
        <v>41</v>
      </c>
      <c r="O925" s="19" t="str">
        <f t="shared" si="72"/>
        <v>300k–600k</v>
      </c>
      <c r="P925" s="19" t="str">
        <f t="shared" si="73"/>
        <v>36-45</v>
      </c>
    </row>
    <row r="926" spans="1:16" x14ac:dyDescent="0.25">
      <c r="A926">
        <v>925</v>
      </c>
      <c r="B926" t="s">
        <v>9</v>
      </c>
      <c r="C926">
        <v>639148</v>
      </c>
      <c r="D926" t="s">
        <v>18</v>
      </c>
      <c r="E926" t="s">
        <v>16</v>
      </c>
      <c r="F926" t="s">
        <v>12</v>
      </c>
      <c r="G926" t="s">
        <v>13</v>
      </c>
      <c r="H926" t="s">
        <v>12</v>
      </c>
      <c r="I926">
        <v>50</v>
      </c>
      <c r="J926" t="str" cm="1">
        <f t="array" ref="J926">_xlfn.IFS(ISBLANK(C926),"FALTANTE",ABS((C926-$W$5)/$X$5)&gt;1.96,"ATÍPICO",ABS((C926-$W$5)/$X$5)&lt;=1.96,"NO ATÍPICO")</f>
        <v>NO ATÍPICO</v>
      </c>
      <c r="K926" t="str" cm="1">
        <f t="array" ref="K926">_xlfn.IFS(ISBLANK(I926),"FALTANTE",ABS((I926-$W$8)/$X$8)&gt;1.92,"ATÍPICO",ABS((I926-$W$8)/$X$8)&lt;=1.92,"NO ATÍPICO")</f>
        <v>NO ATÍPICO</v>
      </c>
      <c r="L926">
        <f t="shared" si="70"/>
        <v>639148</v>
      </c>
      <c r="M926" t="str">
        <f t="shared" si="74"/>
        <v>TRABAJADOR INDEPENDIENTE</v>
      </c>
      <c r="N926">
        <f t="shared" si="71"/>
        <v>50</v>
      </c>
      <c r="O926" s="19" t="str">
        <f t="shared" si="72"/>
        <v>600k–900k</v>
      </c>
      <c r="P926" s="19" t="str">
        <f t="shared" si="73"/>
        <v>46-55</v>
      </c>
    </row>
    <row r="927" spans="1:16" x14ac:dyDescent="0.25">
      <c r="A927">
        <v>926</v>
      </c>
      <c r="B927" t="s">
        <v>15</v>
      </c>
      <c r="C927">
        <v>299647</v>
      </c>
      <c r="D927" t="s">
        <v>17</v>
      </c>
      <c r="E927" t="s">
        <v>16</v>
      </c>
      <c r="F927" t="s">
        <v>12</v>
      </c>
      <c r="G927" t="s">
        <v>13</v>
      </c>
      <c r="H927" t="s">
        <v>13</v>
      </c>
      <c r="I927">
        <v>68</v>
      </c>
      <c r="J927" t="str" cm="1">
        <f t="array" ref="J927">_xlfn.IFS(ISBLANK(C927),"FALTANTE",ABS((C927-$W$5)/$X$5)&gt;1.96,"ATÍPICO",ABS((C927-$W$5)/$X$5)&lt;=1.96,"NO ATÍPICO")</f>
        <v>NO ATÍPICO</v>
      </c>
      <c r="K927" t="str" cm="1">
        <f t="array" ref="K927">_xlfn.IFS(ISBLANK(I927),"FALTANTE",ABS((I927-$W$8)/$X$8)&gt;1.92,"ATÍPICO",ABS((I927-$W$8)/$X$8)&lt;=1.92,"NO ATÍPICO")</f>
        <v>NO ATÍPICO</v>
      </c>
      <c r="L927">
        <f t="shared" si="70"/>
        <v>299647</v>
      </c>
      <c r="M927" t="str">
        <f t="shared" si="74"/>
        <v>ASEGURADO VOLUNTARIO</v>
      </c>
      <c r="N927">
        <f t="shared" si="71"/>
        <v>68</v>
      </c>
      <c r="O927" s="19" t="str">
        <f t="shared" si="72"/>
        <v>0–300k</v>
      </c>
      <c r="P927" s="19" t="str">
        <f t="shared" si="73"/>
        <v>56+</v>
      </c>
    </row>
    <row r="928" spans="1:16" x14ac:dyDescent="0.25">
      <c r="A928">
        <v>927</v>
      </c>
      <c r="B928" t="s">
        <v>15</v>
      </c>
      <c r="C928">
        <v>996543.9</v>
      </c>
      <c r="D928" t="s">
        <v>10</v>
      </c>
      <c r="E928" t="s">
        <v>11</v>
      </c>
      <c r="F928" t="s">
        <v>12</v>
      </c>
      <c r="G928" t="s">
        <v>13</v>
      </c>
      <c r="H928" t="s">
        <v>13</v>
      </c>
      <c r="I928">
        <v>54</v>
      </c>
      <c r="J928" t="str" cm="1">
        <f t="array" ref="J928">_xlfn.IFS(ISBLANK(C928),"FALTANTE",ABS((C928-$W$5)/$X$5)&gt;1.96,"ATÍPICO",ABS((C928-$W$5)/$X$5)&lt;=1.96,"NO ATÍPICO")</f>
        <v>NO ATÍPICO</v>
      </c>
      <c r="K928" t="str" cm="1">
        <f t="array" ref="K928">_xlfn.IFS(ISBLANK(I928),"FALTANTE",ABS((I928-$W$8)/$X$8)&gt;1.92,"ATÍPICO",ABS((I928-$W$8)/$X$8)&lt;=1.92,"NO ATÍPICO")</f>
        <v>NO ATÍPICO</v>
      </c>
      <c r="L928">
        <f t="shared" si="70"/>
        <v>996543.9</v>
      </c>
      <c r="M928" t="str">
        <f t="shared" si="74"/>
        <v>ASALARIADO</v>
      </c>
      <c r="N928">
        <f t="shared" si="71"/>
        <v>54</v>
      </c>
      <c r="O928" s="19" t="str">
        <f t="shared" si="72"/>
        <v>900k–1200k</v>
      </c>
      <c r="P928" s="19" t="str">
        <f t="shared" si="73"/>
        <v>46-55</v>
      </c>
    </row>
    <row r="929" spans="1:16" x14ac:dyDescent="0.25">
      <c r="A929">
        <v>928</v>
      </c>
      <c r="B929" t="s">
        <v>9</v>
      </c>
      <c r="C929">
        <v>355000</v>
      </c>
      <c r="D929" t="s">
        <v>10</v>
      </c>
      <c r="E929" t="s">
        <v>16</v>
      </c>
      <c r="F929" t="s">
        <v>12</v>
      </c>
      <c r="G929" t="s">
        <v>13</v>
      </c>
      <c r="H929" t="s">
        <v>13</v>
      </c>
      <c r="I929">
        <v>60</v>
      </c>
      <c r="J929" t="str" cm="1">
        <f t="array" ref="J929">_xlfn.IFS(ISBLANK(C929),"FALTANTE",ABS((C929-$W$5)/$X$5)&gt;1.96,"ATÍPICO",ABS((C929-$W$5)/$X$5)&lt;=1.96,"NO ATÍPICO")</f>
        <v>NO ATÍPICO</v>
      </c>
      <c r="K929" t="str" cm="1">
        <f t="array" ref="K929">_xlfn.IFS(ISBLANK(I929),"FALTANTE",ABS((I929-$W$8)/$X$8)&gt;1.92,"ATÍPICO",ABS((I929-$W$8)/$X$8)&lt;=1.92,"NO ATÍPICO")</f>
        <v>NO ATÍPICO</v>
      </c>
      <c r="L929">
        <f t="shared" si="70"/>
        <v>355000</v>
      </c>
      <c r="M929" t="str">
        <f t="shared" si="74"/>
        <v>ASALARIADO</v>
      </c>
      <c r="N929">
        <f t="shared" si="71"/>
        <v>60</v>
      </c>
      <c r="O929" s="19" t="str">
        <f t="shared" si="72"/>
        <v>300k–600k</v>
      </c>
      <c r="P929" s="19" t="str">
        <f t="shared" si="73"/>
        <v>56+</v>
      </c>
    </row>
    <row r="930" spans="1:16" x14ac:dyDescent="0.25">
      <c r="A930">
        <v>929</v>
      </c>
      <c r="B930" t="s">
        <v>15</v>
      </c>
      <c r="C930">
        <v>319590</v>
      </c>
      <c r="D930" t="s">
        <v>10</v>
      </c>
      <c r="E930" t="s">
        <v>16</v>
      </c>
      <c r="F930" t="s">
        <v>12</v>
      </c>
      <c r="G930" t="s">
        <v>13</v>
      </c>
      <c r="H930" t="s">
        <v>13</v>
      </c>
      <c r="I930">
        <v>35</v>
      </c>
      <c r="J930" t="str" cm="1">
        <f t="array" ref="J930">_xlfn.IFS(ISBLANK(C930),"FALTANTE",ABS((C930-$W$5)/$X$5)&gt;1.96,"ATÍPICO",ABS((C930-$W$5)/$X$5)&lt;=1.96,"NO ATÍPICO")</f>
        <v>NO ATÍPICO</v>
      </c>
      <c r="K930" t="str" cm="1">
        <f t="array" ref="K930">_xlfn.IFS(ISBLANK(I930),"FALTANTE",ABS((I930-$W$8)/$X$8)&gt;1.92,"ATÍPICO",ABS((I930-$W$8)/$X$8)&lt;=1.92,"NO ATÍPICO")</f>
        <v>NO ATÍPICO</v>
      </c>
      <c r="L930">
        <f t="shared" si="70"/>
        <v>319590</v>
      </c>
      <c r="M930" t="str">
        <f t="shared" si="74"/>
        <v>ASALARIADO</v>
      </c>
      <c r="N930">
        <f t="shared" si="71"/>
        <v>35</v>
      </c>
      <c r="O930" s="19" t="str">
        <f t="shared" si="72"/>
        <v>300k–600k</v>
      </c>
      <c r="P930" s="19" t="str">
        <f t="shared" si="73"/>
        <v>26-35</v>
      </c>
    </row>
    <row r="931" spans="1:16" x14ac:dyDescent="0.25">
      <c r="A931">
        <v>930</v>
      </c>
      <c r="B931" t="s">
        <v>15</v>
      </c>
      <c r="C931">
        <v>74000</v>
      </c>
      <c r="D931" t="s">
        <v>10</v>
      </c>
      <c r="E931" t="s">
        <v>16</v>
      </c>
      <c r="F931" t="s">
        <v>12</v>
      </c>
      <c r="G931" t="s">
        <v>13</v>
      </c>
      <c r="H931" t="s">
        <v>13</v>
      </c>
      <c r="I931">
        <v>34</v>
      </c>
      <c r="J931" t="str" cm="1">
        <f t="array" ref="J931">_xlfn.IFS(ISBLANK(C931),"FALTANTE",ABS((C931-$W$5)/$X$5)&gt;1.96,"ATÍPICO",ABS((C931-$W$5)/$X$5)&lt;=1.96,"NO ATÍPICO")</f>
        <v>NO ATÍPICO</v>
      </c>
      <c r="K931" t="str" cm="1">
        <f t="array" ref="K931">_xlfn.IFS(ISBLANK(I931),"FALTANTE",ABS((I931-$W$8)/$X$8)&gt;1.92,"ATÍPICO",ABS((I931-$W$8)/$X$8)&lt;=1.92,"NO ATÍPICO")</f>
        <v>NO ATÍPICO</v>
      </c>
      <c r="L931">
        <f t="shared" si="70"/>
        <v>74000</v>
      </c>
      <c r="M931" t="str">
        <f t="shared" si="74"/>
        <v>ASALARIADO</v>
      </c>
      <c r="N931">
        <f t="shared" si="71"/>
        <v>34</v>
      </c>
      <c r="O931" s="19" t="str">
        <f t="shared" si="72"/>
        <v>0–300k</v>
      </c>
      <c r="P931" s="19" t="str">
        <f t="shared" si="73"/>
        <v>26-35</v>
      </c>
    </row>
    <row r="932" spans="1:16" x14ac:dyDescent="0.25">
      <c r="A932">
        <v>931</v>
      </c>
      <c r="B932" t="s">
        <v>9</v>
      </c>
      <c r="C932">
        <v>442546.73</v>
      </c>
      <c r="D932" t="s">
        <v>10</v>
      </c>
      <c r="E932" t="s">
        <v>16</v>
      </c>
      <c r="F932" t="s">
        <v>12</v>
      </c>
      <c r="G932" t="s">
        <v>13</v>
      </c>
      <c r="H932" t="s">
        <v>13</v>
      </c>
      <c r="I932">
        <v>40</v>
      </c>
      <c r="J932" t="str" cm="1">
        <f t="array" ref="J932">_xlfn.IFS(ISBLANK(C932),"FALTANTE",ABS((C932-$W$5)/$X$5)&gt;1.96,"ATÍPICO",ABS((C932-$W$5)/$X$5)&lt;=1.96,"NO ATÍPICO")</f>
        <v>NO ATÍPICO</v>
      </c>
      <c r="K932" t="str" cm="1">
        <f t="array" ref="K932">_xlfn.IFS(ISBLANK(I932),"FALTANTE",ABS((I932-$W$8)/$X$8)&gt;1.92,"ATÍPICO",ABS((I932-$W$8)/$X$8)&lt;=1.92,"NO ATÍPICO")</f>
        <v>NO ATÍPICO</v>
      </c>
      <c r="L932">
        <f t="shared" si="70"/>
        <v>442546.73</v>
      </c>
      <c r="M932" t="str">
        <f t="shared" si="74"/>
        <v>ASALARIADO</v>
      </c>
      <c r="N932">
        <f t="shared" si="71"/>
        <v>40</v>
      </c>
      <c r="O932" s="19" t="str">
        <f t="shared" si="72"/>
        <v>300k–600k</v>
      </c>
      <c r="P932" s="19" t="str">
        <f t="shared" si="73"/>
        <v>36-45</v>
      </c>
    </row>
    <row r="933" spans="1:16" x14ac:dyDescent="0.25">
      <c r="A933">
        <v>932</v>
      </c>
      <c r="B933" t="s">
        <v>9</v>
      </c>
      <c r="C933">
        <v>1249086</v>
      </c>
      <c r="D933" t="s">
        <v>14</v>
      </c>
      <c r="E933" t="s">
        <v>11</v>
      </c>
      <c r="F933" t="s">
        <v>12</v>
      </c>
      <c r="G933" t="s">
        <v>13</v>
      </c>
      <c r="H933" t="s">
        <v>13</v>
      </c>
      <c r="I933">
        <v>73</v>
      </c>
      <c r="J933" t="str" cm="1">
        <f t="array" ref="J933">_xlfn.IFS(ISBLANK(C933),"FALTANTE",ABS((C933-$W$5)/$X$5)&gt;1.96,"ATÍPICO",ABS((C933-$W$5)/$X$5)&lt;=1.96,"NO ATÍPICO")</f>
        <v>NO ATÍPICO</v>
      </c>
      <c r="K933" t="str" cm="1">
        <f t="array" ref="K933">_xlfn.IFS(ISBLANK(I933),"FALTANTE",ABS((I933-$W$8)/$X$8)&gt;1.92,"ATÍPICO",ABS((I933-$W$8)/$X$8)&lt;=1.92,"NO ATÍPICO")</f>
        <v>ATÍPICO</v>
      </c>
      <c r="L933">
        <f t="shared" si="70"/>
        <v>1249086</v>
      </c>
      <c r="M933" t="str">
        <f t="shared" si="74"/>
        <v>PENSIONADOS EN SU PROPIO SISTEMA</v>
      </c>
      <c r="N933">
        <f t="shared" si="71"/>
        <v>73</v>
      </c>
      <c r="O933" s="19" t="str">
        <f t="shared" si="72"/>
        <v>1200k+</v>
      </c>
      <c r="P933" s="19" t="str">
        <f t="shared" si="73"/>
        <v>56+</v>
      </c>
    </row>
    <row r="934" spans="1:16" x14ac:dyDescent="0.25">
      <c r="A934">
        <v>933</v>
      </c>
      <c r="B934" t="s">
        <v>9</v>
      </c>
      <c r="C934">
        <v>505000</v>
      </c>
      <c r="D934" t="s">
        <v>10</v>
      </c>
      <c r="E934" t="s">
        <v>16</v>
      </c>
      <c r="F934" t="s">
        <v>12</v>
      </c>
      <c r="G934" t="s">
        <v>13</v>
      </c>
      <c r="H934" t="s">
        <v>13</v>
      </c>
      <c r="I934">
        <v>21</v>
      </c>
      <c r="J934" t="str" cm="1">
        <f t="array" ref="J934">_xlfn.IFS(ISBLANK(C934),"FALTANTE",ABS((C934-$W$5)/$X$5)&gt;1.96,"ATÍPICO",ABS((C934-$W$5)/$X$5)&lt;=1.96,"NO ATÍPICO")</f>
        <v>NO ATÍPICO</v>
      </c>
      <c r="K934" t="str" cm="1">
        <f t="array" ref="K934">_xlfn.IFS(ISBLANK(I934),"FALTANTE",ABS((I934-$W$8)/$X$8)&gt;1.92,"ATÍPICO",ABS((I934-$W$8)/$X$8)&lt;=1.92,"NO ATÍPICO")</f>
        <v>NO ATÍPICO</v>
      </c>
      <c r="L934">
        <f t="shared" si="70"/>
        <v>505000</v>
      </c>
      <c r="M934" t="str">
        <f t="shared" si="74"/>
        <v>ASALARIADO</v>
      </c>
      <c r="N934">
        <f t="shared" si="71"/>
        <v>21</v>
      </c>
      <c r="O934" s="19" t="str">
        <f t="shared" si="72"/>
        <v>300k–600k</v>
      </c>
      <c r="P934" s="19" t="str">
        <f t="shared" si="73"/>
        <v>18-25</v>
      </c>
    </row>
    <row r="935" spans="1:16" x14ac:dyDescent="0.25">
      <c r="A935">
        <v>934</v>
      </c>
      <c r="B935" t="s">
        <v>9</v>
      </c>
      <c r="C935">
        <v>2471797</v>
      </c>
      <c r="D935" t="s">
        <v>14</v>
      </c>
      <c r="E935" t="s">
        <v>11</v>
      </c>
      <c r="F935" t="s">
        <v>12</v>
      </c>
      <c r="G935" t="s">
        <v>13</v>
      </c>
      <c r="H935" t="s">
        <v>13</v>
      </c>
      <c r="I935">
        <v>78</v>
      </c>
      <c r="J935" t="str" cm="1">
        <f t="array" ref="J935">_xlfn.IFS(ISBLANK(C935),"FALTANTE",ABS((C935-$W$5)/$X$5)&gt;1.96,"ATÍPICO",ABS((C935-$W$5)/$X$5)&lt;=1.96,"NO ATÍPICO")</f>
        <v>ATÍPICO</v>
      </c>
      <c r="K935" t="str" cm="1">
        <f t="array" ref="K935">_xlfn.IFS(ISBLANK(I935),"FALTANTE",ABS((I935-$W$8)/$X$8)&gt;1.92,"ATÍPICO",ABS((I935-$W$8)/$X$8)&lt;=1.92,"NO ATÍPICO")</f>
        <v>ATÍPICO</v>
      </c>
      <c r="L935">
        <f t="shared" si="70"/>
        <v>2471797</v>
      </c>
      <c r="M935" t="str">
        <f t="shared" si="74"/>
        <v>PENSIONADOS EN SU PROPIO SISTEMA</v>
      </c>
      <c r="N935">
        <f t="shared" si="71"/>
        <v>78</v>
      </c>
      <c r="O935" s="19" t="str">
        <f t="shared" si="72"/>
        <v>1200k+</v>
      </c>
      <c r="P935" s="19" t="str">
        <f t="shared" si="73"/>
        <v>56+</v>
      </c>
    </row>
    <row r="936" spans="1:16" x14ac:dyDescent="0.25">
      <c r="A936">
        <v>935</v>
      </c>
      <c r="B936" t="s">
        <v>15</v>
      </c>
      <c r="C936">
        <v>146600</v>
      </c>
      <c r="D936" t="s">
        <v>10</v>
      </c>
      <c r="E936" t="s">
        <v>16</v>
      </c>
      <c r="F936" t="s">
        <v>12</v>
      </c>
      <c r="G936" t="s">
        <v>13</v>
      </c>
      <c r="H936" t="s">
        <v>13</v>
      </c>
      <c r="I936">
        <v>36</v>
      </c>
      <c r="J936" t="str" cm="1">
        <f t="array" ref="J936">_xlfn.IFS(ISBLANK(C936),"FALTANTE",ABS((C936-$W$5)/$X$5)&gt;1.96,"ATÍPICO",ABS((C936-$W$5)/$X$5)&lt;=1.96,"NO ATÍPICO")</f>
        <v>NO ATÍPICO</v>
      </c>
      <c r="K936" t="str" cm="1">
        <f t="array" ref="K936">_xlfn.IFS(ISBLANK(I936),"FALTANTE",ABS((I936-$W$8)/$X$8)&gt;1.92,"ATÍPICO",ABS((I936-$W$8)/$X$8)&lt;=1.92,"NO ATÍPICO")</f>
        <v>NO ATÍPICO</v>
      </c>
      <c r="L936">
        <f t="shared" si="70"/>
        <v>146600</v>
      </c>
      <c r="M936" t="str">
        <f t="shared" si="74"/>
        <v>ASALARIADO</v>
      </c>
      <c r="N936">
        <f t="shared" si="71"/>
        <v>36</v>
      </c>
      <c r="O936" s="19" t="str">
        <f t="shared" si="72"/>
        <v>0–300k</v>
      </c>
      <c r="P936" s="19" t="str">
        <f t="shared" si="73"/>
        <v>36-45</v>
      </c>
    </row>
    <row r="937" spans="1:16" x14ac:dyDescent="0.25">
      <c r="A937">
        <v>936</v>
      </c>
      <c r="B937" t="s">
        <v>15</v>
      </c>
      <c r="C937">
        <v>300932.62</v>
      </c>
      <c r="D937" t="s">
        <v>10</v>
      </c>
      <c r="E937" t="s">
        <v>16</v>
      </c>
      <c r="F937" t="s">
        <v>12</v>
      </c>
      <c r="G937" t="s">
        <v>13</v>
      </c>
      <c r="H937" t="s">
        <v>13</v>
      </c>
      <c r="I937">
        <v>52</v>
      </c>
      <c r="J937" t="str" cm="1">
        <f t="array" ref="J937">_xlfn.IFS(ISBLANK(C937),"FALTANTE",ABS((C937-$W$5)/$X$5)&gt;1.96,"ATÍPICO",ABS((C937-$W$5)/$X$5)&lt;=1.96,"NO ATÍPICO")</f>
        <v>NO ATÍPICO</v>
      </c>
      <c r="K937" t="str" cm="1">
        <f t="array" ref="K937">_xlfn.IFS(ISBLANK(I937),"FALTANTE",ABS((I937-$W$8)/$X$8)&gt;1.92,"ATÍPICO",ABS((I937-$W$8)/$X$8)&lt;=1.92,"NO ATÍPICO")</f>
        <v>NO ATÍPICO</v>
      </c>
      <c r="L937">
        <f t="shared" si="70"/>
        <v>300932.62</v>
      </c>
      <c r="M937" t="str">
        <f t="shared" si="74"/>
        <v>ASALARIADO</v>
      </c>
      <c r="N937">
        <f t="shared" si="71"/>
        <v>52</v>
      </c>
      <c r="O937" s="19" t="str">
        <f t="shared" si="72"/>
        <v>300k–600k</v>
      </c>
      <c r="P937" s="19" t="str">
        <f t="shared" si="73"/>
        <v>46-55</v>
      </c>
    </row>
    <row r="938" spans="1:16" x14ac:dyDescent="0.25">
      <c r="A938">
        <v>937</v>
      </c>
      <c r="B938" t="s">
        <v>9</v>
      </c>
      <c r="C938">
        <v>275000</v>
      </c>
      <c r="D938" t="s">
        <v>10</v>
      </c>
      <c r="E938" t="s">
        <v>16</v>
      </c>
      <c r="F938" t="s">
        <v>12</v>
      </c>
      <c r="G938" t="s">
        <v>13</v>
      </c>
      <c r="H938" t="s">
        <v>13</v>
      </c>
      <c r="I938">
        <v>42</v>
      </c>
      <c r="J938" t="str" cm="1">
        <f t="array" ref="J938">_xlfn.IFS(ISBLANK(C938),"FALTANTE",ABS((C938-$W$5)/$X$5)&gt;1.96,"ATÍPICO",ABS((C938-$W$5)/$X$5)&lt;=1.96,"NO ATÍPICO")</f>
        <v>NO ATÍPICO</v>
      </c>
      <c r="K938" t="str" cm="1">
        <f t="array" ref="K938">_xlfn.IFS(ISBLANK(I938),"FALTANTE",ABS((I938-$W$8)/$X$8)&gt;1.92,"ATÍPICO",ABS((I938-$W$8)/$X$8)&lt;=1.92,"NO ATÍPICO")</f>
        <v>NO ATÍPICO</v>
      </c>
      <c r="L938">
        <f t="shared" si="70"/>
        <v>275000</v>
      </c>
      <c r="M938" t="str">
        <f t="shared" si="74"/>
        <v>ASALARIADO</v>
      </c>
      <c r="N938">
        <f t="shared" si="71"/>
        <v>42</v>
      </c>
      <c r="O938" s="19" t="str">
        <f t="shared" si="72"/>
        <v>0–300k</v>
      </c>
      <c r="P938" s="19" t="str">
        <f t="shared" si="73"/>
        <v>36-45</v>
      </c>
    </row>
    <row r="939" spans="1:16" x14ac:dyDescent="0.25">
      <c r="A939">
        <v>938</v>
      </c>
      <c r="B939" t="s">
        <v>9</v>
      </c>
      <c r="C939">
        <v>515165</v>
      </c>
      <c r="D939" t="s">
        <v>10</v>
      </c>
      <c r="E939" t="s">
        <v>16</v>
      </c>
      <c r="F939" t="s">
        <v>12</v>
      </c>
      <c r="G939" t="s">
        <v>13</v>
      </c>
      <c r="H939" t="s">
        <v>13</v>
      </c>
      <c r="I939">
        <v>46</v>
      </c>
      <c r="J939" t="str" cm="1">
        <f t="array" ref="J939">_xlfn.IFS(ISBLANK(C939),"FALTANTE",ABS((C939-$W$5)/$X$5)&gt;1.96,"ATÍPICO",ABS((C939-$W$5)/$X$5)&lt;=1.96,"NO ATÍPICO")</f>
        <v>NO ATÍPICO</v>
      </c>
      <c r="K939" t="str" cm="1">
        <f t="array" ref="K939">_xlfn.IFS(ISBLANK(I939),"FALTANTE",ABS((I939-$W$8)/$X$8)&gt;1.92,"ATÍPICO",ABS((I939-$W$8)/$X$8)&lt;=1.92,"NO ATÍPICO")</f>
        <v>NO ATÍPICO</v>
      </c>
      <c r="L939">
        <f t="shared" si="70"/>
        <v>515165</v>
      </c>
      <c r="M939" t="str">
        <f t="shared" si="74"/>
        <v>ASALARIADO</v>
      </c>
      <c r="N939">
        <f t="shared" si="71"/>
        <v>46</v>
      </c>
      <c r="O939" s="19" t="str">
        <f t="shared" si="72"/>
        <v>300k–600k</v>
      </c>
      <c r="P939" s="19" t="str">
        <f t="shared" si="73"/>
        <v>46-55</v>
      </c>
    </row>
    <row r="940" spans="1:16" x14ac:dyDescent="0.25">
      <c r="A940">
        <v>939</v>
      </c>
      <c r="B940" t="s">
        <v>15</v>
      </c>
      <c r="C940">
        <v>297046</v>
      </c>
      <c r="D940" t="s">
        <v>17</v>
      </c>
      <c r="E940" t="s">
        <v>16</v>
      </c>
      <c r="F940" t="s">
        <v>12</v>
      </c>
      <c r="G940" t="s">
        <v>13</v>
      </c>
      <c r="H940" t="s">
        <v>13</v>
      </c>
      <c r="I940">
        <v>56</v>
      </c>
      <c r="J940" t="str" cm="1">
        <f t="array" ref="J940">_xlfn.IFS(ISBLANK(C940),"FALTANTE",ABS((C940-$W$5)/$X$5)&gt;1.96,"ATÍPICO",ABS((C940-$W$5)/$X$5)&lt;=1.96,"NO ATÍPICO")</f>
        <v>NO ATÍPICO</v>
      </c>
      <c r="K940" t="str" cm="1">
        <f t="array" ref="K940">_xlfn.IFS(ISBLANK(I940),"FALTANTE",ABS((I940-$W$8)/$X$8)&gt;1.92,"ATÍPICO",ABS((I940-$W$8)/$X$8)&lt;=1.92,"NO ATÍPICO")</f>
        <v>NO ATÍPICO</v>
      </c>
      <c r="L940">
        <f t="shared" si="70"/>
        <v>297046</v>
      </c>
      <c r="M940" t="str">
        <f t="shared" si="74"/>
        <v>ASEGURADO VOLUNTARIO</v>
      </c>
      <c r="N940">
        <f t="shared" si="71"/>
        <v>56</v>
      </c>
      <c r="O940" s="19" t="str">
        <f t="shared" si="72"/>
        <v>0–300k</v>
      </c>
      <c r="P940" s="19" t="str">
        <f t="shared" si="73"/>
        <v>56+</v>
      </c>
    </row>
    <row r="941" spans="1:16" x14ac:dyDescent="0.25">
      <c r="A941">
        <v>940</v>
      </c>
      <c r="B941" t="s">
        <v>15</v>
      </c>
      <c r="C941">
        <v>1205262.5</v>
      </c>
      <c r="D941" t="s">
        <v>10</v>
      </c>
      <c r="E941" t="s">
        <v>11</v>
      </c>
      <c r="F941" t="s">
        <v>12</v>
      </c>
      <c r="G941" t="s">
        <v>13</v>
      </c>
      <c r="H941" t="s">
        <v>13</v>
      </c>
      <c r="I941">
        <v>31</v>
      </c>
      <c r="J941" t="str" cm="1">
        <f t="array" ref="J941">_xlfn.IFS(ISBLANK(C941),"FALTANTE",ABS((C941-$W$5)/$X$5)&gt;1.96,"ATÍPICO",ABS((C941-$W$5)/$X$5)&lt;=1.96,"NO ATÍPICO")</f>
        <v>NO ATÍPICO</v>
      </c>
      <c r="K941" t="str" cm="1">
        <f t="array" ref="K941">_xlfn.IFS(ISBLANK(I941),"FALTANTE",ABS((I941-$W$8)/$X$8)&gt;1.92,"ATÍPICO",ABS((I941-$W$8)/$X$8)&lt;=1.92,"NO ATÍPICO")</f>
        <v>NO ATÍPICO</v>
      </c>
      <c r="L941">
        <f t="shared" si="70"/>
        <v>1205262.5</v>
      </c>
      <c r="M941" t="str">
        <f t="shared" si="74"/>
        <v>ASALARIADO</v>
      </c>
      <c r="N941">
        <f t="shared" si="71"/>
        <v>31</v>
      </c>
      <c r="O941" s="19" t="str">
        <f t="shared" si="72"/>
        <v>1200k+</v>
      </c>
      <c r="P941" s="19" t="str">
        <f t="shared" si="73"/>
        <v>26-35</v>
      </c>
    </row>
    <row r="942" spans="1:16" x14ac:dyDescent="0.25">
      <c r="A942">
        <v>941</v>
      </c>
      <c r="B942" t="s">
        <v>9</v>
      </c>
      <c r="C942">
        <v>1578046.6</v>
      </c>
      <c r="D942" t="s">
        <v>10</v>
      </c>
      <c r="E942" t="s">
        <v>16</v>
      </c>
      <c r="F942" t="s">
        <v>12</v>
      </c>
      <c r="G942" t="s">
        <v>13</v>
      </c>
      <c r="H942" t="s">
        <v>13</v>
      </c>
      <c r="I942">
        <v>35</v>
      </c>
      <c r="J942" t="str" cm="1">
        <f t="array" ref="J942">_xlfn.IFS(ISBLANK(C942),"FALTANTE",ABS((C942-$W$5)/$X$5)&gt;1.96,"ATÍPICO",ABS((C942-$W$5)/$X$5)&lt;=1.96,"NO ATÍPICO")</f>
        <v>NO ATÍPICO</v>
      </c>
      <c r="K942" t="str" cm="1">
        <f t="array" ref="K942">_xlfn.IFS(ISBLANK(I942),"FALTANTE",ABS((I942-$W$8)/$X$8)&gt;1.92,"ATÍPICO",ABS((I942-$W$8)/$X$8)&lt;=1.92,"NO ATÍPICO")</f>
        <v>NO ATÍPICO</v>
      </c>
      <c r="L942">
        <f t="shared" si="70"/>
        <v>1578046.6</v>
      </c>
      <c r="M942" t="str">
        <f t="shared" si="74"/>
        <v>ASALARIADO</v>
      </c>
      <c r="N942">
        <f t="shared" si="71"/>
        <v>35</v>
      </c>
      <c r="O942" s="19" t="str">
        <f t="shared" si="72"/>
        <v>1200k+</v>
      </c>
      <c r="P942" s="19" t="str">
        <f t="shared" si="73"/>
        <v>26-35</v>
      </c>
    </row>
    <row r="943" spans="1:16" x14ac:dyDescent="0.25">
      <c r="A943">
        <v>942</v>
      </c>
      <c r="B943" t="s">
        <v>15</v>
      </c>
      <c r="C943">
        <v>271673.09000000003</v>
      </c>
      <c r="D943" t="s">
        <v>10</v>
      </c>
      <c r="E943" t="s">
        <v>16</v>
      </c>
      <c r="F943" t="s">
        <v>12</v>
      </c>
      <c r="G943" t="s">
        <v>13</v>
      </c>
      <c r="H943" t="s">
        <v>13</v>
      </c>
      <c r="I943">
        <v>24</v>
      </c>
      <c r="J943" t="str" cm="1">
        <f t="array" ref="J943">_xlfn.IFS(ISBLANK(C943),"FALTANTE",ABS((C943-$W$5)/$X$5)&gt;1.96,"ATÍPICO",ABS((C943-$W$5)/$X$5)&lt;=1.96,"NO ATÍPICO")</f>
        <v>NO ATÍPICO</v>
      </c>
      <c r="K943" t="str" cm="1">
        <f t="array" ref="K943">_xlfn.IFS(ISBLANK(I943),"FALTANTE",ABS((I943-$W$8)/$X$8)&gt;1.92,"ATÍPICO",ABS((I943-$W$8)/$X$8)&lt;=1.92,"NO ATÍPICO")</f>
        <v>NO ATÍPICO</v>
      </c>
      <c r="L943">
        <f t="shared" si="70"/>
        <v>271673.09000000003</v>
      </c>
      <c r="M943" t="str">
        <f t="shared" si="74"/>
        <v>ASALARIADO</v>
      </c>
      <c r="N943">
        <f t="shared" si="71"/>
        <v>24</v>
      </c>
      <c r="O943" s="19" t="str">
        <f t="shared" si="72"/>
        <v>0–300k</v>
      </c>
      <c r="P943" s="19" t="str">
        <f t="shared" si="73"/>
        <v>18-25</v>
      </c>
    </row>
    <row r="944" spans="1:16" x14ac:dyDescent="0.25">
      <c r="A944">
        <v>943</v>
      </c>
      <c r="B944" t="s">
        <v>9</v>
      </c>
      <c r="C944">
        <v>297050</v>
      </c>
      <c r="D944" t="s">
        <v>17</v>
      </c>
      <c r="E944" t="s">
        <v>16</v>
      </c>
      <c r="F944" t="s">
        <v>12</v>
      </c>
      <c r="G944" t="s">
        <v>13</v>
      </c>
      <c r="H944" t="s">
        <v>13</v>
      </c>
      <c r="I944">
        <v>46</v>
      </c>
      <c r="J944" t="str" cm="1">
        <f t="array" ref="J944">_xlfn.IFS(ISBLANK(C944),"FALTANTE",ABS((C944-$W$5)/$X$5)&gt;1.96,"ATÍPICO",ABS((C944-$W$5)/$X$5)&lt;=1.96,"NO ATÍPICO")</f>
        <v>NO ATÍPICO</v>
      </c>
      <c r="K944" t="str" cm="1">
        <f t="array" ref="K944">_xlfn.IFS(ISBLANK(I944),"FALTANTE",ABS((I944-$W$8)/$X$8)&gt;1.92,"ATÍPICO",ABS((I944-$W$8)/$X$8)&lt;=1.92,"NO ATÍPICO")</f>
        <v>NO ATÍPICO</v>
      </c>
      <c r="L944">
        <f t="shared" si="70"/>
        <v>297050</v>
      </c>
      <c r="M944" t="str">
        <f t="shared" si="74"/>
        <v>ASEGURADO VOLUNTARIO</v>
      </c>
      <c r="N944">
        <f t="shared" si="71"/>
        <v>46</v>
      </c>
      <c r="O944" s="19" t="str">
        <f t="shared" si="72"/>
        <v>0–300k</v>
      </c>
      <c r="P944" s="19" t="str">
        <f t="shared" si="73"/>
        <v>46-55</v>
      </c>
    </row>
    <row r="945" spans="1:16" x14ac:dyDescent="0.25">
      <c r="A945">
        <v>944</v>
      </c>
      <c r="B945" t="s">
        <v>15</v>
      </c>
      <c r="C945">
        <v>691550</v>
      </c>
      <c r="D945" t="s">
        <v>10</v>
      </c>
      <c r="E945" t="s">
        <v>16</v>
      </c>
      <c r="F945" t="s">
        <v>12</v>
      </c>
      <c r="G945" t="s">
        <v>13</v>
      </c>
      <c r="H945" t="s">
        <v>12</v>
      </c>
      <c r="I945">
        <v>43</v>
      </c>
      <c r="J945" t="str" cm="1">
        <f t="array" ref="J945">_xlfn.IFS(ISBLANK(C945),"FALTANTE",ABS((C945-$W$5)/$X$5)&gt;1.96,"ATÍPICO",ABS((C945-$W$5)/$X$5)&lt;=1.96,"NO ATÍPICO")</f>
        <v>NO ATÍPICO</v>
      </c>
      <c r="K945" t="str" cm="1">
        <f t="array" ref="K945">_xlfn.IFS(ISBLANK(I945),"FALTANTE",ABS((I945-$W$8)/$X$8)&gt;1.92,"ATÍPICO",ABS((I945-$W$8)/$X$8)&lt;=1.92,"NO ATÍPICO")</f>
        <v>NO ATÍPICO</v>
      </c>
      <c r="L945">
        <f t="shared" si="70"/>
        <v>691550</v>
      </c>
      <c r="M945" t="str">
        <f t="shared" si="74"/>
        <v>ASALARIADO</v>
      </c>
      <c r="N945">
        <f t="shared" si="71"/>
        <v>43</v>
      </c>
      <c r="O945" s="19" t="str">
        <f t="shared" si="72"/>
        <v>600k–900k</v>
      </c>
      <c r="P945" s="19" t="str">
        <f t="shared" si="73"/>
        <v>36-45</v>
      </c>
    </row>
    <row r="946" spans="1:16" x14ac:dyDescent="0.25">
      <c r="A946">
        <v>945</v>
      </c>
      <c r="B946" t="s">
        <v>15</v>
      </c>
      <c r="C946">
        <v>322474</v>
      </c>
      <c r="D946" t="s">
        <v>17</v>
      </c>
      <c r="E946" t="s">
        <v>16</v>
      </c>
      <c r="F946" t="s">
        <v>12</v>
      </c>
      <c r="G946" t="s">
        <v>13</v>
      </c>
      <c r="H946" t="s">
        <v>13</v>
      </c>
      <c r="I946">
        <v>28</v>
      </c>
      <c r="J946" t="str" cm="1">
        <f t="array" ref="J946">_xlfn.IFS(ISBLANK(C946),"FALTANTE",ABS((C946-$W$5)/$X$5)&gt;1.96,"ATÍPICO",ABS((C946-$W$5)/$X$5)&lt;=1.96,"NO ATÍPICO")</f>
        <v>NO ATÍPICO</v>
      </c>
      <c r="K946" t="str" cm="1">
        <f t="array" ref="K946">_xlfn.IFS(ISBLANK(I946),"FALTANTE",ABS((I946-$W$8)/$X$8)&gt;1.92,"ATÍPICO",ABS((I946-$W$8)/$X$8)&lt;=1.92,"NO ATÍPICO")</f>
        <v>NO ATÍPICO</v>
      </c>
      <c r="L946">
        <f t="shared" si="70"/>
        <v>322474</v>
      </c>
      <c r="M946" t="str">
        <f t="shared" si="74"/>
        <v>ASEGURADO VOLUNTARIO</v>
      </c>
      <c r="N946">
        <f t="shared" si="71"/>
        <v>28</v>
      </c>
      <c r="O946" s="19" t="str">
        <f t="shared" si="72"/>
        <v>300k–600k</v>
      </c>
      <c r="P946" s="19" t="str">
        <f t="shared" si="73"/>
        <v>26-35</v>
      </c>
    </row>
    <row r="947" spans="1:16" x14ac:dyDescent="0.25">
      <c r="A947">
        <v>946</v>
      </c>
      <c r="B947" t="s">
        <v>9</v>
      </c>
      <c r="C947">
        <v>540083</v>
      </c>
      <c r="D947" t="s">
        <v>18</v>
      </c>
      <c r="E947" t="s">
        <v>16</v>
      </c>
      <c r="F947" t="s">
        <v>12</v>
      </c>
      <c r="G947" t="s">
        <v>13</v>
      </c>
      <c r="H947" t="s">
        <v>12</v>
      </c>
      <c r="I947">
        <v>60</v>
      </c>
      <c r="J947" t="str" cm="1">
        <f t="array" ref="J947">_xlfn.IFS(ISBLANK(C947),"FALTANTE",ABS((C947-$W$5)/$X$5)&gt;1.96,"ATÍPICO",ABS((C947-$W$5)/$X$5)&lt;=1.96,"NO ATÍPICO")</f>
        <v>NO ATÍPICO</v>
      </c>
      <c r="K947" t="str" cm="1">
        <f t="array" ref="K947">_xlfn.IFS(ISBLANK(I947),"FALTANTE",ABS((I947-$W$8)/$X$8)&gt;1.92,"ATÍPICO",ABS((I947-$W$8)/$X$8)&lt;=1.92,"NO ATÍPICO")</f>
        <v>NO ATÍPICO</v>
      </c>
      <c r="L947">
        <f t="shared" si="70"/>
        <v>540083</v>
      </c>
      <c r="M947" t="str">
        <f t="shared" si="74"/>
        <v>TRABAJADOR INDEPENDIENTE</v>
      </c>
      <c r="N947">
        <f t="shared" si="71"/>
        <v>60</v>
      </c>
      <c r="O947" s="19" t="str">
        <f t="shared" si="72"/>
        <v>300k–600k</v>
      </c>
      <c r="P947" s="19" t="str">
        <f t="shared" si="73"/>
        <v>56+</v>
      </c>
    </row>
    <row r="948" spans="1:16" x14ac:dyDescent="0.25">
      <c r="A948">
        <v>947</v>
      </c>
      <c r="B948" t="s">
        <v>15</v>
      </c>
      <c r="C948">
        <v>291108</v>
      </c>
      <c r="D948" t="s">
        <v>10</v>
      </c>
      <c r="E948" t="s">
        <v>16</v>
      </c>
      <c r="F948" t="s">
        <v>12</v>
      </c>
      <c r="G948" t="s">
        <v>12</v>
      </c>
      <c r="H948" t="s">
        <v>13</v>
      </c>
      <c r="I948">
        <v>40</v>
      </c>
      <c r="J948" t="str" cm="1">
        <f t="array" ref="J948">_xlfn.IFS(ISBLANK(C948),"FALTANTE",ABS((C948-$W$5)/$X$5)&gt;1.96,"ATÍPICO",ABS((C948-$W$5)/$X$5)&lt;=1.96,"NO ATÍPICO")</f>
        <v>NO ATÍPICO</v>
      </c>
      <c r="K948" t="str" cm="1">
        <f t="array" ref="K948">_xlfn.IFS(ISBLANK(I948),"FALTANTE",ABS((I948-$W$8)/$X$8)&gt;1.92,"ATÍPICO",ABS((I948-$W$8)/$X$8)&lt;=1.92,"NO ATÍPICO")</f>
        <v>NO ATÍPICO</v>
      </c>
      <c r="L948">
        <f t="shared" si="70"/>
        <v>291108</v>
      </c>
      <c r="M948" t="str">
        <f t="shared" si="74"/>
        <v>ASALARIADO</v>
      </c>
      <c r="N948">
        <f t="shared" si="71"/>
        <v>40</v>
      </c>
      <c r="O948" s="19" t="str">
        <f t="shared" si="72"/>
        <v>0–300k</v>
      </c>
      <c r="P948" s="19" t="str">
        <f t="shared" si="73"/>
        <v>36-45</v>
      </c>
    </row>
    <row r="949" spans="1:16" x14ac:dyDescent="0.25">
      <c r="A949">
        <v>948</v>
      </c>
      <c r="B949" t="s">
        <v>15</v>
      </c>
      <c r="C949">
        <v>557449.5</v>
      </c>
      <c r="D949" t="s">
        <v>10</v>
      </c>
      <c r="E949" t="s">
        <v>11</v>
      </c>
      <c r="F949" t="s">
        <v>12</v>
      </c>
      <c r="G949" t="s">
        <v>13</v>
      </c>
      <c r="H949" t="s">
        <v>13</v>
      </c>
      <c r="I949">
        <v>36</v>
      </c>
      <c r="J949" t="str" cm="1">
        <f t="array" ref="J949">_xlfn.IFS(ISBLANK(C949),"FALTANTE",ABS((C949-$W$5)/$X$5)&gt;1.96,"ATÍPICO",ABS((C949-$W$5)/$X$5)&lt;=1.96,"NO ATÍPICO")</f>
        <v>NO ATÍPICO</v>
      </c>
      <c r="K949" t="str" cm="1">
        <f t="array" ref="K949">_xlfn.IFS(ISBLANK(I949),"FALTANTE",ABS((I949-$W$8)/$X$8)&gt;1.92,"ATÍPICO",ABS((I949-$W$8)/$X$8)&lt;=1.92,"NO ATÍPICO")</f>
        <v>NO ATÍPICO</v>
      </c>
      <c r="L949">
        <f t="shared" si="70"/>
        <v>557449.5</v>
      </c>
      <c r="M949" t="str">
        <f t="shared" si="74"/>
        <v>ASALARIADO</v>
      </c>
      <c r="N949">
        <f t="shared" si="71"/>
        <v>36</v>
      </c>
      <c r="O949" s="19" t="str">
        <f t="shared" si="72"/>
        <v>300k–600k</v>
      </c>
      <c r="P949" s="19" t="str">
        <f t="shared" si="73"/>
        <v>36-45</v>
      </c>
    </row>
    <row r="950" spans="1:16" x14ac:dyDescent="0.25">
      <c r="A950">
        <v>949</v>
      </c>
      <c r="B950" t="s">
        <v>9</v>
      </c>
      <c r="C950">
        <v>682612</v>
      </c>
      <c r="D950" t="s">
        <v>10</v>
      </c>
      <c r="E950" t="s">
        <v>16</v>
      </c>
      <c r="F950" t="s">
        <v>12</v>
      </c>
      <c r="G950" t="s">
        <v>13</v>
      </c>
      <c r="H950" t="s">
        <v>13</v>
      </c>
      <c r="I950">
        <v>31</v>
      </c>
      <c r="J950" t="str" cm="1">
        <f t="array" ref="J950">_xlfn.IFS(ISBLANK(C950),"FALTANTE",ABS((C950-$W$5)/$X$5)&gt;1.96,"ATÍPICO",ABS((C950-$W$5)/$X$5)&lt;=1.96,"NO ATÍPICO")</f>
        <v>NO ATÍPICO</v>
      </c>
      <c r="K950" t="str" cm="1">
        <f t="array" ref="K950">_xlfn.IFS(ISBLANK(I950),"FALTANTE",ABS((I950-$W$8)/$X$8)&gt;1.92,"ATÍPICO",ABS((I950-$W$8)/$X$8)&lt;=1.92,"NO ATÍPICO")</f>
        <v>NO ATÍPICO</v>
      </c>
      <c r="L950">
        <f t="shared" si="70"/>
        <v>682612</v>
      </c>
      <c r="M950" t="str">
        <f t="shared" si="74"/>
        <v>ASALARIADO</v>
      </c>
      <c r="N950">
        <f t="shared" si="71"/>
        <v>31</v>
      </c>
      <c r="O950" s="19" t="str">
        <f t="shared" si="72"/>
        <v>600k–900k</v>
      </c>
      <c r="P950" s="19" t="str">
        <f t="shared" si="73"/>
        <v>26-35</v>
      </c>
    </row>
    <row r="951" spans="1:16" x14ac:dyDescent="0.25">
      <c r="A951">
        <v>950</v>
      </c>
      <c r="B951" t="s">
        <v>15</v>
      </c>
      <c r="C951">
        <v>359550</v>
      </c>
      <c r="D951" t="s">
        <v>10</v>
      </c>
      <c r="E951" t="s">
        <v>16</v>
      </c>
      <c r="F951" t="s">
        <v>12</v>
      </c>
      <c r="G951" t="s">
        <v>13</v>
      </c>
      <c r="H951" t="s">
        <v>13</v>
      </c>
      <c r="I951">
        <v>54</v>
      </c>
      <c r="J951" t="str" cm="1">
        <f t="array" ref="J951">_xlfn.IFS(ISBLANK(C951),"FALTANTE",ABS((C951-$W$5)/$X$5)&gt;1.96,"ATÍPICO",ABS((C951-$W$5)/$X$5)&lt;=1.96,"NO ATÍPICO")</f>
        <v>NO ATÍPICO</v>
      </c>
      <c r="K951" t="str" cm="1">
        <f t="array" ref="K951">_xlfn.IFS(ISBLANK(I951),"FALTANTE",ABS((I951-$W$8)/$X$8)&gt;1.92,"ATÍPICO",ABS((I951-$W$8)/$X$8)&lt;=1.92,"NO ATÍPICO")</f>
        <v>NO ATÍPICO</v>
      </c>
      <c r="L951">
        <f t="shared" si="70"/>
        <v>359550</v>
      </c>
      <c r="M951" t="str">
        <f t="shared" si="74"/>
        <v>ASALARIADO</v>
      </c>
      <c r="N951">
        <f t="shared" si="71"/>
        <v>54</v>
      </c>
      <c r="O951" s="19" t="str">
        <f t="shared" si="72"/>
        <v>300k–600k</v>
      </c>
      <c r="P951" s="19" t="str">
        <f t="shared" si="73"/>
        <v>46-55</v>
      </c>
    </row>
    <row r="952" spans="1:16" x14ac:dyDescent="0.25">
      <c r="A952">
        <v>951</v>
      </c>
      <c r="B952" t="s">
        <v>15</v>
      </c>
      <c r="C952">
        <v>444886.15</v>
      </c>
      <c r="D952" t="s">
        <v>10</v>
      </c>
      <c r="E952" t="s">
        <v>16</v>
      </c>
      <c r="F952" t="s">
        <v>12</v>
      </c>
      <c r="G952" t="s">
        <v>13</v>
      </c>
      <c r="H952" t="s">
        <v>13</v>
      </c>
      <c r="I952">
        <v>43</v>
      </c>
      <c r="J952" t="str" cm="1">
        <f t="array" ref="J952">_xlfn.IFS(ISBLANK(C952),"FALTANTE",ABS((C952-$W$5)/$X$5)&gt;1.96,"ATÍPICO",ABS((C952-$W$5)/$X$5)&lt;=1.96,"NO ATÍPICO")</f>
        <v>NO ATÍPICO</v>
      </c>
      <c r="K952" t="str" cm="1">
        <f t="array" ref="K952">_xlfn.IFS(ISBLANK(I952),"FALTANTE",ABS((I952-$W$8)/$X$8)&gt;1.92,"ATÍPICO",ABS((I952-$W$8)/$X$8)&lt;=1.92,"NO ATÍPICO")</f>
        <v>NO ATÍPICO</v>
      </c>
      <c r="L952">
        <f t="shared" si="70"/>
        <v>444886.15</v>
      </c>
      <c r="M952" t="str">
        <f t="shared" si="74"/>
        <v>ASALARIADO</v>
      </c>
      <c r="N952">
        <f t="shared" si="71"/>
        <v>43</v>
      </c>
      <c r="O952" s="19" t="str">
        <f t="shared" si="72"/>
        <v>300k–600k</v>
      </c>
      <c r="P952" s="19" t="str">
        <f t="shared" si="73"/>
        <v>36-45</v>
      </c>
    </row>
    <row r="953" spans="1:16" x14ac:dyDescent="0.25">
      <c r="A953">
        <v>952</v>
      </c>
      <c r="B953" t="s">
        <v>9</v>
      </c>
      <c r="C953">
        <v>1027375.02</v>
      </c>
      <c r="D953" t="s">
        <v>14</v>
      </c>
      <c r="E953" t="s">
        <v>11</v>
      </c>
      <c r="F953" t="s">
        <v>12</v>
      </c>
      <c r="G953" t="s">
        <v>13</v>
      </c>
      <c r="H953" t="s">
        <v>13</v>
      </c>
      <c r="I953">
        <v>65</v>
      </c>
      <c r="J953" t="str" cm="1">
        <f t="array" ref="J953">_xlfn.IFS(ISBLANK(C953),"FALTANTE",ABS((C953-$W$5)/$X$5)&gt;1.96,"ATÍPICO",ABS((C953-$W$5)/$X$5)&lt;=1.96,"NO ATÍPICO")</f>
        <v>NO ATÍPICO</v>
      </c>
      <c r="K953" t="str" cm="1">
        <f t="array" ref="K953">_xlfn.IFS(ISBLANK(I953),"FALTANTE",ABS((I953-$W$8)/$X$8)&gt;1.92,"ATÍPICO",ABS((I953-$W$8)/$X$8)&lt;=1.92,"NO ATÍPICO")</f>
        <v>NO ATÍPICO</v>
      </c>
      <c r="L953">
        <f t="shared" si="70"/>
        <v>1027375.02</v>
      </c>
      <c r="M953" t="str">
        <f t="shared" si="74"/>
        <v>PENSIONADOS EN SU PROPIO SISTEMA</v>
      </c>
      <c r="N953">
        <f t="shared" si="71"/>
        <v>65</v>
      </c>
      <c r="O953" s="19" t="str">
        <f t="shared" si="72"/>
        <v>900k–1200k</v>
      </c>
      <c r="P953" s="19" t="str">
        <f t="shared" si="73"/>
        <v>56+</v>
      </c>
    </row>
    <row r="954" spans="1:16" x14ac:dyDescent="0.25">
      <c r="A954">
        <v>953</v>
      </c>
      <c r="B954" t="s">
        <v>9</v>
      </c>
      <c r="C954">
        <v>297046</v>
      </c>
      <c r="D954" t="s">
        <v>17</v>
      </c>
      <c r="E954" t="s">
        <v>16</v>
      </c>
      <c r="F954" t="s">
        <v>12</v>
      </c>
      <c r="G954" t="s">
        <v>13</v>
      </c>
      <c r="H954" t="s">
        <v>13</v>
      </c>
      <c r="I954">
        <v>24</v>
      </c>
      <c r="J954" t="str" cm="1">
        <f t="array" ref="J954">_xlfn.IFS(ISBLANK(C954),"FALTANTE",ABS((C954-$W$5)/$X$5)&gt;1.96,"ATÍPICO",ABS((C954-$W$5)/$X$5)&lt;=1.96,"NO ATÍPICO")</f>
        <v>NO ATÍPICO</v>
      </c>
      <c r="K954" t="str" cm="1">
        <f t="array" ref="K954">_xlfn.IFS(ISBLANK(I954),"FALTANTE",ABS((I954-$W$8)/$X$8)&gt;1.92,"ATÍPICO",ABS((I954-$W$8)/$X$8)&lt;=1.92,"NO ATÍPICO")</f>
        <v>NO ATÍPICO</v>
      </c>
      <c r="L954">
        <f t="shared" si="70"/>
        <v>297046</v>
      </c>
      <c r="M954" t="str">
        <f t="shared" si="74"/>
        <v>ASEGURADO VOLUNTARIO</v>
      </c>
      <c r="N954">
        <f t="shared" si="71"/>
        <v>24</v>
      </c>
      <c r="O954" s="19" t="str">
        <f t="shared" si="72"/>
        <v>0–300k</v>
      </c>
      <c r="P954" s="19" t="str">
        <f t="shared" si="73"/>
        <v>18-25</v>
      </c>
    </row>
    <row r="955" spans="1:16" x14ac:dyDescent="0.25">
      <c r="A955">
        <v>954</v>
      </c>
      <c r="B955" t="s">
        <v>9</v>
      </c>
      <c r="C955">
        <v>266831.25</v>
      </c>
      <c r="D955" t="s">
        <v>10</v>
      </c>
      <c r="E955" t="s">
        <v>16</v>
      </c>
      <c r="F955" t="s">
        <v>12</v>
      </c>
      <c r="G955" t="s">
        <v>13</v>
      </c>
      <c r="H955" t="s">
        <v>13</v>
      </c>
      <c r="I955">
        <v>21</v>
      </c>
      <c r="J955" t="str" cm="1">
        <f t="array" ref="J955">_xlfn.IFS(ISBLANK(C955),"FALTANTE",ABS((C955-$W$5)/$X$5)&gt;1.96,"ATÍPICO",ABS((C955-$W$5)/$X$5)&lt;=1.96,"NO ATÍPICO")</f>
        <v>NO ATÍPICO</v>
      </c>
      <c r="K955" t="str" cm="1">
        <f t="array" ref="K955">_xlfn.IFS(ISBLANK(I955),"FALTANTE",ABS((I955-$W$8)/$X$8)&gt;1.92,"ATÍPICO",ABS((I955-$W$8)/$X$8)&lt;=1.92,"NO ATÍPICO")</f>
        <v>NO ATÍPICO</v>
      </c>
      <c r="L955">
        <f t="shared" si="70"/>
        <v>266831.25</v>
      </c>
      <c r="M955" t="str">
        <f t="shared" si="74"/>
        <v>ASALARIADO</v>
      </c>
      <c r="N955">
        <f t="shared" si="71"/>
        <v>21</v>
      </c>
      <c r="O955" s="19" t="str">
        <f t="shared" si="72"/>
        <v>0–300k</v>
      </c>
      <c r="P955" s="19" t="str">
        <f t="shared" si="73"/>
        <v>18-25</v>
      </c>
    </row>
    <row r="956" spans="1:16" x14ac:dyDescent="0.25">
      <c r="A956">
        <v>955</v>
      </c>
      <c r="B956" t="s">
        <v>9</v>
      </c>
      <c r="C956">
        <v>943684.2</v>
      </c>
      <c r="D956" t="s">
        <v>10</v>
      </c>
      <c r="E956" t="s">
        <v>11</v>
      </c>
      <c r="F956" t="s">
        <v>12</v>
      </c>
      <c r="G956" t="s">
        <v>13</v>
      </c>
      <c r="H956" t="s">
        <v>13</v>
      </c>
      <c r="I956">
        <v>39</v>
      </c>
      <c r="J956" t="str" cm="1">
        <f t="array" ref="J956">_xlfn.IFS(ISBLANK(C956),"FALTANTE",ABS((C956-$W$5)/$X$5)&gt;1.96,"ATÍPICO",ABS((C956-$W$5)/$X$5)&lt;=1.96,"NO ATÍPICO")</f>
        <v>NO ATÍPICO</v>
      </c>
      <c r="K956" t="str" cm="1">
        <f t="array" ref="K956">_xlfn.IFS(ISBLANK(I956),"FALTANTE",ABS((I956-$W$8)/$X$8)&gt;1.92,"ATÍPICO",ABS((I956-$W$8)/$X$8)&lt;=1.92,"NO ATÍPICO")</f>
        <v>NO ATÍPICO</v>
      </c>
      <c r="L956">
        <f t="shared" si="70"/>
        <v>943684.2</v>
      </c>
      <c r="M956" t="str">
        <f t="shared" si="74"/>
        <v>ASALARIADO</v>
      </c>
      <c r="N956">
        <f t="shared" si="71"/>
        <v>39</v>
      </c>
      <c r="O956" s="19" t="str">
        <f t="shared" si="72"/>
        <v>900k–1200k</v>
      </c>
      <c r="P956" s="19" t="str">
        <f t="shared" si="73"/>
        <v>36-45</v>
      </c>
    </row>
    <row r="957" spans="1:16" x14ac:dyDescent="0.25">
      <c r="A957">
        <v>956</v>
      </c>
      <c r="B957" t="s">
        <v>9</v>
      </c>
      <c r="C957">
        <v>814208</v>
      </c>
      <c r="D957" t="s">
        <v>18</v>
      </c>
      <c r="E957" t="s">
        <v>16</v>
      </c>
      <c r="F957" t="s">
        <v>12</v>
      </c>
      <c r="G957" t="s">
        <v>13</v>
      </c>
      <c r="H957" t="s">
        <v>13</v>
      </c>
      <c r="I957">
        <v>49</v>
      </c>
      <c r="J957" t="str" cm="1">
        <f t="array" ref="J957">_xlfn.IFS(ISBLANK(C957),"FALTANTE",ABS((C957-$W$5)/$X$5)&gt;1.96,"ATÍPICO",ABS((C957-$W$5)/$X$5)&lt;=1.96,"NO ATÍPICO")</f>
        <v>NO ATÍPICO</v>
      </c>
      <c r="K957" t="str" cm="1">
        <f t="array" ref="K957">_xlfn.IFS(ISBLANK(I957),"FALTANTE",ABS((I957-$W$8)/$X$8)&gt;1.92,"ATÍPICO",ABS((I957-$W$8)/$X$8)&lt;=1.92,"NO ATÍPICO")</f>
        <v>NO ATÍPICO</v>
      </c>
      <c r="L957">
        <f t="shared" si="70"/>
        <v>814208</v>
      </c>
      <c r="M957" t="str">
        <f t="shared" si="74"/>
        <v>TRABAJADOR INDEPENDIENTE</v>
      </c>
      <c r="N957">
        <f t="shared" si="71"/>
        <v>49</v>
      </c>
      <c r="O957" s="19" t="str">
        <f t="shared" si="72"/>
        <v>600k–900k</v>
      </c>
      <c r="P957" s="19" t="str">
        <f t="shared" si="73"/>
        <v>46-55</v>
      </c>
    </row>
    <row r="958" spans="1:16" x14ac:dyDescent="0.25">
      <c r="A958">
        <v>957</v>
      </c>
      <c r="B958" t="s">
        <v>9</v>
      </c>
      <c r="C958">
        <v>298155</v>
      </c>
      <c r="D958" t="s">
        <v>18</v>
      </c>
      <c r="E958" t="s">
        <v>16</v>
      </c>
      <c r="F958" t="s">
        <v>12</v>
      </c>
      <c r="G958" t="s">
        <v>13</v>
      </c>
      <c r="H958" t="s">
        <v>13</v>
      </c>
      <c r="I958">
        <v>63</v>
      </c>
      <c r="J958" t="str" cm="1">
        <f t="array" ref="J958">_xlfn.IFS(ISBLANK(C958),"FALTANTE",ABS((C958-$W$5)/$X$5)&gt;1.96,"ATÍPICO",ABS((C958-$W$5)/$X$5)&lt;=1.96,"NO ATÍPICO")</f>
        <v>NO ATÍPICO</v>
      </c>
      <c r="K958" t="str" cm="1">
        <f t="array" ref="K958">_xlfn.IFS(ISBLANK(I958),"FALTANTE",ABS((I958-$W$8)/$X$8)&gt;1.92,"ATÍPICO",ABS((I958-$W$8)/$X$8)&lt;=1.92,"NO ATÍPICO")</f>
        <v>NO ATÍPICO</v>
      </c>
      <c r="L958">
        <f t="shared" si="70"/>
        <v>298155</v>
      </c>
      <c r="M958" t="str">
        <f t="shared" si="74"/>
        <v>TRABAJADOR INDEPENDIENTE</v>
      </c>
      <c r="N958">
        <f t="shared" si="71"/>
        <v>63</v>
      </c>
      <c r="O958" s="19" t="str">
        <f t="shared" si="72"/>
        <v>0–300k</v>
      </c>
      <c r="P958" s="19" t="str">
        <f t="shared" si="73"/>
        <v>56+</v>
      </c>
    </row>
    <row r="959" spans="1:16" x14ac:dyDescent="0.25">
      <c r="A959">
        <v>958</v>
      </c>
      <c r="B959" t="s">
        <v>15</v>
      </c>
      <c r="C959">
        <v>1102583.95</v>
      </c>
      <c r="D959" t="s">
        <v>10</v>
      </c>
      <c r="E959" t="s">
        <v>16</v>
      </c>
      <c r="F959" t="s">
        <v>12</v>
      </c>
      <c r="G959" t="s">
        <v>13</v>
      </c>
      <c r="H959" t="s">
        <v>13</v>
      </c>
      <c r="I959">
        <v>36</v>
      </c>
      <c r="J959" t="str" cm="1">
        <f t="array" ref="J959">_xlfn.IFS(ISBLANK(C959),"FALTANTE",ABS((C959-$W$5)/$X$5)&gt;1.96,"ATÍPICO",ABS((C959-$W$5)/$X$5)&lt;=1.96,"NO ATÍPICO")</f>
        <v>NO ATÍPICO</v>
      </c>
      <c r="K959" t="str" cm="1">
        <f t="array" ref="K959">_xlfn.IFS(ISBLANK(I959),"FALTANTE",ABS((I959-$W$8)/$X$8)&gt;1.92,"ATÍPICO",ABS((I959-$W$8)/$X$8)&lt;=1.92,"NO ATÍPICO")</f>
        <v>NO ATÍPICO</v>
      </c>
      <c r="L959">
        <f t="shared" si="70"/>
        <v>1102583.95</v>
      </c>
      <c r="M959" t="str">
        <f t="shared" si="74"/>
        <v>ASALARIADO</v>
      </c>
      <c r="N959">
        <f t="shared" si="71"/>
        <v>36</v>
      </c>
      <c r="O959" s="19" t="str">
        <f t="shared" si="72"/>
        <v>900k–1200k</v>
      </c>
      <c r="P959" s="19" t="str">
        <f t="shared" si="73"/>
        <v>36-45</v>
      </c>
    </row>
    <row r="960" spans="1:16" x14ac:dyDescent="0.25">
      <c r="A960">
        <v>959</v>
      </c>
      <c r="B960" t="s">
        <v>9</v>
      </c>
      <c r="C960">
        <v>326749</v>
      </c>
      <c r="D960" t="s">
        <v>17</v>
      </c>
      <c r="E960" t="s">
        <v>16</v>
      </c>
      <c r="F960" t="s">
        <v>12</v>
      </c>
      <c r="G960" t="s">
        <v>13</v>
      </c>
      <c r="H960" t="s">
        <v>13</v>
      </c>
      <c r="I960">
        <v>47</v>
      </c>
      <c r="J960" t="str" cm="1">
        <f t="array" ref="J960">_xlfn.IFS(ISBLANK(C960),"FALTANTE",ABS((C960-$W$5)/$X$5)&gt;1.96,"ATÍPICO",ABS((C960-$W$5)/$X$5)&lt;=1.96,"NO ATÍPICO")</f>
        <v>NO ATÍPICO</v>
      </c>
      <c r="K960" t="str" cm="1">
        <f t="array" ref="K960">_xlfn.IFS(ISBLANK(I960),"FALTANTE",ABS((I960-$W$8)/$X$8)&gt;1.92,"ATÍPICO",ABS((I960-$W$8)/$X$8)&lt;=1.92,"NO ATÍPICO")</f>
        <v>NO ATÍPICO</v>
      </c>
      <c r="L960">
        <f t="shared" si="70"/>
        <v>326749</v>
      </c>
      <c r="M960" t="str">
        <f t="shared" si="74"/>
        <v>ASEGURADO VOLUNTARIO</v>
      </c>
      <c r="N960">
        <f t="shared" si="71"/>
        <v>47</v>
      </c>
      <c r="O960" s="19" t="str">
        <f t="shared" si="72"/>
        <v>300k–600k</v>
      </c>
      <c r="P960" s="19" t="str">
        <f t="shared" si="73"/>
        <v>46-55</v>
      </c>
    </row>
    <row r="961" spans="1:16" x14ac:dyDescent="0.25">
      <c r="A961">
        <v>960</v>
      </c>
      <c r="B961" t="s">
        <v>9</v>
      </c>
      <c r="C961">
        <v>419576</v>
      </c>
      <c r="D961" t="s">
        <v>18</v>
      </c>
      <c r="E961" t="s">
        <v>16</v>
      </c>
      <c r="F961" t="s">
        <v>12</v>
      </c>
      <c r="G961" t="s">
        <v>13</v>
      </c>
      <c r="H961" t="s">
        <v>13</v>
      </c>
      <c r="I961">
        <v>59</v>
      </c>
      <c r="J961" t="str" cm="1">
        <f t="array" ref="J961">_xlfn.IFS(ISBLANK(C961),"FALTANTE",ABS((C961-$W$5)/$X$5)&gt;1.96,"ATÍPICO",ABS((C961-$W$5)/$X$5)&lt;=1.96,"NO ATÍPICO")</f>
        <v>NO ATÍPICO</v>
      </c>
      <c r="K961" t="str" cm="1">
        <f t="array" ref="K961">_xlfn.IFS(ISBLANK(I961),"FALTANTE",ABS((I961-$W$8)/$X$8)&gt;1.92,"ATÍPICO",ABS((I961-$W$8)/$X$8)&lt;=1.92,"NO ATÍPICO")</f>
        <v>NO ATÍPICO</v>
      </c>
      <c r="L961">
        <f t="shared" si="70"/>
        <v>419576</v>
      </c>
      <c r="M961" t="str">
        <f t="shared" si="74"/>
        <v>TRABAJADOR INDEPENDIENTE</v>
      </c>
      <c r="N961">
        <f t="shared" si="71"/>
        <v>59</v>
      </c>
      <c r="O961" s="19" t="str">
        <f t="shared" si="72"/>
        <v>300k–600k</v>
      </c>
      <c r="P961" s="19" t="str">
        <f t="shared" si="73"/>
        <v>56+</v>
      </c>
    </row>
    <row r="962" spans="1:16" x14ac:dyDescent="0.25">
      <c r="A962">
        <v>961</v>
      </c>
      <c r="B962" t="s">
        <v>15</v>
      </c>
      <c r="C962">
        <v>1828056.75</v>
      </c>
      <c r="D962" t="s">
        <v>10</v>
      </c>
      <c r="E962" t="s">
        <v>16</v>
      </c>
      <c r="F962" t="s">
        <v>12</v>
      </c>
      <c r="G962" t="s">
        <v>13</v>
      </c>
      <c r="H962" t="s">
        <v>13</v>
      </c>
      <c r="I962">
        <v>40</v>
      </c>
      <c r="J962" t="str" cm="1">
        <f t="array" ref="J962">_xlfn.IFS(ISBLANK(C962),"FALTANTE",ABS((C962-$W$5)/$X$5)&gt;1.96,"ATÍPICO",ABS((C962-$W$5)/$X$5)&lt;=1.96,"NO ATÍPICO")</f>
        <v>NO ATÍPICO</v>
      </c>
      <c r="K962" t="str" cm="1">
        <f t="array" ref="K962">_xlfn.IFS(ISBLANK(I962),"FALTANTE",ABS((I962-$W$8)/$X$8)&gt;1.92,"ATÍPICO",ABS((I962-$W$8)/$X$8)&lt;=1.92,"NO ATÍPICO")</f>
        <v>NO ATÍPICO</v>
      </c>
      <c r="L962">
        <f t="shared" ref="L962:L1025" si="75">C962</f>
        <v>1828056.75</v>
      </c>
      <c r="M962" t="str">
        <f t="shared" si="74"/>
        <v>ASALARIADO</v>
      </c>
      <c r="N962">
        <f t="shared" ref="N962:N1025" si="76">I962</f>
        <v>40</v>
      </c>
      <c r="O962" s="19" t="str">
        <f t="shared" ref="O962:O1025" si="77">IF(L962&lt;=300000,"0–300k",IF(L962&lt;=600000,"300k–600k",IF(L962&lt;=900000,"600k–900k",IF(L962&lt;=1200000,"900k–1200k","1200k+"))))</f>
        <v>1200k+</v>
      </c>
      <c r="P962" s="19" t="str">
        <f t="shared" ref="P962:P1025" si="78">IF(N962 &lt;=25,"18-25", IF(N962&lt;=35,"26-35", IF(N962 &lt;=45,"36-45", IF(N962&lt;=55,"46-55","56+"))))</f>
        <v>36-45</v>
      </c>
    </row>
    <row r="963" spans="1:16" x14ac:dyDescent="0.25">
      <c r="A963">
        <v>962</v>
      </c>
      <c r="B963" t="s">
        <v>9</v>
      </c>
      <c r="C963">
        <v>1335784.1399999999</v>
      </c>
      <c r="D963" t="s">
        <v>10</v>
      </c>
      <c r="E963" t="s">
        <v>16</v>
      </c>
      <c r="F963" t="s">
        <v>12</v>
      </c>
      <c r="G963" t="s">
        <v>13</v>
      </c>
      <c r="H963" t="s">
        <v>13</v>
      </c>
      <c r="I963">
        <v>36</v>
      </c>
      <c r="J963" t="str" cm="1">
        <f t="array" ref="J963">_xlfn.IFS(ISBLANK(C963),"FALTANTE",ABS((C963-$W$5)/$X$5)&gt;1.96,"ATÍPICO",ABS((C963-$W$5)/$X$5)&lt;=1.96,"NO ATÍPICO")</f>
        <v>NO ATÍPICO</v>
      </c>
      <c r="K963" t="str" cm="1">
        <f t="array" ref="K963">_xlfn.IFS(ISBLANK(I963),"FALTANTE",ABS((I963-$W$8)/$X$8)&gt;1.92,"ATÍPICO",ABS((I963-$W$8)/$X$8)&lt;=1.92,"NO ATÍPICO")</f>
        <v>NO ATÍPICO</v>
      </c>
      <c r="L963">
        <f t="shared" si="75"/>
        <v>1335784.1399999999</v>
      </c>
      <c r="M963" t="str">
        <f t="shared" si="74"/>
        <v>ASALARIADO</v>
      </c>
      <c r="N963">
        <f t="shared" si="76"/>
        <v>36</v>
      </c>
      <c r="O963" s="19" t="str">
        <f t="shared" si="77"/>
        <v>1200k+</v>
      </c>
      <c r="P963" s="19" t="str">
        <f t="shared" si="78"/>
        <v>36-45</v>
      </c>
    </row>
    <row r="964" spans="1:16" x14ac:dyDescent="0.25">
      <c r="A964">
        <v>963</v>
      </c>
      <c r="B964" t="s">
        <v>9</v>
      </c>
      <c r="C964">
        <v>302470</v>
      </c>
      <c r="D964" t="s">
        <v>17</v>
      </c>
      <c r="E964" t="s">
        <v>16</v>
      </c>
      <c r="F964" t="s">
        <v>12</v>
      </c>
      <c r="G964" t="s">
        <v>13</v>
      </c>
      <c r="H964" t="s">
        <v>13</v>
      </c>
      <c r="I964">
        <v>43</v>
      </c>
      <c r="J964" t="str" cm="1">
        <f t="array" ref="J964">_xlfn.IFS(ISBLANK(C964),"FALTANTE",ABS((C964-$W$5)/$X$5)&gt;1.96,"ATÍPICO",ABS((C964-$W$5)/$X$5)&lt;=1.96,"NO ATÍPICO")</f>
        <v>NO ATÍPICO</v>
      </c>
      <c r="K964" t="str" cm="1">
        <f t="array" ref="K964">_xlfn.IFS(ISBLANK(I964),"FALTANTE",ABS((I964-$W$8)/$X$8)&gt;1.92,"ATÍPICO",ABS((I964-$W$8)/$X$8)&lt;=1.92,"NO ATÍPICO")</f>
        <v>NO ATÍPICO</v>
      </c>
      <c r="L964">
        <f t="shared" si="75"/>
        <v>302470</v>
      </c>
      <c r="M964" t="str">
        <f t="shared" ref="M964:M1027" si="79">D964</f>
        <v>ASEGURADO VOLUNTARIO</v>
      </c>
      <c r="N964">
        <f t="shared" si="76"/>
        <v>43</v>
      </c>
      <c r="O964" s="19" t="str">
        <f t="shared" si="77"/>
        <v>300k–600k</v>
      </c>
      <c r="P964" s="19" t="str">
        <f t="shared" si="78"/>
        <v>36-45</v>
      </c>
    </row>
    <row r="965" spans="1:16" x14ac:dyDescent="0.25">
      <c r="A965">
        <v>964</v>
      </c>
      <c r="B965" t="s">
        <v>15</v>
      </c>
      <c r="C965">
        <v>538365</v>
      </c>
      <c r="D965" t="s">
        <v>14</v>
      </c>
      <c r="E965" t="s">
        <v>11</v>
      </c>
      <c r="F965" t="s">
        <v>12</v>
      </c>
      <c r="G965" t="s">
        <v>13</v>
      </c>
      <c r="H965" t="s">
        <v>13</v>
      </c>
      <c r="I965">
        <v>71</v>
      </c>
      <c r="J965" t="str" cm="1">
        <f t="array" ref="J965">_xlfn.IFS(ISBLANK(C965),"FALTANTE",ABS((C965-$W$5)/$X$5)&gt;1.96,"ATÍPICO",ABS((C965-$W$5)/$X$5)&lt;=1.96,"NO ATÍPICO")</f>
        <v>NO ATÍPICO</v>
      </c>
      <c r="K965" t="str" cm="1">
        <f t="array" ref="K965">_xlfn.IFS(ISBLANK(I965),"FALTANTE",ABS((I965-$W$8)/$X$8)&gt;1.92,"ATÍPICO",ABS((I965-$W$8)/$X$8)&lt;=1.92,"NO ATÍPICO")</f>
        <v>ATÍPICO</v>
      </c>
      <c r="L965">
        <f t="shared" si="75"/>
        <v>538365</v>
      </c>
      <c r="M965" t="str">
        <f t="shared" si="79"/>
        <v>PENSIONADOS EN SU PROPIO SISTEMA</v>
      </c>
      <c r="N965">
        <f t="shared" si="76"/>
        <v>71</v>
      </c>
      <c r="O965" s="19" t="str">
        <f t="shared" si="77"/>
        <v>300k–600k</v>
      </c>
      <c r="P965" s="19" t="str">
        <f t="shared" si="78"/>
        <v>56+</v>
      </c>
    </row>
    <row r="966" spans="1:16" x14ac:dyDescent="0.25">
      <c r="A966">
        <v>965</v>
      </c>
      <c r="B966" t="s">
        <v>15</v>
      </c>
      <c r="C966">
        <v>383420.24</v>
      </c>
      <c r="D966" t="s">
        <v>10</v>
      </c>
      <c r="E966" t="s">
        <v>16</v>
      </c>
      <c r="F966" t="s">
        <v>12</v>
      </c>
      <c r="G966" t="s">
        <v>13</v>
      </c>
      <c r="H966" t="s">
        <v>13</v>
      </c>
      <c r="I966">
        <v>23</v>
      </c>
      <c r="J966" t="str" cm="1">
        <f t="array" ref="J966">_xlfn.IFS(ISBLANK(C966),"FALTANTE",ABS((C966-$W$5)/$X$5)&gt;1.96,"ATÍPICO",ABS((C966-$W$5)/$X$5)&lt;=1.96,"NO ATÍPICO")</f>
        <v>NO ATÍPICO</v>
      </c>
      <c r="K966" t="str" cm="1">
        <f t="array" ref="K966">_xlfn.IFS(ISBLANK(I966),"FALTANTE",ABS((I966-$W$8)/$X$8)&gt;1.92,"ATÍPICO",ABS((I966-$W$8)/$X$8)&lt;=1.92,"NO ATÍPICO")</f>
        <v>NO ATÍPICO</v>
      </c>
      <c r="L966">
        <f t="shared" si="75"/>
        <v>383420.24</v>
      </c>
      <c r="M966" t="str">
        <f t="shared" si="79"/>
        <v>ASALARIADO</v>
      </c>
      <c r="N966">
        <f t="shared" si="76"/>
        <v>23</v>
      </c>
      <c r="O966" s="19" t="str">
        <f t="shared" si="77"/>
        <v>300k–600k</v>
      </c>
      <c r="P966" s="19" t="str">
        <f t="shared" si="78"/>
        <v>18-25</v>
      </c>
    </row>
    <row r="967" spans="1:16" x14ac:dyDescent="0.25">
      <c r="A967">
        <v>966</v>
      </c>
      <c r="B967" t="s">
        <v>15</v>
      </c>
      <c r="C967">
        <v>2385230</v>
      </c>
      <c r="D967" t="s">
        <v>10</v>
      </c>
      <c r="E967" t="s">
        <v>16</v>
      </c>
      <c r="F967" t="s">
        <v>12</v>
      </c>
      <c r="G967" t="s">
        <v>13</v>
      </c>
      <c r="H967" t="s">
        <v>13</v>
      </c>
      <c r="I967">
        <v>61</v>
      </c>
      <c r="J967" t="str" cm="1">
        <f t="array" ref="J967">_xlfn.IFS(ISBLANK(C967),"FALTANTE",ABS((C967-$W$5)/$X$5)&gt;1.96,"ATÍPICO",ABS((C967-$W$5)/$X$5)&lt;=1.96,"NO ATÍPICO")</f>
        <v>ATÍPICO</v>
      </c>
      <c r="K967" t="str" cm="1">
        <f t="array" ref="K967">_xlfn.IFS(ISBLANK(I967),"FALTANTE",ABS((I967-$W$8)/$X$8)&gt;1.92,"ATÍPICO",ABS((I967-$W$8)/$X$8)&lt;=1.92,"NO ATÍPICO")</f>
        <v>NO ATÍPICO</v>
      </c>
      <c r="L967">
        <f t="shared" si="75"/>
        <v>2385230</v>
      </c>
      <c r="M967" t="str">
        <f t="shared" si="79"/>
        <v>ASALARIADO</v>
      </c>
      <c r="N967">
        <f t="shared" si="76"/>
        <v>61</v>
      </c>
      <c r="O967" s="19" t="str">
        <f t="shared" si="77"/>
        <v>1200k+</v>
      </c>
      <c r="P967" s="19" t="str">
        <f t="shared" si="78"/>
        <v>56+</v>
      </c>
    </row>
    <row r="968" spans="1:16" x14ac:dyDescent="0.25">
      <c r="A968">
        <v>967</v>
      </c>
      <c r="B968" t="s">
        <v>15</v>
      </c>
      <c r="C968">
        <v>300018</v>
      </c>
      <c r="D968" t="s">
        <v>17</v>
      </c>
      <c r="E968" t="s">
        <v>16</v>
      </c>
      <c r="F968" t="s">
        <v>12</v>
      </c>
      <c r="G968" t="s">
        <v>13</v>
      </c>
      <c r="H968" t="s">
        <v>13</v>
      </c>
      <c r="I968">
        <v>47</v>
      </c>
      <c r="J968" t="str" cm="1">
        <f t="array" ref="J968">_xlfn.IFS(ISBLANK(C968),"FALTANTE",ABS((C968-$W$5)/$X$5)&gt;1.96,"ATÍPICO",ABS((C968-$W$5)/$X$5)&lt;=1.96,"NO ATÍPICO")</f>
        <v>NO ATÍPICO</v>
      </c>
      <c r="K968" t="str" cm="1">
        <f t="array" ref="K968">_xlfn.IFS(ISBLANK(I968),"FALTANTE",ABS((I968-$W$8)/$X$8)&gt;1.92,"ATÍPICO",ABS((I968-$W$8)/$X$8)&lt;=1.92,"NO ATÍPICO")</f>
        <v>NO ATÍPICO</v>
      </c>
      <c r="L968">
        <f t="shared" si="75"/>
        <v>300018</v>
      </c>
      <c r="M968" t="str">
        <f t="shared" si="79"/>
        <v>ASEGURADO VOLUNTARIO</v>
      </c>
      <c r="N968">
        <f t="shared" si="76"/>
        <v>47</v>
      </c>
      <c r="O968" s="19" t="str">
        <f t="shared" si="77"/>
        <v>300k–600k</v>
      </c>
      <c r="P968" s="19" t="str">
        <f t="shared" si="78"/>
        <v>46-55</v>
      </c>
    </row>
    <row r="969" spans="1:16" x14ac:dyDescent="0.25">
      <c r="A969">
        <v>968</v>
      </c>
      <c r="B969" t="s">
        <v>15</v>
      </c>
      <c r="C969">
        <v>309100.09999999998</v>
      </c>
      <c r="D969" t="s">
        <v>10</v>
      </c>
      <c r="E969" t="s">
        <v>16</v>
      </c>
      <c r="F969" t="s">
        <v>12</v>
      </c>
      <c r="G969" t="s">
        <v>13</v>
      </c>
      <c r="H969" t="s">
        <v>13</v>
      </c>
      <c r="I969">
        <v>20</v>
      </c>
      <c r="J969" t="str" cm="1">
        <f t="array" ref="J969">_xlfn.IFS(ISBLANK(C969),"FALTANTE",ABS((C969-$W$5)/$X$5)&gt;1.96,"ATÍPICO",ABS((C969-$W$5)/$X$5)&lt;=1.96,"NO ATÍPICO")</f>
        <v>NO ATÍPICO</v>
      </c>
      <c r="K969" t="str" cm="1">
        <f t="array" ref="K969">_xlfn.IFS(ISBLANK(I969),"FALTANTE",ABS((I969-$W$8)/$X$8)&gt;1.92,"ATÍPICO",ABS((I969-$W$8)/$X$8)&lt;=1.92,"NO ATÍPICO")</f>
        <v>NO ATÍPICO</v>
      </c>
      <c r="L969">
        <f t="shared" si="75"/>
        <v>309100.09999999998</v>
      </c>
      <c r="M969" t="str">
        <f t="shared" si="79"/>
        <v>ASALARIADO</v>
      </c>
      <c r="N969">
        <f t="shared" si="76"/>
        <v>20</v>
      </c>
      <c r="O969" s="19" t="str">
        <f t="shared" si="77"/>
        <v>300k–600k</v>
      </c>
      <c r="P969" s="19" t="str">
        <f t="shared" si="78"/>
        <v>18-25</v>
      </c>
    </row>
    <row r="970" spans="1:16" x14ac:dyDescent="0.25">
      <c r="A970">
        <v>969</v>
      </c>
      <c r="B970" t="s">
        <v>9</v>
      </c>
      <c r="C970">
        <v>300000</v>
      </c>
      <c r="D970" t="s">
        <v>10</v>
      </c>
      <c r="E970" t="s">
        <v>16</v>
      </c>
      <c r="F970" t="s">
        <v>12</v>
      </c>
      <c r="G970" t="s">
        <v>13</v>
      </c>
      <c r="H970" t="s">
        <v>13</v>
      </c>
      <c r="I970">
        <v>60</v>
      </c>
      <c r="J970" t="str" cm="1">
        <f t="array" ref="J970">_xlfn.IFS(ISBLANK(C970),"FALTANTE",ABS((C970-$W$5)/$X$5)&gt;1.96,"ATÍPICO",ABS((C970-$W$5)/$X$5)&lt;=1.96,"NO ATÍPICO")</f>
        <v>NO ATÍPICO</v>
      </c>
      <c r="K970" t="str" cm="1">
        <f t="array" ref="K970">_xlfn.IFS(ISBLANK(I970),"FALTANTE",ABS((I970-$W$8)/$X$8)&gt;1.92,"ATÍPICO",ABS((I970-$W$8)/$X$8)&lt;=1.92,"NO ATÍPICO")</f>
        <v>NO ATÍPICO</v>
      </c>
      <c r="L970">
        <f t="shared" si="75"/>
        <v>300000</v>
      </c>
      <c r="M970" t="str">
        <f t="shared" si="79"/>
        <v>ASALARIADO</v>
      </c>
      <c r="N970">
        <f t="shared" si="76"/>
        <v>60</v>
      </c>
      <c r="O970" s="19" t="str">
        <f t="shared" si="77"/>
        <v>0–300k</v>
      </c>
      <c r="P970" s="19" t="str">
        <f t="shared" si="78"/>
        <v>56+</v>
      </c>
    </row>
    <row r="971" spans="1:16" x14ac:dyDescent="0.25">
      <c r="A971">
        <v>970</v>
      </c>
      <c r="B971" t="s">
        <v>9</v>
      </c>
      <c r="C971">
        <v>420000</v>
      </c>
      <c r="D971" t="s">
        <v>10</v>
      </c>
      <c r="E971" t="s">
        <v>16</v>
      </c>
      <c r="F971" t="s">
        <v>12</v>
      </c>
      <c r="G971" t="s">
        <v>13</v>
      </c>
      <c r="H971" t="s">
        <v>13</v>
      </c>
      <c r="I971">
        <v>25</v>
      </c>
      <c r="J971" t="str" cm="1">
        <f t="array" ref="J971">_xlfn.IFS(ISBLANK(C971),"FALTANTE",ABS((C971-$W$5)/$X$5)&gt;1.96,"ATÍPICO",ABS((C971-$W$5)/$X$5)&lt;=1.96,"NO ATÍPICO")</f>
        <v>NO ATÍPICO</v>
      </c>
      <c r="K971" t="str" cm="1">
        <f t="array" ref="K971">_xlfn.IFS(ISBLANK(I971),"FALTANTE",ABS((I971-$W$8)/$X$8)&gt;1.92,"ATÍPICO",ABS((I971-$W$8)/$X$8)&lt;=1.92,"NO ATÍPICO")</f>
        <v>NO ATÍPICO</v>
      </c>
      <c r="L971">
        <f t="shared" si="75"/>
        <v>420000</v>
      </c>
      <c r="M971" t="str">
        <f t="shared" si="79"/>
        <v>ASALARIADO</v>
      </c>
      <c r="N971">
        <f t="shared" si="76"/>
        <v>25</v>
      </c>
      <c r="O971" s="19" t="str">
        <f t="shared" si="77"/>
        <v>300k–600k</v>
      </c>
      <c r="P971" s="19" t="str">
        <f t="shared" si="78"/>
        <v>18-25</v>
      </c>
    </row>
    <row r="972" spans="1:16" x14ac:dyDescent="0.25">
      <c r="A972">
        <v>971</v>
      </c>
      <c r="B972" t="s">
        <v>9</v>
      </c>
      <c r="C972">
        <v>1326988.8</v>
      </c>
      <c r="D972" t="s">
        <v>10</v>
      </c>
      <c r="E972" t="s">
        <v>11</v>
      </c>
      <c r="F972" t="s">
        <v>12</v>
      </c>
      <c r="G972" t="s">
        <v>13</v>
      </c>
      <c r="H972" t="s">
        <v>13</v>
      </c>
      <c r="I972">
        <v>38</v>
      </c>
      <c r="J972" t="str" cm="1">
        <f t="array" ref="J972">_xlfn.IFS(ISBLANK(C972),"FALTANTE",ABS((C972-$W$5)/$X$5)&gt;1.96,"ATÍPICO",ABS((C972-$W$5)/$X$5)&lt;=1.96,"NO ATÍPICO")</f>
        <v>NO ATÍPICO</v>
      </c>
      <c r="K972" t="str" cm="1">
        <f t="array" ref="K972">_xlfn.IFS(ISBLANK(I972),"FALTANTE",ABS((I972-$W$8)/$X$8)&gt;1.92,"ATÍPICO",ABS((I972-$W$8)/$X$8)&lt;=1.92,"NO ATÍPICO")</f>
        <v>NO ATÍPICO</v>
      </c>
      <c r="L972">
        <f t="shared" si="75"/>
        <v>1326988.8</v>
      </c>
      <c r="M972" t="str">
        <f t="shared" si="79"/>
        <v>ASALARIADO</v>
      </c>
      <c r="N972">
        <f t="shared" si="76"/>
        <v>38</v>
      </c>
      <c r="O972" s="19" t="str">
        <f t="shared" si="77"/>
        <v>1200k+</v>
      </c>
      <c r="P972" s="19" t="str">
        <f t="shared" si="78"/>
        <v>36-45</v>
      </c>
    </row>
    <row r="973" spans="1:16" x14ac:dyDescent="0.25">
      <c r="A973">
        <v>972</v>
      </c>
      <c r="B973" t="s">
        <v>9</v>
      </c>
      <c r="C973">
        <v>405798</v>
      </c>
      <c r="D973" t="s">
        <v>18</v>
      </c>
      <c r="E973" t="s">
        <v>16</v>
      </c>
      <c r="F973" t="s">
        <v>12</v>
      </c>
      <c r="G973" t="s">
        <v>13</v>
      </c>
      <c r="H973" t="s">
        <v>12</v>
      </c>
      <c r="I973">
        <v>60</v>
      </c>
      <c r="J973" t="str" cm="1">
        <f t="array" ref="J973">_xlfn.IFS(ISBLANK(C973),"FALTANTE",ABS((C973-$W$5)/$X$5)&gt;1.96,"ATÍPICO",ABS((C973-$W$5)/$X$5)&lt;=1.96,"NO ATÍPICO")</f>
        <v>NO ATÍPICO</v>
      </c>
      <c r="K973" t="str" cm="1">
        <f t="array" ref="K973">_xlfn.IFS(ISBLANK(I973),"FALTANTE",ABS((I973-$W$8)/$X$8)&gt;1.92,"ATÍPICO",ABS((I973-$W$8)/$X$8)&lt;=1.92,"NO ATÍPICO")</f>
        <v>NO ATÍPICO</v>
      </c>
      <c r="L973">
        <f t="shared" si="75"/>
        <v>405798</v>
      </c>
      <c r="M973" t="str">
        <f t="shared" si="79"/>
        <v>TRABAJADOR INDEPENDIENTE</v>
      </c>
      <c r="N973">
        <f t="shared" si="76"/>
        <v>60</v>
      </c>
      <c r="O973" s="19" t="str">
        <f t="shared" si="77"/>
        <v>300k–600k</v>
      </c>
      <c r="P973" s="19" t="str">
        <f t="shared" si="78"/>
        <v>56+</v>
      </c>
    </row>
    <row r="974" spans="1:16" x14ac:dyDescent="0.25">
      <c r="A974">
        <v>973</v>
      </c>
      <c r="B974" t="s">
        <v>15</v>
      </c>
      <c r="C974">
        <v>299647</v>
      </c>
      <c r="D974" t="s">
        <v>17</v>
      </c>
      <c r="E974" t="s">
        <v>16</v>
      </c>
      <c r="F974" t="s">
        <v>12</v>
      </c>
      <c r="G974" t="s">
        <v>13</v>
      </c>
      <c r="H974" t="s">
        <v>13</v>
      </c>
      <c r="I974">
        <v>40</v>
      </c>
      <c r="J974" t="str" cm="1">
        <f t="array" ref="J974">_xlfn.IFS(ISBLANK(C974),"FALTANTE",ABS((C974-$W$5)/$X$5)&gt;1.96,"ATÍPICO",ABS((C974-$W$5)/$X$5)&lt;=1.96,"NO ATÍPICO")</f>
        <v>NO ATÍPICO</v>
      </c>
      <c r="K974" t="str" cm="1">
        <f t="array" ref="K974">_xlfn.IFS(ISBLANK(I974),"FALTANTE",ABS((I974-$W$8)/$X$8)&gt;1.92,"ATÍPICO",ABS((I974-$W$8)/$X$8)&lt;=1.92,"NO ATÍPICO")</f>
        <v>NO ATÍPICO</v>
      </c>
      <c r="L974">
        <f t="shared" si="75"/>
        <v>299647</v>
      </c>
      <c r="M974" t="str">
        <f t="shared" si="79"/>
        <v>ASEGURADO VOLUNTARIO</v>
      </c>
      <c r="N974">
        <f t="shared" si="76"/>
        <v>40</v>
      </c>
      <c r="O974" s="19" t="str">
        <f t="shared" si="77"/>
        <v>0–300k</v>
      </c>
      <c r="P974" s="19" t="str">
        <f t="shared" si="78"/>
        <v>36-45</v>
      </c>
    </row>
    <row r="975" spans="1:16" x14ac:dyDescent="0.25">
      <c r="A975">
        <v>974</v>
      </c>
      <c r="B975" t="s">
        <v>15</v>
      </c>
      <c r="C975">
        <v>837414</v>
      </c>
      <c r="D975" t="s">
        <v>18</v>
      </c>
      <c r="E975" t="s">
        <v>16</v>
      </c>
      <c r="F975" t="s">
        <v>12</v>
      </c>
      <c r="G975" t="s">
        <v>13</v>
      </c>
      <c r="H975" t="s">
        <v>13</v>
      </c>
      <c r="I975">
        <v>65</v>
      </c>
      <c r="J975" t="str" cm="1">
        <f t="array" ref="J975">_xlfn.IFS(ISBLANK(C975),"FALTANTE",ABS((C975-$W$5)/$X$5)&gt;1.96,"ATÍPICO",ABS((C975-$W$5)/$X$5)&lt;=1.96,"NO ATÍPICO")</f>
        <v>NO ATÍPICO</v>
      </c>
      <c r="K975" t="str" cm="1">
        <f t="array" ref="K975">_xlfn.IFS(ISBLANK(I975),"FALTANTE",ABS((I975-$W$8)/$X$8)&gt;1.92,"ATÍPICO",ABS((I975-$W$8)/$X$8)&lt;=1.92,"NO ATÍPICO")</f>
        <v>NO ATÍPICO</v>
      </c>
      <c r="L975">
        <f t="shared" si="75"/>
        <v>837414</v>
      </c>
      <c r="M975" t="str">
        <f t="shared" si="79"/>
        <v>TRABAJADOR INDEPENDIENTE</v>
      </c>
      <c r="N975">
        <f t="shared" si="76"/>
        <v>65</v>
      </c>
      <c r="O975" s="19" t="str">
        <f t="shared" si="77"/>
        <v>600k–900k</v>
      </c>
      <c r="P975" s="19" t="str">
        <f t="shared" si="78"/>
        <v>56+</v>
      </c>
    </row>
    <row r="976" spans="1:16" x14ac:dyDescent="0.25">
      <c r="A976">
        <v>975</v>
      </c>
      <c r="B976" t="s">
        <v>9</v>
      </c>
      <c r="C976">
        <v>329119.93</v>
      </c>
      <c r="D976" t="s">
        <v>10</v>
      </c>
      <c r="E976" t="s">
        <v>16</v>
      </c>
      <c r="F976" t="s">
        <v>12</v>
      </c>
      <c r="G976" t="s">
        <v>13</v>
      </c>
      <c r="H976" t="s">
        <v>13</v>
      </c>
      <c r="I976">
        <v>28</v>
      </c>
      <c r="J976" t="str" cm="1">
        <f t="array" ref="J976">_xlfn.IFS(ISBLANK(C976),"FALTANTE",ABS((C976-$W$5)/$X$5)&gt;1.96,"ATÍPICO",ABS((C976-$W$5)/$X$5)&lt;=1.96,"NO ATÍPICO")</f>
        <v>NO ATÍPICO</v>
      </c>
      <c r="K976" t="str" cm="1">
        <f t="array" ref="K976">_xlfn.IFS(ISBLANK(I976),"FALTANTE",ABS((I976-$W$8)/$X$8)&gt;1.92,"ATÍPICO",ABS((I976-$W$8)/$X$8)&lt;=1.92,"NO ATÍPICO")</f>
        <v>NO ATÍPICO</v>
      </c>
      <c r="L976">
        <f t="shared" si="75"/>
        <v>329119.93</v>
      </c>
      <c r="M976" t="str">
        <f t="shared" si="79"/>
        <v>ASALARIADO</v>
      </c>
      <c r="N976">
        <f t="shared" si="76"/>
        <v>28</v>
      </c>
      <c r="O976" s="19" t="str">
        <f t="shared" si="77"/>
        <v>300k–600k</v>
      </c>
      <c r="P976" s="19" t="str">
        <f t="shared" si="78"/>
        <v>26-35</v>
      </c>
    </row>
    <row r="977" spans="1:16" x14ac:dyDescent="0.25">
      <c r="A977">
        <v>976</v>
      </c>
      <c r="B977" t="s">
        <v>9</v>
      </c>
      <c r="C977">
        <v>966467.2</v>
      </c>
      <c r="D977" t="s">
        <v>10</v>
      </c>
      <c r="E977" t="s">
        <v>16</v>
      </c>
      <c r="F977" t="s">
        <v>12</v>
      </c>
      <c r="G977" t="s">
        <v>12</v>
      </c>
      <c r="H977" t="s">
        <v>13</v>
      </c>
      <c r="I977">
        <v>29</v>
      </c>
      <c r="J977" t="str" cm="1">
        <f t="array" ref="J977">_xlfn.IFS(ISBLANK(C977),"FALTANTE",ABS((C977-$W$5)/$X$5)&gt;1.96,"ATÍPICO",ABS((C977-$W$5)/$X$5)&lt;=1.96,"NO ATÍPICO")</f>
        <v>NO ATÍPICO</v>
      </c>
      <c r="K977" t="str" cm="1">
        <f t="array" ref="K977">_xlfn.IFS(ISBLANK(I977),"FALTANTE",ABS((I977-$W$8)/$X$8)&gt;1.92,"ATÍPICO",ABS((I977-$W$8)/$X$8)&lt;=1.92,"NO ATÍPICO")</f>
        <v>NO ATÍPICO</v>
      </c>
      <c r="L977">
        <f t="shared" si="75"/>
        <v>966467.2</v>
      </c>
      <c r="M977" t="str">
        <f t="shared" si="79"/>
        <v>ASALARIADO</v>
      </c>
      <c r="N977">
        <f t="shared" si="76"/>
        <v>29</v>
      </c>
      <c r="O977" s="19" t="str">
        <f t="shared" si="77"/>
        <v>900k–1200k</v>
      </c>
      <c r="P977" s="19" t="str">
        <f t="shared" si="78"/>
        <v>26-35</v>
      </c>
    </row>
    <row r="978" spans="1:16" x14ac:dyDescent="0.25">
      <c r="A978">
        <v>977</v>
      </c>
      <c r="B978" t="s">
        <v>15</v>
      </c>
      <c r="C978">
        <v>424747.4</v>
      </c>
      <c r="D978" t="s">
        <v>10</v>
      </c>
      <c r="E978" t="s">
        <v>16</v>
      </c>
      <c r="F978" t="s">
        <v>12</v>
      </c>
      <c r="G978" t="s">
        <v>13</v>
      </c>
      <c r="H978" t="s">
        <v>13</v>
      </c>
      <c r="I978">
        <v>49</v>
      </c>
      <c r="J978" t="str" cm="1">
        <f t="array" ref="J978">_xlfn.IFS(ISBLANK(C978),"FALTANTE",ABS((C978-$W$5)/$X$5)&gt;1.96,"ATÍPICO",ABS((C978-$W$5)/$X$5)&lt;=1.96,"NO ATÍPICO")</f>
        <v>NO ATÍPICO</v>
      </c>
      <c r="K978" t="str" cm="1">
        <f t="array" ref="K978">_xlfn.IFS(ISBLANK(I978),"FALTANTE",ABS((I978-$W$8)/$X$8)&gt;1.92,"ATÍPICO",ABS((I978-$W$8)/$X$8)&lt;=1.92,"NO ATÍPICO")</f>
        <v>NO ATÍPICO</v>
      </c>
      <c r="L978">
        <f t="shared" si="75"/>
        <v>424747.4</v>
      </c>
      <c r="M978" t="str">
        <f t="shared" si="79"/>
        <v>ASALARIADO</v>
      </c>
      <c r="N978">
        <f t="shared" si="76"/>
        <v>49</v>
      </c>
      <c r="O978" s="19" t="str">
        <f t="shared" si="77"/>
        <v>300k–600k</v>
      </c>
      <c r="P978" s="19" t="str">
        <f t="shared" si="78"/>
        <v>46-55</v>
      </c>
    </row>
    <row r="979" spans="1:16" x14ac:dyDescent="0.25">
      <c r="A979">
        <v>978</v>
      </c>
      <c r="B979" t="s">
        <v>15</v>
      </c>
      <c r="C979">
        <v>951165</v>
      </c>
      <c r="D979" t="s">
        <v>14</v>
      </c>
      <c r="E979" t="s">
        <v>11</v>
      </c>
      <c r="F979" t="s">
        <v>12</v>
      </c>
      <c r="G979" t="s">
        <v>13</v>
      </c>
      <c r="H979" t="s">
        <v>13</v>
      </c>
      <c r="I979">
        <v>69</v>
      </c>
      <c r="J979" t="str" cm="1">
        <f t="array" ref="J979">_xlfn.IFS(ISBLANK(C979),"FALTANTE",ABS((C979-$W$5)/$X$5)&gt;1.96,"ATÍPICO",ABS((C979-$W$5)/$X$5)&lt;=1.96,"NO ATÍPICO")</f>
        <v>NO ATÍPICO</v>
      </c>
      <c r="K979" t="str" cm="1">
        <f t="array" ref="K979">_xlfn.IFS(ISBLANK(I979),"FALTANTE",ABS((I979-$W$8)/$X$8)&gt;1.92,"ATÍPICO",ABS((I979-$W$8)/$X$8)&lt;=1.92,"NO ATÍPICO")</f>
        <v>NO ATÍPICO</v>
      </c>
      <c r="L979">
        <f t="shared" si="75"/>
        <v>951165</v>
      </c>
      <c r="M979" t="str">
        <f t="shared" si="79"/>
        <v>PENSIONADOS EN SU PROPIO SISTEMA</v>
      </c>
      <c r="N979">
        <f t="shared" si="76"/>
        <v>69</v>
      </c>
      <c r="O979" s="19" t="str">
        <f t="shared" si="77"/>
        <v>900k–1200k</v>
      </c>
      <c r="P979" s="19" t="str">
        <f t="shared" si="78"/>
        <v>56+</v>
      </c>
    </row>
    <row r="980" spans="1:16" x14ac:dyDescent="0.25">
      <c r="A980">
        <v>979</v>
      </c>
      <c r="B980" t="s">
        <v>9</v>
      </c>
      <c r="C980">
        <v>480560.24</v>
      </c>
      <c r="D980" t="s">
        <v>10</v>
      </c>
      <c r="E980" t="s">
        <v>16</v>
      </c>
      <c r="F980" t="s">
        <v>12</v>
      </c>
      <c r="G980" t="s">
        <v>13</v>
      </c>
      <c r="H980" t="s">
        <v>13</v>
      </c>
      <c r="I980">
        <v>25</v>
      </c>
      <c r="J980" t="str" cm="1">
        <f t="array" ref="J980">_xlfn.IFS(ISBLANK(C980),"FALTANTE",ABS((C980-$W$5)/$X$5)&gt;1.96,"ATÍPICO",ABS((C980-$W$5)/$X$5)&lt;=1.96,"NO ATÍPICO")</f>
        <v>NO ATÍPICO</v>
      </c>
      <c r="K980" t="str" cm="1">
        <f t="array" ref="K980">_xlfn.IFS(ISBLANK(I980),"FALTANTE",ABS((I980-$W$8)/$X$8)&gt;1.92,"ATÍPICO",ABS((I980-$W$8)/$X$8)&lt;=1.92,"NO ATÍPICO")</f>
        <v>NO ATÍPICO</v>
      </c>
      <c r="L980">
        <f t="shared" si="75"/>
        <v>480560.24</v>
      </c>
      <c r="M980" t="str">
        <f t="shared" si="79"/>
        <v>ASALARIADO</v>
      </c>
      <c r="N980">
        <f t="shared" si="76"/>
        <v>25</v>
      </c>
      <c r="O980" s="19" t="str">
        <f t="shared" si="77"/>
        <v>300k–600k</v>
      </c>
      <c r="P980" s="19" t="str">
        <f t="shared" si="78"/>
        <v>18-25</v>
      </c>
    </row>
    <row r="981" spans="1:16" x14ac:dyDescent="0.25">
      <c r="A981">
        <v>980</v>
      </c>
      <c r="B981" t="s">
        <v>15</v>
      </c>
      <c r="C981">
        <v>1713724</v>
      </c>
      <c r="D981" t="s">
        <v>14</v>
      </c>
      <c r="E981" t="s">
        <v>11</v>
      </c>
      <c r="F981" t="s">
        <v>12</v>
      </c>
      <c r="G981" t="s">
        <v>13</v>
      </c>
      <c r="H981" t="s">
        <v>13</v>
      </c>
      <c r="I981">
        <v>63</v>
      </c>
      <c r="J981" t="str" cm="1">
        <f t="array" ref="J981">_xlfn.IFS(ISBLANK(C981),"FALTANTE",ABS((C981-$W$5)/$X$5)&gt;1.96,"ATÍPICO",ABS((C981-$W$5)/$X$5)&lt;=1.96,"NO ATÍPICO")</f>
        <v>NO ATÍPICO</v>
      </c>
      <c r="K981" t="str" cm="1">
        <f t="array" ref="K981">_xlfn.IFS(ISBLANK(I981),"FALTANTE",ABS((I981-$W$8)/$X$8)&gt;1.92,"ATÍPICO",ABS((I981-$W$8)/$X$8)&lt;=1.92,"NO ATÍPICO")</f>
        <v>NO ATÍPICO</v>
      </c>
      <c r="L981">
        <f t="shared" si="75"/>
        <v>1713724</v>
      </c>
      <c r="M981" t="str">
        <f t="shared" si="79"/>
        <v>PENSIONADOS EN SU PROPIO SISTEMA</v>
      </c>
      <c r="N981">
        <f t="shared" si="76"/>
        <v>63</v>
      </c>
      <c r="O981" s="19" t="str">
        <f t="shared" si="77"/>
        <v>1200k+</v>
      </c>
      <c r="P981" s="19" t="str">
        <f t="shared" si="78"/>
        <v>56+</v>
      </c>
    </row>
    <row r="982" spans="1:16" x14ac:dyDescent="0.25">
      <c r="A982">
        <v>981</v>
      </c>
      <c r="B982" t="s">
        <v>9</v>
      </c>
      <c r="C982">
        <v>848691.7</v>
      </c>
      <c r="D982" t="s">
        <v>10</v>
      </c>
      <c r="E982" t="s">
        <v>16</v>
      </c>
      <c r="F982" t="s">
        <v>12</v>
      </c>
      <c r="G982" t="s">
        <v>13</v>
      </c>
      <c r="H982" t="s">
        <v>13</v>
      </c>
      <c r="I982">
        <v>49</v>
      </c>
      <c r="J982" t="str" cm="1">
        <f t="array" ref="J982">_xlfn.IFS(ISBLANK(C982),"FALTANTE",ABS((C982-$W$5)/$X$5)&gt;1.96,"ATÍPICO",ABS((C982-$W$5)/$X$5)&lt;=1.96,"NO ATÍPICO")</f>
        <v>NO ATÍPICO</v>
      </c>
      <c r="K982" t="str" cm="1">
        <f t="array" ref="K982">_xlfn.IFS(ISBLANK(I982),"FALTANTE",ABS((I982-$W$8)/$X$8)&gt;1.92,"ATÍPICO",ABS((I982-$W$8)/$X$8)&lt;=1.92,"NO ATÍPICO")</f>
        <v>NO ATÍPICO</v>
      </c>
      <c r="L982">
        <f t="shared" si="75"/>
        <v>848691.7</v>
      </c>
      <c r="M982" t="str">
        <f t="shared" si="79"/>
        <v>ASALARIADO</v>
      </c>
      <c r="N982">
        <f t="shared" si="76"/>
        <v>49</v>
      </c>
      <c r="O982" s="19" t="str">
        <f t="shared" si="77"/>
        <v>600k–900k</v>
      </c>
      <c r="P982" s="19" t="str">
        <f t="shared" si="78"/>
        <v>46-55</v>
      </c>
    </row>
    <row r="983" spans="1:16" x14ac:dyDescent="0.25">
      <c r="A983">
        <v>982</v>
      </c>
      <c r="B983" t="s">
        <v>15</v>
      </c>
      <c r="C983">
        <v>297046</v>
      </c>
      <c r="D983" t="s">
        <v>17</v>
      </c>
      <c r="E983" t="s">
        <v>16</v>
      </c>
      <c r="F983" t="s">
        <v>12</v>
      </c>
      <c r="G983" t="s">
        <v>12</v>
      </c>
      <c r="H983" t="s">
        <v>13</v>
      </c>
      <c r="I983">
        <v>51</v>
      </c>
      <c r="J983" t="str" cm="1">
        <f t="array" ref="J983">_xlfn.IFS(ISBLANK(C983),"FALTANTE",ABS((C983-$W$5)/$X$5)&gt;1.96,"ATÍPICO",ABS((C983-$W$5)/$X$5)&lt;=1.96,"NO ATÍPICO")</f>
        <v>NO ATÍPICO</v>
      </c>
      <c r="K983" t="str" cm="1">
        <f t="array" ref="K983">_xlfn.IFS(ISBLANK(I983),"FALTANTE",ABS((I983-$W$8)/$X$8)&gt;1.92,"ATÍPICO",ABS((I983-$W$8)/$X$8)&lt;=1.92,"NO ATÍPICO")</f>
        <v>NO ATÍPICO</v>
      </c>
      <c r="L983">
        <f t="shared" si="75"/>
        <v>297046</v>
      </c>
      <c r="M983" t="str">
        <f t="shared" si="79"/>
        <v>ASEGURADO VOLUNTARIO</v>
      </c>
      <c r="N983">
        <f t="shared" si="76"/>
        <v>51</v>
      </c>
      <c r="O983" s="19" t="str">
        <f t="shared" si="77"/>
        <v>0–300k</v>
      </c>
      <c r="P983" s="19" t="str">
        <f t="shared" si="78"/>
        <v>46-55</v>
      </c>
    </row>
    <row r="984" spans="1:16" x14ac:dyDescent="0.25">
      <c r="A984">
        <v>983</v>
      </c>
      <c r="B984" t="s">
        <v>9</v>
      </c>
      <c r="C984">
        <v>278030.99</v>
      </c>
      <c r="D984" t="s">
        <v>19</v>
      </c>
      <c r="E984" t="s">
        <v>16</v>
      </c>
      <c r="F984" t="s">
        <v>12</v>
      </c>
      <c r="G984" t="s">
        <v>13</v>
      </c>
      <c r="H984" t="s">
        <v>13</v>
      </c>
      <c r="I984">
        <v>30</v>
      </c>
      <c r="J984" t="str" cm="1">
        <f t="array" ref="J984">_xlfn.IFS(ISBLANK(C984),"FALTANTE",ABS((C984-$W$5)/$X$5)&gt;1.96,"ATÍPICO",ABS((C984-$W$5)/$X$5)&lt;=1.96,"NO ATÍPICO")</f>
        <v>NO ATÍPICO</v>
      </c>
      <c r="K984" t="str" cm="1">
        <f t="array" ref="K984">_xlfn.IFS(ISBLANK(I984),"FALTANTE",ABS((I984-$W$8)/$X$8)&gt;1.92,"ATÍPICO",ABS((I984-$W$8)/$X$8)&lt;=1.92,"NO ATÍPICO")</f>
        <v>NO ATÍPICO</v>
      </c>
      <c r="L984">
        <f t="shared" si="75"/>
        <v>278030.99</v>
      </c>
      <c r="M984" t="str">
        <f t="shared" si="79"/>
        <v>CONVENIOS ESPECIALES DE TRABAJADORES INDEPENDIENTES</v>
      </c>
      <c r="N984">
        <f t="shared" si="76"/>
        <v>30</v>
      </c>
      <c r="O984" s="19" t="str">
        <f t="shared" si="77"/>
        <v>0–300k</v>
      </c>
      <c r="P984" s="19" t="str">
        <f t="shared" si="78"/>
        <v>26-35</v>
      </c>
    </row>
    <row r="985" spans="1:16" x14ac:dyDescent="0.25">
      <c r="A985">
        <v>984</v>
      </c>
      <c r="B985" t="s">
        <v>15</v>
      </c>
      <c r="C985">
        <v>297045</v>
      </c>
      <c r="D985" t="s">
        <v>17</v>
      </c>
      <c r="E985" t="s">
        <v>16</v>
      </c>
      <c r="F985" t="s">
        <v>12</v>
      </c>
      <c r="G985" t="s">
        <v>13</v>
      </c>
      <c r="H985" t="s">
        <v>13</v>
      </c>
      <c r="I985">
        <v>59</v>
      </c>
      <c r="J985" t="str" cm="1">
        <f t="array" ref="J985">_xlfn.IFS(ISBLANK(C985),"FALTANTE",ABS((C985-$W$5)/$X$5)&gt;1.96,"ATÍPICO",ABS((C985-$W$5)/$X$5)&lt;=1.96,"NO ATÍPICO")</f>
        <v>NO ATÍPICO</v>
      </c>
      <c r="K985" t="str" cm="1">
        <f t="array" ref="K985">_xlfn.IFS(ISBLANK(I985),"FALTANTE",ABS((I985-$W$8)/$X$8)&gt;1.92,"ATÍPICO",ABS((I985-$W$8)/$X$8)&lt;=1.92,"NO ATÍPICO")</f>
        <v>NO ATÍPICO</v>
      </c>
      <c r="L985">
        <f t="shared" si="75"/>
        <v>297045</v>
      </c>
      <c r="M985" t="str">
        <f t="shared" si="79"/>
        <v>ASEGURADO VOLUNTARIO</v>
      </c>
      <c r="N985">
        <f t="shared" si="76"/>
        <v>59</v>
      </c>
      <c r="O985" s="19" t="str">
        <f t="shared" si="77"/>
        <v>0–300k</v>
      </c>
      <c r="P985" s="19" t="str">
        <f t="shared" si="78"/>
        <v>56+</v>
      </c>
    </row>
    <row r="986" spans="1:16" x14ac:dyDescent="0.25">
      <c r="A986">
        <v>985</v>
      </c>
      <c r="B986" t="s">
        <v>15</v>
      </c>
      <c r="C986">
        <v>297973.5</v>
      </c>
      <c r="D986" t="s">
        <v>10</v>
      </c>
      <c r="E986" t="s">
        <v>11</v>
      </c>
      <c r="F986" t="s">
        <v>12</v>
      </c>
      <c r="G986" t="s">
        <v>13</v>
      </c>
      <c r="H986" t="s">
        <v>12</v>
      </c>
      <c r="I986">
        <v>42</v>
      </c>
      <c r="J986" t="str" cm="1">
        <f t="array" ref="J986">_xlfn.IFS(ISBLANK(C986),"FALTANTE",ABS((C986-$W$5)/$X$5)&gt;1.96,"ATÍPICO",ABS((C986-$W$5)/$X$5)&lt;=1.96,"NO ATÍPICO")</f>
        <v>NO ATÍPICO</v>
      </c>
      <c r="K986" t="str" cm="1">
        <f t="array" ref="K986">_xlfn.IFS(ISBLANK(I986),"FALTANTE",ABS((I986-$W$8)/$X$8)&gt;1.92,"ATÍPICO",ABS((I986-$W$8)/$X$8)&lt;=1.92,"NO ATÍPICO")</f>
        <v>NO ATÍPICO</v>
      </c>
      <c r="L986">
        <f t="shared" si="75"/>
        <v>297973.5</v>
      </c>
      <c r="M986" t="str">
        <f t="shared" si="79"/>
        <v>ASALARIADO</v>
      </c>
      <c r="N986">
        <f t="shared" si="76"/>
        <v>42</v>
      </c>
      <c r="O986" s="19" t="str">
        <f t="shared" si="77"/>
        <v>0–300k</v>
      </c>
      <c r="P986" s="19" t="str">
        <f t="shared" si="78"/>
        <v>36-45</v>
      </c>
    </row>
    <row r="987" spans="1:16" x14ac:dyDescent="0.25">
      <c r="A987">
        <v>986</v>
      </c>
      <c r="B987" t="s">
        <v>15</v>
      </c>
      <c r="C987">
        <v>1079349.94</v>
      </c>
      <c r="D987" t="s">
        <v>10</v>
      </c>
      <c r="E987" t="s">
        <v>16</v>
      </c>
      <c r="F987" t="s">
        <v>12</v>
      </c>
      <c r="G987" t="s">
        <v>13</v>
      </c>
      <c r="H987" t="s">
        <v>13</v>
      </c>
      <c r="I987">
        <v>37</v>
      </c>
      <c r="J987" t="str" cm="1">
        <f t="array" ref="J987">_xlfn.IFS(ISBLANK(C987),"FALTANTE",ABS((C987-$W$5)/$X$5)&gt;1.96,"ATÍPICO",ABS((C987-$W$5)/$X$5)&lt;=1.96,"NO ATÍPICO")</f>
        <v>NO ATÍPICO</v>
      </c>
      <c r="K987" t="str" cm="1">
        <f t="array" ref="K987">_xlfn.IFS(ISBLANK(I987),"FALTANTE",ABS((I987-$W$8)/$X$8)&gt;1.92,"ATÍPICO",ABS((I987-$W$8)/$X$8)&lt;=1.92,"NO ATÍPICO")</f>
        <v>NO ATÍPICO</v>
      </c>
      <c r="L987">
        <f t="shared" si="75"/>
        <v>1079349.94</v>
      </c>
      <c r="M987" t="str">
        <f t="shared" si="79"/>
        <v>ASALARIADO</v>
      </c>
      <c r="N987">
        <f t="shared" si="76"/>
        <v>37</v>
      </c>
      <c r="O987" s="19" t="str">
        <f t="shared" si="77"/>
        <v>900k–1200k</v>
      </c>
      <c r="P987" s="19" t="str">
        <f t="shared" si="78"/>
        <v>36-45</v>
      </c>
    </row>
    <row r="988" spans="1:16" x14ac:dyDescent="0.25">
      <c r="A988">
        <v>987</v>
      </c>
      <c r="B988" t="s">
        <v>9</v>
      </c>
      <c r="C988">
        <v>326749</v>
      </c>
      <c r="D988" t="s">
        <v>17</v>
      </c>
      <c r="E988" t="s">
        <v>16</v>
      </c>
      <c r="F988" t="s">
        <v>12</v>
      </c>
      <c r="G988" t="s">
        <v>13</v>
      </c>
      <c r="H988" t="s">
        <v>13</v>
      </c>
      <c r="I988">
        <v>56</v>
      </c>
      <c r="J988" t="str" cm="1">
        <f t="array" ref="J988">_xlfn.IFS(ISBLANK(C988),"FALTANTE",ABS((C988-$W$5)/$X$5)&gt;1.96,"ATÍPICO",ABS((C988-$W$5)/$X$5)&lt;=1.96,"NO ATÍPICO")</f>
        <v>NO ATÍPICO</v>
      </c>
      <c r="K988" t="str" cm="1">
        <f t="array" ref="K988">_xlfn.IFS(ISBLANK(I988),"FALTANTE",ABS((I988-$W$8)/$X$8)&gt;1.92,"ATÍPICO",ABS((I988-$W$8)/$X$8)&lt;=1.92,"NO ATÍPICO")</f>
        <v>NO ATÍPICO</v>
      </c>
      <c r="L988">
        <f t="shared" si="75"/>
        <v>326749</v>
      </c>
      <c r="M988" t="str">
        <f t="shared" si="79"/>
        <v>ASEGURADO VOLUNTARIO</v>
      </c>
      <c r="N988">
        <f t="shared" si="76"/>
        <v>56</v>
      </c>
      <c r="O988" s="19" t="str">
        <f t="shared" si="77"/>
        <v>300k–600k</v>
      </c>
      <c r="P988" s="19" t="str">
        <f t="shared" si="78"/>
        <v>56+</v>
      </c>
    </row>
    <row r="989" spans="1:16" x14ac:dyDescent="0.25">
      <c r="A989">
        <v>988</v>
      </c>
      <c r="B989" t="s">
        <v>9</v>
      </c>
      <c r="C989">
        <v>377926.85</v>
      </c>
      <c r="D989" t="s">
        <v>10</v>
      </c>
      <c r="E989" t="s">
        <v>16</v>
      </c>
      <c r="F989" t="s">
        <v>12</v>
      </c>
      <c r="G989" t="s">
        <v>13</v>
      </c>
      <c r="H989" t="s">
        <v>13</v>
      </c>
      <c r="I989">
        <v>22</v>
      </c>
      <c r="J989" t="str" cm="1">
        <f t="array" ref="J989">_xlfn.IFS(ISBLANK(C989),"FALTANTE",ABS((C989-$W$5)/$X$5)&gt;1.96,"ATÍPICO",ABS((C989-$W$5)/$X$5)&lt;=1.96,"NO ATÍPICO")</f>
        <v>NO ATÍPICO</v>
      </c>
      <c r="K989" t="str" cm="1">
        <f t="array" ref="K989">_xlfn.IFS(ISBLANK(I989),"FALTANTE",ABS((I989-$W$8)/$X$8)&gt;1.92,"ATÍPICO",ABS((I989-$W$8)/$X$8)&lt;=1.92,"NO ATÍPICO")</f>
        <v>NO ATÍPICO</v>
      </c>
      <c r="L989">
        <f t="shared" si="75"/>
        <v>377926.85</v>
      </c>
      <c r="M989" t="str">
        <f t="shared" si="79"/>
        <v>ASALARIADO</v>
      </c>
      <c r="N989">
        <f t="shared" si="76"/>
        <v>22</v>
      </c>
      <c r="O989" s="19" t="str">
        <f t="shared" si="77"/>
        <v>300k–600k</v>
      </c>
      <c r="P989" s="19" t="str">
        <f t="shared" si="78"/>
        <v>18-25</v>
      </c>
    </row>
    <row r="990" spans="1:16" x14ac:dyDescent="0.25">
      <c r="A990">
        <v>989</v>
      </c>
      <c r="B990" t="s">
        <v>9</v>
      </c>
      <c r="C990">
        <v>324047</v>
      </c>
      <c r="D990" t="s">
        <v>18</v>
      </c>
      <c r="E990" t="s">
        <v>16</v>
      </c>
      <c r="F990" t="s">
        <v>12</v>
      </c>
      <c r="G990" t="s">
        <v>12</v>
      </c>
      <c r="H990" t="s">
        <v>12</v>
      </c>
      <c r="I990">
        <v>48</v>
      </c>
      <c r="J990" t="str" cm="1">
        <f t="array" ref="J990">_xlfn.IFS(ISBLANK(C990),"FALTANTE",ABS((C990-$W$5)/$X$5)&gt;1.96,"ATÍPICO",ABS((C990-$W$5)/$X$5)&lt;=1.96,"NO ATÍPICO")</f>
        <v>NO ATÍPICO</v>
      </c>
      <c r="K990" t="str" cm="1">
        <f t="array" ref="K990">_xlfn.IFS(ISBLANK(I990),"FALTANTE",ABS((I990-$W$8)/$X$8)&gt;1.92,"ATÍPICO",ABS((I990-$W$8)/$X$8)&lt;=1.92,"NO ATÍPICO")</f>
        <v>NO ATÍPICO</v>
      </c>
      <c r="L990">
        <f t="shared" si="75"/>
        <v>324047</v>
      </c>
      <c r="M990" t="str">
        <f t="shared" si="79"/>
        <v>TRABAJADOR INDEPENDIENTE</v>
      </c>
      <c r="N990">
        <f t="shared" si="76"/>
        <v>48</v>
      </c>
      <c r="O990" s="19" t="str">
        <f t="shared" si="77"/>
        <v>300k–600k</v>
      </c>
      <c r="P990" s="19" t="str">
        <f t="shared" si="78"/>
        <v>46-55</v>
      </c>
    </row>
    <row r="991" spans="1:16" x14ac:dyDescent="0.25">
      <c r="A991">
        <v>990</v>
      </c>
      <c r="B991" t="s">
        <v>15</v>
      </c>
      <c r="C991">
        <v>374301</v>
      </c>
      <c r="D991" t="s">
        <v>18</v>
      </c>
      <c r="E991" t="s">
        <v>16</v>
      </c>
      <c r="F991" t="s">
        <v>12</v>
      </c>
      <c r="G991" t="s">
        <v>13</v>
      </c>
      <c r="H991" t="s">
        <v>13</v>
      </c>
      <c r="I991">
        <v>33</v>
      </c>
      <c r="J991" t="str" cm="1">
        <f t="array" ref="J991">_xlfn.IFS(ISBLANK(C991),"FALTANTE",ABS((C991-$W$5)/$X$5)&gt;1.96,"ATÍPICO",ABS((C991-$W$5)/$X$5)&lt;=1.96,"NO ATÍPICO")</f>
        <v>NO ATÍPICO</v>
      </c>
      <c r="K991" t="str" cm="1">
        <f t="array" ref="K991">_xlfn.IFS(ISBLANK(I991),"FALTANTE",ABS((I991-$W$8)/$X$8)&gt;1.92,"ATÍPICO",ABS((I991-$W$8)/$X$8)&lt;=1.92,"NO ATÍPICO")</f>
        <v>NO ATÍPICO</v>
      </c>
      <c r="L991">
        <f t="shared" si="75"/>
        <v>374301</v>
      </c>
      <c r="M991" t="str">
        <f t="shared" si="79"/>
        <v>TRABAJADOR INDEPENDIENTE</v>
      </c>
      <c r="N991">
        <f t="shared" si="76"/>
        <v>33</v>
      </c>
      <c r="O991" s="19" t="str">
        <f t="shared" si="77"/>
        <v>300k–600k</v>
      </c>
      <c r="P991" s="19" t="str">
        <f t="shared" si="78"/>
        <v>26-35</v>
      </c>
    </row>
    <row r="992" spans="1:16" x14ac:dyDescent="0.25">
      <c r="A992">
        <v>991</v>
      </c>
      <c r="B992" t="s">
        <v>15</v>
      </c>
      <c r="C992">
        <v>297973.8</v>
      </c>
      <c r="D992" t="s">
        <v>10</v>
      </c>
      <c r="E992" t="s">
        <v>11</v>
      </c>
      <c r="F992" t="s">
        <v>12</v>
      </c>
      <c r="G992" t="s">
        <v>13</v>
      </c>
      <c r="H992" t="s">
        <v>13</v>
      </c>
      <c r="I992">
        <v>60</v>
      </c>
      <c r="J992" t="str" cm="1">
        <f t="array" ref="J992">_xlfn.IFS(ISBLANK(C992),"FALTANTE",ABS((C992-$W$5)/$X$5)&gt;1.96,"ATÍPICO",ABS((C992-$W$5)/$X$5)&lt;=1.96,"NO ATÍPICO")</f>
        <v>NO ATÍPICO</v>
      </c>
      <c r="K992" t="str" cm="1">
        <f t="array" ref="K992">_xlfn.IFS(ISBLANK(I992),"FALTANTE",ABS((I992-$W$8)/$X$8)&gt;1.92,"ATÍPICO",ABS((I992-$W$8)/$X$8)&lt;=1.92,"NO ATÍPICO")</f>
        <v>NO ATÍPICO</v>
      </c>
      <c r="L992">
        <f t="shared" si="75"/>
        <v>297973.8</v>
      </c>
      <c r="M992" t="str">
        <f t="shared" si="79"/>
        <v>ASALARIADO</v>
      </c>
      <c r="N992">
        <f t="shared" si="76"/>
        <v>60</v>
      </c>
      <c r="O992" s="19" t="str">
        <f t="shared" si="77"/>
        <v>0–300k</v>
      </c>
      <c r="P992" s="19" t="str">
        <f t="shared" si="78"/>
        <v>56+</v>
      </c>
    </row>
    <row r="993" spans="1:16" x14ac:dyDescent="0.25">
      <c r="A993">
        <v>992</v>
      </c>
      <c r="B993" t="s">
        <v>15</v>
      </c>
      <c r="C993">
        <v>355060</v>
      </c>
      <c r="D993" t="s">
        <v>10</v>
      </c>
      <c r="E993" t="s">
        <v>16</v>
      </c>
      <c r="F993" t="s">
        <v>12</v>
      </c>
      <c r="G993" t="s">
        <v>12</v>
      </c>
      <c r="H993" t="s">
        <v>13</v>
      </c>
      <c r="I993">
        <v>56</v>
      </c>
      <c r="J993" t="str" cm="1">
        <f t="array" ref="J993">_xlfn.IFS(ISBLANK(C993),"FALTANTE",ABS((C993-$W$5)/$X$5)&gt;1.96,"ATÍPICO",ABS((C993-$W$5)/$X$5)&lt;=1.96,"NO ATÍPICO")</f>
        <v>NO ATÍPICO</v>
      </c>
      <c r="K993" t="str" cm="1">
        <f t="array" ref="K993">_xlfn.IFS(ISBLANK(I993),"FALTANTE",ABS((I993-$W$8)/$X$8)&gt;1.92,"ATÍPICO",ABS((I993-$W$8)/$X$8)&lt;=1.92,"NO ATÍPICO")</f>
        <v>NO ATÍPICO</v>
      </c>
      <c r="L993">
        <f t="shared" si="75"/>
        <v>355060</v>
      </c>
      <c r="M993" t="str">
        <f t="shared" si="79"/>
        <v>ASALARIADO</v>
      </c>
      <c r="N993">
        <f t="shared" si="76"/>
        <v>56</v>
      </c>
      <c r="O993" s="19" t="str">
        <f t="shared" si="77"/>
        <v>300k–600k</v>
      </c>
      <c r="P993" s="19" t="str">
        <f t="shared" si="78"/>
        <v>56+</v>
      </c>
    </row>
    <row r="994" spans="1:16" x14ac:dyDescent="0.25">
      <c r="A994">
        <v>993</v>
      </c>
      <c r="B994" t="s">
        <v>15</v>
      </c>
      <c r="C994">
        <v>297046</v>
      </c>
      <c r="D994" t="s">
        <v>17</v>
      </c>
      <c r="E994" t="s">
        <v>16</v>
      </c>
      <c r="F994" t="s">
        <v>12</v>
      </c>
      <c r="G994" t="s">
        <v>13</v>
      </c>
      <c r="H994" t="s">
        <v>13</v>
      </c>
      <c r="I994">
        <v>19</v>
      </c>
      <c r="J994" t="str" cm="1">
        <f t="array" ref="J994">_xlfn.IFS(ISBLANK(C994),"FALTANTE",ABS((C994-$W$5)/$X$5)&gt;1.96,"ATÍPICO",ABS((C994-$W$5)/$X$5)&lt;=1.96,"NO ATÍPICO")</f>
        <v>NO ATÍPICO</v>
      </c>
      <c r="K994" t="str" cm="1">
        <f t="array" ref="K994">_xlfn.IFS(ISBLANK(I994),"FALTANTE",ABS((I994-$W$8)/$X$8)&gt;1.92,"ATÍPICO",ABS((I994-$W$8)/$X$8)&lt;=1.92,"NO ATÍPICO")</f>
        <v>NO ATÍPICO</v>
      </c>
      <c r="L994">
        <f t="shared" si="75"/>
        <v>297046</v>
      </c>
      <c r="M994" t="str">
        <f t="shared" si="79"/>
        <v>ASEGURADO VOLUNTARIO</v>
      </c>
      <c r="N994">
        <f t="shared" si="76"/>
        <v>19</v>
      </c>
      <c r="O994" s="19" t="str">
        <f t="shared" si="77"/>
        <v>0–300k</v>
      </c>
      <c r="P994" s="19" t="str">
        <f t="shared" si="78"/>
        <v>18-25</v>
      </c>
    </row>
    <row r="995" spans="1:16" x14ac:dyDescent="0.25">
      <c r="A995">
        <v>994</v>
      </c>
      <c r="B995" t="s">
        <v>9</v>
      </c>
      <c r="C995">
        <v>342028</v>
      </c>
      <c r="D995" t="s">
        <v>10</v>
      </c>
      <c r="E995" t="s">
        <v>16</v>
      </c>
      <c r="F995" t="s">
        <v>12</v>
      </c>
      <c r="G995" t="s">
        <v>13</v>
      </c>
      <c r="H995" t="s">
        <v>13</v>
      </c>
      <c r="I995">
        <v>35</v>
      </c>
      <c r="J995" t="str" cm="1">
        <f t="array" ref="J995">_xlfn.IFS(ISBLANK(C995),"FALTANTE",ABS((C995-$W$5)/$X$5)&gt;1.96,"ATÍPICO",ABS((C995-$W$5)/$X$5)&lt;=1.96,"NO ATÍPICO")</f>
        <v>NO ATÍPICO</v>
      </c>
      <c r="K995" t="str" cm="1">
        <f t="array" ref="K995">_xlfn.IFS(ISBLANK(I995),"FALTANTE",ABS((I995-$W$8)/$X$8)&gt;1.92,"ATÍPICO",ABS((I995-$W$8)/$X$8)&lt;=1.92,"NO ATÍPICO")</f>
        <v>NO ATÍPICO</v>
      </c>
      <c r="L995">
        <f t="shared" si="75"/>
        <v>342028</v>
      </c>
      <c r="M995" t="str">
        <f t="shared" si="79"/>
        <v>ASALARIADO</v>
      </c>
      <c r="N995">
        <f t="shared" si="76"/>
        <v>35</v>
      </c>
      <c r="O995" s="19" t="str">
        <f t="shared" si="77"/>
        <v>300k–600k</v>
      </c>
      <c r="P995" s="19" t="str">
        <f t="shared" si="78"/>
        <v>26-35</v>
      </c>
    </row>
    <row r="996" spans="1:16" x14ac:dyDescent="0.25">
      <c r="A996">
        <v>995</v>
      </c>
      <c r="B996" t="s">
        <v>9</v>
      </c>
      <c r="C996">
        <v>343836</v>
      </c>
      <c r="D996" t="s">
        <v>18</v>
      </c>
      <c r="E996" t="s">
        <v>16</v>
      </c>
      <c r="F996" t="s">
        <v>12</v>
      </c>
      <c r="G996" t="s">
        <v>12</v>
      </c>
      <c r="H996" t="s">
        <v>12</v>
      </c>
      <c r="I996">
        <v>40</v>
      </c>
      <c r="J996" t="str" cm="1">
        <f t="array" ref="J996">_xlfn.IFS(ISBLANK(C996),"FALTANTE",ABS((C996-$W$5)/$X$5)&gt;1.96,"ATÍPICO",ABS((C996-$W$5)/$X$5)&lt;=1.96,"NO ATÍPICO")</f>
        <v>NO ATÍPICO</v>
      </c>
      <c r="K996" t="str" cm="1">
        <f t="array" ref="K996">_xlfn.IFS(ISBLANK(I996),"FALTANTE",ABS((I996-$W$8)/$X$8)&gt;1.92,"ATÍPICO",ABS((I996-$W$8)/$X$8)&lt;=1.92,"NO ATÍPICO")</f>
        <v>NO ATÍPICO</v>
      </c>
      <c r="L996">
        <f t="shared" si="75"/>
        <v>343836</v>
      </c>
      <c r="M996" t="str">
        <f t="shared" si="79"/>
        <v>TRABAJADOR INDEPENDIENTE</v>
      </c>
      <c r="N996">
        <f t="shared" si="76"/>
        <v>40</v>
      </c>
      <c r="O996" s="19" t="str">
        <f t="shared" si="77"/>
        <v>300k–600k</v>
      </c>
      <c r="P996" s="19" t="str">
        <f t="shared" si="78"/>
        <v>36-45</v>
      </c>
    </row>
    <row r="997" spans="1:16" x14ac:dyDescent="0.25">
      <c r="A997">
        <v>996</v>
      </c>
      <c r="B997" t="s">
        <v>9</v>
      </c>
      <c r="C997">
        <v>430591.65</v>
      </c>
      <c r="D997" t="s">
        <v>10</v>
      </c>
      <c r="E997" t="s">
        <v>16</v>
      </c>
      <c r="F997" t="s">
        <v>12</v>
      </c>
      <c r="G997" t="s">
        <v>13</v>
      </c>
      <c r="H997" t="s">
        <v>13</v>
      </c>
      <c r="I997">
        <v>23</v>
      </c>
      <c r="J997" t="str" cm="1">
        <f t="array" ref="J997">_xlfn.IFS(ISBLANK(C997),"FALTANTE",ABS((C997-$W$5)/$X$5)&gt;1.96,"ATÍPICO",ABS((C997-$W$5)/$X$5)&lt;=1.96,"NO ATÍPICO")</f>
        <v>NO ATÍPICO</v>
      </c>
      <c r="K997" t="str" cm="1">
        <f t="array" ref="K997">_xlfn.IFS(ISBLANK(I997),"FALTANTE",ABS((I997-$W$8)/$X$8)&gt;1.92,"ATÍPICO",ABS((I997-$W$8)/$X$8)&lt;=1.92,"NO ATÍPICO")</f>
        <v>NO ATÍPICO</v>
      </c>
      <c r="L997">
        <f t="shared" si="75"/>
        <v>430591.65</v>
      </c>
      <c r="M997" t="str">
        <f t="shared" si="79"/>
        <v>ASALARIADO</v>
      </c>
      <c r="N997">
        <f t="shared" si="76"/>
        <v>23</v>
      </c>
      <c r="O997" s="19" t="str">
        <f t="shared" si="77"/>
        <v>300k–600k</v>
      </c>
      <c r="P997" s="19" t="str">
        <f t="shared" si="78"/>
        <v>18-25</v>
      </c>
    </row>
    <row r="998" spans="1:16" x14ac:dyDescent="0.25">
      <c r="A998">
        <v>997</v>
      </c>
      <c r="B998" t="s">
        <v>9</v>
      </c>
      <c r="C998">
        <v>979079.94</v>
      </c>
      <c r="D998" t="s">
        <v>10</v>
      </c>
      <c r="E998" t="s">
        <v>11</v>
      </c>
      <c r="F998" t="s">
        <v>12</v>
      </c>
      <c r="G998" t="s">
        <v>13</v>
      </c>
      <c r="H998" t="s">
        <v>13</v>
      </c>
      <c r="I998">
        <v>48</v>
      </c>
      <c r="J998" t="str" cm="1">
        <f t="array" ref="J998">_xlfn.IFS(ISBLANK(C998),"FALTANTE",ABS((C998-$W$5)/$X$5)&gt;1.96,"ATÍPICO",ABS((C998-$W$5)/$X$5)&lt;=1.96,"NO ATÍPICO")</f>
        <v>NO ATÍPICO</v>
      </c>
      <c r="K998" t="str" cm="1">
        <f t="array" ref="K998">_xlfn.IFS(ISBLANK(I998),"FALTANTE",ABS((I998-$W$8)/$X$8)&gt;1.92,"ATÍPICO",ABS((I998-$W$8)/$X$8)&lt;=1.92,"NO ATÍPICO")</f>
        <v>NO ATÍPICO</v>
      </c>
      <c r="L998">
        <f t="shared" si="75"/>
        <v>979079.94</v>
      </c>
      <c r="M998" t="str">
        <f t="shared" si="79"/>
        <v>ASALARIADO</v>
      </c>
      <c r="N998">
        <f t="shared" si="76"/>
        <v>48</v>
      </c>
      <c r="O998" s="19" t="str">
        <f t="shared" si="77"/>
        <v>900k–1200k</v>
      </c>
      <c r="P998" s="19" t="str">
        <f t="shared" si="78"/>
        <v>46-55</v>
      </c>
    </row>
    <row r="999" spans="1:16" x14ac:dyDescent="0.25">
      <c r="A999">
        <v>998</v>
      </c>
      <c r="B999" t="s">
        <v>15</v>
      </c>
      <c r="C999">
        <v>428662.7</v>
      </c>
      <c r="D999" t="s">
        <v>10</v>
      </c>
      <c r="E999" t="s">
        <v>16</v>
      </c>
      <c r="F999" t="s">
        <v>12</v>
      </c>
      <c r="G999" t="s">
        <v>12</v>
      </c>
      <c r="H999" t="s">
        <v>13</v>
      </c>
      <c r="I999">
        <v>45</v>
      </c>
      <c r="J999" t="str" cm="1">
        <f t="array" ref="J999">_xlfn.IFS(ISBLANK(C999),"FALTANTE",ABS((C999-$W$5)/$X$5)&gt;1.96,"ATÍPICO",ABS((C999-$W$5)/$X$5)&lt;=1.96,"NO ATÍPICO")</f>
        <v>NO ATÍPICO</v>
      </c>
      <c r="K999" t="str" cm="1">
        <f t="array" ref="K999">_xlfn.IFS(ISBLANK(I999),"FALTANTE",ABS((I999-$W$8)/$X$8)&gt;1.92,"ATÍPICO",ABS((I999-$W$8)/$X$8)&lt;=1.92,"NO ATÍPICO")</f>
        <v>NO ATÍPICO</v>
      </c>
      <c r="L999">
        <f t="shared" si="75"/>
        <v>428662.7</v>
      </c>
      <c r="M999" t="str">
        <f t="shared" si="79"/>
        <v>ASALARIADO</v>
      </c>
      <c r="N999">
        <f t="shared" si="76"/>
        <v>45</v>
      </c>
      <c r="O999" s="19" t="str">
        <f t="shared" si="77"/>
        <v>300k–600k</v>
      </c>
      <c r="P999" s="19" t="str">
        <f t="shared" si="78"/>
        <v>36-45</v>
      </c>
    </row>
    <row r="1000" spans="1:16" x14ac:dyDescent="0.25">
      <c r="A1000">
        <v>999</v>
      </c>
      <c r="B1000" t="s">
        <v>9</v>
      </c>
      <c r="C1000">
        <v>278030</v>
      </c>
      <c r="D1000" t="s">
        <v>19</v>
      </c>
      <c r="E1000" t="s">
        <v>16</v>
      </c>
      <c r="F1000" t="s">
        <v>12</v>
      </c>
      <c r="G1000" t="s">
        <v>13</v>
      </c>
      <c r="H1000" t="s">
        <v>13</v>
      </c>
      <c r="I1000">
        <v>62</v>
      </c>
      <c r="J1000" t="str" cm="1">
        <f t="array" ref="J1000">_xlfn.IFS(ISBLANK(C1000),"FALTANTE",ABS((C1000-$W$5)/$X$5)&gt;1.96,"ATÍPICO",ABS((C1000-$W$5)/$X$5)&lt;=1.96,"NO ATÍPICO")</f>
        <v>NO ATÍPICO</v>
      </c>
      <c r="K1000" t="str" cm="1">
        <f t="array" ref="K1000">_xlfn.IFS(ISBLANK(I1000),"FALTANTE",ABS((I1000-$W$8)/$X$8)&gt;1.92,"ATÍPICO",ABS((I1000-$W$8)/$X$8)&lt;=1.92,"NO ATÍPICO")</f>
        <v>NO ATÍPICO</v>
      </c>
      <c r="L1000">
        <f t="shared" si="75"/>
        <v>278030</v>
      </c>
      <c r="M1000" t="str">
        <f t="shared" si="79"/>
        <v>CONVENIOS ESPECIALES DE TRABAJADORES INDEPENDIENTES</v>
      </c>
      <c r="N1000">
        <f t="shared" si="76"/>
        <v>62</v>
      </c>
      <c r="O1000" s="19" t="str">
        <f t="shared" si="77"/>
        <v>0–300k</v>
      </c>
      <c r="P1000" s="19" t="str">
        <f t="shared" si="78"/>
        <v>56+</v>
      </c>
    </row>
    <row r="1001" spans="1:16" x14ac:dyDescent="0.25">
      <c r="A1001">
        <v>1000</v>
      </c>
      <c r="B1001" t="s">
        <v>9</v>
      </c>
      <c r="C1001">
        <v>324741.92</v>
      </c>
      <c r="D1001" t="s">
        <v>10</v>
      </c>
      <c r="E1001" t="s">
        <v>16</v>
      </c>
      <c r="F1001" t="s">
        <v>12</v>
      </c>
      <c r="G1001" t="s">
        <v>12</v>
      </c>
      <c r="H1001" t="s">
        <v>13</v>
      </c>
      <c r="I1001">
        <v>47</v>
      </c>
      <c r="J1001" t="str" cm="1">
        <f t="array" ref="J1001">_xlfn.IFS(ISBLANK(C1001),"FALTANTE",ABS((C1001-$W$5)/$X$5)&gt;1.96,"ATÍPICO",ABS((C1001-$W$5)/$X$5)&lt;=1.96,"NO ATÍPICO")</f>
        <v>NO ATÍPICO</v>
      </c>
      <c r="K1001" t="str" cm="1">
        <f t="array" ref="K1001">_xlfn.IFS(ISBLANK(I1001),"FALTANTE",ABS((I1001-$W$8)/$X$8)&gt;1.92,"ATÍPICO",ABS((I1001-$W$8)/$X$8)&lt;=1.92,"NO ATÍPICO")</f>
        <v>NO ATÍPICO</v>
      </c>
      <c r="L1001">
        <f t="shared" si="75"/>
        <v>324741.92</v>
      </c>
      <c r="M1001" t="str">
        <f t="shared" si="79"/>
        <v>ASALARIADO</v>
      </c>
      <c r="N1001">
        <f t="shared" si="76"/>
        <v>47</v>
      </c>
      <c r="O1001" s="19" t="str">
        <f t="shared" si="77"/>
        <v>300k–600k</v>
      </c>
      <c r="P1001" s="19" t="str">
        <f t="shared" si="78"/>
        <v>46-55</v>
      </c>
    </row>
    <row r="1002" spans="1:16" x14ac:dyDescent="0.25">
      <c r="A1002">
        <v>1001</v>
      </c>
      <c r="B1002" t="s">
        <v>9</v>
      </c>
      <c r="C1002">
        <v>390128.11</v>
      </c>
      <c r="D1002" t="s">
        <v>10</v>
      </c>
      <c r="E1002" t="s">
        <v>16</v>
      </c>
      <c r="F1002" t="s">
        <v>12</v>
      </c>
      <c r="G1002" t="s">
        <v>13</v>
      </c>
      <c r="H1002" t="s">
        <v>13</v>
      </c>
      <c r="I1002">
        <v>30</v>
      </c>
      <c r="J1002" t="str" cm="1">
        <f t="array" ref="J1002">_xlfn.IFS(ISBLANK(C1002),"FALTANTE",ABS((C1002-$W$5)/$X$5)&gt;1.96,"ATÍPICO",ABS((C1002-$W$5)/$X$5)&lt;=1.96,"NO ATÍPICO")</f>
        <v>NO ATÍPICO</v>
      </c>
      <c r="K1002" t="str" cm="1">
        <f t="array" ref="K1002">_xlfn.IFS(ISBLANK(I1002),"FALTANTE",ABS((I1002-$W$8)/$X$8)&gt;1.92,"ATÍPICO",ABS((I1002-$W$8)/$X$8)&lt;=1.92,"NO ATÍPICO")</f>
        <v>NO ATÍPICO</v>
      </c>
      <c r="L1002">
        <f t="shared" si="75"/>
        <v>390128.11</v>
      </c>
      <c r="M1002" t="str">
        <f t="shared" si="79"/>
        <v>ASALARIADO</v>
      </c>
      <c r="N1002">
        <f t="shared" si="76"/>
        <v>30</v>
      </c>
      <c r="O1002" s="19" t="str">
        <f t="shared" si="77"/>
        <v>300k–600k</v>
      </c>
      <c r="P1002" s="19" t="str">
        <f t="shared" si="78"/>
        <v>26-35</v>
      </c>
    </row>
    <row r="1003" spans="1:16" x14ac:dyDescent="0.25">
      <c r="A1003">
        <v>1002</v>
      </c>
      <c r="B1003" t="s">
        <v>9</v>
      </c>
      <c r="C1003">
        <v>713928</v>
      </c>
      <c r="D1003" t="s">
        <v>10</v>
      </c>
      <c r="E1003" t="s">
        <v>16</v>
      </c>
      <c r="F1003" t="s">
        <v>12</v>
      </c>
      <c r="G1003" t="s">
        <v>12</v>
      </c>
      <c r="H1003" t="s">
        <v>13</v>
      </c>
      <c r="I1003">
        <v>24</v>
      </c>
      <c r="J1003" t="str" cm="1">
        <f t="array" ref="J1003">_xlfn.IFS(ISBLANK(C1003),"FALTANTE",ABS((C1003-$W$5)/$X$5)&gt;1.96,"ATÍPICO",ABS((C1003-$W$5)/$X$5)&lt;=1.96,"NO ATÍPICO")</f>
        <v>NO ATÍPICO</v>
      </c>
      <c r="K1003" t="str" cm="1">
        <f t="array" ref="K1003">_xlfn.IFS(ISBLANK(I1003),"FALTANTE",ABS((I1003-$W$8)/$X$8)&gt;1.92,"ATÍPICO",ABS((I1003-$W$8)/$X$8)&lt;=1.92,"NO ATÍPICO")</f>
        <v>NO ATÍPICO</v>
      </c>
      <c r="L1003">
        <f t="shared" si="75"/>
        <v>713928</v>
      </c>
      <c r="M1003" t="str">
        <f t="shared" si="79"/>
        <v>ASALARIADO</v>
      </c>
      <c r="N1003">
        <f t="shared" si="76"/>
        <v>24</v>
      </c>
      <c r="O1003" s="19" t="str">
        <f t="shared" si="77"/>
        <v>600k–900k</v>
      </c>
      <c r="P1003" s="19" t="str">
        <f t="shared" si="78"/>
        <v>18-25</v>
      </c>
    </row>
    <row r="1004" spans="1:16" x14ac:dyDescent="0.25">
      <c r="A1004">
        <v>1003</v>
      </c>
      <c r="B1004" t="s">
        <v>9</v>
      </c>
      <c r="C1004">
        <v>1077120</v>
      </c>
      <c r="D1004" t="s">
        <v>10</v>
      </c>
      <c r="E1004" t="s">
        <v>16</v>
      </c>
      <c r="F1004" t="s">
        <v>12</v>
      </c>
      <c r="G1004" t="s">
        <v>13</v>
      </c>
      <c r="H1004" t="s">
        <v>13</v>
      </c>
      <c r="I1004">
        <v>44</v>
      </c>
      <c r="J1004" t="str" cm="1">
        <f t="array" ref="J1004">_xlfn.IFS(ISBLANK(C1004),"FALTANTE",ABS((C1004-$W$5)/$X$5)&gt;1.96,"ATÍPICO",ABS((C1004-$W$5)/$X$5)&lt;=1.96,"NO ATÍPICO")</f>
        <v>NO ATÍPICO</v>
      </c>
      <c r="K1004" t="str" cm="1">
        <f t="array" ref="K1004">_xlfn.IFS(ISBLANK(I1004),"FALTANTE",ABS((I1004-$W$8)/$X$8)&gt;1.92,"ATÍPICO",ABS((I1004-$W$8)/$X$8)&lt;=1.92,"NO ATÍPICO")</f>
        <v>NO ATÍPICO</v>
      </c>
      <c r="L1004">
        <f t="shared" si="75"/>
        <v>1077120</v>
      </c>
      <c r="M1004" t="str">
        <f t="shared" si="79"/>
        <v>ASALARIADO</v>
      </c>
      <c r="N1004">
        <f t="shared" si="76"/>
        <v>44</v>
      </c>
      <c r="O1004" s="19" t="str">
        <f t="shared" si="77"/>
        <v>900k–1200k</v>
      </c>
      <c r="P1004" s="19" t="str">
        <f t="shared" si="78"/>
        <v>36-45</v>
      </c>
    </row>
    <row r="1005" spans="1:16" x14ac:dyDescent="0.25">
      <c r="A1005">
        <v>1004</v>
      </c>
      <c r="B1005" t="s">
        <v>15</v>
      </c>
      <c r="C1005">
        <v>433738.95</v>
      </c>
      <c r="D1005" t="s">
        <v>10</v>
      </c>
      <c r="E1005" t="s">
        <v>16</v>
      </c>
      <c r="F1005" t="s">
        <v>12</v>
      </c>
      <c r="G1005" t="s">
        <v>13</v>
      </c>
      <c r="H1005" t="s">
        <v>13</v>
      </c>
      <c r="I1005">
        <v>45</v>
      </c>
      <c r="J1005" t="str" cm="1">
        <f t="array" ref="J1005">_xlfn.IFS(ISBLANK(C1005),"FALTANTE",ABS((C1005-$W$5)/$X$5)&gt;1.96,"ATÍPICO",ABS((C1005-$W$5)/$X$5)&lt;=1.96,"NO ATÍPICO")</f>
        <v>NO ATÍPICO</v>
      </c>
      <c r="K1005" t="str" cm="1">
        <f t="array" ref="K1005">_xlfn.IFS(ISBLANK(I1005),"FALTANTE",ABS((I1005-$W$8)/$X$8)&gt;1.92,"ATÍPICO",ABS((I1005-$W$8)/$X$8)&lt;=1.92,"NO ATÍPICO")</f>
        <v>NO ATÍPICO</v>
      </c>
      <c r="L1005">
        <f t="shared" si="75"/>
        <v>433738.95</v>
      </c>
      <c r="M1005" t="str">
        <f t="shared" si="79"/>
        <v>ASALARIADO</v>
      </c>
      <c r="N1005">
        <f t="shared" si="76"/>
        <v>45</v>
      </c>
      <c r="O1005" s="19" t="str">
        <f t="shared" si="77"/>
        <v>300k–600k</v>
      </c>
      <c r="P1005" s="19" t="str">
        <f t="shared" si="78"/>
        <v>36-45</v>
      </c>
    </row>
    <row r="1006" spans="1:16" x14ac:dyDescent="0.25">
      <c r="A1006">
        <v>1005</v>
      </c>
      <c r="B1006" t="s">
        <v>15</v>
      </c>
      <c r="C1006">
        <v>176387.09</v>
      </c>
      <c r="D1006" t="s">
        <v>14</v>
      </c>
      <c r="E1006" t="s">
        <v>11</v>
      </c>
      <c r="F1006" t="s">
        <v>12</v>
      </c>
      <c r="G1006" t="s">
        <v>13</v>
      </c>
      <c r="H1006" t="s">
        <v>13</v>
      </c>
      <c r="I1006">
        <v>88</v>
      </c>
      <c r="J1006" t="str" cm="1">
        <f t="array" ref="J1006">_xlfn.IFS(ISBLANK(C1006),"FALTANTE",ABS((C1006-$W$5)/$X$5)&gt;1.96,"ATÍPICO",ABS((C1006-$W$5)/$X$5)&lt;=1.96,"NO ATÍPICO")</f>
        <v>NO ATÍPICO</v>
      </c>
      <c r="K1006" t="str" cm="1">
        <f t="array" ref="K1006">_xlfn.IFS(ISBLANK(I1006),"FALTANTE",ABS((I1006-$W$8)/$X$8)&gt;1.92,"ATÍPICO",ABS((I1006-$W$8)/$X$8)&lt;=1.92,"NO ATÍPICO")</f>
        <v>ATÍPICO</v>
      </c>
      <c r="L1006">
        <f t="shared" si="75"/>
        <v>176387.09</v>
      </c>
      <c r="M1006" t="str">
        <f t="shared" si="79"/>
        <v>PENSIONADOS EN SU PROPIO SISTEMA</v>
      </c>
      <c r="N1006">
        <f t="shared" si="76"/>
        <v>88</v>
      </c>
      <c r="O1006" s="19" t="str">
        <f t="shared" si="77"/>
        <v>0–300k</v>
      </c>
      <c r="P1006" s="19" t="str">
        <f t="shared" si="78"/>
        <v>56+</v>
      </c>
    </row>
    <row r="1007" spans="1:16" x14ac:dyDescent="0.25">
      <c r="A1007">
        <v>1006</v>
      </c>
      <c r="B1007" t="s">
        <v>9</v>
      </c>
      <c r="C1007">
        <v>278030</v>
      </c>
      <c r="D1007" t="s">
        <v>19</v>
      </c>
      <c r="E1007" t="s">
        <v>16</v>
      </c>
      <c r="F1007" t="s">
        <v>12</v>
      </c>
      <c r="G1007" t="s">
        <v>13</v>
      </c>
      <c r="H1007" t="s">
        <v>13</v>
      </c>
      <c r="I1007">
        <v>50</v>
      </c>
      <c r="J1007" t="str" cm="1">
        <f t="array" ref="J1007">_xlfn.IFS(ISBLANK(C1007),"FALTANTE",ABS((C1007-$W$5)/$X$5)&gt;1.96,"ATÍPICO",ABS((C1007-$W$5)/$X$5)&lt;=1.96,"NO ATÍPICO")</f>
        <v>NO ATÍPICO</v>
      </c>
      <c r="K1007" t="str" cm="1">
        <f t="array" ref="K1007">_xlfn.IFS(ISBLANK(I1007),"FALTANTE",ABS((I1007-$W$8)/$X$8)&gt;1.92,"ATÍPICO",ABS((I1007-$W$8)/$X$8)&lt;=1.92,"NO ATÍPICO")</f>
        <v>NO ATÍPICO</v>
      </c>
      <c r="L1007">
        <f t="shared" si="75"/>
        <v>278030</v>
      </c>
      <c r="M1007" t="str">
        <f t="shared" si="79"/>
        <v>CONVENIOS ESPECIALES DE TRABAJADORES INDEPENDIENTES</v>
      </c>
      <c r="N1007">
        <f t="shared" si="76"/>
        <v>50</v>
      </c>
      <c r="O1007" s="19" t="str">
        <f t="shared" si="77"/>
        <v>0–300k</v>
      </c>
      <c r="P1007" s="19" t="str">
        <f t="shared" si="78"/>
        <v>46-55</v>
      </c>
    </row>
    <row r="1008" spans="1:16" x14ac:dyDescent="0.25">
      <c r="A1008">
        <v>1007</v>
      </c>
      <c r="B1008" t="s">
        <v>15</v>
      </c>
      <c r="C1008">
        <v>1407034.2</v>
      </c>
      <c r="D1008" t="s">
        <v>10</v>
      </c>
      <c r="E1008" t="s">
        <v>16</v>
      </c>
      <c r="F1008" t="s">
        <v>12</v>
      </c>
      <c r="G1008" t="s">
        <v>13</v>
      </c>
      <c r="H1008" t="s">
        <v>13</v>
      </c>
      <c r="I1008">
        <v>31</v>
      </c>
      <c r="J1008" t="str" cm="1">
        <f t="array" ref="J1008">_xlfn.IFS(ISBLANK(C1008),"FALTANTE",ABS((C1008-$W$5)/$X$5)&gt;1.96,"ATÍPICO",ABS((C1008-$W$5)/$X$5)&lt;=1.96,"NO ATÍPICO")</f>
        <v>NO ATÍPICO</v>
      </c>
      <c r="K1008" t="str" cm="1">
        <f t="array" ref="K1008">_xlfn.IFS(ISBLANK(I1008),"FALTANTE",ABS((I1008-$W$8)/$X$8)&gt;1.92,"ATÍPICO",ABS((I1008-$W$8)/$X$8)&lt;=1.92,"NO ATÍPICO")</f>
        <v>NO ATÍPICO</v>
      </c>
      <c r="L1008">
        <f t="shared" si="75"/>
        <v>1407034.2</v>
      </c>
      <c r="M1008" t="str">
        <f t="shared" si="79"/>
        <v>ASALARIADO</v>
      </c>
      <c r="N1008">
        <f t="shared" si="76"/>
        <v>31</v>
      </c>
      <c r="O1008" s="19" t="str">
        <f t="shared" si="77"/>
        <v>1200k+</v>
      </c>
      <c r="P1008" s="19" t="str">
        <f t="shared" si="78"/>
        <v>26-35</v>
      </c>
    </row>
    <row r="1009" spans="1:16" x14ac:dyDescent="0.25">
      <c r="A1009">
        <v>1008</v>
      </c>
      <c r="B1009" t="s">
        <v>9</v>
      </c>
      <c r="C1009">
        <v>1656666.67</v>
      </c>
      <c r="D1009" t="s">
        <v>10</v>
      </c>
      <c r="E1009" t="s">
        <v>16</v>
      </c>
      <c r="F1009" t="s">
        <v>12</v>
      </c>
      <c r="G1009" t="s">
        <v>13</v>
      </c>
      <c r="H1009" t="s">
        <v>13</v>
      </c>
      <c r="I1009">
        <v>37</v>
      </c>
      <c r="J1009" t="str" cm="1">
        <f t="array" ref="J1009">_xlfn.IFS(ISBLANK(C1009),"FALTANTE",ABS((C1009-$W$5)/$X$5)&gt;1.96,"ATÍPICO",ABS((C1009-$W$5)/$X$5)&lt;=1.96,"NO ATÍPICO")</f>
        <v>NO ATÍPICO</v>
      </c>
      <c r="K1009" t="str" cm="1">
        <f t="array" ref="K1009">_xlfn.IFS(ISBLANK(I1009),"FALTANTE",ABS((I1009-$W$8)/$X$8)&gt;1.92,"ATÍPICO",ABS((I1009-$W$8)/$X$8)&lt;=1.92,"NO ATÍPICO")</f>
        <v>NO ATÍPICO</v>
      </c>
      <c r="L1009">
        <f t="shared" si="75"/>
        <v>1656666.67</v>
      </c>
      <c r="M1009" t="str">
        <f t="shared" si="79"/>
        <v>ASALARIADO</v>
      </c>
      <c r="N1009">
        <f t="shared" si="76"/>
        <v>37</v>
      </c>
      <c r="O1009" s="19" t="str">
        <f t="shared" si="77"/>
        <v>1200k+</v>
      </c>
      <c r="P1009" s="19" t="str">
        <f t="shared" si="78"/>
        <v>36-45</v>
      </c>
    </row>
    <row r="1010" spans="1:16" x14ac:dyDescent="0.25">
      <c r="A1010">
        <v>1009</v>
      </c>
      <c r="B1010" t="s">
        <v>15</v>
      </c>
      <c r="C1010">
        <v>199161</v>
      </c>
      <c r="D1010" t="s">
        <v>10</v>
      </c>
      <c r="E1010" t="s">
        <v>16</v>
      </c>
      <c r="F1010" t="s">
        <v>12</v>
      </c>
      <c r="G1010" t="s">
        <v>12</v>
      </c>
      <c r="H1010" t="s">
        <v>12</v>
      </c>
      <c r="I1010">
        <v>54</v>
      </c>
      <c r="J1010" t="str" cm="1">
        <f t="array" ref="J1010">_xlfn.IFS(ISBLANK(C1010),"FALTANTE",ABS((C1010-$W$5)/$X$5)&gt;1.96,"ATÍPICO",ABS((C1010-$W$5)/$X$5)&lt;=1.96,"NO ATÍPICO")</f>
        <v>NO ATÍPICO</v>
      </c>
      <c r="K1010" t="str" cm="1">
        <f t="array" ref="K1010">_xlfn.IFS(ISBLANK(I1010),"FALTANTE",ABS((I1010-$W$8)/$X$8)&gt;1.92,"ATÍPICO",ABS((I1010-$W$8)/$X$8)&lt;=1.92,"NO ATÍPICO")</f>
        <v>NO ATÍPICO</v>
      </c>
      <c r="L1010">
        <f t="shared" si="75"/>
        <v>199161</v>
      </c>
      <c r="M1010" t="str">
        <f t="shared" si="79"/>
        <v>ASALARIADO</v>
      </c>
      <c r="N1010">
        <f t="shared" si="76"/>
        <v>54</v>
      </c>
      <c r="O1010" s="19" t="str">
        <f t="shared" si="77"/>
        <v>0–300k</v>
      </c>
      <c r="P1010" s="19" t="str">
        <f t="shared" si="78"/>
        <v>46-55</v>
      </c>
    </row>
    <row r="1011" spans="1:16" x14ac:dyDescent="0.25">
      <c r="A1011">
        <v>1010</v>
      </c>
      <c r="B1011" t="s">
        <v>9</v>
      </c>
      <c r="C1011">
        <v>600473</v>
      </c>
      <c r="D1011" t="s">
        <v>10</v>
      </c>
      <c r="E1011" t="s">
        <v>11</v>
      </c>
      <c r="F1011" t="s">
        <v>12</v>
      </c>
      <c r="G1011" t="s">
        <v>13</v>
      </c>
      <c r="H1011" t="s">
        <v>13</v>
      </c>
      <c r="I1011">
        <v>32</v>
      </c>
      <c r="J1011" t="str" cm="1">
        <f t="array" ref="J1011">_xlfn.IFS(ISBLANK(C1011),"FALTANTE",ABS((C1011-$W$5)/$X$5)&gt;1.96,"ATÍPICO",ABS((C1011-$W$5)/$X$5)&lt;=1.96,"NO ATÍPICO")</f>
        <v>NO ATÍPICO</v>
      </c>
      <c r="K1011" t="str" cm="1">
        <f t="array" ref="K1011">_xlfn.IFS(ISBLANK(I1011),"FALTANTE",ABS((I1011-$W$8)/$X$8)&gt;1.92,"ATÍPICO",ABS((I1011-$W$8)/$X$8)&lt;=1.92,"NO ATÍPICO")</f>
        <v>NO ATÍPICO</v>
      </c>
      <c r="L1011">
        <f t="shared" si="75"/>
        <v>600473</v>
      </c>
      <c r="M1011" t="str">
        <f t="shared" si="79"/>
        <v>ASALARIADO</v>
      </c>
      <c r="N1011">
        <f t="shared" si="76"/>
        <v>32</v>
      </c>
      <c r="O1011" s="19" t="str">
        <f t="shared" si="77"/>
        <v>600k–900k</v>
      </c>
      <c r="P1011" s="19" t="str">
        <f t="shared" si="78"/>
        <v>26-35</v>
      </c>
    </row>
    <row r="1012" spans="1:16" x14ac:dyDescent="0.25">
      <c r="A1012">
        <v>1011</v>
      </c>
      <c r="B1012" t="s">
        <v>9</v>
      </c>
      <c r="C1012">
        <v>544648</v>
      </c>
      <c r="D1012" t="s">
        <v>18</v>
      </c>
      <c r="E1012" t="s">
        <v>16</v>
      </c>
      <c r="F1012" t="s">
        <v>12</v>
      </c>
      <c r="G1012" t="s">
        <v>13</v>
      </c>
      <c r="H1012" t="s">
        <v>13</v>
      </c>
      <c r="I1012">
        <v>39</v>
      </c>
      <c r="J1012" t="str" cm="1">
        <f t="array" ref="J1012">_xlfn.IFS(ISBLANK(C1012),"FALTANTE",ABS((C1012-$W$5)/$X$5)&gt;1.96,"ATÍPICO",ABS((C1012-$W$5)/$X$5)&lt;=1.96,"NO ATÍPICO")</f>
        <v>NO ATÍPICO</v>
      </c>
      <c r="K1012" t="str" cm="1">
        <f t="array" ref="K1012">_xlfn.IFS(ISBLANK(I1012),"FALTANTE",ABS((I1012-$W$8)/$X$8)&gt;1.92,"ATÍPICO",ABS((I1012-$W$8)/$X$8)&lt;=1.92,"NO ATÍPICO")</f>
        <v>NO ATÍPICO</v>
      </c>
      <c r="L1012">
        <f t="shared" si="75"/>
        <v>544648</v>
      </c>
      <c r="M1012" t="str">
        <f t="shared" si="79"/>
        <v>TRABAJADOR INDEPENDIENTE</v>
      </c>
      <c r="N1012">
        <f t="shared" si="76"/>
        <v>39</v>
      </c>
      <c r="O1012" s="19" t="str">
        <f t="shared" si="77"/>
        <v>300k–600k</v>
      </c>
      <c r="P1012" s="19" t="str">
        <f t="shared" si="78"/>
        <v>36-45</v>
      </c>
    </row>
    <row r="1013" spans="1:16" x14ac:dyDescent="0.25">
      <c r="A1013">
        <v>1012</v>
      </c>
      <c r="B1013" t="s">
        <v>15</v>
      </c>
      <c r="C1013">
        <v>757952.07</v>
      </c>
      <c r="D1013" t="s">
        <v>10</v>
      </c>
      <c r="E1013" t="s">
        <v>11</v>
      </c>
      <c r="F1013" t="s">
        <v>12</v>
      </c>
      <c r="G1013" t="s">
        <v>13</v>
      </c>
      <c r="H1013" t="s">
        <v>13</v>
      </c>
      <c r="I1013">
        <v>34</v>
      </c>
      <c r="J1013" t="str" cm="1">
        <f t="array" ref="J1013">_xlfn.IFS(ISBLANK(C1013),"FALTANTE",ABS((C1013-$W$5)/$X$5)&gt;1.96,"ATÍPICO",ABS((C1013-$W$5)/$X$5)&lt;=1.96,"NO ATÍPICO")</f>
        <v>NO ATÍPICO</v>
      </c>
      <c r="K1013" t="str" cm="1">
        <f t="array" ref="K1013">_xlfn.IFS(ISBLANK(I1013),"FALTANTE",ABS((I1013-$W$8)/$X$8)&gt;1.92,"ATÍPICO",ABS((I1013-$W$8)/$X$8)&lt;=1.92,"NO ATÍPICO")</f>
        <v>NO ATÍPICO</v>
      </c>
      <c r="L1013">
        <f t="shared" si="75"/>
        <v>757952.07</v>
      </c>
      <c r="M1013" t="str">
        <f t="shared" si="79"/>
        <v>ASALARIADO</v>
      </c>
      <c r="N1013">
        <f t="shared" si="76"/>
        <v>34</v>
      </c>
      <c r="O1013" s="19" t="str">
        <f t="shared" si="77"/>
        <v>600k–900k</v>
      </c>
      <c r="P1013" s="19" t="str">
        <f t="shared" si="78"/>
        <v>26-35</v>
      </c>
    </row>
    <row r="1014" spans="1:16" x14ac:dyDescent="0.25">
      <c r="A1014">
        <v>1013</v>
      </c>
      <c r="B1014" t="s">
        <v>9</v>
      </c>
      <c r="C1014">
        <v>297045</v>
      </c>
      <c r="D1014" t="s">
        <v>17</v>
      </c>
      <c r="E1014" t="s">
        <v>16</v>
      </c>
      <c r="F1014" t="s">
        <v>12</v>
      </c>
      <c r="G1014" t="s">
        <v>13</v>
      </c>
      <c r="H1014" t="s">
        <v>13</v>
      </c>
      <c r="I1014">
        <v>60</v>
      </c>
      <c r="J1014" t="str" cm="1">
        <f t="array" ref="J1014">_xlfn.IFS(ISBLANK(C1014),"FALTANTE",ABS((C1014-$W$5)/$X$5)&gt;1.96,"ATÍPICO",ABS((C1014-$W$5)/$X$5)&lt;=1.96,"NO ATÍPICO")</f>
        <v>NO ATÍPICO</v>
      </c>
      <c r="K1014" t="str" cm="1">
        <f t="array" ref="K1014">_xlfn.IFS(ISBLANK(I1014),"FALTANTE",ABS((I1014-$W$8)/$X$8)&gt;1.92,"ATÍPICO",ABS((I1014-$W$8)/$X$8)&lt;=1.92,"NO ATÍPICO")</f>
        <v>NO ATÍPICO</v>
      </c>
      <c r="L1014">
        <f t="shared" si="75"/>
        <v>297045</v>
      </c>
      <c r="M1014" t="str">
        <f t="shared" si="79"/>
        <v>ASEGURADO VOLUNTARIO</v>
      </c>
      <c r="N1014">
        <f t="shared" si="76"/>
        <v>60</v>
      </c>
      <c r="O1014" s="19" t="str">
        <f t="shared" si="77"/>
        <v>0–300k</v>
      </c>
      <c r="P1014" s="19" t="str">
        <f t="shared" si="78"/>
        <v>56+</v>
      </c>
    </row>
    <row r="1015" spans="1:16" x14ac:dyDescent="0.25">
      <c r="A1015">
        <v>1014</v>
      </c>
      <c r="B1015" t="s">
        <v>15</v>
      </c>
      <c r="C1015">
        <v>514678</v>
      </c>
      <c r="D1015" t="s">
        <v>14</v>
      </c>
      <c r="E1015" t="s">
        <v>11</v>
      </c>
      <c r="F1015" t="s">
        <v>12</v>
      </c>
      <c r="G1015" t="s">
        <v>13</v>
      </c>
      <c r="H1015" t="s">
        <v>13</v>
      </c>
      <c r="I1015">
        <v>73</v>
      </c>
      <c r="J1015" t="str" cm="1">
        <f t="array" ref="J1015">_xlfn.IFS(ISBLANK(C1015),"FALTANTE",ABS((C1015-$W$5)/$X$5)&gt;1.96,"ATÍPICO",ABS((C1015-$W$5)/$X$5)&lt;=1.96,"NO ATÍPICO")</f>
        <v>NO ATÍPICO</v>
      </c>
      <c r="K1015" t="str" cm="1">
        <f t="array" ref="K1015">_xlfn.IFS(ISBLANK(I1015),"FALTANTE",ABS((I1015-$W$8)/$X$8)&gt;1.92,"ATÍPICO",ABS((I1015-$W$8)/$X$8)&lt;=1.92,"NO ATÍPICO")</f>
        <v>ATÍPICO</v>
      </c>
      <c r="L1015">
        <f t="shared" si="75"/>
        <v>514678</v>
      </c>
      <c r="M1015" t="str">
        <f t="shared" si="79"/>
        <v>PENSIONADOS EN SU PROPIO SISTEMA</v>
      </c>
      <c r="N1015">
        <f t="shared" si="76"/>
        <v>73</v>
      </c>
      <c r="O1015" s="19" t="str">
        <f t="shared" si="77"/>
        <v>300k–600k</v>
      </c>
      <c r="P1015" s="19" t="str">
        <f t="shared" si="78"/>
        <v>56+</v>
      </c>
    </row>
    <row r="1016" spans="1:16" x14ac:dyDescent="0.25">
      <c r="A1016">
        <v>1015</v>
      </c>
      <c r="B1016" t="s">
        <v>9</v>
      </c>
      <c r="C1016">
        <v>207840</v>
      </c>
      <c r="D1016" t="s">
        <v>10</v>
      </c>
      <c r="E1016" t="s">
        <v>16</v>
      </c>
      <c r="F1016" t="s">
        <v>12</v>
      </c>
      <c r="G1016" t="s">
        <v>12</v>
      </c>
      <c r="H1016" t="s">
        <v>13</v>
      </c>
      <c r="I1016">
        <v>41</v>
      </c>
      <c r="J1016" t="str" cm="1">
        <f t="array" ref="J1016">_xlfn.IFS(ISBLANK(C1016),"FALTANTE",ABS((C1016-$W$5)/$X$5)&gt;1.96,"ATÍPICO",ABS((C1016-$W$5)/$X$5)&lt;=1.96,"NO ATÍPICO")</f>
        <v>NO ATÍPICO</v>
      </c>
      <c r="K1016" t="str" cm="1">
        <f t="array" ref="K1016">_xlfn.IFS(ISBLANK(I1016),"FALTANTE",ABS((I1016-$W$8)/$X$8)&gt;1.92,"ATÍPICO",ABS((I1016-$W$8)/$X$8)&lt;=1.92,"NO ATÍPICO")</f>
        <v>NO ATÍPICO</v>
      </c>
      <c r="L1016">
        <f t="shared" si="75"/>
        <v>207840</v>
      </c>
      <c r="M1016" t="str">
        <f t="shared" si="79"/>
        <v>ASALARIADO</v>
      </c>
      <c r="N1016">
        <f t="shared" si="76"/>
        <v>41</v>
      </c>
      <c r="O1016" s="19" t="str">
        <f t="shared" si="77"/>
        <v>0–300k</v>
      </c>
      <c r="P1016" s="19" t="str">
        <f t="shared" si="78"/>
        <v>36-45</v>
      </c>
    </row>
    <row r="1017" spans="1:16" x14ac:dyDescent="0.25">
      <c r="A1017">
        <v>1016</v>
      </c>
      <c r="B1017" t="s">
        <v>15</v>
      </c>
      <c r="C1017">
        <v>592970</v>
      </c>
      <c r="D1017" t="s">
        <v>10</v>
      </c>
      <c r="E1017" t="s">
        <v>11</v>
      </c>
      <c r="F1017" t="s">
        <v>12</v>
      </c>
      <c r="G1017" t="s">
        <v>13</v>
      </c>
      <c r="H1017" t="s">
        <v>12</v>
      </c>
      <c r="I1017">
        <v>37</v>
      </c>
      <c r="J1017" t="str" cm="1">
        <f t="array" ref="J1017">_xlfn.IFS(ISBLANK(C1017),"FALTANTE",ABS((C1017-$W$5)/$X$5)&gt;1.96,"ATÍPICO",ABS((C1017-$W$5)/$X$5)&lt;=1.96,"NO ATÍPICO")</f>
        <v>NO ATÍPICO</v>
      </c>
      <c r="K1017" t="str" cm="1">
        <f t="array" ref="K1017">_xlfn.IFS(ISBLANK(I1017),"FALTANTE",ABS((I1017-$W$8)/$X$8)&gt;1.92,"ATÍPICO",ABS((I1017-$W$8)/$X$8)&lt;=1.92,"NO ATÍPICO")</f>
        <v>NO ATÍPICO</v>
      </c>
      <c r="L1017">
        <f t="shared" si="75"/>
        <v>592970</v>
      </c>
      <c r="M1017" t="str">
        <f t="shared" si="79"/>
        <v>ASALARIADO</v>
      </c>
      <c r="N1017">
        <f t="shared" si="76"/>
        <v>37</v>
      </c>
      <c r="O1017" s="19" t="str">
        <f t="shared" si="77"/>
        <v>300k–600k</v>
      </c>
      <c r="P1017" s="19" t="str">
        <f t="shared" si="78"/>
        <v>36-45</v>
      </c>
    </row>
    <row r="1018" spans="1:16" x14ac:dyDescent="0.25">
      <c r="A1018">
        <v>1017</v>
      </c>
      <c r="B1018" t="s">
        <v>9</v>
      </c>
      <c r="C1018">
        <v>418054</v>
      </c>
      <c r="D1018" t="s">
        <v>18</v>
      </c>
      <c r="E1018" t="s">
        <v>16</v>
      </c>
      <c r="F1018" t="s">
        <v>12</v>
      </c>
      <c r="G1018" t="s">
        <v>13</v>
      </c>
      <c r="H1018" t="s">
        <v>12</v>
      </c>
      <c r="I1018">
        <v>48</v>
      </c>
      <c r="J1018" t="str" cm="1">
        <f t="array" ref="J1018">_xlfn.IFS(ISBLANK(C1018),"FALTANTE",ABS((C1018-$W$5)/$X$5)&gt;1.96,"ATÍPICO",ABS((C1018-$W$5)/$X$5)&lt;=1.96,"NO ATÍPICO")</f>
        <v>NO ATÍPICO</v>
      </c>
      <c r="K1018" t="str" cm="1">
        <f t="array" ref="K1018">_xlfn.IFS(ISBLANK(I1018),"FALTANTE",ABS((I1018-$W$8)/$X$8)&gt;1.92,"ATÍPICO",ABS((I1018-$W$8)/$X$8)&lt;=1.92,"NO ATÍPICO")</f>
        <v>NO ATÍPICO</v>
      </c>
      <c r="L1018">
        <f t="shared" si="75"/>
        <v>418054</v>
      </c>
      <c r="M1018" t="str">
        <f t="shared" si="79"/>
        <v>TRABAJADOR INDEPENDIENTE</v>
      </c>
      <c r="N1018">
        <f t="shared" si="76"/>
        <v>48</v>
      </c>
      <c r="O1018" s="19" t="str">
        <f t="shared" si="77"/>
        <v>300k–600k</v>
      </c>
      <c r="P1018" s="19" t="str">
        <f t="shared" si="78"/>
        <v>46-55</v>
      </c>
    </row>
    <row r="1019" spans="1:16" x14ac:dyDescent="0.25">
      <c r="A1019">
        <v>1018</v>
      </c>
      <c r="B1019" t="s">
        <v>9</v>
      </c>
      <c r="C1019">
        <v>140375</v>
      </c>
      <c r="D1019" t="s">
        <v>10</v>
      </c>
      <c r="E1019" t="s">
        <v>16</v>
      </c>
      <c r="F1019" t="s">
        <v>12</v>
      </c>
      <c r="G1019" t="s">
        <v>13</v>
      </c>
      <c r="H1019" t="s">
        <v>13</v>
      </c>
      <c r="I1019">
        <v>54</v>
      </c>
      <c r="J1019" t="str" cm="1">
        <f t="array" ref="J1019">_xlfn.IFS(ISBLANK(C1019),"FALTANTE",ABS((C1019-$W$5)/$X$5)&gt;1.96,"ATÍPICO",ABS((C1019-$W$5)/$X$5)&lt;=1.96,"NO ATÍPICO")</f>
        <v>NO ATÍPICO</v>
      </c>
      <c r="K1019" t="str" cm="1">
        <f t="array" ref="K1019">_xlfn.IFS(ISBLANK(I1019),"FALTANTE",ABS((I1019-$W$8)/$X$8)&gt;1.92,"ATÍPICO",ABS((I1019-$W$8)/$X$8)&lt;=1.92,"NO ATÍPICO")</f>
        <v>NO ATÍPICO</v>
      </c>
      <c r="L1019">
        <f t="shared" si="75"/>
        <v>140375</v>
      </c>
      <c r="M1019" t="str">
        <f t="shared" si="79"/>
        <v>ASALARIADO</v>
      </c>
      <c r="N1019">
        <f t="shared" si="76"/>
        <v>54</v>
      </c>
      <c r="O1019" s="19" t="str">
        <f t="shared" si="77"/>
        <v>0–300k</v>
      </c>
      <c r="P1019" s="19" t="str">
        <f t="shared" si="78"/>
        <v>46-55</v>
      </c>
    </row>
    <row r="1020" spans="1:16" x14ac:dyDescent="0.25">
      <c r="A1020">
        <v>1019</v>
      </c>
      <c r="B1020" t="s">
        <v>15</v>
      </c>
      <c r="C1020">
        <v>2152089.7000000002</v>
      </c>
      <c r="D1020" t="s">
        <v>10</v>
      </c>
      <c r="E1020" t="s">
        <v>11</v>
      </c>
      <c r="F1020" t="s">
        <v>12</v>
      </c>
      <c r="G1020" t="s">
        <v>13</v>
      </c>
      <c r="H1020" t="s">
        <v>13</v>
      </c>
      <c r="I1020">
        <v>42</v>
      </c>
      <c r="J1020" t="str" cm="1">
        <f t="array" ref="J1020">_xlfn.IFS(ISBLANK(C1020),"FALTANTE",ABS((C1020-$W$5)/$X$5)&gt;1.96,"ATÍPICO",ABS((C1020-$W$5)/$X$5)&lt;=1.96,"NO ATÍPICO")</f>
        <v>NO ATÍPICO</v>
      </c>
      <c r="K1020" t="str" cm="1">
        <f t="array" ref="K1020">_xlfn.IFS(ISBLANK(I1020),"FALTANTE",ABS((I1020-$W$8)/$X$8)&gt;1.92,"ATÍPICO",ABS((I1020-$W$8)/$X$8)&lt;=1.92,"NO ATÍPICO")</f>
        <v>NO ATÍPICO</v>
      </c>
      <c r="L1020">
        <f t="shared" si="75"/>
        <v>2152089.7000000002</v>
      </c>
      <c r="M1020" t="str">
        <f t="shared" si="79"/>
        <v>ASALARIADO</v>
      </c>
      <c r="N1020">
        <f t="shared" si="76"/>
        <v>42</v>
      </c>
      <c r="O1020" s="19" t="str">
        <f t="shared" si="77"/>
        <v>1200k+</v>
      </c>
      <c r="P1020" s="19" t="str">
        <f t="shared" si="78"/>
        <v>36-45</v>
      </c>
    </row>
    <row r="1021" spans="1:16" x14ac:dyDescent="0.25">
      <c r="A1021">
        <v>1020</v>
      </c>
      <c r="B1021" t="s">
        <v>15</v>
      </c>
      <c r="C1021">
        <v>1444541</v>
      </c>
      <c r="D1021" t="s">
        <v>14</v>
      </c>
      <c r="E1021" t="s">
        <v>11</v>
      </c>
      <c r="F1021" t="s">
        <v>12</v>
      </c>
      <c r="G1021" t="s">
        <v>13</v>
      </c>
      <c r="H1021" t="s">
        <v>13</v>
      </c>
      <c r="I1021">
        <v>69</v>
      </c>
      <c r="J1021" t="str" cm="1">
        <f t="array" ref="J1021">_xlfn.IFS(ISBLANK(C1021),"FALTANTE",ABS((C1021-$W$5)/$X$5)&gt;1.96,"ATÍPICO",ABS((C1021-$W$5)/$X$5)&lt;=1.96,"NO ATÍPICO")</f>
        <v>NO ATÍPICO</v>
      </c>
      <c r="K1021" t="str" cm="1">
        <f t="array" ref="K1021">_xlfn.IFS(ISBLANK(I1021),"FALTANTE",ABS((I1021-$W$8)/$X$8)&gt;1.92,"ATÍPICO",ABS((I1021-$W$8)/$X$8)&lt;=1.92,"NO ATÍPICO")</f>
        <v>NO ATÍPICO</v>
      </c>
      <c r="L1021">
        <f t="shared" si="75"/>
        <v>1444541</v>
      </c>
      <c r="M1021" t="str">
        <f t="shared" si="79"/>
        <v>PENSIONADOS EN SU PROPIO SISTEMA</v>
      </c>
      <c r="N1021">
        <f t="shared" si="76"/>
        <v>69</v>
      </c>
      <c r="O1021" s="19" t="str">
        <f t="shared" si="77"/>
        <v>1200k+</v>
      </c>
      <c r="P1021" s="19" t="str">
        <f t="shared" si="78"/>
        <v>56+</v>
      </c>
    </row>
    <row r="1022" spans="1:16" x14ac:dyDescent="0.25">
      <c r="A1022">
        <v>1021</v>
      </c>
      <c r="B1022" t="s">
        <v>9</v>
      </c>
      <c r="C1022">
        <v>326749</v>
      </c>
      <c r="D1022" t="s">
        <v>18</v>
      </c>
      <c r="E1022" t="s">
        <v>16</v>
      </c>
      <c r="F1022" t="s">
        <v>12</v>
      </c>
      <c r="G1022" t="s">
        <v>13</v>
      </c>
      <c r="H1022" t="s">
        <v>12</v>
      </c>
      <c r="I1022">
        <v>58</v>
      </c>
      <c r="J1022" t="str" cm="1">
        <f t="array" ref="J1022">_xlfn.IFS(ISBLANK(C1022),"FALTANTE",ABS((C1022-$W$5)/$X$5)&gt;1.96,"ATÍPICO",ABS((C1022-$W$5)/$X$5)&lt;=1.96,"NO ATÍPICO")</f>
        <v>NO ATÍPICO</v>
      </c>
      <c r="K1022" t="str" cm="1">
        <f t="array" ref="K1022">_xlfn.IFS(ISBLANK(I1022),"FALTANTE",ABS((I1022-$W$8)/$X$8)&gt;1.92,"ATÍPICO",ABS((I1022-$W$8)/$X$8)&lt;=1.92,"NO ATÍPICO")</f>
        <v>NO ATÍPICO</v>
      </c>
      <c r="L1022">
        <f t="shared" si="75"/>
        <v>326749</v>
      </c>
      <c r="M1022" t="str">
        <f t="shared" si="79"/>
        <v>TRABAJADOR INDEPENDIENTE</v>
      </c>
      <c r="N1022">
        <f t="shared" si="76"/>
        <v>58</v>
      </c>
      <c r="O1022" s="19" t="str">
        <f t="shared" si="77"/>
        <v>300k–600k</v>
      </c>
      <c r="P1022" s="19" t="str">
        <f t="shared" si="78"/>
        <v>56+</v>
      </c>
    </row>
    <row r="1023" spans="1:16" x14ac:dyDescent="0.25">
      <c r="A1023">
        <v>1022</v>
      </c>
      <c r="B1023" t="s">
        <v>9</v>
      </c>
      <c r="C1023">
        <v>4644820.8</v>
      </c>
      <c r="D1023" t="s">
        <v>10</v>
      </c>
      <c r="E1023" t="s">
        <v>11</v>
      </c>
      <c r="F1023" t="s">
        <v>12</v>
      </c>
      <c r="G1023" t="s">
        <v>13</v>
      </c>
      <c r="H1023" t="s">
        <v>13</v>
      </c>
      <c r="I1023">
        <v>37</v>
      </c>
      <c r="J1023" t="str" cm="1">
        <f t="array" ref="J1023">_xlfn.IFS(ISBLANK(C1023),"FALTANTE",ABS((C1023-$W$5)/$X$5)&gt;1.96,"ATÍPICO",ABS((C1023-$W$5)/$X$5)&lt;=1.96,"NO ATÍPICO")</f>
        <v>ATÍPICO</v>
      </c>
      <c r="K1023" t="str" cm="1">
        <f t="array" ref="K1023">_xlfn.IFS(ISBLANK(I1023),"FALTANTE",ABS((I1023-$W$8)/$X$8)&gt;1.92,"ATÍPICO",ABS((I1023-$W$8)/$X$8)&lt;=1.92,"NO ATÍPICO")</f>
        <v>NO ATÍPICO</v>
      </c>
      <c r="L1023">
        <f t="shared" si="75"/>
        <v>4644820.8</v>
      </c>
      <c r="M1023" t="str">
        <f t="shared" si="79"/>
        <v>ASALARIADO</v>
      </c>
      <c r="N1023">
        <f t="shared" si="76"/>
        <v>37</v>
      </c>
      <c r="O1023" s="19" t="str">
        <f t="shared" si="77"/>
        <v>1200k+</v>
      </c>
      <c r="P1023" s="19" t="str">
        <f t="shared" si="78"/>
        <v>36-45</v>
      </c>
    </row>
    <row r="1024" spans="1:16" x14ac:dyDescent="0.25">
      <c r="A1024">
        <v>1023</v>
      </c>
      <c r="B1024" t="s">
        <v>15</v>
      </c>
      <c r="C1024">
        <v>517053.85</v>
      </c>
      <c r="D1024" t="s">
        <v>10</v>
      </c>
      <c r="E1024" t="s">
        <v>16</v>
      </c>
      <c r="F1024" t="s">
        <v>12</v>
      </c>
      <c r="G1024" t="s">
        <v>13</v>
      </c>
      <c r="H1024" t="s">
        <v>12</v>
      </c>
      <c r="I1024">
        <v>28</v>
      </c>
      <c r="J1024" t="str" cm="1">
        <f t="array" ref="J1024">_xlfn.IFS(ISBLANK(C1024),"FALTANTE",ABS((C1024-$W$5)/$X$5)&gt;1.96,"ATÍPICO",ABS((C1024-$W$5)/$X$5)&lt;=1.96,"NO ATÍPICO")</f>
        <v>NO ATÍPICO</v>
      </c>
      <c r="K1024" t="str" cm="1">
        <f t="array" ref="K1024">_xlfn.IFS(ISBLANK(I1024),"FALTANTE",ABS((I1024-$W$8)/$X$8)&gt;1.92,"ATÍPICO",ABS((I1024-$W$8)/$X$8)&lt;=1.92,"NO ATÍPICO")</f>
        <v>NO ATÍPICO</v>
      </c>
      <c r="L1024">
        <f t="shared" si="75"/>
        <v>517053.85</v>
      </c>
      <c r="M1024" t="str">
        <f t="shared" si="79"/>
        <v>ASALARIADO</v>
      </c>
      <c r="N1024">
        <f t="shared" si="76"/>
        <v>28</v>
      </c>
      <c r="O1024" s="19" t="str">
        <f t="shared" si="77"/>
        <v>300k–600k</v>
      </c>
      <c r="P1024" s="19" t="str">
        <f t="shared" si="78"/>
        <v>26-35</v>
      </c>
    </row>
    <row r="1025" spans="1:16" x14ac:dyDescent="0.25">
      <c r="A1025">
        <v>1024</v>
      </c>
      <c r="B1025" t="s">
        <v>9</v>
      </c>
      <c r="C1025">
        <v>3692520</v>
      </c>
      <c r="D1025" t="s">
        <v>10</v>
      </c>
      <c r="E1025" t="s">
        <v>16</v>
      </c>
      <c r="F1025" t="s">
        <v>12</v>
      </c>
      <c r="G1025" t="s">
        <v>13</v>
      </c>
      <c r="H1025" t="s">
        <v>13</v>
      </c>
      <c r="I1025">
        <v>47</v>
      </c>
      <c r="J1025" t="str" cm="1">
        <f t="array" ref="J1025">_xlfn.IFS(ISBLANK(C1025),"FALTANTE",ABS((C1025-$W$5)/$X$5)&gt;1.96,"ATÍPICO",ABS((C1025-$W$5)/$X$5)&lt;=1.96,"NO ATÍPICO")</f>
        <v>ATÍPICO</v>
      </c>
      <c r="K1025" t="str" cm="1">
        <f t="array" ref="K1025">_xlfn.IFS(ISBLANK(I1025),"FALTANTE",ABS((I1025-$W$8)/$X$8)&gt;1.92,"ATÍPICO",ABS((I1025-$W$8)/$X$8)&lt;=1.92,"NO ATÍPICO")</f>
        <v>NO ATÍPICO</v>
      </c>
      <c r="L1025">
        <f t="shared" si="75"/>
        <v>3692520</v>
      </c>
      <c r="M1025" t="str">
        <f t="shared" si="79"/>
        <v>ASALARIADO</v>
      </c>
      <c r="N1025">
        <f t="shared" si="76"/>
        <v>47</v>
      </c>
      <c r="O1025" s="19" t="str">
        <f t="shared" si="77"/>
        <v>1200k+</v>
      </c>
      <c r="P1025" s="19" t="str">
        <f t="shared" si="78"/>
        <v>46-55</v>
      </c>
    </row>
    <row r="1026" spans="1:16" x14ac:dyDescent="0.25">
      <c r="A1026">
        <v>1025</v>
      </c>
      <c r="B1026" t="s">
        <v>9</v>
      </c>
      <c r="C1026">
        <v>333671</v>
      </c>
      <c r="D1026" t="s">
        <v>10</v>
      </c>
      <c r="E1026" t="s">
        <v>16</v>
      </c>
      <c r="F1026" t="s">
        <v>12</v>
      </c>
      <c r="G1026" t="s">
        <v>12</v>
      </c>
      <c r="H1026" t="s">
        <v>13</v>
      </c>
      <c r="I1026">
        <v>23</v>
      </c>
      <c r="J1026" t="str" cm="1">
        <f t="array" ref="J1026">_xlfn.IFS(ISBLANK(C1026),"FALTANTE",ABS((C1026-$W$5)/$X$5)&gt;1.96,"ATÍPICO",ABS((C1026-$W$5)/$X$5)&lt;=1.96,"NO ATÍPICO")</f>
        <v>NO ATÍPICO</v>
      </c>
      <c r="K1026" t="str" cm="1">
        <f t="array" ref="K1026">_xlfn.IFS(ISBLANK(I1026),"FALTANTE",ABS((I1026-$W$8)/$X$8)&gt;1.92,"ATÍPICO",ABS((I1026-$W$8)/$X$8)&lt;=1.92,"NO ATÍPICO")</f>
        <v>NO ATÍPICO</v>
      </c>
      <c r="L1026">
        <f t="shared" ref="L1026:M1089" si="80">C1026</f>
        <v>333671</v>
      </c>
      <c r="M1026" t="str">
        <f t="shared" si="79"/>
        <v>ASALARIADO</v>
      </c>
      <c r="N1026">
        <f t="shared" ref="N1026:N1089" si="81">I1026</f>
        <v>23</v>
      </c>
      <c r="O1026" s="19" t="str">
        <f t="shared" ref="O1026:O1089" si="82">IF(L1026&lt;=300000,"0–300k",IF(L1026&lt;=600000,"300k–600k",IF(L1026&lt;=900000,"600k–900k",IF(L1026&lt;=1200000,"900k–1200k","1200k+"))))</f>
        <v>300k–600k</v>
      </c>
      <c r="P1026" s="19" t="str">
        <f t="shared" ref="P1026:P1089" si="83">IF(N1026 &lt;=25,"18-25", IF(N1026&lt;=35,"26-35", IF(N1026 &lt;=45,"36-45", IF(N1026&lt;=55,"46-55","56+"))))</f>
        <v>18-25</v>
      </c>
    </row>
    <row r="1027" spans="1:16" x14ac:dyDescent="0.25">
      <c r="A1027">
        <v>1026</v>
      </c>
      <c r="B1027" t="s">
        <v>15</v>
      </c>
      <c r="C1027">
        <v>504571.88</v>
      </c>
      <c r="D1027" t="s">
        <v>10</v>
      </c>
      <c r="E1027" t="s">
        <v>16</v>
      </c>
      <c r="F1027" t="s">
        <v>12</v>
      </c>
      <c r="G1027" t="s">
        <v>13</v>
      </c>
      <c r="H1027" t="s">
        <v>13</v>
      </c>
      <c r="I1027">
        <v>31</v>
      </c>
      <c r="J1027" t="str" cm="1">
        <f t="array" ref="J1027">_xlfn.IFS(ISBLANK(C1027),"FALTANTE",ABS((C1027-$W$5)/$X$5)&gt;1.96,"ATÍPICO",ABS((C1027-$W$5)/$X$5)&lt;=1.96,"NO ATÍPICO")</f>
        <v>NO ATÍPICO</v>
      </c>
      <c r="K1027" t="str" cm="1">
        <f t="array" ref="K1027">_xlfn.IFS(ISBLANK(I1027),"FALTANTE",ABS((I1027-$W$8)/$X$8)&gt;1.92,"ATÍPICO",ABS((I1027-$W$8)/$X$8)&lt;=1.92,"NO ATÍPICO")</f>
        <v>NO ATÍPICO</v>
      </c>
      <c r="L1027">
        <f t="shared" si="80"/>
        <v>504571.88</v>
      </c>
      <c r="M1027" t="str">
        <f t="shared" si="79"/>
        <v>ASALARIADO</v>
      </c>
      <c r="N1027">
        <f t="shared" si="81"/>
        <v>31</v>
      </c>
      <c r="O1027" s="19" t="str">
        <f t="shared" si="82"/>
        <v>300k–600k</v>
      </c>
      <c r="P1027" s="19" t="str">
        <f t="shared" si="83"/>
        <v>26-35</v>
      </c>
    </row>
    <row r="1028" spans="1:16" x14ac:dyDescent="0.25">
      <c r="A1028">
        <v>1027</v>
      </c>
      <c r="B1028" t="s">
        <v>15</v>
      </c>
      <c r="C1028">
        <v>264120</v>
      </c>
      <c r="D1028" t="s">
        <v>10</v>
      </c>
      <c r="E1028" t="s">
        <v>16</v>
      </c>
      <c r="F1028" t="s">
        <v>12</v>
      </c>
      <c r="G1028" t="s">
        <v>13</v>
      </c>
      <c r="H1028" t="s">
        <v>12</v>
      </c>
      <c r="I1028">
        <v>32</v>
      </c>
      <c r="J1028" t="str" cm="1">
        <f t="array" ref="J1028">_xlfn.IFS(ISBLANK(C1028),"FALTANTE",ABS((C1028-$W$5)/$X$5)&gt;1.96,"ATÍPICO",ABS((C1028-$W$5)/$X$5)&lt;=1.96,"NO ATÍPICO")</f>
        <v>NO ATÍPICO</v>
      </c>
      <c r="K1028" t="str" cm="1">
        <f t="array" ref="K1028">_xlfn.IFS(ISBLANK(I1028),"FALTANTE",ABS((I1028-$W$8)/$X$8)&gt;1.92,"ATÍPICO",ABS((I1028-$W$8)/$X$8)&lt;=1.92,"NO ATÍPICO")</f>
        <v>NO ATÍPICO</v>
      </c>
      <c r="L1028">
        <f t="shared" si="80"/>
        <v>264120</v>
      </c>
      <c r="M1028" t="str">
        <f t="shared" si="80"/>
        <v>ASALARIADO</v>
      </c>
      <c r="N1028">
        <f t="shared" si="81"/>
        <v>32</v>
      </c>
      <c r="O1028" s="19" t="str">
        <f t="shared" si="82"/>
        <v>0–300k</v>
      </c>
      <c r="P1028" s="19" t="str">
        <f t="shared" si="83"/>
        <v>26-35</v>
      </c>
    </row>
    <row r="1029" spans="1:16" x14ac:dyDescent="0.25">
      <c r="A1029">
        <v>1028</v>
      </c>
      <c r="B1029" t="s">
        <v>15</v>
      </c>
      <c r="C1029">
        <v>766575.22</v>
      </c>
      <c r="D1029" t="s">
        <v>14</v>
      </c>
      <c r="E1029" t="s">
        <v>11</v>
      </c>
      <c r="F1029" t="s">
        <v>12</v>
      </c>
      <c r="G1029" t="s">
        <v>13</v>
      </c>
      <c r="H1029" t="s">
        <v>13</v>
      </c>
      <c r="I1029">
        <v>71</v>
      </c>
      <c r="J1029" t="str" cm="1">
        <f t="array" ref="J1029">_xlfn.IFS(ISBLANK(C1029),"FALTANTE",ABS((C1029-$W$5)/$X$5)&gt;1.96,"ATÍPICO",ABS((C1029-$W$5)/$X$5)&lt;=1.96,"NO ATÍPICO")</f>
        <v>NO ATÍPICO</v>
      </c>
      <c r="K1029" t="str" cm="1">
        <f t="array" ref="K1029">_xlfn.IFS(ISBLANK(I1029),"FALTANTE",ABS((I1029-$W$8)/$X$8)&gt;1.92,"ATÍPICO",ABS((I1029-$W$8)/$X$8)&lt;=1.92,"NO ATÍPICO")</f>
        <v>ATÍPICO</v>
      </c>
      <c r="L1029">
        <f t="shared" si="80"/>
        <v>766575.22</v>
      </c>
      <c r="M1029" t="str">
        <f t="shared" si="80"/>
        <v>PENSIONADOS EN SU PROPIO SISTEMA</v>
      </c>
      <c r="N1029">
        <f t="shared" si="81"/>
        <v>71</v>
      </c>
      <c r="O1029" s="19" t="str">
        <f t="shared" si="82"/>
        <v>600k–900k</v>
      </c>
      <c r="P1029" s="19" t="str">
        <f t="shared" si="83"/>
        <v>56+</v>
      </c>
    </row>
    <row r="1030" spans="1:16" x14ac:dyDescent="0.25">
      <c r="A1030">
        <v>1029</v>
      </c>
      <c r="B1030" t="s">
        <v>9</v>
      </c>
      <c r="C1030">
        <v>1020006.8</v>
      </c>
      <c r="D1030" t="s">
        <v>10</v>
      </c>
      <c r="E1030" t="s">
        <v>16</v>
      </c>
      <c r="F1030" t="s">
        <v>12</v>
      </c>
      <c r="G1030" t="s">
        <v>13</v>
      </c>
      <c r="H1030" t="s">
        <v>13</v>
      </c>
      <c r="I1030">
        <v>30</v>
      </c>
      <c r="J1030" t="str" cm="1">
        <f t="array" ref="J1030">_xlfn.IFS(ISBLANK(C1030),"FALTANTE",ABS((C1030-$W$5)/$X$5)&gt;1.96,"ATÍPICO",ABS((C1030-$W$5)/$X$5)&lt;=1.96,"NO ATÍPICO")</f>
        <v>NO ATÍPICO</v>
      </c>
      <c r="K1030" t="str" cm="1">
        <f t="array" ref="K1030">_xlfn.IFS(ISBLANK(I1030),"FALTANTE",ABS((I1030-$W$8)/$X$8)&gt;1.92,"ATÍPICO",ABS((I1030-$W$8)/$X$8)&lt;=1.92,"NO ATÍPICO")</f>
        <v>NO ATÍPICO</v>
      </c>
      <c r="L1030">
        <f t="shared" si="80"/>
        <v>1020006.8</v>
      </c>
      <c r="M1030" t="str">
        <f t="shared" si="80"/>
        <v>ASALARIADO</v>
      </c>
      <c r="N1030">
        <f t="shared" si="81"/>
        <v>30</v>
      </c>
      <c r="O1030" s="19" t="str">
        <f t="shared" si="82"/>
        <v>900k–1200k</v>
      </c>
      <c r="P1030" s="19" t="str">
        <f t="shared" si="83"/>
        <v>26-35</v>
      </c>
    </row>
    <row r="1031" spans="1:16" x14ac:dyDescent="0.25">
      <c r="A1031">
        <v>1030</v>
      </c>
      <c r="B1031" t="s">
        <v>9</v>
      </c>
      <c r="C1031">
        <v>701742</v>
      </c>
      <c r="D1031" t="s">
        <v>10</v>
      </c>
      <c r="E1031" t="s">
        <v>11</v>
      </c>
      <c r="F1031" t="s">
        <v>12</v>
      </c>
      <c r="G1031" t="s">
        <v>13</v>
      </c>
      <c r="H1031" t="s">
        <v>13</v>
      </c>
      <c r="I1031">
        <v>30</v>
      </c>
      <c r="J1031" t="str" cm="1">
        <f t="array" ref="J1031">_xlfn.IFS(ISBLANK(C1031),"FALTANTE",ABS((C1031-$W$5)/$X$5)&gt;1.96,"ATÍPICO",ABS((C1031-$W$5)/$X$5)&lt;=1.96,"NO ATÍPICO")</f>
        <v>NO ATÍPICO</v>
      </c>
      <c r="K1031" t="str" cm="1">
        <f t="array" ref="K1031">_xlfn.IFS(ISBLANK(I1031),"FALTANTE",ABS((I1031-$W$8)/$X$8)&gt;1.92,"ATÍPICO",ABS((I1031-$W$8)/$X$8)&lt;=1.92,"NO ATÍPICO")</f>
        <v>NO ATÍPICO</v>
      </c>
      <c r="L1031">
        <f t="shared" si="80"/>
        <v>701742</v>
      </c>
      <c r="M1031" t="str">
        <f t="shared" si="80"/>
        <v>ASALARIADO</v>
      </c>
      <c r="N1031">
        <f t="shared" si="81"/>
        <v>30</v>
      </c>
      <c r="O1031" s="19" t="str">
        <f t="shared" si="82"/>
        <v>600k–900k</v>
      </c>
      <c r="P1031" s="19" t="str">
        <f t="shared" si="83"/>
        <v>26-35</v>
      </c>
    </row>
    <row r="1032" spans="1:16" x14ac:dyDescent="0.25">
      <c r="A1032">
        <v>1031</v>
      </c>
      <c r="B1032" t="s">
        <v>9</v>
      </c>
      <c r="C1032">
        <v>320000</v>
      </c>
      <c r="D1032" t="s">
        <v>10</v>
      </c>
      <c r="E1032" t="s">
        <v>16</v>
      </c>
      <c r="F1032" t="s">
        <v>12</v>
      </c>
      <c r="G1032" t="s">
        <v>12</v>
      </c>
      <c r="H1032" t="s">
        <v>13</v>
      </c>
      <c r="I1032">
        <v>41</v>
      </c>
      <c r="J1032" t="str" cm="1">
        <f t="array" ref="J1032">_xlfn.IFS(ISBLANK(C1032),"FALTANTE",ABS((C1032-$W$5)/$X$5)&gt;1.96,"ATÍPICO",ABS((C1032-$W$5)/$X$5)&lt;=1.96,"NO ATÍPICO")</f>
        <v>NO ATÍPICO</v>
      </c>
      <c r="K1032" t="str" cm="1">
        <f t="array" ref="K1032">_xlfn.IFS(ISBLANK(I1032),"FALTANTE",ABS((I1032-$W$8)/$X$8)&gt;1.92,"ATÍPICO",ABS((I1032-$W$8)/$X$8)&lt;=1.92,"NO ATÍPICO")</f>
        <v>NO ATÍPICO</v>
      </c>
      <c r="L1032">
        <f t="shared" si="80"/>
        <v>320000</v>
      </c>
      <c r="M1032" t="str">
        <f t="shared" si="80"/>
        <v>ASALARIADO</v>
      </c>
      <c r="N1032">
        <f t="shared" si="81"/>
        <v>41</v>
      </c>
      <c r="O1032" s="19" t="str">
        <f t="shared" si="82"/>
        <v>300k–600k</v>
      </c>
      <c r="P1032" s="19" t="str">
        <f t="shared" si="83"/>
        <v>36-45</v>
      </c>
    </row>
    <row r="1033" spans="1:16" x14ac:dyDescent="0.25">
      <c r="A1033">
        <v>1032</v>
      </c>
      <c r="B1033" t="s">
        <v>9</v>
      </c>
      <c r="C1033">
        <v>1340270.3400000001</v>
      </c>
      <c r="D1033" t="s">
        <v>10</v>
      </c>
      <c r="E1033" t="s">
        <v>16</v>
      </c>
      <c r="F1033" t="s">
        <v>12</v>
      </c>
      <c r="G1033" t="s">
        <v>13</v>
      </c>
      <c r="H1033" t="s">
        <v>13</v>
      </c>
      <c r="I1033">
        <v>32</v>
      </c>
      <c r="J1033" t="str" cm="1">
        <f t="array" ref="J1033">_xlfn.IFS(ISBLANK(C1033),"FALTANTE",ABS((C1033-$W$5)/$X$5)&gt;1.96,"ATÍPICO",ABS((C1033-$W$5)/$X$5)&lt;=1.96,"NO ATÍPICO")</f>
        <v>NO ATÍPICO</v>
      </c>
      <c r="K1033" t="str" cm="1">
        <f t="array" ref="K1033">_xlfn.IFS(ISBLANK(I1033),"FALTANTE",ABS((I1033-$W$8)/$X$8)&gt;1.92,"ATÍPICO",ABS((I1033-$W$8)/$X$8)&lt;=1.92,"NO ATÍPICO")</f>
        <v>NO ATÍPICO</v>
      </c>
      <c r="L1033">
        <f t="shared" si="80"/>
        <v>1340270.3400000001</v>
      </c>
      <c r="M1033" t="str">
        <f t="shared" si="80"/>
        <v>ASALARIADO</v>
      </c>
      <c r="N1033">
        <f t="shared" si="81"/>
        <v>32</v>
      </c>
      <c r="O1033" s="19" t="str">
        <f t="shared" si="82"/>
        <v>1200k+</v>
      </c>
      <c r="P1033" s="19" t="str">
        <f t="shared" si="83"/>
        <v>26-35</v>
      </c>
    </row>
    <row r="1034" spans="1:16" x14ac:dyDescent="0.25">
      <c r="A1034">
        <v>1033</v>
      </c>
      <c r="B1034" t="s">
        <v>9</v>
      </c>
      <c r="C1034">
        <v>639148</v>
      </c>
      <c r="D1034" t="s">
        <v>18</v>
      </c>
      <c r="E1034" t="s">
        <v>16</v>
      </c>
      <c r="F1034" t="s">
        <v>12</v>
      </c>
      <c r="G1034" t="s">
        <v>13</v>
      </c>
      <c r="H1034" t="s">
        <v>12</v>
      </c>
      <c r="I1034">
        <v>73</v>
      </c>
      <c r="J1034" t="str" cm="1">
        <f t="array" ref="J1034">_xlfn.IFS(ISBLANK(C1034),"FALTANTE",ABS((C1034-$W$5)/$X$5)&gt;1.96,"ATÍPICO",ABS((C1034-$W$5)/$X$5)&lt;=1.96,"NO ATÍPICO")</f>
        <v>NO ATÍPICO</v>
      </c>
      <c r="K1034" t="str" cm="1">
        <f t="array" ref="K1034">_xlfn.IFS(ISBLANK(I1034),"FALTANTE",ABS((I1034-$W$8)/$X$8)&gt;1.92,"ATÍPICO",ABS((I1034-$W$8)/$X$8)&lt;=1.92,"NO ATÍPICO")</f>
        <v>ATÍPICO</v>
      </c>
      <c r="L1034">
        <f t="shared" si="80"/>
        <v>639148</v>
      </c>
      <c r="M1034" t="str">
        <f t="shared" si="80"/>
        <v>TRABAJADOR INDEPENDIENTE</v>
      </c>
      <c r="N1034">
        <f t="shared" si="81"/>
        <v>73</v>
      </c>
      <c r="O1034" s="19" t="str">
        <f t="shared" si="82"/>
        <v>600k–900k</v>
      </c>
      <c r="P1034" s="19" t="str">
        <f t="shared" si="83"/>
        <v>56+</v>
      </c>
    </row>
    <row r="1035" spans="1:16" x14ac:dyDescent="0.25">
      <c r="A1035">
        <v>1034</v>
      </c>
      <c r="B1035" t="s">
        <v>15</v>
      </c>
      <c r="C1035">
        <v>1790761</v>
      </c>
      <c r="D1035" t="s">
        <v>10</v>
      </c>
      <c r="E1035" t="s">
        <v>11</v>
      </c>
      <c r="F1035" t="s">
        <v>12</v>
      </c>
      <c r="G1035" t="s">
        <v>13</v>
      </c>
      <c r="H1035" t="s">
        <v>12</v>
      </c>
      <c r="I1035">
        <v>54</v>
      </c>
      <c r="J1035" t="str" cm="1">
        <f t="array" ref="J1035">_xlfn.IFS(ISBLANK(C1035),"FALTANTE",ABS((C1035-$W$5)/$X$5)&gt;1.96,"ATÍPICO",ABS((C1035-$W$5)/$X$5)&lt;=1.96,"NO ATÍPICO")</f>
        <v>NO ATÍPICO</v>
      </c>
      <c r="K1035" t="str" cm="1">
        <f t="array" ref="K1035">_xlfn.IFS(ISBLANK(I1035),"FALTANTE",ABS((I1035-$W$8)/$X$8)&gt;1.92,"ATÍPICO",ABS((I1035-$W$8)/$X$8)&lt;=1.92,"NO ATÍPICO")</f>
        <v>NO ATÍPICO</v>
      </c>
      <c r="L1035">
        <f t="shared" si="80"/>
        <v>1790761</v>
      </c>
      <c r="M1035" t="str">
        <f t="shared" si="80"/>
        <v>ASALARIADO</v>
      </c>
      <c r="N1035">
        <f t="shared" si="81"/>
        <v>54</v>
      </c>
      <c r="O1035" s="19" t="str">
        <f t="shared" si="82"/>
        <v>1200k+</v>
      </c>
      <c r="P1035" s="19" t="str">
        <f t="shared" si="83"/>
        <v>46-55</v>
      </c>
    </row>
    <row r="1036" spans="1:16" x14ac:dyDescent="0.25">
      <c r="A1036">
        <v>1035</v>
      </c>
      <c r="B1036" t="s">
        <v>9</v>
      </c>
      <c r="C1036">
        <v>1170360</v>
      </c>
      <c r="D1036" t="s">
        <v>19</v>
      </c>
      <c r="E1036" t="s">
        <v>16</v>
      </c>
      <c r="F1036" t="s">
        <v>12</v>
      </c>
      <c r="G1036" t="s">
        <v>13</v>
      </c>
      <c r="H1036" t="s">
        <v>13</v>
      </c>
      <c r="I1036">
        <v>61</v>
      </c>
      <c r="J1036" t="str" cm="1">
        <f t="array" ref="J1036">_xlfn.IFS(ISBLANK(C1036),"FALTANTE",ABS((C1036-$W$5)/$X$5)&gt;1.96,"ATÍPICO",ABS((C1036-$W$5)/$X$5)&lt;=1.96,"NO ATÍPICO")</f>
        <v>NO ATÍPICO</v>
      </c>
      <c r="K1036" t="str" cm="1">
        <f t="array" ref="K1036">_xlfn.IFS(ISBLANK(I1036),"FALTANTE",ABS((I1036-$W$8)/$X$8)&gt;1.92,"ATÍPICO",ABS((I1036-$W$8)/$X$8)&lt;=1.92,"NO ATÍPICO")</f>
        <v>NO ATÍPICO</v>
      </c>
      <c r="L1036">
        <f t="shared" si="80"/>
        <v>1170360</v>
      </c>
      <c r="M1036" t="str">
        <f t="shared" si="80"/>
        <v>CONVENIOS ESPECIALES DE TRABAJADORES INDEPENDIENTES</v>
      </c>
      <c r="N1036">
        <f t="shared" si="81"/>
        <v>61</v>
      </c>
      <c r="O1036" s="19" t="str">
        <f t="shared" si="82"/>
        <v>900k–1200k</v>
      </c>
      <c r="P1036" s="19" t="str">
        <f t="shared" si="83"/>
        <v>56+</v>
      </c>
    </row>
    <row r="1037" spans="1:16" x14ac:dyDescent="0.25">
      <c r="A1037">
        <v>1036</v>
      </c>
      <c r="B1037" t="s">
        <v>15</v>
      </c>
      <c r="C1037">
        <v>196106.25</v>
      </c>
      <c r="D1037" t="s">
        <v>10</v>
      </c>
      <c r="E1037" t="s">
        <v>11</v>
      </c>
      <c r="F1037" t="s">
        <v>12</v>
      </c>
      <c r="G1037" t="s">
        <v>13</v>
      </c>
      <c r="H1037" t="s">
        <v>13</v>
      </c>
      <c r="I1037">
        <v>38</v>
      </c>
      <c r="J1037" t="str" cm="1">
        <f t="array" ref="J1037">_xlfn.IFS(ISBLANK(C1037),"FALTANTE",ABS((C1037-$W$5)/$X$5)&gt;1.96,"ATÍPICO",ABS((C1037-$W$5)/$X$5)&lt;=1.96,"NO ATÍPICO")</f>
        <v>NO ATÍPICO</v>
      </c>
      <c r="K1037" t="str" cm="1">
        <f t="array" ref="K1037">_xlfn.IFS(ISBLANK(I1037),"FALTANTE",ABS((I1037-$W$8)/$X$8)&gt;1.92,"ATÍPICO",ABS((I1037-$W$8)/$X$8)&lt;=1.92,"NO ATÍPICO")</f>
        <v>NO ATÍPICO</v>
      </c>
      <c r="L1037">
        <f t="shared" si="80"/>
        <v>196106.25</v>
      </c>
      <c r="M1037" t="str">
        <f t="shared" si="80"/>
        <v>ASALARIADO</v>
      </c>
      <c r="N1037">
        <f t="shared" si="81"/>
        <v>38</v>
      </c>
      <c r="O1037" s="19" t="str">
        <f t="shared" si="82"/>
        <v>0–300k</v>
      </c>
      <c r="P1037" s="19" t="str">
        <f t="shared" si="83"/>
        <v>36-45</v>
      </c>
    </row>
    <row r="1038" spans="1:16" x14ac:dyDescent="0.25">
      <c r="A1038">
        <v>1037</v>
      </c>
      <c r="B1038" t="s">
        <v>15</v>
      </c>
      <c r="C1038">
        <v>1510021</v>
      </c>
      <c r="D1038" t="s">
        <v>10</v>
      </c>
      <c r="E1038" t="s">
        <v>11</v>
      </c>
      <c r="F1038" t="s">
        <v>12</v>
      </c>
      <c r="G1038" t="s">
        <v>13</v>
      </c>
      <c r="H1038" t="s">
        <v>12</v>
      </c>
      <c r="I1038">
        <v>46</v>
      </c>
      <c r="J1038" t="str" cm="1">
        <f t="array" ref="J1038">_xlfn.IFS(ISBLANK(C1038),"FALTANTE",ABS((C1038-$W$5)/$X$5)&gt;1.96,"ATÍPICO",ABS((C1038-$W$5)/$X$5)&lt;=1.96,"NO ATÍPICO")</f>
        <v>NO ATÍPICO</v>
      </c>
      <c r="K1038" t="str" cm="1">
        <f t="array" ref="K1038">_xlfn.IFS(ISBLANK(I1038),"FALTANTE",ABS((I1038-$W$8)/$X$8)&gt;1.92,"ATÍPICO",ABS((I1038-$W$8)/$X$8)&lt;=1.92,"NO ATÍPICO")</f>
        <v>NO ATÍPICO</v>
      </c>
      <c r="L1038">
        <f t="shared" si="80"/>
        <v>1510021</v>
      </c>
      <c r="M1038" t="str">
        <f t="shared" si="80"/>
        <v>ASALARIADO</v>
      </c>
      <c r="N1038">
        <f t="shared" si="81"/>
        <v>46</v>
      </c>
      <c r="O1038" s="19" t="str">
        <f t="shared" si="82"/>
        <v>1200k+</v>
      </c>
      <c r="P1038" s="19" t="str">
        <f t="shared" si="83"/>
        <v>46-55</v>
      </c>
    </row>
    <row r="1039" spans="1:16" x14ac:dyDescent="0.25">
      <c r="A1039">
        <v>1038</v>
      </c>
      <c r="B1039" t="s">
        <v>9</v>
      </c>
      <c r="C1039">
        <v>297058</v>
      </c>
      <c r="D1039" t="s">
        <v>17</v>
      </c>
      <c r="E1039" t="s">
        <v>16</v>
      </c>
      <c r="F1039" t="s">
        <v>13</v>
      </c>
      <c r="G1039" t="s">
        <v>13</v>
      </c>
      <c r="H1039" t="s">
        <v>12</v>
      </c>
      <c r="I1039">
        <v>43</v>
      </c>
      <c r="J1039" t="str" cm="1">
        <f t="array" ref="J1039">_xlfn.IFS(ISBLANK(C1039),"FALTANTE",ABS((C1039-$W$5)/$X$5)&gt;1.96,"ATÍPICO",ABS((C1039-$W$5)/$X$5)&lt;=1.96,"NO ATÍPICO")</f>
        <v>NO ATÍPICO</v>
      </c>
      <c r="K1039" t="str" cm="1">
        <f t="array" ref="K1039">_xlfn.IFS(ISBLANK(I1039),"FALTANTE",ABS((I1039-$W$8)/$X$8)&gt;1.92,"ATÍPICO",ABS((I1039-$W$8)/$X$8)&lt;=1.92,"NO ATÍPICO")</f>
        <v>NO ATÍPICO</v>
      </c>
      <c r="L1039">
        <f t="shared" si="80"/>
        <v>297058</v>
      </c>
      <c r="M1039" t="str">
        <f t="shared" si="80"/>
        <v>ASEGURADO VOLUNTARIO</v>
      </c>
      <c r="N1039">
        <f t="shared" si="81"/>
        <v>43</v>
      </c>
      <c r="O1039" s="19" t="str">
        <f t="shared" si="82"/>
        <v>0–300k</v>
      </c>
      <c r="P1039" s="19" t="str">
        <f t="shared" si="83"/>
        <v>36-45</v>
      </c>
    </row>
    <row r="1040" spans="1:16" x14ac:dyDescent="0.25">
      <c r="A1040">
        <v>1039</v>
      </c>
      <c r="B1040" t="s">
        <v>15</v>
      </c>
      <c r="C1040">
        <v>465916</v>
      </c>
      <c r="D1040" t="s">
        <v>10</v>
      </c>
      <c r="E1040" t="s">
        <v>11</v>
      </c>
      <c r="F1040" t="s">
        <v>12</v>
      </c>
      <c r="G1040" t="s">
        <v>13</v>
      </c>
      <c r="H1040" t="s">
        <v>13</v>
      </c>
      <c r="I1040">
        <v>36</v>
      </c>
      <c r="J1040" t="str" cm="1">
        <f t="array" ref="J1040">_xlfn.IFS(ISBLANK(C1040),"FALTANTE",ABS((C1040-$W$5)/$X$5)&gt;1.96,"ATÍPICO",ABS((C1040-$W$5)/$X$5)&lt;=1.96,"NO ATÍPICO")</f>
        <v>NO ATÍPICO</v>
      </c>
      <c r="K1040" t="str" cm="1">
        <f t="array" ref="K1040">_xlfn.IFS(ISBLANK(I1040),"FALTANTE",ABS((I1040-$W$8)/$X$8)&gt;1.92,"ATÍPICO",ABS((I1040-$W$8)/$X$8)&lt;=1.92,"NO ATÍPICO")</f>
        <v>NO ATÍPICO</v>
      </c>
      <c r="L1040">
        <f t="shared" si="80"/>
        <v>465916</v>
      </c>
      <c r="M1040" t="str">
        <f t="shared" si="80"/>
        <v>ASALARIADO</v>
      </c>
      <c r="N1040">
        <f t="shared" si="81"/>
        <v>36</v>
      </c>
      <c r="O1040" s="19" t="str">
        <f t="shared" si="82"/>
        <v>300k–600k</v>
      </c>
      <c r="P1040" s="19" t="str">
        <f t="shared" si="83"/>
        <v>36-45</v>
      </c>
    </row>
    <row r="1041" spans="1:16" x14ac:dyDescent="0.25">
      <c r="A1041">
        <v>1040</v>
      </c>
      <c r="B1041" t="s">
        <v>15</v>
      </c>
      <c r="C1041">
        <v>632704.4</v>
      </c>
      <c r="D1041" t="s">
        <v>10</v>
      </c>
      <c r="E1041" t="s">
        <v>11</v>
      </c>
      <c r="F1041" t="s">
        <v>12</v>
      </c>
      <c r="G1041" t="s">
        <v>13</v>
      </c>
      <c r="H1041" t="s">
        <v>13</v>
      </c>
      <c r="I1041">
        <v>35</v>
      </c>
      <c r="J1041" t="str" cm="1">
        <f t="array" ref="J1041">_xlfn.IFS(ISBLANK(C1041),"FALTANTE",ABS((C1041-$W$5)/$X$5)&gt;1.96,"ATÍPICO",ABS((C1041-$W$5)/$X$5)&lt;=1.96,"NO ATÍPICO")</f>
        <v>NO ATÍPICO</v>
      </c>
      <c r="K1041" t="str" cm="1">
        <f t="array" ref="K1041">_xlfn.IFS(ISBLANK(I1041),"FALTANTE",ABS((I1041-$W$8)/$X$8)&gt;1.92,"ATÍPICO",ABS((I1041-$W$8)/$X$8)&lt;=1.92,"NO ATÍPICO")</f>
        <v>NO ATÍPICO</v>
      </c>
      <c r="L1041">
        <f t="shared" si="80"/>
        <v>632704.4</v>
      </c>
      <c r="M1041" t="str">
        <f t="shared" si="80"/>
        <v>ASALARIADO</v>
      </c>
      <c r="N1041">
        <f t="shared" si="81"/>
        <v>35</v>
      </c>
      <c r="O1041" s="19" t="str">
        <f t="shared" si="82"/>
        <v>600k–900k</v>
      </c>
      <c r="P1041" s="19" t="str">
        <f t="shared" si="83"/>
        <v>26-35</v>
      </c>
    </row>
    <row r="1042" spans="1:16" x14ac:dyDescent="0.25">
      <c r="A1042">
        <v>1041</v>
      </c>
      <c r="B1042" t="s">
        <v>15</v>
      </c>
      <c r="C1042">
        <v>952206</v>
      </c>
      <c r="D1042" t="s">
        <v>10</v>
      </c>
      <c r="E1042" t="s">
        <v>11</v>
      </c>
      <c r="F1042" t="s">
        <v>12</v>
      </c>
      <c r="G1042" t="s">
        <v>13</v>
      </c>
      <c r="H1042" t="s">
        <v>12</v>
      </c>
      <c r="I1042">
        <v>57</v>
      </c>
      <c r="J1042" t="str" cm="1">
        <f t="array" ref="J1042">_xlfn.IFS(ISBLANK(C1042),"FALTANTE",ABS((C1042-$W$5)/$X$5)&gt;1.96,"ATÍPICO",ABS((C1042-$W$5)/$X$5)&lt;=1.96,"NO ATÍPICO")</f>
        <v>NO ATÍPICO</v>
      </c>
      <c r="K1042" t="str" cm="1">
        <f t="array" ref="K1042">_xlfn.IFS(ISBLANK(I1042),"FALTANTE",ABS((I1042-$W$8)/$X$8)&gt;1.92,"ATÍPICO",ABS((I1042-$W$8)/$X$8)&lt;=1.92,"NO ATÍPICO")</f>
        <v>NO ATÍPICO</v>
      </c>
      <c r="L1042">
        <f t="shared" si="80"/>
        <v>952206</v>
      </c>
      <c r="M1042" t="str">
        <f t="shared" si="80"/>
        <v>ASALARIADO</v>
      </c>
      <c r="N1042">
        <f t="shared" si="81"/>
        <v>57</v>
      </c>
      <c r="O1042" s="19" t="str">
        <f t="shared" si="82"/>
        <v>900k–1200k</v>
      </c>
      <c r="P1042" s="19" t="str">
        <f t="shared" si="83"/>
        <v>56+</v>
      </c>
    </row>
    <row r="1043" spans="1:16" x14ac:dyDescent="0.25">
      <c r="A1043">
        <v>1042</v>
      </c>
      <c r="B1043" t="s">
        <v>9</v>
      </c>
      <c r="C1043">
        <v>1902994.84</v>
      </c>
      <c r="D1043" t="s">
        <v>10</v>
      </c>
      <c r="E1043" t="s">
        <v>11</v>
      </c>
      <c r="F1043" t="s">
        <v>12</v>
      </c>
      <c r="G1043" t="s">
        <v>13</v>
      </c>
      <c r="H1043" t="s">
        <v>13</v>
      </c>
      <c r="I1043">
        <v>40</v>
      </c>
      <c r="J1043" t="str" cm="1">
        <f t="array" ref="J1043">_xlfn.IFS(ISBLANK(C1043),"FALTANTE",ABS((C1043-$W$5)/$X$5)&gt;1.96,"ATÍPICO",ABS((C1043-$W$5)/$X$5)&lt;=1.96,"NO ATÍPICO")</f>
        <v>NO ATÍPICO</v>
      </c>
      <c r="K1043" t="str" cm="1">
        <f t="array" ref="K1043">_xlfn.IFS(ISBLANK(I1043),"FALTANTE",ABS((I1043-$W$8)/$X$8)&gt;1.92,"ATÍPICO",ABS((I1043-$W$8)/$X$8)&lt;=1.92,"NO ATÍPICO")</f>
        <v>NO ATÍPICO</v>
      </c>
      <c r="L1043">
        <f t="shared" si="80"/>
        <v>1902994.84</v>
      </c>
      <c r="M1043" t="str">
        <f t="shared" si="80"/>
        <v>ASALARIADO</v>
      </c>
      <c r="N1043">
        <f t="shared" si="81"/>
        <v>40</v>
      </c>
      <c r="O1043" s="19" t="str">
        <f t="shared" si="82"/>
        <v>1200k+</v>
      </c>
      <c r="P1043" s="19" t="str">
        <f t="shared" si="83"/>
        <v>36-45</v>
      </c>
    </row>
    <row r="1044" spans="1:16" x14ac:dyDescent="0.25">
      <c r="A1044">
        <v>1043</v>
      </c>
      <c r="B1044" t="s">
        <v>15</v>
      </c>
      <c r="C1044">
        <v>1215206.99</v>
      </c>
      <c r="D1044" t="s">
        <v>10</v>
      </c>
      <c r="E1044" t="s">
        <v>16</v>
      </c>
      <c r="F1044" t="s">
        <v>12</v>
      </c>
      <c r="G1044" t="s">
        <v>13</v>
      </c>
      <c r="H1044" t="s">
        <v>13</v>
      </c>
      <c r="I1044">
        <v>36</v>
      </c>
      <c r="J1044" t="str" cm="1">
        <f t="array" ref="J1044">_xlfn.IFS(ISBLANK(C1044),"FALTANTE",ABS((C1044-$W$5)/$X$5)&gt;1.96,"ATÍPICO",ABS((C1044-$W$5)/$X$5)&lt;=1.96,"NO ATÍPICO")</f>
        <v>NO ATÍPICO</v>
      </c>
      <c r="K1044" t="str" cm="1">
        <f t="array" ref="K1044">_xlfn.IFS(ISBLANK(I1044),"FALTANTE",ABS((I1044-$W$8)/$X$8)&gt;1.92,"ATÍPICO",ABS((I1044-$W$8)/$X$8)&lt;=1.92,"NO ATÍPICO")</f>
        <v>NO ATÍPICO</v>
      </c>
      <c r="L1044">
        <f t="shared" si="80"/>
        <v>1215206.99</v>
      </c>
      <c r="M1044" t="str">
        <f t="shared" si="80"/>
        <v>ASALARIADO</v>
      </c>
      <c r="N1044">
        <f t="shared" si="81"/>
        <v>36</v>
      </c>
      <c r="O1044" s="19" t="str">
        <f t="shared" si="82"/>
        <v>1200k+</v>
      </c>
      <c r="P1044" s="19" t="str">
        <f t="shared" si="83"/>
        <v>36-45</v>
      </c>
    </row>
    <row r="1045" spans="1:16" x14ac:dyDescent="0.25">
      <c r="A1045">
        <v>1044</v>
      </c>
      <c r="B1045" t="s">
        <v>15</v>
      </c>
      <c r="C1045">
        <v>518584.68</v>
      </c>
      <c r="D1045" t="s">
        <v>10</v>
      </c>
      <c r="E1045" t="s">
        <v>16</v>
      </c>
      <c r="F1045" t="s">
        <v>12</v>
      </c>
      <c r="G1045" t="s">
        <v>13</v>
      </c>
      <c r="H1045" t="s">
        <v>13</v>
      </c>
      <c r="I1045">
        <v>19</v>
      </c>
      <c r="J1045" t="str" cm="1">
        <f t="array" ref="J1045">_xlfn.IFS(ISBLANK(C1045),"FALTANTE",ABS((C1045-$W$5)/$X$5)&gt;1.96,"ATÍPICO",ABS((C1045-$W$5)/$X$5)&lt;=1.96,"NO ATÍPICO")</f>
        <v>NO ATÍPICO</v>
      </c>
      <c r="K1045" t="str" cm="1">
        <f t="array" ref="K1045">_xlfn.IFS(ISBLANK(I1045),"FALTANTE",ABS((I1045-$W$8)/$X$8)&gt;1.92,"ATÍPICO",ABS((I1045-$W$8)/$X$8)&lt;=1.92,"NO ATÍPICO")</f>
        <v>NO ATÍPICO</v>
      </c>
      <c r="L1045">
        <f t="shared" si="80"/>
        <v>518584.68</v>
      </c>
      <c r="M1045" t="str">
        <f t="shared" si="80"/>
        <v>ASALARIADO</v>
      </c>
      <c r="N1045">
        <f t="shared" si="81"/>
        <v>19</v>
      </c>
      <c r="O1045" s="19" t="str">
        <f t="shared" si="82"/>
        <v>300k–600k</v>
      </c>
      <c r="P1045" s="19" t="str">
        <f t="shared" si="83"/>
        <v>18-25</v>
      </c>
    </row>
    <row r="1046" spans="1:16" x14ac:dyDescent="0.25">
      <c r="A1046">
        <v>1045</v>
      </c>
      <c r="B1046" t="s">
        <v>15</v>
      </c>
      <c r="C1046">
        <v>426767.25</v>
      </c>
      <c r="D1046" t="s">
        <v>10</v>
      </c>
      <c r="E1046" t="s">
        <v>16</v>
      </c>
      <c r="F1046" t="s">
        <v>12</v>
      </c>
      <c r="G1046" t="s">
        <v>13</v>
      </c>
      <c r="H1046" t="s">
        <v>13</v>
      </c>
      <c r="I1046">
        <v>27</v>
      </c>
      <c r="J1046" t="str" cm="1">
        <f t="array" ref="J1046">_xlfn.IFS(ISBLANK(C1046),"FALTANTE",ABS((C1046-$W$5)/$X$5)&gt;1.96,"ATÍPICO",ABS((C1046-$W$5)/$X$5)&lt;=1.96,"NO ATÍPICO")</f>
        <v>NO ATÍPICO</v>
      </c>
      <c r="K1046" t="str" cm="1">
        <f t="array" ref="K1046">_xlfn.IFS(ISBLANK(I1046),"FALTANTE",ABS((I1046-$W$8)/$X$8)&gt;1.92,"ATÍPICO",ABS((I1046-$W$8)/$X$8)&lt;=1.92,"NO ATÍPICO")</f>
        <v>NO ATÍPICO</v>
      </c>
      <c r="L1046">
        <f t="shared" si="80"/>
        <v>426767.25</v>
      </c>
      <c r="M1046" t="str">
        <f t="shared" si="80"/>
        <v>ASALARIADO</v>
      </c>
      <c r="N1046">
        <f t="shared" si="81"/>
        <v>27</v>
      </c>
      <c r="O1046" s="19" t="str">
        <f t="shared" si="82"/>
        <v>300k–600k</v>
      </c>
      <c r="P1046" s="19" t="str">
        <f t="shared" si="83"/>
        <v>26-35</v>
      </c>
    </row>
    <row r="1047" spans="1:16" x14ac:dyDescent="0.25">
      <c r="A1047">
        <v>1046</v>
      </c>
      <c r="B1047" t="s">
        <v>9</v>
      </c>
      <c r="C1047">
        <v>325779.37</v>
      </c>
      <c r="D1047" t="s">
        <v>10</v>
      </c>
      <c r="E1047" t="s">
        <v>16</v>
      </c>
      <c r="F1047" t="s">
        <v>12</v>
      </c>
      <c r="G1047" t="s">
        <v>13</v>
      </c>
      <c r="H1047" t="s">
        <v>13</v>
      </c>
      <c r="I1047">
        <v>20</v>
      </c>
      <c r="J1047" t="str" cm="1">
        <f t="array" ref="J1047">_xlfn.IFS(ISBLANK(C1047),"FALTANTE",ABS((C1047-$W$5)/$X$5)&gt;1.96,"ATÍPICO",ABS((C1047-$W$5)/$X$5)&lt;=1.96,"NO ATÍPICO")</f>
        <v>NO ATÍPICO</v>
      </c>
      <c r="K1047" t="str" cm="1">
        <f t="array" ref="K1047">_xlfn.IFS(ISBLANK(I1047),"FALTANTE",ABS((I1047-$W$8)/$X$8)&gt;1.92,"ATÍPICO",ABS((I1047-$W$8)/$X$8)&lt;=1.92,"NO ATÍPICO")</f>
        <v>NO ATÍPICO</v>
      </c>
      <c r="L1047">
        <f t="shared" si="80"/>
        <v>325779.37</v>
      </c>
      <c r="M1047" t="str">
        <f t="shared" si="80"/>
        <v>ASALARIADO</v>
      </c>
      <c r="N1047">
        <f t="shared" si="81"/>
        <v>20</v>
      </c>
      <c r="O1047" s="19" t="str">
        <f t="shared" si="82"/>
        <v>300k–600k</v>
      </c>
      <c r="P1047" s="19" t="str">
        <f t="shared" si="83"/>
        <v>18-25</v>
      </c>
    </row>
    <row r="1048" spans="1:16" x14ac:dyDescent="0.25">
      <c r="A1048">
        <v>1047</v>
      </c>
      <c r="B1048" t="s">
        <v>9</v>
      </c>
      <c r="C1048">
        <v>355776</v>
      </c>
      <c r="D1048" t="s">
        <v>10</v>
      </c>
      <c r="E1048" t="s">
        <v>16</v>
      </c>
      <c r="F1048" t="s">
        <v>12</v>
      </c>
      <c r="G1048" t="s">
        <v>13</v>
      </c>
      <c r="H1048" t="s">
        <v>13</v>
      </c>
      <c r="I1048">
        <v>22</v>
      </c>
      <c r="J1048" t="str" cm="1">
        <f t="array" ref="J1048">_xlfn.IFS(ISBLANK(C1048),"FALTANTE",ABS((C1048-$W$5)/$X$5)&gt;1.96,"ATÍPICO",ABS((C1048-$W$5)/$X$5)&lt;=1.96,"NO ATÍPICO")</f>
        <v>NO ATÍPICO</v>
      </c>
      <c r="K1048" t="str" cm="1">
        <f t="array" ref="K1048">_xlfn.IFS(ISBLANK(I1048),"FALTANTE",ABS((I1048-$W$8)/$X$8)&gt;1.92,"ATÍPICO",ABS((I1048-$W$8)/$X$8)&lt;=1.92,"NO ATÍPICO")</f>
        <v>NO ATÍPICO</v>
      </c>
      <c r="L1048">
        <f t="shared" si="80"/>
        <v>355776</v>
      </c>
      <c r="M1048" t="str">
        <f t="shared" si="80"/>
        <v>ASALARIADO</v>
      </c>
      <c r="N1048">
        <f t="shared" si="81"/>
        <v>22</v>
      </c>
      <c r="O1048" s="19" t="str">
        <f t="shared" si="82"/>
        <v>300k–600k</v>
      </c>
      <c r="P1048" s="19" t="str">
        <f t="shared" si="83"/>
        <v>18-25</v>
      </c>
    </row>
    <row r="1049" spans="1:16" x14ac:dyDescent="0.25">
      <c r="A1049">
        <v>1048</v>
      </c>
      <c r="B1049" t="s">
        <v>9</v>
      </c>
      <c r="C1049">
        <v>150000</v>
      </c>
      <c r="D1049" t="s">
        <v>10</v>
      </c>
      <c r="E1049" t="s">
        <v>16</v>
      </c>
      <c r="F1049" t="s">
        <v>12</v>
      </c>
      <c r="G1049" t="s">
        <v>12</v>
      </c>
      <c r="H1049" t="s">
        <v>13</v>
      </c>
      <c r="I1049">
        <v>31</v>
      </c>
      <c r="J1049" t="str" cm="1">
        <f t="array" ref="J1049">_xlfn.IFS(ISBLANK(C1049),"FALTANTE",ABS((C1049-$W$5)/$X$5)&gt;1.96,"ATÍPICO",ABS((C1049-$W$5)/$X$5)&lt;=1.96,"NO ATÍPICO")</f>
        <v>NO ATÍPICO</v>
      </c>
      <c r="K1049" t="str" cm="1">
        <f t="array" ref="K1049">_xlfn.IFS(ISBLANK(I1049),"FALTANTE",ABS((I1049-$W$8)/$X$8)&gt;1.92,"ATÍPICO",ABS((I1049-$W$8)/$X$8)&lt;=1.92,"NO ATÍPICO")</f>
        <v>NO ATÍPICO</v>
      </c>
      <c r="L1049">
        <f t="shared" si="80"/>
        <v>150000</v>
      </c>
      <c r="M1049" t="str">
        <f t="shared" si="80"/>
        <v>ASALARIADO</v>
      </c>
      <c r="N1049">
        <f t="shared" si="81"/>
        <v>31</v>
      </c>
      <c r="O1049" s="19" t="str">
        <f t="shared" si="82"/>
        <v>0–300k</v>
      </c>
      <c r="P1049" s="19" t="str">
        <f t="shared" si="83"/>
        <v>26-35</v>
      </c>
    </row>
    <row r="1050" spans="1:16" x14ac:dyDescent="0.25">
      <c r="A1050">
        <v>1049</v>
      </c>
      <c r="B1050" t="s">
        <v>9</v>
      </c>
      <c r="C1050">
        <v>297429</v>
      </c>
      <c r="D1050" t="s">
        <v>18</v>
      </c>
      <c r="E1050" t="s">
        <v>16</v>
      </c>
      <c r="F1050" t="s">
        <v>12</v>
      </c>
      <c r="G1050" t="s">
        <v>13</v>
      </c>
      <c r="H1050" t="s">
        <v>12</v>
      </c>
      <c r="I1050">
        <v>28</v>
      </c>
      <c r="J1050" t="str" cm="1">
        <f t="array" ref="J1050">_xlfn.IFS(ISBLANK(C1050),"FALTANTE",ABS((C1050-$W$5)/$X$5)&gt;1.96,"ATÍPICO",ABS((C1050-$W$5)/$X$5)&lt;=1.96,"NO ATÍPICO")</f>
        <v>NO ATÍPICO</v>
      </c>
      <c r="K1050" t="str" cm="1">
        <f t="array" ref="K1050">_xlfn.IFS(ISBLANK(I1050),"FALTANTE",ABS((I1050-$W$8)/$X$8)&gt;1.92,"ATÍPICO",ABS((I1050-$W$8)/$X$8)&lt;=1.92,"NO ATÍPICO")</f>
        <v>NO ATÍPICO</v>
      </c>
      <c r="L1050">
        <f t="shared" si="80"/>
        <v>297429</v>
      </c>
      <c r="M1050" t="str">
        <f t="shared" si="80"/>
        <v>TRABAJADOR INDEPENDIENTE</v>
      </c>
      <c r="N1050">
        <f t="shared" si="81"/>
        <v>28</v>
      </c>
      <c r="O1050" s="19" t="str">
        <f t="shared" si="82"/>
        <v>0–300k</v>
      </c>
      <c r="P1050" s="19" t="str">
        <f t="shared" si="83"/>
        <v>26-35</v>
      </c>
    </row>
    <row r="1051" spans="1:16" x14ac:dyDescent="0.25">
      <c r="A1051">
        <v>1050</v>
      </c>
      <c r="B1051" t="s">
        <v>9</v>
      </c>
      <c r="C1051">
        <v>327400</v>
      </c>
      <c r="D1051" t="s">
        <v>10</v>
      </c>
      <c r="E1051" t="s">
        <v>16</v>
      </c>
      <c r="F1051" t="s">
        <v>12</v>
      </c>
      <c r="G1051" t="s">
        <v>13</v>
      </c>
      <c r="H1051" t="s">
        <v>13</v>
      </c>
      <c r="I1051">
        <v>27</v>
      </c>
      <c r="J1051" t="str" cm="1">
        <f t="array" ref="J1051">_xlfn.IFS(ISBLANK(C1051),"FALTANTE",ABS((C1051-$W$5)/$X$5)&gt;1.96,"ATÍPICO",ABS((C1051-$W$5)/$X$5)&lt;=1.96,"NO ATÍPICO")</f>
        <v>NO ATÍPICO</v>
      </c>
      <c r="K1051" t="str" cm="1">
        <f t="array" ref="K1051">_xlfn.IFS(ISBLANK(I1051),"FALTANTE",ABS((I1051-$W$8)/$X$8)&gt;1.92,"ATÍPICO",ABS((I1051-$W$8)/$X$8)&lt;=1.92,"NO ATÍPICO")</f>
        <v>NO ATÍPICO</v>
      </c>
      <c r="L1051">
        <f t="shared" si="80"/>
        <v>327400</v>
      </c>
      <c r="M1051" t="str">
        <f t="shared" si="80"/>
        <v>ASALARIADO</v>
      </c>
      <c r="N1051">
        <f t="shared" si="81"/>
        <v>27</v>
      </c>
      <c r="O1051" s="19" t="str">
        <f t="shared" si="82"/>
        <v>300k–600k</v>
      </c>
      <c r="P1051" s="19" t="str">
        <f t="shared" si="83"/>
        <v>26-35</v>
      </c>
    </row>
    <row r="1052" spans="1:16" x14ac:dyDescent="0.25">
      <c r="A1052">
        <v>1051</v>
      </c>
      <c r="B1052" t="s">
        <v>9</v>
      </c>
      <c r="C1052">
        <v>4742229.6399999997</v>
      </c>
      <c r="D1052" t="s">
        <v>10</v>
      </c>
      <c r="E1052" t="s">
        <v>16</v>
      </c>
      <c r="F1052" t="s">
        <v>12</v>
      </c>
      <c r="G1052" t="s">
        <v>13</v>
      </c>
      <c r="H1052" t="s">
        <v>13</v>
      </c>
      <c r="I1052">
        <v>49</v>
      </c>
      <c r="J1052" t="str" cm="1">
        <f t="array" ref="J1052">_xlfn.IFS(ISBLANK(C1052),"FALTANTE",ABS((C1052-$W$5)/$X$5)&gt;1.96,"ATÍPICO",ABS((C1052-$W$5)/$X$5)&lt;=1.96,"NO ATÍPICO")</f>
        <v>ATÍPICO</v>
      </c>
      <c r="K1052" t="str" cm="1">
        <f t="array" ref="K1052">_xlfn.IFS(ISBLANK(I1052),"FALTANTE",ABS((I1052-$W$8)/$X$8)&gt;1.92,"ATÍPICO",ABS((I1052-$W$8)/$X$8)&lt;=1.92,"NO ATÍPICO")</f>
        <v>NO ATÍPICO</v>
      </c>
      <c r="L1052">
        <f t="shared" si="80"/>
        <v>4742229.6399999997</v>
      </c>
      <c r="M1052" t="str">
        <f t="shared" si="80"/>
        <v>ASALARIADO</v>
      </c>
      <c r="N1052">
        <f t="shared" si="81"/>
        <v>49</v>
      </c>
      <c r="O1052" s="19" t="str">
        <f t="shared" si="82"/>
        <v>1200k+</v>
      </c>
      <c r="P1052" s="19" t="str">
        <f t="shared" si="83"/>
        <v>46-55</v>
      </c>
    </row>
    <row r="1053" spans="1:16" x14ac:dyDescent="0.25">
      <c r="A1053">
        <v>1052</v>
      </c>
      <c r="B1053" t="s">
        <v>15</v>
      </c>
      <c r="C1053">
        <v>396057</v>
      </c>
      <c r="D1053" t="s">
        <v>18</v>
      </c>
      <c r="E1053" t="s">
        <v>16</v>
      </c>
      <c r="F1053" t="s">
        <v>12</v>
      </c>
      <c r="G1053" t="s">
        <v>13</v>
      </c>
      <c r="H1053" t="s">
        <v>13</v>
      </c>
      <c r="I1053">
        <v>19</v>
      </c>
      <c r="J1053" t="str" cm="1">
        <f t="array" ref="J1053">_xlfn.IFS(ISBLANK(C1053),"FALTANTE",ABS((C1053-$W$5)/$X$5)&gt;1.96,"ATÍPICO",ABS((C1053-$W$5)/$X$5)&lt;=1.96,"NO ATÍPICO")</f>
        <v>NO ATÍPICO</v>
      </c>
      <c r="K1053" t="str" cm="1">
        <f t="array" ref="K1053">_xlfn.IFS(ISBLANK(I1053),"FALTANTE",ABS((I1053-$W$8)/$X$8)&gt;1.92,"ATÍPICO",ABS((I1053-$W$8)/$X$8)&lt;=1.92,"NO ATÍPICO")</f>
        <v>NO ATÍPICO</v>
      </c>
      <c r="L1053">
        <f t="shared" si="80"/>
        <v>396057</v>
      </c>
      <c r="M1053" t="str">
        <f t="shared" si="80"/>
        <v>TRABAJADOR INDEPENDIENTE</v>
      </c>
      <c r="N1053">
        <f t="shared" si="81"/>
        <v>19</v>
      </c>
      <c r="O1053" s="19" t="str">
        <f t="shared" si="82"/>
        <v>300k–600k</v>
      </c>
      <c r="P1053" s="19" t="str">
        <f t="shared" si="83"/>
        <v>18-25</v>
      </c>
    </row>
    <row r="1054" spans="1:16" x14ac:dyDescent="0.25">
      <c r="A1054">
        <v>1053</v>
      </c>
      <c r="B1054" t="s">
        <v>9</v>
      </c>
      <c r="C1054">
        <v>1492126.5</v>
      </c>
      <c r="D1054" t="s">
        <v>10</v>
      </c>
      <c r="E1054" t="s">
        <v>11</v>
      </c>
      <c r="F1054" t="s">
        <v>12</v>
      </c>
      <c r="G1054" t="s">
        <v>13</v>
      </c>
      <c r="H1054" t="s">
        <v>13</v>
      </c>
      <c r="I1054">
        <v>41</v>
      </c>
      <c r="J1054" t="str" cm="1">
        <f t="array" ref="J1054">_xlfn.IFS(ISBLANK(C1054),"FALTANTE",ABS((C1054-$W$5)/$X$5)&gt;1.96,"ATÍPICO",ABS((C1054-$W$5)/$X$5)&lt;=1.96,"NO ATÍPICO")</f>
        <v>NO ATÍPICO</v>
      </c>
      <c r="K1054" t="str" cm="1">
        <f t="array" ref="K1054">_xlfn.IFS(ISBLANK(I1054),"FALTANTE",ABS((I1054-$W$8)/$X$8)&gt;1.92,"ATÍPICO",ABS((I1054-$W$8)/$X$8)&lt;=1.92,"NO ATÍPICO")</f>
        <v>NO ATÍPICO</v>
      </c>
      <c r="L1054">
        <f t="shared" si="80"/>
        <v>1492126.5</v>
      </c>
      <c r="M1054" t="str">
        <f t="shared" si="80"/>
        <v>ASALARIADO</v>
      </c>
      <c r="N1054">
        <f t="shared" si="81"/>
        <v>41</v>
      </c>
      <c r="O1054" s="19" t="str">
        <f t="shared" si="82"/>
        <v>1200k+</v>
      </c>
      <c r="P1054" s="19" t="str">
        <f t="shared" si="83"/>
        <v>36-45</v>
      </c>
    </row>
    <row r="1055" spans="1:16" x14ac:dyDescent="0.25">
      <c r="A1055">
        <v>1054</v>
      </c>
      <c r="B1055" t="s">
        <v>9</v>
      </c>
      <c r="C1055">
        <v>1301239</v>
      </c>
      <c r="D1055" t="s">
        <v>14</v>
      </c>
      <c r="E1055" t="s">
        <v>11</v>
      </c>
      <c r="F1055" t="s">
        <v>12</v>
      </c>
      <c r="G1055" t="s">
        <v>13</v>
      </c>
      <c r="H1055" t="s">
        <v>13</v>
      </c>
      <c r="I1055">
        <v>76</v>
      </c>
      <c r="J1055" t="str" cm="1">
        <f t="array" ref="J1055">_xlfn.IFS(ISBLANK(C1055),"FALTANTE",ABS((C1055-$W$5)/$X$5)&gt;1.96,"ATÍPICO",ABS((C1055-$W$5)/$X$5)&lt;=1.96,"NO ATÍPICO")</f>
        <v>NO ATÍPICO</v>
      </c>
      <c r="K1055" t="str" cm="1">
        <f t="array" ref="K1055">_xlfn.IFS(ISBLANK(I1055),"FALTANTE",ABS((I1055-$W$8)/$X$8)&gt;1.92,"ATÍPICO",ABS((I1055-$W$8)/$X$8)&lt;=1.92,"NO ATÍPICO")</f>
        <v>ATÍPICO</v>
      </c>
      <c r="L1055">
        <f t="shared" si="80"/>
        <v>1301239</v>
      </c>
      <c r="M1055" t="str">
        <f t="shared" si="80"/>
        <v>PENSIONADOS EN SU PROPIO SISTEMA</v>
      </c>
      <c r="N1055">
        <f t="shared" si="81"/>
        <v>76</v>
      </c>
      <c r="O1055" s="19" t="str">
        <f t="shared" si="82"/>
        <v>1200k+</v>
      </c>
      <c r="P1055" s="19" t="str">
        <f t="shared" si="83"/>
        <v>56+</v>
      </c>
    </row>
    <row r="1056" spans="1:16" x14ac:dyDescent="0.25">
      <c r="A1056">
        <v>1055</v>
      </c>
      <c r="B1056" t="s">
        <v>15</v>
      </c>
      <c r="C1056">
        <v>359544.27</v>
      </c>
      <c r="D1056" t="s">
        <v>21</v>
      </c>
      <c r="E1056" t="s">
        <v>16</v>
      </c>
      <c r="F1056" t="s">
        <v>12</v>
      </c>
      <c r="G1056" t="s">
        <v>12</v>
      </c>
      <c r="H1056" t="s">
        <v>13</v>
      </c>
      <c r="I1056">
        <v>26</v>
      </c>
      <c r="J1056" t="str" cm="1">
        <f t="array" ref="J1056">_xlfn.IFS(ISBLANK(C1056),"FALTANTE",ABS((C1056-$W$5)/$X$5)&gt;1.96,"ATÍPICO",ABS((C1056-$W$5)/$X$5)&lt;=1.96,"NO ATÍPICO")</f>
        <v>NO ATÍPICO</v>
      </c>
      <c r="K1056" t="str" cm="1">
        <f t="array" ref="K1056">_xlfn.IFS(ISBLANK(I1056),"FALTANTE",ABS((I1056-$W$8)/$X$8)&gt;1.92,"ATÍPICO",ABS((I1056-$W$8)/$X$8)&lt;=1.92,"NO ATÍPICO")</f>
        <v>NO ATÍPICO</v>
      </c>
      <c r="L1056">
        <f t="shared" si="80"/>
        <v>359544.27</v>
      </c>
      <c r="M1056" t="str">
        <f t="shared" si="80"/>
        <v>CONVENIOS ESPECIALES DE ASEGURADOS VOLUNTARIOS</v>
      </c>
      <c r="N1056">
        <f t="shared" si="81"/>
        <v>26</v>
      </c>
      <c r="O1056" s="19" t="str">
        <f t="shared" si="82"/>
        <v>300k–600k</v>
      </c>
      <c r="P1056" s="19" t="str">
        <f t="shared" si="83"/>
        <v>26-35</v>
      </c>
    </row>
    <row r="1057" spans="1:16" x14ac:dyDescent="0.25">
      <c r="A1057">
        <v>1056</v>
      </c>
      <c r="B1057" t="s">
        <v>15</v>
      </c>
      <c r="C1057">
        <v>297110</v>
      </c>
      <c r="D1057" t="s">
        <v>18</v>
      </c>
      <c r="E1057" t="s">
        <v>16</v>
      </c>
      <c r="F1057" t="s">
        <v>12</v>
      </c>
      <c r="G1057" t="s">
        <v>13</v>
      </c>
      <c r="H1057" t="s">
        <v>12</v>
      </c>
      <c r="I1057">
        <v>35</v>
      </c>
      <c r="J1057" t="str" cm="1">
        <f t="array" ref="J1057">_xlfn.IFS(ISBLANK(C1057),"FALTANTE",ABS((C1057-$W$5)/$X$5)&gt;1.96,"ATÍPICO",ABS((C1057-$W$5)/$X$5)&lt;=1.96,"NO ATÍPICO")</f>
        <v>NO ATÍPICO</v>
      </c>
      <c r="K1057" t="str" cm="1">
        <f t="array" ref="K1057">_xlfn.IFS(ISBLANK(I1057),"FALTANTE",ABS((I1057-$W$8)/$X$8)&gt;1.92,"ATÍPICO",ABS((I1057-$W$8)/$X$8)&lt;=1.92,"NO ATÍPICO")</f>
        <v>NO ATÍPICO</v>
      </c>
      <c r="L1057">
        <f t="shared" si="80"/>
        <v>297110</v>
      </c>
      <c r="M1057" t="str">
        <f t="shared" si="80"/>
        <v>TRABAJADOR INDEPENDIENTE</v>
      </c>
      <c r="N1057">
        <f t="shared" si="81"/>
        <v>35</v>
      </c>
      <c r="O1057" s="19" t="str">
        <f t="shared" si="82"/>
        <v>0–300k</v>
      </c>
      <c r="P1057" s="19" t="str">
        <f t="shared" si="83"/>
        <v>26-35</v>
      </c>
    </row>
    <row r="1058" spans="1:16" x14ac:dyDescent="0.25">
      <c r="A1058">
        <v>1057</v>
      </c>
      <c r="B1058" t="s">
        <v>15</v>
      </c>
      <c r="C1058">
        <v>467500.65</v>
      </c>
      <c r="D1058" t="s">
        <v>10</v>
      </c>
      <c r="E1058" t="s">
        <v>16</v>
      </c>
      <c r="F1058" t="s">
        <v>12</v>
      </c>
      <c r="G1058" t="s">
        <v>13</v>
      </c>
      <c r="H1058" t="s">
        <v>13</v>
      </c>
      <c r="I1058">
        <v>43</v>
      </c>
      <c r="J1058" t="str" cm="1">
        <f t="array" ref="J1058">_xlfn.IFS(ISBLANK(C1058),"FALTANTE",ABS((C1058-$W$5)/$X$5)&gt;1.96,"ATÍPICO",ABS((C1058-$W$5)/$X$5)&lt;=1.96,"NO ATÍPICO")</f>
        <v>NO ATÍPICO</v>
      </c>
      <c r="K1058" t="str" cm="1">
        <f t="array" ref="K1058">_xlfn.IFS(ISBLANK(I1058),"FALTANTE",ABS((I1058-$W$8)/$X$8)&gt;1.92,"ATÍPICO",ABS((I1058-$W$8)/$X$8)&lt;=1.92,"NO ATÍPICO")</f>
        <v>NO ATÍPICO</v>
      </c>
      <c r="L1058">
        <f t="shared" si="80"/>
        <v>467500.65</v>
      </c>
      <c r="M1058" t="str">
        <f t="shared" si="80"/>
        <v>ASALARIADO</v>
      </c>
      <c r="N1058">
        <f t="shared" si="81"/>
        <v>43</v>
      </c>
      <c r="O1058" s="19" t="str">
        <f t="shared" si="82"/>
        <v>300k–600k</v>
      </c>
      <c r="P1058" s="19" t="str">
        <f t="shared" si="83"/>
        <v>36-45</v>
      </c>
    </row>
    <row r="1059" spans="1:16" x14ac:dyDescent="0.25">
      <c r="A1059">
        <v>1058</v>
      </c>
      <c r="B1059" t="s">
        <v>15</v>
      </c>
      <c r="C1059">
        <v>297046</v>
      </c>
      <c r="D1059" t="s">
        <v>17</v>
      </c>
      <c r="E1059" t="s">
        <v>16</v>
      </c>
      <c r="F1059" t="s">
        <v>12</v>
      </c>
      <c r="G1059" t="s">
        <v>12</v>
      </c>
      <c r="H1059" t="s">
        <v>13</v>
      </c>
      <c r="I1059">
        <v>22</v>
      </c>
      <c r="J1059" t="str" cm="1">
        <f t="array" ref="J1059">_xlfn.IFS(ISBLANK(C1059),"FALTANTE",ABS((C1059-$W$5)/$X$5)&gt;1.96,"ATÍPICO",ABS((C1059-$W$5)/$X$5)&lt;=1.96,"NO ATÍPICO")</f>
        <v>NO ATÍPICO</v>
      </c>
      <c r="K1059" t="str" cm="1">
        <f t="array" ref="K1059">_xlfn.IFS(ISBLANK(I1059),"FALTANTE",ABS((I1059-$W$8)/$X$8)&gt;1.92,"ATÍPICO",ABS((I1059-$W$8)/$X$8)&lt;=1.92,"NO ATÍPICO")</f>
        <v>NO ATÍPICO</v>
      </c>
      <c r="L1059">
        <f t="shared" si="80"/>
        <v>297046</v>
      </c>
      <c r="M1059" t="str">
        <f t="shared" si="80"/>
        <v>ASEGURADO VOLUNTARIO</v>
      </c>
      <c r="N1059">
        <f t="shared" si="81"/>
        <v>22</v>
      </c>
      <c r="O1059" s="19" t="str">
        <f t="shared" si="82"/>
        <v>0–300k</v>
      </c>
      <c r="P1059" s="19" t="str">
        <f t="shared" si="83"/>
        <v>18-25</v>
      </c>
    </row>
    <row r="1060" spans="1:16" x14ac:dyDescent="0.25">
      <c r="A1060">
        <v>1059</v>
      </c>
      <c r="B1060" t="s">
        <v>9</v>
      </c>
      <c r="C1060">
        <v>276964.83</v>
      </c>
      <c r="D1060" t="s">
        <v>10</v>
      </c>
      <c r="E1060" t="s">
        <v>16</v>
      </c>
      <c r="F1060" t="s">
        <v>12</v>
      </c>
      <c r="G1060" t="s">
        <v>13</v>
      </c>
      <c r="H1060" t="s">
        <v>13</v>
      </c>
      <c r="I1060">
        <v>58</v>
      </c>
      <c r="J1060" t="str" cm="1">
        <f t="array" ref="J1060">_xlfn.IFS(ISBLANK(C1060),"FALTANTE",ABS((C1060-$W$5)/$X$5)&gt;1.96,"ATÍPICO",ABS((C1060-$W$5)/$X$5)&lt;=1.96,"NO ATÍPICO")</f>
        <v>NO ATÍPICO</v>
      </c>
      <c r="K1060" t="str" cm="1">
        <f t="array" ref="K1060">_xlfn.IFS(ISBLANK(I1060),"FALTANTE",ABS((I1060-$W$8)/$X$8)&gt;1.92,"ATÍPICO",ABS((I1060-$W$8)/$X$8)&lt;=1.92,"NO ATÍPICO")</f>
        <v>NO ATÍPICO</v>
      </c>
      <c r="L1060">
        <f t="shared" si="80"/>
        <v>276964.83</v>
      </c>
      <c r="M1060" t="str">
        <f t="shared" si="80"/>
        <v>ASALARIADO</v>
      </c>
      <c r="N1060">
        <f t="shared" si="81"/>
        <v>58</v>
      </c>
      <c r="O1060" s="19" t="str">
        <f t="shared" si="82"/>
        <v>0–300k</v>
      </c>
      <c r="P1060" s="19" t="str">
        <f t="shared" si="83"/>
        <v>56+</v>
      </c>
    </row>
    <row r="1061" spans="1:16" x14ac:dyDescent="0.25">
      <c r="A1061">
        <v>1060</v>
      </c>
      <c r="B1061" t="s">
        <v>9</v>
      </c>
      <c r="C1061">
        <v>360000</v>
      </c>
      <c r="D1061" t="s">
        <v>10</v>
      </c>
      <c r="E1061" t="s">
        <v>16</v>
      </c>
      <c r="F1061" t="s">
        <v>12</v>
      </c>
      <c r="G1061" t="s">
        <v>13</v>
      </c>
      <c r="H1061" t="s">
        <v>13</v>
      </c>
      <c r="I1061">
        <v>40</v>
      </c>
      <c r="J1061" t="str" cm="1">
        <f t="array" ref="J1061">_xlfn.IFS(ISBLANK(C1061),"FALTANTE",ABS((C1061-$W$5)/$X$5)&gt;1.96,"ATÍPICO",ABS((C1061-$W$5)/$X$5)&lt;=1.96,"NO ATÍPICO")</f>
        <v>NO ATÍPICO</v>
      </c>
      <c r="K1061" t="str" cm="1">
        <f t="array" ref="K1061">_xlfn.IFS(ISBLANK(I1061),"FALTANTE",ABS((I1061-$W$8)/$X$8)&gt;1.92,"ATÍPICO",ABS((I1061-$W$8)/$X$8)&lt;=1.92,"NO ATÍPICO")</f>
        <v>NO ATÍPICO</v>
      </c>
      <c r="L1061">
        <f t="shared" si="80"/>
        <v>360000</v>
      </c>
      <c r="M1061" t="str">
        <f t="shared" si="80"/>
        <v>ASALARIADO</v>
      </c>
      <c r="N1061">
        <f t="shared" si="81"/>
        <v>40</v>
      </c>
      <c r="O1061" s="19" t="str">
        <f t="shared" si="82"/>
        <v>300k–600k</v>
      </c>
      <c r="P1061" s="19" t="str">
        <f t="shared" si="83"/>
        <v>36-45</v>
      </c>
    </row>
    <row r="1062" spans="1:16" x14ac:dyDescent="0.25">
      <c r="A1062">
        <v>1061</v>
      </c>
      <c r="B1062" t="s">
        <v>9</v>
      </c>
      <c r="C1062">
        <v>491540.23</v>
      </c>
      <c r="D1062" t="s">
        <v>10</v>
      </c>
      <c r="E1062" t="s">
        <v>16</v>
      </c>
      <c r="F1062" t="s">
        <v>12</v>
      </c>
      <c r="G1062" t="s">
        <v>13</v>
      </c>
      <c r="H1062" t="s">
        <v>13</v>
      </c>
      <c r="I1062">
        <v>50</v>
      </c>
      <c r="J1062" t="str" cm="1">
        <f t="array" ref="J1062">_xlfn.IFS(ISBLANK(C1062),"FALTANTE",ABS((C1062-$W$5)/$X$5)&gt;1.96,"ATÍPICO",ABS((C1062-$W$5)/$X$5)&lt;=1.96,"NO ATÍPICO")</f>
        <v>NO ATÍPICO</v>
      </c>
      <c r="K1062" t="str" cm="1">
        <f t="array" ref="K1062">_xlfn.IFS(ISBLANK(I1062),"FALTANTE",ABS((I1062-$W$8)/$X$8)&gt;1.92,"ATÍPICO",ABS((I1062-$W$8)/$X$8)&lt;=1.92,"NO ATÍPICO")</f>
        <v>NO ATÍPICO</v>
      </c>
      <c r="L1062">
        <f t="shared" si="80"/>
        <v>491540.23</v>
      </c>
      <c r="M1062" t="str">
        <f t="shared" si="80"/>
        <v>ASALARIADO</v>
      </c>
      <c r="N1062">
        <f t="shared" si="81"/>
        <v>50</v>
      </c>
      <c r="O1062" s="19" t="str">
        <f t="shared" si="82"/>
        <v>300k–600k</v>
      </c>
      <c r="P1062" s="19" t="str">
        <f t="shared" si="83"/>
        <v>46-55</v>
      </c>
    </row>
    <row r="1063" spans="1:16" x14ac:dyDescent="0.25">
      <c r="A1063">
        <v>1062</v>
      </c>
      <c r="B1063" t="s">
        <v>15</v>
      </c>
      <c r="C1063">
        <v>307401</v>
      </c>
      <c r="D1063" t="s">
        <v>10</v>
      </c>
      <c r="E1063" t="s">
        <v>11</v>
      </c>
      <c r="F1063" t="s">
        <v>12</v>
      </c>
      <c r="G1063" t="s">
        <v>13</v>
      </c>
      <c r="H1063" t="s">
        <v>12</v>
      </c>
      <c r="I1063">
        <v>28</v>
      </c>
      <c r="J1063" t="str" cm="1">
        <f t="array" ref="J1063">_xlfn.IFS(ISBLANK(C1063),"FALTANTE",ABS((C1063-$W$5)/$X$5)&gt;1.96,"ATÍPICO",ABS((C1063-$W$5)/$X$5)&lt;=1.96,"NO ATÍPICO")</f>
        <v>NO ATÍPICO</v>
      </c>
      <c r="K1063" t="str" cm="1">
        <f t="array" ref="K1063">_xlfn.IFS(ISBLANK(I1063),"FALTANTE",ABS((I1063-$W$8)/$X$8)&gt;1.92,"ATÍPICO",ABS((I1063-$W$8)/$X$8)&lt;=1.92,"NO ATÍPICO")</f>
        <v>NO ATÍPICO</v>
      </c>
      <c r="L1063">
        <f t="shared" si="80"/>
        <v>307401</v>
      </c>
      <c r="M1063" t="str">
        <f t="shared" si="80"/>
        <v>ASALARIADO</v>
      </c>
      <c r="N1063">
        <f t="shared" si="81"/>
        <v>28</v>
      </c>
      <c r="O1063" s="19" t="str">
        <f t="shared" si="82"/>
        <v>300k–600k</v>
      </c>
      <c r="P1063" s="19" t="str">
        <f t="shared" si="83"/>
        <v>26-35</v>
      </c>
    </row>
    <row r="1064" spans="1:16" x14ac:dyDescent="0.25">
      <c r="A1064">
        <v>1063</v>
      </c>
      <c r="B1064" t="s">
        <v>9</v>
      </c>
      <c r="C1064">
        <v>141510.22</v>
      </c>
      <c r="D1064" t="s">
        <v>14</v>
      </c>
      <c r="E1064" t="s">
        <v>11</v>
      </c>
      <c r="F1064" t="s">
        <v>12</v>
      </c>
      <c r="G1064" t="s">
        <v>13</v>
      </c>
      <c r="H1064" t="s">
        <v>13</v>
      </c>
      <c r="I1064">
        <v>90</v>
      </c>
      <c r="J1064" t="str" cm="1">
        <f t="array" ref="J1064">_xlfn.IFS(ISBLANK(C1064),"FALTANTE",ABS((C1064-$W$5)/$X$5)&gt;1.96,"ATÍPICO",ABS((C1064-$W$5)/$X$5)&lt;=1.96,"NO ATÍPICO")</f>
        <v>NO ATÍPICO</v>
      </c>
      <c r="K1064" t="str" cm="1">
        <f t="array" ref="K1064">_xlfn.IFS(ISBLANK(I1064),"FALTANTE",ABS((I1064-$W$8)/$X$8)&gt;1.92,"ATÍPICO",ABS((I1064-$W$8)/$X$8)&lt;=1.92,"NO ATÍPICO")</f>
        <v>ATÍPICO</v>
      </c>
      <c r="L1064">
        <f t="shared" si="80"/>
        <v>141510.22</v>
      </c>
      <c r="M1064" t="str">
        <f t="shared" si="80"/>
        <v>PENSIONADOS EN SU PROPIO SISTEMA</v>
      </c>
      <c r="N1064">
        <f t="shared" si="81"/>
        <v>90</v>
      </c>
      <c r="O1064" s="19" t="str">
        <f t="shared" si="82"/>
        <v>0–300k</v>
      </c>
      <c r="P1064" s="19" t="str">
        <f t="shared" si="83"/>
        <v>56+</v>
      </c>
    </row>
    <row r="1065" spans="1:16" x14ac:dyDescent="0.25">
      <c r="A1065">
        <v>1064</v>
      </c>
      <c r="B1065" t="s">
        <v>15</v>
      </c>
      <c r="C1065">
        <v>721809</v>
      </c>
      <c r="D1065" t="s">
        <v>10</v>
      </c>
      <c r="E1065" t="s">
        <v>11</v>
      </c>
      <c r="F1065" t="s">
        <v>12</v>
      </c>
      <c r="G1065" t="s">
        <v>13</v>
      </c>
      <c r="H1065" t="s">
        <v>12</v>
      </c>
      <c r="I1065">
        <v>46</v>
      </c>
      <c r="J1065" t="str" cm="1">
        <f t="array" ref="J1065">_xlfn.IFS(ISBLANK(C1065),"FALTANTE",ABS((C1065-$W$5)/$X$5)&gt;1.96,"ATÍPICO",ABS((C1065-$W$5)/$X$5)&lt;=1.96,"NO ATÍPICO")</f>
        <v>NO ATÍPICO</v>
      </c>
      <c r="K1065" t="str" cm="1">
        <f t="array" ref="K1065">_xlfn.IFS(ISBLANK(I1065),"FALTANTE",ABS((I1065-$W$8)/$X$8)&gt;1.92,"ATÍPICO",ABS((I1065-$W$8)/$X$8)&lt;=1.92,"NO ATÍPICO")</f>
        <v>NO ATÍPICO</v>
      </c>
      <c r="L1065">
        <f t="shared" si="80"/>
        <v>721809</v>
      </c>
      <c r="M1065" t="str">
        <f t="shared" si="80"/>
        <v>ASALARIADO</v>
      </c>
      <c r="N1065">
        <f t="shared" si="81"/>
        <v>46</v>
      </c>
      <c r="O1065" s="19" t="str">
        <f t="shared" si="82"/>
        <v>600k–900k</v>
      </c>
      <c r="P1065" s="19" t="str">
        <f t="shared" si="83"/>
        <v>46-55</v>
      </c>
    </row>
    <row r="1066" spans="1:16" x14ac:dyDescent="0.25">
      <c r="A1066">
        <v>1065</v>
      </c>
      <c r="B1066" t="s">
        <v>9</v>
      </c>
      <c r="C1066">
        <v>363793</v>
      </c>
      <c r="D1066" t="s">
        <v>10</v>
      </c>
      <c r="E1066" t="s">
        <v>16</v>
      </c>
      <c r="F1066" t="s">
        <v>12</v>
      </c>
      <c r="G1066" t="s">
        <v>12</v>
      </c>
      <c r="H1066" t="s">
        <v>13</v>
      </c>
      <c r="I1066">
        <v>51</v>
      </c>
      <c r="J1066" t="str" cm="1">
        <f t="array" ref="J1066">_xlfn.IFS(ISBLANK(C1066),"FALTANTE",ABS((C1066-$W$5)/$X$5)&gt;1.96,"ATÍPICO",ABS((C1066-$W$5)/$X$5)&lt;=1.96,"NO ATÍPICO")</f>
        <v>NO ATÍPICO</v>
      </c>
      <c r="K1066" t="str" cm="1">
        <f t="array" ref="K1066">_xlfn.IFS(ISBLANK(I1066),"FALTANTE",ABS((I1066-$W$8)/$X$8)&gt;1.92,"ATÍPICO",ABS((I1066-$W$8)/$X$8)&lt;=1.92,"NO ATÍPICO")</f>
        <v>NO ATÍPICO</v>
      </c>
      <c r="L1066">
        <f t="shared" si="80"/>
        <v>363793</v>
      </c>
      <c r="M1066" t="str">
        <f t="shared" si="80"/>
        <v>ASALARIADO</v>
      </c>
      <c r="N1066">
        <f t="shared" si="81"/>
        <v>51</v>
      </c>
      <c r="O1066" s="19" t="str">
        <f t="shared" si="82"/>
        <v>300k–600k</v>
      </c>
      <c r="P1066" s="19" t="str">
        <f t="shared" si="83"/>
        <v>46-55</v>
      </c>
    </row>
    <row r="1067" spans="1:16" x14ac:dyDescent="0.25">
      <c r="A1067">
        <v>1066</v>
      </c>
      <c r="B1067" t="s">
        <v>9</v>
      </c>
      <c r="C1067">
        <v>592200</v>
      </c>
      <c r="D1067" t="s">
        <v>10</v>
      </c>
      <c r="E1067" t="s">
        <v>16</v>
      </c>
      <c r="F1067" t="s">
        <v>12</v>
      </c>
      <c r="G1067" t="s">
        <v>12</v>
      </c>
      <c r="H1067" t="s">
        <v>13</v>
      </c>
      <c r="I1067">
        <v>53</v>
      </c>
      <c r="J1067" t="str" cm="1">
        <f t="array" ref="J1067">_xlfn.IFS(ISBLANK(C1067),"FALTANTE",ABS((C1067-$W$5)/$X$5)&gt;1.96,"ATÍPICO",ABS((C1067-$W$5)/$X$5)&lt;=1.96,"NO ATÍPICO")</f>
        <v>NO ATÍPICO</v>
      </c>
      <c r="K1067" t="str" cm="1">
        <f t="array" ref="K1067">_xlfn.IFS(ISBLANK(I1067),"FALTANTE",ABS((I1067-$W$8)/$X$8)&gt;1.92,"ATÍPICO",ABS((I1067-$W$8)/$X$8)&lt;=1.92,"NO ATÍPICO")</f>
        <v>NO ATÍPICO</v>
      </c>
      <c r="L1067">
        <f t="shared" si="80"/>
        <v>592200</v>
      </c>
      <c r="M1067" t="str">
        <f t="shared" si="80"/>
        <v>ASALARIADO</v>
      </c>
      <c r="N1067">
        <f t="shared" si="81"/>
        <v>53</v>
      </c>
      <c r="O1067" s="19" t="str">
        <f t="shared" si="82"/>
        <v>300k–600k</v>
      </c>
      <c r="P1067" s="19" t="str">
        <f t="shared" si="83"/>
        <v>46-55</v>
      </c>
    </row>
    <row r="1068" spans="1:16" x14ac:dyDescent="0.25">
      <c r="A1068">
        <v>1067</v>
      </c>
      <c r="B1068" t="s">
        <v>15</v>
      </c>
      <c r="C1068">
        <v>2196851</v>
      </c>
      <c r="D1068" t="s">
        <v>10</v>
      </c>
      <c r="E1068" t="s">
        <v>16</v>
      </c>
      <c r="F1068" t="s">
        <v>12</v>
      </c>
      <c r="G1068" t="s">
        <v>13</v>
      </c>
      <c r="H1068" t="s">
        <v>13</v>
      </c>
      <c r="I1068">
        <v>41</v>
      </c>
      <c r="J1068" t="str" cm="1">
        <f t="array" ref="J1068">_xlfn.IFS(ISBLANK(C1068),"FALTANTE",ABS((C1068-$W$5)/$X$5)&gt;1.96,"ATÍPICO",ABS((C1068-$W$5)/$X$5)&lt;=1.96,"NO ATÍPICO")</f>
        <v>NO ATÍPICO</v>
      </c>
      <c r="K1068" t="str" cm="1">
        <f t="array" ref="K1068">_xlfn.IFS(ISBLANK(I1068),"FALTANTE",ABS((I1068-$W$8)/$X$8)&gt;1.92,"ATÍPICO",ABS((I1068-$W$8)/$X$8)&lt;=1.92,"NO ATÍPICO")</f>
        <v>NO ATÍPICO</v>
      </c>
      <c r="L1068">
        <f t="shared" si="80"/>
        <v>2196851</v>
      </c>
      <c r="M1068" t="str">
        <f t="shared" si="80"/>
        <v>ASALARIADO</v>
      </c>
      <c r="N1068">
        <f t="shared" si="81"/>
        <v>41</v>
      </c>
      <c r="O1068" s="19" t="str">
        <f t="shared" si="82"/>
        <v>1200k+</v>
      </c>
      <c r="P1068" s="19" t="str">
        <f t="shared" si="83"/>
        <v>36-45</v>
      </c>
    </row>
    <row r="1069" spans="1:16" x14ac:dyDescent="0.25">
      <c r="A1069">
        <v>1068</v>
      </c>
      <c r="B1069" t="s">
        <v>9</v>
      </c>
      <c r="C1069">
        <v>495108.62</v>
      </c>
      <c r="D1069" t="s">
        <v>10</v>
      </c>
      <c r="E1069" t="s">
        <v>11</v>
      </c>
      <c r="F1069" t="s">
        <v>12</v>
      </c>
      <c r="G1069" t="s">
        <v>13</v>
      </c>
      <c r="H1069" t="s">
        <v>13</v>
      </c>
      <c r="I1069">
        <v>25</v>
      </c>
      <c r="J1069" t="str" cm="1">
        <f t="array" ref="J1069">_xlfn.IFS(ISBLANK(C1069),"FALTANTE",ABS((C1069-$W$5)/$X$5)&gt;1.96,"ATÍPICO",ABS((C1069-$W$5)/$X$5)&lt;=1.96,"NO ATÍPICO")</f>
        <v>NO ATÍPICO</v>
      </c>
      <c r="K1069" t="str" cm="1">
        <f t="array" ref="K1069">_xlfn.IFS(ISBLANK(I1069),"FALTANTE",ABS((I1069-$W$8)/$X$8)&gt;1.92,"ATÍPICO",ABS((I1069-$W$8)/$X$8)&lt;=1.92,"NO ATÍPICO")</f>
        <v>NO ATÍPICO</v>
      </c>
      <c r="L1069">
        <f t="shared" si="80"/>
        <v>495108.62</v>
      </c>
      <c r="M1069" t="str">
        <f t="shared" si="80"/>
        <v>ASALARIADO</v>
      </c>
      <c r="N1069">
        <f t="shared" si="81"/>
        <v>25</v>
      </c>
      <c r="O1069" s="19" t="str">
        <f t="shared" si="82"/>
        <v>300k–600k</v>
      </c>
      <c r="P1069" s="19" t="str">
        <f t="shared" si="83"/>
        <v>18-25</v>
      </c>
    </row>
    <row r="1070" spans="1:16" x14ac:dyDescent="0.25">
      <c r="A1070">
        <v>1069</v>
      </c>
      <c r="B1070" t="s">
        <v>15</v>
      </c>
      <c r="C1070">
        <v>380000</v>
      </c>
      <c r="D1070" t="s">
        <v>10</v>
      </c>
      <c r="E1070" t="s">
        <v>16</v>
      </c>
      <c r="F1070" t="s">
        <v>12</v>
      </c>
      <c r="G1070" t="s">
        <v>13</v>
      </c>
      <c r="H1070" t="s">
        <v>13</v>
      </c>
      <c r="I1070">
        <v>57</v>
      </c>
      <c r="J1070" t="str" cm="1">
        <f t="array" ref="J1070">_xlfn.IFS(ISBLANK(C1070),"FALTANTE",ABS((C1070-$W$5)/$X$5)&gt;1.96,"ATÍPICO",ABS((C1070-$W$5)/$X$5)&lt;=1.96,"NO ATÍPICO")</f>
        <v>NO ATÍPICO</v>
      </c>
      <c r="K1070" t="str" cm="1">
        <f t="array" ref="K1070">_xlfn.IFS(ISBLANK(I1070),"FALTANTE",ABS((I1070-$W$8)/$X$8)&gt;1.92,"ATÍPICO",ABS((I1070-$W$8)/$X$8)&lt;=1.92,"NO ATÍPICO")</f>
        <v>NO ATÍPICO</v>
      </c>
      <c r="L1070">
        <f t="shared" si="80"/>
        <v>380000</v>
      </c>
      <c r="M1070" t="str">
        <f t="shared" si="80"/>
        <v>ASALARIADO</v>
      </c>
      <c r="N1070">
        <f t="shared" si="81"/>
        <v>57</v>
      </c>
      <c r="O1070" s="19" t="str">
        <f t="shared" si="82"/>
        <v>300k–600k</v>
      </c>
      <c r="P1070" s="19" t="str">
        <f t="shared" si="83"/>
        <v>56+</v>
      </c>
    </row>
    <row r="1071" spans="1:16" x14ac:dyDescent="0.25">
      <c r="A1071">
        <v>1070</v>
      </c>
      <c r="B1071" t="s">
        <v>15</v>
      </c>
      <c r="C1071">
        <v>2183054.04</v>
      </c>
      <c r="D1071" t="s">
        <v>10</v>
      </c>
      <c r="E1071" t="s">
        <v>16</v>
      </c>
      <c r="F1071" t="s">
        <v>12</v>
      </c>
      <c r="G1071" t="s">
        <v>13</v>
      </c>
      <c r="H1071" t="s">
        <v>13</v>
      </c>
      <c r="I1071">
        <v>32</v>
      </c>
      <c r="J1071" t="str" cm="1">
        <f t="array" ref="J1071">_xlfn.IFS(ISBLANK(C1071),"FALTANTE",ABS((C1071-$W$5)/$X$5)&gt;1.96,"ATÍPICO",ABS((C1071-$W$5)/$X$5)&lt;=1.96,"NO ATÍPICO")</f>
        <v>NO ATÍPICO</v>
      </c>
      <c r="K1071" t="str" cm="1">
        <f t="array" ref="K1071">_xlfn.IFS(ISBLANK(I1071),"FALTANTE",ABS((I1071-$W$8)/$X$8)&gt;1.92,"ATÍPICO",ABS((I1071-$W$8)/$X$8)&lt;=1.92,"NO ATÍPICO")</f>
        <v>NO ATÍPICO</v>
      </c>
      <c r="L1071">
        <f t="shared" si="80"/>
        <v>2183054.04</v>
      </c>
      <c r="M1071" t="str">
        <f t="shared" si="80"/>
        <v>ASALARIADO</v>
      </c>
      <c r="N1071">
        <f t="shared" si="81"/>
        <v>32</v>
      </c>
      <c r="O1071" s="19" t="str">
        <f t="shared" si="82"/>
        <v>1200k+</v>
      </c>
      <c r="P1071" s="19" t="str">
        <f t="shared" si="83"/>
        <v>26-35</v>
      </c>
    </row>
    <row r="1072" spans="1:16" x14ac:dyDescent="0.25">
      <c r="A1072">
        <v>1071</v>
      </c>
      <c r="B1072" t="s">
        <v>9</v>
      </c>
      <c r="C1072">
        <v>651535</v>
      </c>
      <c r="D1072" t="s">
        <v>10</v>
      </c>
      <c r="E1072" t="s">
        <v>16</v>
      </c>
      <c r="F1072" t="s">
        <v>12</v>
      </c>
      <c r="G1072" t="s">
        <v>13</v>
      </c>
      <c r="H1072" t="s">
        <v>13</v>
      </c>
      <c r="I1072">
        <v>34</v>
      </c>
      <c r="J1072" t="str" cm="1">
        <f t="array" ref="J1072">_xlfn.IFS(ISBLANK(C1072),"FALTANTE",ABS((C1072-$W$5)/$X$5)&gt;1.96,"ATÍPICO",ABS((C1072-$W$5)/$X$5)&lt;=1.96,"NO ATÍPICO")</f>
        <v>NO ATÍPICO</v>
      </c>
      <c r="K1072" t="str" cm="1">
        <f t="array" ref="K1072">_xlfn.IFS(ISBLANK(I1072),"FALTANTE",ABS((I1072-$W$8)/$X$8)&gt;1.92,"ATÍPICO",ABS((I1072-$W$8)/$X$8)&lt;=1.92,"NO ATÍPICO")</f>
        <v>NO ATÍPICO</v>
      </c>
      <c r="L1072">
        <f t="shared" si="80"/>
        <v>651535</v>
      </c>
      <c r="M1072" t="str">
        <f t="shared" si="80"/>
        <v>ASALARIADO</v>
      </c>
      <c r="N1072">
        <f t="shared" si="81"/>
        <v>34</v>
      </c>
      <c r="O1072" s="19" t="str">
        <f t="shared" si="82"/>
        <v>600k–900k</v>
      </c>
      <c r="P1072" s="19" t="str">
        <f t="shared" si="83"/>
        <v>26-35</v>
      </c>
    </row>
    <row r="1073" spans="1:16" x14ac:dyDescent="0.25">
      <c r="A1073">
        <v>1072</v>
      </c>
      <c r="B1073" t="s">
        <v>15</v>
      </c>
      <c r="C1073">
        <v>278030</v>
      </c>
      <c r="D1073" t="s">
        <v>19</v>
      </c>
      <c r="E1073" t="s">
        <v>16</v>
      </c>
      <c r="F1073" t="s">
        <v>12</v>
      </c>
      <c r="G1073" t="s">
        <v>13</v>
      </c>
      <c r="H1073" t="s">
        <v>13</v>
      </c>
      <c r="I1073">
        <v>29</v>
      </c>
      <c r="J1073" t="str" cm="1">
        <f t="array" ref="J1073">_xlfn.IFS(ISBLANK(C1073),"FALTANTE",ABS((C1073-$W$5)/$X$5)&gt;1.96,"ATÍPICO",ABS((C1073-$W$5)/$X$5)&lt;=1.96,"NO ATÍPICO")</f>
        <v>NO ATÍPICO</v>
      </c>
      <c r="K1073" t="str" cm="1">
        <f t="array" ref="K1073">_xlfn.IFS(ISBLANK(I1073),"FALTANTE",ABS((I1073-$W$8)/$X$8)&gt;1.92,"ATÍPICO",ABS((I1073-$W$8)/$X$8)&lt;=1.92,"NO ATÍPICO")</f>
        <v>NO ATÍPICO</v>
      </c>
      <c r="L1073">
        <f t="shared" si="80"/>
        <v>278030</v>
      </c>
      <c r="M1073" t="str">
        <f t="shared" si="80"/>
        <v>CONVENIOS ESPECIALES DE TRABAJADORES INDEPENDIENTES</v>
      </c>
      <c r="N1073">
        <f t="shared" si="81"/>
        <v>29</v>
      </c>
      <c r="O1073" s="19" t="str">
        <f t="shared" si="82"/>
        <v>0–300k</v>
      </c>
      <c r="P1073" s="19" t="str">
        <f t="shared" si="83"/>
        <v>26-35</v>
      </c>
    </row>
    <row r="1074" spans="1:16" x14ac:dyDescent="0.25">
      <c r="A1074">
        <v>1073</v>
      </c>
      <c r="B1074" t="s">
        <v>9</v>
      </c>
      <c r="C1074">
        <v>299647</v>
      </c>
      <c r="D1074" t="s">
        <v>17</v>
      </c>
      <c r="E1074" t="s">
        <v>16</v>
      </c>
      <c r="F1074" t="s">
        <v>12</v>
      </c>
      <c r="G1074" t="s">
        <v>13</v>
      </c>
      <c r="H1074" t="s">
        <v>13</v>
      </c>
      <c r="I1074">
        <v>64</v>
      </c>
      <c r="J1074" t="str" cm="1">
        <f t="array" ref="J1074">_xlfn.IFS(ISBLANK(C1074),"FALTANTE",ABS((C1074-$W$5)/$X$5)&gt;1.96,"ATÍPICO",ABS((C1074-$W$5)/$X$5)&lt;=1.96,"NO ATÍPICO")</f>
        <v>NO ATÍPICO</v>
      </c>
      <c r="K1074" t="str" cm="1">
        <f t="array" ref="K1074">_xlfn.IFS(ISBLANK(I1074),"FALTANTE",ABS((I1074-$W$8)/$X$8)&gt;1.92,"ATÍPICO",ABS((I1074-$W$8)/$X$8)&lt;=1.92,"NO ATÍPICO")</f>
        <v>NO ATÍPICO</v>
      </c>
      <c r="L1074">
        <f t="shared" si="80"/>
        <v>299647</v>
      </c>
      <c r="M1074" t="str">
        <f t="shared" si="80"/>
        <v>ASEGURADO VOLUNTARIO</v>
      </c>
      <c r="N1074">
        <f t="shared" si="81"/>
        <v>64</v>
      </c>
      <c r="O1074" s="19" t="str">
        <f t="shared" si="82"/>
        <v>0–300k</v>
      </c>
      <c r="P1074" s="19" t="str">
        <f t="shared" si="83"/>
        <v>56+</v>
      </c>
    </row>
    <row r="1075" spans="1:16" x14ac:dyDescent="0.25">
      <c r="A1075">
        <v>1074</v>
      </c>
      <c r="B1075" t="s">
        <v>15</v>
      </c>
      <c r="C1075">
        <v>347520</v>
      </c>
      <c r="D1075" t="s">
        <v>10</v>
      </c>
      <c r="E1075" t="s">
        <v>16</v>
      </c>
      <c r="F1075" t="s">
        <v>12</v>
      </c>
      <c r="G1075" t="s">
        <v>13</v>
      </c>
      <c r="H1075" t="s">
        <v>13</v>
      </c>
      <c r="I1075">
        <v>35</v>
      </c>
      <c r="J1075" t="str" cm="1">
        <f t="array" ref="J1075">_xlfn.IFS(ISBLANK(C1075),"FALTANTE",ABS((C1075-$W$5)/$X$5)&gt;1.96,"ATÍPICO",ABS((C1075-$W$5)/$X$5)&lt;=1.96,"NO ATÍPICO")</f>
        <v>NO ATÍPICO</v>
      </c>
      <c r="K1075" t="str" cm="1">
        <f t="array" ref="K1075">_xlfn.IFS(ISBLANK(I1075),"FALTANTE",ABS((I1075-$W$8)/$X$8)&gt;1.92,"ATÍPICO",ABS((I1075-$W$8)/$X$8)&lt;=1.92,"NO ATÍPICO")</f>
        <v>NO ATÍPICO</v>
      </c>
      <c r="L1075">
        <f t="shared" si="80"/>
        <v>347520</v>
      </c>
      <c r="M1075" t="str">
        <f t="shared" si="80"/>
        <v>ASALARIADO</v>
      </c>
      <c r="N1075">
        <f t="shared" si="81"/>
        <v>35</v>
      </c>
      <c r="O1075" s="19" t="str">
        <f t="shared" si="82"/>
        <v>300k–600k</v>
      </c>
      <c r="P1075" s="19" t="str">
        <f t="shared" si="83"/>
        <v>26-35</v>
      </c>
    </row>
    <row r="1076" spans="1:16" x14ac:dyDescent="0.25">
      <c r="A1076">
        <v>1075</v>
      </c>
      <c r="B1076" t="s">
        <v>9</v>
      </c>
      <c r="C1076">
        <v>594640</v>
      </c>
      <c r="D1076" t="s">
        <v>10</v>
      </c>
      <c r="E1076" t="s">
        <v>16</v>
      </c>
      <c r="F1076" t="s">
        <v>12</v>
      </c>
      <c r="G1076" t="s">
        <v>13</v>
      </c>
      <c r="H1076" t="s">
        <v>13</v>
      </c>
      <c r="I1076">
        <v>36</v>
      </c>
      <c r="J1076" t="str" cm="1">
        <f t="array" ref="J1076">_xlfn.IFS(ISBLANK(C1076),"FALTANTE",ABS((C1076-$W$5)/$X$5)&gt;1.96,"ATÍPICO",ABS((C1076-$W$5)/$X$5)&lt;=1.96,"NO ATÍPICO")</f>
        <v>NO ATÍPICO</v>
      </c>
      <c r="K1076" t="str" cm="1">
        <f t="array" ref="K1076">_xlfn.IFS(ISBLANK(I1076),"FALTANTE",ABS((I1076-$W$8)/$X$8)&gt;1.92,"ATÍPICO",ABS((I1076-$W$8)/$X$8)&lt;=1.92,"NO ATÍPICO")</f>
        <v>NO ATÍPICO</v>
      </c>
      <c r="L1076">
        <f t="shared" si="80"/>
        <v>594640</v>
      </c>
      <c r="M1076" t="str">
        <f t="shared" si="80"/>
        <v>ASALARIADO</v>
      </c>
      <c r="N1076">
        <f t="shared" si="81"/>
        <v>36</v>
      </c>
      <c r="O1076" s="19" t="str">
        <f t="shared" si="82"/>
        <v>300k–600k</v>
      </c>
      <c r="P1076" s="19" t="str">
        <f t="shared" si="83"/>
        <v>36-45</v>
      </c>
    </row>
    <row r="1077" spans="1:16" x14ac:dyDescent="0.25">
      <c r="A1077">
        <v>1076</v>
      </c>
      <c r="B1077" t="s">
        <v>9</v>
      </c>
      <c r="C1077">
        <v>207858</v>
      </c>
      <c r="D1077" t="s">
        <v>10</v>
      </c>
      <c r="E1077" t="s">
        <v>16</v>
      </c>
      <c r="F1077" t="s">
        <v>12</v>
      </c>
      <c r="G1077" t="s">
        <v>13</v>
      </c>
      <c r="H1077" t="s">
        <v>13</v>
      </c>
      <c r="I1077">
        <v>55</v>
      </c>
      <c r="J1077" t="str" cm="1">
        <f t="array" ref="J1077">_xlfn.IFS(ISBLANK(C1077),"FALTANTE",ABS((C1077-$W$5)/$X$5)&gt;1.96,"ATÍPICO",ABS((C1077-$W$5)/$X$5)&lt;=1.96,"NO ATÍPICO")</f>
        <v>NO ATÍPICO</v>
      </c>
      <c r="K1077" t="str" cm="1">
        <f t="array" ref="K1077">_xlfn.IFS(ISBLANK(I1077),"FALTANTE",ABS((I1077-$W$8)/$X$8)&gt;1.92,"ATÍPICO",ABS((I1077-$W$8)/$X$8)&lt;=1.92,"NO ATÍPICO")</f>
        <v>NO ATÍPICO</v>
      </c>
      <c r="L1077">
        <f t="shared" si="80"/>
        <v>207858</v>
      </c>
      <c r="M1077" t="str">
        <f t="shared" si="80"/>
        <v>ASALARIADO</v>
      </c>
      <c r="N1077">
        <f t="shared" si="81"/>
        <v>55</v>
      </c>
      <c r="O1077" s="19" t="str">
        <f t="shared" si="82"/>
        <v>0–300k</v>
      </c>
      <c r="P1077" s="19" t="str">
        <f t="shared" si="83"/>
        <v>46-55</v>
      </c>
    </row>
    <row r="1078" spans="1:16" x14ac:dyDescent="0.25">
      <c r="A1078">
        <v>1077</v>
      </c>
      <c r="B1078" t="s">
        <v>9</v>
      </c>
      <c r="C1078">
        <v>3211392</v>
      </c>
      <c r="D1078" t="s">
        <v>10</v>
      </c>
      <c r="E1078" t="s">
        <v>11</v>
      </c>
      <c r="F1078" t="s">
        <v>12</v>
      </c>
      <c r="G1078" t="s">
        <v>13</v>
      </c>
      <c r="H1078" t="s">
        <v>13</v>
      </c>
      <c r="I1078">
        <v>60</v>
      </c>
      <c r="J1078" t="str" cm="1">
        <f t="array" ref="J1078">_xlfn.IFS(ISBLANK(C1078),"FALTANTE",ABS((C1078-$W$5)/$X$5)&gt;1.96,"ATÍPICO",ABS((C1078-$W$5)/$X$5)&lt;=1.96,"NO ATÍPICO")</f>
        <v>ATÍPICO</v>
      </c>
      <c r="K1078" t="str" cm="1">
        <f t="array" ref="K1078">_xlfn.IFS(ISBLANK(I1078),"FALTANTE",ABS((I1078-$W$8)/$X$8)&gt;1.92,"ATÍPICO",ABS((I1078-$W$8)/$X$8)&lt;=1.92,"NO ATÍPICO")</f>
        <v>NO ATÍPICO</v>
      </c>
      <c r="L1078">
        <f t="shared" si="80"/>
        <v>3211392</v>
      </c>
      <c r="M1078" t="str">
        <f t="shared" si="80"/>
        <v>ASALARIADO</v>
      </c>
      <c r="N1078">
        <f t="shared" si="81"/>
        <v>60</v>
      </c>
      <c r="O1078" s="19" t="str">
        <f t="shared" si="82"/>
        <v>1200k+</v>
      </c>
      <c r="P1078" s="19" t="str">
        <f t="shared" si="83"/>
        <v>56+</v>
      </c>
    </row>
    <row r="1079" spans="1:16" x14ac:dyDescent="0.25">
      <c r="A1079">
        <v>1078</v>
      </c>
      <c r="B1079" t="s">
        <v>9</v>
      </c>
      <c r="C1079">
        <v>631550.63</v>
      </c>
      <c r="D1079" t="s">
        <v>10</v>
      </c>
      <c r="E1079" t="s">
        <v>16</v>
      </c>
      <c r="F1079" t="s">
        <v>12</v>
      </c>
      <c r="G1079" t="s">
        <v>13</v>
      </c>
      <c r="H1079" t="s">
        <v>13</v>
      </c>
      <c r="I1079">
        <v>38</v>
      </c>
      <c r="J1079" t="str" cm="1">
        <f t="array" ref="J1079">_xlfn.IFS(ISBLANK(C1079),"FALTANTE",ABS((C1079-$W$5)/$X$5)&gt;1.96,"ATÍPICO",ABS((C1079-$W$5)/$X$5)&lt;=1.96,"NO ATÍPICO")</f>
        <v>NO ATÍPICO</v>
      </c>
      <c r="K1079" t="str" cm="1">
        <f t="array" ref="K1079">_xlfn.IFS(ISBLANK(I1079),"FALTANTE",ABS((I1079-$W$8)/$X$8)&gt;1.92,"ATÍPICO",ABS((I1079-$W$8)/$X$8)&lt;=1.92,"NO ATÍPICO")</f>
        <v>NO ATÍPICO</v>
      </c>
      <c r="L1079">
        <f t="shared" si="80"/>
        <v>631550.63</v>
      </c>
      <c r="M1079" t="str">
        <f t="shared" si="80"/>
        <v>ASALARIADO</v>
      </c>
      <c r="N1079">
        <f t="shared" si="81"/>
        <v>38</v>
      </c>
      <c r="O1079" s="19" t="str">
        <f t="shared" si="82"/>
        <v>600k–900k</v>
      </c>
      <c r="P1079" s="19" t="str">
        <f t="shared" si="83"/>
        <v>36-45</v>
      </c>
    </row>
    <row r="1080" spans="1:16" x14ac:dyDescent="0.25">
      <c r="A1080">
        <v>1079</v>
      </c>
      <c r="B1080" t="s">
        <v>9</v>
      </c>
      <c r="C1080">
        <v>374222.12</v>
      </c>
      <c r="D1080" t="s">
        <v>10</v>
      </c>
      <c r="E1080" t="s">
        <v>16</v>
      </c>
      <c r="F1080" t="s">
        <v>12</v>
      </c>
      <c r="G1080" t="s">
        <v>13</v>
      </c>
      <c r="H1080" t="s">
        <v>13</v>
      </c>
      <c r="I1080">
        <v>31</v>
      </c>
      <c r="J1080" t="str" cm="1">
        <f t="array" ref="J1080">_xlfn.IFS(ISBLANK(C1080),"FALTANTE",ABS((C1080-$W$5)/$X$5)&gt;1.96,"ATÍPICO",ABS((C1080-$W$5)/$X$5)&lt;=1.96,"NO ATÍPICO")</f>
        <v>NO ATÍPICO</v>
      </c>
      <c r="K1080" t="str" cm="1">
        <f t="array" ref="K1080">_xlfn.IFS(ISBLANK(I1080),"FALTANTE",ABS((I1080-$W$8)/$X$8)&gt;1.92,"ATÍPICO",ABS((I1080-$W$8)/$X$8)&lt;=1.92,"NO ATÍPICO")</f>
        <v>NO ATÍPICO</v>
      </c>
      <c r="L1080">
        <f t="shared" si="80"/>
        <v>374222.12</v>
      </c>
      <c r="M1080" t="str">
        <f t="shared" si="80"/>
        <v>ASALARIADO</v>
      </c>
      <c r="N1080">
        <f t="shared" si="81"/>
        <v>31</v>
      </c>
      <c r="O1080" s="19" t="str">
        <f t="shared" si="82"/>
        <v>300k–600k</v>
      </c>
      <c r="P1080" s="19" t="str">
        <f t="shared" si="83"/>
        <v>26-35</v>
      </c>
    </row>
    <row r="1081" spans="1:16" x14ac:dyDescent="0.25">
      <c r="A1081">
        <v>1080</v>
      </c>
      <c r="B1081" t="s">
        <v>15</v>
      </c>
      <c r="C1081">
        <v>338166</v>
      </c>
      <c r="D1081" t="s">
        <v>17</v>
      </c>
      <c r="E1081" t="s">
        <v>16</v>
      </c>
      <c r="F1081" t="s">
        <v>12</v>
      </c>
      <c r="G1081" t="s">
        <v>13</v>
      </c>
      <c r="H1081" t="s">
        <v>13</v>
      </c>
      <c r="I1081">
        <v>63</v>
      </c>
      <c r="J1081" t="str" cm="1">
        <f t="array" ref="J1081">_xlfn.IFS(ISBLANK(C1081),"FALTANTE",ABS((C1081-$W$5)/$X$5)&gt;1.96,"ATÍPICO",ABS((C1081-$W$5)/$X$5)&lt;=1.96,"NO ATÍPICO")</f>
        <v>NO ATÍPICO</v>
      </c>
      <c r="K1081" t="str" cm="1">
        <f t="array" ref="K1081">_xlfn.IFS(ISBLANK(I1081),"FALTANTE",ABS((I1081-$W$8)/$X$8)&gt;1.92,"ATÍPICO",ABS((I1081-$W$8)/$X$8)&lt;=1.92,"NO ATÍPICO")</f>
        <v>NO ATÍPICO</v>
      </c>
      <c r="L1081">
        <f t="shared" si="80"/>
        <v>338166</v>
      </c>
      <c r="M1081" t="str">
        <f t="shared" si="80"/>
        <v>ASEGURADO VOLUNTARIO</v>
      </c>
      <c r="N1081">
        <f t="shared" si="81"/>
        <v>63</v>
      </c>
      <c r="O1081" s="19" t="str">
        <f t="shared" si="82"/>
        <v>300k–600k</v>
      </c>
      <c r="P1081" s="19" t="str">
        <f t="shared" si="83"/>
        <v>56+</v>
      </c>
    </row>
    <row r="1082" spans="1:16" x14ac:dyDescent="0.25">
      <c r="A1082">
        <v>1081</v>
      </c>
      <c r="B1082" t="s">
        <v>15</v>
      </c>
      <c r="C1082">
        <v>180000</v>
      </c>
      <c r="D1082" t="s">
        <v>10</v>
      </c>
      <c r="E1082" t="s">
        <v>16</v>
      </c>
      <c r="F1082" t="s">
        <v>12</v>
      </c>
      <c r="G1082" t="s">
        <v>12</v>
      </c>
      <c r="H1082" t="s">
        <v>13</v>
      </c>
      <c r="I1082">
        <v>78</v>
      </c>
      <c r="J1082" t="str" cm="1">
        <f t="array" ref="J1082">_xlfn.IFS(ISBLANK(C1082),"FALTANTE",ABS((C1082-$W$5)/$X$5)&gt;1.96,"ATÍPICO",ABS((C1082-$W$5)/$X$5)&lt;=1.96,"NO ATÍPICO")</f>
        <v>NO ATÍPICO</v>
      </c>
      <c r="K1082" t="str" cm="1">
        <f t="array" ref="K1082">_xlfn.IFS(ISBLANK(I1082),"FALTANTE",ABS((I1082-$W$8)/$X$8)&gt;1.92,"ATÍPICO",ABS((I1082-$W$8)/$X$8)&lt;=1.92,"NO ATÍPICO")</f>
        <v>ATÍPICO</v>
      </c>
      <c r="L1082">
        <f t="shared" si="80"/>
        <v>180000</v>
      </c>
      <c r="M1082" t="str">
        <f t="shared" si="80"/>
        <v>ASALARIADO</v>
      </c>
      <c r="N1082">
        <f t="shared" si="81"/>
        <v>78</v>
      </c>
      <c r="O1082" s="19" t="str">
        <f t="shared" si="82"/>
        <v>0–300k</v>
      </c>
      <c r="P1082" s="19" t="str">
        <f t="shared" si="83"/>
        <v>56+</v>
      </c>
    </row>
    <row r="1083" spans="1:16" x14ac:dyDescent="0.25">
      <c r="A1083">
        <v>1082</v>
      </c>
      <c r="B1083" t="s">
        <v>15</v>
      </c>
      <c r="C1083">
        <v>582638</v>
      </c>
      <c r="D1083" t="s">
        <v>18</v>
      </c>
      <c r="E1083" t="s">
        <v>16</v>
      </c>
      <c r="F1083" t="s">
        <v>12</v>
      </c>
      <c r="G1083" t="s">
        <v>12</v>
      </c>
      <c r="H1083" t="s">
        <v>12</v>
      </c>
      <c r="I1083">
        <v>60</v>
      </c>
      <c r="J1083" t="str" cm="1">
        <f t="array" ref="J1083">_xlfn.IFS(ISBLANK(C1083),"FALTANTE",ABS((C1083-$W$5)/$X$5)&gt;1.96,"ATÍPICO",ABS((C1083-$W$5)/$X$5)&lt;=1.96,"NO ATÍPICO")</f>
        <v>NO ATÍPICO</v>
      </c>
      <c r="K1083" t="str" cm="1">
        <f t="array" ref="K1083">_xlfn.IFS(ISBLANK(I1083),"FALTANTE",ABS((I1083-$W$8)/$X$8)&gt;1.92,"ATÍPICO",ABS((I1083-$W$8)/$X$8)&lt;=1.92,"NO ATÍPICO")</f>
        <v>NO ATÍPICO</v>
      </c>
      <c r="L1083">
        <f t="shared" si="80"/>
        <v>582638</v>
      </c>
      <c r="M1083" t="str">
        <f t="shared" si="80"/>
        <v>TRABAJADOR INDEPENDIENTE</v>
      </c>
      <c r="N1083">
        <f t="shared" si="81"/>
        <v>60</v>
      </c>
      <c r="O1083" s="19" t="str">
        <f t="shared" si="82"/>
        <v>300k–600k</v>
      </c>
      <c r="P1083" s="19" t="str">
        <f t="shared" si="83"/>
        <v>56+</v>
      </c>
    </row>
    <row r="1084" spans="1:16" x14ac:dyDescent="0.25">
      <c r="A1084">
        <v>1083</v>
      </c>
      <c r="B1084" t="s">
        <v>15</v>
      </c>
      <c r="C1084">
        <v>818240.4</v>
      </c>
      <c r="D1084" t="s">
        <v>10</v>
      </c>
      <c r="E1084" t="s">
        <v>16</v>
      </c>
      <c r="F1084" t="s">
        <v>12</v>
      </c>
      <c r="G1084" t="s">
        <v>13</v>
      </c>
      <c r="H1084" t="s">
        <v>13</v>
      </c>
      <c r="I1084">
        <v>26</v>
      </c>
      <c r="J1084" t="str" cm="1">
        <f t="array" ref="J1084">_xlfn.IFS(ISBLANK(C1084),"FALTANTE",ABS((C1084-$W$5)/$X$5)&gt;1.96,"ATÍPICO",ABS((C1084-$W$5)/$X$5)&lt;=1.96,"NO ATÍPICO")</f>
        <v>NO ATÍPICO</v>
      </c>
      <c r="K1084" t="str" cm="1">
        <f t="array" ref="K1084">_xlfn.IFS(ISBLANK(I1084),"FALTANTE",ABS((I1084-$W$8)/$X$8)&gt;1.92,"ATÍPICO",ABS((I1084-$W$8)/$X$8)&lt;=1.92,"NO ATÍPICO")</f>
        <v>NO ATÍPICO</v>
      </c>
      <c r="L1084">
        <f t="shared" si="80"/>
        <v>818240.4</v>
      </c>
      <c r="M1084" t="str">
        <f t="shared" si="80"/>
        <v>ASALARIADO</v>
      </c>
      <c r="N1084">
        <f t="shared" si="81"/>
        <v>26</v>
      </c>
      <c r="O1084" s="19" t="str">
        <f t="shared" si="82"/>
        <v>600k–900k</v>
      </c>
      <c r="P1084" s="19" t="str">
        <f t="shared" si="83"/>
        <v>26-35</v>
      </c>
    </row>
    <row r="1085" spans="1:16" x14ac:dyDescent="0.25">
      <c r="A1085">
        <v>1084</v>
      </c>
      <c r="B1085" t="s">
        <v>15</v>
      </c>
      <c r="C1085">
        <v>317915</v>
      </c>
      <c r="D1085" t="s">
        <v>10</v>
      </c>
      <c r="E1085" t="s">
        <v>16</v>
      </c>
      <c r="F1085" t="s">
        <v>12</v>
      </c>
      <c r="G1085" t="s">
        <v>13</v>
      </c>
      <c r="H1085" t="s">
        <v>13</v>
      </c>
      <c r="I1085">
        <v>41</v>
      </c>
      <c r="J1085" t="str" cm="1">
        <f t="array" ref="J1085">_xlfn.IFS(ISBLANK(C1085),"FALTANTE",ABS((C1085-$W$5)/$X$5)&gt;1.96,"ATÍPICO",ABS((C1085-$W$5)/$X$5)&lt;=1.96,"NO ATÍPICO")</f>
        <v>NO ATÍPICO</v>
      </c>
      <c r="K1085" t="str" cm="1">
        <f t="array" ref="K1085">_xlfn.IFS(ISBLANK(I1085),"FALTANTE",ABS((I1085-$W$8)/$X$8)&gt;1.92,"ATÍPICO",ABS((I1085-$W$8)/$X$8)&lt;=1.92,"NO ATÍPICO")</f>
        <v>NO ATÍPICO</v>
      </c>
      <c r="L1085">
        <f t="shared" si="80"/>
        <v>317915</v>
      </c>
      <c r="M1085" t="str">
        <f t="shared" si="80"/>
        <v>ASALARIADO</v>
      </c>
      <c r="N1085">
        <f t="shared" si="81"/>
        <v>41</v>
      </c>
      <c r="O1085" s="19" t="str">
        <f t="shared" si="82"/>
        <v>300k–600k</v>
      </c>
      <c r="P1085" s="19" t="str">
        <f t="shared" si="83"/>
        <v>36-45</v>
      </c>
    </row>
    <row r="1086" spans="1:16" x14ac:dyDescent="0.25">
      <c r="A1086">
        <v>1085</v>
      </c>
      <c r="B1086" t="s">
        <v>9</v>
      </c>
      <c r="C1086">
        <v>449694.75</v>
      </c>
      <c r="D1086" t="s">
        <v>10</v>
      </c>
      <c r="E1086" t="s">
        <v>16</v>
      </c>
      <c r="F1086" t="s">
        <v>12</v>
      </c>
      <c r="G1086" t="s">
        <v>13</v>
      </c>
      <c r="H1086" t="s">
        <v>13</v>
      </c>
      <c r="I1086">
        <v>21</v>
      </c>
      <c r="J1086" t="str" cm="1">
        <f t="array" ref="J1086">_xlfn.IFS(ISBLANK(C1086),"FALTANTE",ABS((C1086-$W$5)/$X$5)&gt;1.96,"ATÍPICO",ABS((C1086-$W$5)/$X$5)&lt;=1.96,"NO ATÍPICO")</f>
        <v>NO ATÍPICO</v>
      </c>
      <c r="K1086" t="str" cm="1">
        <f t="array" ref="K1086">_xlfn.IFS(ISBLANK(I1086),"FALTANTE",ABS((I1086-$W$8)/$X$8)&gt;1.92,"ATÍPICO",ABS((I1086-$W$8)/$X$8)&lt;=1.92,"NO ATÍPICO")</f>
        <v>NO ATÍPICO</v>
      </c>
      <c r="L1086">
        <f t="shared" si="80"/>
        <v>449694.75</v>
      </c>
      <c r="M1086" t="str">
        <f t="shared" si="80"/>
        <v>ASALARIADO</v>
      </c>
      <c r="N1086">
        <f t="shared" si="81"/>
        <v>21</v>
      </c>
      <c r="O1086" s="19" t="str">
        <f t="shared" si="82"/>
        <v>300k–600k</v>
      </c>
      <c r="P1086" s="19" t="str">
        <f t="shared" si="83"/>
        <v>18-25</v>
      </c>
    </row>
    <row r="1087" spans="1:16" x14ac:dyDescent="0.25">
      <c r="A1087">
        <v>1086</v>
      </c>
      <c r="B1087" t="s">
        <v>15</v>
      </c>
      <c r="C1087">
        <v>607000</v>
      </c>
      <c r="D1087" t="s">
        <v>10</v>
      </c>
      <c r="E1087" t="s">
        <v>16</v>
      </c>
      <c r="F1087" t="s">
        <v>12</v>
      </c>
      <c r="G1087" t="s">
        <v>13</v>
      </c>
      <c r="H1087" t="s">
        <v>13</v>
      </c>
      <c r="I1087">
        <v>41</v>
      </c>
      <c r="J1087" t="str" cm="1">
        <f t="array" ref="J1087">_xlfn.IFS(ISBLANK(C1087),"FALTANTE",ABS((C1087-$W$5)/$X$5)&gt;1.96,"ATÍPICO",ABS((C1087-$W$5)/$X$5)&lt;=1.96,"NO ATÍPICO")</f>
        <v>NO ATÍPICO</v>
      </c>
      <c r="K1087" t="str" cm="1">
        <f t="array" ref="K1087">_xlfn.IFS(ISBLANK(I1087),"FALTANTE",ABS((I1087-$W$8)/$X$8)&gt;1.92,"ATÍPICO",ABS((I1087-$W$8)/$X$8)&lt;=1.92,"NO ATÍPICO")</f>
        <v>NO ATÍPICO</v>
      </c>
      <c r="L1087">
        <f t="shared" si="80"/>
        <v>607000</v>
      </c>
      <c r="M1087" t="str">
        <f t="shared" si="80"/>
        <v>ASALARIADO</v>
      </c>
      <c r="N1087">
        <f t="shared" si="81"/>
        <v>41</v>
      </c>
      <c r="O1087" s="19" t="str">
        <f t="shared" si="82"/>
        <v>600k–900k</v>
      </c>
      <c r="P1087" s="19" t="str">
        <f t="shared" si="83"/>
        <v>36-45</v>
      </c>
    </row>
    <row r="1088" spans="1:16" x14ac:dyDescent="0.25">
      <c r="A1088">
        <v>1087</v>
      </c>
      <c r="B1088" t="s">
        <v>9</v>
      </c>
      <c r="C1088">
        <v>302470</v>
      </c>
      <c r="D1088" t="s">
        <v>18</v>
      </c>
      <c r="E1088" t="s">
        <v>16</v>
      </c>
      <c r="F1088" t="s">
        <v>12</v>
      </c>
      <c r="G1088" t="s">
        <v>13</v>
      </c>
      <c r="H1088" t="s">
        <v>12</v>
      </c>
      <c r="I1088">
        <v>31</v>
      </c>
      <c r="J1088" t="str" cm="1">
        <f t="array" ref="J1088">_xlfn.IFS(ISBLANK(C1088),"FALTANTE",ABS((C1088-$W$5)/$X$5)&gt;1.96,"ATÍPICO",ABS((C1088-$W$5)/$X$5)&lt;=1.96,"NO ATÍPICO")</f>
        <v>NO ATÍPICO</v>
      </c>
      <c r="K1088" t="str" cm="1">
        <f t="array" ref="K1088">_xlfn.IFS(ISBLANK(I1088),"FALTANTE",ABS((I1088-$W$8)/$X$8)&gt;1.92,"ATÍPICO",ABS((I1088-$W$8)/$X$8)&lt;=1.92,"NO ATÍPICO")</f>
        <v>NO ATÍPICO</v>
      </c>
      <c r="L1088">
        <f t="shared" si="80"/>
        <v>302470</v>
      </c>
      <c r="M1088" t="str">
        <f t="shared" si="80"/>
        <v>TRABAJADOR INDEPENDIENTE</v>
      </c>
      <c r="N1088">
        <f t="shared" si="81"/>
        <v>31</v>
      </c>
      <c r="O1088" s="19" t="str">
        <f t="shared" si="82"/>
        <v>300k–600k</v>
      </c>
      <c r="P1088" s="19" t="str">
        <f t="shared" si="83"/>
        <v>26-35</v>
      </c>
    </row>
    <row r="1089" spans="1:16" x14ac:dyDescent="0.25">
      <c r="A1089">
        <v>1088</v>
      </c>
      <c r="B1089" t="s">
        <v>9</v>
      </c>
      <c r="C1089">
        <v>300000</v>
      </c>
      <c r="D1089" t="s">
        <v>10</v>
      </c>
      <c r="E1089" t="s">
        <v>16</v>
      </c>
      <c r="F1089" t="s">
        <v>12</v>
      </c>
      <c r="G1089" t="s">
        <v>13</v>
      </c>
      <c r="H1089" t="s">
        <v>13</v>
      </c>
      <c r="I1089">
        <v>58</v>
      </c>
      <c r="J1089" t="str" cm="1">
        <f t="array" ref="J1089">_xlfn.IFS(ISBLANK(C1089),"FALTANTE",ABS((C1089-$W$5)/$X$5)&gt;1.96,"ATÍPICO",ABS((C1089-$W$5)/$X$5)&lt;=1.96,"NO ATÍPICO")</f>
        <v>NO ATÍPICO</v>
      </c>
      <c r="K1089" t="str" cm="1">
        <f t="array" ref="K1089">_xlfn.IFS(ISBLANK(I1089),"FALTANTE",ABS((I1089-$W$8)/$X$8)&gt;1.92,"ATÍPICO",ABS((I1089-$W$8)/$X$8)&lt;=1.92,"NO ATÍPICO")</f>
        <v>NO ATÍPICO</v>
      </c>
      <c r="L1089">
        <f t="shared" si="80"/>
        <v>300000</v>
      </c>
      <c r="M1089" t="str">
        <f t="shared" si="80"/>
        <v>ASALARIADO</v>
      </c>
      <c r="N1089">
        <f t="shared" si="81"/>
        <v>58</v>
      </c>
      <c r="O1089" s="19" t="str">
        <f t="shared" si="82"/>
        <v>0–300k</v>
      </c>
      <c r="P1089" s="19" t="str">
        <f t="shared" si="83"/>
        <v>56+</v>
      </c>
    </row>
    <row r="1090" spans="1:16" x14ac:dyDescent="0.25">
      <c r="A1090">
        <v>1089</v>
      </c>
      <c r="B1090" t="s">
        <v>9</v>
      </c>
      <c r="C1090">
        <v>359543</v>
      </c>
      <c r="D1090" t="s">
        <v>10</v>
      </c>
      <c r="E1090" t="s">
        <v>16</v>
      </c>
      <c r="F1090" t="s">
        <v>12</v>
      </c>
      <c r="G1090" t="s">
        <v>13</v>
      </c>
      <c r="H1090" t="s">
        <v>13</v>
      </c>
      <c r="I1090">
        <v>20</v>
      </c>
      <c r="J1090" t="str" cm="1">
        <f t="array" ref="J1090">_xlfn.IFS(ISBLANK(C1090),"FALTANTE",ABS((C1090-$W$5)/$X$5)&gt;1.96,"ATÍPICO",ABS((C1090-$W$5)/$X$5)&lt;=1.96,"NO ATÍPICO")</f>
        <v>NO ATÍPICO</v>
      </c>
      <c r="K1090" t="str" cm="1">
        <f t="array" ref="K1090">_xlfn.IFS(ISBLANK(I1090),"FALTANTE",ABS((I1090-$W$8)/$X$8)&gt;1.92,"ATÍPICO",ABS((I1090-$W$8)/$X$8)&lt;=1.92,"NO ATÍPICO")</f>
        <v>NO ATÍPICO</v>
      </c>
      <c r="L1090">
        <f t="shared" ref="L1090:M1153" si="84">C1090</f>
        <v>359543</v>
      </c>
      <c r="M1090" t="str">
        <f t="shared" si="84"/>
        <v>ASALARIADO</v>
      </c>
      <c r="N1090">
        <f t="shared" ref="N1090:N1153" si="85">I1090</f>
        <v>20</v>
      </c>
      <c r="O1090" s="19" t="str">
        <f t="shared" ref="O1090:O1153" si="86">IF(L1090&lt;=300000,"0–300k",IF(L1090&lt;=600000,"300k–600k",IF(L1090&lt;=900000,"600k–900k",IF(L1090&lt;=1200000,"900k–1200k","1200k+"))))</f>
        <v>300k–600k</v>
      </c>
      <c r="P1090" s="19" t="str">
        <f t="shared" ref="P1090:P1153" si="87">IF(N1090 &lt;=25,"18-25", IF(N1090&lt;=35,"26-35", IF(N1090 &lt;=45,"36-45", IF(N1090&lt;=55,"46-55","56+"))))</f>
        <v>18-25</v>
      </c>
    </row>
    <row r="1091" spans="1:16" x14ac:dyDescent="0.25">
      <c r="A1091">
        <v>1090</v>
      </c>
      <c r="B1091" t="s">
        <v>15</v>
      </c>
      <c r="C1091">
        <v>717302</v>
      </c>
      <c r="D1091" t="s">
        <v>10</v>
      </c>
      <c r="E1091" t="s">
        <v>16</v>
      </c>
      <c r="F1091" t="s">
        <v>12</v>
      </c>
      <c r="G1091" t="s">
        <v>13</v>
      </c>
      <c r="H1091" t="s">
        <v>13</v>
      </c>
      <c r="I1091">
        <v>42</v>
      </c>
      <c r="J1091" t="str" cm="1">
        <f t="array" ref="J1091">_xlfn.IFS(ISBLANK(C1091),"FALTANTE",ABS((C1091-$W$5)/$X$5)&gt;1.96,"ATÍPICO",ABS((C1091-$W$5)/$X$5)&lt;=1.96,"NO ATÍPICO")</f>
        <v>NO ATÍPICO</v>
      </c>
      <c r="K1091" t="str" cm="1">
        <f t="array" ref="K1091">_xlfn.IFS(ISBLANK(I1091),"FALTANTE",ABS((I1091-$W$8)/$X$8)&gt;1.92,"ATÍPICO",ABS((I1091-$W$8)/$X$8)&lt;=1.92,"NO ATÍPICO")</f>
        <v>NO ATÍPICO</v>
      </c>
      <c r="L1091">
        <f t="shared" si="84"/>
        <v>717302</v>
      </c>
      <c r="M1091" t="str">
        <f t="shared" si="84"/>
        <v>ASALARIADO</v>
      </c>
      <c r="N1091">
        <f t="shared" si="85"/>
        <v>42</v>
      </c>
      <c r="O1091" s="19" t="str">
        <f t="shared" si="86"/>
        <v>600k–900k</v>
      </c>
      <c r="P1091" s="19" t="str">
        <f t="shared" si="87"/>
        <v>36-45</v>
      </c>
    </row>
    <row r="1092" spans="1:16" x14ac:dyDescent="0.25">
      <c r="A1092">
        <v>1091</v>
      </c>
      <c r="B1092" t="s">
        <v>9</v>
      </c>
      <c r="C1092">
        <v>301597.40000000002</v>
      </c>
      <c r="D1092" t="s">
        <v>10</v>
      </c>
      <c r="E1092" t="s">
        <v>16</v>
      </c>
      <c r="F1092" t="s">
        <v>12</v>
      </c>
      <c r="G1092" t="s">
        <v>12</v>
      </c>
      <c r="H1092" t="s">
        <v>13</v>
      </c>
      <c r="I1092">
        <v>46</v>
      </c>
      <c r="J1092" t="str" cm="1">
        <f t="array" ref="J1092">_xlfn.IFS(ISBLANK(C1092),"FALTANTE",ABS((C1092-$W$5)/$X$5)&gt;1.96,"ATÍPICO",ABS((C1092-$W$5)/$X$5)&lt;=1.96,"NO ATÍPICO")</f>
        <v>NO ATÍPICO</v>
      </c>
      <c r="K1092" t="str" cm="1">
        <f t="array" ref="K1092">_xlfn.IFS(ISBLANK(I1092),"FALTANTE",ABS((I1092-$W$8)/$X$8)&gt;1.92,"ATÍPICO",ABS((I1092-$W$8)/$X$8)&lt;=1.92,"NO ATÍPICO")</f>
        <v>NO ATÍPICO</v>
      </c>
      <c r="L1092">
        <f t="shared" si="84"/>
        <v>301597.40000000002</v>
      </c>
      <c r="M1092" t="str">
        <f t="shared" si="84"/>
        <v>ASALARIADO</v>
      </c>
      <c r="N1092">
        <f t="shared" si="85"/>
        <v>46</v>
      </c>
      <c r="O1092" s="19" t="str">
        <f t="shared" si="86"/>
        <v>300k–600k</v>
      </c>
      <c r="P1092" s="19" t="str">
        <f t="shared" si="87"/>
        <v>46-55</v>
      </c>
    </row>
    <row r="1093" spans="1:16" x14ac:dyDescent="0.25">
      <c r="A1093">
        <v>1092</v>
      </c>
      <c r="B1093" t="s">
        <v>15</v>
      </c>
      <c r="C1093">
        <v>297046</v>
      </c>
      <c r="D1093" t="s">
        <v>17</v>
      </c>
      <c r="E1093" t="s">
        <v>16</v>
      </c>
      <c r="F1093" t="s">
        <v>12</v>
      </c>
      <c r="G1093" t="s">
        <v>13</v>
      </c>
      <c r="H1093" t="s">
        <v>13</v>
      </c>
      <c r="I1093">
        <v>34</v>
      </c>
      <c r="J1093" t="str" cm="1">
        <f t="array" ref="J1093">_xlfn.IFS(ISBLANK(C1093),"FALTANTE",ABS((C1093-$W$5)/$X$5)&gt;1.96,"ATÍPICO",ABS((C1093-$W$5)/$X$5)&lt;=1.96,"NO ATÍPICO")</f>
        <v>NO ATÍPICO</v>
      </c>
      <c r="K1093" t="str" cm="1">
        <f t="array" ref="K1093">_xlfn.IFS(ISBLANK(I1093),"FALTANTE",ABS((I1093-$W$8)/$X$8)&gt;1.92,"ATÍPICO",ABS((I1093-$W$8)/$X$8)&lt;=1.92,"NO ATÍPICO")</f>
        <v>NO ATÍPICO</v>
      </c>
      <c r="L1093">
        <f t="shared" si="84"/>
        <v>297046</v>
      </c>
      <c r="M1093" t="str">
        <f t="shared" si="84"/>
        <v>ASEGURADO VOLUNTARIO</v>
      </c>
      <c r="N1093">
        <f t="shared" si="85"/>
        <v>34</v>
      </c>
      <c r="O1093" s="19" t="str">
        <f t="shared" si="86"/>
        <v>0–300k</v>
      </c>
      <c r="P1093" s="19" t="str">
        <f t="shared" si="87"/>
        <v>26-35</v>
      </c>
    </row>
    <row r="1094" spans="1:16" x14ac:dyDescent="0.25">
      <c r="A1094">
        <v>1093</v>
      </c>
      <c r="B1094" t="s">
        <v>9</v>
      </c>
      <c r="C1094">
        <v>700000</v>
      </c>
      <c r="D1094" t="s">
        <v>10</v>
      </c>
      <c r="E1094" t="s">
        <v>16</v>
      </c>
      <c r="F1094" t="s">
        <v>12</v>
      </c>
      <c r="G1094" t="s">
        <v>13</v>
      </c>
      <c r="H1094" t="s">
        <v>13</v>
      </c>
      <c r="I1094">
        <v>22</v>
      </c>
      <c r="J1094" t="str" cm="1">
        <f t="array" ref="J1094">_xlfn.IFS(ISBLANK(C1094),"FALTANTE",ABS((C1094-$W$5)/$X$5)&gt;1.96,"ATÍPICO",ABS((C1094-$W$5)/$X$5)&lt;=1.96,"NO ATÍPICO")</f>
        <v>NO ATÍPICO</v>
      </c>
      <c r="K1094" t="str" cm="1">
        <f t="array" ref="K1094">_xlfn.IFS(ISBLANK(I1094),"FALTANTE",ABS((I1094-$W$8)/$X$8)&gt;1.92,"ATÍPICO",ABS((I1094-$W$8)/$X$8)&lt;=1.92,"NO ATÍPICO")</f>
        <v>NO ATÍPICO</v>
      </c>
      <c r="L1094">
        <f t="shared" si="84"/>
        <v>700000</v>
      </c>
      <c r="M1094" t="str">
        <f t="shared" si="84"/>
        <v>ASALARIADO</v>
      </c>
      <c r="N1094">
        <f t="shared" si="85"/>
        <v>22</v>
      </c>
      <c r="O1094" s="19" t="str">
        <f t="shared" si="86"/>
        <v>600k–900k</v>
      </c>
      <c r="P1094" s="19" t="str">
        <f t="shared" si="87"/>
        <v>18-25</v>
      </c>
    </row>
    <row r="1095" spans="1:16" x14ac:dyDescent="0.25">
      <c r="A1095">
        <v>1094</v>
      </c>
      <c r="B1095" t="s">
        <v>15</v>
      </c>
      <c r="C1095">
        <v>384000</v>
      </c>
      <c r="D1095" t="s">
        <v>10</v>
      </c>
      <c r="E1095" t="s">
        <v>16</v>
      </c>
      <c r="F1095" t="s">
        <v>12</v>
      </c>
      <c r="G1095" t="s">
        <v>13</v>
      </c>
      <c r="H1095" t="s">
        <v>13</v>
      </c>
      <c r="I1095">
        <v>48</v>
      </c>
      <c r="J1095" t="str" cm="1">
        <f t="array" ref="J1095">_xlfn.IFS(ISBLANK(C1095),"FALTANTE",ABS((C1095-$W$5)/$X$5)&gt;1.96,"ATÍPICO",ABS((C1095-$W$5)/$X$5)&lt;=1.96,"NO ATÍPICO")</f>
        <v>NO ATÍPICO</v>
      </c>
      <c r="K1095" t="str" cm="1">
        <f t="array" ref="K1095">_xlfn.IFS(ISBLANK(I1095),"FALTANTE",ABS((I1095-$W$8)/$X$8)&gt;1.92,"ATÍPICO",ABS((I1095-$W$8)/$X$8)&lt;=1.92,"NO ATÍPICO")</f>
        <v>NO ATÍPICO</v>
      </c>
      <c r="L1095">
        <f t="shared" si="84"/>
        <v>384000</v>
      </c>
      <c r="M1095" t="str">
        <f t="shared" si="84"/>
        <v>ASALARIADO</v>
      </c>
      <c r="N1095">
        <f t="shared" si="85"/>
        <v>48</v>
      </c>
      <c r="O1095" s="19" t="str">
        <f t="shared" si="86"/>
        <v>300k–600k</v>
      </c>
      <c r="P1095" s="19" t="str">
        <f t="shared" si="87"/>
        <v>46-55</v>
      </c>
    </row>
    <row r="1096" spans="1:16" x14ac:dyDescent="0.25">
      <c r="A1096">
        <v>1095</v>
      </c>
      <c r="B1096" t="s">
        <v>9</v>
      </c>
      <c r="C1096">
        <v>783349.9</v>
      </c>
      <c r="D1096" t="s">
        <v>10</v>
      </c>
      <c r="E1096" t="s">
        <v>11</v>
      </c>
      <c r="F1096" t="s">
        <v>12</v>
      </c>
      <c r="G1096" t="s">
        <v>13</v>
      </c>
      <c r="H1096" t="s">
        <v>13</v>
      </c>
      <c r="I1096">
        <v>45</v>
      </c>
      <c r="J1096" t="str" cm="1">
        <f t="array" ref="J1096">_xlfn.IFS(ISBLANK(C1096),"FALTANTE",ABS((C1096-$W$5)/$X$5)&gt;1.96,"ATÍPICO",ABS((C1096-$W$5)/$X$5)&lt;=1.96,"NO ATÍPICO")</f>
        <v>NO ATÍPICO</v>
      </c>
      <c r="K1096" t="str" cm="1">
        <f t="array" ref="K1096">_xlfn.IFS(ISBLANK(I1096),"FALTANTE",ABS((I1096-$W$8)/$X$8)&gt;1.92,"ATÍPICO",ABS((I1096-$W$8)/$X$8)&lt;=1.92,"NO ATÍPICO")</f>
        <v>NO ATÍPICO</v>
      </c>
      <c r="L1096">
        <f t="shared" si="84"/>
        <v>783349.9</v>
      </c>
      <c r="M1096" t="str">
        <f t="shared" si="84"/>
        <v>ASALARIADO</v>
      </c>
      <c r="N1096">
        <f t="shared" si="85"/>
        <v>45</v>
      </c>
      <c r="O1096" s="19" t="str">
        <f t="shared" si="86"/>
        <v>600k–900k</v>
      </c>
      <c r="P1096" s="19" t="str">
        <f t="shared" si="87"/>
        <v>36-45</v>
      </c>
    </row>
    <row r="1097" spans="1:16" x14ac:dyDescent="0.25">
      <c r="A1097">
        <v>1096</v>
      </c>
      <c r="B1097" t="s">
        <v>9</v>
      </c>
      <c r="C1097">
        <v>1615550.07</v>
      </c>
      <c r="D1097" t="s">
        <v>10</v>
      </c>
      <c r="E1097" t="s">
        <v>16</v>
      </c>
      <c r="F1097" t="s">
        <v>12</v>
      </c>
      <c r="G1097" t="s">
        <v>13</v>
      </c>
      <c r="H1097" t="s">
        <v>12</v>
      </c>
      <c r="I1097">
        <v>37</v>
      </c>
      <c r="J1097" t="str" cm="1">
        <f t="array" ref="J1097">_xlfn.IFS(ISBLANK(C1097),"FALTANTE",ABS((C1097-$W$5)/$X$5)&gt;1.96,"ATÍPICO",ABS((C1097-$W$5)/$X$5)&lt;=1.96,"NO ATÍPICO")</f>
        <v>NO ATÍPICO</v>
      </c>
      <c r="K1097" t="str" cm="1">
        <f t="array" ref="K1097">_xlfn.IFS(ISBLANK(I1097),"FALTANTE",ABS((I1097-$W$8)/$X$8)&gt;1.92,"ATÍPICO",ABS((I1097-$W$8)/$X$8)&lt;=1.92,"NO ATÍPICO")</f>
        <v>NO ATÍPICO</v>
      </c>
      <c r="L1097">
        <f t="shared" si="84"/>
        <v>1615550.07</v>
      </c>
      <c r="M1097" t="str">
        <f t="shared" si="84"/>
        <v>ASALARIADO</v>
      </c>
      <c r="N1097">
        <f t="shared" si="85"/>
        <v>37</v>
      </c>
      <c r="O1097" s="19" t="str">
        <f t="shared" si="86"/>
        <v>1200k+</v>
      </c>
      <c r="P1097" s="19" t="str">
        <f t="shared" si="87"/>
        <v>36-45</v>
      </c>
    </row>
    <row r="1098" spans="1:16" x14ac:dyDescent="0.25">
      <c r="A1098">
        <v>1097</v>
      </c>
      <c r="B1098" t="s">
        <v>15</v>
      </c>
      <c r="C1098">
        <v>247663</v>
      </c>
      <c r="D1098" t="s">
        <v>10</v>
      </c>
      <c r="E1098" t="s">
        <v>16</v>
      </c>
      <c r="F1098" t="s">
        <v>12</v>
      </c>
      <c r="G1098" t="s">
        <v>13</v>
      </c>
      <c r="H1098" t="s">
        <v>13</v>
      </c>
      <c r="I1098">
        <v>19</v>
      </c>
      <c r="J1098" t="str" cm="1">
        <f t="array" ref="J1098">_xlfn.IFS(ISBLANK(C1098),"FALTANTE",ABS((C1098-$W$5)/$X$5)&gt;1.96,"ATÍPICO",ABS((C1098-$W$5)/$X$5)&lt;=1.96,"NO ATÍPICO")</f>
        <v>NO ATÍPICO</v>
      </c>
      <c r="K1098" t="str" cm="1">
        <f t="array" ref="K1098">_xlfn.IFS(ISBLANK(I1098),"FALTANTE",ABS((I1098-$W$8)/$X$8)&gt;1.92,"ATÍPICO",ABS((I1098-$W$8)/$X$8)&lt;=1.92,"NO ATÍPICO")</f>
        <v>NO ATÍPICO</v>
      </c>
      <c r="L1098">
        <f t="shared" si="84"/>
        <v>247663</v>
      </c>
      <c r="M1098" t="str">
        <f t="shared" si="84"/>
        <v>ASALARIADO</v>
      </c>
      <c r="N1098">
        <f t="shared" si="85"/>
        <v>19</v>
      </c>
      <c r="O1098" s="19" t="str">
        <f t="shared" si="86"/>
        <v>0–300k</v>
      </c>
      <c r="P1098" s="19" t="str">
        <f t="shared" si="87"/>
        <v>18-25</v>
      </c>
    </row>
    <row r="1099" spans="1:16" x14ac:dyDescent="0.25">
      <c r="A1099">
        <v>1098</v>
      </c>
      <c r="B1099" t="s">
        <v>15</v>
      </c>
      <c r="C1099">
        <v>1267616.3899999999</v>
      </c>
      <c r="D1099" t="s">
        <v>10</v>
      </c>
      <c r="E1099" t="s">
        <v>16</v>
      </c>
      <c r="F1099" t="s">
        <v>12</v>
      </c>
      <c r="G1099" t="s">
        <v>13</v>
      </c>
      <c r="H1099" t="s">
        <v>13</v>
      </c>
      <c r="I1099">
        <v>35</v>
      </c>
      <c r="J1099" t="str" cm="1">
        <f t="array" ref="J1099">_xlfn.IFS(ISBLANK(C1099),"FALTANTE",ABS((C1099-$W$5)/$X$5)&gt;1.96,"ATÍPICO",ABS((C1099-$W$5)/$X$5)&lt;=1.96,"NO ATÍPICO")</f>
        <v>NO ATÍPICO</v>
      </c>
      <c r="K1099" t="str" cm="1">
        <f t="array" ref="K1099">_xlfn.IFS(ISBLANK(I1099),"FALTANTE",ABS((I1099-$W$8)/$X$8)&gt;1.92,"ATÍPICO",ABS((I1099-$W$8)/$X$8)&lt;=1.92,"NO ATÍPICO")</f>
        <v>NO ATÍPICO</v>
      </c>
      <c r="L1099">
        <f t="shared" si="84"/>
        <v>1267616.3899999999</v>
      </c>
      <c r="M1099" t="str">
        <f t="shared" si="84"/>
        <v>ASALARIADO</v>
      </c>
      <c r="N1099">
        <f t="shared" si="85"/>
        <v>35</v>
      </c>
      <c r="O1099" s="19" t="str">
        <f t="shared" si="86"/>
        <v>1200k+</v>
      </c>
      <c r="P1099" s="19" t="str">
        <f t="shared" si="87"/>
        <v>26-35</v>
      </c>
    </row>
    <row r="1100" spans="1:16" x14ac:dyDescent="0.25">
      <c r="A1100">
        <v>1099</v>
      </c>
      <c r="B1100" t="s">
        <v>9</v>
      </c>
      <c r="C1100">
        <v>377999</v>
      </c>
      <c r="D1100" t="s">
        <v>18</v>
      </c>
      <c r="E1100" t="s">
        <v>16</v>
      </c>
      <c r="F1100" t="s">
        <v>12</v>
      </c>
      <c r="G1100" t="s">
        <v>13</v>
      </c>
      <c r="H1100" t="s">
        <v>12</v>
      </c>
      <c r="I1100">
        <v>37</v>
      </c>
      <c r="J1100" t="str" cm="1">
        <f t="array" ref="J1100">_xlfn.IFS(ISBLANK(C1100),"FALTANTE",ABS((C1100-$W$5)/$X$5)&gt;1.96,"ATÍPICO",ABS((C1100-$W$5)/$X$5)&lt;=1.96,"NO ATÍPICO")</f>
        <v>NO ATÍPICO</v>
      </c>
      <c r="K1100" t="str" cm="1">
        <f t="array" ref="K1100">_xlfn.IFS(ISBLANK(I1100),"FALTANTE",ABS((I1100-$W$8)/$X$8)&gt;1.92,"ATÍPICO",ABS((I1100-$W$8)/$X$8)&lt;=1.92,"NO ATÍPICO")</f>
        <v>NO ATÍPICO</v>
      </c>
      <c r="L1100">
        <f t="shared" si="84"/>
        <v>377999</v>
      </c>
      <c r="M1100" t="str">
        <f t="shared" si="84"/>
        <v>TRABAJADOR INDEPENDIENTE</v>
      </c>
      <c r="N1100">
        <f t="shared" si="85"/>
        <v>37</v>
      </c>
      <c r="O1100" s="19" t="str">
        <f t="shared" si="86"/>
        <v>300k–600k</v>
      </c>
      <c r="P1100" s="19" t="str">
        <f t="shared" si="87"/>
        <v>36-45</v>
      </c>
    </row>
    <row r="1101" spans="1:16" x14ac:dyDescent="0.25">
      <c r="A1101">
        <v>1100</v>
      </c>
      <c r="B1101" t="s">
        <v>15</v>
      </c>
      <c r="C1101">
        <v>297044</v>
      </c>
      <c r="D1101" t="s">
        <v>17</v>
      </c>
      <c r="E1101" t="s">
        <v>16</v>
      </c>
      <c r="F1101" t="s">
        <v>12</v>
      </c>
      <c r="G1101" t="s">
        <v>13</v>
      </c>
      <c r="H1101" t="s">
        <v>13</v>
      </c>
      <c r="I1101">
        <v>53</v>
      </c>
      <c r="J1101" t="str" cm="1">
        <f t="array" ref="J1101">_xlfn.IFS(ISBLANK(C1101),"FALTANTE",ABS((C1101-$W$5)/$X$5)&gt;1.96,"ATÍPICO",ABS((C1101-$W$5)/$X$5)&lt;=1.96,"NO ATÍPICO")</f>
        <v>NO ATÍPICO</v>
      </c>
      <c r="K1101" t="str" cm="1">
        <f t="array" ref="K1101">_xlfn.IFS(ISBLANK(I1101),"FALTANTE",ABS((I1101-$W$8)/$X$8)&gt;1.92,"ATÍPICO",ABS((I1101-$W$8)/$X$8)&lt;=1.92,"NO ATÍPICO")</f>
        <v>NO ATÍPICO</v>
      </c>
      <c r="L1101">
        <f t="shared" si="84"/>
        <v>297044</v>
      </c>
      <c r="M1101" t="str">
        <f t="shared" si="84"/>
        <v>ASEGURADO VOLUNTARIO</v>
      </c>
      <c r="N1101">
        <f t="shared" si="85"/>
        <v>53</v>
      </c>
      <c r="O1101" s="19" t="str">
        <f t="shared" si="86"/>
        <v>0–300k</v>
      </c>
      <c r="P1101" s="19" t="str">
        <f t="shared" si="87"/>
        <v>46-55</v>
      </c>
    </row>
    <row r="1102" spans="1:16" x14ac:dyDescent="0.25">
      <c r="A1102">
        <v>1101</v>
      </c>
      <c r="B1102" t="s">
        <v>9</v>
      </c>
      <c r="C1102">
        <v>278030</v>
      </c>
      <c r="D1102" t="s">
        <v>19</v>
      </c>
      <c r="E1102" t="s">
        <v>16</v>
      </c>
      <c r="F1102" t="s">
        <v>12</v>
      </c>
      <c r="G1102" t="s">
        <v>13</v>
      </c>
      <c r="H1102" t="s">
        <v>13</v>
      </c>
      <c r="I1102">
        <v>24</v>
      </c>
      <c r="J1102" t="str" cm="1">
        <f t="array" ref="J1102">_xlfn.IFS(ISBLANK(C1102),"FALTANTE",ABS((C1102-$W$5)/$X$5)&gt;1.96,"ATÍPICO",ABS((C1102-$W$5)/$X$5)&lt;=1.96,"NO ATÍPICO")</f>
        <v>NO ATÍPICO</v>
      </c>
      <c r="K1102" t="str" cm="1">
        <f t="array" ref="K1102">_xlfn.IFS(ISBLANK(I1102),"FALTANTE",ABS((I1102-$W$8)/$X$8)&gt;1.92,"ATÍPICO",ABS((I1102-$W$8)/$X$8)&lt;=1.92,"NO ATÍPICO")</f>
        <v>NO ATÍPICO</v>
      </c>
      <c r="L1102">
        <f t="shared" si="84"/>
        <v>278030</v>
      </c>
      <c r="M1102" t="str">
        <f t="shared" si="84"/>
        <v>CONVENIOS ESPECIALES DE TRABAJADORES INDEPENDIENTES</v>
      </c>
      <c r="N1102">
        <f t="shared" si="85"/>
        <v>24</v>
      </c>
      <c r="O1102" s="19" t="str">
        <f t="shared" si="86"/>
        <v>0–300k</v>
      </c>
      <c r="P1102" s="19" t="str">
        <f t="shared" si="87"/>
        <v>18-25</v>
      </c>
    </row>
    <row r="1103" spans="1:16" x14ac:dyDescent="0.25">
      <c r="A1103">
        <v>1102</v>
      </c>
      <c r="B1103" t="s">
        <v>9</v>
      </c>
      <c r="C1103">
        <v>297045</v>
      </c>
      <c r="D1103" t="s">
        <v>18</v>
      </c>
      <c r="E1103" t="s">
        <v>16</v>
      </c>
      <c r="F1103" t="s">
        <v>12</v>
      </c>
      <c r="G1103" t="s">
        <v>13</v>
      </c>
      <c r="H1103" t="s">
        <v>12</v>
      </c>
      <c r="I1103">
        <v>33</v>
      </c>
      <c r="J1103" t="str" cm="1">
        <f t="array" ref="J1103">_xlfn.IFS(ISBLANK(C1103),"FALTANTE",ABS((C1103-$W$5)/$X$5)&gt;1.96,"ATÍPICO",ABS((C1103-$W$5)/$X$5)&lt;=1.96,"NO ATÍPICO")</f>
        <v>NO ATÍPICO</v>
      </c>
      <c r="K1103" t="str" cm="1">
        <f t="array" ref="K1103">_xlfn.IFS(ISBLANK(I1103),"FALTANTE",ABS((I1103-$W$8)/$X$8)&gt;1.92,"ATÍPICO",ABS((I1103-$W$8)/$X$8)&lt;=1.92,"NO ATÍPICO")</f>
        <v>NO ATÍPICO</v>
      </c>
      <c r="L1103">
        <f t="shared" si="84"/>
        <v>297045</v>
      </c>
      <c r="M1103" t="str">
        <f t="shared" si="84"/>
        <v>TRABAJADOR INDEPENDIENTE</v>
      </c>
      <c r="N1103">
        <f t="shared" si="85"/>
        <v>33</v>
      </c>
      <c r="O1103" s="19" t="str">
        <f t="shared" si="86"/>
        <v>0–300k</v>
      </c>
      <c r="P1103" s="19" t="str">
        <f t="shared" si="87"/>
        <v>26-35</v>
      </c>
    </row>
    <row r="1104" spans="1:16" x14ac:dyDescent="0.25">
      <c r="A1104">
        <v>1103</v>
      </c>
      <c r="B1104" t="s">
        <v>9</v>
      </c>
      <c r="C1104">
        <v>239460</v>
      </c>
      <c r="D1104" t="s">
        <v>10</v>
      </c>
      <c r="E1104" t="s">
        <v>16</v>
      </c>
      <c r="F1104" t="s">
        <v>12</v>
      </c>
      <c r="G1104" t="s">
        <v>13</v>
      </c>
      <c r="H1104" t="s">
        <v>13</v>
      </c>
      <c r="I1104">
        <v>26</v>
      </c>
      <c r="J1104" t="str" cm="1">
        <f t="array" ref="J1104">_xlfn.IFS(ISBLANK(C1104),"FALTANTE",ABS((C1104-$W$5)/$X$5)&gt;1.96,"ATÍPICO",ABS((C1104-$W$5)/$X$5)&lt;=1.96,"NO ATÍPICO")</f>
        <v>NO ATÍPICO</v>
      </c>
      <c r="K1104" t="str" cm="1">
        <f t="array" ref="K1104">_xlfn.IFS(ISBLANK(I1104),"FALTANTE",ABS((I1104-$W$8)/$X$8)&gt;1.92,"ATÍPICO",ABS((I1104-$W$8)/$X$8)&lt;=1.92,"NO ATÍPICO")</f>
        <v>NO ATÍPICO</v>
      </c>
      <c r="L1104">
        <f t="shared" si="84"/>
        <v>239460</v>
      </c>
      <c r="M1104" t="str">
        <f t="shared" si="84"/>
        <v>ASALARIADO</v>
      </c>
      <c r="N1104">
        <f t="shared" si="85"/>
        <v>26</v>
      </c>
      <c r="O1104" s="19" t="str">
        <f t="shared" si="86"/>
        <v>0–300k</v>
      </c>
      <c r="P1104" s="19" t="str">
        <f t="shared" si="87"/>
        <v>26-35</v>
      </c>
    </row>
    <row r="1105" spans="1:16" x14ac:dyDescent="0.25">
      <c r="A1105">
        <v>1104</v>
      </c>
      <c r="B1105" t="s">
        <v>9</v>
      </c>
      <c r="C1105">
        <v>331181</v>
      </c>
      <c r="D1105" t="s">
        <v>18</v>
      </c>
      <c r="E1105" t="s">
        <v>16</v>
      </c>
      <c r="F1105" t="s">
        <v>12</v>
      </c>
      <c r="G1105" t="s">
        <v>12</v>
      </c>
      <c r="H1105" t="s">
        <v>12</v>
      </c>
      <c r="I1105">
        <v>30</v>
      </c>
      <c r="J1105" t="str" cm="1">
        <f t="array" ref="J1105">_xlfn.IFS(ISBLANK(C1105),"FALTANTE",ABS((C1105-$W$5)/$X$5)&gt;1.96,"ATÍPICO",ABS((C1105-$W$5)/$X$5)&lt;=1.96,"NO ATÍPICO")</f>
        <v>NO ATÍPICO</v>
      </c>
      <c r="K1105" t="str" cm="1">
        <f t="array" ref="K1105">_xlfn.IFS(ISBLANK(I1105),"FALTANTE",ABS((I1105-$W$8)/$X$8)&gt;1.92,"ATÍPICO",ABS((I1105-$W$8)/$X$8)&lt;=1.92,"NO ATÍPICO")</f>
        <v>NO ATÍPICO</v>
      </c>
      <c r="L1105">
        <f t="shared" si="84"/>
        <v>331181</v>
      </c>
      <c r="M1105" t="str">
        <f t="shared" si="84"/>
        <v>TRABAJADOR INDEPENDIENTE</v>
      </c>
      <c r="N1105">
        <f t="shared" si="85"/>
        <v>30</v>
      </c>
      <c r="O1105" s="19" t="str">
        <f t="shared" si="86"/>
        <v>300k–600k</v>
      </c>
      <c r="P1105" s="19" t="str">
        <f t="shared" si="87"/>
        <v>26-35</v>
      </c>
    </row>
    <row r="1106" spans="1:16" x14ac:dyDescent="0.25">
      <c r="A1106">
        <v>1105</v>
      </c>
      <c r="B1106" t="s">
        <v>9</v>
      </c>
      <c r="C1106">
        <v>580840.93999999994</v>
      </c>
      <c r="D1106" t="s">
        <v>10</v>
      </c>
      <c r="E1106" t="s">
        <v>16</v>
      </c>
      <c r="F1106" t="s">
        <v>12</v>
      </c>
      <c r="G1106" t="s">
        <v>13</v>
      </c>
      <c r="H1106" t="s">
        <v>13</v>
      </c>
      <c r="I1106">
        <v>37</v>
      </c>
      <c r="J1106" t="str" cm="1">
        <f t="array" ref="J1106">_xlfn.IFS(ISBLANK(C1106),"FALTANTE",ABS((C1106-$W$5)/$X$5)&gt;1.96,"ATÍPICO",ABS((C1106-$W$5)/$X$5)&lt;=1.96,"NO ATÍPICO")</f>
        <v>NO ATÍPICO</v>
      </c>
      <c r="K1106" t="str" cm="1">
        <f t="array" ref="K1106">_xlfn.IFS(ISBLANK(I1106),"FALTANTE",ABS((I1106-$W$8)/$X$8)&gt;1.92,"ATÍPICO",ABS((I1106-$W$8)/$X$8)&lt;=1.92,"NO ATÍPICO")</f>
        <v>NO ATÍPICO</v>
      </c>
      <c r="L1106">
        <f t="shared" si="84"/>
        <v>580840.93999999994</v>
      </c>
      <c r="M1106" t="str">
        <f t="shared" si="84"/>
        <v>ASALARIADO</v>
      </c>
      <c r="N1106">
        <f t="shared" si="85"/>
        <v>37</v>
      </c>
      <c r="O1106" s="19" t="str">
        <f t="shared" si="86"/>
        <v>300k–600k</v>
      </c>
      <c r="P1106" s="19" t="str">
        <f t="shared" si="87"/>
        <v>36-45</v>
      </c>
    </row>
    <row r="1107" spans="1:16" x14ac:dyDescent="0.25">
      <c r="A1107">
        <v>1106</v>
      </c>
      <c r="B1107" t="s">
        <v>15</v>
      </c>
      <c r="C1107">
        <v>850000</v>
      </c>
      <c r="D1107" t="s">
        <v>10</v>
      </c>
      <c r="E1107" t="s">
        <v>16</v>
      </c>
      <c r="F1107" t="s">
        <v>12</v>
      </c>
      <c r="G1107" t="s">
        <v>13</v>
      </c>
      <c r="H1107" t="s">
        <v>13</v>
      </c>
      <c r="I1107">
        <v>38</v>
      </c>
      <c r="J1107" t="str" cm="1">
        <f t="array" ref="J1107">_xlfn.IFS(ISBLANK(C1107),"FALTANTE",ABS((C1107-$W$5)/$X$5)&gt;1.96,"ATÍPICO",ABS((C1107-$W$5)/$X$5)&lt;=1.96,"NO ATÍPICO")</f>
        <v>NO ATÍPICO</v>
      </c>
      <c r="K1107" t="str" cm="1">
        <f t="array" ref="K1107">_xlfn.IFS(ISBLANK(I1107),"FALTANTE",ABS((I1107-$W$8)/$X$8)&gt;1.92,"ATÍPICO",ABS((I1107-$W$8)/$X$8)&lt;=1.92,"NO ATÍPICO")</f>
        <v>NO ATÍPICO</v>
      </c>
      <c r="L1107">
        <f t="shared" si="84"/>
        <v>850000</v>
      </c>
      <c r="M1107" t="str">
        <f t="shared" si="84"/>
        <v>ASALARIADO</v>
      </c>
      <c r="N1107">
        <f t="shared" si="85"/>
        <v>38</v>
      </c>
      <c r="O1107" s="19" t="str">
        <f t="shared" si="86"/>
        <v>600k–900k</v>
      </c>
      <c r="P1107" s="19" t="str">
        <f t="shared" si="87"/>
        <v>36-45</v>
      </c>
    </row>
    <row r="1108" spans="1:16" x14ac:dyDescent="0.25">
      <c r="A1108">
        <v>1107</v>
      </c>
      <c r="B1108" t="s">
        <v>9</v>
      </c>
      <c r="C1108">
        <v>367500</v>
      </c>
      <c r="D1108" t="s">
        <v>10</v>
      </c>
      <c r="E1108" t="s">
        <v>16</v>
      </c>
      <c r="F1108" t="s">
        <v>12</v>
      </c>
      <c r="G1108" t="s">
        <v>13</v>
      </c>
      <c r="H1108" t="s">
        <v>13</v>
      </c>
      <c r="I1108">
        <v>32</v>
      </c>
      <c r="J1108" t="str" cm="1">
        <f t="array" ref="J1108">_xlfn.IFS(ISBLANK(C1108),"FALTANTE",ABS((C1108-$W$5)/$X$5)&gt;1.96,"ATÍPICO",ABS((C1108-$W$5)/$X$5)&lt;=1.96,"NO ATÍPICO")</f>
        <v>NO ATÍPICO</v>
      </c>
      <c r="K1108" t="str" cm="1">
        <f t="array" ref="K1108">_xlfn.IFS(ISBLANK(I1108),"FALTANTE",ABS((I1108-$W$8)/$X$8)&gt;1.92,"ATÍPICO",ABS((I1108-$W$8)/$X$8)&lt;=1.92,"NO ATÍPICO")</f>
        <v>NO ATÍPICO</v>
      </c>
      <c r="L1108">
        <f t="shared" si="84"/>
        <v>367500</v>
      </c>
      <c r="M1108" t="str">
        <f t="shared" si="84"/>
        <v>ASALARIADO</v>
      </c>
      <c r="N1108">
        <f t="shared" si="85"/>
        <v>32</v>
      </c>
      <c r="O1108" s="19" t="str">
        <f t="shared" si="86"/>
        <v>300k–600k</v>
      </c>
      <c r="P1108" s="19" t="str">
        <f t="shared" si="87"/>
        <v>26-35</v>
      </c>
    </row>
    <row r="1109" spans="1:16" x14ac:dyDescent="0.25">
      <c r="A1109">
        <v>1108</v>
      </c>
      <c r="B1109" t="s">
        <v>9</v>
      </c>
      <c r="C1109">
        <v>594092</v>
      </c>
      <c r="D1109" t="s">
        <v>18</v>
      </c>
      <c r="E1109" t="s">
        <v>16</v>
      </c>
      <c r="F1109" t="s">
        <v>12</v>
      </c>
      <c r="G1109" t="s">
        <v>13</v>
      </c>
      <c r="H1109" t="s">
        <v>13</v>
      </c>
      <c r="I1109">
        <v>62</v>
      </c>
      <c r="J1109" t="str" cm="1">
        <f t="array" ref="J1109">_xlfn.IFS(ISBLANK(C1109),"FALTANTE",ABS((C1109-$W$5)/$X$5)&gt;1.96,"ATÍPICO",ABS((C1109-$W$5)/$X$5)&lt;=1.96,"NO ATÍPICO")</f>
        <v>NO ATÍPICO</v>
      </c>
      <c r="K1109" t="str" cm="1">
        <f t="array" ref="K1109">_xlfn.IFS(ISBLANK(I1109),"FALTANTE",ABS((I1109-$W$8)/$X$8)&gt;1.92,"ATÍPICO",ABS((I1109-$W$8)/$X$8)&lt;=1.92,"NO ATÍPICO")</f>
        <v>NO ATÍPICO</v>
      </c>
      <c r="L1109">
        <f t="shared" si="84"/>
        <v>594092</v>
      </c>
      <c r="M1109" t="str">
        <f t="shared" si="84"/>
        <v>TRABAJADOR INDEPENDIENTE</v>
      </c>
      <c r="N1109">
        <f t="shared" si="85"/>
        <v>62</v>
      </c>
      <c r="O1109" s="19" t="str">
        <f t="shared" si="86"/>
        <v>300k–600k</v>
      </c>
      <c r="P1109" s="19" t="str">
        <f t="shared" si="87"/>
        <v>56+</v>
      </c>
    </row>
    <row r="1110" spans="1:16" x14ac:dyDescent="0.25">
      <c r="A1110">
        <v>1109</v>
      </c>
      <c r="B1110" t="s">
        <v>15</v>
      </c>
      <c r="C1110">
        <v>297046</v>
      </c>
      <c r="D1110" t="s">
        <v>18</v>
      </c>
      <c r="E1110" t="s">
        <v>16</v>
      </c>
      <c r="F1110" t="s">
        <v>12</v>
      </c>
      <c r="G1110" t="s">
        <v>13</v>
      </c>
      <c r="H1110" t="s">
        <v>13</v>
      </c>
      <c r="I1110">
        <v>33</v>
      </c>
      <c r="J1110" t="str" cm="1">
        <f t="array" ref="J1110">_xlfn.IFS(ISBLANK(C1110),"FALTANTE",ABS((C1110-$W$5)/$X$5)&gt;1.96,"ATÍPICO",ABS((C1110-$W$5)/$X$5)&lt;=1.96,"NO ATÍPICO")</f>
        <v>NO ATÍPICO</v>
      </c>
      <c r="K1110" t="str" cm="1">
        <f t="array" ref="K1110">_xlfn.IFS(ISBLANK(I1110),"FALTANTE",ABS((I1110-$W$8)/$X$8)&gt;1.92,"ATÍPICO",ABS((I1110-$W$8)/$X$8)&lt;=1.92,"NO ATÍPICO")</f>
        <v>NO ATÍPICO</v>
      </c>
      <c r="L1110">
        <f t="shared" si="84"/>
        <v>297046</v>
      </c>
      <c r="M1110" t="str">
        <f t="shared" si="84"/>
        <v>TRABAJADOR INDEPENDIENTE</v>
      </c>
      <c r="N1110">
        <f t="shared" si="85"/>
        <v>33</v>
      </c>
      <c r="O1110" s="19" t="str">
        <f t="shared" si="86"/>
        <v>0–300k</v>
      </c>
      <c r="P1110" s="19" t="str">
        <f t="shared" si="87"/>
        <v>26-35</v>
      </c>
    </row>
    <row r="1111" spans="1:16" x14ac:dyDescent="0.25">
      <c r="A1111">
        <v>1110</v>
      </c>
      <c r="B1111" t="s">
        <v>9</v>
      </c>
      <c r="C1111">
        <v>429000</v>
      </c>
      <c r="D1111" t="s">
        <v>10</v>
      </c>
      <c r="E1111" t="s">
        <v>16</v>
      </c>
      <c r="F1111" t="s">
        <v>12</v>
      </c>
      <c r="G1111" t="s">
        <v>12</v>
      </c>
      <c r="H1111" t="s">
        <v>13</v>
      </c>
      <c r="I1111">
        <v>53</v>
      </c>
      <c r="J1111" t="str" cm="1">
        <f t="array" ref="J1111">_xlfn.IFS(ISBLANK(C1111),"FALTANTE",ABS((C1111-$W$5)/$X$5)&gt;1.96,"ATÍPICO",ABS((C1111-$W$5)/$X$5)&lt;=1.96,"NO ATÍPICO")</f>
        <v>NO ATÍPICO</v>
      </c>
      <c r="K1111" t="str" cm="1">
        <f t="array" ref="K1111">_xlfn.IFS(ISBLANK(I1111),"FALTANTE",ABS((I1111-$W$8)/$X$8)&gt;1.92,"ATÍPICO",ABS((I1111-$W$8)/$X$8)&lt;=1.92,"NO ATÍPICO")</f>
        <v>NO ATÍPICO</v>
      </c>
      <c r="L1111">
        <f t="shared" si="84"/>
        <v>429000</v>
      </c>
      <c r="M1111" t="str">
        <f t="shared" si="84"/>
        <v>ASALARIADO</v>
      </c>
      <c r="N1111">
        <f t="shared" si="85"/>
        <v>53</v>
      </c>
      <c r="O1111" s="19" t="str">
        <f t="shared" si="86"/>
        <v>300k–600k</v>
      </c>
      <c r="P1111" s="19" t="str">
        <f t="shared" si="87"/>
        <v>46-55</v>
      </c>
    </row>
    <row r="1112" spans="1:16" x14ac:dyDescent="0.25">
      <c r="A1112">
        <v>1111</v>
      </c>
      <c r="B1112" t="s">
        <v>9</v>
      </c>
      <c r="C1112">
        <v>460742.68</v>
      </c>
      <c r="D1112" t="s">
        <v>10</v>
      </c>
      <c r="E1112" t="s">
        <v>16</v>
      </c>
      <c r="F1112" t="s">
        <v>12</v>
      </c>
      <c r="G1112" t="s">
        <v>13</v>
      </c>
      <c r="H1112" t="s">
        <v>13</v>
      </c>
      <c r="I1112">
        <v>34</v>
      </c>
      <c r="J1112" t="str" cm="1">
        <f t="array" ref="J1112">_xlfn.IFS(ISBLANK(C1112),"FALTANTE",ABS((C1112-$W$5)/$X$5)&gt;1.96,"ATÍPICO",ABS((C1112-$W$5)/$X$5)&lt;=1.96,"NO ATÍPICO")</f>
        <v>NO ATÍPICO</v>
      </c>
      <c r="K1112" t="str" cm="1">
        <f t="array" ref="K1112">_xlfn.IFS(ISBLANK(I1112),"FALTANTE",ABS((I1112-$W$8)/$X$8)&gt;1.92,"ATÍPICO",ABS((I1112-$W$8)/$X$8)&lt;=1.92,"NO ATÍPICO")</f>
        <v>NO ATÍPICO</v>
      </c>
      <c r="L1112">
        <f t="shared" si="84"/>
        <v>460742.68</v>
      </c>
      <c r="M1112" t="str">
        <f t="shared" si="84"/>
        <v>ASALARIADO</v>
      </c>
      <c r="N1112">
        <f t="shared" si="85"/>
        <v>34</v>
      </c>
      <c r="O1112" s="19" t="str">
        <f t="shared" si="86"/>
        <v>300k–600k</v>
      </c>
      <c r="P1112" s="19" t="str">
        <f t="shared" si="87"/>
        <v>26-35</v>
      </c>
    </row>
    <row r="1113" spans="1:16" x14ac:dyDescent="0.25">
      <c r="A1113">
        <v>1112</v>
      </c>
      <c r="B1113" t="s">
        <v>15</v>
      </c>
      <c r="C1113">
        <v>469397.06</v>
      </c>
      <c r="D1113" t="s">
        <v>10</v>
      </c>
      <c r="E1113" t="s">
        <v>16</v>
      </c>
      <c r="F1113" t="s">
        <v>12</v>
      </c>
      <c r="G1113" t="s">
        <v>13</v>
      </c>
      <c r="H1113" t="s">
        <v>13</v>
      </c>
      <c r="I1113">
        <v>21</v>
      </c>
      <c r="J1113" t="str" cm="1">
        <f t="array" ref="J1113">_xlfn.IFS(ISBLANK(C1113),"FALTANTE",ABS((C1113-$W$5)/$X$5)&gt;1.96,"ATÍPICO",ABS((C1113-$W$5)/$X$5)&lt;=1.96,"NO ATÍPICO")</f>
        <v>NO ATÍPICO</v>
      </c>
      <c r="K1113" t="str" cm="1">
        <f t="array" ref="K1113">_xlfn.IFS(ISBLANK(I1113),"FALTANTE",ABS((I1113-$W$8)/$X$8)&gt;1.92,"ATÍPICO",ABS((I1113-$W$8)/$X$8)&lt;=1.92,"NO ATÍPICO")</f>
        <v>NO ATÍPICO</v>
      </c>
      <c r="L1113">
        <f t="shared" si="84"/>
        <v>469397.06</v>
      </c>
      <c r="M1113" t="str">
        <f t="shared" si="84"/>
        <v>ASALARIADO</v>
      </c>
      <c r="N1113">
        <f t="shared" si="85"/>
        <v>21</v>
      </c>
      <c r="O1113" s="19" t="str">
        <f t="shared" si="86"/>
        <v>300k–600k</v>
      </c>
      <c r="P1113" s="19" t="str">
        <f t="shared" si="87"/>
        <v>18-25</v>
      </c>
    </row>
    <row r="1114" spans="1:16" x14ac:dyDescent="0.25">
      <c r="A1114">
        <v>1113</v>
      </c>
      <c r="B1114" t="s">
        <v>9</v>
      </c>
      <c r="C1114">
        <v>509509</v>
      </c>
      <c r="D1114" t="s">
        <v>18</v>
      </c>
      <c r="E1114" t="s">
        <v>16</v>
      </c>
      <c r="F1114" t="s">
        <v>12</v>
      </c>
      <c r="G1114" t="s">
        <v>13</v>
      </c>
      <c r="H1114" t="s">
        <v>12</v>
      </c>
      <c r="I1114">
        <v>48</v>
      </c>
      <c r="J1114" t="str" cm="1">
        <f t="array" ref="J1114">_xlfn.IFS(ISBLANK(C1114),"FALTANTE",ABS((C1114-$W$5)/$X$5)&gt;1.96,"ATÍPICO",ABS((C1114-$W$5)/$X$5)&lt;=1.96,"NO ATÍPICO")</f>
        <v>NO ATÍPICO</v>
      </c>
      <c r="K1114" t="str" cm="1">
        <f t="array" ref="K1114">_xlfn.IFS(ISBLANK(I1114),"FALTANTE",ABS((I1114-$W$8)/$X$8)&gt;1.92,"ATÍPICO",ABS((I1114-$W$8)/$X$8)&lt;=1.92,"NO ATÍPICO")</f>
        <v>NO ATÍPICO</v>
      </c>
      <c r="L1114">
        <f t="shared" si="84"/>
        <v>509509</v>
      </c>
      <c r="M1114" t="str">
        <f t="shared" si="84"/>
        <v>TRABAJADOR INDEPENDIENTE</v>
      </c>
      <c r="N1114">
        <f t="shared" si="85"/>
        <v>48</v>
      </c>
      <c r="O1114" s="19" t="str">
        <f t="shared" si="86"/>
        <v>300k–600k</v>
      </c>
      <c r="P1114" s="19" t="str">
        <f t="shared" si="87"/>
        <v>46-55</v>
      </c>
    </row>
    <row r="1115" spans="1:16" x14ac:dyDescent="0.25">
      <c r="A1115">
        <v>1114</v>
      </c>
      <c r="B1115" t="s">
        <v>15</v>
      </c>
      <c r="C1115">
        <v>297046</v>
      </c>
      <c r="D1115" t="s">
        <v>17</v>
      </c>
      <c r="E1115" t="s">
        <v>16</v>
      </c>
      <c r="F1115" t="s">
        <v>12</v>
      </c>
      <c r="G1115" t="s">
        <v>13</v>
      </c>
      <c r="H1115" t="s">
        <v>13</v>
      </c>
      <c r="I1115">
        <v>43</v>
      </c>
      <c r="J1115" t="str" cm="1">
        <f t="array" ref="J1115">_xlfn.IFS(ISBLANK(C1115),"FALTANTE",ABS((C1115-$W$5)/$X$5)&gt;1.96,"ATÍPICO",ABS((C1115-$W$5)/$X$5)&lt;=1.96,"NO ATÍPICO")</f>
        <v>NO ATÍPICO</v>
      </c>
      <c r="K1115" t="str" cm="1">
        <f t="array" ref="K1115">_xlfn.IFS(ISBLANK(I1115),"FALTANTE",ABS((I1115-$W$8)/$X$8)&gt;1.92,"ATÍPICO",ABS((I1115-$W$8)/$X$8)&lt;=1.92,"NO ATÍPICO")</f>
        <v>NO ATÍPICO</v>
      </c>
      <c r="L1115">
        <f t="shared" si="84"/>
        <v>297046</v>
      </c>
      <c r="M1115" t="str">
        <f t="shared" si="84"/>
        <v>ASEGURADO VOLUNTARIO</v>
      </c>
      <c r="N1115">
        <f t="shared" si="85"/>
        <v>43</v>
      </c>
      <c r="O1115" s="19" t="str">
        <f t="shared" si="86"/>
        <v>0–300k</v>
      </c>
      <c r="P1115" s="19" t="str">
        <f t="shared" si="87"/>
        <v>36-45</v>
      </c>
    </row>
    <row r="1116" spans="1:16" x14ac:dyDescent="0.25">
      <c r="A1116">
        <v>1115</v>
      </c>
      <c r="B1116" t="s">
        <v>15</v>
      </c>
      <c r="C1116">
        <v>326036</v>
      </c>
      <c r="D1116" t="s">
        <v>10</v>
      </c>
      <c r="E1116" t="s">
        <v>16</v>
      </c>
      <c r="F1116" t="s">
        <v>12</v>
      </c>
      <c r="G1116" t="s">
        <v>13</v>
      </c>
      <c r="H1116" t="s">
        <v>12</v>
      </c>
      <c r="I1116">
        <v>54</v>
      </c>
      <c r="J1116" t="str" cm="1">
        <f t="array" ref="J1116">_xlfn.IFS(ISBLANK(C1116),"FALTANTE",ABS((C1116-$W$5)/$X$5)&gt;1.96,"ATÍPICO",ABS((C1116-$W$5)/$X$5)&lt;=1.96,"NO ATÍPICO")</f>
        <v>NO ATÍPICO</v>
      </c>
      <c r="K1116" t="str" cm="1">
        <f t="array" ref="K1116">_xlfn.IFS(ISBLANK(I1116),"FALTANTE",ABS((I1116-$W$8)/$X$8)&gt;1.92,"ATÍPICO",ABS((I1116-$W$8)/$X$8)&lt;=1.92,"NO ATÍPICO")</f>
        <v>NO ATÍPICO</v>
      </c>
      <c r="L1116">
        <f t="shared" si="84"/>
        <v>326036</v>
      </c>
      <c r="M1116" t="str">
        <f t="shared" si="84"/>
        <v>ASALARIADO</v>
      </c>
      <c r="N1116">
        <f t="shared" si="85"/>
        <v>54</v>
      </c>
      <c r="O1116" s="19" t="str">
        <f t="shared" si="86"/>
        <v>300k–600k</v>
      </c>
      <c r="P1116" s="19" t="str">
        <f t="shared" si="87"/>
        <v>46-55</v>
      </c>
    </row>
    <row r="1117" spans="1:16" x14ac:dyDescent="0.25">
      <c r="A1117">
        <v>1116</v>
      </c>
      <c r="B1117" t="s">
        <v>9</v>
      </c>
      <c r="C1117">
        <v>297046</v>
      </c>
      <c r="D1117" t="s">
        <v>18</v>
      </c>
      <c r="E1117" t="s">
        <v>16</v>
      </c>
      <c r="F1117" t="s">
        <v>12</v>
      </c>
      <c r="G1117" t="s">
        <v>13</v>
      </c>
      <c r="H1117" t="s">
        <v>13</v>
      </c>
      <c r="I1117">
        <v>53</v>
      </c>
      <c r="J1117" t="str" cm="1">
        <f t="array" ref="J1117">_xlfn.IFS(ISBLANK(C1117),"FALTANTE",ABS((C1117-$W$5)/$X$5)&gt;1.96,"ATÍPICO",ABS((C1117-$W$5)/$X$5)&lt;=1.96,"NO ATÍPICO")</f>
        <v>NO ATÍPICO</v>
      </c>
      <c r="K1117" t="str" cm="1">
        <f t="array" ref="K1117">_xlfn.IFS(ISBLANK(I1117),"FALTANTE",ABS((I1117-$W$8)/$X$8)&gt;1.92,"ATÍPICO",ABS((I1117-$W$8)/$X$8)&lt;=1.92,"NO ATÍPICO")</f>
        <v>NO ATÍPICO</v>
      </c>
      <c r="L1117">
        <f t="shared" si="84"/>
        <v>297046</v>
      </c>
      <c r="M1117" t="str">
        <f t="shared" si="84"/>
        <v>TRABAJADOR INDEPENDIENTE</v>
      </c>
      <c r="N1117">
        <f t="shared" si="85"/>
        <v>53</v>
      </c>
      <c r="O1117" s="19" t="str">
        <f t="shared" si="86"/>
        <v>0–300k</v>
      </c>
      <c r="P1117" s="19" t="str">
        <f t="shared" si="87"/>
        <v>46-55</v>
      </c>
    </row>
    <row r="1118" spans="1:16" x14ac:dyDescent="0.25">
      <c r="A1118">
        <v>1117</v>
      </c>
      <c r="B1118" t="s">
        <v>9</v>
      </c>
      <c r="C1118">
        <v>425000</v>
      </c>
      <c r="D1118" t="s">
        <v>10</v>
      </c>
      <c r="E1118" t="s">
        <v>16</v>
      </c>
      <c r="F1118" t="s">
        <v>12</v>
      </c>
      <c r="G1118" t="s">
        <v>13</v>
      </c>
      <c r="H1118" t="s">
        <v>13</v>
      </c>
      <c r="I1118">
        <v>20</v>
      </c>
      <c r="J1118" t="str" cm="1">
        <f t="array" ref="J1118">_xlfn.IFS(ISBLANK(C1118),"FALTANTE",ABS((C1118-$W$5)/$X$5)&gt;1.96,"ATÍPICO",ABS((C1118-$W$5)/$X$5)&lt;=1.96,"NO ATÍPICO")</f>
        <v>NO ATÍPICO</v>
      </c>
      <c r="K1118" t="str" cm="1">
        <f t="array" ref="K1118">_xlfn.IFS(ISBLANK(I1118),"FALTANTE",ABS((I1118-$W$8)/$X$8)&gt;1.92,"ATÍPICO",ABS((I1118-$W$8)/$X$8)&lt;=1.92,"NO ATÍPICO")</f>
        <v>NO ATÍPICO</v>
      </c>
      <c r="L1118">
        <f t="shared" si="84"/>
        <v>425000</v>
      </c>
      <c r="M1118" t="str">
        <f t="shared" si="84"/>
        <v>ASALARIADO</v>
      </c>
      <c r="N1118">
        <f t="shared" si="85"/>
        <v>20</v>
      </c>
      <c r="O1118" s="19" t="str">
        <f t="shared" si="86"/>
        <v>300k–600k</v>
      </c>
      <c r="P1118" s="19" t="str">
        <f t="shared" si="87"/>
        <v>18-25</v>
      </c>
    </row>
    <row r="1119" spans="1:16" x14ac:dyDescent="0.25">
      <c r="A1119">
        <v>1118</v>
      </c>
      <c r="B1119" t="s">
        <v>9</v>
      </c>
      <c r="C1119">
        <v>1427100.52</v>
      </c>
      <c r="D1119" t="s">
        <v>10</v>
      </c>
      <c r="E1119" t="s">
        <v>11</v>
      </c>
      <c r="F1119" t="s">
        <v>12</v>
      </c>
      <c r="G1119" t="s">
        <v>13</v>
      </c>
      <c r="H1119" t="s">
        <v>13</v>
      </c>
      <c r="I1119">
        <v>44</v>
      </c>
      <c r="J1119" t="str" cm="1">
        <f t="array" ref="J1119">_xlfn.IFS(ISBLANK(C1119),"FALTANTE",ABS((C1119-$W$5)/$X$5)&gt;1.96,"ATÍPICO",ABS((C1119-$W$5)/$X$5)&lt;=1.96,"NO ATÍPICO")</f>
        <v>NO ATÍPICO</v>
      </c>
      <c r="K1119" t="str" cm="1">
        <f t="array" ref="K1119">_xlfn.IFS(ISBLANK(I1119),"FALTANTE",ABS((I1119-$W$8)/$X$8)&gt;1.92,"ATÍPICO",ABS((I1119-$W$8)/$X$8)&lt;=1.92,"NO ATÍPICO")</f>
        <v>NO ATÍPICO</v>
      </c>
      <c r="L1119">
        <f t="shared" si="84"/>
        <v>1427100.52</v>
      </c>
      <c r="M1119" t="str">
        <f t="shared" si="84"/>
        <v>ASALARIADO</v>
      </c>
      <c r="N1119">
        <f t="shared" si="85"/>
        <v>44</v>
      </c>
      <c r="O1119" s="19" t="str">
        <f t="shared" si="86"/>
        <v>1200k+</v>
      </c>
      <c r="P1119" s="19" t="str">
        <f t="shared" si="87"/>
        <v>36-45</v>
      </c>
    </row>
    <row r="1120" spans="1:16" x14ac:dyDescent="0.25">
      <c r="A1120">
        <v>1119</v>
      </c>
      <c r="B1120" t="s">
        <v>9</v>
      </c>
      <c r="C1120">
        <v>321287</v>
      </c>
      <c r="D1120" t="s">
        <v>17</v>
      </c>
      <c r="E1120" t="s">
        <v>16</v>
      </c>
      <c r="F1120" t="s">
        <v>12</v>
      </c>
      <c r="G1120" t="s">
        <v>13</v>
      </c>
      <c r="H1120" t="s">
        <v>13</v>
      </c>
      <c r="I1120">
        <v>54</v>
      </c>
      <c r="J1120" t="str" cm="1">
        <f t="array" ref="J1120">_xlfn.IFS(ISBLANK(C1120),"FALTANTE",ABS((C1120-$W$5)/$X$5)&gt;1.96,"ATÍPICO",ABS((C1120-$W$5)/$X$5)&lt;=1.96,"NO ATÍPICO")</f>
        <v>NO ATÍPICO</v>
      </c>
      <c r="K1120" t="str" cm="1">
        <f t="array" ref="K1120">_xlfn.IFS(ISBLANK(I1120),"FALTANTE",ABS((I1120-$W$8)/$X$8)&gt;1.92,"ATÍPICO",ABS((I1120-$W$8)/$X$8)&lt;=1.92,"NO ATÍPICO")</f>
        <v>NO ATÍPICO</v>
      </c>
      <c r="L1120">
        <f t="shared" si="84"/>
        <v>321287</v>
      </c>
      <c r="M1120" t="str">
        <f t="shared" si="84"/>
        <v>ASEGURADO VOLUNTARIO</v>
      </c>
      <c r="N1120">
        <f t="shared" si="85"/>
        <v>54</v>
      </c>
      <c r="O1120" s="19" t="str">
        <f t="shared" si="86"/>
        <v>300k–600k</v>
      </c>
      <c r="P1120" s="19" t="str">
        <f t="shared" si="87"/>
        <v>46-55</v>
      </c>
    </row>
    <row r="1121" spans="1:16" x14ac:dyDescent="0.25">
      <c r="A1121">
        <v>1120</v>
      </c>
      <c r="B1121" t="s">
        <v>9</v>
      </c>
      <c r="C1121">
        <v>610142</v>
      </c>
      <c r="D1121" t="s">
        <v>18</v>
      </c>
      <c r="E1121" t="s">
        <v>16</v>
      </c>
      <c r="F1121" t="s">
        <v>12</v>
      </c>
      <c r="G1121" t="s">
        <v>13</v>
      </c>
      <c r="H1121" t="s">
        <v>13</v>
      </c>
      <c r="I1121">
        <v>61</v>
      </c>
      <c r="J1121" t="str" cm="1">
        <f t="array" ref="J1121">_xlfn.IFS(ISBLANK(C1121),"FALTANTE",ABS((C1121-$W$5)/$X$5)&gt;1.96,"ATÍPICO",ABS((C1121-$W$5)/$X$5)&lt;=1.96,"NO ATÍPICO")</f>
        <v>NO ATÍPICO</v>
      </c>
      <c r="K1121" t="str" cm="1">
        <f t="array" ref="K1121">_xlfn.IFS(ISBLANK(I1121),"FALTANTE",ABS((I1121-$W$8)/$X$8)&gt;1.92,"ATÍPICO",ABS((I1121-$W$8)/$X$8)&lt;=1.92,"NO ATÍPICO")</f>
        <v>NO ATÍPICO</v>
      </c>
      <c r="L1121">
        <f t="shared" si="84"/>
        <v>610142</v>
      </c>
      <c r="M1121" t="str">
        <f t="shared" si="84"/>
        <v>TRABAJADOR INDEPENDIENTE</v>
      </c>
      <c r="N1121">
        <f t="shared" si="85"/>
        <v>61</v>
      </c>
      <c r="O1121" s="19" t="str">
        <f t="shared" si="86"/>
        <v>600k–900k</v>
      </c>
      <c r="P1121" s="19" t="str">
        <f t="shared" si="87"/>
        <v>56+</v>
      </c>
    </row>
    <row r="1122" spans="1:16" x14ac:dyDescent="0.25">
      <c r="A1122">
        <v>1121</v>
      </c>
      <c r="B1122" t="s">
        <v>9</v>
      </c>
      <c r="C1122">
        <v>1602501</v>
      </c>
      <c r="D1122" t="s">
        <v>14</v>
      </c>
      <c r="E1122" t="s">
        <v>11</v>
      </c>
      <c r="F1122" t="s">
        <v>12</v>
      </c>
      <c r="G1122" t="s">
        <v>13</v>
      </c>
      <c r="H1122" t="s">
        <v>13</v>
      </c>
      <c r="I1122">
        <v>60</v>
      </c>
      <c r="J1122" t="str" cm="1">
        <f t="array" ref="J1122">_xlfn.IFS(ISBLANK(C1122),"FALTANTE",ABS((C1122-$W$5)/$X$5)&gt;1.96,"ATÍPICO",ABS((C1122-$W$5)/$X$5)&lt;=1.96,"NO ATÍPICO")</f>
        <v>NO ATÍPICO</v>
      </c>
      <c r="K1122" t="str" cm="1">
        <f t="array" ref="K1122">_xlfn.IFS(ISBLANK(I1122),"FALTANTE",ABS((I1122-$W$8)/$X$8)&gt;1.92,"ATÍPICO",ABS((I1122-$W$8)/$X$8)&lt;=1.92,"NO ATÍPICO")</f>
        <v>NO ATÍPICO</v>
      </c>
      <c r="L1122">
        <f t="shared" si="84"/>
        <v>1602501</v>
      </c>
      <c r="M1122" t="str">
        <f t="shared" si="84"/>
        <v>PENSIONADOS EN SU PROPIO SISTEMA</v>
      </c>
      <c r="N1122">
        <f t="shared" si="85"/>
        <v>60</v>
      </c>
      <c r="O1122" s="19" t="str">
        <f t="shared" si="86"/>
        <v>1200k+</v>
      </c>
      <c r="P1122" s="19" t="str">
        <f t="shared" si="87"/>
        <v>56+</v>
      </c>
    </row>
    <row r="1123" spans="1:16" x14ac:dyDescent="0.25">
      <c r="A1123">
        <v>1122</v>
      </c>
      <c r="B1123" t="s">
        <v>9</v>
      </c>
      <c r="C1123">
        <v>440086.31</v>
      </c>
      <c r="D1123" t="s">
        <v>10</v>
      </c>
      <c r="E1123" t="s">
        <v>16</v>
      </c>
      <c r="F1123" t="s">
        <v>12</v>
      </c>
      <c r="G1123" t="s">
        <v>13</v>
      </c>
      <c r="H1123" t="s">
        <v>13</v>
      </c>
      <c r="I1123">
        <v>53</v>
      </c>
      <c r="J1123" t="str" cm="1">
        <f t="array" ref="J1123">_xlfn.IFS(ISBLANK(C1123),"FALTANTE",ABS((C1123-$W$5)/$X$5)&gt;1.96,"ATÍPICO",ABS((C1123-$W$5)/$X$5)&lt;=1.96,"NO ATÍPICO")</f>
        <v>NO ATÍPICO</v>
      </c>
      <c r="K1123" t="str" cm="1">
        <f t="array" ref="K1123">_xlfn.IFS(ISBLANK(I1123),"FALTANTE",ABS((I1123-$W$8)/$X$8)&gt;1.92,"ATÍPICO",ABS((I1123-$W$8)/$X$8)&lt;=1.92,"NO ATÍPICO")</f>
        <v>NO ATÍPICO</v>
      </c>
      <c r="L1123">
        <f t="shared" si="84"/>
        <v>440086.31</v>
      </c>
      <c r="M1123" t="str">
        <f t="shared" si="84"/>
        <v>ASALARIADO</v>
      </c>
      <c r="N1123">
        <f t="shared" si="85"/>
        <v>53</v>
      </c>
      <c r="O1123" s="19" t="str">
        <f t="shared" si="86"/>
        <v>300k–600k</v>
      </c>
      <c r="P1123" s="19" t="str">
        <f t="shared" si="87"/>
        <v>46-55</v>
      </c>
    </row>
    <row r="1124" spans="1:16" x14ac:dyDescent="0.25">
      <c r="A1124">
        <v>1123</v>
      </c>
      <c r="B1124" t="s">
        <v>9</v>
      </c>
      <c r="C1124">
        <v>812849</v>
      </c>
      <c r="D1124" t="s">
        <v>17</v>
      </c>
      <c r="E1124" t="s">
        <v>16</v>
      </c>
      <c r="F1124" t="s">
        <v>12</v>
      </c>
      <c r="G1124" t="s">
        <v>12</v>
      </c>
      <c r="H1124" t="s">
        <v>13</v>
      </c>
      <c r="I1124">
        <v>74</v>
      </c>
      <c r="J1124" t="str" cm="1">
        <f t="array" ref="J1124">_xlfn.IFS(ISBLANK(C1124),"FALTANTE",ABS((C1124-$W$5)/$X$5)&gt;1.96,"ATÍPICO",ABS((C1124-$W$5)/$X$5)&lt;=1.96,"NO ATÍPICO")</f>
        <v>NO ATÍPICO</v>
      </c>
      <c r="K1124" t="str" cm="1">
        <f t="array" ref="K1124">_xlfn.IFS(ISBLANK(I1124),"FALTANTE",ABS((I1124-$W$8)/$X$8)&gt;1.92,"ATÍPICO",ABS((I1124-$W$8)/$X$8)&lt;=1.92,"NO ATÍPICO")</f>
        <v>ATÍPICO</v>
      </c>
      <c r="L1124">
        <f t="shared" si="84"/>
        <v>812849</v>
      </c>
      <c r="M1124" t="str">
        <f t="shared" si="84"/>
        <v>ASEGURADO VOLUNTARIO</v>
      </c>
      <c r="N1124">
        <f t="shared" si="85"/>
        <v>74</v>
      </c>
      <c r="O1124" s="19" t="str">
        <f t="shared" si="86"/>
        <v>600k–900k</v>
      </c>
      <c r="P1124" s="19" t="str">
        <f t="shared" si="87"/>
        <v>56+</v>
      </c>
    </row>
    <row r="1125" spans="1:16" x14ac:dyDescent="0.25">
      <c r="A1125">
        <v>1124</v>
      </c>
      <c r="B1125" t="s">
        <v>9</v>
      </c>
      <c r="C1125">
        <v>449060</v>
      </c>
      <c r="D1125" t="s">
        <v>10</v>
      </c>
      <c r="E1125" t="s">
        <v>11</v>
      </c>
      <c r="F1125" t="s">
        <v>12</v>
      </c>
      <c r="G1125" t="s">
        <v>13</v>
      </c>
      <c r="H1125" t="s">
        <v>12</v>
      </c>
      <c r="I1125">
        <v>58</v>
      </c>
      <c r="J1125" t="str" cm="1">
        <f t="array" ref="J1125">_xlfn.IFS(ISBLANK(C1125),"FALTANTE",ABS((C1125-$W$5)/$X$5)&gt;1.96,"ATÍPICO",ABS((C1125-$W$5)/$X$5)&lt;=1.96,"NO ATÍPICO")</f>
        <v>NO ATÍPICO</v>
      </c>
      <c r="K1125" t="str" cm="1">
        <f t="array" ref="K1125">_xlfn.IFS(ISBLANK(I1125),"FALTANTE",ABS((I1125-$W$8)/$X$8)&gt;1.92,"ATÍPICO",ABS((I1125-$W$8)/$X$8)&lt;=1.92,"NO ATÍPICO")</f>
        <v>NO ATÍPICO</v>
      </c>
      <c r="L1125">
        <f t="shared" si="84"/>
        <v>449060</v>
      </c>
      <c r="M1125" t="str">
        <f t="shared" si="84"/>
        <v>ASALARIADO</v>
      </c>
      <c r="N1125">
        <f t="shared" si="85"/>
        <v>58</v>
      </c>
      <c r="O1125" s="19" t="str">
        <f t="shared" si="86"/>
        <v>300k–600k</v>
      </c>
      <c r="P1125" s="19" t="str">
        <f t="shared" si="87"/>
        <v>56+</v>
      </c>
    </row>
    <row r="1126" spans="1:16" x14ac:dyDescent="0.25">
      <c r="A1126">
        <v>1125</v>
      </c>
      <c r="B1126" t="s">
        <v>9</v>
      </c>
      <c r="C1126">
        <v>326753</v>
      </c>
      <c r="D1126" t="s">
        <v>17</v>
      </c>
      <c r="E1126" t="s">
        <v>16</v>
      </c>
      <c r="F1126" t="s">
        <v>12</v>
      </c>
      <c r="G1126" t="s">
        <v>13</v>
      </c>
      <c r="H1126" t="s">
        <v>13</v>
      </c>
      <c r="I1126">
        <v>42</v>
      </c>
      <c r="J1126" t="str" cm="1">
        <f t="array" ref="J1126">_xlfn.IFS(ISBLANK(C1126),"FALTANTE",ABS((C1126-$W$5)/$X$5)&gt;1.96,"ATÍPICO",ABS((C1126-$W$5)/$X$5)&lt;=1.96,"NO ATÍPICO")</f>
        <v>NO ATÍPICO</v>
      </c>
      <c r="K1126" t="str" cm="1">
        <f t="array" ref="K1126">_xlfn.IFS(ISBLANK(I1126),"FALTANTE",ABS((I1126-$W$8)/$X$8)&gt;1.92,"ATÍPICO",ABS((I1126-$W$8)/$X$8)&lt;=1.92,"NO ATÍPICO")</f>
        <v>NO ATÍPICO</v>
      </c>
      <c r="L1126">
        <f t="shared" si="84"/>
        <v>326753</v>
      </c>
      <c r="M1126" t="str">
        <f t="shared" si="84"/>
        <v>ASEGURADO VOLUNTARIO</v>
      </c>
      <c r="N1126">
        <f t="shared" si="85"/>
        <v>42</v>
      </c>
      <c r="O1126" s="19" t="str">
        <f t="shared" si="86"/>
        <v>300k–600k</v>
      </c>
      <c r="P1126" s="19" t="str">
        <f t="shared" si="87"/>
        <v>36-45</v>
      </c>
    </row>
    <row r="1127" spans="1:16" x14ac:dyDescent="0.25">
      <c r="A1127">
        <v>1126</v>
      </c>
      <c r="B1127" t="s">
        <v>9</v>
      </c>
      <c r="C1127">
        <v>364062.51</v>
      </c>
      <c r="D1127" t="s">
        <v>10</v>
      </c>
      <c r="E1127" t="s">
        <v>16</v>
      </c>
      <c r="F1127" t="s">
        <v>12</v>
      </c>
      <c r="G1127" t="s">
        <v>13</v>
      </c>
      <c r="H1127" t="s">
        <v>13</v>
      </c>
      <c r="I1127">
        <v>27</v>
      </c>
      <c r="J1127" t="str" cm="1">
        <f t="array" ref="J1127">_xlfn.IFS(ISBLANK(C1127),"FALTANTE",ABS((C1127-$W$5)/$X$5)&gt;1.96,"ATÍPICO",ABS((C1127-$W$5)/$X$5)&lt;=1.96,"NO ATÍPICO")</f>
        <v>NO ATÍPICO</v>
      </c>
      <c r="K1127" t="str" cm="1">
        <f t="array" ref="K1127">_xlfn.IFS(ISBLANK(I1127),"FALTANTE",ABS((I1127-$W$8)/$X$8)&gt;1.92,"ATÍPICO",ABS((I1127-$W$8)/$X$8)&lt;=1.92,"NO ATÍPICO")</f>
        <v>NO ATÍPICO</v>
      </c>
      <c r="L1127">
        <f t="shared" si="84"/>
        <v>364062.51</v>
      </c>
      <c r="M1127" t="str">
        <f t="shared" si="84"/>
        <v>ASALARIADO</v>
      </c>
      <c r="N1127">
        <f t="shared" si="85"/>
        <v>27</v>
      </c>
      <c r="O1127" s="19" t="str">
        <f t="shared" si="86"/>
        <v>300k–600k</v>
      </c>
      <c r="P1127" s="19" t="str">
        <f t="shared" si="87"/>
        <v>26-35</v>
      </c>
    </row>
    <row r="1128" spans="1:16" x14ac:dyDescent="0.25">
      <c r="A1128">
        <v>1127</v>
      </c>
      <c r="B1128" t="s">
        <v>9</v>
      </c>
      <c r="C1128">
        <v>278030.99</v>
      </c>
      <c r="D1128" t="s">
        <v>19</v>
      </c>
      <c r="E1128" t="s">
        <v>16</v>
      </c>
      <c r="F1128" t="s">
        <v>12</v>
      </c>
      <c r="G1128" t="s">
        <v>13</v>
      </c>
      <c r="H1128" t="s">
        <v>13</v>
      </c>
      <c r="I1128">
        <v>31</v>
      </c>
      <c r="J1128" t="str" cm="1">
        <f t="array" ref="J1128">_xlfn.IFS(ISBLANK(C1128),"FALTANTE",ABS((C1128-$W$5)/$X$5)&gt;1.96,"ATÍPICO",ABS((C1128-$W$5)/$X$5)&lt;=1.96,"NO ATÍPICO")</f>
        <v>NO ATÍPICO</v>
      </c>
      <c r="K1128" t="str" cm="1">
        <f t="array" ref="K1128">_xlfn.IFS(ISBLANK(I1128),"FALTANTE",ABS((I1128-$W$8)/$X$8)&gt;1.92,"ATÍPICO",ABS((I1128-$W$8)/$X$8)&lt;=1.92,"NO ATÍPICO")</f>
        <v>NO ATÍPICO</v>
      </c>
      <c r="L1128">
        <f t="shared" si="84"/>
        <v>278030.99</v>
      </c>
      <c r="M1128" t="str">
        <f t="shared" si="84"/>
        <v>CONVENIOS ESPECIALES DE TRABAJADORES INDEPENDIENTES</v>
      </c>
      <c r="N1128">
        <f t="shared" si="85"/>
        <v>31</v>
      </c>
      <c r="O1128" s="19" t="str">
        <f t="shared" si="86"/>
        <v>0–300k</v>
      </c>
      <c r="P1128" s="19" t="str">
        <f t="shared" si="87"/>
        <v>26-35</v>
      </c>
    </row>
    <row r="1129" spans="1:16" x14ac:dyDescent="0.25">
      <c r="A1129">
        <v>1128</v>
      </c>
      <c r="B1129" t="s">
        <v>9</v>
      </c>
      <c r="C1129">
        <v>876640.38</v>
      </c>
      <c r="D1129" t="s">
        <v>10</v>
      </c>
      <c r="E1129" t="s">
        <v>16</v>
      </c>
      <c r="F1129" t="s">
        <v>12</v>
      </c>
      <c r="G1129" t="s">
        <v>13</v>
      </c>
      <c r="H1129" t="s">
        <v>13</v>
      </c>
      <c r="I1129">
        <v>49</v>
      </c>
      <c r="J1129" t="str" cm="1">
        <f t="array" ref="J1129">_xlfn.IFS(ISBLANK(C1129),"FALTANTE",ABS((C1129-$W$5)/$X$5)&gt;1.96,"ATÍPICO",ABS((C1129-$W$5)/$X$5)&lt;=1.96,"NO ATÍPICO")</f>
        <v>NO ATÍPICO</v>
      </c>
      <c r="K1129" t="str" cm="1">
        <f t="array" ref="K1129">_xlfn.IFS(ISBLANK(I1129),"FALTANTE",ABS((I1129-$W$8)/$X$8)&gt;1.92,"ATÍPICO",ABS((I1129-$W$8)/$X$8)&lt;=1.92,"NO ATÍPICO")</f>
        <v>NO ATÍPICO</v>
      </c>
      <c r="L1129">
        <f t="shared" si="84"/>
        <v>876640.38</v>
      </c>
      <c r="M1129" t="str">
        <f t="shared" si="84"/>
        <v>ASALARIADO</v>
      </c>
      <c r="N1129">
        <f t="shared" si="85"/>
        <v>49</v>
      </c>
      <c r="O1129" s="19" t="str">
        <f t="shared" si="86"/>
        <v>600k–900k</v>
      </c>
      <c r="P1129" s="19" t="str">
        <f t="shared" si="87"/>
        <v>46-55</v>
      </c>
    </row>
    <row r="1130" spans="1:16" x14ac:dyDescent="0.25">
      <c r="A1130">
        <v>1129</v>
      </c>
      <c r="B1130" t="s">
        <v>9</v>
      </c>
      <c r="C1130">
        <v>288203</v>
      </c>
      <c r="D1130" t="s">
        <v>10</v>
      </c>
      <c r="E1130" t="s">
        <v>11</v>
      </c>
      <c r="F1130" t="s">
        <v>12</v>
      </c>
      <c r="G1130" t="s">
        <v>13</v>
      </c>
      <c r="H1130" t="s">
        <v>12</v>
      </c>
      <c r="I1130">
        <v>26</v>
      </c>
      <c r="J1130" t="str" cm="1">
        <f t="array" ref="J1130">_xlfn.IFS(ISBLANK(C1130),"FALTANTE",ABS((C1130-$W$5)/$X$5)&gt;1.96,"ATÍPICO",ABS((C1130-$W$5)/$X$5)&lt;=1.96,"NO ATÍPICO")</f>
        <v>NO ATÍPICO</v>
      </c>
      <c r="K1130" t="str" cm="1">
        <f t="array" ref="K1130">_xlfn.IFS(ISBLANK(I1130),"FALTANTE",ABS((I1130-$W$8)/$X$8)&gt;1.92,"ATÍPICO",ABS((I1130-$W$8)/$X$8)&lt;=1.92,"NO ATÍPICO")</f>
        <v>NO ATÍPICO</v>
      </c>
      <c r="L1130">
        <f t="shared" si="84"/>
        <v>288203</v>
      </c>
      <c r="M1130" t="str">
        <f t="shared" si="84"/>
        <v>ASALARIADO</v>
      </c>
      <c r="N1130">
        <f t="shared" si="85"/>
        <v>26</v>
      </c>
      <c r="O1130" s="19" t="str">
        <f t="shared" si="86"/>
        <v>0–300k</v>
      </c>
      <c r="P1130" s="19" t="str">
        <f t="shared" si="87"/>
        <v>26-35</v>
      </c>
    </row>
    <row r="1131" spans="1:16" x14ac:dyDescent="0.25">
      <c r="A1131">
        <v>1130</v>
      </c>
      <c r="B1131" t="s">
        <v>9</v>
      </c>
      <c r="C1131">
        <v>51450.83</v>
      </c>
      <c r="D1131" t="s">
        <v>10</v>
      </c>
      <c r="E1131" t="s">
        <v>16</v>
      </c>
      <c r="F1131" t="s">
        <v>12</v>
      </c>
      <c r="G1131" t="s">
        <v>12</v>
      </c>
      <c r="H1131" t="s">
        <v>13</v>
      </c>
      <c r="I1131">
        <v>50</v>
      </c>
      <c r="J1131" t="str" cm="1">
        <f t="array" ref="J1131">_xlfn.IFS(ISBLANK(C1131),"FALTANTE",ABS((C1131-$W$5)/$X$5)&gt;1.96,"ATÍPICO",ABS((C1131-$W$5)/$X$5)&lt;=1.96,"NO ATÍPICO")</f>
        <v>NO ATÍPICO</v>
      </c>
      <c r="K1131" t="str" cm="1">
        <f t="array" ref="K1131">_xlfn.IFS(ISBLANK(I1131),"FALTANTE",ABS((I1131-$W$8)/$X$8)&gt;1.92,"ATÍPICO",ABS((I1131-$W$8)/$X$8)&lt;=1.92,"NO ATÍPICO")</f>
        <v>NO ATÍPICO</v>
      </c>
      <c r="L1131">
        <f t="shared" si="84"/>
        <v>51450.83</v>
      </c>
      <c r="M1131" t="str">
        <f t="shared" si="84"/>
        <v>ASALARIADO</v>
      </c>
      <c r="N1131">
        <f t="shared" si="85"/>
        <v>50</v>
      </c>
      <c r="O1131" s="19" t="str">
        <f t="shared" si="86"/>
        <v>0–300k</v>
      </c>
      <c r="P1131" s="19" t="str">
        <f t="shared" si="87"/>
        <v>46-55</v>
      </c>
    </row>
    <row r="1132" spans="1:16" x14ac:dyDescent="0.25">
      <c r="A1132">
        <v>1131</v>
      </c>
      <c r="B1132" t="s">
        <v>9</v>
      </c>
      <c r="C1132">
        <v>538446.65</v>
      </c>
      <c r="D1132" t="s">
        <v>10</v>
      </c>
      <c r="E1132" t="s">
        <v>16</v>
      </c>
      <c r="F1132" t="s">
        <v>12</v>
      </c>
      <c r="G1132" t="s">
        <v>13</v>
      </c>
      <c r="H1132" t="s">
        <v>13</v>
      </c>
      <c r="I1132">
        <v>28</v>
      </c>
      <c r="J1132" t="str" cm="1">
        <f t="array" ref="J1132">_xlfn.IFS(ISBLANK(C1132),"FALTANTE",ABS((C1132-$W$5)/$X$5)&gt;1.96,"ATÍPICO",ABS((C1132-$W$5)/$X$5)&lt;=1.96,"NO ATÍPICO")</f>
        <v>NO ATÍPICO</v>
      </c>
      <c r="K1132" t="str" cm="1">
        <f t="array" ref="K1132">_xlfn.IFS(ISBLANK(I1132),"FALTANTE",ABS((I1132-$W$8)/$X$8)&gt;1.92,"ATÍPICO",ABS((I1132-$W$8)/$X$8)&lt;=1.92,"NO ATÍPICO")</f>
        <v>NO ATÍPICO</v>
      </c>
      <c r="L1132">
        <f t="shared" si="84"/>
        <v>538446.65</v>
      </c>
      <c r="M1132" t="str">
        <f t="shared" si="84"/>
        <v>ASALARIADO</v>
      </c>
      <c r="N1132">
        <f t="shared" si="85"/>
        <v>28</v>
      </c>
      <c r="O1132" s="19" t="str">
        <f t="shared" si="86"/>
        <v>300k–600k</v>
      </c>
      <c r="P1132" s="19" t="str">
        <f t="shared" si="87"/>
        <v>26-35</v>
      </c>
    </row>
    <row r="1133" spans="1:16" x14ac:dyDescent="0.25">
      <c r="A1133">
        <v>1132</v>
      </c>
      <c r="B1133" t="s">
        <v>15</v>
      </c>
      <c r="C1133">
        <v>198257.15</v>
      </c>
      <c r="D1133" t="s">
        <v>14</v>
      </c>
      <c r="E1133" t="s">
        <v>11</v>
      </c>
      <c r="F1133" t="s">
        <v>12</v>
      </c>
      <c r="G1133" t="s">
        <v>13</v>
      </c>
      <c r="H1133" t="s">
        <v>13</v>
      </c>
      <c r="I1133">
        <v>97</v>
      </c>
      <c r="J1133" t="str" cm="1">
        <f t="array" ref="J1133">_xlfn.IFS(ISBLANK(C1133),"FALTANTE",ABS((C1133-$W$5)/$X$5)&gt;1.96,"ATÍPICO",ABS((C1133-$W$5)/$X$5)&lt;=1.96,"NO ATÍPICO")</f>
        <v>NO ATÍPICO</v>
      </c>
      <c r="K1133" t="str" cm="1">
        <f t="array" ref="K1133">_xlfn.IFS(ISBLANK(I1133),"FALTANTE",ABS((I1133-$W$8)/$X$8)&gt;1.92,"ATÍPICO",ABS((I1133-$W$8)/$X$8)&lt;=1.92,"NO ATÍPICO")</f>
        <v>ATÍPICO</v>
      </c>
      <c r="L1133">
        <f t="shared" si="84"/>
        <v>198257.15</v>
      </c>
      <c r="M1133" t="str">
        <f t="shared" si="84"/>
        <v>PENSIONADOS EN SU PROPIO SISTEMA</v>
      </c>
      <c r="N1133">
        <f t="shared" si="85"/>
        <v>97</v>
      </c>
      <c r="O1133" s="19" t="str">
        <f t="shared" si="86"/>
        <v>0–300k</v>
      </c>
      <c r="P1133" s="19" t="str">
        <f t="shared" si="87"/>
        <v>56+</v>
      </c>
    </row>
    <row r="1134" spans="1:16" x14ac:dyDescent="0.25">
      <c r="A1134">
        <v>1133</v>
      </c>
      <c r="B1134" t="s">
        <v>9</v>
      </c>
      <c r="C1134">
        <v>278030</v>
      </c>
      <c r="D1134" t="s">
        <v>19</v>
      </c>
      <c r="E1134" t="s">
        <v>16</v>
      </c>
      <c r="F1134" t="s">
        <v>12</v>
      </c>
      <c r="G1134" t="s">
        <v>12</v>
      </c>
      <c r="H1134" t="s">
        <v>13</v>
      </c>
      <c r="I1134">
        <v>39</v>
      </c>
      <c r="J1134" t="str" cm="1">
        <f t="array" ref="J1134">_xlfn.IFS(ISBLANK(C1134),"FALTANTE",ABS((C1134-$W$5)/$X$5)&gt;1.96,"ATÍPICO",ABS((C1134-$W$5)/$X$5)&lt;=1.96,"NO ATÍPICO")</f>
        <v>NO ATÍPICO</v>
      </c>
      <c r="K1134" t="str" cm="1">
        <f t="array" ref="K1134">_xlfn.IFS(ISBLANK(I1134),"FALTANTE",ABS((I1134-$W$8)/$X$8)&gt;1.92,"ATÍPICO",ABS((I1134-$W$8)/$X$8)&lt;=1.92,"NO ATÍPICO")</f>
        <v>NO ATÍPICO</v>
      </c>
      <c r="L1134">
        <f t="shared" si="84"/>
        <v>278030</v>
      </c>
      <c r="M1134" t="str">
        <f t="shared" si="84"/>
        <v>CONVENIOS ESPECIALES DE TRABAJADORES INDEPENDIENTES</v>
      </c>
      <c r="N1134">
        <f t="shared" si="85"/>
        <v>39</v>
      </c>
      <c r="O1134" s="19" t="str">
        <f t="shared" si="86"/>
        <v>0–300k</v>
      </c>
      <c r="P1134" s="19" t="str">
        <f t="shared" si="87"/>
        <v>36-45</v>
      </c>
    </row>
    <row r="1135" spans="1:16" x14ac:dyDescent="0.25">
      <c r="A1135">
        <v>1134</v>
      </c>
      <c r="B1135" t="s">
        <v>9</v>
      </c>
      <c r="C1135">
        <v>636889</v>
      </c>
      <c r="D1135" t="s">
        <v>18</v>
      </c>
      <c r="E1135" t="s">
        <v>16</v>
      </c>
      <c r="F1135" t="s">
        <v>12</v>
      </c>
      <c r="G1135" t="s">
        <v>13</v>
      </c>
      <c r="H1135" t="s">
        <v>12</v>
      </c>
      <c r="I1135">
        <v>49</v>
      </c>
      <c r="J1135" t="str" cm="1">
        <f t="array" ref="J1135">_xlfn.IFS(ISBLANK(C1135),"FALTANTE",ABS((C1135-$W$5)/$X$5)&gt;1.96,"ATÍPICO",ABS((C1135-$W$5)/$X$5)&lt;=1.96,"NO ATÍPICO")</f>
        <v>NO ATÍPICO</v>
      </c>
      <c r="K1135" t="str" cm="1">
        <f t="array" ref="K1135">_xlfn.IFS(ISBLANK(I1135),"FALTANTE",ABS((I1135-$W$8)/$X$8)&gt;1.92,"ATÍPICO",ABS((I1135-$W$8)/$X$8)&lt;=1.92,"NO ATÍPICO")</f>
        <v>NO ATÍPICO</v>
      </c>
      <c r="L1135">
        <f t="shared" si="84"/>
        <v>636889</v>
      </c>
      <c r="M1135" t="str">
        <f t="shared" si="84"/>
        <v>TRABAJADOR INDEPENDIENTE</v>
      </c>
      <c r="N1135">
        <f t="shared" si="85"/>
        <v>49</v>
      </c>
      <c r="O1135" s="19" t="str">
        <f t="shared" si="86"/>
        <v>600k–900k</v>
      </c>
      <c r="P1135" s="19" t="str">
        <f t="shared" si="87"/>
        <v>46-55</v>
      </c>
    </row>
    <row r="1136" spans="1:16" x14ac:dyDescent="0.25">
      <c r="A1136">
        <v>1135</v>
      </c>
      <c r="B1136" t="s">
        <v>9</v>
      </c>
      <c r="C1136">
        <v>600000</v>
      </c>
      <c r="D1136" t="s">
        <v>10</v>
      </c>
      <c r="E1136" t="s">
        <v>16</v>
      </c>
      <c r="F1136" t="s">
        <v>12</v>
      </c>
      <c r="G1136" t="s">
        <v>12</v>
      </c>
      <c r="H1136" t="s">
        <v>12</v>
      </c>
      <c r="I1136">
        <v>58</v>
      </c>
      <c r="J1136" t="str" cm="1">
        <f t="array" ref="J1136">_xlfn.IFS(ISBLANK(C1136),"FALTANTE",ABS((C1136-$W$5)/$X$5)&gt;1.96,"ATÍPICO",ABS((C1136-$W$5)/$X$5)&lt;=1.96,"NO ATÍPICO")</f>
        <v>NO ATÍPICO</v>
      </c>
      <c r="K1136" t="str" cm="1">
        <f t="array" ref="K1136">_xlfn.IFS(ISBLANK(I1136),"FALTANTE",ABS((I1136-$W$8)/$X$8)&gt;1.92,"ATÍPICO",ABS((I1136-$W$8)/$X$8)&lt;=1.92,"NO ATÍPICO")</f>
        <v>NO ATÍPICO</v>
      </c>
      <c r="L1136">
        <f t="shared" si="84"/>
        <v>600000</v>
      </c>
      <c r="M1136" t="str">
        <f t="shared" si="84"/>
        <v>ASALARIADO</v>
      </c>
      <c r="N1136">
        <f t="shared" si="85"/>
        <v>58</v>
      </c>
      <c r="O1136" s="19" t="str">
        <f t="shared" si="86"/>
        <v>300k–600k</v>
      </c>
      <c r="P1136" s="19" t="str">
        <f t="shared" si="87"/>
        <v>56+</v>
      </c>
    </row>
    <row r="1137" spans="1:16" x14ac:dyDescent="0.25">
      <c r="A1137">
        <v>1136</v>
      </c>
      <c r="B1137" t="s">
        <v>15</v>
      </c>
      <c r="C1137">
        <v>297139</v>
      </c>
      <c r="D1137" t="s">
        <v>17</v>
      </c>
      <c r="E1137" t="s">
        <v>16</v>
      </c>
      <c r="F1137" t="s">
        <v>13</v>
      </c>
      <c r="G1137" t="s">
        <v>13</v>
      </c>
      <c r="H1137" t="s">
        <v>12</v>
      </c>
      <c r="I1137">
        <v>41</v>
      </c>
      <c r="J1137" t="str" cm="1">
        <f t="array" ref="J1137">_xlfn.IFS(ISBLANK(C1137),"FALTANTE",ABS((C1137-$W$5)/$X$5)&gt;1.96,"ATÍPICO",ABS((C1137-$W$5)/$X$5)&lt;=1.96,"NO ATÍPICO")</f>
        <v>NO ATÍPICO</v>
      </c>
      <c r="K1137" t="str" cm="1">
        <f t="array" ref="K1137">_xlfn.IFS(ISBLANK(I1137),"FALTANTE",ABS((I1137-$W$8)/$X$8)&gt;1.92,"ATÍPICO",ABS((I1137-$W$8)/$X$8)&lt;=1.92,"NO ATÍPICO")</f>
        <v>NO ATÍPICO</v>
      </c>
      <c r="L1137">
        <f t="shared" si="84"/>
        <v>297139</v>
      </c>
      <c r="M1137" t="str">
        <f t="shared" si="84"/>
        <v>ASEGURADO VOLUNTARIO</v>
      </c>
      <c r="N1137">
        <f t="shared" si="85"/>
        <v>41</v>
      </c>
      <c r="O1137" s="19" t="str">
        <f t="shared" si="86"/>
        <v>0–300k</v>
      </c>
      <c r="P1137" s="19" t="str">
        <f t="shared" si="87"/>
        <v>36-45</v>
      </c>
    </row>
    <row r="1138" spans="1:16" x14ac:dyDescent="0.25">
      <c r="A1138">
        <v>1137</v>
      </c>
      <c r="B1138" t="s">
        <v>15</v>
      </c>
      <c r="C1138">
        <v>277000</v>
      </c>
      <c r="D1138" t="s">
        <v>10</v>
      </c>
      <c r="E1138" t="s">
        <v>16</v>
      </c>
      <c r="F1138" t="s">
        <v>12</v>
      </c>
      <c r="G1138" t="s">
        <v>13</v>
      </c>
      <c r="H1138" t="s">
        <v>13</v>
      </c>
      <c r="I1138">
        <v>46</v>
      </c>
      <c r="J1138" t="str" cm="1">
        <f t="array" ref="J1138">_xlfn.IFS(ISBLANK(C1138),"FALTANTE",ABS((C1138-$W$5)/$X$5)&gt;1.96,"ATÍPICO",ABS((C1138-$W$5)/$X$5)&lt;=1.96,"NO ATÍPICO")</f>
        <v>NO ATÍPICO</v>
      </c>
      <c r="K1138" t="str" cm="1">
        <f t="array" ref="K1138">_xlfn.IFS(ISBLANK(I1138),"FALTANTE",ABS((I1138-$W$8)/$X$8)&gt;1.92,"ATÍPICO",ABS((I1138-$W$8)/$X$8)&lt;=1.92,"NO ATÍPICO")</f>
        <v>NO ATÍPICO</v>
      </c>
      <c r="L1138">
        <f t="shared" si="84"/>
        <v>277000</v>
      </c>
      <c r="M1138" t="str">
        <f t="shared" si="84"/>
        <v>ASALARIADO</v>
      </c>
      <c r="N1138">
        <f t="shared" si="85"/>
        <v>46</v>
      </c>
      <c r="O1138" s="19" t="str">
        <f t="shared" si="86"/>
        <v>0–300k</v>
      </c>
      <c r="P1138" s="19" t="str">
        <f t="shared" si="87"/>
        <v>46-55</v>
      </c>
    </row>
    <row r="1139" spans="1:16" x14ac:dyDescent="0.25">
      <c r="A1139">
        <v>1138</v>
      </c>
      <c r="B1139" t="s">
        <v>9</v>
      </c>
      <c r="C1139">
        <v>635014</v>
      </c>
      <c r="D1139" t="s">
        <v>18</v>
      </c>
      <c r="E1139" t="s">
        <v>16</v>
      </c>
      <c r="F1139" t="s">
        <v>12</v>
      </c>
      <c r="G1139" t="s">
        <v>13</v>
      </c>
      <c r="H1139" t="s">
        <v>13</v>
      </c>
      <c r="I1139">
        <v>51</v>
      </c>
      <c r="J1139" t="str" cm="1">
        <f t="array" ref="J1139">_xlfn.IFS(ISBLANK(C1139),"FALTANTE",ABS((C1139-$W$5)/$X$5)&gt;1.96,"ATÍPICO",ABS((C1139-$W$5)/$X$5)&lt;=1.96,"NO ATÍPICO")</f>
        <v>NO ATÍPICO</v>
      </c>
      <c r="K1139" t="str" cm="1">
        <f t="array" ref="K1139">_xlfn.IFS(ISBLANK(I1139),"FALTANTE",ABS((I1139-$W$8)/$X$8)&gt;1.92,"ATÍPICO",ABS((I1139-$W$8)/$X$8)&lt;=1.92,"NO ATÍPICO")</f>
        <v>NO ATÍPICO</v>
      </c>
      <c r="L1139">
        <f t="shared" si="84"/>
        <v>635014</v>
      </c>
      <c r="M1139" t="str">
        <f t="shared" si="84"/>
        <v>TRABAJADOR INDEPENDIENTE</v>
      </c>
      <c r="N1139">
        <f t="shared" si="85"/>
        <v>51</v>
      </c>
      <c r="O1139" s="19" t="str">
        <f t="shared" si="86"/>
        <v>600k–900k</v>
      </c>
      <c r="P1139" s="19" t="str">
        <f t="shared" si="87"/>
        <v>46-55</v>
      </c>
    </row>
    <row r="1140" spans="1:16" x14ac:dyDescent="0.25">
      <c r="A1140">
        <v>1139</v>
      </c>
      <c r="B1140" t="s">
        <v>9</v>
      </c>
      <c r="C1140">
        <v>79912</v>
      </c>
      <c r="D1140" t="s">
        <v>10</v>
      </c>
      <c r="E1140" t="s">
        <v>16</v>
      </c>
      <c r="F1140" t="s">
        <v>12</v>
      </c>
      <c r="G1140" t="s">
        <v>13</v>
      </c>
      <c r="H1140" t="s">
        <v>13</v>
      </c>
      <c r="I1140">
        <v>19</v>
      </c>
      <c r="J1140" t="str" cm="1">
        <f t="array" ref="J1140">_xlfn.IFS(ISBLANK(C1140),"FALTANTE",ABS((C1140-$W$5)/$X$5)&gt;1.96,"ATÍPICO",ABS((C1140-$W$5)/$X$5)&lt;=1.96,"NO ATÍPICO")</f>
        <v>NO ATÍPICO</v>
      </c>
      <c r="K1140" t="str" cm="1">
        <f t="array" ref="K1140">_xlfn.IFS(ISBLANK(I1140),"FALTANTE",ABS((I1140-$W$8)/$X$8)&gt;1.92,"ATÍPICO",ABS((I1140-$W$8)/$X$8)&lt;=1.92,"NO ATÍPICO")</f>
        <v>NO ATÍPICO</v>
      </c>
      <c r="L1140">
        <f t="shared" si="84"/>
        <v>79912</v>
      </c>
      <c r="M1140" t="str">
        <f t="shared" si="84"/>
        <v>ASALARIADO</v>
      </c>
      <c r="N1140">
        <f t="shared" si="85"/>
        <v>19</v>
      </c>
      <c r="O1140" s="19" t="str">
        <f t="shared" si="86"/>
        <v>0–300k</v>
      </c>
      <c r="P1140" s="19" t="str">
        <f t="shared" si="87"/>
        <v>18-25</v>
      </c>
    </row>
    <row r="1141" spans="1:16" x14ac:dyDescent="0.25">
      <c r="A1141">
        <v>1140</v>
      </c>
      <c r="B1141" t="s">
        <v>9</v>
      </c>
      <c r="C1141">
        <v>393512.27</v>
      </c>
      <c r="D1141" t="s">
        <v>10</v>
      </c>
      <c r="E1141" t="s">
        <v>16</v>
      </c>
      <c r="F1141" t="s">
        <v>12</v>
      </c>
      <c r="G1141" t="s">
        <v>13</v>
      </c>
      <c r="H1141" t="s">
        <v>13</v>
      </c>
      <c r="I1141">
        <v>44</v>
      </c>
      <c r="J1141" t="str" cm="1">
        <f t="array" ref="J1141">_xlfn.IFS(ISBLANK(C1141),"FALTANTE",ABS((C1141-$W$5)/$X$5)&gt;1.96,"ATÍPICO",ABS((C1141-$W$5)/$X$5)&lt;=1.96,"NO ATÍPICO")</f>
        <v>NO ATÍPICO</v>
      </c>
      <c r="K1141" t="str" cm="1">
        <f t="array" ref="K1141">_xlfn.IFS(ISBLANK(I1141),"FALTANTE",ABS((I1141-$W$8)/$X$8)&gt;1.92,"ATÍPICO",ABS((I1141-$W$8)/$X$8)&lt;=1.92,"NO ATÍPICO")</f>
        <v>NO ATÍPICO</v>
      </c>
      <c r="L1141">
        <f t="shared" si="84"/>
        <v>393512.27</v>
      </c>
      <c r="M1141" t="str">
        <f t="shared" si="84"/>
        <v>ASALARIADO</v>
      </c>
      <c r="N1141">
        <f t="shared" si="85"/>
        <v>44</v>
      </c>
      <c r="O1141" s="19" t="str">
        <f t="shared" si="86"/>
        <v>300k–600k</v>
      </c>
      <c r="P1141" s="19" t="str">
        <f t="shared" si="87"/>
        <v>36-45</v>
      </c>
    </row>
    <row r="1142" spans="1:16" x14ac:dyDescent="0.25">
      <c r="A1142">
        <v>1141</v>
      </c>
      <c r="B1142" t="s">
        <v>15</v>
      </c>
      <c r="C1142">
        <v>297046</v>
      </c>
      <c r="D1142" t="s">
        <v>17</v>
      </c>
      <c r="E1142" t="s">
        <v>16</v>
      </c>
      <c r="F1142" t="s">
        <v>12</v>
      </c>
      <c r="G1142" t="s">
        <v>13</v>
      </c>
      <c r="H1142" t="s">
        <v>12</v>
      </c>
      <c r="I1142">
        <v>21</v>
      </c>
      <c r="J1142" t="str" cm="1">
        <f t="array" ref="J1142">_xlfn.IFS(ISBLANK(C1142),"FALTANTE",ABS((C1142-$W$5)/$X$5)&gt;1.96,"ATÍPICO",ABS((C1142-$W$5)/$X$5)&lt;=1.96,"NO ATÍPICO")</f>
        <v>NO ATÍPICO</v>
      </c>
      <c r="K1142" t="str" cm="1">
        <f t="array" ref="K1142">_xlfn.IFS(ISBLANK(I1142),"FALTANTE",ABS((I1142-$W$8)/$X$8)&gt;1.92,"ATÍPICO",ABS((I1142-$W$8)/$X$8)&lt;=1.92,"NO ATÍPICO")</f>
        <v>NO ATÍPICO</v>
      </c>
      <c r="L1142">
        <f t="shared" si="84"/>
        <v>297046</v>
      </c>
      <c r="M1142" t="str">
        <f t="shared" si="84"/>
        <v>ASEGURADO VOLUNTARIO</v>
      </c>
      <c r="N1142">
        <f t="shared" si="85"/>
        <v>21</v>
      </c>
      <c r="O1142" s="19" t="str">
        <f t="shared" si="86"/>
        <v>0–300k</v>
      </c>
      <c r="P1142" s="19" t="str">
        <f t="shared" si="87"/>
        <v>18-25</v>
      </c>
    </row>
    <row r="1143" spans="1:16" x14ac:dyDescent="0.25">
      <c r="A1143">
        <v>1142</v>
      </c>
      <c r="B1143" t="s">
        <v>15</v>
      </c>
      <c r="C1143">
        <v>125736.88</v>
      </c>
      <c r="D1143" t="s">
        <v>10</v>
      </c>
      <c r="E1143" t="s">
        <v>11</v>
      </c>
      <c r="F1143" t="s">
        <v>12</v>
      </c>
      <c r="G1143" t="s">
        <v>13</v>
      </c>
      <c r="H1143" t="s">
        <v>13</v>
      </c>
      <c r="I1143">
        <v>34</v>
      </c>
      <c r="J1143" t="str" cm="1">
        <f t="array" ref="J1143">_xlfn.IFS(ISBLANK(C1143),"FALTANTE",ABS((C1143-$W$5)/$X$5)&gt;1.96,"ATÍPICO",ABS((C1143-$W$5)/$X$5)&lt;=1.96,"NO ATÍPICO")</f>
        <v>NO ATÍPICO</v>
      </c>
      <c r="K1143" t="str" cm="1">
        <f t="array" ref="K1143">_xlfn.IFS(ISBLANK(I1143),"FALTANTE",ABS((I1143-$W$8)/$X$8)&gt;1.92,"ATÍPICO",ABS((I1143-$W$8)/$X$8)&lt;=1.92,"NO ATÍPICO")</f>
        <v>NO ATÍPICO</v>
      </c>
      <c r="L1143">
        <f t="shared" si="84"/>
        <v>125736.88</v>
      </c>
      <c r="M1143" t="str">
        <f t="shared" si="84"/>
        <v>ASALARIADO</v>
      </c>
      <c r="N1143">
        <f t="shared" si="85"/>
        <v>34</v>
      </c>
      <c r="O1143" s="19" t="str">
        <f t="shared" si="86"/>
        <v>0–300k</v>
      </c>
      <c r="P1143" s="19" t="str">
        <f t="shared" si="87"/>
        <v>26-35</v>
      </c>
    </row>
    <row r="1144" spans="1:16" x14ac:dyDescent="0.25">
      <c r="A1144">
        <v>1143</v>
      </c>
      <c r="B1144" t="s">
        <v>9</v>
      </c>
      <c r="C1144">
        <v>1279854.5</v>
      </c>
      <c r="D1144" t="s">
        <v>10</v>
      </c>
      <c r="E1144" t="s">
        <v>11</v>
      </c>
      <c r="F1144" t="s">
        <v>12</v>
      </c>
      <c r="G1144" t="s">
        <v>13</v>
      </c>
      <c r="H1144" t="s">
        <v>13</v>
      </c>
      <c r="I1144">
        <v>39</v>
      </c>
      <c r="J1144" t="str" cm="1">
        <f t="array" ref="J1144">_xlfn.IFS(ISBLANK(C1144),"FALTANTE",ABS((C1144-$W$5)/$X$5)&gt;1.96,"ATÍPICO",ABS((C1144-$W$5)/$X$5)&lt;=1.96,"NO ATÍPICO")</f>
        <v>NO ATÍPICO</v>
      </c>
      <c r="K1144" t="str" cm="1">
        <f t="array" ref="K1144">_xlfn.IFS(ISBLANK(I1144),"FALTANTE",ABS((I1144-$W$8)/$X$8)&gt;1.92,"ATÍPICO",ABS((I1144-$W$8)/$X$8)&lt;=1.92,"NO ATÍPICO")</f>
        <v>NO ATÍPICO</v>
      </c>
      <c r="L1144">
        <f t="shared" si="84"/>
        <v>1279854.5</v>
      </c>
      <c r="M1144" t="str">
        <f t="shared" si="84"/>
        <v>ASALARIADO</v>
      </c>
      <c r="N1144">
        <f t="shared" si="85"/>
        <v>39</v>
      </c>
      <c r="O1144" s="19" t="str">
        <f t="shared" si="86"/>
        <v>1200k+</v>
      </c>
      <c r="P1144" s="19" t="str">
        <f t="shared" si="87"/>
        <v>36-45</v>
      </c>
    </row>
    <row r="1145" spans="1:16" x14ac:dyDescent="0.25">
      <c r="A1145">
        <v>1144</v>
      </c>
      <c r="B1145" t="s">
        <v>15</v>
      </c>
      <c r="C1145">
        <v>385000</v>
      </c>
      <c r="D1145" t="s">
        <v>10</v>
      </c>
      <c r="E1145" t="s">
        <v>16</v>
      </c>
      <c r="F1145" t="s">
        <v>12</v>
      </c>
      <c r="G1145" t="s">
        <v>13</v>
      </c>
      <c r="H1145" t="s">
        <v>13</v>
      </c>
      <c r="I1145">
        <v>25</v>
      </c>
      <c r="J1145" t="str" cm="1">
        <f t="array" ref="J1145">_xlfn.IFS(ISBLANK(C1145),"FALTANTE",ABS((C1145-$W$5)/$X$5)&gt;1.96,"ATÍPICO",ABS((C1145-$W$5)/$X$5)&lt;=1.96,"NO ATÍPICO")</f>
        <v>NO ATÍPICO</v>
      </c>
      <c r="K1145" t="str" cm="1">
        <f t="array" ref="K1145">_xlfn.IFS(ISBLANK(I1145),"FALTANTE",ABS((I1145-$W$8)/$X$8)&gt;1.92,"ATÍPICO",ABS((I1145-$W$8)/$X$8)&lt;=1.92,"NO ATÍPICO")</f>
        <v>NO ATÍPICO</v>
      </c>
      <c r="L1145">
        <f t="shared" si="84"/>
        <v>385000</v>
      </c>
      <c r="M1145" t="str">
        <f t="shared" si="84"/>
        <v>ASALARIADO</v>
      </c>
      <c r="N1145">
        <f t="shared" si="85"/>
        <v>25</v>
      </c>
      <c r="O1145" s="19" t="str">
        <f t="shared" si="86"/>
        <v>300k–600k</v>
      </c>
      <c r="P1145" s="19" t="str">
        <f t="shared" si="87"/>
        <v>18-25</v>
      </c>
    </row>
    <row r="1146" spans="1:16" x14ac:dyDescent="0.25">
      <c r="A1146">
        <v>1145</v>
      </c>
      <c r="B1146" t="s">
        <v>9</v>
      </c>
      <c r="C1146">
        <v>555522</v>
      </c>
      <c r="D1146" t="s">
        <v>10</v>
      </c>
      <c r="E1146" t="s">
        <v>16</v>
      </c>
      <c r="F1146" t="s">
        <v>12</v>
      </c>
      <c r="G1146" t="s">
        <v>13</v>
      </c>
      <c r="H1146" t="s">
        <v>13</v>
      </c>
      <c r="I1146">
        <v>53</v>
      </c>
      <c r="J1146" t="str" cm="1">
        <f t="array" ref="J1146">_xlfn.IFS(ISBLANK(C1146),"FALTANTE",ABS((C1146-$W$5)/$X$5)&gt;1.96,"ATÍPICO",ABS((C1146-$W$5)/$X$5)&lt;=1.96,"NO ATÍPICO")</f>
        <v>NO ATÍPICO</v>
      </c>
      <c r="K1146" t="str" cm="1">
        <f t="array" ref="K1146">_xlfn.IFS(ISBLANK(I1146),"FALTANTE",ABS((I1146-$W$8)/$X$8)&gt;1.92,"ATÍPICO",ABS((I1146-$W$8)/$X$8)&lt;=1.92,"NO ATÍPICO")</f>
        <v>NO ATÍPICO</v>
      </c>
      <c r="L1146">
        <f t="shared" si="84"/>
        <v>555522</v>
      </c>
      <c r="M1146" t="str">
        <f t="shared" si="84"/>
        <v>ASALARIADO</v>
      </c>
      <c r="N1146">
        <f t="shared" si="85"/>
        <v>53</v>
      </c>
      <c r="O1146" s="19" t="str">
        <f t="shared" si="86"/>
        <v>300k–600k</v>
      </c>
      <c r="P1146" s="19" t="str">
        <f t="shared" si="87"/>
        <v>46-55</v>
      </c>
    </row>
    <row r="1147" spans="1:16" x14ac:dyDescent="0.25">
      <c r="A1147">
        <v>1146</v>
      </c>
      <c r="B1147" t="s">
        <v>9</v>
      </c>
      <c r="C1147">
        <v>1190185.8999999999</v>
      </c>
      <c r="D1147" t="s">
        <v>10</v>
      </c>
      <c r="E1147" t="s">
        <v>11</v>
      </c>
      <c r="F1147" t="s">
        <v>12</v>
      </c>
      <c r="G1147" t="s">
        <v>13</v>
      </c>
      <c r="H1147" t="s">
        <v>13</v>
      </c>
      <c r="I1147">
        <v>44</v>
      </c>
      <c r="J1147" t="str" cm="1">
        <f t="array" ref="J1147">_xlfn.IFS(ISBLANK(C1147),"FALTANTE",ABS((C1147-$W$5)/$X$5)&gt;1.96,"ATÍPICO",ABS((C1147-$W$5)/$X$5)&lt;=1.96,"NO ATÍPICO")</f>
        <v>NO ATÍPICO</v>
      </c>
      <c r="K1147" t="str" cm="1">
        <f t="array" ref="K1147">_xlfn.IFS(ISBLANK(I1147),"FALTANTE",ABS((I1147-$W$8)/$X$8)&gt;1.92,"ATÍPICO",ABS((I1147-$W$8)/$X$8)&lt;=1.92,"NO ATÍPICO")</f>
        <v>NO ATÍPICO</v>
      </c>
      <c r="L1147">
        <f t="shared" si="84"/>
        <v>1190185.8999999999</v>
      </c>
      <c r="M1147" t="str">
        <f t="shared" si="84"/>
        <v>ASALARIADO</v>
      </c>
      <c r="N1147">
        <f t="shared" si="85"/>
        <v>44</v>
      </c>
      <c r="O1147" s="19" t="str">
        <f t="shared" si="86"/>
        <v>900k–1200k</v>
      </c>
      <c r="P1147" s="19" t="str">
        <f t="shared" si="87"/>
        <v>36-45</v>
      </c>
    </row>
    <row r="1148" spans="1:16" x14ac:dyDescent="0.25">
      <c r="A1148">
        <v>1147</v>
      </c>
      <c r="B1148" t="s">
        <v>15</v>
      </c>
      <c r="C1148">
        <v>550590.5</v>
      </c>
      <c r="D1148" t="s">
        <v>10</v>
      </c>
      <c r="E1148" t="s">
        <v>11</v>
      </c>
      <c r="F1148" t="s">
        <v>12</v>
      </c>
      <c r="G1148" t="s">
        <v>13</v>
      </c>
      <c r="H1148" t="s">
        <v>13</v>
      </c>
      <c r="I1148">
        <v>26</v>
      </c>
      <c r="J1148" t="str" cm="1">
        <f t="array" ref="J1148">_xlfn.IFS(ISBLANK(C1148),"FALTANTE",ABS((C1148-$W$5)/$X$5)&gt;1.96,"ATÍPICO",ABS((C1148-$W$5)/$X$5)&lt;=1.96,"NO ATÍPICO")</f>
        <v>NO ATÍPICO</v>
      </c>
      <c r="K1148" t="str" cm="1">
        <f t="array" ref="K1148">_xlfn.IFS(ISBLANK(I1148),"FALTANTE",ABS((I1148-$W$8)/$X$8)&gt;1.92,"ATÍPICO",ABS((I1148-$W$8)/$X$8)&lt;=1.92,"NO ATÍPICO")</f>
        <v>NO ATÍPICO</v>
      </c>
      <c r="L1148">
        <f t="shared" si="84"/>
        <v>550590.5</v>
      </c>
      <c r="M1148" t="str">
        <f t="shared" si="84"/>
        <v>ASALARIADO</v>
      </c>
      <c r="N1148">
        <f t="shared" si="85"/>
        <v>26</v>
      </c>
      <c r="O1148" s="19" t="str">
        <f t="shared" si="86"/>
        <v>300k–600k</v>
      </c>
      <c r="P1148" s="19" t="str">
        <f t="shared" si="87"/>
        <v>26-35</v>
      </c>
    </row>
    <row r="1149" spans="1:16" x14ac:dyDescent="0.25">
      <c r="A1149">
        <v>1148</v>
      </c>
      <c r="B1149" t="s">
        <v>9</v>
      </c>
      <c r="C1149">
        <v>297046</v>
      </c>
      <c r="D1149" t="s">
        <v>18</v>
      </c>
      <c r="E1149" t="s">
        <v>16</v>
      </c>
      <c r="F1149" t="s">
        <v>12</v>
      </c>
      <c r="G1149" t="s">
        <v>13</v>
      </c>
      <c r="H1149" t="s">
        <v>13</v>
      </c>
      <c r="I1149">
        <v>50</v>
      </c>
      <c r="J1149" t="str" cm="1">
        <f t="array" ref="J1149">_xlfn.IFS(ISBLANK(C1149),"FALTANTE",ABS((C1149-$W$5)/$X$5)&gt;1.96,"ATÍPICO",ABS((C1149-$W$5)/$X$5)&lt;=1.96,"NO ATÍPICO")</f>
        <v>NO ATÍPICO</v>
      </c>
      <c r="K1149" t="str" cm="1">
        <f t="array" ref="K1149">_xlfn.IFS(ISBLANK(I1149),"FALTANTE",ABS((I1149-$W$8)/$X$8)&gt;1.92,"ATÍPICO",ABS((I1149-$W$8)/$X$8)&lt;=1.92,"NO ATÍPICO")</f>
        <v>NO ATÍPICO</v>
      </c>
      <c r="L1149">
        <f t="shared" si="84"/>
        <v>297046</v>
      </c>
      <c r="M1149" t="str">
        <f t="shared" si="84"/>
        <v>TRABAJADOR INDEPENDIENTE</v>
      </c>
      <c r="N1149">
        <f t="shared" si="85"/>
        <v>50</v>
      </c>
      <c r="O1149" s="19" t="str">
        <f t="shared" si="86"/>
        <v>0–300k</v>
      </c>
      <c r="P1149" s="19" t="str">
        <f t="shared" si="87"/>
        <v>46-55</v>
      </c>
    </row>
    <row r="1150" spans="1:16" x14ac:dyDescent="0.25">
      <c r="A1150">
        <v>1149</v>
      </c>
      <c r="B1150" t="s">
        <v>15</v>
      </c>
      <c r="C1150">
        <v>475006</v>
      </c>
      <c r="D1150" t="s">
        <v>10</v>
      </c>
      <c r="E1150" t="s">
        <v>16</v>
      </c>
      <c r="F1150" t="s">
        <v>12</v>
      </c>
      <c r="G1150" t="s">
        <v>13</v>
      </c>
      <c r="H1150" t="s">
        <v>13</v>
      </c>
      <c r="I1150">
        <v>24</v>
      </c>
      <c r="J1150" t="str" cm="1">
        <f t="array" ref="J1150">_xlfn.IFS(ISBLANK(C1150),"FALTANTE",ABS((C1150-$W$5)/$X$5)&gt;1.96,"ATÍPICO",ABS((C1150-$W$5)/$X$5)&lt;=1.96,"NO ATÍPICO")</f>
        <v>NO ATÍPICO</v>
      </c>
      <c r="K1150" t="str" cm="1">
        <f t="array" ref="K1150">_xlfn.IFS(ISBLANK(I1150),"FALTANTE",ABS((I1150-$W$8)/$X$8)&gt;1.92,"ATÍPICO",ABS((I1150-$W$8)/$X$8)&lt;=1.92,"NO ATÍPICO")</f>
        <v>NO ATÍPICO</v>
      </c>
      <c r="L1150">
        <f t="shared" si="84"/>
        <v>475006</v>
      </c>
      <c r="M1150" t="str">
        <f t="shared" si="84"/>
        <v>ASALARIADO</v>
      </c>
      <c r="N1150">
        <f t="shared" si="85"/>
        <v>24</v>
      </c>
      <c r="O1150" s="19" t="str">
        <f t="shared" si="86"/>
        <v>300k–600k</v>
      </c>
      <c r="P1150" s="19" t="str">
        <f t="shared" si="87"/>
        <v>18-25</v>
      </c>
    </row>
    <row r="1151" spans="1:16" x14ac:dyDescent="0.25">
      <c r="A1151">
        <v>1150</v>
      </c>
      <c r="B1151" t="s">
        <v>15</v>
      </c>
      <c r="C1151">
        <v>356649</v>
      </c>
      <c r="D1151" t="s">
        <v>18</v>
      </c>
      <c r="E1151" t="s">
        <v>16</v>
      </c>
      <c r="F1151" t="s">
        <v>12</v>
      </c>
      <c r="G1151" t="s">
        <v>13</v>
      </c>
      <c r="H1151" t="s">
        <v>12</v>
      </c>
      <c r="I1151">
        <v>48</v>
      </c>
      <c r="J1151" t="str" cm="1">
        <f t="array" ref="J1151">_xlfn.IFS(ISBLANK(C1151),"FALTANTE",ABS((C1151-$W$5)/$X$5)&gt;1.96,"ATÍPICO",ABS((C1151-$W$5)/$X$5)&lt;=1.96,"NO ATÍPICO")</f>
        <v>NO ATÍPICO</v>
      </c>
      <c r="K1151" t="str" cm="1">
        <f t="array" ref="K1151">_xlfn.IFS(ISBLANK(I1151),"FALTANTE",ABS((I1151-$W$8)/$X$8)&gt;1.92,"ATÍPICO",ABS((I1151-$W$8)/$X$8)&lt;=1.92,"NO ATÍPICO")</f>
        <v>NO ATÍPICO</v>
      </c>
      <c r="L1151">
        <f t="shared" si="84"/>
        <v>356649</v>
      </c>
      <c r="M1151" t="str">
        <f t="shared" si="84"/>
        <v>TRABAJADOR INDEPENDIENTE</v>
      </c>
      <c r="N1151">
        <f t="shared" si="85"/>
        <v>48</v>
      </c>
      <c r="O1151" s="19" t="str">
        <f t="shared" si="86"/>
        <v>300k–600k</v>
      </c>
      <c r="P1151" s="19" t="str">
        <f t="shared" si="87"/>
        <v>46-55</v>
      </c>
    </row>
    <row r="1152" spans="1:16" x14ac:dyDescent="0.25">
      <c r="A1152">
        <v>1151</v>
      </c>
      <c r="B1152" t="s">
        <v>9</v>
      </c>
      <c r="C1152">
        <v>278030</v>
      </c>
      <c r="D1152" t="s">
        <v>19</v>
      </c>
      <c r="E1152" t="s">
        <v>16</v>
      </c>
      <c r="F1152" t="s">
        <v>12</v>
      </c>
      <c r="G1152" t="s">
        <v>13</v>
      </c>
      <c r="H1152" t="s">
        <v>13</v>
      </c>
      <c r="I1152">
        <v>38</v>
      </c>
      <c r="J1152" t="str" cm="1">
        <f t="array" ref="J1152">_xlfn.IFS(ISBLANK(C1152),"FALTANTE",ABS((C1152-$W$5)/$X$5)&gt;1.96,"ATÍPICO",ABS((C1152-$W$5)/$X$5)&lt;=1.96,"NO ATÍPICO")</f>
        <v>NO ATÍPICO</v>
      </c>
      <c r="K1152" t="str" cm="1">
        <f t="array" ref="K1152">_xlfn.IFS(ISBLANK(I1152),"FALTANTE",ABS((I1152-$W$8)/$X$8)&gt;1.92,"ATÍPICO",ABS((I1152-$W$8)/$X$8)&lt;=1.92,"NO ATÍPICO")</f>
        <v>NO ATÍPICO</v>
      </c>
      <c r="L1152">
        <f t="shared" si="84"/>
        <v>278030</v>
      </c>
      <c r="M1152" t="str">
        <f t="shared" si="84"/>
        <v>CONVENIOS ESPECIALES DE TRABAJADORES INDEPENDIENTES</v>
      </c>
      <c r="N1152">
        <f t="shared" si="85"/>
        <v>38</v>
      </c>
      <c r="O1152" s="19" t="str">
        <f t="shared" si="86"/>
        <v>0–300k</v>
      </c>
      <c r="P1152" s="19" t="str">
        <f t="shared" si="87"/>
        <v>36-45</v>
      </c>
    </row>
    <row r="1153" spans="1:16" x14ac:dyDescent="0.25">
      <c r="A1153">
        <v>1152</v>
      </c>
      <c r="B1153" t="s">
        <v>15</v>
      </c>
      <c r="C1153">
        <v>290000</v>
      </c>
      <c r="D1153" t="s">
        <v>10</v>
      </c>
      <c r="E1153" t="s">
        <v>16</v>
      </c>
      <c r="F1153" t="s">
        <v>12</v>
      </c>
      <c r="G1153" t="s">
        <v>13</v>
      </c>
      <c r="H1153" t="s">
        <v>13</v>
      </c>
      <c r="I1153">
        <v>57</v>
      </c>
      <c r="J1153" t="str" cm="1">
        <f t="array" ref="J1153">_xlfn.IFS(ISBLANK(C1153),"FALTANTE",ABS((C1153-$W$5)/$X$5)&gt;1.96,"ATÍPICO",ABS((C1153-$W$5)/$X$5)&lt;=1.96,"NO ATÍPICO")</f>
        <v>NO ATÍPICO</v>
      </c>
      <c r="K1153" t="str" cm="1">
        <f t="array" ref="K1153">_xlfn.IFS(ISBLANK(I1153),"FALTANTE",ABS((I1153-$W$8)/$X$8)&gt;1.92,"ATÍPICO",ABS((I1153-$W$8)/$X$8)&lt;=1.92,"NO ATÍPICO")</f>
        <v>NO ATÍPICO</v>
      </c>
      <c r="L1153">
        <f t="shared" si="84"/>
        <v>290000</v>
      </c>
      <c r="M1153" t="str">
        <f t="shared" si="84"/>
        <v>ASALARIADO</v>
      </c>
      <c r="N1153">
        <f t="shared" si="85"/>
        <v>57</v>
      </c>
      <c r="O1153" s="19" t="str">
        <f t="shared" si="86"/>
        <v>0–300k</v>
      </c>
      <c r="P1153" s="19" t="str">
        <f t="shared" si="87"/>
        <v>56+</v>
      </c>
    </row>
    <row r="1154" spans="1:16" x14ac:dyDescent="0.25">
      <c r="A1154">
        <v>1153</v>
      </c>
      <c r="B1154" t="s">
        <v>15</v>
      </c>
      <c r="C1154">
        <v>1122731</v>
      </c>
      <c r="D1154" t="s">
        <v>14</v>
      </c>
      <c r="E1154" t="s">
        <v>11</v>
      </c>
      <c r="F1154" t="s">
        <v>12</v>
      </c>
      <c r="G1154" t="s">
        <v>13</v>
      </c>
      <c r="H1154" t="s">
        <v>13</v>
      </c>
      <c r="I1154">
        <v>63</v>
      </c>
      <c r="J1154" t="str" cm="1">
        <f t="array" ref="J1154">_xlfn.IFS(ISBLANK(C1154),"FALTANTE",ABS((C1154-$W$5)/$X$5)&gt;1.96,"ATÍPICO",ABS((C1154-$W$5)/$X$5)&lt;=1.96,"NO ATÍPICO")</f>
        <v>NO ATÍPICO</v>
      </c>
      <c r="K1154" t="str" cm="1">
        <f t="array" ref="K1154">_xlfn.IFS(ISBLANK(I1154),"FALTANTE",ABS((I1154-$W$8)/$X$8)&gt;1.92,"ATÍPICO",ABS((I1154-$W$8)/$X$8)&lt;=1.92,"NO ATÍPICO")</f>
        <v>NO ATÍPICO</v>
      </c>
      <c r="L1154">
        <f t="shared" ref="L1154:M1217" si="88">C1154</f>
        <v>1122731</v>
      </c>
      <c r="M1154" t="str">
        <f t="shared" si="88"/>
        <v>PENSIONADOS EN SU PROPIO SISTEMA</v>
      </c>
      <c r="N1154">
        <f t="shared" ref="N1154:N1217" si="89">I1154</f>
        <v>63</v>
      </c>
      <c r="O1154" s="19" t="str">
        <f t="shared" ref="O1154:O1217" si="90">IF(L1154&lt;=300000,"0–300k",IF(L1154&lt;=600000,"300k–600k",IF(L1154&lt;=900000,"600k–900k",IF(L1154&lt;=1200000,"900k–1200k","1200k+"))))</f>
        <v>900k–1200k</v>
      </c>
      <c r="P1154" s="19" t="str">
        <f t="shared" ref="P1154:P1217" si="91">IF(N1154 &lt;=25,"18-25", IF(N1154&lt;=35,"26-35", IF(N1154 &lt;=45,"36-45", IF(N1154&lt;=55,"46-55","56+"))))</f>
        <v>56+</v>
      </c>
    </row>
    <row r="1155" spans="1:16" x14ac:dyDescent="0.25">
      <c r="A1155">
        <v>1154</v>
      </c>
      <c r="B1155" t="s">
        <v>15</v>
      </c>
      <c r="C1155">
        <v>1551166.5</v>
      </c>
      <c r="D1155" t="s">
        <v>10</v>
      </c>
      <c r="E1155" t="s">
        <v>11</v>
      </c>
      <c r="F1155" t="s">
        <v>12</v>
      </c>
      <c r="G1155" t="s">
        <v>13</v>
      </c>
      <c r="H1155" t="s">
        <v>13</v>
      </c>
      <c r="I1155">
        <v>31</v>
      </c>
      <c r="J1155" t="str" cm="1">
        <f t="array" ref="J1155">_xlfn.IFS(ISBLANK(C1155),"FALTANTE",ABS((C1155-$W$5)/$X$5)&gt;1.96,"ATÍPICO",ABS((C1155-$W$5)/$X$5)&lt;=1.96,"NO ATÍPICO")</f>
        <v>NO ATÍPICO</v>
      </c>
      <c r="K1155" t="str" cm="1">
        <f t="array" ref="K1155">_xlfn.IFS(ISBLANK(I1155),"FALTANTE",ABS((I1155-$W$8)/$X$8)&gt;1.92,"ATÍPICO",ABS((I1155-$W$8)/$X$8)&lt;=1.92,"NO ATÍPICO")</f>
        <v>NO ATÍPICO</v>
      </c>
      <c r="L1155">
        <f t="shared" si="88"/>
        <v>1551166.5</v>
      </c>
      <c r="M1155" t="str">
        <f t="shared" si="88"/>
        <v>ASALARIADO</v>
      </c>
      <c r="N1155">
        <f t="shared" si="89"/>
        <v>31</v>
      </c>
      <c r="O1155" s="19" t="str">
        <f t="shared" si="90"/>
        <v>1200k+</v>
      </c>
      <c r="P1155" s="19" t="str">
        <f t="shared" si="91"/>
        <v>26-35</v>
      </c>
    </row>
    <row r="1156" spans="1:16" x14ac:dyDescent="0.25">
      <c r="A1156">
        <v>1155</v>
      </c>
      <c r="B1156" t="s">
        <v>15</v>
      </c>
      <c r="C1156">
        <v>479260</v>
      </c>
      <c r="D1156" t="s">
        <v>10</v>
      </c>
      <c r="E1156" t="s">
        <v>16</v>
      </c>
      <c r="F1156" t="s">
        <v>12</v>
      </c>
      <c r="G1156" t="s">
        <v>13</v>
      </c>
      <c r="H1156" t="s">
        <v>13</v>
      </c>
      <c r="I1156">
        <v>28</v>
      </c>
      <c r="J1156" t="str" cm="1">
        <f t="array" ref="J1156">_xlfn.IFS(ISBLANK(C1156),"FALTANTE",ABS((C1156-$W$5)/$X$5)&gt;1.96,"ATÍPICO",ABS((C1156-$W$5)/$X$5)&lt;=1.96,"NO ATÍPICO")</f>
        <v>NO ATÍPICO</v>
      </c>
      <c r="K1156" t="str" cm="1">
        <f t="array" ref="K1156">_xlfn.IFS(ISBLANK(I1156),"FALTANTE",ABS((I1156-$W$8)/$X$8)&gt;1.92,"ATÍPICO",ABS((I1156-$W$8)/$X$8)&lt;=1.92,"NO ATÍPICO")</f>
        <v>NO ATÍPICO</v>
      </c>
      <c r="L1156">
        <f t="shared" si="88"/>
        <v>479260</v>
      </c>
      <c r="M1156" t="str">
        <f t="shared" si="88"/>
        <v>ASALARIADO</v>
      </c>
      <c r="N1156">
        <f t="shared" si="89"/>
        <v>28</v>
      </c>
      <c r="O1156" s="19" t="str">
        <f t="shared" si="90"/>
        <v>300k–600k</v>
      </c>
      <c r="P1156" s="19" t="str">
        <f t="shared" si="91"/>
        <v>26-35</v>
      </c>
    </row>
    <row r="1157" spans="1:16" x14ac:dyDescent="0.25">
      <c r="A1157">
        <v>1156</v>
      </c>
      <c r="B1157" t="s">
        <v>15</v>
      </c>
      <c r="C1157">
        <v>1235915</v>
      </c>
      <c r="D1157" t="s">
        <v>14</v>
      </c>
      <c r="E1157" t="s">
        <v>11</v>
      </c>
      <c r="F1157" t="s">
        <v>12</v>
      </c>
      <c r="G1157" t="s">
        <v>13</v>
      </c>
      <c r="H1157" t="s">
        <v>13</v>
      </c>
      <c r="I1157">
        <v>64</v>
      </c>
      <c r="J1157" t="str" cm="1">
        <f t="array" ref="J1157">_xlfn.IFS(ISBLANK(C1157),"FALTANTE",ABS((C1157-$W$5)/$X$5)&gt;1.96,"ATÍPICO",ABS((C1157-$W$5)/$X$5)&lt;=1.96,"NO ATÍPICO")</f>
        <v>NO ATÍPICO</v>
      </c>
      <c r="K1157" t="str" cm="1">
        <f t="array" ref="K1157">_xlfn.IFS(ISBLANK(I1157),"FALTANTE",ABS((I1157-$W$8)/$X$8)&gt;1.92,"ATÍPICO",ABS((I1157-$W$8)/$X$8)&lt;=1.92,"NO ATÍPICO")</f>
        <v>NO ATÍPICO</v>
      </c>
      <c r="L1157">
        <f t="shared" si="88"/>
        <v>1235915</v>
      </c>
      <c r="M1157" t="str">
        <f t="shared" si="88"/>
        <v>PENSIONADOS EN SU PROPIO SISTEMA</v>
      </c>
      <c r="N1157">
        <f t="shared" si="89"/>
        <v>64</v>
      </c>
      <c r="O1157" s="19" t="str">
        <f t="shared" si="90"/>
        <v>1200k+</v>
      </c>
      <c r="P1157" s="19" t="str">
        <f t="shared" si="91"/>
        <v>56+</v>
      </c>
    </row>
    <row r="1158" spans="1:16" x14ac:dyDescent="0.25">
      <c r="A1158">
        <v>1157</v>
      </c>
      <c r="B1158" t="s">
        <v>9</v>
      </c>
      <c r="C1158">
        <v>454230.29</v>
      </c>
      <c r="D1158" t="s">
        <v>10</v>
      </c>
      <c r="E1158" t="s">
        <v>11</v>
      </c>
      <c r="F1158" t="s">
        <v>12</v>
      </c>
      <c r="G1158" t="s">
        <v>13</v>
      </c>
      <c r="H1158" t="s">
        <v>13</v>
      </c>
      <c r="I1158">
        <v>42</v>
      </c>
      <c r="J1158" t="str" cm="1">
        <f t="array" ref="J1158">_xlfn.IFS(ISBLANK(C1158),"FALTANTE",ABS((C1158-$W$5)/$X$5)&gt;1.96,"ATÍPICO",ABS((C1158-$W$5)/$X$5)&lt;=1.96,"NO ATÍPICO")</f>
        <v>NO ATÍPICO</v>
      </c>
      <c r="K1158" t="str" cm="1">
        <f t="array" ref="K1158">_xlfn.IFS(ISBLANK(I1158),"FALTANTE",ABS((I1158-$W$8)/$X$8)&gt;1.92,"ATÍPICO",ABS((I1158-$W$8)/$X$8)&lt;=1.92,"NO ATÍPICO")</f>
        <v>NO ATÍPICO</v>
      </c>
      <c r="L1158">
        <f t="shared" si="88"/>
        <v>454230.29</v>
      </c>
      <c r="M1158" t="str">
        <f t="shared" si="88"/>
        <v>ASALARIADO</v>
      </c>
      <c r="N1158">
        <f t="shared" si="89"/>
        <v>42</v>
      </c>
      <c r="O1158" s="19" t="str">
        <f t="shared" si="90"/>
        <v>300k–600k</v>
      </c>
      <c r="P1158" s="19" t="str">
        <f t="shared" si="91"/>
        <v>36-45</v>
      </c>
    </row>
    <row r="1159" spans="1:16" x14ac:dyDescent="0.25">
      <c r="A1159">
        <v>1158</v>
      </c>
      <c r="B1159" t="s">
        <v>9</v>
      </c>
      <c r="C1159">
        <v>767326.7</v>
      </c>
      <c r="D1159" t="s">
        <v>10</v>
      </c>
      <c r="E1159" t="s">
        <v>11</v>
      </c>
      <c r="F1159" t="s">
        <v>12</v>
      </c>
      <c r="G1159" t="s">
        <v>13</v>
      </c>
      <c r="H1159" t="s">
        <v>13</v>
      </c>
      <c r="I1159">
        <v>37</v>
      </c>
      <c r="J1159" t="str" cm="1">
        <f t="array" ref="J1159">_xlfn.IFS(ISBLANK(C1159),"FALTANTE",ABS((C1159-$W$5)/$X$5)&gt;1.96,"ATÍPICO",ABS((C1159-$W$5)/$X$5)&lt;=1.96,"NO ATÍPICO")</f>
        <v>NO ATÍPICO</v>
      </c>
      <c r="K1159" t="str" cm="1">
        <f t="array" ref="K1159">_xlfn.IFS(ISBLANK(I1159),"FALTANTE",ABS((I1159-$W$8)/$X$8)&gt;1.92,"ATÍPICO",ABS((I1159-$W$8)/$X$8)&lt;=1.92,"NO ATÍPICO")</f>
        <v>NO ATÍPICO</v>
      </c>
      <c r="L1159">
        <f t="shared" si="88"/>
        <v>767326.7</v>
      </c>
      <c r="M1159" t="str">
        <f t="shared" si="88"/>
        <v>ASALARIADO</v>
      </c>
      <c r="N1159">
        <f t="shared" si="89"/>
        <v>37</v>
      </c>
      <c r="O1159" s="19" t="str">
        <f t="shared" si="90"/>
        <v>600k–900k</v>
      </c>
      <c r="P1159" s="19" t="str">
        <f t="shared" si="91"/>
        <v>36-45</v>
      </c>
    </row>
    <row r="1160" spans="1:16" x14ac:dyDescent="0.25">
      <c r="A1160">
        <v>1159</v>
      </c>
      <c r="B1160" t="s">
        <v>9</v>
      </c>
      <c r="C1160">
        <v>322474</v>
      </c>
      <c r="D1160" t="s">
        <v>18</v>
      </c>
      <c r="E1160" t="s">
        <v>16</v>
      </c>
      <c r="F1160" t="s">
        <v>12</v>
      </c>
      <c r="G1160" t="s">
        <v>13</v>
      </c>
      <c r="H1160" t="s">
        <v>12</v>
      </c>
      <c r="I1160">
        <v>28</v>
      </c>
      <c r="J1160" t="str" cm="1">
        <f t="array" ref="J1160">_xlfn.IFS(ISBLANK(C1160),"FALTANTE",ABS((C1160-$W$5)/$X$5)&gt;1.96,"ATÍPICO",ABS((C1160-$W$5)/$X$5)&lt;=1.96,"NO ATÍPICO")</f>
        <v>NO ATÍPICO</v>
      </c>
      <c r="K1160" t="str" cm="1">
        <f t="array" ref="K1160">_xlfn.IFS(ISBLANK(I1160),"FALTANTE",ABS((I1160-$W$8)/$X$8)&gt;1.92,"ATÍPICO",ABS((I1160-$W$8)/$X$8)&lt;=1.92,"NO ATÍPICO")</f>
        <v>NO ATÍPICO</v>
      </c>
      <c r="L1160">
        <f t="shared" si="88"/>
        <v>322474</v>
      </c>
      <c r="M1160" t="str">
        <f t="shared" si="88"/>
        <v>TRABAJADOR INDEPENDIENTE</v>
      </c>
      <c r="N1160">
        <f t="shared" si="89"/>
        <v>28</v>
      </c>
      <c r="O1160" s="19" t="str">
        <f t="shared" si="90"/>
        <v>300k–600k</v>
      </c>
      <c r="P1160" s="19" t="str">
        <f t="shared" si="91"/>
        <v>26-35</v>
      </c>
    </row>
    <row r="1161" spans="1:16" x14ac:dyDescent="0.25">
      <c r="A1161">
        <v>1160</v>
      </c>
      <c r="B1161" t="s">
        <v>15</v>
      </c>
      <c r="C1161">
        <v>400000</v>
      </c>
      <c r="D1161" t="s">
        <v>10</v>
      </c>
      <c r="E1161" t="s">
        <v>16</v>
      </c>
      <c r="F1161" t="s">
        <v>12</v>
      </c>
      <c r="G1161" t="s">
        <v>13</v>
      </c>
      <c r="H1161" t="s">
        <v>12</v>
      </c>
      <c r="I1161">
        <v>37</v>
      </c>
      <c r="J1161" t="str" cm="1">
        <f t="array" ref="J1161">_xlfn.IFS(ISBLANK(C1161),"FALTANTE",ABS((C1161-$W$5)/$X$5)&gt;1.96,"ATÍPICO",ABS((C1161-$W$5)/$X$5)&lt;=1.96,"NO ATÍPICO")</f>
        <v>NO ATÍPICO</v>
      </c>
      <c r="K1161" t="str" cm="1">
        <f t="array" ref="K1161">_xlfn.IFS(ISBLANK(I1161),"FALTANTE",ABS((I1161-$W$8)/$X$8)&gt;1.92,"ATÍPICO",ABS((I1161-$W$8)/$X$8)&lt;=1.92,"NO ATÍPICO")</f>
        <v>NO ATÍPICO</v>
      </c>
      <c r="L1161">
        <f t="shared" si="88"/>
        <v>400000</v>
      </c>
      <c r="M1161" t="str">
        <f t="shared" si="88"/>
        <v>ASALARIADO</v>
      </c>
      <c r="N1161">
        <f t="shared" si="89"/>
        <v>37</v>
      </c>
      <c r="O1161" s="19" t="str">
        <f t="shared" si="90"/>
        <v>300k–600k</v>
      </c>
      <c r="P1161" s="19" t="str">
        <f t="shared" si="91"/>
        <v>36-45</v>
      </c>
    </row>
    <row r="1162" spans="1:16" x14ac:dyDescent="0.25">
      <c r="A1162">
        <v>1161</v>
      </c>
      <c r="B1162" t="s">
        <v>9</v>
      </c>
      <c r="C1162">
        <v>445799.84</v>
      </c>
      <c r="D1162" t="s">
        <v>10</v>
      </c>
      <c r="E1162" t="s">
        <v>16</v>
      </c>
      <c r="F1162" t="s">
        <v>12</v>
      </c>
      <c r="G1162" t="s">
        <v>12</v>
      </c>
      <c r="H1162" t="s">
        <v>13</v>
      </c>
      <c r="I1162">
        <v>34</v>
      </c>
      <c r="J1162" t="str" cm="1">
        <f t="array" ref="J1162">_xlfn.IFS(ISBLANK(C1162),"FALTANTE",ABS((C1162-$W$5)/$X$5)&gt;1.96,"ATÍPICO",ABS((C1162-$W$5)/$X$5)&lt;=1.96,"NO ATÍPICO")</f>
        <v>NO ATÍPICO</v>
      </c>
      <c r="K1162" t="str" cm="1">
        <f t="array" ref="K1162">_xlfn.IFS(ISBLANK(I1162),"FALTANTE",ABS((I1162-$W$8)/$X$8)&gt;1.92,"ATÍPICO",ABS((I1162-$W$8)/$X$8)&lt;=1.92,"NO ATÍPICO")</f>
        <v>NO ATÍPICO</v>
      </c>
      <c r="L1162">
        <f t="shared" si="88"/>
        <v>445799.84</v>
      </c>
      <c r="M1162" t="str">
        <f t="shared" si="88"/>
        <v>ASALARIADO</v>
      </c>
      <c r="N1162">
        <f t="shared" si="89"/>
        <v>34</v>
      </c>
      <c r="O1162" s="19" t="str">
        <f t="shared" si="90"/>
        <v>300k–600k</v>
      </c>
      <c r="P1162" s="19" t="str">
        <f t="shared" si="91"/>
        <v>26-35</v>
      </c>
    </row>
    <row r="1163" spans="1:16" x14ac:dyDescent="0.25">
      <c r="A1163">
        <v>1162</v>
      </c>
      <c r="B1163" t="s">
        <v>9</v>
      </c>
      <c r="C1163">
        <v>297046</v>
      </c>
      <c r="D1163" t="s">
        <v>17</v>
      </c>
      <c r="E1163" t="s">
        <v>16</v>
      </c>
      <c r="F1163" t="s">
        <v>12</v>
      </c>
      <c r="G1163" t="s">
        <v>13</v>
      </c>
      <c r="H1163" t="s">
        <v>13</v>
      </c>
      <c r="I1163">
        <v>48</v>
      </c>
      <c r="J1163" t="str" cm="1">
        <f t="array" ref="J1163">_xlfn.IFS(ISBLANK(C1163),"FALTANTE",ABS((C1163-$W$5)/$X$5)&gt;1.96,"ATÍPICO",ABS((C1163-$W$5)/$X$5)&lt;=1.96,"NO ATÍPICO")</f>
        <v>NO ATÍPICO</v>
      </c>
      <c r="K1163" t="str" cm="1">
        <f t="array" ref="K1163">_xlfn.IFS(ISBLANK(I1163),"FALTANTE",ABS((I1163-$W$8)/$X$8)&gt;1.92,"ATÍPICO",ABS((I1163-$W$8)/$X$8)&lt;=1.92,"NO ATÍPICO")</f>
        <v>NO ATÍPICO</v>
      </c>
      <c r="L1163">
        <f t="shared" si="88"/>
        <v>297046</v>
      </c>
      <c r="M1163" t="str">
        <f t="shared" si="88"/>
        <v>ASEGURADO VOLUNTARIO</v>
      </c>
      <c r="N1163">
        <f t="shared" si="89"/>
        <v>48</v>
      </c>
      <c r="O1163" s="19" t="str">
        <f t="shared" si="90"/>
        <v>0–300k</v>
      </c>
      <c r="P1163" s="19" t="str">
        <f t="shared" si="91"/>
        <v>46-55</v>
      </c>
    </row>
    <row r="1164" spans="1:16" x14ac:dyDescent="0.25">
      <c r="A1164">
        <v>1163</v>
      </c>
      <c r="B1164" t="s">
        <v>15</v>
      </c>
      <c r="C1164">
        <v>627720.31000000006</v>
      </c>
      <c r="D1164" t="s">
        <v>10</v>
      </c>
      <c r="E1164" t="s">
        <v>16</v>
      </c>
      <c r="F1164" t="s">
        <v>12</v>
      </c>
      <c r="G1164" t="s">
        <v>13</v>
      </c>
      <c r="H1164" t="s">
        <v>13</v>
      </c>
      <c r="I1164">
        <v>20</v>
      </c>
      <c r="J1164" t="str" cm="1">
        <f t="array" ref="J1164">_xlfn.IFS(ISBLANK(C1164),"FALTANTE",ABS((C1164-$W$5)/$X$5)&gt;1.96,"ATÍPICO",ABS((C1164-$W$5)/$X$5)&lt;=1.96,"NO ATÍPICO")</f>
        <v>NO ATÍPICO</v>
      </c>
      <c r="K1164" t="str" cm="1">
        <f t="array" ref="K1164">_xlfn.IFS(ISBLANK(I1164),"FALTANTE",ABS((I1164-$W$8)/$X$8)&gt;1.92,"ATÍPICO",ABS((I1164-$W$8)/$X$8)&lt;=1.92,"NO ATÍPICO")</f>
        <v>NO ATÍPICO</v>
      </c>
      <c r="L1164">
        <f t="shared" si="88"/>
        <v>627720.31000000006</v>
      </c>
      <c r="M1164" t="str">
        <f t="shared" si="88"/>
        <v>ASALARIADO</v>
      </c>
      <c r="N1164">
        <f t="shared" si="89"/>
        <v>20</v>
      </c>
      <c r="O1164" s="19" t="str">
        <f t="shared" si="90"/>
        <v>600k–900k</v>
      </c>
      <c r="P1164" s="19" t="str">
        <f t="shared" si="91"/>
        <v>18-25</v>
      </c>
    </row>
    <row r="1165" spans="1:16" x14ac:dyDescent="0.25">
      <c r="A1165">
        <v>1164</v>
      </c>
      <c r="B1165" t="s">
        <v>9</v>
      </c>
      <c r="C1165">
        <v>540000</v>
      </c>
      <c r="D1165" t="s">
        <v>10</v>
      </c>
      <c r="E1165" t="s">
        <v>16</v>
      </c>
      <c r="F1165" t="s">
        <v>12</v>
      </c>
      <c r="G1165" t="s">
        <v>13</v>
      </c>
      <c r="H1165" t="s">
        <v>13</v>
      </c>
      <c r="I1165">
        <v>28</v>
      </c>
      <c r="J1165" t="str" cm="1">
        <f t="array" ref="J1165">_xlfn.IFS(ISBLANK(C1165),"FALTANTE",ABS((C1165-$W$5)/$X$5)&gt;1.96,"ATÍPICO",ABS((C1165-$W$5)/$X$5)&lt;=1.96,"NO ATÍPICO")</f>
        <v>NO ATÍPICO</v>
      </c>
      <c r="K1165" t="str" cm="1">
        <f t="array" ref="K1165">_xlfn.IFS(ISBLANK(I1165),"FALTANTE",ABS((I1165-$W$8)/$X$8)&gt;1.92,"ATÍPICO",ABS((I1165-$W$8)/$X$8)&lt;=1.92,"NO ATÍPICO")</f>
        <v>NO ATÍPICO</v>
      </c>
      <c r="L1165">
        <f t="shared" si="88"/>
        <v>540000</v>
      </c>
      <c r="M1165" t="str">
        <f t="shared" si="88"/>
        <v>ASALARIADO</v>
      </c>
      <c r="N1165">
        <f t="shared" si="89"/>
        <v>28</v>
      </c>
      <c r="O1165" s="19" t="str">
        <f t="shared" si="90"/>
        <v>300k–600k</v>
      </c>
      <c r="P1165" s="19" t="str">
        <f t="shared" si="91"/>
        <v>26-35</v>
      </c>
    </row>
    <row r="1166" spans="1:16" x14ac:dyDescent="0.25">
      <c r="A1166">
        <v>1165</v>
      </c>
      <c r="B1166" t="s">
        <v>15</v>
      </c>
      <c r="C1166">
        <v>475832.5</v>
      </c>
      <c r="D1166" t="s">
        <v>10</v>
      </c>
      <c r="E1166" t="s">
        <v>16</v>
      </c>
      <c r="F1166" t="s">
        <v>12</v>
      </c>
      <c r="G1166" t="s">
        <v>13</v>
      </c>
      <c r="H1166" t="s">
        <v>13</v>
      </c>
      <c r="I1166">
        <v>26</v>
      </c>
      <c r="J1166" t="str" cm="1">
        <f t="array" ref="J1166">_xlfn.IFS(ISBLANK(C1166),"FALTANTE",ABS((C1166-$W$5)/$X$5)&gt;1.96,"ATÍPICO",ABS((C1166-$W$5)/$X$5)&lt;=1.96,"NO ATÍPICO")</f>
        <v>NO ATÍPICO</v>
      </c>
      <c r="K1166" t="str" cm="1">
        <f t="array" ref="K1166">_xlfn.IFS(ISBLANK(I1166),"FALTANTE",ABS((I1166-$W$8)/$X$8)&gt;1.92,"ATÍPICO",ABS((I1166-$W$8)/$X$8)&lt;=1.92,"NO ATÍPICO")</f>
        <v>NO ATÍPICO</v>
      </c>
      <c r="L1166">
        <f t="shared" si="88"/>
        <v>475832.5</v>
      </c>
      <c r="M1166" t="str">
        <f t="shared" si="88"/>
        <v>ASALARIADO</v>
      </c>
      <c r="N1166">
        <f t="shared" si="89"/>
        <v>26</v>
      </c>
      <c r="O1166" s="19" t="str">
        <f t="shared" si="90"/>
        <v>300k–600k</v>
      </c>
      <c r="P1166" s="19" t="str">
        <f t="shared" si="91"/>
        <v>26-35</v>
      </c>
    </row>
    <row r="1167" spans="1:16" x14ac:dyDescent="0.25">
      <c r="A1167">
        <v>1166</v>
      </c>
      <c r="B1167" t="s">
        <v>9</v>
      </c>
      <c r="C1167">
        <v>324516.38</v>
      </c>
      <c r="D1167" t="s">
        <v>10</v>
      </c>
      <c r="E1167" t="s">
        <v>11</v>
      </c>
      <c r="F1167" t="s">
        <v>12</v>
      </c>
      <c r="G1167" t="s">
        <v>13</v>
      </c>
      <c r="H1167" t="s">
        <v>13</v>
      </c>
      <c r="I1167">
        <v>54</v>
      </c>
      <c r="J1167" t="str" cm="1">
        <f t="array" ref="J1167">_xlfn.IFS(ISBLANK(C1167),"FALTANTE",ABS((C1167-$W$5)/$X$5)&gt;1.96,"ATÍPICO",ABS((C1167-$W$5)/$X$5)&lt;=1.96,"NO ATÍPICO")</f>
        <v>NO ATÍPICO</v>
      </c>
      <c r="K1167" t="str" cm="1">
        <f t="array" ref="K1167">_xlfn.IFS(ISBLANK(I1167),"FALTANTE",ABS((I1167-$W$8)/$X$8)&gt;1.92,"ATÍPICO",ABS((I1167-$W$8)/$X$8)&lt;=1.92,"NO ATÍPICO")</f>
        <v>NO ATÍPICO</v>
      </c>
      <c r="L1167">
        <f t="shared" si="88"/>
        <v>324516.38</v>
      </c>
      <c r="M1167" t="str">
        <f t="shared" si="88"/>
        <v>ASALARIADO</v>
      </c>
      <c r="N1167">
        <f t="shared" si="89"/>
        <v>54</v>
      </c>
      <c r="O1167" s="19" t="str">
        <f t="shared" si="90"/>
        <v>300k–600k</v>
      </c>
      <c r="P1167" s="19" t="str">
        <f t="shared" si="91"/>
        <v>46-55</v>
      </c>
    </row>
    <row r="1168" spans="1:16" x14ac:dyDescent="0.25">
      <c r="A1168">
        <v>1167</v>
      </c>
      <c r="B1168" t="s">
        <v>15</v>
      </c>
      <c r="C1168">
        <v>3300500</v>
      </c>
      <c r="D1168" t="s">
        <v>10</v>
      </c>
      <c r="E1168" t="s">
        <v>16</v>
      </c>
      <c r="F1168" t="s">
        <v>12</v>
      </c>
      <c r="G1168" t="s">
        <v>13</v>
      </c>
      <c r="H1168" t="s">
        <v>13</v>
      </c>
      <c r="I1168">
        <v>48</v>
      </c>
      <c r="J1168" t="str" cm="1">
        <f t="array" ref="J1168">_xlfn.IFS(ISBLANK(C1168),"FALTANTE",ABS((C1168-$W$5)/$X$5)&gt;1.96,"ATÍPICO",ABS((C1168-$W$5)/$X$5)&lt;=1.96,"NO ATÍPICO")</f>
        <v>ATÍPICO</v>
      </c>
      <c r="K1168" t="str" cm="1">
        <f t="array" ref="K1168">_xlfn.IFS(ISBLANK(I1168),"FALTANTE",ABS((I1168-$W$8)/$X$8)&gt;1.92,"ATÍPICO",ABS((I1168-$W$8)/$X$8)&lt;=1.92,"NO ATÍPICO")</f>
        <v>NO ATÍPICO</v>
      </c>
      <c r="L1168">
        <f t="shared" si="88"/>
        <v>3300500</v>
      </c>
      <c r="M1168" t="str">
        <f t="shared" si="88"/>
        <v>ASALARIADO</v>
      </c>
      <c r="N1168">
        <f t="shared" si="89"/>
        <v>48</v>
      </c>
      <c r="O1168" s="19" t="str">
        <f t="shared" si="90"/>
        <v>1200k+</v>
      </c>
      <c r="P1168" s="19" t="str">
        <f t="shared" si="91"/>
        <v>46-55</v>
      </c>
    </row>
    <row r="1169" spans="1:16" x14ac:dyDescent="0.25">
      <c r="A1169">
        <v>1168</v>
      </c>
      <c r="B1169" t="s">
        <v>9</v>
      </c>
      <c r="C1169">
        <v>387626</v>
      </c>
      <c r="D1169" t="s">
        <v>18</v>
      </c>
      <c r="E1169" t="s">
        <v>16</v>
      </c>
      <c r="F1169" t="s">
        <v>12</v>
      </c>
      <c r="G1169" t="s">
        <v>13</v>
      </c>
      <c r="H1169" t="s">
        <v>12</v>
      </c>
      <c r="I1169">
        <v>32</v>
      </c>
      <c r="J1169" t="str" cm="1">
        <f t="array" ref="J1169">_xlfn.IFS(ISBLANK(C1169),"FALTANTE",ABS((C1169-$W$5)/$X$5)&gt;1.96,"ATÍPICO",ABS((C1169-$W$5)/$X$5)&lt;=1.96,"NO ATÍPICO")</f>
        <v>NO ATÍPICO</v>
      </c>
      <c r="K1169" t="str" cm="1">
        <f t="array" ref="K1169">_xlfn.IFS(ISBLANK(I1169),"FALTANTE",ABS((I1169-$W$8)/$X$8)&gt;1.92,"ATÍPICO",ABS((I1169-$W$8)/$X$8)&lt;=1.92,"NO ATÍPICO")</f>
        <v>NO ATÍPICO</v>
      </c>
      <c r="L1169">
        <f t="shared" si="88"/>
        <v>387626</v>
      </c>
      <c r="M1169" t="str">
        <f t="shared" si="88"/>
        <v>TRABAJADOR INDEPENDIENTE</v>
      </c>
      <c r="N1169">
        <f t="shared" si="89"/>
        <v>32</v>
      </c>
      <c r="O1169" s="19" t="str">
        <f t="shared" si="90"/>
        <v>300k–600k</v>
      </c>
      <c r="P1169" s="19" t="str">
        <f t="shared" si="91"/>
        <v>26-35</v>
      </c>
    </row>
    <row r="1170" spans="1:16" x14ac:dyDescent="0.25">
      <c r="A1170">
        <v>1169</v>
      </c>
      <c r="B1170" t="s">
        <v>9</v>
      </c>
      <c r="C1170">
        <v>802029</v>
      </c>
      <c r="D1170" t="s">
        <v>18</v>
      </c>
      <c r="E1170" t="s">
        <v>16</v>
      </c>
      <c r="F1170" t="s">
        <v>12</v>
      </c>
      <c r="G1170" t="s">
        <v>13</v>
      </c>
      <c r="H1170" t="s">
        <v>13</v>
      </c>
      <c r="I1170">
        <v>60</v>
      </c>
      <c r="J1170" t="str" cm="1">
        <f t="array" ref="J1170">_xlfn.IFS(ISBLANK(C1170),"FALTANTE",ABS((C1170-$W$5)/$X$5)&gt;1.96,"ATÍPICO",ABS((C1170-$W$5)/$X$5)&lt;=1.96,"NO ATÍPICO")</f>
        <v>NO ATÍPICO</v>
      </c>
      <c r="K1170" t="str" cm="1">
        <f t="array" ref="K1170">_xlfn.IFS(ISBLANK(I1170),"FALTANTE",ABS((I1170-$W$8)/$X$8)&gt;1.92,"ATÍPICO",ABS((I1170-$W$8)/$X$8)&lt;=1.92,"NO ATÍPICO")</f>
        <v>NO ATÍPICO</v>
      </c>
      <c r="L1170">
        <f t="shared" si="88"/>
        <v>802029</v>
      </c>
      <c r="M1170" t="str">
        <f t="shared" si="88"/>
        <v>TRABAJADOR INDEPENDIENTE</v>
      </c>
      <c r="N1170">
        <f t="shared" si="89"/>
        <v>60</v>
      </c>
      <c r="O1170" s="19" t="str">
        <f t="shared" si="90"/>
        <v>600k–900k</v>
      </c>
      <c r="P1170" s="19" t="str">
        <f t="shared" si="91"/>
        <v>56+</v>
      </c>
    </row>
    <row r="1171" spans="1:16" x14ac:dyDescent="0.25">
      <c r="A1171">
        <v>1170</v>
      </c>
      <c r="B1171" t="s">
        <v>9</v>
      </c>
      <c r="C1171">
        <v>331171</v>
      </c>
      <c r="D1171" t="s">
        <v>10</v>
      </c>
      <c r="E1171" t="s">
        <v>16</v>
      </c>
      <c r="F1171" t="s">
        <v>12</v>
      </c>
      <c r="G1171" t="s">
        <v>13</v>
      </c>
      <c r="H1171" t="s">
        <v>13</v>
      </c>
      <c r="I1171">
        <v>47</v>
      </c>
      <c r="J1171" t="str" cm="1">
        <f t="array" ref="J1171">_xlfn.IFS(ISBLANK(C1171),"FALTANTE",ABS((C1171-$W$5)/$X$5)&gt;1.96,"ATÍPICO",ABS((C1171-$W$5)/$X$5)&lt;=1.96,"NO ATÍPICO")</f>
        <v>NO ATÍPICO</v>
      </c>
      <c r="K1171" t="str" cm="1">
        <f t="array" ref="K1171">_xlfn.IFS(ISBLANK(I1171),"FALTANTE",ABS((I1171-$W$8)/$X$8)&gt;1.92,"ATÍPICO",ABS((I1171-$W$8)/$X$8)&lt;=1.92,"NO ATÍPICO")</f>
        <v>NO ATÍPICO</v>
      </c>
      <c r="L1171">
        <f t="shared" si="88"/>
        <v>331171</v>
      </c>
      <c r="M1171" t="str">
        <f t="shared" si="88"/>
        <v>ASALARIADO</v>
      </c>
      <c r="N1171">
        <f t="shared" si="89"/>
        <v>47</v>
      </c>
      <c r="O1171" s="19" t="str">
        <f t="shared" si="90"/>
        <v>300k–600k</v>
      </c>
      <c r="P1171" s="19" t="str">
        <f t="shared" si="91"/>
        <v>46-55</v>
      </c>
    </row>
    <row r="1172" spans="1:16" x14ac:dyDescent="0.25">
      <c r="A1172">
        <v>1171</v>
      </c>
      <c r="B1172" t="s">
        <v>9</v>
      </c>
      <c r="C1172">
        <v>3652052.72</v>
      </c>
      <c r="D1172" t="s">
        <v>14</v>
      </c>
      <c r="E1172" t="s">
        <v>11</v>
      </c>
      <c r="F1172" t="s">
        <v>12</v>
      </c>
      <c r="G1172" t="s">
        <v>13</v>
      </c>
      <c r="H1172" t="s">
        <v>13</v>
      </c>
      <c r="I1172">
        <v>67</v>
      </c>
      <c r="J1172" t="str" cm="1">
        <f t="array" ref="J1172">_xlfn.IFS(ISBLANK(C1172),"FALTANTE",ABS((C1172-$W$5)/$X$5)&gt;1.96,"ATÍPICO",ABS((C1172-$W$5)/$X$5)&lt;=1.96,"NO ATÍPICO")</f>
        <v>ATÍPICO</v>
      </c>
      <c r="K1172" t="str" cm="1">
        <f t="array" ref="K1172">_xlfn.IFS(ISBLANK(I1172),"FALTANTE",ABS((I1172-$W$8)/$X$8)&gt;1.92,"ATÍPICO",ABS((I1172-$W$8)/$X$8)&lt;=1.92,"NO ATÍPICO")</f>
        <v>NO ATÍPICO</v>
      </c>
      <c r="L1172">
        <f t="shared" si="88"/>
        <v>3652052.72</v>
      </c>
      <c r="M1172" t="str">
        <f t="shared" si="88"/>
        <v>PENSIONADOS EN SU PROPIO SISTEMA</v>
      </c>
      <c r="N1172">
        <f t="shared" si="89"/>
        <v>67</v>
      </c>
      <c r="O1172" s="19" t="str">
        <f t="shared" si="90"/>
        <v>1200k+</v>
      </c>
      <c r="P1172" s="19" t="str">
        <f t="shared" si="91"/>
        <v>56+</v>
      </c>
    </row>
    <row r="1173" spans="1:16" x14ac:dyDescent="0.25">
      <c r="A1173">
        <v>1172</v>
      </c>
      <c r="B1173" t="s">
        <v>9</v>
      </c>
      <c r="C1173">
        <v>2036980.28</v>
      </c>
      <c r="D1173" t="s">
        <v>10</v>
      </c>
      <c r="E1173" t="s">
        <v>16</v>
      </c>
      <c r="F1173" t="s">
        <v>12</v>
      </c>
      <c r="G1173" t="s">
        <v>13</v>
      </c>
      <c r="H1173" t="s">
        <v>13</v>
      </c>
      <c r="I1173">
        <v>36</v>
      </c>
      <c r="J1173" t="str" cm="1">
        <f t="array" ref="J1173">_xlfn.IFS(ISBLANK(C1173),"FALTANTE",ABS((C1173-$W$5)/$X$5)&gt;1.96,"ATÍPICO",ABS((C1173-$W$5)/$X$5)&lt;=1.96,"NO ATÍPICO")</f>
        <v>NO ATÍPICO</v>
      </c>
      <c r="K1173" t="str" cm="1">
        <f t="array" ref="K1173">_xlfn.IFS(ISBLANK(I1173),"FALTANTE",ABS((I1173-$W$8)/$X$8)&gt;1.92,"ATÍPICO",ABS((I1173-$W$8)/$X$8)&lt;=1.92,"NO ATÍPICO")</f>
        <v>NO ATÍPICO</v>
      </c>
      <c r="L1173">
        <f t="shared" si="88"/>
        <v>2036980.28</v>
      </c>
      <c r="M1173" t="str">
        <f t="shared" si="88"/>
        <v>ASALARIADO</v>
      </c>
      <c r="N1173">
        <f t="shared" si="89"/>
        <v>36</v>
      </c>
      <c r="O1173" s="19" t="str">
        <f t="shared" si="90"/>
        <v>1200k+</v>
      </c>
      <c r="P1173" s="19" t="str">
        <f t="shared" si="91"/>
        <v>36-45</v>
      </c>
    </row>
    <row r="1174" spans="1:16" x14ac:dyDescent="0.25">
      <c r="A1174">
        <v>1173</v>
      </c>
      <c r="B1174" t="s">
        <v>9</v>
      </c>
      <c r="C1174">
        <v>279463.71999999997</v>
      </c>
      <c r="D1174" t="s">
        <v>14</v>
      </c>
      <c r="E1174" t="s">
        <v>11</v>
      </c>
      <c r="F1174" t="s">
        <v>12</v>
      </c>
      <c r="G1174" t="s">
        <v>13</v>
      </c>
      <c r="H1174" t="s">
        <v>13</v>
      </c>
      <c r="I1174">
        <v>72</v>
      </c>
      <c r="J1174" t="str" cm="1">
        <f t="array" ref="J1174">_xlfn.IFS(ISBLANK(C1174),"FALTANTE",ABS((C1174-$W$5)/$X$5)&gt;1.96,"ATÍPICO",ABS((C1174-$W$5)/$X$5)&lt;=1.96,"NO ATÍPICO")</f>
        <v>NO ATÍPICO</v>
      </c>
      <c r="K1174" t="str" cm="1">
        <f t="array" ref="K1174">_xlfn.IFS(ISBLANK(I1174),"FALTANTE",ABS((I1174-$W$8)/$X$8)&gt;1.92,"ATÍPICO",ABS((I1174-$W$8)/$X$8)&lt;=1.92,"NO ATÍPICO")</f>
        <v>ATÍPICO</v>
      </c>
      <c r="L1174">
        <f t="shared" si="88"/>
        <v>279463.71999999997</v>
      </c>
      <c r="M1174" t="str">
        <f t="shared" si="88"/>
        <v>PENSIONADOS EN SU PROPIO SISTEMA</v>
      </c>
      <c r="N1174">
        <f t="shared" si="89"/>
        <v>72</v>
      </c>
      <c r="O1174" s="19" t="str">
        <f t="shared" si="90"/>
        <v>0–300k</v>
      </c>
      <c r="P1174" s="19" t="str">
        <f t="shared" si="91"/>
        <v>56+</v>
      </c>
    </row>
    <row r="1175" spans="1:16" x14ac:dyDescent="0.25">
      <c r="A1175">
        <v>1174</v>
      </c>
      <c r="B1175" t="s">
        <v>9</v>
      </c>
      <c r="C1175">
        <v>170013.99</v>
      </c>
      <c r="D1175" t="s">
        <v>10</v>
      </c>
      <c r="E1175" t="s">
        <v>16</v>
      </c>
      <c r="F1175" t="s">
        <v>12</v>
      </c>
      <c r="G1175" t="s">
        <v>13</v>
      </c>
      <c r="H1175" t="s">
        <v>13</v>
      </c>
      <c r="I1175">
        <v>40</v>
      </c>
      <c r="J1175" t="str" cm="1">
        <f t="array" ref="J1175">_xlfn.IFS(ISBLANK(C1175),"FALTANTE",ABS((C1175-$W$5)/$X$5)&gt;1.96,"ATÍPICO",ABS((C1175-$W$5)/$X$5)&lt;=1.96,"NO ATÍPICO")</f>
        <v>NO ATÍPICO</v>
      </c>
      <c r="K1175" t="str" cm="1">
        <f t="array" ref="K1175">_xlfn.IFS(ISBLANK(I1175),"FALTANTE",ABS((I1175-$W$8)/$X$8)&gt;1.92,"ATÍPICO",ABS((I1175-$W$8)/$X$8)&lt;=1.92,"NO ATÍPICO")</f>
        <v>NO ATÍPICO</v>
      </c>
      <c r="L1175">
        <f t="shared" si="88"/>
        <v>170013.99</v>
      </c>
      <c r="M1175" t="str">
        <f t="shared" si="88"/>
        <v>ASALARIADO</v>
      </c>
      <c r="N1175">
        <f t="shared" si="89"/>
        <v>40</v>
      </c>
      <c r="O1175" s="19" t="str">
        <f t="shared" si="90"/>
        <v>0–300k</v>
      </c>
      <c r="P1175" s="19" t="str">
        <f t="shared" si="91"/>
        <v>36-45</v>
      </c>
    </row>
    <row r="1176" spans="1:16" x14ac:dyDescent="0.25">
      <c r="A1176">
        <v>1175</v>
      </c>
      <c r="B1176" t="s">
        <v>15</v>
      </c>
      <c r="C1176">
        <v>307580</v>
      </c>
      <c r="D1176" t="s">
        <v>10</v>
      </c>
      <c r="E1176" t="s">
        <v>16</v>
      </c>
      <c r="F1176" t="s">
        <v>12</v>
      </c>
      <c r="G1176" t="s">
        <v>13</v>
      </c>
      <c r="H1176" t="s">
        <v>13</v>
      </c>
      <c r="I1176">
        <v>19</v>
      </c>
      <c r="J1176" t="str" cm="1">
        <f t="array" ref="J1176">_xlfn.IFS(ISBLANK(C1176),"FALTANTE",ABS((C1176-$W$5)/$X$5)&gt;1.96,"ATÍPICO",ABS((C1176-$W$5)/$X$5)&lt;=1.96,"NO ATÍPICO")</f>
        <v>NO ATÍPICO</v>
      </c>
      <c r="K1176" t="str" cm="1">
        <f t="array" ref="K1176">_xlfn.IFS(ISBLANK(I1176),"FALTANTE",ABS((I1176-$W$8)/$X$8)&gt;1.92,"ATÍPICO",ABS((I1176-$W$8)/$X$8)&lt;=1.92,"NO ATÍPICO")</f>
        <v>NO ATÍPICO</v>
      </c>
      <c r="L1176">
        <f t="shared" si="88"/>
        <v>307580</v>
      </c>
      <c r="M1176" t="str">
        <f t="shared" si="88"/>
        <v>ASALARIADO</v>
      </c>
      <c r="N1176">
        <f t="shared" si="89"/>
        <v>19</v>
      </c>
      <c r="O1176" s="19" t="str">
        <f t="shared" si="90"/>
        <v>300k–600k</v>
      </c>
      <c r="P1176" s="19" t="str">
        <f t="shared" si="91"/>
        <v>18-25</v>
      </c>
    </row>
    <row r="1177" spans="1:16" x14ac:dyDescent="0.25">
      <c r="A1177">
        <v>1176</v>
      </c>
      <c r="B1177" t="s">
        <v>9</v>
      </c>
      <c r="C1177">
        <v>729689.4</v>
      </c>
      <c r="D1177" t="s">
        <v>10</v>
      </c>
      <c r="E1177" t="s">
        <v>16</v>
      </c>
      <c r="F1177" t="s">
        <v>12</v>
      </c>
      <c r="G1177" t="s">
        <v>12</v>
      </c>
      <c r="H1177" t="s">
        <v>13</v>
      </c>
      <c r="I1177">
        <v>38</v>
      </c>
      <c r="J1177" t="str" cm="1">
        <f t="array" ref="J1177">_xlfn.IFS(ISBLANK(C1177),"FALTANTE",ABS((C1177-$W$5)/$X$5)&gt;1.96,"ATÍPICO",ABS((C1177-$W$5)/$X$5)&lt;=1.96,"NO ATÍPICO")</f>
        <v>NO ATÍPICO</v>
      </c>
      <c r="K1177" t="str" cm="1">
        <f t="array" ref="K1177">_xlfn.IFS(ISBLANK(I1177),"FALTANTE",ABS((I1177-$W$8)/$X$8)&gt;1.92,"ATÍPICO",ABS((I1177-$W$8)/$X$8)&lt;=1.92,"NO ATÍPICO")</f>
        <v>NO ATÍPICO</v>
      </c>
      <c r="L1177">
        <f t="shared" si="88"/>
        <v>729689.4</v>
      </c>
      <c r="M1177" t="str">
        <f t="shared" si="88"/>
        <v>ASALARIADO</v>
      </c>
      <c r="N1177">
        <f t="shared" si="89"/>
        <v>38</v>
      </c>
      <c r="O1177" s="19" t="str">
        <f t="shared" si="90"/>
        <v>600k–900k</v>
      </c>
      <c r="P1177" s="19" t="str">
        <f t="shared" si="91"/>
        <v>36-45</v>
      </c>
    </row>
    <row r="1178" spans="1:16" x14ac:dyDescent="0.25">
      <c r="A1178">
        <v>1177</v>
      </c>
      <c r="B1178" t="s">
        <v>15</v>
      </c>
      <c r="C1178">
        <v>287862.75</v>
      </c>
      <c r="D1178" t="s">
        <v>10</v>
      </c>
      <c r="E1178" t="s">
        <v>11</v>
      </c>
      <c r="F1178" t="s">
        <v>12</v>
      </c>
      <c r="G1178" t="s">
        <v>13</v>
      </c>
      <c r="H1178" t="s">
        <v>13</v>
      </c>
      <c r="I1178">
        <v>56</v>
      </c>
      <c r="J1178" t="str" cm="1">
        <f t="array" ref="J1178">_xlfn.IFS(ISBLANK(C1178),"FALTANTE",ABS((C1178-$W$5)/$X$5)&gt;1.96,"ATÍPICO",ABS((C1178-$W$5)/$X$5)&lt;=1.96,"NO ATÍPICO")</f>
        <v>NO ATÍPICO</v>
      </c>
      <c r="K1178" t="str" cm="1">
        <f t="array" ref="K1178">_xlfn.IFS(ISBLANK(I1178),"FALTANTE",ABS((I1178-$W$8)/$X$8)&gt;1.92,"ATÍPICO",ABS((I1178-$W$8)/$X$8)&lt;=1.92,"NO ATÍPICO")</f>
        <v>NO ATÍPICO</v>
      </c>
      <c r="L1178">
        <f t="shared" si="88"/>
        <v>287862.75</v>
      </c>
      <c r="M1178" t="str">
        <f t="shared" si="88"/>
        <v>ASALARIADO</v>
      </c>
      <c r="N1178">
        <f t="shared" si="89"/>
        <v>56</v>
      </c>
      <c r="O1178" s="19" t="str">
        <f t="shared" si="90"/>
        <v>0–300k</v>
      </c>
      <c r="P1178" s="19" t="str">
        <f t="shared" si="91"/>
        <v>56+</v>
      </c>
    </row>
    <row r="1179" spans="1:16" x14ac:dyDescent="0.25">
      <c r="A1179">
        <v>1178</v>
      </c>
      <c r="B1179" t="s">
        <v>9</v>
      </c>
      <c r="C1179">
        <v>420583.35</v>
      </c>
      <c r="D1179" t="s">
        <v>10</v>
      </c>
      <c r="E1179" t="s">
        <v>16</v>
      </c>
      <c r="F1179" t="s">
        <v>12</v>
      </c>
      <c r="G1179" t="s">
        <v>13</v>
      </c>
      <c r="H1179" t="s">
        <v>13</v>
      </c>
      <c r="I1179">
        <v>42</v>
      </c>
      <c r="J1179" t="str" cm="1">
        <f t="array" ref="J1179">_xlfn.IFS(ISBLANK(C1179),"FALTANTE",ABS((C1179-$W$5)/$X$5)&gt;1.96,"ATÍPICO",ABS((C1179-$W$5)/$X$5)&lt;=1.96,"NO ATÍPICO")</f>
        <v>NO ATÍPICO</v>
      </c>
      <c r="K1179" t="str" cm="1">
        <f t="array" ref="K1179">_xlfn.IFS(ISBLANK(I1179),"FALTANTE",ABS((I1179-$W$8)/$X$8)&gt;1.92,"ATÍPICO",ABS((I1179-$W$8)/$X$8)&lt;=1.92,"NO ATÍPICO")</f>
        <v>NO ATÍPICO</v>
      </c>
      <c r="L1179">
        <f t="shared" si="88"/>
        <v>420583.35</v>
      </c>
      <c r="M1179" t="str">
        <f t="shared" si="88"/>
        <v>ASALARIADO</v>
      </c>
      <c r="N1179">
        <f t="shared" si="89"/>
        <v>42</v>
      </c>
      <c r="O1179" s="19" t="str">
        <f t="shared" si="90"/>
        <v>300k–600k</v>
      </c>
      <c r="P1179" s="19" t="str">
        <f t="shared" si="91"/>
        <v>36-45</v>
      </c>
    </row>
    <row r="1180" spans="1:16" x14ac:dyDescent="0.25">
      <c r="A1180">
        <v>1179</v>
      </c>
      <c r="B1180" t="s">
        <v>15</v>
      </c>
      <c r="C1180">
        <v>716640</v>
      </c>
      <c r="D1180" t="s">
        <v>10</v>
      </c>
      <c r="E1180" t="s">
        <v>16</v>
      </c>
      <c r="F1180" t="s">
        <v>12</v>
      </c>
      <c r="G1180" t="s">
        <v>13</v>
      </c>
      <c r="H1180" t="s">
        <v>13</v>
      </c>
      <c r="I1180">
        <v>31</v>
      </c>
      <c r="J1180" t="str" cm="1">
        <f t="array" ref="J1180">_xlfn.IFS(ISBLANK(C1180),"FALTANTE",ABS((C1180-$W$5)/$X$5)&gt;1.96,"ATÍPICO",ABS((C1180-$W$5)/$X$5)&lt;=1.96,"NO ATÍPICO")</f>
        <v>NO ATÍPICO</v>
      </c>
      <c r="K1180" t="str" cm="1">
        <f t="array" ref="K1180">_xlfn.IFS(ISBLANK(I1180),"FALTANTE",ABS((I1180-$W$8)/$X$8)&gt;1.92,"ATÍPICO",ABS((I1180-$W$8)/$X$8)&lt;=1.92,"NO ATÍPICO")</f>
        <v>NO ATÍPICO</v>
      </c>
      <c r="L1180">
        <f t="shared" si="88"/>
        <v>716640</v>
      </c>
      <c r="M1180" t="str">
        <f t="shared" si="88"/>
        <v>ASALARIADO</v>
      </c>
      <c r="N1180">
        <f t="shared" si="89"/>
        <v>31</v>
      </c>
      <c r="O1180" s="19" t="str">
        <f t="shared" si="90"/>
        <v>600k–900k</v>
      </c>
      <c r="P1180" s="19" t="str">
        <f t="shared" si="91"/>
        <v>26-35</v>
      </c>
    </row>
    <row r="1181" spans="1:16" x14ac:dyDescent="0.25">
      <c r="A1181">
        <v>1180</v>
      </c>
      <c r="B1181" t="s">
        <v>9</v>
      </c>
      <c r="C1181">
        <v>330000</v>
      </c>
      <c r="D1181" t="s">
        <v>10</v>
      </c>
      <c r="E1181" t="s">
        <v>16</v>
      </c>
      <c r="F1181" t="s">
        <v>12</v>
      </c>
      <c r="G1181" t="s">
        <v>12</v>
      </c>
      <c r="H1181" t="s">
        <v>12</v>
      </c>
      <c r="I1181">
        <v>56</v>
      </c>
      <c r="J1181" t="str" cm="1">
        <f t="array" ref="J1181">_xlfn.IFS(ISBLANK(C1181),"FALTANTE",ABS((C1181-$W$5)/$X$5)&gt;1.96,"ATÍPICO",ABS((C1181-$W$5)/$X$5)&lt;=1.96,"NO ATÍPICO")</f>
        <v>NO ATÍPICO</v>
      </c>
      <c r="K1181" t="str" cm="1">
        <f t="array" ref="K1181">_xlfn.IFS(ISBLANK(I1181),"FALTANTE",ABS((I1181-$W$8)/$X$8)&gt;1.92,"ATÍPICO",ABS((I1181-$W$8)/$X$8)&lt;=1.92,"NO ATÍPICO")</f>
        <v>NO ATÍPICO</v>
      </c>
      <c r="L1181">
        <f t="shared" si="88"/>
        <v>330000</v>
      </c>
      <c r="M1181" t="str">
        <f t="shared" si="88"/>
        <v>ASALARIADO</v>
      </c>
      <c r="N1181">
        <f t="shared" si="89"/>
        <v>56</v>
      </c>
      <c r="O1181" s="19" t="str">
        <f t="shared" si="90"/>
        <v>300k–600k</v>
      </c>
      <c r="P1181" s="19" t="str">
        <f t="shared" si="91"/>
        <v>56+</v>
      </c>
    </row>
    <row r="1182" spans="1:16" x14ac:dyDescent="0.25">
      <c r="A1182">
        <v>1181</v>
      </c>
      <c r="B1182" t="s">
        <v>9</v>
      </c>
      <c r="C1182">
        <v>389716.32</v>
      </c>
      <c r="D1182" t="s">
        <v>10</v>
      </c>
      <c r="E1182" t="s">
        <v>16</v>
      </c>
      <c r="F1182" t="s">
        <v>12</v>
      </c>
      <c r="G1182" t="s">
        <v>13</v>
      </c>
      <c r="H1182" t="s">
        <v>13</v>
      </c>
      <c r="I1182">
        <v>50</v>
      </c>
      <c r="J1182" t="str" cm="1">
        <f t="array" ref="J1182">_xlfn.IFS(ISBLANK(C1182),"FALTANTE",ABS((C1182-$W$5)/$X$5)&gt;1.96,"ATÍPICO",ABS((C1182-$W$5)/$X$5)&lt;=1.96,"NO ATÍPICO")</f>
        <v>NO ATÍPICO</v>
      </c>
      <c r="K1182" t="str" cm="1">
        <f t="array" ref="K1182">_xlfn.IFS(ISBLANK(I1182),"FALTANTE",ABS((I1182-$W$8)/$X$8)&gt;1.92,"ATÍPICO",ABS((I1182-$W$8)/$X$8)&lt;=1.92,"NO ATÍPICO")</f>
        <v>NO ATÍPICO</v>
      </c>
      <c r="L1182">
        <f t="shared" si="88"/>
        <v>389716.32</v>
      </c>
      <c r="M1182" t="str">
        <f t="shared" si="88"/>
        <v>ASALARIADO</v>
      </c>
      <c r="N1182">
        <f t="shared" si="89"/>
        <v>50</v>
      </c>
      <c r="O1182" s="19" t="str">
        <f t="shared" si="90"/>
        <v>300k–600k</v>
      </c>
      <c r="P1182" s="19" t="str">
        <f t="shared" si="91"/>
        <v>46-55</v>
      </c>
    </row>
    <row r="1183" spans="1:16" x14ac:dyDescent="0.25">
      <c r="A1183">
        <v>1182</v>
      </c>
      <c r="B1183" t="s">
        <v>15</v>
      </c>
      <c r="C1183">
        <v>297046</v>
      </c>
      <c r="D1183" t="s">
        <v>17</v>
      </c>
      <c r="E1183" t="s">
        <v>16</v>
      </c>
      <c r="F1183" t="s">
        <v>12</v>
      </c>
      <c r="G1183" t="s">
        <v>13</v>
      </c>
      <c r="H1183" t="s">
        <v>13</v>
      </c>
      <c r="I1183">
        <v>42</v>
      </c>
      <c r="J1183" t="str" cm="1">
        <f t="array" ref="J1183">_xlfn.IFS(ISBLANK(C1183),"FALTANTE",ABS((C1183-$W$5)/$X$5)&gt;1.96,"ATÍPICO",ABS((C1183-$W$5)/$X$5)&lt;=1.96,"NO ATÍPICO")</f>
        <v>NO ATÍPICO</v>
      </c>
      <c r="K1183" t="str" cm="1">
        <f t="array" ref="K1183">_xlfn.IFS(ISBLANK(I1183),"FALTANTE",ABS((I1183-$W$8)/$X$8)&gt;1.92,"ATÍPICO",ABS((I1183-$W$8)/$X$8)&lt;=1.92,"NO ATÍPICO")</f>
        <v>NO ATÍPICO</v>
      </c>
      <c r="L1183">
        <f t="shared" si="88"/>
        <v>297046</v>
      </c>
      <c r="M1183" t="str">
        <f t="shared" si="88"/>
        <v>ASEGURADO VOLUNTARIO</v>
      </c>
      <c r="N1183">
        <f t="shared" si="89"/>
        <v>42</v>
      </c>
      <c r="O1183" s="19" t="str">
        <f t="shared" si="90"/>
        <v>0–300k</v>
      </c>
      <c r="P1183" s="19" t="str">
        <f t="shared" si="91"/>
        <v>36-45</v>
      </c>
    </row>
    <row r="1184" spans="1:16" x14ac:dyDescent="0.25">
      <c r="A1184">
        <v>1183</v>
      </c>
      <c r="B1184" t="s">
        <v>15</v>
      </c>
      <c r="C1184">
        <v>299647</v>
      </c>
      <c r="D1184" t="s">
        <v>17</v>
      </c>
      <c r="E1184" t="s">
        <v>16</v>
      </c>
      <c r="F1184" t="s">
        <v>12</v>
      </c>
      <c r="G1184" t="s">
        <v>13</v>
      </c>
      <c r="H1184" t="s">
        <v>13</v>
      </c>
      <c r="I1184">
        <v>83</v>
      </c>
      <c r="J1184" t="str" cm="1">
        <f t="array" ref="J1184">_xlfn.IFS(ISBLANK(C1184),"FALTANTE",ABS((C1184-$W$5)/$X$5)&gt;1.96,"ATÍPICO",ABS((C1184-$W$5)/$X$5)&lt;=1.96,"NO ATÍPICO")</f>
        <v>NO ATÍPICO</v>
      </c>
      <c r="K1184" t="str" cm="1">
        <f t="array" ref="K1184">_xlfn.IFS(ISBLANK(I1184),"FALTANTE",ABS((I1184-$W$8)/$X$8)&gt;1.92,"ATÍPICO",ABS((I1184-$W$8)/$X$8)&lt;=1.92,"NO ATÍPICO")</f>
        <v>ATÍPICO</v>
      </c>
      <c r="L1184">
        <f t="shared" si="88"/>
        <v>299647</v>
      </c>
      <c r="M1184" t="str">
        <f t="shared" si="88"/>
        <v>ASEGURADO VOLUNTARIO</v>
      </c>
      <c r="N1184">
        <f t="shared" si="89"/>
        <v>83</v>
      </c>
      <c r="O1184" s="19" t="str">
        <f t="shared" si="90"/>
        <v>0–300k</v>
      </c>
      <c r="P1184" s="19" t="str">
        <f t="shared" si="91"/>
        <v>56+</v>
      </c>
    </row>
    <row r="1185" spans="1:16" x14ac:dyDescent="0.25">
      <c r="A1185">
        <v>1184</v>
      </c>
      <c r="B1185" t="s">
        <v>15</v>
      </c>
      <c r="C1185">
        <v>530654.96</v>
      </c>
      <c r="D1185" t="s">
        <v>10</v>
      </c>
      <c r="E1185" t="s">
        <v>16</v>
      </c>
      <c r="F1185" t="s">
        <v>12</v>
      </c>
      <c r="G1185" t="s">
        <v>13</v>
      </c>
      <c r="H1185" t="s">
        <v>13</v>
      </c>
      <c r="I1185">
        <v>26</v>
      </c>
      <c r="J1185" t="str" cm="1">
        <f t="array" ref="J1185">_xlfn.IFS(ISBLANK(C1185),"FALTANTE",ABS((C1185-$W$5)/$X$5)&gt;1.96,"ATÍPICO",ABS((C1185-$W$5)/$X$5)&lt;=1.96,"NO ATÍPICO")</f>
        <v>NO ATÍPICO</v>
      </c>
      <c r="K1185" t="str" cm="1">
        <f t="array" ref="K1185">_xlfn.IFS(ISBLANK(I1185),"FALTANTE",ABS((I1185-$W$8)/$X$8)&gt;1.92,"ATÍPICO",ABS((I1185-$W$8)/$X$8)&lt;=1.92,"NO ATÍPICO")</f>
        <v>NO ATÍPICO</v>
      </c>
      <c r="L1185">
        <f t="shared" si="88"/>
        <v>530654.96</v>
      </c>
      <c r="M1185" t="str">
        <f t="shared" si="88"/>
        <v>ASALARIADO</v>
      </c>
      <c r="N1185">
        <f t="shared" si="89"/>
        <v>26</v>
      </c>
      <c r="O1185" s="19" t="str">
        <f t="shared" si="90"/>
        <v>300k–600k</v>
      </c>
      <c r="P1185" s="19" t="str">
        <f t="shared" si="91"/>
        <v>26-35</v>
      </c>
    </row>
    <row r="1186" spans="1:16" x14ac:dyDescent="0.25">
      <c r="A1186">
        <v>1185</v>
      </c>
      <c r="B1186" t="s">
        <v>15</v>
      </c>
      <c r="C1186">
        <v>580000</v>
      </c>
      <c r="D1186" t="s">
        <v>10</v>
      </c>
      <c r="E1186" t="s">
        <v>16</v>
      </c>
      <c r="F1186" t="s">
        <v>12</v>
      </c>
      <c r="G1186" t="s">
        <v>13</v>
      </c>
      <c r="H1186" t="s">
        <v>13</v>
      </c>
      <c r="I1186">
        <v>29</v>
      </c>
      <c r="J1186" t="str" cm="1">
        <f t="array" ref="J1186">_xlfn.IFS(ISBLANK(C1186),"FALTANTE",ABS((C1186-$W$5)/$X$5)&gt;1.96,"ATÍPICO",ABS((C1186-$W$5)/$X$5)&lt;=1.96,"NO ATÍPICO")</f>
        <v>NO ATÍPICO</v>
      </c>
      <c r="K1186" t="str" cm="1">
        <f t="array" ref="K1186">_xlfn.IFS(ISBLANK(I1186),"FALTANTE",ABS((I1186-$W$8)/$X$8)&gt;1.92,"ATÍPICO",ABS((I1186-$W$8)/$X$8)&lt;=1.92,"NO ATÍPICO")</f>
        <v>NO ATÍPICO</v>
      </c>
      <c r="L1186">
        <f t="shared" si="88"/>
        <v>580000</v>
      </c>
      <c r="M1186" t="str">
        <f t="shared" si="88"/>
        <v>ASALARIADO</v>
      </c>
      <c r="N1186">
        <f t="shared" si="89"/>
        <v>29</v>
      </c>
      <c r="O1186" s="19" t="str">
        <f t="shared" si="90"/>
        <v>300k–600k</v>
      </c>
      <c r="P1186" s="19" t="str">
        <f t="shared" si="91"/>
        <v>26-35</v>
      </c>
    </row>
    <row r="1187" spans="1:16" x14ac:dyDescent="0.25">
      <c r="A1187">
        <v>1186</v>
      </c>
      <c r="B1187" t="s">
        <v>15</v>
      </c>
      <c r="C1187">
        <v>590156.81999999995</v>
      </c>
      <c r="D1187" t="s">
        <v>10</v>
      </c>
      <c r="E1187" t="s">
        <v>16</v>
      </c>
      <c r="F1187" t="s">
        <v>12</v>
      </c>
      <c r="G1187" t="s">
        <v>13</v>
      </c>
      <c r="H1187" t="s">
        <v>13</v>
      </c>
      <c r="I1187">
        <v>27</v>
      </c>
      <c r="J1187" t="str" cm="1">
        <f t="array" ref="J1187">_xlfn.IFS(ISBLANK(C1187),"FALTANTE",ABS((C1187-$W$5)/$X$5)&gt;1.96,"ATÍPICO",ABS((C1187-$W$5)/$X$5)&lt;=1.96,"NO ATÍPICO")</f>
        <v>NO ATÍPICO</v>
      </c>
      <c r="K1187" t="str" cm="1">
        <f t="array" ref="K1187">_xlfn.IFS(ISBLANK(I1187),"FALTANTE",ABS((I1187-$W$8)/$X$8)&gt;1.92,"ATÍPICO",ABS((I1187-$W$8)/$X$8)&lt;=1.92,"NO ATÍPICO")</f>
        <v>NO ATÍPICO</v>
      </c>
      <c r="L1187">
        <f t="shared" si="88"/>
        <v>590156.81999999995</v>
      </c>
      <c r="M1187" t="str">
        <f t="shared" si="88"/>
        <v>ASALARIADO</v>
      </c>
      <c r="N1187">
        <f t="shared" si="89"/>
        <v>27</v>
      </c>
      <c r="O1187" s="19" t="str">
        <f t="shared" si="90"/>
        <v>300k–600k</v>
      </c>
      <c r="P1187" s="19" t="str">
        <f t="shared" si="91"/>
        <v>26-35</v>
      </c>
    </row>
    <row r="1188" spans="1:16" x14ac:dyDescent="0.25">
      <c r="A1188">
        <v>1187</v>
      </c>
      <c r="B1188" t="s">
        <v>15</v>
      </c>
      <c r="C1188">
        <v>1136716.6599999999</v>
      </c>
      <c r="D1188" t="s">
        <v>10</v>
      </c>
      <c r="E1188" t="s">
        <v>16</v>
      </c>
      <c r="F1188" t="s">
        <v>12</v>
      </c>
      <c r="G1188" t="s">
        <v>13</v>
      </c>
      <c r="H1188" t="s">
        <v>13</v>
      </c>
      <c r="I1188">
        <v>27</v>
      </c>
      <c r="J1188" t="str" cm="1">
        <f t="array" ref="J1188">_xlfn.IFS(ISBLANK(C1188),"FALTANTE",ABS((C1188-$W$5)/$X$5)&gt;1.96,"ATÍPICO",ABS((C1188-$W$5)/$X$5)&lt;=1.96,"NO ATÍPICO")</f>
        <v>NO ATÍPICO</v>
      </c>
      <c r="K1188" t="str" cm="1">
        <f t="array" ref="K1188">_xlfn.IFS(ISBLANK(I1188),"FALTANTE",ABS((I1188-$W$8)/$X$8)&gt;1.92,"ATÍPICO",ABS((I1188-$W$8)/$X$8)&lt;=1.92,"NO ATÍPICO")</f>
        <v>NO ATÍPICO</v>
      </c>
      <c r="L1188">
        <f t="shared" si="88"/>
        <v>1136716.6599999999</v>
      </c>
      <c r="M1188" t="str">
        <f t="shared" si="88"/>
        <v>ASALARIADO</v>
      </c>
      <c r="N1188">
        <f t="shared" si="89"/>
        <v>27</v>
      </c>
      <c r="O1188" s="19" t="str">
        <f t="shared" si="90"/>
        <v>900k–1200k</v>
      </c>
      <c r="P1188" s="19" t="str">
        <f t="shared" si="91"/>
        <v>26-35</v>
      </c>
    </row>
    <row r="1189" spans="1:16" x14ac:dyDescent="0.25">
      <c r="A1189">
        <v>1188</v>
      </c>
      <c r="B1189" t="s">
        <v>9</v>
      </c>
      <c r="C1189">
        <v>458557</v>
      </c>
      <c r="D1189" t="s">
        <v>18</v>
      </c>
      <c r="E1189" t="s">
        <v>16</v>
      </c>
      <c r="F1189" t="s">
        <v>12</v>
      </c>
      <c r="G1189" t="s">
        <v>13</v>
      </c>
      <c r="H1189" t="s">
        <v>13</v>
      </c>
      <c r="I1189">
        <v>42</v>
      </c>
      <c r="J1189" t="str" cm="1">
        <f t="array" ref="J1189">_xlfn.IFS(ISBLANK(C1189),"FALTANTE",ABS((C1189-$W$5)/$X$5)&gt;1.96,"ATÍPICO",ABS((C1189-$W$5)/$X$5)&lt;=1.96,"NO ATÍPICO")</f>
        <v>NO ATÍPICO</v>
      </c>
      <c r="K1189" t="str" cm="1">
        <f t="array" ref="K1189">_xlfn.IFS(ISBLANK(I1189),"FALTANTE",ABS((I1189-$W$8)/$X$8)&gt;1.92,"ATÍPICO",ABS((I1189-$W$8)/$X$8)&lt;=1.92,"NO ATÍPICO")</f>
        <v>NO ATÍPICO</v>
      </c>
      <c r="L1189">
        <f t="shared" si="88"/>
        <v>458557</v>
      </c>
      <c r="M1189" t="str">
        <f t="shared" si="88"/>
        <v>TRABAJADOR INDEPENDIENTE</v>
      </c>
      <c r="N1189">
        <f t="shared" si="89"/>
        <v>42</v>
      </c>
      <c r="O1189" s="19" t="str">
        <f t="shared" si="90"/>
        <v>300k–600k</v>
      </c>
      <c r="P1189" s="19" t="str">
        <f t="shared" si="91"/>
        <v>36-45</v>
      </c>
    </row>
    <row r="1190" spans="1:16" x14ac:dyDescent="0.25">
      <c r="A1190">
        <v>1189</v>
      </c>
      <c r="B1190" t="s">
        <v>9</v>
      </c>
      <c r="C1190">
        <v>1273490.6299999999</v>
      </c>
      <c r="D1190" t="s">
        <v>10</v>
      </c>
      <c r="E1190" t="s">
        <v>16</v>
      </c>
      <c r="F1190" t="s">
        <v>12</v>
      </c>
      <c r="G1190" t="s">
        <v>13</v>
      </c>
      <c r="H1190" t="s">
        <v>13</v>
      </c>
      <c r="I1190">
        <v>27</v>
      </c>
      <c r="J1190" t="str" cm="1">
        <f t="array" ref="J1190">_xlfn.IFS(ISBLANK(C1190),"FALTANTE",ABS((C1190-$W$5)/$X$5)&gt;1.96,"ATÍPICO",ABS((C1190-$W$5)/$X$5)&lt;=1.96,"NO ATÍPICO")</f>
        <v>NO ATÍPICO</v>
      </c>
      <c r="K1190" t="str" cm="1">
        <f t="array" ref="K1190">_xlfn.IFS(ISBLANK(I1190),"FALTANTE",ABS((I1190-$W$8)/$X$8)&gt;1.92,"ATÍPICO",ABS((I1190-$W$8)/$X$8)&lt;=1.92,"NO ATÍPICO")</f>
        <v>NO ATÍPICO</v>
      </c>
      <c r="L1190">
        <f t="shared" si="88"/>
        <v>1273490.6299999999</v>
      </c>
      <c r="M1190" t="str">
        <f t="shared" si="88"/>
        <v>ASALARIADO</v>
      </c>
      <c r="N1190">
        <f t="shared" si="89"/>
        <v>27</v>
      </c>
      <c r="O1190" s="19" t="str">
        <f t="shared" si="90"/>
        <v>1200k+</v>
      </c>
      <c r="P1190" s="19" t="str">
        <f t="shared" si="91"/>
        <v>26-35</v>
      </c>
    </row>
    <row r="1191" spans="1:16" x14ac:dyDescent="0.25">
      <c r="A1191">
        <v>1190</v>
      </c>
      <c r="B1191" t="s">
        <v>9</v>
      </c>
      <c r="C1191">
        <v>403983</v>
      </c>
      <c r="D1191" t="s">
        <v>18</v>
      </c>
      <c r="E1191" t="s">
        <v>16</v>
      </c>
      <c r="F1191" t="s">
        <v>12</v>
      </c>
      <c r="G1191" t="s">
        <v>13</v>
      </c>
      <c r="H1191" t="s">
        <v>12</v>
      </c>
      <c r="I1191">
        <v>43</v>
      </c>
      <c r="J1191" t="str" cm="1">
        <f t="array" ref="J1191">_xlfn.IFS(ISBLANK(C1191),"FALTANTE",ABS((C1191-$W$5)/$X$5)&gt;1.96,"ATÍPICO",ABS((C1191-$W$5)/$X$5)&lt;=1.96,"NO ATÍPICO")</f>
        <v>NO ATÍPICO</v>
      </c>
      <c r="K1191" t="str" cm="1">
        <f t="array" ref="K1191">_xlfn.IFS(ISBLANK(I1191),"FALTANTE",ABS((I1191-$W$8)/$X$8)&gt;1.92,"ATÍPICO",ABS((I1191-$W$8)/$X$8)&lt;=1.92,"NO ATÍPICO")</f>
        <v>NO ATÍPICO</v>
      </c>
      <c r="L1191">
        <f t="shared" si="88"/>
        <v>403983</v>
      </c>
      <c r="M1191" t="str">
        <f t="shared" si="88"/>
        <v>TRABAJADOR INDEPENDIENTE</v>
      </c>
      <c r="N1191">
        <f t="shared" si="89"/>
        <v>43</v>
      </c>
      <c r="O1191" s="19" t="str">
        <f t="shared" si="90"/>
        <v>300k–600k</v>
      </c>
      <c r="P1191" s="19" t="str">
        <f t="shared" si="91"/>
        <v>36-45</v>
      </c>
    </row>
    <row r="1192" spans="1:16" x14ac:dyDescent="0.25">
      <c r="A1192">
        <v>1191</v>
      </c>
      <c r="B1192" t="s">
        <v>9</v>
      </c>
      <c r="C1192">
        <v>1646695</v>
      </c>
      <c r="D1192" t="s">
        <v>10</v>
      </c>
      <c r="E1192" t="s">
        <v>11</v>
      </c>
      <c r="F1192" t="s">
        <v>12</v>
      </c>
      <c r="G1192" t="s">
        <v>13</v>
      </c>
      <c r="H1192" t="s">
        <v>12</v>
      </c>
      <c r="I1192">
        <v>54</v>
      </c>
      <c r="J1192" t="str" cm="1">
        <f t="array" ref="J1192">_xlfn.IFS(ISBLANK(C1192),"FALTANTE",ABS((C1192-$W$5)/$X$5)&gt;1.96,"ATÍPICO",ABS((C1192-$W$5)/$X$5)&lt;=1.96,"NO ATÍPICO")</f>
        <v>NO ATÍPICO</v>
      </c>
      <c r="K1192" t="str" cm="1">
        <f t="array" ref="K1192">_xlfn.IFS(ISBLANK(I1192),"FALTANTE",ABS((I1192-$W$8)/$X$8)&gt;1.92,"ATÍPICO",ABS((I1192-$W$8)/$X$8)&lt;=1.92,"NO ATÍPICO")</f>
        <v>NO ATÍPICO</v>
      </c>
      <c r="L1192">
        <f t="shared" si="88"/>
        <v>1646695</v>
      </c>
      <c r="M1192" t="str">
        <f t="shared" si="88"/>
        <v>ASALARIADO</v>
      </c>
      <c r="N1192">
        <f t="shared" si="89"/>
        <v>54</v>
      </c>
      <c r="O1192" s="19" t="str">
        <f t="shared" si="90"/>
        <v>1200k+</v>
      </c>
      <c r="P1192" s="19" t="str">
        <f t="shared" si="91"/>
        <v>46-55</v>
      </c>
    </row>
    <row r="1193" spans="1:16" x14ac:dyDescent="0.25">
      <c r="A1193">
        <v>1192</v>
      </c>
      <c r="B1193" t="s">
        <v>15</v>
      </c>
      <c r="C1193">
        <v>634764</v>
      </c>
      <c r="D1193" t="s">
        <v>14</v>
      </c>
      <c r="E1193" t="s">
        <v>11</v>
      </c>
      <c r="F1193" t="s">
        <v>12</v>
      </c>
      <c r="G1193" t="s">
        <v>13</v>
      </c>
      <c r="H1193" t="s">
        <v>13</v>
      </c>
      <c r="I1193">
        <v>69</v>
      </c>
      <c r="J1193" t="str" cm="1">
        <f t="array" ref="J1193">_xlfn.IFS(ISBLANK(C1193),"FALTANTE",ABS((C1193-$W$5)/$X$5)&gt;1.96,"ATÍPICO",ABS((C1193-$W$5)/$X$5)&lt;=1.96,"NO ATÍPICO")</f>
        <v>NO ATÍPICO</v>
      </c>
      <c r="K1193" t="str" cm="1">
        <f t="array" ref="K1193">_xlfn.IFS(ISBLANK(I1193),"FALTANTE",ABS((I1193-$W$8)/$X$8)&gt;1.92,"ATÍPICO",ABS((I1193-$W$8)/$X$8)&lt;=1.92,"NO ATÍPICO")</f>
        <v>NO ATÍPICO</v>
      </c>
      <c r="L1193">
        <f t="shared" si="88"/>
        <v>634764</v>
      </c>
      <c r="M1193" t="str">
        <f t="shared" si="88"/>
        <v>PENSIONADOS EN SU PROPIO SISTEMA</v>
      </c>
      <c r="N1193">
        <f t="shared" si="89"/>
        <v>69</v>
      </c>
      <c r="O1193" s="19" t="str">
        <f t="shared" si="90"/>
        <v>600k–900k</v>
      </c>
      <c r="P1193" s="19" t="str">
        <f t="shared" si="91"/>
        <v>56+</v>
      </c>
    </row>
    <row r="1194" spans="1:16" x14ac:dyDescent="0.25">
      <c r="A1194">
        <v>1193</v>
      </c>
      <c r="B1194" t="s">
        <v>9</v>
      </c>
      <c r="C1194">
        <v>303131</v>
      </c>
      <c r="D1194" t="s">
        <v>14</v>
      </c>
      <c r="E1194" t="s">
        <v>11</v>
      </c>
      <c r="F1194" t="s">
        <v>12</v>
      </c>
      <c r="G1194" t="s">
        <v>13</v>
      </c>
      <c r="H1194" t="s">
        <v>13</v>
      </c>
      <c r="I1194">
        <v>88</v>
      </c>
      <c r="J1194" t="str" cm="1">
        <f t="array" ref="J1194">_xlfn.IFS(ISBLANK(C1194),"FALTANTE",ABS((C1194-$W$5)/$X$5)&gt;1.96,"ATÍPICO",ABS((C1194-$W$5)/$X$5)&lt;=1.96,"NO ATÍPICO")</f>
        <v>NO ATÍPICO</v>
      </c>
      <c r="K1194" t="str" cm="1">
        <f t="array" ref="K1194">_xlfn.IFS(ISBLANK(I1194),"FALTANTE",ABS((I1194-$W$8)/$X$8)&gt;1.92,"ATÍPICO",ABS((I1194-$W$8)/$X$8)&lt;=1.92,"NO ATÍPICO")</f>
        <v>ATÍPICO</v>
      </c>
      <c r="L1194">
        <f t="shared" si="88"/>
        <v>303131</v>
      </c>
      <c r="M1194" t="str">
        <f t="shared" si="88"/>
        <v>PENSIONADOS EN SU PROPIO SISTEMA</v>
      </c>
      <c r="N1194">
        <f t="shared" si="89"/>
        <v>88</v>
      </c>
      <c r="O1194" s="19" t="str">
        <f t="shared" si="90"/>
        <v>300k–600k</v>
      </c>
      <c r="P1194" s="19" t="str">
        <f t="shared" si="91"/>
        <v>56+</v>
      </c>
    </row>
    <row r="1195" spans="1:16" x14ac:dyDescent="0.25">
      <c r="A1195">
        <v>1194</v>
      </c>
      <c r="B1195" t="s">
        <v>15</v>
      </c>
      <c r="C1195">
        <v>298751</v>
      </c>
      <c r="D1195" t="s">
        <v>18</v>
      </c>
      <c r="E1195" t="s">
        <v>16</v>
      </c>
      <c r="F1195" t="s">
        <v>12</v>
      </c>
      <c r="G1195" t="s">
        <v>13</v>
      </c>
      <c r="H1195" t="s">
        <v>12</v>
      </c>
      <c r="I1195">
        <v>36</v>
      </c>
      <c r="J1195" t="str" cm="1">
        <f t="array" ref="J1195">_xlfn.IFS(ISBLANK(C1195),"FALTANTE",ABS((C1195-$W$5)/$X$5)&gt;1.96,"ATÍPICO",ABS((C1195-$W$5)/$X$5)&lt;=1.96,"NO ATÍPICO")</f>
        <v>NO ATÍPICO</v>
      </c>
      <c r="K1195" t="str" cm="1">
        <f t="array" ref="K1195">_xlfn.IFS(ISBLANK(I1195),"FALTANTE",ABS((I1195-$W$8)/$X$8)&gt;1.92,"ATÍPICO",ABS((I1195-$W$8)/$X$8)&lt;=1.92,"NO ATÍPICO")</f>
        <v>NO ATÍPICO</v>
      </c>
      <c r="L1195">
        <f t="shared" si="88"/>
        <v>298751</v>
      </c>
      <c r="M1195" t="str">
        <f t="shared" si="88"/>
        <v>TRABAJADOR INDEPENDIENTE</v>
      </c>
      <c r="N1195">
        <f t="shared" si="89"/>
        <v>36</v>
      </c>
      <c r="O1195" s="19" t="str">
        <f t="shared" si="90"/>
        <v>0–300k</v>
      </c>
      <c r="P1195" s="19" t="str">
        <f t="shared" si="91"/>
        <v>36-45</v>
      </c>
    </row>
    <row r="1196" spans="1:16" x14ac:dyDescent="0.25">
      <c r="A1196">
        <v>1195</v>
      </c>
      <c r="B1196" t="s">
        <v>15</v>
      </c>
      <c r="C1196">
        <v>220000</v>
      </c>
      <c r="D1196" t="s">
        <v>10</v>
      </c>
      <c r="E1196" t="s">
        <v>16</v>
      </c>
      <c r="F1196" t="s">
        <v>12</v>
      </c>
      <c r="G1196" t="s">
        <v>13</v>
      </c>
      <c r="H1196" t="s">
        <v>13</v>
      </c>
      <c r="I1196">
        <v>25</v>
      </c>
      <c r="J1196" t="str" cm="1">
        <f t="array" ref="J1196">_xlfn.IFS(ISBLANK(C1196),"FALTANTE",ABS((C1196-$W$5)/$X$5)&gt;1.96,"ATÍPICO",ABS((C1196-$W$5)/$X$5)&lt;=1.96,"NO ATÍPICO")</f>
        <v>NO ATÍPICO</v>
      </c>
      <c r="K1196" t="str" cm="1">
        <f t="array" ref="K1196">_xlfn.IFS(ISBLANK(I1196),"FALTANTE",ABS((I1196-$W$8)/$X$8)&gt;1.92,"ATÍPICO",ABS((I1196-$W$8)/$X$8)&lt;=1.92,"NO ATÍPICO")</f>
        <v>NO ATÍPICO</v>
      </c>
      <c r="L1196">
        <f t="shared" si="88"/>
        <v>220000</v>
      </c>
      <c r="M1196" t="str">
        <f t="shared" si="88"/>
        <v>ASALARIADO</v>
      </c>
      <c r="N1196">
        <f t="shared" si="89"/>
        <v>25</v>
      </c>
      <c r="O1196" s="19" t="str">
        <f t="shared" si="90"/>
        <v>0–300k</v>
      </c>
      <c r="P1196" s="19" t="str">
        <f t="shared" si="91"/>
        <v>18-25</v>
      </c>
    </row>
    <row r="1197" spans="1:16" x14ac:dyDescent="0.25">
      <c r="A1197">
        <v>1196</v>
      </c>
      <c r="B1197" t="s">
        <v>9</v>
      </c>
      <c r="C1197">
        <v>446228</v>
      </c>
      <c r="D1197" t="s">
        <v>10</v>
      </c>
      <c r="E1197" t="s">
        <v>16</v>
      </c>
      <c r="F1197" t="s">
        <v>12</v>
      </c>
      <c r="G1197" t="s">
        <v>13</v>
      </c>
      <c r="H1197" t="s">
        <v>13</v>
      </c>
      <c r="I1197">
        <v>30</v>
      </c>
      <c r="J1197" t="str" cm="1">
        <f t="array" ref="J1197">_xlfn.IFS(ISBLANK(C1197),"FALTANTE",ABS((C1197-$W$5)/$X$5)&gt;1.96,"ATÍPICO",ABS((C1197-$W$5)/$X$5)&lt;=1.96,"NO ATÍPICO")</f>
        <v>NO ATÍPICO</v>
      </c>
      <c r="K1197" t="str" cm="1">
        <f t="array" ref="K1197">_xlfn.IFS(ISBLANK(I1197),"FALTANTE",ABS((I1197-$W$8)/$X$8)&gt;1.92,"ATÍPICO",ABS((I1197-$W$8)/$X$8)&lt;=1.92,"NO ATÍPICO")</f>
        <v>NO ATÍPICO</v>
      </c>
      <c r="L1197">
        <f t="shared" si="88"/>
        <v>446228</v>
      </c>
      <c r="M1197" t="str">
        <f t="shared" si="88"/>
        <v>ASALARIADO</v>
      </c>
      <c r="N1197">
        <f t="shared" si="89"/>
        <v>30</v>
      </c>
      <c r="O1197" s="19" t="str">
        <f t="shared" si="90"/>
        <v>300k–600k</v>
      </c>
      <c r="P1197" s="19" t="str">
        <f t="shared" si="91"/>
        <v>26-35</v>
      </c>
    </row>
    <row r="1198" spans="1:16" x14ac:dyDescent="0.25">
      <c r="A1198">
        <v>1197</v>
      </c>
      <c r="B1198" t="s">
        <v>9</v>
      </c>
      <c r="C1198">
        <v>24000</v>
      </c>
      <c r="D1198" t="s">
        <v>10</v>
      </c>
      <c r="E1198" t="s">
        <v>16</v>
      </c>
      <c r="F1198" t="s">
        <v>12</v>
      </c>
      <c r="G1198" t="s">
        <v>12</v>
      </c>
      <c r="H1198" t="s">
        <v>13</v>
      </c>
      <c r="I1198">
        <v>35</v>
      </c>
      <c r="J1198" t="str" cm="1">
        <f t="array" ref="J1198">_xlfn.IFS(ISBLANK(C1198),"FALTANTE",ABS((C1198-$W$5)/$X$5)&gt;1.96,"ATÍPICO",ABS((C1198-$W$5)/$X$5)&lt;=1.96,"NO ATÍPICO")</f>
        <v>NO ATÍPICO</v>
      </c>
      <c r="K1198" t="str" cm="1">
        <f t="array" ref="K1198">_xlfn.IFS(ISBLANK(I1198),"FALTANTE",ABS((I1198-$W$8)/$X$8)&gt;1.92,"ATÍPICO",ABS((I1198-$W$8)/$X$8)&lt;=1.92,"NO ATÍPICO")</f>
        <v>NO ATÍPICO</v>
      </c>
      <c r="L1198">
        <f t="shared" si="88"/>
        <v>24000</v>
      </c>
      <c r="M1198" t="str">
        <f t="shared" si="88"/>
        <v>ASALARIADO</v>
      </c>
      <c r="N1198">
        <f t="shared" si="89"/>
        <v>35</v>
      </c>
      <c r="O1198" s="19" t="str">
        <f t="shared" si="90"/>
        <v>0–300k</v>
      </c>
      <c r="P1198" s="19" t="str">
        <f t="shared" si="91"/>
        <v>26-35</v>
      </c>
    </row>
    <row r="1199" spans="1:16" x14ac:dyDescent="0.25">
      <c r="A1199">
        <v>1198</v>
      </c>
      <c r="B1199" t="s">
        <v>9</v>
      </c>
      <c r="C1199">
        <v>120159.3</v>
      </c>
      <c r="D1199" t="s">
        <v>10</v>
      </c>
      <c r="E1199" t="s">
        <v>16</v>
      </c>
      <c r="F1199" t="s">
        <v>12</v>
      </c>
      <c r="G1199" t="s">
        <v>13</v>
      </c>
      <c r="H1199" t="s">
        <v>13</v>
      </c>
      <c r="I1199">
        <v>66</v>
      </c>
      <c r="J1199" t="str" cm="1">
        <f t="array" ref="J1199">_xlfn.IFS(ISBLANK(C1199),"FALTANTE",ABS((C1199-$W$5)/$X$5)&gt;1.96,"ATÍPICO",ABS((C1199-$W$5)/$X$5)&lt;=1.96,"NO ATÍPICO")</f>
        <v>NO ATÍPICO</v>
      </c>
      <c r="K1199" t="str" cm="1">
        <f t="array" ref="K1199">_xlfn.IFS(ISBLANK(I1199),"FALTANTE",ABS((I1199-$W$8)/$X$8)&gt;1.92,"ATÍPICO",ABS((I1199-$W$8)/$X$8)&lt;=1.92,"NO ATÍPICO")</f>
        <v>NO ATÍPICO</v>
      </c>
      <c r="L1199">
        <f t="shared" si="88"/>
        <v>120159.3</v>
      </c>
      <c r="M1199" t="str">
        <f t="shared" si="88"/>
        <v>ASALARIADO</v>
      </c>
      <c r="N1199">
        <f t="shared" si="89"/>
        <v>66</v>
      </c>
      <c r="O1199" s="19" t="str">
        <f t="shared" si="90"/>
        <v>0–300k</v>
      </c>
      <c r="P1199" s="19" t="str">
        <f t="shared" si="91"/>
        <v>56+</v>
      </c>
    </row>
    <row r="1200" spans="1:16" x14ac:dyDescent="0.25">
      <c r="A1200">
        <v>1199</v>
      </c>
      <c r="B1200" t="s">
        <v>9</v>
      </c>
      <c r="C1200">
        <v>296822.51</v>
      </c>
      <c r="D1200" t="s">
        <v>10</v>
      </c>
      <c r="E1200" t="s">
        <v>16</v>
      </c>
      <c r="F1200" t="s">
        <v>12</v>
      </c>
      <c r="G1200" t="s">
        <v>12</v>
      </c>
      <c r="H1200" t="s">
        <v>13</v>
      </c>
      <c r="I1200">
        <v>27</v>
      </c>
      <c r="J1200" t="str" cm="1">
        <f t="array" ref="J1200">_xlfn.IFS(ISBLANK(C1200),"FALTANTE",ABS((C1200-$W$5)/$X$5)&gt;1.96,"ATÍPICO",ABS((C1200-$W$5)/$X$5)&lt;=1.96,"NO ATÍPICO")</f>
        <v>NO ATÍPICO</v>
      </c>
      <c r="K1200" t="str" cm="1">
        <f t="array" ref="K1200">_xlfn.IFS(ISBLANK(I1200),"FALTANTE",ABS((I1200-$W$8)/$X$8)&gt;1.92,"ATÍPICO",ABS((I1200-$W$8)/$X$8)&lt;=1.92,"NO ATÍPICO")</f>
        <v>NO ATÍPICO</v>
      </c>
      <c r="L1200">
        <f t="shared" si="88"/>
        <v>296822.51</v>
      </c>
      <c r="M1200" t="str">
        <f t="shared" si="88"/>
        <v>ASALARIADO</v>
      </c>
      <c r="N1200">
        <f t="shared" si="89"/>
        <v>27</v>
      </c>
      <c r="O1200" s="19" t="str">
        <f t="shared" si="90"/>
        <v>0–300k</v>
      </c>
      <c r="P1200" s="19" t="str">
        <f t="shared" si="91"/>
        <v>26-35</v>
      </c>
    </row>
    <row r="1201" spans="1:16" x14ac:dyDescent="0.25">
      <c r="A1201">
        <v>1200</v>
      </c>
      <c r="B1201" t="s">
        <v>15</v>
      </c>
      <c r="C1201">
        <v>278031</v>
      </c>
      <c r="D1201" t="s">
        <v>17</v>
      </c>
      <c r="E1201" t="s">
        <v>16</v>
      </c>
      <c r="F1201" t="s">
        <v>12</v>
      </c>
      <c r="G1201" t="s">
        <v>13</v>
      </c>
      <c r="H1201" t="s">
        <v>12</v>
      </c>
      <c r="I1201">
        <v>46</v>
      </c>
      <c r="J1201" t="str" cm="1">
        <f t="array" ref="J1201">_xlfn.IFS(ISBLANK(C1201),"FALTANTE",ABS((C1201-$W$5)/$X$5)&gt;1.96,"ATÍPICO",ABS((C1201-$W$5)/$X$5)&lt;=1.96,"NO ATÍPICO")</f>
        <v>NO ATÍPICO</v>
      </c>
      <c r="K1201" t="str" cm="1">
        <f t="array" ref="K1201">_xlfn.IFS(ISBLANK(I1201),"FALTANTE",ABS((I1201-$W$8)/$X$8)&gt;1.92,"ATÍPICO",ABS((I1201-$W$8)/$X$8)&lt;=1.92,"NO ATÍPICO")</f>
        <v>NO ATÍPICO</v>
      </c>
      <c r="L1201">
        <f t="shared" si="88"/>
        <v>278031</v>
      </c>
      <c r="M1201" t="str">
        <f t="shared" si="88"/>
        <v>ASEGURADO VOLUNTARIO</v>
      </c>
      <c r="N1201">
        <f t="shared" si="89"/>
        <v>46</v>
      </c>
      <c r="O1201" s="19" t="str">
        <f t="shared" si="90"/>
        <v>0–300k</v>
      </c>
      <c r="P1201" s="19" t="str">
        <f t="shared" si="91"/>
        <v>46-55</v>
      </c>
    </row>
    <row r="1202" spans="1:16" x14ac:dyDescent="0.25">
      <c r="A1202">
        <v>1201</v>
      </c>
      <c r="B1202" t="s">
        <v>9</v>
      </c>
      <c r="C1202">
        <v>305704</v>
      </c>
      <c r="D1202" t="s">
        <v>18</v>
      </c>
      <c r="E1202" t="s">
        <v>16</v>
      </c>
      <c r="F1202" t="s">
        <v>12</v>
      </c>
      <c r="G1202" t="s">
        <v>13</v>
      </c>
      <c r="H1202" t="s">
        <v>12</v>
      </c>
      <c r="I1202">
        <v>62</v>
      </c>
      <c r="J1202" t="str" cm="1">
        <f t="array" ref="J1202">_xlfn.IFS(ISBLANK(C1202),"FALTANTE",ABS((C1202-$W$5)/$X$5)&gt;1.96,"ATÍPICO",ABS((C1202-$W$5)/$X$5)&lt;=1.96,"NO ATÍPICO")</f>
        <v>NO ATÍPICO</v>
      </c>
      <c r="K1202" t="str" cm="1">
        <f t="array" ref="K1202">_xlfn.IFS(ISBLANK(I1202),"FALTANTE",ABS((I1202-$W$8)/$X$8)&gt;1.92,"ATÍPICO",ABS((I1202-$W$8)/$X$8)&lt;=1.92,"NO ATÍPICO")</f>
        <v>NO ATÍPICO</v>
      </c>
      <c r="L1202">
        <f t="shared" si="88"/>
        <v>305704</v>
      </c>
      <c r="M1202" t="str">
        <f t="shared" si="88"/>
        <v>TRABAJADOR INDEPENDIENTE</v>
      </c>
      <c r="N1202">
        <f t="shared" si="89"/>
        <v>62</v>
      </c>
      <c r="O1202" s="19" t="str">
        <f t="shared" si="90"/>
        <v>300k–600k</v>
      </c>
      <c r="P1202" s="19" t="str">
        <f t="shared" si="91"/>
        <v>56+</v>
      </c>
    </row>
    <row r="1203" spans="1:16" x14ac:dyDescent="0.25">
      <c r="A1203">
        <v>1202</v>
      </c>
      <c r="B1203" t="s">
        <v>15</v>
      </c>
      <c r="C1203">
        <v>164917</v>
      </c>
      <c r="D1203" t="s">
        <v>10</v>
      </c>
      <c r="E1203" t="s">
        <v>11</v>
      </c>
      <c r="F1203" t="s">
        <v>12</v>
      </c>
      <c r="G1203" t="s">
        <v>13</v>
      </c>
      <c r="H1203" t="s">
        <v>13</v>
      </c>
      <c r="I1203">
        <v>42</v>
      </c>
      <c r="J1203" t="str" cm="1">
        <f t="array" ref="J1203">_xlfn.IFS(ISBLANK(C1203),"FALTANTE",ABS((C1203-$W$5)/$X$5)&gt;1.96,"ATÍPICO",ABS((C1203-$W$5)/$X$5)&lt;=1.96,"NO ATÍPICO")</f>
        <v>NO ATÍPICO</v>
      </c>
      <c r="K1203" t="str" cm="1">
        <f t="array" ref="K1203">_xlfn.IFS(ISBLANK(I1203),"FALTANTE",ABS((I1203-$W$8)/$X$8)&gt;1.92,"ATÍPICO",ABS((I1203-$W$8)/$X$8)&lt;=1.92,"NO ATÍPICO")</f>
        <v>NO ATÍPICO</v>
      </c>
      <c r="L1203">
        <f t="shared" si="88"/>
        <v>164917</v>
      </c>
      <c r="M1203" t="str">
        <f t="shared" si="88"/>
        <v>ASALARIADO</v>
      </c>
      <c r="N1203">
        <f t="shared" si="89"/>
        <v>42</v>
      </c>
      <c r="O1203" s="19" t="str">
        <f t="shared" si="90"/>
        <v>0–300k</v>
      </c>
      <c r="P1203" s="19" t="str">
        <f t="shared" si="91"/>
        <v>36-45</v>
      </c>
    </row>
    <row r="1204" spans="1:16" x14ac:dyDescent="0.25">
      <c r="A1204">
        <v>1203</v>
      </c>
      <c r="B1204" t="s">
        <v>9</v>
      </c>
      <c r="C1204">
        <v>278030</v>
      </c>
      <c r="D1204" t="s">
        <v>19</v>
      </c>
      <c r="E1204" t="s">
        <v>16</v>
      </c>
      <c r="F1204" t="s">
        <v>12</v>
      </c>
      <c r="G1204" t="s">
        <v>13</v>
      </c>
      <c r="H1204" t="s">
        <v>12</v>
      </c>
      <c r="I1204">
        <v>68</v>
      </c>
      <c r="J1204" t="str" cm="1">
        <f t="array" ref="J1204">_xlfn.IFS(ISBLANK(C1204),"FALTANTE",ABS((C1204-$W$5)/$X$5)&gt;1.96,"ATÍPICO",ABS((C1204-$W$5)/$X$5)&lt;=1.96,"NO ATÍPICO")</f>
        <v>NO ATÍPICO</v>
      </c>
      <c r="K1204" t="str" cm="1">
        <f t="array" ref="K1204">_xlfn.IFS(ISBLANK(I1204),"FALTANTE",ABS((I1204-$W$8)/$X$8)&gt;1.92,"ATÍPICO",ABS((I1204-$W$8)/$X$8)&lt;=1.92,"NO ATÍPICO")</f>
        <v>NO ATÍPICO</v>
      </c>
      <c r="L1204">
        <f t="shared" si="88"/>
        <v>278030</v>
      </c>
      <c r="M1204" t="str">
        <f t="shared" si="88"/>
        <v>CONVENIOS ESPECIALES DE TRABAJADORES INDEPENDIENTES</v>
      </c>
      <c r="N1204">
        <f t="shared" si="89"/>
        <v>68</v>
      </c>
      <c r="O1204" s="19" t="str">
        <f t="shared" si="90"/>
        <v>0–300k</v>
      </c>
      <c r="P1204" s="19" t="str">
        <f t="shared" si="91"/>
        <v>56+</v>
      </c>
    </row>
    <row r="1205" spans="1:16" x14ac:dyDescent="0.25">
      <c r="A1205">
        <v>1204</v>
      </c>
      <c r="B1205" t="s">
        <v>9</v>
      </c>
      <c r="C1205">
        <v>297046</v>
      </c>
      <c r="D1205" t="s">
        <v>18</v>
      </c>
      <c r="E1205" t="s">
        <v>16</v>
      </c>
      <c r="F1205" t="s">
        <v>12</v>
      </c>
      <c r="G1205" t="s">
        <v>12</v>
      </c>
      <c r="H1205" t="s">
        <v>12</v>
      </c>
      <c r="I1205">
        <v>51</v>
      </c>
      <c r="J1205" t="str" cm="1">
        <f t="array" ref="J1205">_xlfn.IFS(ISBLANK(C1205),"FALTANTE",ABS((C1205-$W$5)/$X$5)&gt;1.96,"ATÍPICO",ABS((C1205-$W$5)/$X$5)&lt;=1.96,"NO ATÍPICO")</f>
        <v>NO ATÍPICO</v>
      </c>
      <c r="K1205" t="str" cm="1">
        <f t="array" ref="K1205">_xlfn.IFS(ISBLANK(I1205),"FALTANTE",ABS((I1205-$W$8)/$X$8)&gt;1.92,"ATÍPICO",ABS((I1205-$W$8)/$X$8)&lt;=1.92,"NO ATÍPICO")</f>
        <v>NO ATÍPICO</v>
      </c>
      <c r="L1205">
        <f t="shared" si="88"/>
        <v>297046</v>
      </c>
      <c r="M1205" t="str">
        <f t="shared" si="88"/>
        <v>TRABAJADOR INDEPENDIENTE</v>
      </c>
      <c r="N1205">
        <f t="shared" si="89"/>
        <v>51</v>
      </c>
      <c r="O1205" s="19" t="str">
        <f t="shared" si="90"/>
        <v>0–300k</v>
      </c>
      <c r="P1205" s="19" t="str">
        <f t="shared" si="91"/>
        <v>46-55</v>
      </c>
    </row>
    <row r="1206" spans="1:16" x14ac:dyDescent="0.25">
      <c r="A1206">
        <v>1205</v>
      </c>
      <c r="B1206" t="s">
        <v>9</v>
      </c>
      <c r="C1206">
        <v>1489400.5</v>
      </c>
      <c r="D1206" t="s">
        <v>10</v>
      </c>
      <c r="E1206" t="s">
        <v>11</v>
      </c>
      <c r="F1206" t="s">
        <v>12</v>
      </c>
      <c r="G1206" t="s">
        <v>13</v>
      </c>
      <c r="H1206" t="s">
        <v>13</v>
      </c>
      <c r="I1206">
        <v>33</v>
      </c>
      <c r="J1206" t="str" cm="1">
        <f t="array" ref="J1206">_xlfn.IFS(ISBLANK(C1206),"FALTANTE",ABS((C1206-$W$5)/$X$5)&gt;1.96,"ATÍPICO",ABS((C1206-$W$5)/$X$5)&lt;=1.96,"NO ATÍPICO")</f>
        <v>NO ATÍPICO</v>
      </c>
      <c r="K1206" t="str" cm="1">
        <f t="array" ref="K1206">_xlfn.IFS(ISBLANK(I1206),"FALTANTE",ABS((I1206-$W$8)/$X$8)&gt;1.92,"ATÍPICO",ABS((I1206-$W$8)/$X$8)&lt;=1.92,"NO ATÍPICO")</f>
        <v>NO ATÍPICO</v>
      </c>
      <c r="L1206">
        <f t="shared" si="88"/>
        <v>1489400.5</v>
      </c>
      <c r="M1206" t="str">
        <f t="shared" si="88"/>
        <v>ASALARIADO</v>
      </c>
      <c r="N1206">
        <f t="shared" si="89"/>
        <v>33</v>
      </c>
      <c r="O1206" s="19" t="str">
        <f t="shared" si="90"/>
        <v>1200k+</v>
      </c>
      <c r="P1206" s="19" t="str">
        <f t="shared" si="91"/>
        <v>26-35</v>
      </c>
    </row>
    <row r="1207" spans="1:16" x14ac:dyDescent="0.25">
      <c r="A1207">
        <v>1206</v>
      </c>
      <c r="B1207" t="s">
        <v>9</v>
      </c>
      <c r="C1207">
        <v>355741</v>
      </c>
      <c r="D1207" t="s">
        <v>18</v>
      </c>
      <c r="E1207" t="s">
        <v>16</v>
      </c>
      <c r="F1207" t="s">
        <v>12</v>
      </c>
      <c r="G1207" t="s">
        <v>13</v>
      </c>
      <c r="H1207" t="s">
        <v>12</v>
      </c>
      <c r="I1207">
        <v>66</v>
      </c>
      <c r="J1207" t="str" cm="1">
        <f t="array" ref="J1207">_xlfn.IFS(ISBLANK(C1207),"FALTANTE",ABS((C1207-$W$5)/$X$5)&gt;1.96,"ATÍPICO",ABS((C1207-$W$5)/$X$5)&lt;=1.96,"NO ATÍPICO")</f>
        <v>NO ATÍPICO</v>
      </c>
      <c r="K1207" t="str" cm="1">
        <f t="array" ref="K1207">_xlfn.IFS(ISBLANK(I1207),"FALTANTE",ABS((I1207-$W$8)/$X$8)&gt;1.92,"ATÍPICO",ABS((I1207-$W$8)/$X$8)&lt;=1.92,"NO ATÍPICO")</f>
        <v>NO ATÍPICO</v>
      </c>
      <c r="L1207">
        <f t="shared" si="88"/>
        <v>355741</v>
      </c>
      <c r="M1207" t="str">
        <f t="shared" si="88"/>
        <v>TRABAJADOR INDEPENDIENTE</v>
      </c>
      <c r="N1207">
        <f t="shared" si="89"/>
        <v>66</v>
      </c>
      <c r="O1207" s="19" t="str">
        <f t="shared" si="90"/>
        <v>300k–600k</v>
      </c>
      <c r="P1207" s="19" t="str">
        <f t="shared" si="91"/>
        <v>56+</v>
      </c>
    </row>
    <row r="1208" spans="1:16" x14ac:dyDescent="0.25">
      <c r="A1208">
        <v>1207</v>
      </c>
      <c r="B1208" t="s">
        <v>15</v>
      </c>
      <c r="C1208">
        <v>314828.5</v>
      </c>
      <c r="D1208" t="s">
        <v>10</v>
      </c>
      <c r="E1208" t="s">
        <v>16</v>
      </c>
      <c r="F1208" t="s">
        <v>12</v>
      </c>
      <c r="G1208" t="s">
        <v>12</v>
      </c>
      <c r="H1208" t="s">
        <v>13</v>
      </c>
      <c r="I1208">
        <v>22</v>
      </c>
      <c r="J1208" t="str" cm="1">
        <f t="array" ref="J1208">_xlfn.IFS(ISBLANK(C1208),"FALTANTE",ABS((C1208-$W$5)/$X$5)&gt;1.96,"ATÍPICO",ABS((C1208-$W$5)/$X$5)&lt;=1.96,"NO ATÍPICO")</f>
        <v>NO ATÍPICO</v>
      </c>
      <c r="K1208" t="str" cm="1">
        <f t="array" ref="K1208">_xlfn.IFS(ISBLANK(I1208),"FALTANTE",ABS((I1208-$W$8)/$X$8)&gt;1.92,"ATÍPICO",ABS((I1208-$W$8)/$X$8)&lt;=1.92,"NO ATÍPICO")</f>
        <v>NO ATÍPICO</v>
      </c>
      <c r="L1208">
        <f t="shared" si="88"/>
        <v>314828.5</v>
      </c>
      <c r="M1208" t="str">
        <f t="shared" si="88"/>
        <v>ASALARIADO</v>
      </c>
      <c r="N1208">
        <f t="shared" si="89"/>
        <v>22</v>
      </c>
      <c r="O1208" s="19" t="str">
        <f t="shared" si="90"/>
        <v>300k–600k</v>
      </c>
      <c r="P1208" s="19" t="str">
        <f t="shared" si="91"/>
        <v>18-25</v>
      </c>
    </row>
    <row r="1209" spans="1:16" x14ac:dyDescent="0.25">
      <c r="A1209">
        <v>1208</v>
      </c>
      <c r="B1209" t="s">
        <v>15</v>
      </c>
      <c r="C1209">
        <v>297045</v>
      </c>
      <c r="D1209" t="s">
        <v>17</v>
      </c>
      <c r="E1209" t="s">
        <v>16</v>
      </c>
      <c r="F1209" t="s">
        <v>12</v>
      </c>
      <c r="G1209" t="s">
        <v>13</v>
      </c>
      <c r="H1209" t="s">
        <v>13</v>
      </c>
      <c r="I1209">
        <v>49</v>
      </c>
      <c r="J1209" t="str" cm="1">
        <f t="array" ref="J1209">_xlfn.IFS(ISBLANK(C1209),"FALTANTE",ABS((C1209-$W$5)/$X$5)&gt;1.96,"ATÍPICO",ABS((C1209-$W$5)/$X$5)&lt;=1.96,"NO ATÍPICO")</f>
        <v>NO ATÍPICO</v>
      </c>
      <c r="K1209" t="str" cm="1">
        <f t="array" ref="K1209">_xlfn.IFS(ISBLANK(I1209),"FALTANTE",ABS((I1209-$W$8)/$X$8)&gt;1.92,"ATÍPICO",ABS((I1209-$W$8)/$X$8)&lt;=1.92,"NO ATÍPICO")</f>
        <v>NO ATÍPICO</v>
      </c>
      <c r="L1209">
        <f t="shared" si="88"/>
        <v>297045</v>
      </c>
      <c r="M1209" t="str">
        <f t="shared" si="88"/>
        <v>ASEGURADO VOLUNTARIO</v>
      </c>
      <c r="N1209">
        <f t="shared" si="89"/>
        <v>49</v>
      </c>
      <c r="O1209" s="19" t="str">
        <f t="shared" si="90"/>
        <v>0–300k</v>
      </c>
      <c r="P1209" s="19" t="str">
        <f t="shared" si="91"/>
        <v>46-55</v>
      </c>
    </row>
    <row r="1210" spans="1:16" x14ac:dyDescent="0.25">
      <c r="A1210">
        <v>1209</v>
      </c>
      <c r="B1210" t="s">
        <v>9</v>
      </c>
      <c r="C1210">
        <v>3355438.16</v>
      </c>
      <c r="D1210" t="s">
        <v>10</v>
      </c>
      <c r="E1210" t="s">
        <v>11</v>
      </c>
      <c r="F1210" t="s">
        <v>12</v>
      </c>
      <c r="G1210" t="s">
        <v>13</v>
      </c>
      <c r="H1210" t="s">
        <v>13</v>
      </c>
      <c r="I1210">
        <v>34</v>
      </c>
      <c r="J1210" t="str" cm="1">
        <f t="array" ref="J1210">_xlfn.IFS(ISBLANK(C1210),"FALTANTE",ABS((C1210-$W$5)/$X$5)&gt;1.96,"ATÍPICO",ABS((C1210-$W$5)/$X$5)&lt;=1.96,"NO ATÍPICO")</f>
        <v>ATÍPICO</v>
      </c>
      <c r="K1210" t="str" cm="1">
        <f t="array" ref="K1210">_xlfn.IFS(ISBLANK(I1210),"FALTANTE",ABS((I1210-$W$8)/$X$8)&gt;1.92,"ATÍPICO",ABS((I1210-$W$8)/$X$8)&lt;=1.92,"NO ATÍPICO")</f>
        <v>NO ATÍPICO</v>
      </c>
      <c r="L1210">
        <f t="shared" si="88"/>
        <v>3355438.16</v>
      </c>
      <c r="M1210" t="str">
        <f t="shared" si="88"/>
        <v>ASALARIADO</v>
      </c>
      <c r="N1210">
        <f t="shared" si="89"/>
        <v>34</v>
      </c>
      <c r="O1210" s="19" t="str">
        <f t="shared" si="90"/>
        <v>1200k+</v>
      </c>
      <c r="P1210" s="19" t="str">
        <f t="shared" si="91"/>
        <v>26-35</v>
      </c>
    </row>
    <row r="1211" spans="1:16" x14ac:dyDescent="0.25">
      <c r="A1211">
        <v>1210</v>
      </c>
      <c r="B1211" t="s">
        <v>9</v>
      </c>
      <c r="C1211">
        <v>278030</v>
      </c>
      <c r="D1211" t="s">
        <v>19</v>
      </c>
      <c r="E1211" t="s">
        <v>16</v>
      </c>
      <c r="F1211" t="s">
        <v>12</v>
      </c>
      <c r="G1211" t="s">
        <v>13</v>
      </c>
      <c r="H1211" t="s">
        <v>13</v>
      </c>
      <c r="I1211">
        <v>42</v>
      </c>
      <c r="J1211" t="str" cm="1">
        <f t="array" ref="J1211">_xlfn.IFS(ISBLANK(C1211),"FALTANTE",ABS((C1211-$W$5)/$X$5)&gt;1.96,"ATÍPICO",ABS((C1211-$W$5)/$X$5)&lt;=1.96,"NO ATÍPICO")</f>
        <v>NO ATÍPICO</v>
      </c>
      <c r="K1211" t="str" cm="1">
        <f t="array" ref="K1211">_xlfn.IFS(ISBLANK(I1211),"FALTANTE",ABS((I1211-$W$8)/$X$8)&gt;1.92,"ATÍPICO",ABS((I1211-$W$8)/$X$8)&lt;=1.92,"NO ATÍPICO")</f>
        <v>NO ATÍPICO</v>
      </c>
      <c r="L1211">
        <f t="shared" si="88"/>
        <v>278030</v>
      </c>
      <c r="M1211" t="str">
        <f t="shared" si="88"/>
        <v>CONVENIOS ESPECIALES DE TRABAJADORES INDEPENDIENTES</v>
      </c>
      <c r="N1211">
        <f t="shared" si="89"/>
        <v>42</v>
      </c>
      <c r="O1211" s="19" t="str">
        <f t="shared" si="90"/>
        <v>0–300k</v>
      </c>
      <c r="P1211" s="19" t="str">
        <f t="shared" si="91"/>
        <v>36-45</v>
      </c>
    </row>
    <row r="1212" spans="1:16" x14ac:dyDescent="0.25">
      <c r="A1212">
        <v>1211</v>
      </c>
      <c r="B1212" t="s">
        <v>9</v>
      </c>
      <c r="C1212">
        <v>1177801</v>
      </c>
      <c r="D1212" t="s">
        <v>14</v>
      </c>
      <c r="E1212" t="s">
        <v>11</v>
      </c>
      <c r="F1212" t="s">
        <v>12</v>
      </c>
      <c r="G1212" t="s">
        <v>13</v>
      </c>
      <c r="H1212" t="s">
        <v>13</v>
      </c>
      <c r="I1212">
        <v>82</v>
      </c>
      <c r="J1212" t="str" cm="1">
        <f t="array" ref="J1212">_xlfn.IFS(ISBLANK(C1212),"FALTANTE",ABS((C1212-$W$5)/$X$5)&gt;1.96,"ATÍPICO",ABS((C1212-$W$5)/$X$5)&lt;=1.96,"NO ATÍPICO")</f>
        <v>NO ATÍPICO</v>
      </c>
      <c r="K1212" t="str" cm="1">
        <f t="array" ref="K1212">_xlfn.IFS(ISBLANK(I1212),"FALTANTE",ABS((I1212-$W$8)/$X$8)&gt;1.92,"ATÍPICO",ABS((I1212-$W$8)/$X$8)&lt;=1.92,"NO ATÍPICO")</f>
        <v>ATÍPICO</v>
      </c>
      <c r="L1212">
        <f t="shared" si="88"/>
        <v>1177801</v>
      </c>
      <c r="M1212" t="str">
        <f t="shared" si="88"/>
        <v>PENSIONADOS EN SU PROPIO SISTEMA</v>
      </c>
      <c r="N1212">
        <f t="shared" si="89"/>
        <v>82</v>
      </c>
      <c r="O1212" s="19" t="str">
        <f t="shared" si="90"/>
        <v>900k–1200k</v>
      </c>
      <c r="P1212" s="19" t="str">
        <f t="shared" si="91"/>
        <v>56+</v>
      </c>
    </row>
    <row r="1213" spans="1:16" x14ac:dyDescent="0.25">
      <c r="A1213">
        <v>1212</v>
      </c>
      <c r="B1213" t="s">
        <v>9</v>
      </c>
      <c r="C1213">
        <v>297046</v>
      </c>
      <c r="D1213" t="s">
        <v>18</v>
      </c>
      <c r="E1213" t="s">
        <v>16</v>
      </c>
      <c r="F1213" t="s">
        <v>12</v>
      </c>
      <c r="G1213" t="s">
        <v>13</v>
      </c>
      <c r="H1213" t="s">
        <v>13</v>
      </c>
      <c r="I1213">
        <v>38</v>
      </c>
      <c r="J1213" t="str" cm="1">
        <f t="array" ref="J1213">_xlfn.IFS(ISBLANK(C1213),"FALTANTE",ABS((C1213-$W$5)/$X$5)&gt;1.96,"ATÍPICO",ABS((C1213-$W$5)/$X$5)&lt;=1.96,"NO ATÍPICO")</f>
        <v>NO ATÍPICO</v>
      </c>
      <c r="K1213" t="str" cm="1">
        <f t="array" ref="K1213">_xlfn.IFS(ISBLANK(I1213),"FALTANTE",ABS((I1213-$W$8)/$X$8)&gt;1.92,"ATÍPICO",ABS((I1213-$W$8)/$X$8)&lt;=1.92,"NO ATÍPICO")</f>
        <v>NO ATÍPICO</v>
      </c>
      <c r="L1213">
        <f t="shared" si="88"/>
        <v>297046</v>
      </c>
      <c r="M1213" t="str">
        <f t="shared" si="88"/>
        <v>TRABAJADOR INDEPENDIENTE</v>
      </c>
      <c r="N1213">
        <f t="shared" si="89"/>
        <v>38</v>
      </c>
      <c r="O1213" s="19" t="str">
        <f t="shared" si="90"/>
        <v>0–300k</v>
      </c>
      <c r="P1213" s="19" t="str">
        <f t="shared" si="91"/>
        <v>36-45</v>
      </c>
    </row>
    <row r="1214" spans="1:16" x14ac:dyDescent="0.25">
      <c r="A1214">
        <v>1213</v>
      </c>
      <c r="B1214" t="s">
        <v>9</v>
      </c>
      <c r="C1214">
        <v>278030</v>
      </c>
      <c r="D1214" t="s">
        <v>19</v>
      </c>
      <c r="E1214" t="s">
        <v>16</v>
      </c>
      <c r="F1214" t="s">
        <v>12</v>
      </c>
      <c r="G1214" t="s">
        <v>13</v>
      </c>
      <c r="H1214" t="s">
        <v>13</v>
      </c>
      <c r="I1214">
        <v>64</v>
      </c>
      <c r="J1214" t="str" cm="1">
        <f t="array" ref="J1214">_xlfn.IFS(ISBLANK(C1214),"FALTANTE",ABS((C1214-$W$5)/$X$5)&gt;1.96,"ATÍPICO",ABS((C1214-$W$5)/$X$5)&lt;=1.96,"NO ATÍPICO")</f>
        <v>NO ATÍPICO</v>
      </c>
      <c r="K1214" t="str" cm="1">
        <f t="array" ref="K1214">_xlfn.IFS(ISBLANK(I1214),"FALTANTE",ABS((I1214-$W$8)/$X$8)&gt;1.92,"ATÍPICO",ABS((I1214-$W$8)/$X$8)&lt;=1.92,"NO ATÍPICO")</f>
        <v>NO ATÍPICO</v>
      </c>
      <c r="L1214">
        <f t="shared" si="88"/>
        <v>278030</v>
      </c>
      <c r="M1214" t="str">
        <f t="shared" si="88"/>
        <v>CONVENIOS ESPECIALES DE TRABAJADORES INDEPENDIENTES</v>
      </c>
      <c r="N1214">
        <f t="shared" si="89"/>
        <v>64</v>
      </c>
      <c r="O1214" s="19" t="str">
        <f t="shared" si="90"/>
        <v>0–300k</v>
      </c>
      <c r="P1214" s="19" t="str">
        <f t="shared" si="91"/>
        <v>56+</v>
      </c>
    </row>
    <row r="1215" spans="1:16" x14ac:dyDescent="0.25">
      <c r="A1215">
        <v>1214</v>
      </c>
      <c r="B1215" t="s">
        <v>9</v>
      </c>
      <c r="C1215">
        <v>3580557</v>
      </c>
      <c r="D1215" t="s">
        <v>14</v>
      </c>
      <c r="E1215" t="s">
        <v>11</v>
      </c>
      <c r="F1215" t="s">
        <v>12</v>
      </c>
      <c r="G1215" t="s">
        <v>13</v>
      </c>
      <c r="H1215" t="s">
        <v>13</v>
      </c>
      <c r="I1215">
        <v>82</v>
      </c>
      <c r="J1215" t="str" cm="1">
        <f t="array" ref="J1215">_xlfn.IFS(ISBLANK(C1215),"FALTANTE",ABS((C1215-$W$5)/$X$5)&gt;1.96,"ATÍPICO",ABS((C1215-$W$5)/$X$5)&lt;=1.96,"NO ATÍPICO")</f>
        <v>ATÍPICO</v>
      </c>
      <c r="K1215" t="str" cm="1">
        <f t="array" ref="K1215">_xlfn.IFS(ISBLANK(I1215),"FALTANTE",ABS((I1215-$W$8)/$X$8)&gt;1.92,"ATÍPICO",ABS((I1215-$W$8)/$X$8)&lt;=1.92,"NO ATÍPICO")</f>
        <v>ATÍPICO</v>
      </c>
      <c r="L1215">
        <f t="shared" si="88"/>
        <v>3580557</v>
      </c>
      <c r="M1215" t="str">
        <f t="shared" si="88"/>
        <v>PENSIONADOS EN SU PROPIO SISTEMA</v>
      </c>
      <c r="N1215">
        <f t="shared" si="89"/>
        <v>82</v>
      </c>
      <c r="O1215" s="19" t="str">
        <f t="shared" si="90"/>
        <v>1200k+</v>
      </c>
      <c r="P1215" s="19" t="str">
        <f t="shared" si="91"/>
        <v>56+</v>
      </c>
    </row>
    <row r="1216" spans="1:16" x14ac:dyDescent="0.25">
      <c r="A1216">
        <v>1215</v>
      </c>
      <c r="B1216" t="s">
        <v>9</v>
      </c>
      <c r="C1216">
        <v>159780</v>
      </c>
      <c r="D1216" t="s">
        <v>10</v>
      </c>
      <c r="E1216" t="s">
        <v>16</v>
      </c>
      <c r="F1216" t="s">
        <v>12</v>
      </c>
      <c r="G1216" t="s">
        <v>12</v>
      </c>
      <c r="H1216" t="s">
        <v>12</v>
      </c>
      <c r="I1216">
        <v>37</v>
      </c>
      <c r="J1216" t="str" cm="1">
        <f t="array" ref="J1216">_xlfn.IFS(ISBLANK(C1216),"FALTANTE",ABS((C1216-$W$5)/$X$5)&gt;1.96,"ATÍPICO",ABS((C1216-$W$5)/$X$5)&lt;=1.96,"NO ATÍPICO")</f>
        <v>NO ATÍPICO</v>
      </c>
      <c r="K1216" t="str" cm="1">
        <f t="array" ref="K1216">_xlfn.IFS(ISBLANK(I1216),"FALTANTE",ABS((I1216-$W$8)/$X$8)&gt;1.92,"ATÍPICO",ABS((I1216-$W$8)/$X$8)&lt;=1.92,"NO ATÍPICO")</f>
        <v>NO ATÍPICO</v>
      </c>
      <c r="L1216">
        <f t="shared" si="88"/>
        <v>159780</v>
      </c>
      <c r="M1216" t="str">
        <f t="shared" si="88"/>
        <v>ASALARIADO</v>
      </c>
      <c r="N1216">
        <f t="shared" si="89"/>
        <v>37</v>
      </c>
      <c r="O1216" s="19" t="str">
        <f t="shared" si="90"/>
        <v>0–300k</v>
      </c>
      <c r="P1216" s="19" t="str">
        <f t="shared" si="91"/>
        <v>36-45</v>
      </c>
    </row>
    <row r="1217" spans="1:16" x14ac:dyDescent="0.25">
      <c r="A1217">
        <v>1216</v>
      </c>
      <c r="B1217" t="s">
        <v>9</v>
      </c>
      <c r="C1217">
        <v>592110</v>
      </c>
      <c r="D1217" t="s">
        <v>10</v>
      </c>
      <c r="E1217" t="s">
        <v>16</v>
      </c>
      <c r="F1217" t="s">
        <v>12</v>
      </c>
      <c r="G1217" t="s">
        <v>13</v>
      </c>
      <c r="H1217" t="s">
        <v>13</v>
      </c>
      <c r="I1217">
        <v>21</v>
      </c>
      <c r="J1217" t="str" cm="1">
        <f t="array" ref="J1217">_xlfn.IFS(ISBLANK(C1217),"FALTANTE",ABS((C1217-$W$5)/$X$5)&gt;1.96,"ATÍPICO",ABS((C1217-$W$5)/$X$5)&lt;=1.96,"NO ATÍPICO")</f>
        <v>NO ATÍPICO</v>
      </c>
      <c r="K1217" t="str" cm="1">
        <f t="array" ref="K1217">_xlfn.IFS(ISBLANK(I1217),"FALTANTE",ABS((I1217-$W$8)/$X$8)&gt;1.92,"ATÍPICO",ABS((I1217-$W$8)/$X$8)&lt;=1.92,"NO ATÍPICO")</f>
        <v>NO ATÍPICO</v>
      </c>
      <c r="L1217">
        <f t="shared" si="88"/>
        <v>592110</v>
      </c>
      <c r="M1217" t="str">
        <f t="shared" si="88"/>
        <v>ASALARIADO</v>
      </c>
      <c r="N1217">
        <f t="shared" si="89"/>
        <v>21</v>
      </c>
      <c r="O1217" s="19" t="str">
        <f t="shared" si="90"/>
        <v>300k–600k</v>
      </c>
      <c r="P1217" s="19" t="str">
        <f t="shared" si="91"/>
        <v>18-25</v>
      </c>
    </row>
    <row r="1218" spans="1:16" x14ac:dyDescent="0.25">
      <c r="A1218">
        <v>1217</v>
      </c>
      <c r="B1218" t="s">
        <v>9</v>
      </c>
      <c r="C1218">
        <v>640705.61</v>
      </c>
      <c r="D1218" t="s">
        <v>10</v>
      </c>
      <c r="E1218" t="s">
        <v>16</v>
      </c>
      <c r="F1218" t="s">
        <v>12</v>
      </c>
      <c r="G1218" t="s">
        <v>12</v>
      </c>
      <c r="H1218" t="s">
        <v>13</v>
      </c>
      <c r="I1218">
        <v>25</v>
      </c>
      <c r="J1218" t="str" cm="1">
        <f t="array" ref="J1218">_xlfn.IFS(ISBLANK(C1218),"FALTANTE",ABS((C1218-$W$5)/$X$5)&gt;1.96,"ATÍPICO",ABS((C1218-$W$5)/$X$5)&lt;=1.96,"NO ATÍPICO")</f>
        <v>NO ATÍPICO</v>
      </c>
      <c r="K1218" t="str" cm="1">
        <f t="array" ref="K1218">_xlfn.IFS(ISBLANK(I1218),"FALTANTE",ABS((I1218-$W$8)/$X$8)&gt;1.92,"ATÍPICO",ABS((I1218-$W$8)/$X$8)&lt;=1.92,"NO ATÍPICO")</f>
        <v>NO ATÍPICO</v>
      </c>
      <c r="L1218">
        <f t="shared" ref="L1218:M1281" si="92">C1218</f>
        <v>640705.61</v>
      </c>
      <c r="M1218" t="str">
        <f t="shared" si="92"/>
        <v>ASALARIADO</v>
      </c>
      <c r="N1218">
        <f t="shared" ref="N1218:N1281" si="93">I1218</f>
        <v>25</v>
      </c>
      <c r="O1218" s="19" t="str">
        <f t="shared" ref="O1218:O1281" si="94">IF(L1218&lt;=300000,"0–300k",IF(L1218&lt;=600000,"300k–600k",IF(L1218&lt;=900000,"600k–900k",IF(L1218&lt;=1200000,"900k–1200k","1200k+"))))</f>
        <v>600k–900k</v>
      </c>
      <c r="P1218" s="19" t="str">
        <f t="shared" ref="P1218:P1281" si="95">IF(N1218 &lt;=25,"18-25", IF(N1218&lt;=35,"26-35", IF(N1218 &lt;=45,"36-45", IF(N1218&lt;=55,"46-55","56+"))))</f>
        <v>18-25</v>
      </c>
    </row>
    <row r="1219" spans="1:16" x14ac:dyDescent="0.25">
      <c r="A1219">
        <v>1218</v>
      </c>
      <c r="B1219" t="s">
        <v>9</v>
      </c>
      <c r="C1219">
        <v>3000000</v>
      </c>
      <c r="D1219" t="s">
        <v>10</v>
      </c>
      <c r="E1219" t="s">
        <v>16</v>
      </c>
      <c r="F1219" t="s">
        <v>12</v>
      </c>
      <c r="G1219" t="s">
        <v>13</v>
      </c>
      <c r="H1219" t="s">
        <v>13</v>
      </c>
      <c r="I1219">
        <v>53</v>
      </c>
      <c r="J1219" t="str" cm="1">
        <f t="array" ref="J1219">_xlfn.IFS(ISBLANK(C1219),"FALTANTE",ABS((C1219-$W$5)/$X$5)&gt;1.96,"ATÍPICO",ABS((C1219-$W$5)/$X$5)&lt;=1.96,"NO ATÍPICO")</f>
        <v>ATÍPICO</v>
      </c>
      <c r="K1219" t="str" cm="1">
        <f t="array" ref="K1219">_xlfn.IFS(ISBLANK(I1219),"FALTANTE",ABS((I1219-$W$8)/$X$8)&gt;1.92,"ATÍPICO",ABS((I1219-$W$8)/$X$8)&lt;=1.92,"NO ATÍPICO")</f>
        <v>NO ATÍPICO</v>
      </c>
      <c r="L1219">
        <f t="shared" si="92"/>
        <v>3000000</v>
      </c>
      <c r="M1219" t="str">
        <f t="shared" si="92"/>
        <v>ASALARIADO</v>
      </c>
      <c r="N1219">
        <f t="shared" si="93"/>
        <v>53</v>
      </c>
      <c r="O1219" s="19" t="str">
        <f t="shared" si="94"/>
        <v>1200k+</v>
      </c>
      <c r="P1219" s="19" t="str">
        <f t="shared" si="95"/>
        <v>46-55</v>
      </c>
    </row>
    <row r="1220" spans="1:16" x14ac:dyDescent="0.25">
      <c r="A1220">
        <v>1219</v>
      </c>
      <c r="B1220" t="s">
        <v>9</v>
      </c>
      <c r="C1220">
        <v>286990.48</v>
      </c>
      <c r="D1220" t="s">
        <v>10</v>
      </c>
      <c r="E1220" t="s">
        <v>16</v>
      </c>
      <c r="F1220" t="s">
        <v>12</v>
      </c>
      <c r="G1220" t="s">
        <v>13</v>
      </c>
      <c r="H1220" t="s">
        <v>13</v>
      </c>
      <c r="I1220">
        <v>20</v>
      </c>
      <c r="J1220" t="str" cm="1">
        <f t="array" ref="J1220">_xlfn.IFS(ISBLANK(C1220),"FALTANTE",ABS((C1220-$W$5)/$X$5)&gt;1.96,"ATÍPICO",ABS((C1220-$W$5)/$X$5)&lt;=1.96,"NO ATÍPICO")</f>
        <v>NO ATÍPICO</v>
      </c>
      <c r="K1220" t="str" cm="1">
        <f t="array" ref="K1220">_xlfn.IFS(ISBLANK(I1220),"FALTANTE",ABS((I1220-$W$8)/$X$8)&gt;1.92,"ATÍPICO",ABS((I1220-$W$8)/$X$8)&lt;=1.92,"NO ATÍPICO")</f>
        <v>NO ATÍPICO</v>
      </c>
      <c r="L1220">
        <f t="shared" si="92"/>
        <v>286990.48</v>
      </c>
      <c r="M1220" t="str">
        <f t="shared" si="92"/>
        <v>ASALARIADO</v>
      </c>
      <c r="N1220">
        <f t="shared" si="93"/>
        <v>20</v>
      </c>
      <c r="O1220" s="19" t="str">
        <f t="shared" si="94"/>
        <v>0–300k</v>
      </c>
      <c r="P1220" s="19" t="str">
        <f t="shared" si="95"/>
        <v>18-25</v>
      </c>
    </row>
    <row r="1221" spans="1:16" x14ac:dyDescent="0.25">
      <c r="A1221">
        <v>1220</v>
      </c>
      <c r="B1221" t="s">
        <v>15</v>
      </c>
      <c r="C1221">
        <v>297046</v>
      </c>
      <c r="D1221" t="s">
        <v>17</v>
      </c>
      <c r="E1221" t="s">
        <v>16</v>
      </c>
      <c r="F1221" t="s">
        <v>12</v>
      </c>
      <c r="G1221" t="s">
        <v>12</v>
      </c>
      <c r="H1221" t="s">
        <v>13</v>
      </c>
      <c r="I1221">
        <v>19</v>
      </c>
      <c r="J1221" t="str" cm="1">
        <f t="array" ref="J1221">_xlfn.IFS(ISBLANK(C1221),"FALTANTE",ABS((C1221-$W$5)/$X$5)&gt;1.96,"ATÍPICO",ABS((C1221-$W$5)/$X$5)&lt;=1.96,"NO ATÍPICO")</f>
        <v>NO ATÍPICO</v>
      </c>
      <c r="K1221" t="str" cm="1">
        <f t="array" ref="K1221">_xlfn.IFS(ISBLANK(I1221),"FALTANTE",ABS((I1221-$W$8)/$X$8)&gt;1.92,"ATÍPICO",ABS((I1221-$W$8)/$X$8)&lt;=1.92,"NO ATÍPICO")</f>
        <v>NO ATÍPICO</v>
      </c>
      <c r="L1221">
        <f t="shared" si="92"/>
        <v>297046</v>
      </c>
      <c r="M1221" t="str">
        <f t="shared" si="92"/>
        <v>ASEGURADO VOLUNTARIO</v>
      </c>
      <c r="N1221">
        <f t="shared" si="93"/>
        <v>19</v>
      </c>
      <c r="O1221" s="19" t="str">
        <f t="shared" si="94"/>
        <v>0–300k</v>
      </c>
      <c r="P1221" s="19" t="str">
        <f t="shared" si="95"/>
        <v>18-25</v>
      </c>
    </row>
    <row r="1222" spans="1:16" x14ac:dyDescent="0.25">
      <c r="A1222">
        <v>1221</v>
      </c>
      <c r="B1222" t="s">
        <v>15</v>
      </c>
      <c r="C1222">
        <v>486139.05</v>
      </c>
      <c r="D1222" t="s">
        <v>10</v>
      </c>
      <c r="E1222" t="s">
        <v>16</v>
      </c>
      <c r="F1222" t="s">
        <v>12</v>
      </c>
      <c r="G1222" t="s">
        <v>13</v>
      </c>
      <c r="H1222" t="s">
        <v>13</v>
      </c>
      <c r="I1222">
        <v>48</v>
      </c>
      <c r="J1222" t="str" cm="1">
        <f t="array" ref="J1222">_xlfn.IFS(ISBLANK(C1222),"FALTANTE",ABS((C1222-$W$5)/$X$5)&gt;1.96,"ATÍPICO",ABS((C1222-$W$5)/$X$5)&lt;=1.96,"NO ATÍPICO")</f>
        <v>NO ATÍPICO</v>
      </c>
      <c r="K1222" t="str" cm="1">
        <f t="array" ref="K1222">_xlfn.IFS(ISBLANK(I1222),"FALTANTE",ABS((I1222-$W$8)/$X$8)&gt;1.92,"ATÍPICO",ABS((I1222-$W$8)/$X$8)&lt;=1.92,"NO ATÍPICO")</f>
        <v>NO ATÍPICO</v>
      </c>
      <c r="L1222">
        <f t="shared" si="92"/>
        <v>486139.05</v>
      </c>
      <c r="M1222" t="str">
        <f t="shared" si="92"/>
        <v>ASALARIADO</v>
      </c>
      <c r="N1222">
        <f t="shared" si="93"/>
        <v>48</v>
      </c>
      <c r="O1222" s="19" t="str">
        <f t="shared" si="94"/>
        <v>300k–600k</v>
      </c>
      <c r="P1222" s="19" t="str">
        <f t="shared" si="95"/>
        <v>46-55</v>
      </c>
    </row>
    <row r="1223" spans="1:16" x14ac:dyDescent="0.25">
      <c r="A1223">
        <v>1222</v>
      </c>
      <c r="B1223" t="s">
        <v>9</v>
      </c>
      <c r="C1223">
        <v>404181.98</v>
      </c>
      <c r="D1223" t="s">
        <v>10</v>
      </c>
      <c r="E1223" t="s">
        <v>16</v>
      </c>
      <c r="F1223" t="s">
        <v>12</v>
      </c>
      <c r="G1223" t="s">
        <v>12</v>
      </c>
      <c r="H1223" t="s">
        <v>13</v>
      </c>
      <c r="I1223">
        <v>57</v>
      </c>
      <c r="J1223" t="str" cm="1">
        <f t="array" ref="J1223">_xlfn.IFS(ISBLANK(C1223),"FALTANTE",ABS((C1223-$W$5)/$X$5)&gt;1.96,"ATÍPICO",ABS((C1223-$W$5)/$X$5)&lt;=1.96,"NO ATÍPICO")</f>
        <v>NO ATÍPICO</v>
      </c>
      <c r="K1223" t="str" cm="1">
        <f t="array" ref="K1223">_xlfn.IFS(ISBLANK(I1223),"FALTANTE",ABS((I1223-$W$8)/$X$8)&gt;1.92,"ATÍPICO",ABS((I1223-$W$8)/$X$8)&lt;=1.92,"NO ATÍPICO")</f>
        <v>NO ATÍPICO</v>
      </c>
      <c r="L1223">
        <f t="shared" si="92"/>
        <v>404181.98</v>
      </c>
      <c r="M1223" t="str">
        <f t="shared" si="92"/>
        <v>ASALARIADO</v>
      </c>
      <c r="N1223">
        <f t="shared" si="93"/>
        <v>57</v>
      </c>
      <c r="O1223" s="19" t="str">
        <f t="shared" si="94"/>
        <v>300k–600k</v>
      </c>
      <c r="P1223" s="19" t="str">
        <f t="shared" si="95"/>
        <v>56+</v>
      </c>
    </row>
    <row r="1224" spans="1:16" x14ac:dyDescent="0.25">
      <c r="A1224">
        <v>1223</v>
      </c>
      <c r="B1224" t="s">
        <v>9</v>
      </c>
      <c r="C1224">
        <v>297046</v>
      </c>
      <c r="D1224" t="s">
        <v>17</v>
      </c>
      <c r="E1224" t="s">
        <v>16</v>
      </c>
      <c r="F1224" t="s">
        <v>12</v>
      </c>
      <c r="G1224" t="s">
        <v>13</v>
      </c>
      <c r="H1224" t="s">
        <v>13</v>
      </c>
      <c r="I1224">
        <v>31</v>
      </c>
      <c r="J1224" t="str" cm="1">
        <f t="array" ref="J1224">_xlfn.IFS(ISBLANK(C1224),"FALTANTE",ABS((C1224-$W$5)/$X$5)&gt;1.96,"ATÍPICO",ABS((C1224-$W$5)/$X$5)&lt;=1.96,"NO ATÍPICO")</f>
        <v>NO ATÍPICO</v>
      </c>
      <c r="K1224" t="str" cm="1">
        <f t="array" ref="K1224">_xlfn.IFS(ISBLANK(I1224),"FALTANTE",ABS((I1224-$W$8)/$X$8)&gt;1.92,"ATÍPICO",ABS((I1224-$W$8)/$X$8)&lt;=1.92,"NO ATÍPICO")</f>
        <v>NO ATÍPICO</v>
      </c>
      <c r="L1224">
        <f t="shared" si="92"/>
        <v>297046</v>
      </c>
      <c r="M1224" t="str">
        <f t="shared" si="92"/>
        <v>ASEGURADO VOLUNTARIO</v>
      </c>
      <c r="N1224">
        <f t="shared" si="93"/>
        <v>31</v>
      </c>
      <c r="O1224" s="19" t="str">
        <f t="shared" si="94"/>
        <v>0–300k</v>
      </c>
      <c r="P1224" s="19" t="str">
        <f t="shared" si="95"/>
        <v>26-35</v>
      </c>
    </row>
    <row r="1225" spans="1:16" x14ac:dyDescent="0.25">
      <c r="A1225">
        <v>1224</v>
      </c>
      <c r="B1225" t="s">
        <v>15</v>
      </c>
      <c r="C1225">
        <v>227097.48</v>
      </c>
      <c r="D1225" t="s">
        <v>10</v>
      </c>
      <c r="E1225" t="s">
        <v>16</v>
      </c>
      <c r="F1225" t="s">
        <v>12</v>
      </c>
      <c r="G1225" t="s">
        <v>13</v>
      </c>
      <c r="H1225" t="s">
        <v>13</v>
      </c>
      <c r="I1225">
        <v>36</v>
      </c>
      <c r="J1225" t="str" cm="1">
        <f t="array" ref="J1225">_xlfn.IFS(ISBLANK(C1225),"FALTANTE",ABS((C1225-$W$5)/$X$5)&gt;1.96,"ATÍPICO",ABS((C1225-$W$5)/$X$5)&lt;=1.96,"NO ATÍPICO")</f>
        <v>NO ATÍPICO</v>
      </c>
      <c r="K1225" t="str" cm="1">
        <f t="array" ref="K1225">_xlfn.IFS(ISBLANK(I1225),"FALTANTE",ABS((I1225-$W$8)/$X$8)&gt;1.92,"ATÍPICO",ABS((I1225-$W$8)/$X$8)&lt;=1.92,"NO ATÍPICO")</f>
        <v>NO ATÍPICO</v>
      </c>
      <c r="L1225">
        <f t="shared" si="92"/>
        <v>227097.48</v>
      </c>
      <c r="M1225" t="str">
        <f t="shared" si="92"/>
        <v>ASALARIADO</v>
      </c>
      <c r="N1225">
        <f t="shared" si="93"/>
        <v>36</v>
      </c>
      <c r="O1225" s="19" t="str">
        <f t="shared" si="94"/>
        <v>0–300k</v>
      </c>
      <c r="P1225" s="19" t="str">
        <f t="shared" si="95"/>
        <v>36-45</v>
      </c>
    </row>
    <row r="1226" spans="1:16" x14ac:dyDescent="0.25">
      <c r="A1226">
        <v>1225</v>
      </c>
      <c r="B1226" t="s">
        <v>9</v>
      </c>
      <c r="C1226">
        <v>415869</v>
      </c>
      <c r="D1226" t="s">
        <v>18</v>
      </c>
      <c r="E1226" t="s">
        <v>16</v>
      </c>
      <c r="F1226" t="s">
        <v>12</v>
      </c>
      <c r="G1226" t="s">
        <v>12</v>
      </c>
      <c r="H1226" t="s">
        <v>12</v>
      </c>
      <c r="I1226">
        <v>61</v>
      </c>
      <c r="J1226" t="str" cm="1">
        <f t="array" ref="J1226">_xlfn.IFS(ISBLANK(C1226),"FALTANTE",ABS((C1226-$W$5)/$X$5)&gt;1.96,"ATÍPICO",ABS((C1226-$W$5)/$X$5)&lt;=1.96,"NO ATÍPICO")</f>
        <v>NO ATÍPICO</v>
      </c>
      <c r="K1226" t="str" cm="1">
        <f t="array" ref="K1226">_xlfn.IFS(ISBLANK(I1226),"FALTANTE",ABS((I1226-$W$8)/$X$8)&gt;1.92,"ATÍPICO",ABS((I1226-$W$8)/$X$8)&lt;=1.92,"NO ATÍPICO")</f>
        <v>NO ATÍPICO</v>
      </c>
      <c r="L1226">
        <f t="shared" si="92"/>
        <v>415869</v>
      </c>
      <c r="M1226" t="str">
        <f t="shared" si="92"/>
        <v>TRABAJADOR INDEPENDIENTE</v>
      </c>
      <c r="N1226">
        <f t="shared" si="93"/>
        <v>61</v>
      </c>
      <c r="O1226" s="19" t="str">
        <f t="shared" si="94"/>
        <v>300k–600k</v>
      </c>
      <c r="P1226" s="19" t="str">
        <f t="shared" si="95"/>
        <v>56+</v>
      </c>
    </row>
    <row r="1227" spans="1:16" x14ac:dyDescent="0.25">
      <c r="A1227">
        <v>1226</v>
      </c>
      <c r="B1227" t="s">
        <v>15</v>
      </c>
      <c r="C1227">
        <v>418017</v>
      </c>
      <c r="D1227" t="s">
        <v>10</v>
      </c>
      <c r="E1227" t="s">
        <v>16</v>
      </c>
      <c r="F1227" t="s">
        <v>12</v>
      </c>
      <c r="G1227" t="s">
        <v>13</v>
      </c>
      <c r="H1227" t="s">
        <v>13</v>
      </c>
      <c r="I1227">
        <v>33</v>
      </c>
      <c r="J1227" t="str" cm="1">
        <f t="array" ref="J1227">_xlfn.IFS(ISBLANK(C1227),"FALTANTE",ABS((C1227-$W$5)/$X$5)&gt;1.96,"ATÍPICO",ABS((C1227-$W$5)/$X$5)&lt;=1.96,"NO ATÍPICO")</f>
        <v>NO ATÍPICO</v>
      </c>
      <c r="K1227" t="str" cm="1">
        <f t="array" ref="K1227">_xlfn.IFS(ISBLANK(I1227),"FALTANTE",ABS((I1227-$W$8)/$X$8)&gt;1.92,"ATÍPICO",ABS((I1227-$W$8)/$X$8)&lt;=1.92,"NO ATÍPICO")</f>
        <v>NO ATÍPICO</v>
      </c>
      <c r="L1227">
        <f t="shared" si="92"/>
        <v>418017</v>
      </c>
      <c r="M1227" t="str">
        <f t="shared" si="92"/>
        <v>ASALARIADO</v>
      </c>
      <c r="N1227">
        <f t="shared" si="93"/>
        <v>33</v>
      </c>
      <c r="O1227" s="19" t="str">
        <f t="shared" si="94"/>
        <v>300k–600k</v>
      </c>
      <c r="P1227" s="19" t="str">
        <f t="shared" si="95"/>
        <v>26-35</v>
      </c>
    </row>
    <row r="1228" spans="1:16" x14ac:dyDescent="0.25">
      <c r="A1228">
        <v>1227</v>
      </c>
      <c r="B1228" t="s">
        <v>9</v>
      </c>
      <c r="C1228">
        <v>403320.12</v>
      </c>
      <c r="D1228" t="s">
        <v>10</v>
      </c>
      <c r="E1228" t="s">
        <v>16</v>
      </c>
      <c r="F1228" t="s">
        <v>12</v>
      </c>
      <c r="G1228" t="s">
        <v>13</v>
      </c>
      <c r="H1228" t="s">
        <v>13</v>
      </c>
      <c r="I1228">
        <v>40</v>
      </c>
      <c r="J1228" t="str" cm="1">
        <f t="array" ref="J1228">_xlfn.IFS(ISBLANK(C1228),"FALTANTE",ABS((C1228-$W$5)/$X$5)&gt;1.96,"ATÍPICO",ABS((C1228-$W$5)/$X$5)&lt;=1.96,"NO ATÍPICO")</f>
        <v>NO ATÍPICO</v>
      </c>
      <c r="K1228" t="str" cm="1">
        <f t="array" ref="K1228">_xlfn.IFS(ISBLANK(I1228),"FALTANTE",ABS((I1228-$W$8)/$X$8)&gt;1.92,"ATÍPICO",ABS((I1228-$W$8)/$X$8)&lt;=1.92,"NO ATÍPICO")</f>
        <v>NO ATÍPICO</v>
      </c>
      <c r="L1228">
        <f t="shared" si="92"/>
        <v>403320.12</v>
      </c>
      <c r="M1228" t="str">
        <f t="shared" si="92"/>
        <v>ASALARIADO</v>
      </c>
      <c r="N1228">
        <f t="shared" si="93"/>
        <v>40</v>
      </c>
      <c r="O1228" s="19" t="str">
        <f t="shared" si="94"/>
        <v>300k–600k</v>
      </c>
      <c r="P1228" s="19" t="str">
        <f t="shared" si="95"/>
        <v>36-45</v>
      </c>
    </row>
    <row r="1229" spans="1:16" x14ac:dyDescent="0.25">
      <c r="A1229">
        <v>1228</v>
      </c>
      <c r="B1229" t="s">
        <v>15</v>
      </c>
      <c r="C1229">
        <v>293611</v>
      </c>
      <c r="D1229" t="s">
        <v>18</v>
      </c>
      <c r="E1229" t="s">
        <v>16</v>
      </c>
      <c r="F1229" t="s">
        <v>12</v>
      </c>
      <c r="G1229" t="s">
        <v>13</v>
      </c>
      <c r="H1229" t="s">
        <v>13</v>
      </c>
      <c r="I1229">
        <v>29</v>
      </c>
      <c r="J1229" t="str" cm="1">
        <f t="array" ref="J1229">_xlfn.IFS(ISBLANK(C1229),"FALTANTE",ABS((C1229-$W$5)/$X$5)&gt;1.96,"ATÍPICO",ABS((C1229-$W$5)/$X$5)&lt;=1.96,"NO ATÍPICO")</f>
        <v>NO ATÍPICO</v>
      </c>
      <c r="K1229" t="str" cm="1">
        <f t="array" ref="K1229">_xlfn.IFS(ISBLANK(I1229),"FALTANTE",ABS((I1229-$W$8)/$X$8)&gt;1.92,"ATÍPICO",ABS((I1229-$W$8)/$X$8)&lt;=1.92,"NO ATÍPICO")</f>
        <v>NO ATÍPICO</v>
      </c>
      <c r="L1229">
        <f t="shared" si="92"/>
        <v>293611</v>
      </c>
      <c r="M1229" t="str">
        <f t="shared" si="92"/>
        <v>TRABAJADOR INDEPENDIENTE</v>
      </c>
      <c r="N1229">
        <f t="shared" si="93"/>
        <v>29</v>
      </c>
      <c r="O1229" s="19" t="str">
        <f t="shared" si="94"/>
        <v>0–300k</v>
      </c>
      <c r="P1229" s="19" t="str">
        <f t="shared" si="95"/>
        <v>26-35</v>
      </c>
    </row>
    <row r="1230" spans="1:16" x14ac:dyDescent="0.25">
      <c r="A1230">
        <v>1229</v>
      </c>
      <c r="B1230" t="s">
        <v>9</v>
      </c>
      <c r="C1230">
        <v>404463</v>
      </c>
      <c r="D1230" t="s">
        <v>18</v>
      </c>
      <c r="E1230" t="s">
        <v>16</v>
      </c>
      <c r="F1230" t="s">
        <v>12</v>
      </c>
      <c r="G1230" t="s">
        <v>13</v>
      </c>
      <c r="H1230" t="s">
        <v>12</v>
      </c>
      <c r="I1230">
        <v>57</v>
      </c>
      <c r="J1230" t="str" cm="1">
        <f t="array" ref="J1230">_xlfn.IFS(ISBLANK(C1230),"FALTANTE",ABS((C1230-$W$5)/$X$5)&gt;1.96,"ATÍPICO",ABS((C1230-$W$5)/$X$5)&lt;=1.96,"NO ATÍPICO")</f>
        <v>NO ATÍPICO</v>
      </c>
      <c r="K1230" t="str" cm="1">
        <f t="array" ref="K1230">_xlfn.IFS(ISBLANK(I1230),"FALTANTE",ABS((I1230-$W$8)/$X$8)&gt;1.92,"ATÍPICO",ABS((I1230-$W$8)/$X$8)&lt;=1.92,"NO ATÍPICO")</f>
        <v>NO ATÍPICO</v>
      </c>
      <c r="L1230">
        <f t="shared" si="92"/>
        <v>404463</v>
      </c>
      <c r="M1230" t="str">
        <f t="shared" si="92"/>
        <v>TRABAJADOR INDEPENDIENTE</v>
      </c>
      <c r="N1230">
        <f t="shared" si="93"/>
        <v>57</v>
      </c>
      <c r="O1230" s="19" t="str">
        <f t="shared" si="94"/>
        <v>300k–600k</v>
      </c>
      <c r="P1230" s="19" t="str">
        <f t="shared" si="95"/>
        <v>56+</v>
      </c>
    </row>
    <row r="1231" spans="1:16" x14ac:dyDescent="0.25">
      <c r="A1231">
        <v>1230</v>
      </c>
      <c r="B1231" t="s">
        <v>9</v>
      </c>
      <c r="C1231">
        <v>790612.8</v>
      </c>
      <c r="D1231" t="s">
        <v>10</v>
      </c>
      <c r="E1231" t="s">
        <v>16</v>
      </c>
      <c r="F1231" t="s">
        <v>12</v>
      </c>
      <c r="G1231" t="s">
        <v>13</v>
      </c>
      <c r="H1231" t="s">
        <v>13</v>
      </c>
      <c r="I1231">
        <v>45</v>
      </c>
      <c r="J1231" t="str" cm="1">
        <f t="array" ref="J1231">_xlfn.IFS(ISBLANK(C1231),"FALTANTE",ABS((C1231-$W$5)/$X$5)&gt;1.96,"ATÍPICO",ABS((C1231-$W$5)/$X$5)&lt;=1.96,"NO ATÍPICO")</f>
        <v>NO ATÍPICO</v>
      </c>
      <c r="K1231" t="str" cm="1">
        <f t="array" ref="K1231">_xlfn.IFS(ISBLANK(I1231),"FALTANTE",ABS((I1231-$W$8)/$X$8)&gt;1.92,"ATÍPICO",ABS((I1231-$W$8)/$X$8)&lt;=1.92,"NO ATÍPICO")</f>
        <v>NO ATÍPICO</v>
      </c>
      <c r="L1231">
        <f t="shared" si="92"/>
        <v>790612.8</v>
      </c>
      <c r="M1231" t="str">
        <f t="shared" si="92"/>
        <v>ASALARIADO</v>
      </c>
      <c r="N1231">
        <f t="shared" si="93"/>
        <v>45</v>
      </c>
      <c r="O1231" s="19" t="str">
        <f t="shared" si="94"/>
        <v>600k–900k</v>
      </c>
      <c r="P1231" s="19" t="str">
        <f t="shared" si="95"/>
        <v>36-45</v>
      </c>
    </row>
    <row r="1232" spans="1:16" x14ac:dyDescent="0.25">
      <c r="A1232">
        <v>1231</v>
      </c>
      <c r="B1232" t="s">
        <v>15</v>
      </c>
      <c r="C1232">
        <v>351475.79</v>
      </c>
      <c r="D1232" t="s">
        <v>10</v>
      </c>
      <c r="E1232" t="s">
        <v>16</v>
      </c>
      <c r="F1232" t="s">
        <v>12</v>
      </c>
      <c r="G1232" t="s">
        <v>13</v>
      </c>
      <c r="H1232" t="s">
        <v>13</v>
      </c>
      <c r="I1232">
        <v>33</v>
      </c>
      <c r="J1232" t="str" cm="1">
        <f t="array" ref="J1232">_xlfn.IFS(ISBLANK(C1232),"FALTANTE",ABS((C1232-$W$5)/$X$5)&gt;1.96,"ATÍPICO",ABS((C1232-$W$5)/$X$5)&lt;=1.96,"NO ATÍPICO")</f>
        <v>NO ATÍPICO</v>
      </c>
      <c r="K1232" t="str" cm="1">
        <f t="array" ref="K1232">_xlfn.IFS(ISBLANK(I1232),"FALTANTE",ABS((I1232-$W$8)/$X$8)&gt;1.92,"ATÍPICO",ABS((I1232-$W$8)/$X$8)&lt;=1.92,"NO ATÍPICO")</f>
        <v>NO ATÍPICO</v>
      </c>
      <c r="L1232">
        <f t="shared" si="92"/>
        <v>351475.79</v>
      </c>
      <c r="M1232" t="str">
        <f t="shared" si="92"/>
        <v>ASALARIADO</v>
      </c>
      <c r="N1232">
        <f t="shared" si="93"/>
        <v>33</v>
      </c>
      <c r="O1232" s="19" t="str">
        <f t="shared" si="94"/>
        <v>300k–600k</v>
      </c>
      <c r="P1232" s="19" t="str">
        <f t="shared" si="95"/>
        <v>26-35</v>
      </c>
    </row>
    <row r="1233" spans="1:16" x14ac:dyDescent="0.25">
      <c r="A1233">
        <v>1232</v>
      </c>
      <c r="B1233" t="s">
        <v>9</v>
      </c>
      <c r="C1233">
        <v>140000</v>
      </c>
      <c r="D1233" t="s">
        <v>10</v>
      </c>
      <c r="E1233" t="s">
        <v>16</v>
      </c>
      <c r="F1233" t="s">
        <v>12</v>
      </c>
      <c r="G1233" t="s">
        <v>13</v>
      </c>
      <c r="H1233" t="s">
        <v>13</v>
      </c>
      <c r="I1233">
        <v>24</v>
      </c>
      <c r="J1233" t="str" cm="1">
        <f t="array" ref="J1233">_xlfn.IFS(ISBLANK(C1233),"FALTANTE",ABS((C1233-$W$5)/$X$5)&gt;1.96,"ATÍPICO",ABS((C1233-$W$5)/$X$5)&lt;=1.96,"NO ATÍPICO")</f>
        <v>NO ATÍPICO</v>
      </c>
      <c r="K1233" t="str" cm="1">
        <f t="array" ref="K1233">_xlfn.IFS(ISBLANK(I1233),"FALTANTE",ABS((I1233-$W$8)/$X$8)&gt;1.92,"ATÍPICO",ABS((I1233-$W$8)/$X$8)&lt;=1.92,"NO ATÍPICO")</f>
        <v>NO ATÍPICO</v>
      </c>
      <c r="L1233">
        <f t="shared" si="92"/>
        <v>140000</v>
      </c>
      <c r="M1233" t="str">
        <f t="shared" si="92"/>
        <v>ASALARIADO</v>
      </c>
      <c r="N1233">
        <f t="shared" si="93"/>
        <v>24</v>
      </c>
      <c r="O1233" s="19" t="str">
        <f t="shared" si="94"/>
        <v>0–300k</v>
      </c>
      <c r="P1233" s="19" t="str">
        <f t="shared" si="95"/>
        <v>18-25</v>
      </c>
    </row>
    <row r="1234" spans="1:16" x14ac:dyDescent="0.25">
      <c r="A1234">
        <v>1233</v>
      </c>
      <c r="B1234" t="s">
        <v>9</v>
      </c>
      <c r="C1234">
        <v>367656</v>
      </c>
      <c r="D1234" t="s">
        <v>10</v>
      </c>
      <c r="E1234" t="s">
        <v>16</v>
      </c>
      <c r="F1234" t="s">
        <v>12</v>
      </c>
      <c r="G1234" t="s">
        <v>13</v>
      </c>
      <c r="H1234" t="s">
        <v>13</v>
      </c>
      <c r="I1234">
        <v>46</v>
      </c>
      <c r="J1234" t="str" cm="1">
        <f t="array" ref="J1234">_xlfn.IFS(ISBLANK(C1234),"FALTANTE",ABS((C1234-$W$5)/$X$5)&gt;1.96,"ATÍPICO",ABS((C1234-$W$5)/$X$5)&lt;=1.96,"NO ATÍPICO")</f>
        <v>NO ATÍPICO</v>
      </c>
      <c r="K1234" t="str" cm="1">
        <f t="array" ref="K1234">_xlfn.IFS(ISBLANK(I1234),"FALTANTE",ABS((I1234-$W$8)/$X$8)&gt;1.92,"ATÍPICO",ABS((I1234-$W$8)/$X$8)&lt;=1.92,"NO ATÍPICO")</f>
        <v>NO ATÍPICO</v>
      </c>
      <c r="L1234">
        <f t="shared" si="92"/>
        <v>367656</v>
      </c>
      <c r="M1234" t="str">
        <f t="shared" si="92"/>
        <v>ASALARIADO</v>
      </c>
      <c r="N1234">
        <f t="shared" si="93"/>
        <v>46</v>
      </c>
      <c r="O1234" s="19" t="str">
        <f t="shared" si="94"/>
        <v>300k–600k</v>
      </c>
      <c r="P1234" s="19" t="str">
        <f t="shared" si="95"/>
        <v>46-55</v>
      </c>
    </row>
    <row r="1235" spans="1:16" x14ac:dyDescent="0.25">
      <c r="A1235">
        <v>1234</v>
      </c>
      <c r="B1235" t="s">
        <v>9</v>
      </c>
      <c r="C1235">
        <v>437356.05</v>
      </c>
      <c r="D1235" t="s">
        <v>10</v>
      </c>
      <c r="E1235" t="s">
        <v>16</v>
      </c>
      <c r="F1235" t="s">
        <v>12</v>
      </c>
      <c r="G1235" t="s">
        <v>12</v>
      </c>
      <c r="H1235" t="s">
        <v>13</v>
      </c>
      <c r="I1235">
        <v>29</v>
      </c>
      <c r="J1235" t="str" cm="1">
        <f t="array" ref="J1235">_xlfn.IFS(ISBLANK(C1235),"FALTANTE",ABS((C1235-$W$5)/$X$5)&gt;1.96,"ATÍPICO",ABS((C1235-$W$5)/$X$5)&lt;=1.96,"NO ATÍPICO")</f>
        <v>NO ATÍPICO</v>
      </c>
      <c r="K1235" t="str" cm="1">
        <f t="array" ref="K1235">_xlfn.IFS(ISBLANK(I1235),"FALTANTE",ABS((I1235-$W$8)/$X$8)&gt;1.92,"ATÍPICO",ABS((I1235-$W$8)/$X$8)&lt;=1.92,"NO ATÍPICO")</f>
        <v>NO ATÍPICO</v>
      </c>
      <c r="L1235">
        <f t="shared" si="92"/>
        <v>437356.05</v>
      </c>
      <c r="M1235" t="str">
        <f t="shared" si="92"/>
        <v>ASALARIADO</v>
      </c>
      <c r="N1235">
        <f t="shared" si="93"/>
        <v>29</v>
      </c>
      <c r="O1235" s="19" t="str">
        <f t="shared" si="94"/>
        <v>300k–600k</v>
      </c>
      <c r="P1235" s="19" t="str">
        <f t="shared" si="95"/>
        <v>26-35</v>
      </c>
    </row>
    <row r="1236" spans="1:16" x14ac:dyDescent="0.25">
      <c r="A1236">
        <v>1235</v>
      </c>
      <c r="B1236" t="s">
        <v>15</v>
      </c>
      <c r="C1236">
        <v>650000</v>
      </c>
      <c r="D1236" t="s">
        <v>10</v>
      </c>
      <c r="E1236" t="s">
        <v>16</v>
      </c>
      <c r="F1236" t="s">
        <v>12</v>
      </c>
      <c r="G1236" t="s">
        <v>13</v>
      </c>
      <c r="H1236" t="s">
        <v>13</v>
      </c>
      <c r="I1236">
        <v>39</v>
      </c>
      <c r="J1236" t="str" cm="1">
        <f t="array" ref="J1236">_xlfn.IFS(ISBLANK(C1236),"FALTANTE",ABS((C1236-$W$5)/$X$5)&gt;1.96,"ATÍPICO",ABS((C1236-$W$5)/$X$5)&lt;=1.96,"NO ATÍPICO")</f>
        <v>NO ATÍPICO</v>
      </c>
      <c r="K1236" t="str" cm="1">
        <f t="array" ref="K1236">_xlfn.IFS(ISBLANK(I1236),"FALTANTE",ABS((I1236-$W$8)/$X$8)&gt;1.92,"ATÍPICO",ABS((I1236-$W$8)/$X$8)&lt;=1.92,"NO ATÍPICO")</f>
        <v>NO ATÍPICO</v>
      </c>
      <c r="L1236">
        <f t="shared" si="92"/>
        <v>650000</v>
      </c>
      <c r="M1236" t="str">
        <f t="shared" si="92"/>
        <v>ASALARIADO</v>
      </c>
      <c r="N1236">
        <f t="shared" si="93"/>
        <v>39</v>
      </c>
      <c r="O1236" s="19" t="str">
        <f t="shared" si="94"/>
        <v>600k–900k</v>
      </c>
      <c r="P1236" s="19" t="str">
        <f t="shared" si="95"/>
        <v>36-45</v>
      </c>
    </row>
    <row r="1237" spans="1:16" x14ac:dyDescent="0.25">
      <c r="A1237">
        <v>1236</v>
      </c>
      <c r="B1237" t="s">
        <v>9</v>
      </c>
      <c r="C1237">
        <v>297046</v>
      </c>
      <c r="D1237" t="s">
        <v>18</v>
      </c>
      <c r="E1237" t="s">
        <v>16</v>
      </c>
      <c r="F1237" t="s">
        <v>12</v>
      </c>
      <c r="G1237" t="s">
        <v>13</v>
      </c>
      <c r="H1237" t="s">
        <v>12</v>
      </c>
      <c r="I1237">
        <v>30</v>
      </c>
      <c r="J1237" t="str" cm="1">
        <f t="array" ref="J1237">_xlfn.IFS(ISBLANK(C1237),"FALTANTE",ABS((C1237-$W$5)/$X$5)&gt;1.96,"ATÍPICO",ABS((C1237-$W$5)/$X$5)&lt;=1.96,"NO ATÍPICO")</f>
        <v>NO ATÍPICO</v>
      </c>
      <c r="K1237" t="str" cm="1">
        <f t="array" ref="K1237">_xlfn.IFS(ISBLANK(I1237),"FALTANTE",ABS((I1237-$W$8)/$X$8)&gt;1.92,"ATÍPICO",ABS((I1237-$W$8)/$X$8)&lt;=1.92,"NO ATÍPICO")</f>
        <v>NO ATÍPICO</v>
      </c>
      <c r="L1237">
        <f t="shared" si="92"/>
        <v>297046</v>
      </c>
      <c r="M1237" t="str">
        <f t="shared" si="92"/>
        <v>TRABAJADOR INDEPENDIENTE</v>
      </c>
      <c r="N1237">
        <f t="shared" si="93"/>
        <v>30</v>
      </c>
      <c r="O1237" s="19" t="str">
        <f t="shared" si="94"/>
        <v>0–300k</v>
      </c>
      <c r="P1237" s="19" t="str">
        <f t="shared" si="95"/>
        <v>26-35</v>
      </c>
    </row>
    <row r="1238" spans="1:16" x14ac:dyDescent="0.25">
      <c r="A1238">
        <v>1237</v>
      </c>
      <c r="B1238" t="s">
        <v>15</v>
      </c>
      <c r="C1238">
        <v>694194</v>
      </c>
      <c r="D1238" t="s">
        <v>10</v>
      </c>
      <c r="E1238" t="s">
        <v>11</v>
      </c>
      <c r="F1238" t="s">
        <v>12</v>
      </c>
      <c r="G1238" t="s">
        <v>13</v>
      </c>
      <c r="H1238" t="s">
        <v>13</v>
      </c>
      <c r="I1238">
        <v>33</v>
      </c>
      <c r="J1238" t="str" cm="1">
        <f t="array" ref="J1238">_xlfn.IFS(ISBLANK(C1238),"FALTANTE",ABS((C1238-$W$5)/$X$5)&gt;1.96,"ATÍPICO",ABS((C1238-$W$5)/$X$5)&lt;=1.96,"NO ATÍPICO")</f>
        <v>NO ATÍPICO</v>
      </c>
      <c r="K1238" t="str" cm="1">
        <f t="array" ref="K1238">_xlfn.IFS(ISBLANK(I1238),"FALTANTE",ABS((I1238-$W$8)/$X$8)&gt;1.92,"ATÍPICO",ABS((I1238-$W$8)/$X$8)&lt;=1.92,"NO ATÍPICO")</f>
        <v>NO ATÍPICO</v>
      </c>
      <c r="L1238">
        <f t="shared" si="92"/>
        <v>694194</v>
      </c>
      <c r="M1238" t="str">
        <f t="shared" si="92"/>
        <v>ASALARIADO</v>
      </c>
      <c r="N1238">
        <f t="shared" si="93"/>
        <v>33</v>
      </c>
      <c r="O1238" s="19" t="str">
        <f t="shared" si="94"/>
        <v>600k–900k</v>
      </c>
      <c r="P1238" s="19" t="str">
        <f t="shared" si="95"/>
        <v>26-35</v>
      </c>
    </row>
    <row r="1239" spans="1:16" x14ac:dyDescent="0.25">
      <c r="A1239">
        <v>1238</v>
      </c>
      <c r="B1239" t="s">
        <v>9</v>
      </c>
      <c r="C1239">
        <v>297046</v>
      </c>
      <c r="D1239" t="s">
        <v>17</v>
      </c>
      <c r="E1239" t="s">
        <v>16</v>
      </c>
      <c r="F1239" t="s">
        <v>12</v>
      </c>
      <c r="G1239" t="s">
        <v>12</v>
      </c>
      <c r="H1239" t="s">
        <v>13</v>
      </c>
      <c r="I1239">
        <v>26</v>
      </c>
      <c r="J1239" t="str" cm="1">
        <f t="array" ref="J1239">_xlfn.IFS(ISBLANK(C1239),"FALTANTE",ABS((C1239-$W$5)/$X$5)&gt;1.96,"ATÍPICO",ABS((C1239-$W$5)/$X$5)&lt;=1.96,"NO ATÍPICO")</f>
        <v>NO ATÍPICO</v>
      </c>
      <c r="K1239" t="str" cm="1">
        <f t="array" ref="K1239">_xlfn.IFS(ISBLANK(I1239),"FALTANTE",ABS((I1239-$W$8)/$X$8)&gt;1.92,"ATÍPICO",ABS((I1239-$W$8)/$X$8)&lt;=1.92,"NO ATÍPICO")</f>
        <v>NO ATÍPICO</v>
      </c>
      <c r="L1239">
        <f t="shared" si="92"/>
        <v>297046</v>
      </c>
      <c r="M1239" t="str">
        <f t="shared" si="92"/>
        <v>ASEGURADO VOLUNTARIO</v>
      </c>
      <c r="N1239">
        <f t="shared" si="93"/>
        <v>26</v>
      </c>
      <c r="O1239" s="19" t="str">
        <f t="shared" si="94"/>
        <v>0–300k</v>
      </c>
      <c r="P1239" s="19" t="str">
        <f t="shared" si="95"/>
        <v>26-35</v>
      </c>
    </row>
    <row r="1240" spans="1:16" x14ac:dyDescent="0.25">
      <c r="A1240">
        <v>1239</v>
      </c>
      <c r="B1240" t="s">
        <v>15</v>
      </c>
      <c r="C1240">
        <v>1990669.08</v>
      </c>
      <c r="D1240" t="s">
        <v>10</v>
      </c>
      <c r="E1240" t="s">
        <v>11</v>
      </c>
      <c r="F1240" t="s">
        <v>12</v>
      </c>
      <c r="G1240" t="s">
        <v>13</v>
      </c>
      <c r="H1240" t="s">
        <v>13</v>
      </c>
      <c r="I1240">
        <v>38</v>
      </c>
      <c r="J1240" t="str" cm="1">
        <f t="array" ref="J1240">_xlfn.IFS(ISBLANK(C1240),"FALTANTE",ABS((C1240-$W$5)/$X$5)&gt;1.96,"ATÍPICO",ABS((C1240-$W$5)/$X$5)&lt;=1.96,"NO ATÍPICO")</f>
        <v>NO ATÍPICO</v>
      </c>
      <c r="K1240" t="str" cm="1">
        <f t="array" ref="K1240">_xlfn.IFS(ISBLANK(I1240),"FALTANTE",ABS((I1240-$W$8)/$X$8)&gt;1.92,"ATÍPICO",ABS((I1240-$W$8)/$X$8)&lt;=1.92,"NO ATÍPICO")</f>
        <v>NO ATÍPICO</v>
      </c>
      <c r="L1240">
        <f t="shared" si="92"/>
        <v>1990669.08</v>
      </c>
      <c r="M1240" t="str">
        <f t="shared" si="92"/>
        <v>ASALARIADO</v>
      </c>
      <c r="N1240">
        <f t="shared" si="93"/>
        <v>38</v>
      </c>
      <c r="O1240" s="19" t="str">
        <f t="shared" si="94"/>
        <v>1200k+</v>
      </c>
      <c r="P1240" s="19" t="str">
        <f t="shared" si="95"/>
        <v>36-45</v>
      </c>
    </row>
    <row r="1241" spans="1:16" x14ac:dyDescent="0.25">
      <c r="A1241">
        <v>1240</v>
      </c>
      <c r="B1241" t="s">
        <v>9</v>
      </c>
      <c r="C1241">
        <v>716480.5</v>
      </c>
      <c r="D1241" t="s">
        <v>10</v>
      </c>
      <c r="E1241" t="s">
        <v>11</v>
      </c>
      <c r="F1241" t="s">
        <v>12</v>
      </c>
      <c r="G1241" t="s">
        <v>13</v>
      </c>
      <c r="H1241" t="s">
        <v>13</v>
      </c>
      <c r="I1241">
        <v>59</v>
      </c>
      <c r="J1241" t="str" cm="1">
        <f t="array" ref="J1241">_xlfn.IFS(ISBLANK(C1241),"FALTANTE",ABS((C1241-$W$5)/$X$5)&gt;1.96,"ATÍPICO",ABS((C1241-$W$5)/$X$5)&lt;=1.96,"NO ATÍPICO")</f>
        <v>NO ATÍPICO</v>
      </c>
      <c r="K1241" t="str" cm="1">
        <f t="array" ref="K1241">_xlfn.IFS(ISBLANK(I1241),"FALTANTE",ABS((I1241-$W$8)/$X$8)&gt;1.92,"ATÍPICO",ABS((I1241-$W$8)/$X$8)&lt;=1.92,"NO ATÍPICO")</f>
        <v>NO ATÍPICO</v>
      </c>
      <c r="L1241">
        <f t="shared" si="92"/>
        <v>716480.5</v>
      </c>
      <c r="M1241" t="str">
        <f t="shared" si="92"/>
        <v>ASALARIADO</v>
      </c>
      <c r="N1241">
        <f t="shared" si="93"/>
        <v>59</v>
      </c>
      <c r="O1241" s="19" t="str">
        <f t="shared" si="94"/>
        <v>600k–900k</v>
      </c>
      <c r="P1241" s="19" t="str">
        <f t="shared" si="95"/>
        <v>56+</v>
      </c>
    </row>
    <row r="1242" spans="1:16" x14ac:dyDescent="0.25">
      <c r="A1242">
        <v>1241</v>
      </c>
      <c r="B1242" t="s">
        <v>9</v>
      </c>
      <c r="C1242">
        <v>629602.69999999995</v>
      </c>
      <c r="D1242" t="s">
        <v>10</v>
      </c>
      <c r="E1242" t="s">
        <v>16</v>
      </c>
      <c r="F1242" t="s">
        <v>12</v>
      </c>
      <c r="G1242" t="s">
        <v>13</v>
      </c>
      <c r="H1242" t="s">
        <v>13</v>
      </c>
      <c r="I1242">
        <v>36</v>
      </c>
      <c r="J1242" t="str" cm="1">
        <f t="array" ref="J1242">_xlfn.IFS(ISBLANK(C1242),"FALTANTE",ABS((C1242-$W$5)/$X$5)&gt;1.96,"ATÍPICO",ABS((C1242-$W$5)/$X$5)&lt;=1.96,"NO ATÍPICO")</f>
        <v>NO ATÍPICO</v>
      </c>
      <c r="K1242" t="str" cm="1">
        <f t="array" ref="K1242">_xlfn.IFS(ISBLANK(I1242),"FALTANTE",ABS((I1242-$W$8)/$X$8)&gt;1.92,"ATÍPICO",ABS((I1242-$W$8)/$X$8)&lt;=1.92,"NO ATÍPICO")</f>
        <v>NO ATÍPICO</v>
      </c>
      <c r="L1242">
        <f t="shared" si="92"/>
        <v>629602.69999999995</v>
      </c>
      <c r="M1242" t="str">
        <f t="shared" si="92"/>
        <v>ASALARIADO</v>
      </c>
      <c r="N1242">
        <f t="shared" si="93"/>
        <v>36</v>
      </c>
      <c r="O1242" s="19" t="str">
        <f t="shared" si="94"/>
        <v>600k–900k</v>
      </c>
      <c r="P1242" s="19" t="str">
        <f t="shared" si="95"/>
        <v>36-45</v>
      </c>
    </row>
    <row r="1243" spans="1:16" x14ac:dyDescent="0.25">
      <c r="A1243">
        <v>1242</v>
      </c>
      <c r="B1243" t="s">
        <v>15</v>
      </c>
      <c r="C1243">
        <v>139857.5</v>
      </c>
      <c r="D1243" t="s">
        <v>10</v>
      </c>
      <c r="E1243" t="s">
        <v>16</v>
      </c>
      <c r="F1243" t="s">
        <v>12</v>
      </c>
      <c r="G1243" t="s">
        <v>13</v>
      </c>
      <c r="H1243" t="s">
        <v>13</v>
      </c>
      <c r="I1243">
        <v>33</v>
      </c>
      <c r="J1243" t="str" cm="1">
        <f t="array" ref="J1243">_xlfn.IFS(ISBLANK(C1243),"FALTANTE",ABS((C1243-$W$5)/$X$5)&gt;1.96,"ATÍPICO",ABS((C1243-$W$5)/$X$5)&lt;=1.96,"NO ATÍPICO")</f>
        <v>NO ATÍPICO</v>
      </c>
      <c r="K1243" t="str" cm="1">
        <f t="array" ref="K1243">_xlfn.IFS(ISBLANK(I1243),"FALTANTE",ABS((I1243-$W$8)/$X$8)&gt;1.92,"ATÍPICO",ABS((I1243-$W$8)/$X$8)&lt;=1.92,"NO ATÍPICO")</f>
        <v>NO ATÍPICO</v>
      </c>
      <c r="L1243">
        <f t="shared" si="92"/>
        <v>139857.5</v>
      </c>
      <c r="M1243" t="str">
        <f t="shared" si="92"/>
        <v>ASALARIADO</v>
      </c>
      <c r="N1243">
        <f t="shared" si="93"/>
        <v>33</v>
      </c>
      <c r="O1243" s="19" t="str">
        <f t="shared" si="94"/>
        <v>0–300k</v>
      </c>
      <c r="P1243" s="19" t="str">
        <f t="shared" si="95"/>
        <v>26-35</v>
      </c>
    </row>
    <row r="1244" spans="1:16" x14ac:dyDescent="0.25">
      <c r="A1244">
        <v>1243</v>
      </c>
      <c r="B1244" t="s">
        <v>15</v>
      </c>
      <c r="C1244">
        <v>627456</v>
      </c>
      <c r="D1244" t="s">
        <v>10</v>
      </c>
      <c r="E1244" t="s">
        <v>16</v>
      </c>
      <c r="F1244" t="s">
        <v>12</v>
      </c>
      <c r="G1244" t="s">
        <v>13</v>
      </c>
      <c r="H1244" t="s">
        <v>13</v>
      </c>
      <c r="I1244">
        <v>50</v>
      </c>
      <c r="J1244" t="str" cm="1">
        <f t="array" ref="J1244">_xlfn.IFS(ISBLANK(C1244),"FALTANTE",ABS((C1244-$W$5)/$X$5)&gt;1.96,"ATÍPICO",ABS((C1244-$W$5)/$X$5)&lt;=1.96,"NO ATÍPICO")</f>
        <v>NO ATÍPICO</v>
      </c>
      <c r="K1244" t="str" cm="1">
        <f t="array" ref="K1244">_xlfn.IFS(ISBLANK(I1244),"FALTANTE",ABS((I1244-$W$8)/$X$8)&gt;1.92,"ATÍPICO",ABS((I1244-$W$8)/$X$8)&lt;=1.92,"NO ATÍPICO")</f>
        <v>NO ATÍPICO</v>
      </c>
      <c r="L1244">
        <f t="shared" si="92"/>
        <v>627456</v>
      </c>
      <c r="M1244" t="str">
        <f t="shared" si="92"/>
        <v>ASALARIADO</v>
      </c>
      <c r="N1244">
        <f t="shared" si="93"/>
        <v>50</v>
      </c>
      <c r="O1244" s="19" t="str">
        <f t="shared" si="94"/>
        <v>600k–900k</v>
      </c>
      <c r="P1244" s="19" t="str">
        <f t="shared" si="95"/>
        <v>46-55</v>
      </c>
    </row>
    <row r="1245" spans="1:16" x14ac:dyDescent="0.25">
      <c r="A1245">
        <v>1244</v>
      </c>
      <c r="B1245" t="s">
        <v>9</v>
      </c>
      <c r="C1245">
        <v>387148.05</v>
      </c>
      <c r="D1245" t="s">
        <v>10</v>
      </c>
      <c r="E1245" t="s">
        <v>16</v>
      </c>
      <c r="F1245" t="s">
        <v>12</v>
      </c>
      <c r="G1245" t="s">
        <v>13</v>
      </c>
      <c r="H1245" t="s">
        <v>13</v>
      </c>
      <c r="I1245">
        <v>61</v>
      </c>
      <c r="J1245" t="str" cm="1">
        <f t="array" ref="J1245">_xlfn.IFS(ISBLANK(C1245),"FALTANTE",ABS((C1245-$W$5)/$X$5)&gt;1.96,"ATÍPICO",ABS((C1245-$W$5)/$X$5)&lt;=1.96,"NO ATÍPICO")</f>
        <v>NO ATÍPICO</v>
      </c>
      <c r="K1245" t="str" cm="1">
        <f t="array" ref="K1245">_xlfn.IFS(ISBLANK(I1245),"FALTANTE",ABS((I1245-$W$8)/$X$8)&gt;1.92,"ATÍPICO",ABS((I1245-$W$8)/$X$8)&lt;=1.92,"NO ATÍPICO")</f>
        <v>NO ATÍPICO</v>
      </c>
      <c r="L1245">
        <f t="shared" si="92"/>
        <v>387148.05</v>
      </c>
      <c r="M1245" t="str">
        <f t="shared" si="92"/>
        <v>ASALARIADO</v>
      </c>
      <c r="N1245">
        <f t="shared" si="93"/>
        <v>61</v>
      </c>
      <c r="O1245" s="19" t="str">
        <f t="shared" si="94"/>
        <v>300k–600k</v>
      </c>
      <c r="P1245" s="19" t="str">
        <f t="shared" si="95"/>
        <v>56+</v>
      </c>
    </row>
    <row r="1246" spans="1:16" x14ac:dyDescent="0.25">
      <c r="A1246">
        <v>1245</v>
      </c>
      <c r="B1246" t="s">
        <v>9</v>
      </c>
      <c r="C1246">
        <v>1021093.09</v>
      </c>
      <c r="D1246" t="s">
        <v>10</v>
      </c>
      <c r="E1246" t="s">
        <v>16</v>
      </c>
      <c r="F1246" t="s">
        <v>12</v>
      </c>
      <c r="G1246" t="s">
        <v>13</v>
      </c>
      <c r="H1246" t="s">
        <v>13</v>
      </c>
      <c r="I1246">
        <v>61</v>
      </c>
      <c r="J1246" t="str" cm="1">
        <f t="array" ref="J1246">_xlfn.IFS(ISBLANK(C1246),"FALTANTE",ABS((C1246-$W$5)/$X$5)&gt;1.96,"ATÍPICO",ABS((C1246-$W$5)/$X$5)&lt;=1.96,"NO ATÍPICO")</f>
        <v>NO ATÍPICO</v>
      </c>
      <c r="K1246" t="str" cm="1">
        <f t="array" ref="K1246">_xlfn.IFS(ISBLANK(I1246),"FALTANTE",ABS((I1246-$W$8)/$X$8)&gt;1.92,"ATÍPICO",ABS((I1246-$W$8)/$X$8)&lt;=1.92,"NO ATÍPICO")</f>
        <v>NO ATÍPICO</v>
      </c>
      <c r="L1246">
        <f t="shared" si="92"/>
        <v>1021093.09</v>
      </c>
      <c r="M1246" t="str">
        <f t="shared" si="92"/>
        <v>ASALARIADO</v>
      </c>
      <c r="N1246">
        <f t="shared" si="93"/>
        <v>61</v>
      </c>
      <c r="O1246" s="19" t="str">
        <f t="shared" si="94"/>
        <v>900k–1200k</v>
      </c>
      <c r="P1246" s="19" t="str">
        <f t="shared" si="95"/>
        <v>56+</v>
      </c>
    </row>
    <row r="1247" spans="1:16" x14ac:dyDescent="0.25">
      <c r="A1247">
        <v>1246</v>
      </c>
      <c r="B1247" t="s">
        <v>9</v>
      </c>
      <c r="C1247">
        <v>350000</v>
      </c>
      <c r="D1247" t="s">
        <v>10</v>
      </c>
      <c r="E1247" t="s">
        <v>16</v>
      </c>
      <c r="F1247" t="s">
        <v>12</v>
      </c>
      <c r="G1247" t="s">
        <v>13</v>
      </c>
      <c r="H1247" t="s">
        <v>13</v>
      </c>
      <c r="I1247">
        <v>38</v>
      </c>
      <c r="J1247" t="str" cm="1">
        <f t="array" ref="J1247">_xlfn.IFS(ISBLANK(C1247),"FALTANTE",ABS((C1247-$W$5)/$X$5)&gt;1.96,"ATÍPICO",ABS((C1247-$W$5)/$X$5)&lt;=1.96,"NO ATÍPICO")</f>
        <v>NO ATÍPICO</v>
      </c>
      <c r="K1247" t="str" cm="1">
        <f t="array" ref="K1247">_xlfn.IFS(ISBLANK(I1247),"FALTANTE",ABS((I1247-$W$8)/$X$8)&gt;1.92,"ATÍPICO",ABS((I1247-$W$8)/$X$8)&lt;=1.92,"NO ATÍPICO")</f>
        <v>NO ATÍPICO</v>
      </c>
      <c r="L1247">
        <f t="shared" si="92"/>
        <v>350000</v>
      </c>
      <c r="M1247" t="str">
        <f t="shared" si="92"/>
        <v>ASALARIADO</v>
      </c>
      <c r="N1247">
        <f t="shared" si="93"/>
        <v>38</v>
      </c>
      <c r="O1247" s="19" t="str">
        <f t="shared" si="94"/>
        <v>300k–600k</v>
      </c>
      <c r="P1247" s="19" t="str">
        <f t="shared" si="95"/>
        <v>36-45</v>
      </c>
    </row>
    <row r="1248" spans="1:16" x14ac:dyDescent="0.25">
      <c r="A1248">
        <v>1247</v>
      </c>
      <c r="B1248" t="s">
        <v>9</v>
      </c>
      <c r="C1248">
        <v>260000</v>
      </c>
      <c r="D1248" t="s">
        <v>10</v>
      </c>
      <c r="E1248" t="s">
        <v>16</v>
      </c>
      <c r="F1248" t="s">
        <v>12</v>
      </c>
      <c r="G1248" t="s">
        <v>13</v>
      </c>
      <c r="H1248" t="s">
        <v>12</v>
      </c>
      <c r="I1248">
        <v>40</v>
      </c>
      <c r="J1248" t="str" cm="1">
        <f t="array" ref="J1248">_xlfn.IFS(ISBLANK(C1248),"FALTANTE",ABS((C1248-$W$5)/$X$5)&gt;1.96,"ATÍPICO",ABS((C1248-$W$5)/$X$5)&lt;=1.96,"NO ATÍPICO")</f>
        <v>NO ATÍPICO</v>
      </c>
      <c r="K1248" t="str" cm="1">
        <f t="array" ref="K1248">_xlfn.IFS(ISBLANK(I1248),"FALTANTE",ABS((I1248-$W$8)/$X$8)&gt;1.92,"ATÍPICO",ABS((I1248-$W$8)/$X$8)&lt;=1.92,"NO ATÍPICO")</f>
        <v>NO ATÍPICO</v>
      </c>
      <c r="L1248">
        <f t="shared" si="92"/>
        <v>260000</v>
      </c>
      <c r="M1248" t="str">
        <f t="shared" si="92"/>
        <v>ASALARIADO</v>
      </c>
      <c r="N1248">
        <f t="shared" si="93"/>
        <v>40</v>
      </c>
      <c r="O1248" s="19" t="str">
        <f t="shared" si="94"/>
        <v>0–300k</v>
      </c>
      <c r="P1248" s="19" t="str">
        <f t="shared" si="95"/>
        <v>36-45</v>
      </c>
    </row>
    <row r="1249" spans="1:16" x14ac:dyDescent="0.25">
      <c r="A1249">
        <v>1248</v>
      </c>
      <c r="B1249" t="s">
        <v>9</v>
      </c>
      <c r="C1249">
        <v>2276454.04</v>
      </c>
      <c r="D1249" t="s">
        <v>10</v>
      </c>
      <c r="E1249" t="s">
        <v>16</v>
      </c>
      <c r="F1249" t="s">
        <v>12</v>
      </c>
      <c r="G1249" t="s">
        <v>13</v>
      </c>
      <c r="H1249" t="s">
        <v>13</v>
      </c>
      <c r="I1249">
        <v>49</v>
      </c>
      <c r="J1249" t="str" cm="1">
        <f t="array" ref="J1249">_xlfn.IFS(ISBLANK(C1249),"FALTANTE",ABS((C1249-$W$5)/$X$5)&gt;1.96,"ATÍPICO",ABS((C1249-$W$5)/$X$5)&lt;=1.96,"NO ATÍPICO")</f>
        <v>ATÍPICO</v>
      </c>
      <c r="K1249" t="str" cm="1">
        <f t="array" ref="K1249">_xlfn.IFS(ISBLANK(I1249),"FALTANTE",ABS((I1249-$W$8)/$X$8)&gt;1.92,"ATÍPICO",ABS((I1249-$W$8)/$X$8)&lt;=1.92,"NO ATÍPICO")</f>
        <v>NO ATÍPICO</v>
      </c>
      <c r="L1249">
        <f t="shared" si="92"/>
        <v>2276454.04</v>
      </c>
      <c r="M1249" t="str">
        <f t="shared" si="92"/>
        <v>ASALARIADO</v>
      </c>
      <c r="N1249">
        <f t="shared" si="93"/>
        <v>49</v>
      </c>
      <c r="O1249" s="19" t="str">
        <f t="shared" si="94"/>
        <v>1200k+</v>
      </c>
      <c r="P1249" s="19" t="str">
        <f t="shared" si="95"/>
        <v>46-55</v>
      </c>
    </row>
    <row r="1250" spans="1:16" x14ac:dyDescent="0.25">
      <c r="A1250">
        <v>1249</v>
      </c>
      <c r="B1250" t="s">
        <v>15</v>
      </c>
      <c r="C1250">
        <v>278030</v>
      </c>
      <c r="D1250" t="s">
        <v>17</v>
      </c>
      <c r="E1250" t="s">
        <v>16</v>
      </c>
      <c r="F1250" t="s">
        <v>12</v>
      </c>
      <c r="G1250" t="s">
        <v>12</v>
      </c>
      <c r="H1250" t="s">
        <v>13</v>
      </c>
      <c r="I1250">
        <v>67</v>
      </c>
      <c r="J1250" t="str" cm="1">
        <f t="array" ref="J1250">_xlfn.IFS(ISBLANK(C1250),"FALTANTE",ABS((C1250-$W$5)/$X$5)&gt;1.96,"ATÍPICO",ABS((C1250-$W$5)/$X$5)&lt;=1.96,"NO ATÍPICO")</f>
        <v>NO ATÍPICO</v>
      </c>
      <c r="K1250" t="str" cm="1">
        <f t="array" ref="K1250">_xlfn.IFS(ISBLANK(I1250),"FALTANTE",ABS((I1250-$W$8)/$X$8)&gt;1.92,"ATÍPICO",ABS((I1250-$W$8)/$X$8)&lt;=1.92,"NO ATÍPICO")</f>
        <v>NO ATÍPICO</v>
      </c>
      <c r="L1250">
        <f t="shared" si="92"/>
        <v>278030</v>
      </c>
      <c r="M1250" t="str">
        <f t="shared" si="92"/>
        <v>ASEGURADO VOLUNTARIO</v>
      </c>
      <c r="N1250">
        <f t="shared" si="93"/>
        <v>67</v>
      </c>
      <c r="O1250" s="19" t="str">
        <f t="shared" si="94"/>
        <v>0–300k</v>
      </c>
      <c r="P1250" s="19" t="str">
        <f t="shared" si="95"/>
        <v>56+</v>
      </c>
    </row>
    <row r="1251" spans="1:16" x14ac:dyDescent="0.25">
      <c r="A1251">
        <v>1250</v>
      </c>
      <c r="B1251" t="s">
        <v>15</v>
      </c>
      <c r="C1251">
        <v>346913</v>
      </c>
      <c r="D1251" t="s">
        <v>10</v>
      </c>
      <c r="E1251" t="s">
        <v>16</v>
      </c>
      <c r="F1251" t="s">
        <v>12</v>
      </c>
      <c r="G1251" t="s">
        <v>13</v>
      </c>
      <c r="H1251" t="s">
        <v>13</v>
      </c>
      <c r="I1251">
        <v>52</v>
      </c>
      <c r="J1251" t="str" cm="1">
        <f t="array" ref="J1251">_xlfn.IFS(ISBLANK(C1251),"FALTANTE",ABS((C1251-$W$5)/$X$5)&gt;1.96,"ATÍPICO",ABS((C1251-$W$5)/$X$5)&lt;=1.96,"NO ATÍPICO")</f>
        <v>NO ATÍPICO</v>
      </c>
      <c r="K1251" t="str" cm="1">
        <f t="array" ref="K1251">_xlfn.IFS(ISBLANK(I1251),"FALTANTE",ABS((I1251-$W$8)/$X$8)&gt;1.92,"ATÍPICO",ABS((I1251-$W$8)/$X$8)&lt;=1.92,"NO ATÍPICO")</f>
        <v>NO ATÍPICO</v>
      </c>
      <c r="L1251">
        <f t="shared" si="92"/>
        <v>346913</v>
      </c>
      <c r="M1251" t="str">
        <f t="shared" si="92"/>
        <v>ASALARIADO</v>
      </c>
      <c r="N1251">
        <f t="shared" si="93"/>
        <v>52</v>
      </c>
      <c r="O1251" s="19" t="str">
        <f t="shared" si="94"/>
        <v>300k–600k</v>
      </c>
      <c r="P1251" s="19" t="str">
        <f t="shared" si="95"/>
        <v>46-55</v>
      </c>
    </row>
    <row r="1252" spans="1:16" x14ac:dyDescent="0.25">
      <c r="A1252">
        <v>1251</v>
      </c>
      <c r="B1252" t="s">
        <v>9</v>
      </c>
      <c r="C1252">
        <v>426096.65</v>
      </c>
      <c r="D1252" t="s">
        <v>10</v>
      </c>
      <c r="E1252" t="s">
        <v>16</v>
      </c>
      <c r="F1252" t="s">
        <v>12</v>
      </c>
      <c r="G1252" t="s">
        <v>13</v>
      </c>
      <c r="H1252" t="s">
        <v>13</v>
      </c>
      <c r="I1252">
        <v>63</v>
      </c>
      <c r="J1252" t="str" cm="1">
        <f t="array" ref="J1252">_xlfn.IFS(ISBLANK(C1252),"FALTANTE",ABS((C1252-$W$5)/$X$5)&gt;1.96,"ATÍPICO",ABS((C1252-$W$5)/$X$5)&lt;=1.96,"NO ATÍPICO")</f>
        <v>NO ATÍPICO</v>
      </c>
      <c r="K1252" t="str" cm="1">
        <f t="array" ref="K1252">_xlfn.IFS(ISBLANK(I1252),"FALTANTE",ABS((I1252-$W$8)/$X$8)&gt;1.92,"ATÍPICO",ABS((I1252-$W$8)/$X$8)&lt;=1.92,"NO ATÍPICO")</f>
        <v>NO ATÍPICO</v>
      </c>
      <c r="L1252">
        <f t="shared" si="92"/>
        <v>426096.65</v>
      </c>
      <c r="M1252" t="str">
        <f t="shared" si="92"/>
        <v>ASALARIADO</v>
      </c>
      <c r="N1252">
        <f t="shared" si="93"/>
        <v>63</v>
      </c>
      <c r="O1252" s="19" t="str">
        <f t="shared" si="94"/>
        <v>300k–600k</v>
      </c>
      <c r="P1252" s="19" t="str">
        <f t="shared" si="95"/>
        <v>56+</v>
      </c>
    </row>
    <row r="1253" spans="1:16" x14ac:dyDescent="0.25">
      <c r="A1253">
        <v>1252</v>
      </c>
      <c r="B1253" t="s">
        <v>15</v>
      </c>
      <c r="C1253">
        <v>251072.18</v>
      </c>
      <c r="D1253" t="s">
        <v>14</v>
      </c>
      <c r="E1253" t="s">
        <v>11</v>
      </c>
      <c r="F1253" t="s">
        <v>12</v>
      </c>
      <c r="G1253" t="s">
        <v>13</v>
      </c>
      <c r="H1253" t="s">
        <v>13</v>
      </c>
      <c r="I1253">
        <v>14</v>
      </c>
      <c r="J1253" t="str" cm="1">
        <f t="array" ref="J1253">_xlfn.IFS(ISBLANK(C1253),"FALTANTE",ABS((C1253-$W$5)/$X$5)&gt;1.96,"ATÍPICO",ABS((C1253-$W$5)/$X$5)&lt;=1.96,"NO ATÍPICO")</f>
        <v>NO ATÍPICO</v>
      </c>
      <c r="K1253" t="str" cm="1">
        <f t="array" ref="K1253">_xlfn.IFS(ISBLANK(I1253),"FALTANTE",ABS((I1253-$W$8)/$X$8)&gt;1.92,"ATÍPICO",ABS((I1253-$W$8)/$X$8)&lt;=1.92,"NO ATÍPICO")</f>
        <v>ATÍPICO</v>
      </c>
      <c r="L1253">
        <f t="shared" si="92"/>
        <v>251072.18</v>
      </c>
      <c r="M1253" t="str">
        <f t="shared" si="92"/>
        <v>PENSIONADOS EN SU PROPIO SISTEMA</v>
      </c>
      <c r="N1253">
        <f t="shared" si="93"/>
        <v>14</v>
      </c>
      <c r="O1253" s="19" t="str">
        <f t="shared" si="94"/>
        <v>0–300k</v>
      </c>
      <c r="P1253" s="19" t="str">
        <f t="shared" si="95"/>
        <v>18-25</v>
      </c>
    </row>
    <row r="1254" spans="1:16" x14ac:dyDescent="0.25">
      <c r="A1254">
        <v>1253</v>
      </c>
      <c r="B1254" t="s">
        <v>15</v>
      </c>
      <c r="C1254">
        <v>747594</v>
      </c>
      <c r="D1254" t="s">
        <v>10</v>
      </c>
      <c r="E1254" t="s">
        <v>11</v>
      </c>
      <c r="F1254" t="s">
        <v>12</v>
      </c>
      <c r="G1254" t="s">
        <v>13</v>
      </c>
      <c r="H1254" t="s">
        <v>13</v>
      </c>
      <c r="I1254">
        <v>31</v>
      </c>
      <c r="J1254" t="str" cm="1">
        <f t="array" ref="J1254">_xlfn.IFS(ISBLANK(C1254),"FALTANTE",ABS((C1254-$W$5)/$X$5)&gt;1.96,"ATÍPICO",ABS((C1254-$W$5)/$X$5)&lt;=1.96,"NO ATÍPICO")</f>
        <v>NO ATÍPICO</v>
      </c>
      <c r="K1254" t="str" cm="1">
        <f t="array" ref="K1254">_xlfn.IFS(ISBLANK(I1254),"FALTANTE",ABS((I1254-$W$8)/$X$8)&gt;1.92,"ATÍPICO",ABS((I1254-$W$8)/$X$8)&lt;=1.92,"NO ATÍPICO")</f>
        <v>NO ATÍPICO</v>
      </c>
      <c r="L1254">
        <f t="shared" si="92"/>
        <v>747594</v>
      </c>
      <c r="M1254" t="str">
        <f t="shared" si="92"/>
        <v>ASALARIADO</v>
      </c>
      <c r="N1254">
        <f t="shared" si="93"/>
        <v>31</v>
      </c>
      <c r="O1254" s="19" t="str">
        <f t="shared" si="94"/>
        <v>600k–900k</v>
      </c>
      <c r="P1254" s="19" t="str">
        <f t="shared" si="95"/>
        <v>26-35</v>
      </c>
    </row>
    <row r="1255" spans="1:16" x14ac:dyDescent="0.25">
      <c r="A1255">
        <v>1254</v>
      </c>
      <c r="B1255" t="s">
        <v>9</v>
      </c>
      <c r="C1255">
        <v>593740.05000000005</v>
      </c>
      <c r="D1255" t="s">
        <v>10</v>
      </c>
      <c r="E1255" t="s">
        <v>16</v>
      </c>
      <c r="F1255" t="s">
        <v>12</v>
      </c>
      <c r="G1255" t="s">
        <v>13</v>
      </c>
      <c r="H1255" t="s">
        <v>13</v>
      </c>
      <c r="I1255">
        <v>26</v>
      </c>
      <c r="J1255" t="str" cm="1">
        <f t="array" ref="J1255">_xlfn.IFS(ISBLANK(C1255),"FALTANTE",ABS((C1255-$W$5)/$X$5)&gt;1.96,"ATÍPICO",ABS((C1255-$W$5)/$X$5)&lt;=1.96,"NO ATÍPICO")</f>
        <v>NO ATÍPICO</v>
      </c>
      <c r="K1255" t="str" cm="1">
        <f t="array" ref="K1255">_xlfn.IFS(ISBLANK(I1255),"FALTANTE",ABS((I1255-$W$8)/$X$8)&gt;1.92,"ATÍPICO",ABS((I1255-$W$8)/$X$8)&lt;=1.92,"NO ATÍPICO")</f>
        <v>NO ATÍPICO</v>
      </c>
      <c r="L1255">
        <f t="shared" si="92"/>
        <v>593740.05000000005</v>
      </c>
      <c r="M1255" t="str">
        <f t="shared" si="92"/>
        <v>ASALARIADO</v>
      </c>
      <c r="N1255">
        <f t="shared" si="93"/>
        <v>26</v>
      </c>
      <c r="O1255" s="19" t="str">
        <f t="shared" si="94"/>
        <v>300k–600k</v>
      </c>
      <c r="P1255" s="19" t="str">
        <f t="shared" si="95"/>
        <v>26-35</v>
      </c>
    </row>
    <row r="1256" spans="1:16" x14ac:dyDescent="0.25">
      <c r="A1256">
        <v>1255</v>
      </c>
      <c r="B1256" t="s">
        <v>9</v>
      </c>
      <c r="C1256">
        <v>714425</v>
      </c>
      <c r="D1256" t="s">
        <v>10</v>
      </c>
      <c r="E1256" t="s">
        <v>16</v>
      </c>
      <c r="F1256" t="s">
        <v>12</v>
      </c>
      <c r="G1256" t="s">
        <v>13</v>
      </c>
      <c r="H1256" t="s">
        <v>13</v>
      </c>
      <c r="I1256">
        <v>33</v>
      </c>
      <c r="J1256" t="str" cm="1">
        <f t="array" ref="J1256">_xlfn.IFS(ISBLANK(C1256),"FALTANTE",ABS((C1256-$W$5)/$X$5)&gt;1.96,"ATÍPICO",ABS((C1256-$W$5)/$X$5)&lt;=1.96,"NO ATÍPICO")</f>
        <v>NO ATÍPICO</v>
      </c>
      <c r="K1256" t="str" cm="1">
        <f t="array" ref="K1256">_xlfn.IFS(ISBLANK(I1256),"FALTANTE",ABS((I1256-$W$8)/$X$8)&gt;1.92,"ATÍPICO",ABS((I1256-$W$8)/$X$8)&lt;=1.92,"NO ATÍPICO")</f>
        <v>NO ATÍPICO</v>
      </c>
      <c r="L1256">
        <f t="shared" si="92"/>
        <v>714425</v>
      </c>
      <c r="M1256" t="str">
        <f t="shared" si="92"/>
        <v>ASALARIADO</v>
      </c>
      <c r="N1256">
        <f t="shared" si="93"/>
        <v>33</v>
      </c>
      <c r="O1256" s="19" t="str">
        <f t="shared" si="94"/>
        <v>600k–900k</v>
      </c>
      <c r="P1256" s="19" t="str">
        <f t="shared" si="95"/>
        <v>26-35</v>
      </c>
    </row>
    <row r="1257" spans="1:16" x14ac:dyDescent="0.25">
      <c r="A1257">
        <v>1256</v>
      </c>
      <c r="B1257" t="s">
        <v>9</v>
      </c>
      <c r="C1257">
        <v>1176482.04</v>
      </c>
      <c r="D1257" t="s">
        <v>10</v>
      </c>
      <c r="E1257" t="s">
        <v>16</v>
      </c>
      <c r="F1257" t="s">
        <v>12</v>
      </c>
      <c r="G1257" t="s">
        <v>13</v>
      </c>
      <c r="H1257" t="s">
        <v>13</v>
      </c>
      <c r="I1257">
        <v>52</v>
      </c>
      <c r="J1257" t="str" cm="1">
        <f t="array" ref="J1257">_xlfn.IFS(ISBLANK(C1257),"FALTANTE",ABS((C1257-$W$5)/$X$5)&gt;1.96,"ATÍPICO",ABS((C1257-$W$5)/$X$5)&lt;=1.96,"NO ATÍPICO")</f>
        <v>NO ATÍPICO</v>
      </c>
      <c r="K1257" t="str" cm="1">
        <f t="array" ref="K1257">_xlfn.IFS(ISBLANK(I1257),"FALTANTE",ABS((I1257-$W$8)/$X$8)&gt;1.92,"ATÍPICO",ABS((I1257-$W$8)/$X$8)&lt;=1.92,"NO ATÍPICO")</f>
        <v>NO ATÍPICO</v>
      </c>
      <c r="L1257">
        <f t="shared" si="92"/>
        <v>1176482.04</v>
      </c>
      <c r="M1257" t="str">
        <f t="shared" si="92"/>
        <v>ASALARIADO</v>
      </c>
      <c r="N1257">
        <f t="shared" si="93"/>
        <v>52</v>
      </c>
      <c r="O1257" s="19" t="str">
        <f t="shared" si="94"/>
        <v>900k–1200k</v>
      </c>
      <c r="P1257" s="19" t="str">
        <f t="shared" si="95"/>
        <v>46-55</v>
      </c>
    </row>
    <row r="1258" spans="1:16" x14ac:dyDescent="0.25">
      <c r="A1258">
        <v>1257</v>
      </c>
      <c r="B1258" t="s">
        <v>9</v>
      </c>
      <c r="C1258">
        <v>1006388.25</v>
      </c>
      <c r="D1258" t="s">
        <v>10</v>
      </c>
      <c r="E1258" t="s">
        <v>16</v>
      </c>
      <c r="F1258" t="s">
        <v>12</v>
      </c>
      <c r="G1258" t="s">
        <v>13</v>
      </c>
      <c r="H1258" t="s">
        <v>13</v>
      </c>
      <c r="I1258">
        <v>52</v>
      </c>
      <c r="J1258" t="str" cm="1">
        <f t="array" ref="J1258">_xlfn.IFS(ISBLANK(C1258),"FALTANTE",ABS((C1258-$W$5)/$X$5)&gt;1.96,"ATÍPICO",ABS((C1258-$W$5)/$X$5)&lt;=1.96,"NO ATÍPICO")</f>
        <v>NO ATÍPICO</v>
      </c>
      <c r="K1258" t="str" cm="1">
        <f t="array" ref="K1258">_xlfn.IFS(ISBLANK(I1258),"FALTANTE",ABS((I1258-$W$8)/$X$8)&gt;1.92,"ATÍPICO",ABS((I1258-$W$8)/$X$8)&lt;=1.92,"NO ATÍPICO")</f>
        <v>NO ATÍPICO</v>
      </c>
      <c r="L1258">
        <f t="shared" si="92"/>
        <v>1006388.25</v>
      </c>
      <c r="M1258" t="str">
        <f t="shared" si="92"/>
        <v>ASALARIADO</v>
      </c>
      <c r="N1258">
        <f t="shared" si="93"/>
        <v>52</v>
      </c>
      <c r="O1258" s="19" t="str">
        <f t="shared" si="94"/>
        <v>900k–1200k</v>
      </c>
      <c r="P1258" s="19" t="str">
        <f t="shared" si="95"/>
        <v>46-55</v>
      </c>
    </row>
    <row r="1259" spans="1:16" x14ac:dyDescent="0.25">
      <c r="A1259">
        <v>1258</v>
      </c>
      <c r="B1259" t="s">
        <v>9</v>
      </c>
      <c r="C1259">
        <v>278035</v>
      </c>
      <c r="D1259" t="s">
        <v>18</v>
      </c>
      <c r="E1259" t="s">
        <v>16</v>
      </c>
      <c r="F1259" t="s">
        <v>12</v>
      </c>
      <c r="G1259" t="s">
        <v>13</v>
      </c>
      <c r="H1259" t="s">
        <v>13</v>
      </c>
      <c r="I1259">
        <v>32</v>
      </c>
      <c r="J1259" t="str" cm="1">
        <f t="array" ref="J1259">_xlfn.IFS(ISBLANK(C1259),"FALTANTE",ABS((C1259-$W$5)/$X$5)&gt;1.96,"ATÍPICO",ABS((C1259-$W$5)/$X$5)&lt;=1.96,"NO ATÍPICO")</f>
        <v>NO ATÍPICO</v>
      </c>
      <c r="K1259" t="str" cm="1">
        <f t="array" ref="K1259">_xlfn.IFS(ISBLANK(I1259),"FALTANTE",ABS((I1259-$W$8)/$X$8)&gt;1.92,"ATÍPICO",ABS((I1259-$W$8)/$X$8)&lt;=1.92,"NO ATÍPICO")</f>
        <v>NO ATÍPICO</v>
      </c>
      <c r="L1259">
        <f t="shared" si="92"/>
        <v>278035</v>
      </c>
      <c r="M1259" t="str">
        <f t="shared" si="92"/>
        <v>TRABAJADOR INDEPENDIENTE</v>
      </c>
      <c r="N1259">
        <f t="shared" si="93"/>
        <v>32</v>
      </c>
      <c r="O1259" s="19" t="str">
        <f t="shared" si="94"/>
        <v>0–300k</v>
      </c>
      <c r="P1259" s="19" t="str">
        <f t="shared" si="95"/>
        <v>26-35</v>
      </c>
    </row>
    <row r="1260" spans="1:16" x14ac:dyDescent="0.25">
      <c r="A1260">
        <v>1259</v>
      </c>
      <c r="B1260" t="s">
        <v>15</v>
      </c>
      <c r="C1260">
        <v>353398.58</v>
      </c>
      <c r="D1260" t="s">
        <v>10</v>
      </c>
      <c r="E1260" t="s">
        <v>16</v>
      </c>
      <c r="F1260" t="s">
        <v>12</v>
      </c>
      <c r="G1260" t="s">
        <v>13</v>
      </c>
      <c r="H1260" t="s">
        <v>13</v>
      </c>
      <c r="I1260">
        <v>27</v>
      </c>
      <c r="J1260" t="str" cm="1">
        <f t="array" ref="J1260">_xlfn.IFS(ISBLANK(C1260),"FALTANTE",ABS((C1260-$W$5)/$X$5)&gt;1.96,"ATÍPICO",ABS((C1260-$W$5)/$X$5)&lt;=1.96,"NO ATÍPICO")</f>
        <v>NO ATÍPICO</v>
      </c>
      <c r="K1260" t="str" cm="1">
        <f t="array" ref="K1260">_xlfn.IFS(ISBLANK(I1260),"FALTANTE",ABS((I1260-$W$8)/$X$8)&gt;1.92,"ATÍPICO",ABS((I1260-$W$8)/$X$8)&lt;=1.92,"NO ATÍPICO")</f>
        <v>NO ATÍPICO</v>
      </c>
      <c r="L1260">
        <f t="shared" si="92"/>
        <v>353398.58</v>
      </c>
      <c r="M1260" t="str">
        <f t="shared" si="92"/>
        <v>ASALARIADO</v>
      </c>
      <c r="N1260">
        <f t="shared" si="93"/>
        <v>27</v>
      </c>
      <c r="O1260" s="19" t="str">
        <f t="shared" si="94"/>
        <v>300k–600k</v>
      </c>
      <c r="P1260" s="19" t="str">
        <f t="shared" si="95"/>
        <v>26-35</v>
      </c>
    </row>
    <row r="1261" spans="1:16" x14ac:dyDescent="0.25">
      <c r="A1261">
        <v>1260</v>
      </c>
      <c r="B1261" t="s">
        <v>9</v>
      </c>
      <c r="C1261">
        <v>278030</v>
      </c>
      <c r="D1261" t="s">
        <v>19</v>
      </c>
      <c r="E1261" t="s">
        <v>16</v>
      </c>
      <c r="F1261" t="s">
        <v>12</v>
      </c>
      <c r="G1261" t="s">
        <v>13</v>
      </c>
      <c r="H1261" t="s">
        <v>13</v>
      </c>
      <c r="I1261">
        <v>68</v>
      </c>
      <c r="J1261" t="str" cm="1">
        <f t="array" ref="J1261">_xlfn.IFS(ISBLANK(C1261),"FALTANTE",ABS((C1261-$W$5)/$X$5)&gt;1.96,"ATÍPICO",ABS((C1261-$W$5)/$X$5)&lt;=1.96,"NO ATÍPICO")</f>
        <v>NO ATÍPICO</v>
      </c>
      <c r="K1261" t="str" cm="1">
        <f t="array" ref="K1261">_xlfn.IFS(ISBLANK(I1261),"FALTANTE",ABS((I1261-$W$8)/$X$8)&gt;1.92,"ATÍPICO",ABS((I1261-$W$8)/$X$8)&lt;=1.92,"NO ATÍPICO")</f>
        <v>NO ATÍPICO</v>
      </c>
      <c r="L1261">
        <f t="shared" si="92"/>
        <v>278030</v>
      </c>
      <c r="M1261" t="str">
        <f t="shared" si="92"/>
        <v>CONVENIOS ESPECIALES DE TRABAJADORES INDEPENDIENTES</v>
      </c>
      <c r="N1261">
        <f t="shared" si="93"/>
        <v>68</v>
      </c>
      <c r="O1261" s="19" t="str">
        <f t="shared" si="94"/>
        <v>0–300k</v>
      </c>
      <c r="P1261" s="19" t="str">
        <f t="shared" si="95"/>
        <v>56+</v>
      </c>
    </row>
    <row r="1262" spans="1:16" x14ac:dyDescent="0.25">
      <c r="A1262">
        <v>1261</v>
      </c>
      <c r="B1262" t="s">
        <v>9</v>
      </c>
      <c r="C1262">
        <v>531911.06000000006</v>
      </c>
      <c r="D1262" t="s">
        <v>10</v>
      </c>
      <c r="E1262" t="s">
        <v>16</v>
      </c>
      <c r="F1262" t="s">
        <v>12</v>
      </c>
      <c r="G1262" t="s">
        <v>13</v>
      </c>
      <c r="H1262" t="s">
        <v>13</v>
      </c>
      <c r="I1262">
        <v>27</v>
      </c>
      <c r="J1262" t="str" cm="1">
        <f t="array" ref="J1262">_xlfn.IFS(ISBLANK(C1262),"FALTANTE",ABS((C1262-$W$5)/$X$5)&gt;1.96,"ATÍPICO",ABS((C1262-$W$5)/$X$5)&lt;=1.96,"NO ATÍPICO")</f>
        <v>NO ATÍPICO</v>
      </c>
      <c r="K1262" t="str" cm="1">
        <f t="array" ref="K1262">_xlfn.IFS(ISBLANK(I1262),"FALTANTE",ABS((I1262-$W$8)/$X$8)&gt;1.92,"ATÍPICO",ABS((I1262-$W$8)/$X$8)&lt;=1.92,"NO ATÍPICO")</f>
        <v>NO ATÍPICO</v>
      </c>
      <c r="L1262">
        <f t="shared" si="92"/>
        <v>531911.06000000006</v>
      </c>
      <c r="M1262" t="str">
        <f t="shared" si="92"/>
        <v>ASALARIADO</v>
      </c>
      <c r="N1262">
        <f t="shared" si="93"/>
        <v>27</v>
      </c>
      <c r="O1262" s="19" t="str">
        <f t="shared" si="94"/>
        <v>300k–600k</v>
      </c>
      <c r="P1262" s="19" t="str">
        <f t="shared" si="95"/>
        <v>26-35</v>
      </c>
    </row>
    <row r="1263" spans="1:16" x14ac:dyDescent="0.25">
      <c r="A1263">
        <v>1262</v>
      </c>
      <c r="B1263" t="s">
        <v>15</v>
      </c>
      <c r="C1263">
        <v>273622</v>
      </c>
      <c r="D1263" t="s">
        <v>10</v>
      </c>
      <c r="E1263" t="s">
        <v>16</v>
      </c>
      <c r="F1263" t="s">
        <v>12</v>
      </c>
      <c r="G1263" t="s">
        <v>13</v>
      </c>
      <c r="H1263" t="s">
        <v>13</v>
      </c>
      <c r="I1263">
        <v>47</v>
      </c>
      <c r="J1263" t="str" cm="1">
        <f t="array" ref="J1263">_xlfn.IFS(ISBLANK(C1263),"FALTANTE",ABS((C1263-$W$5)/$X$5)&gt;1.96,"ATÍPICO",ABS((C1263-$W$5)/$X$5)&lt;=1.96,"NO ATÍPICO")</f>
        <v>NO ATÍPICO</v>
      </c>
      <c r="K1263" t="str" cm="1">
        <f t="array" ref="K1263">_xlfn.IFS(ISBLANK(I1263),"FALTANTE",ABS((I1263-$W$8)/$X$8)&gt;1.92,"ATÍPICO",ABS((I1263-$W$8)/$X$8)&lt;=1.92,"NO ATÍPICO")</f>
        <v>NO ATÍPICO</v>
      </c>
      <c r="L1263">
        <f t="shared" si="92"/>
        <v>273622</v>
      </c>
      <c r="M1263" t="str">
        <f t="shared" si="92"/>
        <v>ASALARIADO</v>
      </c>
      <c r="N1263">
        <f t="shared" si="93"/>
        <v>47</v>
      </c>
      <c r="O1263" s="19" t="str">
        <f t="shared" si="94"/>
        <v>0–300k</v>
      </c>
      <c r="P1263" s="19" t="str">
        <f t="shared" si="95"/>
        <v>46-55</v>
      </c>
    </row>
    <row r="1264" spans="1:16" x14ac:dyDescent="0.25">
      <c r="A1264">
        <v>1263</v>
      </c>
      <c r="B1264" t="s">
        <v>9</v>
      </c>
      <c r="C1264">
        <v>347320</v>
      </c>
      <c r="D1264" t="s">
        <v>10</v>
      </c>
      <c r="E1264" t="s">
        <v>16</v>
      </c>
      <c r="F1264" t="s">
        <v>12</v>
      </c>
      <c r="G1264" t="s">
        <v>12</v>
      </c>
      <c r="H1264" t="s">
        <v>13</v>
      </c>
      <c r="I1264">
        <v>42</v>
      </c>
      <c r="J1264" t="str" cm="1">
        <f t="array" ref="J1264">_xlfn.IFS(ISBLANK(C1264),"FALTANTE",ABS((C1264-$W$5)/$X$5)&gt;1.96,"ATÍPICO",ABS((C1264-$W$5)/$X$5)&lt;=1.96,"NO ATÍPICO")</f>
        <v>NO ATÍPICO</v>
      </c>
      <c r="K1264" t="str" cm="1">
        <f t="array" ref="K1264">_xlfn.IFS(ISBLANK(I1264),"FALTANTE",ABS((I1264-$W$8)/$X$8)&gt;1.92,"ATÍPICO",ABS((I1264-$W$8)/$X$8)&lt;=1.92,"NO ATÍPICO")</f>
        <v>NO ATÍPICO</v>
      </c>
      <c r="L1264">
        <f t="shared" si="92"/>
        <v>347320</v>
      </c>
      <c r="M1264" t="str">
        <f t="shared" si="92"/>
        <v>ASALARIADO</v>
      </c>
      <c r="N1264">
        <f t="shared" si="93"/>
        <v>42</v>
      </c>
      <c r="O1264" s="19" t="str">
        <f t="shared" si="94"/>
        <v>300k–600k</v>
      </c>
      <c r="P1264" s="19" t="str">
        <f t="shared" si="95"/>
        <v>36-45</v>
      </c>
    </row>
    <row r="1265" spans="1:16" x14ac:dyDescent="0.25">
      <c r="A1265">
        <v>1264</v>
      </c>
      <c r="B1265" t="s">
        <v>15</v>
      </c>
      <c r="C1265">
        <v>1124791.5</v>
      </c>
      <c r="D1265" t="s">
        <v>10</v>
      </c>
      <c r="E1265" t="s">
        <v>16</v>
      </c>
      <c r="F1265" t="s">
        <v>12</v>
      </c>
      <c r="G1265" t="s">
        <v>13</v>
      </c>
      <c r="H1265" t="s">
        <v>13</v>
      </c>
      <c r="I1265">
        <v>28</v>
      </c>
      <c r="J1265" t="str" cm="1">
        <f t="array" ref="J1265">_xlfn.IFS(ISBLANK(C1265),"FALTANTE",ABS((C1265-$W$5)/$X$5)&gt;1.96,"ATÍPICO",ABS((C1265-$W$5)/$X$5)&lt;=1.96,"NO ATÍPICO")</f>
        <v>NO ATÍPICO</v>
      </c>
      <c r="K1265" t="str" cm="1">
        <f t="array" ref="K1265">_xlfn.IFS(ISBLANK(I1265),"FALTANTE",ABS((I1265-$W$8)/$X$8)&gt;1.92,"ATÍPICO",ABS((I1265-$W$8)/$X$8)&lt;=1.92,"NO ATÍPICO")</f>
        <v>NO ATÍPICO</v>
      </c>
      <c r="L1265">
        <f t="shared" si="92"/>
        <v>1124791.5</v>
      </c>
      <c r="M1265" t="str">
        <f t="shared" si="92"/>
        <v>ASALARIADO</v>
      </c>
      <c r="N1265">
        <f t="shared" si="93"/>
        <v>28</v>
      </c>
      <c r="O1265" s="19" t="str">
        <f t="shared" si="94"/>
        <v>900k–1200k</v>
      </c>
      <c r="P1265" s="19" t="str">
        <f t="shared" si="95"/>
        <v>26-35</v>
      </c>
    </row>
    <row r="1266" spans="1:16" x14ac:dyDescent="0.25">
      <c r="A1266">
        <v>1265</v>
      </c>
      <c r="B1266" t="s">
        <v>15</v>
      </c>
      <c r="C1266">
        <v>205000</v>
      </c>
      <c r="D1266" t="s">
        <v>10</v>
      </c>
      <c r="E1266" t="s">
        <v>16</v>
      </c>
      <c r="F1266" t="s">
        <v>12</v>
      </c>
      <c r="G1266" t="s">
        <v>13</v>
      </c>
      <c r="H1266" t="s">
        <v>13</v>
      </c>
      <c r="I1266">
        <v>45</v>
      </c>
      <c r="J1266" t="str" cm="1">
        <f t="array" ref="J1266">_xlfn.IFS(ISBLANK(C1266),"FALTANTE",ABS((C1266-$W$5)/$X$5)&gt;1.96,"ATÍPICO",ABS((C1266-$W$5)/$X$5)&lt;=1.96,"NO ATÍPICO")</f>
        <v>NO ATÍPICO</v>
      </c>
      <c r="K1266" t="str" cm="1">
        <f t="array" ref="K1266">_xlfn.IFS(ISBLANK(I1266),"FALTANTE",ABS((I1266-$W$8)/$X$8)&gt;1.92,"ATÍPICO",ABS((I1266-$W$8)/$X$8)&lt;=1.92,"NO ATÍPICO")</f>
        <v>NO ATÍPICO</v>
      </c>
      <c r="L1266">
        <f t="shared" si="92"/>
        <v>205000</v>
      </c>
      <c r="M1266" t="str">
        <f t="shared" si="92"/>
        <v>ASALARIADO</v>
      </c>
      <c r="N1266">
        <f t="shared" si="93"/>
        <v>45</v>
      </c>
      <c r="O1266" s="19" t="str">
        <f t="shared" si="94"/>
        <v>0–300k</v>
      </c>
      <c r="P1266" s="19" t="str">
        <f t="shared" si="95"/>
        <v>36-45</v>
      </c>
    </row>
    <row r="1267" spans="1:16" x14ac:dyDescent="0.25">
      <c r="A1267">
        <v>1266</v>
      </c>
      <c r="B1267" t="s">
        <v>15</v>
      </c>
      <c r="C1267">
        <v>630000</v>
      </c>
      <c r="D1267" t="s">
        <v>10</v>
      </c>
      <c r="E1267" t="s">
        <v>16</v>
      </c>
      <c r="F1267" t="s">
        <v>12</v>
      </c>
      <c r="G1267" t="s">
        <v>13</v>
      </c>
      <c r="H1267" t="s">
        <v>13</v>
      </c>
      <c r="I1267">
        <v>64</v>
      </c>
      <c r="J1267" t="str" cm="1">
        <f t="array" ref="J1267">_xlfn.IFS(ISBLANK(C1267),"FALTANTE",ABS((C1267-$W$5)/$X$5)&gt;1.96,"ATÍPICO",ABS((C1267-$W$5)/$X$5)&lt;=1.96,"NO ATÍPICO")</f>
        <v>NO ATÍPICO</v>
      </c>
      <c r="K1267" t="str" cm="1">
        <f t="array" ref="K1267">_xlfn.IFS(ISBLANK(I1267),"FALTANTE",ABS((I1267-$W$8)/$X$8)&gt;1.92,"ATÍPICO",ABS((I1267-$W$8)/$X$8)&lt;=1.92,"NO ATÍPICO")</f>
        <v>NO ATÍPICO</v>
      </c>
      <c r="L1267">
        <f t="shared" si="92"/>
        <v>630000</v>
      </c>
      <c r="M1267" t="str">
        <f t="shared" si="92"/>
        <v>ASALARIADO</v>
      </c>
      <c r="N1267">
        <f t="shared" si="93"/>
        <v>64</v>
      </c>
      <c r="O1267" s="19" t="str">
        <f t="shared" si="94"/>
        <v>600k–900k</v>
      </c>
      <c r="P1267" s="19" t="str">
        <f t="shared" si="95"/>
        <v>56+</v>
      </c>
    </row>
    <row r="1268" spans="1:16" x14ac:dyDescent="0.25">
      <c r="A1268">
        <v>1267</v>
      </c>
      <c r="B1268" t="s">
        <v>9</v>
      </c>
      <c r="C1268">
        <v>920750</v>
      </c>
      <c r="D1268" t="s">
        <v>10</v>
      </c>
      <c r="E1268" t="s">
        <v>16</v>
      </c>
      <c r="F1268" t="s">
        <v>12</v>
      </c>
      <c r="G1268" t="s">
        <v>13</v>
      </c>
      <c r="H1268" t="s">
        <v>12</v>
      </c>
      <c r="I1268">
        <v>46</v>
      </c>
      <c r="J1268" t="str" cm="1">
        <f t="array" ref="J1268">_xlfn.IFS(ISBLANK(C1268),"FALTANTE",ABS((C1268-$W$5)/$X$5)&gt;1.96,"ATÍPICO",ABS((C1268-$W$5)/$X$5)&lt;=1.96,"NO ATÍPICO")</f>
        <v>NO ATÍPICO</v>
      </c>
      <c r="K1268" t="str" cm="1">
        <f t="array" ref="K1268">_xlfn.IFS(ISBLANK(I1268),"FALTANTE",ABS((I1268-$W$8)/$X$8)&gt;1.92,"ATÍPICO",ABS((I1268-$W$8)/$X$8)&lt;=1.92,"NO ATÍPICO")</f>
        <v>NO ATÍPICO</v>
      </c>
      <c r="L1268">
        <f t="shared" si="92"/>
        <v>920750</v>
      </c>
      <c r="M1268" t="str">
        <f t="shared" si="92"/>
        <v>ASALARIADO</v>
      </c>
      <c r="N1268">
        <f t="shared" si="93"/>
        <v>46</v>
      </c>
      <c r="O1268" s="19" t="str">
        <f t="shared" si="94"/>
        <v>900k–1200k</v>
      </c>
      <c r="P1268" s="19" t="str">
        <f t="shared" si="95"/>
        <v>46-55</v>
      </c>
    </row>
    <row r="1269" spans="1:16" x14ac:dyDescent="0.25">
      <c r="A1269">
        <v>1268</v>
      </c>
      <c r="B1269" t="s">
        <v>9</v>
      </c>
      <c r="C1269">
        <v>703681</v>
      </c>
      <c r="D1269" t="s">
        <v>10</v>
      </c>
      <c r="E1269" t="s">
        <v>16</v>
      </c>
      <c r="F1269" t="s">
        <v>12</v>
      </c>
      <c r="G1269" t="s">
        <v>13</v>
      </c>
      <c r="H1269" t="s">
        <v>13</v>
      </c>
      <c r="I1269">
        <v>32</v>
      </c>
      <c r="J1269" t="str" cm="1">
        <f t="array" ref="J1269">_xlfn.IFS(ISBLANK(C1269),"FALTANTE",ABS((C1269-$W$5)/$X$5)&gt;1.96,"ATÍPICO",ABS((C1269-$W$5)/$X$5)&lt;=1.96,"NO ATÍPICO")</f>
        <v>NO ATÍPICO</v>
      </c>
      <c r="K1269" t="str" cm="1">
        <f t="array" ref="K1269">_xlfn.IFS(ISBLANK(I1269),"FALTANTE",ABS((I1269-$W$8)/$X$8)&gt;1.92,"ATÍPICO",ABS((I1269-$W$8)/$X$8)&lt;=1.92,"NO ATÍPICO")</f>
        <v>NO ATÍPICO</v>
      </c>
      <c r="L1269">
        <f t="shared" si="92"/>
        <v>703681</v>
      </c>
      <c r="M1269" t="str">
        <f t="shared" si="92"/>
        <v>ASALARIADO</v>
      </c>
      <c r="N1269">
        <f t="shared" si="93"/>
        <v>32</v>
      </c>
      <c r="O1269" s="19" t="str">
        <f t="shared" si="94"/>
        <v>600k–900k</v>
      </c>
      <c r="P1269" s="19" t="str">
        <f t="shared" si="95"/>
        <v>26-35</v>
      </c>
    </row>
    <row r="1270" spans="1:16" x14ac:dyDescent="0.25">
      <c r="A1270">
        <v>1269</v>
      </c>
      <c r="B1270" t="s">
        <v>15</v>
      </c>
      <c r="C1270">
        <v>365528</v>
      </c>
      <c r="D1270" t="s">
        <v>10</v>
      </c>
      <c r="E1270" t="s">
        <v>11</v>
      </c>
      <c r="F1270" t="s">
        <v>12</v>
      </c>
      <c r="G1270" t="s">
        <v>13</v>
      </c>
      <c r="H1270" t="s">
        <v>13</v>
      </c>
      <c r="I1270">
        <v>34</v>
      </c>
      <c r="J1270" t="str" cm="1">
        <f t="array" ref="J1270">_xlfn.IFS(ISBLANK(C1270),"FALTANTE",ABS((C1270-$W$5)/$X$5)&gt;1.96,"ATÍPICO",ABS((C1270-$W$5)/$X$5)&lt;=1.96,"NO ATÍPICO")</f>
        <v>NO ATÍPICO</v>
      </c>
      <c r="K1270" t="str" cm="1">
        <f t="array" ref="K1270">_xlfn.IFS(ISBLANK(I1270),"FALTANTE",ABS((I1270-$W$8)/$X$8)&gt;1.92,"ATÍPICO",ABS((I1270-$W$8)/$X$8)&lt;=1.92,"NO ATÍPICO")</f>
        <v>NO ATÍPICO</v>
      </c>
      <c r="L1270">
        <f t="shared" si="92"/>
        <v>365528</v>
      </c>
      <c r="M1270" t="str">
        <f t="shared" si="92"/>
        <v>ASALARIADO</v>
      </c>
      <c r="N1270">
        <f t="shared" si="93"/>
        <v>34</v>
      </c>
      <c r="O1270" s="19" t="str">
        <f t="shared" si="94"/>
        <v>300k–600k</v>
      </c>
      <c r="P1270" s="19" t="str">
        <f t="shared" si="95"/>
        <v>26-35</v>
      </c>
    </row>
    <row r="1271" spans="1:16" x14ac:dyDescent="0.25">
      <c r="A1271">
        <v>1270</v>
      </c>
      <c r="B1271" t="s">
        <v>9</v>
      </c>
      <c r="C1271">
        <v>305704</v>
      </c>
      <c r="D1271" t="s">
        <v>18</v>
      </c>
      <c r="E1271" t="s">
        <v>16</v>
      </c>
      <c r="F1271" t="s">
        <v>12</v>
      </c>
      <c r="G1271" t="s">
        <v>13</v>
      </c>
      <c r="H1271" t="s">
        <v>13</v>
      </c>
      <c r="I1271">
        <v>57</v>
      </c>
      <c r="J1271" t="str" cm="1">
        <f t="array" ref="J1271">_xlfn.IFS(ISBLANK(C1271),"FALTANTE",ABS((C1271-$W$5)/$X$5)&gt;1.96,"ATÍPICO",ABS((C1271-$W$5)/$X$5)&lt;=1.96,"NO ATÍPICO")</f>
        <v>NO ATÍPICO</v>
      </c>
      <c r="K1271" t="str" cm="1">
        <f t="array" ref="K1271">_xlfn.IFS(ISBLANK(I1271),"FALTANTE",ABS((I1271-$W$8)/$X$8)&gt;1.92,"ATÍPICO",ABS((I1271-$W$8)/$X$8)&lt;=1.92,"NO ATÍPICO")</f>
        <v>NO ATÍPICO</v>
      </c>
      <c r="L1271">
        <f t="shared" si="92"/>
        <v>305704</v>
      </c>
      <c r="M1271" t="str">
        <f t="shared" si="92"/>
        <v>TRABAJADOR INDEPENDIENTE</v>
      </c>
      <c r="N1271">
        <f t="shared" si="93"/>
        <v>57</v>
      </c>
      <c r="O1271" s="19" t="str">
        <f t="shared" si="94"/>
        <v>300k–600k</v>
      </c>
      <c r="P1271" s="19" t="str">
        <f t="shared" si="95"/>
        <v>56+</v>
      </c>
    </row>
    <row r="1272" spans="1:16" x14ac:dyDescent="0.25">
      <c r="A1272">
        <v>1271</v>
      </c>
      <c r="B1272" t="s">
        <v>9</v>
      </c>
      <c r="C1272">
        <v>179401.84</v>
      </c>
      <c r="D1272" t="s">
        <v>10</v>
      </c>
      <c r="E1272" t="s">
        <v>16</v>
      </c>
      <c r="F1272" t="s">
        <v>12</v>
      </c>
      <c r="G1272" t="s">
        <v>13</v>
      </c>
      <c r="H1272" t="s">
        <v>13</v>
      </c>
      <c r="I1272">
        <v>24</v>
      </c>
      <c r="J1272" t="str" cm="1">
        <f t="array" ref="J1272">_xlfn.IFS(ISBLANK(C1272),"FALTANTE",ABS((C1272-$W$5)/$X$5)&gt;1.96,"ATÍPICO",ABS((C1272-$W$5)/$X$5)&lt;=1.96,"NO ATÍPICO")</f>
        <v>NO ATÍPICO</v>
      </c>
      <c r="K1272" t="str" cm="1">
        <f t="array" ref="K1272">_xlfn.IFS(ISBLANK(I1272),"FALTANTE",ABS((I1272-$W$8)/$X$8)&gt;1.92,"ATÍPICO",ABS((I1272-$W$8)/$X$8)&lt;=1.92,"NO ATÍPICO")</f>
        <v>NO ATÍPICO</v>
      </c>
      <c r="L1272">
        <f t="shared" si="92"/>
        <v>179401.84</v>
      </c>
      <c r="M1272" t="str">
        <f t="shared" si="92"/>
        <v>ASALARIADO</v>
      </c>
      <c r="N1272">
        <f t="shared" si="93"/>
        <v>24</v>
      </c>
      <c r="O1272" s="19" t="str">
        <f t="shared" si="94"/>
        <v>0–300k</v>
      </c>
      <c r="P1272" s="19" t="str">
        <f t="shared" si="95"/>
        <v>18-25</v>
      </c>
    </row>
    <row r="1273" spans="1:16" x14ac:dyDescent="0.25">
      <c r="A1273">
        <v>1272</v>
      </c>
      <c r="B1273" t="s">
        <v>9</v>
      </c>
      <c r="C1273">
        <v>308333</v>
      </c>
      <c r="D1273" t="s">
        <v>10</v>
      </c>
      <c r="E1273" t="s">
        <v>16</v>
      </c>
      <c r="F1273" t="s">
        <v>12</v>
      </c>
      <c r="G1273" t="s">
        <v>13</v>
      </c>
      <c r="H1273" t="s">
        <v>13</v>
      </c>
      <c r="I1273">
        <v>25</v>
      </c>
      <c r="J1273" t="str" cm="1">
        <f t="array" ref="J1273">_xlfn.IFS(ISBLANK(C1273),"FALTANTE",ABS((C1273-$W$5)/$X$5)&gt;1.96,"ATÍPICO",ABS((C1273-$W$5)/$X$5)&lt;=1.96,"NO ATÍPICO")</f>
        <v>NO ATÍPICO</v>
      </c>
      <c r="K1273" t="str" cm="1">
        <f t="array" ref="K1273">_xlfn.IFS(ISBLANK(I1273),"FALTANTE",ABS((I1273-$W$8)/$X$8)&gt;1.92,"ATÍPICO",ABS((I1273-$W$8)/$X$8)&lt;=1.92,"NO ATÍPICO")</f>
        <v>NO ATÍPICO</v>
      </c>
      <c r="L1273">
        <f t="shared" si="92"/>
        <v>308333</v>
      </c>
      <c r="M1273" t="str">
        <f t="shared" si="92"/>
        <v>ASALARIADO</v>
      </c>
      <c r="N1273">
        <f t="shared" si="93"/>
        <v>25</v>
      </c>
      <c r="O1273" s="19" t="str">
        <f t="shared" si="94"/>
        <v>300k–600k</v>
      </c>
      <c r="P1273" s="19" t="str">
        <f t="shared" si="95"/>
        <v>18-25</v>
      </c>
    </row>
    <row r="1274" spans="1:16" x14ac:dyDescent="0.25">
      <c r="A1274">
        <v>1273</v>
      </c>
      <c r="B1274" t="s">
        <v>9</v>
      </c>
      <c r="C1274">
        <v>2334718.75</v>
      </c>
      <c r="D1274" t="s">
        <v>10</v>
      </c>
      <c r="E1274" t="s">
        <v>16</v>
      </c>
      <c r="F1274" t="s">
        <v>12</v>
      </c>
      <c r="G1274" t="s">
        <v>13</v>
      </c>
      <c r="H1274" t="s">
        <v>13</v>
      </c>
      <c r="I1274">
        <v>33</v>
      </c>
      <c r="J1274" t="str" cm="1">
        <f t="array" ref="J1274">_xlfn.IFS(ISBLANK(C1274),"FALTANTE",ABS((C1274-$W$5)/$X$5)&gt;1.96,"ATÍPICO",ABS((C1274-$W$5)/$X$5)&lt;=1.96,"NO ATÍPICO")</f>
        <v>ATÍPICO</v>
      </c>
      <c r="K1274" t="str" cm="1">
        <f t="array" ref="K1274">_xlfn.IFS(ISBLANK(I1274),"FALTANTE",ABS((I1274-$W$8)/$X$8)&gt;1.92,"ATÍPICO",ABS((I1274-$W$8)/$X$8)&lt;=1.92,"NO ATÍPICO")</f>
        <v>NO ATÍPICO</v>
      </c>
      <c r="L1274">
        <f t="shared" si="92"/>
        <v>2334718.75</v>
      </c>
      <c r="M1274" t="str">
        <f t="shared" si="92"/>
        <v>ASALARIADO</v>
      </c>
      <c r="N1274">
        <f t="shared" si="93"/>
        <v>33</v>
      </c>
      <c r="O1274" s="19" t="str">
        <f t="shared" si="94"/>
        <v>1200k+</v>
      </c>
      <c r="P1274" s="19" t="str">
        <f t="shared" si="95"/>
        <v>26-35</v>
      </c>
    </row>
    <row r="1275" spans="1:16" x14ac:dyDescent="0.25">
      <c r="A1275">
        <v>1274</v>
      </c>
      <c r="B1275" t="s">
        <v>15</v>
      </c>
      <c r="C1275">
        <v>1720445.3</v>
      </c>
      <c r="D1275" t="s">
        <v>10</v>
      </c>
      <c r="E1275" t="s">
        <v>11</v>
      </c>
      <c r="F1275" t="s">
        <v>12</v>
      </c>
      <c r="G1275" t="s">
        <v>13</v>
      </c>
      <c r="H1275" t="s">
        <v>13</v>
      </c>
      <c r="I1275">
        <v>43</v>
      </c>
      <c r="J1275" t="str" cm="1">
        <f t="array" ref="J1275">_xlfn.IFS(ISBLANK(C1275),"FALTANTE",ABS((C1275-$W$5)/$X$5)&gt;1.96,"ATÍPICO",ABS((C1275-$W$5)/$X$5)&lt;=1.96,"NO ATÍPICO")</f>
        <v>NO ATÍPICO</v>
      </c>
      <c r="K1275" t="str" cm="1">
        <f t="array" ref="K1275">_xlfn.IFS(ISBLANK(I1275),"FALTANTE",ABS((I1275-$W$8)/$X$8)&gt;1.92,"ATÍPICO",ABS((I1275-$W$8)/$X$8)&lt;=1.92,"NO ATÍPICO")</f>
        <v>NO ATÍPICO</v>
      </c>
      <c r="L1275">
        <f t="shared" si="92"/>
        <v>1720445.3</v>
      </c>
      <c r="M1275" t="str">
        <f t="shared" si="92"/>
        <v>ASALARIADO</v>
      </c>
      <c r="N1275">
        <f t="shared" si="93"/>
        <v>43</v>
      </c>
      <c r="O1275" s="19" t="str">
        <f t="shared" si="94"/>
        <v>1200k+</v>
      </c>
      <c r="P1275" s="19" t="str">
        <f t="shared" si="95"/>
        <v>36-45</v>
      </c>
    </row>
    <row r="1276" spans="1:16" x14ac:dyDescent="0.25">
      <c r="A1276">
        <v>1275</v>
      </c>
      <c r="B1276" t="s">
        <v>15</v>
      </c>
      <c r="C1276">
        <v>542281.48</v>
      </c>
      <c r="D1276" t="s">
        <v>10</v>
      </c>
      <c r="E1276" t="s">
        <v>16</v>
      </c>
      <c r="F1276" t="s">
        <v>12</v>
      </c>
      <c r="G1276" t="s">
        <v>13</v>
      </c>
      <c r="H1276" t="s">
        <v>13</v>
      </c>
      <c r="I1276">
        <v>36</v>
      </c>
      <c r="J1276" t="str" cm="1">
        <f t="array" ref="J1276">_xlfn.IFS(ISBLANK(C1276),"FALTANTE",ABS((C1276-$W$5)/$X$5)&gt;1.96,"ATÍPICO",ABS((C1276-$W$5)/$X$5)&lt;=1.96,"NO ATÍPICO")</f>
        <v>NO ATÍPICO</v>
      </c>
      <c r="K1276" t="str" cm="1">
        <f t="array" ref="K1276">_xlfn.IFS(ISBLANK(I1276),"FALTANTE",ABS((I1276-$W$8)/$X$8)&gt;1.92,"ATÍPICO",ABS((I1276-$W$8)/$X$8)&lt;=1.92,"NO ATÍPICO")</f>
        <v>NO ATÍPICO</v>
      </c>
      <c r="L1276">
        <f t="shared" si="92"/>
        <v>542281.48</v>
      </c>
      <c r="M1276" t="str">
        <f t="shared" si="92"/>
        <v>ASALARIADO</v>
      </c>
      <c r="N1276">
        <f t="shared" si="93"/>
        <v>36</v>
      </c>
      <c r="O1276" s="19" t="str">
        <f t="shared" si="94"/>
        <v>300k–600k</v>
      </c>
      <c r="P1276" s="19" t="str">
        <f t="shared" si="95"/>
        <v>36-45</v>
      </c>
    </row>
    <row r="1277" spans="1:16" x14ac:dyDescent="0.25">
      <c r="A1277">
        <v>1276</v>
      </c>
      <c r="B1277" t="s">
        <v>9</v>
      </c>
      <c r="C1277">
        <v>486470.39</v>
      </c>
      <c r="D1277" t="s">
        <v>10</v>
      </c>
      <c r="E1277" t="s">
        <v>16</v>
      </c>
      <c r="F1277" t="s">
        <v>12</v>
      </c>
      <c r="G1277" t="s">
        <v>13</v>
      </c>
      <c r="H1277" t="s">
        <v>13</v>
      </c>
      <c r="I1277">
        <v>69</v>
      </c>
      <c r="J1277" t="str" cm="1">
        <f t="array" ref="J1277">_xlfn.IFS(ISBLANK(C1277),"FALTANTE",ABS((C1277-$W$5)/$X$5)&gt;1.96,"ATÍPICO",ABS((C1277-$W$5)/$X$5)&lt;=1.96,"NO ATÍPICO")</f>
        <v>NO ATÍPICO</v>
      </c>
      <c r="K1277" t="str" cm="1">
        <f t="array" ref="K1277">_xlfn.IFS(ISBLANK(I1277),"FALTANTE",ABS((I1277-$W$8)/$X$8)&gt;1.92,"ATÍPICO",ABS((I1277-$W$8)/$X$8)&lt;=1.92,"NO ATÍPICO")</f>
        <v>NO ATÍPICO</v>
      </c>
      <c r="L1277">
        <f t="shared" si="92"/>
        <v>486470.39</v>
      </c>
      <c r="M1277" t="str">
        <f t="shared" si="92"/>
        <v>ASALARIADO</v>
      </c>
      <c r="N1277">
        <f t="shared" si="93"/>
        <v>69</v>
      </c>
      <c r="O1277" s="19" t="str">
        <f t="shared" si="94"/>
        <v>300k–600k</v>
      </c>
      <c r="P1277" s="19" t="str">
        <f t="shared" si="95"/>
        <v>56+</v>
      </c>
    </row>
    <row r="1278" spans="1:16" x14ac:dyDescent="0.25">
      <c r="A1278">
        <v>1277</v>
      </c>
      <c r="B1278" t="s">
        <v>9</v>
      </c>
      <c r="C1278">
        <v>170502</v>
      </c>
      <c r="D1278" t="s">
        <v>10</v>
      </c>
      <c r="E1278" t="s">
        <v>16</v>
      </c>
      <c r="F1278" t="s">
        <v>12</v>
      </c>
      <c r="G1278" t="s">
        <v>12</v>
      </c>
      <c r="H1278" t="s">
        <v>12</v>
      </c>
      <c r="I1278">
        <v>52</v>
      </c>
      <c r="J1278" t="str" cm="1">
        <f t="array" ref="J1278">_xlfn.IFS(ISBLANK(C1278),"FALTANTE",ABS((C1278-$W$5)/$X$5)&gt;1.96,"ATÍPICO",ABS((C1278-$W$5)/$X$5)&lt;=1.96,"NO ATÍPICO")</f>
        <v>NO ATÍPICO</v>
      </c>
      <c r="K1278" t="str" cm="1">
        <f t="array" ref="K1278">_xlfn.IFS(ISBLANK(I1278),"FALTANTE",ABS((I1278-$W$8)/$X$8)&gt;1.92,"ATÍPICO",ABS((I1278-$W$8)/$X$8)&lt;=1.92,"NO ATÍPICO")</f>
        <v>NO ATÍPICO</v>
      </c>
      <c r="L1278">
        <f t="shared" si="92"/>
        <v>170502</v>
      </c>
      <c r="M1278" t="str">
        <f t="shared" si="92"/>
        <v>ASALARIADO</v>
      </c>
      <c r="N1278">
        <f t="shared" si="93"/>
        <v>52</v>
      </c>
      <c r="O1278" s="19" t="str">
        <f t="shared" si="94"/>
        <v>0–300k</v>
      </c>
      <c r="P1278" s="19" t="str">
        <f t="shared" si="95"/>
        <v>46-55</v>
      </c>
    </row>
    <row r="1279" spans="1:16" x14ac:dyDescent="0.25">
      <c r="A1279">
        <v>1278</v>
      </c>
      <c r="B1279" t="s">
        <v>9</v>
      </c>
      <c r="C1279">
        <v>762500</v>
      </c>
      <c r="D1279" t="s">
        <v>10</v>
      </c>
      <c r="E1279" t="s">
        <v>16</v>
      </c>
      <c r="F1279" t="s">
        <v>12</v>
      </c>
      <c r="G1279" t="s">
        <v>13</v>
      </c>
      <c r="H1279" t="s">
        <v>13</v>
      </c>
      <c r="I1279">
        <v>38</v>
      </c>
      <c r="J1279" t="str" cm="1">
        <f t="array" ref="J1279">_xlfn.IFS(ISBLANK(C1279),"FALTANTE",ABS((C1279-$W$5)/$X$5)&gt;1.96,"ATÍPICO",ABS((C1279-$W$5)/$X$5)&lt;=1.96,"NO ATÍPICO")</f>
        <v>NO ATÍPICO</v>
      </c>
      <c r="K1279" t="str" cm="1">
        <f t="array" ref="K1279">_xlfn.IFS(ISBLANK(I1279),"FALTANTE",ABS((I1279-$W$8)/$X$8)&gt;1.92,"ATÍPICO",ABS((I1279-$W$8)/$X$8)&lt;=1.92,"NO ATÍPICO")</f>
        <v>NO ATÍPICO</v>
      </c>
      <c r="L1279">
        <f t="shared" si="92"/>
        <v>762500</v>
      </c>
      <c r="M1279" t="str">
        <f t="shared" si="92"/>
        <v>ASALARIADO</v>
      </c>
      <c r="N1279">
        <f t="shared" si="93"/>
        <v>38</v>
      </c>
      <c r="O1279" s="19" t="str">
        <f t="shared" si="94"/>
        <v>600k–900k</v>
      </c>
      <c r="P1279" s="19" t="str">
        <f t="shared" si="95"/>
        <v>36-45</v>
      </c>
    </row>
    <row r="1280" spans="1:16" x14ac:dyDescent="0.25">
      <c r="A1280">
        <v>1279</v>
      </c>
      <c r="B1280" t="s">
        <v>9</v>
      </c>
      <c r="C1280">
        <v>282305</v>
      </c>
      <c r="D1280" t="s">
        <v>17</v>
      </c>
      <c r="E1280" t="s">
        <v>16</v>
      </c>
      <c r="F1280" t="s">
        <v>12</v>
      </c>
      <c r="G1280" t="s">
        <v>12</v>
      </c>
      <c r="H1280" t="s">
        <v>13</v>
      </c>
      <c r="I1280">
        <v>45</v>
      </c>
      <c r="J1280" t="str" cm="1">
        <f t="array" ref="J1280">_xlfn.IFS(ISBLANK(C1280),"FALTANTE",ABS((C1280-$W$5)/$X$5)&gt;1.96,"ATÍPICO",ABS((C1280-$W$5)/$X$5)&lt;=1.96,"NO ATÍPICO")</f>
        <v>NO ATÍPICO</v>
      </c>
      <c r="K1280" t="str" cm="1">
        <f t="array" ref="K1280">_xlfn.IFS(ISBLANK(I1280),"FALTANTE",ABS((I1280-$W$8)/$X$8)&gt;1.92,"ATÍPICO",ABS((I1280-$W$8)/$X$8)&lt;=1.92,"NO ATÍPICO")</f>
        <v>NO ATÍPICO</v>
      </c>
      <c r="L1280">
        <f t="shared" si="92"/>
        <v>282305</v>
      </c>
      <c r="M1280" t="str">
        <f t="shared" si="92"/>
        <v>ASEGURADO VOLUNTARIO</v>
      </c>
      <c r="N1280">
        <f t="shared" si="93"/>
        <v>45</v>
      </c>
      <c r="O1280" s="19" t="str">
        <f t="shared" si="94"/>
        <v>0–300k</v>
      </c>
      <c r="P1280" s="19" t="str">
        <f t="shared" si="95"/>
        <v>36-45</v>
      </c>
    </row>
    <row r="1281" spans="1:16" x14ac:dyDescent="0.25">
      <c r="A1281">
        <v>1280</v>
      </c>
      <c r="B1281" t="s">
        <v>9</v>
      </c>
      <c r="C1281">
        <v>297045</v>
      </c>
      <c r="D1281" t="s">
        <v>17</v>
      </c>
      <c r="E1281" t="s">
        <v>16</v>
      </c>
      <c r="F1281" t="s">
        <v>12</v>
      </c>
      <c r="G1281" t="s">
        <v>13</v>
      </c>
      <c r="H1281" t="s">
        <v>13</v>
      </c>
      <c r="I1281">
        <v>42</v>
      </c>
      <c r="J1281" t="str" cm="1">
        <f t="array" ref="J1281">_xlfn.IFS(ISBLANK(C1281),"FALTANTE",ABS((C1281-$W$5)/$X$5)&gt;1.96,"ATÍPICO",ABS((C1281-$W$5)/$X$5)&lt;=1.96,"NO ATÍPICO")</f>
        <v>NO ATÍPICO</v>
      </c>
      <c r="K1281" t="str" cm="1">
        <f t="array" ref="K1281">_xlfn.IFS(ISBLANK(I1281),"FALTANTE",ABS((I1281-$W$8)/$X$8)&gt;1.92,"ATÍPICO",ABS((I1281-$W$8)/$X$8)&lt;=1.92,"NO ATÍPICO")</f>
        <v>NO ATÍPICO</v>
      </c>
      <c r="L1281">
        <f t="shared" si="92"/>
        <v>297045</v>
      </c>
      <c r="M1281" t="str">
        <f t="shared" si="92"/>
        <v>ASEGURADO VOLUNTARIO</v>
      </c>
      <c r="N1281">
        <f t="shared" si="93"/>
        <v>42</v>
      </c>
      <c r="O1281" s="19" t="str">
        <f t="shared" si="94"/>
        <v>0–300k</v>
      </c>
      <c r="P1281" s="19" t="str">
        <f t="shared" si="95"/>
        <v>36-45</v>
      </c>
    </row>
    <row r="1282" spans="1:16" x14ac:dyDescent="0.25">
      <c r="A1282">
        <v>1281</v>
      </c>
      <c r="B1282" t="s">
        <v>15</v>
      </c>
      <c r="C1282">
        <v>400228.96</v>
      </c>
      <c r="D1282" t="s">
        <v>10</v>
      </c>
      <c r="E1282" t="s">
        <v>16</v>
      </c>
      <c r="F1282" t="s">
        <v>12</v>
      </c>
      <c r="G1282" t="s">
        <v>13</v>
      </c>
      <c r="H1282" t="s">
        <v>13</v>
      </c>
      <c r="I1282">
        <v>44</v>
      </c>
      <c r="J1282" t="str" cm="1">
        <f t="array" ref="J1282">_xlfn.IFS(ISBLANK(C1282),"FALTANTE",ABS((C1282-$W$5)/$X$5)&gt;1.96,"ATÍPICO",ABS((C1282-$W$5)/$X$5)&lt;=1.96,"NO ATÍPICO")</f>
        <v>NO ATÍPICO</v>
      </c>
      <c r="K1282" t="str" cm="1">
        <f t="array" ref="K1282">_xlfn.IFS(ISBLANK(I1282),"FALTANTE",ABS((I1282-$W$8)/$X$8)&gt;1.92,"ATÍPICO",ABS((I1282-$W$8)/$X$8)&lt;=1.92,"NO ATÍPICO")</f>
        <v>NO ATÍPICO</v>
      </c>
      <c r="L1282">
        <f t="shared" ref="L1282:M1345" si="96">C1282</f>
        <v>400228.96</v>
      </c>
      <c r="M1282" t="str">
        <f t="shared" si="96"/>
        <v>ASALARIADO</v>
      </c>
      <c r="N1282">
        <f t="shared" ref="N1282:N1345" si="97">I1282</f>
        <v>44</v>
      </c>
      <c r="O1282" s="19" t="str">
        <f t="shared" ref="O1282:O1345" si="98">IF(L1282&lt;=300000,"0–300k",IF(L1282&lt;=600000,"300k–600k",IF(L1282&lt;=900000,"600k–900k",IF(L1282&lt;=1200000,"900k–1200k","1200k+"))))</f>
        <v>300k–600k</v>
      </c>
      <c r="P1282" s="19" t="str">
        <f t="shared" ref="P1282:P1345" si="99">IF(N1282 &lt;=25,"18-25", IF(N1282&lt;=35,"26-35", IF(N1282 &lt;=45,"36-45", IF(N1282&lt;=55,"46-55","56+"))))</f>
        <v>36-45</v>
      </c>
    </row>
    <row r="1283" spans="1:16" x14ac:dyDescent="0.25">
      <c r="A1283">
        <v>1282</v>
      </c>
      <c r="B1283" t="s">
        <v>9</v>
      </c>
      <c r="C1283">
        <v>490013.49</v>
      </c>
      <c r="D1283" t="s">
        <v>10</v>
      </c>
      <c r="E1283" t="s">
        <v>16</v>
      </c>
      <c r="F1283" t="s">
        <v>12</v>
      </c>
      <c r="G1283" t="s">
        <v>12</v>
      </c>
      <c r="H1283" t="s">
        <v>13</v>
      </c>
      <c r="I1283">
        <v>40</v>
      </c>
      <c r="J1283" t="str" cm="1">
        <f t="array" ref="J1283">_xlfn.IFS(ISBLANK(C1283),"FALTANTE",ABS((C1283-$W$5)/$X$5)&gt;1.96,"ATÍPICO",ABS((C1283-$W$5)/$X$5)&lt;=1.96,"NO ATÍPICO")</f>
        <v>NO ATÍPICO</v>
      </c>
      <c r="K1283" t="str" cm="1">
        <f t="array" ref="K1283">_xlfn.IFS(ISBLANK(I1283),"FALTANTE",ABS((I1283-$W$8)/$X$8)&gt;1.92,"ATÍPICO",ABS((I1283-$W$8)/$X$8)&lt;=1.92,"NO ATÍPICO")</f>
        <v>NO ATÍPICO</v>
      </c>
      <c r="L1283">
        <f t="shared" si="96"/>
        <v>490013.49</v>
      </c>
      <c r="M1283" t="str">
        <f t="shared" si="96"/>
        <v>ASALARIADO</v>
      </c>
      <c r="N1283">
        <f t="shared" si="97"/>
        <v>40</v>
      </c>
      <c r="O1283" s="19" t="str">
        <f t="shared" si="98"/>
        <v>300k–600k</v>
      </c>
      <c r="P1283" s="19" t="str">
        <f t="shared" si="99"/>
        <v>36-45</v>
      </c>
    </row>
    <row r="1284" spans="1:16" x14ac:dyDescent="0.25">
      <c r="A1284">
        <v>1283</v>
      </c>
      <c r="B1284" t="s">
        <v>9</v>
      </c>
      <c r="C1284">
        <v>343391.57</v>
      </c>
      <c r="D1284" t="s">
        <v>10</v>
      </c>
      <c r="E1284" t="s">
        <v>16</v>
      </c>
      <c r="F1284" t="s">
        <v>12</v>
      </c>
      <c r="G1284" t="s">
        <v>13</v>
      </c>
      <c r="H1284" t="s">
        <v>13</v>
      </c>
      <c r="I1284">
        <v>36</v>
      </c>
      <c r="J1284" t="str" cm="1">
        <f t="array" ref="J1284">_xlfn.IFS(ISBLANK(C1284),"FALTANTE",ABS((C1284-$W$5)/$X$5)&gt;1.96,"ATÍPICO",ABS((C1284-$W$5)/$X$5)&lt;=1.96,"NO ATÍPICO")</f>
        <v>NO ATÍPICO</v>
      </c>
      <c r="K1284" t="str" cm="1">
        <f t="array" ref="K1284">_xlfn.IFS(ISBLANK(I1284),"FALTANTE",ABS((I1284-$W$8)/$X$8)&gt;1.92,"ATÍPICO",ABS((I1284-$W$8)/$X$8)&lt;=1.92,"NO ATÍPICO")</f>
        <v>NO ATÍPICO</v>
      </c>
      <c r="L1284">
        <f t="shared" si="96"/>
        <v>343391.57</v>
      </c>
      <c r="M1284" t="str">
        <f t="shared" si="96"/>
        <v>ASALARIADO</v>
      </c>
      <c r="N1284">
        <f t="shared" si="97"/>
        <v>36</v>
      </c>
      <c r="O1284" s="19" t="str">
        <f t="shared" si="98"/>
        <v>300k–600k</v>
      </c>
      <c r="P1284" s="19" t="str">
        <f t="shared" si="99"/>
        <v>36-45</v>
      </c>
    </row>
    <row r="1285" spans="1:16" x14ac:dyDescent="0.25">
      <c r="A1285">
        <v>1284</v>
      </c>
      <c r="B1285" t="s">
        <v>15</v>
      </c>
      <c r="C1285">
        <v>332161</v>
      </c>
      <c r="D1285" t="s">
        <v>17</v>
      </c>
      <c r="E1285" t="s">
        <v>16</v>
      </c>
      <c r="F1285" t="s">
        <v>12</v>
      </c>
      <c r="G1285" t="s">
        <v>12</v>
      </c>
      <c r="H1285" t="s">
        <v>13</v>
      </c>
      <c r="I1285">
        <v>40</v>
      </c>
      <c r="J1285" t="str" cm="1">
        <f t="array" ref="J1285">_xlfn.IFS(ISBLANK(C1285),"FALTANTE",ABS((C1285-$W$5)/$X$5)&gt;1.96,"ATÍPICO",ABS((C1285-$W$5)/$X$5)&lt;=1.96,"NO ATÍPICO")</f>
        <v>NO ATÍPICO</v>
      </c>
      <c r="K1285" t="str" cm="1">
        <f t="array" ref="K1285">_xlfn.IFS(ISBLANK(I1285),"FALTANTE",ABS((I1285-$W$8)/$X$8)&gt;1.92,"ATÍPICO",ABS((I1285-$W$8)/$X$8)&lt;=1.92,"NO ATÍPICO")</f>
        <v>NO ATÍPICO</v>
      </c>
      <c r="L1285">
        <f t="shared" si="96"/>
        <v>332161</v>
      </c>
      <c r="M1285" t="str">
        <f t="shared" si="96"/>
        <v>ASEGURADO VOLUNTARIO</v>
      </c>
      <c r="N1285">
        <f t="shared" si="97"/>
        <v>40</v>
      </c>
      <c r="O1285" s="19" t="str">
        <f t="shared" si="98"/>
        <v>300k–600k</v>
      </c>
      <c r="P1285" s="19" t="str">
        <f t="shared" si="99"/>
        <v>36-45</v>
      </c>
    </row>
    <row r="1286" spans="1:16" x14ac:dyDescent="0.25">
      <c r="A1286">
        <v>1285</v>
      </c>
      <c r="B1286" t="s">
        <v>9</v>
      </c>
      <c r="C1286">
        <v>1083336.99</v>
      </c>
      <c r="D1286" t="s">
        <v>10</v>
      </c>
      <c r="E1286" t="s">
        <v>16</v>
      </c>
      <c r="F1286" t="s">
        <v>12</v>
      </c>
      <c r="G1286" t="s">
        <v>12</v>
      </c>
      <c r="H1286" t="s">
        <v>13</v>
      </c>
      <c r="I1286">
        <v>48</v>
      </c>
      <c r="J1286" t="str" cm="1">
        <f t="array" ref="J1286">_xlfn.IFS(ISBLANK(C1286),"FALTANTE",ABS((C1286-$W$5)/$X$5)&gt;1.96,"ATÍPICO",ABS((C1286-$W$5)/$X$5)&lt;=1.96,"NO ATÍPICO")</f>
        <v>NO ATÍPICO</v>
      </c>
      <c r="K1286" t="str" cm="1">
        <f t="array" ref="K1286">_xlfn.IFS(ISBLANK(I1286),"FALTANTE",ABS((I1286-$W$8)/$X$8)&gt;1.92,"ATÍPICO",ABS((I1286-$W$8)/$X$8)&lt;=1.92,"NO ATÍPICO")</f>
        <v>NO ATÍPICO</v>
      </c>
      <c r="L1286">
        <f t="shared" si="96"/>
        <v>1083336.99</v>
      </c>
      <c r="M1286" t="str">
        <f t="shared" si="96"/>
        <v>ASALARIADO</v>
      </c>
      <c r="N1286">
        <f t="shared" si="97"/>
        <v>48</v>
      </c>
      <c r="O1286" s="19" t="str">
        <f t="shared" si="98"/>
        <v>900k–1200k</v>
      </c>
      <c r="P1286" s="19" t="str">
        <f t="shared" si="99"/>
        <v>46-55</v>
      </c>
    </row>
    <row r="1287" spans="1:16" x14ac:dyDescent="0.25">
      <c r="A1287">
        <v>1286</v>
      </c>
      <c r="B1287" t="s">
        <v>9</v>
      </c>
      <c r="C1287">
        <v>289083.33</v>
      </c>
      <c r="D1287" t="s">
        <v>10</v>
      </c>
      <c r="E1287" t="s">
        <v>16</v>
      </c>
      <c r="F1287" t="s">
        <v>12</v>
      </c>
      <c r="G1287" t="s">
        <v>13</v>
      </c>
      <c r="H1287" t="s">
        <v>13</v>
      </c>
      <c r="I1287">
        <v>26</v>
      </c>
      <c r="J1287" t="str" cm="1">
        <f t="array" ref="J1287">_xlfn.IFS(ISBLANK(C1287),"FALTANTE",ABS((C1287-$W$5)/$X$5)&gt;1.96,"ATÍPICO",ABS((C1287-$W$5)/$X$5)&lt;=1.96,"NO ATÍPICO")</f>
        <v>NO ATÍPICO</v>
      </c>
      <c r="K1287" t="str" cm="1">
        <f t="array" ref="K1287">_xlfn.IFS(ISBLANK(I1287),"FALTANTE",ABS((I1287-$W$8)/$X$8)&gt;1.92,"ATÍPICO",ABS((I1287-$W$8)/$X$8)&lt;=1.92,"NO ATÍPICO")</f>
        <v>NO ATÍPICO</v>
      </c>
      <c r="L1287">
        <f t="shared" si="96"/>
        <v>289083.33</v>
      </c>
      <c r="M1287" t="str">
        <f t="shared" si="96"/>
        <v>ASALARIADO</v>
      </c>
      <c r="N1287">
        <f t="shared" si="97"/>
        <v>26</v>
      </c>
      <c r="O1287" s="19" t="str">
        <f t="shared" si="98"/>
        <v>0–300k</v>
      </c>
      <c r="P1287" s="19" t="str">
        <f t="shared" si="99"/>
        <v>26-35</v>
      </c>
    </row>
    <row r="1288" spans="1:16" x14ac:dyDescent="0.25">
      <c r="A1288">
        <v>1287</v>
      </c>
      <c r="B1288" t="s">
        <v>15</v>
      </c>
      <c r="C1288">
        <v>377634.82</v>
      </c>
      <c r="D1288" t="s">
        <v>10</v>
      </c>
      <c r="E1288" t="s">
        <v>16</v>
      </c>
      <c r="F1288" t="s">
        <v>12</v>
      </c>
      <c r="G1288" t="s">
        <v>13</v>
      </c>
      <c r="H1288" t="s">
        <v>13</v>
      </c>
      <c r="I1288">
        <v>23</v>
      </c>
      <c r="J1288" t="str" cm="1">
        <f t="array" ref="J1288">_xlfn.IFS(ISBLANK(C1288),"FALTANTE",ABS((C1288-$W$5)/$X$5)&gt;1.96,"ATÍPICO",ABS((C1288-$W$5)/$X$5)&lt;=1.96,"NO ATÍPICO")</f>
        <v>NO ATÍPICO</v>
      </c>
      <c r="K1288" t="str" cm="1">
        <f t="array" ref="K1288">_xlfn.IFS(ISBLANK(I1288),"FALTANTE",ABS((I1288-$W$8)/$X$8)&gt;1.92,"ATÍPICO",ABS((I1288-$W$8)/$X$8)&lt;=1.92,"NO ATÍPICO")</f>
        <v>NO ATÍPICO</v>
      </c>
      <c r="L1288">
        <f t="shared" si="96"/>
        <v>377634.82</v>
      </c>
      <c r="M1288" t="str">
        <f t="shared" si="96"/>
        <v>ASALARIADO</v>
      </c>
      <c r="N1288">
        <f t="shared" si="97"/>
        <v>23</v>
      </c>
      <c r="O1288" s="19" t="str">
        <f t="shared" si="98"/>
        <v>300k–600k</v>
      </c>
      <c r="P1288" s="19" t="str">
        <f t="shared" si="99"/>
        <v>18-25</v>
      </c>
    </row>
    <row r="1289" spans="1:16" x14ac:dyDescent="0.25">
      <c r="A1289">
        <v>1288</v>
      </c>
      <c r="B1289" t="s">
        <v>9</v>
      </c>
      <c r="C1289">
        <v>278030</v>
      </c>
      <c r="D1289" t="s">
        <v>19</v>
      </c>
      <c r="E1289" t="s">
        <v>16</v>
      </c>
      <c r="F1289" t="s">
        <v>12</v>
      </c>
      <c r="G1289" t="s">
        <v>13</v>
      </c>
      <c r="H1289" t="s">
        <v>13</v>
      </c>
      <c r="I1289">
        <v>56</v>
      </c>
      <c r="J1289" t="str" cm="1">
        <f t="array" ref="J1289">_xlfn.IFS(ISBLANK(C1289),"FALTANTE",ABS((C1289-$W$5)/$X$5)&gt;1.96,"ATÍPICO",ABS((C1289-$W$5)/$X$5)&lt;=1.96,"NO ATÍPICO")</f>
        <v>NO ATÍPICO</v>
      </c>
      <c r="K1289" t="str" cm="1">
        <f t="array" ref="K1289">_xlfn.IFS(ISBLANK(I1289),"FALTANTE",ABS((I1289-$W$8)/$X$8)&gt;1.92,"ATÍPICO",ABS((I1289-$W$8)/$X$8)&lt;=1.92,"NO ATÍPICO")</f>
        <v>NO ATÍPICO</v>
      </c>
      <c r="L1289">
        <f t="shared" si="96"/>
        <v>278030</v>
      </c>
      <c r="M1289" t="str">
        <f t="shared" si="96"/>
        <v>CONVENIOS ESPECIALES DE TRABAJADORES INDEPENDIENTES</v>
      </c>
      <c r="N1289">
        <f t="shared" si="97"/>
        <v>56</v>
      </c>
      <c r="O1289" s="19" t="str">
        <f t="shared" si="98"/>
        <v>0–300k</v>
      </c>
      <c r="P1289" s="19" t="str">
        <f t="shared" si="99"/>
        <v>56+</v>
      </c>
    </row>
    <row r="1290" spans="1:16" x14ac:dyDescent="0.25">
      <c r="A1290">
        <v>1289</v>
      </c>
      <c r="B1290" t="s">
        <v>15</v>
      </c>
      <c r="C1290">
        <v>297046</v>
      </c>
      <c r="D1290" t="s">
        <v>18</v>
      </c>
      <c r="E1290" t="s">
        <v>16</v>
      </c>
      <c r="F1290" t="s">
        <v>12</v>
      </c>
      <c r="G1290" t="s">
        <v>13</v>
      </c>
      <c r="H1290" t="s">
        <v>13</v>
      </c>
      <c r="I1290">
        <v>40</v>
      </c>
      <c r="J1290" t="str" cm="1">
        <f t="array" ref="J1290">_xlfn.IFS(ISBLANK(C1290),"FALTANTE",ABS((C1290-$W$5)/$X$5)&gt;1.96,"ATÍPICO",ABS((C1290-$W$5)/$X$5)&lt;=1.96,"NO ATÍPICO")</f>
        <v>NO ATÍPICO</v>
      </c>
      <c r="K1290" t="str" cm="1">
        <f t="array" ref="K1290">_xlfn.IFS(ISBLANK(I1290),"FALTANTE",ABS((I1290-$W$8)/$X$8)&gt;1.92,"ATÍPICO",ABS((I1290-$W$8)/$X$8)&lt;=1.92,"NO ATÍPICO")</f>
        <v>NO ATÍPICO</v>
      </c>
      <c r="L1290">
        <f t="shared" si="96"/>
        <v>297046</v>
      </c>
      <c r="M1290" t="str">
        <f t="shared" si="96"/>
        <v>TRABAJADOR INDEPENDIENTE</v>
      </c>
      <c r="N1290">
        <f t="shared" si="97"/>
        <v>40</v>
      </c>
      <c r="O1290" s="19" t="str">
        <f t="shared" si="98"/>
        <v>0–300k</v>
      </c>
      <c r="P1290" s="19" t="str">
        <f t="shared" si="99"/>
        <v>36-45</v>
      </c>
    </row>
    <row r="1291" spans="1:16" x14ac:dyDescent="0.25">
      <c r="A1291">
        <v>1290</v>
      </c>
      <c r="B1291" t="s">
        <v>9</v>
      </c>
      <c r="C1291">
        <v>382136</v>
      </c>
      <c r="D1291" t="s">
        <v>18</v>
      </c>
      <c r="E1291" t="s">
        <v>16</v>
      </c>
      <c r="F1291" t="s">
        <v>12</v>
      </c>
      <c r="G1291" t="s">
        <v>12</v>
      </c>
      <c r="H1291" t="s">
        <v>12</v>
      </c>
      <c r="I1291">
        <v>55</v>
      </c>
      <c r="J1291" t="str" cm="1">
        <f t="array" ref="J1291">_xlfn.IFS(ISBLANK(C1291),"FALTANTE",ABS((C1291-$W$5)/$X$5)&gt;1.96,"ATÍPICO",ABS((C1291-$W$5)/$X$5)&lt;=1.96,"NO ATÍPICO")</f>
        <v>NO ATÍPICO</v>
      </c>
      <c r="K1291" t="str" cm="1">
        <f t="array" ref="K1291">_xlfn.IFS(ISBLANK(I1291),"FALTANTE",ABS((I1291-$W$8)/$X$8)&gt;1.92,"ATÍPICO",ABS((I1291-$W$8)/$X$8)&lt;=1.92,"NO ATÍPICO")</f>
        <v>NO ATÍPICO</v>
      </c>
      <c r="L1291">
        <f t="shared" si="96"/>
        <v>382136</v>
      </c>
      <c r="M1291" t="str">
        <f t="shared" si="96"/>
        <v>TRABAJADOR INDEPENDIENTE</v>
      </c>
      <c r="N1291">
        <f t="shared" si="97"/>
        <v>55</v>
      </c>
      <c r="O1291" s="19" t="str">
        <f t="shared" si="98"/>
        <v>300k–600k</v>
      </c>
      <c r="P1291" s="19" t="str">
        <f t="shared" si="99"/>
        <v>46-55</v>
      </c>
    </row>
    <row r="1292" spans="1:16" x14ac:dyDescent="0.25">
      <c r="A1292">
        <v>1291</v>
      </c>
      <c r="B1292" t="s">
        <v>9</v>
      </c>
      <c r="C1292">
        <v>609030</v>
      </c>
      <c r="D1292" t="s">
        <v>18</v>
      </c>
      <c r="E1292" t="s">
        <v>16</v>
      </c>
      <c r="F1292" t="s">
        <v>12</v>
      </c>
      <c r="G1292" t="s">
        <v>13</v>
      </c>
      <c r="H1292" t="s">
        <v>12</v>
      </c>
      <c r="I1292">
        <v>57</v>
      </c>
      <c r="J1292" t="str" cm="1">
        <f t="array" ref="J1292">_xlfn.IFS(ISBLANK(C1292),"FALTANTE",ABS((C1292-$W$5)/$X$5)&gt;1.96,"ATÍPICO",ABS((C1292-$W$5)/$X$5)&lt;=1.96,"NO ATÍPICO")</f>
        <v>NO ATÍPICO</v>
      </c>
      <c r="K1292" t="str" cm="1">
        <f t="array" ref="K1292">_xlfn.IFS(ISBLANK(I1292),"FALTANTE",ABS((I1292-$W$8)/$X$8)&gt;1.92,"ATÍPICO",ABS((I1292-$W$8)/$X$8)&lt;=1.92,"NO ATÍPICO")</f>
        <v>NO ATÍPICO</v>
      </c>
      <c r="L1292">
        <f t="shared" si="96"/>
        <v>609030</v>
      </c>
      <c r="M1292" t="str">
        <f t="shared" si="96"/>
        <v>TRABAJADOR INDEPENDIENTE</v>
      </c>
      <c r="N1292">
        <f t="shared" si="97"/>
        <v>57</v>
      </c>
      <c r="O1292" s="19" t="str">
        <f t="shared" si="98"/>
        <v>600k–900k</v>
      </c>
      <c r="P1292" s="19" t="str">
        <f t="shared" si="99"/>
        <v>56+</v>
      </c>
    </row>
    <row r="1293" spans="1:16" x14ac:dyDescent="0.25">
      <c r="A1293">
        <v>1292</v>
      </c>
      <c r="B1293" t="s">
        <v>9</v>
      </c>
      <c r="C1293">
        <v>465239</v>
      </c>
      <c r="D1293" t="s">
        <v>18</v>
      </c>
      <c r="E1293" t="s">
        <v>16</v>
      </c>
      <c r="F1293" t="s">
        <v>12</v>
      </c>
      <c r="G1293" t="s">
        <v>13</v>
      </c>
      <c r="H1293" t="s">
        <v>12</v>
      </c>
      <c r="I1293">
        <v>36</v>
      </c>
      <c r="J1293" t="str" cm="1">
        <f t="array" ref="J1293">_xlfn.IFS(ISBLANK(C1293),"FALTANTE",ABS((C1293-$W$5)/$X$5)&gt;1.96,"ATÍPICO",ABS((C1293-$W$5)/$X$5)&lt;=1.96,"NO ATÍPICO")</f>
        <v>NO ATÍPICO</v>
      </c>
      <c r="K1293" t="str" cm="1">
        <f t="array" ref="K1293">_xlfn.IFS(ISBLANK(I1293),"FALTANTE",ABS((I1293-$W$8)/$X$8)&gt;1.92,"ATÍPICO",ABS((I1293-$W$8)/$X$8)&lt;=1.92,"NO ATÍPICO")</f>
        <v>NO ATÍPICO</v>
      </c>
      <c r="L1293">
        <f t="shared" si="96"/>
        <v>465239</v>
      </c>
      <c r="M1293" t="str">
        <f t="shared" si="96"/>
        <v>TRABAJADOR INDEPENDIENTE</v>
      </c>
      <c r="N1293">
        <f t="shared" si="97"/>
        <v>36</v>
      </c>
      <c r="O1293" s="19" t="str">
        <f t="shared" si="98"/>
        <v>300k–600k</v>
      </c>
      <c r="P1293" s="19" t="str">
        <f t="shared" si="99"/>
        <v>36-45</v>
      </c>
    </row>
    <row r="1294" spans="1:16" x14ac:dyDescent="0.25">
      <c r="A1294">
        <v>1293</v>
      </c>
      <c r="B1294" t="s">
        <v>9</v>
      </c>
      <c r="C1294">
        <v>449243.84</v>
      </c>
      <c r="D1294" t="s">
        <v>10</v>
      </c>
      <c r="E1294" t="s">
        <v>16</v>
      </c>
      <c r="F1294" t="s">
        <v>12</v>
      </c>
      <c r="G1294" t="s">
        <v>13</v>
      </c>
      <c r="H1294" t="s">
        <v>13</v>
      </c>
      <c r="I1294">
        <v>34</v>
      </c>
      <c r="J1294" t="str" cm="1">
        <f t="array" ref="J1294">_xlfn.IFS(ISBLANK(C1294),"FALTANTE",ABS((C1294-$W$5)/$X$5)&gt;1.96,"ATÍPICO",ABS((C1294-$W$5)/$X$5)&lt;=1.96,"NO ATÍPICO")</f>
        <v>NO ATÍPICO</v>
      </c>
      <c r="K1294" t="str" cm="1">
        <f t="array" ref="K1294">_xlfn.IFS(ISBLANK(I1294),"FALTANTE",ABS((I1294-$W$8)/$X$8)&gt;1.92,"ATÍPICO",ABS((I1294-$W$8)/$X$8)&lt;=1.92,"NO ATÍPICO")</f>
        <v>NO ATÍPICO</v>
      </c>
      <c r="L1294">
        <f t="shared" si="96"/>
        <v>449243.84</v>
      </c>
      <c r="M1294" t="str">
        <f t="shared" si="96"/>
        <v>ASALARIADO</v>
      </c>
      <c r="N1294">
        <f t="shared" si="97"/>
        <v>34</v>
      </c>
      <c r="O1294" s="19" t="str">
        <f t="shared" si="98"/>
        <v>300k–600k</v>
      </c>
      <c r="P1294" s="19" t="str">
        <f t="shared" si="99"/>
        <v>26-35</v>
      </c>
    </row>
    <row r="1295" spans="1:16" x14ac:dyDescent="0.25">
      <c r="A1295">
        <v>1294</v>
      </c>
      <c r="B1295" t="s">
        <v>9</v>
      </c>
      <c r="C1295">
        <v>60000</v>
      </c>
      <c r="D1295" t="s">
        <v>10</v>
      </c>
      <c r="E1295" t="s">
        <v>16</v>
      </c>
      <c r="F1295" t="s">
        <v>12</v>
      </c>
      <c r="G1295" t="s">
        <v>13</v>
      </c>
      <c r="H1295" t="s">
        <v>12</v>
      </c>
      <c r="I1295">
        <v>18</v>
      </c>
      <c r="J1295" t="str" cm="1">
        <f t="array" ref="J1295">_xlfn.IFS(ISBLANK(C1295),"FALTANTE",ABS((C1295-$W$5)/$X$5)&gt;1.96,"ATÍPICO",ABS((C1295-$W$5)/$X$5)&lt;=1.96,"NO ATÍPICO")</f>
        <v>NO ATÍPICO</v>
      </c>
      <c r="K1295" t="str" cm="1">
        <f t="array" ref="K1295">_xlfn.IFS(ISBLANK(I1295),"FALTANTE",ABS((I1295-$W$8)/$X$8)&gt;1.92,"ATÍPICO",ABS((I1295-$W$8)/$X$8)&lt;=1.92,"NO ATÍPICO")</f>
        <v>NO ATÍPICO</v>
      </c>
      <c r="L1295">
        <f t="shared" si="96"/>
        <v>60000</v>
      </c>
      <c r="M1295" t="str">
        <f t="shared" si="96"/>
        <v>ASALARIADO</v>
      </c>
      <c r="N1295">
        <f t="shared" si="97"/>
        <v>18</v>
      </c>
      <c r="O1295" s="19" t="str">
        <f t="shared" si="98"/>
        <v>0–300k</v>
      </c>
      <c r="P1295" s="19" t="str">
        <f t="shared" si="99"/>
        <v>18-25</v>
      </c>
    </row>
    <row r="1296" spans="1:16" x14ac:dyDescent="0.25">
      <c r="A1296">
        <v>1295</v>
      </c>
      <c r="B1296" t="s">
        <v>9</v>
      </c>
      <c r="C1296">
        <v>395499</v>
      </c>
      <c r="D1296" t="s">
        <v>10</v>
      </c>
      <c r="E1296" t="s">
        <v>16</v>
      </c>
      <c r="F1296" t="s">
        <v>12</v>
      </c>
      <c r="G1296" t="s">
        <v>13</v>
      </c>
      <c r="H1296" t="s">
        <v>13</v>
      </c>
      <c r="I1296">
        <v>27</v>
      </c>
      <c r="J1296" t="str" cm="1">
        <f t="array" ref="J1296">_xlfn.IFS(ISBLANK(C1296),"FALTANTE",ABS((C1296-$W$5)/$X$5)&gt;1.96,"ATÍPICO",ABS((C1296-$W$5)/$X$5)&lt;=1.96,"NO ATÍPICO")</f>
        <v>NO ATÍPICO</v>
      </c>
      <c r="K1296" t="str" cm="1">
        <f t="array" ref="K1296">_xlfn.IFS(ISBLANK(I1296),"FALTANTE",ABS((I1296-$W$8)/$X$8)&gt;1.92,"ATÍPICO",ABS((I1296-$W$8)/$X$8)&lt;=1.92,"NO ATÍPICO")</f>
        <v>NO ATÍPICO</v>
      </c>
      <c r="L1296">
        <f t="shared" si="96"/>
        <v>395499</v>
      </c>
      <c r="M1296" t="str">
        <f t="shared" si="96"/>
        <v>ASALARIADO</v>
      </c>
      <c r="N1296">
        <f t="shared" si="97"/>
        <v>27</v>
      </c>
      <c r="O1296" s="19" t="str">
        <f t="shared" si="98"/>
        <v>300k–600k</v>
      </c>
      <c r="P1296" s="19" t="str">
        <f t="shared" si="99"/>
        <v>26-35</v>
      </c>
    </row>
    <row r="1297" spans="1:16" x14ac:dyDescent="0.25">
      <c r="A1297">
        <v>1296</v>
      </c>
      <c r="B1297" t="s">
        <v>15</v>
      </c>
      <c r="C1297">
        <v>382136</v>
      </c>
      <c r="D1297" t="s">
        <v>18</v>
      </c>
      <c r="E1297" t="s">
        <v>16</v>
      </c>
      <c r="F1297" t="s">
        <v>12</v>
      </c>
      <c r="G1297" t="s">
        <v>13</v>
      </c>
      <c r="H1297" t="s">
        <v>12</v>
      </c>
      <c r="I1297">
        <v>62</v>
      </c>
      <c r="J1297" t="str" cm="1">
        <f t="array" ref="J1297">_xlfn.IFS(ISBLANK(C1297),"FALTANTE",ABS((C1297-$W$5)/$X$5)&gt;1.96,"ATÍPICO",ABS((C1297-$W$5)/$X$5)&lt;=1.96,"NO ATÍPICO")</f>
        <v>NO ATÍPICO</v>
      </c>
      <c r="K1297" t="str" cm="1">
        <f t="array" ref="K1297">_xlfn.IFS(ISBLANK(I1297),"FALTANTE",ABS((I1297-$W$8)/$X$8)&gt;1.92,"ATÍPICO",ABS((I1297-$W$8)/$X$8)&lt;=1.92,"NO ATÍPICO")</f>
        <v>NO ATÍPICO</v>
      </c>
      <c r="L1297">
        <f t="shared" si="96"/>
        <v>382136</v>
      </c>
      <c r="M1297" t="str">
        <f t="shared" si="96"/>
        <v>TRABAJADOR INDEPENDIENTE</v>
      </c>
      <c r="N1297">
        <f t="shared" si="97"/>
        <v>62</v>
      </c>
      <c r="O1297" s="19" t="str">
        <f t="shared" si="98"/>
        <v>300k–600k</v>
      </c>
      <c r="P1297" s="19" t="str">
        <f t="shared" si="99"/>
        <v>56+</v>
      </c>
    </row>
    <row r="1298" spans="1:16" x14ac:dyDescent="0.25">
      <c r="A1298">
        <v>1297</v>
      </c>
      <c r="B1298" t="s">
        <v>15</v>
      </c>
      <c r="C1298">
        <v>558849</v>
      </c>
      <c r="D1298" t="s">
        <v>10</v>
      </c>
      <c r="E1298" t="s">
        <v>11</v>
      </c>
      <c r="F1298" t="s">
        <v>12</v>
      </c>
      <c r="G1298" t="s">
        <v>13</v>
      </c>
      <c r="H1298" t="s">
        <v>13</v>
      </c>
      <c r="I1298">
        <v>33</v>
      </c>
      <c r="J1298" t="str" cm="1">
        <f t="array" ref="J1298">_xlfn.IFS(ISBLANK(C1298),"FALTANTE",ABS((C1298-$W$5)/$X$5)&gt;1.96,"ATÍPICO",ABS((C1298-$W$5)/$X$5)&lt;=1.96,"NO ATÍPICO")</f>
        <v>NO ATÍPICO</v>
      </c>
      <c r="K1298" t="str" cm="1">
        <f t="array" ref="K1298">_xlfn.IFS(ISBLANK(I1298),"FALTANTE",ABS((I1298-$W$8)/$X$8)&gt;1.92,"ATÍPICO",ABS((I1298-$W$8)/$X$8)&lt;=1.92,"NO ATÍPICO")</f>
        <v>NO ATÍPICO</v>
      </c>
      <c r="L1298">
        <f t="shared" si="96"/>
        <v>558849</v>
      </c>
      <c r="M1298" t="str">
        <f t="shared" si="96"/>
        <v>ASALARIADO</v>
      </c>
      <c r="N1298">
        <f t="shared" si="97"/>
        <v>33</v>
      </c>
      <c r="O1298" s="19" t="str">
        <f t="shared" si="98"/>
        <v>300k–600k</v>
      </c>
      <c r="P1298" s="19" t="str">
        <f t="shared" si="99"/>
        <v>26-35</v>
      </c>
    </row>
    <row r="1299" spans="1:16" x14ac:dyDescent="0.25">
      <c r="A1299">
        <v>1298</v>
      </c>
      <c r="B1299" t="s">
        <v>9</v>
      </c>
      <c r="C1299">
        <v>300000</v>
      </c>
      <c r="D1299" t="s">
        <v>10</v>
      </c>
      <c r="E1299" t="s">
        <v>16</v>
      </c>
      <c r="F1299" t="s">
        <v>12</v>
      </c>
      <c r="G1299" t="s">
        <v>12</v>
      </c>
      <c r="H1299" t="s">
        <v>13</v>
      </c>
      <c r="I1299">
        <v>36</v>
      </c>
      <c r="J1299" t="str" cm="1">
        <f t="array" ref="J1299">_xlfn.IFS(ISBLANK(C1299),"FALTANTE",ABS((C1299-$W$5)/$X$5)&gt;1.96,"ATÍPICO",ABS((C1299-$W$5)/$X$5)&lt;=1.96,"NO ATÍPICO")</f>
        <v>NO ATÍPICO</v>
      </c>
      <c r="K1299" t="str" cm="1">
        <f t="array" ref="K1299">_xlfn.IFS(ISBLANK(I1299),"FALTANTE",ABS((I1299-$W$8)/$X$8)&gt;1.92,"ATÍPICO",ABS((I1299-$W$8)/$X$8)&lt;=1.92,"NO ATÍPICO")</f>
        <v>NO ATÍPICO</v>
      </c>
      <c r="L1299">
        <f t="shared" si="96"/>
        <v>300000</v>
      </c>
      <c r="M1299" t="str">
        <f t="shared" si="96"/>
        <v>ASALARIADO</v>
      </c>
      <c r="N1299">
        <f t="shared" si="97"/>
        <v>36</v>
      </c>
      <c r="O1299" s="19" t="str">
        <f t="shared" si="98"/>
        <v>0–300k</v>
      </c>
      <c r="P1299" s="19" t="str">
        <f t="shared" si="99"/>
        <v>36-45</v>
      </c>
    </row>
    <row r="1300" spans="1:16" x14ac:dyDescent="0.25">
      <c r="A1300">
        <v>1299</v>
      </c>
      <c r="B1300" t="s">
        <v>15</v>
      </c>
      <c r="C1300">
        <v>280000</v>
      </c>
      <c r="D1300" t="s">
        <v>10</v>
      </c>
      <c r="E1300" t="s">
        <v>16</v>
      </c>
      <c r="F1300" t="s">
        <v>12</v>
      </c>
      <c r="G1300" t="s">
        <v>13</v>
      </c>
      <c r="H1300" t="s">
        <v>13</v>
      </c>
      <c r="I1300">
        <v>33</v>
      </c>
      <c r="J1300" t="str" cm="1">
        <f t="array" ref="J1300">_xlfn.IFS(ISBLANK(C1300),"FALTANTE",ABS((C1300-$W$5)/$X$5)&gt;1.96,"ATÍPICO",ABS((C1300-$W$5)/$X$5)&lt;=1.96,"NO ATÍPICO")</f>
        <v>NO ATÍPICO</v>
      </c>
      <c r="K1300" t="str" cm="1">
        <f t="array" ref="K1300">_xlfn.IFS(ISBLANK(I1300),"FALTANTE",ABS((I1300-$W$8)/$X$8)&gt;1.92,"ATÍPICO",ABS((I1300-$W$8)/$X$8)&lt;=1.92,"NO ATÍPICO")</f>
        <v>NO ATÍPICO</v>
      </c>
      <c r="L1300">
        <f t="shared" si="96"/>
        <v>280000</v>
      </c>
      <c r="M1300" t="str">
        <f t="shared" si="96"/>
        <v>ASALARIADO</v>
      </c>
      <c r="N1300">
        <f t="shared" si="97"/>
        <v>33</v>
      </c>
      <c r="O1300" s="19" t="str">
        <f t="shared" si="98"/>
        <v>0–300k</v>
      </c>
      <c r="P1300" s="19" t="str">
        <f t="shared" si="99"/>
        <v>26-35</v>
      </c>
    </row>
    <row r="1301" spans="1:16" x14ac:dyDescent="0.25">
      <c r="A1301">
        <v>1300</v>
      </c>
      <c r="B1301" t="s">
        <v>15</v>
      </c>
      <c r="C1301">
        <v>448387.72</v>
      </c>
      <c r="D1301" t="s">
        <v>10</v>
      </c>
      <c r="E1301" t="s">
        <v>16</v>
      </c>
      <c r="F1301" t="s">
        <v>12</v>
      </c>
      <c r="G1301" t="s">
        <v>13</v>
      </c>
      <c r="H1301" t="s">
        <v>13</v>
      </c>
      <c r="I1301">
        <v>49</v>
      </c>
      <c r="J1301" t="str" cm="1">
        <f t="array" ref="J1301">_xlfn.IFS(ISBLANK(C1301),"FALTANTE",ABS((C1301-$W$5)/$X$5)&gt;1.96,"ATÍPICO",ABS((C1301-$W$5)/$X$5)&lt;=1.96,"NO ATÍPICO")</f>
        <v>NO ATÍPICO</v>
      </c>
      <c r="K1301" t="str" cm="1">
        <f t="array" ref="K1301">_xlfn.IFS(ISBLANK(I1301),"FALTANTE",ABS((I1301-$W$8)/$X$8)&gt;1.92,"ATÍPICO",ABS((I1301-$W$8)/$X$8)&lt;=1.92,"NO ATÍPICO")</f>
        <v>NO ATÍPICO</v>
      </c>
      <c r="L1301">
        <f t="shared" si="96"/>
        <v>448387.72</v>
      </c>
      <c r="M1301" t="str">
        <f t="shared" si="96"/>
        <v>ASALARIADO</v>
      </c>
      <c r="N1301">
        <f t="shared" si="97"/>
        <v>49</v>
      </c>
      <c r="O1301" s="19" t="str">
        <f t="shared" si="98"/>
        <v>300k–600k</v>
      </c>
      <c r="P1301" s="19" t="str">
        <f t="shared" si="99"/>
        <v>46-55</v>
      </c>
    </row>
    <row r="1302" spans="1:16" x14ac:dyDescent="0.25">
      <c r="A1302">
        <v>1301</v>
      </c>
      <c r="B1302" t="s">
        <v>15</v>
      </c>
      <c r="C1302">
        <v>302470</v>
      </c>
      <c r="D1302" t="s">
        <v>17</v>
      </c>
      <c r="E1302" t="s">
        <v>16</v>
      </c>
      <c r="F1302" t="s">
        <v>12</v>
      </c>
      <c r="G1302" t="s">
        <v>12</v>
      </c>
      <c r="H1302" t="s">
        <v>13</v>
      </c>
      <c r="I1302">
        <v>29</v>
      </c>
      <c r="J1302" t="str" cm="1">
        <f t="array" ref="J1302">_xlfn.IFS(ISBLANK(C1302),"FALTANTE",ABS((C1302-$W$5)/$X$5)&gt;1.96,"ATÍPICO",ABS((C1302-$W$5)/$X$5)&lt;=1.96,"NO ATÍPICO")</f>
        <v>NO ATÍPICO</v>
      </c>
      <c r="K1302" t="str" cm="1">
        <f t="array" ref="K1302">_xlfn.IFS(ISBLANK(I1302),"FALTANTE",ABS((I1302-$W$8)/$X$8)&gt;1.92,"ATÍPICO",ABS((I1302-$W$8)/$X$8)&lt;=1.92,"NO ATÍPICO")</f>
        <v>NO ATÍPICO</v>
      </c>
      <c r="L1302">
        <f t="shared" si="96"/>
        <v>302470</v>
      </c>
      <c r="M1302" t="str">
        <f t="shared" si="96"/>
        <v>ASEGURADO VOLUNTARIO</v>
      </c>
      <c r="N1302">
        <f t="shared" si="97"/>
        <v>29</v>
      </c>
      <c r="O1302" s="19" t="str">
        <f t="shared" si="98"/>
        <v>300k–600k</v>
      </c>
      <c r="P1302" s="19" t="str">
        <f t="shared" si="99"/>
        <v>26-35</v>
      </c>
    </row>
    <row r="1303" spans="1:16" x14ac:dyDescent="0.25">
      <c r="A1303">
        <v>1302</v>
      </c>
      <c r="B1303" t="s">
        <v>15</v>
      </c>
      <c r="C1303">
        <v>195143</v>
      </c>
      <c r="D1303" t="s">
        <v>10</v>
      </c>
      <c r="E1303" t="s">
        <v>11</v>
      </c>
      <c r="F1303" t="s">
        <v>12</v>
      </c>
      <c r="G1303" t="s">
        <v>13</v>
      </c>
      <c r="H1303" t="s">
        <v>13</v>
      </c>
      <c r="I1303">
        <v>39</v>
      </c>
      <c r="J1303" t="str" cm="1">
        <f t="array" ref="J1303">_xlfn.IFS(ISBLANK(C1303),"FALTANTE",ABS((C1303-$W$5)/$X$5)&gt;1.96,"ATÍPICO",ABS((C1303-$W$5)/$X$5)&lt;=1.96,"NO ATÍPICO")</f>
        <v>NO ATÍPICO</v>
      </c>
      <c r="K1303" t="str" cm="1">
        <f t="array" ref="K1303">_xlfn.IFS(ISBLANK(I1303),"FALTANTE",ABS((I1303-$W$8)/$X$8)&gt;1.92,"ATÍPICO",ABS((I1303-$W$8)/$X$8)&lt;=1.92,"NO ATÍPICO")</f>
        <v>NO ATÍPICO</v>
      </c>
      <c r="L1303">
        <f t="shared" si="96"/>
        <v>195143</v>
      </c>
      <c r="M1303" t="str">
        <f t="shared" si="96"/>
        <v>ASALARIADO</v>
      </c>
      <c r="N1303">
        <f t="shared" si="97"/>
        <v>39</v>
      </c>
      <c r="O1303" s="19" t="str">
        <f t="shared" si="98"/>
        <v>0–300k</v>
      </c>
      <c r="P1303" s="19" t="str">
        <f t="shared" si="99"/>
        <v>36-45</v>
      </c>
    </row>
    <row r="1304" spans="1:16" x14ac:dyDescent="0.25">
      <c r="A1304">
        <v>1303</v>
      </c>
      <c r="B1304" t="s">
        <v>9</v>
      </c>
      <c r="C1304">
        <v>513383.02</v>
      </c>
      <c r="D1304" t="s">
        <v>10</v>
      </c>
      <c r="E1304" t="s">
        <v>16</v>
      </c>
      <c r="F1304" t="s">
        <v>12</v>
      </c>
      <c r="G1304" t="s">
        <v>13</v>
      </c>
      <c r="H1304" t="s">
        <v>13</v>
      </c>
      <c r="I1304">
        <v>42</v>
      </c>
      <c r="J1304" t="str" cm="1">
        <f t="array" ref="J1304">_xlfn.IFS(ISBLANK(C1304),"FALTANTE",ABS((C1304-$W$5)/$X$5)&gt;1.96,"ATÍPICO",ABS((C1304-$W$5)/$X$5)&lt;=1.96,"NO ATÍPICO")</f>
        <v>NO ATÍPICO</v>
      </c>
      <c r="K1304" t="str" cm="1">
        <f t="array" ref="K1304">_xlfn.IFS(ISBLANK(I1304),"FALTANTE",ABS((I1304-$W$8)/$X$8)&gt;1.92,"ATÍPICO",ABS((I1304-$W$8)/$X$8)&lt;=1.92,"NO ATÍPICO")</f>
        <v>NO ATÍPICO</v>
      </c>
      <c r="L1304">
        <f t="shared" si="96"/>
        <v>513383.02</v>
      </c>
      <c r="M1304" t="str">
        <f t="shared" si="96"/>
        <v>ASALARIADO</v>
      </c>
      <c r="N1304">
        <f t="shared" si="97"/>
        <v>42</v>
      </c>
      <c r="O1304" s="19" t="str">
        <f t="shared" si="98"/>
        <v>300k–600k</v>
      </c>
      <c r="P1304" s="19" t="str">
        <f t="shared" si="99"/>
        <v>36-45</v>
      </c>
    </row>
    <row r="1305" spans="1:16" x14ac:dyDescent="0.25">
      <c r="A1305">
        <v>1304</v>
      </c>
      <c r="B1305" t="s">
        <v>9</v>
      </c>
      <c r="C1305">
        <v>278030</v>
      </c>
      <c r="D1305" t="s">
        <v>19</v>
      </c>
      <c r="E1305" t="s">
        <v>16</v>
      </c>
      <c r="F1305" t="s">
        <v>12</v>
      </c>
      <c r="G1305" t="s">
        <v>13</v>
      </c>
      <c r="H1305" t="s">
        <v>13</v>
      </c>
      <c r="I1305">
        <v>61</v>
      </c>
      <c r="J1305" t="str" cm="1">
        <f t="array" ref="J1305">_xlfn.IFS(ISBLANK(C1305),"FALTANTE",ABS((C1305-$W$5)/$X$5)&gt;1.96,"ATÍPICO",ABS((C1305-$W$5)/$X$5)&lt;=1.96,"NO ATÍPICO")</f>
        <v>NO ATÍPICO</v>
      </c>
      <c r="K1305" t="str" cm="1">
        <f t="array" ref="K1305">_xlfn.IFS(ISBLANK(I1305),"FALTANTE",ABS((I1305-$W$8)/$X$8)&gt;1.92,"ATÍPICO",ABS((I1305-$W$8)/$X$8)&lt;=1.92,"NO ATÍPICO")</f>
        <v>NO ATÍPICO</v>
      </c>
      <c r="L1305">
        <f t="shared" si="96"/>
        <v>278030</v>
      </c>
      <c r="M1305" t="str">
        <f t="shared" si="96"/>
        <v>CONVENIOS ESPECIALES DE TRABAJADORES INDEPENDIENTES</v>
      </c>
      <c r="N1305">
        <f t="shared" si="97"/>
        <v>61</v>
      </c>
      <c r="O1305" s="19" t="str">
        <f t="shared" si="98"/>
        <v>0–300k</v>
      </c>
      <c r="P1305" s="19" t="str">
        <f t="shared" si="99"/>
        <v>56+</v>
      </c>
    </row>
    <row r="1306" spans="1:16" x14ac:dyDescent="0.25">
      <c r="A1306">
        <v>1305</v>
      </c>
      <c r="B1306" t="s">
        <v>9</v>
      </c>
      <c r="C1306">
        <v>343390</v>
      </c>
      <c r="D1306" t="s">
        <v>10</v>
      </c>
      <c r="E1306" t="s">
        <v>16</v>
      </c>
      <c r="F1306" t="s">
        <v>12</v>
      </c>
      <c r="G1306" t="s">
        <v>13</v>
      </c>
      <c r="H1306" t="s">
        <v>13</v>
      </c>
      <c r="I1306">
        <v>28</v>
      </c>
      <c r="J1306" t="str" cm="1">
        <f t="array" ref="J1306">_xlfn.IFS(ISBLANK(C1306),"FALTANTE",ABS((C1306-$W$5)/$X$5)&gt;1.96,"ATÍPICO",ABS((C1306-$W$5)/$X$5)&lt;=1.96,"NO ATÍPICO")</f>
        <v>NO ATÍPICO</v>
      </c>
      <c r="K1306" t="str" cm="1">
        <f t="array" ref="K1306">_xlfn.IFS(ISBLANK(I1306),"FALTANTE",ABS((I1306-$W$8)/$X$8)&gt;1.92,"ATÍPICO",ABS((I1306-$W$8)/$X$8)&lt;=1.92,"NO ATÍPICO")</f>
        <v>NO ATÍPICO</v>
      </c>
      <c r="L1306">
        <f t="shared" si="96"/>
        <v>343390</v>
      </c>
      <c r="M1306" t="str">
        <f t="shared" si="96"/>
        <v>ASALARIADO</v>
      </c>
      <c r="N1306">
        <f t="shared" si="97"/>
        <v>28</v>
      </c>
      <c r="O1306" s="19" t="str">
        <f t="shared" si="98"/>
        <v>300k–600k</v>
      </c>
      <c r="P1306" s="19" t="str">
        <f t="shared" si="99"/>
        <v>26-35</v>
      </c>
    </row>
    <row r="1307" spans="1:16" x14ac:dyDescent="0.25">
      <c r="A1307">
        <v>1306</v>
      </c>
      <c r="B1307" t="s">
        <v>15</v>
      </c>
      <c r="C1307">
        <v>1204805.5900000001</v>
      </c>
      <c r="D1307" t="s">
        <v>10</v>
      </c>
      <c r="E1307" t="s">
        <v>16</v>
      </c>
      <c r="F1307" t="s">
        <v>12</v>
      </c>
      <c r="G1307" t="s">
        <v>13</v>
      </c>
      <c r="H1307" t="s">
        <v>13</v>
      </c>
      <c r="I1307">
        <v>41</v>
      </c>
      <c r="J1307" t="str" cm="1">
        <f t="array" ref="J1307">_xlfn.IFS(ISBLANK(C1307),"FALTANTE",ABS((C1307-$W$5)/$X$5)&gt;1.96,"ATÍPICO",ABS((C1307-$W$5)/$X$5)&lt;=1.96,"NO ATÍPICO")</f>
        <v>NO ATÍPICO</v>
      </c>
      <c r="K1307" t="str" cm="1">
        <f t="array" ref="K1307">_xlfn.IFS(ISBLANK(I1307),"FALTANTE",ABS((I1307-$W$8)/$X$8)&gt;1.92,"ATÍPICO",ABS((I1307-$W$8)/$X$8)&lt;=1.92,"NO ATÍPICO")</f>
        <v>NO ATÍPICO</v>
      </c>
      <c r="L1307">
        <f t="shared" si="96"/>
        <v>1204805.5900000001</v>
      </c>
      <c r="M1307" t="str">
        <f t="shared" si="96"/>
        <v>ASALARIADO</v>
      </c>
      <c r="N1307">
        <f t="shared" si="97"/>
        <v>41</v>
      </c>
      <c r="O1307" s="19" t="str">
        <f t="shared" si="98"/>
        <v>1200k+</v>
      </c>
      <c r="P1307" s="19" t="str">
        <f t="shared" si="99"/>
        <v>36-45</v>
      </c>
    </row>
    <row r="1308" spans="1:16" x14ac:dyDescent="0.25">
      <c r="A1308">
        <v>1307</v>
      </c>
      <c r="B1308" t="s">
        <v>9</v>
      </c>
      <c r="C1308">
        <v>1611500</v>
      </c>
      <c r="D1308" t="s">
        <v>10</v>
      </c>
      <c r="E1308" t="s">
        <v>16</v>
      </c>
      <c r="F1308" t="s">
        <v>12</v>
      </c>
      <c r="G1308" t="s">
        <v>13</v>
      </c>
      <c r="H1308" t="s">
        <v>13</v>
      </c>
      <c r="I1308">
        <v>26</v>
      </c>
      <c r="J1308" t="str" cm="1">
        <f t="array" ref="J1308">_xlfn.IFS(ISBLANK(C1308),"FALTANTE",ABS((C1308-$W$5)/$X$5)&gt;1.96,"ATÍPICO",ABS((C1308-$W$5)/$X$5)&lt;=1.96,"NO ATÍPICO")</f>
        <v>NO ATÍPICO</v>
      </c>
      <c r="K1308" t="str" cm="1">
        <f t="array" ref="K1308">_xlfn.IFS(ISBLANK(I1308),"FALTANTE",ABS((I1308-$W$8)/$X$8)&gt;1.92,"ATÍPICO",ABS((I1308-$W$8)/$X$8)&lt;=1.92,"NO ATÍPICO")</f>
        <v>NO ATÍPICO</v>
      </c>
      <c r="L1308">
        <f t="shared" si="96"/>
        <v>1611500</v>
      </c>
      <c r="M1308" t="str">
        <f t="shared" si="96"/>
        <v>ASALARIADO</v>
      </c>
      <c r="N1308">
        <f t="shared" si="97"/>
        <v>26</v>
      </c>
      <c r="O1308" s="19" t="str">
        <f t="shared" si="98"/>
        <v>1200k+</v>
      </c>
      <c r="P1308" s="19" t="str">
        <f t="shared" si="99"/>
        <v>26-35</v>
      </c>
    </row>
    <row r="1309" spans="1:16" x14ac:dyDescent="0.25">
      <c r="A1309">
        <v>1308</v>
      </c>
      <c r="B1309" t="s">
        <v>15</v>
      </c>
      <c r="C1309">
        <v>1047569</v>
      </c>
      <c r="D1309" t="s">
        <v>10</v>
      </c>
      <c r="E1309" t="s">
        <v>11</v>
      </c>
      <c r="F1309" t="s">
        <v>12</v>
      </c>
      <c r="G1309" t="s">
        <v>13</v>
      </c>
      <c r="H1309" t="s">
        <v>13</v>
      </c>
      <c r="I1309">
        <v>47</v>
      </c>
      <c r="J1309" t="str" cm="1">
        <f t="array" ref="J1309">_xlfn.IFS(ISBLANK(C1309),"FALTANTE",ABS((C1309-$W$5)/$X$5)&gt;1.96,"ATÍPICO",ABS((C1309-$W$5)/$X$5)&lt;=1.96,"NO ATÍPICO")</f>
        <v>NO ATÍPICO</v>
      </c>
      <c r="K1309" t="str" cm="1">
        <f t="array" ref="K1309">_xlfn.IFS(ISBLANK(I1309),"FALTANTE",ABS((I1309-$W$8)/$X$8)&gt;1.92,"ATÍPICO",ABS((I1309-$W$8)/$X$8)&lt;=1.92,"NO ATÍPICO")</f>
        <v>NO ATÍPICO</v>
      </c>
      <c r="L1309">
        <f t="shared" si="96"/>
        <v>1047569</v>
      </c>
      <c r="M1309" t="str">
        <f t="shared" si="96"/>
        <v>ASALARIADO</v>
      </c>
      <c r="N1309">
        <f t="shared" si="97"/>
        <v>47</v>
      </c>
      <c r="O1309" s="19" t="str">
        <f t="shared" si="98"/>
        <v>900k–1200k</v>
      </c>
      <c r="P1309" s="19" t="str">
        <f t="shared" si="99"/>
        <v>46-55</v>
      </c>
    </row>
    <row r="1310" spans="1:16" x14ac:dyDescent="0.25">
      <c r="A1310">
        <v>1309</v>
      </c>
      <c r="B1310" t="s">
        <v>9</v>
      </c>
      <c r="C1310">
        <v>526800</v>
      </c>
      <c r="D1310" t="s">
        <v>10</v>
      </c>
      <c r="E1310" t="s">
        <v>16</v>
      </c>
      <c r="F1310" t="s">
        <v>12</v>
      </c>
      <c r="G1310" t="s">
        <v>13</v>
      </c>
      <c r="H1310" t="s">
        <v>13</v>
      </c>
      <c r="I1310">
        <v>44</v>
      </c>
      <c r="J1310" t="str" cm="1">
        <f t="array" ref="J1310">_xlfn.IFS(ISBLANK(C1310),"FALTANTE",ABS((C1310-$W$5)/$X$5)&gt;1.96,"ATÍPICO",ABS((C1310-$W$5)/$X$5)&lt;=1.96,"NO ATÍPICO")</f>
        <v>NO ATÍPICO</v>
      </c>
      <c r="K1310" t="str" cm="1">
        <f t="array" ref="K1310">_xlfn.IFS(ISBLANK(I1310),"FALTANTE",ABS((I1310-$W$8)/$X$8)&gt;1.92,"ATÍPICO",ABS((I1310-$W$8)/$X$8)&lt;=1.92,"NO ATÍPICO")</f>
        <v>NO ATÍPICO</v>
      </c>
      <c r="L1310">
        <f t="shared" si="96"/>
        <v>526800</v>
      </c>
      <c r="M1310" t="str">
        <f t="shared" si="96"/>
        <v>ASALARIADO</v>
      </c>
      <c r="N1310">
        <f t="shared" si="97"/>
        <v>44</v>
      </c>
      <c r="O1310" s="19" t="str">
        <f t="shared" si="98"/>
        <v>300k–600k</v>
      </c>
      <c r="P1310" s="19" t="str">
        <f t="shared" si="99"/>
        <v>36-45</v>
      </c>
    </row>
    <row r="1311" spans="1:16" x14ac:dyDescent="0.25">
      <c r="A1311">
        <v>1310</v>
      </c>
      <c r="B1311" t="s">
        <v>9</v>
      </c>
      <c r="C1311">
        <v>580021.27</v>
      </c>
      <c r="D1311" t="s">
        <v>10</v>
      </c>
      <c r="E1311" t="s">
        <v>11</v>
      </c>
      <c r="F1311" t="s">
        <v>12</v>
      </c>
      <c r="G1311" t="s">
        <v>13</v>
      </c>
      <c r="H1311" t="s">
        <v>13</v>
      </c>
      <c r="I1311">
        <v>29</v>
      </c>
      <c r="J1311" t="str" cm="1">
        <f t="array" ref="J1311">_xlfn.IFS(ISBLANK(C1311),"FALTANTE",ABS((C1311-$W$5)/$X$5)&gt;1.96,"ATÍPICO",ABS((C1311-$W$5)/$X$5)&lt;=1.96,"NO ATÍPICO")</f>
        <v>NO ATÍPICO</v>
      </c>
      <c r="K1311" t="str" cm="1">
        <f t="array" ref="K1311">_xlfn.IFS(ISBLANK(I1311),"FALTANTE",ABS((I1311-$W$8)/$X$8)&gt;1.92,"ATÍPICO",ABS((I1311-$W$8)/$X$8)&lt;=1.92,"NO ATÍPICO")</f>
        <v>NO ATÍPICO</v>
      </c>
      <c r="L1311">
        <f t="shared" si="96"/>
        <v>580021.27</v>
      </c>
      <c r="M1311" t="str">
        <f t="shared" si="96"/>
        <v>ASALARIADO</v>
      </c>
      <c r="N1311">
        <f t="shared" si="97"/>
        <v>29</v>
      </c>
      <c r="O1311" s="19" t="str">
        <f t="shared" si="98"/>
        <v>300k–600k</v>
      </c>
      <c r="P1311" s="19" t="str">
        <f t="shared" si="99"/>
        <v>26-35</v>
      </c>
    </row>
    <row r="1312" spans="1:16" x14ac:dyDescent="0.25">
      <c r="A1312">
        <v>1311</v>
      </c>
      <c r="B1312" t="s">
        <v>9</v>
      </c>
      <c r="C1312">
        <v>526083.62</v>
      </c>
      <c r="D1312" t="s">
        <v>10</v>
      </c>
      <c r="E1312" t="s">
        <v>16</v>
      </c>
      <c r="F1312" t="s">
        <v>12</v>
      </c>
      <c r="G1312" t="s">
        <v>13</v>
      </c>
      <c r="H1312" t="s">
        <v>13</v>
      </c>
      <c r="I1312">
        <v>24</v>
      </c>
      <c r="J1312" t="str" cm="1">
        <f t="array" ref="J1312">_xlfn.IFS(ISBLANK(C1312),"FALTANTE",ABS((C1312-$W$5)/$X$5)&gt;1.96,"ATÍPICO",ABS((C1312-$W$5)/$X$5)&lt;=1.96,"NO ATÍPICO")</f>
        <v>NO ATÍPICO</v>
      </c>
      <c r="K1312" t="str" cm="1">
        <f t="array" ref="K1312">_xlfn.IFS(ISBLANK(I1312),"FALTANTE",ABS((I1312-$W$8)/$X$8)&gt;1.92,"ATÍPICO",ABS((I1312-$W$8)/$X$8)&lt;=1.92,"NO ATÍPICO")</f>
        <v>NO ATÍPICO</v>
      </c>
      <c r="L1312">
        <f t="shared" si="96"/>
        <v>526083.62</v>
      </c>
      <c r="M1312" t="str">
        <f t="shared" si="96"/>
        <v>ASALARIADO</v>
      </c>
      <c r="N1312">
        <f t="shared" si="97"/>
        <v>24</v>
      </c>
      <c r="O1312" s="19" t="str">
        <f t="shared" si="98"/>
        <v>300k–600k</v>
      </c>
      <c r="P1312" s="19" t="str">
        <f t="shared" si="99"/>
        <v>18-25</v>
      </c>
    </row>
    <row r="1313" spans="1:16" x14ac:dyDescent="0.25">
      <c r="A1313">
        <v>1312</v>
      </c>
      <c r="B1313" t="s">
        <v>15</v>
      </c>
      <c r="C1313">
        <v>910693.65</v>
      </c>
      <c r="D1313" t="s">
        <v>10</v>
      </c>
      <c r="E1313" t="s">
        <v>11</v>
      </c>
      <c r="F1313" t="s">
        <v>12</v>
      </c>
      <c r="G1313" t="s">
        <v>13</v>
      </c>
      <c r="H1313" t="s">
        <v>13</v>
      </c>
      <c r="I1313">
        <v>40</v>
      </c>
      <c r="J1313" t="str" cm="1">
        <f t="array" ref="J1313">_xlfn.IFS(ISBLANK(C1313),"FALTANTE",ABS((C1313-$W$5)/$X$5)&gt;1.96,"ATÍPICO",ABS((C1313-$W$5)/$X$5)&lt;=1.96,"NO ATÍPICO")</f>
        <v>NO ATÍPICO</v>
      </c>
      <c r="K1313" t="str" cm="1">
        <f t="array" ref="K1313">_xlfn.IFS(ISBLANK(I1313),"FALTANTE",ABS((I1313-$W$8)/$X$8)&gt;1.92,"ATÍPICO",ABS((I1313-$W$8)/$X$8)&lt;=1.92,"NO ATÍPICO")</f>
        <v>NO ATÍPICO</v>
      </c>
      <c r="L1313">
        <f t="shared" si="96"/>
        <v>910693.65</v>
      </c>
      <c r="M1313" t="str">
        <f t="shared" si="96"/>
        <v>ASALARIADO</v>
      </c>
      <c r="N1313">
        <f t="shared" si="97"/>
        <v>40</v>
      </c>
      <c r="O1313" s="19" t="str">
        <f t="shared" si="98"/>
        <v>900k–1200k</v>
      </c>
      <c r="P1313" s="19" t="str">
        <f t="shared" si="99"/>
        <v>36-45</v>
      </c>
    </row>
    <row r="1314" spans="1:16" x14ac:dyDescent="0.25">
      <c r="A1314">
        <v>1313</v>
      </c>
      <c r="B1314" t="s">
        <v>9</v>
      </c>
      <c r="C1314">
        <v>493046.78</v>
      </c>
      <c r="D1314" t="s">
        <v>10</v>
      </c>
      <c r="E1314" t="s">
        <v>16</v>
      </c>
      <c r="F1314" t="s">
        <v>12</v>
      </c>
      <c r="G1314" t="s">
        <v>13</v>
      </c>
      <c r="H1314" t="s">
        <v>13</v>
      </c>
      <c r="I1314">
        <v>22</v>
      </c>
      <c r="J1314" t="str" cm="1">
        <f t="array" ref="J1314">_xlfn.IFS(ISBLANK(C1314),"FALTANTE",ABS((C1314-$W$5)/$X$5)&gt;1.96,"ATÍPICO",ABS((C1314-$W$5)/$X$5)&lt;=1.96,"NO ATÍPICO")</f>
        <v>NO ATÍPICO</v>
      </c>
      <c r="K1314" t="str" cm="1">
        <f t="array" ref="K1314">_xlfn.IFS(ISBLANK(I1314),"FALTANTE",ABS((I1314-$W$8)/$X$8)&gt;1.92,"ATÍPICO",ABS((I1314-$W$8)/$X$8)&lt;=1.92,"NO ATÍPICO")</f>
        <v>NO ATÍPICO</v>
      </c>
      <c r="L1314">
        <f t="shared" si="96"/>
        <v>493046.78</v>
      </c>
      <c r="M1314" t="str">
        <f t="shared" si="96"/>
        <v>ASALARIADO</v>
      </c>
      <c r="N1314">
        <f t="shared" si="97"/>
        <v>22</v>
      </c>
      <c r="O1314" s="19" t="str">
        <f t="shared" si="98"/>
        <v>300k–600k</v>
      </c>
      <c r="P1314" s="19" t="str">
        <f t="shared" si="99"/>
        <v>18-25</v>
      </c>
    </row>
    <row r="1315" spans="1:16" x14ac:dyDescent="0.25">
      <c r="A1315">
        <v>1314</v>
      </c>
      <c r="B1315" t="s">
        <v>9</v>
      </c>
      <c r="C1315">
        <v>330798</v>
      </c>
      <c r="D1315" t="s">
        <v>18</v>
      </c>
      <c r="E1315" t="s">
        <v>16</v>
      </c>
      <c r="F1315" t="s">
        <v>12</v>
      </c>
      <c r="G1315" t="s">
        <v>13</v>
      </c>
      <c r="H1315" t="s">
        <v>13</v>
      </c>
      <c r="I1315">
        <v>33</v>
      </c>
      <c r="J1315" t="str" cm="1">
        <f t="array" ref="J1315">_xlfn.IFS(ISBLANK(C1315),"FALTANTE",ABS((C1315-$W$5)/$X$5)&gt;1.96,"ATÍPICO",ABS((C1315-$W$5)/$X$5)&lt;=1.96,"NO ATÍPICO")</f>
        <v>NO ATÍPICO</v>
      </c>
      <c r="K1315" t="str" cm="1">
        <f t="array" ref="K1315">_xlfn.IFS(ISBLANK(I1315),"FALTANTE",ABS((I1315-$W$8)/$X$8)&gt;1.92,"ATÍPICO",ABS((I1315-$W$8)/$X$8)&lt;=1.92,"NO ATÍPICO")</f>
        <v>NO ATÍPICO</v>
      </c>
      <c r="L1315">
        <f t="shared" si="96"/>
        <v>330798</v>
      </c>
      <c r="M1315" t="str">
        <f t="shared" si="96"/>
        <v>TRABAJADOR INDEPENDIENTE</v>
      </c>
      <c r="N1315">
        <f t="shared" si="97"/>
        <v>33</v>
      </c>
      <c r="O1315" s="19" t="str">
        <f t="shared" si="98"/>
        <v>300k–600k</v>
      </c>
      <c r="P1315" s="19" t="str">
        <f t="shared" si="99"/>
        <v>26-35</v>
      </c>
    </row>
    <row r="1316" spans="1:16" x14ac:dyDescent="0.25">
      <c r="A1316">
        <v>1315</v>
      </c>
      <c r="B1316" t="s">
        <v>9</v>
      </c>
      <c r="C1316">
        <v>2520949.98</v>
      </c>
      <c r="D1316" t="s">
        <v>14</v>
      </c>
      <c r="E1316" t="s">
        <v>11</v>
      </c>
      <c r="F1316" t="s">
        <v>12</v>
      </c>
      <c r="G1316" t="s">
        <v>13</v>
      </c>
      <c r="H1316" t="s">
        <v>13</v>
      </c>
      <c r="I1316">
        <v>67</v>
      </c>
      <c r="J1316" t="str" cm="1">
        <f t="array" ref="J1316">_xlfn.IFS(ISBLANK(C1316),"FALTANTE",ABS((C1316-$W$5)/$X$5)&gt;1.96,"ATÍPICO",ABS((C1316-$W$5)/$X$5)&lt;=1.96,"NO ATÍPICO")</f>
        <v>ATÍPICO</v>
      </c>
      <c r="K1316" t="str" cm="1">
        <f t="array" ref="K1316">_xlfn.IFS(ISBLANK(I1316),"FALTANTE",ABS((I1316-$W$8)/$X$8)&gt;1.92,"ATÍPICO",ABS((I1316-$W$8)/$X$8)&lt;=1.92,"NO ATÍPICO")</f>
        <v>NO ATÍPICO</v>
      </c>
      <c r="L1316">
        <f t="shared" si="96"/>
        <v>2520949.98</v>
      </c>
      <c r="M1316" t="str">
        <f t="shared" si="96"/>
        <v>PENSIONADOS EN SU PROPIO SISTEMA</v>
      </c>
      <c r="N1316">
        <f t="shared" si="97"/>
        <v>67</v>
      </c>
      <c r="O1316" s="19" t="str">
        <f t="shared" si="98"/>
        <v>1200k+</v>
      </c>
      <c r="P1316" s="19" t="str">
        <f t="shared" si="99"/>
        <v>56+</v>
      </c>
    </row>
    <row r="1317" spans="1:16" x14ac:dyDescent="0.25">
      <c r="A1317">
        <v>1316</v>
      </c>
      <c r="B1317" t="s">
        <v>15</v>
      </c>
      <c r="C1317">
        <v>297045</v>
      </c>
      <c r="D1317" t="s">
        <v>17</v>
      </c>
      <c r="E1317" t="s">
        <v>16</v>
      </c>
      <c r="F1317" t="s">
        <v>12</v>
      </c>
      <c r="G1317" t="s">
        <v>13</v>
      </c>
      <c r="H1317" t="s">
        <v>13</v>
      </c>
      <c r="I1317">
        <v>28</v>
      </c>
      <c r="J1317" t="str" cm="1">
        <f t="array" ref="J1317">_xlfn.IFS(ISBLANK(C1317),"FALTANTE",ABS((C1317-$W$5)/$X$5)&gt;1.96,"ATÍPICO",ABS((C1317-$W$5)/$X$5)&lt;=1.96,"NO ATÍPICO")</f>
        <v>NO ATÍPICO</v>
      </c>
      <c r="K1317" t="str" cm="1">
        <f t="array" ref="K1317">_xlfn.IFS(ISBLANK(I1317),"FALTANTE",ABS((I1317-$W$8)/$X$8)&gt;1.92,"ATÍPICO",ABS((I1317-$W$8)/$X$8)&lt;=1.92,"NO ATÍPICO")</f>
        <v>NO ATÍPICO</v>
      </c>
      <c r="L1317">
        <f t="shared" si="96"/>
        <v>297045</v>
      </c>
      <c r="M1317" t="str">
        <f t="shared" si="96"/>
        <v>ASEGURADO VOLUNTARIO</v>
      </c>
      <c r="N1317">
        <f t="shared" si="97"/>
        <v>28</v>
      </c>
      <c r="O1317" s="19" t="str">
        <f t="shared" si="98"/>
        <v>0–300k</v>
      </c>
      <c r="P1317" s="19" t="str">
        <f t="shared" si="99"/>
        <v>26-35</v>
      </c>
    </row>
    <row r="1318" spans="1:16" x14ac:dyDescent="0.25">
      <c r="A1318">
        <v>1317</v>
      </c>
      <c r="B1318" t="s">
        <v>9</v>
      </c>
      <c r="C1318">
        <v>306723.3</v>
      </c>
      <c r="D1318" t="s">
        <v>10</v>
      </c>
      <c r="E1318" t="s">
        <v>16</v>
      </c>
      <c r="F1318" t="s">
        <v>12</v>
      </c>
      <c r="G1318" t="s">
        <v>12</v>
      </c>
      <c r="H1318" t="s">
        <v>13</v>
      </c>
      <c r="I1318">
        <v>41</v>
      </c>
      <c r="J1318" t="str" cm="1">
        <f t="array" ref="J1318">_xlfn.IFS(ISBLANK(C1318),"FALTANTE",ABS((C1318-$W$5)/$X$5)&gt;1.96,"ATÍPICO",ABS((C1318-$W$5)/$X$5)&lt;=1.96,"NO ATÍPICO")</f>
        <v>NO ATÍPICO</v>
      </c>
      <c r="K1318" t="str" cm="1">
        <f t="array" ref="K1318">_xlfn.IFS(ISBLANK(I1318),"FALTANTE",ABS((I1318-$W$8)/$X$8)&gt;1.92,"ATÍPICO",ABS((I1318-$W$8)/$X$8)&lt;=1.92,"NO ATÍPICO")</f>
        <v>NO ATÍPICO</v>
      </c>
      <c r="L1318">
        <f t="shared" si="96"/>
        <v>306723.3</v>
      </c>
      <c r="M1318" t="str">
        <f t="shared" si="96"/>
        <v>ASALARIADO</v>
      </c>
      <c r="N1318">
        <f t="shared" si="97"/>
        <v>41</v>
      </c>
      <c r="O1318" s="19" t="str">
        <f t="shared" si="98"/>
        <v>300k–600k</v>
      </c>
      <c r="P1318" s="19" t="str">
        <f t="shared" si="99"/>
        <v>36-45</v>
      </c>
    </row>
    <row r="1319" spans="1:16" x14ac:dyDescent="0.25">
      <c r="A1319">
        <v>1318</v>
      </c>
      <c r="B1319" t="s">
        <v>15</v>
      </c>
      <c r="C1319">
        <v>300000</v>
      </c>
      <c r="D1319" t="s">
        <v>10</v>
      </c>
      <c r="E1319" t="s">
        <v>16</v>
      </c>
      <c r="F1319" t="s">
        <v>12</v>
      </c>
      <c r="G1319" t="s">
        <v>12</v>
      </c>
      <c r="H1319" t="s">
        <v>13</v>
      </c>
      <c r="I1319">
        <v>37</v>
      </c>
      <c r="J1319" t="str" cm="1">
        <f t="array" ref="J1319">_xlfn.IFS(ISBLANK(C1319),"FALTANTE",ABS((C1319-$W$5)/$X$5)&gt;1.96,"ATÍPICO",ABS((C1319-$W$5)/$X$5)&lt;=1.96,"NO ATÍPICO")</f>
        <v>NO ATÍPICO</v>
      </c>
      <c r="K1319" t="str" cm="1">
        <f t="array" ref="K1319">_xlfn.IFS(ISBLANK(I1319),"FALTANTE",ABS((I1319-$W$8)/$X$8)&gt;1.92,"ATÍPICO",ABS((I1319-$W$8)/$X$8)&lt;=1.92,"NO ATÍPICO")</f>
        <v>NO ATÍPICO</v>
      </c>
      <c r="L1319">
        <f t="shared" si="96"/>
        <v>300000</v>
      </c>
      <c r="M1319" t="str">
        <f t="shared" si="96"/>
        <v>ASALARIADO</v>
      </c>
      <c r="N1319">
        <f t="shared" si="97"/>
        <v>37</v>
      </c>
      <c r="O1319" s="19" t="str">
        <f t="shared" si="98"/>
        <v>0–300k</v>
      </c>
      <c r="P1319" s="19" t="str">
        <f t="shared" si="99"/>
        <v>36-45</v>
      </c>
    </row>
    <row r="1320" spans="1:16" x14ac:dyDescent="0.25">
      <c r="A1320">
        <v>1319</v>
      </c>
      <c r="B1320" t="s">
        <v>9</v>
      </c>
      <c r="C1320">
        <v>666854.69999999995</v>
      </c>
      <c r="D1320" t="s">
        <v>10</v>
      </c>
      <c r="E1320" t="s">
        <v>16</v>
      </c>
      <c r="F1320" t="s">
        <v>12</v>
      </c>
      <c r="G1320" t="s">
        <v>13</v>
      </c>
      <c r="H1320" t="s">
        <v>13</v>
      </c>
      <c r="I1320">
        <v>23</v>
      </c>
      <c r="J1320" t="str" cm="1">
        <f t="array" ref="J1320">_xlfn.IFS(ISBLANK(C1320),"FALTANTE",ABS((C1320-$W$5)/$X$5)&gt;1.96,"ATÍPICO",ABS((C1320-$W$5)/$X$5)&lt;=1.96,"NO ATÍPICO")</f>
        <v>NO ATÍPICO</v>
      </c>
      <c r="K1320" t="str" cm="1">
        <f t="array" ref="K1320">_xlfn.IFS(ISBLANK(I1320),"FALTANTE",ABS((I1320-$W$8)/$X$8)&gt;1.92,"ATÍPICO",ABS((I1320-$W$8)/$X$8)&lt;=1.92,"NO ATÍPICO")</f>
        <v>NO ATÍPICO</v>
      </c>
      <c r="L1320">
        <f t="shared" si="96"/>
        <v>666854.69999999995</v>
      </c>
      <c r="M1320" t="str">
        <f t="shared" si="96"/>
        <v>ASALARIADO</v>
      </c>
      <c r="N1320">
        <f t="shared" si="97"/>
        <v>23</v>
      </c>
      <c r="O1320" s="19" t="str">
        <f t="shared" si="98"/>
        <v>600k–900k</v>
      </c>
      <c r="P1320" s="19" t="str">
        <f t="shared" si="99"/>
        <v>18-25</v>
      </c>
    </row>
    <row r="1321" spans="1:16" x14ac:dyDescent="0.25">
      <c r="A1321">
        <v>1320</v>
      </c>
      <c r="B1321" t="s">
        <v>15</v>
      </c>
      <c r="C1321">
        <v>397927</v>
      </c>
      <c r="D1321" t="s">
        <v>10</v>
      </c>
      <c r="E1321" t="s">
        <v>16</v>
      </c>
      <c r="F1321" t="s">
        <v>12</v>
      </c>
      <c r="G1321" t="s">
        <v>13</v>
      </c>
      <c r="H1321" t="s">
        <v>13</v>
      </c>
      <c r="I1321">
        <v>27</v>
      </c>
      <c r="J1321" t="str" cm="1">
        <f t="array" ref="J1321">_xlfn.IFS(ISBLANK(C1321),"FALTANTE",ABS((C1321-$W$5)/$X$5)&gt;1.96,"ATÍPICO",ABS((C1321-$W$5)/$X$5)&lt;=1.96,"NO ATÍPICO")</f>
        <v>NO ATÍPICO</v>
      </c>
      <c r="K1321" t="str" cm="1">
        <f t="array" ref="K1321">_xlfn.IFS(ISBLANK(I1321),"FALTANTE",ABS((I1321-$W$8)/$X$8)&gt;1.92,"ATÍPICO",ABS((I1321-$W$8)/$X$8)&lt;=1.92,"NO ATÍPICO")</f>
        <v>NO ATÍPICO</v>
      </c>
      <c r="L1321">
        <f t="shared" si="96"/>
        <v>397927</v>
      </c>
      <c r="M1321" t="str">
        <f t="shared" si="96"/>
        <v>ASALARIADO</v>
      </c>
      <c r="N1321">
        <f t="shared" si="97"/>
        <v>27</v>
      </c>
      <c r="O1321" s="19" t="str">
        <f t="shared" si="98"/>
        <v>300k–600k</v>
      </c>
      <c r="P1321" s="19" t="str">
        <f t="shared" si="99"/>
        <v>26-35</v>
      </c>
    </row>
    <row r="1322" spans="1:16" x14ac:dyDescent="0.25">
      <c r="A1322">
        <v>1321</v>
      </c>
      <c r="B1322" t="s">
        <v>9</v>
      </c>
      <c r="C1322">
        <v>1214487</v>
      </c>
      <c r="D1322" t="s">
        <v>10</v>
      </c>
      <c r="E1322" t="s">
        <v>11</v>
      </c>
      <c r="F1322" t="s">
        <v>12</v>
      </c>
      <c r="G1322" t="s">
        <v>13</v>
      </c>
      <c r="H1322" t="s">
        <v>13</v>
      </c>
      <c r="I1322">
        <v>47</v>
      </c>
      <c r="J1322" t="str" cm="1">
        <f t="array" ref="J1322">_xlfn.IFS(ISBLANK(C1322),"FALTANTE",ABS((C1322-$W$5)/$X$5)&gt;1.96,"ATÍPICO",ABS((C1322-$W$5)/$X$5)&lt;=1.96,"NO ATÍPICO")</f>
        <v>NO ATÍPICO</v>
      </c>
      <c r="K1322" t="str" cm="1">
        <f t="array" ref="K1322">_xlfn.IFS(ISBLANK(I1322),"FALTANTE",ABS((I1322-$W$8)/$X$8)&gt;1.92,"ATÍPICO",ABS((I1322-$W$8)/$X$8)&lt;=1.92,"NO ATÍPICO")</f>
        <v>NO ATÍPICO</v>
      </c>
      <c r="L1322">
        <f t="shared" si="96"/>
        <v>1214487</v>
      </c>
      <c r="M1322" t="str">
        <f t="shared" si="96"/>
        <v>ASALARIADO</v>
      </c>
      <c r="N1322">
        <f t="shared" si="97"/>
        <v>47</v>
      </c>
      <c r="O1322" s="19" t="str">
        <f t="shared" si="98"/>
        <v>1200k+</v>
      </c>
      <c r="P1322" s="19" t="str">
        <f t="shared" si="99"/>
        <v>46-55</v>
      </c>
    </row>
    <row r="1323" spans="1:16" x14ac:dyDescent="0.25">
      <c r="A1323">
        <v>1322</v>
      </c>
      <c r="B1323" t="s">
        <v>15</v>
      </c>
      <c r="C1323">
        <v>778239</v>
      </c>
      <c r="D1323" t="s">
        <v>10</v>
      </c>
      <c r="E1323" t="s">
        <v>11</v>
      </c>
      <c r="F1323" t="s">
        <v>12</v>
      </c>
      <c r="G1323" t="s">
        <v>13</v>
      </c>
      <c r="H1323" t="s">
        <v>13</v>
      </c>
      <c r="I1323">
        <v>33</v>
      </c>
      <c r="J1323" t="str" cm="1">
        <f t="array" ref="J1323">_xlfn.IFS(ISBLANK(C1323),"FALTANTE",ABS((C1323-$W$5)/$X$5)&gt;1.96,"ATÍPICO",ABS((C1323-$W$5)/$X$5)&lt;=1.96,"NO ATÍPICO")</f>
        <v>NO ATÍPICO</v>
      </c>
      <c r="K1323" t="str" cm="1">
        <f t="array" ref="K1323">_xlfn.IFS(ISBLANK(I1323),"FALTANTE",ABS((I1323-$W$8)/$X$8)&gt;1.92,"ATÍPICO",ABS((I1323-$W$8)/$X$8)&lt;=1.92,"NO ATÍPICO")</f>
        <v>NO ATÍPICO</v>
      </c>
      <c r="L1323">
        <f t="shared" si="96"/>
        <v>778239</v>
      </c>
      <c r="M1323" t="str">
        <f t="shared" si="96"/>
        <v>ASALARIADO</v>
      </c>
      <c r="N1323">
        <f t="shared" si="97"/>
        <v>33</v>
      </c>
      <c r="O1323" s="19" t="str">
        <f t="shared" si="98"/>
        <v>600k–900k</v>
      </c>
      <c r="P1323" s="19" t="str">
        <f t="shared" si="99"/>
        <v>26-35</v>
      </c>
    </row>
    <row r="1324" spans="1:16" x14ac:dyDescent="0.25">
      <c r="A1324">
        <v>1323</v>
      </c>
      <c r="B1324" t="s">
        <v>9</v>
      </c>
      <c r="C1324">
        <v>870468.31</v>
      </c>
      <c r="D1324" t="s">
        <v>10</v>
      </c>
      <c r="E1324" t="s">
        <v>16</v>
      </c>
      <c r="F1324" t="s">
        <v>12</v>
      </c>
      <c r="G1324" t="s">
        <v>13</v>
      </c>
      <c r="H1324" t="s">
        <v>13</v>
      </c>
      <c r="I1324">
        <v>45</v>
      </c>
      <c r="J1324" t="str" cm="1">
        <f t="array" ref="J1324">_xlfn.IFS(ISBLANK(C1324),"FALTANTE",ABS((C1324-$W$5)/$X$5)&gt;1.96,"ATÍPICO",ABS((C1324-$W$5)/$X$5)&lt;=1.96,"NO ATÍPICO")</f>
        <v>NO ATÍPICO</v>
      </c>
      <c r="K1324" t="str" cm="1">
        <f t="array" ref="K1324">_xlfn.IFS(ISBLANK(I1324),"FALTANTE",ABS((I1324-$W$8)/$X$8)&gt;1.92,"ATÍPICO",ABS((I1324-$W$8)/$X$8)&lt;=1.92,"NO ATÍPICO")</f>
        <v>NO ATÍPICO</v>
      </c>
      <c r="L1324">
        <f t="shared" si="96"/>
        <v>870468.31</v>
      </c>
      <c r="M1324" t="str">
        <f t="shared" si="96"/>
        <v>ASALARIADO</v>
      </c>
      <c r="N1324">
        <f t="shared" si="97"/>
        <v>45</v>
      </c>
      <c r="O1324" s="19" t="str">
        <f t="shared" si="98"/>
        <v>600k–900k</v>
      </c>
      <c r="P1324" s="19" t="str">
        <f t="shared" si="99"/>
        <v>36-45</v>
      </c>
    </row>
    <row r="1325" spans="1:16" x14ac:dyDescent="0.25">
      <c r="A1325">
        <v>1324</v>
      </c>
      <c r="B1325" t="s">
        <v>9</v>
      </c>
      <c r="C1325">
        <v>370000</v>
      </c>
      <c r="D1325" t="s">
        <v>10</v>
      </c>
      <c r="E1325" t="s">
        <v>16</v>
      </c>
      <c r="F1325" t="s">
        <v>12</v>
      </c>
      <c r="G1325" t="s">
        <v>13</v>
      </c>
      <c r="H1325" t="s">
        <v>12</v>
      </c>
      <c r="I1325">
        <v>41</v>
      </c>
      <c r="J1325" t="str" cm="1">
        <f t="array" ref="J1325">_xlfn.IFS(ISBLANK(C1325),"FALTANTE",ABS((C1325-$W$5)/$X$5)&gt;1.96,"ATÍPICO",ABS((C1325-$W$5)/$X$5)&lt;=1.96,"NO ATÍPICO")</f>
        <v>NO ATÍPICO</v>
      </c>
      <c r="K1325" t="str" cm="1">
        <f t="array" ref="K1325">_xlfn.IFS(ISBLANK(I1325),"FALTANTE",ABS((I1325-$W$8)/$X$8)&gt;1.92,"ATÍPICO",ABS((I1325-$W$8)/$X$8)&lt;=1.92,"NO ATÍPICO")</f>
        <v>NO ATÍPICO</v>
      </c>
      <c r="L1325">
        <f t="shared" si="96"/>
        <v>370000</v>
      </c>
      <c r="M1325" t="str">
        <f t="shared" si="96"/>
        <v>ASALARIADO</v>
      </c>
      <c r="N1325">
        <f t="shared" si="97"/>
        <v>41</v>
      </c>
      <c r="O1325" s="19" t="str">
        <f t="shared" si="98"/>
        <v>300k–600k</v>
      </c>
      <c r="P1325" s="19" t="str">
        <f t="shared" si="99"/>
        <v>36-45</v>
      </c>
    </row>
    <row r="1326" spans="1:16" x14ac:dyDescent="0.25">
      <c r="A1326">
        <v>1325</v>
      </c>
      <c r="B1326" t="s">
        <v>15</v>
      </c>
      <c r="C1326">
        <v>289546.95</v>
      </c>
      <c r="D1326" t="s">
        <v>10</v>
      </c>
      <c r="E1326" t="s">
        <v>16</v>
      </c>
      <c r="F1326" t="s">
        <v>12</v>
      </c>
      <c r="G1326" t="s">
        <v>13</v>
      </c>
      <c r="H1326" t="s">
        <v>12</v>
      </c>
      <c r="I1326">
        <v>22</v>
      </c>
      <c r="J1326" t="str" cm="1">
        <f t="array" ref="J1326">_xlfn.IFS(ISBLANK(C1326),"FALTANTE",ABS((C1326-$W$5)/$X$5)&gt;1.96,"ATÍPICO",ABS((C1326-$W$5)/$X$5)&lt;=1.96,"NO ATÍPICO")</f>
        <v>NO ATÍPICO</v>
      </c>
      <c r="K1326" t="str" cm="1">
        <f t="array" ref="K1326">_xlfn.IFS(ISBLANK(I1326),"FALTANTE",ABS((I1326-$W$8)/$X$8)&gt;1.92,"ATÍPICO",ABS((I1326-$W$8)/$X$8)&lt;=1.92,"NO ATÍPICO")</f>
        <v>NO ATÍPICO</v>
      </c>
      <c r="L1326">
        <f t="shared" si="96"/>
        <v>289546.95</v>
      </c>
      <c r="M1326" t="str">
        <f t="shared" si="96"/>
        <v>ASALARIADO</v>
      </c>
      <c r="N1326">
        <f t="shared" si="97"/>
        <v>22</v>
      </c>
      <c r="O1326" s="19" t="str">
        <f t="shared" si="98"/>
        <v>0–300k</v>
      </c>
      <c r="P1326" s="19" t="str">
        <f t="shared" si="99"/>
        <v>18-25</v>
      </c>
    </row>
    <row r="1327" spans="1:16" x14ac:dyDescent="0.25">
      <c r="A1327">
        <v>1326</v>
      </c>
      <c r="B1327" t="s">
        <v>9</v>
      </c>
      <c r="C1327">
        <v>278030</v>
      </c>
      <c r="D1327" t="s">
        <v>19</v>
      </c>
      <c r="E1327" t="s">
        <v>16</v>
      </c>
      <c r="F1327" t="s">
        <v>12</v>
      </c>
      <c r="G1327" t="s">
        <v>13</v>
      </c>
      <c r="H1327" t="s">
        <v>13</v>
      </c>
      <c r="I1327">
        <v>36</v>
      </c>
      <c r="J1327" t="str" cm="1">
        <f t="array" ref="J1327">_xlfn.IFS(ISBLANK(C1327),"FALTANTE",ABS((C1327-$W$5)/$X$5)&gt;1.96,"ATÍPICO",ABS((C1327-$W$5)/$X$5)&lt;=1.96,"NO ATÍPICO")</f>
        <v>NO ATÍPICO</v>
      </c>
      <c r="K1327" t="str" cm="1">
        <f t="array" ref="K1327">_xlfn.IFS(ISBLANK(I1327),"FALTANTE",ABS((I1327-$W$8)/$X$8)&gt;1.92,"ATÍPICO",ABS((I1327-$W$8)/$X$8)&lt;=1.92,"NO ATÍPICO")</f>
        <v>NO ATÍPICO</v>
      </c>
      <c r="L1327">
        <f t="shared" si="96"/>
        <v>278030</v>
      </c>
      <c r="M1327" t="str">
        <f t="shared" si="96"/>
        <v>CONVENIOS ESPECIALES DE TRABAJADORES INDEPENDIENTES</v>
      </c>
      <c r="N1327">
        <f t="shared" si="97"/>
        <v>36</v>
      </c>
      <c r="O1327" s="19" t="str">
        <f t="shared" si="98"/>
        <v>0–300k</v>
      </c>
      <c r="P1327" s="19" t="str">
        <f t="shared" si="99"/>
        <v>36-45</v>
      </c>
    </row>
    <row r="1328" spans="1:16" x14ac:dyDescent="0.25">
      <c r="A1328">
        <v>1327</v>
      </c>
      <c r="B1328" t="s">
        <v>15</v>
      </c>
      <c r="C1328">
        <v>190000</v>
      </c>
      <c r="D1328" t="s">
        <v>10</v>
      </c>
      <c r="E1328" t="s">
        <v>16</v>
      </c>
      <c r="F1328" t="s">
        <v>12</v>
      </c>
      <c r="G1328" t="s">
        <v>12</v>
      </c>
      <c r="H1328" t="s">
        <v>13</v>
      </c>
      <c r="I1328">
        <v>45</v>
      </c>
      <c r="J1328" t="str" cm="1">
        <f t="array" ref="J1328">_xlfn.IFS(ISBLANK(C1328),"FALTANTE",ABS((C1328-$W$5)/$X$5)&gt;1.96,"ATÍPICO",ABS((C1328-$W$5)/$X$5)&lt;=1.96,"NO ATÍPICO")</f>
        <v>NO ATÍPICO</v>
      </c>
      <c r="K1328" t="str" cm="1">
        <f t="array" ref="K1328">_xlfn.IFS(ISBLANK(I1328),"FALTANTE",ABS((I1328-$W$8)/$X$8)&gt;1.92,"ATÍPICO",ABS((I1328-$W$8)/$X$8)&lt;=1.92,"NO ATÍPICO")</f>
        <v>NO ATÍPICO</v>
      </c>
      <c r="L1328">
        <f t="shared" si="96"/>
        <v>190000</v>
      </c>
      <c r="M1328" t="str">
        <f t="shared" si="96"/>
        <v>ASALARIADO</v>
      </c>
      <c r="N1328">
        <f t="shared" si="97"/>
        <v>45</v>
      </c>
      <c r="O1328" s="19" t="str">
        <f t="shared" si="98"/>
        <v>0–300k</v>
      </c>
      <c r="P1328" s="19" t="str">
        <f t="shared" si="99"/>
        <v>36-45</v>
      </c>
    </row>
    <row r="1329" spans="1:16" x14ac:dyDescent="0.25">
      <c r="A1329">
        <v>1328</v>
      </c>
      <c r="B1329" t="s">
        <v>9</v>
      </c>
      <c r="C1329">
        <v>385702</v>
      </c>
      <c r="D1329" t="s">
        <v>18</v>
      </c>
      <c r="E1329" t="s">
        <v>16</v>
      </c>
      <c r="F1329" t="s">
        <v>12</v>
      </c>
      <c r="G1329" t="s">
        <v>13</v>
      </c>
      <c r="H1329" t="s">
        <v>12</v>
      </c>
      <c r="I1329">
        <v>60</v>
      </c>
      <c r="J1329" t="str" cm="1">
        <f t="array" ref="J1329">_xlfn.IFS(ISBLANK(C1329),"FALTANTE",ABS((C1329-$W$5)/$X$5)&gt;1.96,"ATÍPICO",ABS((C1329-$W$5)/$X$5)&lt;=1.96,"NO ATÍPICO")</f>
        <v>NO ATÍPICO</v>
      </c>
      <c r="K1329" t="str" cm="1">
        <f t="array" ref="K1329">_xlfn.IFS(ISBLANK(I1329),"FALTANTE",ABS((I1329-$W$8)/$X$8)&gt;1.92,"ATÍPICO",ABS((I1329-$W$8)/$X$8)&lt;=1.92,"NO ATÍPICO")</f>
        <v>NO ATÍPICO</v>
      </c>
      <c r="L1329">
        <f t="shared" si="96"/>
        <v>385702</v>
      </c>
      <c r="M1329" t="str">
        <f t="shared" si="96"/>
        <v>TRABAJADOR INDEPENDIENTE</v>
      </c>
      <c r="N1329">
        <f t="shared" si="97"/>
        <v>60</v>
      </c>
      <c r="O1329" s="19" t="str">
        <f t="shared" si="98"/>
        <v>300k–600k</v>
      </c>
      <c r="P1329" s="19" t="str">
        <f t="shared" si="99"/>
        <v>56+</v>
      </c>
    </row>
    <row r="1330" spans="1:16" x14ac:dyDescent="0.25">
      <c r="A1330">
        <v>1329</v>
      </c>
      <c r="B1330" t="s">
        <v>9</v>
      </c>
      <c r="C1330">
        <v>278030</v>
      </c>
      <c r="D1330" t="s">
        <v>19</v>
      </c>
      <c r="E1330" t="s">
        <v>16</v>
      </c>
      <c r="F1330" t="s">
        <v>12</v>
      </c>
      <c r="G1330" t="s">
        <v>12</v>
      </c>
      <c r="H1330" t="s">
        <v>13</v>
      </c>
      <c r="I1330">
        <v>37</v>
      </c>
      <c r="J1330" t="str" cm="1">
        <f t="array" ref="J1330">_xlfn.IFS(ISBLANK(C1330),"FALTANTE",ABS((C1330-$W$5)/$X$5)&gt;1.96,"ATÍPICO",ABS((C1330-$W$5)/$X$5)&lt;=1.96,"NO ATÍPICO")</f>
        <v>NO ATÍPICO</v>
      </c>
      <c r="K1330" t="str" cm="1">
        <f t="array" ref="K1330">_xlfn.IFS(ISBLANK(I1330),"FALTANTE",ABS((I1330-$W$8)/$X$8)&gt;1.92,"ATÍPICO",ABS((I1330-$W$8)/$X$8)&lt;=1.92,"NO ATÍPICO")</f>
        <v>NO ATÍPICO</v>
      </c>
      <c r="L1330">
        <f t="shared" si="96"/>
        <v>278030</v>
      </c>
      <c r="M1330" t="str">
        <f t="shared" si="96"/>
        <v>CONVENIOS ESPECIALES DE TRABAJADORES INDEPENDIENTES</v>
      </c>
      <c r="N1330">
        <f t="shared" si="97"/>
        <v>37</v>
      </c>
      <c r="O1330" s="19" t="str">
        <f t="shared" si="98"/>
        <v>0–300k</v>
      </c>
      <c r="P1330" s="19" t="str">
        <f t="shared" si="99"/>
        <v>36-45</v>
      </c>
    </row>
    <row r="1331" spans="1:16" x14ac:dyDescent="0.25">
      <c r="A1331">
        <v>1330</v>
      </c>
      <c r="B1331" t="s">
        <v>9</v>
      </c>
      <c r="C1331">
        <v>324390</v>
      </c>
      <c r="D1331" t="s">
        <v>10</v>
      </c>
      <c r="E1331" t="s">
        <v>16</v>
      </c>
      <c r="F1331" t="s">
        <v>12</v>
      </c>
      <c r="G1331" t="s">
        <v>13</v>
      </c>
      <c r="H1331" t="s">
        <v>13</v>
      </c>
      <c r="I1331">
        <v>24</v>
      </c>
      <c r="J1331" t="str" cm="1">
        <f t="array" ref="J1331">_xlfn.IFS(ISBLANK(C1331),"FALTANTE",ABS((C1331-$W$5)/$X$5)&gt;1.96,"ATÍPICO",ABS((C1331-$W$5)/$X$5)&lt;=1.96,"NO ATÍPICO")</f>
        <v>NO ATÍPICO</v>
      </c>
      <c r="K1331" t="str" cm="1">
        <f t="array" ref="K1331">_xlfn.IFS(ISBLANK(I1331),"FALTANTE",ABS((I1331-$W$8)/$X$8)&gt;1.92,"ATÍPICO",ABS((I1331-$W$8)/$X$8)&lt;=1.92,"NO ATÍPICO")</f>
        <v>NO ATÍPICO</v>
      </c>
      <c r="L1331">
        <f t="shared" si="96"/>
        <v>324390</v>
      </c>
      <c r="M1331" t="str">
        <f t="shared" si="96"/>
        <v>ASALARIADO</v>
      </c>
      <c r="N1331">
        <f t="shared" si="97"/>
        <v>24</v>
      </c>
      <c r="O1331" s="19" t="str">
        <f t="shared" si="98"/>
        <v>300k–600k</v>
      </c>
      <c r="P1331" s="19" t="str">
        <f t="shared" si="99"/>
        <v>18-25</v>
      </c>
    </row>
    <row r="1332" spans="1:16" x14ac:dyDescent="0.25">
      <c r="A1332">
        <v>1331</v>
      </c>
      <c r="B1332" t="s">
        <v>15</v>
      </c>
      <c r="C1332">
        <v>2187872</v>
      </c>
      <c r="D1332" t="s">
        <v>14</v>
      </c>
      <c r="E1332" t="s">
        <v>11</v>
      </c>
      <c r="F1332" t="s">
        <v>12</v>
      </c>
      <c r="G1332" t="s">
        <v>13</v>
      </c>
      <c r="H1332" t="s">
        <v>13</v>
      </c>
      <c r="I1332">
        <v>68</v>
      </c>
      <c r="J1332" t="str" cm="1">
        <f t="array" ref="J1332">_xlfn.IFS(ISBLANK(C1332),"FALTANTE",ABS((C1332-$W$5)/$X$5)&gt;1.96,"ATÍPICO",ABS((C1332-$W$5)/$X$5)&lt;=1.96,"NO ATÍPICO")</f>
        <v>NO ATÍPICO</v>
      </c>
      <c r="K1332" t="str" cm="1">
        <f t="array" ref="K1332">_xlfn.IFS(ISBLANK(I1332),"FALTANTE",ABS((I1332-$W$8)/$X$8)&gt;1.92,"ATÍPICO",ABS((I1332-$W$8)/$X$8)&lt;=1.92,"NO ATÍPICO")</f>
        <v>NO ATÍPICO</v>
      </c>
      <c r="L1332">
        <f t="shared" si="96"/>
        <v>2187872</v>
      </c>
      <c r="M1332" t="str">
        <f t="shared" si="96"/>
        <v>PENSIONADOS EN SU PROPIO SISTEMA</v>
      </c>
      <c r="N1332">
        <f t="shared" si="97"/>
        <v>68</v>
      </c>
      <c r="O1332" s="19" t="str">
        <f t="shared" si="98"/>
        <v>1200k+</v>
      </c>
      <c r="P1332" s="19" t="str">
        <f t="shared" si="99"/>
        <v>56+</v>
      </c>
    </row>
    <row r="1333" spans="1:16" x14ac:dyDescent="0.25">
      <c r="A1333">
        <v>1332</v>
      </c>
      <c r="B1333" t="s">
        <v>9</v>
      </c>
      <c r="C1333">
        <v>305704</v>
      </c>
      <c r="D1333" t="s">
        <v>17</v>
      </c>
      <c r="E1333" t="s">
        <v>16</v>
      </c>
      <c r="F1333" t="s">
        <v>12</v>
      </c>
      <c r="G1333" t="s">
        <v>12</v>
      </c>
      <c r="H1333" t="s">
        <v>13</v>
      </c>
      <c r="I1333">
        <v>87</v>
      </c>
      <c r="J1333" t="str" cm="1">
        <f t="array" ref="J1333">_xlfn.IFS(ISBLANK(C1333),"FALTANTE",ABS((C1333-$W$5)/$X$5)&gt;1.96,"ATÍPICO",ABS((C1333-$W$5)/$X$5)&lt;=1.96,"NO ATÍPICO")</f>
        <v>NO ATÍPICO</v>
      </c>
      <c r="K1333" t="str" cm="1">
        <f t="array" ref="K1333">_xlfn.IFS(ISBLANK(I1333),"FALTANTE",ABS((I1333-$W$8)/$X$8)&gt;1.92,"ATÍPICO",ABS((I1333-$W$8)/$X$8)&lt;=1.92,"NO ATÍPICO")</f>
        <v>ATÍPICO</v>
      </c>
      <c r="L1333">
        <f t="shared" si="96"/>
        <v>305704</v>
      </c>
      <c r="M1333" t="str">
        <f t="shared" si="96"/>
        <v>ASEGURADO VOLUNTARIO</v>
      </c>
      <c r="N1333">
        <f t="shared" si="97"/>
        <v>87</v>
      </c>
      <c r="O1333" s="19" t="str">
        <f t="shared" si="98"/>
        <v>300k–600k</v>
      </c>
      <c r="P1333" s="19" t="str">
        <f t="shared" si="99"/>
        <v>56+</v>
      </c>
    </row>
    <row r="1334" spans="1:16" x14ac:dyDescent="0.25">
      <c r="A1334">
        <v>1333</v>
      </c>
      <c r="B1334" t="s">
        <v>15</v>
      </c>
      <c r="C1334">
        <v>389481.25</v>
      </c>
      <c r="D1334" t="s">
        <v>10</v>
      </c>
      <c r="E1334" t="s">
        <v>16</v>
      </c>
      <c r="F1334" t="s">
        <v>12</v>
      </c>
      <c r="G1334" t="s">
        <v>12</v>
      </c>
      <c r="H1334" t="s">
        <v>13</v>
      </c>
      <c r="I1334">
        <v>45</v>
      </c>
      <c r="J1334" t="str" cm="1">
        <f t="array" ref="J1334">_xlfn.IFS(ISBLANK(C1334),"FALTANTE",ABS((C1334-$W$5)/$X$5)&gt;1.96,"ATÍPICO",ABS((C1334-$W$5)/$X$5)&lt;=1.96,"NO ATÍPICO")</f>
        <v>NO ATÍPICO</v>
      </c>
      <c r="K1334" t="str" cm="1">
        <f t="array" ref="K1334">_xlfn.IFS(ISBLANK(I1334),"FALTANTE",ABS((I1334-$W$8)/$X$8)&gt;1.92,"ATÍPICO",ABS((I1334-$W$8)/$X$8)&lt;=1.92,"NO ATÍPICO")</f>
        <v>NO ATÍPICO</v>
      </c>
      <c r="L1334">
        <f t="shared" si="96"/>
        <v>389481.25</v>
      </c>
      <c r="M1334" t="str">
        <f t="shared" si="96"/>
        <v>ASALARIADO</v>
      </c>
      <c r="N1334">
        <f t="shared" si="97"/>
        <v>45</v>
      </c>
      <c r="O1334" s="19" t="str">
        <f t="shared" si="98"/>
        <v>300k–600k</v>
      </c>
      <c r="P1334" s="19" t="str">
        <f t="shared" si="99"/>
        <v>36-45</v>
      </c>
    </row>
    <row r="1335" spans="1:16" x14ac:dyDescent="0.25">
      <c r="A1335">
        <v>1334</v>
      </c>
      <c r="B1335" t="s">
        <v>9</v>
      </c>
      <c r="C1335">
        <v>450000</v>
      </c>
      <c r="D1335" t="s">
        <v>10</v>
      </c>
      <c r="E1335" t="s">
        <v>16</v>
      </c>
      <c r="F1335" t="s">
        <v>12</v>
      </c>
      <c r="G1335" t="s">
        <v>13</v>
      </c>
      <c r="H1335" t="s">
        <v>13</v>
      </c>
      <c r="I1335">
        <v>23</v>
      </c>
      <c r="J1335" t="str" cm="1">
        <f t="array" ref="J1335">_xlfn.IFS(ISBLANK(C1335),"FALTANTE",ABS((C1335-$W$5)/$X$5)&gt;1.96,"ATÍPICO",ABS((C1335-$W$5)/$X$5)&lt;=1.96,"NO ATÍPICO")</f>
        <v>NO ATÍPICO</v>
      </c>
      <c r="K1335" t="str" cm="1">
        <f t="array" ref="K1335">_xlfn.IFS(ISBLANK(I1335),"FALTANTE",ABS((I1335-$W$8)/$X$8)&gt;1.92,"ATÍPICO",ABS((I1335-$W$8)/$X$8)&lt;=1.92,"NO ATÍPICO")</f>
        <v>NO ATÍPICO</v>
      </c>
      <c r="L1335">
        <f t="shared" si="96"/>
        <v>450000</v>
      </c>
      <c r="M1335" t="str">
        <f t="shared" si="96"/>
        <v>ASALARIADO</v>
      </c>
      <c r="N1335">
        <f t="shared" si="97"/>
        <v>23</v>
      </c>
      <c r="O1335" s="19" t="str">
        <f t="shared" si="98"/>
        <v>300k–600k</v>
      </c>
      <c r="P1335" s="19" t="str">
        <f t="shared" si="99"/>
        <v>18-25</v>
      </c>
    </row>
    <row r="1336" spans="1:16" x14ac:dyDescent="0.25">
      <c r="A1336">
        <v>1335</v>
      </c>
      <c r="B1336" t="s">
        <v>15</v>
      </c>
      <c r="C1336">
        <v>48989.7</v>
      </c>
      <c r="D1336" t="s">
        <v>10</v>
      </c>
      <c r="E1336" t="s">
        <v>16</v>
      </c>
      <c r="F1336" t="s">
        <v>12</v>
      </c>
      <c r="G1336" t="s">
        <v>13</v>
      </c>
      <c r="H1336" t="s">
        <v>13</v>
      </c>
      <c r="I1336">
        <v>21</v>
      </c>
      <c r="J1336" t="str" cm="1">
        <f t="array" ref="J1336">_xlfn.IFS(ISBLANK(C1336),"FALTANTE",ABS((C1336-$W$5)/$X$5)&gt;1.96,"ATÍPICO",ABS((C1336-$W$5)/$X$5)&lt;=1.96,"NO ATÍPICO")</f>
        <v>NO ATÍPICO</v>
      </c>
      <c r="K1336" t="str" cm="1">
        <f t="array" ref="K1336">_xlfn.IFS(ISBLANK(I1336),"FALTANTE",ABS((I1336-$W$8)/$X$8)&gt;1.92,"ATÍPICO",ABS((I1336-$W$8)/$X$8)&lt;=1.92,"NO ATÍPICO")</f>
        <v>NO ATÍPICO</v>
      </c>
      <c r="L1336">
        <f t="shared" si="96"/>
        <v>48989.7</v>
      </c>
      <c r="M1336" t="str">
        <f t="shared" si="96"/>
        <v>ASALARIADO</v>
      </c>
      <c r="N1336">
        <f t="shared" si="97"/>
        <v>21</v>
      </c>
      <c r="O1336" s="19" t="str">
        <f t="shared" si="98"/>
        <v>0–300k</v>
      </c>
      <c r="P1336" s="19" t="str">
        <f t="shared" si="99"/>
        <v>18-25</v>
      </c>
    </row>
    <row r="1337" spans="1:16" x14ac:dyDescent="0.25">
      <c r="A1337">
        <v>1336</v>
      </c>
      <c r="B1337" t="s">
        <v>9</v>
      </c>
      <c r="C1337">
        <v>977750</v>
      </c>
      <c r="D1337" t="s">
        <v>10</v>
      </c>
      <c r="E1337" t="s">
        <v>16</v>
      </c>
      <c r="F1337" t="s">
        <v>12</v>
      </c>
      <c r="G1337" t="s">
        <v>13</v>
      </c>
      <c r="H1337" t="s">
        <v>13</v>
      </c>
      <c r="I1337">
        <v>31</v>
      </c>
      <c r="J1337" t="str" cm="1">
        <f t="array" ref="J1337">_xlfn.IFS(ISBLANK(C1337),"FALTANTE",ABS((C1337-$W$5)/$X$5)&gt;1.96,"ATÍPICO",ABS((C1337-$W$5)/$X$5)&lt;=1.96,"NO ATÍPICO")</f>
        <v>NO ATÍPICO</v>
      </c>
      <c r="K1337" t="str" cm="1">
        <f t="array" ref="K1337">_xlfn.IFS(ISBLANK(I1337),"FALTANTE",ABS((I1337-$W$8)/$X$8)&gt;1.92,"ATÍPICO",ABS((I1337-$W$8)/$X$8)&lt;=1.92,"NO ATÍPICO")</f>
        <v>NO ATÍPICO</v>
      </c>
      <c r="L1337">
        <f t="shared" si="96"/>
        <v>977750</v>
      </c>
      <c r="M1337" t="str">
        <f t="shared" si="96"/>
        <v>ASALARIADO</v>
      </c>
      <c r="N1337">
        <f t="shared" si="97"/>
        <v>31</v>
      </c>
      <c r="O1337" s="19" t="str">
        <f t="shared" si="98"/>
        <v>900k–1200k</v>
      </c>
      <c r="P1337" s="19" t="str">
        <f t="shared" si="99"/>
        <v>26-35</v>
      </c>
    </row>
    <row r="1338" spans="1:16" x14ac:dyDescent="0.25">
      <c r="A1338">
        <v>1337</v>
      </c>
      <c r="B1338" t="s">
        <v>9</v>
      </c>
      <c r="C1338">
        <v>305000</v>
      </c>
      <c r="D1338" t="s">
        <v>10</v>
      </c>
      <c r="E1338" t="s">
        <v>16</v>
      </c>
      <c r="F1338" t="s">
        <v>12</v>
      </c>
      <c r="G1338" t="s">
        <v>12</v>
      </c>
      <c r="H1338" t="s">
        <v>13</v>
      </c>
      <c r="I1338">
        <v>37</v>
      </c>
      <c r="J1338" t="str" cm="1">
        <f t="array" ref="J1338">_xlfn.IFS(ISBLANK(C1338),"FALTANTE",ABS((C1338-$W$5)/$X$5)&gt;1.96,"ATÍPICO",ABS((C1338-$W$5)/$X$5)&lt;=1.96,"NO ATÍPICO")</f>
        <v>NO ATÍPICO</v>
      </c>
      <c r="K1338" t="str" cm="1">
        <f t="array" ref="K1338">_xlfn.IFS(ISBLANK(I1338),"FALTANTE",ABS((I1338-$W$8)/$X$8)&gt;1.92,"ATÍPICO",ABS((I1338-$W$8)/$X$8)&lt;=1.92,"NO ATÍPICO")</f>
        <v>NO ATÍPICO</v>
      </c>
      <c r="L1338">
        <f t="shared" si="96"/>
        <v>305000</v>
      </c>
      <c r="M1338" t="str">
        <f t="shared" si="96"/>
        <v>ASALARIADO</v>
      </c>
      <c r="N1338">
        <f t="shared" si="97"/>
        <v>37</v>
      </c>
      <c r="O1338" s="19" t="str">
        <f t="shared" si="98"/>
        <v>300k–600k</v>
      </c>
      <c r="P1338" s="19" t="str">
        <f t="shared" si="99"/>
        <v>36-45</v>
      </c>
    </row>
    <row r="1339" spans="1:16" x14ac:dyDescent="0.25">
      <c r="A1339">
        <v>1338</v>
      </c>
      <c r="B1339" t="s">
        <v>15</v>
      </c>
      <c r="C1339">
        <v>297046</v>
      </c>
      <c r="D1339" t="s">
        <v>17</v>
      </c>
      <c r="E1339" t="s">
        <v>16</v>
      </c>
      <c r="F1339" t="s">
        <v>12</v>
      </c>
      <c r="G1339" t="s">
        <v>13</v>
      </c>
      <c r="H1339" t="s">
        <v>13</v>
      </c>
      <c r="I1339">
        <v>31</v>
      </c>
      <c r="J1339" t="str" cm="1">
        <f t="array" ref="J1339">_xlfn.IFS(ISBLANK(C1339),"FALTANTE",ABS((C1339-$W$5)/$X$5)&gt;1.96,"ATÍPICO",ABS((C1339-$W$5)/$X$5)&lt;=1.96,"NO ATÍPICO")</f>
        <v>NO ATÍPICO</v>
      </c>
      <c r="K1339" t="str" cm="1">
        <f t="array" ref="K1339">_xlfn.IFS(ISBLANK(I1339),"FALTANTE",ABS((I1339-$W$8)/$X$8)&gt;1.92,"ATÍPICO",ABS((I1339-$W$8)/$X$8)&lt;=1.92,"NO ATÍPICO")</f>
        <v>NO ATÍPICO</v>
      </c>
      <c r="L1339">
        <f t="shared" si="96"/>
        <v>297046</v>
      </c>
      <c r="M1339" t="str">
        <f t="shared" si="96"/>
        <v>ASEGURADO VOLUNTARIO</v>
      </c>
      <c r="N1339">
        <f t="shared" si="97"/>
        <v>31</v>
      </c>
      <c r="O1339" s="19" t="str">
        <f t="shared" si="98"/>
        <v>0–300k</v>
      </c>
      <c r="P1339" s="19" t="str">
        <f t="shared" si="99"/>
        <v>26-35</v>
      </c>
    </row>
    <row r="1340" spans="1:16" x14ac:dyDescent="0.25">
      <c r="A1340">
        <v>1339</v>
      </c>
      <c r="B1340" t="s">
        <v>9</v>
      </c>
      <c r="C1340">
        <v>65249.56</v>
      </c>
      <c r="D1340" t="s">
        <v>10</v>
      </c>
      <c r="E1340" t="s">
        <v>16</v>
      </c>
      <c r="F1340" t="s">
        <v>12</v>
      </c>
      <c r="G1340" t="s">
        <v>12</v>
      </c>
      <c r="H1340" t="s">
        <v>13</v>
      </c>
      <c r="I1340">
        <v>26</v>
      </c>
      <c r="J1340" t="str" cm="1">
        <f t="array" ref="J1340">_xlfn.IFS(ISBLANK(C1340),"FALTANTE",ABS((C1340-$W$5)/$X$5)&gt;1.96,"ATÍPICO",ABS((C1340-$W$5)/$X$5)&lt;=1.96,"NO ATÍPICO")</f>
        <v>NO ATÍPICO</v>
      </c>
      <c r="K1340" t="str" cm="1">
        <f t="array" ref="K1340">_xlfn.IFS(ISBLANK(I1340),"FALTANTE",ABS((I1340-$W$8)/$X$8)&gt;1.92,"ATÍPICO",ABS((I1340-$W$8)/$X$8)&lt;=1.92,"NO ATÍPICO")</f>
        <v>NO ATÍPICO</v>
      </c>
      <c r="L1340">
        <f t="shared" si="96"/>
        <v>65249.56</v>
      </c>
      <c r="M1340" t="str">
        <f t="shared" si="96"/>
        <v>ASALARIADO</v>
      </c>
      <c r="N1340">
        <f t="shared" si="97"/>
        <v>26</v>
      </c>
      <c r="O1340" s="19" t="str">
        <f t="shared" si="98"/>
        <v>0–300k</v>
      </c>
      <c r="P1340" s="19" t="str">
        <f t="shared" si="99"/>
        <v>26-35</v>
      </c>
    </row>
    <row r="1341" spans="1:16" x14ac:dyDescent="0.25">
      <c r="A1341">
        <v>1340</v>
      </c>
      <c r="B1341" t="s">
        <v>15</v>
      </c>
      <c r="C1341">
        <v>659264</v>
      </c>
      <c r="D1341" t="s">
        <v>10</v>
      </c>
      <c r="E1341" t="s">
        <v>11</v>
      </c>
      <c r="F1341" t="s">
        <v>12</v>
      </c>
      <c r="G1341" t="s">
        <v>13</v>
      </c>
      <c r="H1341" t="s">
        <v>13</v>
      </c>
      <c r="I1341">
        <v>40</v>
      </c>
      <c r="J1341" t="str" cm="1">
        <f t="array" ref="J1341">_xlfn.IFS(ISBLANK(C1341),"FALTANTE",ABS((C1341-$W$5)/$X$5)&gt;1.96,"ATÍPICO",ABS((C1341-$W$5)/$X$5)&lt;=1.96,"NO ATÍPICO")</f>
        <v>NO ATÍPICO</v>
      </c>
      <c r="K1341" t="str" cm="1">
        <f t="array" ref="K1341">_xlfn.IFS(ISBLANK(I1341),"FALTANTE",ABS((I1341-$W$8)/$X$8)&gt;1.92,"ATÍPICO",ABS((I1341-$W$8)/$X$8)&lt;=1.92,"NO ATÍPICO")</f>
        <v>NO ATÍPICO</v>
      </c>
      <c r="L1341">
        <f t="shared" si="96"/>
        <v>659264</v>
      </c>
      <c r="M1341" t="str">
        <f t="shared" si="96"/>
        <v>ASALARIADO</v>
      </c>
      <c r="N1341">
        <f t="shared" si="97"/>
        <v>40</v>
      </c>
      <c r="O1341" s="19" t="str">
        <f t="shared" si="98"/>
        <v>600k–900k</v>
      </c>
      <c r="P1341" s="19" t="str">
        <f t="shared" si="99"/>
        <v>36-45</v>
      </c>
    </row>
    <row r="1342" spans="1:16" x14ac:dyDescent="0.25">
      <c r="A1342">
        <v>1341</v>
      </c>
      <c r="B1342" t="s">
        <v>15</v>
      </c>
      <c r="C1342">
        <v>896802.93</v>
      </c>
      <c r="D1342" t="s">
        <v>10</v>
      </c>
      <c r="E1342" t="s">
        <v>11</v>
      </c>
      <c r="F1342" t="s">
        <v>12</v>
      </c>
      <c r="G1342" t="s">
        <v>13</v>
      </c>
      <c r="H1342" t="s">
        <v>13</v>
      </c>
      <c r="I1342">
        <v>38</v>
      </c>
      <c r="J1342" t="str" cm="1">
        <f t="array" ref="J1342">_xlfn.IFS(ISBLANK(C1342),"FALTANTE",ABS((C1342-$W$5)/$X$5)&gt;1.96,"ATÍPICO",ABS((C1342-$W$5)/$X$5)&lt;=1.96,"NO ATÍPICO")</f>
        <v>NO ATÍPICO</v>
      </c>
      <c r="K1342" t="str" cm="1">
        <f t="array" ref="K1342">_xlfn.IFS(ISBLANK(I1342),"FALTANTE",ABS((I1342-$W$8)/$X$8)&gt;1.92,"ATÍPICO",ABS((I1342-$W$8)/$X$8)&lt;=1.92,"NO ATÍPICO")</f>
        <v>NO ATÍPICO</v>
      </c>
      <c r="L1342">
        <f t="shared" si="96"/>
        <v>896802.93</v>
      </c>
      <c r="M1342" t="str">
        <f t="shared" si="96"/>
        <v>ASALARIADO</v>
      </c>
      <c r="N1342">
        <f t="shared" si="97"/>
        <v>38</v>
      </c>
      <c r="O1342" s="19" t="str">
        <f t="shared" si="98"/>
        <v>600k–900k</v>
      </c>
      <c r="P1342" s="19" t="str">
        <f t="shared" si="99"/>
        <v>36-45</v>
      </c>
    </row>
    <row r="1343" spans="1:16" x14ac:dyDescent="0.25">
      <c r="A1343">
        <v>1342</v>
      </c>
      <c r="B1343" t="s">
        <v>9</v>
      </c>
      <c r="C1343">
        <v>319572</v>
      </c>
      <c r="D1343" t="s">
        <v>10</v>
      </c>
      <c r="E1343" t="s">
        <v>16</v>
      </c>
      <c r="F1343" t="s">
        <v>12</v>
      </c>
      <c r="G1343" t="s">
        <v>13</v>
      </c>
      <c r="H1343" t="s">
        <v>12</v>
      </c>
      <c r="I1343">
        <v>38</v>
      </c>
      <c r="J1343" t="str" cm="1">
        <f t="array" ref="J1343">_xlfn.IFS(ISBLANK(C1343),"FALTANTE",ABS((C1343-$W$5)/$X$5)&gt;1.96,"ATÍPICO",ABS((C1343-$W$5)/$X$5)&lt;=1.96,"NO ATÍPICO")</f>
        <v>NO ATÍPICO</v>
      </c>
      <c r="K1343" t="str" cm="1">
        <f t="array" ref="K1343">_xlfn.IFS(ISBLANK(I1343),"FALTANTE",ABS((I1343-$W$8)/$X$8)&gt;1.92,"ATÍPICO",ABS((I1343-$W$8)/$X$8)&lt;=1.92,"NO ATÍPICO")</f>
        <v>NO ATÍPICO</v>
      </c>
      <c r="L1343">
        <f t="shared" si="96"/>
        <v>319572</v>
      </c>
      <c r="M1343" t="str">
        <f t="shared" si="96"/>
        <v>ASALARIADO</v>
      </c>
      <c r="N1343">
        <f t="shared" si="97"/>
        <v>38</v>
      </c>
      <c r="O1343" s="19" t="str">
        <f t="shared" si="98"/>
        <v>300k–600k</v>
      </c>
      <c r="P1343" s="19" t="str">
        <f t="shared" si="99"/>
        <v>36-45</v>
      </c>
    </row>
    <row r="1344" spans="1:16" x14ac:dyDescent="0.25">
      <c r="A1344">
        <v>1343</v>
      </c>
      <c r="B1344" t="s">
        <v>9</v>
      </c>
      <c r="C1344">
        <v>629292.61</v>
      </c>
      <c r="D1344" t="s">
        <v>10</v>
      </c>
      <c r="E1344" t="s">
        <v>16</v>
      </c>
      <c r="F1344" t="s">
        <v>12</v>
      </c>
      <c r="G1344" t="s">
        <v>13</v>
      </c>
      <c r="H1344" t="s">
        <v>13</v>
      </c>
      <c r="I1344">
        <v>42</v>
      </c>
      <c r="J1344" t="str" cm="1">
        <f t="array" ref="J1344">_xlfn.IFS(ISBLANK(C1344),"FALTANTE",ABS((C1344-$W$5)/$X$5)&gt;1.96,"ATÍPICO",ABS((C1344-$W$5)/$X$5)&lt;=1.96,"NO ATÍPICO")</f>
        <v>NO ATÍPICO</v>
      </c>
      <c r="K1344" t="str" cm="1">
        <f t="array" ref="K1344">_xlfn.IFS(ISBLANK(I1344),"FALTANTE",ABS((I1344-$W$8)/$X$8)&gt;1.92,"ATÍPICO",ABS((I1344-$W$8)/$X$8)&lt;=1.92,"NO ATÍPICO")</f>
        <v>NO ATÍPICO</v>
      </c>
      <c r="L1344">
        <f t="shared" si="96"/>
        <v>629292.61</v>
      </c>
      <c r="M1344" t="str">
        <f t="shared" si="96"/>
        <v>ASALARIADO</v>
      </c>
      <c r="N1344">
        <f t="shared" si="97"/>
        <v>42</v>
      </c>
      <c r="O1344" s="19" t="str">
        <f t="shared" si="98"/>
        <v>600k–900k</v>
      </c>
      <c r="P1344" s="19" t="str">
        <f t="shared" si="99"/>
        <v>36-45</v>
      </c>
    </row>
    <row r="1345" spans="1:16" x14ac:dyDescent="0.25">
      <c r="A1345">
        <v>1344</v>
      </c>
      <c r="B1345" t="s">
        <v>15</v>
      </c>
      <c r="C1345">
        <v>1408126</v>
      </c>
      <c r="D1345" t="s">
        <v>10</v>
      </c>
      <c r="E1345" t="s">
        <v>11</v>
      </c>
      <c r="F1345" t="s">
        <v>12</v>
      </c>
      <c r="G1345" t="s">
        <v>13</v>
      </c>
      <c r="H1345" t="s">
        <v>13</v>
      </c>
      <c r="I1345">
        <v>37</v>
      </c>
      <c r="J1345" t="str" cm="1">
        <f t="array" ref="J1345">_xlfn.IFS(ISBLANK(C1345),"FALTANTE",ABS((C1345-$W$5)/$X$5)&gt;1.96,"ATÍPICO",ABS((C1345-$W$5)/$X$5)&lt;=1.96,"NO ATÍPICO")</f>
        <v>NO ATÍPICO</v>
      </c>
      <c r="K1345" t="str" cm="1">
        <f t="array" ref="K1345">_xlfn.IFS(ISBLANK(I1345),"FALTANTE",ABS((I1345-$W$8)/$X$8)&gt;1.92,"ATÍPICO",ABS((I1345-$W$8)/$X$8)&lt;=1.92,"NO ATÍPICO")</f>
        <v>NO ATÍPICO</v>
      </c>
      <c r="L1345">
        <f t="shared" si="96"/>
        <v>1408126</v>
      </c>
      <c r="M1345" t="str">
        <f t="shared" si="96"/>
        <v>ASALARIADO</v>
      </c>
      <c r="N1345">
        <f t="shared" si="97"/>
        <v>37</v>
      </c>
      <c r="O1345" s="19" t="str">
        <f t="shared" si="98"/>
        <v>1200k+</v>
      </c>
      <c r="P1345" s="19" t="str">
        <f t="shared" si="99"/>
        <v>36-45</v>
      </c>
    </row>
    <row r="1346" spans="1:16" x14ac:dyDescent="0.25">
      <c r="A1346">
        <v>1345</v>
      </c>
      <c r="B1346" t="s">
        <v>9</v>
      </c>
      <c r="C1346">
        <v>1575682</v>
      </c>
      <c r="D1346" t="s">
        <v>10</v>
      </c>
      <c r="E1346" t="s">
        <v>11</v>
      </c>
      <c r="F1346" t="s">
        <v>12</v>
      </c>
      <c r="G1346" t="s">
        <v>13</v>
      </c>
      <c r="H1346" t="s">
        <v>13</v>
      </c>
      <c r="I1346">
        <v>38</v>
      </c>
      <c r="J1346" t="str" cm="1">
        <f t="array" ref="J1346">_xlfn.IFS(ISBLANK(C1346),"FALTANTE",ABS((C1346-$W$5)/$X$5)&gt;1.96,"ATÍPICO",ABS((C1346-$W$5)/$X$5)&lt;=1.96,"NO ATÍPICO")</f>
        <v>NO ATÍPICO</v>
      </c>
      <c r="K1346" t="str" cm="1">
        <f t="array" ref="K1346">_xlfn.IFS(ISBLANK(I1346),"FALTANTE",ABS((I1346-$W$8)/$X$8)&gt;1.92,"ATÍPICO",ABS((I1346-$W$8)/$X$8)&lt;=1.92,"NO ATÍPICO")</f>
        <v>NO ATÍPICO</v>
      </c>
      <c r="L1346">
        <f t="shared" ref="L1346:M1409" si="100">C1346</f>
        <v>1575682</v>
      </c>
      <c r="M1346" t="str">
        <f t="shared" si="100"/>
        <v>ASALARIADO</v>
      </c>
      <c r="N1346">
        <f t="shared" ref="N1346:N1409" si="101">I1346</f>
        <v>38</v>
      </c>
      <c r="O1346" s="19" t="str">
        <f t="shared" ref="O1346:O1409" si="102">IF(L1346&lt;=300000,"0–300k",IF(L1346&lt;=600000,"300k–600k",IF(L1346&lt;=900000,"600k–900k",IF(L1346&lt;=1200000,"900k–1200k","1200k+"))))</f>
        <v>1200k+</v>
      </c>
      <c r="P1346" s="19" t="str">
        <f t="shared" ref="P1346:P1409" si="103">IF(N1346 &lt;=25,"18-25", IF(N1346&lt;=35,"26-35", IF(N1346 &lt;=45,"36-45", IF(N1346&lt;=55,"46-55","56+"))))</f>
        <v>36-45</v>
      </c>
    </row>
    <row r="1347" spans="1:16" x14ac:dyDescent="0.25">
      <c r="A1347">
        <v>1346</v>
      </c>
      <c r="B1347" t="s">
        <v>15</v>
      </c>
      <c r="C1347">
        <v>268333.33</v>
      </c>
      <c r="D1347" t="s">
        <v>10</v>
      </c>
      <c r="E1347" t="s">
        <v>16</v>
      </c>
      <c r="F1347" t="s">
        <v>12</v>
      </c>
      <c r="G1347" t="s">
        <v>13</v>
      </c>
      <c r="H1347" t="s">
        <v>13</v>
      </c>
      <c r="I1347">
        <v>29</v>
      </c>
      <c r="J1347" t="str" cm="1">
        <f t="array" ref="J1347">_xlfn.IFS(ISBLANK(C1347),"FALTANTE",ABS((C1347-$W$5)/$X$5)&gt;1.96,"ATÍPICO",ABS((C1347-$W$5)/$X$5)&lt;=1.96,"NO ATÍPICO")</f>
        <v>NO ATÍPICO</v>
      </c>
      <c r="K1347" t="str" cm="1">
        <f t="array" ref="K1347">_xlfn.IFS(ISBLANK(I1347),"FALTANTE",ABS((I1347-$W$8)/$X$8)&gt;1.92,"ATÍPICO",ABS((I1347-$W$8)/$X$8)&lt;=1.92,"NO ATÍPICO")</f>
        <v>NO ATÍPICO</v>
      </c>
      <c r="L1347">
        <f t="shared" si="100"/>
        <v>268333.33</v>
      </c>
      <c r="M1347" t="str">
        <f t="shared" si="100"/>
        <v>ASALARIADO</v>
      </c>
      <c r="N1347">
        <f t="shared" si="101"/>
        <v>29</v>
      </c>
      <c r="O1347" s="19" t="str">
        <f t="shared" si="102"/>
        <v>0–300k</v>
      </c>
      <c r="P1347" s="19" t="str">
        <f t="shared" si="103"/>
        <v>26-35</v>
      </c>
    </row>
    <row r="1348" spans="1:16" x14ac:dyDescent="0.25">
      <c r="A1348">
        <v>1347</v>
      </c>
      <c r="B1348" t="s">
        <v>15</v>
      </c>
      <c r="C1348">
        <v>308000</v>
      </c>
      <c r="D1348" t="s">
        <v>10</v>
      </c>
      <c r="E1348" t="s">
        <v>16</v>
      </c>
      <c r="F1348" t="s">
        <v>12</v>
      </c>
      <c r="G1348" t="s">
        <v>13</v>
      </c>
      <c r="H1348" t="s">
        <v>13</v>
      </c>
      <c r="I1348">
        <v>57</v>
      </c>
      <c r="J1348" t="str" cm="1">
        <f t="array" ref="J1348">_xlfn.IFS(ISBLANK(C1348),"FALTANTE",ABS((C1348-$W$5)/$X$5)&gt;1.96,"ATÍPICO",ABS((C1348-$W$5)/$X$5)&lt;=1.96,"NO ATÍPICO")</f>
        <v>NO ATÍPICO</v>
      </c>
      <c r="K1348" t="str" cm="1">
        <f t="array" ref="K1348">_xlfn.IFS(ISBLANK(I1348),"FALTANTE",ABS((I1348-$W$8)/$X$8)&gt;1.92,"ATÍPICO",ABS((I1348-$W$8)/$X$8)&lt;=1.92,"NO ATÍPICO")</f>
        <v>NO ATÍPICO</v>
      </c>
      <c r="L1348">
        <f t="shared" si="100"/>
        <v>308000</v>
      </c>
      <c r="M1348" t="str">
        <f t="shared" si="100"/>
        <v>ASALARIADO</v>
      </c>
      <c r="N1348">
        <f t="shared" si="101"/>
        <v>57</v>
      </c>
      <c r="O1348" s="19" t="str">
        <f t="shared" si="102"/>
        <v>300k–600k</v>
      </c>
      <c r="P1348" s="19" t="str">
        <f t="shared" si="103"/>
        <v>56+</v>
      </c>
    </row>
    <row r="1349" spans="1:16" x14ac:dyDescent="0.25">
      <c r="A1349">
        <v>1348</v>
      </c>
      <c r="B1349" t="s">
        <v>9</v>
      </c>
      <c r="C1349">
        <v>350000</v>
      </c>
      <c r="D1349" t="s">
        <v>10</v>
      </c>
      <c r="E1349" t="s">
        <v>16</v>
      </c>
      <c r="F1349" t="s">
        <v>12</v>
      </c>
      <c r="G1349" t="s">
        <v>13</v>
      </c>
      <c r="H1349" t="s">
        <v>12</v>
      </c>
      <c r="I1349">
        <v>31</v>
      </c>
      <c r="J1349" t="str" cm="1">
        <f t="array" ref="J1349">_xlfn.IFS(ISBLANK(C1349),"FALTANTE",ABS((C1349-$W$5)/$X$5)&gt;1.96,"ATÍPICO",ABS((C1349-$W$5)/$X$5)&lt;=1.96,"NO ATÍPICO")</f>
        <v>NO ATÍPICO</v>
      </c>
      <c r="K1349" t="str" cm="1">
        <f t="array" ref="K1349">_xlfn.IFS(ISBLANK(I1349),"FALTANTE",ABS((I1349-$W$8)/$X$8)&gt;1.92,"ATÍPICO",ABS((I1349-$W$8)/$X$8)&lt;=1.92,"NO ATÍPICO")</f>
        <v>NO ATÍPICO</v>
      </c>
      <c r="L1349">
        <f t="shared" si="100"/>
        <v>350000</v>
      </c>
      <c r="M1349" t="str">
        <f t="shared" si="100"/>
        <v>ASALARIADO</v>
      </c>
      <c r="N1349">
        <f t="shared" si="101"/>
        <v>31</v>
      </c>
      <c r="O1349" s="19" t="str">
        <f t="shared" si="102"/>
        <v>300k–600k</v>
      </c>
      <c r="P1349" s="19" t="str">
        <f t="shared" si="103"/>
        <v>26-35</v>
      </c>
    </row>
    <row r="1350" spans="1:16" x14ac:dyDescent="0.25">
      <c r="A1350">
        <v>1349</v>
      </c>
      <c r="B1350" t="s">
        <v>15</v>
      </c>
      <c r="C1350">
        <v>590706.5</v>
      </c>
      <c r="D1350" t="s">
        <v>10</v>
      </c>
      <c r="E1350" t="s">
        <v>11</v>
      </c>
      <c r="F1350" t="s">
        <v>12</v>
      </c>
      <c r="G1350" t="s">
        <v>13</v>
      </c>
      <c r="H1350" t="s">
        <v>13</v>
      </c>
      <c r="I1350">
        <v>32</v>
      </c>
      <c r="J1350" t="str" cm="1">
        <f t="array" ref="J1350">_xlfn.IFS(ISBLANK(C1350),"FALTANTE",ABS((C1350-$W$5)/$X$5)&gt;1.96,"ATÍPICO",ABS((C1350-$W$5)/$X$5)&lt;=1.96,"NO ATÍPICO")</f>
        <v>NO ATÍPICO</v>
      </c>
      <c r="K1350" t="str" cm="1">
        <f t="array" ref="K1350">_xlfn.IFS(ISBLANK(I1350),"FALTANTE",ABS((I1350-$W$8)/$X$8)&gt;1.92,"ATÍPICO",ABS((I1350-$W$8)/$X$8)&lt;=1.92,"NO ATÍPICO")</f>
        <v>NO ATÍPICO</v>
      </c>
      <c r="L1350">
        <f t="shared" si="100"/>
        <v>590706.5</v>
      </c>
      <c r="M1350" t="str">
        <f t="shared" si="100"/>
        <v>ASALARIADO</v>
      </c>
      <c r="N1350">
        <f t="shared" si="101"/>
        <v>32</v>
      </c>
      <c r="O1350" s="19" t="str">
        <f t="shared" si="102"/>
        <v>300k–600k</v>
      </c>
      <c r="P1350" s="19" t="str">
        <f t="shared" si="103"/>
        <v>26-35</v>
      </c>
    </row>
    <row r="1351" spans="1:16" x14ac:dyDescent="0.25">
      <c r="A1351">
        <v>1350</v>
      </c>
      <c r="B1351" t="s">
        <v>15</v>
      </c>
      <c r="C1351">
        <v>759928</v>
      </c>
      <c r="D1351" t="s">
        <v>14</v>
      </c>
      <c r="E1351" t="s">
        <v>11</v>
      </c>
      <c r="F1351" t="s">
        <v>12</v>
      </c>
      <c r="G1351" t="s">
        <v>13</v>
      </c>
      <c r="H1351" t="s">
        <v>13</v>
      </c>
      <c r="I1351">
        <v>78</v>
      </c>
      <c r="J1351" t="str" cm="1">
        <f t="array" ref="J1351">_xlfn.IFS(ISBLANK(C1351),"FALTANTE",ABS((C1351-$W$5)/$X$5)&gt;1.96,"ATÍPICO",ABS((C1351-$W$5)/$X$5)&lt;=1.96,"NO ATÍPICO")</f>
        <v>NO ATÍPICO</v>
      </c>
      <c r="K1351" t="str" cm="1">
        <f t="array" ref="K1351">_xlfn.IFS(ISBLANK(I1351),"FALTANTE",ABS((I1351-$W$8)/$X$8)&gt;1.92,"ATÍPICO",ABS((I1351-$W$8)/$X$8)&lt;=1.92,"NO ATÍPICO")</f>
        <v>ATÍPICO</v>
      </c>
      <c r="L1351">
        <f t="shared" si="100"/>
        <v>759928</v>
      </c>
      <c r="M1351" t="str">
        <f t="shared" si="100"/>
        <v>PENSIONADOS EN SU PROPIO SISTEMA</v>
      </c>
      <c r="N1351">
        <f t="shared" si="101"/>
        <v>78</v>
      </c>
      <c r="O1351" s="19" t="str">
        <f t="shared" si="102"/>
        <v>600k–900k</v>
      </c>
      <c r="P1351" s="19" t="str">
        <f t="shared" si="103"/>
        <v>56+</v>
      </c>
    </row>
    <row r="1352" spans="1:16" x14ac:dyDescent="0.25">
      <c r="A1352">
        <v>1351</v>
      </c>
      <c r="B1352" t="s">
        <v>9</v>
      </c>
      <c r="C1352">
        <v>182669.09</v>
      </c>
      <c r="D1352" t="s">
        <v>10</v>
      </c>
      <c r="E1352" t="s">
        <v>11</v>
      </c>
      <c r="F1352" t="s">
        <v>12</v>
      </c>
      <c r="G1352" t="s">
        <v>13</v>
      </c>
      <c r="H1352" t="s">
        <v>13</v>
      </c>
      <c r="I1352">
        <v>37</v>
      </c>
      <c r="J1352" t="str" cm="1">
        <f t="array" ref="J1352">_xlfn.IFS(ISBLANK(C1352),"FALTANTE",ABS((C1352-$W$5)/$X$5)&gt;1.96,"ATÍPICO",ABS((C1352-$W$5)/$X$5)&lt;=1.96,"NO ATÍPICO")</f>
        <v>NO ATÍPICO</v>
      </c>
      <c r="K1352" t="str" cm="1">
        <f t="array" ref="K1352">_xlfn.IFS(ISBLANK(I1352),"FALTANTE",ABS((I1352-$W$8)/$X$8)&gt;1.92,"ATÍPICO",ABS((I1352-$W$8)/$X$8)&lt;=1.92,"NO ATÍPICO")</f>
        <v>NO ATÍPICO</v>
      </c>
      <c r="L1352">
        <f t="shared" si="100"/>
        <v>182669.09</v>
      </c>
      <c r="M1352" t="str">
        <f t="shared" si="100"/>
        <v>ASALARIADO</v>
      </c>
      <c r="N1352">
        <f t="shared" si="101"/>
        <v>37</v>
      </c>
      <c r="O1352" s="19" t="str">
        <f t="shared" si="102"/>
        <v>0–300k</v>
      </c>
      <c r="P1352" s="19" t="str">
        <f t="shared" si="103"/>
        <v>36-45</v>
      </c>
    </row>
    <row r="1353" spans="1:16" x14ac:dyDescent="0.25">
      <c r="A1353">
        <v>1352</v>
      </c>
      <c r="B1353" t="s">
        <v>9</v>
      </c>
      <c r="C1353">
        <v>1954127</v>
      </c>
      <c r="D1353" t="s">
        <v>10</v>
      </c>
      <c r="E1353" t="s">
        <v>11</v>
      </c>
      <c r="F1353" t="s">
        <v>12</v>
      </c>
      <c r="G1353" t="s">
        <v>13</v>
      </c>
      <c r="H1353" t="s">
        <v>13</v>
      </c>
      <c r="I1353">
        <v>63</v>
      </c>
      <c r="J1353" t="str" cm="1">
        <f t="array" ref="J1353">_xlfn.IFS(ISBLANK(C1353),"FALTANTE",ABS((C1353-$W$5)/$X$5)&gt;1.96,"ATÍPICO",ABS((C1353-$W$5)/$X$5)&lt;=1.96,"NO ATÍPICO")</f>
        <v>NO ATÍPICO</v>
      </c>
      <c r="K1353" t="str" cm="1">
        <f t="array" ref="K1353">_xlfn.IFS(ISBLANK(I1353),"FALTANTE",ABS((I1353-$W$8)/$X$8)&gt;1.92,"ATÍPICO",ABS((I1353-$W$8)/$X$8)&lt;=1.92,"NO ATÍPICO")</f>
        <v>NO ATÍPICO</v>
      </c>
      <c r="L1353">
        <f t="shared" si="100"/>
        <v>1954127</v>
      </c>
      <c r="M1353" t="str">
        <f t="shared" si="100"/>
        <v>ASALARIADO</v>
      </c>
      <c r="N1353">
        <f t="shared" si="101"/>
        <v>63</v>
      </c>
      <c r="O1353" s="19" t="str">
        <f t="shared" si="102"/>
        <v>1200k+</v>
      </c>
      <c r="P1353" s="19" t="str">
        <f t="shared" si="103"/>
        <v>56+</v>
      </c>
    </row>
    <row r="1354" spans="1:16" x14ac:dyDescent="0.25">
      <c r="A1354">
        <v>1353</v>
      </c>
      <c r="B1354" t="s">
        <v>15</v>
      </c>
      <c r="C1354">
        <v>727896.34</v>
      </c>
      <c r="D1354" t="s">
        <v>10</v>
      </c>
      <c r="E1354" t="s">
        <v>11</v>
      </c>
      <c r="F1354" t="s">
        <v>12</v>
      </c>
      <c r="G1354" t="s">
        <v>13</v>
      </c>
      <c r="H1354" t="s">
        <v>13</v>
      </c>
      <c r="I1354">
        <v>28</v>
      </c>
      <c r="J1354" t="str" cm="1">
        <f t="array" ref="J1354">_xlfn.IFS(ISBLANK(C1354),"FALTANTE",ABS((C1354-$W$5)/$X$5)&gt;1.96,"ATÍPICO",ABS((C1354-$W$5)/$X$5)&lt;=1.96,"NO ATÍPICO")</f>
        <v>NO ATÍPICO</v>
      </c>
      <c r="K1354" t="str" cm="1">
        <f t="array" ref="K1354">_xlfn.IFS(ISBLANK(I1354),"FALTANTE",ABS((I1354-$W$8)/$X$8)&gt;1.92,"ATÍPICO",ABS((I1354-$W$8)/$X$8)&lt;=1.92,"NO ATÍPICO")</f>
        <v>NO ATÍPICO</v>
      </c>
      <c r="L1354">
        <f t="shared" si="100"/>
        <v>727896.34</v>
      </c>
      <c r="M1354" t="str">
        <f t="shared" si="100"/>
        <v>ASALARIADO</v>
      </c>
      <c r="N1354">
        <f t="shared" si="101"/>
        <v>28</v>
      </c>
      <c r="O1354" s="19" t="str">
        <f t="shared" si="102"/>
        <v>600k–900k</v>
      </c>
      <c r="P1354" s="19" t="str">
        <f t="shared" si="103"/>
        <v>26-35</v>
      </c>
    </row>
    <row r="1355" spans="1:16" x14ac:dyDescent="0.25">
      <c r="A1355">
        <v>1354</v>
      </c>
      <c r="B1355" t="s">
        <v>9</v>
      </c>
      <c r="C1355">
        <v>300018</v>
      </c>
      <c r="D1355" t="s">
        <v>18</v>
      </c>
      <c r="E1355" t="s">
        <v>16</v>
      </c>
      <c r="F1355" t="s">
        <v>12</v>
      </c>
      <c r="G1355" t="s">
        <v>13</v>
      </c>
      <c r="H1355" t="s">
        <v>12</v>
      </c>
      <c r="I1355">
        <v>53</v>
      </c>
      <c r="J1355" t="str" cm="1">
        <f t="array" ref="J1355">_xlfn.IFS(ISBLANK(C1355),"FALTANTE",ABS((C1355-$W$5)/$X$5)&gt;1.96,"ATÍPICO",ABS((C1355-$W$5)/$X$5)&lt;=1.96,"NO ATÍPICO")</f>
        <v>NO ATÍPICO</v>
      </c>
      <c r="K1355" t="str" cm="1">
        <f t="array" ref="K1355">_xlfn.IFS(ISBLANK(I1355),"FALTANTE",ABS((I1355-$W$8)/$X$8)&gt;1.92,"ATÍPICO",ABS((I1355-$W$8)/$X$8)&lt;=1.92,"NO ATÍPICO")</f>
        <v>NO ATÍPICO</v>
      </c>
      <c r="L1355">
        <f t="shared" si="100"/>
        <v>300018</v>
      </c>
      <c r="M1355" t="str">
        <f t="shared" si="100"/>
        <v>TRABAJADOR INDEPENDIENTE</v>
      </c>
      <c r="N1355">
        <f t="shared" si="101"/>
        <v>53</v>
      </c>
      <c r="O1355" s="19" t="str">
        <f t="shared" si="102"/>
        <v>300k–600k</v>
      </c>
      <c r="P1355" s="19" t="str">
        <f t="shared" si="103"/>
        <v>46-55</v>
      </c>
    </row>
    <row r="1356" spans="1:16" x14ac:dyDescent="0.25">
      <c r="A1356">
        <v>1355</v>
      </c>
      <c r="B1356" t="s">
        <v>9</v>
      </c>
      <c r="C1356">
        <v>428100</v>
      </c>
      <c r="D1356" t="s">
        <v>10</v>
      </c>
      <c r="E1356" t="s">
        <v>11</v>
      </c>
      <c r="F1356" t="s">
        <v>12</v>
      </c>
      <c r="G1356" t="s">
        <v>13</v>
      </c>
      <c r="H1356" t="s">
        <v>13</v>
      </c>
      <c r="I1356">
        <v>22</v>
      </c>
      <c r="J1356" t="str" cm="1">
        <f t="array" ref="J1356">_xlfn.IFS(ISBLANK(C1356),"FALTANTE",ABS((C1356-$W$5)/$X$5)&gt;1.96,"ATÍPICO",ABS((C1356-$W$5)/$X$5)&lt;=1.96,"NO ATÍPICO")</f>
        <v>NO ATÍPICO</v>
      </c>
      <c r="K1356" t="str" cm="1">
        <f t="array" ref="K1356">_xlfn.IFS(ISBLANK(I1356),"FALTANTE",ABS((I1356-$W$8)/$X$8)&gt;1.92,"ATÍPICO",ABS((I1356-$W$8)/$X$8)&lt;=1.92,"NO ATÍPICO")</f>
        <v>NO ATÍPICO</v>
      </c>
      <c r="L1356">
        <f t="shared" si="100"/>
        <v>428100</v>
      </c>
      <c r="M1356" t="str">
        <f t="shared" si="100"/>
        <v>ASALARIADO</v>
      </c>
      <c r="N1356">
        <f t="shared" si="101"/>
        <v>22</v>
      </c>
      <c r="O1356" s="19" t="str">
        <f t="shared" si="102"/>
        <v>300k–600k</v>
      </c>
      <c r="P1356" s="19" t="str">
        <f t="shared" si="103"/>
        <v>18-25</v>
      </c>
    </row>
    <row r="1357" spans="1:16" x14ac:dyDescent="0.25">
      <c r="A1357">
        <v>1356</v>
      </c>
      <c r="B1357" t="s">
        <v>15</v>
      </c>
      <c r="C1357">
        <v>359544.27</v>
      </c>
      <c r="D1357" t="s">
        <v>21</v>
      </c>
      <c r="E1357" t="s">
        <v>16</v>
      </c>
      <c r="F1357" t="s">
        <v>12</v>
      </c>
      <c r="G1357" t="s">
        <v>12</v>
      </c>
      <c r="H1357" t="s">
        <v>13</v>
      </c>
      <c r="I1357">
        <v>35</v>
      </c>
      <c r="J1357" t="str" cm="1">
        <f t="array" ref="J1357">_xlfn.IFS(ISBLANK(C1357),"FALTANTE",ABS((C1357-$W$5)/$X$5)&gt;1.96,"ATÍPICO",ABS((C1357-$W$5)/$X$5)&lt;=1.96,"NO ATÍPICO")</f>
        <v>NO ATÍPICO</v>
      </c>
      <c r="K1357" t="str" cm="1">
        <f t="array" ref="K1357">_xlfn.IFS(ISBLANK(I1357),"FALTANTE",ABS((I1357-$W$8)/$X$8)&gt;1.92,"ATÍPICO",ABS((I1357-$W$8)/$X$8)&lt;=1.92,"NO ATÍPICO")</f>
        <v>NO ATÍPICO</v>
      </c>
      <c r="L1357">
        <f t="shared" si="100"/>
        <v>359544.27</v>
      </c>
      <c r="M1357" t="str">
        <f t="shared" si="100"/>
        <v>CONVENIOS ESPECIALES DE ASEGURADOS VOLUNTARIOS</v>
      </c>
      <c r="N1357">
        <f t="shared" si="101"/>
        <v>35</v>
      </c>
      <c r="O1357" s="19" t="str">
        <f t="shared" si="102"/>
        <v>300k–600k</v>
      </c>
      <c r="P1357" s="19" t="str">
        <f t="shared" si="103"/>
        <v>26-35</v>
      </c>
    </row>
    <row r="1358" spans="1:16" x14ac:dyDescent="0.25">
      <c r="A1358">
        <v>1357</v>
      </c>
      <c r="B1358" t="s">
        <v>15</v>
      </c>
      <c r="C1358">
        <v>297046</v>
      </c>
      <c r="D1358" t="s">
        <v>17</v>
      </c>
      <c r="E1358" t="s">
        <v>16</v>
      </c>
      <c r="F1358" t="s">
        <v>12</v>
      </c>
      <c r="G1358" t="s">
        <v>13</v>
      </c>
      <c r="H1358" t="s">
        <v>13</v>
      </c>
      <c r="I1358">
        <v>40</v>
      </c>
      <c r="J1358" t="str" cm="1">
        <f t="array" ref="J1358">_xlfn.IFS(ISBLANK(C1358),"FALTANTE",ABS((C1358-$W$5)/$X$5)&gt;1.96,"ATÍPICO",ABS((C1358-$W$5)/$X$5)&lt;=1.96,"NO ATÍPICO")</f>
        <v>NO ATÍPICO</v>
      </c>
      <c r="K1358" t="str" cm="1">
        <f t="array" ref="K1358">_xlfn.IFS(ISBLANK(I1358),"FALTANTE",ABS((I1358-$W$8)/$X$8)&gt;1.92,"ATÍPICO",ABS((I1358-$W$8)/$X$8)&lt;=1.92,"NO ATÍPICO")</f>
        <v>NO ATÍPICO</v>
      </c>
      <c r="L1358">
        <f t="shared" si="100"/>
        <v>297046</v>
      </c>
      <c r="M1358" t="str">
        <f t="shared" si="100"/>
        <v>ASEGURADO VOLUNTARIO</v>
      </c>
      <c r="N1358">
        <f t="shared" si="101"/>
        <v>40</v>
      </c>
      <c r="O1358" s="19" t="str">
        <f t="shared" si="102"/>
        <v>0–300k</v>
      </c>
      <c r="P1358" s="19" t="str">
        <f t="shared" si="103"/>
        <v>36-45</v>
      </c>
    </row>
    <row r="1359" spans="1:16" x14ac:dyDescent="0.25">
      <c r="A1359">
        <v>1358</v>
      </c>
      <c r="B1359" t="s">
        <v>9</v>
      </c>
      <c r="C1359">
        <v>589282.56000000006</v>
      </c>
      <c r="D1359" t="s">
        <v>10</v>
      </c>
      <c r="E1359" t="s">
        <v>11</v>
      </c>
      <c r="F1359" t="s">
        <v>12</v>
      </c>
      <c r="G1359" t="s">
        <v>13</v>
      </c>
      <c r="H1359" t="s">
        <v>13</v>
      </c>
      <c r="I1359">
        <v>30</v>
      </c>
      <c r="J1359" t="str" cm="1">
        <f t="array" ref="J1359">_xlfn.IFS(ISBLANK(C1359),"FALTANTE",ABS((C1359-$W$5)/$X$5)&gt;1.96,"ATÍPICO",ABS((C1359-$W$5)/$X$5)&lt;=1.96,"NO ATÍPICO")</f>
        <v>NO ATÍPICO</v>
      </c>
      <c r="K1359" t="str" cm="1">
        <f t="array" ref="K1359">_xlfn.IFS(ISBLANK(I1359),"FALTANTE",ABS((I1359-$W$8)/$X$8)&gt;1.92,"ATÍPICO",ABS((I1359-$W$8)/$X$8)&lt;=1.92,"NO ATÍPICO")</f>
        <v>NO ATÍPICO</v>
      </c>
      <c r="L1359">
        <f t="shared" si="100"/>
        <v>589282.56000000006</v>
      </c>
      <c r="M1359" t="str">
        <f t="shared" si="100"/>
        <v>ASALARIADO</v>
      </c>
      <c r="N1359">
        <f t="shared" si="101"/>
        <v>30</v>
      </c>
      <c r="O1359" s="19" t="str">
        <f t="shared" si="102"/>
        <v>300k–600k</v>
      </c>
      <c r="P1359" s="19" t="str">
        <f t="shared" si="103"/>
        <v>26-35</v>
      </c>
    </row>
    <row r="1360" spans="1:16" x14ac:dyDescent="0.25">
      <c r="A1360">
        <v>1359</v>
      </c>
      <c r="B1360" t="s">
        <v>9</v>
      </c>
      <c r="C1360">
        <v>129988</v>
      </c>
      <c r="D1360" t="s">
        <v>10</v>
      </c>
      <c r="E1360" t="s">
        <v>11</v>
      </c>
      <c r="F1360" t="s">
        <v>12</v>
      </c>
      <c r="G1360" t="s">
        <v>13</v>
      </c>
      <c r="H1360" t="s">
        <v>12</v>
      </c>
      <c r="I1360">
        <v>32</v>
      </c>
      <c r="J1360" t="str" cm="1">
        <f t="array" ref="J1360">_xlfn.IFS(ISBLANK(C1360),"FALTANTE",ABS((C1360-$W$5)/$X$5)&gt;1.96,"ATÍPICO",ABS((C1360-$W$5)/$X$5)&lt;=1.96,"NO ATÍPICO")</f>
        <v>NO ATÍPICO</v>
      </c>
      <c r="K1360" t="str" cm="1">
        <f t="array" ref="K1360">_xlfn.IFS(ISBLANK(I1360),"FALTANTE",ABS((I1360-$W$8)/$X$8)&gt;1.92,"ATÍPICO",ABS((I1360-$W$8)/$X$8)&lt;=1.92,"NO ATÍPICO")</f>
        <v>NO ATÍPICO</v>
      </c>
      <c r="L1360">
        <f t="shared" si="100"/>
        <v>129988</v>
      </c>
      <c r="M1360" t="str">
        <f t="shared" si="100"/>
        <v>ASALARIADO</v>
      </c>
      <c r="N1360">
        <f t="shared" si="101"/>
        <v>32</v>
      </c>
      <c r="O1360" s="19" t="str">
        <f t="shared" si="102"/>
        <v>0–300k</v>
      </c>
      <c r="P1360" s="19" t="str">
        <f t="shared" si="103"/>
        <v>26-35</v>
      </c>
    </row>
    <row r="1361" spans="1:16" x14ac:dyDescent="0.25">
      <c r="A1361">
        <v>1360</v>
      </c>
      <c r="B1361" t="s">
        <v>9</v>
      </c>
      <c r="C1361">
        <v>417954.15</v>
      </c>
      <c r="D1361" t="s">
        <v>10</v>
      </c>
      <c r="E1361" t="s">
        <v>16</v>
      </c>
      <c r="F1361" t="s">
        <v>12</v>
      </c>
      <c r="G1361" t="s">
        <v>13</v>
      </c>
      <c r="H1361" t="s">
        <v>12</v>
      </c>
      <c r="I1361">
        <v>31</v>
      </c>
      <c r="J1361" t="str" cm="1">
        <f t="array" ref="J1361">_xlfn.IFS(ISBLANK(C1361),"FALTANTE",ABS((C1361-$W$5)/$X$5)&gt;1.96,"ATÍPICO",ABS((C1361-$W$5)/$X$5)&lt;=1.96,"NO ATÍPICO")</f>
        <v>NO ATÍPICO</v>
      </c>
      <c r="K1361" t="str" cm="1">
        <f t="array" ref="K1361">_xlfn.IFS(ISBLANK(I1361),"FALTANTE",ABS((I1361-$W$8)/$X$8)&gt;1.92,"ATÍPICO",ABS((I1361-$W$8)/$X$8)&lt;=1.92,"NO ATÍPICO")</f>
        <v>NO ATÍPICO</v>
      </c>
      <c r="L1361">
        <f t="shared" si="100"/>
        <v>417954.15</v>
      </c>
      <c r="M1361" t="str">
        <f t="shared" si="100"/>
        <v>ASALARIADO</v>
      </c>
      <c r="N1361">
        <f t="shared" si="101"/>
        <v>31</v>
      </c>
      <c r="O1361" s="19" t="str">
        <f t="shared" si="102"/>
        <v>300k–600k</v>
      </c>
      <c r="P1361" s="19" t="str">
        <f t="shared" si="103"/>
        <v>26-35</v>
      </c>
    </row>
    <row r="1362" spans="1:16" x14ac:dyDescent="0.25">
      <c r="A1362">
        <v>1361</v>
      </c>
      <c r="B1362" t="s">
        <v>9</v>
      </c>
      <c r="C1362">
        <v>807282.52</v>
      </c>
      <c r="D1362" t="s">
        <v>10</v>
      </c>
      <c r="E1362" t="s">
        <v>16</v>
      </c>
      <c r="F1362" t="s">
        <v>12</v>
      </c>
      <c r="G1362" t="s">
        <v>13</v>
      </c>
      <c r="H1362" t="s">
        <v>13</v>
      </c>
      <c r="I1362">
        <v>24</v>
      </c>
      <c r="J1362" t="str" cm="1">
        <f t="array" ref="J1362">_xlfn.IFS(ISBLANK(C1362),"FALTANTE",ABS((C1362-$W$5)/$X$5)&gt;1.96,"ATÍPICO",ABS((C1362-$W$5)/$X$5)&lt;=1.96,"NO ATÍPICO")</f>
        <v>NO ATÍPICO</v>
      </c>
      <c r="K1362" t="str" cm="1">
        <f t="array" ref="K1362">_xlfn.IFS(ISBLANK(I1362),"FALTANTE",ABS((I1362-$W$8)/$X$8)&gt;1.92,"ATÍPICO",ABS((I1362-$W$8)/$X$8)&lt;=1.92,"NO ATÍPICO")</f>
        <v>NO ATÍPICO</v>
      </c>
      <c r="L1362">
        <f t="shared" si="100"/>
        <v>807282.52</v>
      </c>
      <c r="M1362" t="str">
        <f t="shared" si="100"/>
        <v>ASALARIADO</v>
      </c>
      <c r="N1362">
        <f t="shared" si="101"/>
        <v>24</v>
      </c>
      <c r="O1362" s="19" t="str">
        <f t="shared" si="102"/>
        <v>600k–900k</v>
      </c>
      <c r="P1362" s="19" t="str">
        <f t="shared" si="103"/>
        <v>18-25</v>
      </c>
    </row>
    <row r="1363" spans="1:16" x14ac:dyDescent="0.25">
      <c r="A1363">
        <v>1362</v>
      </c>
      <c r="B1363" t="s">
        <v>15</v>
      </c>
      <c r="C1363">
        <v>801760</v>
      </c>
      <c r="D1363" t="s">
        <v>10</v>
      </c>
      <c r="E1363" t="s">
        <v>16</v>
      </c>
      <c r="F1363" t="s">
        <v>12</v>
      </c>
      <c r="G1363" t="s">
        <v>13</v>
      </c>
      <c r="H1363" t="s">
        <v>12</v>
      </c>
      <c r="I1363">
        <v>45</v>
      </c>
      <c r="J1363" t="str" cm="1">
        <f t="array" ref="J1363">_xlfn.IFS(ISBLANK(C1363),"FALTANTE",ABS((C1363-$W$5)/$X$5)&gt;1.96,"ATÍPICO",ABS((C1363-$W$5)/$X$5)&lt;=1.96,"NO ATÍPICO")</f>
        <v>NO ATÍPICO</v>
      </c>
      <c r="K1363" t="str" cm="1">
        <f t="array" ref="K1363">_xlfn.IFS(ISBLANK(I1363),"FALTANTE",ABS((I1363-$W$8)/$X$8)&gt;1.92,"ATÍPICO",ABS((I1363-$W$8)/$X$8)&lt;=1.92,"NO ATÍPICO")</f>
        <v>NO ATÍPICO</v>
      </c>
      <c r="L1363">
        <f t="shared" si="100"/>
        <v>801760</v>
      </c>
      <c r="M1363" t="str">
        <f t="shared" si="100"/>
        <v>ASALARIADO</v>
      </c>
      <c r="N1363">
        <f t="shared" si="101"/>
        <v>45</v>
      </c>
      <c r="O1363" s="19" t="str">
        <f t="shared" si="102"/>
        <v>600k–900k</v>
      </c>
      <c r="P1363" s="19" t="str">
        <f t="shared" si="103"/>
        <v>36-45</v>
      </c>
    </row>
    <row r="1364" spans="1:16" x14ac:dyDescent="0.25">
      <c r="A1364">
        <v>1363</v>
      </c>
      <c r="B1364" t="s">
        <v>9</v>
      </c>
      <c r="C1364">
        <v>145670.5</v>
      </c>
      <c r="D1364" t="s">
        <v>10</v>
      </c>
      <c r="E1364" t="s">
        <v>16</v>
      </c>
      <c r="F1364" t="s">
        <v>12</v>
      </c>
      <c r="G1364" t="s">
        <v>13</v>
      </c>
      <c r="H1364" t="s">
        <v>13</v>
      </c>
      <c r="I1364">
        <v>51</v>
      </c>
      <c r="J1364" t="str" cm="1">
        <f t="array" ref="J1364">_xlfn.IFS(ISBLANK(C1364),"FALTANTE",ABS((C1364-$W$5)/$X$5)&gt;1.96,"ATÍPICO",ABS((C1364-$W$5)/$X$5)&lt;=1.96,"NO ATÍPICO")</f>
        <v>NO ATÍPICO</v>
      </c>
      <c r="K1364" t="str" cm="1">
        <f t="array" ref="K1364">_xlfn.IFS(ISBLANK(I1364),"FALTANTE",ABS((I1364-$W$8)/$X$8)&gt;1.92,"ATÍPICO",ABS((I1364-$W$8)/$X$8)&lt;=1.92,"NO ATÍPICO")</f>
        <v>NO ATÍPICO</v>
      </c>
      <c r="L1364">
        <f t="shared" si="100"/>
        <v>145670.5</v>
      </c>
      <c r="M1364" t="str">
        <f t="shared" si="100"/>
        <v>ASALARIADO</v>
      </c>
      <c r="N1364">
        <f t="shared" si="101"/>
        <v>51</v>
      </c>
      <c r="O1364" s="19" t="str">
        <f t="shared" si="102"/>
        <v>0–300k</v>
      </c>
      <c r="P1364" s="19" t="str">
        <f t="shared" si="103"/>
        <v>46-55</v>
      </c>
    </row>
    <row r="1365" spans="1:16" x14ac:dyDescent="0.25">
      <c r="A1365">
        <v>1364</v>
      </c>
      <c r="B1365" t="s">
        <v>15</v>
      </c>
      <c r="C1365">
        <v>337920</v>
      </c>
      <c r="D1365" t="s">
        <v>10</v>
      </c>
      <c r="E1365" t="s">
        <v>16</v>
      </c>
      <c r="F1365" t="s">
        <v>12</v>
      </c>
      <c r="G1365" t="s">
        <v>13</v>
      </c>
      <c r="H1365" t="s">
        <v>12</v>
      </c>
      <c r="I1365">
        <v>27</v>
      </c>
      <c r="J1365" t="str" cm="1">
        <f t="array" ref="J1365">_xlfn.IFS(ISBLANK(C1365),"FALTANTE",ABS((C1365-$W$5)/$X$5)&gt;1.96,"ATÍPICO",ABS((C1365-$W$5)/$X$5)&lt;=1.96,"NO ATÍPICO")</f>
        <v>NO ATÍPICO</v>
      </c>
      <c r="K1365" t="str" cm="1">
        <f t="array" ref="K1365">_xlfn.IFS(ISBLANK(I1365),"FALTANTE",ABS((I1365-$W$8)/$X$8)&gt;1.92,"ATÍPICO",ABS((I1365-$W$8)/$X$8)&lt;=1.92,"NO ATÍPICO")</f>
        <v>NO ATÍPICO</v>
      </c>
      <c r="L1365">
        <f t="shared" si="100"/>
        <v>337920</v>
      </c>
      <c r="M1365" t="str">
        <f t="shared" si="100"/>
        <v>ASALARIADO</v>
      </c>
      <c r="N1365">
        <f t="shared" si="101"/>
        <v>27</v>
      </c>
      <c r="O1365" s="19" t="str">
        <f t="shared" si="102"/>
        <v>300k–600k</v>
      </c>
      <c r="P1365" s="19" t="str">
        <f t="shared" si="103"/>
        <v>26-35</v>
      </c>
    </row>
    <row r="1366" spans="1:16" x14ac:dyDescent="0.25">
      <c r="A1366">
        <v>1365</v>
      </c>
      <c r="B1366" t="s">
        <v>15</v>
      </c>
      <c r="C1366">
        <v>387279.29</v>
      </c>
      <c r="D1366" t="s">
        <v>10</v>
      </c>
      <c r="E1366" t="s">
        <v>16</v>
      </c>
      <c r="F1366" t="s">
        <v>12</v>
      </c>
      <c r="G1366" t="s">
        <v>13</v>
      </c>
      <c r="H1366" t="s">
        <v>13</v>
      </c>
      <c r="I1366">
        <v>35</v>
      </c>
      <c r="J1366" t="str" cm="1">
        <f t="array" ref="J1366">_xlfn.IFS(ISBLANK(C1366),"FALTANTE",ABS((C1366-$W$5)/$X$5)&gt;1.96,"ATÍPICO",ABS((C1366-$W$5)/$X$5)&lt;=1.96,"NO ATÍPICO")</f>
        <v>NO ATÍPICO</v>
      </c>
      <c r="K1366" t="str" cm="1">
        <f t="array" ref="K1366">_xlfn.IFS(ISBLANK(I1366),"FALTANTE",ABS((I1366-$W$8)/$X$8)&gt;1.92,"ATÍPICO",ABS((I1366-$W$8)/$X$8)&lt;=1.92,"NO ATÍPICO")</f>
        <v>NO ATÍPICO</v>
      </c>
      <c r="L1366">
        <f t="shared" si="100"/>
        <v>387279.29</v>
      </c>
      <c r="M1366" t="str">
        <f t="shared" si="100"/>
        <v>ASALARIADO</v>
      </c>
      <c r="N1366">
        <f t="shared" si="101"/>
        <v>35</v>
      </c>
      <c r="O1366" s="19" t="str">
        <f t="shared" si="102"/>
        <v>300k–600k</v>
      </c>
      <c r="P1366" s="19" t="str">
        <f t="shared" si="103"/>
        <v>26-35</v>
      </c>
    </row>
    <row r="1367" spans="1:16" x14ac:dyDescent="0.25">
      <c r="A1367">
        <v>1366</v>
      </c>
      <c r="B1367" t="s">
        <v>9</v>
      </c>
      <c r="C1367">
        <v>351604</v>
      </c>
      <c r="D1367" t="s">
        <v>10</v>
      </c>
      <c r="E1367" t="s">
        <v>16</v>
      </c>
      <c r="F1367" t="s">
        <v>12</v>
      </c>
      <c r="G1367" t="s">
        <v>13</v>
      </c>
      <c r="H1367" t="s">
        <v>13</v>
      </c>
      <c r="I1367">
        <v>22</v>
      </c>
      <c r="J1367" t="str" cm="1">
        <f t="array" ref="J1367">_xlfn.IFS(ISBLANK(C1367),"FALTANTE",ABS((C1367-$W$5)/$X$5)&gt;1.96,"ATÍPICO",ABS((C1367-$W$5)/$X$5)&lt;=1.96,"NO ATÍPICO")</f>
        <v>NO ATÍPICO</v>
      </c>
      <c r="K1367" t="str" cm="1">
        <f t="array" ref="K1367">_xlfn.IFS(ISBLANK(I1367),"FALTANTE",ABS((I1367-$W$8)/$X$8)&gt;1.92,"ATÍPICO",ABS((I1367-$W$8)/$X$8)&lt;=1.92,"NO ATÍPICO")</f>
        <v>NO ATÍPICO</v>
      </c>
      <c r="L1367">
        <f t="shared" si="100"/>
        <v>351604</v>
      </c>
      <c r="M1367" t="str">
        <f t="shared" si="100"/>
        <v>ASALARIADO</v>
      </c>
      <c r="N1367">
        <f t="shared" si="101"/>
        <v>22</v>
      </c>
      <c r="O1367" s="19" t="str">
        <f t="shared" si="102"/>
        <v>300k–600k</v>
      </c>
      <c r="P1367" s="19" t="str">
        <f t="shared" si="103"/>
        <v>18-25</v>
      </c>
    </row>
    <row r="1368" spans="1:16" x14ac:dyDescent="0.25">
      <c r="A1368">
        <v>1367</v>
      </c>
      <c r="B1368" t="s">
        <v>15</v>
      </c>
      <c r="C1368">
        <v>300018</v>
      </c>
      <c r="D1368" t="s">
        <v>17</v>
      </c>
      <c r="E1368" t="s">
        <v>16</v>
      </c>
      <c r="F1368" t="s">
        <v>12</v>
      </c>
      <c r="G1368" t="s">
        <v>12</v>
      </c>
      <c r="H1368" t="s">
        <v>13</v>
      </c>
      <c r="I1368">
        <v>45</v>
      </c>
      <c r="J1368" t="str" cm="1">
        <f t="array" ref="J1368">_xlfn.IFS(ISBLANK(C1368),"FALTANTE",ABS((C1368-$W$5)/$X$5)&gt;1.96,"ATÍPICO",ABS((C1368-$W$5)/$X$5)&lt;=1.96,"NO ATÍPICO")</f>
        <v>NO ATÍPICO</v>
      </c>
      <c r="K1368" t="str" cm="1">
        <f t="array" ref="K1368">_xlfn.IFS(ISBLANK(I1368),"FALTANTE",ABS((I1368-$W$8)/$X$8)&gt;1.92,"ATÍPICO",ABS((I1368-$W$8)/$X$8)&lt;=1.92,"NO ATÍPICO")</f>
        <v>NO ATÍPICO</v>
      </c>
      <c r="L1368">
        <f t="shared" si="100"/>
        <v>300018</v>
      </c>
      <c r="M1368" t="str">
        <f t="shared" si="100"/>
        <v>ASEGURADO VOLUNTARIO</v>
      </c>
      <c r="N1368">
        <f t="shared" si="101"/>
        <v>45</v>
      </c>
      <c r="O1368" s="19" t="str">
        <f t="shared" si="102"/>
        <v>300k–600k</v>
      </c>
      <c r="P1368" s="19" t="str">
        <f t="shared" si="103"/>
        <v>36-45</v>
      </c>
    </row>
    <row r="1369" spans="1:16" x14ac:dyDescent="0.25">
      <c r="A1369">
        <v>1368</v>
      </c>
      <c r="B1369" t="s">
        <v>9</v>
      </c>
      <c r="C1369">
        <v>232960</v>
      </c>
      <c r="D1369" t="s">
        <v>10</v>
      </c>
      <c r="E1369" t="s">
        <v>16</v>
      </c>
      <c r="F1369" t="s">
        <v>12</v>
      </c>
      <c r="G1369" t="s">
        <v>13</v>
      </c>
      <c r="H1369" t="s">
        <v>13</v>
      </c>
      <c r="I1369">
        <v>60</v>
      </c>
      <c r="J1369" t="str" cm="1">
        <f t="array" ref="J1369">_xlfn.IFS(ISBLANK(C1369),"FALTANTE",ABS((C1369-$W$5)/$X$5)&gt;1.96,"ATÍPICO",ABS((C1369-$W$5)/$X$5)&lt;=1.96,"NO ATÍPICO")</f>
        <v>NO ATÍPICO</v>
      </c>
      <c r="K1369" t="str" cm="1">
        <f t="array" ref="K1369">_xlfn.IFS(ISBLANK(I1369),"FALTANTE",ABS((I1369-$W$8)/$X$8)&gt;1.92,"ATÍPICO",ABS((I1369-$W$8)/$X$8)&lt;=1.92,"NO ATÍPICO")</f>
        <v>NO ATÍPICO</v>
      </c>
      <c r="L1369">
        <f t="shared" si="100"/>
        <v>232960</v>
      </c>
      <c r="M1369" t="str">
        <f t="shared" si="100"/>
        <v>ASALARIADO</v>
      </c>
      <c r="N1369">
        <f t="shared" si="101"/>
        <v>60</v>
      </c>
      <c r="O1369" s="19" t="str">
        <f t="shared" si="102"/>
        <v>0–300k</v>
      </c>
      <c r="P1369" s="19" t="str">
        <f t="shared" si="103"/>
        <v>56+</v>
      </c>
    </row>
    <row r="1370" spans="1:16" x14ac:dyDescent="0.25">
      <c r="A1370">
        <v>1369</v>
      </c>
      <c r="B1370" t="s">
        <v>15</v>
      </c>
      <c r="C1370">
        <v>297046</v>
      </c>
      <c r="D1370" t="s">
        <v>17</v>
      </c>
      <c r="E1370" t="s">
        <v>16</v>
      </c>
      <c r="F1370" t="s">
        <v>12</v>
      </c>
      <c r="G1370" t="s">
        <v>13</v>
      </c>
      <c r="H1370" t="s">
        <v>13</v>
      </c>
      <c r="I1370">
        <v>56</v>
      </c>
      <c r="J1370" t="str" cm="1">
        <f t="array" ref="J1370">_xlfn.IFS(ISBLANK(C1370),"FALTANTE",ABS((C1370-$W$5)/$X$5)&gt;1.96,"ATÍPICO",ABS((C1370-$W$5)/$X$5)&lt;=1.96,"NO ATÍPICO")</f>
        <v>NO ATÍPICO</v>
      </c>
      <c r="K1370" t="str" cm="1">
        <f t="array" ref="K1370">_xlfn.IFS(ISBLANK(I1370),"FALTANTE",ABS((I1370-$W$8)/$X$8)&gt;1.92,"ATÍPICO",ABS((I1370-$W$8)/$X$8)&lt;=1.92,"NO ATÍPICO")</f>
        <v>NO ATÍPICO</v>
      </c>
      <c r="L1370">
        <f t="shared" si="100"/>
        <v>297046</v>
      </c>
      <c r="M1370" t="str">
        <f t="shared" si="100"/>
        <v>ASEGURADO VOLUNTARIO</v>
      </c>
      <c r="N1370">
        <f t="shared" si="101"/>
        <v>56</v>
      </c>
      <c r="O1370" s="19" t="str">
        <f t="shared" si="102"/>
        <v>0–300k</v>
      </c>
      <c r="P1370" s="19" t="str">
        <f t="shared" si="103"/>
        <v>56+</v>
      </c>
    </row>
    <row r="1371" spans="1:16" x14ac:dyDescent="0.25">
      <c r="A1371">
        <v>1370</v>
      </c>
      <c r="B1371" t="s">
        <v>9</v>
      </c>
      <c r="C1371">
        <v>683000</v>
      </c>
      <c r="D1371" t="s">
        <v>10</v>
      </c>
      <c r="E1371" t="s">
        <v>16</v>
      </c>
      <c r="F1371" t="s">
        <v>12</v>
      </c>
      <c r="G1371" t="s">
        <v>13</v>
      </c>
      <c r="H1371" t="s">
        <v>13</v>
      </c>
      <c r="I1371">
        <v>38</v>
      </c>
      <c r="J1371" t="str" cm="1">
        <f t="array" ref="J1371">_xlfn.IFS(ISBLANK(C1371),"FALTANTE",ABS((C1371-$W$5)/$X$5)&gt;1.96,"ATÍPICO",ABS((C1371-$W$5)/$X$5)&lt;=1.96,"NO ATÍPICO")</f>
        <v>NO ATÍPICO</v>
      </c>
      <c r="K1371" t="str" cm="1">
        <f t="array" ref="K1371">_xlfn.IFS(ISBLANK(I1371),"FALTANTE",ABS((I1371-$W$8)/$X$8)&gt;1.92,"ATÍPICO",ABS((I1371-$W$8)/$X$8)&lt;=1.92,"NO ATÍPICO")</f>
        <v>NO ATÍPICO</v>
      </c>
      <c r="L1371">
        <f t="shared" si="100"/>
        <v>683000</v>
      </c>
      <c r="M1371" t="str">
        <f t="shared" si="100"/>
        <v>ASALARIADO</v>
      </c>
      <c r="N1371">
        <f t="shared" si="101"/>
        <v>38</v>
      </c>
      <c r="O1371" s="19" t="str">
        <f t="shared" si="102"/>
        <v>600k–900k</v>
      </c>
      <c r="P1371" s="19" t="str">
        <f t="shared" si="103"/>
        <v>36-45</v>
      </c>
    </row>
    <row r="1372" spans="1:16" x14ac:dyDescent="0.25">
      <c r="A1372">
        <v>1371</v>
      </c>
      <c r="B1372" t="s">
        <v>15</v>
      </c>
      <c r="C1372">
        <v>876520</v>
      </c>
      <c r="D1372" t="s">
        <v>10</v>
      </c>
      <c r="E1372" t="s">
        <v>16</v>
      </c>
      <c r="F1372" t="s">
        <v>12</v>
      </c>
      <c r="G1372" t="s">
        <v>13</v>
      </c>
      <c r="H1372" t="s">
        <v>13</v>
      </c>
      <c r="I1372">
        <v>32</v>
      </c>
      <c r="J1372" t="str" cm="1">
        <f t="array" ref="J1372">_xlfn.IFS(ISBLANK(C1372),"FALTANTE",ABS((C1372-$W$5)/$X$5)&gt;1.96,"ATÍPICO",ABS((C1372-$W$5)/$X$5)&lt;=1.96,"NO ATÍPICO")</f>
        <v>NO ATÍPICO</v>
      </c>
      <c r="K1372" t="str" cm="1">
        <f t="array" ref="K1372">_xlfn.IFS(ISBLANK(I1372),"FALTANTE",ABS((I1372-$W$8)/$X$8)&gt;1.92,"ATÍPICO",ABS((I1372-$W$8)/$X$8)&lt;=1.92,"NO ATÍPICO")</f>
        <v>NO ATÍPICO</v>
      </c>
      <c r="L1372">
        <f t="shared" si="100"/>
        <v>876520</v>
      </c>
      <c r="M1372" t="str">
        <f t="shared" si="100"/>
        <v>ASALARIADO</v>
      </c>
      <c r="N1372">
        <f t="shared" si="101"/>
        <v>32</v>
      </c>
      <c r="O1372" s="19" t="str">
        <f t="shared" si="102"/>
        <v>600k–900k</v>
      </c>
      <c r="P1372" s="19" t="str">
        <f t="shared" si="103"/>
        <v>26-35</v>
      </c>
    </row>
    <row r="1373" spans="1:16" x14ac:dyDescent="0.25">
      <c r="A1373">
        <v>1372</v>
      </c>
      <c r="B1373" t="s">
        <v>9</v>
      </c>
      <c r="C1373">
        <v>409455</v>
      </c>
      <c r="D1373" t="s">
        <v>10</v>
      </c>
      <c r="E1373" t="s">
        <v>16</v>
      </c>
      <c r="F1373" t="s">
        <v>12</v>
      </c>
      <c r="G1373" t="s">
        <v>13</v>
      </c>
      <c r="H1373" t="s">
        <v>13</v>
      </c>
      <c r="I1373">
        <v>25</v>
      </c>
      <c r="J1373" t="str" cm="1">
        <f t="array" ref="J1373">_xlfn.IFS(ISBLANK(C1373),"FALTANTE",ABS((C1373-$W$5)/$X$5)&gt;1.96,"ATÍPICO",ABS((C1373-$W$5)/$X$5)&lt;=1.96,"NO ATÍPICO")</f>
        <v>NO ATÍPICO</v>
      </c>
      <c r="K1373" t="str" cm="1">
        <f t="array" ref="K1373">_xlfn.IFS(ISBLANK(I1373),"FALTANTE",ABS((I1373-$W$8)/$X$8)&gt;1.92,"ATÍPICO",ABS((I1373-$W$8)/$X$8)&lt;=1.92,"NO ATÍPICO")</f>
        <v>NO ATÍPICO</v>
      </c>
      <c r="L1373">
        <f t="shared" si="100"/>
        <v>409455</v>
      </c>
      <c r="M1373" t="str">
        <f t="shared" si="100"/>
        <v>ASALARIADO</v>
      </c>
      <c r="N1373">
        <f t="shared" si="101"/>
        <v>25</v>
      </c>
      <c r="O1373" s="19" t="str">
        <f t="shared" si="102"/>
        <v>300k–600k</v>
      </c>
      <c r="P1373" s="19" t="str">
        <f t="shared" si="103"/>
        <v>18-25</v>
      </c>
    </row>
    <row r="1374" spans="1:16" x14ac:dyDescent="0.25">
      <c r="A1374">
        <v>1373</v>
      </c>
      <c r="B1374" t="s">
        <v>9</v>
      </c>
      <c r="C1374">
        <v>3654908.92</v>
      </c>
      <c r="D1374" t="s">
        <v>14</v>
      </c>
      <c r="E1374" t="s">
        <v>11</v>
      </c>
      <c r="F1374" t="s">
        <v>12</v>
      </c>
      <c r="G1374" t="s">
        <v>13</v>
      </c>
      <c r="H1374" t="s">
        <v>13</v>
      </c>
      <c r="I1374">
        <v>62</v>
      </c>
      <c r="J1374" t="str" cm="1">
        <f t="array" ref="J1374">_xlfn.IFS(ISBLANK(C1374),"FALTANTE",ABS((C1374-$W$5)/$X$5)&gt;1.96,"ATÍPICO",ABS((C1374-$W$5)/$X$5)&lt;=1.96,"NO ATÍPICO")</f>
        <v>ATÍPICO</v>
      </c>
      <c r="K1374" t="str" cm="1">
        <f t="array" ref="K1374">_xlfn.IFS(ISBLANK(I1374),"FALTANTE",ABS((I1374-$W$8)/$X$8)&gt;1.92,"ATÍPICO",ABS((I1374-$W$8)/$X$8)&lt;=1.92,"NO ATÍPICO")</f>
        <v>NO ATÍPICO</v>
      </c>
      <c r="L1374">
        <f t="shared" si="100"/>
        <v>3654908.92</v>
      </c>
      <c r="M1374" t="str">
        <f t="shared" si="100"/>
        <v>PENSIONADOS EN SU PROPIO SISTEMA</v>
      </c>
      <c r="N1374">
        <f t="shared" si="101"/>
        <v>62</v>
      </c>
      <c r="O1374" s="19" t="str">
        <f t="shared" si="102"/>
        <v>1200k+</v>
      </c>
      <c r="P1374" s="19" t="str">
        <f t="shared" si="103"/>
        <v>56+</v>
      </c>
    </row>
    <row r="1375" spans="1:16" x14ac:dyDescent="0.25">
      <c r="A1375">
        <v>1374</v>
      </c>
      <c r="B1375" t="s">
        <v>9</v>
      </c>
      <c r="C1375">
        <v>1202466.6200000001</v>
      </c>
      <c r="D1375" t="s">
        <v>10</v>
      </c>
      <c r="E1375" t="s">
        <v>16</v>
      </c>
      <c r="F1375" t="s">
        <v>12</v>
      </c>
      <c r="G1375" t="s">
        <v>13</v>
      </c>
      <c r="H1375" t="s">
        <v>13</v>
      </c>
      <c r="I1375">
        <v>39</v>
      </c>
      <c r="J1375" t="str" cm="1">
        <f t="array" ref="J1375">_xlfn.IFS(ISBLANK(C1375),"FALTANTE",ABS((C1375-$W$5)/$X$5)&gt;1.96,"ATÍPICO",ABS((C1375-$W$5)/$X$5)&lt;=1.96,"NO ATÍPICO")</f>
        <v>NO ATÍPICO</v>
      </c>
      <c r="K1375" t="str" cm="1">
        <f t="array" ref="K1375">_xlfn.IFS(ISBLANK(I1375),"FALTANTE",ABS((I1375-$W$8)/$X$8)&gt;1.92,"ATÍPICO",ABS((I1375-$W$8)/$X$8)&lt;=1.92,"NO ATÍPICO")</f>
        <v>NO ATÍPICO</v>
      </c>
      <c r="L1375">
        <f t="shared" si="100"/>
        <v>1202466.6200000001</v>
      </c>
      <c r="M1375" t="str">
        <f t="shared" si="100"/>
        <v>ASALARIADO</v>
      </c>
      <c r="N1375">
        <f t="shared" si="101"/>
        <v>39</v>
      </c>
      <c r="O1375" s="19" t="str">
        <f t="shared" si="102"/>
        <v>1200k+</v>
      </c>
      <c r="P1375" s="19" t="str">
        <f t="shared" si="103"/>
        <v>36-45</v>
      </c>
    </row>
    <row r="1376" spans="1:16" x14ac:dyDescent="0.25">
      <c r="A1376">
        <v>1375</v>
      </c>
      <c r="B1376" t="s">
        <v>15</v>
      </c>
      <c r="C1376">
        <v>297082.46999999997</v>
      </c>
      <c r="D1376" t="s">
        <v>10</v>
      </c>
      <c r="E1376" t="s">
        <v>11</v>
      </c>
      <c r="F1376" t="s">
        <v>12</v>
      </c>
      <c r="G1376" t="s">
        <v>13</v>
      </c>
      <c r="H1376" t="s">
        <v>13</v>
      </c>
      <c r="I1376">
        <v>41</v>
      </c>
      <c r="J1376" t="str" cm="1">
        <f t="array" ref="J1376">_xlfn.IFS(ISBLANK(C1376),"FALTANTE",ABS((C1376-$W$5)/$X$5)&gt;1.96,"ATÍPICO",ABS((C1376-$W$5)/$X$5)&lt;=1.96,"NO ATÍPICO")</f>
        <v>NO ATÍPICO</v>
      </c>
      <c r="K1376" t="str" cm="1">
        <f t="array" ref="K1376">_xlfn.IFS(ISBLANK(I1376),"FALTANTE",ABS((I1376-$W$8)/$X$8)&gt;1.92,"ATÍPICO",ABS((I1376-$W$8)/$X$8)&lt;=1.92,"NO ATÍPICO")</f>
        <v>NO ATÍPICO</v>
      </c>
      <c r="L1376">
        <f t="shared" si="100"/>
        <v>297082.46999999997</v>
      </c>
      <c r="M1376" t="str">
        <f t="shared" si="100"/>
        <v>ASALARIADO</v>
      </c>
      <c r="N1376">
        <f t="shared" si="101"/>
        <v>41</v>
      </c>
      <c r="O1376" s="19" t="str">
        <f t="shared" si="102"/>
        <v>0–300k</v>
      </c>
      <c r="P1376" s="19" t="str">
        <f t="shared" si="103"/>
        <v>36-45</v>
      </c>
    </row>
    <row r="1377" spans="1:16" x14ac:dyDescent="0.25">
      <c r="A1377">
        <v>1376</v>
      </c>
      <c r="B1377" t="s">
        <v>9</v>
      </c>
      <c r="C1377">
        <v>350000</v>
      </c>
      <c r="D1377" t="s">
        <v>10</v>
      </c>
      <c r="E1377" t="s">
        <v>16</v>
      </c>
      <c r="F1377" t="s">
        <v>12</v>
      </c>
      <c r="G1377" t="s">
        <v>13</v>
      </c>
      <c r="H1377" t="s">
        <v>13</v>
      </c>
      <c r="I1377">
        <v>53</v>
      </c>
      <c r="J1377" t="str" cm="1">
        <f t="array" ref="J1377">_xlfn.IFS(ISBLANK(C1377),"FALTANTE",ABS((C1377-$W$5)/$X$5)&gt;1.96,"ATÍPICO",ABS((C1377-$W$5)/$X$5)&lt;=1.96,"NO ATÍPICO")</f>
        <v>NO ATÍPICO</v>
      </c>
      <c r="K1377" t="str" cm="1">
        <f t="array" ref="K1377">_xlfn.IFS(ISBLANK(I1377),"FALTANTE",ABS((I1377-$W$8)/$X$8)&gt;1.92,"ATÍPICO",ABS((I1377-$W$8)/$X$8)&lt;=1.92,"NO ATÍPICO")</f>
        <v>NO ATÍPICO</v>
      </c>
      <c r="L1377">
        <f t="shared" si="100"/>
        <v>350000</v>
      </c>
      <c r="M1377" t="str">
        <f t="shared" si="100"/>
        <v>ASALARIADO</v>
      </c>
      <c r="N1377">
        <f t="shared" si="101"/>
        <v>53</v>
      </c>
      <c r="O1377" s="19" t="str">
        <f t="shared" si="102"/>
        <v>300k–600k</v>
      </c>
      <c r="P1377" s="19" t="str">
        <f t="shared" si="103"/>
        <v>46-55</v>
      </c>
    </row>
    <row r="1378" spans="1:16" x14ac:dyDescent="0.25">
      <c r="A1378">
        <v>1377</v>
      </c>
      <c r="B1378" t="s">
        <v>15</v>
      </c>
      <c r="C1378">
        <v>243000</v>
      </c>
      <c r="D1378" t="s">
        <v>10</v>
      </c>
      <c r="E1378" t="s">
        <v>16</v>
      </c>
      <c r="F1378" t="s">
        <v>12</v>
      </c>
      <c r="G1378" t="s">
        <v>13</v>
      </c>
      <c r="H1378" t="s">
        <v>13</v>
      </c>
      <c r="I1378">
        <v>46</v>
      </c>
      <c r="J1378" t="str" cm="1">
        <f t="array" ref="J1378">_xlfn.IFS(ISBLANK(C1378),"FALTANTE",ABS((C1378-$W$5)/$X$5)&gt;1.96,"ATÍPICO",ABS((C1378-$W$5)/$X$5)&lt;=1.96,"NO ATÍPICO")</f>
        <v>NO ATÍPICO</v>
      </c>
      <c r="K1378" t="str" cm="1">
        <f t="array" ref="K1378">_xlfn.IFS(ISBLANK(I1378),"FALTANTE",ABS((I1378-$W$8)/$X$8)&gt;1.92,"ATÍPICO",ABS((I1378-$W$8)/$X$8)&lt;=1.92,"NO ATÍPICO")</f>
        <v>NO ATÍPICO</v>
      </c>
      <c r="L1378">
        <f t="shared" si="100"/>
        <v>243000</v>
      </c>
      <c r="M1378" t="str">
        <f t="shared" si="100"/>
        <v>ASALARIADO</v>
      </c>
      <c r="N1378">
        <f t="shared" si="101"/>
        <v>46</v>
      </c>
      <c r="O1378" s="19" t="str">
        <f t="shared" si="102"/>
        <v>0–300k</v>
      </c>
      <c r="P1378" s="19" t="str">
        <f t="shared" si="103"/>
        <v>46-55</v>
      </c>
    </row>
    <row r="1379" spans="1:16" x14ac:dyDescent="0.25">
      <c r="A1379">
        <v>1378</v>
      </c>
      <c r="B1379" t="s">
        <v>15</v>
      </c>
      <c r="C1379">
        <v>210000</v>
      </c>
      <c r="D1379" t="s">
        <v>10</v>
      </c>
      <c r="E1379" t="s">
        <v>16</v>
      </c>
      <c r="F1379" t="s">
        <v>12</v>
      </c>
      <c r="G1379" t="s">
        <v>12</v>
      </c>
      <c r="H1379" t="s">
        <v>13</v>
      </c>
      <c r="I1379">
        <v>38</v>
      </c>
      <c r="J1379" t="str" cm="1">
        <f t="array" ref="J1379">_xlfn.IFS(ISBLANK(C1379),"FALTANTE",ABS((C1379-$W$5)/$X$5)&gt;1.96,"ATÍPICO",ABS((C1379-$W$5)/$X$5)&lt;=1.96,"NO ATÍPICO")</f>
        <v>NO ATÍPICO</v>
      </c>
      <c r="K1379" t="str" cm="1">
        <f t="array" ref="K1379">_xlfn.IFS(ISBLANK(I1379),"FALTANTE",ABS((I1379-$W$8)/$X$8)&gt;1.92,"ATÍPICO",ABS((I1379-$W$8)/$X$8)&lt;=1.92,"NO ATÍPICO")</f>
        <v>NO ATÍPICO</v>
      </c>
      <c r="L1379">
        <f t="shared" si="100"/>
        <v>210000</v>
      </c>
      <c r="M1379" t="str">
        <f t="shared" si="100"/>
        <v>ASALARIADO</v>
      </c>
      <c r="N1379">
        <f t="shared" si="101"/>
        <v>38</v>
      </c>
      <c r="O1379" s="19" t="str">
        <f t="shared" si="102"/>
        <v>0–300k</v>
      </c>
      <c r="P1379" s="19" t="str">
        <f t="shared" si="103"/>
        <v>36-45</v>
      </c>
    </row>
    <row r="1380" spans="1:16" x14ac:dyDescent="0.25">
      <c r="A1380">
        <v>1379</v>
      </c>
      <c r="B1380" t="s">
        <v>15</v>
      </c>
      <c r="C1380">
        <v>1154739.48</v>
      </c>
      <c r="D1380" t="s">
        <v>10</v>
      </c>
      <c r="E1380" t="s">
        <v>11</v>
      </c>
      <c r="F1380" t="s">
        <v>12</v>
      </c>
      <c r="G1380" t="s">
        <v>13</v>
      </c>
      <c r="H1380" t="s">
        <v>13</v>
      </c>
      <c r="I1380">
        <v>30</v>
      </c>
      <c r="J1380" t="str" cm="1">
        <f t="array" ref="J1380">_xlfn.IFS(ISBLANK(C1380),"FALTANTE",ABS((C1380-$W$5)/$X$5)&gt;1.96,"ATÍPICO",ABS((C1380-$W$5)/$X$5)&lt;=1.96,"NO ATÍPICO")</f>
        <v>NO ATÍPICO</v>
      </c>
      <c r="K1380" t="str" cm="1">
        <f t="array" ref="K1380">_xlfn.IFS(ISBLANK(I1380),"FALTANTE",ABS((I1380-$W$8)/$X$8)&gt;1.92,"ATÍPICO",ABS((I1380-$W$8)/$X$8)&lt;=1.92,"NO ATÍPICO")</f>
        <v>NO ATÍPICO</v>
      </c>
      <c r="L1380">
        <f t="shared" si="100"/>
        <v>1154739.48</v>
      </c>
      <c r="M1380" t="str">
        <f t="shared" si="100"/>
        <v>ASALARIADO</v>
      </c>
      <c r="N1380">
        <f t="shared" si="101"/>
        <v>30</v>
      </c>
      <c r="O1380" s="19" t="str">
        <f t="shared" si="102"/>
        <v>900k–1200k</v>
      </c>
      <c r="P1380" s="19" t="str">
        <f t="shared" si="103"/>
        <v>26-35</v>
      </c>
    </row>
    <row r="1381" spans="1:16" x14ac:dyDescent="0.25">
      <c r="A1381">
        <v>1380</v>
      </c>
      <c r="B1381" t="s">
        <v>9</v>
      </c>
      <c r="C1381">
        <v>305704</v>
      </c>
      <c r="D1381" t="s">
        <v>18</v>
      </c>
      <c r="E1381" t="s">
        <v>16</v>
      </c>
      <c r="F1381" t="s">
        <v>12</v>
      </c>
      <c r="G1381" t="s">
        <v>13</v>
      </c>
      <c r="H1381" t="s">
        <v>12</v>
      </c>
      <c r="I1381">
        <v>41</v>
      </c>
      <c r="J1381" t="str" cm="1">
        <f t="array" ref="J1381">_xlfn.IFS(ISBLANK(C1381),"FALTANTE",ABS((C1381-$W$5)/$X$5)&gt;1.96,"ATÍPICO",ABS((C1381-$W$5)/$X$5)&lt;=1.96,"NO ATÍPICO")</f>
        <v>NO ATÍPICO</v>
      </c>
      <c r="K1381" t="str" cm="1">
        <f t="array" ref="K1381">_xlfn.IFS(ISBLANK(I1381),"FALTANTE",ABS((I1381-$W$8)/$X$8)&gt;1.92,"ATÍPICO",ABS((I1381-$W$8)/$X$8)&lt;=1.92,"NO ATÍPICO")</f>
        <v>NO ATÍPICO</v>
      </c>
      <c r="L1381">
        <f t="shared" si="100"/>
        <v>305704</v>
      </c>
      <c r="M1381" t="str">
        <f t="shared" si="100"/>
        <v>TRABAJADOR INDEPENDIENTE</v>
      </c>
      <c r="N1381">
        <f t="shared" si="101"/>
        <v>41</v>
      </c>
      <c r="O1381" s="19" t="str">
        <f t="shared" si="102"/>
        <v>300k–600k</v>
      </c>
      <c r="P1381" s="19" t="str">
        <f t="shared" si="103"/>
        <v>36-45</v>
      </c>
    </row>
    <row r="1382" spans="1:16" x14ac:dyDescent="0.25">
      <c r="A1382">
        <v>1381</v>
      </c>
      <c r="B1382" t="s">
        <v>9</v>
      </c>
      <c r="C1382">
        <v>2438887.83</v>
      </c>
      <c r="D1382" t="s">
        <v>10</v>
      </c>
      <c r="E1382" t="s">
        <v>16</v>
      </c>
      <c r="F1382" t="s">
        <v>12</v>
      </c>
      <c r="G1382" t="s">
        <v>13</v>
      </c>
      <c r="H1382" t="s">
        <v>13</v>
      </c>
      <c r="I1382">
        <v>32</v>
      </c>
      <c r="J1382" t="str" cm="1">
        <f t="array" ref="J1382">_xlfn.IFS(ISBLANK(C1382),"FALTANTE",ABS((C1382-$W$5)/$X$5)&gt;1.96,"ATÍPICO",ABS((C1382-$W$5)/$X$5)&lt;=1.96,"NO ATÍPICO")</f>
        <v>ATÍPICO</v>
      </c>
      <c r="K1382" t="str" cm="1">
        <f t="array" ref="K1382">_xlfn.IFS(ISBLANK(I1382),"FALTANTE",ABS((I1382-$W$8)/$X$8)&gt;1.92,"ATÍPICO",ABS((I1382-$W$8)/$X$8)&lt;=1.92,"NO ATÍPICO")</f>
        <v>NO ATÍPICO</v>
      </c>
      <c r="L1382">
        <f t="shared" si="100"/>
        <v>2438887.83</v>
      </c>
      <c r="M1382" t="str">
        <f t="shared" si="100"/>
        <v>ASALARIADO</v>
      </c>
      <c r="N1382">
        <f t="shared" si="101"/>
        <v>32</v>
      </c>
      <c r="O1382" s="19" t="str">
        <f t="shared" si="102"/>
        <v>1200k+</v>
      </c>
      <c r="P1382" s="19" t="str">
        <f t="shared" si="103"/>
        <v>26-35</v>
      </c>
    </row>
    <row r="1383" spans="1:16" x14ac:dyDescent="0.25">
      <c r="A1383">
        <v>1382</v>
      </c>
      <c r="B1383" t="s">
        <v>15</v>
      </c>
      <c r="C1383">
        <v>285127</v>
      </c>
      <c r="D1383" t="s">
        <v>10</v>
      </c>
      <c r="E1383" t="s">
        <v>11</v>
      </c>
      <c r="F1383" t="s">
        <v>12</v>
      </c>
      <c r="G1383" t="s">
        <v>13</v>
      </c>
      <c r="H1383" t="s">
        <v>13</v>
      </c>
      <c r="I1383">
        <v>59</v>
      </c>
      <c r="J1383" t="str" cm="1">
        <f t="array" ref="J1383">_xlfn.IFS(ISBLANK(C1383),"FALTANTE",ABS((C1383-$W$5)/$X$5)&gt;1.96,"ATÍPICO",ABS((C1383-$W$5)/$X$5)&lt;=1.96,"NO ATÍPICO")</f>
        <v>NO ATÍPICO</v>
      </c>
      <c r="K1383" t="str" cm="1">
        <f t="array" ref="K1383">_xlfn.IFS(ISBLANK(I1383),"FALTANTE",ABS((I1383-$W$8)/$X$8)&gt;1.92,"ATÍPICO",ABS((I1383-$W$8)/$X$8)&lt;=1.92,"NO ATÍPICO")</f>
        <v>NO ATÍPICO</v>
      </c>
      <c r="L1383">
        <f t="shared" si="100"/>
        <v>285127</v>
      </c>
      <c r="M1383" t="str">
        <f t="shared" si="100"/>
        <v>ASALARIADO</v>
      </c>
      <c r="N1383">
        <f t="shared" si="101"/>
        <v>59</v>
      </c>
      <c r="O1383" s="19" t="str">
        <f t="shared" si="102"/>
        <v>0–300k</v>
      </c>
      <c r="P1383" s="19" t="str">
        <f t="shared" si="103"/>
        <v>56+</v>
      </c>
    </row>
    <row r="1384" spans="1:16" x14ac:dyDescent="0.25">
      <c r="A1384">
        <v>1383</v>
      </c>
      <c r="B1384" t="s">
        <v>9</v>
      </c>
      <c r="C1384">
        <v>278030.99</v>
      </c>
      <c r="D1384" t="s">
        <v>19</v>
      </c>
      <c r="E1384" t="s">
        <v>16</v>
      </c>
      <c r="F1384" t="s">
        <v>12</v>
      </c>
      <c r="G1384" t="s">
        <v>13</v>
      </c>
      <c r="H1384" t="s">
        <v>13</v>
      </c>
      <c r="I1384">
        <v>52</v>
      </c>
      <c r="J1384" t="str" cm="1">
        <f t="array" ref="J1384">_xlfn.IFS(ISBLANK(C1384),"FALTANTE",ABS((C1384-$W$5)/$X$5)&gt;1.96,"ATÍPICO",ABS((C1384-$W$5)/$X$5)&lt;=1.96,"NO ATÍPICO")</f>
        <v>NO ATÍPICO</v>
      </c>
      <c r="K1384" t="str" cm="1">
        <f t="array" ref="K1384">_xlfn.IFS(ISBLANK(I1384),"FALTANTE",ABS((I1384-$W$8)/$X$8)&gt;1.92,"ATÍPICO",ABS((I1384-$W$8)/$X$8)&lt;=1.92,"NO ATÍPICO")</f>
        <v>NO ATÍPICO</v>
      </c>
      <c r="L1384">
        <f t="shared" si="100"/>
        <v>278030.99</v>
      </c>
      <c r="M1384" t="str">
        <f t="shared" si="100"/>
        <v>CONVENIOS ESPECIALES DE TRABAJADORES INDEPENDIENTES</v>
      </c>
      <c r="N1384">
        <f t="shared" si="101"/>
        <v>52</v>
      </c>
      <c r="O1384" s="19" t="str">
        <f t="shared" si="102"/>
        <v>0–300k</v>
      </c>
      <c r="P1384" s="19" t="str">
        <f t="shared" si="103"/>
        <v>46-55</v>
      </c>
    </row>
    <row r="1385" spans="1:16" x14ac:dyDescent="0.25">
      <c r="A1385">
        <v>1384</v>
      </c>
      <c r="B1385" t="s">
        <v>9</v>
      </c>
      <c r="C1385">
        <v>1580792</v>
      </c>
      <c r="D1385" t="s">
        <v>10</v>
      </c>
      <c r="E1385" t="s">
        <v>16</v>
      </c>
      <c r="F1385" t="s">
        <v>12</v>
      </c>
      <c r="G1385" t="s">
        <v>13</v>
      </c>
      <c r="H1385" t="s">
        <v>13</v>
      </c>
      <c r="I1385">
        <v>28</v>
      </c>
      <c r="J1385" t="str" cm="1">
        <f t="array" ref="J1385">_xlfn.IFS(ISBLANK(C1385),"FALTANTE",ABS((C1385-$W$5)/$X$5)&gt;1.96,"ATÍPICO",ABS((C1385-$W$5)/$X$5)&lt;=1.96,"NO ATÍPICO")</f>
        <v>NO ATÍPICO</v>
      </c>
      <c r="K1385" t="str" cm="1">
        <f t="array" ref="K1385">_xlfn.IFS(ISBLANK(I1385),"FALTANTE",ABS((I1385-$W$8)/$X$8)&gt;1.92,"ATÍPICO",ABS((I1385-$W$8)/$X$8)&lt;=1.92,"NO ATÍPICO")</f>
        <v>NO ATÍPICO</v>
      </c>
      <c r="L1385">
        <f t="shared" si="100"/>
        <v>1580792</v>
      </c>
      <c r="M1385" t="str">
        <f t="shared" si="100"/>
        <v>ASALARIADO</v>
      </c>
      <c r="N1385">
        <f t="shared" si="101"/>
        <v>28</v>
      </c>
      <c r="O1385" s="19" t="str">
        <f t="shared" si="102"/>
        <v>1200k+</v>
      </c>
      <c r="P1385" s="19" t="str">
        <f t="shared" si="103"/>
        <v>26-35</v>
      </c>
    </row>
    <row r="1386" spans="1:16" x14ac:dyDescent="0.25">
      <c r="A1386">
        <v>1385</v>
      </c>
      <c r="B1386" t="s">
        <v>15</v>
      </c>
      <c r="C1386">
        <v>297139</v>
      </c>
      <c r="D1386" t="s">
        <v>17</v>
      </c>
      <c r="E1386" t="s">
        <v>16</v>
      </c>
      <c r="F1386" t="s">
        <v>12</v>
      </c>
      <c r="G1386" t="s">
        <v>12</v>
      </c>
      <c r="H1386" t="s">
        <v>13</v>
      </c>
      <c r="I1386">
        <v>43</v>
      </c>
      <c r="J1386" t="str" cm="1">
        <f t="array" ref="J1386">_xlfn.IFS(ISBLANK(C1386),"FALTANTE",ABS((C1386-$W$5)/$X$5)&gt;1.96,"ATÍPICO",ABS((C1386-$W$5)/$X$5)&lt;=1.96,"NO ATÍPICO")</f>
        <v>NO ATÍPICO</v>
      </c>
      <c r="K1386" t="str" cm="1">
        <f t="array" ref="K1386">_xlfn.IFS(ISBLANK(I1386),"FALTANTE",ABS((I1386-$W$8)/$X$8)&gt;1.92,"ATÍPICO",ABS((I1386-$W$8)/$X$8)&lt;=1.92,"NO ATÍPICO")</f>
        <v>NO ATÍPICO</v>
      </c>
      <c r="L1386">
        <f t="shared" si="100"/>
        <v>297139</v>
      </c>
      <c r="M1386" t="str">
        <f t="shared" si="100"/>
        <v>ASEGURADO VOLUNTARIO</v>
      </c>
      <c r="N1386">
        <f t="shared" si="101"/>
        <v>43</v>
      </c>
      <c r="O1386" s="19" t="str">
        <f t="shared" si="102"/>
        <v>0–300k</v>
      </c>
      <c r="P1386" s="19" t="str">
        <f t="shared" si="103"/>
        <v>36-45</v>
      </c>
    </row>
    <row r="1387" spans="1:16" x14ac:dyDescent="0.25">
      <c r="A1387">
        <v>1386</v>
      </c>
      <c r="B1387" t="s">
        <v>15</v>
      </c>
      <c r="C1387">
        <v>297046</v>
      </c>
      <c r="D1387" t="s">
        <v>17</v>
      </c>
      <c r="E1387" t="s">
        <v>16</v>
      </c>
      <c r="F1387" t="s">
        <v>12</v>
      </c>
      <c r="G1387" t="s">
        <v>13</v>
      </c>
      <c r="H1387" t="s">
        <v>13</v>
      </c>
      <c r="I1387">
        <v>64</v>
      </c>
      <c r="J1387" t="str" cm="1">
        <f t="array" ref="J1387">_xlfn.IFS(ISBLANK(C1387),"FALTANTE",ABS((C1387-$W$5)/$X$5)&gt;1.96,"ATÍPICO",ABS((C1387-$W$5)/$X$5)&lt;=1.96,"NO ATÍPICO")</f>
        <v>NO ATÍPICO</v>
      </c>
      <c r="K1387" t="str" cm="1">
        <f t="array" ref="K1387">_xlfn.IFS(ISBLANK(I1387),"FALTANTE",ABS((I1387-$W$8)/$X$8)&gt;1.92,"ATÍPICO",ABS((I1387-$W$8)/$X$8)&lt;=1.92,"NO ATÍPICO")</f>
        <v>NO ATÍPICO</v>
      </c>
      <c r="L1387">
        <f t="shared" si="100"/>
        <v>297046</v>
      </c>
      <c r="M1387" t="str">
        <f t="shared" si="100"/>
        <v>ASEGURADO VOLUNTARIO</v>
      </c>
      <c r="N1387">
        <f t="shared" si="101"/>
        <v>64</v>
      </c>
      <c r="O1387" s="19" t="str">
        <f t="shared" si="102"/>
        <v>0–300k</v>
      </c>
      <c r="P1387" s="19" t="str">
        <f t="shared" si="103"/>
        <v>56+</v>
      </c>
    </row>
    <row r="1388" spans="1:16" x14ac:dyDescent="0.25">
      <c r="A1388">
        <v>1387</v>
      </c>
      <c r="B1388" t="s">
        <v>9</v>
      </c>
      <c r="C1388">
        <v>278030</v>
      </c>
      <c r="D1388" t="s">
        <v>19</v>
      </c>
      <c r="E1388" t="s">
        <v>16</v>
      </c>
      <c r="F1388" t="s">
        <v>12</v>
      </c>
      <c r="G1388" t="s">
        <v>13</v>
      </c>
      <c r="H1388" t="s">
        <v>13</v>
      </c>
      <c r="I1388">
        <v>32</v>
      </c>
      <c r="J1388" t="str" cm="1">
        <f t="array" ref="J1388">_xlfn.IFS(ISBLANK(C1388),"FALTANTE",ABS((C1388-$W$5)/$X$5)&gt;1.96,"ATÍPICO",ABS((C1388-$W$5)/$X$5)&lt;=1.96,"NO ATÍPICO")</f>
        <v>NO ATÍPICO</v>
      </c>
      <c r="K1388" t="str" cm="1">
        <f t="array" ref="K1388">_xlfn.IFS(ISBLANK(I1388),"FALTANTE",ABS((I1388-$W$8)/$X$8)&gt;1.92,"ATÍPICO",ABS((I1388-$W$8)/$X$8)&lt;=1.92,"NO ATÍPICO")</f>
        <v>NO ATÍPICO</v>
      </c>
      <c r="L1388">
        <f t="shared" si="100"/>
        <v>278030</v>
      </c>
      <c r="M1388" t="str">
        <f t="shared" si="100"/>
        <v>CONVENIOS ESPECIALES DE TRABAJADORES INDEPENDIENTES</v>
      </c>
      <c r="N1388">
        <f t="shared" si="101"/>
        <v>32</v>
      </c>
      <c r="O1388" s="19" t="str">
        <f t="shared" si="102"/>
        <v>0–300k</v>
      </c>
      <c r="P1388" s="19" t="str">
        <f t="shared" si="103"/>
        <v>26-35</v>
      </c>
    </row>
    <row r="1389" spans="1:16" x14ac:dyDescent="0.25">
      <c r="A1389">
        <v>1388</v>
      </c>
      <c r="B1389" t="s">
        <v>9</v>
      </c>
      <c r="C1389">
        <v>580000</v>
      </c>
      <c r="D1389" t="s">
        <v>10</v>
      </c>
      <c r="E1389" t="s">
        <v>16</v>
      </c>
      <c r="F1389" t="s">
        <v>12</v>
      </c>
      <c r="G1389" t="s">
        <v>13</v>
      </c>
      <c r="H1389" t="s">
        <v>13</v>
      </c>
      <c r="I1389">
        <v>24</v>
      </c>
      <c r="J1389" t="str" cm="1">
        <f t="array" ref="J1389">_xlfn.IFS(ISBLANK(C1389),"FALTANTE",ABS((C1389-$W$5)/$X$5)&gt;1.96,"ATÍPICO",ABS((C1389-$W$5)/$X$5)&lt;=1.96,"NO ATÍPICO")</f>
        <v>NO ATÍPICO</v>
      </c>
      <c r="K1389" t="str" cm="1">
        <f t="array" ref="K1389">_xlfn.IFS(ISBLANK(I1389),"FALTANTE",ABS((I1389-$W$8)/$X$8)&gt;1.92,"ATÍPICO",ABS((I1389-$W$8)/$X$8)&lt;=1.92,"NO ATÍPICO")</f>
        <v>NO ATÍPICO</v>
      </c>
      <c r="L1389">
        <f t="shared" si="100"/>
        <v>580000</v>
      </c>
      <c r="M1389" t="str">
        <f t="shared" si="100"/>
        <v>ASALARIADO</v>
      </c>
      <c r="N1389">
        <f t="shared" si="101"/>
        <v>24</v>
      </c>
      <c r="O1389" s="19" t="str">
        <f t="shared" si="102"/>
        <v>300k–600k</v>
      </c>
      <c r="P1389" s="19" t="str">
        <f t="shared" si="103"/>
        <v>18-25</v>
      </c>
    </row>
    <row r="1390" spans="1:16" x14ac:dyDescent="0.25">
      <c r="A1390">
        <v>1389</v>
      </c>
      <c r="B1390" t="s">
        <v>15</v>
      </c>
      <c r="C1390">
        <v>504976</v>
      </c>
      <c r="D1390" t="s">
        <v>18</v>
      </c>
      <c r="E1390" t="s">
        <v>16</v>
      </c>
      <c r="F1390" t="s">
        <v>12</v>
      </c>
      <c r="G1390" t="s">
        <v>13</v>
      </c>
      <c r="H1390" t="s">
        <v>13</v>
      </c>
      <c r="I1390">
        <v>36</v>
      </c>
      <c r="J1390" t="str" cm="1">
        <f t="array" ref="J1390">_xlfn.IFS(ISBLANK(C1390),"FALTANTE",ABS((C1390-$W$5)/$X$5)&gt;1.96,"ATÍPICO",ABS((C1390-$W$5)/$X$5)&lt;=1.96,"NO ATÍPICO")</f>
        <v>NO ATÍPICO</v>
      </c>
      <c r="K1390" t="str" cm="1">
        <f t="array" ref="K1390">_xlfn.IFS(ISBLANK(I1390),"FALTANTE",ABS((I1390-$W$8)/$X$8)&gt;1.92,"ATÍPICO",ABS((I1390-$W$8)/$X$8)&lt;=1.92,"NO ATÍPICO")</f>
        <v>NO ATÍPICO</v>
      </c>
      <c r="L1390">
        <f t="shared" si="100"/>
        <v>504976</v>
      </c>
      <c r="M1390" t="str">
        <f t="shared" si="100"/>
        <v>TRABAJADOR INDEPENDIENTE</v>
      </c>
      <c r="N1390">
        <f t="shared" si="101"/>
        <v>36</v>
      </c>
      <c r="O1390" s="19" t="str">
        <f t="shared" si="102"/>
        <v>300k–600k</v>
      </c>
      <c r="P1390" s="19" t="str">
        <f t="shared" si="103"/>
        <v>36-45</v>
      </c>
    </row>
    <row r="1391" spans="1:16" x14ac:dyDescent="0.25">
      <c r="A1391">
        <v>1390</v>
      </c>
      <c r="B1391" t="s">
        <v>9</v>
      </c>
      <c r="C1391">
        <v>482000</v>
      </c>
      <c r="D1391" t="s">
        <v>10</v>
      </c>
      <c r="E1391" t="s">
        <v>16</v>
      </c>
      <c r="F1391" t="s">
        <v>12</v>
      </c>
      <c r="G1391" t="s">
        <v>13</v>
      </c>
      <c r="H1391" t="s">
        <v>12</v>
      </c>
      <c r="I1391">
        <v>36</v>
      </c>
      <c r="J1391" t="str" cm="1">
        <f t="array" ref="J1391">_xlfn.IFS(ISBLANK(C1391),"FALTANTE",ABS((C1391-$W$5)/$X$5)&gt;1.96,"ATÍPICO",ABS((C1391-$W$5)/$X$5)&lt;=1.96,"NO ATÍPICO")</f>
        <v>NO ATÍPICO</v>
      </c>
      <c r="K1391" t="str" cm="1">
        <f t="array" ref="K1391">_xlfn.IFS(ISBLANK(I1391),"FALTANTE",ABS((I1391-$W$8)/$X$8)&gt;1.92,"ATÍPICO",ABS((I1391-$W$8)/$X$8)&lt;=1.92,"NO ATÍPICO")</f>
        <v>NO ATÍPICO</v>
      </c>
      <c r="L1391">
        <f t="shared" si="100"/>
        <v>482000</v>
      </c>
      <c r="M1391" t="str">
        <f t="shared" si="100"/>
        <v>ASALARIADO</v>
      </c>
      <c r="N1391">
        <f t="shared" si="101"/>
        <v>36</v>
      </c>
      <c r="O1391" s="19" t="str">
        <f t="shared" si="102"/>
        <v>300k–600k</v>
      </c>
      <c r="P1391" s="19" t="str">
        <f t="shared" si="103"/>
        <v>36-45</v>
      </c>
    </row>
    <row r="1392" spans="1:16" x14ac:dyDescent="0.25">
      <c r="A1392">
        <v>1391</v>
      </c>
      <c r="B1392" t="s">
        <v>9</v>
      </c>
      <c r="C1392">
        <v>639148</v>
      </c>
      <c r="D1392" t="s">
        <v>17</v>
      </c>
      <c r="E1392" t="s">
        <v>16</v>
      </c>
      <c r="F1392" t="s">
        <v>12</v>
      </c>
      <c r="G1392" t="s">
        <v>13</v>
      </c>
      <c r="H1392" t="s">
        <v>13</v>
      </c>
      <c r="I1392">
        <v>79</v>
      </c>
      <c r="J1392" t="str" cm="1">
        <f t="array" ref="J1392">_xlfn.IFS(ISBLANK(C1392),"FALTANTE",ABS((C1392-$W$5)/$X$5)&gt;1.96,"ATÍPICO",ABS((C1392-$W$5)/$X$5)&lt;=1.96,"NO ATÍPICO")</f>
        <v>NO ATÍPICO</v>
      </c>
      <c r="K1392" t="str" cm="1">
        <f t="array" ref="K1392">_xlfn.IFS(ISBLANK(I1392),"FALTANTE",ABS((I1392-$W$8)/$X$8)&gt;1.92,"ATÍPICO",ABS((I1392-$W$8)/$X$8)&lt;=1.92,"NO ATÍPICO")</f>
        <v>ATÍPICO</v>
      </c>
      <c r="L1392">
        <f t="shared" si="100"/>
        <v>639148</v>
      </c>
      <c r="M1392" t="str">
        <f t="shared" si="100"/>
        <v>ASEGURADO VOLUNTARIO</v>
      </c>
      <c r="N1392">
        <f t="shared" si="101"/>
        <v>79</v>
      </c>
      <c r="O1392" s="19" t="str">
        <f t="shared" si="102"/>
        <v>600k–900k</v>
      </c>
      <c r="P1392" s="19" t="str">
        <f t="shared" si="103"/>
        <v>56+</v>
      </c>
    </row>
    <row r="1393" spans="1:16" x14ac:dyDescent="0.25">
      <c r="A1393">
        <v>1392</v>
      </c>
      <c r="B1393" t="s">
        <v>9</v>
      </c>
      <c r="C1393">
        <v>263640</v>
      </c>
      <c r="D1393" t="s">
        <v>10</v>
      </c>
      <c r="E1393" t="s">
        <v>16</v>
      </c>
      <c r="F1393" t="s">
        <v>12</v>
      </c>
      <c r="G1393" t="s">
        <v>13</v>
      </c>
      <c r="H1393" t="s">
        <v>13</v>
      </c>
      <c r="I1393">
        <v>31</v>
      </c>
      <c r="J1393" t="str" cm="1">
        <f t="array" ref="J1393">_xlfn.IFS(ISBLANK(C1393),"FALTANTE",ABS((C1393-$W$5)/$X$5)&gt;1.96,"ATÍPICO",ABS((C1393-$W$5)/$X$5)&lt;=1.96,"NO ATÍPICO")</f>
        <v>NO ATÍPICO</v>
      </c>
      <c r="K1393" t="str" cm="1">
        <f t="array" ref="K1393">_xlfn.IFS(ISBLANK(I1393),"FALTANTE",ABS((I1393-$W$8)/$X$8)&gt;1.92,"ATÍPICO",ABS((I1393-$W$8)/$X$8)&lt;=1.92,"NO ATÍPICO")</f>
        <v>NO ATÍPICO</v>
      </c>
      <c r="L1393">
        <f t="shared" si="100"/>
        <v>263640</v>
      </c>
      <c r="M1393" t="str">
        <f t="shared" si="100"/>
        <v>ASALARIADO</v>
      </c>
      <c r="N1393">
        <f t="shared" si="101"/>
        <v>31</v>
      </c>
      <c r="O1393" s="19" t="str">
        <f t="shared" si="102"/>
        <v>0–300k</v>
      </c>
      <c r="P1393" s="19" t="str">
        <f t="shared" si="103"/>
        <v>26-35</v>
      </c>
    </row>
    <row r="1394" spans="1:16" x14ac:dyDescent="0.25">
      <c r="A1394">
        <v>1393</v>
      </c>
      <c r="B1394" t="s">
        <v>15</v>
      </c>
      <c r="C1394">
        <v>846529</v>
      </c>
      <c r="D1394" t="s">
        <v>10</v>
      </c>
      <c r="E1394" t="s">
        <v>11</v>
      </c>
      <c r="F1394" t="s">
        <v>12</v>
      </c>
      <c r="G1394" t="s">
        <v>13</v>
      </c>
      <c r="H1394" t="s">
        <v>13</v>
      </c>
      <c r="I1394">
        <v>28</v>
      </c>
      <c r="J1394" t="str" cm="1">
        <f t="array" ref="J1394">_xlfn.IFS(ISBLANK(C1394),"FALTANTE",ABS((C1394-$W$5)/$X$5)&gt;1.96,"ATÍPICO",ABS((C1394-$W$5)/$X$5)&lt;=1.96,"NO ATÍPICO")</f>
        <v>NO ATÍPICO</v>
      </c>
      <c r="K1394" t="str" cm="1">
        <f t="array" ref="K1394">_xlfn.IFS(ISBLANK(I1394),"FALTANTE",ABS((I1394-$W$8)/$X$8)&gt;1.92,"ATÍPICO",ABS((I1394-$W$8)/$X$8)&lt;=1.92,"NO ATÍPICO")</f>
        <v>NO ATÍPICO</v>
      </c>
      <c r="L1394">
        <f t="shared" si="100"/>
        <v>846529</v>
      </c>
      <c r="M1394" t="str">
        <f t="shared" si="100"/>
        <v>ASALARIADO</v>
      </c>
      <c r="N1394">
        <f t="shared" si="101"/>
        <v>28</v>
      </c>
      <c r="O1394" s="19" t="str">
        <f t="shared" si="102"/>
        <v>600k–900k</v>
      </c>
      <c r="P1394" s="19" t="str">
        <f t="shared" si="103"/>
        <v>26-35</v>
      </c>
    </row>
    <row r="1395" spans="1:16" x14ac:dyDescent="0.25">
      <c r="A1395">
        <v>1394</v>
      </c>
      <c r="B1395" t="s">
        <v>15</v>
      </c>
      <c r="C1395">
        <v>240890.9</v>
      </c>
      <c r="D1395" t="s">
        <v>14</v>
      </c>
      <c r="E1395" t="s">
        <v>11</v>
      </c>
      <c r="F1395" t="s">
        <v>12</v>
      </c>
      <c r="G1395" t="s">
        <v>13</v>
      </c>
      <c r="H1395" t="s">
        <v>13</v>
      </c>
      <c r="I1395">
        <v>83</v>
      </c>
      <c r="J1395" t="str" cm="1">
        <f t="array" ref="J1395">_xlfn.IFS(ISBLANK(C1395),"FALTANTE",ABS((C1395-$W$5)/$X$5)&gt;1.96,"ATÍPICO",ABS((C1395-$W$5)/$X$5)&lt;=1.96,"NO ATÍPICO")</f>
        <v>NO ATÍPICO</v>
      </c>
      <c r="K1395" t="str" cm="1">
        <f t="array" ref="K1395">_xlfn.IFS(ISBLANK(I1395),"FALTANTE",ABS((I1395-$W$8)/$X$8)&gt;1.92,"ATÍPICO",ABS((I1395-$W$8)/$X$8)&lt;=1.92,"NO ATÍPICO")</f>
        <v>ATÍPICO</v>
      </c>
      <c r="L1395">
        <f t="shared" si="100"/>
        <v>240890.9</v>
      </c>
      <c r="M1395" t="str">
        <f t="shared" si="100"/>
        <v>PENSIONADOS EN SU PROPIO SISTEMA</v>
      </c>
      <c r="N1395">
        <f t="shared" si="101"/>
        <v>83</v>
      </c>
      <c r="O1395" s="19" t="str">
        <f t="shared" si="102"/>
        <v>0–300k</v>
      </c>
      <c r="P1395" s="19" t="str">
        <f t="shared" si="103"/>
        <v>56+</v>
      </c>
    </row>
    <row r="1396" spans="1:16" x14ac:dyDescent="0.25">
      <c r="A1396">
        <v>1395</v>
      </c>
      <c r="B1396" t="s">
        <v>9</v>
      </c>
      <c r="C1396">
        <v>924156</v>
      </c>
      <c r="D1396" t="s">
        <v>10</v>
      </c>
      <c r="E1396" t="s">
        <v>16</v>
      </c>
      <c r="F1396" t="s">
        <v>12</v>
      </c>
      <c r="G1396" t="s">
        <v>13</v>
      </c>
      <c r="H1396" t="s">
        <v>13</v>
      </c>
      <c r="I1396">
        <v>28</v>
      </c>
      <c r="J1396" t="str" cm="1">
        <f t="array" ref="J1396">_xlfn.IFS(ISBLANK(C1396),"FALTANTE",ABS((C1396-$W$5)/$X$5)&gt;1.96,"ATÍPICO",ABS((C1396-$W$5)/$X$5)&lt;=1.96,"NO ATÍPICO")</f>
        <v>NO ATÍPICO</v>
      </c>
      <c r="K1396" t="str" cm="1">
        <f t="array" ref="K1396">_xlfn.IFS(ISBLANK(I1396),"FALTANTE",ABS((I1396-$W$8)/$X$8)&gt;1.92,"ATÍPICO",ABS((I1396-$W$8)/$X$8)&lt;=1.92,"NO ATÍPICO")</f>
        <v>NO ATÍPICO</v>
      </c>
      <c r="L1396">
        <f t="shared" si="100"/>
        <v>924156</v>
      </c>
      <c r="M1396" t="str">
        <f t="shared" si="100"/>
        <v>ASALARIADO</v>
      </c>
      <c r="N1396">
        <f t="shared" si="101"/>
        <v>28</v>
      </c>
      <c r="O1396" s="19" t="str">
        <f t="shared" si="102"/>
        <v>900k–1200k</v>
      </c>
      <c r="P1396" s="19" t="str">
        <f t="shared" si="103"/>
        <v>26-35</v>
      </c>
    </row>
    <row r="1397" spans="1:16" x14ac:dyDescent="0.25">
      <c r="A1397">
        <v>1396</v>
      </c>
      <c r="B1397" t="s">
        <v>15</v>
      </c>
      <c r="C1397">
        <v>1815071.5</v>
      </c>
      <c r="D1397" t="s">
        <v>10</v>
      </c>
      <c r="E1397" t="s">
        <v>11</v>
      </c>
      <c r="F1397" t="s">
        <v>12</v>
      </c>
      <c r="G1397" t="s">
        <v>13</v>
      </c>
      <c r="H1397" t="s">
        <v>13</v>
      </c>
      <c r="I1397">
        <v>35</v>
      </c>
      <c r="J1397" t="str" cm="1">
        <f t="array" ref="J1397">_xlfn.IFS(ISBLANK(C1397),"FALTANTE",ABS((C1397-$W$5)/$X$5)&gt;1.96,"ATÍPICO",ABS((C1397-$W$5)/$X$5)&lt;=1.96,"NO ATÍPICO")</f>
        <v>NO ATÍPICO</v>
      </c>
      <c r="K1397" t="str" cm="1">
        <f t="array" ref="K1397">_xlfn.IFS(ISBLANK(I1397),"FALTANTE",ABS((I1397-$W$8)/$X$8)&gt;1.92,"ATÍPICO",ABS((I1397-$W$8)/$X$8)&lt;=1.92,"NO ATÍPICO")</f>
        <v>NO ATÍPICO</v>
      </c>
      <c r="L1397">
        <f t="shared" si="100"/>
        <v>1815071.5</v>
      </c>
      <c r="M1397" t="str">
        <f t="shared" si="100"/>
        <v>ASALARIADO</v>
      </c>
      <c r="N1397">
        <f t="shared" si="101"/>
        <v>35</v>
      </c>
      <c r="O1397" s="19" t="str">
        <f t="shared" si="102"/>
        <v>1200k+</v>
      </c>
      <c r="P1397" s="19" t="str">
        <f t="shared" si="103"/>
        <v>26-35</v>
      </c>
    </row>
    <row r="1398" spans="1:16" x14ac:dyDescent="0.25">
      <c r="A1398">
        <v>1397</v>
      </c>
      <c r="B1398" t="s">
        <v>9</v>
      </c>
      <c r="C1398">
        <v>585937</v>
      </c>
      <c r="D1398" t="s">
        <v>18</v>
      </c>
      <c r="E1398" t="s">
        <v>16</v>
      </c>
      <c r="F1398" t="s">
        <v>12</v>
      </c>
      <c r="G1398" t="s">
        <v>13</v>
      </c>
      <c r="H1398" t="s">
        <v>12</v>
      </c>
      <c r="I1398">
        <v>57</v>
      </c>
      <c r="J1398" t="str" cm="1">
        <f t="array" ref="J1398">_xlfn.IFS(ISBLANK(C1398),"FALTANTE",ABS((C1398-$W$5)/$X$5)&gt;1.96,"ATÍPICO",ABS((C1398-$W$5)/$X$5)&lt;=1.96,"NO ATÍPICO")</f>
        <v>NO ATÍPICO</v>
      </c>
      <c r="K1398" t="str" cm="1">
        <f t="array" ref="K1398">_xlfn.IFS(ISBLANK(I1398),"FALTANTE",ABS((I1398-$W$8)/$X$8)&gt;1.92,"ATÍPICO",ABS((I1398-$W$8)/$X$8)&lt;=1.92,"NO ATÍPICO")</f>
        <v>NO ATÍPICO</v>
      </c>
      <c r="L1398">
        <f t="shared" si="100"/>
        <v>585937</v>
      </c>
      <c r="M1398" t="str">
        <f t="shared" si="100"/>
        <v>TRABAJADOR INDEPENDIENTE</v>
      </c>
      <c r="N1398">
        <f t="shared" si="101"/>
        <v>57</v>
      </c>
      <c r="O1398" s="19" t="str">
        <f t="shared" si="102"/>
        <v>300k–600k</v>
      </c>
      <c r="P1398" s="19" t="str">
        <f t="shared" si="103"/>
        <v>56+</v>
      </c>
    </row>
    <row r="1399" spans="1:16" x14ac:dyDescent="0.25">
      <c r="A1399">
        <v>1398</v>
      </c>
      <c r="B1399" t="s">
        <v>9</v>
      </c>
      <c r="C1399">
        <v>223702.12</v>
      </c>
      <c r="D1399" t="s">
        <v>10</v>
      </c>
      <c r="E1399" t="s">
        <v>16</v>
      </c>
      <c r="F1399" t="s">
        <v>12</v>
      </c>
      <c r="G1399" t="s">
        <v>13</v>
      </c>
      <c r="H1399" t="s">
        <v>13</v>
      </c>
      <c r="I1399">
        <v>53</v>
      </c>
      <c r="J1399" t="str" cm="1">
        <f t="array" ref="J1399">_xlfn.IFS(ISBLANK(C1399),"FALTANTE",ABS((C1399-$W$5)/$X$5)&gt;1.96,"ATÍPICO",ABS((C1399-$W$5)/$X$5)&lt;=1.96,"NO ATÍPICO")</f>
        <v>NO ATÍPICO</v>
      </c>
      <c r="K1399" t="str" cm="1">
        <f t="array" ref="K1399">_xlfn.IFS(ISBLANK(I1399),"FALTANTE",ABS((I1399-$W$8)/$X$8)&gt;1.92,"ATÍPICO",ABS((I1399-$W$8)/$X$8)&lt;=1.92,"NO ATÍPICO")</f>
        <v>NO ATÍPICO</v>
      </c>
      <c r="L1399">
        <f t="shared" si="100"/>
        <v>223702.12</v>
      </c>
      <c r="M1399" t="str">
        <f t="shared" si="100"/>
        <v>ASALARIADO</v>
      </c>
      <c r="N1399">
        <f t="shared" si="101"/>
        <v>53</v>
      </c>
      <c r="O1399" s="19" t="str">
        <f t="shared" si="102"/>
        <v>0–300k</v>
      </c>
      <c r="P1399" s="19" t="str">
        <f t="shared" si="103"/>
        <v>46-55</v>
      </c>
    </row>
    <row r="1400" spans="1:16" x14ac:dyDescent="0.25">
      <c r="A1400">
        <v>1399</v>
      </c>
      <c r="B1400" t="s">
        <v>9</v>
      </c>
      <c r="C1400">
        <v>155807.99</v>
      </c>
      <c r="D1400" t="s">
        <v>10</v>
      </c>
      <c r="E1400" t="s">
        <v>16</v>
      </c>
      <c r="F1400" t="s">
        <v>12</v>
      </c>
      <c r="G1400" t="s">
        <v>13</v>
      </c>
      <c r="H1400" t="s">
        <v>13</v>
      </c>
      <c r="I1400">
        <v>42</v>
      </c>
      <c r="J1400" t="str" cm="1">
        <f t="array" ref="J1400">_xlfn.IFS(ISBLANK(C1400),"FALTANTE",ABS((C1400-$W$5)/$X$5)&gt;1.96,"ATÍPICO",ABS((C1400-$W$5)/$X$5)&lt;=1.96,"NO ATÍPICO")</f>
        <v>NO ATÍPICO</v>
      </c>
      <c r="K1400" t="str" cm="1">
        <f t="array" ref="K1400">_xlfn.IFS(ISBLANK(I1400),"FALTANTE",ABS((I1400-$W$8)/$X$8)&gt;1.92,"ATÍPICO",ABS((I1400-$W$8)/$X$8)&lt;=1.92,"NO ATÍPICO")</f>
        <v>NO ATÍPICO</v>
      </c>
      <c r="L1400">
        <f t="shared" si="100"/>
        <v>155807.99</v>
      </c>
      <c r="M1400" t="str">
        <f t="shared" si="100"/>
        <v>ASALARIADO</v>
      </c>
      <c r="N1400">
        <f t="shared" si="101"/>
        <v>42</v>
      </c>
      <c r="O1400" s="19" t="str">
        <f t="shared" si="102"/>
        <v>0–300k</v>
      </c>
      <c r="P1400" s="19" t="str">
        <f t="shared" si="103"/>
        <v>36-45</v>
      </c>
    </row>
    <row r="1401" spans="1:16" x14ac:dyDescent="0.25">
      <c r="A1401">
        <v>1400</v>
      </c>
      <c r="B1401" t="s">
        <v>9</v>
      </c>
      <c r="C1401">
        <v>361976.88</v>
      </c>
      <c r="D1401" t="s">
        <v>10</v>
      </c>
      <c r="E1401" t="s">
        <v>16</v>
      </c>
      <c r="F1401" t="s">
        <v>12</v>
      </c>
      <c r="G1401" t="s">
        <v>13</v>
      </c>
      <c r="H1401" t="s">
        <v>13</v>
      </c>
      <c r="I1401">
        <v>48</v>
      </c>
      <c r="J1401" t="str" cm="1">
        <f t="array" ref="J1401">_xlfn.IFS(ISBLANK(C1401),"FALTANTE",ABS((C1401-$W$5)/$X$5)&gt;1.96,"ATÍPICO",ABS((C1401-$W$5)/$X$5)&lt;=1.96,"NO ATÍPICO")</f>
        <v>NO ATÍPICO</v>
      </c>
      <c r="K1401" t="str" cm="1">
        <f t="array" ref="K1401">_xlfn.IFS(ISBLANK(I1401),"FALTANTE",ABS((I1401-$W$8)/$X$8)&gt;1.92,"ATÍPICO",ABS((I1401-$W$8)/$X$8)&lt;=1.92,"NO ATÍPICO")</f>
        <v>NO ATÍPICO</v>
      </c>
      <c r="L1401">
        <f t="shared" si="100"/>
        <v>361976.88</v>
      </c>
      <c r="M1401" t="str">
        <f t="shared" si="100"/>
        <v>ASALARIADO</v>
      </c>
      <c r="N1401">
        <f t="shared" si="101"/>
        <v>48</v>
      </c>
      <c r="O1401" s="19" t="str">
        <f t="shared" si="102"/>
        <v>300k–600k</v>
      </c>
      <c r="P1401" s="19" t="str">
        <f t="shared" si="103"/>
        <v>46-55</v>
      </c>
    </row>
    <row r="1402" spans="1:16" x14ac:dyDescent="0.25">
      <c r="A1402">
        <v>1401</v>
      </c>
      <c r="B1402" t="s">
        <v>9</v>
      </c>
      <c r="C1402">
        <v>573500</v>
      </c>
      <c r="D1402" t="s">
        <v>10</v>
      </c>
      <c r="E1402" t="s">
        <v>16</v>
      </c>
      <c r="F1402" t="s">
        <v>12</v>
      </c>
      <c r="G1402" t="s">
        <v>13</v>
      </c>
      <c r="H1402" t="s">
        <v>13</v>
      </c>
      <c r="I1402">
        <v>26</v>
      </c>
      <c r="J1402" t="str" cm="1">
        <f t="array" ref="J1402">_xlfn.IFS(ISBLANK(C1402),"FALTANTE",ABS((C1402-$W$5)/$X$5)&gt;1.96,"ATÍPICO",ABS((C1402-$W$5)/$X$5)&lt;=1.96,"NO ATÍPICO")</f>
        <v>NO ATÍPICO</v>
      </c>
      <c r="K1402" t="str" cm="1">
        <f t="array" ref="K1402">_xlfn.IFS(ISBLANK(I1402),"FALTANTE",ABS((I1402-$W$8)/$X$8)&gt;1.92,"ATÍPICO",ABS((I1402-$W$8)/$X$8)&lt;=1.92,"NO ATÍPICO")</f>
        <v>NO ATÍPICO</v>
      </c>
      <c r="L1402">
        <f t="shared" si="100"/>
        <v>573500</v>
      </c>
      <c r="M1402" t="str">
        <f t="shared" si="100"/>
        <v>ASALARIADO</v>
      </c>
      <c r="N1402">
        <f t="shared" si="101"/>
        <v>26</v>
      </c>
      <c r="O1402" s="19" t="str">
        <f t="shared" si="102"/>
        <v>300k–600k</v>
      </c>
      <c r="P1402" s="19" t="str">
        <f t="shared" si="103"/>
        <v>26-35</v>
      </c>
    </row>
    <row r="1403" spans="1:16" x14ac:dyDescent="0.25">
      <c r="A1403">
        <v>1402</v>
      </c>
      <c r="B1403" t="s">
        <v>9</v>
      </c>
      <c r="C1403">
        <v>180000</v>
      </c>
      <c r="D1403" t="s">
        <v>10</v>
      </c>
      <c r="E1403" t="s">
        <v>16</v>
      </c>
      <c r="F1403" t="s">
        <v>12</v>
      </c>
      <c r="G1403" t="s">
        <v>13</v>
      </c>
      <c r="H1403" t="s">
        <v>12</v>
      </c>
      <c r="I1403">
        <v>47</v>
      </c>
      <c r="J1403" t="str" cm="1">
        <f t="array" ref="J1403">_xlfn.IFS(ISBLANK(C1403),"FALTANTE",ABS((C1403-$W$5)/$X$5)&gt;1.96,"ATÍPICO",ABS((C1403-$W$5)/$X$5)&lt;=1.96,"NO ATÍPICO")</f>
        <v>NO ATÍPICO</v>
      </c>
      <c r="K1403" t="str" cm="1">
        <f t="array" ref="K1403">_xlfn.IFS(ISBLANK(I1403),"FALTANTE",ABS((I1403-$W$8)/$X$8)&gt;1.92,"ATÍPICO",ABS((I1403-$W$8)/$X$8)&lt;=1.92,"NO ATÍPICO")</f>
        <v>NO ATÍPICO</v>
      </c>
      <c r="L1403">
        <f t="shared" si="100"/>
        <v>180000</v>
      </c>
      <c r="M1403" t="str">
        <f t="shared" si="100"/>
        <v>ASALARIADO</v>
      </c>
      <c r="N1403">
        <f t="shared" si="101"/>
        <v>47</v>
      </c>
      <c r="O1403" s="19" t="str">
        <f t="shared" si="102"/>
        <v>0–300k</v>
      </c>
      <c r="P1403" s="19" t="str">
        <f t="shared" si="103"/>
        <v>46-55</v>
      </c>
    </row>
    <row r="1404" spans="1:16" x14ac:dyDescent="0.25">
      <c r="A1404">
        <v>1403</v>
      </c>
      <c r="B1404" t="s">
        <v>9</v>
      </c>
      <c r="C1404">
        <v>811540</v>
      </c>
      <c r="D1404" t="s">
        <v>10</v>
      </c>
      <c r="E1404" t="s">
        <v>16</v>
      </c>
      <c r="F1404" t="s">
        <v>12</v>
      </c>
      <c r="G1404" t="s">
        <v>13</v>
      </c>
      <c r="H1404" t="s">
        <v>13</v>
      </c>
      <c r="I1404">
        <v>21</v>
      </c>
      <c r="J1404" t="str" cm="1">
        <f t="array" ref="J1404">_xlfn.IFS(ISBLANK(C1404),"FALTANTE",ABS((C1404-$W$5)/$X$5)&gt;1.96,"ATÍPICO",ABS((C1404-$W$5)/$X$5)&lt;=1.96,"NO ATÍPICO")</f>
        <v>NO ATÍPICO</v>
      </c>
      <c r="K1404" t="str" cm="1">
        <f t="array" ref="K1404">_xlfn.IFS(ISBLANK(I1404),"FALTANTE",ABS((I1404-$W$8)/$X$8)&gt;1.92,"ATÍPICO",ABS((I1404-$W$8)/$X$8)&lt;=1.92,"NO ATÍPICO")</f>
        <v>NO ATÍPICO</v>
      </c>
      <c r="L1404">
        <f t="shared" si="100"/>
        <v>811540</v>
      </c>
      <c r="M1404" t="str">
        <f t="shared" si="100"/>
        <v>ASALARIADO</v>
      </c>
      <c r="N1404">
        <f t="shared" si="101"/>
        <v>21</v>
      </c>
      <c r="O1404" s="19" t="str">
        <f t="shared" si="102"/>
        <v>600k–900k</v>
      </c>
      <c r="P1404" s="19" t="str">
        <f t="shared" si="103"/>
        <v>18-25</v>
      </c>
    </row>
    <row r="1405" spans="1:16" x14ac:dyDescent="0.25">
      <c r="A1405">
        <v>1404</v>
      </c>
      <c r="B1405" t="s">
        <v>15</v>
      </c>
      <c r="C1405">
        <v>760842</v>
      </c>
      <c r="D1405" t="s">
        <v>14</v>
      </c>
      <c r="E1405" t="s">
        <v>11</v>
      </c>
      <c r="F1405" t="s">
        <v>12</v>
      </c>
      <c r="G1405" t="s">
        <v>13</v>
      </c>
      <c r="H1405" t="s">
        <v>13</v>
      </c>
      <c r="I1405">
        <v>75</v>
      </c>
      <c r="J1405" t="str" cm="1">
        <f t="array" ref="J1405">_xlfn.IFS(ISBLANK(C1405),"FALTANTE",ABS((C1405-$W$5)/$X$5)&gt;1.96,"ATÍPICO",ABS((C1405-$W$5)/$X$5)&lt;=1.96,"NO ATÍPICO")</f>
        <v>NO ATÍPICO</v>
      </c>
      <c r="K1405" t="str" cm="1">
        <f t="array" ref="K1405">_xlfn.IFS(ISBLANK(I1405),"FALTANTE",ABS((I1405-$W$8)/$X$8)&gt;1.92,"ATÍPICO",ABS((I1405-$W$8)/$X$8)&lt;=1.92,"NO ATÍPICO")</f>
        <v>ATÍPICO</v>
      </c>
      <c r="L1405">
        <f t="shared" si="100"/>
        <v>760842</v>
      </c>
      <c r="M1405" t="str">
        <f t="shared" si="100"/>
        <v>PENSIONADOS EN SU PROPIO SISTEMA</v>
      </c>
      <c r="N1405">
        <f t="shared" si="101"/>
        <v>75</v>
      </c>
      <c r="O1405" s="19" t="str">
        <f t="shared" si="102"/>
        <v>600k–900k</v>
      </c>
      <c r="P1405" s="19" t="str">
        <f t="shared" si="103"/>
        <v>56+</v>
      </c>
    </row>
    <row r="1406" spans="1:16" x14ac:dyDescent="0.25">
      <c r="A1406">
        <v>1405</v>
      </c>
      <c r="B1406" t="s">
        <v>9</v>
      </c>
      <c r="C1406">
        <v>1255736.08</v>
      </c>
      <c r="D1406" t="s">
        <v>10</v>
      </c>
      <c r="E1406" t="s">
        <v>16</v>
      </c>
      <c r="F1406" t="s">
        <v>12</v>
      </c>
      <c r="G1406" t="s">
        <v>13</v>
      </c>
      <c r="H1406" t="s">
        <v>13</v>
      </c>
      <c r="I1406">
        <v>41</v>
      </c>
      <c r="J1406" t="str" cm="1">
        <f t="array" ref="J1406">_xlfn.IFS(ISBLANK(C1406),"FALTANTE",ABS((C1406-$W$5)/$X$5)&gt;1.96,"ATÍPICO",ABS((C1406-$W$5)/$X$5)&lt;=1.96,"NO ATÍPICO")</f>
        <v>NO ATÍPICO</v>
      </c>
      <c r="K1406" t="str" cm="1">
        <f t="array" ref="K1406">_xlfn.IFS(ISBLANK(I1406),"FALTANTE",ABS((I1406-$W$8)/$X$8)&gt;1.92,"ATÍPICO",ABS((I1406-$W$8)/$X$8)&lt;=1.92,"NO ATÍPICO")</f>
        <v>NO ATÍPICO</v>
      </c>
      <c r="L1406">
        <f t="shared" si="100"/>
        <v>1255736.08</v>
      </c>
      <c r="M1406" t="str">
        <f t="shared" si="100"/>
        <v>ASALARIADO</v>
      </c>
      <c r="N1406">
        <f t="shared" si="101"/>
        <v>41</v>
      </c>
      <c r="O1406" s="19" t="str">
        <f t="shared" si="102"/>
        <v>1200k+</v>
      </c>
      <c r="P1406" s="19" t="str">
        <f t="shared" si="103"/>
        <v>36-45</v>
      </c>
    </row>
    <row r="1407" spans="1:16" x14ac:dyDescent="0.25">
      <c r="A1407">
        <v>1406</v>
      </c>
      <c r="B1407" t="s">
        <v>9</v>
      </c>
      <c r="C1407">
        <v>1146611.22</v>
      </c>
      <c r="D1407" t="s">
        <v>10</v>
      </c>
      <c r="E1407" t="s">
        <v>11</v>
      </c>
      <c r="F1407" t="s">
        <v>12</v>
      </c>
      <c r="G1407" t="s">
        <v>13</v>
      </c>
      <c r="H1407" t="s">
        <v>13</v>
      </c>
      <c r="I1407">
        <v>27</v>
      </c>
      <c r="J1407" t="str" cm="1">
        <f t="array" ref="J1407">_xlfn.IFS(ISBLANK(C1407),"FALTANTE",ABS((C1407-$W$5)/$X$5)&gt;1.96,"ATÍPICO",ABS((C1407-$W$5)/$X$5)&lt;=1.96,"NO ATÍPICO")</f>
        <v>NO ATÍPICO</v>
      </c>
      <c r="K1407" t="str" cm="1">
        <f t="array" ref="K1407">_xlfn.IFS(ISBLANK(I1407),"FALTANTE",ABS((I1407-$W$8)/$X$8)&gt;1.92,"ATÍPICO",ABS((I1407-$W$8)/$X$8)&lt;=1.92,"NO ATÍPICO")</f>
        <v>NO ATÍPICO</v>
      </c>
      <c r="L1407">
        <f t="shared" si="100"/>
        <v>1146611.22</v>
      </c>
      <c r="M1407" t="str">
        <f t="shared" si="100"/>
        <v>ASALARIADO</v>
      </c>
      <c r="N1407">
        <f t="shared" si="101"/>
        <v>27</v>
      </c>
      <c r="O1407" s="19" t="str">
        <f t="shared" si="102"/>
        <v>900k–1200k</v>
      </c>
      <c r="P1407" s="19" t="str">
        <f t="shared" si="103"/>
        <v>26-35</v>
      </c>
    </row>
    <row r="1408" spans="1:16" x14ac:dyDescent="0.25">
      <c r="A1408">
        <v>1407</v>
      </c>
      <c r="B1408" t="s">
        <v>9</v>
      </c>
      <c r="C1408">
        <v>1497172.49</v>
      </c>
      <c r="D1408" t="s">
        <v>10</v>
      </c>
      <c r="E1408" t="s">
        <v>11</v>
      </c>
      <c r="F1408" t="s">
        <v>12</v>
      </c>
      <c r="G1408" t="s">
        <v>13</v>
      </c>
      <c r="H1408" t="s">
        <v>13</v>
      </c>
      <c r="I1408">
        <v>47</v>
      </c>
      <c r="J1408" t="str" cm="1">
        <f t="array" ref="J1408">_xlfn.IFS(ISBLANK(C1408),"FALTANTE",ABS((C1408-$W$5)/$X$5)&gt;1.96,"ATÍPICO",ABS((C1408-$W$5)/$X$5)&lt;=1.96,"NO ATÍPICO")</f>
        <v>NO ATÍPICO</v>
      </c>
      <c r="K1408" t="str" cm="1">
        <f t="array" ref="K1408">_xlfn.IFS(ISBLANK(I1408),"FALTANTE",ABS((I1408-$W$8)/$X$8)&gt;1.92,"ATÍPICO",ABS((I1408-$W$8)/$X$8)&lt;=1.92,"NO ATÍPICO")</f>
        <v>NO ATÍPICO</v>
      </c>
      <c r="L1408">
        <f t="shared" si="100"/>
        <v>1497172.49</v>
      </c>
      <c r="M1408" t="str">
        <f t="shared" si="100"/>
        <v>ASALARIADO</v>
      </c>
      <c r="N1408">
        <f t="shared" si="101"/>
        <v>47</v>
      </c>
      <c r="O1408" s="19" t="str">
        <f t="shared" si="102"/>
        <v>1200k+</v>
      </c>
      <c r="P1408" s="19" t="str">
        <f t="shared" si="103"/>
        <v>46-55</v>
      </c>
    </row>
    <row r="1409" spans="1:16" x14ac:dyDescent="0.25">
      <c r="A1409">
        <v>1408</v>
      </c>
      <c r="B1409" t="s">
        <v>9</v>
      </c>
      <c r="C1409">
        <v>1372847.55</v>
      </c>
      <c r="D1409" t="s">
        <v>10</v>
      </c>
      <c r="E1409" t="s">
        <v>11</v>
      </c>
      <c r="F1409" t="s">
        <v>12</v>
      </c>
      <c r="G1409" t="s">
        <v>13</v>
      </c>
      <c r="H1409" t="s">
        <v>13</v>
      </c>
      <c r="I1409">
        <v>56</v>
      </c>
      <c r="J1409" t="str" cm="1">
        <f t="array" ref="J1409">_xlfn.IFS(ISBLANK(C1409),"FALTANTE",ABS((C1409-$W$5)/$X$5)&gt;1.96,"ATÍPICO",ABS((C1409-$W$5)/$X$5)&lt;=1.96,"NO ATÍPICO")</f>
        <v>NO ATÍPICO</v>
      </c>
      <c r="K1409" t="str" cm="1">
        <f t="array" ref="K1409">_xlfn.IFS(ISBLANK(I1409),"FALTANTE",ABS((I1409-$W$8)/$X$8)&gt;1.92,"ATÍPICO",ABS((I1409-$W$8)/$X$8)&lt;=1.92,"NO ATÍPICO")</f>
        <v>NO ATÍPICO</v>
      </c>
      <c r="L1409">
        <f t="shared" si="100"/>
        <v>1372847.55</v>
      </c>
      <c r="M1409" t="str">
        <f t="shared" si="100"/>
        <v>ASALARIADO</v>
      </c>
      <c r="N1409">
        <f t="shared" si="101"/>
        <v>56</v>
      </c>
      <c r="O1409" s="19" t="str">
        <f t="shared" si="102"/>
        <v>1200k+</v>
      </c>
      <c r="P1409" s="19" t="str">
        <f t="shared" si="103"/>
        <v>56+</v>
      </c>
    </row>
    <row r="1410" spans="1:16" x14ac:dyDescent="0.25">
      <c r="A1410">
        <v>1409</v>
      </c>
      <c r="B1410" t="s">
        <v>15</v>
      </c>
      <c r="C1410">
        <v>830543</v>
      </c>
      <c r="D1410" t="s">
        <v>10</v>
      </c>
      <c r="E1410" t="s">
        <v>11</v>
      </c>
      <c r="F1410" t="s">
        <v>12</v>
      </c>
      <c r="G1410" t="s">
        <v>13</v>
      </c>
      <c r="H1410" t="s">
        <v>12</v>
      </c>
      <c r="I1410">
        <v>39</v>
      </c>
      <c r="J1410" t="str" cm="1">
        <f t="array" ref="J1410">_xlfn.IFS(ISBLANK(C1410),"FALTANTE",ABS((C1410-$W$5)/$X$5)&gt;1.96,"ATÍPICO",ABS((C1410-$W$5)/$X$5)&lt;=1.96,"NO ATÍPICO")</f>
        <v>NO ATÍPICO</v>
      </c>
      <c r="K1410" t="str" cm="1">
        <f t="array" ref="K1410">_xlfn.IFS(ISBLANK(I1410),"FALTANTE",ABS((I1410-$W$8)/$X$8)&gt;1.92,"ATÍPICO",ABS((I1410-$W$8)/$X$8)&lt;=1.92,"NO ATÍPICO")</f>
        <v>NO ATÍPICO</v>
      </c>
      <c r="L1410">
        <f t="shared" ref="L1410:M1473" si="104">C1410</f>
        <v>830543</v>
      </c>
      <c r="M1410" t="str">
        <f t="shared" si="104"/>
        <v>ASALARIADO</v>
      </c>
      <c r="N1410">
        <f t="shared" ref="N1410:N1473" si="105">I1410</f>
        <v>39</v>
      </c>
      <c r="O1410" s="19" t="str">
        <f t="shared" ref="O1410:O1473" si="106">IF(L1410&lt;=300000,"0–300k",IF(L1410&lt;=600000,"300k–600k",IF(L1410&lt;=900000,"600k–900k",IF(L1410&lt;=1200000,"900k–1200k","1200k+"))))</f>
        <v>600k–900k</v>
      </c>
      <c r="P1410" s="19" t="str">
        <f t="shared" ref="P1410:P1473" si="107">IF(N1410 &lt;=25,"18-25", IF(N1410&lt;=35,"26-35", IF(N1410 &lt;=45,"36-45", IF(N1410&lt;=55,"46-55","56+"))))</f>
        <v>36-45</v>
      </c>
    </row>
    <row r="1411" spans="1:16" x14ac:dyDescent="0.25">
      <c r="A1411">
        <v>1410</v>
      </c>
      <c r="B1411" t="s">
        <v>9</v>
      </c>
      <c r="C1411">
        <v>650897.42000000004</v>
      </c>
      <c r="D1411" t="s">
        <v>10</v>
      </c>
      <c r="E1411" t="s">
        <v>16</v>
      </c>
      <c r="F1411" t="s">
        <v>12</v>
      </c>
      <c r="G1411" t="s">
        <v>13</v>
      </c>
      <c r="H1411" t="s">
        <v>13</v>
      </c>
      <c r="I1411">
        <v>38</v>
      </c>
      <c r="J1411" t="str" cm="1">
        <f t="array" ref="J1411">_xlfn.IFS(ISBLANK(C1411),"FALTANTE",ABS((C1411-$W$5)/$X$5)&gt;1.96,"ATÍPICO",ABS((C1411-$W$5)/$X$5)&lt;=1.96,"NO ATÍPICO")</f>
        <v>NO ATÍPICO</v>
      </c>
      <c r="K1411" t="str" cm="1">
        <f t="array" ref="K1411">_xlfn.IFS(ISBLANK(I1411),"FALTANTE",ABS((I1411-$W$8)/$X$8)&gt;1.92,"ATÍPICO",ABS((I1411-$W$8)/$X$8)&lt;=1.92,"NO ATÍPICO")</f>
        <v>NO ATÍPICO</v>
      </c>
      <c r="L1411">
        <f t="shared" si="104"/>
        <v>650897.42000000004</v>
      </c>
      <c r="M1411" t="str">
        <f t="shared" si="104"/>
        <v>ASALARIADO</v>
      </c>
      <c r="N1411">
        <f t="shared" si="105"/>
        <v>38</v>
      </c>
      <c r="O1411" s="19" t="str">
        <f t="shared" si="106"/>
        <v>600k–900k</v>
      </c>
      <c r="P1411" s="19" t="str">
        <f t="shared" si="107"/>
        <v>36-45</v>
      </c>
    </row>
    <row r="1412" spans="1:16" x14ac:dyDescent="0.25">
      <c r="A1412">
        <v>1411</v>
      </c>
      <c r="B1412" t="s">
        <v>9</v>
      </c>
      <c r="C1412">
        <v>463597.72</v>
      </c>
      <c r="D1412" t="s">
        <v>10</v>
      </c>
      <c r="E1412" t="s">
        <v>16</v>
      </c>
      <c r="F1412" t="s">
        <v>12</v>
      </c>
      <c r="G1412" t="s">
        <v>12</v>
      </c>
      <c r="H1412" t="s">
        <v>13</v>
      </c>
      <c r="I1412">
        <v>47</v>
      </c>
      <c r="J1412" t="str" cm="1">
        <f t="array" ref="J1412">_xlfn.IFS(ISBLANK(C1412),"FALTANTE",ABS((C1412-$W$5)/$X$5)&gt;1.96,"ATÍPICO",ABS((C1412-$W$5)/$X$5)&lt;=1.96,"NO ATÍPICO")</f>
        <v>NO ATÍPICO</v>
      </c>
      <c r="K1412" t="str" cm="1">
        <f t="array" ref="K1412">_xlfn.IFS(ISBLANK(I1412),"FALTANTE",ABS((I1412-$W$8)/$X$8)&gt;1.92,"ATÍPICO",ABS((I1412-$W$8)/$X$8)&lt;=1.92,"NO ATÍPICO")</f>
        <v>NO ATÍPICO</v>
      </c>
      <c r="L1412">
        <f t="shared" si="104"/>
        <v>463597.72</v>
      </c>
      <c r="M1412" t="str">
        <f t="shared" si="104"/>
        <v>ASALARIADO</v>
      </c>
      <c r="N1412">
        <f t="shared" si="105"/>
        <v>47</v>
      </c>
      <c r="O1412" s="19" t="str">
        <f t="shared" si="106"/>
        <v>300k–600k</v>
      </c>
      <c r="P1412" s="19" t="str">
        <f t="shared" si="107"/>
        <v>46-55</v>
      </c>
    </row>
    <row r="1413" spans="1:16" x14ac:dyDescent="0.25">
      <c r="A1413">
        <v>1412</v>
      </c>
      <c r="B1413" t="s">
        <v>15</v>
      </c>
      <c r="C1413">
        <v>297050</v>
      </c>
      <c r="D1413" t="s">
        <v>17</v>
      </c>
      <c r="E1413" t="s">
        <v>16</v>
      </c>
      <c r="F1413" t="s">
        <v>12</v>
      </c>
      <c r="G1413" t="s">
        <v>13</v>
      </c>
      <c r="H1413" t="s">
        <v>13</v>
      </c>
      <c r="I1413">
        <v>31</v>
      </c>
      <c r="J1413" t="str" cm="1">
        <f t="array" ref="J1413">_xlfn.IFS(ISBLANK(C1413),"FALTANTE",ABS((C1413-$W$5)/$X$5)&gt;1.96,"ATÍPICO",ABS((C1413-$W$5)/$X$5)&lt;=1.96,"NO ATÍPICO")</f>
        <v>NO ATÍPICO</v>
      </c>
      <c r="K1413" t="str" cm="1">
        <f t="array" ref="K1413">_xlfn.IFS(ISBLANK(I1413),"FALTANTE",ABS((I1413-$W$8)/$X$8)&gt;1.92,"ATÍPICO",ABS((I1413-$W$8)/$X$8)&lt;=1.92,"NO ATÍPICO")</f>
        <v>NO ATÍPICO</v>
      </c>
      <c r="L1413">
        <f t="shared" si="104"/>
        <v>297050</v>
      </c>
      <c r="M1413" t="str">
        <f t="shared" si="104"/>
        <v>ASEGURADO VOLUNTARIO</v>
      </c>
      <c r="N1413">
        <f t="shared" si="105"/>
        <v>31</v>
      </c>
      <c r="O1413" s="19" t="str">
        <f t="shared" si="106"/>
        <v>0–300k</v>
      </c>
      <c r="P1413" s="19" t="str">
        <f t="shared" si="107"/>
        <v>26-35</v>
      </c>
    </row>
    <row r="1414" spans="1:16" x14ac:dyDescent="0.25">
      <c r="A1414">
        <v>1413</v>
      </c>
      <c r="B1414" t="s">
        <v>9</v>
      </c>
      <c r="C1414">
        <v>297110</v>
      </c>
      <c r="D1414" t="s">
        <v>17</v>
      </c>
      <c r="E1414" t="s">
        <v>16</v>
      </c>
      <c r="F1414" t="s">
        <v>12</v>
      </c>
      <c r="G1414" t="s">
        <v>13</v>
      </c>
      <c r="H1414" t="s">
        <v>13</v>
      </c>
      <c r="I1414">
        <v>36</v>
      </c>
      <c r="J1414" t="str" cm="1">
        <f t="array" ref="J1414">_xlfn.IFS(ISBLANK(C1414),"FALTANTE",ABS((C1414-$W$5)/$X$5)&gt;1.96,"ATÍPICO",ABS((C1414-$W$5)/$X$5)&lt;=1.96,"NO ATÍPICO")</f>
        <v>NO ATÍPICO</v>
      </c>
      <c r="K1414" t="str" cm="1">
        <f t="array" ref="K1414">_xlfn.IFS(ISBLANK(I1414),"FALTANTE",ABS((I1414-$W$8)/$X$8)&gt;1.92,"ATÍPICO",ABS((I1414-$W$8)/$X$8)&lt;=1.92,"NO ATÍPICO")</f>
        <v>NO ATÍPICO</v>
      </c>
      <c r="L1414">
        <f t="shared" si="104"/>
        <v>297110</v>
      </c>
      <c r="M1414" t="str">
        <f t="shared" si="104"/>
        <v>ASEGURADO VOLUNTARIO</v>
      </c>
      <c r="N1414">
        <f t="shared" si="105"/>
        <v>36</v>
      </c>
      <c r="O1414" s="19" t="str">
        <f t="shared" si="106"/>
        <v>0–300k</v>
      </c>
      <c r="P1414" s="19" t="str">
        <f t="shared" si="107"/>
        <v>36-45</v>
      </c>
    </row>
    <row r="1415" spans="1:16" x14ac:dyDescent="0.25">
      <c r="A1415">
        <v>1414</v>
      </c>
      <c r="B1415" t="s">
        <v>15</v>
      </c>
      <c r="C1415">
        <v>297045</v>
      </c>
      <c r="D1415" t="s">
        <v>17</v>
      </c>
      <c r="E1415" t="s">
        <v>16</v>
      </c>
      <c r="F1415" t="s">
        <v>12</v>
      </c>
      <c r="G1415" t="s">
        <v>13</v>
      </c>
      <c r="H1415" t="s">
        <v>13</v>
      </c>
      <c r="I1415">
        <v>33</v>
      </c>
      <c r="J1415" t="str" cm="1">
        <f t="array" ref="J1415">_xlfn.IFS(ISBLANK(C1415),"FALTANTE",ABS((C1415-$W$5)/$X$5)&gt;1.96,"ATÍPICO",ABS((C1415-$W$5)/$X$5)&lt;=1.96,"NO ATÍPICO")</f>
        <v>NO ATÍPICO</v>
      </c>
      <c r="K1415" t="str" cm="1">
        <f t="array" ref="K1415">_xlfn.IFS(ISBLANK(I1415),"FALTANTE",ABS((I1415-$W$8)/$X$8)&gt;1.92,"ATÍPICO",ABS((I1415-$W$8)/$X$8)&lt;=1.92,"NO ATÍPICO")</f>
        <v>NO ATÍPICO</v>
      </c>
      <c r="L1415">
        <f t="shared" si="104"/>
        <v>297045</v>
      </c>
      <c r="M1415" t="str">
        <f t="shared" si="104"/>
        <v>ASEGURADO VOLUNTARIO</v>
      </c>
      <c r="N1415">
        <f t="shared" si="105"/>
        <v>33</v>
      </c>
      <c r="O1415" s="19" t="str">
        <f t="shared" si="106"/>
        <v>0–300k</v>
      </c>
      <c r="P1415" s="19" t="str">
        <f t="shared" si="107"/>
        <v>26-35</v>
      </c>
    </row>
    <row r="1416" spans="1:16" x14ac:dyDescent="0.25">
      <c r="A1416">
        <v>1415</v>
      </c>
      <c r="B1416" t="s">
        <v>15</v>
      </c>
      <c r="C1416">
        <v>278030</v>
      </c>
      <c r="D1416" t="s">
        <v>19</v>
      </c>
      <c r="E1416" t="s">
        <v>16</v>
      </c>
      <c r="F1416" t="s">
        <v>12</v>
      </c>
      <c r="G1416" t="s">
        <v>13</v>
      </c>
      <c r="H1416" t="s">
        <v>13</v>
      </c>
      <c r="I1416">
        <v>35</v>
      </c>
      <c r="J1416" t="str" cm="1">
        <f t="array" ref="J1416">_xlfn.IFS(ISBLANK(C1416),"FALTANTE",ABS((C1416-$W$5)/$X$5)&gt;1.96,"ATÍPICO",ABS((C1416-$W$5)/$X$5)&lt;=1.96,"NO ATÍPICO")</f>
        <v>NO ATÍPICO</v>
      </c>
      <c r="K1416" t="str" cm="1">
        <f t="array" ref="K1416">_xlfn.IFS(ISBLANK(I1416),"FALTANTE",ABS((I1416-$W$8)/$X$8)&gt;1.92,"ATÍPICO",ABS((I1416-$W$8)/$X$8)&lt;=1.92,"NO ATÍPICO")</f>
        <v>NO ATÍPICO</v>
      </c>
      <c r="L1416">
        <f t="shared" si="104"/>
        <v>278030</v>
      </c>
      <c r="M1416" t="str">
        <f t="shared" si="104"/>
        <v>CONVENIOS ESPECIALES DE TRABAJADORES INDEPENDIENTES</v>
      </c>
      <c r="N1416">
        <f t="shared" si="105"/>
        <v>35</v>
      </c>
      <c r="O1416" s="19" t="str">
        <f t="shared" si="106"/>
        <v>0–300k</v>
      </c>
      <c r="P1416" s="19" t="str">
        <f t="shared" si="107"/>
        <v>26-35</v>
      </c>
    </row>
    <row r="1417" spans="1:16" x14ac:dyDescent="0.25">
      <c r="A1417">
        <v>1416</v>
      </c>
      <c r="B1417" t="s">
        <v>15</v>
      </c>
      <c r="C1417">
        <v>11580185.98</v>
      </c>
      <c r="D1417" t="s">
        <v>10</v>
      </c>
      <c r="E1417" t="s">
        <v>16</v>
      </c>
      <c r="F1417" t="s">
        <v>12</v>
      </c>
      <c r="G1417" t="s">
        <v>13</v>
      </c>
      <c r="H1417" t="s">
        <v>13</v>
      </c>
      <c r="I1417">
        <v>46</v>
      </c>
      <c r="J1417" t="str" cm="1">
        <f t="array" ref="J1417">_xlfn.IFS(ISBLANK(C1417),"FALTANTE",ABS((C1417-$W$5)/$X$5)&gt;1.96,"ATÍPICO",ABS((C1417-$W$5)/$X$5)&lt;=1.96,"NO ATÍPICO")</f>
        <v>ATÍPICO</v>
      </c>
      <c r="K1417" t="str" cm="1">
        <f t="array" ref="K1417">_xlfn.IFS(ISBLANK(I1417),"FALTANTE",ABS((I1417-$W$8)/$X$8)&gt;1.92,"ATÍPICO",ABS((I1417-$W$8)/$X$8)&lt;=1.92,"NO ATÍPICO")</f>
        <v>NO ATÍPICO</v>
      </c>
      <c r="L1417">
        <f t="shared" si="104"/>
        <v>11580185.98</v>
      </c>
      <c r="M1417" t="str">
        <f t="shared" si="104"/>
        <v>ASALARIADO</v>
      </c>
      <c r="N1417">
        <f t="shared" si="105"/>
        <v>46</v>
      </c>
      <c r="O1417" s="19" t="str">
        <f t="shared" si="106"/>
        <v>1200k+</v>
      </c>
      <c r="P1417" s="19" t="str">
        <f t="shared" si="107"/>
        <v>46-55</v>
      </c>
    </row>
    <row r="1418" spans="1:16" x14ac:dyDescent="0.25">
      <c r="A1418">
        <v>1417</v>
      </c>
      <c r="B1418" t="s">
        <v>9</v>
      </c>
      <c r="C1418">
        <v>2007029.76</v>
      </c>
      <c r="D1418" t="s">
        <v>10</v>
      </c>
      <c r="E1418" t="s">
        <v>11</v>
      </c>
      <c r="F1418" t="s">
        <v>12</v>
      </c>
      <c r="G1418" t="s">
        <v>13</v>
      </c>
      <c r="H1418" t="s">
        <v>13</v>
      </c>
      <c r="I1418">
        <v>54</v>
      </c>
      <c r="J1418" t="str" cm="1">
        <f t="array" ref="J1418">_xlfn.IFS(ISBLANK(C1418),"FALTANTE",ABS((C1418-$W$5)/$X$5)&gt;1.96,"ATÍPICO",ABS((C1418-$W$5)/$X$5)&lt;=1.96,"NO ATÍPICO")</f>
        <v>NO ATÍPICO</v>
      </c>
      <c r="K1418" t="str" cm="1">
        <f t="array" ref="K1418">_xlfn.IFS(ISBLANK(I1418),"FALTANTE",ABS((I1418-$W$8)/$X$8)&gt;1.92,"ATÍPICO",ABS((I1418-$W$8)/$X$8)&lt;=1.92,"NO ATÍPICO")</f>
        <v>NO ATÍPICO</v>
      </c>
      <c r="L1418">
        <f t="shared" si="104"/>
        <v>2007029.76</v>
      </c>
      <c r="M1418" t="str">
        <f t="shared" si="104"/>
        <v>ASALARIADO</v>
      </c>
      <c r="N1418">
        <f t="shared" si="105"/>
        <v>54</v>
      </c>
      <c r="O1418" s="19" t="str">
        <f t="shared" si="106"/>
        <v>1200k+</v>
      </c>
      <c r="P1418" s="19" t="str">
        <f t="shared" si="107"/>
        <v>46-55</v>
      </c>
    </row>
    <row r="1419" spans="1:16" x14ac:dyDescent="0.25">
      <c r="A1419">
        <v>1418</v>
      </c>
      <c r="B1419" t="s">
        <v>9</v>
      </c>
      <c r="C1419">
        <v>740237.33</v>
      </c>
      <c r="D1419" t="s">
        <v>10</v>
      </c>
      <c r="E1419" t="s">
        <v>11</v>
      </c>
      <c r="F1419" t="s">
        <v>12</v>
      </c>
      <c r="G1419" t="s">
        <v>13</v>
      </c>
      <c r="H1419" t="s">
        <v>13</v>
      </c>
      <c r="I1419">
        <v>52</v>
      </c>
      <c r="J1419" t="str" cm="1">
        <f t="array" ref="J1419">_xlfn.IFS(ISBLANK(C1419),"FALTANTE",ABS((C1419-$W$5)/$X$5)&gt;1.96,"ATÍPICO",ABS((C1419-$W$5)/$X$5)&lt;=1.96,"NO ATÍPICO")</f>
        <v>NO ATÍPICO</v>
      </c>
      <c r="K1419" t="str" cm="1">
        <f t="array" ref="K1419">_xlfn.IFS(ISBLANK(I1419),"FALTANTE",ABS((I1419-$W$8)/$X$8)&gt;1.92,"ATÍPICO",ABS((I1419-$W$8)/$X$8)&lt;=1.92,"NO ATÍPICO")</f>
        <v>NO ATÍPICO</v>
      </c>
      <c r="L1419">
        <f t="shared" si="104"/>
        <v>740237.33</v>
      </c>
      <c r="M1419" t="str">
        <f t="shared" si="104"/>
        <v>ASALARIADO</v>
      </c>
      <c r="N1419">
        <f t="shared" si="105"/>
        <v>52</v>
      </c>
      <c r="O1419" s="19" t="str">
        <f t="shared" si="106"/>
        <v>600k–900k</v>
      </c>
      <c r="P1419" s="19" t="str">
        <f t="shared" si="107"/>
        <v>46-55</v>
      </c>
    </row>
    <row r="1420" spans="1:16" x14ac:dyDescent="0.25">
      <c r="A1420">
        <v>1419</v>
      </c>
      <c r="B1420" t="s">
        <v>9</v>
      </c>
      <c r="C1420">
        <v>140000</v>
      </c>
      <c r="D1420" t="s">
        <v>10</v>
      </c>
      <c r="E1420" t="s">
        <v>16</v>
      </c>
      <c r="F1420" t="s">
        <v>12</v>
      </c>
      <c r="G1420" t="s">
        <v>13</v>
      </c>
      <c r="H1420" t="s">
        <v>13</v>
      </c>
      <c r="I1420">
        <v>42</v>
      </c>
      <c r="J1420" t="str" cm="1">
        <f t="array" ref="J1420">_xlfn.IFS(ISBLANK(C1420),"FALTANTE",ABS((C1420-$W$5)/$X$5)&gt;1.96,"ATÍPICO",ABS((C1420-$W$5)/$X$5)&lt;=1.96,"NO ATÍPICO")</f>
        <v>NO ATÍPICO</v>
      </c>
      <c r="K1420" t="str" cm="1">
        <f t="array" ref="K1420">_xlfn.IFS(ISBLANK(I1420),"FALTANTE",ABS((I1420-$W$8)/$X$8)&gt;1.92,"ATÍPICO",ABS((I1420-$W$8)/$X$8)&lt;=1.92,"NO ATÍPICO")</f>
        <v>NO ATÍPICO</v>
      </c>
      <c r="L1420">
        <f t="shared" si="104"/>
        <v>140000</v>
      </c>
      <c r="M1420" t="str">
        <f t="shared" si="104"/>
        <v>ASALARIADO</v>
      </c>
      <c r="N1420">
        <f t="shared" si="105"/>
        <v>42</v>
      </c>
      <c r="O1420" s="19" t="str">
        <f t="shared" si="106"/>
        <v>0–300k</v>
      </c>
      <c r="P1420" s="19" t="str">
        <f t="shared" si="107"/>
        <v>36-45</v>
      </c>
    </row>
    <row r="1421" spans="1:16" x14ac:dyDescent="0.25">
      <c r="A1421">
        <v>1420</v>
      </c>
      <c r="B1421" t="s">
        <v>15</v>
      </c>
      <c r="C1421">
        <v>300018</v>
      </c>
      <c r="D1421" t="s">
        <v>18</v>
      </c>
      <c r="E1421" t="s">
        <v>16</v>
      </c>
      <c r="F1421" t="s">
        <v>12</v>
      </c>
      <c r="G1421" t="s">
        <v>13</v>
      </c>
      <c r="H1421" t="s">
        <v>12</v>
      </c>
      <c r="I1421">
        <v>58</v>
      </c>
      <c r="J1421" t="str" cm="1">
        <f t="array" ref="J1421">_xlfn.IFS(ISBLANK(C1421),"FALTANTE",ABS((C1421-$W$5)/$X$5)&gt;1.96,"ATÍPICO",ABS((C1421-$W$5)/$X$5)&lt;=1.96,"NO ATÍPICO")</f>
        <v>NO ATÍPICO</v>
      </c>
      <c r="K1421" t="str" cm="1">
        <f t="array" ref="K1421">_xlfn.IFS(ISBLANK(I1421),"FALTANTE",ABS((I1421-$W$8)/$X$8)&gt;1.92,"ATÍPICO",ABS((I1421-$W$8)/$X$8)&lt;=1.92,"NO ATÍPICO")</f>
        <v>NO ATÍPICO</v>
      </c>
      <c r="L1421">
        <f t="shared" si="104"/>
        <v>300018</v>
      </c>
      <c r="M1421" t="str">
        <f t="shared" si="104"/>
        <v>TRABAJADOR INDEPENDIENTE</v>
      </c>
      <c r="N1421">
        <f t="shared" si="105"/>
        <v>58</v>
      </c>
      <c r="O1421" s="19" t="str">
        <f t="shared" si="106"/>
        <v>300k–600k</v>
      </c>
      <c r="P1421" s="19" t="str">
        <f t="shared" si="107"/>
        <v>56+</v>
      </c>
    </row>
    <row r="1422" spans="1:16" x14ac:dyDescent="0.25">
      <c r="A1422">
        <v>1421</v>
      </c>
      <c r="B1422" t="s">
        <v>15</v>
      </c>
      <c r="C1422">
        <v>297045</v>
      </c>
      <c r="D1422" t="s">
        <v>17</v>
      </c>
      <c r="E1422" t="s">
        <v>16</v>
      </c>
      <c r="F1422" t="s">
        <v>12</v>
      </c>
      <c r="G1422" t="s">
        <v>13</v>
      </c>
      <c r="H1422" t="s">
        <v>12</v>
      </c>
      <c r="I1422">
        <v>27</v>
      </c>
      <c r="J1422" t="str" cm="1">
        <f t="array" ref="J1422">_xlfn.IFS(ISBLANK(C1422),"FALTANTE",ABS((C1422-$W$5)/$X$5)&gt;1.96,"ATÍPICO",ABS((C1422-$W$5)/$X$5)&lt;=1.96,"NO ATÍPICO")</f>
        <v>NO ATÍPICO</v>
      </c>
      <c r="K1422" t="str" cm="1">
        <f t="array" ref="K1422">_xlfn.IFS(ISBLANK(I1422),"FALTANTE",ABS((I1422-$W$8)/$X$8)&gt;1.92,"ATÍPICO",ABS((I1422-$W$8)/$X$8)&lt;=1.92,"NO ATÍPICO")</f>
        <v>NO ATÍPICO</v>
      </c>
      <c r="L1422">
        <f t="shared" si="104"/>
        <v>297045</v>
      </c>
      <c r="M1422" t="str">
        <f t="shared" si="104"/>
        <v>ASEGURADO VOLUNTARIO</v>
      </c>
      <c r="N1422">
        <f t="shared" si="105"/>
        <v>27</v>
      </c>
      <c r="O1422" s="19" t="str">
        <f t="shared" si="106"/>
        <v>0–300k</v>
      </c>
      <c r="P1422" s="19" t="str">
        <f t="shared" si="107"/>
        <v>26-35</v>
      </c>
    </row>
    <row r="1423" spans="1:16" x14ac:dyDescent="0.25">
      <c r="A1423">
        <v>1422</v>
      </c>
      <c r="B1423" t="s">
        <v>9</v>
      </c>
      <c r="C1423">
        <v>266625</v>
      </c>
      <c r="D1423" t="s">
        <v>10</v>
      </c>
      <c r="E1423" t="s">
        <v>16</v>
      </c>
      <c r="F1423" t="s">
        <v>12</v>
      </c>
      <c r="G1423" t="s">
        <v>13</v>
      </c>
      <c r="H1423" t="s">
        <v>13</v>
      </c>
      <c r="I1423">
        <v>50</v>
      </c>
      <c r="J1423" t="str" cm="1">
        <f t="array" ref="J1423">_xlfn.IFS(ISBLANK(C1423),"FALTANTE",ABS((C1423-$W$5)/$X$5)&gt;1.96,"ATÍPICO",ABS((C1423-$W$5)/$X$5)&lt;=1.96,"NO ATÍPICO")</f>
        <v>NO ATÍPICO</v>
      </c>
      <c r="K1423" t="str" cm="1">
        <f t="array" ref="K1423">_xlfn.IFS(ISBLANK(I1423),"FALTANTE",ABS((I1423-$W$8)/$X$8)&gt;1.92,"ATÍPICO",ABS((I1423-$W$8)/$X$8)&lt;=1.92,"NO ATÍPICO")</f>
        <v>NO ATÍPICO</v>
      </c>
      <c r="L1423">
        <f t="shared" si="104"/>
        <v>266625</v>
      </c>
      <c r="M1423" t="str">
        <f t="shared" si="104"/>
        <v>ASALARIADO</v>
      </c>
      <c r="N1423">
        <f t="shared" si="105"/>
        <v>50</v>
      </c>
      <c r="O1423" s="19" t="str">
        <f t="shared" si="106"/>
        <v>0–300k</v>
      </c>
      <c r="P1423" s="19" t="str">
        <f t="shared" si="107"/>
        <v>46-55</v>
      </c>
    </row>
    <row r="1424" spans="1:16" x14ac:dyDescent="0.25">
      <c r="A1424">
        <v>1423</v>
      </c>
      <c r="B1424" t="s">
        <v>9</v>
      </c>
      <c r="C1424">
        <v>282305</v>
      </c>
      <c r="D1424" t="s">
        <v>18</v>
      </c>
      <c r="E1424" t="s">
        <v>16</v>
      </c>
      <c r="F1424" t="s">
        <v>12</v>
      </c>
      <c r="G1424" t="s">
        <v>13</v>
      </c>
      <c r="H1424" t="s">
        <v>12</v>
      </c>
      <c r="I1424">
        <v>34</v>
      </c>
      <c r="J1424" t="str" cm="1">
        <f t="array" ref="J1424">_xlfn.IFS(ISBLANK(C1424),"FALTANTE",ABS((C1424-$W$5)/$X$5)&gt;1.96,"ATÍPICO",ABS((C1424-$W$5)/$X$5)&lt;=1.96,"NO ATÍPICO")</f>
        <v>NO ATÍPICO</v>
      </c>
      <c r="K1424" t="str" cm="1">
        <f t="array" ref="K1424">_xlfn.IFS(ISBLANK(I1424),"FALTANTE",ABS((I1424-$W$8)/$X$8)&gt;1.92,"ATÍPICO",ABS((I1424-$W$8)/$X$8)&lt;=1.92,"NO ATÍPICO")</f>
        <v>NO ATÍPICO</v>
      </c>
      <c r="L1424">
        <f t="shared" si="104"/>
        <v>282305</v>
      </c>
      <c r="M1424" t="str">
        <f t="shared" si="104"/>
        <v>TRABAJADOR INDEPENDIENTE</v>
      </c>
      <c r="N1424">
        <f t="shared" si="105"/>
        <v>34</v>
      </c>
      <c r="O1424" s="19" t="str">
        <f t="shared" si="106"/>
        <v>0–300k</v>
      </c>
      <c r="P1424" s="19" t="str">
        <f t="shared" si="107"/>
        <v>26-35</v>
      </c>
    </row>
    <row r="1425" spans="1:16" x14ac:dyDescent="0.25">
      <c r="A1425">
        <v>1424</v>
      </c>
      <c r="B1425" t="s">
        <v>9</v>
      </c>
      <c r="C1425">
        <v>574141.48</v>
      </c>
      <c r="D1425" t="s">
        <v>10</v>
      </c>
      <c r="E1425" t="s">
        <v>16</v>
      </c>
      <c r="F1425" t="s">
        <v>12</v>
      </c>
      <c r="G1425" t="s">
        <v>13</v>
      </c>
      <c r="H1425" t="s">
        <v>13</v>
      </c>
      <c r="I1425">
        <v>22</v>
      </c>
      <c r="J1425" t="str" cm="1">
        <f t="array" ref="J1425">_xlfn.IFS(ISBLANK(C1425),"FALTANTE",ABS((C1425-$W$5)/$X$5)&gt;1.96,"ATÍPICO",ABS((C1425-$W$5)/$X$5)&lt;=1.96,"NO ATÍPICO")</f>
        <v>NO ATÍPICO</v>
      </c>
      <c r="K1425" t="str" cm="1">
        <f t="array" ref="K1425">_xlfn.IFS(ISBLANK(I1425),"FALTANTE",ABS((I1425-$W$8)/$X$8)&gt;1.92,"ATÍPICO",ABS((I1425-$W$8)/$X$8)&lt;=1.92,"NO ATÍPICO")</f>
        <v>NO ATÍPICO</v>
      </c>
      <c r="L1425">
        <f t="shared" si="104"/>
        <v>574141.48</v>
      </c>
      <c r="M1425" t="str">
        <f t="shared" si="104"/>
        <v>ASALARIADO</v>
      </c>
      <c r="N1425">
        <f t="shared" si="105"/>
        <v>22</v>
      </c>
      <c r="O1425" s="19" t="str">
        <f t="shared" si="106"/>
        <v>300k–600k</v>
      </c>
      <c r="P1425" s="19" t="str">
        <f t="shared" si="107"/>
        <v>18-25</v>
      </c>
    </row>
    <row r="1426" spans="1:16" x14ac:dyDescent="0.25">
      <c r="A1426">
        <v>1425</v>
      </c>
      <c r="B1426" t="s">
        <v>15</v>
      </c>
      <c r="C1426">
        <v>2072167</v>
      </c>
      <c r="D1426" t="s">
        <v>14</v>
      </c>
      <c r="E1426" t="s">
        <v>11</v>
      </c>
      <c r="F1426" t="s">
        <v>12</v>
      </c>
      <c r="G1426" t="s">
        <v>13</v>
      </c>
      <c r="H1426" t="s">
        <v>13</v>
      </c>
      <c r="I1426">
        <v>67</v>
      </c>
      <c r="J1426" t="str" cm="1">
        <f t="array" ref="J1426">_xlfn.IFS(ISBLANK(C1426),"FALTANTE",ABS((C1426-$W$5)/$X$5)&gt;1.96,"ATÍPICO",ABS((C1426-$W$5)/$X$5)&lt;=1.96,"NO ATÍPICO")</f>
        <v>NO ATÍPICO</v>
      </c>
      <c r="K1426" t="str" cm="1">
        <f t="array" ref="K1426">_xlfn.IFS(ISBLANK(I1426),"FALTANTE",ABS((I1426-$W$8)/$X$8)&gt;1.92,"ATÍPICO",ABS((I1426-$W$8)/$X$8)&lt;=1.92,"NO ATÍPICO")</f>
        <v>NO ATÍPICO</v>
      </c>
      <c r="L1426">
        <f t="shared" si="104"/>
        <v>2072167</v>
      </c>
      <c r="M1426" t="str">
        <f t="shared" si="104"/>
        <v>PENSIONADOS EN SU PROPIO SISTEMA</v>
      </c>
      <c r="N1426">
        <f t="shared" si="105"/>
        <v>67</v>
      </c>
      <c r="O1426" s="19" t="str">
        <f t="shared" si="106"/>
        <v>1200k+</v>
      </c>
      <c r="P1426" s="19" t="str">
        <f t="shared" si="107"/>
        <v>56+</v>
      </c>
    </row>
    <row r="1427" spans="1:16" x14ac:dyDescent="0.25">
      <c r="A1427">
        <v>1426</v>
      </c>
      <c r="B1427" t="s">
        <v>9</v>
      </c>
      <c r="C1427">
        <v>278030</v>
      </c>
      <c r="D1427" t="s">
        <v>19</v>
      </c>
      <c r="E1427" t="s">
        <v>16</v>
      </c>
      <c r="F1427" t="s">
        <v>12</v>
      </c>
      <c r="G1427" t="s">
        <v>13</v>
      </c>
      <c r="H1427" t="s">
        <v>13</v>
      </c>
      <c r="I1427">
        <v>56</v>
      </c>
      <c r="J1427" t="str" cm="1">
        <f t="array" ref="J1427">_xlfn.IFS(ISBLANK(C1427),"FALTANTE",ABS((C1427-$W$5)/$X$5)&gt;1.96,"ATÍPICO",ABS((C1427-$W$5)/$X$5)&lt;=1.96,"NO ATÍPICO")</f>
        <v>NO ATÍPICO</v>
      </c>
      <c r="K1427" t="str" cm="1">
        <f t="array" ref="K1427">_xlfn.IFS(ISBLANK(I1427),"FALTANTE",ABS((I1427-$W$8)/$X$8)&gt;1.92,"ATÍPICO",ABS((I1427-$W$8)/$X$8)&lt;=1.92,"NO ATÍPICO")</f>
        <v>NO ATÍPICO</v>
      </c>
      <c r="L1427">
        <f t="shared" si="104"/>
        <v>278030</v>
      </c>
      <c r="M1427" t="str">
        <f t="shared" si="104"/>
        <v>CONVENIOS ESPECIALES DE TRABAJADORES INDEPENDIENTES</v>
      </c>
      <c r="N1427">
        <f t="shared" si="105"/>
        <v>56</v>
      </c>
      <c r="O1427" s="19" t="str">
        <f t="shared" si="106"/>
        <v>0–300k</v>
      </c>
      <c r="P1427" s="19" t="str">
        <f t="shared" si="107"/>
        <v>56+</v>
      </c>
    </row>
    <row r="1428" spans="1:16" x14ac:dyDescent="0.25">
      <c r="A1428">
        <v>1427</v>
      </c>
      <c r="B1428" t="s">
        <v>15</v>
      </c>
      <c r="C1428">
        <v>2166746.5</v>
      </c>
      <c r="D1428" t="s">
        <v>10</v>
      </c>
      <c r="E1428" t="s">
        <v>11</v>
      </c>
      <c r="F1428" t="s">
        <v>12</v>
      </c>
      <c r="G1428" t="s">
        <v>13</v>
      </c>
      <c r="H1428" t="s">
        <v>13</v>
      </c>
      <c r="I1428">
        <v>32</v>
      </c>
      <c r="J1428" t="str" cm="1">
        <f t="array" ref="J1428">_xlfn.IFS(ISBLANK(C1428),"FALTANTE",ABS((C1428-$W$5)/$X$5)&gt;1.96,"ATÍPICO",ABS((C1428-$W$5)/$X$5)&lt;=1.96,"NO ATÍPICO")</f>
        <v>NO ATÍPICO</v>
      </c>
      <c r="K1428" t="str" cm="1">
        <f t="array" ref="K1428">_xlfn.IFS(ISBLANK(I1428),"FALTANTE",ABS((I1428-$W$8)/$X$8)&gt;1.92,"ATÍPICO",ABS((I1428-$W$8)/$X$8)&lt;=1.92,"NO ATÍPICO")</f>
        <v>NO ATÍPICO</v>
      </c>
      <c r="L1428">
        <f t="shared" si="104"/>
        <v>2166746.5</v>
      </c>
      <c r="M1428" t="str">
        <f t="shared" si="104"/>
        <v>ASALARIADO</v>
      </c>
      <c r="N1428">
        <f t="shared" si="105"/>
        <v>32</v>
      </c>
      <c r="O1428" s="19" t="str">
        <f t="shared" si="106"/>
        <v>1200k+</v>
      </c>
      <c r="P1428" s="19" t="str">
        <f t="shared" si="107"/>
        <v>26-35</v>
      </c>
    </row>
    <row r="1429" spans="1:16" x14ac:dyDescent="0.25">
      <c r="A1429">
        <v>1428</v>
      </c>
      <c r="B1429" t="s">
        <v>15</v>
      </c>
      <c r="C1429">
        <v>532257.68999999994</v>
      </c>
      <c r="D1429" t="s">
        <v>10</v>
      </c>
      <c r="E1429" t="s">
        <v>16</v>
      </c>
      <c r="F1429" t="s">
        <v>12</v>
      </c>
      <c r="G1429" t="s">
        <v>13</v>
      </c>
      <c r="H1429" t="s">
        <v>13</v>
      </c>
      <c r="I1429">
        <v>42</v>
      </c>
      <c r="J1429" t="str" cm="1">
        <f t="array" ref="J1429">_xlfn.IFS(ISBLANK(C1429),"FALTANTE",ABS((C1429-$W$5)/$X$5)&gt;1.96,"ATÍPICO",ABS((C1429-$W$5)/$X$5)&lt;=1.96,"NO ATÍPICO")</f>
        <v>NO ATÍPICO</v>
      </c>
      <c r="K1429" t="str" cm="1">
        <f t="array" ref="K1429">_xlfn.IFS(ISBLANK(I1429),"FALTANTE",ABS((I1429-$W$8)/$X$8)&gt;1.92,"ATÍPICO",ABS((I1429-$W$8)/$X$8)&lt;=1.92,"NO ATÍPICO")</f>
        <v>NO ATÍPICO</v>
      </c>
      <c r="L1429">
        <f t="shared" si="104"/>
        <v>532257.68999999994</v>
      </c>
      <c r="M1429" t="str">
        <f t="shared" si="104"/>
        <v>ASALARIADO</v>
      </c>
      <c r="N1429">
        <f t="shared" si="105"/>
        <v>42</v>
      </c>
      <c r="O1429" s="19" t="str">
        <f t="shared" si="106"/>
        <v>300k–600k</v>
      </c>
      <c r="P1429" s="19" t="str">
        <f t="shared" si="107"/>
        <v>36-45</v>
      </c>
    </row>
    <row r="1430" spans="1:16" x14ac:dyDescent="0.25">
      <c r="A1430">
        <v>1429</v>
      </c>
      <c r="B1430" t="s">
        <v>9</v>
      </c>
      <c r="C1430">
        <v>2762536.65</v>
      </c>
      <c r="D1430" t="s">
        <v>10</v>
      </c>
      <c r="E1430" t="s">
        <v>16</v>
      </c>
      <c r="F1430" t="s">
        <v>12</v>
      </c>
      <c r="G1430" t="s">
        <v>12</v>
      </c>
      <c r="H1430" t="s">
        <v>13</v>
      </c>
      <c r="I1430">
        <v>42</v>
      </c>
      <c r="J1430" t="str" cm="1">
        <f t="array" ref="J1430">_xlfn.IFS(ISBLANK(C1430),"FALTANTE",ABS((C1430-$W$5)/$X$5)&gt;1.96,"ATÍPICO",ABS((C1430-$W$5)/$X$5)&lt;=1.96,"NO ATÍPICO")</f>
        <v>ATÍPICO</v>
      </c>
      <c r="K1430" t="str" cm="1">
        <f t="array" ref="K1430">_xlfn.IFS(ISBLANK(I1430),"FALTANTE",ABS((I1430-$W$8)/$X$8)&gt;1.92,"ATÍPICO",ABS((I1430-$W$8)/$X$8)&lt;=1.92,"NO ATÍPICO")</f>
        <v>NO ATÍPICO</v>
      </c>
      <c r="L1430">
        <f t="shared" si="104"/>
        <v>2762536.65</v>
      </c>
      <c r="M1430" t="str">
        <f t="shared" si="104"/>
        <v>ASALARIADO</v>
      </c>
      <c r="N1430">
        <f t="shared" si="105"/>
        <v>42</v>
      </c>
      <c r="O1430" s="19" t="str">
        <f t="shared" si="106"/>
        <v>1200k+</v>
      </c>
      <c r="P1430" s="19" t="str">
        <f t="shared" si="107"/>
        <v>36-45</v>
      </c>
    </row>
    <row r="1431" spans="1:16" x14ac:dyDescent="0.25">
      <c r="A1431">
        <v>1430</v>
      </c>
      <c r="B1431" t="s">
        <v>15</v>
      </c>
      <c r="C1431">
        <v>278030</v>
      </c>
      <c r="D1431" t="s">
        <v>19</v>
      </c>
      <c r="E1431" t="s">
        <v>16</v>
      </c>
      <c r="F1431" t="s">
        <v>12</v>
      </c>
      <c r="G1431" t="s">
        <v>13</v>
      </c>
      <c r="H1431" t="s">
        <v>13</v>
      </c>
      <c r="I1431">
        <v>60</v>
      </c>
      <c r="J1431" t="str" cm="1">
        <f t="array" ref="J1431">_xlfn.IFS(ISBLANK(C1431),"FALTANTE",ABS((C1431-$W$5)/$X$5)&gt;1.96,"ATÍPICO",ABS((C1431-$W$5)/$X$5)&lt;=1.96,"NO ATÍPICO")</f>
        <v>NO ATÍPICO</v>
      </c>
      <c r="K1431" t="str" cm="1">
        <f t="array" ref="K1431">_xlfn.IFS(ISBLANK(I1431),"FALTANTE",ABS((I1431-$W$8)/$X$8)&gt;1.92,"ATÍPICO",ABS((I1431-$W$8)/$X$8)&lt;=1.92,"NO ATÍPICO")</f>
        <v>NO ATÍPICO</v>
      </c>
      <c r="L1431">
        <f t="shared" si="104"/>
        <v>278030</v>
      </c>
      <c r="M1431" t="str">
        <f t="shared" si="104"/>
        <v>CONVENIOS ESPECIALES DE TRABAJADORES INDEPENDIENTES</v>
      </c>
      <c r="N1431">
        <f t="shared" si="105"/>
        <v>60</v>
      </c>
      <c r="O1431" s="19" t="str">
        <f t="shared" si="106"/>
        <v>0–300k</v>
      </c>
      <c r="P1431" s="19" t="str">
        <f t="shared" si="107"/>
        <v>56+</v>
      </c>
    </row>
    <row r="1432" spans="1:16" x14ac:dyDescent="0.25">
      <c r="A1432">
        <v>1431</v>
      </c>
      <c r="B1432" t="s">
        <v>9</v>
      </c>
      <c r="C1432">
        <v>437183.54</v>
      </c>
      <c r="D1432" t="s">
        <v>10</v>
      </c>
      <c r="E1432" t="s">
        <v>16</v>
      </c>
      <c r="F1432" t="s">
        <v>12</v>
      </c>
      <c r="G1432" t="s">
        <v>13</v>
      </c>
      <c r="H1432" t="s">
        <v>13</v>
      </c>
      <c r="I1432">
        <v>46</v>
      </c>
      <c r="J1432" t="str" cm="1">
        <f t="array" ref="J1432">_xlfn.IFS(ISBLANK(C1432),"FALTANTE",ABS((C1432-$W$5)/$X$5)&gt;1.96,"ATÍPICO",ABS((C1432-$W$5)/$X$5)&lt;=1.96,"NO ATÍPICO")</f>
        <v>NO ATÍPICO</v>
      </c>
      <c r="K1432" t="str" cm="1">
        <f t="array" ref="K1432">_xlfn.IFS(ISBLANK(I1432),"FALTANTE",ABS((I1432-$W$8)/$X$8)&gt;1.92,"ATÍPICO",ABS((I1432-$W$8)/$X$8)&lt;=1.92,"NO ATÍPICO")</f>
        <v>NO ATÍPICO</v>
      </c>
      <c r="L1432">
        <f t="shared" si="104"/>
        <v>437183.54</v>
      </c>
      <c r="M1432" t="str">
        <f t="shared" si="104"/>
        <v>ASALARIADO</v>
      </c>
      <c r="N1432">
        <f t="shared" si="105"/>
        <v>46</v>
      </c>
      <c r="O1432" s="19" t="str">
        <f t="shared" si="106"/>
        <v>300k–600k</v>
      </c>
      <c r="P1432" s="19" t="str">
        <f t="shared" si="107"/>
        <v>46-55</v>
      </c>
    </row>
    <row r="1433" spans="1:16" x14ac:dyDescent="0.25">
      <c r="A1433">
        <v>1432</v>
      </c>
      <c r="B1433" t="s">
        <v>9</v>
      </c>
      <c r="C1433">
        <v>417623.03</v>
      </c>
      <c r="D1433" t="s">
        <v>10</v>
      </c>
      <c r="E1433" t="s">
        <v>16</v>
      </c>
      <c r="F1433" t="s">
        <v>12</v>
      </c>
      <c r="G1433" t="s">
        <v>13</v>
      </c>
      <c r="H1433" t="s">
        <v>13</v>
      </c>
      <c r="I1433">
        <v>27</v>
      </c>
      <c r="J1433" t="str" cm="1">
        <f t="array" ref="J1433">_xlfn.IFS(ISBLANK(C1433),"FALTANTE",ABS((C1433-$W$5)/$X$5)&gt;1.96,"ATÍPICO",ABS((C1433-$W$5)/$X$5)&lt;=1.96,"NO ATÍPICO")</f>
        <v>NO ATÍPICO</v>
      </c>
      <c r="K1433" t="str" cm="1">
        <f t="array" ref="K1433">_xlfn.IFS(ISBLANK(I1433),"FALTANTE",ABS((I1433-$W$8)/$X$8)&gt;1.92,"ATÍPICO",ABS((I1433-$W$8)/$X$8)&lt;=1.92,"NO ATÍPICO")</f>
        <v>NO ATÍPICO</v>
      </c>
      <c r="L1433">
        <f t="shared" si="104"/>
        <v>417623.03</v>
      </c>
      <c r="M1433" t="str">
        <f t="shared" si="104"/>
        <v>ASALARIADO</v>
      </c>
      <c r="N1433">
        <f t="shared" si="105"/>
        <v>27</v>
      </c>
      <c r="O1433" s="19" t="str">
        <f t="shared" si="106"/>
        <v>300k–600k</v>
      </c>
      <c r="P1433" s="19" t="str">
        <f t="shared" si="107"/>
        <v>26-35</v>
      </c>
    </row>
    <row r="1434" spans="1:16" x14ac:dyDescent="0.25">
      <c r="A1434">
        <v>1433</v>
      </c>
      <c r="B1434" t="s">
        <v>15</v>
      </c>
      <c r="C1434">
        <v>170502</v>
      </c>
      <c r="D1434" t="s">
        <v>10</v>
      </c>
      <c r="E1434" t="s">
        <v>16</v>
      </c>
      <c r="F1434" t="s">
        <v>12</v>
      </c>
      <c r="G1434" t="s">
        <v>13</v>
      </c>
      <c r="H1434" t="s">
        <v>13</v>
      </c>
      <c r="I1434">
        <v>47</v>
      </c>
      <c r="J1434" t="str" cm="1">
        <f t="array" ref="J1434">_xlfn.IFS(ISBLANK(C1434),"FALTANTE",ABS((C1434-$W$5)/$X$5)&gt;1.96,"ATÍPICO",ABS((C1434-$W$5)/$X$5)&lt;=1.96,"NO ATÍPICO")</f>
        <v>NO ATÍPICO</v>
      </c>
      <c r="K1434" t="str" cm="1">
        <f t="array" ref="K1434">_xlfn.IFS(ISBLANK(I1434),"FALTANTE",ABS((I1434-$W$8)/$X$8)&gt;1.92,"ATÍPICO",ABS((I1434-$W$8)/$X$8)&lt;=1.92,"NO ATÍPICO")</f>
        <v>NO ATÍPICO</v>
      </c>
      <c r="L1434">
        <f t="shared" si="104"/>
        <v>170502</v>
      </c>
      <c r="M1434" t="str">
        <f t="shared" si="104"/>
        <v>ASALARIADO</v>
      </c>
      <c r="N1434">
        <f t="shared" si="105"/>
        <v>47</v>
      </c>
      <c r="O1434" s="19" t="str">
        <f t="shared" si="106"/>
        <v>0–300k</v>
      </c>
      <c r="P1434" s="19" t="str">
        <f t="shared" si="107"/>
        <v>46-55</v>
      </c>
    </row>
    <row r="1435" spans="1:16" x14ac:dyDescent="0.25">
      <c r="A1435">
        <v>1434</v>
      </c>
      <c r="B1435" t="s">
        <v>9</v>
      </c>
      <c r="C1435">
        <v>573826</v>
      </c>
      <c r="D1435" t="s">
        <v>18</v>
      </c>
      <c r="E1435" t="s">
        <v>16</v>
      </c>
      <c r="F1435" t="s">
        <v>12</v>
      </c>
      <c r="G1435" t="s">
        <v>13</v>
      </c>
      <c r="H1435" t="s">
        <v>12</v>
      </c>
      <c r="I1435">
        <v>61</v>
      </c>
      <c r="J1435" t="str" cm="1">
        <f t="array" ref="J1435">_xlfn.IFS(ISBLANK(C1435),"FALTANTE",ABS((C1435-$W$5)/$X$5)&gt;1.96,"ATÍPICO",ABS((C1435-$W$5)/$X$5)&lt;=1.96,"NO ATÍPICO")</f>
        <v>NO ATÍPICO</v>
      </c>
      <c r="K1435" t="str" cm="1">
        <f t="array" ref="K1435">_xlfn.IFS(ISBLANK(I1435),"FALTANTE",ABS((I1435-$W$8)/$X$8)&gt;1.92,"ATÍPICO",ABS((I1435-$W$8)/$X$8)&lt;=1.92,"NO ATÍPICO")</f>
        <v>NO ATÍPICO</v>
      </c>
      <c r="L1435">
        <f t="shared" si="104"/>
        <v>573826</v>
      </c>
      <c r="M1435" t="str">
        <f t="shared" si="104"/>
        <v>TRABAJADOR INDEPENDIENTE</v>
      </c>
      <c r="N1435">
        <f t="shared" si="105"/>
        <v>61</v>
      </c>
      <c r="O1435" s="19" t="str">
        <f t="shared" si="106"/>
        <v>300k–600k</v>
      </c>
      <c r="P1435" s="19" t="str">
        <f t="shared" si="107"/>
        <v>56+</v>
      </c>
    </row>
    <row r="1436" spans="1:16" x14ac:dyDescent="0.25">
      <c r="A1436">
        <v>1435</v>
      </c>
      <c r="B1436" t="s">
        <v>15</v>
      </c>
      <c r="C1436">
        <v>297045</v>
      </c>
      <c r="D1436" t="s">
        <v>17</v>
      </c>
      <c r="E1436" t="s">
        <v>16</v>
      </c>
      <c r="F1436" t="s">
        <v>12</v>
      </c>
      <c r="G1436" t="s">
        <v>13</v>
      </c>
      <c r="H1436" t="s">
        <v>12</v>
      </c>
      <c r="I1436">
        <v>23</v>
      </c>
      <c r="J1436" t="str" cm="1">
        <f t="array" ref="J1436">_xlfn.IFS(ISBLANK(C1436),"FALTANTE",ABS((C1436-$W$5)/$X$5)&gt;1.96,"ATÍPICO",ABS((C1436-$W$5)/$X$5)&lt;=1.96,"NO ATÍPICO")</f>
        <v>NO ATÍPICO</v>
      </c>
      <c r="K1436" t="str" cm="1">
        <f t="array" ref="K1436">_xlfn.IFS(ISBLANK(I1436),"FALTANTE",ABS((I1436-$W$8)/$X$8)&gt;1.92,"ATÍPICO",ABS((I1436-$W$8)/$X$8)&lt;=1.92,"NO ATÍPICO")</f>
        <v>NO ATÍPICO</v>
      </c>
      <c r="L1436">
        <f t="shared" si="104"/>
        <v>297045</v>
      </c>
      <c r="M1436" t="str">
        <f t="shared" si="104"/>
        <v>ASEGURADO VOLUNTARIO</v>
      </c>
      <c r="N1436">
        <f t="shared" si="105"/>
        <v>23</v>
      </c>
      <c r="O1436" s="19" t="str">
        <f t="shared" si="106"/>
        <v>0–300k</v>
      </c>
      <c r="P1436" s="19" t="str">
        <f t="shared" si="107"/>
        <v>18-25</v>
      </c>
    </row>
    <row r="1437" spans="1:16" x14ac:dyDescent="0.25">
      <c r="A1437">
        <v>1436</v>
      </c>
      <c r="B1437" t="s">
        <v>9</v>
      </c>
      <c r="C1437">
        <v>406190.91</v>
      </c>
      <c r="D1437" t="s">
        <v>10</v>
      </c>
      <c r="E1437" t="s">
        <v>11</v>
      </c>
      <c r="F1437" t="s">
        <v>12</v>
      </c>
      <c r="G1437" t="s">
        <v>12</v>
      </c>
      <c r="H1437" t="s">
        <v>13</v>
      </c>
      <c r="I1437">
        <v>22</v>
      </c>
      <c r="J1437" t="str" cm="1">
        <f t="array" ref="J1437">_xlfn.IFS(ISBLANK(C1437),"FALTANTE",ABS((C1437-$W$5)/$X$5)&gt;1.96,"ATÍPICO",ABS((C1437-$W$5)/$X$5)&lt;=1.96,"NO ATÍPICO")</f>
        <v>NO ATÍPICO</v>
      </c>
      <c r="K1437" t="str" cm="1">
        <f t="array" ref="K1437">_xlfn.IFS(ISBLANK(I1437),"FALTANTE",ABS((I1437-$W$8)/$X$8)&gt;1.92,"ATÍPICO",ABS((I1437-$W$8)/$X$8)&lt;=1.92,"NO ATÍPICO")</f>
        <v>NO ATÍPICO</v>
      </c>
      <c r="L1437">
        <f t="shared" si="104"/>
        <v>406190.91</v>
      </c>
      <c r="M1437" t="str">
        <f t="shared" si="104"/>
        <v>ASALARIADO</v>
      </c>
      <c r="N1437">
        <f t="shared" si="105"/>
        <v>22</v>
      </c>
      <c r="O1437" s="19" t="str">
        <f t="shared" si="106"/>
        <v>300k–600k</v>
      </c>
      <c r="P1437" s="19" t="str">
        <f t="shared" si="107"/>
        <v>18-25</v>
      </c>
    </row>
    <row r="1438" spans="1:16" x14ac:dyDescent="0.25">
      <c r="A1438">
        <v>1437</v>
      </c>
      <c r="B1438" t="s">
        <v>9</v>
      </c>
      <c r="C1438">
        <v>297046</v>
      </c>
      <c r="D1438" t="s">
        <v>17</v>
      </c>
      <c r="E1438" t="s">
        <v>16</v>
      </c>
      <c r="F1438" t="s">
        <v>12</v>
      </c>
      <c r="G1438" t="s">
        <v>12</v>
      </c>
      <c r="H1438" t="s">
        <v>13</v>
      </c>
      <c r="I1438">
        <v>44</v>
      </c>
      <c r="J1438" t="str" cm="1">
        <f t="array" ref="J1438">_xlfn.IFS(ISBLANK(C1438),"FALTANTE",ABS((C1438-$W$5)/$X$5)&gt;1.96,"ATÍPICO",ABS((C1438-$W$5)/$X$5)&lt;=1.96,"NO ATÍPICO")</f>
        <v>NO ATÍPICO</v>
      </c>
      <c r="K1438" t="str" cm="1">
        <f t="array" ref="K1438">_xlfn.IFS(ISBLANK(I1438),"FALTANTE",ABS((I1438-$W$8)/$X$8)&gt;1.92,"ATÍPICO",ABS((I1438-$W$8)/$X$8)&lt;=1.92,"NO ATÍPICO")</f>
        <v>NO ATÍPICO</v>
      </c>
      <c r="L1438">
        <f t="shared" si="104"/>
        <v>297046</v>
      </c>
      <c r="M1438" t="str">
        <f t="shared" si="104"/>
        <v>ASEGURADO VOLUNTARIO</v>
      </c>
      <c r="N1438">
        <f t="shared" si="105"/>
        <v>44</v>
      </c>
      <c r="O1438" s="19" t="str">
        <f t="shared" si="106"/>
        <v>0–300k</v>
      </c>
      <c r="P1438" s="19" t="str">
        <f t="shared" si="107"/>
        <v>36-45</v>
      </c>
    </row>
    <row r="1439" spans="1:16" x14ac:dyDescent="0.25">
      <c r="A1439">
        <v>1438</v>
      </c>
      <c r="B1439" t="s">
        <v>15</v>
      </c>
      <c r="C1439">
        <v>313897</v>
      </c>
      <c r="D1439" t="s">
        <v>10</v>
      </c>
      <c r="E1439" t="s">
        <v>11</v>
      </c>
      <c r="F1439" t="s">
        <v>12</v>
      </c>
      <c r="G1439" t="s">
        <v>13</v>
      </c>
      <c r="H1439" t="s">
        <v>12</v>
      </c>
      <c r="I1439">
        <v>31</v>
      </c>
      <c r="J1439" t="str" cm="1">
        <f t="array" ref="J1439">_xlfn.IFS(ISBLANK(C1439),"FALTANTE",ABS((C1439-$W$5)/$X$5)&gt;1.96,"ATÍPICO",ABS((C1439-$W$5)/$X$5)&lt;=1.96,"NO ATÍPICO")</f>
        <v>NO ATÍPICO</v>
      </c>
      <c r="K1439" t="str" cm="1">
        <f t="array" ref="K1439">_xlfn.IFS(ISBLANK(I1439),"FALTANTE",ABS((I1439-$W$8)/$X$8)&gt;1.92,"ATÍPICO",ABS((I1439-$W$8)/$X$8)&lt;=1.92,"NO ATÍPICO")</f>
        <v>NO ATÍPICO</v>
      </c>
      <c r="L1439">
        <f t="shared" si="104"/>
        <v>313897</v>
      </c>
      <c r="M1439" t="str">
        <f t="shared" si="104"/>
        <v>ASALARIADO</v>
      </c>
      <c r="N1439">
        <f t="shared" si="105"/>
        <v>31</v>
      </c>
      <c r="O1439" s="19" t="str">
        <f t="shared" si="106"/>
        <v>300k–600k</v>
      </c>
      <c r="P1439" s="19" t="str">
        <f t="shared" si="107"/>
        <v>26-35</v>
      </c>
    </row>
    <row r="1440" spans="1:16" x14ac:dyDescent="0.25">
      <c r="A1440">
        <v>1439</v>
      </c>
      <c r="B1440" t="s">
        <v>15</v>
      </c>
      <c r="C1440">
        <v>496170</v>
      </c>
      <c r="D1440" t="s">
        <v>10</v>
      </c>
      <c r="E1440" t="s">
        <v>16</v>
      </c>
      <c r="F1440" t="s">
        <v>12</v>
      </c>
      <c r="G1440" t="s">
        <v>12</v>
      </c>
      <c r="H1440" t="s">
        <v>13</v>
      </c>
      <c r="I1440">
        <v>28</v>
      </c>
      <c r="J1440" t="str" cm="1">
        <f t="array" ref="J1440">_xlfn.IFS(ISBLANK(C1440),"FALTANTE",ABS((C1440-$W$5)/$X$5)&gt;1.96,"ATÍPICO",ABS((C1440-$W$5)/$X$5)&lt;=1.96,"NO ATÍPICO")</f>
        <v>NO ATÍPICO</v>
      </c>
      <c r="K1440" t="str" cm="1">
        <f t="array" ref="K1440">_xlfn.IFS(ISBLANK(I1440),"FALTANTE",ABS((I1440-$W$8)/$X$8)&gt;1.92,"ATÍPICO",ABS((I1440-$W$8)/$X$8)&lt;=1.92,"NO ATÍPICO")</f>
        <v>NO ATÍPICO</v>
      </c>
      <c r="L1440">
        <f t="shared" si="104"/>
        <v>496170</v>
      </c>
      <c r="M1440" t="str">
        <f t="shared" si="104"/>
        <v>ASALARIADO</v>
      </c>
      <c r="N1440">
        <f t="shared" si="105"/>
        <v>28</v>
      </c>
      <c r="O1440" s="19" t="str">
        <f t="shared" si="106"/>
        <v>300k–600k</v>
      </c>
      <c r="P1440" s="19" t="str">
        <f t="shared" si="107"/>
        <v>26-35</v>
      </c>
    </row>
    <row r="1441" spans="1:16" x14ac:dyDescent="0.25">
      <c r="A1441">
        <v>1440</v>
      </c>
      <c r="B1441" t="s">
        <v>9</v>
      </c>
      <c r="C1441">
        <v>952596</v>
      </c>
      <c r="D1441" t="s">
        <v>10</v>
      </c>
      <c r="E1441" t="s">
        <v>16</v>
      </c>
      <c r="F1441" t="s">
        <v>12</v>
      </c>
      <c r="G1441" t="s">
        <v>13</v>
      </c>
      <c r="H1441" t="s">
        <v>13</v>
      </c>
      <c r="I1441">
        <v>61</v>
      </c>
      <c r="J1441" t="str" cm="1">
        <f t="array" ref="J1441">_xlfn.IFS(ISBLANK(C1441),"FALTANTE",ABS((C1441-$W$5)/$X$5)&gt;1.96,"ATÍPICO",ABS((C1441-$W$5)/$X$5)&lt;=1.96,"NO ATÍPICO")</f>
        <v>NO ATÍPICO</v>
      </c>
      <c r="K1441" t="str" cm="1">
        <f t="array" ref="K1441">_xlfn.IFS(ISBLANK(I1441),"FALTANTE",ABS((I1441-$W$8)/$X$8)&gt;1.92,"ATÍPICO",ABS((I1441-$W$8)/$X$8)&lt;=1.92,"NO ATÍPICO")</f>
        <v>NO ATÍPICO</v>
      </c>
      <c r="L1441">
        <f t="shared" si="104"/>
        <v>952596</v>
      </c>
      <c r="M1441" t="str">
        <f t="shared" si="104"/>
        <v>ASALARIADO</v>
      </c>
      <c r="N1441">
        <f t="shared" si="105"/>
        <v>61</v>
      </c>
      <c r="O1441" s="19" t="str">
        <f t="shared" si="106"/>
        <v>900k–1200k</v>
      </c>
      <c r="P1441" s="19" t="str">
        <f t="shared" si="107"/>
        <v>56+</v>
      </c>
    </row>
    <row r="1442" spans="1:16" x14ac:dyDescent="0.25">
      <c r="A1442">
        <v>1441</v>
      </c>
      <c r="B1442" t="s">
        <v>15</v>
      </c>
      <c r="C1442">
        <v>644244</v>
      </c>
      <c r="D1442" t="s">
        <v>10</v>
      </c>
      <c r="E1442" t="s">
        <v>16</v>
      </c>
      <c r="F1442" t="s">
        <v>12</v>
      </c>
      <c r="G1442" t="s">
        <v>13</v>
      </c>
      <c r="H1442" t="s">
        <v>13</v>
      </c>
      <c r="I1442">
        <v>25</v>
      </c>
      <c r="J1442" t="str" cm="1">
        <f t="array" ref="J1442">_xlfn.IFS(ISBLANK(C1442),"FALTANTE",ABS((C1442-$W$5)/$X$5)&gt;1.96,"ATÍPICO",ABS((C1442-$W$5)/$X$5)&lt;=1.96,"NO ATÍPICO")</f>
        <v>NO ATÍPICO</v>
      </c>
      <c r="K1442" t="str" cm="1">
        <f t="array" ref="K1442">_xlfn.IFS(ISBLANK(I1442),"FALTANTE",ABS((I1442-$W$8)/$X$8)&gt;1.92,"ATÍPICO",ABS((I1442-$W$8)/$X$8)&lt;=1.92,"NO ATÍPICO")</f>
        <v>NO ATÍPICO</v>
      </c>
      <c r="L1442">
        <f t="shared" si="104"/>
        <v>644244</v>
      </c>
      <c r="M1442" t="str">
        <f t="shared" si="104"/>
        <v>ASALARIADO</v>
      </c>
      <c r="N1442">
        <f t="shared" si="105"/>
        <v>25</v>
      </c>
      <c r="O1442" s="19" t="str">
        <f t="shared" si="106"/>
        <v>600k–900k</v>
      </c>
      <c r="P1442" s="19" t="str">
        <f t="shared" si="107"/>
        <v>18-25</v>
      </c>
    </row>
    <row r="1443" spans="1:16" x14ac:dyDescent="0.25">
      <c r="A1443">
        <v>1442</v>
      </c>
      <c r="B1443" t="s">
        <v>9</v>
      </c>
      <c r="C1443">
        <v>297045</v>
      </c>
      <c r="D1443" t="s">
        <v>17</v>
      </c>
      <c r="E1443" t="s">
        <v>16</v>
      </c>
      <c r="F1443" t="s">
        <v>12</v>
      </c>
      <c r="G1443" t="s">
        <v>13</v>
      </c>
      <c r="H1443" t="s">
        <v>13</v>
      </c>
      <c r="I1443">
        <v>36</v>
      </c>
      <c r="J1443" t="str" cm="1">
        <f t="array" ref="J1443">_xlfn.IFS(ISBLANK(C1443),"FALTANTE",ABS((C1443-$W$5)/$X$5)&gt;1.96,"ATÍPICO",ABS((C1443-$W$5)/$X$5)&lt;=1.96,"NO ATÍPICO")</f>
        <v>NO ATÍPICO</v>
      </c>
      <c r="K1443" t="str" cm="1">
        <f t="array" ref="K1443">_xlfn.IFS(ISBLANK(I1443),"FALTANTE",ABS((I1443-$W$8)/$X$8)&gt;1.92,"ATÍPICO",ABS((I1443-$W$8)/$X$8)&lt;=1.92,"NO ATÍPICO")</f>
        <v>NO ATÍPICO</v>
      </c>
      <c r="L1443">
        <f t="shared" si="104"/>
        <v>297045</v>
      </c>
      <c r="M1443" t="str">
        <f t="shared" si="104"/>
        <v>ASEGURADO VOLUNTARIO</v>
      </c>
      <c r="N1443">
        <f t="shared" si="105"/>
        <v>36</v>
      </c>
      <c r="O1443" s="19" t="str">
        <f t="shared" si="106"/>
        <v>0–300k</v>
      </c>
      <c r="P1443" s="19" t="str">
        <f t="shared" si="107"/>
        <v>36-45</v>
      </c>
    </row>
    <row r="1444" spans="1:16" x14ac:dyDescent="0.25">
      <c r="A1444">
        <v>1443</v>
      </c>
      <c r="B1444" t="s">
        <v>15</v>
      </c>
      <c r="C1444">
        <v>297044.99</v>
      </c>
      <c r="D1444" t="s">
        <v>19</v>
      </c>
      <c r="E1444" t="s">
        <v>16</v>
      </c>
      <c r="F1444" t="s">
        <v>12</v>
      </c>
      <c r="G1444" t="s">
        <v>12</v>
      </c>
      <c r="H1444" t="s">
        <v>13</v>
      </c>
      <c r="I1444">
        <v>56</v>
      </c>
      <c r="J1444" t="str" cm="1">
        <f t="array" ref="J1444">_xlfn.IFS(ISBLANK(C1444),"FALTANTE",ABS((C1444-$W$5)/$X$5)&gt;1.96,"ATÍPICO",ABS((C1444-$W$5)/$X$5)&lt;=1.96,"NO ATÍPICO")</f>
        <v>NO ATÍPICO</v>
      </c>
      <c r="K1444" t="str" cm="1">
        <f t="array" ref="K1444">_xlfn.IFS(ISBLANK(I1444),"FALTANTE",ABS((I1444-$W$8)/$X$8)&gt;1.92,"ATÍPICO",ABS((I1444-$W$8)/$X$8)&lt;=1.92,"NO ATÍPICO")</f>
        <v>NO ATÍPICO</v>
      </c>
      <c r="L1444">
        <f t="shared" si="104"/>
        <v>297044.99</v>
      </c>
      <c r="M1444" t="str">
        <f t="shared" si="104"/>
        <v>CONVENIOS ESPECIALES DE TRABAJADORES INDEPENDIENTES</v>
      </c>
      <c r="N1444">
        <f t="shared" si="105"/>
        <v>56</v>
      </c>
      <c r="O1444" s="19" t="str">
        <f t="shared" si="106"/>
        <v>0–300k</v>
      </c>
      <c r="P1444" s="19" t="str">
        <f t="shared" si="107"/>
        <v>56+</v>
      </c>
    </row>
    <row r="1445" spans="1:16" x14ac:dyDescent="0.25">
      <c r="A1445">
        <v>1444</v>
      </c>
      <c r="B1445" t="s">
        <v>15</v>
      </c>
      <c r="C1445">
        <v>1591132.4</v>
      </c>
      <c r="D1445" t="s">
        <v>10</v>
      </c>
      <c r="E1445" t="s">
        <v>11</v>
      </c>
      <c r="F1445" t="s">
        <v>12</v>
      </c>
      <c r="G1445" t="s">
        <v>13</v>
      </c>
      <c r="H1445" t="s">
        <v>13</v>
      </c>
      <c r="I1445">
        <v>51</v>
      </c>
      <c r="J1445" t="str" cm="1">
        <f t="array" ref="J1445">_xlfn.IFS(ISBLANK(C1445),"FALTANTE",ABS((C1445-$W$5)/$X$5)&gt;1.96,"ATÍPICO",ABS((C1445-$W$5)/$X$5)&lt;=1.96,"NO ATÍPICO")</f>
        <v>NO ATÍPICO</v>
      </c>
      <c r="K1445" t="str" cm="1">
        <f t="array" ref="K1445">_xlfn.IFS(ISBLANK(I1445),"FALTANTE",ABS((I1445-$W$8)/$X$8)&gt;1.92,"ATÍPICO",ABS((I1445-$W$8)/$X$8)&lt;=1.92,"NO ATÍPICO")</f>
        <v>NO ATÍPICO</v>
      </c>
      <c r="L1445">
        <f t="shared" si="104"/>
        <v>1591132.4</v>
      </c>
      <c r="M1445" t="str">
        <f t="shared" si="104"/>
        <v>ASALARIADO</v>
      </c>
      <c r="N1445">
        <f t="shared" si="105"/>
        <v>51</v>
      </c>
      <c r="O1445" s="19" t="str">
        <f t="shared" si="106"/>
        <v>1200k+</v>
      </c>
      <c r="P1445" s="19" t="str">
        <f t="shared" si="107"/>
        <v>46-55</v>
      </c>
    </row>
    <row r="1446" spans="1:16" x14ac:dyDescent="0.25">
      <c r="A1446">
        <v>1445</v>
      </c>
      <c r="B1446" t="s">
        <v>9</v>
      </c>
      <c r="C1446">
        <v>130000</v>
      </c>
      <c r="D1446" t="s">
        <v>10</v>
      </c>
      <c r="E1446" t="s">
        <v>16</v>
      </c>
      <c r="F1446" t="s">
        <v>12</v>
      </c>
      <c r="G1446" t="s">
        <v>12</v>
      </c>
      <c r="H1446" t="s">
        <v>13</v>
      </c>
      <c r="I1446">
        <v>40</v>
      </c>
      <c r="J1446" t="str" cm="1">
        <f t="array" ref="J1446">_xlfn.IFS(ISBLANK(C1446),"FALTANTE",ABS((C1446-$W$5)/$X$5)&gt;1.96,"ATÍPICO",ABS((C1446-$W$5)/$X$5)&lt;=1.96,"NO ATÍPICO")</f>
        <v>NO ATÍPICO</v>
      </c>
      <c r="K1446" t="str" cm="1">
        <f t="array" ref="K1446">_xlfn.IFS(ISBLANK(I1446),"FALTANTE",ABS((I1446-$W$8)/$X$8)&gt;1.92,"ATÍPICO",ABS((I1446-$W$8)/$X$8)&lt;=1.92,"NO ATÍPICO")</f>
        <v>NO ATÍPICO</v>
      </c>
      <c r="L1446">
        <f t="shared" si="104"/>
        <v>130000</v>
      </c>
      <c r="M1446" t="str">
        <f t="shared" si="104"/>
        <v>ASALARIADO</v>
      </c>
      <c r="N1446">
        <f t="shared" si="105"/>
        <v>40</v>
      </c>
      <c r="O1446" s="19" t="str">
        <f t="shared" si="106"/>
        <v>0–300k</v>
      </c>
      <c r="P1446" s="19" t="str">
        <f t="shared" si="107"/>
        <v>36-45</v>
      </c>
    </row>
    <row r="1447" spans="1:16" x14ac:dyDescent="0.25">
      <c r="A1447">
        <v>1446</v>
      </c>
      <c r="B1447" t="s">
        <v>9</v>
      </c>
      <c r="C1447">
        <v>868191.39</v>
      </c>
      <c r="D1447" t="s">
        <v>10</v>
      </c>
      <c r="E1447" t="s">
        <v>16</v>
      </c>
      <c r="F1447" t="s">
        <v>12</v>
      </c>
      <c r="G1447" t="s">
        <v>13</v>
      </c>
      <c r="H1447" t="s">
        <v>13</v>
      </c>
      <c r="I1447">
        <v>30</v>
      </c>
      <c r="J1447" t="str" cm="1">
        <f t="array" ref="J1447">_xlfn.IFS(ISBLANK(C1447),"FALTANTE",ABS((C1447-$W$5)/$X$5)&gt;1.96,"ATÍPICO",ABS((C1447-$W$5)/$X$5)&lt;=1.96,"NO ATÍPICO")</f>
        <v>NO ATÍPICO</v>
      </c>
      <c r="K1447" t="str" cm="1">
        <f t="array" ref="K1447">_xlfn.IFS(ISBLANK(I1447),"FALTANTE",ABS((I1447-$W$8)/$X$8)&gt;1.92,"ATÍPICO",ABS((I1447-$W$8)/$X$8)&lt;=1.92,"NO ATÍPICO")</f>
        <v>NO ATÍPICO</v>
      </c>
      <c r="L1447">
        <f t="shared" si="104"/>
        <v>868191.39</v>
      </c>
      <c r="M1447" t="str">
        <f t="shared" si="104"/>
        <v>ASALARIADO</v>
      </c>
      <c r="N1447">
        <f t="shared" si="105"/>
        <v>30</v>
      </c>
      <c r="O1447" s="19" t="str">
        <f t="shared" si="106"/>
        <v>600k–900k</v>
      </c>
      <c r="P1447" s="19" t="str">
        <f t="shared" si="107"/>
        <v>26-35</v>
      </c>
    </row>
    <row r="1448" spans="1:16" x14ac:dyDescent="0.25">
      <c r="A1448">
        <v>1447</v>
      </c>
      <c r="B1448" t="s">
        <v>15</v>
      </c>
      <c r="C1448">
        <v>122313.33</v>
      </c>
      <c r="D1448" t="s">
        <v>10</v>
      </c>
      <c r="E1448" t="s">
        <v>16</v>
      </c>
      <c r="F1448" t="s">
        <v>12</v>
      </c>
      <c r="G1448" t="s">
        <v>13</v>
      </c>
      <c r="H1448" t="s">
        <v>13</v>
      </c>
      <c r="I1448">
        <v>42</v>
      </c>
      <c r="J1448" t="str" cm="1">
        <f t="array" ref="J1448">_xlfn.IFS(ISBLANK(C1448),"FALTANTE",ABS((C1448-$W$5)/$X$5)&gt;1.96,"ATÍPICO",ABS((C1448-$W$5)/$X$5)&lt;=1.96,"NO ATÍPICO")</f>
        <v>NO ATÍPICO</v>
      </c>
      <c r="K1448" t="str" cm="1">
        <f t="array" ref="K1448">_xlfn.IFS(ISBLANK(I1448),"FALTANTE",ABS((I1448-$W$8)/$X$8)&gt;1.92,"ATÍPICO",ABS((I1448-$W$8)/$X$8)&lt;=1.92,"NO ATÍPICO")</f>
        <v>NO ATÍPICO</v>
      </c>
      <c r="L1448">
        <f t="shared" si="104"/>
        <v>122313.33</v>
      </c>
      <c r="M1448" t="str">
        <f t="shared" si="104"/>
        <v>ASALARIADO</v>
      </c>
      <c r="N1448">
        <f t="shared" si="105"/>
        <v>42</v>
      </c>
      <c r="O1448" s="19" t="str">
        <f t="shared" si="106"/>
        <v>0–300k</v>
      </c>
      <c r="P1448" s="19" t="str">
        <f t="shared" si="107"/>
        <v>36-45</v>
      </c>
    </row>
    <row r="1449" spans="1:16" x14ac:dyDescent="0.25">
      <c r="A1449">
        <v>1448</v>
      </c>
      <c r="B1449" t="s">
        <v>9</v>
      </c>
      <c r="C1449">
        <v>337000</v>
      </c>
      <c r="D1449" t="s">
        <v>10</v>
      </c>
      <c r="E1449" t="s">
        <v>16</v>
      </c>
      <c r="F1449" t="s">
        <v>12</v>
      </c>
      <c r="G1449" t="s">
        <v>12</v>
      </c>
      <c r="H1449" t="s">
        <v>13</v>
      </c>
      <c r="I1449">
        <v>42</v>
      </c>
      <c r="J1449" t="str" cm="1">
        <f t="array" ref="J1449">_xlfn.IFS(ISBLANK(C1449),"FALTANTE",ABS((C1449-$W$5)/$X$5)&gt;1.96,"ATÍPICO",ABS((C1449-$W$5)/$X$5)&lt;=1.96,"NO ATÍPICO")</f>
        <v>NO ATÍPICO</v>
      </c>
      <c r="K1449" t="str" cm="1">
        <f t="array" ref="K1449">_xlfn.IFS(ISBLANK(I1449),"FALTANTE",ABS((I1449-$W$8)/$X$8)&gt;1.92,"ATÍPICO",ABS((I1449-$W$8)/$X$8)&lt;=1.92,"NO ATÍPICO")</f>
        <v>NO ATÍPICO</v>
      </c>
      <c r="L1449">
        <f t="shared" si="104"/>
        <v>337000</v>
      </c>
      <c r="M1449" t="str">
        <f t="shared" si="104"/>
        <v>ASALARIADO</v>
      </c>
      <c r="N1449">
        <f t="shared" si="105"/>
        <v>42</v>
      </c>
      <c r="O1449" s="19" t="str">
        <f t="shared" si="106"/>
        <v>300k–600k</v>
      </c>
      <c r="P1449" s="19" t="str">
        <f t="shared" si="107"/>
        <v>36-45</v>
      </c>
    </row>
    <row r="1450" spans="1:16" x14ac:dyDescent="0.25">
      <c r="A1450">
        <v>1449</v>
      </c>
      <c r="B1450" t="s">
        <v>15</v>
      </c>
      <c r="C1450">
        <v>1448116.5</v>
      </c>
      <c r="D1450" t="s">
        <v>10</v>
      </c>
      <c r="E1450" t="s">
        <v>11</v>
      </c>
      <c r="F1450" t="s">
        <v>12</v>
      </c>
      <c r="G1450" t="s">
        <v>13</v>
      </c>
      <c r="H1450" t="s">
        <v>13</v>
      </c>
      <c r="I1450">
        <v>42</v>
      </c>
      <c r="J1450" t="str" cm="1">
        <f t="array" ref="J1450">_xlfn.IFS(ISBLANK(C1450),"FALTANTE",ABS((C1450-$W$5)/$X$5)&gt;1.96,"ATÍPICO",ABS((C1450-$W$5)/$X$5)&lt;=1.96,"NO ATÍPICO")</f>
        <v>NO ATÍPICO</v>
      </c>
      <c r="K1450" t="str" cm="1">
        <f t="array" ref="K1450">_xlfn.IFS(ISBLANK(I1450),"FALTANTE",ABS((I1450-$W$8)/$X$8)&gt;1.92,"ATÍPICO",ABS((I1450-$W$8)/$X$8)&lt;=1.92,"NO ATÍPICO")</f>
        <v>NO ATÍPICO</v>
      </c>
      <c r="L1450">
        <f t="shared" si="104"/>
        <v>1448116.5</v>
      </c>
      <c r="M1450" t="str">
        <f t="shared" si="104"/>
        <v>ASALARIADO</v>
      </c>
      <c r="N1450">
        <f t="shared" si="105"/>
        <v>42</v>
      </c>
      <c r="O1450" s="19" t="str">
        <f t="shared" si="106"/>
        <v>1200k+</v>
      </c>
      <c r="P1450" s="19" t="str">
        <f t="shared" si="107"/>
        <v>36-45</v>
      </c>
    </row>
    <row r="1451" spans="1:16" x14ac:dyDescent="0.25">
      <c r="A1451">
        <v>1450</v>
      </c>
      <c r="B1451" t="s">
        <v>15</v>
      </c>
      <c r="C1451">
        <v>327716</v>
      </c>
      <c r="D1451" t="s">
        <v>17</v>
      </c>
      <c r="E1451" t="s">
        <v>16</v>
      </c>
      <c r="F1451" t="s">
        <v>12</v>
      </c>
      <c r="G1451" t="s">
        <v>13</v>
      </c>
      <c r="H1451" t="s">
        <v>13</v>
      </c>
      <c r="I1451">
        <v>40</v>
      </c>
      <c r="J1451" t="str" cm="1">
        <f t="array" ref="J1451">_xlfn.IFS(ISBLANK(C1451),"FALTANTE",ABS((C1451-$W$5)/$X$5)&gt;1.96,"ATÍPICO",ABS((C1451-$W$5)/$X$5)&lt;=1.96,"NO ATÍPICO")</f>
        <v>NO ATÍPICO</v>
      </c>
      <c r="K1451" t="str" cm="1">
        <f t="array" ref="K1451">_xlfn.IFS(ISBLANK(I1451),"FALTANTE",ABS((I1451-$W$8)/$X$8)&gt;1.92,"ATÍPICO",ABS((I1451-$W$8)/$X$8)&lt;=1.92,"NO ATÍPICO")</f>
        <v>NO ATÍPICO</v>
      </c>
      <c r="L1451">
        <f t="shared" si="104"/>
        <v>327716</v>
      </c>
      <c r="M1451" t="str">
        <f t="shared" si="104"/>
        <v>ASEGURADO VOLUNTARIO</v>
      </c>
      <c r="N1451">
        <f t="shared" si="105"/>
        <v>40</v>
      </c>
      <c r="O1451" s="19" t="str">
        <f t="shared" si="106"/>
        <v>300k–600k</v>
      </c>
      <c r="P1451" s="19" t="str">
        <f t="shared" si="107"/>
        <v>36-45</v>
      </c>
    </row>
    <row r="1452" spans="1:16" x14ac:dyDescent="0.25">
      <c r="A1452">
        <v>1451</v>
      </c>
      <c r="B1452" t="s">
        <v>15</v>
      </c>
      <c r="C1452">
        <v>297044</v>
      </c>
      <c r="D1452" t="s">
        <v>21</v>
      </c>
      <c r="E1452" t="s">
        <v>16</v>
      </c>
      <c r="F1452" t="s">
        <v>12</v>
      </c>
      <c r="G1452" t="s">
        <v>13</v>
      </c>
      <c r="H1452" t="s">
        <v>13</v>
      </c>
      <c r="I1452">
        <v>27</v>
      </c>
      <c r="J1452" t="str" cm="1">
        <f t="array" ref="J1452">_xlfn.IFS(ISBLANK(C1452),"FALTANTE",ABS((C1452-$W$5)/$X$5)&gt;1.96,"ATÍPICO",ABS((C1452-$W$5)/$X$5)&lt;=1.96,"NO ATÍPICO")</f>
        <v>NO ATÍPICO</v>
      </c>
      <c r="K1452" t="str" cm="1">
        <f t="array" ref="K1452">_xlfn.IFS(ISBLANK(I1452),"FALTANTE",ABS((I1452-$W$8)/$X$8)&gt;1.92,"ATÍPICO",ABS((I1452-$W$8)/$X$8)&lt;=1.92,"NO ATÍPICO")</f>
        <v>NO ATÍPICO</v>
      </c>
      <c r="L1452">
        <f t="shared" si="104"/>
        <v>297044</v>
      </c>
      <c r="M1452" t="str">
        <f t="shared" si="104"/>
        <v>CONVENIOS ESPECIALES DE ASEGURADOS VOLUNTARIOS</v>
      </c>
      <c r="N1452">
        <f t="shared" si="105"/>
        <v>27</v>
      </c>
      <c r="O1452" s="19" t="str">
        <f t="shared" si="106"/>
        <v>0–300k</v>
      </c>
      <c r="P1452" s="19" t="str">
        <f t="shared" si="107"/>
        <v>26-35</v>
      </c>
    </row>
    <row r="1453" spans="1:16" x14ac:dyDescent="0.25">
      <c r="A1453">
        <v>1452</v>
      </c>
      <c r="B1453" t="s">
        <v>9</v>
      </c>
      <c r="C1453">
        <v>278030</v>
      </c>
      <c r="D1453" t="s">
        <v>19</v>
      </c>
      <c r="E1453" t="s">
        <v>16</v>
      </c>
      <c r="F1453" t="s">
        <v>12</v>
      </c>
      <c r="G1453" t="s">
        <v>13</v>
      </c>
      <c r="H1453" t="s">
        <v>13</v>
      </c>
      <c r="I1453">
        <v>48</v>
      </c>
      <c r="J1453" t="str" cm="1">
        <f t="array" ref="J1453">_xlfn.IFS(ISBLANK(C1453),"FALTANTE",ABS((C1453-$W$5)/$X$5)&gt;1.96,"ATÍPICO",ABS((C1453-$W$5)/$X$5)&lt;=1.96,"NO ATÍPICO")</f>
        <v>NO ATÍPICO</v>
      </c>
      <c r="K1453" t="str" cm="1">
        <f t="array" ref="K1453">_xlfn.IFS(ISBLANK(I1453),"FALTANTE",ABS((I1453-$W$8)/$X$8)&gt;1.92,"ATÍPICO",ABS((I1453-$W$8)/$X$8)&lt;=1.92,"NO ATÍPICO")</f>
        <v>NO ATÍPICO</v>
      </c>
      <c r="L1453">
        <f t="shared" si="104"/>
        <v>278030</v>
      </c>
      <c r="M1453" t="str">
        <f t="shared" si="104"/>
        <v>CONVENIOS ESPECIALES DE TRABAJADORES INDEPENDIENTES</v>
      </c>
      <c r="N1453">
        <f t="shared" si="105"/>
        <v>48</v>
      </c>
      <c r="O1453" s="19" t="str">
        <f t="shared" si="106"/>
        <v>0–300k</v>
      </c>
      <c r="P1453" s="19" t="str">
        <f t="shared" si="107"/>
        <v>46-55</v>
      </c>
    </row>
    <row r="1454" spans="1:16" x14ac:dyDescent="0.25">
      <c r="A1454">
        <v>1453</v>
      </c>
      <c r="B1454" t="s">
        <v>9</v>
      </c>
      <c r="C1454">
        <v>477915</v>
      </c>
      <c r="D1454" t="s">
        <v>10</v>
      </c>
      <c r="E1454" t="s">
        <v>11</v>
      </c>
      <c r="F1454" t="s">
        <v>12</v>
      </c>
      <c r="G1454" t="s">
        <v>13</v>
      </c>
      <c r="H1454" t="s">
        <v>13</v>
      </c>
      <c r="I1454">
        <v>21</v>
      </c>
      <c r="J1454" t="str" cm="1">
        <f t="array" ref="J1454">_xlfn.IFS(ISBLANK(C1454),"FALTANTE",ABS((C1454-$W$5)/$X$5)&gt;1.96,"ATÍPICO",ABS((C1454-$W$5)/$X$5)&lt;=1.96,"NO ATÍPICO")</f>
        <v>NO ATÍPICO</v>
      </c>
      <c r="K1454" t="str" cm="1">
        <f t="array" ref="K1454">_xlfn.IFS(ISBLANK(I1454),"FALTANTE",ABS((I1454-$W$8)/$X$8)&gt;1.92,"ATÍPICO",ABS((I1454-$W$8)/$X$8)&lt;=1.92,"NO ATÍPICO")</f>
        <v>NO ATÍPICO</v>
      </c>
      <c r="L1454">
        <f t="shared" si="104"/>
        <v>477915</v>
      </c>
      <c r="M1454" t="str">
        <f t="shared" si="104"/>
        <v>ASALARIADO</v>
      </c>
      <c r="N1454">
        <f t="shared" si="105"/>
        <v>21</v>
      </c>
      <c r="O1454" s="19" t="str">
        <f t="shared" si="106"/>
        <v>300k–600k</v>
      </c>
      <c r="P1454" s="19" t="str">
        <f t="shared" si="107"/>
        <v>18-25</v>
      </c>
    </row>
    <row r="1455" spans="1:16" x14ac:dyDescent="0.25">
      <c r="A1455">
        <v>1454</v>
      </c>
      <c r="B1455" t="s">
        <v>9</v>
      </c>
      <c r="C1455">
        <v>5472090.3399999999</v>
      </c>
      <c r="D1455" t="s">
        <v>10</v>
      </c>
      <c r="E1455" t="s">
        <v>11</v>
      </c>
      <c r="F1455" t="s">
        <v>12</v>
      </c>
      <c r="G1455" t="s">
        <v>13</v>
      </c>
      <c r="H1455" t="s">
        <v>13</v>
      </c>
      <c r="I1455">
        <v>42</v>
      </c>
      <c r="J1455" t="str" cm="1">
        <f t="array" ref="J1455">_xlfn.IFS(ISBLANK(C1455),"FALTANTE",ABS((C1455-$W$5)/$X$5)&gt;1.96,"ATÍPICO",ABS((C1455-$W$5)/$X$5)&lt;=1.96,"NO ATÍPICO")</f>
        <v>ATÍPICO</v>
      </c>
      <c r="K1455" t="str" cm="1">
        <f t="array" ref="K1455">_xlfn.IFS(ISBLANK(I1455),"FALTANTE",ABS((I1455-$W$8)/$X$8)&gt;1.92,"ATÍPICO",ABS((I1455-$W$8)/$X$8)&lt;=1.92,"NO ATÍPICO")</f>
        <v>NO ATÍPICO</v>
      </c>
      <c r="L1455">
        <f t="shared" si="104"/>
        <v>5472090.3399999999</v>
      </c>
      <c r="M1455" t="str">
        <f t="shared" si="104"/>
        <v>ASALARIADO</v>
      </c>
      <c r="N1455">
        <f t="shared" si="105"/>
        <v>42</v>
      </c>
      <c r="O1455" s="19" t="str">
        <f t="shared" si="106"/>
        <v>1200k+</v>
      </c>
      <c r="P1455" s="19" t="str">
        <f t="shared" si="107"/>
        <v>36-45</v>
      </c>
    </row>
    <row r="1456" spans="1:16" x14ac:dyDescent="0.25">
      <c r="A1456">
        <v>1455</v>
      </c>
      <c r="B1456" t="s">
        <v>15</v>
      </c>
      <c r="C1456">
        <v>196822.39</v>
      </c>
      <c r="D1456" t="s">
        <v>14</v>
      </c>
      <c r="E1456" t="s">
        <v>11</v>
      </c>
      <c r="F1456" t="s">
        <v>12</v>
      </c>
      <c r="G1456" t="s">
        <v>13</v>
      </c>
      <c r="H1456" t="s">
        <v>13</v>
      </c>
      <c r="I1456">
        <v>94</v>
      </c>
      <c r="J1456" t="str" cm="1">
        <f t="array" ref="J1456">_xlfn.IFS(ISBLANK(C1456),"FALTANTE",ABS((C1456-$W$5)/$X$5)&gt;1.96,"ATÍPICO",ABS((C1456-$W$5)/$X$5)&lt;=1.96,"NO ATÍPICO")</f>
        <v>NO ATÍPICO</v>
      </c>
      <c r="K1456" t="str" cm="1">
        <f t="array" ref="K1456">_xlfn.IFS(ISBLANK(I1456),"FALTANTE",ABS((I1456-$W$8)/$X$8)&gt;1.92,"ATÍPICO",ABS((I1456-$W$8)/$X$8)&lt;=1.92,"NO ATÍPICO")</f>
        <v>ATÍPICO</v>
      </c>
      <c r="L1456">
        <f t="shared" si="104"/>
        <v>196822.39</v>
      </c>
      <c r="M1456" t="str">
        <f t="shared" si="104"/>
        <v>PENSIONADOS EN SU PROPIO SISTEMA</v>
      </c>
      <c r="N1456">
        <f t="shared" si="105"/>
        <v>94</v>
      </c>
      <c r="O1456" s="19" t="str">
        <f t="shared" si="106"/>
        <v>0–300k</v>
      </c>
      <c r="P1456" s="19" t="str">
        <f t="shared" si="107"/>
        <v>56+</v>
      </c>
    </row>
    <row r="1457" spans="1:16" x14ac:dyDescent="0.25">
      <c r="A1457">
        <v>1456</v>
      </c>
      <c r="B1457" t="s">
        <v>15</v>
      </c>
      <c r="C1457">
        <v>575000</v>
      </c>
      <c r="D1457" t="s">
        <v>10</v>
      </c>
      <c r="E1457" t="s">
        <v>16</v>
      </c>
      <c r="F1457" t="s">
        <v>12</v>
      </c>
      <c r="G1457" t="s">
        <v>13</v>
      </c>
      <c r="H1457" t="s">
        <v>12</v>
      </c>
      <c r="I1457">
        <v>32</v>
      </c>
      <c r="J1457" t="str" cm="1">
        <f t="array" ref="J1457">_xlfn.IFS(ISBLANK(C1457),"FALTANTE",ABS((C1457-$W$5)/$X$5)&gt;1.96,"ATÍPICO",ABS((C1457-$W$5)/$X$5)&lt;=1.96,"NO ATÍPICO")</f>
        <v>NO ATÍPICO</v>
      </c>
      <c r="K1457" t="str" cm="1">
        <f t="array" ref="K1457">_xlfn.IFS(ISBLANK(I1457),"FALTANTE",ABS((I1457-$W$8)/$X$8)&gt;1.92,"ATÍPICO",ABS((I1457-$W$8)/$X$8)&lt;=1.92,"NO ATÍPICO")</f>
        <v>NO ATÍPICO</v>
      </c>
      <c r="L1457">
        <f t="shared" si="104"/>
        <v>575000</v>
      </c>
      <c r="M1457" t="str">
        <f t="shared" si="104"/>
        <v>ASALARIADO</v>
      </c>
      <c r="N1457">
        <f t="shared" si="105"/>
        <v>32</v>
      </c>
      <c r="O1457" s="19" t="str">
        <f t="shared" si="106"/>
        <v>300k–600k</v>
      </c>
      <c r="P1457" s="19" t="str">
        <f t="shared" si="107"/>
        <v>26-35</v>
      </c>
    </row>
    <row r="1458" spans="1:16" x14ac:dyDescent="0.25">
      <c r="A1458">
        <v>1457</v>
      </c>
      <c r="B1458" t="s">
        <v>15</v>
      </c>
      <c r="C1458">
        <v>298957</v>
      </c>
      <c r="D1458" t="s">
        <v>17</v>
      </c>
      <c r="E1458" t="s">
        <v>16</v>
      </c>
      <c r="F1458" t="s">
        <v>12</v>
      </c>
      <c r="G1458" t="s">
        <v>13</v>
      </c>
      <c r="H1458" t="s">
        <v>13</v>
      </c>
      <c r="I1458">
        <v>32</v>
      </c>
      <c r="J1458" t="str" cm="1">
        <f t="array" ref="J1458">_xlfn.IFS(ISBLANK(C1458),"FALTANTE",ABS((C1458-$W$5)/$X$5)&gt;1.96,"ATÍPICO",ABS((C1458-$W$5)/$X$5)&lt;=1.96,"NO ATÍPICO")</f>
        <v>NO ATÍPICO</v>
      </c>
      <c r="K1458" t="str" cm="1">
        <f t="array" ref="K1458">_xlfn.IFS(ISBLANK(I1458),"FALTANTE",ABS((I1458-$W$8)/$X$8)&gt;1.92,"ATÍPICO",ABS((I1458-$W$8)/$X$8)&lt;=1.92,"NO ATÍPICO")</f>
        <v>NO ATÍPICO</v>
      </c>
      <c r="L1458">
        <f t="shared" si="104"/>
        <v>298957</v>
      </c>
      <c r="M1458" t="str">
        <f t="shared" si="104"/>
        <v>ASEGURADO VOLUNTARIO</v>
      </c>
      <c r="N1458">
        <f t="shared" si="105"/>
        <v>32</v>
      </c>
      <c r="O1458" s="19" t="str">
        <f t="shared" si="106"/>
        <v>0–300k</v>
      </c>
      <c r="P1458" s="19" t="str">
        <f t="shared" si="107"/>
        <v>26-35</v>
      </c>
    </row>
    <row r="1459" spans="1:16" x14ac:dyDescent="0.25">
      <c r="A1459">
        <v>1458</v>
      </c>
      <c r="B1459" t="s">
        <v>15</v>
      </c>
      <c r="C1459">
        <v>75294.7</v>
      </c>
      <c r="D1459" t="s">
        <v>10</v>
      </c>
      <c r="E1459" t="s">
        <v>16</v>
      </c>
      <c r="F1459" t="s">
        <v>12</v>
      </c>
      <c r="G1459" t="s">
        <v>13</v>
      </c>
      <c r="H1459" t="s">
        <v>13</v>
      </c>
      <c r="I1459">
        <v>25</v>
      </c>
      <c r="J1459" t="str" cm="1">
        <f t="array" ref="J1459">_xlfn.IFS(ISBLANK(C1459),"FALTANTE",ABS((C1459-$W$5)/$X$5)&gt;1.96,"ATÍPICO",ABS((C1459-$W$5)/$X$5)&lt;=1.96,"NO ATÍPICO")</f>
        <v>NO ATÍPICO</v>
      </c>
      <c r="K1459" t="str" cm="1">
        <f t="array" ref="K1459">_xlfn.IFS(ISBLANK(I1459),"FALTANTE",ABS((I1459-$W$8)/$X$8)&gt;1.92,"ATÍPICO",ABS((I1459-$W$8)/$X$8)&lt;=1.92,"NO ATÍPICO")</f>
        <v>NO ATÍPICO</v>
      </c>
      <c r="L1459">
        <f t="shared" si="104"/>
        <v>75294.7</v>
      </c>
      <c r="M1459" t="str">
        <f t="shared" si="104"/>
        <v>ASALARIADO</v>
      </c>
      <c r="N1459">
        <f t="shared" si="105"/>
        <v>25</v>
      </c>
      <c r="O1459" s="19" t="str">
        <f t="shared" si="106"/>
        <v>0–300k</v>
      </c>
      <c r="P1459" s="19" t="str">
        <f t="shared" si="107"/>
        <v>18-25</v>
      </c>
    </row>
    <row r="1460" spans="1:16" x14ac:dyDescent="0.25">
      <c r="A1460">
        <v>1459</v>
      </c>
      <c r="B1460" t="s">
        <v>9</v>
      </c>
      <c r="C1460">
        <v>278030</v>
      </c>
      <c r="D1460" t="s">
        <v>19</v>
      </c>
      <c r="E1460" t="s">
        <v>16</v>
      </c>
      <c r="F1460" t="s">
        <v>12</v>
      </c>
      <c r="G1460" t="s">
        <v>13</v>
      </c>
      <c r="H1460" t="s">
        <v>13</v>
      </c>
      <c r="I1460">
        <v>61</v>
      </c>
      <c r="J1460" t="str" cm="1">
        <f t="array" ref="J1460">_xlfn.IFS(ISBLANK(C1460),"FALTANTE",ABS((C1460-$W$5)/$X$5)&gt;1.96,"ATÍPICO",ABS((C1460-$W$5)/$X$5)&lt;=1.96,"NO ATÍPICO")</f>
        <v>NO ATÍPICO</v>
      </c>
      <c r="K1460" t="str" cm="1">
        <f t="array" ref="K1460">_xlfn.IFS(ISBLANK(I1460),"FALTANTE",ABS((I1460-$W$8)/$X$8)&gt;1.92,"ATÍPICO",ABS((I1460-$W$8)/$X$8)&lt;=1.92,"NO ATÍPICO")</f>
        <v>NO ATÍPICO</v>
      </c>
      <c r="L1460">
        <f t="shared" si="104"/>
        <v>278030</v>
      </c>
      <c r="M1460" t="str">
        <f t="shared" si="104"/>
        <v>CONVENIOS ESPECIALES DE TRABAJADORES INDEPENDIENTES</v>
      </c>
      <c r="N1460">
        <f t="shared" si="105"/>
        <v>61</v>
      </c>
      <c r="O1460" s="19" t="str">
        <f t="shared" si="106"/>
        <v>0–300k</v>
      </c>
      <c r="P1460" s="19" t="str">
        <f t="shared" si="107"/>
        <v>56+</v>
      </c>
    </row>
    <row r="1461" spans="1:16" x14ac:dyDescent="0.25">
      <c r="A1461">
        <v>1460</v>
      </c>
      <c r="B1461" t="s">
        <v>15</v>
      </c>
      <c r="C1461">
        <v>278030.99</v>
      </c>
      <c r="D1461" t="s">
        <v>19</v>
      </c>
      <c r="E1461" t="s">
        <v>16</v>
      </c>
      <c r="F1461" t="s">
        <v>12</v>
      </c>
      <c r="G1461" t="s">
        <v>13</v>
      </c>
      <c r="H1461" t="s">
        <v>13</v>
      </c>
      <c r="I1461">
        <v>34</v>
      </c>
      <c r="J1461" t="str" cm="1">
        <f t="array" ref="J1461">_xlfn.IFS(ISBLANK(C1461),"FALTANTE",ABS((C1461-$W$5)/$X$5)&gt;1.96,"ATÍPICO",ABS((C1461-$W$5)/$X$5)&lt;=1.96,"NO ATÍPICO")</f>
        <v>NO ATÍPICO</v>
      </c>
      <c r="K1461" t="str" cm="1">
        <f t="array" ref="K1461">_xlfn.IFS(ISBLANK(I1461),"FALTANTE",ABS((I1461-$W$8)/$X$8)&gt;1.92,"ATÍPICO",ABS((I1461-$W$8)/$X$8)&lt;=1.92,"NO ATÍPICO")</f>
        <v>NO ATÍPICO</v>
      </c>
      <c r="L1461">
        <f t="shared" si="104"/>
        <v>278030.99</v>
      </c>
      <c r="M1461" t="str">
        <f t="shared" si="104"/>
        <v>CONVENIOS ESPECIALES DE TRABAJADORES INDEPENDIENTES</v>
      </c>
      <c r="N1461">
        <f t="shared" si="105"/>
        <v>34</v>
      </c>
      <c r="O1461" s="19" t="str">
        <f t="shared" si="106"/>
        <v>0–300k</v>
      </c>
      <c r="P1461" s="19" t="str">
        <f t="shared" si="107"/>
        <v>26-35</v>
      </c>
    </row>
    <row r="1462" spans="1:16" x14ac:dyDescent="0.25">
      <c r="A1462">
        <v>1461</v>
      </c>
      <c r="B1462" t="s">
        <v>15</v>
      </c>
      <c r="C1462">
        <v>791499.02</v>
      </c>
      <c r="D1462" t="s">
        <v>10</v>
      </c>
      <c r="E1462" t="s">
        <v>16</v>
      </c>
      <c r="F1462" t="s">
        <v>12</v>
      </c>
      <c r="G1462" t="s">
        <v>13</v>
      </c>
      <c r="H1462" t="s">
        <v>13</v>
      </c>
      <c r="I1462">
        <v>29</v>
      </c>
      <c r="J1462" t="str" cm="1">
        <f t="array" ref="J1462">_xlfn.IFS(ISBLANK(C1462),"FALTANTE",ABS((C1462-$W$5)/$X$5)&gt;1.96,"ATÍPICO",ABS((C1462-$W$5)/$X$5)&lt;=1.96,"NO ATÍPICO")</f>
        <v>NO ATÍPICO</v>
      </c>
      <c r="K1462" t="str" cm="1">
        <f t="array" ref="K1462">_xlfn.IFS(ISBLANK(I1462),"FALTANTE",ABS((I1462-$W$8)/$X$8)&gt;1.92,"ATÍPICO",ABS((I1462-$W$8)/$X$8)&lt;=1.92,"NO ATÍPICO")</f>
        <v>NO ATÍPICO</v>
      </c>
      <c r="L1462">
        <f t="shared" si="104"/>
        <v>791499.02</v>
      </c>
      <c r="M1462" t="str">
        <f t="shared" si="104"/>
        <v>ASALARIADO</v>
      </c>
      <c r="N1462">
        <f t="shared" si="105"/>
        <v>29</v>
      </c>
      <c r="O1462" s="19" t="str">
        <f t="shared" si="106"/>
        <v>600k–900k</v>
      </c>
      <c r="P1462" s="19" t="str">
        <f t="shared" si="107"/>
        <v>26-35</v>
      </c>
    </row>
    <row r="1463" spans="1:16" x14ac:dyDescent="0.25">
      <c r="A1463">
        <v>1462</v>
      </c>
      <c r="B1463" t="s">
        <v>9</v>
      </c>
      <c r="C1463">
        <v>371304</v>
      </c>
      <c r="D1463" t="s">
        <v>18</v>
      </c>
      <c r="E1463" t="s">
        <v>16</v>
      </c>
      <c r="F1463" t="s">
        <v>12</v>
      </c>
      <c r="G1463" t="s">
        <v>13</v>
      </c>
      <c r="H1463" t="s">
        <v>12</v>
      </c>
      <c r="I1463">
        <v>37</v>
      </c>
      <c r="J1463" t="str" cm="1">
        <f t="array" ref="J1463">_xlfn.IFS(ISBLANK(C1463),"FALTANTE",ABS((C1463-$W$5)/$X$5)&gt;1.96,"ATÍPICO",ABS((C1463-$W$5)/$X$5)&lt;=1.96,"NO ATÍPICO")</f>
        <v>NO ATÍPICO</v>
      </c>
      <c r="K1463" t="str" cm="1">
        <f t="array" ref="K1463">_xlfn.IFS(ISBLANK(I1463),"FALTANTE",ABS((I1463-$W$8)/$X$8)&gt;1.92,"ATÍPICO",ABS((I1463-$W$8)/$X$8)&lt;=1.92,"NO ATÍPICO")</f>
        <v>NO ATÍPICO</v>
      </c>
      <c r="L1463">
        <f t="shared" si="104"/>
        <v>371304</v>
      </c>
      <c r="M1463" t="str">
        <f t="shared" si="104"/>
        <v>TRABAJADOR INDEPENDIENTE</v>
      </c>
      <c r="N1463">
        <f t="shared" si="105"/>
        <v>37</v>
      </c>
      <c r="O1463" s="19" t="str">
        <f t="shared" si="106"/>
        <v>300k–600k</v>
      </c>
      <c r="P1463" s="19" t="str">
        <f t="shared" si="107"/>
        <v>36-45</v>
      </c>
    </row>
    <row r="1464" spans="1:16" x14ac:dyDescent="0.25">
      <c r="A1464">
        <v>1463</v>
      </c>
      <c r="B1464" t="s">
        <v>15</v>
      </c>
      <c r="C1464">
        <v>1611870.5</v>
      </c>
      <c r="D1464" t="s">
        <v>10</v>
      </c>
      <c r="E1464" t="s">
        <v>11</v>
      </c>
      <c r="F1464" t="s">
        <v>12</v>
      </c>
      <c r="G1464" t="s">
        <v>13</v>
      </c>
      <c r="H1464" t="s">
        <v>13</v>
      </c>
      <c r="I1464">
        <v>33</v>
      </c>
      <c r="J1464" t="str" cm="1">
        <f t="array" ref="J1464">_xlfn.IFS(ISBLANK(C1464),"FALTANTE",ABS((C1464-$W$5)/$X$5)&gt;1.96,"ATÍPICO",ABS((C1464-$W$5)/$X$5)&lt;=1.96,"NO ATÍPICO")</f>
        <v>NO ATÍPICO</v>
      </c>
      <c r="K1464" t="str" cm="1">
        <f t="array" ref="K1464">_xlfn.IFS(ISBLANK(I1464),"FALTANTE",ABS((I1464-$W$8)/$X$8)&gt;1.92,"ATÍPICO",ABS((I1464-$W$8)/$X$8)&lt;=1.92,"NO ATÍPICO")</f>
        <v>NO ATÍPICO</v>
      </c>
      <c r="L1464">
        <f t="shared" si="104"/>
        <v>1611870.5</v>
      </c>
      <c r="M1464" t="str">
        <f t="shared" si="104"/>
        <v>ASALARIADO</v>
      </c>
      <c r="N1464">
        <f t="shared" si="105"/>
        <v>33</v>
      </c>
      <c r="O1464" s="19" t="str">
        <f t="shared" si="106"/>
        <v>1200k+</v>
      </c>
      <c r="P1464" s="19" t="str">
        <f t="shared" si="107"/>
        <v>26-35</v>
      </c>
    </row>
    <row r="1465" spans="1:16" x14ac:dyDescent="0.25">
      <c r="A1465">
        <v>1464</v>
      </c>
      <c r="B1465" t="s">
        <v>9</v>
      </c>
      <c r="C1465">
        <v>771947.42</v>
      </c>
      <c r="D1465" t="s">
        <v>10</v>
      </c>
      <c r="E1465" t="s">
        <v>16</v>
      </c>
      <c r="F1465" t="s">
        <v>12</v>
      </c>
      <c r="G1465" t="s">
        <v>13</v>
      </c>
      <c r="H1465" t="s">
        <v>13</v>
      </c>
      <c r="I1465">
        <v>40</v>
      </c>
      <c r="J1465" t="str" cm="1">
        <f t="array" ref="J1465">_xlfn.IFS(ISBLANK(C1465),"FALTANTE",ABS((C1465-$W$5)/$X$5)&gt;1.96,"ATÍPICO",ABS((C1465-$W$5)/$X$5)&lt;=1.96,"NO ATÍPICO")</f>
        <v>NO ATÍPICO</v>
      </c>
      <c r="K1465" t="str" cm="1">
        <f t="array" ref="K1465">_xlfn.IFS(ISBLANK(I1465),"FALTANTE",ABS((I1465-$W$8)/$X$8)&gt;1.92,"ATÍPICO",ABS((I1465-$W$8)/$X$8)&lt;=1.92,"NO ATÍPICO")</f>
        <v>NO ATÍPICO</v>
      </c>
      <c r="L1465">
        <f t="shared" si="104"/>
        <v>771947.42</v>
      </c>
      <c r="M1465" t="str">
        <f t="shared" si="104"/>
        <v>ASALARIADO</v>
      </c>
      <c r="N1465">
        <f t="shared" si="105"/>
        <v>40</v>
      </c>
      <c r="O1465" s="19" t="str">
        <f t="shared" si="106"/>
        <v>600k–900k</v>
      </c>
      <c r="P1465" s="19" t="str">
        <f t="shared" si="107"/>
        <v>36-45</v>
      </c>
    </row>
    <row r="1466" spans="1:16" x14ac:dyDescent="0.25">
      <c r="A1466">
        <v>1465</v>
      </c>
      <c r="B1466" t="s">
        <v>9</v>
      </c>
      <c r="C1466">
        <v>278030</v>
      </c>
      <c r="D1466" t="s">
        <v>19</v>
      </c>
      <c r="E1466" t="s">
        <v>16</v>
      </c>
      <c r="F1466" t="s">
        <v>12</v>
      </c>
      <c r="G1466" t="s">
        <v>13</v>
      </c>
      <c r="H1466" t="s">
        <v>13</v>
      </c>
      <c r="I1466">
        <v>53</v>
      </c>
      <c r="J1466" t="str" cm="1">
        <f t="array" ref="J1466">_xlfn.IFS(ISBLANK(C1466),"FALTANTE",ABS((C1466-$W$5)/$X$5)&gt;1.96,"ATÍPICO",ABS((C1466-$W$5)/$X$5)&lt;=1.96,"NO ATÍPICO")</f>
        <v>NO ATÍPICO</v>
      </c>
      <c r="K1466" t="str" cm="1">
        <f t="array" ref="K1466">_xlfn.IFS(ISBLANK(I1466),"FALTANTE",ABS((I1466-$W$8)/$X$8)&gt;1.92,"ATÍPICO",ABS((I1466-$W$8)/$X$8)&lt;=1.92,"NO ATÍPICO")</f>
        <v>NO ATÍPICO</v>
      </c>
      <c r="L1466">
        <f t="shared" si="104"/>
        <v>278030</v>
      </c>
      <c r="M1466" t="str">
        <f t="shared" si="104"/>
        <v>CONVENIOS ESPECIALES DE TRABAJADORES INDEPENDIENTES</v>
      </c>
      <c r="N1466">
        <f t="shared" si="105"/>
        <v>53</v>
      </c>
      <c r="O1466" s="19" t="str">
        <f t="shared" si="106"/>
        <v>0–300k</v>
      </c>
      <c r="P1466" s="19" t="str">
        <f t="shared" si="107"/>
        <v>46-55</v>
      </c>
    </row>
    <row r="1467" spans="1:16" x14ac:dyDescent="0.25">
      <c r="A1467">
        <v>1466</v>
      </c>
      <c r="B1467" t="s">
        <v>15</v>
      </c>
      <c r="C1467">
        <v>1358025.5</v>
      </c>
      <c r="D1467" t="s">
        <v>10</v>
      </c>
      <c r="E1467" t="s">
        <v>11</v>
      </c>
      <c r="F1467" t="s">
        <v>12</v>
      </c>
      <c r="G1467" t="s">
        <v>13</v>
      </c>
      <c r="H1467" t="s">
        <v>13</v>
      </c>
      <c r="I1467">
        <v>32</v>
      </c>
      <c r="J1467" t="str" cm="1">
        <f t="array" ref="J1467">_xlfn.IFS(ISBLANK(C1467),"FALTANTE",ABS((C1467-$W$5)/$X$5)&gt;1.96,"ATÍPICO",ABS((C1467-$W$5)/$X$5)&lt;=1.96,"NO ATÍPICO")</f>
        <v>NO ATÍPICO</v>
      </c>
      <c r="K1467" t="str" cm="1">
        <f t="array" ref="K1467">_xlfn.IFS(ISBLANK(I1467),"FALTANTE",ABS((I1467-$W$8)/$X$8)&gt;1.92,"ATÍPICO",ABS((I1467-$W$8)/$X$8)&lt;=1.92,"NO ATÍPICO")</f>
        <v>NO ATÍPICO</v>
      </c>
      <c r="L1467">
        <f t="shared" si="104"/>
        <v>1358025.5</v>
      </c>
      <c r="M1467" t="str">
        <f t="shared" si="104"/>
        <v>ASALARIADO</v>
      </c>
      <c r="N1467">
        <f t="shared" si="105"/>
        <v>32</v>
      </c>
      <c r="O1467" s="19" t="str">
        <f t="shared" si="106"/>
        <v>1200k+</v>
      </c>
      <c r="P1467" s="19" t="str">
        <f t="shared" si="107"/>
        <v>26-35</v>
      </c>
    </row>
    <row r="1468" spans="1:16" x14ac:dyDescent="0.25">
      <c r="A1468">
        <v>1467</v>
      </c>
      <c r="B1468" t="s">
        <v>9</v>
      </c>
      <c r="C1468">
        <v>1049700.32</v>
      </c>
      <c r="D1468" t="s">
        <v>10</v>
      </c>
      <c r="E1468" t="s">
        <v>16</v>
      </c>
      <c r="F1468" t="s">
        <v>12</v>
      </c>
      <c r="G1468" t="s">
        <v>13</v>
      </c>
      <c r="H1468" t="s">
        <v>13</v>
      </c>
      <c r="I1468">
        <v>37</v>
      </c>
      <c r="J1468" t="str" cm="1">
        <f t="array" ref="J1468">_xlfn.IFS(ISBLANK(C1468),"FALTANTE",ABS((C1468-$W$5)/$X$5)&gt;1.96,"ATÍPICO",ABS((C1468-$W$5)/$X$5)&lt;=1.96,"NO ATÍPICO")</f>
        <v>NO ATÍPICO</v>
      </c>
      <c r="K1468" t="str" cm="1">
        <f t="array" ref="K1468">_xlfn.IFS(ISBLANK(I1468),"FALTANTE",ABS((I1468-$W$8)/$X$8)&gt;1.92,"ATÍPICO",ABS((I1468-$W$8)/$X$8)&lt;=1.92,"NO ATÍPICO")</f>
        <v>NO ATÍPICO</v>
      </c>
      <c r="L1468">
        <f t="shared" si="104"/>
        <v>1049700.32</v>
      </c>
      <c r="M1468" t="str">
        <f t="shared" si="104"/>
        <v>ASALARIADO</v>
      </c>
      <c r="N1468">
        <f t="shared" si="105"/>
        <v>37</v>
      </c>
      <c r="O1468" s="19" t="str">
        <f t="shared" si="106"/>
        <v>900k–1200k</v>
      </c>
      <c r="P1468" s="19" t="str">
        <f t="shared" si="107"/>
        <v>36-45</v>
      </c>
    </row>
    <row r="1469" spans="1:16" x14ac:dyDescent="0.25">
      <c r="A1469">
        <v>1468</v>
      </c>
      <c r="B1469" t="s">
        <v>9</v>
      </c>
      <c r="C1469">
        <v>311173</v>
      </c>
      <c r="D1469" t="s">
        <v>18</v>
      </c>
      <c r="E1469" t="s">
        <v>16</v>
      </c>
      <c r="F1469" t="s">
        <v>12</v>
      </c>
      <c r="G1469" t="s">
        <v>13</v>
      </c>
      <c r="H1469" t="s">
        <v>12</v>
      </c>
      <c r="I1469">
        <v>33</v>
      </c>
      <c r="J1469" t="str" cm="1">
        <f t="array" ref="J1469">_xlfn.IFS(ISBLANK(C1469),"FALTANTE",ABS((C1469-$W$5)/$X$5)&gt;1.96,"ATÍPICO",ABS((C1469-$W$5)/$X$5)&lt;=1.96,"NO ATÍPICO")</f>
        <v>NO ATÍPICO</v>
      </c>
      <c r="K1469" t="str" cm="1">
        <f t="array" ref="K1469">_xlfn.IFS(ISBLANK(I1469),"FALTANTE",ABS((I1469-$W$8)/$X$8)&gt;1.92,"ATÍPICO",ABS((I1469-$W$8)/$X$8)&lt;=1.92,"NO ATÍPICO")</f>
        <v>NO ATÍPICO</v>
      </c>
      <c r="L1469">
        <f t="shared" si="104"/>
        <v>311173</v>
      </c>
      <c r="M1469" t="str">
        <f t="shared" si="104"/>
        <v>TRABAJADOR INDEPENDIENTE</v>
      </c>
      <c r="N1469">
        <f t="shared" si="105"/>
        <v>33</v>
      </c>
      <c r="O1469" s="19" t="str">
        <f t="shared" si="106"/>
        <v>300k–600k</v>
      </c>
      <c r="P1469" s="19" t="str">
        <f t="shared" si="107"/>
        <v>26-35</v>
      </c>
    </row>
    <row r="1470" spans="1:16" x14ac:dyDescent="0.25">
      <c r="A1470">
        <v>1469</v>
      </c>
      <c r="B1470" t="s">
        <v>9</v>
      </c>
      <c r="C1470">
        <v>266800</v>
      </c>
      <c r="D1470" t="s">
        <v>10</v>
      </c>
      <c r="E1470" t="s">
        <v>16</v>
      </c>
      <c r="F1470" t="s">
        <v>12</v>
      </c>
      <c r="G1470" t="s">
        <v>13</v>
      </c>
      <c r="H1470" t="s">
        <v>13</v>
      </c>
      <c r="I1470">
        <v>44</v>
      </c>
      <c r="J1470" t="str" cm="1">
        <f t="array" ref="J1470">_xlfn.IFS(ISBLANK(C1470),"FALTANTE",ABS((C1470-$W$5)/$X$5)&gt;1.96,"ATÍPICO",ABS((C1470-$W$5)/$X$5)&lt;=1.96,"NO ATÍPICO")</f>
        <v>NO ATÍPICO</v>
      </c>
      <c r="K1470" t="str" cm="1">
        <f t="array" ref="K1470">_xlfn.IFS(ISBLANK(I1470),"FALTANTE",ABS((I1470-$W$8)/$X$8)&gt;1.92,"ATÍPICO",ABS((I1470-$W$8)/$X$8)&lt;=1.92,"NO ATÍPICO")</f>
        <v>NO ATÍPICO</v>
      </c>
      <c r="L1470">
        <f t="shared" si="104"/>
        <v>266800</v>
      </c>
      <c r="M1470" t="str">
        <f t="shared" si="104"/>
        <v>ASALARIADO</v>
      </c>
      <c r="N1470">
        <f t="shared" si="105"/>
        <v>44</v>
      </c>
      <c r="O1470" s="19" t="str">
        <f t="shared" si="106"/>
        <v>0–300k</v>
      </c>
      <c r="P1470" s="19" t="str">
        <f t="shared" si="107"/>
        <v>36-45</v>
      </c>
    </row>
    <row r="1471" spans="1:16" x14ac:dyDescent="0.25">
      <c r="A1471">
        <v>1470</v>
      </c>
      <c r="B1471" t="s">
        <v>9</v>
      </c>
      <c r="C1471">
        <v>196925</v>
      </c>
      <c r="D1471" t="s">
        <v>10</v>
      </c>
      <c r="E1471" t="s">
        <v>16</v>
      </c>
      <c r="F1471" t="s">
        <v>12</v>
      </c>
      <c r="G1471" t="s">
        <v>13</v>
      </c>
      <c r="H1471" t="s">
        <v>12</v>
      </c>
      <c r="I1471">
        <v>22</v>
      </c>
      <c r="J1471" t="str" cm="1">
        <f t="array" ref="J1471">_xlfn.IFS(ISBLANK(C1471),"FALTANTE",ABS((C1471-$W$5)/$X$5)&gt;1.96,"ATÍPICO",ABS((C1471-$W$5)/$X$5)&lt;=1.96,"NO ATÍPICO")</f>
        <v>NO ATÍPICO</v>
      </c>
      <c r="K1471" t="str" cm="1">
        <f t="array" ref="K1471">_xlfn.IFS(ISBLANK(I1471),"FALTANTE",ABS((I1471-$W$8)/$X$8)&gt;1.92,"ATÍPICO",ABS((I1471-$W$8)/$X$8)&lt;=1.92,"NO ATÍPICO")</f>
        <v>NO ATÍPICO</v>
      </c>
      <c r="L1471">
        <f t="shared" si="104"/>
        <v>196925</v>
      </c>
      <c r="M1471" t="str">
        <f t="shared" si="104"/>
        <v>ASALARIADO</v>
      </c>
      <c r="N1471">
        <f t="shared" si="105"/>
        <v>22</v>
      </c>
      <c r="O1471" s="19" t="str">
        <f t="shared" si="106"/>
        <v>0–300k</v>
      </c>
      <c r="P1471" s="19" t="str">
        <f t="shared" si="107"/>
        <v>18-25</v>
      </c>
    </row>
    <row r="1472" spans="1:16" x14ac:dyDescent="0.25">
      <c r="A1472">
        <v>1471</v>
      </c>
      <c r="B1472" t="s">
        <v>9</v>
      </c>
      <c r="C1472">
        <v>342027</v>
      </c>
      <c r="D1472" t="s">
        <v>10</v>
      </c>
      <c r="E1472" t="s">
        <v>16</v>
      </c>
      <c r="F1472" t="s">
        <v>12</v>
      </c>
      <c r="G1472" t="s">
        <v>12</v>
      </c>
      <c r="H1472" t="s">
        <v>13</v>
      </c>
      <c r="I1472">
        <v>61</v>
      </c>
      <c r="J1472" t="str" cm="1">
        <f t="array" ref="J1472">_xlfn.IFS(ISBLANK(C1472),"FALTANTE",ABS((C1472-$W$5)/$X$5)&gt;1.96,"ATÍPICO",ABS((C1472-$W$5)/$X$5)&lt;=1.96,"NO ATÍPICO")</f>
        <v>NO ATÍPICO</v>
      </c>
      <c r="K1472" t="str" cm="1">
        <f t="array" ref="K1472">_xlfn.IFS(ISBLANK(I1472),"FALTANTE",ABS((I1472-$W$8)/$X$8)&gt;1.92,"ATÍPICO",ABS((I1472-$W$8)/$X$8)&lt;=1.92,"NO ATÍPICO")</f>
        <v>NO ATÍPICO</v>
      </c>
      <c r="L1472">
        <f t="shared" si="104"/>
        <v>342027</v>
      </c>
      <c r="M1472" t="str">
        <f t="shared" si="104"/>
        <v>ASALARIADO</v>
      </c>
      <c r="N1472">
        <f t="shared" si="105"/>
        <v>61</v>
      </c>
      <c r="O1472" s="19" t="str">
        <f t="shared" si="106"/>
        <v>300k–600k</v>
      </c>
      <c r="P1472" s="19" t="str">
        <f t="shared" si="107"/>
        <v>56+</v>
      </c>
    </row>
    <row r="1473" spans="1:16" x14ac:dyDescent="0.25">
      <c r="A1473">
        <v>1472</v>
      </c>
      <c r="B1473" t="s">
        <v>15</v>
      </c>
      <c r="C1473">
        <v>1104062</v>
      </c>
      <c r="D1473" t="s">
        <v>14</v>
      </c>
      <c r="E1473" t="s">
        <v>11</v>
      </c>
      <c r="F1473" t="s">
        <v>12</v>
      </c>
      <c r="G1473" t="s">
        <v>13</v>
      </c>
      <c r="H1473" t="s">
        <v>13</v>
      </c>
      <c r="I1473">
        <v>91</v>
      </c>
      <c r="J1473" t="str" cm="1">
        <f t="array" ref="J1473">_xlfn.IFS(ISBLANK(C1473),"FALTANTE",ABS((C1473-$W$5)/$X$5)&gt;1.96,"ATÍPICO",ABS((C1473-$W$5)/$X$5)&lt;=1.96,"NO ATÍPICO")</f>
        <v>NO ATÍPICO</v>
      </c>
      <c r="K1473" t="str" cm="1">
        <f t="array" ref="K1473">_xlfn.IFS(ISBLANK(I1473),"FALTANTE",ABS((I1473-$W$8)/$X$8)&gt;1.92,"ATÍPICO",ABS((I1473-$W$8)/$X$8)&lt;=1.92,"NO ATÍPICO")</f>
        <v>ATÍPICO</v>
      </c>
      <c r="L1473">
        <f t="shared" si="104"/>
        <v>1104062</v>
      </c>
      <c r="M1473" t="str">
        <f t="shared" si="104"/>
        <v>PENSIONADOS EN SU PROPIO SISTEMA</v>
      </c>
      <c r="N1473">
        <f t="shared" si="105"/>
        <v>91</v>
      </c>
      <c r="O1473" s="19" t="str">
        <f t="shared" si="106"/>
        <v>900k–1200k</v>
      </c>
      <c r="P1473" s="19" t="str">
        <f t="shared" si="107"/>
        <v>56+</v>
      </c>
    </row>
    <row r="1474" spans="1:16" x14ac:dyDescent="0.25">
      <c r="A1474">
        <v>1473</v>
      </c>
      <c r="B1474" t="s">
        <v>9</v>
      </c>
      <c r="C1474">
        <v>155880</v>
      </c>
      <c r="D1474" t="s">
        <v>10</v>
      </c>
      <c r="E1474" t="s">
        <v>16</v>
      </c>
      <c r="F1474" t="s">
        <v>12</v>
      </c>
      <c r="G1474" t="s">
        <v>13</v>
      </c>
      <c r="H1474" t="s">
        <v>13</v>
      </c>
      <c r="I1474">
        <v>36</v>
      </c>
      <c r="J1474" t="str" cm="1">
        <f t="array" ref="J1474">_xlfn.IFS(ISBLANK(C1474),"FALTANTE",ABS((C1474-$W$5)/$X$5)&gt;1.96,"ATÍPICO",ABS((C1474-$W$5)/$X$5)&lt;=1.96,"NO ATÍPICO")</f>
        <v>NO ATÍPICO</v>
      </c>
      <c r="K1474" t="str" cm="1">
        <f t="array" ref="K1474">_xlfn.IFS(ISBLANK(I1474),"FALTANTE",ABS((I1474-$W$8)/$X$8)&gt;1.92,"ATÍPICO",ABS((I1474-$W$8)/$X$8)&lt;=1.92,"NO ATÍPICO")</f>
        <v>NO ATÍPICO</v>
      </c>
      <c r="L1474">
        <f t="shared" ref="L1474:M1537" si="108">C1474</f>
        <v>155880</v>
      </c>
      <c r="M1474" t="str">
        <f t="shared" si="108"/>
        <v>ASALARIADO</v>
      </c>
      <c r="N1474">
        <f t="shared" ref="N1474:N1537" si="109">I1474</f>
        <v>36</v>
      </c>
      <c r="O1474" s="19" t="str">
        <f t="shared" ref="O1474:O1537" si="110">IF(L1474&lt;=300000,"0–300k",IF(L1474&lt;=600000,"300k–600k",IF(L1474&lt;=900000,"600k–900k",IF(L1474&lt;=1200000,"900k–1200k","1200k+"))))</f>
        <v>0–300k</v>
      </c>
      <c r="P1474" s="19" t="str">
        <f t="shared" ref="P1474:P1537" si="111">IF(N1474 &lt;=25,"18-25", IF(N1474&lt;=35,"26-35", IF(N1474 &lt;=45,"36-45", IF(N1474&lt;=55,"46-55","56+"))))</f>
        <v>36-45</v>
      </c>
    </row>
    <row r="1475" spans="1:16" x14ac:dyDescent="0.25">
      <c r="A1475">
        <v>1474</v>
      </c>
      <c r="B1475" t="s">
        <v>9</v>
      </c>
      <c r="C1475">
        <v>297046</v>
      </c>
      <c r="D1475" t="s">
        <v>17</v>
      </c>
      <c r="E1475" t="s">
        <v>16</v>
      </c>
      <c r="F1475" t="s">
        <v>12</v>
      </c>
      <c r="G1475" t="s">
        <v>13</v>
      </c>
      <c r="H1475" t="s">
        <v>13</v>
      </c>
      <c r="I1475">
        <v>51</v>
      </c>
      <c r="J1475" t="str" cm="1">
        <f t="array" ref="J1475">_xlfn.IFS(ISBLANK(C1475),"FALTANTE",ABS((C1475-$W$5)/$X$5)&gt;1.96,"ATÍPICO",ABS((C1475-$W$5)/$X$5)&lt;=1.96,"NO ATÍPICO")</f>
        <v>NO ATÍPICO</v>
      </c>
      <c r="K1475" t="str" cm="1">
        <f t="array" ref="K1475">_xlfn.IFS(ISBLANK(I1475),"FALTANTE",ABS((I1475-$W$8)/$X$8)&gt;1.92,"ATÍPICO",ABS((I1475-$W$8)/$X$8)&lt;=1.92,"NO ATÍPICO")</f>
        <v>NO ATÍPICO</v>
      </c>
      <c r="L1475">
        <f t="shared" si="108"/>
        <v>297046</v>
      </c>
      <c r="M1475" t="str">
        <f t="shared" si="108"/>
        <v>ASEGURADO VOLUNTARIO</v>
      </c>
      <c r="N1475">
        <f t="shared" si="109"/>
        <v>51</v>
      </c>
      <c r="O1475" s="19" t="str">
        <f t="shared" si="110"/>
        <v>0–300k</v>
      </c>
      <c r="P1475" s="19" t="str">
        <f t="shared" si="111"/>
        <v>46-55</v>
      </c>
    </row>
    <row r="1476" spans="1:16" x14ac:dyDescent="0.25">
      <c r="A1476">
        <v>1475</v>
      </c>
      <c r="B1476" t="s">
        <v>9</v>
      </c>
      <c r="C1476">
        <v>338166</v>
      </c>
      <c r="D1476" t="s">
        <v>18</v>
      </c>
      <c r="E1476" t="s">
        <v>16</v>
      </c>
      <c r="F1476" t="s">
        <v>12</v>
      </c>
      <c r="G1476" t="s">
        <v>13</v>
      </c>
      <c r="H1476" t="s">
        <v>13</v>
      </c>
      <c r="I1476">
        <v>56</v>
      </c>
      <c r="J1476" t="str" cm="1">
        <f t="array" ref="J1476">_xlfn.IFS(ISBLANK(C1476),"FALTANTE",ABS((C1476-$W$5)/$X$5)&gt;1.96,"ATÍPICO",ABS((C1476-$W$5)/$X$5)&lt;=1.96,"NO ATÍPICO")</f>
        <v>NO ATÍPICO</v>
      </c>
      <c r="K1476" t="str" cm="1">
        <f t="array" ref="K1476">_xlfn.IFS(ISBLANK(I1476),"FALTANTE",ABS((I1476-$W$8)/$X$8)&gt;1.92,"ATÍPICO",ABS((I1476-$W$8)/$X$8)&lt;=1.92,"NO ATÍPICO")</f>
        <v>NO ATÍPICO</v>
      </c>
      <c r="L1476">
        <f t="shared" si="108"/>
        <v>338166</v>
      </c>
      <c r="M1476" t="str">
        <f t="shared" si="108"/>
        <v>TRABAJADOR INDEPENDIENTE</v>
      </c>
      <c r="N1476">
        <f t="shared" si="109"/>
        <v>56</v>
      </c>
      <c r="O1476" s="19" t="str">
        <f t="shared" si="110"/>
        <v>300k–600k</v>
      </c>
      <c r="P1476" s="19" t="str">
        <f t="shared" si="111"/>
        <v>56+</v>
      </c>
    </row>
    <row r="1477" spans="1:16" x14ac:dyDescent="0.25">
      <c r="A1477">
        <v>1476</v>
      </c>
      <c r="B1477" t="s">
        <v>9</v>
      </c>
      <c r="C1477">
        <v>650000</v>
      </c>
      <c r="D1477" t="s">
        <v>10</v>
      </c>
      <c r="E1477" t="s">
        <v>16</v>
      </c>
      <c r="F1477" t="s">
        <v>12</v>
      </c>
      <c r="G1477" t="s">
        <v>13</v>
      </c>
      <c r="H1477" t="s">
        <v>12</v>
      </c>
      <c r="I1477">
        <v>31</v>
      </c>
      <c r="J1477" t="str" cm="1">
        <f t="array" ref="J1477">_xlfn.IFS(ISBLANK(C1477),"FALTANTE",ABS((C1477-$W$5)/$X$5)&gt;1.96,"ATÍPICO",ABS((C1477-$W$5)/$X$5)&lt;=1.96,"NO ATÍPICO")</f>
        <v>NO ATÍPICO</v>
      </c>
      <c r="K1477" t="str" cm="1">
        <f t="array" ref="K1477">_xlfn.IFS(ISBLANK(I1477),"FALTANTE",ABS((I1477-$W$8)/$X$8)&gt;1.92,"ATÍPICO",ABS((I1477-$W$8)/$X$8)&lt;=1.92,"NO ATÍPICO")</f>
        <v>NO ATÍPICO</v>
      </c>
      <c r="L1477">
        <f t="shared" si="108"/>
        <v>650000</v>
      </c>
      <c r="M1477" t="str">
        <f t="shared" si="108"/>
        <v>ASALARIADO</v>
      </c>
      <c r="N1477">
        <f t="shared" si="109"/>
        <v>31</v>
      </c>
      <c r="O1477" s="19" t="str">
        <f t="shared" si="110"/>
        <v>600k–900k</v>
      </c>
      <c r="P1477" s="19" t="str">
        <f t="shared" si="111"/>
        <v>26-35</v>
      </c>
    </row>
    <row r="1478" spans="1:16" x14ac:dyDescent="0.25">
      <c r="A1478">
        <v>1477</v>
      </c>
      <c r="B1478" t="s">
        <v>9</v>
      </c>
      <c r="C1478">
        <v>490638.83</v>
      </c>
      <c r="D1478" t="s">
        <v>10</v>
      </c>
      <c r="E1478" t="s">
        <v>11</v>
      </c>
      <c r="F1478" t="s">
        <v>12</v>
      </c>
      <c r="G1478" t="s">
        <v>13</v>
      </c>
      <c r="H1478" t="s">
        <v>13</v>
      </c>
      <c r="I1478">
        <v>55</v>
      </c>
      <c r="J1478" t="str" cm="1">
        <f t="array" ref="J1478">_xlfn.IFS(ISBLANK(C1478),"FALTANTE",ABS((C1478-$W$5)/$X$5)&gt;1.96,"ATÍPICO",ABS((C1478-$W$5)/$X$5)&lt;=1.96,"NO ATÍPICO")</f>
        <v>NO ATÍPICO</v>
      </c>
      <c r="K1478" t="str" cm="1">
        <f t="array" ref="K1478">_xlfn.IFS(ISBLANK(I1478),"FALTANTE",ABS((I1478-$W$8)/$X$8)&gt;1.92,"ATÍPICO",ABS((I1478-$W$8)/$X$8)&lt;=1.92,"NO ATÍPICO")</f>
        <v>NO ATÍPICO</v>
      </c>
      <c r="L1478">
        <f t="shared" si="108"/>
        <v>490638.83</v>
      </c>
      <c r="M1478" t="str">
        <f t="shared" si="108"/>
        <v>ASALARIADO</v>
      </c>
      <c r="N1478">
        <f t="shared" si="109"/>
        <v>55</v>
      </c>
      <c r="O1478" s="19" t="str">
        <f t="shared" si="110"/>
        <v>300k–600k</v>
      </c>
      <c r="P1478" s="19" t="str">
        <f t="shared" si="111"/>
        <v>46-55</v>
      </c>
    </row>
    <row r="1479" spans="1:16" x14ac:dyDescent="0.25">
      <c r="A1479">
        <v>1478</v>
      </c>
      <c r="B1479" t="s">
        <v>15</v>
      </c>
      <c r="C1479">
        <v>432363</v>
      </c>
      <c r="D1479" t="s">
        <v>14</v>
      </c>
      <c r="E1479" t="s">
        <v>11</v>
      </c>
      <c r="F1479" t="s">
        <v>12</v>
      </c>
      <c r="G1479" t="s">
        <v>13</v>
      </c>
      <c r="H1479" t="s">
        <v>13</v>
      </c>
      <c r="I1479">
        <v>80</v>
      </c>
      <c r="J1479" t="str" cm="1">
        <f t="array" ref="J1479">_xlfn.IFS(ISBLANK(C1479),"FALTANTE",ABS((C1479-$W$5)/$X$5)&gt;1.96,"ATÍPICO",ABS((C1479-$W$5)/$X$5)&lt;=1.96,"NO ATÍPICO")</f>
        <v>NO ATÍPICO</v>
      </c>
      <c r="K1479" t="str" cm="1">
        <f t="array" ref="K1479">_xlfn.IFS(ISBLANK(I1479),"FALTANTE",ABS((I1479-$W$8)/$X$8)&gt;1.92,"ATÍPICO",ABS((I1479-$W$8)/$X$8)&lt;=1.92,"NO ATÍPICO")</f>
        <v>ATÍPICO</v>
      </c>
      <c r="L1479">
        <f t="shared" si="108"/>
        <v>432363</v>
      </c>
      <c r="M1479" t="str">
        <f t="shared" si="108"/>
        <v>PENSIONADOS EN SU PROPIO SISTEMA</v>
      </c>
      <c r="N1479">
        <f t="shared" si="109"/>
        <v>80</v>
      </c>
      <c r="O1479" s="19" t="str">
        <f t="shared" si="110"/>
        <v>300k–600k</v>
      </c>
      <c r="P1479" s="19" t="str">
        <f t="shared" si="111"/>
        <v>56+</v>
      </c>
    </row>
    <row r="1480" spans="1:16" x14ac:dyDescent="0.25">
      <c r="A1480">
        <v>1479</v>
      </c>
      <c r="B1480" t="s">
        <v>9</v>
      </c>
      <c r="C1480">
        <v>360420</v>
      </c>
      <c r="D1480" t="s">
        <v>18</v>
      </c>
      <c r="E1480" t="s">
        <v>16</v>
      </c>
      <c r="F1480" t="s">
        <v>12</v>
      </c>
      <c r="G1480" t="s">
        <v>13</v>
      </c>
      <c r="H1480" t="s">
        <v>12</v>
      </c>
      <c r="I1480">
        <v>32</v>
      </c>
      <c r="J1480" t="str" cm="1">
        <f t="array" ref="J1480">_xlfn.IFS(ISBLANK(C1480),"FALTANTE",ABS((C1480-$W$5)/$X$5)&gt;1.96,"ATÍPICO",ABS((C1480-$W$5)/$X$5)&lt;=1.96,"NO ATÍPICO")</f>
        <v>NO ATÍPICO</v>
      </c>
      <c r="K1480" t="str" cm="1">
        <f t="array" ref="K1480">_xlfn.IFS(ISBLANK(I1480),"FALTANTE",ABS((I1480-$W$8)/$X$8)&gt;1.92,"ATÍPICO",ABS((I1480-$W$8)/$X$8)&lt;=1.92,"NO ATÍPICO")</f>
        <v>NO ATÍPICO</v>
      </c>
      <c r="L1480">
        <f t="shared" si="108"/>
        <v>360420</v>
      </c>
      <c r="M1480" t="str">
        <f t="shared" si="108"/>
        <v>TRABAJADOR INDEPENDIENTE</v>
      </c>
      <c r="N1480">
        <f t="shared" si="109"/>
        <v>32</v>
      </c>
      <c r="O1480" s="19" t="str">
        <f t="shared" si="110"/>
        <v>300k–600k</v>
      </c>
      <c r="P1480" s="19" t="str">
        <f t="shared" si="111"/>
        <v>26-35</v>
      </c>
    </row>
    <row r="1481" spans="1:16" x14ac:dyDescent="0.25">
      <c r="A1481">
        <v>1480</v>
      </c>
      <c r="B1481" t="s">
        <v>9</v>
      </c>
      <c r="C1481">
        <v>351670.01</v>
      </c>
      <c r="D1481" t="s">
        <v>10</v>
      </c>
      <c r="E1481" t="s">
        <v>16</v>
      </c>
      <c r="F1481" t="s">
        <v>12</v>
      </c>
      <c r="G1481" t="s">
        <v>13</v>
      </c>
      <c r="H1481" t="s">
        <v>13</v>
      </c>
      <c r="I1481">
        <v>21</v>
      </c>
      <c r="J1481" t="str" cm="1">
        <f t="array" ref="J1481">_xlfn.IFS(ISBLANK(C1481),"FALTANTE",ABS((C1481-$W$5)/$X$5)&gt;1.96,"ATÍPICO",ABS((C1481-$W$5)/$X$5)&lt;=1.96,"NO ATÍPICO")</f>
        <v>NO ATÍPICO</v>
      </c>
      <c r="K1481" t="str" cm="1">
        <f t="array" ref="K1481">_xlfn.IFS(ISBLANK(I1481),"FALTANTE",ABS((I1481-$W$8)/$X$8)&gt;1.92,"ATÍPICO",ABS((I1481-$W$8)/$X$8)&lt;=1.92,"NO ATÍPICO")</f>
        <v>NO ATÍPICO</v>
      </c>
      <c r="L1481">
        <f t="shared" si="108"/>
        <v>351670.01</v>
      </c>
      <c r="M1481" t="str">
        <f t="shared" si="108"/>
        <v>ASALARIADO</v>
      </c>
      <c r="N1481">
        <f t="shared" si="109"/>
        <v>21</v>
      </c>
      <c r="O1481" s="19" t="str">
        <f t="shared" si="110"/>
        <v>300k–600k</v>
      </c>
      <c r="P1481" s="19" t="str">
        <f t="shared" si="111"/>
        <v>18-25</v>
      </c>
    </row>
    <row r="1482" spans="1:16" x14ac:dyDescent="0.25">
      <c r="A1482">
        <v>1481</v>
      </c>
      <c r="B1482" t="s">
        <v>15</v>
      </c>
      <c r="C1482">
        <v>528606.29</v>
      </c>
      <c r="D1482" t="s">
        <v>10</v>
      </c>
      <c r="E1482" t="s">
        <v>11</v>
      </c>
      <c r="F1482" t="s">
        <v>12</v>
      </c>
      <c r="G1482" t="s">
        <v>13</v>
      </c>
      <c r="H1482" t="s">
        <v>13</v>
      </c>
      <c r="I1482">
        <v>29</v>
      </c>
      <c r="J1482" t="str" cm="1">
        <f t="array" ref="J1482">_xlfn.IFS(ISBLANK(C1482),"FALTANTE",ABS((C1482-$W$5)/$X$5)&gt;1.96,"ATÍPICO",ABS((C1482-$W$5)/$X$5)&lt;=1.96,"NO ATÍPICO")</f>
        <v>NO ATÍPICO</v>
      </c>
      <c r="K1482" t="str" cm="1">
        <f t="array" ref="K1482">_xlfn.IFS(ISBLANK(I1482),"FALTANTE",ABS((I1482-$W$8)/$X$8)&gt;1.92,"ATÍPICO",ABS((I1482-$W$8)/$X$8)&lt;=1.92,"NO ATÍPICO")</f>
        <v>NO ATÍPICO</v>
      </c>
      <c r="L1482">
        <f t="shared" si="108"/>
        <v>528606.29</v>
      </c>
      <c r="M1482" t="str">
        <f t="shared" si="108"/>
        <v>ASALARIADO</v>
      </c>
      <c r="N1482">
        <f t="shared" si="109"/>
        <v>29</v>
      </c>
      <c r="O1482" s="19" t="str">
        <f t="shared" si="110"/>
        <v>300k–600k</v>
      </c>
      <c r="P1482" s="19" t="str">
        <f t="shared" si="111"/>
        <v>26-35</v>
      </c>
    </row>
    <row r="1483" spans="1:16" x14ac:dyDescent="0.25">
      <c r="A1483">
        <v>1482</v>
      </c>
      <c r="B1483" t="s">
        <v>15</v>
      </c>
      <c r="C1483">
        <v>2398731.5</v>
      </c>
      <c r="D1483" t="s">
        <v>10</v>
      </c>
      <c r="E1483" t="s">
        <v>11</v>
      </c>
      <c r="F1483" t="s">
        <v>12</v>
      </c>
      <c r="G1483" t="s">
        <v>13</v>
      </c>
      <c r="H1483" t="s">
        <v>13</v>
      </c>
      <c r="I1483">
        <v>29</v>
      </c>
      <c r="J1483" t="str" cm="1">
        <f t="array" ref="J1483">_xlfn.IFS(ISBLANK(C1483),"FALTANTE",ABS((C1483-$W$5)/$X$5)&gt;1.96,"ATÍPICO",ABS((C1483-$W$5)/$X$5)&lt;=1.96,"NO ATÍPICO")</f>
        <v>ATÍPICO</v>
      </c>
      <c r="K1483" t="str" cm="1">
        <f t="array" ref="K1483">_xlfn.IFS(ISBLANK(I1483),"FALTANTE",ABS((I1483-$W$8)/$X$8)&gt;1.92,"ATÍPICO",ABS((I1483-$W$8)/$X$8)&lt;=1.92,"NO ATÍPICO")</f>
        <v>NO ATÍPICO</v>
      </c>
      <c r="L1483">
        <f t="shared" si="108"/>
        <v>2398731.5</v>
      </c>
      <c r="M1483" t="str">
        <f t="shared" si="108"/>
        <v>ASALARIADO</v>
      </c>
      <c r="N1483">
        <f t="shared" si="109"/>
        <v>29</v>
      </c>
      <c r="O1483" s="19" t="str">
        <f t="shared" si="110"/>
        <v>1200k+</v>
      </c>
      <c r="P1483" s="19" t="str">
        <f t="shared" si="111"/>
        <v>26-35</v>
      </c>
    </row>
    <row r="1484" spans="1:16" x14ac:dyDescent="0.25">
      <c r="A1484">
        <v>1483</v>
      </c>
      <c r="B1484" t="s">
        <v>9</v>
      </c>
      <c r="C1484">
        <v>327400</v>
      </c>
      <c r="D1484" t="s">
        <v>10</v>
      </c>
      <c r="E1484" t="s">
        <v>16</v>
      </c>
      <c r="F1484" t="s">
        <v>12</v>
      </c>
      <c r="G1484" t="s">
        <v>13</v>
      </c>
      <c r="H1484" t="s">
        <v>13</v>
      </c>
      <c r="I1484">
        <v>21</v>
      </c>
      <c r="J1484" t="str" cm="1">
        <f t="array" ref="J1484">_xlfn.IFS(ISBLANK(C1484),"FALTANTE",ABS((C1484-$W$5)/$X$5)&gt;1.96,"ATÍPICO",ABS((C1484-$W$5)/$X$5)&lt;=1.96,"NO ATÍPICO")</f>
        <v>NO ATÍPICO</v>
      </c>
      <c r="K1484" t="str" cm="1">
        <f t="array" ref="K1484">_xlfn.IFS(ISBLANK(I1484),"FALTANTE",ABS((I1484-$W$8)/$X$8)&gt;1.92,"ATÍPICO",ABS((I1484-$W$8)/$X$8)&lt;=1.92,"NO ATÍPICO")</f>
        <v>NO ATÍPICO</v>
      </c>
      <c r="L1484">
        <f t="shared" si="108"/>
        <v>327400</v>
      </c>
      <c r="M1484" t="str">
        <f t="shared" si="108"/>
        <v>ASALARIADO</v>
      </c>
      <c r="N1484">
        <f t="shared" si="109"/>
        <v>21</v>
      </c>
      <c r="O1484" s="19" t="str">
        <f t="shared" si="110"/>
        <v>300k–600k</v>
      </c>
      <c r="P1484" s="19" t="str">
        <f t="shared" si="111"/>
        <v>18-25</v>
      </c>
    </row>
    <row r="1485" spans="1:16" x14ac:dyDescent="0.25">
      <c r="A1485">
        <v>1484</v>
      </c>
      <c r="B1485" t="s">
        <v>15</v>
      </c>
      <c r="C1485">
        <v>228749</v>
      </c>
      <c r="D1485" t="s">
        <v>10</v>
      </c>
      <c r="E1485" t="s">
        <v>11</v>
      </c>
      <c r="F1485" t="s">
        <v>12</v>
      </c>
      <c r="G1485" t="s">
        <v>13</v>
      </c>
      <c r="H1485" t="s">
        <v>12</v>
      </c>
      <c r="I1485">
        <v>56</v>
      </c>
      <c r="J1485" t="str" cm="1">
        <f t="array" ref="J1485">_xlfn.IFS(ISBLANK(C1485),"FALTANTE",ABS((C1485-$W$5)/$X$5)&gt;1.96,"ATÍPICO",ABS((C1485-$W$5)/$X$5)&lt;=1.96,"NO ATÍPICO")</f>
        <v>NO ATÍPICO</v>
      </c>
      <c r="K1485" t="str" cm="1">
        <f t="array" ref="K1485">_xlfn.IFS(ISBLANK(I1485),"FALTANTE",ABS((I1485-$W$8)/$X$8)&gt;1.92,"ATÍPICO",ABS((I1485-$W$8)/$X$8)&lt;=1.92,"NO ATÍPICO")</f>
        <v>NO ATÍPICO</v>
      </c>
      <c r="L1485">
        <f t="shared" si="108"/>
        <v>228749</v>
      </c>
      <c r="M1485" t="str">
        <f t="shared" si="108"/>
        <v>ASALARIADO</v>
      </c>
      <c r="N1485">
        <f t="shared" si="109"/>
        <v>56</v>
      </c>
      <c r="O1485" s="19" t="str">
        <f t="shared" si="110"/>
        <v>0–300k</v>
      </c>
      <c r="P1485" s="19" t="str">
        <f t="shared" si="111"/>
        <v>56+</v>
      </c>
    </row>
    <row r="1486" spans="1:16" x14ac:dyDescent="0.25">
      <c r="A1486">
        <v>1485</v>
      </c>
      <c r="B1486" t="s">
        <v>15</v>
      </c>
      <c r="C1486">
        <v>1139623</v>
      </c>
      <c r="D1486" t="s">
        <v>14</v>
      </c>
      <c r="E1486" t="s">
        <v>11</v>
      </c>
      <c r="F1486" t="s">
        <v>12</v>
      </c>
      <c r="G1486" t="s">
        <v>13</v>
      </c>
      <c r="H1486" t="s">
        <v>13</v>
      </c>
      <c r="I1486">
        <v>78</v>
      </c>
      <c r="J1486" t="str" cm="1">
        <f t="array" ref="J1486">_xlfn.IFS(ISBLANK(C1486),"FALTANTE",ABS((C1486-$W$5)/$X$5)&gt;1.96,"ATÍPICO",ABS((C1486-$W$5)/$X$5)&lt;=1.96,"NO ATÍPICO")</f>
        <v>NO ATÍPICO</v>
      </c>
      <c r="K1486" t="str" cm="1">
        <f t="array" ref="K1486">_xlfn.IFS(ISBLANK(I1486),"FALTANTE",ABS((I1486-$W$8)/$X$8)&gt;1.92,"ATÍPICO",ABS((I1486-$W$8)/$X$8)&lt;=1.92,"NO ATÍPICO")</f>
        <v>ATÍPICO</v>
      </c>
      <c r="L1486">
        <f t="shared" si="108"/>
        <v>1139623</v>
      </c>
      <c r="M1486" t="str">
        <f t="shared" si="108"/>
        <v>PENSIONADOS EN SU PROPIO SISTEMA</v>
      </c>
      <c r="N1486">
        <f t="shared" si="109"/>
        <v>78</v>
      </c>
      <c r="O1486" s="19" t="str">
        <f t="shared" si="110"/>
        <v>900k–1200k</v>
      </c>
      <c r="P1486" s="19" t="str">
        <f t="shared" si="111"/>
        <v>56+</v>
      </c>
    </row>
    <row r="1487" spans="1:16" x14ac:dyDescent="0.25">
      <c r="A1487">
        <v>1486</v>
      </c>
      <c r="B1487" t="s">
        <v>9</v>
      </c>
      <c r="C1487">
        <v>286145.68</v>
      </c>
      <c r="D1487" t="s">
        <v>10</v>
      </c>
      <c r="E1487" t="s">
        <v>16</v>
      </c>
      <c r="F1487" t="s">
        <v>12</v>
      </c>
      <c r="G1487" t="s">
        <v>13</v>
      </c>
      <c r="H1487" t="s">
        <v>13</v>
      </c>
      <c r="I1487">
        <v>51</v>
      </c>
      <c r="J1487" t="str" cm="1">
        <f t="array" ref="J1487">_xlfn.IFS(ISBLANK(C1487),"FALTANTE",ABS((C1487-$W$5)/$X$5)&gt;1.96,"ATÍPICO",ABS((C1487-$W$5)/$X$5)&lt;=1.96,"NO ATÍPICO")</f>
        <v>NO ATÍPICO</v>
      </c>
      <c r="K1487" t="str" cm="1">
        <f t="array" ref="K1487">_xlfn.IFS(ISBLANK(I1487),"FALTANTE",ABS((I1487-$W$8)/$X$8)&gt;1.92,"ATÍPICO",ABS((I1487-$W$8)/$X$8)&lt;=1.92,"NO ATÍPICO")</f>
        <v>NO ATÍPICO</v>
      </c>
      <c r="L1487">
        <f t="shared" si="108"/>
        <v>286145.68</v>
      </c>
      <c r="M1487" t="str">
        <f t="shared" si="108"/>
        <v>ASALARIADO</v>
      </c>
      <c r="N1487">
        <f t="shared" si="109"/>
        <v>51</v>
      </c>
      <c r="O1487" s="19" t="str">
        <f t="shared" si="110"/>
        <v>0–300k</v>
      </c>
      <c r="P1487" s="19" t="str">
        <f t="shared" si="111"/>
        <v>46-55</v>
      </c>
    </row>
    <row r="1488" spans="1:16" x14ac:dyDescent="0.25">
      <c r="A1488">
        <v>1487</v>
      </c>
      <c r="B1488" t="s">
        <v>9</v>
      </c>
      <c r="C1488">
        <v>297045</v>
      </c>
      <c r="D1488" t="s">
        <v>17</v>
      </c>
      <c r="E1488" t="s">
        <v>16</v>
      </c>
      <c r="F1488" t="s">
        <v>12</v>
      </c>
      <c r="G1488" t="s">
        <v>13</v>
      </c>
      <c r="H1488" t="s">
        <v>13</v>
      </c>
      <c r="I1488">
        <v>25</v>
      </c>
      <c r="J1488" t="str" cm="1">
        <f t="array" ref="J1488">_xlfn.IFS(ISBLANK(C1488),"FALTANTE",ABS((C1488-$W$5)/$X$5)&gt;1.96,"ATÍPICO",ABS((C1488-$W$5)/$X$5)&lt;=1.96,"NO ATÍPICO")</f>
        <v>NO ATÍPICO</v>
      </c>
      <c r="K1488" t="str" cm="1">
        <f t="array" ref="K1488">_xlfn.IFS(ISBLANK(I1488),"FALTANTE",ABS((I1488-$W$8)/$X$8)&gt;1.92,"ATÍPICO",ABS((I1488-$W$8)/$X$8)&lt;=1.92,"NO ATÍPICO")</f>
        <v>NO ATÍPICO</v>
      </c>
      <c r="L1488">
        <f t="shared" si="108"/>
        <v>297045</v>
      </c>
      <c r="M1488" t="str">
        <f t="shared" si="108"/>
        <v>ASEGURADO VOLUNTARIO</v>
      </c>
      <c r="N1488">
        <f t="shared" si="109"/>
        <v>25</v>
      </c>
      <c r="O1488" s="19" t="str">
        <f t="shared" si="110"/>
        <v>0–300k</v>
      </c>
      <c r="P1488" s="19" t="str">
        <f t="shared" si="111"/>
        <v>18-25</v>
      </c>
    </row>
    <row r="1489" spans="1:16" x14ac:dyDescent="0.25">
      <c r="A1489">
        <v>1488</v>
      </c>
      <c r="B1489" t="s">
        <v>9</v>
      </c>
      <c r="C1489">
        <v>734252.96</v>
      </c>
      <c r="D1489" t="s">
        <v>10</v>
      </c>
      <c r="E1489" t="s">
        <v>16</v>
      </c>
      <c r="F1489" t="s">
        <v>12</v>
      </c>
      <c r="G1489" t="s">
        <v>13</v>
      </c>
      <c r="H1489" t="s">
        <v>13</v>
      </c>
      <c r="I1489">
        <v>60</v>
      </c>
      <c r="J1489" t="str" cm="1">
        <f t="array" ref="J1489">_xlfn.IFS(ISBLANK(C1489),"FALTANTE",ABS((C1489-$W$5)/$X$5)&gt;1.96,"ATÍPICO",ABS((C1489-$W$5)/$X$5)&lt;=1.96,"NO ATÍPICO")</f>
        <v>NO ATÍPICO</v>
      </c>
      <c r="K1489" t="str" cm="1">
        <f t="array" ref="K1489">_xlfn.IFS(ISBLANK(I1489),"FALTANTE",ABS((I1489-$W$8)/$X$8)&gt;1.92,"ATÍPICO",ABS((I1489-$W$8)/$X$8)&lt;=1.92,"NO ATÍPICO")</f>
        <v>NO ATÍPICO</v>
      </c>
      <c r="L1489">
        <f t="shared" si="108"/>
        <v>734252.96</v>
      </c>
      <c r="M1489" t="str">
        <f t="shared" si="108"/>
        <v>ASALARIADO</v>
      </c>
      <c r="N1489">
        <f t="shared" si="109"/>
        <v>60</v>
      </c>
      <c r="O1489" s="19" t="str">
        <f t="shared" si="110"/>
        <v>600k–900k</v>
      </c>
      <c r="P1489" s="19" t="str">
        <f t="shared" si="111"/>
        <v>56+</v>
      </c>
    </row>
    <row r="1490" spans="1:16" x14ac:dyDescent="0.25">
      <c r="A1490">
        <v>1489</v>
      </c>
      <c r="B1490" t="s">
        <v>9</v>
      </c>
      <c r="C1490">
        <v>592772.23</v>
      </c>
      <c r="D1490" t="s">
        <v>10</v>
      </c>
      <c r="E1490" t="s">
        <v>11</v>
      </c>
      <c r="F1490" t="s">
        <v>12</v>
      </c>
      <c r="G1490" t="s">
        <v>13</v>
      </c>
      <c r="H1490" t="s">
        <v>13</v>
      </c>
      <c r="I1490">
        <v>25</v>
      </c>
      <c r="J1490" t="str" cm="1">
        <f t="array" ref="J1490">_xlfn.IFS(ISBLANK(C1490),"FALTANTE",ABS((C1490-$W$5)/$X$5)&gt;1.96,"ATÍPICO",ABS((C1490-$W$5)/$X$5)&lt;=1.96,"NO ATÍPICO")</f>
        <v>NO ATÍPICO</v>
      </c>
      <c r="K1490" t="str" cm="1">
        <f t="array" ref="K1490">_xlfn.IFS(ISBLANK(I1490),"FALTANTE",ABS((I1490-$W$8)/$X$8)&gt;1.92,"ATÍPICO",ABS((I1490-$W$8)/$X$8)&lt;=1.92,"NO ATÍPICO")</f>
        <v>NO ATÍPICO</v>
      </c>
      <c r="L1490">
        <f t="shared" si="108"/>
        <v>592772.23</v>
      </c>
      <c r="M1490" t="str">
        <f t="shared" si="108"/>
        <v>ASALARIADO</v>
      </c>
      <c r="N1490">
        <f t="shared" si="109"/>
        <v>25</v>
      </c>
      <c r="O1490" s="19" t="str">
        <f t="shared" si="110"/>
        <v>300k–600k</v>
      </c>
      <c r="P1490" s="19" t="str">
        <f t="shared" si="111"/>
        <v>18-25</v>
      </c>
    </row>
    <row r="1491" spans="1:16" x14ac:dyDescent="0.25">
      <c r="A1491">
        <v>1490</v>
      </c>
      <c r="B1491" t="s">
        <v>9</v>
      </c>
      <c r="C1491">
        <v>303333</v>
      </c>
      <c r="D1491" t="s">
        <v>10</v>
      </c>
      <c r="E1491" t="s">
        <v>16</v>
      </c>
      <c r="F1491" t="s">
        <v>12</v>
      </c>
      <c r="G1491" t="s">
        <v>12</v>
      </c>
      <c r="H1491" t="s">
        <v>13</v>
      </c>
      <c r="I1491">
        <v>38</v>
      </c>
      <c r="J1491" t="str" cm="1">
        <f t="array" ref="J1491">_xlfn.IFS(ISBLANK(C1491),"FALTANTE",ABS((C1491-$W$5)/$X$5)&gt;1.96,"ATÍPICO",ABS((C1491-$W$5)/$X$5)&lt;=1.96,"NO ATÍPICO")</f>
        <v>NO ATÍPICO</v>
      </c>
      <c r="K1491" t="str" cm="1">
        <f t="array" ref="K1491">_xlfn.IFS(ISBLANK(I1491),"FALTANTE",ABS((I1491-$W$8)/$X$8)&gt;1.92,"ATÍPICO",ABS((I1491-$W$8)/$X$8)&lt;=1.92,"NO ATÍPICO")</f>
        <v>NO ATÍPICO</v>
      </c>
      <c r="L1491">
        <f t="shared" si="108"/>
        <v>303333</v>
      </c>
      <c r="M1491" t="str">
        <f t="shared" si="108"/>
        <v>ASALARIADO</v>
      </c>
      <c r="N1491">
        <f t="shared" si="109"/>
        <v>38</v>
      </c>
      <c r="O1491" s="19" t="str">
        <f t="shared" si="110"/>
        <v>300k–600k</v>
      </c>
      <c r="P1491" s="19" t="str">
        <f t="shared" si="111"/>
        <v>36-45</v>
      </c>
    </row>
    <row r="1492" spans="1:16" x14ac:dyDescent="0.25">
      <c r="A1492">
        <v>1491</v>
      </c>
      <c r="B1492" t="s">
        <v>9</v>
      </c>
      <c r="C1492">
        <v>347135</v>
      </c>
      <c r="D1492" t="s">
        <v>17</v>
      </c>
      <c r="E1492" t="s">
        <v>16</v>
      </c>
      <c r="F1492" t="s">
        <v>12</v>
      </c>
      <c r="G1492" t="s">
        <v>13</v>
      </c>
      <c r="H1492" t="s">
        <v>13</v>
      </c>
      <c r="I1492">
        <v>54</v>
      </c>
      <c r="J1492" t="str" cm="1">
        <f t="array" ref="J1492">_xlfn.IFS(ISBLANK(C1492),"FALTANTE",ABS((C1492-$W$5)/$X$5)&gt;1.96,"ATÍPICO",ABS((C1492-$W$5)/$X$5)&lt;=1.96,"NO ATÍPICO")</f>
        <v>NO ATÍPICO</v>
      </c>
      <c r="K1492" t="str" cm="1">
        <f t="array" ref="K1492">_xlfn.IFS(ISBLANK(I1492),"FALTANTE",ABS((I1492-$W$8)/$X$8)&gt;1.92,"ATÍPICO",ABS((I1492-$W$8)/$X$8)&lt;=1.92,"NO ATÍPICO")</f>
        <v>NO ATÍPICO</v>
      </c>
      <c r="L1492">
        <f t="shared" si="108"/>
        <v>347135</v>
      </c>
      <c r="M1492" t="str">
        <f t="shared" si="108"/>
        <v>ASEGURADO VOLUNTARIO</v>
      </c>
      <c r="N1492">
        <f t="shared" si="109"/>
        <v>54</v>
      </c>
      <c r="O1492" s="19" t="str">
        <f t="shared" si="110"/>
        <v>300k–600k</v>
      </c>
      <c r="P1492" s="19" t="str">
        <f t="shared" si="111"/>
        <v>46-55</v>
      </c>
    </row>
    <row r="1493" spans="1:16" x14ac:dyDescent="0.25">
      <c r="A1493">
        <v>1492</v>
      </c>
      <c r="B1493" t="s">
        <v>9</v>
      </c>
      <c r="C1493">
        <v>639148</v>
      </c>
      <c r="D1493" t="s">
        <v>18</v>
      </c>
      <c r="E1493" t="s">
        <v>16</v>
      </c>
      <c r="F1493" t="s">
        <v>12</v>
      </c>
      <c r="G1493" t="s">
        <v>13</v>
      </c>
      <c r="H1493" t="s">
        <v>13</v>
      </c>
      <c r="I1493">
        <v>63</v>
      </c>
      <c r="J1493" t="str" cm="1">
        <f t="array" ref="J1493">_xlfn.IFS(ISBLANK(C1493),"FALTANTE",ABS((C1493-$W$5)/$X$5)&gt;1.96,"ATÍPICO",ABS((C1493-$W$5)/$X$5)&lt;=1.96,"NO ATÍPICO")</f>
        <v>NO ATÍPICO</v>
      </c>
      <c r="K1493" t="str" cm="1">
        <f t="array" ref="K1493">_xlfn.IFS(ISBLANK(I1493),"FALTANTE",ABS((I1493-$W$8)/$X$8)&gt;1.92,"ATÍPICO",ABS((I1493-$W$8)/$X$8)&lt;=1.92,"NO ATÍPICO")</f>
        <v>NO ATÍPICO</v>
      </c>
      <c r="L1493">
        <f t="shared" si="108"/>
        <v>639148</v>
      </c>
      <c r="M1493" t="str">
        <f t="shared" si="108"/>
        <v>TRABAJADOR INDEPENDIENTE</v>
      </c>
      <c r="N1493">
        <f t="shared" si="109"/>
        <v>63</v>
      </c>
      <c r="O1493" s="19" t="str">
        <f t="shared" si="110"/>
        <v>600k–900k</v>
      </c>
      <c r="P1493" s="19" t="str">
        <f t="shared" si="111"/>
        <v>56+</v>
      </c>
    </row>
    <row r="1494" spans="1:16" x14ac:dyDescent="0.25">
      <c r="A1494">
        <v>1493</v>
      </c>
      <c r="B1494" t="s">
        <v>9</v>
      </c>
      <c r="C1494">
        <v>435801</v>
      </c>
      <c r="D1494" t="s">
        <v>10</v>
      </c>
      <c r="E1494" t="s">
        <v>16</v>
      </c>
      <c r="F1494" t="s">
        <v>12</v>
      </c>
      <c r="G1494" t="s">
        <v>12</v>
      </c>
      <c r="H1494" t="s">
        <v>13</v>
      </c>
      <c r="I1494">
        <v>47</v>
      </c>
      <c r="J1494" t="str" cm="1">
        <f t="array" ref="J1494">_xlfn.IFS(ISBLANK(C1494),"FALTANTE",ABS((C1494-$W$5)/$X$5)&gt;1.96,"ATÍPICO",ABS((C1494-$W$5)/$X$5)&lt;=1.96,"NO ATÍPICO")</f>
        <v>NO ATÍPICO</v>
      </c>
      <c r="K1494" t="str" cm="1">
        <f t="array" ref="K1494">_xlfn.IFS(ISBLANK(I1494),"FALTANTE",ABS((I1494-$W$8)/$X$8)&gt;1.92,"ATÍPICO",ABS((I1494-$W$8)/$X$8)&lt;=1.92,"NO ATÍPICO")</f>
        <v>NO ATÍPICO</v>
      </c>
      <c r="L1494">
        <f t="shared" si="108"/>
        <v>435801</v>
      </c>
      <c r="M1494" t="str">
        <f t="shared" si="108"/>
        <v>ASALARIADO</v>
      </c>
      <c r="N1494">
        <f t="shared" si="109"/>
        <v>47</v>
      </c>
      <c r="O1494" s="19" t="str">
        <f t="shared" si="110"/>
        <v>300k–600k</v>
      </c>
      <c r="P1494" s="19" t="str">
        <f t="shared" si="111"/>
        <v>46-55</v>
      </c>
    </row>
    <row r="1495" spans="1:16" x14ac:dyDescent="0.25">
      <c r="A1495">
        <v>1494</v>
      </c>
      <c r="B1495" t="s">
        <v>9</v>
      </c>
      <c r="C1495">
        <v>484829.52</v>
      </c>
      <c r="D1495" t="s">
        <v>10</v>
      </c>
      <c r="E1495" t="s">
        <v>16</v>
      </c>
      <c r="F1495" t="s">
        <v>12</v>
      </c>
      <c r="G1495" t="s">
        <v>13</v>
      </c>
      <c r="H1495" t="s">
        <v>13</v>
      </c>
      <c r="I1495">
        <v>25</v>
      </c>
      <c r="J1495" t="str" cm="1">
        <f t="array" ref="J1495">_xlfn.IFS(ISBLANK(C1495),"FALTANTE",ABS((C1495-$W$5)/$X$5)&gt;1.96,"ATÍPICO",ABS((C1495-$W$5)/$X$5)&lt;=1.96,"NO ATÍPICO")</f>
        <v>NO ATÍPICO</v>
      </c>
      <c r="K1495" t="str" cm="1">
        <f t="array" ref="K1495">_xlfn.IFS(ISBLANK(I1495),"FALTANTE",ABS((I1495-$W$8)/$X$8)&gt;1.92,"ATÍPICO",ABS((I1495-$W$8)/$X$8)&lt;=1.92,"NO ATÍPICO")</f>
        <v>NO ATÍPICO</v>
      </c>
      <c r="L1495">
        <f t="shared" si="108"/>
        <v>484829.52</v>
      </c>
      <c r="M1495" t="str">
        <f t="shared" si="108"/>
        <v>ASALARIADO</v>
      </c>
      <c r="N1495">
        <f t="shared" si="109"/>
        <v>25</v>
      </c>
      <c r="O1495" s="19" t="str">
        <f t="shared" si="110"/>
        <v>300k–600k</v>
      </c>
      <c r="P1495" s="19" t="str">
        <f t="shared" si="111"/>
        <v>18-25</v>
      </c>
    </row>
    <row r="1496" spans="1:16" x14ac:dyDescent="0.25">
      <c r="A1496">
        <v>1495</v>
      </c>
      <c r="B1496" t="s">
        <v>15</v>
      </c>
      <c r="C1496">
        <v>92366.25</v>
      </c>
      <c r="D1496" t="s">
        <v>10</v>
      </c>
      <c r="E1496" t="s">
        <v>11</v>
      </c>
      <c r="F1496" t="s">
        <v>12</v>
      </c>
      <c r="G1496" t="s">
        <v>13</v>
      </c>
      <c r="H1496" t="s">
        <v>13</v>
      </c>
      <c r="I1496">
        <v>23</v>
      </c>
      <c r="J1496" t="str" cm="1">
        <f t="array" ref="J1496">_xlfn.IFS(ISBLANK(C1496),"FALTANTE",ABS((C1496-$W$5)/$X$5)&gt;1.96,"ATÍPICO",ABS((C1496-$W$5)/$X$5)&lt;=1.96,"NO ATÍPICO")</f>
        <v>NO ATÍPICO</v>
      </c>
      <c r="K1496" t="str" cm="1">
        <f t="array" ref="K1496">_xlfn.IFS(ISBLANK(I1496),"FALTANTE",ABS((I1496-$W$8)/$X$8)&gt;1.92,"ATÍPICO",ABS((I1496-$W$8)/$X$8)&lt;=1.92,"NO ATÍPICO")</f>
        <v>NO ATÍPICO</v>
      </c>
      <c r="L1496">
        <f t="shared" si="108"/>
        <v>92366.25</v>
      </c>
      <c r="M1496" t="str">
        <f t="shared" si="108"/>
        <v>ASALARIADO</v>
      </c>
      <c r="N1496">
        <f t="shared" si="109"/>
        <v>23</v>
      </c>
      <c r="O1496" s="19" t="str">
        <f t="shared" si="110"/>
        <v>0–300k</v>
      </c>
      <c r="P1496" s="19" t="str">
        <f t="shared" si="111"/>
        <v>18-25</v>
      </c>
    </row>
    <row r="1497" spans="1:16" x14ac:dyDescent="0.25">
      <c r="A1497">
        <v>1496</v>
      </c>
      <c r="B1497" t="s">
        <v>15</v>
      </c>
      <c r="C1497">
        <v>863546</v>
      </c>
      <c r="D1497" t="s">
        <v>10</v>
      </c>
      <c r="E1497" t="s">
        <v>11</v>
      </c>
      <c r="F1497" t="s">
        <v>12</v>
      </c>
      <c r="G1497" t="s">
        <v>13</v>
      </c>
      <c r="H1497" t="s">
        <v>12</v>
      </c>
      <c r="I1497">
        <v>31</v>
      </c>
      <c r="J1497" t="str" cm="1">
        <f t="array" ref="J1497">_xlfn.IFS(ISBLANK(C1497),"FALTANTE",ABS((C1497-$W$5)/$X$5)&gt;1.96,"ATÍPICO",ABS((C1497-$W$5)/$X$5)&lt;=1.96,"NO ATÍPICO")</f>
        <v>NO ATÍPICO</v>
      </c>
      <c r="K1497" t="str" cm="1">
        <f t="array" ref="K1497">_xlfn.IFS(ISBLANK(I1497),"FALTANTE",ABS((I1497-$W$8)/$X$8)&gt;1.92,"ATÍPICO",ABS((I1497-$W$8)/$X$8)&lt;=1.92,"NO ATÍPICO")</f>
        <v>NO ATÍPICO</v>
      </c>
      <c r="L1497">
        <f t="shared" si="108"/>
        <v>863546</v>
      </c>
      <c r="M1497" t="str">
        <f t="shared" si="108"/>
        <v>ASALARIADO</v>
      </c>
      <c r="N1497">
        <f t="shared" si="109"/>
        <v>31</v>
      </c>
      <c r="O1497" s="19" t="str">
        <f t="shared" si="110"/>
        <v>600k–900k</v>
      </c>
      <c r="P1497" s="19" t="str">
        <f t="shared" si="111"/>
        <v>26-35</v>
      </c>
    </row>
    <row r="1498" spans="1:16" x14ac:dyDescent="0.25">
      <c r="A1498">
        <v>1497</v>
      </c>
      <c r="B1498" t="s">
        <v>15</v>
      </c>
      <c r="C1498">
        <v>399659</v>
      </c>
      <c r="D1498" t="s">
        <v>18</v>
      </c>
      <c r="E1498" t="s">
        <v>16</v>
      </c>
      <c r="F1498" t="s">
        <v>12</v>
      </c>
      <c r="G1498" t="s">
        <v>12</v>
      </c>
      <c r="H1498" t="s">
        <v>12</v>
      </c>
      <c r="I1498">
        <v>46</v>
      </c>
      <c r="J1498" t="str" cm="1">
        <f t="array" ref="J1498">_xlfn.IFS(ISBLANK(C1498),"FALTANTE",ABS((C1498-$W$5)/$X$5)&gt;1.96,"ATÍPICO",ABS((C1498-$W$5)/$X$5)&lt;=1.96,"NO ATÍPICO")</f>
        <v>NO ATÍPICO</v>
      </c>
      <c r="K1498" t="str" cm="1">
        <f t="array" ref="K1498">_xlfn.IFS(ISBLANK(I1498),"FALTANTE",ABS((I1498-$W$8)/$X$8)&gt;1.92,"ATÍPICO",ABS((I1498-$W$8)/$X$8)&lt;=1.92,"NO ATÍPICO")</f>
        <v>NO ATÍPICO</v>
      </c>
      <c r="L1498">
        <f t="shared" si="108"/>
        <v>399659</v>
      </c>
      <c r="M1498" t="str">
        <f t="shared" si="108"/>
        <v>TRABAJADOR INDEPENDIENTE</v>
      </c>
      <c r="N1498">
        <f t="shared" si="109"/>
        <v>46</v>
      </c>
      <c r="O1498" s="19" t="str">
        <f t="shared" si="110"/>
        <v>300k–600k</v>
      </c>
      <c r="P1498" s="19" t="str">
        <f t="shared" si="111"/>
        <v>46-55</v>
      </c>
    </row>
    <row r="1499" spans="1:16" x14ac:dyDescent="0.25">
      <c r="A1499">
        <v>1498</v>
      </c>
      <c r="B1499" t="s">
        <v>15</v>
      </c>
      <c r="C1499">
        <v>1940476.41</v>
      </c>
      <c r="D1499" t="s">
        <v>10</v>
      </c>
      <c r="E1499" t="s">
        <v>16</v>
      </c>
      <c r="F1499" t="s">
        <v>12</v>
      </c>
      <c r="G1499" t="s">
        <v>13</v>
      </c>
      <c r="H1499" t="s">
        <v>13</v>
      </c>
      <c r="I1499">
        <v>34</v>
      </c>
      <c r="J1499" t="str" cm="1">
        <f t="array" ref="J1499">_xlfn.IFS(ISBLANK(C1499),"FALTANTE",ABS((C1499-$W$5)/$X$5)&gt;1.96,"ATÍPICO",ABS((C1499-$W$5)/$X$5)&lt;=1.96,"NO ATÍPICO")</f>
        <v>NO ATÍPICO</v>
      </c>
      <c r="K1499" t="str" cm="1">
        <f t="array" ref="K1499">_xlfn.IFS(ISBLANK(I1499),"FALTANTE",ABS((I1499-$W$8)/$X$8)&gt;1.92,"ATÍPICO",ABS((I1499-$W$8)/$X$8)&lt;=1.92,"NO ATÍPICO")</f>
        <v>NO ATÍPICO</v>
      </c>
      <c r="L1499">
        <f t="shared" si="108"/>
        <v>1940476.41</v>
      </c>
      <c r="M1499" t="str">
        <f t="shared" si="108"/>
        <v>ASALARIADO</v>
      </c>
      <c r="N1499">
        <f t="shared" si="109"/>
        <v>34</v>
      </c>
      <c r="O1499" s="19" t="str">
        <f t="shared" si="110"/>
        <v>1200k+</v>
      </c>
      <c r="P1499" s="19" t="str">
        <f t="shared" si="111"/>
        <v>26-35</v>
      </c>
    </row>
    <row r="1500" spans="1:16" x14ac:dyDescent="0.25">
      <c r="A1500">
        <v>1499</v>
      </c>
      <c r="B1500" t="s">
        <v>15</v>
      </c>
      <c r="C1500">
        <v>571508</v>
      </c>
      <c r="D1500" t="s">
        <v>10</v>
      </c>
      <c r="E1500" t="s">
        <v>11</v>
      </c>
      <c r="F1500" t="s">
        <v>12</v>
      </c>
      <c r="G1500" t="s">
        <v>13</v>
      </c>
      <c r="H1500" t="s">
        <v>13</v>
      </c>
      <c r="I1500">
        <v>29</v>
      </c>
      <c r="J1500" t="str" cm="1">
        <f t="array" ref="J1500">_xlfn.IFS(ISBLANK(C1500),"FALTANTE",ABS((C1500-$W$5)/$X$5)&gt;1.96,"ATÍPICO",ABS((C1500-$W$5)/$X$5)&lt;=1.96,"NO ATÍPICO")</f>
        <v>NO ATÍPICO</v>
      </c>
      <c r="K1500" t="str" cm="1">
        <f t="array" ref="K1500">_xlfn.IFS(ISBLANK(I1500),"FALTANTE",ABS((I1500-$W$8)/$X$8)&gt;1.92,"ATÍPICO",ABS((I1500-$W$8)/$X$8)&lt;=1.92,"NO ATÍPICO")</f>
        <v>NO ATÍPICO</v>
      </c>
      <c r="L1500">
        <f t="shared" si="108"/>
        <v>571508</v>
      </c>
      <c r="M1500" t="str">
        <f t="shared" si="108"/>
        <v>ASALARIADO</v>
      </c>
      <c r="N1500">
        <f t="shared" si="109"/>
        <v>29</v>
      </c>
      <c r="O1500" s="19" t="str">
        <f t="shared" si="110"/>
        <v>300k–600k</v>
      </c>
      <c r="P1500" s="19" t="str">
        <f t="shared" si="111"/>
        <v>26-35</v>
      </c>
    </row>
    <row r="1501" spans="1:16" x14ac:dyDescent="0.25">
      <c r="A1501">
        <v>1500</v>
      </c>
      <c r="B1501" t="s">
        <v>9</v>
      </c>
      <c r="C1501">
        <v>932109.37</v>
      </c>
      <c r="D1501" t="s">
        <v>10</v>
      </c>
      <c r="E1501" t="s">
        <v>16</v>
      </c>
      <c r="F1501" t="s">
        <v>12</v>
      </c>
      <c r="G1501" t="s">
        <v>13</v>
      </c>
      <c r="H1501" t="s">
        <v>13</v>
      </c>
      <c r="I1501">
        <v>41</v>
      </c>
      <c r="J1501" t="str" cm="1">
        <f t="array" ref="J1501">_xlfn.IFS(ISBLANK(C1501),"FALTANTE",ABS((C1501-$W$5)/$X$5)&gt;1.96,"ATÍPICO",ABS((C1501-$W$5)/$X$5)&lt;=1.96,"NO ATÍPICO")</f>
        <v>NO ATÍPICO</v>
      </c>
      <c r="K1501" t="str" cm="1">
        <f t="array" ref="K1501">_xlfn.IFS(ISBLANK(I1501),"FALTANTE",ABS((I1501-$W$8)/$X$8)&gt;1.92,"ATÍPICO",ABS((I1501-$W$8)/$X$8)&lt;=1.92,"NO ATÍPICO")</f>
        <v>NO ATÍPICO</v>
      </c>
      <c r="L1501">
        <f t="shared" si="108"/>
        <v>932109.37</v>
      </c>
      <c r="M1501" t="str">
        <f t="shared" si="108"/>
        <v>ASALARIADO</v>
      </c>
      <c r="N1501">
        <f t="shared" si="109"/>
        <v>41</v>
      </c>
      <c r="O1501" s="19" t="str">
        <f t="shared" si="110"/>
        <v>900k–1200k</v>
      </c>
      <c r="P1501" s="19" t="str">
        <f t="shared" si="111"/>
        <v>36-45</v>
      </c>
    </row>
    <row r="1502" spans="1:16" x14ac:dyDescent="0.25">
      <c r="A1502">
        <v>1501</v>
      </c>
      <c r="B1502" t="s">
        <v>9</v>
      </c>
      <c r="C1502">
        <v>155000</v>
      </c>
      <c r="D1502" t="s">
        <v>10</v>
      </c>
      <c r="E1502" t="s">
        <v>16</v>
      </c>
      <c r="F1502" t="s">
        <v>12</v>
      </c>
      <c r="G1502" t="s">
        <v>13</v>
      </c>
      <c r="H1502" t="s">
        <v>12</v>
      </c>
      <c r="I1502">
        <v>53</v>
      </c>
      <c r="J1502" t="str" cm="1">
        <f t="array" ref="J1502">_xlfn.IFS(ISBLANK(C1502),"FALTANTE",ABS((C1502-$W$5)/$X$5)&gt;1.96,"ATÍPICO",ABS((C1502-$W$5)/$X$5)&lt;=1.96,"NO ATÍPICO")</f>
        <v>NO ATÍPICO</v>
      </c>
      <c r="K1502" t="str" cm="1">
        <f t="array" ref="K1502">_xlfn.IFS(ISBLANK(I1502),"FALTANTE",ABS((I1502-$W$8)/$X$8)&gt;1.92,"ATÍPICO",ABS((I1502-$W$8)/$X$8)&lt;=1.92,"NO ATÍPICO")</f>
        <v>NO ATÍPICO</v>
      </c>
      <c r="L1502">
        <f t="shared" si="108"/>
        <v>155000</v>
      </c>
      <c r="M1502" t="str">
        <f t="shared" si="108"/>
        <v>ASALARIADO</v>
      </c>
      <c r="N1502">
        <f t="shared" si="109"/>
        <v>53</v>
      </c>
      <c r="O1502" s="19" t="str">
        <f t="shared" si="110"/>
        <v>0–300k</v>
      </c>
      <c r="P1502" s="19" t="str">
        <f t="shared" si="111"/>
        <v>46-55</v>
      </c>
    </row>
    <row r="1503" spans="1:16" x14ac:dyDescent="0.25">
      <c r="A1503">
        <v>1502</v>
      </c>
      <c r="B1503" t="s">
        <v>15</v>
      </c>
      <c r="C1503">
        <v>859613</v>
      </c>
      <c r="D1503" t="s">
        <v>10</v>
      </c>
      <c r="E1503" t="s">
        <v>16</v>
      </c>
      <c r="F1503" t="s">
        <v>12</v>
      </c>
      <c r="G1503" t="s">
        <v>13</v>
      </c>
      <c r="H1503" t="s">
        <v>13</v>
      </c>
      <c r="I1503">
        <v>22</v>
      </c>
      <c r="J1503" t="str" cm="1">
        <f t="array" ref="J1503">_xlfn.IFS(ISBLANK(C1503),"FALTANTE",ABS((C1503-$W$5)/$X$5)&gt;1.96,"ATÍPICO",ABS((C1503-$W$5)/$X$5)&lt;=1.96,"NO ATÍPICO")</f>
        <v>NO ATÍPICO</v>
      </c>
      <c r="K1503" t="str" cm="1">
        <f t="array" ref="K1503">_xlfn.IFS(ISBLANK(I1503),"FALTANTE",ABS((I1503-$W$8)/$X$8)&gt;1.92,"ATÍPICO",ABS((I1503-$W$8)/$X$8)&lt;=1.92,"NO ATÍPICO")</f>
        <v>NO ATÍPICO</v>
      </c>
      <c r="L1503">
        <f t="shared" si="108"/>
        <v>859613</v>
      </c>
      <c r="M1503" t="str">
        <f t="shared" si="108"/>
        <v>ASALARIADO</v>
      </c>
      <c r="N1503">
        <f t="shared" si="109"/>
        <v>22</v>
      </c>
      <c r="O1503" s="19" t="str">
        <f t="shared" si="110"/>
        <v>600k–900k</v>
      </c>
      <c r="P1503" s="19" t="str">
        <f t="shared" si="111"/>
        <v>18-25</v>
      </c>
    </row>
    <row r="1504" spans="1:16" x14ac:dyDescent="0.25">
      <c r="A1504">
        <v>1503</v>
      </c>
      <c r="B1504" t="s">
        <v>15</v>
      </c>
      <c r="C1504">
        <v>159000</v>
      </c>
      <c r="D1504" t="s">
        <v>10</v>
      </c>
      <c r="E1504" t="s">
        <v>16</v>
      </c>
      <c r="F1504" t="s">
        <v>12</v>
      </c>
      <c r="G1504" t="s">
        <v>12</v>
      </c>
      <c r="H1504" t="s">
        <v>12</v>
      </c>
      <c r="I1504">
        <v>49</v>
      </c>
      <c r="J1504" t="str" cm="1">
        <f t="array" ref="J1504">_xlfn.IFS(ISBLANK(C1504),"FALTANTE",ABS((C1504-$W$5)/$X$5)&gt;1.96,"ATÍPICO",ABS((C1504-$W$5)/$X$5)&lt;=1.96,"NO ATÍPICO")</f>
        <v>NO ATÍPICO</v>
      </c>
      <c r="K1504" t="str" cm="1">
        <f t="array" ref="K1504">_xlfn.IFS(ISBLANK(I1504),"FALTANTE",ABS((I1504-$W$8)/$X$8)&gt;1.92,"ATÍPICO",ABS((I1504-$W$8)/$X$8)&lt;=1.92,"NO ATÍPICO")</f>
        <v>NO ATÍPICO</v>
      </c>
      <c r="L1504">
        <f t="shared" si="108"/>
        <v>159000</v>
      </c>
      <c r="M1504" t="str">
        <f t="shared" si="108"/>
        <v>ASALARIADO</v>
      </c>
      <c r="N1504">
        <f t="shared" si="109"/>
        <v>49</v>
      </c>
      <c r="O1504" s="19" t="str">
        <f t="shared" si="110"/>
        <v>0–300k</v>
      </c>
      <c r="P1504" s="19" t="str">
        <f t="shared" si="111"/>
        <v>46-55</v>
      </c>
    </row>
    <row r="1505" spans="1:16" x14ac:dyDescent="0.25">
      <c r="A1505">
        <v>1504</v>
      </c>
      <c r="B1505" t="s">
        <v>9</v>
      </c>
      <c r="C1505">
        <v>540083</v>
      </c>
      <c r="D1505" t="s">
        <v>18</v>
      </c>
      <c r="E1505" t="s">
        <v>16</v>
      </c>
      <c r="F1505" t="s">
        <v>12</v>
      </c>
      <c r="G1505" t="s">
        <v>13</v>
      </c>
      <c r="H1505" t="s">
        <v>12</v>
      </c>
      <c r="I1505">
        <v>60</v>
      </c>
      <c r="J1505" t="str" cm="1">
        <f t="array" ref="J1505">_xlfn.IFS(ISBLANK(C1505),"FALTANTE",ABS((C1505-$W$5)/$X$5)&gt;1.96,"ATÍPICO",ABS((C1505-$W$5)/$X$5)&lt;=1.96,"NO ATÍPICO")</f>
        <v>NO ATÍPICO</v>
      </c>
      <c r="K1505" t="str" cm="1">
        <f t="array" ref="K1505">_xlfn.IFS(ISBLANK(I1505),"FALTANTE",ABS((I1505-$W$8)/$X$8)&gt;1.92,"ATÍPICO",ABS((I1505-$W$8)/$X$8)&lt;=1.92,"NO ATÍPICO")</f>
        <v>NO ATÍPICO</v>
      </c>
      <c r="L1505">
        <f t="shared" si="108"/>
        <v>540083</v>
      </c>
      <c r="M1505" t="str">
        <f t="shared" si="108"/>
        <v>TRABAJADOR INDEPENDIENTE</v>
      </c>
      <c r="N1505">
        <f t="shared" si="109"/>
        <v>60</v>
      </c>
      <c r="O1505" s="19" t="str">
        <f t="shared" si="110"/>
        <v>300k–600k</v>
      </c>
      <c r="P1505" s="19" t="str">
        <f t="shared" si="111"/>
        <v>56+</v>
      </c>
    </row>
    <row r="1506" spans="1:16" x14ac:dyDescent="0.25">
      <c r="A1506">
        <v>1505</v>
      </c>
      <c r="B1506" t="s">
        <v>9</v>
      </c>
      <c r="C1506">
        <v>2817770</v>
      </c>
      <c r="D1506" t="s">
        <v>10</v>
      </c>
      <c r="E1506" t="s">
        <v>11</v>
      </c>
      <c r="F1506" t="s">
        <v>12</v>
      </c>
      <c r="G1506" t="s">
        <v>13</v>
      </c>
      <c r="H1506" t="s">
        <v>13</v>
      </c>
      <c r="I1506">
        <v>59</v>
      </c>
      <c r="J1506" t="str" cm="1">
        <f t="array" ref="J1506">_xlfn.IFS(ISBLANK(C1506),"FALTANTE",ABS((C1506-$W$5)/$X$5)&gt;1.96,"ATÍPICO",ABS((C1506-$W$5)/$X$5)&lt;=1.96,"NO ATÍPICO")</f>
        <v>ATÍPICO</v>
      </c>
      <c r="K1506" t="str" cm="1">
        <f t="array" ref="K1506">_xlfn.IFS(ISBLANK(I1506),"FALTANTE",ABS((I1506-$W$8)/$X$8)&gt;1.92,"ATÍPICO",ABS((I1506-$W$8)/$X$8)&lt;=1.92,"NO ATÍPICO")</f>
        <v>NO ATÍPICO</v>
      </c>
      <c r="L1506">
        <f t="shared" si="108"/>
        <v>2817770</v>
      </c>
      <c r="M1506" t="str">
        <f t="shared" si="108"/>
        <v>ASALARIADO</v>
      </c>
      <c r="N1506">
        <f t="shared" si="109"/>
        <v>59</v>
      </c>
      <c r="O1506" s="19" t="str">
        <f t="shared" si="110"/>
        <v>1200k+</v>
      </c>
      <c r="P1506" s="19" t="str">
        <f t="shared" si="111"/>
        <v>56+</v>
      </c>
    </row>
    <row r="1507" spans="1:16" x14ac:dyDescent="0.25">
      <c r="A1507">
        <v>1506</v>
      </c>
      <c r="B1507" t="s">
        <v>15</v>
      </c>
      <c r="C1507">
        <v>688069.8</v>
      </c>
      <c r="D1507" t="s">
        <v>10</v>
      </c>
      <c r="E1507" t="s">
        <v>16</v>
      </c>
      <c r="F1507" t="s">
        <v>12</v>
      </c>
      <c r="G1507" t="s">
        <v>12</v>
      </c>
      <c r="H1507" t="s">
        <v>13</v>
      </c>
      <c r="I1507">
        <v>25</v>
      </c>
      <c r="J1507" t="str" cm="1">
        <f t="array" ref="J1507">_xlfn.IFS(ISBLANK(C1507),"FALTANTE",ABS((C1507-$W$5)/$X$5)&gt;1.96,"ATÍPICO",ABS((C1507-$W$5)/$X$5)&lt;=1.96,"NO ATÍPICO")</f>
        <v>NO ATÍPICO</v>
      </c>
      <c r="K1507" t="str" cm="1">
        <f t="array" ref="K1507">_xlfn.IFS(ISBLANK(I1507),"FALTANTE",ABS((I1507-$W$8)/$X$8)&gt;1.92,"ATÍPICO",ABS((I1507-$W$8)/$X$8)&lt;=1.92,"NO ATÍPICO")</f>
        <v>NO ATÍPICO</v>
      </c>
      <c r="L1507">
        <f t="shared" si="108"/>
        <v>688069.8</v>
      </c>
      <c r="M1507" t="str">
        <f t="shared" si="108"/>
        <v>ASALARIADO</v>
      </c>
      <c r="N1507">
        <f t="shared" si="109"/>
        <v>25</v>
      </c>
      <c r="O1507" s="19" t="str">
        <f t="shared" si="110"/>
        <v>600k–900k</v>
      </c>
      <c r="P1507" s="19" t="str">
        <f t="shared" si="111"/>
        <v>18-25</v>
      </c>
    </row>
    <row r="1508" spans="1:16" x14ac:dyDescent="0.25">
      <c r="A1508">
        <v>1507</v>
      </c>
      <c r="B1508" t="s">
        <v>15</v>
      </c>
      <c r="C1508">
        <v>361500</v>
      </c>
      <c r="D1508" t="s">
        <v>10</v>
      </c>
      <c r="E1508" t="s">
        <v>16</v>
      </c>
      <c r="F1508" t="s">
        <v>12</v>
      </c>
      <c r="G1508" t="s">
        <v>13</v>
      </c>
      <c r="H1508" t="s">
        <v>12</v>
      </c>
      <c r="I1508">
        <v>49</v>
      </c>
      <c r="J1508" t="str" cm="1">
        <f t="array" ref="J1508">_xlfn.IFS(ISBLANK(C1508),"FALTANTE",ABS((C1508-$W$5)/$X$5)&gt;1.96,"ATÍPICO",ABS((C1508-$W$5)/$X$5)&lt;=1.96,"NO ATÍPICO")</f>
        <v>NO ATÍPICO</v>
      </c>
      <c r="K1508" t="str" cm="1">
        <f t="array" ref="K1508">_xlfn.IFS(ISBLANK(I1508),"FALTANTE",ABS((I1508-$W$8)/$X$8)&gt;1.92,"ATÍPICO",ABS((I1508-$W$8)/$X$8)&lt;=1.92,"NO ATÍPICO")</f>
        <v>NO ATÍPICO</v>
      </c>
      <c r="L1508">
        <f t="shared" si="108"/>
        <v>361500</v>
      </c>
      <c r="M1508" t="str">
        <f t="shared" si="108"/>
        <v>ASALARIADO</v>
      </c>
      <c r="N1508">
        <f t="shared" si="109"/>
        <v>49</v>
      </c>
      <c r="O1508" s="19" t="str">
        <f t="shared" si="110"/>
        <v>300k–600k</v>
      </c>
      <c r="P1508" s="19" t="str">
        <f t="shared" si="111"/>
        <v>46-55</v>
      </c>
    </row>
    <row r="1509" spans="1:16" x14ac:dyDescent="0.25">
      <c r="A1509">
        <v>1508</v>
      </c>
      <c r="B1509" t="s">
        <v>15</v>
      </c>
      <c r="C1509">
        <v>937245</v>
      </c>
      <c r="D1509" t="s">
        <v>18</v>
      </c>
      <c r="E1509" t="s">
        <v>16</v>
      </c>
      <c r="F1509" t="s">
        <v>12</v>
      </c>
      <c r="G1509" t="s">
        <v>13</v>
      </c>
      <c r="H1509" t="s">
        <v>12</v>
      </c>
      <c r="I1509">
        <v>61</v>
      </c>
      <c r="J1509" t="str" cm="1">
        <f t="array" ref="J1509">_xlfn.IFS(ISBLANK(C1509),"FALTANTE",ABS((C1509-$W$5)/$X$5)&gt;1.96,"ATÍPICO",ABS((C1509-$W$5)/$X$5)&lt;=1.96,"NO ATÍPICO")</f>
        <v>NO ATÍPICO</v>
      </c>
      <c r="K1509" t="str" cm="1">
        <f t="array" ref="K1509">_xlfn.IFS(ISBLANK(I1509),"FALTANTE",ABS((I1509-$W$8)/$X$8)&gt;1.92,"ATÍPICO",ABS((I1509-$W$8)/$X$8)&lt;=1.92,"NO ATÍPICO")</f>
        <v>NO ATÍPICO</v>
      </c>
      <c r="L1509">
        <f t="shared" si="108"/>
        <v>937245</v>
      </c>
      <c r="M1509" t="str">
        <f t="shared" si="108"/>
        <v>TRABAJADOR INDEPENDIENTE</v>
      </c>
      <c r="N1509">
        <f t="shared" si="109"/>
        <v>61</v>
      </c>
      <c r="O1509" s="19" t="str">
        <f t="shared" si="110"/>
        <v>900k–1200k</v>
      </c>
      <c r="P1509" s="19" t="str">
        <f t="shared" si="111"/>
        <v>56+</v>
      </c>
    </row>
    <row r="1510" spans="1:16" x14ac:dyDescent="0.25">
      <c r="A1510">
        <v>1509</v>
      </c>
      <c r="B1510" t="s">
        <v>9</v>
      </c>
      <c r="C1510">
        <v>1858320</v>
      </c>
      <c r="D1510" t="s">
        <v>10</v>
      </c>
      <c r="E1510" t="s">
        <v>16</v>
      </c>
      <c r="F1510" t="s">
        <v>12</v>
      </c>
      <c r="G1510" t="s">
        <v>13</v>
      </c>
      <c r="H1510" t="s">
        <v>13</v>
      </c>
      <c r="I1510">
        <v>36</v>
      </c>
      <c r="J1510" t="str" cm="1">
        <f t="array" ref="J1510">_xlfn.IFS(ISBLANK(C1510),"FALTANTE",ABS((C1510-$W$5)/$X$5)&gt;1.96,"ATÍPICO",ABS((C1510-$W$5)/$X$5)&lt;=1.96,"NO ATÍPICO")</f>
        <v>NO ATÍPICO</v>
      </c>
      <c r="K1510" t="str" cm="1">
        <f t="array" ref="K1510">_xlfn.IFS(ISBLANK(I1510),"FALTANTE",ABS((I1510-$W$8)/$X$8)&gt;1.92,"ATÍPICO",ABS((I1510-$W$8)/$X$8)&lt;=1.92,"NO ATÍPICO")</f>
        <v>NO ATÍPICO</v>
      </c>
      <c r="L1510">
        <f t="shared" si="108"/>
        <v>1858320</v>
      </c>
      <c r="M1510" t="str">
        <f t="shared" si="108"/>
        <v>ASALARIADO</v>
      </c>
      <c r="N1510">
        <f t="shared" si="109"/>
        <v>36</v>
      </c>
      <c r="O1510" s="19" t="str">
        <f t="shared" si="110"/>
        <v>1200k+</v>
      </c>
      <c r="P1510" s="19" t="str">
        <f t="shared" si="111"/>
        <v>36-45</v>
      </c>
    </row>
    <row r="1511" spans="1:16" x14ac:dyDescent="0.25">
      <c r="A1511">
        <v>1510</v>
      </c>
      <c r="B1511" t="s">
        <v>9</v>
      </c>
      <c r="C1511">
        <v>297046</v>
      </c>
      <c r="D1511" t="s">
        <v>18</v>
      </c>
      <c r="E1511" t="s">
        <v>16</v>
      </c>
      <c r="F1511" t="s">
        <v>12</v>
      </c>
      <c r="G1511" t="s">
        <v>12</v>
      </c>
      <c r="H1511" t="s">
        <v>12</v>
      </c>
      <c r="I1511">
        <v>29</v>
      </c>
      <c r="J1511" t="str" cm="1">
        <f t="array" ref="J1511">_xlfn.IFS(ISBLANK(C1511),"FALTANTE",ABS((C1511-$W$5)/$X$5)&gt;1.96,"ATÍPICO",ABS((C1511-$W$5)/$X$5)&lt;=1.96,"NO ATÍPICO")</f>
        <v>NO ATÍPICO</v>
      </c>
      <c r="K1511" t="str" cm="1">
        <f t="array" ref="K1511">_xlfn.IFS(ISBLANK(I1511),"FALTANTE",ABS((I1511-$W$8)/$X$8)&gt;1.92,"ATÍPICO",ABS((I1511-$W$8)/$X$8)&lt;=1.92,"NO ATÍPICO")</f>
        <v>NO ATÍPICO</v>
      </c>
      <c r="L1511">
        <f t="shared" si="108"/>
        <v>297046</v>
      </c>
      <c r="M1511" t="str">
        <f t="shared" si="108"/>
        <v>TRABAJADOR INDEPENDIENTE</v>
      </c>
      <c r="N1511">
        <f t="shared" si="109"/>
        <v>29</v>
      </c>
      <c r="O1511" s="19" t="str">
        <f t="shared" si="110"/>
        <v>0–300k</v>
      </c>
      <c r="P1511" s="19" t="str">
        <f t="shared" si="111"/>
        <v>26-35</v>
      </c>
    </row>
    <row r="1512" spans="1:16" x14ac:dyDescent="0.25">
      <c r="A1512">
        <v>1511</v>
      </c>
      <c r="B1512" t="s">
        <v>9</v>
      </c>
      <c r="C1512">
        <v>546457.48</v>
      </c>
      <c r="D1512" t="s">
        <v>10</v>
      </c>
      <c r="E1512" t="s">
        <v>16</v>
      </c>
      <c r="F1512" t="s">
        <v>12</v>
      </c>
      <c r="G1512" t="s">
        <v>13</v>
      </c>
      <c r="H1512" t="s">
        <v>13</v>
      </c>
      <c r="I1512">
        <v>33</v>
      </c>
      <c r="J1512" t="str" cm="1">
        <f t="array" ref="J1512">_xlfn.IFS(ISBLANK(C1512),"FALTANTE",ABS((C1512-$W$5)/$X$5)&gt;1.96,"ATÍPICO",ABS((C1512-$W$5)/$X$5)&lt;=1.96,"NO ATÍPICO")</f>
        <v>NO ATÍPICO</v>
      </c>
      <c r="K1512" t="str" cm="1">
        <f t="array" ref="K1512">_xlfn.IFS(ISBLANK(I1512),"FALTANTE",ABS((I1512-$W$8)/$X$8)&gt;1.92,"ATÍPICO",ABS((I1512-$W$8)/$X$8)&lt;=1.92,"NO ATÍPICO")</f>
        <v>NO ATÍPICO</v>
      </c>
      <c r="L1512">
        <f t="shared" si="108"/>
        <v>546457.48</v>
      </c>
      <c r="M1512" t="str">
        <f t="shared" si="108"/>
        <v>ASALARIADO</v>
      </c>
      <c r="N1512">
        <f t="shared" si="109"/>
        <v>33</v>
      </c>
      <c r="O1512" s="19" t="str">
        <f t="shared" si="110"/>
        <v>300k–600k</v>
      </c>
      <c r="P1512" s="19" t="str">
        <f t="shared" si="111"/>
        <v>26-35</v>
      </c>
    </row>
    <row r="1513" spans="1:16" x14ac:dyDescent="0.25">
      <c r="A1513">
        <v>1512</v>
      </c>
      <c r="B1513" t="s">
        <v>9</v>
      </c>
      <c r="C1513">
        <v>297044</v>
      </c>
      <c r="D1513" t="s">
        <v>19</v>
      </c>
      <c r="E1513" t="s">
        <v>16</v>
      </c>
      <c r="F1513" t="s">
        <v>12</v>
      </c>
      <c r="G1513" t="s">
        <v>13</v>
      </c>
      <c r="H1513" t="s">
        <v>13</v>
      </c>
      <c r="I1513">
        <v>61</v>
      </c>
      <c r="J1513" t="str" cm="1">
        <f t="array" ref="J1513">_xlfn.IFS(ISBLANK(C1513),"FALTANTE",ABS((C1513-$W$5)/$X$5)&gt;1.96,"ATÍPICO",ABS((C1513-$W$5)/$X$5)&lt;=1.96,"NO ATÍPICO")</f>
        <v>NO ATÍPICO</v>
      </c>
      <c r="K1513" t="str" cm="1">
        <f t="array" ref="K1513">_xlfn.IFS(ISBLANK(I1513),"FALTANTE",ABS((I1513-$W$8)/$X$8)&gt;1.92,"ATÍPICO",ABS((I1513-$W$8)/$X$8)&lt;=1.92,"NO ATÍPICO")</f>
        <v>NO ATÍPICO</v>
      </c>
      <c r="L1513">
        <f t="shared" si="108"/>
        <v>297044</v>
      </c>
      <c r="M1513" t="str">
        <f t="shared" si="108"/>
        <v>CONVENIOS ESPECIALES DE TRABAJADORES INDEPENDIENTES</v>
      </c>
      <c r="N1513">
        <f t="shared" si="109"/>
        <v>61</v>
      </c>
      <c r="O1513" s="19" t="str">
        <f t="shared" si="110"/>
        <v>0–300k</v>
      </c>
      <c r="P1513" s="19" t="str">
        <f t="shared" si="111"/>
        <v>56+</v>
      </c>
    </row>
    <row r="1514" spans="1:16" x14ac:dyDescent="0.25">
      <c r="A1514">
        <v>1513</v>
      </c>
      <c r="B1514" t="s">
        <v>15</v>
      </c>
      <c r="C1514">
        <v>120000</v>
      </c>
      <c r="D1514" t="s">
        <v>10</v>
      </c>
      <c r="E1514" t="s">
        <v>16</v>
      </c>
      <c r="F1514" t="s">
        <v>12</v>
      </c>
      <c r="G1514" t="s">
        <v>13</v>
      </c>
      <c r="H1514" t="s">
        <v>13</v>
      </c>
      <c r="I1514">
        <v>42</v>
      </c>
      <c r="J1514" t="str" cm="1">
        <f t="array" ref="J1514">_xlfn.IFS(ISBLANK(C1514),"FALTANTE",ABS((C1514-$W$5)/$X$5)&gt;1.96,"ATÍPICO",ABS((C1514-$W$5)/$X$5)&lt;=1.96,"NO ATÍPICO")</f>
        <v>NO ATÍPICO</v>
      </c>
      <c r="K1514" t="str" cm="1">
        <f t="array" ref="K1514">_xlfn.IFS(ISBLANK(I1514),"FALTANTE",ABS((I1514-$W$8)/$X$8)&gt;1.92,"ATÍPICO",ABS((I1514-$W$8)/$X$8)&lt;=1.92,"NO ATÍPICO")</f>
        <v>NO ATÍPICO</v>
      </c>
      <c r="L1514">
        <f t="shared" si="108"/>
        <v>120000</v>
      </c>
      <c r="M1514" t="str">
        <f t="shared" si="108"/>
        <v>ASALARIADO</v>
      </c>
      <c r="N1514">
        <f t="shared" si="109"/>
        <v>42</v>
      </c>
      <c r="O1514" s="19" t="str">
        <f t="shared" si="110"/>
        <v>0–300k</v>
      </c>
      <c r="P1514" s="19" t="str">
        <f t="shared" si="111"/>
        <v>36-45</v>
      </c>
    </row>
    <row r="1515" spans="1:16" x14ac:dyDescent="0.25">
      <c r="A1515">
        <v>1514</v>
      </c>
      <c r="B1515" t="s">
        <v>15</v>
      </c>
      <c r="C1515">
        <v>1296001.6000000001</v>
      </c>
      <c r="D1515" t="s">
        <v>10</v>
      </c>
      <c r="E1515" t="s">
        <v>11</v>
      </c>
      <c r="F1515" t="s">
        <v>12</v>
      </c>
      <c r="G1515" t="s">
        <v>13</v>
      </c>
      <c r="H1515" t="s">
        <v>13</v>
      </c>
      <c r="I1515">
        <v>47</v>
      </c>
      <c r="J1515" t="str" cm="1">
        <f t="array" ref="J1515">_xlfn.IFS(ISBLANK(C1515),"FALTANTE",ABS((C1515-$W$5)/$X$5)&gt;1.96,"ATÍPICO",ABS((C1515-$W$5)/$X$5)&lt;=1.96,"NO ATÍPICO")</f>
        <v>NO ATÍPICO</v>
      </c>
      <c r="K1515" t="str" cm="1">
        <f t="array" ref="K1515">_xlfn.IFS(ISBLANK(I1515),"FALTANTE",ABS((I1515-$W$8)/$X$8)&gt;1.92,"ATÍPICO",ABS((I1515-$W$8)/$X$8)&lt;=1.92,"NO ATÍPICO")</f>
        <v>NO ATÍPICO</v>
      </c>
      <c r="L1515">
        <f t="shared" si="108"/>
        <v>1296001.6000000001</v>
      </c>
      <c r="M1515" t="str">
        <f t="shared" si="108"/>
        <v>ASALARIADO</v>
      </c>
      <c r="N1515">
        <f t="shared" si="109"/>
        <v>47</v>
      </c>
      <c r="O1515" s="19" t="str">
        <f t="shared" si="110"/>
        <v>1200k+</v>
      </c>
      <c r="P1515" s="19" t="str">
        <f t="shared" si="111"/>
        <v>46-55</v>
      </c>
    </row>
    <row r="1516" spans="1:16" x14ac:dyDescent="0.25">
      <c r="A1516">
        <v>1515</v>
      </c>
      <c r="B1516" t="s">
        <v>9</v>
      </c>
      <c r="C1516">
        <v>1346350</v>
      </c>
      <c r="D1516" t="s">
        <v>10</v>
      </c>
      <c r="E1516" t="s">
        <v>16</v>
      </c>
      <c r="F1516" t="s">
        <v>12</v>
      </c>
      <c r="G1516" t="s">
        <v>13</v>
      </c>
      <c r="H1516" t="s">
        <v>13</v>
      </c>
      <c r="I1516">
        <v>47</v>
      </c>
      <c r="J1516" t="str" cm="1">
        <f t="array" ref="J1516">_xlfn.IFS(ISBLANK(C1516),"FALTANTE",ABS((C1516-$W$5)/$X$5)&gt;1.96,"ATÍPICO",ABS((C1516-$W$5)/$X$5)&lt;=1.96,"NO ATÍPICO")</f>
        <v>NO ATÍPICO</v>
      </c>
      <c r="K1516" t="str" cm="1">
        <f t="array" ref="K1516">_xlfn.IFS(ISBLANK(I1516),"FALTANTE",ABS((I1516-$W$8)/$X$8)&gt;1.92,"ATÍPICO",ABS((I1516-$W$8)/$X$8)&lt;=1.92,"NO ATÍPICO")</f>
        <v>NO ATÍPICO</v>
      </c>
      <c r="L1516">
        <f t="shared" si="108"/>
        <v>1346350</v>
      </c>
      <c r="M1516" t="str">
        <f t="shared" si="108"/>
        <v>ASALARIADO</v>
      </c>
      <c r="N1516">
        <f t="shared" si="109"/>
        <v>47</v>
      </c>
      <c r="O1516" s="19" t="str">
        <f t="shared" si="110"/>
        <v>1200k+</v>
      </c>
      <c r="P1516" s="19" t="str">
        <f t="shared" si="111"/>
        <v>46-55</v>
      </c>
    </row>
    <row r="1517" spans="1:16" x14ac:dyDescent="0.25">
      <c r="A1517">
        <v>1516</v>
      </c>
      <c r="B1517" t="s">
        <v>15</v>
      </c>
      <c r="C1517">
        <v>1089100</v>
      </c>
      <c r="D1517" t="s">
        <v>10</v>
      </c>
      <c r="E1517" t="s">
        <v>16</v>
      </c>
      <c r="F1517" t="s">
        <v>12</v>
      </c>
      <c r="G1517" t="s">
        <v>13</v>
      </c>
      <c r="H1517" t="s">
        <v>13</v>
      </c>
      <c r="I1517">
        <v>35</v>
      </c>
      <c r="J1517" t="str" cm="1">
        <f t="array" ref="J1517">_xlfn.IFS(ISBLANK(C1517),"FALTANTE",ABS((C1517-$W$5)/$X$5)&gt;1.96,"ATÍPICO",ABS((C1517-$W$5)/$X$5)&lt;=1.96,"NO ATÍPICO")</f>
        <v>NO ATÍPICO</v>
      </c>
      <c r="K1517" t="str" cm="1">
        <f t="array" ref="K1517">_xlfn.IFS(ISBLANK(I1517),"FALTANTE",ABS((I1517-$W$8)/$X$8)&gt;1.92,"ATÍPICO",ABS((I1517-$W$8)/$X$8)&lt;=1.92,"NO ATÍPICO")</f>
        <v>NO ATÍPICO</v>
      </c>
      <c r="L1517">
        <f t="shared" si="108"/>
        <v>1089100</v>
      </c>
      <c r="M1517" t="str">
        <f t="shared" si="108"/>
        <v>ASALARIADO</v>
      </c>
      <c r="N1517">
        <f t="shared" si="109"/>
        <v>35</v>
      </c>
      <c r="O1517" s="19" t="str">
        <f t="shared" si="110"/>
        <v>900k–1200k</v>
      </c>
      <c r="P1517" s="19" t="str">
        <f t="shared" si="111"/>
        <v>26-35</v>
      </c>
    </row>
    <row r="1518" spans="1:16" x14ac:dyDescent="0.25">
      <c r="A1518">
        <v>1517</v>
      </c>
      <c r="B1518" t="s">
        <v>9</v>
      </c>
      <c r="C1518">
        <v>766610</v>
      </c>
      <c r="D1518" t="s">
        <v>10</v>
      </c>
      <c r="E1518" t="s">
        <v>11</v>
      </c>
      <c r="F1518" t="s">
        <v>12</v>
      </c>
      <c r="G1518" t="s">
        <v>13</v>
      </c>
      <c r="H1518" t="s">
        <v>13</v>
      </c>
      <c r="I1518">
        <v>53</v>
      </c>
      <c r="J1518" t="str" cm="1">
        <f t="array" ref="J1518">_xlfn.IFS(ISBLANK(C1518),"FALTANTE",ABS((C1518-$W$5)/$X$5)&gt;1.96,"ATÍPICO",ABS((C1518-$W$5)/$X$5)&lt;=1.96,"NO ATÍPICO")</f>
        <v>NO ATÍPICO</v>
      </c>
      <c r="K1518" t="str" cm="1">
        <f t="array" ref="K1518">_xlfn.IFS(ISBLANK(I1518),"FALTANTE",ABS((I1518-$W$8)/$X$8)&gt;1.92,"ATÍPICO",ABS((I1518-$W$8)/$X$8)&lt;=1.92,"NO ATÍPICO")</f>
        <v>NO ATÍPICO</v>
      </c>
      <c r="L1518">
        <f t="shared" si="108"/>
        <v>766610</v>
      </c>
      <c r="M1518" t="str">
        <f t="shared" si="108"/>
        <v>ASALARIADO</v>
      </c>
      <c r="N1518">
        <f t="shared" si="109"/>
        <v>53</v>
      </c>
      <c r="O1518" s="19" t="str">
        <f t="shared" si="110"/>
        <v>600k–900k</v>
      </c>
      <c r="P1518" s="19" t="str">
        <f t="shared" si="111"/>
        <v>46-55</v>
      </c>
    </row>
    <row r="1519" spans="1:16" x14ac:dyDescent="0.25">
      <c r="A1519">
        <v>1518</v>
      </c>
      <c r="B1519" t="s">
        <v>15</v>
      </c>
      <c r="C1519">
        <v>727896.34</v>
      </c>
      <c r="D1519" t="s">
        <v>10</v>
      </c>
      <c r="E1519" t="s">
        <v>11</v>
      </c>
      <c r="F1519" t="s">
        <v>12</v>
      </c>
      <c r="G1519" t="s">
        <v>13</v>
      </c>
      <c r="H1519" t="s">
        <v>13</v>
      </c>
      <c r="I1519">
        <v>34</v>
      </c>
      <c r="J1519" t="str" cm="1">
        <f t="array" ref="J1519">_xlfn.IFS(ISBLANK(C1519),"FALTANTE",ABS((C1519-$W$5)/$X$5)&gt;1.96,"ATÍPICO",ABS((C1519-$W$5)/$X$5)&lt;=1.96,"NO ATÍPICO")</f>
        <v>NO ATÍPICO</v>
      </c>
      <c r="K1519" t="str" cm="1">
        <f t="array" ref="K1519">_xlfn.IFS(ISBLANK(I1519),"FALTANTE",ABS((I1519-$W$8)/$X$8)&gt;1.92,"ATÍPICO",ABS((I1519-$W$8)/$X$8)&lt;=1.92,"NO ATÍPICO")</f>
        <v>NO ATÍPICO</v>
      </c>
      <c r="L1519">
        <f t="shared" si="108"/>
        <v>727896.34</v>
      </c>
      <c r="M1519" t="str">
        <f t="shared" si="108"/>
        <v>ASALARIADO</v>
      </c>
      <c r="N1519">
        <f t="shared" si="109"/>
        <v>34</v>
      </c>
      <c r="O1519" s="19" t="str">
        <f t="shared" si="110"/>
        <v>600k–900k</v>
      </c>
      <c r="P1519" s="19" t="str">
        <f t="shared" si="111"/>
        <v>26-35</v>
      </c>
    </row>
    <row r="1520" spans="1:16" x14ac:dyDescent="0.25">
      <c r="A1520">
        <v>1519</v>
      </c>
      <c r="B1520" t="s">
        <v>9</v>
      </c>
      <c r="C1520">
        <v>2577656.4700000002</v>
      </c>
      <c r="D1520" t="s">
        <v>10</v>
      </c>
      <c r="E1520" t="s">
        <v>11</v>
      </c>
      <c r="F1520" t="s">
        <v>12</v>
      </c>
      <c r="G1520" t="s">
        <v>13</v>
      </c>
      <c r="H1520" t="s">
        <v>13</v>
      </c>
      <c r="I1520">
        <v>37</v>
      </c>
      <c r="J1520" t="str" cm="1">
        <f t="array" ref="J1520">_xlfn.IFS(ISBLANK(C1520),"FALTANTE",ABS((C1520-$W$5)/$X$5)&gt;1.96,"ATÍPICO",ABS((C1520-$W$5)/$X$5)&lt;=1.96,"NO ATÍPICO")</f>
        <v>ATÍPICO</v>
      </c>
      <c r="K1520" t="str" cm="1">
        <f t="array" ref="K1520">_xlfn.IFS(ISBLANK(I1520),"FALTANTE",ABS((I1520-$W$8)/$X$8)&gt;1.92,"ATÍPICO",ABS((I1520-$W$8)/$X$8)&lt;=1.92,"NO ATÍPICO")</f>
        <v>NO ATÍPICO</v>
      </c>
      <c r="L1520">
        <f t="shared" si="108"/>
        <v>2577656.4700000002</v>
      </c>
      <c r="M1520" t="str">
        <f t="shared" si="108"/>
        <v>ASALARIADO</v>
      </c>
      <c r="N1520">
        <f t="shared" si="109"/>
        <v>37</v>
      </c>
      <c r="O1520" s="19" t="str">
        <f t="shared" si="110"/>
        <v>1200k+</v>
      </c>
      <c r="P1520" s="19" t="str">
        <f t="shared" si="111"/>
        <v>36-45</v>
      </c>
    </row>
    <row r="1521" spans="1:16" x14ac:dyDescent="0.25">
      <c r="A1521">
        <v>1520</v>
      </c>
      <c r="B1521" t="s">
        <v>15</v>
      </c>
      <c r="C1521">
        <v>2694159.76</v>
      </c>
      <c r="D1521" t="s">
        <v>10</v>
      </c>
      <c r="E1521" t="s">
        <v>16</v>
      </c>
      <c r="F1521" t="s">
        <v>12</v>
      </c>
      <c r="G1521" t="s">
        <v>13</v>
      </c>
      <c r="H1521" t="s">
        <v>13</v>
      </c>
      <c r="I1521">
        <v>28</v>
      </c>
      <c r="J1521" t="str" cm="1">
        <f t="array" ref="J1521">_xlfn.IFS(ISBLANK(C1521),"FALTANTE",ABS((C1521-$W$5)/$X$5)&gt;1.96,"ATÍPICO",ABS((C1521-$W$5)/$X$5)&lt;=1.96,"NO ATÍPICO")</f>
        <v>ATÍPICO</v>
      </c>
      <c r="K1521" t="str" cm="1">
        <f t="array" ref="K1521">_xlfn.IFS(ISBLANK(I1521),"FALTANTE",ABS((I1521-$W$8)/$X$8)&gt;1.92,"ATÍPICO",ABS((I1521-$W$8)/$X$8)&lt;=1.92,"NO ATÍPICO")</f>
        <v>NO ATÍPICO</v>
      </c>
      <c r="L1521">
        <f t="shared" si="108"/>
        <v>2694159.76</v>
      </c>
      <c r="M1521" t="str">
        <f t="shared" si="108"/>
        <v>ASALARIADO</v>
      </c>
      <c r="N1521">
        <f t="shared" si="109"/>
        <v>28</v>
      </c>
      <c r="O1521" s="19" t="str">
        <f t="shared" si="110"/>
        <v>1200k+</v>
      </c>
      <c r="P1521" s="19" t="str">
        <f t="shared" si="111"/>
        <v>26-35</v>
      </c>
    </row>
    <row r="1522" spans="1:16" x14ac:dyDescent="0.25">
      <c r="A1522">
        <v>1521</v>
      </c>
      <c r="B1522" t="s">
        <v>15</v>
      </c>
      <c r="C1522">
        <v>36204.74</v>
      </c>
      <c r="D1522" t="s">
        <v>10</v>
      </c>
      <c r="E1522" t="s">
        <v>11</v>
      </c>
      <c r="F1522" t="s">
        <v>12</v>
      </c>
      <c r="G1522" t="s">
        <v>13</v>
      </c>
      <c r="H1522" t="s">
        <v>13</v>
      </c>
      <c r="I1522">
        <v>32</v>
      </c>
      <c r="J1522" t="str" cm="1">
        <f t="array" ref="J1522">_xlfn.IFS(ISBLANK(C1522),"FALTANTE",ABS((C1522-$W$5)/$X$5)&gt;1.96,"ATÍPICO",ABS((C1522-$W$5)/$X$5)&lt;=1.96,"NO ATÍPICO")</f>
        <v>NO ATÍPICO</v>
      </c>
      <c r="K1522" t="str" cm="1">
        <f t="array" ref="K1522">_xlfn.IFS(ISBLANK(I1522),"FALTANTE",ABS((I1522-$W$8)/$X$8)&gt;1.92,"ATÍPICO",ABS((I1522-$W$8)/$X$8)&lt;=1.92,"NO ATÍPICO")</f>
        <v>NO ATÍPICO</v>
      </c>
      <c r="L1522">
        <f t="shared" si="108"/>
        <v>36204.74</v>
      </c>
      <c r="M1522" t="str">
        <f t="shared" si="108"/>
        <v>ASALARIADO</v>
      </c>
      <c r="N1522">
        <f t="shared" si="109"/>
        <v>32</v>
      </c>
      <c r="O1522" s="19" t="str">
        <f t="shared" si="110"/>
        <v>0–300k</v>
      </c>
      <c r="P1522" s="19" t="str">
        <f t="shared" si="111"/>
        <v>26-35</v>
      </c>
    </row>
    <row r="1523" spans="1:16" x14ac:dyDescent="0.25">
      <c r="A1523">
        <v>1522</v>
      </c>
      <c r="B1523" t="s">
        <v>15</v>
      </c>
      <c r="C1523">
        <v>300018</v>
      </c>
      <c r="D1523" t="s">
        <v>18</v>
      </c>
      <c r="E1523" t="s">
        <v>16</v>
      </c>
      <c r="F1523" t="s">
        <v>12</v>
      </c>
      <c r="G1523" t="s">
        <v>13</v>
      </c>
      <c r="H1523" t="s">
        <v>13</v>
      </c>
      <c r="I1523">
        <v>47</v>
      </c>
      <c r="J1523" t="str" cm="1">
        <f t="array" ref="J1523">_xlfn.IFS(ISBLANK(C1523),"FALTANTE",ABS((C1523-$W$5)/$X$5)&gt;1.96,"ATÍPICO",ABS((C1523-$W$5)/$X$5)&lt;=1.96,"NO ATÍPICO")</f>
        <v>NO ATÍPICO</v>
      </c>
      <c r="K1523" t="str" cm="1">
        <f t="array" ref="K1523">_xlfn.IFS(ISBLANK(I1523),"FALTANTE",ABS((I1523-$W$8)/$X$8)&gt;1.92,"ATÍPICO",ABS((I1523-$W$8)/$X$8)&lt;=1.92,"NO ATÍPICO")</f>
        <v>NO ATÍPICO</v>
      </c>
      <c r="L1523">
        <f t="shared" si="108"/>
        <v>300018</v>
      </c>
      <c r="M1523" t="str">
        <f t="shared" si="108"/>
        <v>TRABAJADOR INDEPENDIENTE</v>
      </c>
      <c r="N1523">
        <f t="shared" si="109"/>
        <v>47</v>
      </c>
      <c r="O1523" s="19" t="str">
        <f t="shared" si="110"/>
        <v>300k–600k</v>
      </c>
      <c r="P1523" s="19" t="str">
        <f t="shared" si="111"/>
        <v>46-55</v>
      </c>
    </row>
    <row r="1524" spans="1:16" x14ac:dyDescent="0.25">
      <c r="A1524">
        <v>1523</v>
      </c>
      <c r="B1524" t="s">
        <v>15</v>
      </c>
      <c r="C1524">
        <v>382325</v>
      </c>
      <c r="D1524" t="s">
        <v>10</v>
      </c>
      <c r="E1524" t="s">
        <v>16</v>
      </c>
      <c r="F1524" t="s">
        <v>12</v>
      </c>
      <c r="G1524" t="s">
        <v>12</v>
      </c>
      <c r="H1524" t="s">
        <v>13</v>
      </c>
      <c r="I1524">
        <v>33</v>
      </c>
      <c r="J1524" t="str" cm="1">
        <f t="array" ref="J1524">_xlfn.IFS(ISBLANK(C1524),"FALTANTE",ABS((C1524-$W$5)/$X$5)&gt;1.96,"ATÍPICO",ABS((C1524-$W$5)/$X$5)&lt;=1.96,"NO ATÍPICO")</f>
        <v>NO ATÍPICO</v>
      </c>
      <c r="K1524" t="str" cm="1">
        <f t="array" ref="K1524">_xlfn.IFS(ISBLANK(I1524),"FALTANTE",ABS((I1524-$W$8)/$X$8)&gt;1.92,"ATÍPICO",ABS((I1524-$W$8)/$X$8)&lt;=1.92,"NO ATÍPICO")</f>
        <v>NO ATÍPICO</v>
      </c>
      <c r="L1524">
        <f t="shared" si="108"/>
        <v>382325</v>
      </c>
      <c r="M1524" t="str">
        <f t="shared" si="108"/>
        <v>ASALARIADO</v>
      </c>
      <c r="N1524">
        <f t="shared" si="109"/>
        <v>33</v>
      </c>
      <c r="O1524" s="19" t="str">
        <f t="shared" si="110"/>
        <v>300k–600k</v>
      </c>
      <c r="P1524" s="19" t="str">
        <f t="shared" si="111"/>
        <v>26-35</v>
      </c>
    </row>
    <row r="1525" spans="1:16" x14ac:dyDescent="0.25">
      <c r="A1525">
        <v>1524</v>
      </c>
      <c r="B1525" t="s">
        <v>15</v>
      </c>
      <c r="C1525">
        <v>326749</v>
      </c>
      <c r="D1525" t="s">
        <v>18</v>
      </c>
      <c r="E1525" t="s">
        <v>16</v>
      </c>
      <c r="F1525" t="s">
        <v>12</v>
      </c>
      <c r="G1525" t="s">
        <v>13</v>
      </c>
      <c r="H1525" t="s">
        <v>13</v>
      </c>
      <c r="I1525">
        <v>56</v>
      </c>
      <c r="J1525" t="str" cm="1">
        <f t="array" ref="J1525">_xlfn.IFS(ISBLANK(C1525),"FALTANTE",ABS((C1525-$W$5)/$X$5)&gt;1.96,"ATÍPICO",ABS((C1525-$W$5)/$X$5)&lt;=1.96,"NO ATÍPICO")</f>
        <v>NO ATÍPICO</v>
      </c>
      <c r="K1525" t="str" cm="1">
        <f t="array" ref="K1525">_xlfn.IFS(ISBLANK(I1525),"FALTANTE",ABS((I1525-$W$8)/$X$8)&gt;1.92,"ATÍPICO",ABS((I1525-$W$8)/$X$8)&lt;=1.92,"NO ATÍPICO")</f>
        <v>NO ATÍPICO</v>
      </c>
      <c r="L1525">
        <f t="shared" si="108"/>
        <v>326749</v>
      </c>
      <c r="M1525" t="str">
        <f t="shared" si="108"/>
        <v>TRABAJADOR INDEPENDIENTE</v>
      </c>
      <c r="N1525">
        <f t="shared" si="109"/>
        <v>56</v>
      </c>
      <c r="O1525" s="19" t="str">
        <f t="shared" si="110"/>
        <v>300k–600k</v>
      </c>
      <c r="P1525" s="19" t="str">
        <f t="shared" si="111"/>
        <v>56+</v>
      </c>
    </row>
    <row r="1526" spans="1:16" x14ac:dyDescent="0.25">
      <c r="A1526">
        <v>1525</v>
      </c>
      <c r="B1526" t="s">
        <v>9</v>
      </c>
      <c r="C1526">
        <v>611036.43999999994</v>
      </c>
      <c r="D1526" t="s">
        <v>14</v>
      </c>
      <c r="E1526" t="s">
        <v>11</v>
      </c>
      <c r="F1526" t="s">
        <v>12</v>
      </c>
      <c r="G1526" t="s">
        <v>13</v>
      </c>
      <c r="H1526" t="s">
        <v>13</v>
      </c>
      <c r="I1526">
        <v>93</v>
      </c>
      <c r="J1526" t="str" cm="1">
        <f t="array" ref="J1526">_xlfn.IFS(ISBLANK(C1526),"FALTANTE",ABS((C1526-$W$5)/$X$5)&gt;1.96,"ATÍPICO",ABS((C1526-$W$5)/$X$5)&lt;=1.96,"NO ATÍPICO")</f>
        <v>NO ATÍPICO</v>
      </c>
      <c r="K1526" t="str" cm="1">
        <f t="array" ref="K1526">_xlfn.IFS(ISBLANK(I1526),"FALTANTE",ABS((I1526-$W$8)/$X$8)&gt;1.92,"ATÍPICO",ABS((I1526-$W$8)/$X$8)&lt;=1.92,"NO ATÍPICO")</f>
        <v>ATÍPICO</v>
      </c>
      <c r="L1526">
        <f t="shared" si="108"/>
        <v>611036.43999999994</v>
      </c>
      <c r="M1526" t="str">
        <f t="shared" si="108"/>
        <v>PENSIONADOS EN SU PROPIO SISTEMA</v>
      </c>
      <c r="N1526">
        <f t="shared" si="109"/>
        <v>93</v>
      </c>
      <c r="O1526" s="19" t="str">
        <f t="shared" si="110"/>
        <v>600k–900k</v>
      </c>
      <c r="P1526" s="19" t="str">
        <f t="shared" si="111"/>
        <v>56+</v>
      </c>
    </row>
    <row r="1527" spans="1:16" x14ac:dyDescent="0.25">
      <c r="A1527">
        <v>1526</v>
      </c>
      <c r="B1527" t="s">
        <v>15</v>
      </c>
      <c r="C1527">
        <v>278031</v>
      </c>
      <c r="D1527" t="s">
        <v>17</v>
      </c>
      <c r="E1527" t="s">
        <v>16</v>
      </c>
      <c r="F1527" t="s">
        <v>12</v>
      </c>
      <c r="G1527" t="s">
        <v>13</v>
      </c>
      <c r="H1527" t="s">
        <v>12</v>
      </c>
      <c r="I1527">
        <v>43</v>
      </c>
      <c r="J1527" t="str" cm="1">
        <f t="array" ref="J1527">_xlfn.IFS(ISBLANK(C1527),"FALTANTE",ABS((C1527-$W$5)/$X$5)&gt;1.96,"ATÍPICO",ABS((C1527-$W$5)/$X$5)&lt;=1.96,"NO ATÍPICO")</f>
        <v>NO ATÍPICO</v>
      </c>
      <c r="K1527" t="str" cm="1">
        <f t="array" ref="K1527">_xlfn.IFS(ISBLANK(I1527),"FALTANTE",ABS((I1527-$W$8)/$X$8)&gt;1.92,"ATÍPICO",ABS((I1527-$W$8)/$X$8)&lt;=1.92,"NO ATÍPICO")</f>
        <v>NO ATÍPICO</v>
      </c>
      <c r="L1527">
        <f t="shared" si="108"/>
        <v>278031</v>
      </c>
      <c r="M1527" t="str">
        <f t="shared" si="108"/>
        <v>ASEGURADO VOLUNTARIO</v>
      </c>
      <c r="N1527">
        <f t="shared" si="109"/>
        <v>43</v>
      </c>
      <c r="O1527" s="19" t="str">
        <f t="shared" si="110"/>
        <v>0–300k</v>
      </c>
      <c r="P1527" s="19" t="str">
        <f t="shared" si="111"/>
        <v>36-45</v>
      </c>
    </row>
    <row r="1528" spans="1:16" x14ac:dyDescent="0.25">
      <c r="A1528">
        <v>1527</v>
      </c>
      <c r="B1528" t="s">
        <v>9</v>
      </c>
      <c r="C1528">
        <v>275191.65000000002</v>
      </c>
      <c r="D1528" t="s">
        <v>10</v>
      </c>
      <c r="E1528" t="s">
        <v>16</v>
      </c>
      <c r="F1528" t="s">
        <v>12</v>
      </c>
      <c r="G1528" t="s">
        <v>13</v>
      </c>
      <c r="H1528" t="s">
        <v>13</v>
      </c>
      <c r="I1528">
        <v>22</v>
      </c>
      <c r="J1528" t="str" cm="1">
        <f t="array" ref="J1528">_xlfn.IFS(ISBLANK(C1528),"FALTANTE",ABS((C1528-$W$5)/$X$5)&gt;1.96,"ATÍPICO",ABS((C1528-$W$5)/$X$5)&lt;=1.96,"NO ATÍPICO")</f>
        <v>NO ATÍPICO</v>
      </c>
      <c r="K1528" t="str" cm="1">
        <f t="array" ref="K1528">_xlfn.IFS(ISBLANK(I1528),"FALTANTE",ABS((I1528-$W$8)/$X$8)&gt;1.92,"ATÍPICO",ABS((I1528-$W$8)/$X$8)&lt;=1.92,"NO ATÍPICO")</f>
        <v>NO ATÍPICO</v>
      </c>
      <c r="L1528">
        <f t="shared" si="108"/>
        <v>275191.65000000002</v>
      </c>
      <c r="M1528" t="str">
        <f t="shared" si="108"/>
        <v>ASALARIADO</v>
      </c>
      <c r="N1528">
        <f t="shared" si="109"/>
        <v>22</v>
      </c>
      <c r="O1528" s="19" t="str">
        <f t="shared" si="110"/>
        <v>0–300k</v>
      </c>
      <c r="P1528" s="19" t="str">
        <f t="shared" si="111"/>
        <v>18-25</v>
      </c>
    </row>
    <row r="1529" spans="1:16" x14ac:dyDescent="0.25">
      <c r="A1529">
        <v>1528</v>
      </c>
      <c r="B1529" t="s">
        <v>9</v>
      </c>
      <c r="C1529">
        <v>273980</v>
      </c>
      <c r="D1529" t="s">
        <v>10</v>
      </c>
      <c r="E1529" t="s">
        <v>16</v>
      </c>
      <c r="F1529" t="s">
        <v>12</v>
      </c>
      <c r="G1529" t="s">
        <v>13</v>
      </c>
      <c r="H1529" t="s">
        <v>13</v>
      </c>
      <c r="I1529">
        <v>23</v>
      </c>
      <c r="J1529" t="str" cm="1">
        <f t="array" ref="J1529">_xlfn.IFS(ISBLANK(C1529),"FALTANTE",ABS((C1529-$W$5)/$X$5)&gt;1.96,"ATÍPICO",ABS((C1529-$W$5)/$X$5)&lt;=1.96,"NO ATÍPICO")</f>
        <v>NO ATÍPICO</v>
      </c>
      <c r="K1529" t="str" cm="1">
        <f t="array" ref="K1529">_xlfn.IFS(ISBLANK(I1529),"FALTANTE",ABS((I1529-$W$8)/$X$8)&gt;1.92,"ATÍPICO",ABS((I1529-$W$8)/$X$8)&lt;=1.92,"NO ATÍPICO")</f>
        <v>NO ATÍPICO</v>
      </c>
      <c r="L1529">
        <f t="shared" si="108"/>
        <v>273980</v>
      </c>
      <c r="M1529" t="str">
        <f t="shared" si="108"/>
        <v>ASALARIADO</v>
      </c>
      <c r="N1529">
        <f t="shared" si="109"/>
        <v>23</v>
      </c>
      <c r="O1529" s="19" t="str">
        <f t="shared" si="110"/>
        <v>0–300k</v>
      </c>
      <c r="P1529" s="19" t="str">
        <f t="shared" si="111"/>
        <v>18-25</v>
      </c>
    </row>
    <row r="1530" spans="1:16" x14ac:dyDescent="0.25">
      <c r="A1530">
        <v>1529</v>
      </c>
      <c r="B1530" t="s">
        <v>15</v>
      </c>
      <c r="C1530">
        <v>1664567.5</v>
      </c>
      <c r="D1530" t="s">
        <v>10</v>
      </c>
      <c r="E1530" t="s">
        <v>11</v>
      </c>
      <c r="F1530" t="s">
        <v>12</v>
      </c>
      <c r="G1530" t="s">
        <v>13</v>
      </c>
      <c r="H1530" t="s">
        <v>13</v>
      </c>
      <c r="I1530">
        <v>45</v>
      </c>
      <c r="J1530" t="str" cm="1">
        <f t="array" ref="J1530">_xlfn.IFS(ISBLANK(C1530),"FALTANTE",ABS((C1530-$W$5)/$X$5)&gt;1.96,"ATÍPICO",ABS((C1530-$W$5)/$X$5)&lt;=1.96,"NO ATÍPICO")</f>
        <v>NO ATÍPICO</v>
      </c>
      <c r="K1530" t="str" cm="1">
        <f t="array" ref="K1530">_xlfn.IFS(ISBLANK(I1530),"FALTANTE",ABS((I1530-$W$8)/$X$8)&gt;1.92,"ATÍPICO",ABS((I1530-$W$8)/$X$8)&lt;=1.92,"NO ATÍPICO")</f>
        <v>NO ATÍPICO</v>
      </c>
      <c r="L1530">
        <f t="shared" si="108"/>
        <v>1664567.5</v>
      </c>
      <c r="M1530" t="str">
        <f t="shared" si="108"/>
        <v>ASALARIADO</v>
      </c>
      <c r="N1530">
        <f t="shared" si="109"/>
        <v>45</v>
      </c>
      <c r="O1530" s="19" t="str">
        <f t="shared" si="110"/>
        <v>1200k+</v>
      </c>
      <c r="P1530" s="19" t="str">
        <f t="shared" si="111"/>
        <v>36-45</v>
      </c>
    </row>
    <row r="1531" spans="1:16" x14ac:dyDescent="0.25">
      <c r="A1531">
        <v>1530</v>
      </c>
      <c r="B1531" t="s">
        <v>9</v>
      </c>
      <c r="C1531">
        <v>185046.87</v>
      </c>
      <c r="D1531" t="s">
        <v>10</v>
      </c>
      <c r="E1531" t="s">
        <v>11</v>
      </c>
      <c r="F1531" t="s">
        <v>12</v>
      </c>
      <c r="G1531" t="s">
        <v>13</v>
      </c>
      <c r="H1531" t="s">
        <v>13</v>
      </c>
      <c r="I1531">
        <v>25</v>
      </c>
      <c r="J1531" t="str" cm="1">
        <f t="array" ref="J1531">_xlfn.IFS(ISBLANK(C1531),"FALTANTE",ABS((C1531-$W$5)/$X$5)&gt;1.96,"ATÍPICO",ABS((C1531-$W$5)/$X$5)&lt;=1.96,"NO ATÍPICO")</f>
        <v>NO ATÍPICO</v>
      </c>
      <c r="K1531" t="str" cm="1">
        <f t="array" ref="K1531">_xlfn.IFS(ISBLANK(I1531),"FALTANTE",ABS((I1531-$W$8)/$X$8)&gt;1.92,"ATÍPICO",ABS((I1531-$W$8)/$X$8)&lt;=1.92,"NO ATÍPICO")</f>
        <v>NO ATÍPICO</v>
      </c>
      <c r="L1531">
        <f t="shared" si="108"/>
        <v>185046.87</v>
      </c>
      <c r="M1531" t="str">
        <f t="shared" si="108"/>
        <v>ASALARIADO</v>
      </c>
      <c r="N1531">
        <f t="shared" si="109"/>
        <v>25</v>
      </c>
      <c r="O1531" s="19" t="str">
        <f t="shared" si="110"/>
        <v>0–300k</v>
      </c>
      <c r="P1531" s="19" t="str">
        <f t="shared" si="111"/>
        <v>18-25</v>
      </c>
    </row>
    <row r="1532" spans="1:16" x14ac:dyDescent="0.25">
      <c r="A1532">
        <v>1531</v>
      </c>
      <c r="B1532" t="s">
        <v>9</v>
      </c>
      <c r="C1532">
        <v>634576.92000000004</v>
      </c>
      <c r="D1532" t="s">
        <v>10</v>
      </c>
      <c r="E1532" t="s">
        <v>16</v>
      </c>
      <c r="F1532" t="s">
        <v>12</v>
      </c>
      <c r="G1532" t="s">
        <v>13</v>
      </c>
      <c r="H1532" t="s">
        <v>13</v>
      </c>
      <c r="I1532">
        <v>44</v>
      </c>
      <c r="J1532" t="str" cm="1">
        <f t="array" ref="J1532">_xlfn.IFS(ISBLANK(C1532),"FALTANTE",ABS((C1532-$W$5)/$X$5)&gt;1.96,"ATÍPICO",ABS((C1532-$W$5)/$X$5)&lt;=1.96,"NO ATÍPICO")</f>
        <v>NO ATÍPICO</v>
      </c>
      <c r="K1532" t="str" cm="1">
        <f t="array" ref="K1532">_xlfn.IFS(ISBLANK(I1532),"FALTANTE",ABS((I1532-$W$8)/$X$8)&gt;1.92,"ATÍPICO",ABS((I1532-$W$8)/$X$8)&lt;=1.92,"NO ATÍPICO")</f>
        <v>NO ATÍPICO</v>
      </c>
      <c r="L1532">
        <f t="shared" si="108"/>
        <v>634576.92000000004</v>
      </c>
      <c r="M1532" t="str">
        <f t="shared" si="108"/>
        <v>ASALARIADO</v>
      </c>
      <c r="N1532">
        <f t="shared" si="109"/>
        <v>44</v>
      </c>
      <c r="O1532" s="19" t="str">
        <f t="shared" si="110"/>
        <v>600k–900k</v>
      </c>
      <c r="P1532" s="19" t="str">
        <f t="shared" si="111"/>
        <v>36-45</v>
      </c>
    </row>
    <row r="1533" spans="1:16" x14ac:dyDescent="0.25">
      <c r="A1533">
        <v>1532</v>
      </c>
      <c r="B1533" t="s">
        <v>9</v>
      </c>
      <c r="C1533">
        <v>513543</v>
      </c>
      <c r="D1533" t="s">
        <v>10</v>
      </c>
      <c r="E1533" t="s">
        <v>11</v>
      </c>
      <c r="F1533" t="s">
        <v>12</v>
      </c>
      <c r="G1533" t="s">
        <v>13</v>
      </c>
      <c r="H1533" t="s">
        <v>13</v>
      </c>
      <c r="I1533">
        <v>32</v>
      </c>
      <c r="J1533" t="str" cm="1">
        <f t="array" ref="J1533">_xlfn.IFS(ISBLANK(C1533),"FALTANTE",ABS((C1533-$W$5)/$X$5)&gt;1.96,"ATÍPICO",ABS((C1533-$W$5)/$X$5)&lt;=1.96,"NO ATÍPICO")</f>
        <v>NO ATÍPICO</v>
      </c>
      <c r="K1533" t="str" cm="1">
        <f t="array" ref="K1533">_xlfn.IFS(ISBLANK(I1533),"FALTANTE",ABS((I1533-$W$8)/$X$8)&gt;1.92,"ATÍPICO",ABS((I1533-$W$8)/$X$8)&lt;=1.92,"NO ATÍPICO")</f>
        <v>NO ATÍPICO</v>
      </c>
      <c r="L1533">
        <f t="shared" si="108"/>
        <v>513543</v>
      </c>
      <c r="M1533" t="str">
        <f t="shared" si="108"/>
        <v>ASALARIADO</v>
      </c>
      <c r="N1533">
        <f t="shared" si="109"/>
        <v>32</v>
      </c>
      <c r="O1533" s="19" t="str">
        <f t="shared" si="110"/>
        <v>300k–600k</v>
      </c>
      <c r="P1533" s="19" t="str">
        <f t="shared" si="111"/>
        <v>26-35</v>
      </c>
    </row>
    <row r="1534" spans="1:16" x14ac:dyDescent="0.25">
      <c r="A1534">
        <v>1533</v>
      </c>
      <c r="B1534" t="s">
        <v>15</v>
      </c>
      <c r="C1534">
        <v>383318.62</v>
      </c>
      <c r="D1534" t="s">
        <v>10</v>
      </c>
      <c r="E1534" t="s">
        <v>16</v>
      </c>
      <c r="F1534" t="s">
        <v>12</v>
      </c>
      <c r="G1534" t="s">
        <v>13</v>
      </c>
      <c r="H1534" t="s">
        <v>13</v>
      </c>
      <c r="I1534">
        <v>25</v>
      </c>
      <c r="J1534" t="str" cm="1">
        <f t="array" ref="J1534">_xlfn.IFS(ISBLANK(C1534),"FALTANTE",ABS((C1534-$W$5)/$X$5)&gt;1.96,"ATÍPICO",ABS((C1534-$W$5)/$X$5)&lt;=1.96,"NO ATÍPICO")</f>
        <v>NO ATÍPICO</v>
      </c>
      <c r="K1534" t="str" cm="1">
        <f t="array" ref="K1534">_xlfn.IFS(ISBLANK(I1534),"FALTANTE",ABS((I1534-$W$8)/$X$8)&gt;1.92,"ATÍPICO",ABS((I1534-$W$8)/$X$8)&lt;=1.92,"NO ATÍPICO")</f>
        <v>NO ATÍPICO</v>
      </c>
      <c r="L1534">
        <f t="shared" si="108"/>
        <v>383318.62</v>
      </c>
      <c r="M1534" t="str">
        <f t="shared" si="108"/>
        <v>ASALARIADO</v>
      </c>
      <c r="N1534">
        <f t="shared" si="109"/>
        <v>25</v>
      </c>
      <c r="O1534" s="19" t="str">
        <f t="shared" si="110"/>
        <v>300k–600k</v>
      </c>
      <c r="P1534" s="19" t="str">
        <f t="shared" si="111"/>
        <v>18-25</v>
      </c>
    </row>
    <row r="1535" spans="1:16" x14ac:dyDescent="0.25">
      <c r="A1535">
        <v>1534</v>
      </c>
      <c r="B1535" t="s">
        <v>15</v>
      </c>
      <c r="C1535">
        <v>1161325</v>
      </c>
      <c r="D1535" t="s">
        <v>10</v>
      </c>
      <c r="E1535" t="s">
        <v>16</v>
      </c>
      <c r="F1535" t="s">
        <v>12</v>
      </c>
      <c r="G1535" t="s">
        <v>13</v>
      </c>
      <c r="H1535" t="s">
        <v>13</v>
      </c>
      <c r="I1535">
        <v>35</v>
      </c>
      <c r="J1535" t="str" cm="1">
        <f t="array" ref="J1535">_xlfn.IFS(ISBLANK(C1535),"FALTANTE",ABS((C1535-$W$5)/$X$5)&gt;1.96,"ATÍPICO",ABS((C1535-$W$5)/$X$5)&lt;=1.96,"NO ATÍPICO")</f>
        <v>NO ATÍPICO</v>
      </c>
      <c r="K1535" t="str" cm="1">
        <f t="array" ref="K1535">_xlfn.IFS(ISBLANK(I1535),"FALTANTE",ABS((I1535-$W$8)/$X$8)&gt;1.92,"ATÍPICO",ABS((I1535-$W$8)/$X$8)&lt;=1.92,"NO ATÍPICO")</f>
        <v>NO ATÍPICO</v>
      </c>
      <c r="L1535">
        <f t="shared" si="108"/>
        <v>1161325</v>
      </c>
      <c r="M1535" t="str">
        <f t="shared" si="108"/>
        <v>ASALARIADO</v>
      </c>
      <c r="N1535">
        <f t="shared" si="109"/>
        <v>35</v>
      </c>
      <c r="O1535" s="19" t="str">
        <f t="shared" si="110"/>
        <v>900k–1200k</v>
      </c>
      <c r="P1535" s="19" t="str">
        <f t="shared" si="111"/>
        <v>26-35</v>
      </c>
    </row>
    <row r="1536" spans="1:16" x14ac:dyDescent="0.25">
      <c r="A1536">
        <v>1535</v>
      </c>
      <c r="B1536" t="s">
        <v>15</v>
      </c>
      <c r="C1536">
        <v>297139</v>
      </c>
      <c r="D1536" t="s">
        <v>17</v>
      </c>
      <c r="E1536" t="s">
        <v>16</v>
      </c>
      <c r="F1536" t="s">
        <v>12</v>
      </c>
      <c r="G1536" t="s">
        <v>13</v>
      </c>
      <c r="H1536" t="s">
        <v>13</v>
      </c>
      <c r="I1536">
        <v>25</v>
      </c>
      <c r="J1536" t="str" cm="1">
        <f t="array" ref="J1536">_xlfn.IFS(ISBLANK(C1536),"FALTANTE",ABS((C1536-$W$5)/$X$5)&gt;1.96,"ATÍPICO",ABS((C1536-$W$5)/$X$5)&lt;=1.96,"NO ATÍPICO")</f>
        <v>NO ATÍPICO</v>
      </c>
      <c r="K1536" t="str" cm="1">
        <f t="array" ref="K1536">_xlfn.IFS(ISBLANK(I1536),"FALTANTE",ABS((I1536-$W$8)/$X$8)&gt;1.92,"ATÍPICO",ABS((I1536-$W$8)/$X$8)&lt;=1.92,"NO ATÍPICO")</f>
        <v>NO ATÍPICO</v>
      </c>
      <c r="L1536">
        <f t="shared" si="108"/>
        <v>297139</v>
      </c>
      <c r="M1536" t="str">
        <f t="shared" si="108"/>
        <v>ASEGURADO VOLUNTARIO</v>
      </c>
      <c r="N1536">
        <f t="shared" si="109"/>
        <v>25</v>
      </c>
      <c r="O1536" s="19" t="str">
        <f t="shared" si="110"/>
        <v>0–300k</v>
      </c>
      <c r="P1536" s="19" t="str">
        <f t="shared" si="111"/>
        <v>18-25</v>
      </c>
    </row>
    <row r="1537" spans="1:16" x14ac:dyDescent="0.25">
      <c r="A1537">
        <v>1536</v>
      </c>
      <c r="B1537" t="s">
        <v>9</v>
      </c>
      <c r="C1537">
        <v>278030</v>
      </c>
      <c r="D1537" t="s">
        <v>19</v>
      </c>
      <c r="E1537" t="s">
        <v>16</v>
      </c>
      <c r="F1537" t="s">
        <v>12</v>
      </c>
      <c r="G1537" t="s">
        <v>13</v>
      </c>
      <c r="H1537" t="s">
        <v>13</v>
      </c>
      <c r="I1537">
        <v>25</v>
      </c>
      <c r="J1537" t="str" cm="1">
        <f t="array" ref="J1537">_xlfn.IFS(ISBLANK(C1537),"FALTANTE",ABS((C1537-$W$5)/$X$5)&gt;1.96,"ATÍPICO",ABS((C1537-$W$5)/$X$5)&lt;=1.96,"NO ATÍPICO")</f>
        <v>NO ATÍPICO</v>
      </c>
      <c r="K1537" t="str" cm="1">
        <f t="array" ref="K1537">_xlfn.IFS(ISBLANK(I1537),"FALTANTE",ABS((I1537-$W$8)/$X$8)&gt;1.92,"ATÍPICO",ABS((I1537-$W$8)/$X$8)&lt;=1.92,"NO ATÍPICO")</f>
        <v>NO ATÍPICO</v>
      </c>
      <c r="L1537">
        <f t="shared" si="108"/>
        <v>278030</v>
      </c>
      <c r="M1537" t="str">
        <f t="shared" si="108"/>
        <v>CONVENIOS ESPECIALES DE TRABAJADORES INDEPENDIENTES</v>
      </c>
      <c r="N1537">
        <f t="shared" si="109"/>
        <v>25</v>
      </c>
      <c r="O1537" s="19" t="str">
        <f t="shared" si="110"/>
        <v>0–300k</v>
      </c>
      <c r="P1537" s="19" t="str">
        <f t="shared" si="111"/>
        <v>18-25</v>
      </c>
    </row>
    <row r="1538" spans="1:16" x14ac:dyDescent="0.25">
      <c r="A1538">
        <v>1537</v>
      </c>
      <c r="B1538" t="s">
        <v>15</v>
      </c>
      <c r="C1538">
        <v>101340</v>
      </c>
      <c r="D1538" t="s">
        <v>10</v>
      </c>
      <c r="E1538" t="s">
        <v>16</v>
      </c>
      <c r="F1538" t="s">
        <v>12</v>
      </c>
      <c r="G1538" t="s">
        <v>13</v>
      </c>
      <c r="H1538" t="s">
        <v>13</v>
      </c>
      <c r="I1538">
        <v>20</v>
      </c>
      <c r="J1538" t="str" cm="1">
        <f t="array" ref="J1538">_xlfn.IFS(ISBLANK(C1538),"FALTANTE",ABS((C1538-$W$5)/$X$5)&gt;1.96,"ATÍPICO",ABS((C1538-$W$5)/$X$5)&lt;=1.96,"NO ATÍPICO")</f>
        <v>NO ATÍPICO</v>
      </c>
      <c r="K1538" t="str" cm="1">
        <f t="array" ref="K1538">_xlfn.IFS(ISBLANK(I1538),"FALTANTE",ABS((I1538-$W$8)/$X$8)&gt;1.92,"ATÍPICO",ABS((I1538-$W$8)/$X$8)&lt;=1.92,"NO ATÍPICO")</f>
        <v>NO ATÍPICO</v>
      </c>
      <c r="L1538">
        <f t="shared" ref="L1538:M1601" si="112">C1538</f>
        <v>101340</v>
      </c>
      <c r="M1538" t="str">
        <f t="shared" si="112"/>
        <v>ASALARIADO</v>
      </c>
      <c r="N1538">
        <f t="shared" ref="N1538:N1601" si="113">I1538</f>
        <v>20</v>
      </c>
      <c r="O1538" s="19" t="str">
        <f t="shared" ref="O1538:O1601" si="114">IF(L1538&lt;=300000,"0–300k",IF(L1538&lt;=600000,"300k–600k",IF(L1538&lt;=900000,"600k–900k",IF(L1538&lt;=1200000,"900k–1200k","1200k+"))))</f>
        <v>0–300k</v>
      </c>
      <c r="P1538" s="19" t="str">
        <f t="shared" ref="P1538:P1601" si="115">IF(N1538 &lt;=25,"18-25", IF(N1538&lt;=35,"26-35", IF(N1538 &lt;=45,"36-45", IF(N1538&lt;=55,"46-55","56+"))))</f>
        <v>18-25</v>
      </c>
    </row>
    <row r="1539" spans="1:16" x14ac:dyDescent="0.25">
      <c r="A1539">
        <v>1538</v>
      </c>
      <c r="B1539" t="s">
        <v>15</v>
      </c>
      <c r="C1539">
        <v>397630.9</v>
      </c>
      <c r="D1539" t="s">
        <v>10</v>
      </c>
      <c r="E1539" t="s">
        <v>16</v>
      </c>
      <c r="F1539" t="s">
        <v>12</v>
      </c>
      <c r="G1539" t="s">
        <v>13</v>
      </c>
      <c r="H1539" t="s">
        <v>13</v>
      </c>
      <c r="I1539">
        <v>32</v>
      </c>
      <c r="J1539" t="str" cm="1">
        <f t="array" ref="J1539">_xlfn.IFS(ISBLANK(C1539),"FALTANTE",ABS((C1539-$W$5)/$X$5)&gt;1.96,"ATÍPICO",ABS((C1539-$W$5)/$X$5)&lt;=1.96,"NO ATÍPICO")</f>
        <v>NO ATÍPICO</v>
      </c>
      <c r="K1539" t="str" cm="1">
        <f t="array" ref="K1539">_xlfn.IFS(ISBLANK(I1539),"FALTANTE",ABS((I1539-$W$8)/$X$8)&gt;1.92,"ATÍPICO",ABS((I1539-$W$8)/$X$8)&lt;=1.92,"NO ATÍPICO")</f>
        <v>NO ATÍPICO</v>
      </c>
      <c r="L1539">
        <f t="shared" si="112"/>
        <v>397630.9</v>
      </c>
      <c r="M1539" t="str">
        <f t="shared" si="112"/>
        <v>ASALARIADO</v>
      </c>
      <c r="N1539">
        <f t="shared" si="113"/>
        <v>32</v>
      </c>
      <c r="O1539" s="19" t="str">
        <f t="shared" si="114"/>
        <v>300k–600k</v>
      </c>
      <c r="P1539" s="19" t="str">
        <f t="shared" si="115"/>
        <v>26-35</v>
      </c>
    </row>
    <row r="1540" spans="1:16" x14ac:dyDescent="0.25">
      <c r="A1540">
        <v>1539</v>
      </c>
      <c r="B1540" t="s">
        <v>9</v>
      </c>
      <c r="C1540">
        <v>500060</v>
      </c>
      <c r="D1540" t="s">
        <v>10</v>
      </c>
      <c r="E1540" t="s">
        <v>16</v>
      </c>
      <c r="F1540" t="s">
        <v>12</v>
      </c>
      <c r="G1540" t="s">
        <v>12</v>
      </c>
      <c r="H1540" t="s">
        <v>12</v>
      </c>
      <c r="I1540">
        <v>49</v>
      </c>
      <c r="J1540" t="str" cm="1">
        <f t="array" ref="J1540">_xlfn.IFS(ISBLANK(C1540),"FALTANTE",ABS((C1540-$W$5)/$X$5)&gt;1.96,"ATÍPICO",ABS((C1540-$W$5)/$X$5)&lt;=1.96,"NO ATÍPICO")</f>
        <v>NO ATÍPICO</v>
      </c>
      <c r="K1540" t="str" cm="1">
        <f t="array" ref="K1540">_xlfn.IFS(ISBLANK(I1540),"FALTANTE",ABS((I1540-$W$8)/$X$8)&gt;1.92,"ATÍPICO",ABS((I1540-$W$8)/$X$8)&lt;=1.92,"NO ATÍPICO")</f>
        <v>NO ATÍPICO</v>
      </c>
      <c r="L1540">
        <f t="shared" si="112"/>
        <v>500060</v>
      </c>
      <c r="M1540" t="str">
        <f t="shared" si="112"/>
        <v>ASALARIADO</v>
      </c>
      <c r="N1540">
        <f t="shared" si="113"/>
        <v>49</v>
      </c>
      <c r="O1540" s="19" t="str">
        <f t="shared" si="114"/>
        <v>300k–600k</v>
      </c>
      <c r="P1540" s="19" t="str">
        <f t="shared" si="115"/>
        <v>46-55</v>
      </c>
    </row>
    <row r="1541" spans="1:16" x14ac:dyDescent="0.25">
      <c r="A1541">
        <v>1540</v>
      </c>
      <c r="B1541" t="s">
        <v>15</v>
      </c>
      <c r="C1541">
        <v>1000000</v>
      </c>
      <c r="D1541" t="s">
        <v>10</v>
      </c>
      <c r="E1541" t="s">
        <v>16</v>
      </c>
      <c r="F1541" t="s">
        <v>12</v>
      </c>
      <c r="G1541" t="s">
        <v>13</v>
      </c>
      <c r="H1541" t="s">
        <v>13</v>
      </c>
      <c r="I1541">
        <v>22</v>
      </c>
      <c r="J1541" t="str" cm="1">
        <f t="array" ref="J1541">_xlfn.IFS(ISBLANK(C1541),"FALTANTE",ABS((C1541-$W$5)/$X$5)&gt;1.96,"ATÍPICO",ABS((C1541-$W$5)/$X$5)&lt;=1.96,"NO ATÍPICO")</f>
        <v>NO ATÍPICO</v>
      </c>
      <c r="K1541" t="str" cm="1">
        <f t="array" ref="K1541">_xlfn.IFS(ISBLANK(I1541),"FALTANTE",ABS((I1541-$W$8)/$X$8)&gt;1.92,"ATÍPICO",ABS((I1541-$W$8)/$X$8)&lt;=1.92,"NO ATÍPICO")</f>
        <v>NO ATÍPICO</v>
      </c>
      <c r="L1541">
        <f t="shared" si="112"/>
        <v>1000000</v>
      </c>
      <c r="M1541" t="str">
        <f t="shared" si="112"/>
        <v>ASALARIADO</v>
      </c>
      <c r="N1541">
        <f t="shared" si="113"/>
        <v>22</v>
      </c>
      <c r="O1541" s="19" t="str">
        <f t="shared" si="114"/>
        <v>900k–1200k</v>
      </c>
      <c r="P1541" s="19" t="str">
        <f t="shared" si="115"/>
        <v>18-25</v>
      </c>
    </row>
    <row r="1542" spans="1:16" x14ac:dyDescent="0.25">
      <c r="A1542">
        <v>1541</v>
      </c>
      <c r="B1542" t="s">
        <v>15</v>
      </c>
      <c r="C1542">
        <v>308568</v>
      </c>
      <c r="D1542" t="s">
        <v>17</v>
      </c>
      <c r="E1542" t="s">
        <v>16</v>
      </c>
      <c r="F1542" t="s">
        <v>12</v>
      </c>
      <c r="G1542" t="s">
        <v>13</v>
      </c>
      <c r="H1542" t="s">
        <v>13</v>
      </c>
      <c r="I1542">
        <v>48</v>
      </c>
      <c r="J1542" t="str" cm="1">
        <f t="array" ref="J1542">_xlfn.IFS(ISBLANK(C1542),"FALTANTE",ABS((C1542-$W$5)/$X$5)&gt;1.96,"ATÍPICO",ABS((C1542-$W$5)/$X$5)&lt;=1.96,"NO ATÍPICO")</f>
        <v>NO ATÍPICO</v>
      </c>
      <c r="K1542" t="str" cm="1">
        <f t="array" ref="K1542">_xlfn.IFS(ISBLANK(I1542),"FALTANTE",ABS((I1542-$W$8)/$X$8)&gt;1.92,"ATÍPICO",ABS((I1542-$W$8)/$X$8)&lt;=1.92,"NO ATÍPICO")</f>
        <v>NO ATÍPICO</v>
      </c>
      <c r="L1542">
        <f t="shared" si="112"/>
        <v>308568</v>
      </c>
      <c r="M1542" t="str">
        <f t="shared" si="112"/>
        <v>ASEGURADO VOLUNTARIO</v>
      </c>
      <c r="N1542">
        <f t="shared" si="113"/>
        <v>48</v>
      </c>
      <c r="O1542" s="19" t="str">
        <f t="shared" si="114"/>
        <v>300k–600k</v>
      </c>
      <c r="P1542" s="19" t="str">
        <f t="shared" si="115"/>
        <v>46-55</v>
      </c>
    </row>
    <row r="1543" spans="1:16" x14ac:dyDescent="0.25">
      <c r="A1543">
        <v>1542</v>
      </c>
      <c r="B1543" t="s">
        <v>9</v>
      </c>
      <c r="C1543">
        <v>297046</v>
      </c>
      <c r="D1543" t="s">
        <v>18</v>
      </c>
      <c r="E1543" t="s">
        <v>16</v>
      </c>
      <c r="F1543" t="s">
        <v>12</v>
      </c>
      <c r="G1543" t="s">
        <v>12</v>
      </c>
      <c r="H1543" t="s">
        <v>13</v>
      </c>
      <c r="I1543">
        <v>35</v>
      </c>
      <c r="J1543" t="str" cm="1">
        <f t="array" ref="J1543">_xlfn.IFS(ISBLANK(C1543),"FALTANTE",ABS((C1543-$W$5)/$X$5)&gt;1.96,"ATÍPICO",ABS((C1543-$W$5)/$X$5)&lt;=1.96,"NO ATÍPICO")</f>
        <v>NO ATÍPICO</v>
      </c>
      <c r="K1543" t="str" cm="1">
        <f t="array" ref="K1543">_xlfn.IFS(ISBLANK(I1543),"FALTANTE",ABS((I1543-$W$8)/$X$8)&gt;1.92,"ATÍPICO",ABS((I1543-$W$8)/$X$8)&lt;=1.92,"NO ATÍPICO")</f>
        <v>NO ATÍPICO</v>
      </c>
      <c r="L1543">
        <f t="shared" si="112"/>
        <v>297046</v>
      </c>
      <c r="M1543" t="str">
        <f t="shared" si="112"/>
        <v>TRABAJADOR INDEPENDIENTE</v>
      </c>
      <c r="N1543">
        <f t="shared" si="113"/>
        <v>35</v>
      </c>
      <c r="O1543" s="19" t="str">
        <f t="shared" si="114"/>
        <v>0–300k</v>
      </c>
      <c r="P1543" s="19" t="str">
        <f t="shared" si="115"/>
        <v>26-35</v>
      </c>
    </row>
    <row r="1544" spans="1:16" x14ac:dyDescent="0.25">
      <c r="A1544">
        <v>1543</v>
      </c>
      <c r="B1544" t="s">
        <v>9</v>
      </c>
      <c r="C1544">
        <v>297046</v>
      </c>
      <c r="D1544" t="s">
        <v>18</v>
      </c>
      <c r="E1544" t="s">
        <v>16</v>
      </c>
      <c r="F1544" t="s">
        <v>12</v>
      </c>
      <c r="G1544" t="s">
        <v>12</v>
      </c>
      <c r="H1544" t="s">
        <v>13</v>
      </c>
      <c r="I1544">
        <v>32</v>
      </c>
      <c r="J1544" t="str" cm="1">
        <f t="array" ref="J1544">_xlfn.IFS(ISBLANK(C1544),"FALTANTE",ABS((C1544-$W$5)/$X$5)&gt;1.96,"ATÍPICO",ABS((C1544-$W$5)/$X$5)&lt;=1.96,"NO ATÍPICO")</f>
        <v>NO ATÍPICO</v>
      </c>
      <c r="K1544" t="str" cm="1">
        <f t="array" ref="K1544">_xlfn.IFS(ISBLANK(I1544),"FALTANTE",ABS((I1544-$W$8)/$X$8)&gt;1.92,"ATÍPICO",ABS((I1544-$W$8)/$X$8)&lt;=1.92,"NO ATÍPICO")</f>
        <v>NO ATÍPICO</v>
      </c>
      <c r="L1544">
        <f t="shared" si="112"/>
        <v>297046</v>
      </c>
      <c r="M1544" t="str">
        <f t="shared" si="112"/>
        <v>TRABAJADOR INDEPENDIENTE</v>
      </c>
      <c r="N1544">
        <f t="shared" si="113"/>
        <v>32</v>
      </c>
      <c r="O1544" s="19" t="str">
        <f t="shared" si="114"/>
        <v>0–300k</v>
      </c>
      <c r="P1544" s="19" t="str">
        <f t="shared" si="115"/>
        <v>26-35</v>
      </c>
    </row>
    <row r="1545" spans="1:16" x14ac:dyDescent="0.25">
      <c r="A1545">
        <v>1544</v>
      </c>
      <c r="B1545" t="s">
        <v>15</v>
      </c>
      <c r="C1545">
        <v>704142.51</v>
      </c>
      <c r="D1545" t="s">
        <v>10</v>
      </c>
      <c r="E1545" t="s">
        <v>16</v>
      </c>
      <c r="F1545" t="s">
        <v>12</v>
      </c>
      <c r="G1545" t="s">
        <v>13</v>
      </c>
      <c r="H1545" t="s">
        <v>13</v>
      </c>
      <c r="I1545">
        <v>41</v>
      </c>
      <c r="J1545" t="str" cm="1">
        <f t="array" ref="J1545">_xlfn.IFS(ISBLANK(C1545),"FALTANTE",ABS((C1545-$W$5)/$X$5)&gt;1.96,"ATÍPICO",ABS((C1545-$W$5)/$X$5)&lt;=1.96,"NO ATÍPICO")</f>
        <v>NO ATÍPICO</v>
      </c>
      <c r="K1545" t="str" cm="1">
        <f t="array" ref="K1545">_xlfn.IFS(ISBLANK(I1545),"FALTANTE",ABS((I1545-$W$8)/$X$8)&gt;1.92,"ATÍPICO",ABS((I1545-$W$8)/$X$8)&lt;=1.92,"NO ATÍPICO")</f>
        <v>NO ATÍPICO</v>
      </c>
      <c r="L1545">
        <f t="shared" si="112"/>
        <v>704142.51</v>
      </c>
      <c r="M1545" t="str">
        <f t="shared" si="112"/>
        <v>ASALARIADO</v>
      </c>
      <c r="N1545">
        <f t="shared" si="113"/>
        <v>41</v>
      </c>
      <c r="O1545" s="19" t="str">
        <f t="shared" si="114"/>
        <v>600k–900k</v>
      </c>
      <c r="P1545" s="19" t="str">
        <f t="shared" si="115"/>
        <v>36-45</v>
      </c>
    </row>
    <row r="1546" spans="1:16" x14ac:dyDescent="0.25">
      <c r="A1546">
        <v>1545</v>
      </c>
      <c r="B1546" t="s">
        <v>9</v>
      </c>
      <c r="C1546">
        <v>306667</v>
      </c>
      <c r="D1546" t="s">
        <v>10</v>
      </c>
      <c r="E1546" t="s">
        <v>16</v>
      </c>
      <c r="F1546" t="s">
        <v>12</v>
      </c>
      <c r="G1546" t="s">
        <v>12</v>
      </c>
      <c r="H1546" t="s">
        <v>13</v>
      </c>
      <c r="I1546">
        <v>27</v>
      </c>
      <c r="J1546" t="str" cm="1">
        <f t="array" ref="J1546">_xlfn.IFS(ISBLANK(C1546),"FALTANTE",ABS((C1546-$W$5)/$X$5)&gt;1.96,"ATÍPICO",ABS((C1546-$W$5)/$X$5)&lt;=1.96,"NO ATÍPICO")</f>
        <v>NO ATÍPICO</v>
      </c>
      <c r="K1546" t="str" cm="1">
        <f t="array" ref="K1546">_xlfn.IFS(ISBLANK(I1546),"FALTANTE",ABS((I1546-$W$8)/$X$8)&gt;1.92,"ATÍPICO",ABS((I1546-$W$8)/$X$8)&lt;=1.92,"NO ATÍPICO")</f>
        <v>NO ATÍPICO</v>
      </c>
      <c r="L1546">
        <f t="shared" si="112"/>
        <v>306667</v>
      </c>
      <c r="M1546" t="str">
        <f t="shared" si="112"/>
        <v>ASALARIADO</v>
      </c>
      <c r="N1546">
        <f t="shared" si="113"/>
        <v>27</v>
      </c>
      <c r="O1546" s="19" t="str">
        <f t="shared" si="114"/>
        <v>300k–600k</v>
      </c>
      <c r="P1546" s="19" t="str">
        <f t="shared" si="115"/>
        <v>26-35</v>
      </c>
    </row>
    <row r="1547" spans="1:16" x14ac:dyDescent="0.25">
      <c r="A1547">
        <v>1546</v>
      </c>
      <c r="B1547" t="s">
        <v>15</v>
      </c>
      <c r="C1547">
        <v>639148</v>
      </c>
      <c r="D1547" t="s">
        <v>18</v>
      </c>
      <c r="E1547" t="s">
        <v>16</v>
      </c>
      <c r="F1547" t="s">
        <v>12</v>
      </c>
      <c r="G1547" t="s">
        <v>13</v>
      </c>
      <c r="H1547" t="s">
        <v>13</v>
      </c>
      <c r="I1547">
        <v>68</v>
      </c>
      <c r="J1547" t="str" cm="1">
        <f t="array" ref="J1547">_xlfn.IFS(ISBLANK(C1547),"FALTANTE",ABS((C1547-$W$5)/$X$5)&gt;1.96,"ATÍPICO",ABS((C1547-$W$5)/$X$5)&lt;=1.96,"NO ATÍPICO")</f>
        <v>NO ATÍPICO</v>
      </c>
      <c r="K1547" t="str" cm="1">
        <f t="array" ref="K1547">_xlfn.IFS(ISBLANK(I1547),"FALTANTE",ABS((I1547-$W$8)/$X$8)&gt;1.92,"ATÍPICO",ABS((I1547-$W$8)/$X$8)&lt;=1.92,"NO ATÍPICO")</f>
        <v>NO ATÍPICO</v>
      </c>
      <c r="L1547">
        <f t="shared" si="112"/>
        <v>639148</v>
      </c>
      <c r="M1547" t="str">
        <f t="shared" si="112"/>
        <v>TRABAJADOR INDEPENDIENTE</v>
      </c>
      <c r="N1547">
        <f t="shared" si="113"/>
        <v>68</v>
      </c>
      <c r="O1547" s="19" t="str">
        <f t="shared" si="114"/>
        <v>600k–900k</v>
      </c>
      <c r="P1547" s="19" t="str">
        <f t="shared" si="115"/>
        <v>56+</v>
      </c>
    </row>
    <row r="1548" spans="1:16" x14ac:dyDescent="0.25">
      <c r="A1548">
        <v>1547</v>
      </c>
      <c r="B1548" t="s">
        <v>9</v>
      </c>
      <c r="C1548">
        <v>439063.24</v>
      </c>
      <c r="D1548" t="s">
        <v>10</v>
      </c>
      <c r="E1548" t="s">
        <v>16</v>
      </c>
      <c r="F1548" t="s">
        <v>12</v>
      </c>
      <c r="G1548" t="s">
        <v>13</v>
      </c>
      <c r="H1548" t="s">
        <v>13</v>
      </c>
      <c r="I1548">
        <v>41</v>
      </c>
      <c r="J1548" t="str" cm="1">
        <f t="array" ref="J1548">_xlfn.IFS(ISBLANK(C1548),"FALTANTE",ABS((C1548-$W$5)/$X$5)&gt;1.96,"ATÍPICO",ABS((C1548-$W$5)/$X$5)&lt;=1.96,"NO ATÍPICO")</f>
        <v>NO ATÍPICO</v>
      </c>
      <c r="K1548" t="str" cm="1">
        <f t="array" ref="K1548">_xlfn.IFS(ISBLANK(I1548),"FALTANTE",ABS((I1548-$W$8)/$X$8)&gt;1.92,"ATÍPICO",ABS((I1548-$W$8)/$X$8)&lt;=1.92,"NO ATÍPICO")</f>
        <v>NO ATÍPICO</v>
      </c>
      <c r="L1548">
        <f t="shared" si="112"/>
        <v>439063.24</v>
      </c>
      <c r="M1548" t="str">
        <f t="shared" si="112"/>
        <v>ASALARIADO</v>
      </c>
      <c r="N1548">
        <f t="shared" si="113"/>
        <v>41</v>
      </c>
      <c r="O1548" s="19" t="str">
        <f t="shared" si="114"/>
        <v>300k–600k</v>
      </c>
      <c r="P1548" s="19" t="str">
        <f t="shared" si="115"/>
        <v>36-45</v>
      </c>
    </row>
    <row r="1549" spans="1:16" x14ac:dyDescent="0.25">
      <c r="A1549">
        <v>1548</v>
      </c>
      <c r="B1549" t="s">
        <v>15</v>
      </c>
      <c r="C1549">
        <v>359544.27</v>
      </c>
      <c r="D1549" t="s">
        <v>21</v>
      </c>
      <c r="E1549" t="s">
        <v>16</v>
      </c>
      <c r="F1549" t="s">
        <v>12</v>
      </c>
      <c r="G1549" t="s">
        <v>12</v>
      </c>
      <c r="H1549" t="s">
        <v>13</v>
      </c>
      <c r="I1549">
        <v>59</v>
      </c>
      <c r="J1549" t="str" cm="1">
        <f t="array" ref="J1549">_xlfn.IFS(ISBLANK(C1549),"FALTANTE",ABS((C1549-$W$5)/$X$5)&gt;1.96,"ATÍPICO",ABS((C1549-$W$5)/$X$5)&lt;=1.96,"NO ATÍPICO")</f>
        <v>NO ATÍPICO</v>
      </c>
      <c r="K1549" t="str" cm="1">
        <f t="array" ref="K1549">_xlfn.IFS(ISBLANK(I1549),"FALTANTE",ABS((I1549-$W$8)/$X$8)&gt;1.92,"ATÍPICO",ABS((I1549-$W$8)/$X$8)&lt;=1.92,"NO ATÍPICO")</f>
        <v>NO ATÍPICO</v>
      </c>
      <c r="L1549">
        <f t="shared" si="112"/>
        <v>359544.27</v>
      </c>
      <c r="M1549" t="str">
        <f t="shared" si="112"/>
        <v>CONVENIOS ESPECIALES DE ASEGURADOS VOLUNTARIOS</v>
      </c>
      <c r="N1549">
        <f t="shared" si="113"/>
        <v>59</v>
      </c>
      <c r="O1549" s="19" t="str">
        <f t="shared" si="114"/>
        <v>300k–600k</v>
      </c>
      <c r="P1549" s="19" t="str">
        <f t="shared" si="115"/>
        <v>56+</v>
      </c>
    </row>
    <row r="1550" spans="1:16" x14ac:dyDescent="0.25">
      <c r="A1550">
        <v>1549</v>
      </c>
      <c r="B1550" t="s">
        <v>15</v>
      </c>
      <c r="C1550">
        <v>313256</v>
      </c>
      <c r="D1550" t="s">
        <v>10</v>
      </c>
      <c r="E1550" t="s">
        <v>16</v>
      </c>
      <c r="F1550" t="s">
        <v>12</v>
      </c>
      <c r="G1550" t="s">
        <v>12</v>
      </c>
      <c r="H1550" t="s">
        <v>13</v>
      </c>
      <c r="I1550">
        <v>34</v>
      </c>
      <c r="J1550" t="str" cm="1">
        <f t="array" ref="J1550">_xlfn.IFS(ISBLANK(C1550),"FALTANTE",ABS((C1550-$W$5)/$X$5)&gt;1.96,"ATÍPICO",ABS((C1550-$W$5)/$X$5)&lt;=1.96,"NO ATÍPICO")</f>
        <v>NO ATÍPICO</v>
      </c>
      <c r="K1550" t="str" cm="1">
        <f t="array" ref="K1550">_xlfn.IFS(ISBLANK(I1550),"FALTANTE",ABS((I1550-$W$8)/$X$8)&gt;1.92,"ATÍPICO",ABS((I1550-$W$8)/$X$8)&lt;=1.92,"NO ATÍPICO")</f>
        <v>NO ATÍPICO</v>
      </c>
      <c r="L1550">
        <f t="shared" si="112"/>
        <v>313256</v>
      </c>
      <c r="M1550" t="str">
        <f t="shared" si="112"/>
        <v>ASALARIADO</v>
      </c>
      <c r="N1550">
        <f t="shared" si="113"/>
        <v>34</v>
      </c>
      <c r="O1550" s="19" t="str">
        <f t="shared" si="114"/>
        <v>300k–600k</v>
      </c>
      <c r="P1550" s="19" t="str">
        <f t="shared" si="115"/>
        <v>26-35</v>
      </c>
    </row>
    <row r="1551" spans="1:16" x14ac:dyDescent="0.25">
      <c r="A1551">
        <v>1550</v>
      </c>
      <c r="B1551" t="s">
        <v>15</v>
      </c>
      <c r="C1551">
        <v>299152</v>
      </c>
      <c r="D1551" t="s">
        <v>10</v>
      </c>
      <c r="E1551" t="s">
        <v>11</v>
      </c>
      <c r="F1551" t="s">
        <v>12</v>
      </c>
      <c r="G1551" t="s">
        <v>13</v>
      </c>
      <c r="H1551" t="s">
        <v>13</v>
      </c>
      <c r="I1551">
        <v>38</v>
      </c>
      <c r="J1551" t="str" cm="1">
        <f t="array" ref="J1551">_xlfn.IFS(ISBLANK(C1551),"FALTANTE",ABS((C1551-$W$5)/$X$5)&gt;1.96,"ATÍPICO",ABS((C1551-$W$5)/$X$5)&lt;=1.96,"NO ATÍPICO")</f>
        <v>NO ATÍPICO</v>
      </c>
      <c r="K1551" t="str" cm="1">
        <f t="array" ref="K1551">_xlfn.IFS(ISBLANK(I1551),"FALTANTE",ABS((I1551-$W$8)/$X$8)&gt;1.92,"ATÍPICO",ABS((I1551-$W$8)/$X$8)&lt;=1.92,"NO ATÍPICO")</f>
        <v>NO ATÍPICO</v>
      </c>
      <c r="L1551">
        <f t="shared" si="112"/>
        <v>299152</v>
      </c>
      <c r="M1551" t="str">
        <f t="shared" si="112"/>
        <v>ASALARIADO</v>
      </c>
      <c r="N1551">
        <f t="shared" si="113"/>
        <v>38</v>
      </c>
      <c r="O1551" s="19" t="str">
        <f t="shared" si="114"/>
        <v>0–300k</v>
      </c>
      <c r="P1551" s="19" t="str">
        <f t="shared" si="115"/>
        <v>36-45</v>
      </c>
    </row>
    <row r="1552" spans="1:16" x14ac:dyDescent="0.25">
      <c r="A1552">
        <v>1551</v>
      </c>
      <c r="B1552" t="s">
        <v>15</v>
      </c>
      <c r="C1552">
        <v>1397631</v>
      </c>
      <c r="D1552" t="s">
        <v>10</v>
      </c>
      <c r="E1552" t="s">
        <v>11</v>
      </c>
      <c r="F1552" t="s">
        <v>12</v>
      </c>
      <c r="G1552" t="s">
        <v>13</v>
      </c>
      <c r="H1552" t="s">
        <v>12</v>
      </c>
      <c r="I1552">
        <v>48</v>
      </c>
      <c r="J1552" t="str" cm="1">
        <f t="array" ref="J1552">_xlfn.IFS(ISBLANK(C1552),"FALTANTE",ABS((C1552-$W$5)/$X$5)&gt;1.96,"ATÍPICO",ABS((C1552-$W$5)/$X$5)&lt;=1.96,"NO ATÍPICO")</f>
        <v>NO ATÍPICO</v>
      </c>
      <c r="K1552" t="str" cm="1">
        <f t="array" ref="K1552">_xlfn.IFS(ISBLANK(I1552),"FALTANTE",ABS((I1552-$W$8)/$X$8)&gt;1.92,"ATÍPICO",ABS((I1552-$W$8)/$X$8)&lt;=1.92,"NO ATÍPICO")</f>
        <v>NO ATÍPICO</v>
      </c>
      <c r="L1552">
        <f t="shared" si="112"/>
        <v>1397631</v>
      </c>
      <c r="M1552" t="str">
        <f t="shared" si="112"/>
        <v>ASALARIADO</v>
      </c>
      <c r="N1552">
        <f t="shared" si="113"/>
        <v>48</v>
      </c>
      <c r="O1552" s="19" t="str">
        <f t="shared" si="114"/>
        <v>1200k+</v>
      </c>
      <c r="P1552" s="19" t="str">
        <f t="shared" si="115"/>
        <v>46-55</v>
      </c>
    </row>
    <row r="1553" spans="1:16" x14ac:dyDescent="0.25">
      <c r="A1553">
        <v>1552</v>
      </c>
      <c r="B1553" t="s">
        <v>15</v>
      </c>
      <c r="C1553">
        <v>571830.07999999996</v>
      </c>
      <c r="D1553" t="s">
        <v>10</v>
      </c>
      <c r="E1553" t="s">
        <v>16</v>
      </c>
      <c r="F1553" t="s">
        <v>12</v>
      </c>
      <c r="G1553" t="s">
        <v>12</v>
      </c>
      <c r="H1553" t="s">
        <v>13</v>
      </c>
      <c r="I1553">
        <v>33</v>
      </c>
      <c r="J1553" t="str" cm="1">
        <f t="array" ref="J1553">_xlfn.IFS(ISBLANK(C1553),"FALTANTE",ABS((C1553-$W$5)/$X$5)&gt;1.96,"ATÍPICO",ABS((C1553-$W$5)/$X$5)&lt;=1.96,"NO ATÍPICO")</f>
        <v>NO ATÍPICO</v>
      </c>
      <c r="K1553" t="str" cm="1">
        <f t="array" ref="K1553">_xlfn.IFS(ISBLANK(I1553),"FALTANTE",ABS((I1553-$W$8)/$X$8)&gt;1.92,"ATÍPICO",ABS((I1553-$W$8)/$X$8)&lt;=1.92,"NO ATÍPICO")</f>
        <v>NO ATÍPICO</v>
      </c>
      <c r="L1553">
        <f t="shared" si="112"/>
        <v>571830.07999999996</v>
      </c>
      <c r="M1553" t="str">
        <f t="shared" si="112"/>
        <v>ASALARIADO</v>
      </c>
      <c r="N1553">
        <f t="shared" si="113"/>
        <v>33</v>
      </c>
      <c r="O1553" s="19" t="str">
        <f t="shared" si="114"/>
        <v>300k–600k</v>
      </c>
      <c r="P1553" s="19" t="str">
        <f t="shared" si="115"/>
        <v>26-35</v>
      </c>
    </row>
    <row r="1554" spans="1:16" x14ac:dyDescent="0.25">
      <c r="A1554">
        <v>1553</v>
      </c>
      <c r="B1554" t="s">
        <v>9</v>
      </c>
      <c r="C1554">
        <v>297046</v>
      </c>
      <c r="D1554" t="s">
        <v>17</v>
      </c>
      <c r="E1554" t="s">
        <v>16</v>
      </c>
      <c r="F1554" t="s">
        <v>12</v>
      </c>
      <c r="G1554" t="s">
        <v>13</v>
      </c>
      <c r="H1554" t="s">
        <v>13</v>
      </c>
      <c r="I1554">
        <v>49</v>
      </c>
      <c r="J1554" t="str" cm="1">
        <f t="array" ref="J1554">_xlfn.IFS(ISBLANK(C1554),"FALTANTE",ABS((C1554-$W$5)/$X$5)&gt;1.96,"ATÍPICO",ABS((C1554-$W$5)/$X$5)&lt;=1.96,"NO ATÍPICO")</f>
        <v>NO ATÍPICO</v>
      </c>
      <c r="K1554" t="str" cm="1">
        <f t="array" ref="K1554">_xlfn.IFS(ISBLANK(I1554),"FALTANTE",ABS((I1554-$W$8)/$X$8)&gt;1.92,"ATÍPICO",ABS((I1554-$W$8)/$X$8)&lt;=1.92,"NO ATÍPICO")</f>
        <v>NO ATÍPICO</v>
      </c>
      <c r="L1554">
        <f t="shared" si="112"/>
        <v>297046</v>
      </c>
      <c r="M1554" t="str">
        <f t="shared" si="112"/>
        <v>ASEGURADO VOLUNTARIO</v>
      </c>
      <c r="N1554">
        <f t="shared" si="113"/>
        <v>49</v>
      </c>
      <c r="O1554" s="19" t="str">
        <f t="shared" si="114"/>
        <v>0–300k</v>
      </c>
      <c r="P1554" s="19" t="str">
        <f t="shared" si="115"/>
        <v>46-55</v>
      </c>
    </row>
    <row r="1555" spans="1:16" x14ac:dyDescent="0.25">
      <c r="A1555">
        <v>1554</v>
      </c>
      <c r="B1555" t="s">
        <v>15</v>
      </c>
      <c r="C1555">
        <v>2401743.04</v>
      </c>
      <c r="D1555" t="s">
        <v>10</v>
      </c>
      <c r="E1555" t="s">
        <v>16</v>
      </c>
      <c r="F1555" t="s">
        <v>12</v>
      </c>
      <c r="G1555" t="s">
        <v>13</v>
      </c>
      <c r="H1555" t="s">
        <v>13</v>
      </c>
      <c r="I1555">
        <v>45</v>
      </c>
      <c r="J1555" t="str" cm="1">
        <f t="array" ref="J1555">_xlfn.IFS(ISBLANK(C1555),"FALTANTE",ABS((C1555-$W$5)/$X$5)&gt;1.96,"ATÍPICO",ABS((C1555-$W$5)/$X$5)&lt;=1.96,"NO ATÍPICO")</f>
        <v>ATÍPICO</v>
      </c>
      <c r="K1555" t="str" cm="1">
        <f t="array" ref="K1555">_xlfn.IFS(ISBLANK(I1555),"FALTANTE",ABS((I1555-$W$8)/$X$8)&gt;1.92,"ATÍPICO",ABS((I1555-$W$8)/$X$8)&lt;=1.92,"NO ATÍPICO")</f>
        <v>NO ATÍPICO</v>
      </c>
      <c r="L1555">
        <f t="shared" si="112"/>
        <v>2401743.04</v>
      </c>
      <c r="M1555" t="str">
        <f t="shared" si="112"/>
        <v>ASALARIADO</v>
      </c>
      <c r="N1555">
        <f t="shared" si="113"/>
        <v>45</v>
      </c>
      <c r="O1555" s="19" t="str">
        <f t="shared" si="114"/>
        <v>1200k+</v>
      </c>
      <c r="P1555" s="19" t="str">
        <f t="shared" si="115"/>
        <v>36-45</v>
      </c>
    </row>
    <row r="1556" spans="1:16" x14ac:dyDescent="0.25">
      <c r="A1556">
        <v>1555</v>
      </c>
      <c r="B1556" t="s">
        <v>15</v>
      </c>
      <c r="C1556">
        <v>263473.09000000003</v>
      </c>
      <c r="D1556" t="s">
        <v>14</v>
      </c>
      <c r="E1556" t="s">
        <v>11</v>
      </c>
      <c r="F1556" t="s">
        <v>12</v>
      </c>
      <c r="G1556" t="s">
        <v>13</v>
      </c>
      <c r="H1556" t="s">
        <v>13</v>
      </c>
      <c r="I1556">
        <v>73</v>
      </c>
      <c r="J1556" t="str" cm="1">
        <f t="array" ref="J1556">_xlfn.IFS(ISBLANK(C1556),"FALTANTE",ABS((C1556-$W$5)/$X$5)&gt;1.96,"ATÍPICO",ABS((C1556-$W$5)/$X$5)&lt;=1.96,"NO ATÍPICO")</f>
        <v>NO ATÍPICO</v>
      </c>
      <c r="K1556" t="str" cm="1">
        <f t="array" ref="K1556">_xlfn.IFS(ISBLANK(I1556),"FALTANTE",ABS((I1556-$W$8)/$X$8)&gt;1.92,"ATÍPICO",ABS((I1556-$W$8)/$X$8)&lt;=1.92,"NO ATÍPICO")</f>
        <v>ATÍPICO</v>
      </c>
      <c r="L1556">
        <f t="shared" si="112"/>
        <v>263473.09000000003</v>
      </c>
      <c r="M1556" t="str">
        <f t="shared" si="112"/>
        <v>PENSIONADOS EN SU PROPIO SISTEMA</v>
      </c>
      <c r="N1556">
        <f t="shared" si="113"/>
        <v>73</v>
      </c>
      <c r="O1556" s="19" t="str">
        <f t="shared" si="114"/>
        <v>0–300k</v>
      </c>
      <c r="P1556" s="19" t="str">
        <f t="shared" si="115"/>
        <v>56+</v>
      </c>
    </row>
    <row r="1557" spans="1:16" x14ac:dyDescent="0.25">
      <c r="A1557">
        <v>1556</v>
      </c>
      <c r="B1557" t="s">
        <v>9</v>
      </c>
      <c r="C1557">
        <v>764250.3</v>
      </c>
      <c r="D1557" t="s">
        <v>10</v>
      </c>
      <c r="E1557" t="s">
        <v>11</v>
      </c>
      <c r="F1557" t="s">
        <v>12</v>
      </c>
      <c r="G1557" t="s">
        <v>13</v>
      </c>
      <c r="H1557" t="s">
        <v>13</v>
      </c>
      <c r="I1557">
        <v>45</v>
      </c>
      <c r="J1557" t="str" cm="1">
        <f t="array" ref="J1557">_xlfn.IFS(ISBLANK(C1557),"FALTANTE",ABS((C1557-$W$5)/$X$5)&gt;1.96,"ATÍPICO",ABS((C1557-$W$5)/$X$5)&lt;=1.96,"NO ATÍPICO")</f>
        <v>NO ATÍPICO</v>
      </c>
      <c r="K1557" t="str" cm="1">
        <f t="array" ref="K1557">_xlfn.IFS(ISBLANK(I1557),"FALTANTE",ABS((I1557-$W$8)/$X$8)&gt;1.92,"ATÍPICO",ABS((I1557-$W$8)/$X$8)&lt;=1.92,"NO ATÍPICO")</f>
        <v>NO ATÍPICO</v>
      </c>
      <c r="L1557">
        <f t="shared" si="112"/>
        <v>764250.3</v>
      </c>
      <c r="M1557" t="str">
        <f t="shared" si="112"/>
        <v>ASALARIADO</v>
      </c>
      <c r="N1557">
        <f t="shared" si="113"/>
        <v>45</v>
      </c>
      <c r="O1557" s="19" t="str">
        <f t="shared" si="114"/>
        <v>600k–900k</v>
      </c>
      <c r="P1557" s="19" t="str">
        <f t="shared" si="115"/>
        <v>36-45</v>
      </c>
    </row>
    <row r="1558" spans="1:16" x14ac:dyDescent="0.25">
      <c r="A1558">
        <v>1557</v>
      </c>
      <c r="B1558" t="s">
        <v>15</v>
      </c>
      <c r="C1558">
        <v>310124</v>
      </c>
      <c r="D1558" t="s">
        <v>18</v>
      </c>
      <c r="E1558" t="s">
        <v>16</v>
      </c>
      <c r="F1558" t="s">
        <v>13</v>
      </c>
      <c r="G1558" t="s">
        <v>13</v>
      </c>
      <c r="H1558" t="s">
        <v>13</v>
      </c>
      <c r="I1558">
        <v>36</v>
      </c>
      <c r="J1558" t="str" cm="1">
        <f t="array" ref="J1558">_xlfn.IFS(ISBLANK(C1558),"FALTANTE",ABS((C1558-$W$5)/$X$5)&gt;1.96,"ATÍPICO",ABS((C1558-$W$5)/$X$5)&lt;=1.96,"NO ATÍPICO")</f>
        <v>NO ATÍPICO</v>
      </c>
      <c r="K1558" t="str" cm="1">
        <f t="array" ref="K1558">_xlfn.IFS(ISBLANK(I1558),"FALTANTE",ABS((I1558-$W$8)/$X$8)&gt;1.92,"ATÍPICO",ABS((I1558-$W$8)/$X$8)&lt;=1.92,"NO ATÍPICO")</f>
        <v>NO ATÍPICO</v>
      </c>
      <c r="L1558">
        <f t="shared" si="112"/>
        <v>310124</v>
      </c>
      <c r="M1558" t="str">
        <f t="shared" si="112"/>
        <v>TRABAJADOR INDEPENDIENTE</v>
      </c>
      <c r="N1558">
        <f t="shared" si="113"/>
        <v>36</v>
      </c>
      <c r="O1558" s="19" t="str">
        <f t="shared" si="114"/>
        <v>300k–600k</v>
      </c>
      <c r="P1558" s="19" t="str">
        <f t="shared" si="115"/>
        <v>36-45</v>
      </c>
    </row>
    <row r="1559" spans="1:16" x14ac:dyDescent="0.25">
      <c r="A1559">
        <v>1558</v>
      </c>
      <c r="B1559" t="s">
        <v>15</v>
      </c>
      <c r="C1559">
        <v>412923.5</v>
      </c>
      <c r="D1559" t="s">
        <v>10</v>
      </c>
      <c r="E1559" t="s">
        <v>11</v>
      </c>
      <c r="F1559" t="s">
        <v>12</v>
      </c>
      <c r="G1559" t="s">
        <v>13</v>
      </c>
      <c r="H1559" t="s">
        <v>13</v>
      </c>
      <c r="I1559">
        <v>30</v>
      </c>
      <c r="J1559" t="str" cm="1">
        <f t="array" ref="J1559">_xlfn.IFS(ISBLANK(C1559),"FALTANTE",ABS((C1559-$W$5)/$X$5)&gt;1.96,"ATÍPICO",ABS((C1559-$W$5)/$X$5)&lt;=1.96,"NO ATÍPICO")</f>
        <v>NO ATÍPICO</v>
      </c>
      <c r="K1559" t="str" cm="1">
        <f t="array" ref="K1559">_xlfn.IFS(ISBLANK(I1559),"FALTANTE",ABS((I1559-$W$8)/$X$8)&gt;1.92,"ATÍPICO",ABS((I1559-$W$8)/$X$8)&lt;=1.92,"NO ATÍPICO")</f>
        <v>NO ATÍPICO</v>
      </c>
      <c r="L1559">
        <f t="shared" si="112"/>
        <v>412923.5</v>
      </c>
      <c r="M1559" t="str">
        <f t="shared" si="112"/>
        <v>ASALARIADO</v>
      </c>
      <c r="N1559">
        <f t="shared" si="113"/>
        <v>30</v>
      </c>
      <c r="O1559" s="19" t="str">
        <f t="shared" si="114"/>
        <v>300k–600k</v>
      </c>
      <c r="P1559" s="19" t="str">
        <f t="shared" si="115"/>
        <v>26-35</v>
      </c>
    </row>
    <row r="1560" spans="1:16" x14ac:dyDescent="0.25">
      <c r="A1560">
        <v>1559</v>
      </c>
      <c r="B1560" t="s">
        <v>9</v>
      </c>
      <c r="C1560">
        <v>639148</v>
      </c>
      <c r="D1560" t="s">
        <v>18</v>
      </c>
      <c r="E1560" t="s">
        <v>16</v>
      </c>
      <c r="F1560" t="s">
        <v>12</v>
      </c>
      <c r="G1560" t="s">
        <v>12</v>
      </c>
      <c r="H1560" t="s">
        <v>12</v>
      </c>
      <c r="I1560">
        <v>47</v>
      </c>
      <c r="J1560" t="str" cm="1">
        <f t="array" ref="J1560">_xlfn.IFS(ISBLANK(C1560),"FALTANTE",ABS((C1560-$W$5)/$X$5)&gt;1.96,"ATÍPICO",ABS((C1560-$W$5)/$X$5)&lt;=1.96,"NO ATÍPICO")</f>
        <v>NO ATÍPICO</v>
      </c>
      <c r="K1560" t="str" cm="1">
        <f t="array" ref="K1560">_xlfn.IFS(ISBLANK(I1560),"FALTANTE",ABS((I1560-$W$8)/$X$8)&gt;1.92,"ATÍPICO",ABS((I1560-$W$8)/$X$8)&lt;=1.92,"NO ATÍPICO")</f>
        <v>NO ATÍPICO</v>
      </c>
      <c r="L1560">
        <f t="shared" si="112"/>
        <v>639148</v>
      </c>
      <c r="M1560" t="str">
        <f t="shared" si="112"/>
        <v>TRABAJADOR INDEPENDIENTE</v>
      </c>
      <c r="N1560">
        <f t="shared" si="113"/>
        <v>47</v>
      </c>
      <c r="O1560" s="19" t="str">
        <f t="shared" si="114"/>
        <v>600k–900k</v>
      </c>
      <c r="P1560" s="19" t="str">
        <f t="shared" si="115"/>
        <v>46-55</v>
      </c>
    </row>
    <row r="1561" spans="1:16" x14ac:dyDescent="0.25">
      <c r="A1561">
        <v>1560</v>
      </c>
      <c r="B1561" t="s">
        <v>15</v>
      </c>
      <c r="C1561">
        <v>787019</v>
      </c>
      <c r="D1561" t="s">
        <v>10</v>
      </c>
      <c r="E1561" t="s">
        <v>16</v>
      </c>
      <c r="F1561" t="s">
        <v>12</v>
      </c>
      <c r="G1561" t="s">
        <v>13</v>
      </c>
      <c r="H1561" t="s">
        <v>13</v>
      </c>
      <c r="I1561">
        <v>45</v>
      </c>
      <c r="J1561" t="str" cm="1">
        <f t="array" ref="J1561">_xlfn.IFS(ISBLANK(C1561),"FALTANTE",ABS((C1561-$W$5)/$X$5)&gt;1.96,"ATÍPICO",ABS((C1561-$W$5)/$X$5)&lt;=1.96,"NO ATÍPICO")</f>
        <v>NO ATÍPICO</v>
      </c>
      <c r="K1561" t="str" cm="1">
        <f t="array" ref="K1561">_xlfn.IFS(ISBLANK(I1561),"FALTANTE",ABS((I1561-$W$8)/$X$8)&gt;1.92,"ATÍPICO",ABS((I1561-$W$8)/$X$8)&lt;=1.92,"NO ATÍPICO")</f>
        <v>NO ATÍPICO</v>
      </c>
      <c r="L1561">
        <f t="shared" si="112"/>
        <v>787019</v>
      </c>
      <c r="M1561" t="str">
        <f t="shared" si="112"/>
        <v>ASALARIADO</v>
      </c>
      <c r="N1561">
        <f t="shared" si="113"/>
        <v>45</v>
      </c>
      <c r="O1561" s="19" t="str">
        <f t="shared" si="114"/>
        <v>600k–900k</v>
      </c>
      <c r="P1561" s="19" t="str">
        <f t="shared" si="115"/>
        <v>36-45</v>
      </c>
    </row>
    <row r="1562" spans="1:16" x14ac:dyDescent="0.25">
      <c r="A1562">
        <v>1561</v>
      </c>
      <c r="B1562" t="s">
        <v>15</v>
      </c>
      <c r="C1562">
        <v>355312</v>
      </c>
      <c r="D1562" t="s">
        <v>10</v>
      </c>
      <c r="E1562" t="s">
        <v>16</v>
      </c>
      <c r="F1562" t="s">
        <v>12</v>
      </c>
      <c r="G1562" t="s">
        <v>13</v>
      </c>
      <c r="H1562" t="s">
        <v>13</v>
      </c>
      <c r="I1562">
        <v>44</v>
      </c>
      <c r="J1562" t="str" cm="1">
        <f t="array" ref="J1562">_xlfn.IFS(ISBLANK(C1562),"FALTANTE",ABS((C1562-$W$5)/$X$5)&gt;1.96,"ATÍPICO",ABS((C1562-$W$5)/$X$5)&lt;=1.96,"NO ATÍPICO")</f>
        <v>NO ATÍPICO</v>
      </c>
      <c r="K1562" t="str" cm="1">
        <f t="array" ref="K1562">_xlfn.IFS(ISBLANK(I1562),"FALTANTE",ABS((I1562-$W$8)/$X$8)&gt;1.92,"ATÍPICO",ABS((I1562-$W$8)/$X$8)&lt;=1.92,"NO ATÍPICO")</f>
        <v>NO ATÍPICO</v>
      </c>
      <c r="L1562">
        <f t="shared" si="112"/>
        <v>355312</v>
      </c>
      <c r="M1562" t="str">
        <f t="shared" si="112"/>
        <v>ASALARIADO</v>
      </c>
      <c r="N1562">
        <f t="shared" si="113"/>
        <v>44</v>
      </c>
      <c r="O1562" s="19" t="str">
        <f t="shared" si="114"/>
        <v>300k–600k</v>
      </c>
      <c r="P1562" s="19" t="str">
        <f t="shared" si="115"/>
        <v>36-45</v>
      </c>
    </row>
    <row r="1563" spans="1:16" x14ac:dyDescent="0.25">
      <c r="A1563">
        <v>1562</v>
      </c>
      <c r="B1563" t="s">
        <v>9</v>
      </c>
      <c r="C1563">
        <v>399910</v>
      </c>
      <c r="D1563" t="s">
        <v>17</v>
      </c>
      <c r="E1563" t="s">
        <v>16</v>
      </c>
      <c r="F1563" t="s">
        <v>12</v>
      </c>
      <c r="G1563" t="s">
        <v>12</v>
      </c>
      <c r="H1563" t="s">
        <v>13</v>
      </c>
      <c r="I1563">
        <v>46</v>
      </c>
      <c r="J1563" t="str" cm="1">
        <f t="array" ref="J1563">_xlfn.IFS(ISBLANK(C1563),"FALTANTE",ABS((C1563-$W$5)/$X$5)&gt;1.96,"ATÍPICO",ABS((C1563-$W$5)/$X$5)&lt;=1.96,"NO ATÍPICO")</f>
        <v>NO ATÍPICO</v>
      </c>
      <c r="K1563" t="str" cm="1">
        <f t="array" ref="K1563">_xlfn.IFS(ISBLANK(I1563),"FALTANTE",ABS((I1563-$W$8)/$X$8)&gt;1.92,"ATÍPICO",ABS((I1563-$W$8)/$X$8)&lt;=1.92,"NO ATÍPICO")</f>
        <v>NO ATÍPICO</v>
      </c>
      <c r="L1563">
        <f t="shared" si="112"/>
        <v>399910</v>
      </c>
      <c r="M1563" t="str">
        <f t="shared" si="112"/>
        <v>ASEGURADO VOLUNTARIO</v>
      </c>
      <c r="N1563">
        <f t="shared" si="113"/>
        <v>46</v>
      </c>
      <c r="O1563" s="19" t="str">
        <f t="shared" si="114"/>
        <v>300k–600k</v>
      </c>
      <c r="P1563" s="19" t="str">
        <f t="shared" si="115"/>
        <v>46-55</v>
      </c>
    </row>
    <row r="1564" spans="1:16" x14ac:dyDescent="0.25">
      <c r="A1564">
        <v>1563</v>
      </c>
      <c r="B1564" t="s">
        <v>15</v>
      </c>
      <c r="C1564">
        <v>500383</v>
      </c>
      <c r="D1564" t="s">
        <v>10</v>
      </c>
      <c r="E1564" t="s">
        <v>16</v>
      </c>
      <c r="F1564" t="s">
        <v>12</v>
      </c>
      <c r="G1564" t="s">
        <v>13</v>
      </c>
      <c r="H1564" t="s">
        <v>13</v>
      </c>
      <c r="I1564">
        <v>36</v>
      </c>
      <c r="J1564" t="str" cm="1">
        <f t="array" ref="J1564">_xlfn.IFS(ISBLANK(C1564),"FALTANTE",ABS((C1564-$W$5)/$X$5)&gt;1.96,"ATÍPICO",ABS((C1564-$W$5)/$X$5)&lt;=1.96,"NO ATÍPICO")</f>
        <v>NO ATÍPICO</v>
      </c>
      <c r="K1564" t="str" cm="1">
        <f t="array" ref="K1564">_xlfn.IFS(ISBLANK(I1564),"FALTANTE",ABS((I1564-$W$8)/$X$8)&gt;1.92,"ATÍPICO",ABS((I1564-$W$8)/$X$8)&lt;=1.92,"NO ATÍPICO")</f>
        <v>NO ATÍPICO</v>
      </c>
      <c r="L1564">
        <f t="shared" si="112"/>
        <v>500383</v>
      </c>
      <c r="M1564" t="str">
        <f t="shared" si="112"/>
        <v>ASALARIADO</v>
      </c>
      <c r="N1564">
        <f t="shared" si="113"/>
        <v>36</v>
      </c>
      <c r="O1564" s="19" t="str">
        <f t="shared" si="114"/>
        <v>300k–600k</v>
      </c>
      <c r="P1564" s="19" t="str">
        <f t="shared" si="115"/>
        <v>36-45</v>
      </c>
    </row>
    <row r="1565" spans="1:16" x14ac:dyDescent="0.25">
      <c r="A1565">
        <v>1564</v>
      </c>
      <c r="B1565" t="s">
        <v>9</v>
      </c>
      <c r="C1565">
        <v>1069544.74</v>
      </c>
      <c r="D1565" t="s">
        <v>10</v>
      </c>
      <c r="E1565" t="s">
        <v>16</v>
      </c>
      <c r="F1565" t="s">
        <v>12</v>
      </c>
      <c r="G1565" t="s">
        <v>13</v>
      </c>
      <c r="H1565" t="s">
        <v>13</v>
      </c>
      <c r="I1565">
        <v>46</v>
      </c>
      <c r="J1565" t="str" cm="1">
        <f t="array" ref="J1565">_xlfn.IFS(ISBLANK(C1565),"FALTANTE",ABS((C1565-$W$5)/$X$5)&gt;1.96,"ATÍPICO",ABS((C1565-$W$5)/$X$5)&lt;=1.96,"NO ATÍPICO")</f>
        <v>NO ATÍPICO</v>
      </c>
      <c r="K1565" t="str" cm="1">
        <f t="array" ref="K1565">_xlfn.IFS(ISBLANK(I1565),"FALTANTE",ABS((I1565-$W$8)/$X$8)&gt;1.92,"ATÍPICO",ABS((I1565-$W$8)/$X$8)&lt;=1.92,"NO ATÍPICO")</f>
        <v>NO ATÍPICO</v>
      </c>
      <c r="L1565">
        <f t="shared" si="112"/>
        <v>1069544.74</v>
      </c>
      <c r="M1565" t="str">
        <f t="shared" si="112"/>
        <v>ASALARIADO</v>
      </c>
      <c r="N1565">
        <f t="shared" si="113"/>
        <v>46</v>
      </c>
      <c r="O1565" s="19" t="str">
        <f t="shared" si="114"/>
        <v>900k–1200k</v>
      </c>
      <c r="P1565" s="19" t="str">
        <f t="shared" si="115"/>
        <v>46-55</v>
      </c>
    </row>
    <row r="1566" spans="1:16" x14ac:dyDescent="0.25">
      <c r="A1566">
        <v>1565</v>
      </c>
      <c r="B1566" t="s">
        <v>15</v>
      </c>
      <c r="C1566">
        <v>284512</v>
      </c>
      <c r="D1566" t="s">
        <v>10</v>
      </c>
      <c r="E1566" t="s">
        <v>16</v>
      </c>
      <c r="F1566" t="s">
        <v>12</v>
      </c>
      <c r="G1566" t="s">
        <v>13</v>
      </c>
      <c r="H1566" t="s">
        <v>13</v>
      </c>
      <c r="I1566">
        <v>29</v>
      </c>
      <c r="J1566" t="str" cm="1">
        <f t="array" ref="J1566">_xlfn.IFS(ISBLANK(C1566),"FALTANTE",ABS((C1566-$W$5)/$X$5)&gt;1.96,"ATÍPICO",ABS((C1566-$W$5)/$X$5)&lt;=1.96,"NO ATÍPICO")</f>
        <v>NO ATÍPICO</v>
      </c>
      <c r="K1566" t="str" cm="1">
        <f t="array" ref="K1566">_xlfn.IFS(ISBLANK(I1566),"FALTANTE",ABS((I1566-$W$8)/$X$8)&gt;1.92,"ATÍPICO",ABS((I1566-$W$8)/$X$8)&lt;=1.92,"NO ATÍPICO")</f>
        <v>NO ATÍPICO</v>
      </c>
      <c r="L1566">
        <f t="shared" si="112"/>
        <v>284512</v>
      </c>
      <c r="M1566" t="str">
        <f t="shared" si="112"/>
        <v>ASALARIADO</v>
      </c>
      <c r="N1566">
        <f t="shared" si="113"/>
        <v>29</v>
      </c>
      <c r="O1566" s="19" t="str">
        <f t="shared" si="114"/>
        <v>0–300k</v>
      </c>
      <c r="P1566" s="19" t="str">
        <f t="shared" si="115"/>
        <v>26-35</v>
      </c>
    </row>
    <row r="1567" spans="1:16" x14ac:dyDescent="0.25">
      <c r="A1567">
        <v>1566</v>
      </c>
      <c r="B1567" t="s">
        <v>9</v>
      </c>
      <c r="C1567">
        <v>2900000</v>
      </c>
      <c r="D1567" t="s">
        <v>10</v>
      </c>
      <c r="E1567" t="s">
        <v>16</v>
      </c>
      <c r="F1567" t="s">
        <v>12</v>
      </c>
      <c r="G1567" t="s">
        <v>13</v>
      </c>
      <c r="H1567" t="s">
        <v>13</v>
      </c>
      <c r="I1567">
        <v>35</v>
      </c>
      <c r="J1567" t="str" cm="1">
        <f t="array" ref="J1567">_xlfn.IFS(ISBLANK(C1567),"FALTANTE",ABS((C1567-$W$5)/$X$5)&gt;1.96,"ATÍPICO",ABS((C1567-$W$5)/$X$5)&lt;=1.96,"NO ATÍPICO")</f>
        <v>ATÍPICO</v>
      </c>
      <c r="K1567" t="str" cm="1">
        <f t="array" ref="K1567">_xlfn.IFS(ISBLANK(I1567),"FALTANTE",ABS((I1567-$W$8)/$X$8)&gt;1.92,"ATÍPICO",ABS((I1567-$W$8)/$X$8)&lt;=1.92,"NO ATÍPICO")</f>
        <v>NO ATÍPICO</v>
      </c>
      <c r="L1567">
        <f t="shared" si="112"/>
        <v>2900000</v>
      </c>
      <c r="M1567" t="str">
        <f t="shared" si="112"/>
        <v>ASALARIADO</v>
      </c>
      <c r="N1567">
        <f t="shared" si="113"/>
        <v>35</v>
      </c>
      <c r="O1567" s="19" t="str">
        <f t="shared" si="114"/>
        <v>1200k+</v>
      </c>
      <c r="P1567" s="19" t="str">
        <f t="shared" si="115"/>
        <v>26-35</v>
      </c>
    </row>
    <row r="1568" spans="1:16" x14ac:dyDescent="0.25">
      <c r="A1568">
        <v>1567</v>
      </c>
      <c r="B1568" t="s">
        <v>9</v>
      </c>
      <c r="C1568">
        <v>398327.08</v>
      </c>
      <c r="D1568" t="s">
        <v>10</v>
      </c>
      <c r="E1568" t="s">
        <v>16</v>
      </c>
      <c r="F1568" t="s">
        <v>12</v>
      </c>
      <c r="G1568" t="s">
        <v>13</v>
      </c>
      <c r="H1568" t="s">
        <v>13</v>
      </c>
      <c r="I1568">
        <v>38</v>
      </c>
      <c r="J1568" t="str" cm="1">
        <f t="array" ref="J1568">_xlfn.IFS(ISBLANK(C1568),"FALTANTE",ABS((C1568-$W$5)/$X$5)&gt;1.96,"ATÍPICO",ABS((C1568-$W$5)/$X$5)&lt;=1.96,"NO ATÍPICO")</f>
        <v>NO ATÍPICO</v>
      </c>
      <c r="K1568" t="str" cm="1">
        <f t="array" ref="K1568">_xlfn.IFS(ISBLANK(I1568),"FALTANTE",ABS((I1568-$W$8)/$X$8)&gt;1.92,"ATÍPICO",ABS((I1568-$W$8)/$X$8)&lt;=1.92,"NO ATÍPICO")</f>
        <v>NO ATÍPICO</v>
      </c>
      <c r="L1568">
        <f t="shared" si="112"/>
        <v>398327.08</v>
      </c>
      <c r="M1568" t="str">
        <f t="shared" si="112"/>
        <v>ASALARIADO</v>
      </c>
      <c r="N1568">
        <f t="shared" si="113"/>
        <v>38</v>
      </c>
      <c r="O1568" s="19" t="str">
        <f t="shared" si="114"/>
        <v>300k–600k</v>
      </c>
      <c r="P1568" s="19" t="str">
        <f t="shared" si="115"/>
        <v>36-45</v>
      </c>
    </row>
    <row r="1569" spans="1:16" x14ac:dyDescent="0.25">
      <c r="A1569">
        <v>1568</v>
      </c>
      <c r="B1569" t="s">
        <v>9</v>
      </c>
      <c r="C1569">
        <v>642418.54</v>
      </c>
      <c r="D1569" t="s">
        <v>10</v>
      </c>
      <c r="E1569" t="s">
        <v>16</v>
      </c>
      <c r="F1569" t="s">
        <v>12</v>
      </c>
      <c r="G1569" t="s">
        <v>13</v>
      </c>
      <c r="H1569" t="s">
        <v>13</v>
      </c>
      <c r="I1569">
        <v>53</v>
      </c>
      <c r="J1569" t="str" cm="1">
        <f t="array" ref="J1569">_xlfn.IFS(ISBLANK(C1569),"FALTANTE",ABS((C1569-$W$5)/$X$5)&gt;1.96,"ATÍPICO",ABS((C1569-$W$5)/$X$5)&lt;=1.96,"NO ATÍPICO")</f>
        <v>NO ATÍPICO</v>
      </c>
      <c r="K1569" t="str" cm="1">
        <f t="array" ref="K1569">_xlfn.IFS(ISBLANK(I1569),"FALTANTE",ABS((I1569-$W$8)/$X$8)&gt;1.92,"ATÍPICO",ABS((I1569-$W$8)/$X$8)&lt;=1.92,"NO ATÍPICO")</f>
        <v>NO ATÍPICO</v>
      </c>
      <c r="L1569">
        <f t="shared" si="112"/>
        <v>642418.54</v>
      </c>
      <c r="M1569" t="str">
        <f t="shared" si="112"/>
        <v>ASALARIADO</v>
      </c>
      <c r="N1569">
        <f t="shared" si="113"/>
        <v>53</v>
      </c>
      <c r="O1569" s="19" t="str">
        <f t="shared" si="114"/>
        <v>600k–900k</v>
      </c>
      <c r="P1569" s="19" t="str">
        <f t="shared" si="115"/>
        <v>46-55</v>
      </c>
    </row>
    <row r="1570" spans="1:16" x14ac:dyDescent="0.25">
      <c r="A1570">
        <v>1569</v>
      </c>
      <c r="B1570" t="s">
        <v>9</v>
      </c>
      <c r="C1570">
        <v>509509</v>
      </c>
      <c r="D1570" t="s">
        <v>18</v>
      </c>
      <c r="E1570" t="s">
        <v>16</v>
      </c>
      <c r="F1570" t="s">
        <v>12</v>
      </c>
      <c r="G1570" t="s">
        <v>13</v>
      </c>
      <c r="H1570" t="s">
        <v>13</v>
      </c>
      <c r="I1570">
        <v>56</v>
      </c>
      <c r="J1570" t="str" cm="1">
        <f t="array" ref="J1570">_xlfn.IFS(ISBLANK(C1570),"FALTANTE",ABS((C1570-$W$5)/$X$5)&gt;1.96,"ATÍPICO",ABS((C1570-$W$5)/$X$5)&lt;=1.96,"NO ATÍPICO")</f>
        <v>NO ATÍPICO</v>
      </c>
      <c r="K1570" t="str" cm="1">
        <f t="array" ref="K1570">_xlfn.IFS(ISBLANK(I1570),"FALTANTE",ABS((I1570-$W$8)/$X$8)&gt;1.92,"ATÍPICO",ABS((I1570-$W$8)/$X$8)&lt;=1.92,"NO ATÍPICO")</f>
        <v>NO ATÍPICO</v>
      </c>
      <c r="L1570">
        <f t="shared" si="112"/>
        <v>509509</v>
      </c>
      <c r="M1570" t="str">
        <f t="shared" si="112"/>
        <v>TRABAJADOR INDEPENDIENTE</v>
      </c>
      <c r="N1570">
        <f t="shared" si="113"/>
        <v>56</v>
      </c>
      <c r="O1570" s="19" t="str">
        <f t="shared" si="114"/>
        <v>300k–600k</v>
      </c>
      <c r="P1570" s="19" t="str">
        <f t="shared" si="115"/>
        <v>56+</v>
      </c>
    </row>
    <row r="1571" spans="1:16" x14ac:dyDescent="0.25">
      <c r="A1571">
        <v>1570</v>
      </c>
      <c r="B1571" t="s">
        <v>9</v>
      </c>
      <c r="C1571">
        <v>608941</v>
      </c>
      <c r="D1571" t="s">
        <v>18</v>
      </c>
      <c r="E1571" t="s">
        <v>16</v>
      </c>
      <c r="F1571" t="s">
        <v>12</v>
      </c>
      <c r="G1571" t="s">
        <v>13</v>
      </c>
      <c r="H1571" t="s">
        <v>12</v>
      </c>
      <c r="I1571">
        <v>57</v>
      </c>
      <c r="J1571" t="str" cm="1">
        <f t="array" ref="J1571">_xlfn.IFS(ISBLANK(C1571),"FALTANTE",ABS((C1571-$W$5)/$X$5)&gt;1.96,"ATÍPICO",ABS((C1571-$W$5)/$X$5)&lt;=1.96,"NO ATÍPICO")</f>
        <v>NO ATÍPICO</v>
      </c>
      <c r="K1571" t="str" cm="1">
        <f t="array" ref="K1571">_xlfn.IFS(ISBLANK(I1571),"FALTANTE",ABS((I1571-$W$8)/$X$8)&gt;1.92,"ATÍPICO",ABS((I1571-$W$8)/$X$8)&lt;=1.92,"NO ATÍPICO")</f>
        <v>NO ATÍPICO</v>
      </c>
      <c r="L1571">
        <f t="shared" si="112"/>
        <v>608941</v>
      </c>
      <c r="M1571" t="str">
        <f t="shared" si="112"/>
        <v>TRABAJADOR INDEPENDIENTE</v>
      </c>
      <c r="N1571">
        <f t="shared" si="113"/>
        <v>57</v>
      </c>
      <c r="O1571" s="19" t="str">
        <f t="shared" si="114"/>
        <v>600k–900k</v>
      </c>
      <c r="P1571" s="19" t="str">
        <f t="shared" si="115"/>
        <v>56+</v>
      </c>
    </row>
    <row r="1572" spans="1:16" x14ac:dyDescent="0.25">
      <c r="A1572">
        <v>1571</v>
      </c>
      <c r="B1572" t="s">
        <v>9</v>
      </c>
      <c r="C1572">
        <v>537156.98</v>
      </c>
      <c r="D1572" t="s">
        <v>10</v>
      </c>
      <c r="E1572" t="s">
        <v>16</v>
      </c>
      <c r="F1572" t="s">
        <v>12</v>
      </c>
      <c r="G1572" t="s">
        <v>13</v>
      </c>
      <c r="H1572" t="s">
        <v>13</v>
      </c>
      <c r="I1572">
        <v>21</v>
      </c>
      <c r="J1572" t="str" cm="1">
        <f t="array" ref="J1572">_xlfn.IFS(ISBLANK(C1572),"FALTANTE",ABS((C1572-$W$5)/$X$5)&gt;1.96,"ATÍPICO",ABS((C1572-$W$5)/$X$5)&lt;=1.96,"NO ATÍPICO")</f>
        <v>NO ATÍPICO</v>
      </c>
      <c r="K1572" t="str" cm="1">
        <f t="array" ref="K1572">_xlfn.IFS(ISBLANK(I1572),"FALTANTE",ABS((I1572-$W$8)/$X$8)&gt;1.92,"ATÍPICO",ABS((I1572-$W$8)/$X$8)&lt;=1.92,"NO ATÍPICO")</f>
        <v>NO ATÍPICO</v>
      </c>
      <c r="L1572">
        <f t="shared" si="112"/>
        <v>537156.98</v>
      </c>
      <c r="M1572" t="str">
        <f t="shared" si="112"/>
        <v>ASALARIADO</v>
      </c>
      <c r="N1572">
        <f t="shared" si="113"/>
        <v>21</v>
      </c>
      <c r="O1572" s="19" t="str">
        <f t="shared" si="114"/>
        <v>300k–600k</v>
      </c>
      <c r="P1572" s="19" t="str">
        <f t="shared" si="115"/>
        <v>18-25</v>
      </c>
    </row>
    <row r="1573" spans="1:16" x14ac:dyDescent="0.25">
      <c r="A1573">
        <v>1572</v>
      </c>
      <c r="B1573" t="s">
        <v>15</v>
      </c>
      <c r="C1573">
        <v>1545800</v>
      </c>
      <c r="D1573" t="s">
        <v>10</v>
      </c>
      <c r="E1573" t="s">
        <v>11</v>
      </c>
      <c r="F1573" t="s">
        <v>12</v>
      </c>
      <c r="G1573" t="s">
        <v>13</v>
      </c>
      <c r="H1573" t="s">
        <v>13</v>
      </c>
      <c r="I1573">
        <v>55</v>
      </c>
      <c r="J1573" t="str" cm="1">
        <f t="array" ref="J1573">_xlfn.IFS(ISBLANK(C1573),"FALTANTE",ABS((C1573-$W$5)/$X$5)&gt;1.96,"ATÍPICO",ABS((C1573-$W$5)/$X$5)&lt;=1.96,"NO ATÍPICO")</f>
        <v>NO ATÍPICO</v>
      </c>
      <c r="K1573" t="str" cm="1">
        <f t="array" ref="K1573">_xlfn.IFS(ISBLANK(I1573),"FALTANTE",ABS((I1573-$W$8)/$X$8)&gt;1.92,"ATÍPICO",ABS((I1573-$W$8)/$X$8)&lt;=1.92,"NO ATÍPICO")</f>
        <v>NO ATÍPICO</v>
      </c>
      <c r="L1573">
        <f t="shared" si="112"/>
        <v>1545800</v>
      </c>
      <c r="M1573" t="str">
        <f t="shared" si="112"/>
        <v>ASALARIADO</v>
      </c>
      <c r="N1573">
        <f t="shared" si="113"/>
        <v>55</v>
      </c>
      <c r="O1573" s="19" t="str">
        <f t="shared" si="114"/>
        <v>1200k+</v>
      </c>
      <c r="P1573" s="19" t="str">
        <f t="shared" si="115"/>
        <v>46-55</v>
      </c>
    </row>
    <row r="1574" spans="1:16" x14ac:dyDescent="0.25">
      <c r="A1574">
        <v>1573</v>
      </c>
      <c r="B1574" t="s">
        <v>15</v>
      </c>
      <c r="C1574">
        <v>1070405</v>
      </c>
      <c r="D1574" t="s">
        <v>10</v>
      </c>
      <c r="E1574" t="s">
        <v>11</v>
      </c>
      <c r="F1574" t="s">
        <v>12</v>
      </c>
      <c r="G1574" t="s">
        <v>13</v>
      </c>
      <c r="H1574" t="s">
        <v>13</v>
      </c>
      <c r="I1574">
        <v>30</v>
      </c>
      <c r="J1574" t="str" cm="1">
        <f t="array" ref="J1574">_xlfn.IFS(ISBLANK(C1574),"FALTANTE",ABS((C1574-$W$5)/$X$5)&gt;1.96,"ATÍPICO",ABS((C1574-$W$5)/$X$5)&lt;=1.96,"NO ATÍPICO")</f>
        <v>NO ATÍPICO</v>
      </c>
      <c r="K1574" t="str" cm="1">
        <f t="array" ref="K1574">_xlfn.IFS(ISBLANK(I1574),"FALTANTE",ABS((I1574-$W$8)/$X$8)&gt;1.92,"ATÍPICO",ABS((I1574-$W$8)/$X$8)&lt;=1.92,"NO ATÍPICO")</f>
        <v>NO ATÍPICO</v>
      </c>
      <c r="L1574">
        <f t="shared" si="112"/>
        <v>1070405</v>
      </c>
      <c r="M1574" t="str">
        <f t="shared" si="112"/>
        <v>ASALARIADO</v>
      </c>
      <c r="N1574">
        <f t="shared" si="113"/>
        <v>30</v>
      </c>
      <c r="O1574" s="19" t="str">
        <f t="shared" si="114"/>
        <v>900k–1200k</v>
      </c>
      <c r="P1574" s="19" t="str">
        <f t="shared" si="115"/>
        <v>26-35</v>
      </c>
    </row>
    <row r="1575" spans="1:16" x14ac:dyDescent="0.25">
      <c r="A1575">
        <v>1574</v>
      </c>
      <c r="B1575" t="s">
        <v>9</v>
      </c>
      <c r="C1575">
        <v>625396</v>
      </c>
      <c r="D1575" t="s">
        <v>18</v>
      </c>
      <c r="E1575" t="s">
        <v>16</v>
      </c>
      <c r="F1575" t="s">
        <v>12</v>
      </c>
      <c r="G1575" t="s">
        <v>13</v>
      </c>
      <c r="H1575" t="s">
        <v>13</v>
      </c>
      <c r="I1575">
        <v>44</v>
      </c>
      <c r="J1575" t="str" cm="1">
        <f t="array" ref="J1575">_xlfn.IFS(ISBLANK(C1575),"FALTANTE",ABS((C1575-$W$5)/$X$5)&gt;1.96,"ATÍPICO",ABS((C1575-$W$5)/$X$5)&lt;=1.96,"NO ATÍPICO")</f>
        <v>NO ATÍPICO</v>
      </c>
      <c r="K1575" t="str" cm="1">
        <f t="array" ref="K1575">_xlfn.IFS(ISBLANK(I1575),"FALTANTE",ABS((I1575-$W$8)/$X$8)&gt;1.92,"ATÍPICO",ABS((I1575-$W$8)/$X$8)&lt;=1.92,"NO ATÍPICO")</f>
        <v>NO ATÍPICO</v>
      </c>
      <c r="L1575">
        <f t="shared" si="112"/>
        <v>625396</v>
      </c>
      <c r="M1575" t="str">
        <f t="shared" si="112"/>
        <v>TRABAJADOR INDEPENDIENTE</v>
      </c>
      <c r="N1575">
        <f t="shared" si="113"/>
        <v>44</v>
      </c>
      <c r="O1575" s="19" t="str">
        <f t="shared" si="114"/>
        <v>600k–900k</v>
      </c>
      <c r="P1575" s="19" t="str">
        <f t="shared" si="115"/>
        <v>36-45</v>
      </c>
    </row>
    <row r="1576" spans="1:16" x14ac:dyDescent="0.25">
      <c r="A1576">
        <v>1575</v>
      </c>
      <c r="B1576" t="s">
        <v>15</v>
      </c>
      <c r="C1576">
        <v>925000</v>
      </c>
      <c r="D1576" t="s">
        <v>10</v>
      </c>
      <c r="E1576" t="s">
        <v>16</v>
      </c>
      <c r="F1576" t="s">
        <v>12</v>
      </c>
      <c r="G1576" t="s">
        <v>13</v>
      </c>
      <c r="H1576" t="s">
        <v>13</v>
      </c>
      <c r="I1576">
        <v>49</v>
      </c>
      <c r="J1576" t="str" cm="1">
        <f t="array" ref="J1576">_xlfn.IFS(ISBLANK(C1576),"FALTANTE",ABS((C1576-$W$5)/$X$5)&gt;1.96,"ATÍPICO",ABS((C1576-$W$5)/$X$5)&lt;=1.96,"NO ATÍPICO")</f>
        <v>NO ATÍPICO</v>
      </c>
      <c r="K1576" t="str" cm="1">
        <f t="array" ref="K1576">_xlfn.IFS(ISBLANK(I1576),"FALTANTE",ABS((I1576-$W$8)/$X$8)&gt;1.92,"ATÍPICO",ABS((I1576-$W$8)/$X$8)&lt;=1.92,"NO ATÍPICO")</f>
        <v>NO ATÍPICO</v>
      </c>
      <c r="L1576">
        <f t="shared" si="112"/>
        <v>925000</v>
      </c>
      <c r="M1576" t="str">
        <f t="shared" si="112"/>
        <v>ASALARIADO</v>
      </c>
      <c r="N1576">
        <f t="shared" si="113"/>
        <v>49</v>
      </c>
      <c r="O1576" s="19" t="str">
        <f t="shared" si="114"/>
        <v>900k–1200k</v>
      </c>
      <c r="P1576" s="19" t="str">
        <f t="shared" si="115"/>
        <v>46-55</v>
      </c>
    </row>
    <row r="1577" spans="1:16" x14ac:dyDescent="0.25">
      <c r="A1577">
        <v>1576</v>
      </c>
      <c r="B1577" t="s">
        <v>9</v>
      </c>
      <c r="C1577">
        <v>261897.3</v>
      </c>
      <c r="D1577" t="s">
        <v>10</v>
      </c>
      <c r="E1577" t="s">
        <v>16</v>
      </c>
      <c r="F1577" t="s">
        <v>12</v>
      </c>
      <c r="G1577" t="s">
        <v>12</v>
      </c>
      <c r="H1577" t="s">
        <v>13</v>
      </c>
      <c r="I1577">
        <v>57</v>
      </c>
      <c r="J1577" t="str" cm="1">
        <f t="array" ref="J1577">_xlfn.IFS(ISBLANK(C1577),"FALTANTE",ABS((C1577-$W$5)/$X$5)&gt;1.96,"ATÍPICO",ABS((C1577-$W$5)/$X$5)&lt;=1.96,"NO ATÍPICO")</f>
        <v>NO ATÍPICO</v>
      </c>
      <c r="K1577" t="str" cm="1">
        <f t="array" ref="K1577">_xlfn.IFS(ISBLANK(I1577),"FALTANTE",ABS((I1577-$W$8)/$X$8)&gt;1.92,"ATÍPICO",ABS((I1577-$W$8)/$X$8)&lt;=1.92,"NO ATÍPICO")</f>
        <v>NO ATÍPICO</v>
      </c>
      <c r="L1577">
        <f t="shared" si="112"/>
        <v>261897.3</v>
      </c>
      <c r="M1577" t="str">
        <f t="shared" si="112"/>
        <v>ASALARIADO</v>
      </c>
      <c r="N1577">
        <f t="shared" si="113"/>
        <v>57</v>
      </c>
      <c r="O1577" s="19" t="str">
        <f t="shared" si="114"/>
        <v>0–300k</v>
      </c>
      <c r="P1577" s="19" t="str">
        <f t="shared" si="115"/>
        <v>56+</v>
      </c>
    </row>
    <row r="1578" spans="1:16" x14ac:dyDescent="0.25">
      <c r="A1578">
        <v>1577</v>
      </c>
      <c r="B1578" t="s">
        <v>15</v>
      </c>
      <c r="C1578">
        <v>297046</v>
      </c>
      <c r="D1578" t="s">
        <v>17</v>
      </c>
      <c r="E1578" t="s">
        <v>16</v>
      </c>
      <c r="F1578" t="s">
        <v>12</v>
      </c>
      <c r="G1578" t="s">
        <v>12</v>
      </c>
      <c r="H1578" t="s">
        <v>12</v>
      </c>
      <c r="I1578">
        <v>43</v>
      </c>
      <c r="J1578" t="str" cm="1">
        <f t="array" ref="J1578">_xlfn.IFS(ISBLANK(C1578),"FALTANTE",ABS((C1578-$W$5)/$X$5)&gt;1.96,"ATÍPICO",ABS((C1578-$W$5)/$X$5)&lt;=1.96,"NO ATÍPICO")</f>
        <v>NO ATÍPICO</v>
      </c>
      <c r="K1578" t="str" cm="1">
        <f t="array" ref="K1578">_xlfn.IFS(ISBLANK(I1578),"FALTANTE",ABS((I1578-$W$8)/$X$8)&gt;1.92,"ATÍPICO",ABS((I1578-$W$8)/$X$8)&lt;=1.92,"NO ATÍPICO")</f>
        <v>NO ATÍPICO</v>
      </c>
      <c r="L1578">
        <f t="shared" si="112"/>
        <v>297046</v>
      </c>
      <c r="M1578" t="str">
        <f t="shared" si="112"/>
        <v>ASEGURADO VOLUNTARIO</v>
      </c>
      <c r="N1578">
        <f t="shared" si="113"/>
        <v>43</v>
      </c>
      <c r="O1578" s="19" t="str">
        <f t="shared" si="114"/>
        <v>0–300k</v>
      </c>
      <c r="P1578" s="19" t="str">
        <f t="shared" si="115"/>
        <v>36-45</v>
      </c>
    </row>
    <row r="1579" spans="1:16" x14ac:dyDescent="0.25">
      <c r="A1579">
        <v>1578</v>
      </c>
      <c r="B1579" t="s">
        <v>15</v>
      </c>
      <c r="C1579">
        <v>582705.18000000005</v>
      </c>
      <c r="D1579" t="s">
        <v>10</v>
      </c>
      <c r="E1579" t="s">
        <v>16</v>
      </c>
      <c r="F1579" t="s">
        <v>12</v>
      </c>
      <c r="G1579" t="s">
        <v>13</v>
      </c>
      <c r="H1579" t="s">
        <v>13</v>
      </c>
      <c r="I1579">
        <v>30</v>
      </c>
      <c r="J1579" t="str" cm="1">
        <f t="array" ref="J1579">_xlfn.IFS(ISBLANK(C1579),"FALTANTE",ABS((C1579-$W$5)/$X$5)&gt;1.96,"ATÍPICO",ABS((C1579-$W$5)/$X$5)&lt;=1.96,"NO ATÍPICO")</f>
        <v>NO ATÍPICO</v>
      </c>
      <c r="K1579" t="str" cm="1">
        <f t="array" ref="K1579">_xlfn.IFS(ISBLANK(I1579),"FALTANTE",ABS((I1579-$W$8)/$X$8)&gt;1.92,"ATÍPICO",ABS((I1579-$W$8)/$X$8)&lt;=1.92,"NO ATÍPICO")</f>
        <v>NO ATÍPICO</v>
      </c>
      <c r="L1579">
        <f t="shared" si="112"/>
        <v>582705.18000000005</v>
      </c>
      <c r="M1579" t="str">
        <f t="shared" si="112"/>
        <v>ASALARIADO</v>
      </c>
      <c r="N1579">
        <f t="shared" si="113"/>
        <v>30</v>
      </c>
      <c r="O1579" s="19" t="str">
        <f t="shared" si="114"/>
        <v>300k–600k</v>
      </c>
      <c r="P1579" s="19" t="str">
        <f t="shared" si="115"/>
        <v>26-35</v>
      </c>
    </row>
    <row r="1580" spans="1:16" x14ac:dyDescent="0.25">
      <c r="A1580">
        <v>1579</v>
      </c>
      <c r="B1580" t="s">
        <v>9</v>
      </c>
      <c r="C1580">
        <v>49684.32</v>
      </c>
      <c r="D1580" t="s">
        <v>10</v>
      </c>
      <c r="E1580" t="s">
        <v>16</v>
      </c>
      <c r="F1580" t="s">
        <v>12</v>
      </c>
      <c r="G1580" t="s">
        <v>13</v>
      </c>
      <c r="H1580" t="s">
        <v>13</v>
      </c>
      <c r="I1580">
        <v>42</v>
      </c>
      <c r="J1580" t="str" cm="1">
        <f t="array" ref="J1580">_xlfn.IFS(ISBLANK(C1580),"FALTANTE",ABS((C1580-$W$5)/$X$5)&gt;1.96,"ATÍPICO",ABS((C1580-$W$5)/$X$5)&lt;=1.96,"NO ATÍPICO")</f>
        <v>NO ATÍPICO</v>
      </c>
      <c r="K1580" t="str" cm="1">
        <f t="array" ref="K1580">_xlfn.IFS(ISBLANK(I1580),"FALTANTE",ABS((I1580-$W$8)/$X$8)&gt;1.92,"ATÍPICO",ABS((I1580-$W$8)/$X$8)&lt;=1.92,"NO ATÍPICO")</f>
        <v>NO ATÍPICO</v>
      </c>
      <c r="L1580">
        <f t="shared" si="112"/>
        <v>49684.32</v>
      </c>
      <c r="M1580" t="str">
        <f t="shared" si="112"/>
        <v>ASALARIADO</v>
      </c>
      <c r="N1580">
        <f t="shared" si="113"/>
        <v>42</v>
      </c>
      <c r="O1580" s="19" t="str">
        <f t="shared" si="114"/>
        <v>0–300k</v>
      </c>
      <c r="P1580" s="19" t="str">
        <f t="shared" si="115"/>
        <v>36-45</v>
      </c>
    </row>
    <row r="1581" spans="1:16" x14ac:dyDescent="0.25">
      <c r="A1581">
        <v>1580</v>
      </c>
      <c r="B1581" t="s">
        <v>9</v>
      </c>
      <c r="C1581">
        <v>427025</v>
      </c>
      <c r="D1581" t="s">
        <v>10</v>
      </c>
      <c r="E1581" t="s">
        <v>16</v>
      </c>
      <c r="F1581" t="s">
        <v>12</v>
      </c>
      <c r="G1581" t="s">
        <v>13</v>
      </c>
      <c r="H1581" t="s">
        <v>13</v>
      </c>
      <c r="I1581">
        <v>32</v>
      </c>
      <c r="J1581" t="str" cm="1">
        <f t="array" ref="J1581">_xlfn.IFS(ISBLANK(C1581),"FALTANTE",ABS((C1581-$W$5)/$X$5)&gt;1.96,"ATÍPICO",ABS((C1581-$W$5)/$X$5)&lt;=1.96,"NO ATÍPICO")</f>
        <v>NO ATÍPICO</v>
      </c>
      <c r="K1581" t="str" cm="1">
        <f t="array" ref="K1581">_xlfn.IFS(ISBLANK(I1581),"FALTANTE",ABS((I1581-$W$8)/$X$8)&gt;1.92,"ATÍPICO",ABS((I1581-$W$8)/$X$8)&lt;=1.92,"NO ATÍPICO")</f>
        <v>NO ATÍPICO</v>
      </c>
      <c r="L1581">
        <f t="shared" si="112"/>
        <v>427025</v>
      </c>
      <c r="M1581" t="str">
        <f t="shared" si="112"/>
        <v>ASALARIADO</v>
      </c>
      <c r="N1581">
        <f t="shared" si="113"/>
        <v>32</v>
      </c>
      <c r="O1581" s="19" t="str">
        <f t="shared" si="114"/>
        <v>300k–600k</v>
      </c>
      <c r="P1581" s="19" t="str">
        <f t="shared" si="115"/>
        <v>26-35</v>
      </c>
    </row>
    <row r="1582" spans="1:16" x14ac:dyDescent="0.25">
      <c r="A1582">
        <v>1581</v>
      </c>
      <c r="B1582" t="s">
        <v>15</v>
      </c>
      <c r="C1582">
        <v>188362.97</v>
      </c>
      <c r="D1582" t="s">
        <v>10</v>
      </c>
      <c r="E1582" t="s">
        <v>16</v>
      </c>
      <c r="F1582" t="s">
        <v>12</v>
      </c>
      <c r="G1582" t="s">
        <v>13</v>
      </c>
      <c r="H1582" t="s">
        <v>13</v>
      </c>
      <c r="I1582">
        <v>34</v>
      </c>
      <c r="J1582" t="str" cm="1">
        <f t="array" ref="J1582">_xlfn.IFS(ISBLANK(C1582),"FALTANTE",ABS((C1582-$W$5)/$X$5)&gt;1.96,"ATÍPICO",ABS((C1582-$W$5)/$X$5)&lt;=1.96,"NO ATÍPICO")</f>
        <v>NO ATÍPICO</v>
      </c>
      <c r="K1582" t="str" cm="1">
        <f t="array" ref="K1582">_xlfn.IFS(ISBLANK(I1582),"FALTANTE",ABS((I1582-$W$8)/$X$8)&gt;1.92,"ATÍPICO",ABS((I1582-$W$8)/$X$8)&lt;=1.92,"NO ATÍPICO")</f>
        <v>NO ATÍPICO</v>
      </c>
      <c r="L1582">
        <f t="shared" si="112"/>
        <v>188362.97</v>
      </c>
      <c r="M1582" t="str">
        <f t="shared" si="112"/>
        <v>ASALARIADO</v>
      </c>
      <c r="N1582">
        <f t="shared" si="113"/>
        <v>34</v>
      </c>
      <c r="O1582" s="19" t="str">
        <f t="shared" si="114"/>
        <v>0–300k</v>
      </c>
      <c r="P1582" s="19" t="str">
        <f t="shared" si="115"/>
        <v>26-35</v>
      </c>
    </row>
    <row r="1583" spans="1:16" x14ac:dyDescent="0.25">
      <c r="A1583">
        <v>1582</v>
      </c>
      <c r="B1583" t="s">
        <v>9</v>
      </c>
      <c r="C1583">
        <v>527956.5</v>
      </c>
      <c r="D1583" t="s">
        <v>10</v>
      </c>
      <c r="E1583" t="s">
        <v>11</v>
      </c>
      <c r="F1583" t="s">
        <v>12</v>
      </c>
      <c r="G1583" t="s">
        <v>13</v>
      </c>
      <c r="H1583" t="s">
        <v>13</v>
      </c>
      <c r="I1583">
        <v>23</v>
      </c>
      <c r="J1583" t="str" cm="1">
        <f t="array" ref="J1583">_xlfn.IFS(ISBLANK(C1583),"FALTANTE",ABS((C1583-$W$5)/$X$5)&gt;1.96,"ATÍPICO",ABS((C1583-$W$5)/$X$5)&lt;=1.96,"NO ATÍPICO")</f>
        <v>NO ATÍPICO</v>
      </c>
      <c r="K1583" t="str" cm="1">
        <f t="array" ref="K1583">_xlfn.IFS(ISBLANK(I1583),"FALTANTE",ABS((I1583-$W$8)/$X$8)&gt;1.92,"ATÍPICO",ABS((I1583-$W$8)/$X$8)&lt;=1.92,"NO ATÍPICO")</f>
        <v>NO ATÍPICO</v>
      </c>
      <c r="L1583">
        <f t="shared" si="112"/>
        <v>527956.5</v>
      </c>
      <c r="M1583" t="str">
        <f t="shared" si="112"/>
        <v>ASALARIADO</v>
      </c>
      <c r="N1583">
        <f t="shared" si="113"/>
        <v>23</v>
      </c>
      <c r="O1583" s="19" t="str">
        <f t="shared" si="114"/>
        <v>300k–600k</v>
      </c>
      <c r="P1583" s="19" t="str">
        <f t="shared" si="115"/>
        <v>18-25</v>
      </c>
    </row>
    <row r="1584" spans="1:16" x14ac:dyDescent="0.25">
      <c r="A1584">
        <v>1583</v>
      </c>
      <c r="B1584" t="s">
        <v>9</v>
      </c>
      <c r="C1584">
        <v>811305.9</v>
      </c>
      <c r="D1584" t="s">
        <v>14</v>
      </c>
      <c r="E1584" t="s">
        <v>11</v>
      </c>
      <c r="F1584" t="s">
        <v>12</v>
      </c>
      <c r="G1584" t="s">
        <v>13</v>
      </c>
      <c r="H1584" t="s">
        <v>13</v>
      </c>
      <c r="I1584">
        <v>83</v>
      </c>
      <c r="J1584" t="str" cm="1">
        <f t="array" ref="J1584">_xlfn.IFS(ISBLANK(C1584),"FALTANTE",ABS((C1584-$W$5)/$X$5)&gt;1.96,"ATÍPICO",ABS((C1584-$W$5)/$X$5)&lt;=1.96,"NO ATÍPICO")</f>
        <v>NO ATÍPICO</v>
      </c>
      <c r="K1584" t="str" cm="1">
        <f t="array" ref="K1584">_xlfn.IFS(ISBLANK(I1584),"FALTANTE",ABS((I1584-$W$8)/$X$8)&gt;1.92,"ATÍPICO",ABS((I1584-$W$8)/$X$8)&lt;=1.92,"NO ATÍPICO")</f>
        <v>ATÍPICO</v>
      </c>
      <c r="L1584">
        <f t="shared" si="112"/>
        <v>811305.9</v>
      </c>
      <c r="M1584" t="str">
        <f t="shared" si="112"/>
        <v>PENSIONADOS EN SU PROPIO SISTEMA</v>
      </c>
      <c r="N1584">
        <f t="shared" si="113"/>
        <v>83</v>
      </c>
      <c r="O1584" s="19" t="str">
        <f t="shared" si="114"/>
        <v>600k–900k</v>
      </c>
      <c r="P1584" s="19" t="str">
        <f t="shared" si="115"/>
        <v>56+</v>
      </c>
    </row>
    <row r="1585" spans="1:16" x14ac:dyDescent="0.25">
      <c r="A1585">
        <v>1584</v>
      </c>
      <c r="B1585" t="s">
        <v>15</v>
      </c>
      <c r="C1585">
        <v>165972.39000000001</v>
      </c>
      <c r="D1585" t="s">
        <v>10</v>
      </c>
      <c r="E1585" t="s">
        <v>16</v>
      </c>
      <c r="F1585" t="s">
        <v>12</v>
      </c>
      <c r="G1585" t="s">
        <v>12</v>
      </c>
      <c r="H1585" t="s">
        <v>13</v>
      </c>
      <c r="I1585">
        <v>28</v>
      </c>
      <c r="J1585" t="str" cm="1">
        <f t="array" ref="J1585">_xlfn.IFS(ISBLANK(C1585),"FALTANTE",ABS((C1585-$W$5)/$X$5)&gt;1.96,"ATÍPICO",ABS((C1585-$W$5)/$X$5)&lt;=1.96,"NO ATÍPICO")</f>
        <v>NO ATÍPICO</v>
      </c>
      <c r="K1585" t="str" cm="1">
        <f t="array" ref="K1585">_xlfn.IFS(ISBLANK(I1585),"FALTANTE",ABS((I1585-$W$8)/$X$8)&gt;1.92,"ATÍPICO",ABS((I1585-$W$8)/$X$8)&lt;=1.92,"NO ATÍPICO")</f>
        <v>NO ATÍPICO</v>
      </c>
      <c r="L1585">
        <f t="shared" si="112"/>
        <v>165972.39000000001</v>
      </c>
      <c r="M1585" t="str">
        <f t="shared" si="112"/>
        <v>ASALARIADO</v>
      </c>
      <c r="N1585">
        <f t="shared" si="113"/>
        <v>28</v>
      </c>
      <c r="O1585" s="19" t="str">
        <f t="shared" si="114"/>
        <v>0–300k</v>
      </c>
      <c r="P1585" s="19" t="str">
        <f t="shared" si="115"/>
        <v>26-35</v>
      </c>
    </row>
    <row r="1586" spans="1:16" x14ac:dyDescent="0.25">
      <c r="A1586">
        <v>1585</v>
      </c>
      <c r="B1586" t="s">
        <v>9</v>
      </c>
      <c r="C1586">
        <v>749651.26</v>
      </c>
      <c r="D1586" t="s">
        <v>10</v>
      </c>
      <c r="E1586" t="s">
        <v>16</v>
      </c>
      <c r="F1586" t="s">
        <v>12</v>
      </c>
      <c r="G1586" t="s">
        <v>13</v>
      </c>
      <c r="H1586" t="s">
        <v>13</v>
      </c>
      <c r="I1586">
        <v>32</v>
      </c>
      <c r="J1586" t="str" cm="1">
        <f t="array" ref="J1586">_xlfn.IFS(ISBLANK(C1586),"FALTANTE",ABS((C1586-$W$5)/$X$5)&gt;1.96,"ATÍPICO",ABS((C1586-$W$5)/$X$5)&lt;=1.96,"NO ATÍPICO")</f>
        <v>NO ATÍPICO</v>
      </c>
      <c r="K1586" t="str" cm="1">
        <f t="array" ref="K1586">_xlfn.IFS(ISBLANK(I1586),"FALTANTE",ABS((I1586-$W$8)/$X$8)&gt;1.92,"ATÍPICO",ABS((I1586-$W$8)/$X$8)&lt;=1.92,"NO ATÍPICO")</f>
        <v>NO ATÍPICO</v>
      </c>
      <c r="L1586">
        <f t="shared" si="112"/>
        <v>749651.26</v>
      </c>
      <c r="M1586" t="str">
        <f t="shared" si="112"/>
        <v>ASALARIADO</v>
      </c>
      <c r="N1586">
        <f t="shared" si="113"/>
        <v>32</v>
      </c>
      <c r="O1586" s="19" t="str">
        <f t="shared" si="114"/>
        <v>600k–900k</v>
      </c>
      <c r="P1586" s="19" t="str">
        <f t="shared" si="115"/>
        <v>26-35</v>
      </c>
    </row>
    <row r="1587" spans="1:16" x14ac:dyDescent="0.25">
      <c r="A1587">
        <v>1586</v>
      </c>
      <c r="B1587" t="s">
        <v>15</v>
      </c>
      <c r="C1587">
        <v>6120159.5</v>
      </c>
      <c r="D1587" t="s">
        <v>10</v>
      </c>
      <c r="E1587" t="s">
        <v>16</v>
      </c>
      <c r="F1587" t="s">
        <v>12</v>
      </c>
      <c r="G1587" t="s">
        <v>13</v>
      </c>
      <c r="H1587" t="s">
        <v>13</v>
      </c>
      <c r="I1587">
        <v>42</v>
      </c>
      <c r="J1587" t="str" cm="1">
        <f t="array" ref="J1587">_xlfn.IFS(ISBLANK(C1587),"FALTANTE",ABS((C1587-$W$5)/$X$5)&gt;1.96,"ATÍPICO",ABS((C1587-$W$5)/$X$5)&lt;=1.96,"NO ATÍPICO")</f>
        <v>ATÍPICO</v>
      </c>
      <c r="K1587" t="str" cm="1">
        <f t="array" ref="K1587">_xlfn.IFS(ISBLANK(I1587),"FALTANTE",ABS((I1587-$W$8)/$X$8)&gt;1.92,"ATÍPICO",ABS((I1587-$W$8)/$X$8)&lt;=1.92,"NO ATÍPICO")</f>
        <v>NO ATÍPICO</v>
      </c>
      <c r="L1587">
        <f t="shared" si="112"/>
        <v>6120159.5</v>
      </c>
      <c r="M1587" t="str">
        <f t="shared" si="112"/>
        <v>ASALARIADO</v>
      </c>
      <c r="N1587">
        <f t="shared" si="113"/>
        <v>42</v>
      </c>
      <c r="O1587" s="19" t="str">
        <f t="shared" si="114"/>
        <v>1200k+</v>
      </c>
      <c r="P1587" s="19" t="str">
        <f t="shared" si="115"/>
        <v>36-45</v>
      </c>
    </row>
    <row r="1588" spans="1:16" x14ac:dyDescent="0.25">
      <c r="A1588">
        <v>1587</v>
      </c>
      <c r="B1588" t="s">
        <v>9</v>
      </c>
      <c r="C1588">
        <v>825000</v>
      </c>
      <c r="D1588" t="s">
        <v>10</v>
      </c>
      <c r="E1588" t="s">
        <v>16</v>
      </c>
      <c r="F1588" t="s">
        <v>12</v>
      </c>
      <c r="G1588" t="s">
        <v>13</v>
      </c>
      <c r="H1588" t="s">
        <v>13</v>
      </c>
      <c r="I1588">
        <v>50</v>
      </c>
      <c r="J1588" t="str" cm="1">
        <f t="array" ref="J1588">_xlfn.IFS(ISBLANK(C1588),"FALTANTE",ABS((C1588-$W$5)/$X$5)&gt;1.96,"ATÍPICO",ABS((C1588-$W$5)/$X$5)&lt;=1.96,"NO ATÍPICO")</f>
        <v>NO ATÍPICO</v>
      </c>
      <c r="K1588" t="str" cm="1">
        <f t="array" ref="K1588">_xlfn.IFS(ISBLANK(I1588),"FALTANTE",ABS((I1588-$W$8)/$X$8)&gt;1.92,"ATÍPICO",ABS((I1588-$W$8)/$X$8)&lt;=1.92,"NO ATÍPICO")</f>
        <v>NO ATÍPICO</v>
      </c>
      <c r="L1588">
        <f t="shared" si="112"/>
        <v>825000</v>
      </c>
      <c r="M1588" t="str">
        <f t="shared" si="112"/>
        <v>ASALARIADO</v>
      </c>
      <c r="N1588">
        <f t="shared" si="113"/>
        <v>50</v>
      </c>
      <c r="O1588" s="19" t="str">
        <f t="shared" si="114"/>
        <v>600k–900k</v>
      </c>
      <c r="P1588" s="19" t="str">
        <f t="shared" si="115"/>
        <v>46-55</v>
      </c>
    </row>
    <row r="1589" spans="1:16" x14ac:dyDescent="0.25">
      <c r="A1589">
        <v>1588</v>
      </c>
      <c r="B1589" t="s">
        <v>15</v>
      </c>
      <c r="C1589">
        <v>190076.47</v>
      </c>
      <c r="D1589" t="s">
        <v>10</v>
      </c>
      <c r="E1589" t="s">
        <v>16</v>
      </c>
      <c r="F1589" t="s">
        <v>12</v>
      </c>
      <c r="G1589" t="s">
        <v>13</v>
      </c>
      <c r="H1589" t="s">
        <v>13</v>
      </c>
      <c r="I1589">
        <v>26</v>
      </c>
      <c r="J1589" t="str" cm="1">
        <f t="array" ref="J1589">_xlfn.IFS(ISBLANK(C1589),"FALTANTE",ABS((C1589-$W$5)/$X$5)&gt;1.96,"ATÍPICO",ABS((C1589-$W$5)/$X$5)&lt;=1.96,"NO ATÍPICO")</f>
        <v>NO ATÍPICO</v>
      </c>
      <c r="K1589" t="str" cm="1">
        <f t="array" ref="K1589">_xlfn.IFS(ISBLANK(I1589),"FALTANTE",ABS((I1589-$W$8)/$X$8)&gt;1.92,"ATÍPICO",ABS((I1589-$W$8)/$X$8)&lt;=1.92,"NO ATÍPICO")</f>
        <v>NO ATÍPICO</v>
      </c>
      <c r="L1589">
        <f t="shared" si="112"/>
        <v>190076.47</v>
      </c>
      <c r="M1589" t="str">
        <f t="shared" si="112"/>
        <v>ASALARIADO</v>
      </c>
      <c r="N1589">
        <f t="shared" si="113"/>
        <v>26</v>
      </c>
      <c r="O1589" s="19" t="str">
        <f t="shared" si="114"/>
        <v>0–300k</v>
      </c>
      <c r="P1589" s="19" t="str">
        <f t="shared" si="115"/>
        <v>26-35</v>
      </c>
    </row>
    <row r="1590" spans="1:16" x14ac:dyDescent="0.25">
      <c r="A1590">
        <v>1589</v>
      </c>
      <c r="B1590" t="s">
        <v>15</v>
      </c>
      <c r="C1590">
        <v>300018</v>
      </c>
      <c r="D1590" t="s">
        <v>17</v>
      </c>
      <c r="E1590" t="s">
        <v>16</v>
      </c>
      <c r="F1590" t="s">
        <v>12</v>
      </c>
      <c r="G1590" t="s">
        <v>13</v>
      </c>
      <c r="H1590" t="s">
        <v>13</v>
      </c>
      <c r="I1590">
        <v>47</v>
      </c>
      <c r="J1590" t="str" cm="1">
        <f t="array" ref="J1590">_xlfn.IFS(ISBLANK(C1590),"FALTANTE",ABS((C1590-$W$5)/$X$5)&gt;1.96,"ATÍPICO",ABS((C1590-$W$5)/$X$5)&lt;=1.96,"NO ATÍPICO")</f>
        <v>NO ATÍPICO</v>
      </c>
      <c r="K1590" t="str" cm="1">
        <f t="array" ref="K1590">_xlfn.IFS(ISBLANK(I1590),"FALTANTE",ABS((I1590-$W$8)/$X$8)&gt;1.92,"ATÍPICO",ABS((I1590-$W$8)/$X$8)&lt;=1.92,"NO ATÍPICO")</f>
        <v>NO ATÍPICO</v>
      </c>
      <c r="L1590">
        <f t="shared" si="112"/>
        <v>300018</v>
      </c>
      <c r="M1590" t="str">
        <f t="shared" si="112"/>
        <v>ASEGURADO VOLUNTARIO</v>
      </c>
      <c r="N1590">
        <f t="shared" si="113"/>
        <v>47</v>
      </c>
      <c r="O1590" s="19" t="str">
        <f t="shared" si="114"/>
        <v>300k–600k</v>
      </c>
      <c r="P1590" s="19" t="str">
        <f t="shared" si="115"/>
        <v>46-55</v>
      </c>
    </row>
    <row r="1591" spans="1:16" x14ac:dyDescent="0.25">
      <c r="A1591">
        <v>1590</v>
      </c>
      <c r="B1591" t="s">
        <v>15</v>
      </c>
      <c r="C1591">
        <v>657366.39</v>
      </c>
      <c r="D1591" t="s">
        <v>10</v>
      </c>
      <c r="E1591" t="s">
        <v>11</v>
      </c>
      <c r="F1591" t="s">
        <v>12</v>
      </c>
      <c r="G1591" t="s">
        <v>13</v>
      </c>
      <c r="H1591" t="s">
        <v>13</v>
      </c>
      <c r="I1591">
        <v>40</v>
      </c>
      <c r="J1591" t="str" cm="1">
        <f t="array" ref="J1591">_xlfn.IFS(ISBLANK(C1591),"FALTANTE",ABS((C1591-$W$5)/$X$5)&gt;1.96,"ATÍPICO",ABS((C1591-$W$5)/$X$5)&lt;=1.96,"NO ATÍPICO")</f>
        <v>NO ATÍPICO</v>
      </c>
      <c r="K1591" t="str" cm="1">
        <f t="array" ref="K1591">_xlfn.IFS(ISBLANK(I1591),"FALTANTE",ABS((I1591-$W$8)/$X$8)&gt;1.92,"ATÍPICO",ABS((I1591-$W$8)/$X$8)&lt;=1.92,"NO ATÍPICO")</f>
        <v>NO ATÍPICO</v>
      </c>
      <c r="L1591">
        <f t="shared" si="112"/>
        <v>657366.39</v>
      </c>
      <c r="M1591" t="str">
        <f t="shared" si="112"/>
        <v>ASALARIADO</v>
      </c>
      <c r="N1591">
        <f t="shared" si="113"/>
        <v>40</v>
      </c>
      <c r="O1591" s="19" t="str">
        <f t="shared" si="114"/>
        <v>600k–900k</v>
      </c>
      <c r="P1591" s="19" t="str">
        <f t="shared" si="115"/>
        <v>36-45</v>
      </c>
    </row>
    <row r="1592" spans="1:16" x14ac:dyDescent="0.25">
      <c r="A1592">
        <v>1591</v>
      </c>
      <c r="B1592" t="s">
        <v>9</v>
      </c>
      <c r="C1592">
        <v>4107395</v>
      </c>
      <c r="D1592" t="s">
        <v>14</v>
      </c>
      <c r="E1592" t="s">
        <v>11</v>
      </c>
      <c r="F1592" t="s">
        <v>12</v>
      </c>
      <c r="G1592" t="s">
        <v>13</v>
      </c>
      <c r="H1592" t="s">
        <v>13</v>
      </c>
      <c r="I1592">
        <v>80</v>
      </c>
      <c r="J1592" t="str" cm="1">
        <f t="array" ref="J1592">_xlfn.IFS(ISBLANK(C1592),"FALTANTE",ABS((C1592-$W$5)/$X$5)&gt;1.96,"ATÍPICO",ABS((C1592-$W$5)/$X$5)&lt;=1.96,"NO ATÍPICO")</f>
        <v>ATÍPICO</v>
      </c>
      <c r="K1592" t="str" cm="1">
        <f t="array" ref="K1592">_xlfn.IFS(ISBLANK(I1592),"FALTANTE",ABS((I1592-$W$8)/$X$8)&gt;1.92,"ATÍPICO",ABS((I1592-$W$8)/$X$8)&lt;=1.92,"NO ATÍPICO")</f>
        <v>ATÍPICO</v>
      </c>
      <c r="L1592">
        <f t="shared" si="112"/>
        <v>4107395</v>
      </c>
      <c r="M1592" t="str">
        <f t="shared" si="112"/>
        <v>PENSIONADOS EN SU PROPIO SISTEMA</v>
      </c>
      <c r="N1592">
        <f t="shared" si="113"/>
        <v>80</v>
      </c>
      <c r="O1592" s="19" t="str">
        <f t="shared" si="114"/>
        <v>1200k+</v>
      </c>
      <c r="P1592" s="19" t="str">
        <f t="shared" si="115"/>
        <v>56+</v>
      </c>
    </row>
    <row r="1593" spans="1:16" x14ac:dyDescent="0.25">
      <c r="A1593">
        <v>1592</v>
      </c>
      <c r="B1593" t="s">
        <v>9</v>
      </c>
      <c r="C1593">
        <v>534683</v>
      </c>
      <c r="D1593" t="s">
        <v>18</v>
      </c>
      <c r="E1593" t="s">
        <v>16</v>
      </c>
      <c r="F1593" t="s">
        <v>12</v>
      </c>
      <c r="G1593" t="s">
        <v>13</v>
      </c>
      <c r="H1593" t="s">
        <v>13</v>
      </c>
      <c r="I1593">
        <v>48</v>
      </c>
      <c r="J1593" t="str" cm="1">
        <f t="array" ref="J1593">_xlfn.IFS(ISBLANK(C1593),"FALTANTE",ABS((C1593-$W$5)/$X$5)&gt;1.96,"ATÍPICO",ABS((C1593-$W$5)/$X$5)&lt;=1.96,"NO ATÍPICO")</f>
        <v>NO ATÍPICO</v>
      </c>
      <c r="K1593" t="str" cm="1">
        <f t="array" ref="K1593">_xlfn.IFS(ISBLANK(I1593),"FALTANTE",ABS((I1593-$W$8)/$X$8)&gt;1.92,"ATÍPICO",ABS((I1593-$W$8)/$X$8)&lt;=1.92,"NO ATÍPICO")</f>
        <v>NO ATÍPICO</v>
      </c>
      <c r="L1593">
        <f t="shared" si="112"/>
        <v>534683</v>
      </c>
      <c r="M1593" t="str">
        <f t="shared" si="112"/>
        <v>TRABAJADOR INDEPENDIENTE</v>
      </c>
      <c r="N1593">
        <f t="shared" si="113"/>
        <v>48</v>
      </c>
      <c r="O1593" s="19" t="str">
        <f t="shared" si="114"/>
        <v>300k–600k</v>
      </c>
      <c r="P1593" s="19" t="str">
        <f t="shared" si="115"/>
        <v>46-55</v>
      </c>
    </row>
    <row r="1594" spans="1:16" x14ac:dyDescent="0.25">
      <c r="A1594">
        <v>1593</v>
      </c>
      <c r="B1594" t="s">
        <v>9</v>
      </c>
      <c r="C1594">
        <v>1316155</v>
      </c>
      <c r="D1594" t="s">
        <v>10</v>
      </c>
      <c r="E1594" t="s">
        <v>16</v>
      </c>
      <c r="F1594" t="s">
        <v>12</v>
      </c>
      <c r="G1594" t="s">
        <v>12</v>
      </c>
      <c r="H1594" t="s">
        <v>13</v>
      </c>
      <c r="I1594">
        <v>39</v>
      </c>
      <c r="J1594" t="str" cm="1">
        <f t="array" ref="J1594">_xlfn.IFS(ISBLANK(C1594),"FALTANTE",ABS((C1594-$W$5)/$X$5)&gt;1.96,"ATÍPICO",ABS((C1594-$W$5)/$X$5)&lt;=1.96,"NO ATÍPICO")</f>
        <v>NO ATÍPICO</v>
      </c>
      <c r="K1594" t="str" cm="1">
        <f t="array" ref="K1594">_xlfn.IFS(ISBLANK(I1594),"FALTANTE",ABS((I1594-$W$8)/$X$8)&gt;1.92,"ATÍPICO",ABS((I1594-$W$8)/$X$8)&lt;=1.92,"NO ATÍPICO")</f>
        <v>NO ATÍPICO</v>
      </c>
      <c r="L1594">
        <f t="shared" si="112"/>
        <v>1316155</v>
      </c>
      <c r="M1594" t="str">
        <f t="shared" si="112"/>
        <v>ASALARIADO</v>
      </c>
      <c r="N1594">
        <f t="shared" si="113"/>
        <v>39</v>
      </c>
      <c r="O1594" s="19" t="str">
        <f t="shared" si="114"/>
        <v>1200k+</v>
      </c>
      <c r="P1594" s="19" t="str">
        <f t="shared" si="115"/>
        <v>36-45</v>
      </c>
    </row>
    <row r="1595" spans="1:16" x14ac:dyDescent="0.25">
      <c r="A1595">
        <v>1594</v>
      </c>
      <c r="B1595" t="s">
        <v>15</v>
      </c>
      <c r="C1595">
        <v>300000</v>
      </c>
      <c r="D1595" t="s">
        <v>17</v>
      </c>
      <c r="E1595" t="s">
        <v>16</v>
      </c>
      <c r="F1595" t="s">
        <v>12</v>
      </c>
      <c r="G1595" t="s">
        <v>13</v>
      </c>
      <c r="H1595" t="s">
        <v>13</v>
      </c>
      <c r="I1595">
        <v>21</v>
      </c>
      <c r="J1595" t="str" cm="1">
        <f t="array" ref="J1595">_xlfn.IFS(ISBLANK(C1595),"FALTANTE",ABS((C1595-$W$5)/$X$5)&gt;1.96,"ATÍPICO",ABS((C1595-$W$5)/$X$5)&lt;=1.96,"NO ATÍPICO")</f>
        <v>NO ATÍPICO</v>
      </c>
      <c r="K1595" t="str" cm="1">
        <f t="array" ref="K1595">_xlfn.IFS(ISBLANK(I1595),"FALTANTE",ABS((I1595-$W$8)/$X$8)&gt;1.92,"ATÍPICO",ABS((I1595-$W$8)/$X$8)&lt;=1.92,"NO ATÍPICO")</f>
        <v>NO ATÍPICO</v>
      </c>
      <c r="L1595">
        <f t="shared" si="112"/>
        <v>300000</v>
      </c>
      <c r="M1595" t="str">
        <f t="shared" si="112"/>
        <v>ASEGURADO VOLUNTARIO</v>
      </c>
      <c r="N1595">
        <f t="shared" si="113"/>
        <v>21</v>
      </c>
      <c r="O1595" s="19" t="str">
        <f t="shared" si="114"/>
        <v>0–300k</v>
      </c>
      <c r="P1595" s="19" t="str">
        <f t="shared" si="115"/>
        <v>18-25</v>
      </c>
    </row>
    <row r="1596" spans="1:16" x14ac:dyDescent="0.25">
      <c r="A1596">
        <v>1595</v>
      </c>
      <c r="B1596" t="s">
        <v>9</v>
      </c>
      <c r="C1596">
        <v>1400000</v>
      </c>
      <c r="D1596" t="s">
        <v>10</v>
      </c>
      <c r="E1596" t="s">
        <v>16</v>
      </c>
      <c r="F1596" t="s">
        <v>12</v>
      </c>
      <c r="G1596" t="s">
        <v>13</v>
      </c>
      <c r="H1596" t="s">
        <v>13</v>
      </c>
      <c r="I1596">
        <v>34</v>
      </c>
      <c r="J1596" t="str" cm="1">
        <f t="array" ref="J1596">_xlfn.IFS(ISBLANK(C1596),"FALTANTE",ABS((C1596-$W$5)/$X$5)&gt;1.96,"ATÍPICO",ABS((C1596-$W$5)/$X$5)&lt;=1.96,"NO ATÍPICO")</f>
        <v>NO ATÍPICO</v>
      </c>
      <c r="K1596" t="str" cm="1">
        <f t="array" ref="K1596">_xlfn.IFS(ISBLANK(I1596),"FALTANTE",ABS((I1596-$W$8)/$X$8)&gt;1.92,"ATÍPICO",ABS((I1596-$W$8)/$X$8)&lt;=1.92,"NO ATÍPICO")</f>
        <v>NO ATÍPICO</v>
      </c>
      <c r="L1596">
        <f t="shared" si="112"/>
        <v>1400000</v>
      </c>
      <c r="M1596" t="str">
        <f t="shared" si="112"/>
        <v>ASALARIADO</v>
      </c>
      <c r="N1596">
        <f t="shared" si="113"/>
        <v>34</v>
      </c>
      <c r="O1596" s="19" t="str">
        <f t="shared" si="114"/>
        <v>1200k+</v>
      </c>
      <c r="P1596" s="19" t="str">
        <f t="shared" si="115"/>
        <v>26-35</v>
      </c>
    </row>
    <row r="1597" spans="1:16" x14ac:dyDescent="0.25">
      <c r="A1597">
        <v>1596</v>
      </c>
      <c r="B1597" t="s">
        <v>9</v>
      </c>
      <c r="C1597">
        <v>200000</v>
      </c>
      <c r="D1597" t="s">
        <v>10</v>
      </c>
      <c r="E1597" t="s">
        <v>16</v>
      </c>
      <c r="F1597" t="s">
        <v>12</v>
      </c>
      <c r="G1597" t="s">
        <v>13</v>
      </c>
      <c r="H1597" t="s">
        <v>13</v>
      </c>
      <c r="I1597">
        <v>32</v>
      </c>
      <c r="J1597" t="str" cm="1">
        <f t="array" ref="J1597">_xlfn.IFS(ISBLANK(C1597),"FALTANTE",ABS((C1597-$W$5)/$X$5)&gt;1.96,"ATÍPICO",ABS((C1597-$W$5)/$X$5)&lt;=1.96,"NO ATÍPICO")</f>
        <v>NO ATÍPICO</v>
      </c>
      <c r="K1597" t="str" cm="1">
        <f t="array" ref="K1597">_xlfn.IFS(ISBLANK(I1597),"FALTANTE",ABS((I1597-$W$8)/$X$8)&gt;1.92,"ATÍPICO",ABS((I1597-$W$8)/$X$8)&lt;=1.92,"NO ATÍPICO")</f>
        <v>NO ATÍPICO</v>
      </c>
      <c r="L1597">
        <f t="shared" si="112"/>
        <v>200000</v>
      </c>
      <c r="M1597" t="str">
        <f t="shared" si="112"/>
        <v>ASALARIADO</v>
      </c>
      <c r="N1597">
        <f t="shared" si="113"/>
        <v>32</v>
      </c>
      <c r="O1597" s="19" t="str">
        <f t="shared" si="114"/>
        <v>0–300k</v>
      </c>
      <c r="P1597" s="19" t="str">
        <f t="shared" si="115"/>
        <v>26-35</v>
      </c>
    </row>
    <row r="1598" spans="1:16" x14ac:dyDescent="0.25">
      <c r="A1598">
        <v>1597</v>
      </c>
      <c r="B1598" t="s">
        <v>15</v>
      </c>
      <c r="C1598">
        <v>216423.45</v>
      </c>
      <c r="D1598" t="s">
        <v>10</v>
      </c>
      <c r="E1598" t="s">
        <v>16</v>
      </c>
      <c r="F1598" t="s">
        <v>12</v>
      </c>
      <c r="G1598" t="s">
        <v>13</v>
      </c>
      <c r="H1598" t="s">
        <v>13</v>
      </c>
      <c r="I1598">
        <v>28</v>
      </c>
      <c r="J1598" t="str" cm="1">
        <f t="array" ref="J1598">_xlfn.IFS(ISBLANK(C1598),"FALTANTE",ABS((C1598-$W$5)/$X$5)&gt;1.96,"ATÍPICO",ABS((C1598-$W$5)/$X$5)&lt;=1.96,"NO ATÍPICO")</f>
        <v>NO ATÍPICO</v>
      </c>
      <c r="K1598" t="str" cm="1">
        <f t="array" ref="K1598">_xlfn.IFS(ISBLANK(I1598),"FALTANTE",ABS((I1598-$W$8)/$X$8)&gt;1.92,"ATÍPICO",ABS((I1598-$W$8)/$X$8)&lt;=1.92,"NO ATÍPICO")</f>
        <v>NO ATÍPICO</v>
      </c>
      <c r="L1598">
        <f t="shared" si="112"/>
        <v>216423.45</v>
      </c>
      <c r="M1598" t="str">
        <f t="shared" si="112"/>
        <v>ASALARIADO</v>
      </c>
      <c r="N1598">
        <f t="shared" si="113"/>
        <v>28</v>
      </c>
      <c r="O1598" s="19" t="str">
        <f t="shared" si="114"/>
        <v>0–300k</v>
      </c>
      <c r="P1598" s="19" t="str">
        <f t="shared" si="115"/>
        <v>26-35</v>
      </c>
    </row>
    <row r="1599" spans="1:16" x14ac:dyDescent="0.25">
      <c r="A1599">
        <v>1598</v>
      </c>
      <c r="B1599" t="s">
        <v>9</v>
      </c>
      <c r="C1599">
        <v>829250</v>
      </c>
      <c r="D1599" t="s">
        <v>10</v>
      </c>
      <c r="E1599" t="s">
        <v>11</v>
      </c>
      <c r="F1599" t="s">
        <v>12</v>
      </c>
      <c r="G1599" t="s">
        <v>13</v>
      </c>
      <c r="H1599" t="s">
        <v>13</v>
      </c>
      <c r="I1599">
        <v>47</v>
      </c>
      <c r="J1599" t="str" cm="1">
        <f t="array" ref="J1599">_xlfn.IFS(ISBLANK(C1599),"FALTANTE",ABS((C1599-$W$5)/$X$5)&gt;1.96,"ATÍPICO",ABS((C1599-$W$5)/$X$5)&lt;=1.96,"NO ATÍPICO")</f>
        <v>NO ATÍPICO</v>
      </c>
      <c r="K1599" t="str" cm="1">
        <f t="array" ref="K1599">_xlfn.IFS(ISBLANK(I1599),"FALTANTE",ABS((I1599-$W$8)/$X$8)&gt;1.92,"ATÍPICO",ABS((I1599-$W$8)/$X$8)&lt;=1.92,"NO ATÍPICO")</f>
        <v>NO ATÍPICO</v>
      </c>
      <c r="L1599">
        <f t="shared" si="112"/>
        <v>829250</v>
      </c>
      <c r="M1599" t="str">
        <f t="shared" si="112"/>
        <v>ASALARIADO</v>
      </c>
      <c r="N1599">
        <f t="shared" si="113"/>
        <v>47</v>
      </c>
      <c r="O1599" s="19" t="str">
        <f t="shared" si="114"/>
        <v>600k–900k</v>
      </c>
      <c r="P1599" s="19" t="str">
        <f t="shared" si="115"/>
        <v>46-55</v>
      </c>
    </row>
    <row r="1600" spans="1:16" x14ac:dyDescent="0.25">
      <c r="A1600">
        <v>1599</v>
      </c>
      <c r="B1600" t="s">
        <v>9</v>
      </c>
      <c r="C1600">
        <v>370090</v>
      </c>
      <c r="D1600" t="s">
        <v>18</v>
      </c>
      <c r="E1600" t="s">
        <v>16</v>
      </c>
      <c r="F1600" t="s">
        <v>12</v>
      </c>
      <c r="G1600" t="s">
        <v>13</v>
      </c>
      <c r="H1600" t="s">
        <v>12</v>
      </c>
      <c r="I1600">
        <v>40</v>
      </c>
      <c r="J1600" t="str" cm="1">
        <f t="array" ref="J1600">_xlfn.IFS(ISBLANK(C1600),"FALTANTE",ABS((C1600-$W$5)/$X$5)&gt;1.96,"ATÍPICO",ABS((C1600-$W$5)/$X$5)&lt;=1.96,"NO ATÍPICO")</f>
        <v>NO ATÍPICO</v>
      </c>
      <c r="K1600" t="str" cm="1">
        <f t="array" ref="K1600">_xlfn.IFS(ISBLANK(I1600),"FALTANTE",ABS((I1600-$W$8)/$X$8)&gt;1.92,"ATÍPICO",ABS((I1600-$W$8)/$X$8)&lt;=1.92,"NO ATÍPICO")</f>
        <v>NO ATÍPICO</v>
      </c>
      <c r="L1600">
        <f t="shared" si="112"/>
        <v>370090</v>
      </c>
      <c r="M1600" t="str">
        <f t="shared" si="112"/>
        <v>TRABAJADOR INDEPENDIENTE</v>
      </c>
      <c r="N1600">
        <f t="shared" si="113"/>
        <v>40</v>
      </c>
      <c r="O1600" s="19" t="str">
        <f t="shared" si="114"/>
        <v>300k–600k</v>
      </c>
      <c r="P1600" s="19" t="str">
        <f t="shared" si="115"/>
        <v>36-45</v>
      </c>
    </row>
    <row r="1601" spans="1:16" x14ac:dyDescent="0.25">
      <c r="A1601">
        <v>1600</v>
      </c>
      <c r="B1601" t="s">
        <v>15</v>
      </c>
      <c r="C1601">
        <v>328127.06</v>
      </c>
      <c r="D1601" t="s">
        <v>10</v>
      </c>
      <c r="E1601" t="s">
        <v>16</v>
      </c>
      <c r="F1601" t="s">
        <v>12</v>
      </c>
      <c r="G1601" t="s">
        <v>13</v>
      </c>
      <c r="H1601" t="s">
        <v>13</v>
      </c>
      <c r="I1601">
        <v>45</v>
      </c>
      <c r="J1601" t="str" cm="1">
        <f t="array" ref="J1601">_xlfn.IFS(ISBLANK(C1601),"FALTANTE",ABS((C1601-$W$5)/$X$5)&gt;1.96,"ATÍPICO",ABS((C1601-$W$5)/$X$5)&lt;=1.96,"NO ATÍPICO")</f>
        <v>NO ATÍPICO</v>
      </c>
      <c r="K1601" t="str" cm="1">
        <f t="array" ref="K1601">_xlfn.IFS(ISBLANK(I1601),"FALTANTE",ABS((I1601-$W$8)/$X$8)&gt;1.92,"ATÍPICO",ABS((I1601-$W$8)/$X$8)&lt;=1.92,"NO ATÍPICO")</f>
        <v>NO ATÍPICO</v>
      </c>
      <c r="L1601">
        <f t="shared" si="112"/>
        <v>328127.06</v>
      </c>
      <c r="M1601" t="str">
        <f t="shared" si="112"/>
        <v>ASALARIADO</v>
      </c>
      <c r="N1601">
        <f t="shared" si="113"/>
        <v>45</v>
      </c>
      <c r="O1601" s="19" t="str">
        <f t="shared" si="114"/>
        <v>300k–600k</v>
      </c>
      <c r="P1601" s="19" t="str">
        <f t="shared" si="115"/>
        <v>36-45</v>
      </c>
    </row>
    <row r="1602" spans="1:16" x14ac:dyDescent="0.25">
      <c r="A1602">
        <v>1601</v>
      </c>
      <c r="B1602" t="s">
        <v>9</v>
      </c>
      <c r="C1602">
        <v>1414186</v>
      </c>
      <c r="D1602" t="s">
        <v>10</v>
      </c>
      <c r="E1602" t="s">
        <v>11</v>
      </c>
      <c r="F1602" t="s">
        <v>12</v>
      </c>
      <c r="G1602" t="s">
        <v>13</v>
      </c>
      <c r="H1602" t="s">
        <v>12</v>
      </c>
      <c r="I1602">
        <v>50</v>
      </c>
      <c r="J1602" t="str" cm="1">
        <f t="array" ref="J1602">_xlfn.IFS(ISBLANK(C1602),"FALTANTE",ABS((C1602-$W$5)/$X$5)&gt;1.96,"ATÍPICO",ABS((C1602-$W$5)/$X$5)&lt;=1.96,"NO ATÍPICO")</f>
        <v>NO ATÍPICO</v>
      </c>
      <c r="K1602" t="str" cm="1">
        <f t="array" ref="K1602">_xlfn.IFS(ISBLANK(I1602),"FALTANTE",ABS((I1602-$W$8)/$X$8)&gt;1.92,"ATÍPICO",ABS((I1602-$W$8)/$X$8)&lt;=1.92,"NO ATÍPICO")</f>
        <v>NO ATÍPICO</v>
      </c>
      <c r="L1602">
        <f t="shared" ref="L1602:M1665" si="116">C1602</f>
        <v>1414186</v>
      </c>
      <c r="M1602" t="str">
        <f t="shared" si="116"/>
        <v>ASALARIADO</v>
      </c>
      <c r="N1602">
        <f t="shared" ref="N1602:N1665" si="117">I1602</f>
        <v>50</v>
      </c>
      <c r="O1602" s="19" t="str">
        <f t="shared" ref="O1602:O1665" si="118">IF(L1602&lt;=300000,"0–300k",IF(L1602&lt;=600000,"300k–600k",IF(L1602&lt;=900000,"600k–900k",IF(L1602&lt;=1200000,"900k–1200k","1200k+"))))</f>
        <v>1200k+</v>
      </c>
      <c r="P1602" s="19" t="str">
        <f t="shared" ref="P1602:P1665" si="119">IF(N1602 &lt;=25,"18-25", IF(N1602&lt;=35,"26-35", IF(N1602 &lt;=45,"36-45", IF(N1602&lt;=55,"46-55","56+"))))</f>
        <v>46-55</v>
      </c>
    </row>
    <row r="1603" spans="1:16" x14ac:dyDescent="0.25">
      <c r="A1603">
        <v>1602</v>
      </c>
      <c r="B1603" t="s">
        <v>9</v>
      </c>
      <c r="C1603">
        <v>1183623.3999999999</v>
      </c>
      <c r="D1603" t="s">
        <v>10</v>
      </c>
      <c r="E1603" t="s">
        <v>11</v>
      </c>
      <c r="F1603" t="s">
        <v>12</v>
      </c>
      <c r="G1603" t="s">
        <v>13</v>
      </c>
      <c r="H1603" t="s">
        <v>13</v>
      </c>
      <c r="I1603">
        <v>41</v>
      </c>
      <c r="J1603" t="str" cm="1">
        <f t="array" ref="J1603">_xlfn.IFS(ISBLANK(C1603),"FALTANTE",ABS((C1603-$W$5)/$X$5)&gt;1.96,"ATÍPICO",ABS((C1603-$W$5)/$X$5)&lt;=1.96,"NO ATÍPICO")</f>
        <v>NO ATÍPICO</v>
      </c>
      <c r="K1603" t="str" cm="1">
        <f t="array" ref="K1603">_xlfn.IFS(ISBLANK(I1603),"FALTANTE",ABS((I1603-$W$8)/$X$8)&gt;1.92,"ATÍPICO",ABS((I1603-$W$8)/$X$8)&lt;=1.92,"NO ATÍPICO")</f>
        <v>NO ATÍPICO</v>
      </c>
      <c r="L1603">
        <f t="shared" si="116"/>
        <v>1183623.3999999999</v>
      </c>
      <c r="M1603" t="str">
        <f t="shared" si="116"/>
        <v>ASALARIADO</v>
      </c>
      <c r="N1603">
        <f t="shared" si="117"/>
        <v>41</v>
      </c>
      <c r="O1603" s="19" t="str">
        <f t="shared" si="118"/>
        <v>900k–1200k</v>
      </c>
      <c r="P1603" s="19" t="str">
        <f t="shared" si="119"/>
        <v>36-45</v>
      </c>
    </row>
    <row r="1604" spans="1:16" x14ac:dyDescent="0.25">
      <c r="A1604">
        <v>1603</v>
      </c>
      <c r="B1604" t="s">
        <v>15</v>
      </c>
      <c r="C1604">
        <v>43350</v>
      </c>
      <c r="D1604" t="s">
        <v>10</v>
      </c>
      <c r="E1604" t="s">
        <v>16</v>
      </c>
      <c r="F1604" t="s">
        <v>12</v>
      </c>
      <c r="G1604" t="s">
        <v>13</v>
      </c>
      <c r="H1604" t="s">
        <v>13</v>
      </c>
      <c r="I1604">
        <v>51</v>
      </c>
      <c r="J1604" t="str" cm="1">
        <f t="array" ref="J1604">_xlfn.IFS(ISBLANK(C1604),"FALTANTE",ABS((C1604-$W$5)/$X$5)&gt;1.96,"ATÍPICO",ABS((C1604-$W$5)/$X$5)&lt;=1.96,"NO ATÍPICO")</f>
        <v>NO ATÍPICO</v>
      </c>
      <c r="K1604" t="str" cm="1">
        <f t="array" ref="K1604">_xlfn.IFS(ISBLANK(I1604),"FALTANTE",ABS((I1604-$W$8)/$X$8)&gt;1.92,"ATÍPICO",ABS((I1604-$W$8)/$X$8)&lt;=1.92,"NO ATÍPICO")</f>
        <v>NO ATÍPICO</v>
      </c>
      <c r="L1604">
        <f t="shared" si="116"/>
        <v>43350</v>
      </c>
      <c r="M1604" t="str">
        <f t="shared" si="116"/>
        <v>ASALARIADO</v>
      </c>
      <c r="N1604">
        <f t="shared" si="117"/>
        <v>51</v>
      </c>
      <c r="O1604" s="19" t="str">
        <f t="shared" si="118"/>
        <v>0–300k</v>
      </c>
      <c r="P1604" s="19" t="str">
        <f t="shared" si="119"/>
        <v>46-55</v>
      </c>
    </row>
    <row r="1605" spans="1:16" x14ac:dyDescent="0.25">
      <c r="A1605">
        <v>1604</v>
      </c>
      <c r="B1605" t="s">
        <v>15</v>
      </c>
      <c r="C1605">
        <v>1063647.5</v>
      </c>
      <c r="D1605" t="s">
        <v>10</v>
      </c>
      <c r="E1605" t="s">
        <v>11</v>
      </c>
      <c r="F1605" t="s">
        <v>12</v>
      </c>
      <c r="G1605" t="s">
        <v>13</v>
      </c>
      <c r="H1605" t="s">
        <v>13</v>
      </c>
      <c r="I1605">
        <v>56</v>
      </c>
      <c r="J1605" t="str" cm="1">
        <f t="array" ref="J1605">_xlfn.IFS(ISBLANK(C1605),"FALTANTE",ABS((C1605-$W$5)/$X$5)&gt;1.96,"ATÍPICO",ABS((C1605-$W$5)/$X$5)&lt;=1.96,"NO ATÍPICO")</f>
        <v>NO ATÍPICO</v>
      </c>
      <c r="K1605" t="str" cm="1">
        <f t="array" ref="K1605">_xlfn.IFS(ISBLANK(I1605),"FALTANTE",ABS((I1605-$W$8)/$X$8)&gt;1.92,"ATÍPICO",ABS((I1605-$W$8)/$X$8)&lt;=1.92,"NO ATÍPICO")</f>
        <v>NO ATÍPICO</v>
      </c>
      <c r="L1605">
        <f t="shared" si="116"/>
        <v>1063647.5</v>
      </c>
      <c r="M1605" t="str">
        <f t="shared" si="116"/>
        <v>ASALARIADO</v>
      </c>
      <c r="N1605">
        <f t="shared" si="117"/>
        <v>56</v>
      </c>
      <c r="O1605" s="19" t="str">
        <f t="shared" si="118"/>
        <v>900k–1200k</v>
      </c>
      <c r="P1605" s="19" t="str">
        <f t="shared" si="119"/>
        <v>56+</v>
      </c>
    </row>
    <row r="1606" spans="1:16" x14ac:dyDescent="0.25">
      <c r="A1606">
        <v>1605</v>
      </c>
      <c r="B1606" t="s">
        <v>15</v>
      </c>
      <c r="C1606">
        <v>297046</v>
      </c>
      <c r="D1606" t="s">
        <v>18</v>
      </c>
      <c r="E1606" t="s">
        <v>16</v>
      </c>
      <c r="F1606" t="s">
        <v>12</v>
      </c>
      <c r="G1606" t="s">
        <v>13</v>
      </c>
      <c r="H1606" t="s">
        <v>12</v>
      </c>
      <c r="I1606">
        <v>42</v>
      </c>
      <c r="J1606" t="str" cm="1">
        <f t="array" ref="J1606">_xlfn.IFS(ISBLANK(C1606),"FALTANTE",ABS((C1606-$W$5)/$X$5)&gt;1.96,"ATÍPICO",ABS((C1606-$W$5)/$X$5)&lt;=1.96,"NO ATÍPICO")</f>
        <v>NO ATÍPICO</v>
      </c>
      <c r="K1606" t="str" cm="1">
        <f t="array" ref="K1606">_xlfn.IFS(ISBLANK(I1606),"FALTANTE",ABS((I1606-$W$8)/$X$8)&gt;1.92,"ATÍPICO",ABS((I1606-$W$8)/$X$8)&lt;=1.92,"NO ATÍPICO")</f>
        <v>NO ATÍPICO</v>
      </c>
      <c r="L1606">
        <f t="shared" si="116"/>
        <v>297046</v>
      </c>
      <c r="M1606" t="str">
        <f t="shared" si="116"/>
        <v>TRABAJADOR INDEPENDIENTE</v>
      </c>
      <c r="N1606">
        <f t="shared" si="117"/>
        <v>42</v>
      </c>
      <c r="O1606" s="19" t="str">
        <f t="shared" si="118"/>
        <v>0–300k</v>
      </c>
      <c r="P1606" s="19" t="str">
        <f t="shared" si="119"/>
        <v>36-45</v>
      </c>
    </row>
    <row r="1607" spans="1:16" x14ac:dyDescent="0.25">
      <c r="A1607">
        <v>1606</v>
      </c>
      <c r="B1607" t="s">
        <v>15</v>
      </c>
      <c r="C1607">
        <v>659230</v>
      </c>
      <c r="D1607" t="s">
        <v>10</v>
      </c>
      <c r="E1607" t="s">
        <v>16</v>
      </c>
      <c r="F1607" t="s">
        <v>12</v>
      </c>
      <c r="G1607" t="s">
        <v>13</v>
      </c>
      <c r="H1607" t="s">
        <v>13</v>
      </c>
      <c r="I1607">
        <v>21</v>
      </c>
      <c r="J1607" t="str" cm="1">
        <f t="array" ref="J1607">_xlfn.IFS(ISBLANK(C1607),"FALTANTE",ABS((C1607-$W$5)/$X$5)&gt;1.96,"ATÍPICO",ABS((C1607-$W$5)/$X$5)&lt;=1.96,"NO ATÍPICO")</f>
        <v>NO ATÍPICO</v>
      </c>
      <c r="K1607" t="str" cm="1">
        <f t="array" ref="K1607">_xlfn.IFS(ISBLANK(I1607),"FALTANTE",ABS((I1607-$W$8)/$X$8)&gt;1.92,"ATÍPICO",ABS((I1607-$W$8)/$X$8)&lt;=1.92,"NO ATÍPICO")</f>
        <v>NO ATÍPICO</v>
      </c>
      <c r="L1607">
        <f t="shared" si="116"/>
        <v>659230</v>
      </c>
      <c r="M1607" t="str">
        <f t="shared" si="116"/>
        <v>ASALARIADO</v>
      </c>
      <c r="N1607">
        <f t="shared" si="117"/>
        <v>21</v>
      </c>
      <c r="O1607" s="19" t="str">
        <f t="shared" si="118"/>
        <v>600k–900k</v>
      </c>
      <c r="P1607" s="19" t="str">
        <f t="shared" si="119"/>
        <v>18-25</v>
      </c>
    </row>
    <row r="1608" spans="1:16" x14ac:dyDescent="0.25">
      <c r="A1608">
        <v>1607</v>
      </c>
      <c r="B1608" t="s">
        <v>9</v>
      </c>
      <c r="C1608">
        <v>386699.62</v>
      </c>
      <c r="D1608" t="s">
        <v>10</v>
      </c>
      <c r="E1608" t="s">
        <v>16</v>
      </c>
      <c r="F1608" t="s">
        <v>12</v>
      </c>
      <c r="G1608" t="s">
        <v>13</v>
      </c>
      <c r="H1608" t="s">
        <v>13</v>
      </c>
      <c r="I1608">
        <v>58</v>
      </c>
      <c r="J1608" t="str" cm="1">
        <f t="array" ref="J1608">_xlfn.IFS(ISBLANK(C1608),"FALTANTE",ABS((C1608-$W$5)/$X$5)&gt;1.96,"ATÍPICO",ABS((C1608-$W$5)/$X$5)&lt;=1.96,"NO ATÍPICO")</f>
        <v>NO ATÍPICO</v>
      </c>
      <c r="K1608" t="str" cm="1">
        <f t="array" ref="K1608">_xlfn.IFS(ISBLANK(I1608),"FALTANTE",ABS((I1608-$W$8)/$X$8)&gt;1.92,"ATÍPICO",ABS((I1608-$W$8)/$X$8)&lt;=1.92,"NO ATÍPICO")</f>
        <v>NO ATÍPICO</v>
      </c>
      <c r="L1608">
        <f t="shared" si="116"/>
        <v>386699.62</v>
      </c>
      <c r="M1608" t="str">
        <f t="shared" si="116"/>
        <v>ASALARIADO</v>
      </c>
      <c r="N1608">
        <f t="shared" si="117"/>
        <v>58</v>
      </c>
      <c r="O1608" s="19" t="str">
        <f t="shared" si="118"/>
        <v>300k–600k</v>
      </c>
      <c r="P1608" s="19" t="str">
        <f t="shared" si="119"/>
        <v>56+</v>
      </c>
    </row>
    <row r="1609" spans="1:16" x14ac:dyDescent="0.25">
      <c r="A1609">
        <v>1608</v>
      </c>
      <c r="B1609" t="s">
        <v>15</v>
      </c>
      <c r="C1609">
        <v>400000</v>
      </c>
      <c r="D1609" t="s">
        <v>10</v>
      </c>
      <c r="E1609" t="s">
        <v>16</v>
      </c>
      <c r="F1609" t="s">
        <v>12</v>
      </c>
      <c r="G1609" t="s">
        <v>13</v>
      </c>
      <c r="H1609" t="s">
        <v>13</v>
      </c>
      <c r="I1609">
        <v>20</v>
      </c>
      <c r="J1609" t="str" cm="1">
        <f t="array" ref="J1609">_xlfn.IFS(ISBLANK(C1609),"FALTANTE",ABS((C1609-$W$5)/$X$5)&gt;1.96,"ATÍPICO",ABS((C1609-$W$5)/$X$5)&lt;=1.96,"NO ATÍPICO")</f>
        <v>NO ATÍPICO</v>
      </c>
      <c r="K1609" t="str" cm="1">
        <f t="array" ref="K1609">_xlfn.IFS(ISBLANK(I1609),"FALTANTE",ABS((I1609-$W$8)/$X$8)&gt;1.92,"ATÍPICO",ABS((I1609-$W$8)/$X$8)&lt;=1.92,"NO ATÍPICO")</f>
        <v>NO ATÍPICO</v>
      </c>
      <c r="L1609">
        <f t="shared" si="116"/>
        <v>400000</v>
      </c>
      <c r="M1609" t="str">
        <f t="shared" si="116"/>
        <v>ASALARIADO</v>
      </c>
      <c r="N1609">
        <f t="shared" si="117"/>
        <v>20</v>
      </c>
      <c r="O1609" s="19" t="str">
        <f t="shared" si="118"/>
        <v>300k–600k</v>
      </c>
      <c r="P1609" s="19" t="str">
        <f t="shared" si="119"/>
        <v>18-25</v>
      </c>
    </row>
    <row r="1610" spans="1:16" x14ac:dyDescent="0.25">
      <c r="A1610">
        <v>1609</v>
      </c>
      <c r="B1610" t="s">
        <v>9</v>
      </c>
      <c r="C1610">
        <v>933004.5</v>
      </c>
      <c r="D1610" t="s">
        <v>10</v>
      </c>
      <c r="E1610" t="s">
        <v>11</v>
      </c>
      <c r="F1610" t="s">
        <v>12</v>
      </c>
      <c r="G1610" t="s">
        <v>13</v>
      </c>
      <c r="H1610" t="s">
        <v>13</v>
      </c>
      <c r="I1610">
        <v>38</v>
      </c>
      <c r="J1610" t="str" cm="1">
        <f t="array" ref="J1610">_xlfn.IFS(ISBLANK(C1610),"FALTANTE",ABS((C1610-$W$5)/$X$5)&gt;1.96,"ATÍPICO",ABS((C1610-$W$5)/$X$5)&lt;=1.96,"NO ATÍPICO")</f>
        <v>NO ATÍPICO</v>
      </c>
      <c r="K1610" t="str" cm="1">
        <f t="array" ref="K1610">_xlfn.IFS(ISBLANK(I1610),"FALTANTE",ABS((I1610-$W$8)/$X$8)&gt;1.92,"ATÍPICO",ABS((I1610-$W$8)/$X$8)&lt;=1.92,"NO ATÍPICO")</f>
        <v>NO ATÍPICO</v>
      </c>
      <c r="L1610">
        <f t="shared" si="116"/>
        <v>933004.5</v>
      </c>
      <c r="M1610" t="str">
        <f t="shared" si="116"/>
        <v>ASALARIADO</v>
      </c>
      <c r="N1610">
        <f t="shared" si="117"/>
        <v>38</v>
      </c>
      <c r="O1610" s="19" t="str">
        <f t="shared" si="118"/>
        <v>900k–1200k</v>
      </c>
      <c r="P1610" s="19" t="str">
        <f t="shared" si="119"/>
        <v>36-45</v>
      </c>
    </row>
    <row r="1611" spans="1:16" x14ac:dyDescent="0.25">
      <c r="A1611">
        <v>1610</v>
      </c>
      <c r="B1611" t="s">
        <v>9</v>
      </c>
      <c r="C1611">
        <v>1552521</v>
      </c>
      <c r="D1611" t="s">
        <v>10</v>
      </c>
      <c r="E1611" t="s">
        <v>11</v>
      </c>
      <c r="F1611" t="s">
        <v>12</v>
      </c>
      <c r="G1611" t="s">
        <v>13</v>
      </c>
      <c r="H1611" t="s">
        <v>12</v>
      </c>
      <c r="I1611">
        <v>38</v>
      </c>
      <c r="J1611" t="str" cm="1">
        <f t="array" ref="J1611">_xlfn.IFS(ISBLANK(C1611),"FALTANTE",ABS((C1611-$W$5)/$X$5)&gt;1.96,"ATÍPICO",ABS((C1611-$W$5)/$X$5)&lt;=1.96,"NO ATÍPICO")</f>
        <v>NO ATÍPICO</v>
      </c>
      <c r="K1611" t="str" cm="1">
        <f t="array" ref="K1611">_xlfn.IFS(ISBLANK(I1611),"FALTANTE",ABS((I1611-$W$8)/$X$8)&gt;1.92,"ATÍPICO",ABS((I1611-$W$8)/$X$8)&lt;=1.92,"NO ATÍPICO")</f>
        <v>NO ATÍPICO</v>
      </c>
      <c r="L1611">
        <f t="shared" si="116"/>
        <v>1552521</v>
      </c>
      <c r="M1611" t="str">
        <f t="shared" si="116"/>
        <v>ASALARIADO</v>
      </c>
      <c r="N1611">
        <f t="shared" si="117"/>
        <v>38</v>
      </c>
      <c r="O1611" s="19" t="str">
        <f t="shared" si="118"/>
        <v>1200k+</v>
      </c>
      <c r="P1611" s="19" t="str">
        <f t="shared" si="119"/>
        <v>36-45</v>
      </c>
    </row>
    <row r="1612" spans="1:16" x14ac:dyDescent="0.25">
      <c r="A1612">
        <v>1611</v>
      </c>
      <c r="B1612" t="s">
        <v>15</v>
      </c>
      <c r="C1612">
        <v>695944.8</v>
      </c>
      <c r="D1612" t="s">
        <v>10</v>
      </c>
      <c r="E1612" t="s">
        <v>11</v>
      </c>
      <c r="F1612" t="s">
        <v>12</v>
      </c>
      <c r="G1612" t="s">
        <v>13</v>
      </c>
      <c r="H1612" t="s">
        <v>13</v>
      </c>
      <c r="I1612">
        <v>54</v>
      </c>
      <c r="J1612" t="str" cm="1">
        <f t="array" ref="J1612">_xlfn.IFS(ISBLANK(C1612),"FALTANTE",ABS((C1612-$W$5)/$X$5)&gt;1.96,"ATÍPICO",ABS((C1612-$W$5)/$X$5)&lt;=1.96,"NO ATÍPICO")</f>
        <v>NO ATÍPICO</v>
      </c>
      <c r="K1612" t="str" cm="1">
        <f t="array" ref="K1612">_xlfn.IFS(ISBLANK(I1612),"FALTANTE",ABS((I1612-$W$8)/$X$8)&gt;1.92,"ATÍPICO",ABS((I1612-$W$8)/$X$8)&lt;=1.92,"NO ATÍPICO")</f>
        <v>NO ATÍPICO</v>
      </c>
      <c r="L1612">
        <f t="shared" si="116"/>
        <v>695944.8</v>
      </c>
      <c r="M1612" t="str">
        <f t="shared" si="116"/>
        <v>ASALARIADO</v>
      </c>
      <c r="N1612">
        <f t="shared" si="117"/>
        <v>54</v>
      </c>
      <c r="O1612" s="19" t="str">
        <f t="shared" si="118"/>
        <v>600k–900k</v>
      </c>
      <c r="P1612" s="19" t="str">
        <f t="shared" si="119"/>
        <v>46-55</v>
      </c>
    </row>
    <row r="1613" spans="1:16" x14ac:dyDescent="0.25">
      <c r="A1613">
        <v>1612</v>
      </c>
      <c r="B1613" t="s">
        <v>9</v>
      </c>
      <c r="C1613">
        <v>636889</v>
      </c>
      <c r="D1613" t="s">
        <v>18</v>
      </c>
      <c r="E1613" t="s">
        <v>16</v>
      </c>
      <c r="F1613" t="s">
        <v>12</v>
      </c>
      <c r="G1613" t="s">
        <v>12</v>
      </c>
      <c r="H1613" t="s">
        <v>12</v>
      </c>
      <c r="I1613">
        <v>59</v>
      </c>
      <c r="J1613" t="str" cm="1">
        <f t="array" ref="J1613">_xlfn.IFS(ISBLANK(C1613),"FALTANTE",ABS((C1613-$W$5)/$X$5)&gt;1.96,"ATÍPICO",ABS((C1613-$W$5)/$X$5)&lt;=1.96,"NO ATÍPICO")</f>
        <v>NO ATÍPICO</v>
      </c>
      <c r="K1613" t="str" cm="1">
        <f t="array" ref="K1613">_xlfn.IFS(ISBLANK(I1613),"FALTANTE",ABS((I1613-$W$8)/$X$8)&gt;1.92,"ATÍPICO",ABS((I1613-$W$8)/$X$8)&lt;=1.92,"NO ATÍPICO")</f>
        <v>NO ATÍPICO</v>
      </c>
      <c r="L1613">
        <f t="shared" si="116"/>
        <v>636889</v>
      </c>
      <c r="M1613" t="str">
        <f t="shared" si="116"/>
        <v>TRABAJADOR INDEPENDIENTE</v>
      </c>
      <c r="N1613">
        <f t="shared" si="117"/>
        <v>59</v>
      </c>
      <c r="O1613" s="19" t="str">
        <f t="shared" si="118"/>
        <v>600k–900k</v>
      </c>
      <c r="P1613" s="19" t="str">
        <f t="shared" si="119"/>
        <v>56+</v>
      </c>
    </row>
    <row r="1614" spans="1:16" x14ac:dyDescent="0.25">
      <c r="A1614">
        <v>1613</v>
      </c>
      <c r="B1614" t="s">
        <v>15</v>
      </c>
      <c r="C1614">
        <v>374751</v>
      </c>
      <c r="D1614" t="s">
        <v>10</v>
      </c>
      <c r="E1614" t="s">
        <v>11</v>
      </c>
      <c r="F1614" t="s">
        <v>12</v>
      </c>
      <c r="G1614" t="s">
        <v>13</v>
      </c>
      <c r="H1614" t="s">
        <v>13</v>
      </c>
      <c r="I1614">
        <v>58</v>
      </c>
      <c r="J1614" t="str" cm="1">
        <f t="array" ref="J1614">_xlfn.IFS(ISBLANK(C1614),"FALTANTE",ABS((C1614-$W$5)/$X$5)&gt;1.96,"ATÍPICO",ABS((C1614-$W$5)/$X$5)&lt;=1.96,"NO ATÍPICO")</f>
        <v>NO ATÍPICO</v>
      </c>
      <c r="K1614" t="str" cm="1">
        <f t="array" ref="K1614">_xlfn.IFS(ISBLANK(I1614),"FALTANTE",ABS((I1614-$W$8)/$X$8)&gt;1.92,"ATÍPICO",ABS((I1614-$W$8)/$X$8)&lt;=1.92,"NO ATÍPICO")</f>
        <v>NO ATÍPICO</v>
      </c>
      <c r="L1614">
        <f t="shared" si="116"/>
        <v>374751</v>
      </c>
      <c r="M1614" t="str">
        <f t="shared" si="116"/>
        <v>ASALARIADO</v>
      </c>
      <c r="N1614">
        <f t="shared" si="117"/>
        <v>58</v>
      </c>
      <c r="O1614" s="19" t="str">
        <f t="shared" si="118"/>
        <v>300k–600k</v>
      </c>
      <c r="P1614" s="19" t="str">
        <f t="shared" si="119"/>
        <v>56+</v>
      </c>
    </row>
    <row r="1615" spans="1:16" x14ac:dyDescent="0.25">
      <c r="A1615">
        <v>1614</v>
      </c>
      <c r="B1615" t="s">
        <v>9</v>
      </c>
      <c r="C1615">
        <v>299644.2</v>
      </c>
      <c r="D1615" t="s">
        <v>10</v>
      </c>
      <c r="E1615" t="s">
        <v>16</v>
      </c>
      <c r="F1615" t="s">
        <v>12</v>
      </c>
      <c r="G1615" t="s">
        <v>13</v>
      </c>
      <c r="H1615" t="s">
        <v>13</v>
      </c>
      <c r="I1615">
        <v>43</v>
      </c>
      <c r="J1615" t="str" cm="1">
        <f t="array" ref="J1615">_xlfn.IFS(ISBLANK(C1615),"FALTANTE",ABS((C1615-$W$5)/$X$5)&gt;1.96,"ATÍPICO",ABS((C1615-$W$5)/$X$5)&lt;=1.96,"NO ATÍPICO")</f>
        <v>NO ATÍPICO</v>
      </c>
      <c r="K1615" t="str" cm="1">
        <f t="array" ref="K1615">_xlfn.IFS(ISBLANK(I1615),"FALTANTE",ABS((I1615-$W$8)/$X$8)&gt;1.92,"ATÍPICO",ABS((I1615-$W$8)/$X$8)&lt;=1.92,"NO ATÍPICO")</f>
        <v>NO ATÍPICO</v>
      </c>
      <c r="L1615">
        <f t="shared" si="116"/>
        <v>299644.2</v>
      </c>
      <c r="M1615" t="str">
        <f t="shared" si="116"/>
        <v>ASALARIADO</v>
      </c>
      <c r="N1615">
        <f t="shared" si="117"/>
        <v>43</v>
      </c>
      <c r="O1615" s="19" t="str">
        <f t="shared" si="118"/>
        <v>0–300k</v>
      </c>
      <c r="P1615" s="19" t="str">
        <f t="shared" si="119"/>
        <v>36-45</v>
      </c>
    </row>
    <row r="1616" spans="1:16" x14ac:dyDescent="0.25">
      <c r="A1616">
        <v>1615</v>
      </c>
      <c r="B1616" t="s">
        <v>15</v>
      </c>
      <c r="C1616">
        <v>462759.86</v>
      </c>
      <c r="D1616" t="s">
        <v>10</v>
      </c>
      <c r="E1616" t="s">
        <v>16</v>
      </c>
      <c r="F1616" t="s">
        <v>12</v>
      </c>
      <c r="G1616" t="s">
        <v>13</v>
      </c>
      <c r="H1616" t="s">
        <v>13</v>
      </c>
      <c r="I1616">
        <v>57</v>
      </c>
      <c r="J1616" t="str" cm="1">
        <f t="array" ref="J1616">_xlfn.IFS(ISBLANK(C1616),"FALTANTE",ABS((C1616-$W$5)/$X$5)&gt;1.96,"ATÍPICO",ABS((C1616-$W$5)/$X$5)&lt;=1.96,"NO ATÍPICO")</f>
        <v>NO ATÍPICO</v>
      </c>
      <c r="K1616" t="str" cm="1">
        <f t="array" ref="K1616">_xlfn.IFS(ISBLANK(I1616),"FALTANTE",ABS((I1616-$W$8)/$X$8)&gt;1.92,"ATÍPICO",ABS((I1616-$W$8)/$X$8)&lt;=1.92,"NO ATÍPICO")</f>
        <v>NO ATÍPICO</v>
      </c>
      <c r="L1616">
        <f t="shared" si="116"/>
        <v>462759.86</v>
      </c>
      <c r="M1616" t="str">
        <f t="shared" si="116"/>
        <v>ASALARIADO</v>
      </c>
      <c r="N1616">
        <f t="shared" si="117"/>
        <v>57</v>
      </c>
      <c r="O1616" s="19" t="str">
        <f t="shared" si="118"/>
        <v>300k–600k</v>
      </c>
      <c r="P1616" s="19" t="str">
        <f t="shared" si="119"/>
        <v>56+</v>
      </c>
    </row>
    <row r="1617" spans="1:16" x14ac:dyDescent="0.25">
      <c r="A1617">
        <v>1616</v>
      </c>
      <c r="B1617" t="s">
        <v>9</v>
      </c>
      <c r="C1617">
        <v>516873</v>
      </c>
      <c r="D1617" t="s">
        <v>18</v>
      </c>
      <c r="E1617" t="s">
        <v>16</v>
      </c>
      <c r="F1617" t="s">
        <v>12</v>
      </c>
      <c r="G1617" t="s">
        <v>13</v>
      </c>
      <c r="H1617" t="s">
        <v>13</v>
      </c>
      <c r="I1617">
        <v>45</v>
      </c>
      <c r="J1617" t="str" cm="1">
        <f t="array" ref="J1617">_xlfn.IFS(ISBLANK(C1617),"FALTANTE",ABS((C1617-$W$5)/$X$5)&gt;1.96,"ATÍPICO",ABS((C1617-$W$5)/$X$5)&lt;=1.96,"NO ATÍPICO")</f>
        <v>NO ATÍPICO</v>
      </c>
      <c r="K1617" t="str" cm="1">
        <f t="array" ref="K1617">_xlfn.IFS(ISBLANK(I1617),"FALTANTE",ABS((I1617-$W$8)/$X$8)&gt;1.92,"ATÍPICO",ABS((I1617-$W$8)/$X$8)&lt;=1.92,"NO ATÍPICO")</f>
        <v>NO ATÍPICO</v>
      </c>
      <c r="L1617">
        <f t="shared" si="116"/>
        <v>516873</v>
      </c>
      <c r="M1617" t="str">
        <f t="shared" si="116"/>
        <v>TRABAJADOR INDEPENDIENTE</v>
      </c>
      <c r="N1617">
        <f t="shared" si="117"/>
        <v>45</v>
      </c>
      <c r="O1617" s="19" t="str">
        <f t="shared" si="118"/>
        <v>300k–600k</v>
      </c>
      <c r="P1617" s="19" t="str">
        <f t="shared" si="119"/>
        <v>36-45</v>
      </c>
    </row>
    <row r="1618" spans="1:16" x14ac:dyDescent="0.25">
      <c r="A1618">
        <v>1617</v>
      </c>
      <c r="B1618" t="s">
        <v>15</v>
      </c>
      <c r="C1618">
        <v>732301.32</v>
      </c>
      <c r="D1618" t="s">
        <v>10</v>
      </c>
      <c r="E1618" t="s">
        <v>16</v>
      </c>
      <c r="F1618" t="s">
        <v>12</v>
      </c>
      <c r="G1618" t="s">
        <v>13</v>
      </c>
      <c r="H1618" t="s">
        <v>13</v>
      </c>
      <c r="I1618">
        <v>44</v>
      </c>
      <c r="J1618" t="str" cm="1">
        <f t="array" ref="J1618">_xlfn.IFS(ISBLANK(C1618),"FALTANTE",ABS((C1618-$W$5)/$X$5)&gt;1.96,"ATÍPICO",ABS((C1618-$W$5)/$X$5)&lt;=1.96,"NO ATÍPICO")</f>
        <v>NO ATÍPICO</v>
      </c>
      <c r="K1618" t="str" cm="1">
        <f t="array" ref="K1618">_xlfn.IFS(ISBLANK(I1618),"FALTANTE",ABS((I1618-$W$8)/$X$8)&gt;1.92,"ATÍPICO",ABS((I1618-$W$8)/$X$8)&lt;=1.92,"NO ATÍPICO")</f>
        <v>NO ATÍPICO</v>
      </c>
      <c r="L1618">
        <f t="shared" si="116"/>
        <v>732301.32</v>
      </c>
      <c r="M1618" t="str">
        <f t="shared" si="116"/>
        <v>ASALARIADO</v>
      </c>
      <c r="N1618">
        <f t="shared" si="117"/>
        <v>44</v>
      </c>
      <c r="O1618" s="19" t="str">
        <f t="shared" si="118"/>
        <v>600k–900k</v>
      </c>
      <c r="P1618" s="19" t="str">
        <f t="shared" si="119"/>
        <v>36-45</v>
      </c>
    </row>
    <row r="1619" spans="1:16" x14ac:dyDescent="0.25">
      <c r="A1619">
        <v>1618</v>
      </c>
      <c r="B1619" t="s">
        <v>9</v>
      </c>
      <c r="C1619">
        <v>298018</v>
      </c>
      <c r="D1619" t="s">
        <v>18</v>
      </c>
      <c r="E1619" t="s">
        <v>16</v>
      </c>
      <c r="F1619" t="s">
        <v>12</v>
      </c>
      <c r="G1619" t="s">
        <v>13</v>
      </c>
      <c r="H1619" t="s">
        <v>12</v>
      </c>
      <c r="I1619">
        <v>26</v>
      </c>
      <c r="J1619" t="str" cm="1">
        <f t="array" ref="J1619">_xlfn.IFS(ISBLANK(C1619),"FALTANTE",ABS((C1619-$W$5)/$X$5)&gt;1.96,"ATÍPICO",ABS((C1619-$W$5)/$X$5)&lt;=1.96,"NO ATÍPICO")</f>
        <v>NO ATÍPICO</v>
      </c>
      <c r="K1619" t="str" cm="1">
        <f t="array" ref="K1619">_xlfn.IFS(ISBLANK(I1619),"FALTANTE",ABS((I1619-$W$8)/$X$8)&gt;1.92,"ATÍPICO",ABS((I1619-$W$8)/$X$8)&lt;=1.92,"NO ATÍPICO")</f>
        <v>NO ATÍPICO</v>
      </c>
      <c r="L1619">
        <f t="shared" si="116"/>
        <v>298018</v>
      </c>
      <c r="M1619" t="str">
        <f t="shared" si="116"/>
        <v>TRABAJADOR INDEPENDIENTE</v>
      </c>
      <c r="N1619">
        <f t="shared" si="117"/>
        <v>26</v>
      </c>
      <c r="O1619" s="19" t="str">
        <f t="shared" si="118"/>
        <v>0–300k</v>
      </c>
      <c r="P1619" s="19" t="str">
        <f t="shared" si="119"/>
        <v>26-35</v>
      </c>
    </row>
    <row r="1620" spans="1:16" x14ac:dyDescent="0.25">
      <c r="A1620">
        <v>1619</v>
      </c>
      <c r="B1620" t="s">
        <v>15</v>
      </c>
      <c r="C1620">
        <v>297046</v>
      </c>
      <c r="D1620" t="s">
        <v>17</v>
      </c>
      <c r="E1620" t="s">
        <v>16</v>
      </c>
      <c r="F1620" t="s">
        <v>12</v>
      </c>
      <c r="G1620" t="s">
        <v>13</v>
      </c>
      <c r="H1620" t="s">
        <v>13</v>
      </c>
      <c r="I1620">
        <v>58</v>
      </c>
      <c r="J1620" t="str" cm="1">
        <f t="array" ref="J1620">_xlfn.IFS(ISBLANK(C1620),"FALTANTE",ABS((C1620-$W$5)/$X$5)&gt;1.96,"ATÍPICO",ABS((C1620-$W$5)/$X$5)&lt;=1.96,"NO ATÍPICO")</f>
        <v>NO ATÍPICO</v>
      </c>
      <c r="K1620" t="str" cm="1">
        <f t="array" ref="K1620">_xlfn.IFS(ISBLANK(I1620),"FALTANTE",ABS((I1620-$W$8)/$X$8)&gt;1.92,"ATÍPICO",ABS((I1620-$W$8)/$X$8)&lt;=1.92,"NO ATÍPICO")</f>
        <v>NO ATÍPICO</v>
      </c>
      <c r="L1620">
        <f t="shared" si="116"/>
        <v>297046</v>
      </c>
      <c r="M1620" t="str">
        <f t="shared" si="116"/>
        <v>ASEGURADO VOLUNTARIO</v>
      </c>
      <c r="N1620">
        <f t="shared" si="117"/>
        <v>58</v>
      </c>
      <c r="O1620" s="19" t="str">
        <f t="shared" si="118"/>
        <v>0–300k</v>
      </c>
      <c r="P1620" s="19" t="str">
        <f t="shared" si="119"/>
        <v>56+</v>
      </c>
    </row>
    <row r="1621" spans="1:16" x14ac:dyDescent="0.25">
      <c r="A1621">
        <v>1620</v>
      </c>
      <c r="B1621" t="s">
        <v>15</v>
      </c>
      <c r="C1621">
        <v>282216</v>
      </c>
      <c r="D1621" t="s">
        <v>10</v>
      </c>
      <c r="E1621" t="s">
        <v>16</v>
      </c>
      <c r="F1621" t="s">
        <v>12</v>
      </c>
      <c r="G1621" t="s">
        <v>12</v>
      </c>
      <c r="H1621" t="s">
        <v>13</v>
      </c>
      <c r="I1621">
        <v>22</v>
      </c>
      <c r="J1621" t="str" cm="1">
        <f t="array" ref="J1621">_xlfn.IFS(ISBLANK(C1621),"FALTANTE",ABS((C1621-$W$5)/$X$5)&gt;1.96,"ATÍPICO",ABS((C1621-$W$5)/$X$5)&lt;=1.96,"NO ATÍPICO")</f>
        <v>NO ATÍPICO</v>
      </c>
      <c r="K1621" t="str" cm="1">
        <f t="array" ref="K1621">_xlfn.IFS(ISBLANK(I1621),"FALTANTE",ABS((I1621-$W$8)/$X$8)&gt;1.92,"ATÍPICO",ABS((I1621-$W$8)/$X$8)&lt;=1.92,"NO ATÍPICO")</f>
        <v>NO ATÍPICO</v>
      </c>
      <c r="L1621">
        <f t="shared" si="116"/>
        <v>282216</v>
      </c>
      <c r="M1621" t="str">
        <f t="shared" si="116"/>
        <v>ASALARIADO</v>
      </c>
      <c r="N1621">
        <f t="shared" si="117"/>
        <v>22</v>
      </c>
      <c r="O1621" s="19" t="str">
        <f t="shared" si="118"/>
        <v>0–300k</v>
      </c>
      <c r="P1621" s="19" t="str">
        <f t="shared" si="119"/>
        <v>18-25</v>
      </c>
    </row>
    <row r="1622" spans="1:16" x14ac:dyDescent="0.25">
      <c r="A1622">
        <v>1621</v>
      </c>
      <c r="B1622" t="s">
        <v>9</v>
      </c>
      <c r="C1622">
        <v>838586.07</v>
      </c>
      <c r="D1622" t="s">
        <v>10</v>
      </c>
      <c r="E1622" t="s">
        <v>11</v>
      </c>
      <c r="F1622" t="s">
        <v>12</v>
      </c>
      <c r="G1622" t="s">
        <v>13</v>
      </c>
      <c r="H1622" t="s">
        <v>13</v>
      </c>
      <c r="I1622">
        <v>31</v>
      </c>
      <c r="J1622" t="str" cm="1">
        <f t="array" ref="J1622">_xlfn.IFS(ISBLANK(C1622),"FALTANTE",ABS((C1622-$W$5)/$X$5)&gt;1.96,"ATÍPICO",ABS((C1622-$W$5)/$X$5)&lt;=1.96,"NO ATÍPICO")</f>
        <v>NO ATÍPICO</v>
      </c>
      <c r="K1622" t="str" cm="1">
        <f t="array" ref="K1622">_xlfn.IFS(ISBLANK(I1622),"FALTANTE",ABS((I1622-$W$8)/$X$8)&gt;1.92,"ATÍPICO",ABS((I1622-$W$8)/$X$8)&lt;=1.92,"NO ATÍPICO")</f>
        <v>NO ATÍPICO</v>
      </c>
      <c r="L1622">
        <f t="shared" si="116"/>
        <v>838586.07</v>
      </c>
      <c r="M1622" t="str">
        <f t="shared" si="116"/>
        <v>ASALARIADO</v>
      </c>
      <c r="N1622">
        <f t="shared" si="117"/>
        <v>31</v>
      </c>
      <c r="O1622" s="19" t="str">
        <f t="shared" si="118"/>
        <v>600k–900k</v>
      </c>
      <c r="P1622" s="19" t="str">
        <f t="shared" si="119"/>
        <v>26-35</v>
      </c>
    </row>
    <row r="1623" spans="1:16" x14ac:dyDescent="0.25">
      <c r="A1623">
        <v>1622</v>
      </c>
      <c r="B1623" t="s">
        <v>9</v>
      </c>
      <c r="C1623">
        <v>774142.69</v>
      </c>
      <c r="D1623" t="s">
        <v>10</v>
      </c>
      <c r="E1623" t="s">
        <v>16</v>
      </c>
      <c r="F1623" t="s">
        <v>12</v>
      </c>
      <c r="G1623" t="s">
        <v>13</v>
      </c>
      <c r="H1623" t="s">
        <v>13</v>
      </c>
      <c r="I1623">
        <v>41</v>
      </c>
      <c r="J1623" t="str" cm="1">
        <f t="array" ref="J1623">_xlfn.IFS(ISBLANK(C1623),"FALTANTE",ABS((C1623-$W$5)/$X$5)&gt;1.96,"ATÍPICO",ABS((C1623-$W$5)/$X$5)&lt;=1.96,"NO ATÍPICO")</f>
        <v>NO ATÍPICO</v>
      </c>
      <c r="K1623" t="str" cm="1">
        <f t="array" ref="K1623">_xlfn.IFS(ISBLANK(I1623),"FALTANTE",ABS((I1623-$W$8)/$X$8)&gt;1.92,"ATÍPICO",ABS((I1623-$W$8)/$X$8)&lt;=1.92,"NO ATÍPICO")</f>
        <v>NO ATÍPICO</v>
      </c>
      <c r="L1623">
        <f t="shared" si="116"/>
        <v>774142.69</v>
      </c>
      <c r="M1623" t="str">
        <f t="shared" si="116"/>
        <v>ASALARIADO</v>
      </c>
      <c r="N1623">
        <f t="shared" si="117"/>
        <v>41</v>
      </c>
      <c r="O1623" s="19" t="str">
        <f t="shared" si="118"/>
        <v>600k–900k</v>
      </c>
      <c r="P1623" s="19" t="str">
        <f t="shared" si="119"/>
        <v>36-45</v>
      </c>
    </row>
    <row r="1624" spans="1:16" x14ac:dyDescent="0.25">
      <c r="A1624">
        <v>1623</v>
      </c>
      <c r="B1624" t="s">
        <v>9</v>
      </c>
      <c r="C1624">
        <v>297429</v>
      </c>
      <c r="D1624" t="s">
        <v>18</v>
      </c>
      <c r="E1624" t="s">
        <v>16</v>
      </c>
      <c r="F1624" t="s">
        <v>12</v>
      </c>
      <c r="G1624" t="s">
        <v>13</v>
      </c>
      <c r="H1624" t="s">
        <v>12</v>
      </c>
      <c r="I1624">
        <v>52</v>
      </c>
      <c r="J1624" t="str" cm="1">
        <f t="array" ref="J1624">_xlfn.IFS(ISBLANK(C1624),"FALTANTE",ABS((C1624-$W$5)/$X$5)&gt;1.96,"ATÍPICO",ABS((C1624-$W$5)/$X$5)&lt;=1.96,"NO ATÍPICO")</f>
        <v>NO ATÍPICO</v>
      </c>
      <c r="K1624" t="str" cm="1">
        <f t="array" ref="K1624">_xlfn.IFS(ISBLANK(I1624),"FALTANTE",ABS((I1624-$W$8)/$X$8)&gt;1.92,"ATÍPICO",ABS((I1624-$W$8)/$X$8)&lt;=1.92,"NO ATÍPICO")</f>
        <v>NO ATÍPICO</v>
      </c>
      <c r="L1624">
        <f t="shared" si="116"/>
        <v>297429</v>
      </c>
      <c r="M1624" t="str">
        <f t="shared" si="116"/>
        <v>TRABAJADOR INDEPENDIENTE</v>
      </c>
      <c r="N1624">
        <f t="shared" si="117"/>
        <v>52</v>
      </c>
      <c r="O1624" s="19" t="str">
        <f t="shared" si="118"/>
        <v>0–300k</v>
      </c>
      <c r="P1624" s="19" t="str">
        <f t="shared" si="119"/>
        <v>46-55</v>
      </c>
    </row>
    <row r="1625" spans="1:16" x14ac:dyDescent="0.25">
      <c r="A1625">
        <v>1624</v>
      </c>
      <c r="B1625" t="s">
        <v>15</v>
      </c>
      <c r="C1625">
        <v>283588.21999999997</v>
      </c>
      <c r="D1625" t="s">
        <v>10</v>
      </c>
      <c r="E1625" t="s">
        <v>16</v>
      </c>
      <c r="F1625" t="s">
        <v>12</v>
      </c>
      <c r="G1625" t="s">
        <v>13</v>
      </c>
      <c r="H1625" t="s">
        <v>13</v>
      </c>
      <c r="I1625">
        <v>29</v>
      </c>
      <c r="J1625" t="str" cm="1">
        <f t="array" ref="J1625">_xlfn.IFS(ISBLANK(C1625),"FALTANTE",ABS((C1625-$W$5)/$X$5)&gt;1.96,"ATÍPICO",ABS((C1625-$W$5)/$X$5)&lt;=1.96,"NO ATÍPICO")</f>
        <v>NO ATÍPICO</v>
      </c>
      <c r="K1625" t="str" cm="1">
        <f t="array" ref="K1625">_xlfn.IFS(ISBLANK(I1625),"FALTANTE",ABS((I1625-$W$8)/$X$8)&gt;1.92,"ATÍPICO",ABS((I1625-$W$8)/$X$8)&lt;=1.92,"NO ATÍPICO")</f>
        <v>NO ATÍPICO</v>
      </c>
      <c r="L1625">
        <f t="shared" si="116"/>
        <v>283588.21999999997</v>
      </c>
      <c r="M1625" t="str">
        <f t="shared" si="116"/>
        <v>ASALARIADO</v>
      </c>
      <c r="N1625">
        <f t="shared" si="117"/>
        <v>29</v>
      </c>
      <c r="O1625" s="19" t="str">
        <f t="shared" si="118"/>
        <v>0–300k</v>
      </c>
      <c r="P1625" s="19" t="str">
        <f t="shared" si="119"/>
        <v>26-35</v>
      </c>
    </row>
    <row r="1626" spans="1:16" x14ac:dyDescent="0.25">
      <c r="A1626">
        <v>1625</v>
      </c>
      <c r="B1626" t="s">
        <v>9</v>
      </c>
      <c r="C1626">
        <v>1357187.5</v>
      </c>
      <c r="D1626" t="s">
        <v>10</v>
      </c>
      <c r="E1626" t="s">
        <v>16</v>
      </c>
      <c r="F1626" t="s">
        <v>12</v>
      </c>
      <c r="G1626" t="s">
        <v>13</v>
      </c>
      <c r="H1626" t="s">
        <v>13</v>
      </c>
      <c r="I1626">
        <v>36</v>
      </c>
      <c r="J1626" t="str" cm="1">
        <f t="array" ref="J1626">_xlfn.IFS(ISBLANK(C1626),"FALTANTE",ABS((C1626-$W$5)/$X$5)&gt;1.96,"ATÍPICO",ABS((C1626-$W$5)/$X$5)&lt;=1.96,"NO ATÍPICO")</f>
        <v>NO ATÍPICO</v>
      </c>
      <c r="K1626" t="str" cm="1">
        <f t="array" ref="K1626">_xlfn.IFS(ISBLANK(I1626),"FALTANTE",ABS((I1626-$W$8)/$X$8)&gt;1.92,"ATÍPICO",ABS((I1626-$W$8)/$X$8)&lt;=1.92,"NO ATÍPICO")</f>
        <v>NO ATÍPICO</v>
      </c>
      <c r="L1626">
        <f t="shared" si="116"/>
        <v>1357187.5</v>
      </c>
      <c r="M1626" t="str">
        <f t="shared" si="116"/>
        <v>ASALARIADO</v>
      </c>
      <c r="N1626">
        <f t="shared" si="117"/>
        <v>36</v>
      </c>
      <c r="O1626" s="19" t="str">
        <f t="shared" si="118"/>
        <v>1200k+</v>
      </c>
      <c r="P1626" s="19" t="str">
        <f t="shared" si="119"/>
        <v>36-45</v>
      </c>
    </row>
    <row r="1627" spans="1:16" x14ac:dyDescent="0.25">
      <c r="A1627">
        <v>1626</v>
      </c>
      <c r="B1627" t="s">
        <v>15</v>
      </c>
      <c r="C1627">
        <v>546794.78</v>
      </c>
      <c r="D1627" t="s">
        <v>10</v>
      </c>
      <c r="E1627" t="s">
        <v>16</v>
      </c>
      <c r="F1627" t="s">
        <v>12</v>
      </c>
      <c r="G1627" t="s">
        <v>13</v>
      </c>
      <c r="H1627" t="s">
        <v>13</v>
      </c>
      <c r="I1627">
        <v>41</v>
      </c>
      <c r="J1627" t="str" cm="1">
        <f t="array" ref="J1627">_xlfn.IFS(ISBLANK(C1627),"FALTANTE",ABS((C1627-$W$5)/$X$5)&gt;1.96,"ATÍPICO",ABS((C1627-$W$5)/$X$5)&lt;=1.96,"NO ATÍPICO")</f>
        <v>NO ATÍPICO</v>
      </c>
      <c r="K1627" t="str" cm="1">
        <f t="array" ref="K1627">_xlfn.IFS(ISBLANK(I1627),"FALTANTE",ABS((I1627-$W$8)/$X$8)&gt;1.92,"ATÍPICO",ABS((I1627-$W$8)/$X$8)&lt;=1.92,"NO ATÍPICO")</f>
        <v>NO ATÍPICO</v>
      </c>
      <c r="L1627">
        <f t="shared" si="116"/>
        <v>546794.78</v>
      </c>
      <c r="M1627" t="str">
        <f t="shared" si="116"/>
        <v>ASALARIADO</v>
      </c>
      <c r="N1627">
        <f t="shared" si="117"/>
        <v>41</v>
      </c>
      <c r="O1627" s="19" t="str">
        <f t="shared" si="118"/>
        <v>300k–600k</v>
      </c>
      <c r="P1627" s="19" t="str">
        <f t="shared" si="119"/>
        <v>36-45</v>
      </c>
    </row>
    <row r="1628" spans="1:16" x14ac:dyDescent="0.25">
      <c r="A1628">
        <v>1627</v>
      </c>
      <c r="B1628" t="s">
        <v>15</v>
      </c>
      <c r="C1628">
        <v>442840</v>
      </c>
      <c r="D1628" t="s">
        <v>10</v>
      </c>
      <c r="E1628" t="s">
        <v>11</v>
      </c>
      <c r="F1628" t="s">
        <v>12</v>
      </c>
      <c r="G1628" t="s">
        <v>13</v>
      </c>
      <c r="H1628" t="s">
        <v>12</v>
      </c>
      <c r="I1628">
        <v>46</v>
      </c>
      <c r="J1628" t="str" cm="1">
        <f t="array" ref="J1628">_xlfn.IFS(ISBLANK(C1628),"FALTANTE",ABS((C1628-$W$5)/$X$5)&gt;1.96,"ATÍPICO",ABS((C1628-$W$5)/$X$5)&lt;=1.96,"NO ATÍPICO")</f>
        <v>NO ATÍPICO</v>
      </c>
      <c r="K1628" t="str" cm="1">
        <f t="array" ref="K1628">_xlfn.IFS(ISBLANK(I1628),"FALTANTE",ABS((I1628-$W$8)/$X$8)&gt;1.92,"ATÍPICO",ABS((I1628-$W$8)/$X$8)&lt;=1.92,"NO ATÍPICO")</f>
        <v>NO ATÍPICO</v>
      </c>
      <c r="L1628">
        <f t="shared" si="116"/>
        <v>442840</v>
      </c>
      <c r="M1628" t="str">
        <f t="shared" si="116"/>
        <v>ASALARIADO</v>
      </c>
      <c r="N1628">
        <f t="shared" si="117"/>
        <v>46</v>
      </c>
      <c r="O1628" s="19" t="str">
        <f t="shared" si="118"/>
        <v>300k–600k</v>
      </c>
      <c r="P1628" s="19" t="str">
        <f t="shared" si="119"/>
        <v>46-55</v>
      </c>
    </row>
    <row r="1629" spans="1:16" x14ac:dyDescent="0.25">
      <c r="A1629">
        <v>1628</v>
      </c>
      <c r="B1629" t="s">
        <v>15</v>
      </c>
      <c r="C1629">
        <v>299441</v>
      </c>
      <c r="D1629" t="s">
        <v>18</v>
      </c>
      <c r="E1629" t="s">
        <v>16</v>
      </c>
      <c r="F1629" t="s">
        <v>12</v>
      </c>
      <c r="G1629" t="s">
        <v>13</v>
      </c>
      <c r="H1629" t="s">
        <v>13</v>
      </c>
      <c r="I1629">
        <v>45</v>
      </c>
      <c r="J1629" t="str" cm="1">
        <f t="array" ref="J1629">_xlfn.IFS(ISBLANK(C1629),"FALTANTE",ABS((C1629-$W$5)/$X$5)&gt;1.96,"ATÍPICO",ABS((C1629-$W$5)/$X$5)&lt;=1.96,"NO ATÍPICO")</f>
        <v>NO ATÍPICO</v>
      </c>
      <c r="K1629" t="str" cm="1">
        <f t="array" ref="K1629">_xlfn.IFS(ISBLANK(I1629),"FALTANTE",ABS((I1629-$W$8)/$X$8)&gt;1.92,"ATÍPICO",ABS((I1629-$W$8)/$X$8)&lt;=1.92,"NO ATÍPICO")</f>
        <v>NO ATÍPICO</v>
      </c>
      <c r="L1629">
        <f t="shared" si="116"/>
        <v>299441</v>
      </c>
      <c r="M1629" t="str">
        <f t="shared" si="116"/>
        <v>TRABAJADOR INDEPENDIENTE</v>
      </c>
      <c r="N1629">
        <f t="shared" si="117"/>
        <v>45</v>
      </c>
      <c r="O1629" s="19" t="str">
        <f t="shared" si="118"/>
        <v>0–300k</v>
      </c>
      <c r="P1629" s="19" t="str">
        <f t="shared" si="119"/>
        <v>36-45</v>
      </c>
    </row>
    <row r="1630" spans="1:16" x14ac:dyDescent="0.25">
      <c r="A1630">
        <v>1629</v>
      </c>
      <c r="B1630" t="s">
        <v>9</v>
      </c>
      <c r="C1630">
        <v>297045</v>
      </c>
      <c r="D1630" t="s">
        <v>17</v>
      </c>
      <c r="E1630" t="s">
        <v>16</v>
      </c>
      <c r="F1630" t="s">
        <v>13</v>
      </c>
      <c r="G1630" t="s">
        <v>13</v>
      </c>
      <c r="H1630" t="s">
        <v>12</v>
      </c>
      <c r="I1630">
        <v>70</v>
      </c>
      <c r="J1630" t="str" cm="1">
        <f t="array" ref="J1630">_xlfn.IFS(ISBLANK(C1630),"FALTANTE",ABS((C1630-$W$5)/$X$5)&gt;1.96,"ATÍPICO",ABS((C1630-$W$5)/$X$5)&lt;=1.96,"NO ATÍPICO")</f>
        <v>NO ATÍPICO</v>
      </c>
      <c r="K1630" t="str" cm="1">
        <f t="array" ref="K1630">_xlfn.IFS(ISBLANK(I1630),"FALTANTE",ABS((I1630-$W$8)/$X$8)&gt;1.92,"ATÍPICO",ABS((I1630-$W$8)/$X$8)&lt;=1.92,"NO ATÍPICO")</f>
        <v>ATÍPICO</v>
      </c>
      <c r="L1630">
        <f t="shared" si="116"/>
        <v>297045</v>
      </c>
      <c r="M1630" t="str">
        <f t="shared" si="116"/>
        <v>ASEGURADO VOLUNTARIO</v>
      </c>
      <c r="N1630">
        <f t="shared" si="117"/>
        <v>70</v>
      </c>
      <c r="O1630" s="19" t="str">
        <f t="shared" si="118"/>
        <v>0–300k</v>
      </c>
      <c r="P1630" s="19" t="str">
        <f t="shared" si="119"/>
        <v>56+</v>
      </c>
    </row>
    <row r="1631" spans="1:16" x14ac:dyDescent="0.25">
      <c r="A1631">
        <v>1630</v>
      </c>
      <c r="B1631" t="s">
        <v>9</v>
      </c>
      <c r="C1631">
        <v>299647</v>
      </c>
      <c r="D1631" t="s">
        <v>17</v>
      </c>
      <c r="E1631" t="s">
        <v>16</v>
      </c>
      <c r="F1631" t="s">
        <v>12</v>
      </c>
      <c r="G1631" t="s">
        <v>13</v>
      </c>
      <c r="H1631" t="s">
        <v>13</v>
      </c>
      <c r="I1631">
        <v>78</v>
      </c>
      <c r="J1631" t="str" cm="1">
        <f t="array" ref="J1631">_xlfn.IFS(ISBLANK(C1631),"FALTANTE",ABS((C1631-$W$5)/$X$5)&gt;1.96,"ATÍPICO",ABS((C1631-$W$5)/$X$5)&lt;=1.96,"NO ATÍPICO")</f>
        <v>NO ATÍPICO</v>
      </c>
      <c r="K1631" t="str" cm="1">
        <f t="array" ref="K1631">_xlfn.IFS(ISBLANK(I1631),"FALTANTE",ABS((I1631-$W$8)/$X$8)&gt;1.92,"ATÍPICO",ABS((I1631-$W$8)/$X$8)&lt;=1.92,"NO ATÍPICO")</f>
        <v>ATÍPICO</v>
      </c>
      <c r="L1631">
        <f t="shared" si="116"/>
        <v>299647</v>
      </c>
      <c r="M1631" t="str">
        <f t="shared" si="116"/>
        <v>ASEGURADO VOLUNTARIO</v>
      </c>
      <c r="N1631">
        <f t="shared" si="117"/>
        <v>78</v>
      </c>
      <c r="O1631" s="19" t="str">
        <f t="shared" si="118"/>
        <v>0–300k</v>
      </c>
      <c r="P1631" s="19" t="str">
        <f t="shared" si="119"/>
        <v>56+</v>
      </c>
    </row>
    <row r="1632" spans="1:16" x14ac:dyDescent="0.25">
      <c r="A1632">
        <v>1631</v>
      </c>
      <c r="B1632" t="s">
        <v>15</v>
      </c>
      <c r="C1632">
        <v>581394</v>
      </c>
      <c r="D1632" t="s">
        <v>10</v>
      </c>
      <c r="E1632" t="s">
        <v>11</v>
      </c>
      <c r="F1632" t="s">
        <v>12</v>
      </c>
      <c r="G1632" t="s">
        <v>13</v>
      </c>
      <c r="H1632" t="s">
        <v>12</v>
      </c>
      <c r="I1632">
        <v>30</v>
      </c>
      <c r="J1632" t="str" cm="1">
        <f t="array" ref="J1632">_xlfn.IFS(ISBLANK(C1632),"FALTANTE",ABS((C1632-$W$5)/$X$5)&gt;1.96,"ATÍPICO",ABS((C1632-$W$5)/$X$5)&lt;=1.96,"NO ATÍPICO")</f>
        <v>NO ATÍPICO</v>
      </c>
      <c r="K1632" t="str" cm="1">
        <f t="array" ref="K1632">_xlfn.IFS(ISBLANK(I1632),"FALTANTE",ABS((I1632-$W$8)/$X$8)&gt;1.92,"ATÍPICO",ABS((I1632-$W$8)/$X$8)&lt;=1.92,"NO ATÍPICO")</f>
        <v>NO ATÍPICO</v>
      </c>
      <c r="L1632">
        <f t="shared" si="116"/>
        <v>581394</v>
      </c>
      <c r="M1632" t="str">
        <f t="shared" si="116"/>
        <v>ASALARIADO</v>
      </c>
      <c r="N1632">
        <f t="shared" si="117"/>
        <v>30</v>
      </c>
      <c r="O1632" s="19" t="str">
        <f t="shared" si="118"/>
        <v>300k–600k</v>
      </c>
      <c r="P1632" s="19" t="str">
        <f t="shared" si="119"/>
        <v>26-35</v>
      </c>
    </row>
    <row r="1633" spans="1:16" x14ac:dyDescent="0.25">
      <c r="A1633">
        <v>1632</v>
      </c>
      <c r="B1633" t="s">
        <v>9</v>
      </c>
      <c r="C1633">
        <v>335195.53000000003</v>
      </c>
      <c r="D1633" t="s">
        <v>10</v>
      </c>
      <c r="E1633" t="s">
        <v>16</v>
      </c>
      <c r="F1633" t="s">
        <v>12</v>
      </c>
      <c r="G1633" t="s">
        <v>13</v>
      </c>
      <c r="H1633" t="s">
        <v>12</v>
      </c>
      <c r="I1633">
        <v>47</v>
      </c>
      <c r="J1633" t="str" cm="1">
        <f t="array" ref="J1633">_xlfn.IFS(ISBLANK(C1633),"FALTANTE",ABS((C1633-$W$5)/$X$5)&gt;1.96,"ATÍPICO",ABS((C1633-$W$5)/$X$5)&lt;=1.96,"NO ATÍPICO")</f>
        <v>NO ATÍPICO</v>
      </c>
      <c r="K1633" t="str" cm="1">
        <f t="array" ref="K1633">_xlfn.IFS(ISBLANK(I1633),"FALTANTE",ABS((I1633-$W$8)/$X$8)&gt;1.92,"ATÍPICO",ABS((I1633-$W$8)/$X$8)&lt;=1.92,"NO ATÍPICO")</f>
        <v>NO ATÍPICO</v>
      </c>
      <c r="L1633">
        <f t="shared" si="116"/>
        <v>335195.53000000003</v>
      </c>
      <c r="M1633" t="str">
        <f t="shared" si="116"/>
        <v>ASALARIADO</v>
      </c>
      <c r="N1633">
        <f t="shared" si="117"/>
        <v>47</v>
      </c>
      <c r="O1633" s="19" t="str">
        <f t="shared" si="118"/>
        <v>300k–600k</v>
      </c>
      <c r="P1633" s="19" t="str">
        <f t="shared" si="119"/>
        <v>46-55</v>
      </c>
    </row>
    <row r="1634" spans="1:16" x14ac:dyDescent="0.25">
      <c r="A1634">
        <v>1633</v>
      </c>
      <c r="B1634" t="s">
        <v>9</v>
      </c>
      <c r="C1634">
        <v>412441</v>
      </c>
      <c r="D1634" t="s">
        <v>10</v>
      </c>
      <c r="E1634" t="s">
        <v>16</v>
      </c>
      <c r="F1634" t="s">
        <v>12</v>
      </c>
      <c r="G1634" t="s">
        <v>13</v>
      </c>
      <c r="H1634" t="s">
        <v>13</v>
      </c>
      <c r="I1634">
        <v>57</v>
      </c>
      <c r="J1634" t="str" cm="1">
        <f t="array" ref="J1634">_xlfn.IFS(ISBLANK(C1634),"FALTANTE",ABS((C1634-$W$5)/$X$5)&gt;1.96,"ATÍPICO",ABS((C1634-$W$5)/$X$5)&lt;=1.96,"NO ATÍPICO")</f>
        <v>NO ATÍPICO</v>
      </c>
      <c r="K1634" t="str" cm="1">
        <f t="array" ref="K1634">_xlfn.IFS(ISBLANK(I1634),"FALTANTE",ABS((I1634-$W$8)/$X$8)&gt;1.92,"ATÍPICO",ABS((I1634-$W$8)/$X$8)&lt;=1.92,"NO ATÍPICO")</f>
        <v>NO ATÍPICO</v>
      </c>
      <c r="L1634">
        <f t="shared" si="116"/>
        <v>412441</v>
      </c>
      <c r="M1634" t="str">
        <f t="shared" si="116"/>
        <v>ASALARIADO</v>
      </c>
      <c r="N1634">
        <f t="shared" si="117"/>
        <v>57</v>
      </c>
      <c r="O1634" s="19" t="str">
        <f t="shared" si="118"/>
        <v>300k–600k</v>
      </c>
      <c r="P1634" s="19" t="str">
        <f t="shared" si="119"/>
        <v>56+</v>
      </c>
    </row>
    <row r="1635" spans="1:16" x14ac:dyDescent="0.25">
      <c r="A1635">
        <v>1634</v>
      </c>
      <c r="B1635" t="s">
        <v>15</v>
      </c>
      <c r="C1635">
        <v>297044</v>
      </c>
      <c r="D1635" t="s">
        <v>10</v>
      </c>
      <c r="E1635" t="s">
        <v>16</v>
      </c>
      <c r="F1635" t="s">
        <v>12</v>
      </c>
      <c r="G1635" t="s">
        <v>13</v>
      </c>
      <c r="H1635" t="s">
        <v>13</v>
      </c>
      <c r="I1635">
        <v>32</v>
      </c>
      <c r="J1635" t="str" cm="1">
        <f t="array" ref="J1635">_xlfn.IFS(ISBLANK(C1635),"FALTANTE",ABS((C1635-$W$5)/$X$5)&gt;1.96,"ATÍPICO",ABS((C1635-$W$5)/$X$5)&lt;=1.96,"NO ATÍPICO")</f>
        <v>NO ATÍPICO</v>
      </c>
      <c r="K1635" t="str" cm="1">
        <f t="array" ref="K1635">_xlfn.IFS(ISBLANK(I1635),"FALTANTE",ABS((I1635-$W$8)/$X$8)&gt;1.92,"ATÍPICO",ABS((I1635-$W$8)/$X$8)&lt;=1.92,"NO ATÍPICO")</f>
        <v>NO ATÍPICO</v>
      </c>
      <c r="L1635">
        <f t="shared" si="116"/>
        <v>297044</v>
      </c>
      <c r="M1635" t="str">
        <f t="shared" si="116"/>
        <v>ASALARIADO</v>
      </c>
      <c r="N1635">
        <f t="shared" si="117"/>
        <v>32</v>
      </c>
      <c r="O1635" s="19" t="str">
        <f t="shared" si="118"/>
        <v>0–300k</v>
      </c>
      <c r="P1635" s="19" t="str">
        <f t="shared" si="119"/>
        <v>26-35</v>
      </c>
    </row>
    <row r="1636" spans="1:16" x14ac:dyDescent="0.25">
      <c r="A1636">
        <v>1635</v>
      </c>
      <c r="B1636" t="s">
        <v>15</v>
      </c>
      <c r="C1636">
        <v>400000</v>
      </c>
      <c r="D1636" t="s">
        <v>10</v>
      </c>
      <c r="E1636" t="s">
        <v>16</v>
      </c>
      <c r="F1636" t="s">
        <v>12</v>
      </c>
      <c r="G1636" t="s">
        <v>13</v>
      </c>
      <c r="H1636" t="s">
        <v>13</v>
      </c>
      <c r="I1636">
        <v>36</v>
      </c>
      <c r="J1636" t="str" cm="1">
        <f t="array" ref="J1636">_xlfn.IFS(ISBLANK(C1636),"FALTANTE",ABS((C1636-$W$5)/$X$5)&gt;1.96,"ATÍPICO",ABS((C1636-$W$5)/$X$5)&lt;=1.96,"NO ATÍPICO")</f>
        <v>NO ATÍPICO</v>
      </c>
      <c r="K1636" t="str" cm="1">
        <f t="array" ref="K1636">_xlfn.IFS(ISBLANK(I1636),"FALTANTE",ABS((I1636-$W$8)/$X$8)&gt;1.92,"ATÍPICO",ABS((I1636-$W$8)/$X$8)&lt;=1.92,"NO ATÍPICO")</f>
        <v>NO ATÍPICO</v>
      </c>
      <c r="L1636">
        <f t="shared" si="116"/>
        <v>400000</v>
      </c>
      <c r="M1636" t="str">
        <f t="shared" si="116"/>
        <v>ASALARIADO</v>
      </c>
      <c r="N1636">
        <f t="shared" si="117"/>
        <v>36</v>
      </c>
      <c r="O1636" s="19" t="str">
        <f t="shared" si="118"/>
        <v>300k–600k</v>
      </c>
      <c r="P1636" s="19" t="str">
        <f t="shared" si="119"/>
        <v>36-45</v>
      </c>
    </row>
    <row r="1637" spans="1:16" x14ac:dyDescent="0.25">
      <c r="A1637">
        <v>1636</v>
      </c>
      <c r="B1637" t="s">
        <v>9</v>
      </c>
      <c r="C1637">
        <v>676443.1</v>
      </c>
      <c r="D1637" t="s">
        <v>10</v>
      </c>
      <c r="E1637" t="s">
        <v>16</v>
      </c>
      <c r="F1637" t="s">
        <v>12</v>
      </c>
      <c r="G1637" t="s">
        <v>13</v>
      </c>
      <c r="H1637" t="s">
        <v>13</v>
      </c>
      <c r="I1637">
        <v>38</v>
      </c>
      <c r="J1637" t="str" cm="1">
        <f t="array" ref="J1637">_xlfn.IFS(ISBLANK(C1637),"FALTANTE",ABS((C1637-$W$5)/$X$5)&gt;1.96,"ATÍPICO",ABS((C1637-$W$5)/$X$5)&lt;=1.96,"NO ATÍPICO")</f>
        <v>NO ATÍPICO</v>
      </c>
      <c r="K1637" t="str" cm="1">
        <f t="array" ref="K1637">_xlfn.IFS(ISBLANK(I1637),"FALTANTE",ABS((I1637-$W$8)/$X$8)&gt;1.92,"ATÍPICO",ABS((I1637-$W$8)/$X$8)&lt;=1.92,"NO ATÍPICO")</f>
        <v>NO ATÍPICO</v>
      </c>
      <c r="L1637">
        <f t="shared" si="116"/>
        <v>676443.1</v>
      </c>
      <c r="M1637" t="str">
        <f t="shared" si="116"/>
        <v>ASALARIADO</v>
      </c>
      <c r="N1637">
        <f t="shared" si="117"/>
        <v>38</v>
      </c>
      <c r="O1637" s="19" t="str">
        <f t="shared" si="118"/>
        <v>600k–900k</v>
      </c>
      <c r="P1637" s="19" t="str">
        <f t="shared" si="119"/>
        <v>36-45</v>
      </c>
    </row>
    <row r="1638" spans="1:16" x14ac:dyDescent="0.25">
      <c r="A1638">
        <v>1637</v>
      </c>
      <c r="B1638" t="s">
        <v>9</v>
      </c>
      <c r="C1638">
        <v>12160184</v>
      </c>
      <c r="D1638" t="s">
        <v>10</v>
      </c>
      <c r="E1638" t="s">
        <v>16</v>
      </c>
      <c r="F1638" t="s">
        <v>12</v>
      </c>
      <c r="G1638" t="s">
        <v>13</v>
      </c>
      <c r="H1638" t="s">
        <v>13</v>
      </c>
      <c r="I1638">
        <v>52</v>
      </c>
      <c r="J1638" t="str" cm="1">
        <f t="array" ref="J1638">_xlfn.IFS(ISBLANK(C1638),"FALTANTE",ABS((C1638-$W$5)/$X$5)&gt;1.96,"ATÍPICO",ABS((C1638-$W$5)/$X$5)&lt;=1.96,"NO ATÍPICO")</f>
        <v>ATÍPICO</v>
      </c>
      <c r="K1638" t="str" cm="1">
        <f t="array" ref="K1638">_xlfn.IFS(ISBLANK(I1638),"FALTANTE",ABS((I1638-$W$8)/$X$8)&gt;1.92,"ATÍPICO",ABS((I1638-$W$8)/$X$8)&lt;=1.92,"NO ATÍPICO")</f>
        <v>NO ATÍPICO</v>
      </c>
      <c r="L1638">
        <f t="shared" si="116"/>
        <v>12160184</v>
      </c>
      <c r="M1638" t="str">
        <f t="shared" si="116"/>
        <v>ASALARIADO</v>
      </c>
      <c r="N1638">
        <f t="shared" si="117"/>
        <v>52</v>
      </c>
      <c r="O1638" s="19" t="str">
        <f t="shared" si="118"/>
        <v>1200k+</v>
      </c>
      <c r="P1638" s="19" t="str">
        <f t="shared" si="119"/>
        <v>46-55</v>
      </c>
    </row>
    <row r="1639" spans="1:16" x14ac:dyDescent="0.25">
      <c r="A1639">
        <v>1638</v>
      </c>
      <c r="B1639" t="s">
        <v>9</v>
      </c>
      <c r="C1639">
        <v>509509</v>
      </c>
      <c r="D1639" t="s">
        <v>18</v>
      </c>
      <c r="E1639" t="s">
        <v>16</v>
      </c>
      <c r="F1639" t="s">
        <v>12</v>
      </c>
      <c r="G1639" t="s">
        <v>12</v>
      </c>
      <c r="H1639" t="s">
        <v>12</v>
      </c>
      <c r="I1639">
        <v>38</v>
      </c>
      <c r="J1639" t="str" cm="1">
        <f t="array" ref="J1639">_xlfn.IFS(ISBLANK(C1639),"FALTANTE",ABS((C1639-$W$5)/$X$5)&gt;1.96,"ATÍPICO",ABS((C1639-$W$5)/$X$5)&lt;=1.96,"NO ATÍPICO")</f>
        <v>NO ATÍPICO</v>
      </c>
      <c r="K1639" t="str" cm="1">
        <f t="array" ref="K1639">_xlfn.IFS(ISBLANK(I1639),"FALTANTE",ABS((I1639-$W$8)/$X$8)&gt;1.92,"ATÍPICO",ABS((I1639-$W$8)/$X$8)&lt;=1.92,"NO ATÍPICO")</f>
        <v>NO ATÍPICO</v>
      </c>
      <c r="L1639">
        <f t="shared" si="116"/>
        <v>509509</v>
      </c>
      <c r="M1639" t="str">
        <f t="shared" si="116"/>
        <v>TRABAJADOR INDEPENDIENTE</v>
      </c>
      <c r="N1639">
        <f t="shared" si="117"/>
        <v>38</v>
      </c>
      <c r="O1639" s="19" t="str">
        <f t="shared" si="118"/>
        <v>300k–600k</v>
      </c>
      <c r="P1639" s="19" t="str">
        <f t="shared" si="119"/>
        <v>36-45</v>
      </c>
    </row>
    <row r="1640" spans="1:16" x14ac:dyDescent="0.25">
      <c r="A1640">
        <v>1639</v>
      </c>
      <c r="B1640" t="s">
        <v>9</v>
      </c>
      <c r="C1640">
        <v>356653</v>
      </c>
      <c r="D1640" t="s">
        <v>18</v>
      </c>
      <c r="E1640" t="s">
        <v>16</v>
      </c>
      <c r="F1640" t="s">
        <v>12</v>
      </c>
      <c r="G1640" t="s">
        <v>12</v>
      </c>
      <c r="H1640" t="s">
        <v>12</v>
      </c>
      <c r="I1640">
        <v>51</v>
      </c>
      <c r="J1640" t="str" cm="1">
        <f t="array" ref="J1640">_xlfn.IFS(ISBLANK(C1640),"FALTANTE",ABS((C1640-$W$5)/$X$5)&gt;1.96,"ATÍPICO",ABS((C1640-$W$5)/$X$5)&lt;=1.96,"NO ATÍPICO")</f>
        <v>NO ATÍPICO</v>
      </c>
      <c r="K1640" t="str" cm="1">
        <f t="array" ref="K1640">_xlfn.IFS(ISBLANK(I1640),"FALTANTE",ABS((I1640-$W$8)/$X$8)&gt;1.92,"ATÍPICO",ABS((I1640-$W$8)/$X$8)&lt;=1.92,"NO ATÍPICO")</f>
        <v>NO ATÍPICO</v>
      </c>
      <c r="L1640">
        <f t="shared" si="116"/>
        <v>356653</v>
      </c>
      <c r="M1640" t="str">
        <f t="shared" si="116"/>
        <v>TRABAJADOR INDEPENDIENTE</v>
      </c>
      <c r="N1640">
        <f t="shared" si="117"/>
        <v>51</v>
      </c>
      <c r="O1640" s="19" t="str">
        <f t="shared" si="118"/>
        <v>300k–600k</v>
      </c>
      <c r="P1640" s="19" t="str">
        <f t="shared" si="119"/>
        <v>46-55</v>
      </c>
    </row>
    <row r="1641" spans="1:16" x14ac:dyDescent="0.25">
      <c r="A1641">
        <v>1640</v>
      </c>
      <c r="B1641" t="s">
        <v>15</v>
      </c>
      <c r="C1641">
        <v>219280</v>
      </c>
      <c r="D1641" t="s">
        <v>10</v>
      </c>
      <c r="E1641" t="s">
        <v>11</v>
      </c>
      <c r="F1641" t="s">
        <v>12</v>
      </c>
      <c r="G1641" t="s">
        <v>13</v>
      </c>
      <c r="H1641" t="s">
        <v>13</v>
      </c>
      <c r="I1641">
        <v>26</v>
      </c>
      <c r="J1641" t="str" cm="1">
        <f t="array" ref="J1641">_xlfn.IFS(ISBLANK(C1641),"FALTANTE",ABS((C1641-$W$5)/$X$5)&gt;1.96,"ATÍPICO",ABS((C1641-$W$5)/$X$5)&lt;=1.96,"NO ATÍPICO")</f>
        <v>NO ATÍPICO</v>
      </c>
      <c r="K1641" t="str" cm="1">
        <f t="array" ref="K1641">_xlfn.IFS(ISBLANK(I1641),"FALTANTE",ABS((I1641-$W$8)/$X$8)&gt;1.92,"ATÍPICO",ABS((I1641-$W$8)/$X$8)&lt;=1.92,"NO ATÍPICO")</f>
        <v>NO ATÍPICO</v>
      </c>
      <c r="L1641">
        <f t="shared" si="116"/>
        <v>219280</v>
      </c>
      <c r="M1641" t="str">
        <f t="shared" si="116"/>
        <v>ASALARIADO</v>
      </c>
      <c r="N1641">
        <f t="shared" si="117"/>
        <v>26</v>
      </c>
      <c r="O1641" s="19" t="str">
        <f t="shared" si="118"/>
        <v>0–300k</v>
      </c>
      <c r="P1641" s="19" t="str">
        <f t="shared" si="119"/>
        <v>26-35</v>
      </c>
    </row>
    <row r="1642" spans="1:16" x14ac:dyDescent="0.25">
      <c r="A1642">
        <v>1641</v>
      </c>
      <c r="B1642" t="s">
        <v>9</v>
      </c>
      <c r="C1642">
        <v>245006.35</v>
      </c>
      <c r="D1642" t="s">
        <v>10</v>
      </c>
      <c r="E1642" t="s">
        <v>16</v>
      </c>
      <c r="F1642" t="s">
        <v>12</v>
      </c>
      <c r="G1642" t="s">
        <v>13</v>
      </c>
      <c r="H1642" t="s">
        <v>13</v>
      </c>
      <c r="I1642">
        <v>61</v>
      </c>
      <c r="J1642" t="str" cm="1">
        <f t="array" ref="J1642">_xlfn.IFS(ISBLANK(C1642),"FALTANTE",ABS((C1642-$W$5)/$X$5)&gt;1.96,"ATÍPICO",ABS((C1642-$W$5)/$X$5)&lt;=1.96,"NO ATÍPICO")</f>
        <v>NO ATÍPICO</v>
      </c>
      <c r="K1642" t="str" cm="1">
        <f t="array" ref="K1642">_xlfn.IFS(ISBLANK(I1642),"FALTANTE",ABS((I1642-$W$8)/$X$8)&gt;1.92,"ATÍPICO",ABS((I1642-$W$8)/$X$8)&lt;=1.92,"NO ATÍPICO")</f>
        <v>NO ATÍPICO</v>
      </c>
      <c r="L1642">
        <f t="shared" si="116"/>
        <v>245006.35</v>
      </c>
      <c r="M1642" t="str">
        <f t="shared" si="116"/>
        <v>ASALARIADO</v>
      </c>
      <c r="N1642">
        <f t="shared" si="117"/>
        <v>61</v>
      </c>
      <c r="O1642" s="19" t="str">
        <f t="shared" si="118"/>
        <v>0–300k</v>
      </c>
      <c r="P1642" s="19" t="str">
        <f t="shared" si="119"/>
        <v>56+</v>
      </c>
    </row>
    <row r="1643" spans="1:16" x14ac:dyDescent="0.25">
      <c r="A1643">
        <v>1642</v>
      </c>
      <c r="B1643" t="s">
        <v>9</v>
      </c>
      <c r="C1643">
        <v>359544.27</v>
      </c>
      <c r="D1643" t="s">
        <v>18</v>
      </c>
      <c r="E1643" t="s">
        <v>16</v>
      </c>
      <c r="F1643" t="s">
        <v>12</v>
      </c>
      <c r="G1643" t="s">
        <v>13</v>
      </c>
      <c r="H1643" t="s">
        <v>13</v>
      </c>
      <c r="I1643">
        <v>29</v>
      </c>
      <c r="J1643" t="str" cm="1">
        <f t="array" ref="J1643">_xlfn.IFS(ISBLANK(C1643),"FALTANTE",ABS((C1643-$W$5)/$X$5)&gt;1.96,"ATÍPICO",ABS((C1643-$W$5)/$X$5)&lt;=1.96,"NO ATÍPICO")</f>
        <v>NO ATÍPICO</v>
      </c>
      <c r="K1643" t="str" cm="1">
        <f t="array" ref="K1643">_xlfn.IFS(ISBLANK(I1643),"FALTANTE",ABS((I1643-$W$8)/$X$8)&gt;1.92,"ATÍPICO",ABS((I1643-$W$8)/$X$8)&lt;=1.92,"NO ATÍPICO")</f>
        <v>NO ATÍPICO</v>
      </c>
      <c r="L1643">
        <f t="shared" si="116"/>
        <v>359544.27</v>
      </c>
      <c r="M1643" t="str">
        <f t="shared" si="116"/>
        <v>TRABAJADOR INDEPENDIENTE</v>
      </c>
      <c r="N1643">
        <f t="shared" si="117"/>
        <v>29</v>
      </c>
      <c r="O1643" s="19" t="str">
        <f t="shared" si="118"/>
        <v>300k–600k</v>
      </c>
      <c r="P1643" s="19" t="str">
        <f t="shared" si="119"/>
        <v>26-35</v>
      </c>
    </row>
    <row r="1644" spans="1:16" x14ac:dyDescent="0.25">
      <c r="A1644">
        <v>1643</v>
      </c>
      <c r="B1644" t="s">
        <v>15</v>
      </c>
      <c r="C1644">
        <v>88243.75</v>
      </c>
      <c r="D1644" t="s">
        <v>14</v>
      </c>
      <c r="E1644" t="s">
        <v>11</v>
      </c>
      <c r="F1644" t="s">
        <v>12</v>
      </c>
      <c r="G1644" t="s">
        <v>13</v>
      </c>
      <c r="H1644" t="s">
        <v>13</v>
      </c>
      <c r="I1644">
        <v>92</v>
      </c>
      <c r="J1644" t="str" cm="1">
        <f t="array" ref="J1644">_xlfn.IFS(ISBLANK(C1644),"FALTANTE",ABS((C1644-$W$5)/$X$5)&gt;1.96,"ATÍPICO",ABS((C1644-$W$5)/$X$5)&lt;=1.96,"NO ATÍPICO")</f>
        <v>NO ATÍPICO</v>
      </c>
      <c r="K1644" t="str" cm="1">
        <f t="array" ref="K1644">_xlfn.IFS(ISBLANK(I1644),"FALTANTE",ABS((I1644-$W$8)/$X$8)&gt;1.92,"ATÍPICO",ABS((I1644-$W$8)/$X$8)&lt;=1.92,"NO ATÍPICO")</f>
        <v>ATÍPICO</v>
      </c>
      <c r="L1644">
        <f t="shared" si="116"/>
        <v>88243.75</v>
      </c>
      <c r="M1644" t="str">
        <f t="shared" si="116"/>
        <v>PENSIONADOS EN SU PROPIO SISTEMA</v>
      </c>
      <c r="N1644">
        <f t="shared" si="117"/>
        <v>92</v>
      </c>
      <c r="O1644" s="19" t="str">
        <f t="shared" si="118"/>
        <v>0–300k</v>
      </c>
      <c r="P1644" s="19" t="str">
        <f t="shared" si="119"/>
        <v>56+</v>
      </c>
    </row>
    <row r="1645" spans="1:16" x14ac:dyDescent="0.25">
      <c r="A1645">
        <v>1644</v>
      </c>
      <c r="B1645" t="s">
        <v>9</v>
      </c>
      <c r="C1645">
        <v>297045</v>
      </c>
      <c r="D1645" t="s">
        <v>17</v>
      </c>
      <c r="E1645" t="s">
        <v>16</v>
      </c>
      <c r="F1645" t="s">
        <v>12</v>
      </c>
      <c r="G1645" t="s">
        <v>13</v>
      </c>
      <c r="H1645" t="s">
        <v>13</v>
      </c>
      <c r="I1645">
        <v>35</v>
      </c>
      <c r="J1645" t="str" cm="1">
        <f t="array" ref="J1645">_xlfn.IFS(ISBLANK(C1645),"FALTANTE",ABS((C1645-$W$5)/$X$5)&gt;1.96,"ATÍPICO",ABS((C1645-$W$5)/$X$5)&lt;=1.96,"NO ATÍPICO")</f>
        <v>NO ATÍPICO</v>
      </c>
      <c r="K1645" t="str" cm="1">
        <f t="array" ref="K1645">_xlfn.IFS(ISBLANK(I1645),"FALTANTE",ABS((I1645-$W$8)/$X$8)&gt;1.92,"ATÍPICO",ABS((I1645-$W$8)/$X$8)&lt;=1.92,"NO ATÍPICO")</f>
        <v>NO ATÍPICO</v>
      </c>
      <c r="L1645">
        <f t="shared" si="116"/>
        <v>297045</v>
      </c>
      <c r="M1645" t="str">
        <f t="shared" si="116"/>
        <v>ASEGURADO VOLUNTARIO</v>
      </c>
      <c r="N1645">
        <f t="shared" si="117"/>
        <v>35</v>
      </c>
      <c r="O1645" s="19" t="str">
        <f t="shared" si="118"/>
        <v>0–300k</v>
      </c>
      <c r="P1645" s="19" t="str">
        <f t="shared" si="119"/>
        <v>26-35</v>
      </c>
    </row>
    <row r="1646" spans="1:16" x14ac:dyDescent="0.25">
      <c r="A1646">
        <v>1645</v>
      </c>
      <c r="B1646" t="s">
        <v>9</v>
      </c>
      <c r="C1646">
        <v>852982.67</v>
      </c>
      <c r="D1646" t="s">
        <v>10</v>
      </c>
      <c r="E1646" t="s">
        <v>16</v>
      </c>
      <c r="F1646" t="s">
        <v>12</v>
      </c>
      <c r="G1646" t="s">
        <v>13</v>
      </c>
      <c r="H1646" t="s">
        <v>13</v>
      </c>
      <c r="I1646">
        <v>31</v>
      </c>
      <c r="J1646" t="str" cm="1">
        <f t="array" ref="J1646">_xlfn.IFS(ISBLANK(C1646),"FALTANTE",ABS((C1646-$W$5)/$X$5)&gt;1.96,"ATÍPICO",ABS((C1646-$W$5)/$X$5)&lt;=1.96,"NO ATÍPICO")</f>
        <v>NO ATÍPICO</v>
      </c>
      <c r="K1646" t="str" cm="1">
        <f t="array" ref="K1646">_xlfn.IFS(ISBLANK(I1646),"FALTANTE",ABS((I1646-$W$8)/$X$8)&gt;1.92,"ATÍPICO",ABS((I1646-$W$8)/$X$8)&lt;=1.92,"NO ATÍPICO")</f>
        <v>NO ATÍPICO</v>
      </c>
      <c r="L1646">
        <f t="shared" si="116"/>
        <v>852982.67</v>
      </c>
      <c r="M1646" t="str">
        <f t="shared" si="116"/>
        <v>ASALARIADO</v>
      </c>
      <c r="N1646">
        <f t="shared" si="117"/>
        <v>31</v>
      </c>
      <c r="O1646" s="19" t="str">
        <f t="shared" si="118"/>
        <v>600k–900k</v>
      </c>
      <c r="P1646" s="19" t="str">
        <f t="shared" si="119"/>
        <v>26-35</v>
      </c>
    </row>
    <row r="1647" spans="1:16" x14ac:dyDescent="0.25">
      <c r="A1647">
        <v>1646</v>
      </c>
      <c r="B1647" t="s">
        <v>9</v>
      </c>
      <c r="C1647">
        <v>251559</v>
      </c>
      <c r="D1647" t="s">
        <v>10</v>
      </c>
      <c r="E1647" t="s">
        <v>16</v>
      </c>
      <c r="F1647" t="s">
        <v>12</v>
      </c>
      <c r="G1647" t="s">
        <v>12</v>
      </c>
      <c r="H1647" t="s">
        <v>13</v>
      </c>
      <c r="I1647">
        <v>20</v>
      </c>
      <c r="J1647" t="str" cm="1">
        <f t="array" ref="J1647">_xlfn.IFS(ISBLANK(C1647),"FALTANTE",ABS((C1647-$W$5)/$X$5)&gt;1.96,"ATÍPICO",ABS((C1647-$W$5)/$X$5)&lt;=1.96,"NO ATÍPICO")</f>
        <v>NO ATÍPICO</v>
      </c>
      <c r="K1647" t="str" cm="1">
        <f t="array" ref="K1647">_xlfn.IFS(ISBLANK(I1647),"FALTANTE",ABS((I1647-$W$8)/$X$8)&gt;1.92,"ATÍPICO",ABS((I1647-$W$8)/$X$8)&lt;=1.92,"NO ATÍPICO")</f>
        <v>NO ATÍPICO</v>
      </c>
      <c r="L1647">
        <f t="shared" si="116"/>
        <v>251559</v>
      </c>
      <c r="M1647" t="str">
        <f t="shared" si="116"/>
        <v>ASALARIADO</v>
      </c>
      <c r="N1647">
        <f t="shared" si="117"/>
        <v>20</v>
      </c>
      <c r="O1647" s="19" t="str">
        <f t="shared" si="118"/>
        <v>0–300k</v>
      </c>
      <c r="P1647" s="19" t="str">
        <f t="shared" si="119"/>
        <v>18-25</v>
      </c>
    </row>
    <row r="1648" spans="1:16" x14ac:dyDescent="0.25">
      <c r="A1648">
        <v>1647</v>
      </c>
      <c r="B1648" t="s">
        <v>9</v>
      </c>
      <c r="C1648">
        <v>3255213.87</v>
      </c>
      <c r="D1648" t="s">
        <v>21</v>
      </c>
      <c r="E1648" t="s">
        <v>16</v>
      </c>
      <c r="F1648" t="s">
        <v>12</v>
      </c>
      <c r="G1648" t="s">
        <v>13</v>
      </c>
      <c r="H1648" t="s">
        <v>13</v>
      </c>
      <c r="I1648">
        <v>58</v>
      </c>
      <c r="J1648" t="str" cm="1">
        <f t="array" ref="J1648">_xlfn.IFS(ISBLANK(C1648),"FALTANTE",ABS((C1648-$W$5)/$X$5)&gt;1.96,"ATÍPICO",ABS((C1648-$W$5)/$X$5)&lt;=1.96,"NO ATÍPICO")</f>
        <v>ATÍPICO</v>
      </c>
      <c r="K1648" t="str" cm="1">
        <f t="array" ref="K1648">_xlfn.IFS(ISBLANK(I1648),"FALTANTE",ABS((I1648-$W$8)/$X$8)&gt;1.92,"ATÍPICO",ABS((I1648-$W$8)/$X$8)&lt;=1.92,"NO ATÍPICO")</f>
        <v>NO ATÍPICO</v>
      </c>
      <c r="L1648">
        <f t="shared" si="116"/>
        <v>3255213.87</v>
      </c>
      <c r="M1648" t="str">
        <f t="shared" si="116"/>
        <v>CONVENIOS ESPECIALES DE ASEGURADOS VOLUNTARIOS</v>
      </c>
      <c r="N1648">
        <f t="shared" si="117"/>
        <v>58</v>
      </c>
      <c r="O1648" s="19" t="str">
        <f t="shared" si="118"/>
        <v>1200k+</v>
      </c>
      <c r="P1648" s="19" t="str">
        <f t="shared" si="119"/>
        <v>56+</v>
      </c>
    </row>
    <row r="1649" spans="1:16" x14ac:dyDescent="0.25">
      <c r="A1649">
        <v>1648</v>
      </c>
      <c r="B1649" t="s">
        <v>15</v>
      </c>
      <c r="C1649">
        <v>790843.09</v>
      </c>
      <c r="D1649" t="s">
        <v>10</v>
      </c>
      <c r="E1649" t="s">
        <v>16</v>
      </c>
      <c r="F1649" t="s">
        <v>12</v>
      </c>
      <c r="G1649" t="s">
        <v>13</v>
      </c>
      <c r="H1649" t="s">
        <v>13</v>
      </c>
      <c r="I1649">
        <v>37</v>
      </c>
      <c r="J1649" t="str" cm="1">
        <f t="array" ref="J1649">_xlfn.IFS(ISBLANK(C1649),"FALTANTE",ABS((C1649-$W$5)/$X$5)&gt;1.96,"ATÍPICO",ABS((C1649-$W$5)/$X$5)&lt;=1.96,"NO ATÍPICO")</f>
        <v>NO ATÍPICO</v>
      </c>
      <c r="K1649" t="str" cm="1">
        <f t="array" ref="K1649">_xlfn.IFS(ISBLANK(I1649),"FALTANTE",ABS((I1649-$W$8)/$X$8)&gt;1.92,"ATÍPICO",ABS((I1649-$W$8)/$X$8)&lt;=1.92,"NO ATÍPICO")</f>
        <v>NO ATÍPICO</v>
      </c>
      <c r="L1649">
        <f t="shared" si="116"/>
        <v>790843.09</v>
      </c>
      <c r="M1649" t="str">
        <f t="shared" si="116"/>
        <v>ASALARIADO</v>
      </c>
      <c r="N1649">
        <f t="shared" si="117"/>
        <v>37</v>
      </c>
      <c r="O1649" s="19" t="str">
        <f t="shared" si="118"/>
        <v>600k–900k</v>
      </c>
      <c r="P1649" s="19" t="str">
        <f t="shared" si="119"/>
        <v>36-45</v>
      </c>
    </row>
    <row r="1650" spans="1:16" x14ac:dyDescent="0.25">
      <c r="A1650">
        <v>1649</v>
      </c>
      <c r="B1650" t="s">
        <v>9</v>
      </c>
      <c r="C1650">
        <v>1129271</v>
      </c>
      <c r="D1650" t="s">
        <v>10</v>
      </c>
      <c r="E1650" t="s">
        <v>11</v>
      </c>
      <c r="F1650" t="s">
        <v>12</v>
      </c>
      <c r="G1650" t="s">
        <v>13</v>
      </c>
      <c r="H1650" t="s">
        <v>13</v>
      </c>
      <c r="I1650">
        <v>32</v>
      </c>
      <c r="J1650" t="str" cm="1">
        <f t="array" ref="J1650">_xlfn.IFS(ISBLANK(C1650),"FALTANTE",ABS((C1650-$W$5)/$X$5)&gt;1.96,"ATÍPICO",ABS((C1650-$W$5)/$X$5)&lt;=1.96,"NO ATÍPICO")</f>
        <v>NO ATÍPICO</v>
      </c>
      <c r="K1650" t="str" cm="1">
        <f t="array" ref="K1650">_xlfn.IFS(ISBLANK(I1650),"FALTANTE",ABS((I1650-$W$8)/$X$8)&gt;1.92,"ATÍPICO",ABS((I1650-$W$8)/$X$8)&lt;=1.92,"NO ATÍPICO")</f>
        <v>NO ATÍPICO</v>
      </c>
      <c r="L1650">
        <f t="shared" si="116"/>
        <v>1129271</v>
      </c>
      <c r="M1650" t="str">
        <f t="shared" si="116"/>
        <v>ASALARIADO</v>
      </c>
      <c r="N1650">
        <f t="shared" si="117"/>
        <v>32</v>
      </c>
      <c r="O1650" s="19" t="str">
        <f t="shared" si="118"/>
        <v>900k–1200k</v>
      </c>
      <c r="P1650" s="19" t="str">
        <f t="shared" si="119"/>
        <v>26-35</v>
      </c>
    </row>
    <row r="1651" spans="1:16" x14ac:dyDescent="0.25">
      <c r="A1651">
        <v>1650</v>
      </c>
      <c r="B1651" t="s">
        <v>9</v>
      </c>
      <c r="C1651">
        <v>87500</v>
      </c>
      <c r="D1651" t="s">
        <v>10</v>
      </c>
      <c r="E1651" t="s">
        <v>16</v>
      </c>
      <c r="F1651" t="s">
        <v>12</v>
      </c>
      <c r="G1651" t="s">
        <v>13</v>
      </c>
      <c r="H1651" t="s">
        <v>13</v>
      </c>
      <c r="I1651">
        <v>25</v>
      </c>
      <c r="J1651" t="str" cm="1">
        <f t="array" ref="J1651">_xlfn.IFS(ISBLANK(C1651),"FALTANTE",ABS((C1651-$W$5)/$X$5)&gt;1.96,"ATÍPICO",ABS((C1651-$W$5)/$X$5)&lt;=1.96,"NO ATÍPICO")</f>
        <v>NO ATÍPICO</v>
      </c>
      <c r="K1651" t="str" cm="1">
        <f t="array" ref="K1651">_xlfn.IFS(ISBLANK(I1651),"FALTANTE",ABS((I1651-$W$8)/$X$8)&gt;1.92,"ATÍPICO",ABS((I1651-$W$8)/$X$8)&lt;=1.92,"NO ATÍPICO")</f>
        <v>NO ATÍPICO</v>
      </c>
      <c r="L1651">
        <f t="shared" si="116"/>
        <v>87500</v>
      </c>
      <c r="M1651" t="str">
        <f t="shared" si="116"/>
        <v>ASALARIADO</v>
      </c>
      <c r="N1651">
        <f t="shared" si="117"/>
        <v>25</v>
      </c>
      <c r="O1651" s="19" t="str">
        <f t="shared" si="118"/>
        <v>0–300k</v>
      </c>
      <c r="P1651" s="19" t="str">
        <f t="shared" si="119"/>
        <v>18-25</v>
      </c>
    </row>
    <row r="1652" spans="1:16" x14ac:dyDescent="0.25">
      <c r="A1652">
        <v>1651</v>
      </c>
      <c r="B1652" t="s">
        <v>15</v>
      </c>
      <c r="C1652">
        <v>480000</v>
      </c>
      <c r="D1652" t="s">
        <v>10</v>
      </c>
      <c r="E1652" t="s">
        <v>16</v>
      </c>
      <c r="F1652" t="s">
        <v>12</v>
      </c>
      <c r="G1652" t="s">
        <v>13</v>
      </c>
      <c r="H1652" t="s">
        <v>13</v>
      </c>
      <c r="I1652">
        <v>24</v>
      </c>
      <c r="J1652" t="str" cm="1">
        <f t="array" ref="J1652">_xlfn.IFS(ISBLANK(C1652),"FALTANTE",ABS((C1652-$W$5)/$X$5)&gt;1.96,"ATÍPICO",ABS((C1652-$W$5)/$X$5)&lt;=1.96,"NO ATÍPICO")</f>
        <v>NO ATÍPICO</v>
      </c>
      <c r="K1652" t="str" cm="1">
        <f t="array" ref="K1652">_xlfn.IFS(ISBLANK(I1652),"FALTANTE",ABS((I1652-$W$8)/$X$8)&gt;1.92,"ATÍPICO",ABS((I1652-$W$8)/$X$8)&lt;=1.92,"NO ATÍPICO")</f>
        <v>NO ATÍPICO</v>
      </c>
      <c r="L1652">
        <f t="shared" si="116"/>
        <v>480000</v>
      </c>
      <c r="M1652" t="str">
        <f t="shared" si="116"/>
        <v>ASALARIADO</v>
      </c>
      <c r="N1652">
        <f t="shared" si="117"/>
        <v>24</v>
      </c>
      <c r="O1652" s="19" t="str">
        <f t="shared" si="118"/>
        <v>300k–600k</v>
      </c>
      <c r="P1652" s="19" t="str">
        <f t="shared" si="119"/>
        <v>18-25</v>
      </c>
    </row>
    <row r="1653" spans="1:16" x14ac:dyDescent="0.25">
      <c r="A1653">
        <v>1652</v>
      </c>
      <c r="B1653" t="s">
        <v>15</v>
      </c>
      <c r="C1653">
        <v>299647</v>
      </c>
      <c r="D1653" t="s">
        <v>17</v>
      </c>
      <c r="E1653" t="s">
        <v>16</v>
      </c>
      <c r="F1653" t="s">
        <v>12</v>
      </c>
      <c r="G1653" t="s">
        <v>13</v>
      </c>
      <c r="H1653" t="s">
        <v>13</v>
      </c>
      <c r="I1653">
        <v>60</v>
      </c>
      <c r="J1653" t="str" cm="1">
        <f t="array" ref="J1653">_xlfn.IFS(ISBLANK(C1653),"FALTANTE",ABS((C1653-$W$5)/$X$5)&gt;1.96,"ATÍPICO",ABS((C1653-$W$5)/$X$5)&lt;=1.96,"NO ATÍPICO")</f>
        <v>NO ATÍPICO</v>
      </c>
      <c r="K1653" t="str" cm="1">
        <f t="array" ref="K1653">_xlfn.IFS(ISBLANK(I1653),"FALTANTE",ABS((I1653-$W$8)/$X$8)&gt;1.92,"ATÍPICO",ABS((I1653-$W$8)/$X$8)&lt;=1.92,"NO ATÍPICO")</f>
        <v>NO ATÍPICO</v>
      </c>
      <c r="L1653">
        <f t="shared" si="116"/>
        <v>299647</v>
      </c>
      <c r="M1653" t="str">
        <f t="shared" si="116"/>
        <v>ASEGURADO VOLUNTARIO</v>
      </c>
      <c r="N1653">
        <f t="shared" si="117"/>
        <v>60</v>
      </c>
      <c r="O1653" s="19" t="str">
        <f t="shared" si="118"/>
        <v>0–300k</v>
      </c>
      <c r="P1653" s="19" t="str">
        <f t="shared" si="119"/>
        <v>56+</v>
      </c>
    </row>
    <row r="1654" spans="1:16" x14ac:dyDescent="0.25">
      <c r="A1654">
        <v>1653</v>
      </c>
      <c r="B1654" t="s">
        <v>9</v>
      </c>
      <c r="C1654">
        <v>278030.99</v>
      </c>
      <c r="D1654" t="s">
        <v>19</v>
      </c>
      <c r="E1654" t="s">
        <v>16</v>
      </c>
      <c r="F1654" t="s">
        <v>12</v>
      </c>
      <c r="G1654" t="s">
        <v>13</v>
      </c>
      <c r="H1654" t="s">
        <v>13</v>
      </c>
      <c r="I1654">
        <v>27</v>
      </c>
      <c r="J1654" t="str" cm="1">
        <f t="array" ref="J1654">_xlfn.IFS(ISBLANK(C1654),"FALTANTE",ABS((C1654-$W$5)/$X$5)&gt;1.96,"ATÍPICO",ABS((C1654-$W$5)/$X$5)&lt;=1.96,"NO ATÍPICO")</f>
        <v>NO ATÍPICO</v>
      </c>
      <c r="K1654" t="str" cm="1">
        <f t="array" ref="K1654">_xlfn.IFS(ISBLANK(I1654),"FALTANTE",ABS((I1654-$W$8)/$X$8)&gt;1.92,"ATÍPICO",ABS((I1654-$W$8)/$X$8)&lt;=1.92,"NO ATÍPICO")</f>
        <v>NO ATÍPICO</v>
      </c>
      <c r="L1654">
        <f t="shared" si="116"/>
        <v>278030.99</v>
      </c>
      <c r="M1654" t="str">
        <f t="shared" si="116"/>
        <v>CONVENIOS ESPECIALES DE TRABAJADORES INDEPENDIENTES</v>
      </c>
      <c r="N1654">
        <f t="shared" si="117"/>
        <v>27</v>
      </c>
      <c r="O1654" s="19" t="str">
        <f t="shared" si="118"/>
        <v>0–300k</v>
      </c>
      <c r="P1654" s="19" t="str">
        <f t="shared" si="119"/>
        <v>26-35</v>
      </c>
    </row>
    <row r="1655" spans="1:16" x14ac:dyDescent="0.25">
      <c r="A1655">
        <v>1654</v>
      </c>
      <c r="B1655" t="s">
        <v>9</v>
      </c>
      <c r="C1655">
        <v>3350588.86</v>
      </c>
      <c r="D1655" t="s">
        <v>10</v>
      </c>
      <c r="E1655" t="s">
        <v>16</v>
      </c>
      <c r="F1655" t="s">
        <v>12</v>
      </c>
      <c r="G1655" t="s">
        <v>13</v>
      </c>
      <c r="H1655" t="s">
        <v>13</v>
      </c>
      <c r="I1655">
        <v>38</v>
      </c>
      <c r="J1655" t="str" cm="1">
        <f t="array" ref="J1655">_xlfn.IFS(ISBLANK(C1655),"FALTANTE",ABS((C1655-$W$5)/$X$5)&gt;1.96,"ATÍPICO",ABS((C1655-$W$5)/$X$5)&lt;=1.96,"NO ATÍPICO")</f>
        <v>ATÍPICO</v>
      </c>
      <c r="K1655" t="str" cm="1">
        <f t="array" ref="K1655">_xlfn.IFS(ISBLANK(I1655),"FALTANTE",ABS((I1655-$W$8)/$X$8)&gt;1.92,"ATÍPICO",ABS((I1655-$W$8)/$X$8)&lt;=1.92,"NO ATÍPICO")</f>
        <v>NO ATÍPICO</v>
      </c>
      <c r="L1655">
        <f t="shared" si="116"/>
        <v>3350588.86</v>
      </c>
      <c r="M1655" t="str">
        <f t="shared" si="116"/>
        <v>ASALARIADO</v>
      </c>
      <c r="N1655">
        <f t="shared" si="117"/>
        <v>38</v>
      </c>
      <c r="O1655" s="19" t="str">
        <f t="shared" si="118"/>
        <v>1200k+</v>
      </c>
      <c r="P1655" s="19" t="str">
        <f t="shared" si="119"/>
        <v>36-45</v>
      </c>
    </row>
    <row r="1656" spans="1:16" x14ac:dyDescent="0.25">
      <c r="A1656">
        <v>1655</v>
      </c>
      <c r="B1656" t="s">
        <v>9</v>
      </c>
      <c r="C1656">
        <v>2349011</v>
      </c>
      <c r="D1656" t="s">
        <v>10</v>
      </c>
      <c r="E1656" t="s">
        <v>16</v>
      </c>
      <c r="F1656" t="s">
        <v>12</v>
      </c>
      <c r="G1656" t="s">
        <v>13</v>
      </c>
      <c r="H1656" t="s">
        <v>13</v>
      </c>
      <c r="I1656">
        <v>36</v>
      </c>
      <c r="J1656" t="str" cm="1">
        <f t="array" ref="J1656">_xlfn.IFS(ISBLANK(C1656),"FALTANTE",ABS((C1656-$W$5)/$X$5)&gt;1.96,"ATÍPICO",ABS((C1656-$W$5)/$X$5)&lt;=1.96,"NO ATÍPICO")</f>
        <v>ATÍPICO</v>
      </c>
      <c r="K1656" t="str" cm="1">
        <f t="array" ref="K1656">_xlfn.IFS(ISBLANK(I1656),"FALTANTE",ABS((I1656-$W$8)/$X$8)&gt;1.92,"ATÍPICO",ABS((I1656-$W$8)/$X$8)&lt;=1.92,"NO ATÍPICO")</f>
        <v>NO ATÍPICO</v>
      </c>
      <c r="L1656">
        <f t="shared" si="116"/>
        <v>2349011</v>
      </c>
      <c r="M1656" t="str">
        <f t="shared" si="116"/>
        <v>ASALARIADO</v>
      </c>
      <c r="N1656">
        <f t="shared" si="117"/>
        <v>36</v>
      </c>
      <c r="O1656" s="19" t="str">
        <f t="shared" si="118"/>
        <v>1200k+</v>
      </c>
      <c r="P1656" s="19" t="str">
        <f t="shared" si="119"/>
        <v>36-45</v>
      </c>
    </row>
    <row r="1657" spans="1:16" x14ac:dyDescent="0.25">
      <c r="A1657">
        <v>1656</v>
      </c>
      <c r="B1657" t="s">
        <v>9</v>
      </c>
      <c r="C1657">
        <v>1108537.5</v>
      </c>
      <c r="D1657" t="s">
        <v>10</v>
      </c>
      <c r="E1657" t="s">
        <v>16</v>
      </c>
      <c r="F1657" t="s">
        <v>12</v>
      </c>
      <c r="G1657" t="s">
        <v>13</v>
      </c>
      <c r="H1657" t="s">
        <v>13</v>
      </c>
      <c r="I1657">
        <v>45</v>
      </c>
      <c r="J1657" t="str" cm="1">
        <f t="array" ref="J1657">_xlfn.IFS(ISBLANK(C1657),"FALTANTE",ABS((C1657-$W$5)/$X$5)&gt;1.96,"ATÍPICO",ABS((C1657-$W$5)/$X$5)&lt;=1.96,"NO ATÍPICO")</f>
        <v>NO ATÍPICO</v>
      </c>
      <c r="K1657" t="str" cm="1">
        <f t="array" ref="K1657">_xlfn.IFS(ISBLANK(I1657),"FALTANTE",ABS((I1657-$W$8)/$X$8)&gt;1.92,"ATÍPICO",ABS((I1657-$W$8)/$X$8)&lt;=1.92,"NO ATÍPICO")</f>
        <v>NO ATÍPICO</v>
      </c>
      <c r="L1657">
        <f t="shared" si="116"/>
        <v>1108537.5</v>
      </c>
      <c r="M1657" t="str">
        <f t="shared" si="116"/>
        <v>ASALARIADO</v>
      </c>
      <c r="N1657">
        <f t="shared" si="117"/>
        <v>45</v>
      </c>
      <c r="O1657" s="19" t="str">
        <f t="shared" si="118"/>
        <v>900k–1200k</v>
      </c>
      <c r="P1657" s="19" t="str">
        <f t="shared" si="119"/>
        <v>36-45</v>
      </c>
    </row>
    <row r="1658" spans="1:16" x14ac:dyDescent="0.25">
      <c r="A1658">
        <v>1657</v>
      </c>
      <c r="B1658" t="s">
        <v>15</v>
      </c>
      <c r="C1658">
        <v>600414.9</v>
      </c>
      <c r="D1658" t="s">
        <v>10</v>
      </c>
      <c r="E1658" t="s">
        <v>16</v>
      </c>
      <c r="F1658" t="s">
        <v>12</v>
      </c>
      <c r="G1658" t="s">
        <v>13</v>
      </c>
      <c r="H1658" t="s">
        <v>12</v>
      </c>
      <c r="I1658">
        <v>21</v>
      </c>
      <c r="J1658" t="str" cm="1">
        <f t="array" ref="J1658">_xlfn.IFS(ISBLANK(C1658),"FALTANTE",ABS((C1658-$W$5)/$X$5)&gt;1.96,"ATÍPICO",ABS((C1658-$W$5)/$X$5)&lt;=1.96,"NO ATÍPICO")</f>
        <v>NO ATÍPICO</v>
      </c>
      <c r="K1658" t="str" cm="1">
        <f t="array" ref="K1658">_xlfn.IFS(ISBLANK(I1658),"FALTANTE",ABS((I1658-$W$8)/$X$8)&gt;1.92,"ATÍPICO",ABS((I1658-$W$8)/$X$8)&lt;=1.92,"NO ATÍPICO")</f>
        <v>NO ATÍPICO</v>
      </c>
      <c r="L1658">
        <f t="shared" si="116"/>
        <v>600414.9</v>
      </c>
      <c r="M1658" t="str">
        <f t="shared" si="116"/>
        <v>ASALARIADO</v>
      </c>
      <c r="N1658">
        <f t="shared" si="117"/>
        <v>21</v>
      </c>
      <c r="O1658" s="19" t="str">
        <f t="shared" si="118"/>
        <v>600k–900k</v>
      </c>
      <c r="P1658" s="19" t="str">
        <f t="shared" si="119"/>
        <v>18-25</v>
      </c>
    </row>
    <row r="1659" spans="1:16" x14ac:dyDescent="0.25">
      <c r="A1659">
        <v>1658</v>
      </c>
      <c r="B1659" t="s">
        <v>9</v>
      </c>
      <c r="C1659">
        <v>418000</v>
      </c>
      <c r="D1659" t="s">
        <v>10</v>
      </c>
      <c r="E1659" t="s">
        <v>16</v>
      </c>
      <c r="F1659" t="s">
        <v>12</v>
      </c>
      <c r="G1659" t="s">
        <v>13</v>
      </c>
      <c r="H1659" t="s">
        <v>13</v>
      </c>
      <c r="I1659">
        <v>51</v>
      </c>
      <c r="J1659" t="str" cm="1">
        <f t="array" ref="J1659">_xlfn.IFS(ISBLANK(C1659),"FALTANTE",ABS((C1659-$W$5)/$X$5)&gt;1.96,"ATÍPICO",ABS((C1659-$W$5)/$X$5)&lt;=1.96,"NO ATÍPICO")</f>
        <v>NO ATÍPICO</v>
      </c>
      <c r="K1659" t="str" cm="1">
        <f t="array" ref="K1659">_xlfn.IFS(ISBLANK(I1659),"FALTANTE",ABS((I1659-$W$8)/$X$8)&gt;1.92,"ATÍPICO",ABS((I1659-$W$8)/$X$8)&lt;=1.92,"NO ATÍPICO")</f>
        <v>NO ATÍPICO</v>
      </c>
      <c r="L1659">
        <f t="shared" si="116"/>
        <v>418000</v>
      </c>
      <c r="M1659" t="str">
        <f t="shared" si="116"/>
        <v>ASALARIADO</v>
      </c>
      <c r="N1659">
        <f t="shared" si="117"/>
        <v>51</v>
      </c>
      <c r="O1659" s="19" t="str">
        <f t="shared" si="118"/>
        <v>300k–600k</v>
      </c>
      <c r="P1659" s="19" t="str">
        <f t="shared" si="119"/>
        <v>46-55</v>
      </c>
    </row>
    <row r="1660" spans="1:16" x14ac:dyDescent="0.25">
      <c r="A1660">
        <v>1659</v>
      </c>
      <c r="B1660" t="s">
        <v>9</v>
      </c>
      <c r="C1660">
        <v>287787</v>
      </c>
      <c r="D1660" t="s">
        <v>10</v>
      </c>
      <c r="E1660" t="s">
        <v>16</v>
      </c>
      <c r="F1660" t="s">
        <v>12</v>
      </c>
      <c r="G1660" t="s">
        <v>13</v>
      </c>
      <c r="H1660" t="s">
        <v>13</v>
      </c>
      <c r="I1660">
        <v>19</v>
      </c>
      <c r="J1660" t="str" cm="1">
        <f t="array" ref="J1660">_xlfn.IFS(ISBLANK(C1660),"FALTANTE",ABS((C1660-$W$5)/$X$5)&gt;1.96,"ATÍPICO",ABS((C1660-$W$5)/$X$5)&lt;=1.96,"NO ATÍPICO")</f>
        <v>NO ATÍPICO</v>
      </c>
      <c r="K1660" t="str" cm="1">
        <f t="array" ref="K1660">_xlfn.IFS(ISBLANK(I1660),"FALTANTE",ABS((I1660-$W$8)/$X$8)&gt;1.92,"ATÍPICO",ABS((I1660-$W$8)/$X$8)&lt;=1.92,"NO ATÍPICO")</f>
        <v>NO ATÍPICO</v>
      </c>
      <c r="L1660">
        <f t="shared" si="116"/>
        <v>287787</v>
      </c>
      <c r="M1660" t="str">
        <f t="shared" si="116"/>
        <v>ASALARIADO</v>
      </c>
      <c r="N1660">
        <f t="shared" si="117"/>
        <v>19</v>
      </c>
      <c r="O1660" s="19" t="str">
        <f t="shared" si="118"/>
        <v>0–300k</v>
      </c>
      <c r="P1660" s="19" t="str">
        <f t="shared" si="119"/>
        <v>18-25</v>
      </c>
    </row>
    <row r="1661" spans="1:16" x14ac:dyDescent="0.25">
      <c r="A1661">
        <v>1660</v>
      </c>
      <c r="B1661" t="s">
        <v>15</v>
      </c>
      <c r="C1661">
        <v>538738.04</v>
      </c>
      <c r="D1661" t="s">
        <v>10</v>
      </c>
      <c r="E1661" t="s">
        <v>16</v>
      </c>
      <c r="F1661" t="s">
        <v>12</v>
      </c>
      <c r="G1661" t="s">
        <v>13</v>
      </c>
      <c r="H1661" t="s">
        <v>13</v>
      </c>
      <c r="I1661">
        <v>36</v>
      </c>
      <c r="J1661" t="str" cm="1">
        <f t="array" ref="J1661">_xlfn.IFS(ISBLANK(C1661),"FALTANTE",ABS((C1661-$W$5)/$X$5)&gt;1.96,"ATÍPICO",ABS((C1661-$W$5)/$X$5)&lt;=1.96,"NO ATÍPICO")</f>
        <v>NO ATÍPICO</v>
      </c>
      <c r="K1661" t="str" cm="1">
        <f t="array" ref="K1661">_xlfn.IFS(ISBLANK(I1661),"FALTANTE",ABS((I1661-$W$8)/$X$8)&gt;1.92,"ATÍPICO",ABS((I1661-$W$8)/$X$8)&lt;=1.92,"NO ATÍPICO")</f>
        <v>NO ATÍPICO</v>
      </c>
      <c r="L1661">
        <f t="shared" si="116"/>
        <v>538738.04</v>
      </c>
      <c r="M1661" t="str">
        <f t="shared" si="116"/>
        <v>ASALARIADO</v>
      </c>
      <c r="N1661">
        <f t="shared" si="117"/>
        <v>36</v>
      </c>
      <c r="O1661" s="19" t="str">
        <f t="shared" si="118"/>
        <v>300k–600k</v>
      </c>
      <c r="P1661" s="19" t="str">
        <f t="shared" si="119"/>
        <v>36-45</v>
      </c>
    </row>
    <row r="1662" spans="1:16" x14ac:dyDescent="0.25">
      <c r="A1662">
        <v>1661</v>
      </c>
      <c r="B1662" t="s">
        <v>9</v>
      </c>
      <c r="C1662">
        <v>597533.32999999996</v>
      </c>
      <c r="D1662" t="s">
        <v>10</v>
      </c>
      <c r="E1662" t="s">
        <v>16</v>
      </c>
      <c r="F1662" t="s">
        <v>12</v>
      </c>
      <c r="G1662" t="s">
        <v>12</v>
      </c>
      <c r="H1662" t="s">
        <v>13</v>
      </c>
      <c r="I1662">
        <v>30</v>
      </c>
      <c r="J1662" t="str" cm="1">
        <f t="array" ref="J1662">_xlfn.IFS(ISBLANK(C1662),"FALTANTE",ABS((C1662-$W$5)/$X$5)&gt;1.96,"ATÍPICO",ABS((C1662-$W$5)/$X$5)&lt;=1.96,"NO ATÍPICO")</f>
        <v>NO ATÍPICO</v>
      </c>
      <c r="K1662" t="str" cm="1">
        <f t="array" ref="K1662">_xlfn.IFS(ISBLANK(I1662),"FALTANTE",ABS((I1662-$W$8)/$X$8)&gt;1.92,"ATÍPICO",ABS((I1662-$W$8)/$X$8)&lt;=1.92,"NO ATÍPICO")</f>
        <v>NO ATÍPICO</v>
      </c>
      <c r="L1662">
        <f t="shared" si="116"/>
        <v>597533.32999999996</v>
      </c>
      <c r="M1662" t="str">
        <f t="shared" si="116"/>
        <v>ASALARIADO</v>
      </c>
      <c r="N1662">
        <f t="shared" si="117"/>
        <v>30</v>
      </c>
      <c r="O1662" s="19" t="str">
        <f t="shared" si="118"/>
        <v>300k–600k</v>
      </c>
      <c r="P1662" s="19" t="str">
        <f t="shared" si="119"/>
        <v>26-35</v>
      </c>
    </row>
    <row r="1663" spans="1:16" x14ac:dyDescent="0.25">
      <c r="A1663">
        <v>1662</v>
      </c>
      <c r="B1663" t="s">
        <v>15</v>
      </c>
      <c r="C1663">
        <v>619489</v>
      </c>
      <c r="D1663" t="s">
        <v>10</v>
      </c>
      <c r="E1663" t="s">
        <v>11</v>
      </c>
      <c r="F1663" t="s">
        <v>12</v>
      </c>
      <c r="G1663" t="s">
        <v>13</v>
      </c>
      <c r="H1663" t="s">
        <v>13</v>
      </c>
      <c r="I1663">
        <v>37</v>
      </c>
      <c r="J1663" t="str" cm="1">
        <f t="array" ref="J1663">_xlfn.IFS(ISBLANK(C1663),"FALTANTE",ABS((C1663-$W$5)/$X$5)&gt;1.96,"ATÍPICO",ABS((C1663-$W$5)/$X$5)&lt;=1.96,"NO ATÍPICO")</f>
        <v>NO ATÍPICO</v>
      </c>
      <c r="K1663" t="str" cm="1">
        <f t="array" ref="K1663">_xlfn.IFS(ISBLANK(I1663),"FALTANTE",ABS((I1663-$W$8)/$X$8)&gt;1.92,"ATÍPICO",ABS((I1663-$W$8)/$X$8)&lt;=1.92,"NO ATÍPICO")</f>
        <v>NO ATÍPICO</v>
      </c>
      <c r="L1663">
        <f t="shared" si="116"/>
        <v>619489</v>
      </c>
      <c r="M1663" t="str">
        <f t="shared" si="116"/>
        <v>ASALARIADO</v>
      </c>
      <c r="N1663">
        <f t="shared" si="117"/>
        <v>37</v>
      </c>
      <c r="O1663" s="19" t="str">
        <f t="shared" si="118"/>
        <v>600k–900k</v>
      </c>
      <c r="P1663" s="19" t="str">
        <f t="shared" si="119"/>
        <v>36-45</v>
      </c>
    </row>
    <row r="1664" spans="1:16" x14ac:dyDescent="0.25">
      <c r="A1664">
        <v>1663</v>
      </c>
      <c r="B1664" t="s">
        <v>15</v>
      </c>
      <c r="C1664">
        <v>278032</v>
      </c>
      <c r="D1664" t="s">
        <v>17</v>
      </c>
      <c r="E1664" t="s">
        <v>16</v>
      </c>
      <c r="F1664" t="s">
        <v>12</v>
      </c>
      <c r="G1664" t="s">
        <v>13</v>
      </c>
      <c r="H1664" t="s">
        <v>13</v>
      </c>
      <c r="I1664">
        <v>45</v>
      </c>
      <c r="J1664" t="str" cm="1">
        <f t="array" ref="J1664">_xlfn.IFS(ISBLANK(C1664),"FALTANTE",ABS((C1664-$W$5)/$X$5)&gt;1.96,"ATÍPICO",ABS((C1664-$W$5)/$X$5)&lt;=1.96,"NO ATÍPICO")</f>
        <v>NO ATÍPICO</v>
      </c>
      <c r="K1664" t="str" cm="1">
        <f t="array" ref="K1664">_xlfn.IFS(ISBLANK(I1664),"FALTANTE",ABS((I1664-$W$8)/$X$8)&gt;1.92,"ATÍPICO",ABS((I1664-$W$8)/$X$8)&lt;=1.92,"NO ATÍPICO")</f>
        <v>NO ATÍPICO</v>
      </c>
      <c r="L1664">
        <f t="shared" si="116"/>
        <v>278032</v>
      </c>
      <c r="M1664" t="str">
        <f t="shared" si="116"/>
        <v>ASEGURADO VOLUNTARIO</v>
      </c>
      <c r="N1664">
        <f t="shared" si="117"/>
        <v>45</v>
      </c>
      <c r="O1664" s="19" t="str">
        <f t="shared" si="118"/>
        <v>0–300k</v>
      </c>
      <c r="P1664" s="19" t="str">
        <f t="shared" si="119"/>
        <v>36-45</v>
      </c>
    </row>
    <row r="1665" spans="1:16" x14ac:dyDescent="0.25">
      <c r="A1665">
        <v>1664</v>
      </c>
      <c r="B1665" t="s">
        <v>15</v>
      </c>
      <c r="C1665">
        <v>297650</v>
      </c>
      <c r="D1665" t="s">
        <v>10</v>
      </c>
      <c r="E1665" t="s">
        <v>16</v>
      </c>
      <c r="F1665" t="s">
        <v>12</v>
      </c>
      <c r="G1665" t="s">
        <v>12</v>
      </c>
      <c r="H1665" t="s">
        <v>12</v>
      </c>
      <c r="I1665">
        <v>39</v>
      </c>
      <c r="J1665" t="str" cm="1">
        <f t="array" ref="J1665">_xlfn.IFS(ISBLANK(C1665),"FALTANTE",ABS((C1665-$W$5)/$X$5)&gt;1.96,"ATÍPICO",ABS((C1665-$W$5)/$X$5)&lt;=1.96,"NO ATÍPICO")</f>
        <v>NO ATÍPICO</v>
      </c>
      <c r="K1665" t="str" cm="1">
        <f t="array" ref="K1665">_xlfn.IFS(ISBLANK(I1665),"FALTANTE",ABS((I1665-$W$8)/$X$8)&gt;1.92,"ATÍPICO",ABS((I1665-$W$8)/$X$8)&lt;=1.92,"NO ATÍPICO")</f>
        <v>NO ATÍPICO</v>
      </c>
      <c r="L1665">
        <f t="shared" si="116"/>
        <v>297650</v>
      </c>
      <c r="M1665" t="str">
        <f t="shared" si="116"/>
        <v>ASALARIADO</v>
      </c>
      <c r="N1665">
        <f t="shared" si="117"/>
        <v>39</v>
      </c>
      <c r="O1665" s="19" t="str">
        <f t="shared" si="118"/>
        <v>0–300k</v>
      </c>
      <c r="P1665" s="19" t="str">
        <f t="shared" si="119"/>
        <v>36-45</v>
      </c>
    </row>
    <row r="1666" spans="1:16" x14ac:dyDescent="0.25">
      <c r="A1666">
        <v>1665</v>
      </c>
      <c r="B1666" t="s">
        <v>9</v>
      </c>
      <c r="C1666">
        <v>266312</v>
      </c>
      <c r="D1666" t="s">
        <v>10</v>
      </c>
      <c r="E1666" t="s">
        <v>16</v>
      </c>
      <c r="F1666" t="s">
        <v>12</v>
      </c>
      <c r="G1666" t="s">
        <v>13</v>
      </c>
      <c r="H1666" t="s">
        <v>13</v>
      </c>
      <c r="I1666">
        <v>29</v>
      </c>
      <c r="J1666" t="str" cm="1">
        <f t="array" ref="J1666">_xlfn.IFS(ISBLANK(C1666),"FALTANTE",ABS((C1666-$W$5)/$X$5)&gt;1.96,"ATÍPICO",ABS((C1666-$W$5)/$X$5)&lt;=1.96,"NO ATÍPICO")</f>
        <v>NO ATÍPICO</v>
      </c>
      <c r="K1666" t="str" cm="1">
        <f t="array" ref="K1666">_xlfn.IFS(ISBLANK(I1666),"FALTANTE",ABS((I1666-$W$8)/$X$8)&gt;1.92,"ATÍPICO",ABS((I1666-$W$8)/$X$8)&lt;=1.92,"NO ATÍPICO")</f>
        <v>NO ATÍPICO</v>
      </c>
      <c r="L1666">
        <f t="shared" ref="L1666:M1729" si="120">C1666</f>
        <v>266312</v>
      </c>
      <c r="M1666" t="str">
        <f t="shared" si="120"/>
        <v>ASALARIADO</v>
      </c>
      <c r="N1666">
        <f t="shared" ref="N1666:N1729" si="121">I1666</f>
        <v>29</v>
      </c>
      <c r="O1666" s="19" t="str">
        <f t="shared" ref="O1666:O1729" si="122">IF(L1666&lt;=300000,"0–300k",IF(L1666&lt;=600000,"300k–600k",IF(L1666&lt;=900000,"600k–900k",IF(L1666&lt;=1200000,"900k–1200k","1200k+"))))</f>
        <v>0–300k</v>
      </c>
      <c r="P1666" s="19" t="str">
        <f t="shared" ref="P1666:P1729" si="123">IF(N1666 &lt;=25,"18-25", IF(N1666&lt;=35,"26-35", IF(N1666 &lt;=45,"36-45", IF(N1666&lt;=55,"46-55","56+"))))</f>
        <v>26-35</v>
      </c>
    </row>
    <row r="1667" spans="1:16" x14ac:dyDescent="0.25">
      <c r="A1667">
        <v>1666</v>
      </c>
      <c r="B1667" t="s">
        <v>9</v>
      </c>
      <c r="C1667">
        <v>403764.18</v>
      </c>
      <c r="D1667" t="s">
        <v>10</v>
      </c>
      <c r="E1667" t="s">
        <v>16</v>
      </c>
      <c r="F1667" t="s">
        <v>12</v>
      </c>
      <c r="G1667" t="s">
        <v>13</v>
      </c>
      <c r="H1667" t="s">
        <v>13</v>
      </c>
      <c r="I1667">
        <v>31</v>
      </c>
      <c r="J1667" t="str" cm="1">
        <f t="array" ref="J1667">_xlfn.IFS(ISBLANK(C1667),"FALTANTE",ABS((C1667-$W$5)/$X$5)&gt;1.96,"ATÍPICO",ABS((C1667-$W$5)/$X$5)&lt;=1.96,"NO ATÍPICO")</f>
        <v>NO ATÍPICO</v>
      </c>
      <c r="K1667" t="str" cm="1">
        <f t="array" ref="K1667">_xlfn.IFS(ISBLANK(I1667),"FALTANTE",ABS((I1667-$W$8)/$X$8)&gt;1.92,"ATÍPICO",ABS((I1667-$W$8)/$X$8)&lt;=1.92,"NO ATÍPICO")</f>
        <v>NO ATÍPICO</v>
      </c>
      <c r="L1667">
        <f t="shared" si="120"/>
        <v>403764.18</v>
      </c>
      <c r="M1667" t="str">
        <f t="shared" si="120"/>
        <v>ASALARIADO</v>
      </c>
      <c r="N1667">
        <f t="shared" si="121"/>
        <v>31</v>
      </c>
      <c r="O1667" s="19" t="str">
        <f t="shared" si="122"/>
        <v>300k–600k</v>
      </c>
      <c r="P1667" s="19" t="str">
        <f t="shared" si="123"/>
        <v>26-35</v>
      </c>
    </row>
    <row r="1668" spans="1:16" x14ac:dyDescent="0.25">
      <c r="A1668">
        <v>1667</v>
      </c>
      <c r="B1668" t="s">
        <v>9</v>
      </c>
      <c r="C1668">
        <v>440373</v>
      </c>
      <c r="D1668" t="s">
        <v>10</v>
      </c>
      <c r="E1668" t="s">
        <v>11</v>
      </c>
      <c r="F1668" t="s">
        <v>12</v>
      </c>
      <c r="G1668" t="s">
        <v>12</v>
      </c>
      <c r="H1668" t="s">
        <v>13</v>
      </c>
      <c r="I1668">
        <v>27</v>
      </c>
      <c r="J1668" t="str" cm="1">
        <f t="array" ref="J1668">_xlfn.IFS(ISBLANK(C1668),"FALTANTE",ABS((C1668-$W$5)/$X$5)&gt;1.96,"ATÍPICO",ABS((C1668-$W$5)/$X$5)&lt;=1.96,"NO ATÍPICO")</f>
        <v>NO ATÍPICO</v>
      </c>
      <c r="K1668" t="str" cm="1">
        <f t="array" ref="K1668">_xlfn.IFS(ISBLANK(I1668),"FALTANTE",ABS((I1668-$W$8)/$X$8)&gt;1.92,"ATÍPICO",ABS((I1668-$W$8)/$X$8)&lt;=1.92,"NO ATÍPICO")</f>
        <v>NO ATÍPICO</v>
      </c>
      <c r="L1668">
        <f t="shared" si="120"/>
        <v>440373</v>
      </c>
      <c r="M1668" t="str">
        <f t="shared" si="120"/>
        <v>ASALARIADO</v>
      </c>
      <c r="N1668">
        <f t="shared" si="121"/>
        <v>27</v>
      </c>
      <c r="O1668" s="19" t="str">
        <f t="shared" si="122"/>
        <v>300k–600k</v>
      </c>
      <c r="P1668" s="19" t="str">
        <f t="shared" si="123"/>
        <v>26-35</v>
      </c>
    </row>
    <row r="1669" spans="1:16" x14ac:dyDescent="0.25">
      <c r="A1669">
        <v>1668</v>
      </c>
      <c r="B1669" t="s">
        <v>15</v>
      </c>
      <c r="C1669">
        <v>381211.3</v>
      </c>
      <c r="D1669" t="s">
        <v>14</v>
      </c>
      <c r="E1669" t="s">
        <v>11</v>
      </c>
      <c r="F1669" t="s">
        <v>12</v>
      </c>
      <c r="G1669" t="s">
        <v>13</v>
      </c>
      <c r="H1669" t="s">
        <v>13</v>
      </c>
      <c r="I1669">
        <v>66</v>
      </c>
      <c r="J1669" t="str" cm="1">
        <f t="array" ref="J1669">_xlfn.IFS(ISBLANK(C1669),"FALTANTE",ABS((C1669-$W$5)/$X$5)&gt;1.96,"ATÍPICO",ABS((C1669-$W$5)/$X$5)&lt;=1.96,"NO ATÍPICO")</f>
        <v>NO ATÍPICO</v>
      </c>
      <c r="K1669" t="str" cm="1">
        <f t="array" ref="K1669">_xlfn.IFS(ISBLANK(I1669),"FALTANTE",ABS((I1669-$W$8)/$X$8)&gt;1.92,"ATÍPICO",ABS((I1669-$W$8)/$X$8)&lt;=1.92,"NO ATÍPICO")</f>
        <v>NO ATÍPICO</v>
      </c>
      <c r="L1669">
        <f t="shared" si="120"/>
        <v>381211.3</v>
      </c>
      <c r="M1669" t="str">
        <f t="shared" si="120"/>
        <v>PENSIONADOS EN SU PROPIO SISTEMA</v>
      </c>
      <c r="N1669">
        <f t="shared" si="121"/>
        <v>66</v>
      </c>
      <c r="O1669" s="19" t="str">
        <f t="shared" si="122"/>
        <v>300k–600k</v>
      </c>
      <c r="P1669" s="19" t="str">
        <f t="shared" si="123"/>
        <v>56+</v>
      </c>
    </row>
    <row r="1670" spans="1:16" x14ac:dyDescent="0.25">
      <c r="A1670">
        <v>1669</v>
      </c>
      <c r="B1670" t="s">
        <v>15</v>
      </c>
      <c r="C1670">
        <v>908129</v>
      </c>
      <c r="D1670" t="s">
        <v>10</v>
      </c>
      <c r="E1670" t="s">
        <v>11</v>
      </c>
      <c r="F1670" t="s">
        <v>12</v>
      </c>
      <c r="G1670" t="s">
        <v>13</v>
      </c>
      <c r="H1670" t="s">
        <v>12</v>
      </c>
      <c r="I1670">
        <v>49</v>
      </c>
      <c r="J1670" t="str" cm="1">
        <f t="array" ref="J1670">_xlfn.IFS(ISBLANK(C1670),"FALTANTE",ABS((C1670-$W$5)/$X$5)&gt;1.96,"ATÍPICO",ABS((C1670-$W$5)/$X$5)&lt;=1.96,"NO ATÍPICO")</f>
        <v>NO ATÍPICO</v>
      </c>
      <c r="K1670" t="str" cm="1">
        <f t="array" ref="K1670">_xlfn.IFS(ISBLANK(I1670),"FALTANTE",ABS((I1670-$W$8)/$X$8)&gt;1.92,"ATÍPICO",ABS((I1670-$W$8)/$X$8)&lt;=1.92,"NO ATÍPICO")</f>
        <v>NO ATÍPICO</v>
      </c>
      <c r="L1670">
        <f t="shared" si="120"/>
        <v>908129</v>
      </c>
      <c r="M1670" t="str">
        <f t="shared" si="120"/>
        <v>ASALARIADO</v>
      </c>
      <c r="N1670">
        <f t="shared" si="121"/>
        <v>49</v>
      </c>
      <c r="O1670" s="19" t="str">
        <f t="shared" si="122"/>
        <v>900k–1200k</v>
      </c>
      <c r="P1670" s="19" t="str">
        <f t="shared" si="123"/>
        <v>46-55</v>
      </c>
    </row>
    <row r="1671" spans="1:16" x14ac:dyDescent="0.25">
      <c r="A1671">
        <v>1670</v>
      </c>
      <c r="B1671" t="s">
        <v>9</v>
      </c>
      <c r="C1671">
        <v>131198</v>
      </c>
      <c r="D1671" t="s">
        <v>10</v>
      </c>
      <c r="E1671" t="s">
        <v>16</v>
      </c>
      <c r="F1671" t="s">
        <v>12</v>
      </c>
      <c r="G1671" t="s">
        <v>13</v>
      </c>
      <c r="H1671" t="s">
        <v>13</v>
      </c>
      <c r="I1671">
        <v>20</v>
      </c>
      <c r="J1671" t="str" cm="1">
        <f t="array" ref="J1671">_xlfn.IFS(ISBLANK(C1671),"FALTANTE",ABS((C1671-$W$5)/$X$5)&gt;1.96,"ATÍPICO",ABS((C1671-$W$5)/$X$5)&lt;=1.96,"NO ATÍPICO")</f>
        <v>NO ATÍPICO</v>
      </c>
      <c r="K1671" t="str" cm="1">
        <f t="array" ref="K1671">_xlfn.IFS(ISBLANK(I1671),"FALTANTE",ABS((I1671-$W$8)/$X$8)&gt;1.92,"ATÍPICO",ABS((I1671-$W$8)/$X$8)&lt;=1.92,"NO ATÍPICO")</f>
        <v>NO ATÍPICO</v>
      </c>
      <c r="L1671">
        <f t="shared" si="120"/>
        <v>131198</v>
      </c>
      <c r="M1671" t="str">
        <f t="shared" si="120"/>
        <v>ASALARIADO</v>
      </c>
      <c r="N1671">
        <f t="shared" si="121"/>
        <v>20</v>
      </c>
      <c r="O1671" s="19" t="str">
        <f t="shared" si="122"/>
        <v>0–300k</v>
      </c>
      <c r="P1671" s="19" t="str">
        <f t="shared" si="123"/>
        <v>18-25</v>
      </c>
    </row>
    <row r="1672" spans="1:16" x14ac:dyDescent="0.25">
      <c r="A1672">
        <v>1671</v>
      </c>
      <c r="B1672" t="s">
        <v>15</v>
      </c>
      <c r="C1672">
        <v>582921.03</v>
      </c>
      <c r="D1672" t="s">
        <v>10</v>
      </c>
      <c r="E1672" t="s">
        <v>16</v>
      </c>
      <c r="F1672" t="s">
        <v>12</v>
      </c>
      <c r="G1672" t="s">
        <v>13</v>
      </c>
      <c r="H1672" t="s">
        <v>13</v>
      </c>
      <c r="I1672">
        <v>31</v>
      </c>
      <c r="J1672" t="str" cm="1">
        <f t="array" ref="J1672">_xlfn.IFS(ISBLANK(C1672),"FALTANTE",ABS((C1672-$W$5)/$X$5)&gt;1.96,"ATÍPICO",ABS((C1672-$W$5)/$X$5)&lt;=1.96,"NO ATÍPICO")</f>
        <v>NO ATÍPICO</v>
      </c>
      <c r="K1672" t="str" cm="1">
        <f t="array" ref="K1672">_xlfn.IFS(ISBLANK(I1672),"FALTANTE",ABS((I1672-$W$8)/$X$8)&gt;1.92,"ATÍPICO",ABS((I1672-$W$8)/$X$8)&lt;=1.92,"NO ATÍPICO")</f>
        <v>NO ATÍPICO</v>
      </c>
      <c r="L1672">
        <f t="shared" si="120"/>
        <v>582921.03</v>
      </c>
      <c r="M1672" t="str">
        <f t="shared" si="120"/>
        <v>ASALARIADO</v>
      </c>
      <c r="N1672">
        <f t="shared" si="121"/>
        <v>31</v>
      </c>
      <c r="O1672" s="19" t="str">
        <f t="shared" si="122"/>
        <v>300k–600k</v>
      </c>
      <c r="P1672" s="19" t="str">
        <f t="shared" si="123"/>
        <v>26-35</v>
      </c>
    </row>
    <row r="1673" spans="1:16" x14ac:dyDescent="0.25">
      <c r="A1673">
        <v>1672</v>
      </c>
      <c r="B1673" t="s">
        <v>9</v>
      </c>
      <c r="C1673">
        <v>251103.9</v>
      </c>
      <c r="D1673" t="s">
        <v>10</v>
      </c>
      <c r="E1673" t="s">
        <v>16</v>
      </c>
      <c r="F1673" t="s">
        <v>12</v>
      </c>
      <c r="G1673" t="s">
        <v>13</v>
      </c>
      <c r="H1673" t="s">
        <v>13</v>
      </c>
      <c r="I1673">
        <v>19</v>
      </c>
      <c r="J1673" t="str" cm="1">
        <f t="array" ref="J1673">_xlfn.IFS(ISBLANK(C1673),"FALTANTE",ABS((C1673-$W$5)/$X$5)&gt;1.96,"ATÍPICO",ABS((C1673-$W$5)/$X$5)&lt;=1.96,"NO ATÍPICO")</f>
        <v>NO ATÍPICO</v>
      </c>
      <c r="K1673" t="str" cm="1">
        <f t="array" ref="K1673">_xlfn.IFS(ISBLANK(I1673),"FALTANTE",ABS((I1673-$W$8)/$X$8)&gt;1.92,"ATÍPICO",ABS((I1673-$W$8)/$X$8)&lt;=1.92,"NO ATÍPICO")</f>
        <v>NO ATÍPICO</v>
      </c>
      <c r="L1673">
        <f t="shared" si="120"/>
        <v>251103.9</v>
      </c>
      <c r="M1673" t="str">
        <f t="shared" si="120"/>
        <v>ASALARIADO</v>
      </c>
      <c r="N1673">
        <f t="shared" si="121"/>
        <v>19</v>
      </c>
      <c r="O1673" s="19" t="str">
        <f t="shared" si="122"/>
        <v>0–300k</v>
      </c>
      <c r="P1673" s="19" t="str">
        <f t="shared" si="123"/>
        <v>18-25</v>
      </c>
    </row>
    <row r="1674" spans="1:16" x14ac:dyDescent="0.25">
      <c r="A1674">
        <v>1673</v>
      </c>
      <c r="B1674" t="s">
        <v>15</v>
      </c>
      <c r="C1674">
        <v>297046</v>
      </c>
      <c r="D1674" t="s">
        <v>17</v>
      </c>
      <c r="E1674" t="s">
        <v>16</v>
      </c>
      <c r="F1674" t="s">
        <v>12</v>
      </c>
      <c r="G1674" t="s">
        <v>13</v>
      </c>
      <c r="H1674" t="s">
        <v>13</v>
      </c>
      <c r="I1674">
        <v>38</v>
      </c>
      <c r="J1674" t="str" cm="1">
        <f t="array" ref="J1674">_xlfn.IFS(ISBLANK(C1674),"FALTANTE",ABS((C1674-$W$5)/$X$5)&gt;1.96,"ATÍPICO",ABS((C1674-$W$5)/$X$5)&lt;=1.96,"NO ATÍPICO")</f>
        <v>NO ATÍPICO</v>
      </c>
      <c r="K1674" t="str" cm="1">
        <f t="array" ref="K1674">_xlfn.IFS(ISBLANK(I1674),"FALTANTE",ABS((I1674-$W$8)/$X$8)&gt;1.92,"ATÍPICO",ABS((I1674-$W$8)/$X$8)&lt;=1.92,"NO ATÍPICO")</f>
        <v>NO ATÍPICO</v>
      </c>
      <c r="L1674">
        <f t="shared" si="120"/>
        <v>297046</v>
      </c>
      <c r="M1674" t="str">
        <f t="shared" si="120"/>
        <v>ASEGURADO VOLUNTARIO</v>
      </c>
      <c r="N1674">
        <f t="shared" si="121"/>
        <v>38</v>
      </c>
      <c r="O1674" s="19" t="str">
        <f t="shared" si="122"/>
        <v>0–300k</v>
      </c>
      <c r="P1674" s="19" t="str">
        <f t="shared" si="123"/>
        <v>36-45</v>
      </c>
    </row>
    <row r="1675" spans="1:16" x14ac:dyDescent="0.25">
      <c r="A1675">
        <v>1674</v>
      </c>
      <c r="B1675" t="s">
        <v>15</v>
      </c>
      <c r="C1675">
        <v>278030.99</v>
      </c>
      <c r="D1675" t="s">
        <v>17</v>
      </c>
      <c r="E1675" t="s">
        <v>16</v>
      </c>
      <c r="F1675" t="s">
        <v>12</v>
      </c>
      <c r="G1675" t="s">
        <v>12</v>
      </c>
      <c r="H1675" t="s">
        <v>13</v>
      </c>
      <c r="I1675">
        <v>44</v>
      </c>
      <c r="J1675" t="str" cm="1">
        <f t="array" ref="J1675">_xlfn.IFS(ISBLANK(C1675),"FALTANTE",ABS((C1675-$W$5)/$X$5)&gt;1.96,"ATÍPICO",ABS((C1675-$W$5)/$X$5)&lt;=1.96,"NO ATÍPICO")</f>
        <v>NO ATÍPICO</v>
      </c>
      <c r="K1675" t="str" cm="1">
        <f t="array" ref="K1675">_xlfn.IFS(ISBLANK(I1675),"FALTANTE",ABS((I1675-$W$8)/$X$8)&gt;1.92,"ATÍPICO",ABS((I1675-$W$8)/$X$8)&lt;=1.92,"NO ATÍPICO")</f>
        <v>NO ATÍPICO</v>
      </c>
      <c r="L1675">
        <f t="shared" si="120"/>
        <v>278030.99</v>
      </c>
      <c r="M1675" t="str">
        <f t="shared" si="120"/>
        <v>ASEGURADO VOLUNTARIO</v>
      </c>
      <c r="N1675">
        <f t="shared" si="121"/>
        <v>44</v>
      </c>
      <c r="O1675" s="19" t="str">
        <f t="shared" si="122"/>
        <v>0–300k</v>
      </c>
      <c r="P1675" s="19" t="str">
        <f t="shared" si="123"/>
        <v>36-45</v>
      </c>
    </row>
    <row r="1676" spans="1:16" x14ac:dyDescent="0.25">
      <c r="A1676">
        <v>1675</v>
      </c>
      <c r="B1676" t="s">
        <v>15</v>
      </c>
      <c r="C1676">
        <v>373396</v>
      </c>
      <c r="D1676" t="s">
        <v>10</v>
      </c>
      <c r="E1676" t="s">
        <v>11</v>
      </c>
      <c r="F1676" t="s">
        <v>12</v>
      </c>
      <c r="G1676" t="s">
        <v>13</v>
      </c>
      <c r="H1676" t="s">
        <v>13</v>
      </c>
      <c r="I1676">
        <v>29</v>
      </c>
      <c r="J1676" t="str" cm="1">
        <f t="array" ref="J1676">_xlfn.IFS(ISBLANK(C1676),"FALTANTE",ABS((C1676-$W$5)/$X$5)&gt;1.96,"ATÍPICO",ABS((C1676-$W$5)/$X$5)&lt;=1.96,"NO ATÍPICO")</f>
        <v>NO ATÍPICO</v>
      </c>
      <c r="K1676" t="str" cm="1">
        <f t="array" ref="K1676">_xlfn.IFS(ISBLANK(I1676),"FALTANTE",ABS((I1676-$W$8)/$X$8)&gt;1.92,"ATÍPICO",ABS((I1676-$W$8)/$X$8)&lt;=1.92,"NO ATÍPICO")</f>
        <v>NO ATÍPICO</v>
      </c>
      <c r="L1676">
        <f t="shared" si="120"/>
        <v>373396</v>
      </c>
      <c r="M1676" t="str">
        <f t="shared" si="120"/>
        <v>ASALARIADO</v>
      </c>
      <c r="N1676">
        <f t="shared" si="121"/>
        <v>29</v>
      </c>
      <c r="O1676" s="19" t="str">
        <f t="shared" si="122"/>
        <v>300k–600k</v>
      </c>
      <c r="P1676" s="19" t="str">
        <f t="shared" si="123"/>
        <v>26-35</v>
      </c>
    </row>
    <row r="1677" spans="1:16" x14ac:dyDescent="0.25">
      <c r="A1677">
        <v>1676</v>
      </c>
      <c r="B1677" t="s">
        <v>9</v>
      </c>
      <c r="C1677">
        <v>297110</v>
      </c>
      <c r="D1677" t="s">
        <v>18</v>
      </c>
      <c r="E1677" t="s">
        <v>16</v>
      </c>
      <c r="F1677" t="s">
        <v>12</v>
      </c>
      <c r="G1677" t="s">
        <v>13</v>
      </c>
      <c r="H1677" t="s">
        <v>12</v>
      </c>
      <c r="I1677">
        <v>35</v>
      </c>
      <c r="J1677" t="str" cm="1">
        <f t="array" ref="J1677">_xlfn.IFS(ISBLANK(C1677),"FALTANTE",ABS((C1677-$W$5)/$X$5)&gt;1.96,"ATÍPICO",ABS((C1677-$W$5)/$X$5)&lt;=1.96,"NO ATÍPICO")</f>
        <v>NO ATÍPICO</v>
      </c>
      <c r="K1677" t="str" cm="1">
        <f t="array" ref="K1677">_xlfn.IFS(ISBLANK(I1677),"FALTANTE",ABS((I1677-$W$8)/$X$8)&gt;1.92,"ATÍPICO",ABS((I1677-$W$8)/$X$8)&lt;=1.92,"NO ATÍPICO")</f>
        <v>NO ATÍPICO</v>
      </c>
      <c r="L1677">
        <f t="shared" si="120"/>
        <v>297110</v>
      </c>
      <c r="M1677" t="str">
        <f t="shared" si="120"/>
        <v>TRABAJADOR INDEPENDIENTE</v>
      </c>
      <c r="N1677">
        <f t="shared" si="121"/>
        <v>35</v>
      </c>
      <c r="O1677" s="19" t="str">
        <f t="shared" si="122"/>
        <v>0–300k</v>
      </c>
      <c r="P1677" s="19" t="str">
        <f t="shared" si="123"/>
        <v>26-35</v>
      </c>
    </row>
    <row r="1678" spans="1:16" x14ac:dyDescent="0.25">
      <c r="A1678">
        <v>1677</v>
      </c>
      <c r="B1678" t="s">
        <v>9</v>
      </c>
      <c r="C1678">
        <v>296000</v>
      </c>
      <c r="D1678" t="s">
        <v>10</v>
      </c>
      <c r="E1678" t="s">
        <v>16</v>
      </c>
      <c r="F1678" t="s">
        <v>12</v>
      </c>
      <c r="G1678" t="s">
        <v>13</v>
      </c>
      <c r="H1678" t="s">
        <v>13</v>
      </c>
      <c r="I1678">
        <v>28</v>
      </c>
      <c r="J1678" t="str" cm="1">
        <f t="array" ref="J1678">_xlfn.IFS(ISBLANK(C1678),"FALTANTE",ABS((C1678-$W$5)/$X$5)&gt;1.96,"ATÍPICO",ABS((C1678-$W$5)/$X$5)&lt;=1.96,"NO ATÍPICO")</f>
        <v>NO ATÍPICO</v>
      </c>
      <c r="K1678" t="str" cm="1">
        <f t="array" ref="K1678">_xlfn.IFS(ISBLANK(I1678),"FALTANTE",ABS((I1678-$W$8)/$X$8)&gt;1.92,"ATÍPICO",ABS((I1678-$W$8)/$X$8)&lt;=1.92,"NO ATÍPICO")</f>
        <v>NO ATÍPICO</v>
      </c>
      <c r="L1678">
        <f t="shared" si="120"/>
        <v>296000</v>
      </c>
      <c r="M1678" t="str">
        <f t="shared" si="120"/>
        <v>ASALARIADO</v>
      </c>
      <c r="N1678">
        <f t="shared" si="121"/>
        <v>28</v>
      </c>
      <c r="O1678" s="19" t="str">
        <f t="shared" si="122"/>
        <v>0–300k</v>
      </c>
      <c r="P1678" s="19" t="str">
        <f t="shared" si="123"/>
        <v>26-35</v>
      </c>
    </row>
    <row r="1679" spans="1:16" x14ac:dyDescent="0.25">
      <c r="A1679">
        <v>1678</v>
      </c>
      <c r="B1679" t="s">
        <v>9</v>
      </c>
      <c r="C1679">
        <v>424103</v>
      </c>
      <c r="D1679" t="s">
        <v>18</v>
      </c>
      <c r="E1679" t="s">
        <v>16</v>
      </c>
      <c r="F1679" t="s">
        <v>12</v>
      </c>
      <c r="G1679" t="s">
        <v>13</v>
      </c>
      <c r="H1679" t="s">
        <v>12</v>
      </c>
      <c r="I1679">
        <v>35</v>
      </c>
      <c r="J1679" t="str" cm="1">
        <f t="array" ref="J1679">_xlfn.IFS(ISBLANK(C1679),"FALTANTE",ABS((C1679-$W$5)/$X$5)&gt;1.96,"ATÍPICO",ABS((C1679-$W$5)/$X$5)&lt;=1.96,"NO ATÍPICO")</f>
        <v>NO ATÍPICO</v>
      </c>
      <c r="K1679" t="str" cm="1">
        <f t="array" ref="K1679">_xlfn.IFS(ISBLANK(I1679),"FALTANTE",ABS((I1679-$W$8)/$X$8)&gt;1.92,"ATÍPICO",ABS((I1679-$W$8)/$X$8)&lt;=1.92,"NO ATÍPICO")</f>
        <v>NO ATÍPICO</v>
      </c>
      <c r="L1679">
        <f t="shared" si="120"/>
        <v>424103</v>
      </c>
      <c r="M1679" t="str">
        <f t="shared" si="120"/>
        <v>TRABAJADOR INDEPENDIENTE</v>
      </c>
      <c r="N1679">
        <f t="shared" si="121"/>
        <v>35</v>
      </c>
      <c r="O1679" s="19" t="str">
        <f t="shared" si="122"/>
        <v>300k–600k</v>
      </c>
      <c r="P1679" s="19" t="str">
        <f t="shared" si="123"/>
        <v>26-35</v>
      </c>
    </row>
    <row r="1680" spans="1:16" x14ac:dyDescent="0.25">
      <c r="A1680">
        <v>1679</v>
      </c>
      <c r="B1680" t="s">
        <v>9</v>
      </c>
      <c r="C1680">
        <v>11000</v>
      </c>
      <c r="D1680" t="s">
        <v>10</v>
      </c>
      <c r="E1680" t="s">
        <v>16</v>
      </c>
      <c r="F1680" t="s">
        <v>12</v>
      </c>
      <c r="G1680" t="s">
        <v>13</v>
      </c>
      <c r="H1680" t="s">
        <v>12</v>
      </c>
      <c r="I1680">
        <v>32</v>
      </c>
      <c r="J1680" t="str" cm="1">
        <f t="array" ref="J1680">_xlfn.IFS(ISBLANK(C1680),"FALTANTE",ABS((C1680-$W$5)/$X$5)&gt;1.96,"ATÍPICO",ABS((C1680-$W$5)/$X$5)&lt;=1.96,"NO ATÍPICO")</f>
        <v>NO ATÍPICO</v>
      </c>
      <c r="K1680" t="str" cm="1">
        <f t="array" ref="K1680">_xlfn.IFS(ISBLANK(I1680),"FALTANTE",ABS((I1680-$W$8)/$X$8)&gt;1.92,"ATÍPICO",ABS((I1680-$W$8)/$X$8)&lt;=1.92,"NO ATÍPICO")</f>
        <v>NO ATÍPICO</v>
      </c>
      <c r="L1680">
        <f t="shared" si="120"/>
        <v>11000</v>
      </c>
      <c r="M1680" t="str">
        <f t="shared" si="120"/>
        <v>ASALARIADO</v>
      </c>
      <c r="N1680">
        <f t="shared" si="121"/>
        <v>32</v>
      </c>
      <c r="O1680" s="19" t="str">
        <f t="shared" si="122"/>
        <v>0–300k</v>
      </c>
      <c r="P1680" s="19" t="str">
        <f t="shared" si="123"/>
        <v>26-35</v>
      </c>
    </row>
    <row r="1681" spans="1:16" x14ac:dyDescent="0.25">
      <c r="A1681">
        <v>1680</v>
      </c>
      <c r="B1681" t="s">
        <v>9</v>
      </c>
      <c r="C1681">
        <v>365500</v>
      </c>
      <c r="D1681" t="s">
        <v>10</v>
      </c>
      <c r="E1681" t="s">
        <v>16</v>
      </c>
      <c r="F1681" t="s">
        <v>12</v>
      </c>
      <c r="G1681" t="s">
        <v>13</v>
      </c>
      <c r="H1681" t="s">
        <v>13</v>
      </c>
      <c r="I1681">
        <v>32</v>
      </c>
      <c r="J1681" t="str" cm="1">
        <f t="array" ref="J1681">_xlfn.IFS(ISBLANK(C1681),"FALTANTE",ABS((C1681-$W$5)/$X$5)&gt;1.96,"ATÍPICO",ABS((C1681-$W$5)/$X$5)&lt;=1.96,"NO ATÍPICO")</f>
        <v>NO ATÍPICO</v>
      </c>
      <c r="K1681" t="str" cm="1">
        <f t="array" ref="K1681">_xlfn.IFS(ISBLANK(I1681),"FALTANTE",ABS((I1681-$W$8)/$X$8)&gt;1.92,"ATÍPICO",ABS((I1681-$W$8)/$X$8)&lt;=1.92,"NO ATÍPICO")</f>
        <v>NO ATÍPICO</v>
      </c>
      <c r="L1681">
        <f t="shared" si="120"/>
        <v>365500</v>
      </c>
      <c r="M1681" t="str">
        <f t="shared" si="120"/>
        <v>ASALARIADO</v>
      </c>
      <c r="N1681">
        <f t="shared" si="121"/>
        <v>32</v>
      </c>
      <c r="O1681" s="19" t="str">
        <f t="shared" si="122"/>
        <v>300k–600k</v>
      </c>
      <c r="P1681" s="19" t="str">
        <f t="shared" si="123"/>
        <v>26-35</v>
      </c>
    </row>
    <row r="1682" spans="1:16" x14ac:dyDescent="0.25">
      <c r="A1682">
        <v>1681</v>
      </c>
      <c r="B1682" t="s">
        <v>9</v>
      </c>
      <c r="C1682">
        <v>25600</v>
      </c>
      <c r="D1682" t="s">
        <v>10</v>
      </c>
      <c r="E1682" t="s">
        <v>16</v>
      </c>
      <c r="F1682" t="s">
        <v>12</v>
      </c>
      <c r="G1682" t="s">
        <v>12</v>
      </c>
      <c r="H1682" t="s">
        <v>12</v>
      </c>
      <c r="I1682">
        <v>45</v>
      </c>
      <c r="J1682" t="str" cm="1">
        <f t="array" ref="J1682">_xlfn.IFS(ISBLANK(C1682),"FALTANTE",ABS((C1682-$W$5)/$X$5)&gt;1.96,"ATÍPICO",ABS((C1682-$W$5)/$X$5)&lt;=1.96,"NO ATÍPICO")</f>
        <v>NO ATÍPICO</v>
      </c>
      <c r="K1682" t="str" cm="1">
        <f t="array" ref="K1682">_xlfn.IFS(ISBLANK(I1682),"FALTANTE",ABS((I1682-$W$8)/$X$8)&gt;1.92,"ATÍPICO",ABS((I1682-$W$8)/$X$8)&lt;=1.92,"NO ATÍPICO")</f>
        <v>NO ATÍPICO</v>
      </c>
      <c r="L1682">
        <f t="shared" si="120"/>
        <v>25600</v>
      </c>
      <c r="M1682" t="str">
        <f t="shared" si="120"/>
        <v>ASALARIADO</v>
      </c>
      <c r="N1682">
        <f t="shared" si="121"/>
        <v>45</v>
      </c>
      <c r="O1682" s="19" t="str">
        <f t="shared" si="122"/>
        <v>0–300k</v>
      </c>
      <c r="P1682" s="19" t="str">
        <f t="shared" si="123"/>
        <v>36-45</v>
      </c>
    </row>
    <row r="1683" spans="1:16" x14ac:dyDescent="0.25">
      <c r="A1683">
        <v>1682</v>
      </c>
      <c r="B1683" t="s">
        <v>9</v>
      </c>
      <c r="C1683">
        <v>276964.47999999998</v>
      </c>
      <c r="D1683" t="s">
        <v>10</v>
      </c>
      <c r="E1683" t="s">
        <v>16</v>
      </c>
      <c r="F1683" t="s">
        <v>12</v>
      </c>
      <c r="G1683" t="s">
        <v>13</v>
      </c>
      <c r="H1683" t="s">
        <v>13</v>
      </c>
      <c r="I1683">
        <v>25</v>
      </c>
      <c r="J1683" t="str" cm="1">
        <f t="array" ref="J1683">_xlfn.IFS(ISBLANK(C1683),"FALTANTE",ABS((C1683-$W$5)/$X$5)&gt;1.96,"ATÍPICO",ABS((C1683-$W$5)/$X$5)&lt;=1.96,"NO ATÍPICO")</f>
        <v>NO ATÍPICO</v>
      </c>
      <c r="K1683" t="str" cm="1">
        <f t="array" ref="K1683">_xlfn.IFS(ISBLANK(I1683),"FALTANTE",ABS((I1683-$W$8)/$X$8)&gt;1.92,"ATÍPICO",ABS((I1683-$W$8)/$X$8)&lt;=1.92,"NO ATÍPICO")</f>
        <v>NO ATÍPICO</v>
      </c>
      <c r="L1683">
        <f t="shared" si="120"/>
        <v>276964.47999999998</v>
      </c>
      <c r="M1683" t="str">
        <f t="shared" si="120"/>
        <v>ASALARIADO</v>
      </c>
      <c r="N1683">
        <f t="shared" si="121"/>
        <v>25</v>
      </c>
      <c r="O1683" s="19" t="str">
        <f t="shared" si="122"/>
        <v>0–300k</v>
      </c>
      <c r="P1683" s="19" t="str">
        <f t="shared" si="123"/>
        <v>18-25</v>
      </c>
    </row>
    <row r="1684" spans="1:16" x14ac:dyDescent="0.25">
      <c r="A1684">
        <v>1683</v>
      </c>
      <c r="B1684" t="s">
        <v>9</v>
      </c>
      <c r="C1684">
        <v>103846.15</v>
      </c>
      <c r="D1684" t="s">
        <v>10</v>
      </c>
      <c r="E1684" t="s">
        <v>16</v>
      </c>
      <c r="F1684" t="s">
        <v>12</v>
      </c>
      <c r="G1684" t="s">
        <v>13</v>
      </c>
      <c r="H1684" t="s">
        <v>13</v>
      </c>
      <c r="I1684">
        <v>58</v>
      </c>
      <c r="J1684" t="str" cm="1">
        <f t="array" ref="J1684">_xlfn.IFS(ISBLANK(C1684),"FALTANTE",ABS((C1684-$W$5)/$X$5)&gt;1.96,"ATÍPICO",ABS((C1684-$W$5)/$X$5)&lt;=1.96,"NO ATÍPICO")</f>
        <v>NO ATÍPICO</v>
      </c>
      <c r="K1684" t="str" cm="1">
        <f t="array" ref="K1684">_xlfn.IFS(ISBLANK(I1684),"FALTANTE",ABS((I1684-$W$8)/$X$8)&gt;1.92,"ATÍPICO",ABS((I1684-$W$8)/$X$8)&lt;=1.92,"NO ATÍPICO")</f>
        <v>NO ATÍPICO</v>
      </c>
      <c r="L1684">
        <f t="shared" si="120"/>
        <v>103846.15</v>
      </c>
      <c r="M1684" t="str">
        <f t="shared" si="120"/>
        <v>ASALARIADO</v>
      </c>
      <c r="N1684">
        <f t="shared" si="121"/>
        <v>58</v>
      </c>
      <c r="O1684" s="19" t="str">
        <f t="shared" si="122"/>
        <v>0–300k</v>
      </c>
      <c r="P1684" s="19" t="str">
        <f t="shared" si="123"/>
        <v>56+</v>
      </c>
    </row>
    <row r="1685" spans="1:16" x14ac:dyDescent="0.25">
      <c r="A1685">
        <v>1684</v>
      </c>
      <c r="B1685" t="s">
        <v>9</v>
      </c>
      <c r="C1685">
        <v>249691.35</v>
      </c>
      <c r="D1685" t="s">
        <v>10</v>
      </c>
      <c r="E1685" t="s">
        <v>16</v>
      </c>
      <c r="F1685" t="s">
        <v>12</v>
      </c>
      <c r="G1685" t="s">
        <v>13</v>
      </c>
      <c r="H1685" t="s">
        <v>13</v>
      </c>
      <c r="I1685">
        <v>24</v>
      </c>
      <c r="J1685" t="str" cm="1">
        <f t="array" ref="J1685">_xlfn.IFS(ISBLANK(C1685),"FALTANTE",ABS((C1685-$W$5)/$X$5)&gt;1.96,"ATÍPICO",ABS((C1685-$W$5)/$X$5)&lt;=1.96,"NO ATÍPICO")</f>
        <v>NO ATÍPICO</v>
      </c>
      <c r="K1685" t="str" cm="1">
        <f t="array" ref="K1685">_xlfn.IFS(ISBLANK(I1685),"FALTANTE",ABS((I1685-$W$8)/$X$8)&gt;1.92,"ATÍPICO",ABS((I1685-$W$8)/$X$8)&lt;=1.92,"NO ATÍPICO")</f>
        <v>NO ATÍPICO</v>
      </c>
      <c r="L1685">
        <f t="shared" si="120"/>
        <v>249691.35</v>
      </c>
      <c r="M1685" t="str">
        <f t="shared" si="120"/>
        <v>ASALARIADO</v>
      </c>
      <c r="N1685">
        <f t="shared" si="121"/>
        <v>24</v>
      </c>
      <c r="O1685" s="19" t="str">
        <f t="shared" si="122"/>
        <v>0–300k</v>
      </c>
      <c r="P1685" s="19" t="str">
        <f t="shared" si="123"/>
        <v>18-25</v>
      </c>
    </row>
    <row r="1686" spans="1:16" x14ac:dyDescent="0.25">
      <c r="A1686">
        <v>1685</v>
      </c>
      <c r="B1686" t="s">
        <v>9</v>
      </c>
      <c r="C1686">
        <v>306480.65999999997</v>
      </c>
      <c r="D1686" t="s">
        <v>10</v>
      </c>
      <c r="E1686" t="s">
        <v>11</v>
      </c>
      <c r="F1686" t="s">
        <v>12</v>
      </c>
      <c r="G1686" t="s">
        <v>13</v>
      </c>
      <c r="H1686" t="s">
        <v>13</v>
      </c>
      <c r="I1686">
        <v>25</v>
      </c>
      <c r="J1686" t="str" cm="1">
        <f t="array" ref="J1686">_xlfn.IFS(ISBLANK(C1686),"FALTANTE",ABS((C1686-$W$5)/$X$5)&gt;1.96,"ATÍPICO",ABS((C1686-$W$5)/$X$5)&lt;=1.96,"NO ATÍPICO")</f>
        <v>NO ATÍPICO</v>
      </c>
      <c r="K1686" t="str" cm="1">
        <f t="array" ref="K1686">_xlfn.IFS(ISBLANK(I1686),"FALTANTE",ABS((I1686-$W$8)/$X$8)&gt;1.92,"ATÍPICO",ABS((I1686-$W$8)/$X$8)&lt;=1.92,"NO ATÍPICO")</f>
        <v>NO ATÍPICO</v>
      </c>
      <c r="L1686">
        <f t="shared" si="120"/>
        <v>306480.65999999997</v>
      </c>
      <c r="M1686" t="str">
        <f t="shared" si="120"/>
        <v>ASALARIADO</v>
      </c>
      <c r="N1686">
        <f t="shared" si="121"/>
        <v>25</v>
      </c>
      <c r="O1686" s="19" t="str">
        <f t="shared" si="122"/>
        <v>300k–600k</v>
      </c>
      <c r="P1686" s="19" t="str">
        <f t="shared" si="123"/>
        <v>18-25</v>
      </c>
    </row>
    <row r="1687" spans="1:16" x14ac:dyDescent="0.25">
      <c r="A1687">
        <v>1686</v>
      </c>
      <c r="B1687" t="s">
        <v>9</v>
      </c>
      <c r="C1687">
        <v>280000</v>
      </c>
      <c r="D1687" t="s">
        <v>10</v>
      </c>
      <c r="E1687" t="s">
        <v>16</v>
      </c>
      <c r="F1687" t="s">
        <v>12</v>
      </c>
      <c r="G1687" t="s">
        <v>13</v>
      </c>
      <c r="H1687" t="s">
        <v>13</v>
      </c>
      <c r="I1687">
        <v>85</v>
      </c>
      <c r="J1687" t="str" cm="1">
        <f t="array" ref="J1687">_xlfn.IFS(ISBLANK(C1687),"FALTANTE",ABS((C1687-$W$5)/$X$5)&gt;1.96,"ATÍPICO",ABS((C1687-$W$5)/$X$5)&lt;=1.96,"NO ATÍPICO")</f>
        <v>NO ATÍPICO</v>
      </c>
      <c r="K1687" t="str" cm="1">
        <f t="array" ref="K1687">_xlfn.IFS(ISBLANK(I1687),"FALTANTE",ABS((I1687-$W$8)/$X$8)&gt;1.92,"ATÍPICO",ABS((I1687-$W$8)/$X$8)&lt;=1.92,"NO ATÍPICO")</f>
        <v>ATÍPICO</v>
      </c>
      <c r="L1687">
        <f t="shared" si="120"/>
        <v>280000</v>
      </c>
      <c r="M1687" t="str">
        <f t="shared" si="120"/>
        <v>ASALARIADO</v>
      </c>
      <c r="N1687">
        <f t="shared" si="121"/>
        <v>85</v>
      </c>
      <c r="O1687" s="19" t="str">
        <f t="shared" si="122"/>
        <v>0–300k</v>
      </c>
      <c r="P1687" s="19" t="str">
        <f t="shared" si="123"/>
        <v>56+</v>
      </c>
    </row>
    <row r="1688" spans="1:16" x14ac:dyDescent="0.25">
      <c r="A1688">
        <v>1687</v>
      </c>
      <c r="B1688" t="s">
        <v>9</v>
      </c>
      <c r="C1688">
        <v>165000</v>
      </c>
      <c r="D1688" t="s">
        <v>10</v>
      </c>
      <c r="E1688" t="s">
        <v>16</v>
      </c>
      <c r="F1688" t="s">
        <v>12</v>
      </c>
      <c r="G1688" t="s">
        <v>13</v>
      </c>
      <c r="H1688" t="s">
        <v>13</v>
      </c>
      <c r="I1688">
        <v>38</v>
      </c>
      <c r="J1688" t="str" cm="1">
        <f t="array" ref="J1688">_xlfn.IFS(ISBLANK(C1688),"FALTANTE",ABS((C1688-$W$5)/$X$5)&gt;1.96,"ATÍPICO",ABS((C1688-$W$5)/$X$5)&lt;=1.96,"NO ATÍPICO")</f>
        <v>NO ATÍPICO</v>
      </c>
      <c r="K1688" t="str" cm="1">
        <f t="array" ref="K1688">_xlfn.IFS(ISBLANK(I1688),"FALTANTE",ABS((I1688-$W$8)/$X$8)&gt;1.92,"ATÍPICO",ABS((I1688-$W$8)/$X$8)&lt;=1.92,"NO ATÍPICO")</f>
        <v>NO ATÍPICO</v>
      </c>
      <c r="L1688">
        <f t="shared" si="120"/>
        <v>165000</v>
      </c>
      <c r="M1688" t="str">
        <f t="shared" si="120"/>
        <v>ASALARIADO</v>
      </c>
      <c r="N1688">
        <f t="shared" si="121"/>
        <v>38</v>
      </c>
      <c r="O1688" s="19" t="str">
        <f t="shared" si="122"/>
        <v>0–300k</v>
      </c>
      <c r="P1688" s="19" t="str">
        <f t="shared" si="123"/>
        <v>36-45</v>
      </c>
    </row>
    <row r="1689" spans="1:16" x14ac:dyDescent="0.25">
      <c r="A1689">
        <v>1688</v>
      </c>
      <c r="B1689" t="s">
        <v>15</v>
      </c>
      <c r="C1689">
        <v>296265.63</v>
      </c>
      <c r="D1689" t="s">
        <v>10</v>
      </c>
      <c r="E1689" t="s">
        <v>16</v>
      </c>
      <c r="F1689" t="s">
        <v>12</v>
      </c>
      <c r="G1689" t="s">
        <v>13</v>
      </c>
      <c r="H1689" t="s">
        <v>12</v>
      </c>
      <c r="I1689">
        <v>38</v>
      </c>
      <c r="J1689" t="str" cm="1">
        <f t="array" ref="J1689">_xlfn.IFS(ISBLANK(C1689),"FALTANTE",ABS((C1689-$W$5)/$X$5)&gt;1.96,"ATÍPICO",ABS((C1689-$W$5)/$X$5)&lt;=1.96,"NO ATÍPICO")</f>
        <v>NO ATÍPICO</v>
      </c>
      <c r="K1689" t="str" cm="1">
        <f t="array" ref="K1689">_xlfn.IFS(ISBLANK(I1689),"FALTANTE",ABS((I1689-$W$8)/$X$8)&gt;1.92,"ATÍPICO",ABS((I1689-$W$8)/$X$8)&lt;=1.92,"NO ATÍPICO")</f>
        <v>NO ATÍPICO</v>
      </c>
      <c r="L1689">
        <f t="shared" si="120"/>
        <v>296265.63</v>
      </c>
      <c r="M1689" t="str">
        <f t="shared" si="120"/>
        <v>ASALARIADO</v>
      </c>
      <c r="N1689">
        <f t="shared" si="121"/>
        <v>38</v>
      </c>
      <c r="O1689" s="19" t="str">
        <f t="shared" si="122"/>
        <v>0–300k</v>
      </c>
      <c r="P1689" s="19" t="str">
        <f t="shared" si="123"/>
        <v>36-45</v>
      </c>
    </row>
    <row r="1690" spans="1:16" x14ac:dyDescent="0.25">
      <c r="A1690">
        <v>1689</v>
      </c>
      <c r="B1690" t="s">
        <v>15</v>
      </c>
      <c r="C1690">
        <v>1766548</v>
      </c>
      <c r="D1690" t="s">
        <v>10</v>
      </c>
      <c r="E1690" t="s">
        <v>16</v>
      </c>
      <c r="F1690" t="s">
        <v>12</v>
      </c>
      <c r="G1690" t="s">
        <v>13</v>
      </c>
      <c r="H1690" t="s">
        <v>13</v>
      </c>
      <c r="I1690">
        <v>32</v>
      </c>
      <c r="J1690" t="str" cm="1">
        <f t="array" ref="J1690">_xlfn.IFS(ISBLANK(C1690),"FALTANTE",ABS((C1690-$W$5)/$X$5)&gt;1.96,"ATÍPICO",ABS((C1690-$W$5)/$X$5)&lt;=1.96,"NO ATÍPICO")</f>
        <v>NO ATÍPICO</v>
      </c>
      <c r="K1690" t="str" cm="1">
        <f t="array" ref="K1690">_xlfn.IFS(ISBLANK(I1690),"FALTANTE",ABS((I1690-$W$8)/$X$8)&gt;1.92,"ATÍPICO",ABS((I1690-$W$8)/$X$8)&lt;=1.92,"NO ATÍPICO")</f>
        <v>NO ATÍPICO</v>
      </c>
      <c r="L1690">
        <f t="shared" si="120"/>
        <v>1766548</v>
      </c>
      <c r="M1690" t="str">
        <f t="shared" si="120"/>
        <v>ASALARIADO</v>
      </c>
      <c r="N1690">
        <f t="shared" si="121"/>
        <v>32</v>
      </c>
      <c r="O1690" s="19" t="str">
        <f t="shared" si="122"/>
        <v>1200k+</v>
      </c>
      <c r="P1690" s="19" t="str">
        <f t="shared" si="123"/>
        <v>26-35</v>
      </c>
    </row>
    <row r="1691" spans="1:16" x14ac:dyDescent="0.25">
      <c r="A1691">
        <v>1690</v>
      </c>
      <c r="B1691" t="s">
        <v>9</v>
      </c>
      <c r="C1691">
        <v>297046</v>
      </c>
      <c r="D1691" t="s">
        <v>17</v>
      </c>
      <c r="E1691" t="s">
        <v>16</v>
      </c>
      <c r="F1691" t="s">
        <v>12</v>
      </c>
      <c r="G1691" t="s">
        <v>13</v>
      </c>
      <c r="H1691" t="s">
        <v>13</v>
      </c>
      <c r="I1691">
        <v>21</v>
      </c>
      <c r="J1691" t="str" cm="1">
        <f t="array" ref="J1691">_xlfn.IFS(ISBLANK(C1691),"FALTANTE",ABS((C1691-$W$5)/$X$5)&gt;1.96,"ATÍPICO",ABS((C1691-$W$5)/$X$5)&lt;=1.96,"NO ATÍPICO")</f>
        <v>NO ATÍPICO</v>
      </c>
      <c r="K1691" t="str" cm="1">
        <f t="array" ref="K1691">_xlfn.IFS(ISBLANK(I1691),"FALTANTE",ABS((I1691-$W$8)/$X$8)&gt;1.92,"ATÍPICO",ABS((I1691-$W$8)/$X$8)&lt;=1.92,"NO ATÍPICO")</f>
        <v>NO ATÍPICO</v>
      </c>
      <c r="L1691">
        <f t="shared" si="120"/>
        <v>297046</v>
      </c>
      <c r="M1691" t="str">
        <f t="shared" si="120"/>
        <v>ASEGURADO VOLUNTARIO</v>
      </c>
      <c r="N1691">
        <f t="shared" si="121"/>
        <v>21</v>
      </c>
      <c r="O1691" s="19" t="str">
        <f t="shared" si="122"/>
        <v>0–300k</v>
      </c>
      <c r="P1691" s="19" t="str">
        <f t="shared" si="123"/>
        <v>18-25</v>
      </c>
    </row>
    <row r="1692" spans="1:16" x14ac:dyDescent="0.25">
      <c r="A1692">
        <v>1691</v>
      </c>
      <c r="B1692" t="s">
        <v>9</v>
      </c>
      <c r="C1692">
        <v>278030</v>
      </c>
      <c r="D1692" t="s">
        <v>19</v>
      </c>
      <c r="E1692" t="s">
        <v>16</v>
      </c>
      <c r="F1692" t="s">
        <v>12</v>
      </c>
      <c r="G1692" t="s">
        <v>13</v>
      </c>
      <c r="H1692" t="s">
        <v>13</v>
      </c>
      <c r="I1692">
        <v>36</v>
      </c>
      <c r="J1692" t="str" cm="1">
        <f t="array" ref="J1692">_xlfn.IFS(ISBLANK(C1692),"FALTANTE",ABS((C1692-$W$5)/$X$5)&gt;1.96,"ATÍPICO",ABS((C1692-$W$5)/$X$5)&lt;=1.96,"NO ATÍPICO")</f>
        <v>NO ATÍPICO</v>
      </c>
      <c r="K1692" t="str" cm="1">
        <f t="array" ref="K1692">_xlfn.IFS(ISBLANK(I1692),"FALTANTE",ABS((I1692-$W$8)/$X$8)&gt;1.92,"ATÍPICO",ABS((I1692-$W$8)/$X$8)&lt;=1.92,"NO ATÍPICO")</f>
        <v>NO ATÍPICO</v>
      </c>
      <c r="L1692">
        <f t="shared" si="120"/>
        <v>278030</v>
      </c>
      <c r="M1692" t="str">
        <f t="shared" si="120"/>
        <v>CONVENIOS ESPECIALES DE TRABAJADORES INDEPENDIENTES</v>
      </c>
      <c r="N1692">
        <f t="shared" si="121"/>
        <v>36</v>
      </c>
      <c r="O1692" s="19" t="str">
        <f t="shared" si="122"/>
        <v>0–300k</v>
      </c>
      <c r="P1692" s="19" t="str">
        <f t="shared" si="123"/>
        <v>36-45</v>
      </c>
    </row>
    <row r="1693" spans="1:16" x14ac:dyDescent="0.25">
      <c r="A1693">
        <v>1692</v>
      </c>
      <c r="B1693" t="s">
        <v>9</v>
      </c>
      <c r="C1693">
        <v>838098</v>
      </c>
      <c r="D1693" t="s">
        <v>10</v>
      </c>
      <c r="E1693" t="s">
        <v>16</v>
      </c>
      <c r="F1693" t="s">
        <v>12</v>
      </c>
      <c r="G1693" t="s">
        <v>13</v>
      </c>
      <c r="H1693" t="s">
        <v>13</v>
      </c>
      <c r="I1693">
        <v>40</v>
      </c>
      <c r="J1693" t="str" cm="1">
        <f t="array" ref="J1693">_xlfn.IFS(ISBLANK(C1693),"FALTANTE",ABS((C1693-$W$5)/$X$5)&gt;1.96,"ATÍPICO",ABS((C1693-$W$5)/$X$5)&lt;=1.96,"NO ATÍPICO")</f>
        <v>NO ATÍPICO</v>
      </c>
      <c r="K1693" t="str" cm="1">
        <f t="array" ref="K1693">_xlfn.IFS(ISBLANK(I1693),"FALTANTE",ABS((I1693-$W$8)/$X$8)&gt;1.92,"ATÍPICO",ABS((I1693-$W$8)/$X$8)&lt;=1.92,"NO ATÍPICO")</f>
        <v>NO ATÍPICO</v>
      </c>
      <c r="L1693">
        <f t="shared" si="120"/>
        <v>838098</v>
      </c>
      <c r="M1693" t="str">
        <f t="shared" si="120"/>
        <v>ASALARIADO</v>
      </c>
      <c r="N1693">
        <f t="shared" si="121"/>
        <v>40</v>
      </c>
      <c r="O1693" s="19" t="str">
        <f t="shared" si="122"/>
        <v>600k–900k</v>
      </c>
      <c r="P1693" s="19" t="str">
        <f t="shared" si="123"/>
        <v>36-45</v>
      </c>
    </row>
    <row r="1694" spans="1:16" x14ac:dyDescent="0.25">
      <c r="A1694">
        <v>1693</v>
      </c>
      <c r="B1694" t="s">
        <v>9</v>
      </c>
      <c r="C1694">
        <v>594092</v>
      </c>
      <c r="D1694" t="s">
        <v>18</v>
      </c>
      <c r="E1694" t="s">
        <v>16</v>
      </c>
      <c r="F1694" t="s">
        <v>12</v>
      </c>
      <c r="G1694" t="s">
        <v>13</v>
      </c>
      <c r="H1694" t="s">
        <v>13</v>
      </c>
      <c r="I1694">
        <v>68</v>
      </c>
      <c r="J1694" t="str" cm="1">
        <f t="array" ref="J1694">_xlfn.IFS(ISBLANK(C1694),"FALTANTE",ABS((C1694-$W$5)/$X$5)&gt;1.96,"ATÍPICO",ABS((C1694-$W$5)/$X$5)&lt;=1.96,"NO ATÍPICO")</f>
        <v>NO ATÍPICO</v>
      </c>
      <c r="K1694" t="str" cm="1">
        <f t="array" ref="K1694">_xlfn.IFS(ISBLANK(I1694),"FALTANTE",ABS((I1694-$W$8)/$X$8)&gt;1.92,"ATÍPICO",ABS((I1694-$W$8)/$X$8)&lt;=1.92,"NO ATÍPICO")</f>
        <v>NO ATÍPICO</v>
      </c>
      <c r="L1694">
        <f t="shared" si="120"/>
        <v>594092</v>
      </c>
      <c r="M1694" t="str">
        <f t="shared" si="120"/>
        <v>TRABAJADOR INDEPENDIENTE</v>
      </c>
      <c r="N1694">
        <f t="shared" si="121"/>
        <v>68</v>
      </c>
      <c r="O1694" s="19" t="str">
        <f t="shared" si="122"/>
        <v>300k–600k</v>
      </c>
      <c r="P1694" s="19" t="str">
        <f t="shared" si="123"/>
        <v>56+</v>
      </c>
    </row>
    <row r="1695" spans="1:16" x14ac:dyDescent="0.25">
      <c r="A1695">
        <v>1694</v>
      </c>
      <c r="B1695" t="s">
        <v>15</v>
      </c>
      <c r="C1695">
        <v>615805.6</v>
      </c>
      <c r="D1695" t="s">
        <v>10</v>
      </c>
      <c r="E1695" t="s">
        <v>16</v>
      </c>
      <c r="F1695" t="s">
        <v>12</v>
      </c>
      <c r="G1695" t="s">
        <v>13</v>
      </c>
      <c r="H1695" t="s">
        <v>13</v>
      </c>
      <c r="I1695">
        <v>29</v>
      </c>
      <c r="J1695" t="str" cm="1">
        <f t="array" ref="J1695">_xlfn.IFS(ISBLANK(C1695),"FALTANTE",ABS((C1695-$W$5)/$X$5)&gt;1.96,"ATÍPICO",ABS((C1695-$W$5)/$X$5)&lt;=1.96,"NO ATÍPICO")</f>
        <v>NO ATÍPICO</v>
      </c>
      <c r="K1695" t="str" cm="1">
        <f t="array" ref="K1695">_xlfn.IFS(ISBLANK(I1695),"FALTANTE",ABS((I1695-$W$8)/$X$8)&gt;1.92,"ATÍPICO",ABS((I1695-$W$8)/$X$8)&lt;=1.92,"NO ATÍPICO")</f>
        <v>NO ATÍPICO</v>
      </c>
      <c r="L1695">
        <f t="shared" si="120"/>
        <v>615805.6</v>
      </c>
      <c r="M1695" t="str">
        <f t="shared" si="120"/>
        <v>ASALARIADO</v>
      </c>
      <c r="N1695">
        <f t="shared" si="121"/>
        <v>29</v>
      </c>
      <c r="O1695" s="19" t="str">
        <f t="shared" si="122"/>
        <v>600k–900k</v>
      </c>
      <c r="P1695" s="19" t="str">
        <f t="shared" si="123"/>
        <v>26-35</v>
      </c>
    </row>
    <row r="1696" spans="1:16" x14ac:dyDescent="0.25">
      <c r="A1696">
        <v>1695</v>
      </c>
      <c r="B1696" t="s">
        <v>9</v>
      </c>
      <c r="C1696">
        <v>625322.5</v>
      </c>
      <c r="D1696" t="s">
        <v>10</v>
      </c>
      <c r="E1696" t="s">
        <v>16</v>
      </c>
      <c r="F1696" t="s">
        <v>12</v>
      </c>
      <c r="G1696" t="s">
        <v>13</v>
      </c>
      <c r="H1696" t="s">
        <v>13</v>
      </c>
      <c r="I1696">
        <v>54</v>
      </c>
      <c r="J1696" t="str" cm="1">
        <f t="array" ref="J1696">_xlfn.IFS(ISBLANK(C1696),"FALTANTE",ABS((C1696-$W$5)/$X$5)&gt;1.96,"ATÍPICO",ABS((C1696-$W$5)/$X$5)&lt;=1.96,"NO ATÍPICO")</f>
        <v>NO ATÍPICO</v>
      </c>
      <c r="K1696" t="str" cm="1">
        <f t="array" ref="K1696">_xlfn.IFS(ISBLANK(I1696),"FALTANTE",ABS((I1696-$W$8)/$X$8)&gt;1.92,"ATÍPICO",ABS((I1696-$W$8)/$X$8)&lt;=1.92,"NO ATÍPICO")</f>
        <v>NO ATÍPICO</v>
      </c>
      <c r="L1696">
        <f t="shared" si="120"/>
        <v>625322.5</v>
      </c>
      <c r="M1696" t="str">
        <f t="shared" si="120"/>
        <v>ASALARIADO</v>
      </c>
      <c r="N1696">
        <f t="shared" si="121"/>
        <v>54</v>
      </c>
      <c r="O1696" s="19" t="str">
        <f t="shared" si="122"/>
        <v>600k–900k</v>
      </c>
      <c r="P1696" s="19" t="str">
        <f t="shared" si="123"/>
        <v>46-55</v>
      </c>
    </row>
    <row r="1697" spans="1:16" x14ac:dyDescent="0.25">
      <c r="A1697">
        <v>1696</v>
      </c>
      <c r="B1697" t="s">
        <v>9</v>
      </c>
      <c r="C1697">
        <v>364086</v>
      </c>
      <c r="D1697" t="s">
        <v>18</v>
      </c>
      <c r="E1697" t="s">
        <v>16</v>
      </c>
      <c r="F1697" t="s">
        <v>12</v>
      </c>
      <c r="G1697" t="s">
        <v>12</v>
      </c>
      <c r="H1697" t="s">
        <v>12</v>
      </c>
      <c r="I1697">
        <v>31</v>
      </c>
      <c r="J1697" t="str" cm="1">
        <f t="array" ref="J1697">_xlfn.IFS(ISBLANK(C1697),"FALTANTE",ABS((C1697-$W$5)/$X$5)&gt;1.96,"ATÍPICO",ABS((C1697-$W$5)/$X$5)&lt;=1.96,"NO ATÍPICO")</f>
        <v>NO ATÍPICO</v>
      </c>
      <c r="K1697" t="str" cm="1">
        <f t="array" ref="K1697">_xlfn.IFS(ISBLANK(I1697),"FALTANTE",ABS((I1697-$W$8)/$X$8)&gt;1.92,"ATÍPICO",ABS((I1697-$W$8)/$X$8)&lt;=1.92,"NO ATÍPICO")</f>
        <v>NO ATÍPICO</v>
      </c>
      <c r="L1697">
        <f t="shared" si="120"/>
        <v>364086</v>
      </c>
      <c r="M1697" t="str">
        <f t="shared" si="120"/>
        <v>TRABAJADOR INDEPENDIENTE</v>
      </c>
      <c r="N1697">
        <f t="shared" si="121"/>
        <v>31</v>
      </c>
      <c r="O1697" s="19" t="str">
        <f t="shared" si="122"/>
        <v>300k–600k</v>
      </c>
      <c r="P1697" s="19" t="str">
        <f t="shared" si="123"/>
        <v>26-35</v>
      </c>
    </row>
    <row r="1698" spans="1:16" x14ac:dyDescent="0.25">
      <c r="A1698">
        <v>1697</v>
      </c>
      <c r="B1698" t="s">
        <v>9</v>
      </c>
      <c r="C1698">
        <v>976390</v>
      </c>
      <c r="D1698" t="s">
        <v>10</v>
      </c>
      <c r="E1698" t="s">
        <v>11</v>
      </c>
      <c r="F1698" t="s">
        <v>12</v>
      </c>
      <c r="G1698" t="s">
        <v>13</v>
      </c>
      <c r="H1698" t="s">
        <v>13</v>
      </c>
      <c r="I1698">
        <v>32</v>
      </c>
      <c r="J1698" t="str" cm="1">
        <f t="array" ref="J1698">_xlfn.IFS(ISBLANK(C1698),"FALTANTE",ABS((C1698-$W$5)/$X$5)&gt;1.96,"ATÍPICO",ABS((C1698-$W$5)/$X$5)&lt;=1.96,"NO ATÍPICO")</f>
        <v>NO ATÍPICO</v>
      </c>
      <c r="K1698" t="str" cm="1">
        <f t="array" ref="K1698">_xlfn.IFS(ISBLANK(I1698),"FALTANTE",ABS((I1698-$W$8)/$X$8)&gt;1.92,"ATÍPICO",ABS((I1698-$W$8)/$X$8)&lt;=1.92,"NO ATÍPICO")</f>
        <v>NO ATÍPICO</v>
      </c>
      <c r="L1698">
        <f t="shared" si="120"/>
        <v>976390</v>
      </c>
      <c r="M1698" t="str">
        <f t="shared" si="120"/>
        <v>ASALARIADO</v>
      </c>
      <c r="N1698">
        <f t="shared" si="121"/>
        <v>32</v>
      </c>
      <c r="O1698" s="19" t="str">
        <f t="shared" si="122"/>
        <v>900k–1200k</v>
      </c>
      <c r="P1698" s="19" t="str">
        <f t="shared" si="123"/>
        <v>26-35</v>
      </c>
    </row>
    <row r="1699" spans="1:16" x14ac:dyDescent="0.25">
      <c r="A1699">
        <v>1698</v>
      </c>
      <c r="B1699" t="s">
        <v>9</v>
      </c>
      <c r="C1699">
        <v>297046</v>
      </c>
      <c r="D1699" t="s">
        <v>17</v>
      </c>
      <c r="E1699" t="s">
        <v>16</v>
      </c>
      <c r="F1699" t="s">
        <v>12</v>
      </c>
      <c r="G1699" t="s">
        <v>13</v>
      </c>
      <c r="H1699" t="s">
        <v>13</v>
      </c>
      <c r="I1699">
        <v>42</v>
      </c>
      <c r="J1699" t="str" cm="1">
        <f t="array" ref="J1699">_xlfn.IFS(ISBLANK(C1699),"FALTANTE",ABS((C1699-$W$5)/$X$5)&gt;1.96,"ATÍPICO",ABS((C1699-$W$5)/$X$5)&lt;=1.96,"NO ATÍPICO")</f>
        <v>NO ATÍPICO</v>
      </c>
      <c r="K1699" t="str" cm="1">
        <f t="array" ref="K1699">_xlfn.IFS(ISBLANK(I1699),"FALTANTE",ABS((I1699-$W$8)/$X$8)&gt;1.92,"ATÍPICO",ABS((I1699-$W$8)/$X$8)&lt;=1.92,"NO ATÍPICO")</f>
        <v>NO ATÍPICO</v>
      </c>
      <c r="L1699">
        <f t="shared" si="120"/>
        <v>297046</v>
      </c>
      <c r="M1699" t="str">
        <f t="shared" si="120"/>
        <v>ASEGURADO VOLUNTARIO</v>
      </c>
      <c r="N1699">
        <f t="shared" si="121"/>
        <v>42</v>
      </c>
      <c r="O1699" s="19" t="str">
        <f t="shared" si="122"/>
        <v>0–300k</v>
      </c>
      <c r="P1699" s="19" t="str">
        <f t="shared" si="123"/>
        <v>36-45</v>
      </c>
    </row>
    <row r="1700" spans="1:16" x14ac:dyDescent="0.25">
      <c r="A1700">
        <v>1699</v>
      </c>
      <c r="B1700" t="s">
        <v>15</v>
      </c>
      <c r="C1700">
        <v>3108698.61</v>
      </c>
      <c r="D1700" t="s">
        <v>10</v>
      </c>
      <c r="E1700" t="s">
        <v>16</v>
      </c>
      <c r="F1700" t="s">
        <v>12</v>
      </c>
      <c r="G1700" t="s">
        <v>13</v>
      </c>
      <c r="H1700" t="s">
        <v>13</v>
      </c>
      <c r="I1700">
        <v>37</v>
      </c>
      <c r="J1700" t="str" cm="1">
        <f t="array" ref="J1700">_xlfn.IFS(ISBLANK(C1700),"FALTANTE",ABS((C1700-$W$5)/$X$5)&gt;1.96,"ATÍPICO",ABS((C1700-$W$5)/$X$5)&lt;=1.96,"NO ATÍPICO")</f>
        <v>ATÍPICO</v>
      </c>
      <c r="K1700" t="str" cm="1">
        <f t="array" ref="K1700">_xlfn.IFS(ISBLANK(I1700),"FALTANTE",ABS((I1700-$W$8)/$X$8)&gt;1.92,"ATÍPICO",ABS((I1700-$W$8)/$X$8)&lt;=1.92,"NO ATÍPICO")</f>
        <v>NO ATÍPICO</v>
      </c>
      <c r="L1700">
        <f t="shared" si="120"/>
        <v>3108698.61</v>
      </c>
      <c r="M1700" t="str">
        <f t="shared" si="120"/>
        <v>ASALARIADO</v>
      </c>
      <c r="N1700">
        <f t="shared" si="121"/>
        <v>37</v>
      </c>
      <c r="O1700" s="19" t="str">
        <f t="shared" si="122"/>
        <v>1200k+</v>
      </c>
      <c r="P1700" s="19" t="str">
        <f t="shared" si="123"/>
        <v>36-45</v>
      </c>
    </row>
    <row r="1701" spans="1:16" x14ac:dyDescent="0.25">
      <c r="A1701">
        <v>1700</v>
      </c>
      <c r="B1701" t="s">
        <v>9</v>
      </c>
      <c r="C1701">
        <v>309927.25</v>
      </c>
      <c r="D1701" t="s">
        <v>10</v>
      </c>
      <c r="E1701" t="s">
        <v>16</v>
      </c>
      <c r="F1701" t="s">
        <v>12</v>
      </c>
      <c r="G1701" t="s">
        <v>13</v>
      </c>
      <c r="H1701" t="s">
        <v>13</v>
      </c>
      <c r="I1701">
        <v>18</v>
      </c>
      <c r="J1701" t="str" cm="1">
        <f t="array" ref="J1701">_xlfn.IFS(ISBLANK(C1701),"FALTANTE",ABS((C1701-$W$5)/$X$5)&gt;1.96,"ATÍPICO",ABS((C1701-$W$5)/$X$5)&lt;=1.96,"NO ATÍPICO")</f>
        <v>NO ATÍPICO</v>
      </c>
      <c r="K1701" t="str" cm="1">
        <f t="array" ref="K1701">_xlfn.IFS(ISBLANK(I1701),"FALTANTE",ABS((I1701-$W$8)/$X$8)&gt;1.92,"ATÍPICO",ABS((I1701-$W$8)/$X$8)&lt;=1.92,"NO ATÍPICO")</f>
        <v>NO ATÍPICO</v>
      </c>
      <c r="L1701">
        <f t="shared" si="120"/>
        <v>309927.25</v>
      </c>
      <c r="M1701" t="str">
        <f t="shared" si="120"/>
        <v>ASALARIADO</v>
      </c>
      <c r="N1701">
        <f t="shared" si="121"/>
        <v>18</v>
      </c>
      <c r="O1701" s="19" t="str">
        <f t="shared" si="122"/>
        <v>300k–600k</v>
      </c>
      <c r="P1701" s="19" t="str">
        <f t="shared" si="123"/>
        <v>18-25</v>
      </c>
    </row>
    <row r="1702" spans="1:16" x14ac:dyDescent="0.25">
      <c r="A1702">
        <v>1701</v>
      </c>
      <c r="B1702" t="s">
        <v>15</v>
      </c>
      <c r="C1702">
        <v>370905</v>
      </c>
      <c r="D1702" t="s">
        <v>10</v>
      </c>
      <c r="E1702" t="s">
        <v>11</v>
      </c>
      <c r="F1702" t="s">
        <v>12</v>
      </c>
      <c r="G1702" t="s">
        <v>13</v>
      </c>
      <c r="H1702" t="s">
        <v>13</v>
      </c>
      <c r="I1702">
        <v>27</v>
      </c>
      <c r="J1702" t="str" cm="1">
        <f t="array" ref="J1702">_xlfn.IFS(ISBLANK(C1702),"FALTANTE",ABS((C1702-$W$5)/$X$5)&gt;1.96,"ATÍPICO",ABS((C1702-$W$5)/$X$5)&lt;=1.96,"NO ATÍPICO")</f>
        <v>NO ATÍPICO</v>
      </c>
      <c r="K1702" t="str" cm="1">
        <f t="array" ref="K1702">_xlfn.IFS(ISBLANK(I1702),"FALTANTE",ABS((I1702-$W$8)/$X$8)&gt;1.92,"ATÍPICO",ABS((I1702-$W$8)/$X$8)&lt;=1.92,"NO ATÍPICO")</f>
        <v>NO ATÍPICO</v>
      </c>
      <c r="L1702">
        <f t="shared" si="120"/>
        <v>370905</v>
      </c>
      <c r="M1702" t="str">
        <f t="shared" si="120"/>
        <v>ASALARIADO</v>
      </c>
      <c r="N1702">
        <f t="shared" si="121"/>
        <v>27</v>
      </c>
      <c r="O1702" s="19" t="str">
        <f t="shared" si="122"/>
        <v>300k–600k</v>
      </c>
      <c r="P1702" s="19" t="str">
        <f t="shared" si="123"/>
        <v>26-35</v>
      </c>
    </row>
    <row r="1703" spans="1:16" x14ac:dyDescent="0.25">
      <c r="A1703">
        <v>1702</v>
      </c>
      <c r="B1703" t="s">
        <v>9</v>
      </c>
      <c r="C1703">
        <v>352000</v>
      </c>
      <c r="D1703" t="s">
        <v>10</v>
      </c>
      <c r="E1703" t="s">
        <v>16</v>
      </c>
      <c r="F1703" t="s">
        <v>12</v>
      </c>
      <c r="G1703" t="s">
        <v>13</v>
      </c>
      <c r="H1703" t="s">
        <v>13</v>
      </c>
      <c r="I1703">
        <v>28</v>
      </c>
      <c r="J1703" t="str" cm="1">
        <f t="array" ref="J1703">_xlfn.IFS(ISBLANK(C1703),"FALTANTE",ABS((C1703-$W$5)/$X$5)&gt;1.96,"ATÍPICO",ABS((C1703-$W$5)/$X$5)&lt;=1.96,"NO ATÍPICO")</f>
        <v>NO ATÍPICO</v>
      </c>
      <c r="K1703" t="str" cm="1">
        <f t="array" ref="K1703">_xlfn.IFS(ISBLANK(I1703),"FALTANTE",ABS((I1703-$W$8)/$X$8)&gt;1.92,"ATÍPICO",ABS((I1703-$W$8)/$X$8)&lt;=1.92,"NO ATÍPICO")</f>
        <v>NO ATÍPICO</v>
      </c>
      <c r="L1703">
        <f t="shared" si="120"/>
        <v>352000</v>
      </c>
      <c r="M1703" t="str">
        <f t="shared" si="120"/>
        <v>ASALARIADO</v>
      </c>
      <c r="N1703">
        <f t="shared" si="121"/>
        <v>28</v>
      </c>
      <c r="O1703" s="19" t="str">
        <f t="shared" si="122"/>
        <v>300k–600k</v>
      </c>
      <c r="P1703" s="19" t="str">
        <f t="shared" si="123"/>
        <v>26-35</v>
      </c>
    </row>
    <row r="1704" spans="1:16" x14ac:dyDescent="0.25">
      <c r="A1704">
        <v>1703</v>
      </c>
      <c r="B1704" t="s">
        <v>9</v>
      </c>
      <c r="C1704">
        <v>390899.95</v>
      </c>
      <c r="D1704" t="s">
        <v>10</v>
      </c>
      <c r="E1704" t="s">
        <v>16</v>
      </c>
      <c r="F1704" t="s">
        <v>12</v>
      </c>
      <c r="G1704" t="s">
        <v>13</v>
      </c>
      <c r="H1704" t="s">
        <v>13</v>
      </c>
      <c r="I1704">
        <v>61</v>
      </c>
      <c r="J1704" t="str" cm="1">
        <f t="array" ref="J1704">_xlfn.IFS(ISBLANK(C1704),"FALTANTE",ABS((C1704-$W$5)/$X$5)&gt;1.96,"ATÍPICO",ABS((C1704-$W$5)/$X$5)&lt;=1.96,"NO ATÍPICO")</f>
        <v>NO ATÍPICO</v>
      </c>
      <c r="K1704" t="str" cm="1">
        <f t="array" ref="K1704">_xlfn.IFS(ISBLANK(I1704),"FALTANTE",ABS((I1704-$W$8)/$X$8)&gt;1.92,"ATÍPICO",ABS((I1704-$W$8)/$X$8)&lt;=1.92,"NO ATÍPICO")</f>
        <v>NO ATÍPICO</v>
      </c>
      <c r="L1704">
        <f t="shared" si="120"/>
        <v>390899.95</v>
      </c>
      <c r="M1704" t="str">
        <f t="shared" si="120"/>
        <v>ASALARIADO</v>
      </c>
      <c r="N1704">
        <f t="shared" si="121"/>
        <v>61</v>
      </c>
      <c r="O1704" s="19" t="str">
        <f t="shared" si="122"/>
        <v>300k–600k</v>
      </c>
      <c r="P1704" s="19" t="str">
        <f t="shared" si="123"/>
        <v>56+</v>
      </c>
    </row>
    <row r="1705" spans="1:16" x14ac:dyDescent="0.25">
      <c r="A1705">
        <v>1704</v>
      </c>
      <c r="B1705" t="s">
        <v>15</v>
      </c>
      <c r="C1705">
        <v>460692.92</v>
      </c>
      <c r="D1705" t="s">
        <v>10</v>
      </c>
      <c r="E1705" t="s">
        <v>16</v>
      </c>
      <c r="F1705" t="s">
        <v>12</v>
      </c>
      <c r="G1705" t="s">
        <v>13</v>
      </c>
      <c r="H1705" t="s">
        <v>13</v>
      </c>
      <c r="I1705">
        <v>22</v>
      </c>
      <c r="J1705" t="str" cm="1">
        <f t="array" ref="J1705">_xlfn.IFS(ISBLANK(C1705),"FALTANTE",ABS((C1705-$W$5)/$X$5)&gt;1.96,"ATÍPICO",ABS((C1705-$W$5)/$X$5)&lt;=1.96,"NO ATÍPICO")</f>
        <v>NO ATÍPICO</v>
      </c>
      <c r="K1705" t="str" cm="1">
        <f t="array" ref="K1705">_xlfn.IFS(ISBLANK(I1705),"FALTANTE",ABS((I1705-$W$8)/$X$8)&gt;1.92,"ATÍPICO",ABS((I1705-$W$8)/$X$8)&lt;=1.92,"NO ATÍPICO")</f>
        <v>NO ATÍPICO</v>
      </c>
      <c r="L1705">
        <f t="shared" si="120"/>
        <v>460692.92</v>
      </c>
      <c r="M1705" t="str">
        <f t="shared" si="120"/>
        <v>ASALARIADO</v>
      </c>
      <c r="N1705">
        <f t="shared" si="121"/>
        <v>22</v>
      </c>
      <c r="O1705" s="19" t="str">
        <f t="shared" si="122"/>
        <v>300k–600k</v>
      </c>
      <c r="P1705" s="19" t="str">
        <f t="shared" si="123"/>
        <v>18-25</v>
      </c>
    </row>
    <row r="1706" spans="1:16" x14ac:dyDescent="0.25">
      <c r="A1706">
        <v>1705</v>
      </c>
      <c r="B1706" t="s">
        <v>15</v>
      </c>
      <c r="C1706">
        <v>484267.8</v>
      </c>
      <c r="D1706" t="s">
        <v>14</v>
      </c>
      <c r="E1706" t="s">
        <v>11</v>
      </c>
      <c r="F1706" t="s">
        <v>12</v>
      </c>
      <c r="G1706" t="s">
        <v>13</v>
      </c>
      <c r="H1706" t="s">
        <v>13</v>
      </c>
      <c r="I1706">
        <v>84</v>
      </c>
      <c r="J1706" t="str" cm="1">
        <f t="array" ref="J1706">_xlfn.IFS(ISBLANK(C1706),"FALTANTE",ABS((C1706-$W$5)/$X$5)&gt;1.96,"ATÍPICO",ABS((C1706-$W$5)/$X$5)&lt;=1.96,"NO ATÍPICO")</f>
        <v>NO ATÍPICO</v>
      </c>
      <c r="K1706" t="str" cm="1">
        <f t="array" ref="K1706">_xlfn.IFS(ISBLANK(I1706),"FALTANTE",ABS((I1706-$W$8)/$X$8)&gt;1.92,"ATÍPICO",ABS((I1706-$W$8)/$X$8)&lt;=1.92,"NO ATÍPICO")</f>
        <v>ATÍPICO</v>
      </c>
      <c r="L1706">
        <f t="shared" si="120"/>
        <v>484267.8</v>
      </c>
      <c r="M1706" t="str">
        <f t="shared" si="120"/>
        <v>PENSIONADOS EN SU PROPIO SISTEMA</v>
      </c>
      <c r="N1706">
        <f t="shared" si="121"/>
        <v>84</v>
      </c>
      <c r="O1706" s="19" t="str">
        <f t="shared" si="122"/>
        <v>300k–600k</v>
      </c>
      <c r="P1706" s="19" t="str">
        <f t="shared" si="123"/>
        <v>56+</v>
      </c>
    </row>
    <row r="1707" spans="1:16" x14ac:dyDescent="0.25">
      <c r="A1707">
        <v>1706</v>
      </c>
      <c r="B1707" t="s">
        <v>9</v>
      </c>
      <c r="C1707">
        <v>724116.7</v>
      </c>
      <c r="D1707" t="s">
        <v>10</v>
      </c>
      <c r="E1707" t="s">
        <v>11</v>
      </c>
      <c r="F1707" t="s">
        <v>12</v>
      </c>
      <c r="G1707" t="s">
        <v>13</v>
      </c>
      <c r="H1707" t="s">
        <v>13</v>
      </c>
      <c r="I1707">
        <v>56</v>
      </c>
      <c r="J1707" t="str" cm="1">
        <f t="array" ref="J1707">_xlfn.IFS(ISBLANK(C1707),"FALTANTE",ABS((C1707-$W$5)/$X$5)&gt;1.96,"ATÍPICO",ABS((C1707-$W$5)/$X$5)&lt;=1.96,"NO ATÍPICO")</f>
        <v>NO ATÍPICO</v>
      </c>
      <c r="K1707" t="str" cm="1">
        <f t="array" ref="K1707">_xlfn.IFS(ISBLANK(I1707),"FALTANTE",ABS((I1707-$W$8)/$X$8)&gt;1.92,"ATÍPICO",ABS((I1707-$W$8)/$X$8)&lt;=1.92,"NO ATÍPICO")</f>
        <v>NO ATÍPICO</v>
      </c>
      <c r="L1707">
        <f t="shared" si="120"/>
        <v>724116.7</v>
      </c>
      <c r="M1707" t="str">
        <f t="shared" si="120"/>
        <v>ASALARIADO</v>
      </c>
      <c r="N1707">
        <f t="shared" si="121"/>
        <v>56</v>
      </c>
      <c r="O1707" s="19" t="str">
        <f t="shared" si="122"/>
        <v>600k–900k</v>
      </c>
      <c r="P1707" s="19" t="str">
        <f t="shared" si="123"/>
        <v>56+</v>
      </c>
    </row>
    <row r="1708" spans="1:16" x14ac:dyDescent="0.25">
      <c r="A1708">
        <v>1707</v>
      </c>
      <c r="B1708" t="s">
        <v>9</v>
      </c>
      <c r="C1708">
        <v>620713</v>
      </c>
      <c r="D1708" t="s">
        <v>18</v>
      </c>
      <c r="E1708" t="s">
        <v>16</v>
      </c>
      <c r="F1708" t="s">
        <v>12</v>
      </c>
      <c r="G1708" t="s">
        <v>13</v>
      </c>
      <c r="H1708" t="s">
        <v>12</v>
      </c>
      <c r="I1708">
        <v>43</v>
      </c>
      <c r="J1708" t="str" cm="1">
        <f t="array" ref="J1708">_xlfn.IFS(ISBLANK(C1708),"FALTANTE",ABS((C1708-$W$5)/$X$5)&gt;1.96,"ATÍPICO",ABS((C1708-$W$5)/$X$5)&lt;=1.96,"NO ATÍPICO")</f>
        <v>NO ATÍPICO</v>
      </c>
      <c r="K1708" t="str" cm="1">
        <f t="array" ref="K1708">_xlfn.IFS(ISBLANK(I1708),"FALTANTE",ABS((I1708-$W$8)/$X$8)&gt;1.92,"ATÍPICO",ABS((I1708-$W$8)/$X$8)&lt;=1.92,"NO ATÍPICO")</f>
        <v>NO ATÍPICO</v>
      </c>
      <c r="L1708">
        <f t="shared" si="120"/>
        <v>620713</v>
      </c>
      <c r="M1708" t="str">
        <f t="shared" si="120"/>
        <v>TRABAJADOR INDEPENDIENTE</v>
      </c>
      <c r="N1708">
        <f t="shared" si="121"/>
        <v>43</v>
      </c>
      <c r="O1708" s="19" t="str">
        <f t="shared" si="122"/>
        <v>600k–900k</v>
      </c>
      <c r="P1708" s="19" t="str">
        <f t="shared" si="123"/>
        <v>36-45</v>
      </c>
    </row>
    <row r="1709" spans="1:16" x14ac:dyDescent="0.25">
      <c r="A1709">
        <v>1708</v>
      </c>
      <c r="B1709" t="s">
        <v>9</v>
      </c>
      <c r="C1709">
        <v>297044</v>
      </c>
      <c r="D1709" t="s">
        <v>10</v>
      </c>
      <c r="E1709" t="s">
        <v>16</v>
      </c>
      <c r="F1709" t="s">
        <v>12</v>
      </c>
      <c r="G1709" t="s">
        <v>13</v>
      </c>
      <c r="H1709" t="s">
        <v>13</v>
      </c>
      <c r="I1709">
        <v>28</v>
      </c>
      <c r="J1709" t="str" cm="1">
        <f t="array" ref="J1709">_xlfn.IFS(ISBLANK(C1709),"FALTANTE",ABS((C1709-$W$5)/$X$5)&gt;1.96,"ATÍPICO",ABS((C1709-$W$5)/$X$5)&lt;=1.96,"NO ATÍPICO")</f>
        <v>NO ATÍPICO</v>
      </c>
      <c r="K1709" t="str" cm="1">
        <f t="array" ref="K1709">_xlfn.IFS(ISBLANK(I1709),"FALTANTE",ABS((I1709-$W$8)/$X$8)&gt;1.92,"ATÍPICO",ABS((I1709-$W$8)/$X$8)&lt;=1.92,"NO ATÍPICO")</f>
        <v>NO ATÍPICO</v>
      </c>
      <c r="L1709">
        <f t="shared" si="120"/>
        <v>297044</v>
      </c>
      <c r="M1709" t="str">
        <f t="shared" si="120"/>
        <v>ASALARIADO</v>
      </c>
      <c r="N1709">
        <f t="shared" si="121"/>
        <v>28</v>
      </c>
      <c r="O1709" s="19" t="str">
        <f t="shared" si="122"/>
        <v>0–300k</v>
      </c>
      <c r="P1709" s="19" t="str">
        <f t="shared" si="123"/>
        <v>26-35</v>
      </c>
    </row>
    <row r="1710" spans="1:16" x14ac:dyDescent="0.25">
      <c r="A1710">
        <v>1709</v>
      </c>
      <c r="B1710" t="s">
        <v>9</v>
      </c>
      <c r="C1710">
        <v>170439.67999999999</v>
      </c>
      <c r="D1710" t="s">
        <v>10</v>
      </c>
      <c r="E1710" t="s">
        <v>16</v>
      </c>
      <c r="F1710" t="s">
        <v>12</v>
      </c>
      <c r="G1710" t="s">
        <v>13</v>
      </c>
      <c r="H1710" t="s">
        <v>12</v>
      </c>
      <c r="I1710">
        <v>24</v>
      </c>
      <c r="J1710" t="str" cm="1">
        <f t="array" ref="J1710">_xlfn.IFS(ISBLANK(C1710),"FALTANTE",ABS((C1710-$W$5)/$X$5)&gt;1.96,"ATÍPICO",ABS((C1710-$W$5)/$X$5)&lt;=1.96,"NO ATÍPICO")</f>
        <v>NO ATÍPICO</v>
      </c>
      <c r="K1710" t="str" cm="1">
        <f t="array" ref="K1710">_xlfn.IFS(ISBLANK(I1710),"FALTANTE",ABS((I1710-$W$8)/$X$8)&gt;1.92,"ATÍPICO",ABS((I1710-$W$8)/$X$8)&lt;=1.92,"NO ATÍPICO")</f>
        <v>NO ATÍPICO</v>
      </c>
      <c r="L1710">
        <f t="shared" si="120"/>
        <v>170439.67999999999</v>
      </c>
      <c r="M1710" t="str">
        <f t="shared" si="120"/>
        <v>ASALARIADO</v>
      </c>
      <c r="N1710">
        <f t="shared" si="121"/>
        <v>24</v>
      </c>
      <c r="O1710" s="19" t="str">
        <f t="shared" si="122"/>
        <v>0–300k</v>
      </c>
      <c r="P1710" s="19" t="str">
        <f t="shared" si="123"/>
        <v>18-25</v>
      </c>
    </row>
    <row r="1711" spans="1:16" x14ac:dyDescent="0.25">
      <c r="A1711">
        <v>1710</v>
      </c>
      <c r="B1711" t="s">
        <v>9</v>
      </c>
      <c r="C1711">
        <v>94935</v>
      </c>
      <c r="D1711" t="s">
        <v>10</v>
      </c>
      <c r="E1711" t="s">
        <v>16</v>
      </c>
      <c r="F1711" t="s">
        <v>12</v>
      </c>
      <c r="G1711" t="s">
        <v>13</v>
      </c>
      <c r="H1711" t="s">
        <v>13</v>
      </c>
      <c r="I1711">
        <v>24</v>
      </c>
      <c r="J1711" t="str" cm="1">
        <f t="array" ref="J1711">_xlfn.IFS(ISBLANK(C1711),"FALTANTE",ABS((C1711-$W$5)/$X$5)&gt;1.96,"ATÍPICO",ABS((C1711-$W$5)/$X$5)&lt;=1.96,"NO ATÍPICO")</f>
        <v>NO ATÍPICO</v>
      </c>
      <c r="K1711" t="str" cm="1">
        <f t="array" ref="K1711">_xlfn.IFS(ISBLANK(I1711),"FALTANTE",ABS((I1711-$W$8)/$X$8)&gt;1.92,"ATÍPICO",ABS((I1711-$W$8)/$X$8)&lt;=1.92,"NO ATÍPICO")</f>
        <v>NO ATÍPICO</v>
      </c>
      <c r="L1711">
        <f t="shared" si="120"/>
        <v>94935</v>
      </c>
      <c r="M1711" t="str">
        <f t="shared" si="120"/>
        <v>ASALARIADO</v>
      </c>
      <c r="N1711">
        <f t="shared" si="121"/>
        <v>24</v>
      </c>
      <c r="O1711" s="19" t="str">
        <f t="shared" si="122"/>
        <v>0–300k</v>
      </c>
      <c r="P1711" s="19" t="str">
        <f t="shared" si="123"/>
        <v>18-25</v>
      </c>
    </row>
    <row r="1712" spans="1:16" x14ac:dyDescent="0.25">
      <c r="A1712">
        <v>1711</v>
      </c>
      <c r="B1712" t="s">
        <v>15</v>
      </c>
      <c r="C1712">
        <v>374966.22</v>
      </c>
      <c r="D1712" t="s">
        <v>14</v>
      </c>
      <c r="E1712" t="s">
        <v>11</v>
      </c>
      <c r="F1712" t="s">
        <v>12</v>
      </c>
      <c r="G1712" t="s">
        <v>13</v>
      </c>
      <c r="H1712" t="s">
        <v>13</v>
      </c>
      <c r="I1712">
        <v>85</v>
      </c>
      <c r="J1712" t="str" cm="1">
        <f t="array" ref="J1712">_xlfn.IFS(ISBLANK(C1712),"FALTANTE",ABS((C1712-$W$5)/$X$5)&gt;1.96,"ATÍPICO",ABS((C1712-$W$5)/$X$5)&lt;=1.96,"NO ATÍPICO")</f>
        <v>NO ATÍPICO</v>
      </c>
      <c r="K1712" t="str" cm="1">
        <f t="array" ref="K1712">_xlfn.IFS(ISBLANK(I1712),"FALTANTE",ABS((I1712-$W$8)/$X$8)&gt;1.92,"ATÍPICO",ABS((I1712-$W$8)/$X$8)&lt;=1.92,"NO ATÍPICO")</f>
        <v>ATÍPICO</v>
      </c>
      <c r="L1712">
        <f t="shared" si="120"/>
        <v>374966.22</v>
      </c>
      <c r="M1712" t="str">
        <f t="shared" si="120"/>
        <v>PENSIONADOS EN SU PROPIO SISTEMA</v>
      </c>
      <c r="N1712">
        <f t="shared" si="121"/>
        <v>85</v>
      </c>
      <c r="O1712" s="19" t="str">
        <f t="shared" si="122"/>
        <v>300k–600k</v>
      </c>
      <c r="P1712" s="19" t="str">
        <f t="shared" si="123"/>
        <v>56+</v>
      </c>
    </row>
    <row r="1713" spans="1:16" x14ac:dyDescent="0.25">
      <c r="A1713">
        <v>1712</v>
      </c>
      <c r="B1713" t="s">
        <v>15</v>
      </c>
      <c r="C1713">
        <v>787800</v>
      </c>
      <c r="D1713" t="s">
        <v>10</v>
      </c>
      <c r="E1713" t="s">
        <v>16</v>
      </c>
      <c r="F1713" t="s">
        <v>12</v>
      </c>
      <c r="G1713" t="s">
        <v>13</v>
      </c>
      <c r="H1713" t="s">
        <v>12</v>
      </c>
      <c r="I1713">
        <v>29</v>
      </c>
      <c r="J1713" t="str" cm="1">
        <f t="array" ref="J1713">_xlfn.IFS(ISBLANK(C1713),"FALTANTE",ABS((C1713-$W$5)/$X$5)&gt;1.96,"ATÍPICO",ABS((C1713-$W$5)/$X$5)&lt;=1.96,"NO ATÍPICO")</f>
        <v>NO ATÍPICO</v>
      </c>
      <c r="K1713" t="str" cm="1">
        <f t="array" ref="K1713">_xlfn.IFS(ISBLANK(I1713),"FALTANTE",ABS((I1713-$W$8)/$X$8)&gt;1.92,"ATÍPICO",ABS((I1713-$W$8)/$X$8)&lt;=1.92,"NO ATÍPICO")</f>
        <v>NO ATÍPICO</v>
      </c>
      <c r="L1713">
        <f t="shared" si="120"/>
        <v>787800</v>
      </c>
      <c r="M1713" t="str">
        <f t="shared" si="120"/>
        <v>ASALARIADO</v>
      </c>
      <c r="N1713">
        <f t="shared" si="121"/>
        <v>29</v>
      </c>
      <c r="O1713" s="19" t="str">
        <f t="shared" si="122"/>
        <v>600k–900k</v>
      </c>
      <c r="P1713" s="19" t="str">
        <f t="shared" si="123"/>
        <v>26-35</v>
      </c>
    </row>
    <row r="1714" spans="1:16" x14ac:dyDescent="0.25">
      <c r="A1714">
        <v>1713</v>
      </c>
      <c r="B1714" t="s">
        <v>15</v>
      </c>
      <c r="C1714">
        <v>1292205.2</v>
      </c>
      <c r="D1714" t="s">
        <v>10</v>
      </c>
      <c r="E1714" t="s">
        <v>11</v>
      </c>
      <c r="F1714" t="s">
        <v>12</v>
      </c>
      <c r="G1714" t="s">
        <v>13</v>
      </c>
      <c r="H1714" t="s">
        <v>13</v>
      </c>
      <c r="I1714">
        <v>50</v>
      </c>
      <c r="J1714" t="str" cm="1">
        <f t="array" ref="J1714">_xlfn.IFS(ISBLANK(C1714),"FALTANTE",ABS((C1714-$W$5)/$X$5)&gt;1.96,"ATÍPICO",ABS((C1714-$W$5)/$X$5)&lt;=1.96,"NO ATÍPICO")</f>
        <v>NO ATÍPICO</v>
      </c>
      <c r="K1714" t="str" cm="1">
        <f t="array" ref="K1714">_xlfn.IFS(ISBLANK(I1714),"FALTANTE",ABS((I1714-$W$8)/$X$8)&gt;1.92,"ATÍPICO",ABS((I1714-$W$8)/$X$8)&lt;=1.92,"NO ATÍPICO")</f>
        <v>NO ATÍPICO</v>
      </c>
      <c r="L1714">
        <f t="shared" si="120"/>
        <v>1292205.2</v>
      </c>
      <c r="M1714" t="str">
        <f t="shared" si="120"/>
        <v>ASALARIADO</v>
      </c>
      <c r="N1714">
        <f t="shared" si="121"/>
        <v>50</v>
      </c>
      <c r="O1714" s="19" t="str">
        <f t="shared" si="122"/>
        <v>1200k+</v>
      </c>
      <c r="P1714" s="19" t="str">
        <f t="shared" si="123"/>
        <v>46-55</v>
      </c>
    </row>
    <row r="1715" spans="1:16" x14ac:dyDescent="0.25">
      <c r="A1715">
        <v>1714</v>
      </c>
      <c r="B1715" t="s">
        <v>15</v>
      </c>
      <c r="C1715">
        <v>278030.99</v>
      </c>
      <c r="D1715" t="s">
        <v>19</v>
      </c>
      <c r="E1715" t="s">
        <v>16</v>
      </c>
      <c r="F1715" t="s">
        <v>12</v>
      </c>
      <c r="G1715" t="s">
        <v>13</v>
      </c>
      <c r="H1715" t="s">
        <v>13</v>
      </c>
      <c r="I1715">
        <v>44</v>
      </c>
      <c r="J1715" t="str" cm="1">
        <f t="array" ref="J1715">_xlfn.IFS(ISBLANK(C1715),"FALTANTE",ABS((C1715-$W$5)/$X$5)&gt;1.96,"ATÍPICO",ABS((C1715-$W$5)/$X$5)&lt;=1.96,"NO ATÍPICO")</f>
        <v>NO ATÍPICO</v>
      </c>
      <c r="K1715" t="str" cm="1">
        <f t="array" ref="K1715">_xlfn.IFS(ISBLANK(I1715),"FALTANTE",ABS((I1715-$W$8)/$X$8)&gt;1.92,"ATÍPICO",ABS((I1715-$W$8)/$X$8)&lt;=1.92,"NO ATÍPICO")</f>
        <v>NO ATÍPICO</v>
      </c>
      <c r="L1715">
        <f t="shared" si="120"/>
        <v>278030.99</v>
      </c>
      <c r="M1715" t="str">
        <f t="shared" si="120"/>
        <v>CONVENIOS ESPECIALES DE TRABAJADORES INDEPENDIENTES</v>
      </c>
      <c r="N1715">
        <f t="shared" si="121"/>
        <v>44</v>
      </c>
      <c r="O1715" s="19" t="str">
        <f t="shared" si="122"/>
        <v>0–300k</v>
      </c>
      <c r="P1715" s="19" t="str">
        <f t="shared" si="123"/>
        <v>36-45</v>
      </c>
    </row>
    <row r="1716" spans="1:16" x14ac:dyDescent="0.25">
      <c r="A1716">
        <v>1715</v>
      </c>
      <c r="B1716" t="s">
        <v>9</v>
      </c>
      <c r="C1716">
        <v>513333</v>
      </c>
      <c r="D1716" t="s">
        <v>10</v>
      </c>
      <c r="E1716" t="s">
        <v>16</v>
      </c>
      <c r="F1716" t="s">
        <v>12</v>
      </c>
      <c r="G1716" t="s">
        <v>13</v>
      </c>
      <c r="H1716" t="s">
        <v>13</v>
      </c>
      <c r="I1716">
        <v>55</v>
      </c>
      <c r="J1716" t="str" cm="1">
        <f t="array" ref="J1716">_xlfn.IFS(ISBLANK(C1716),"FALTANTE",ABS((C1716-$W$5)/$X$5)&gt;1.96,"ATÍPICO",ABS((C1716-$W$5)/$X$5)&lt;=1.96,"NO ATÍPICO")</f>
        <v>NO ATÍPICO</v>
      </c>
      <c r="K1716" t="str" cm="1">
        <f t="array" ref="K1716">_xlfn.IFS(ISBLANK(I1716),"FALTANTE",ABS((I1716-$W$8)/$X$8)&gt;1.92,"ATÍPICO",ABS((I1716-$W$8)/$X$8)&lt;=1.92,"NO ATÍPICO")</f>
        <v>NO ATÍPICO</v>
      </c>
      <c r="L1716">
        <f t="shared" si="120"/>
        <v>513333</v>
      </c>
      <c r="M1716" t="str">
        <f t="shared" si="120"/>
        <v>ASALARIADO</v>
      </c>
      <c r="N1716">
        <f t="shared" si="121"/>
        <v>55</v>
      </c>
      <c r="O1716" s="19" t="str">
        <f t="shared" si="122"/>
        <v>300k–600k</v>
      </c>
      <c r="P1716" s="19" t="str">
        <f t="shared" si="123"/>
        <v>46-55</v>
      </c>
    </row>
    <row r="1717" spans="1:16" x14ac:dyDescent="0.25">
      <c r="A1717">
        <v>1716</v>
      </c>
      <c r="B1717" t="s">
        <v>9</v>
      </c>
      <c r="C1717">
        <v>703205</v>
      </c>
      <c r="D1717" t="s">
        <v>14</v>
      </c>
      <c r="E1717" t="s">
        <v>11</v>
      </c>
      <c r="F1717" t="s">
        <v>12</v>
      </c>
      <c r="G1717" t="s">
        <v>13</v>
      </c>
      <c r="H1717" t="s">
        <v>13</v>
      </c>
      <c r="I1717">
        <v>81</v>
      </c>
      <c r="J1717" t="str" cm="1">
        <f t="array" ref="J1717">_xlfn.IFS(ISBLANK(C1717),"FALTANTE",ABS((C1717-$W$5)/$X$5)&gt;1.96,"ATÍPICO",ABS((C1717-$W$5)/$X$5)&lt;=1.96,"NO ATÍPICO")</f>
        <v>NO ATÍPICO</v>
      </c>
      <c r="K1717" t="str" cm="1">
        <f t="array" ref="K1717">_xlfn.IFS(ISBLANK(I1717),"FALTANTE",ABS((I1717-$W$8)/$X$8)&gt;1.92,"ATÍPICO",ABS((I1717-$W$8)/$X$8)&lt;=1.92,"NO ATÍPICO")</f>
        <v>ATÍPICO</v>
      </c>
      <c r="L1717">
        <f t="shared" si="120"/>
        <v>703205</v>
      </c>
      <c r="M1717" t="str">
        <f t="shared" si="120"/>
        <v>PENSIONADOS EN SU PROPIO SISTEMA</v>
      </c>
      <c r="N1717">
        <f t="shared" si="121"/>
        <v>81</v>
      </c>
      <c r="O1717" s="19" t="str">
        <f t="shared" si="122"/>
        <v>600k–900k</v>
      </c>
      <c r="P1717" s="19" t="str">
        <f t="shared" si="123"/>
        <v>56+</v>
      </c>
    </row>
    <row r="1718" spans="1:16" x14ac:dyDescent="0.25">
      <c r="A1718">
        <v>1717</v>
      </c>
      <c r="B1718" t="s">
        <v>9</v>
      </c>
      <c r="C1718">
        <v>300018</v>
      </c>
      <c r="D1718" t="s">
        <v>18</v>
      </c>
      <c r="E1718" t="s">
        <v>16</v>
      </c>
      <c r="F1718" t="s">
        <v>12</v>
      </c>
      <c r="G1718" t="s">
        <v>13</v>
      </c>
      <c r="H1718" t="s">
        <v>13</v>
      </c>
      <c r="I1718">
        <v>32</v>
      </c>
      <c r="J1718" t="str" cm="1">
        <f t="array" ref="J1718">_xlfn.IFS(ISBLANK(C1718),"FALTANTE",ABS((C1718-$W$5)/$X$5)&gt;1.96,"ATÍPICO",ABS((C1718-$W$5)/$X$5)&lt;=1.96,"NO ATÍPICO")</f>
        <v>NO ATÍPICO</v>
      </c>
      <c r="K1718" t="str" cm="1">
        <f t="array" ref="K1718">_xlfn.IFS(ISBLANK(I1718),"FALTANTE",ABS((I1718-$W$8)/$X$8)&gt;1.92,"ATÍPICO",ABS((I1718-$W$8)/$X$8)&lt;=1.92,"NO ATÍPICO")</f>
        <v>NO ATÍPICO</v>
      </c>
      <c r="L1718">
        <f t="shared" si="120"/>
        <v>300018</v>
      </c>
      <c r="M1718" t="str">
        <f t="shared" si="120"/>
        <v>TRABAJADOR INDEPENDIENTE</v>
      </c>
      <c r="N1718">
        <f t="shared" si="121"/>
        <v>32</v>
      </c>
      <c r="O1718" s="19" t="str">
        <f t="shared" si="122"/>
        <v>300k–600k</v>
      </c>
      <c r="P1718" s="19" t="str">
        <f t="shared" si="123"/>
        <v>26-35</v>
      </c>
    </row>
    <row r="1719" spans="1:16" x14ac:dyDescent="0.25">
      <c r="A1719">
        <v>1718</v>
      </c>
      <c r="B1719" t="s">
        <v>9</v>
      </c>
      <c r="C1719">
        <v>611625</v>
      </c>
      <c r="D1719" t="s">
        <v>10</v>
      </c>
      <c r="E1719" t="s">
        <v>16</v>
      </c>
      <c r="F1719" t="s">
        <v>12</v>
      </c>
      <c r="G1719" t="s">
        <v>13</v>
      </c>
      <c r="H1719" t="s">
        <v>13</v>
      </c>
      <c r="I1719">
        <v>41</v>
      </c>
      <c r="J1719" t="str" cm="1">
        <f t="array" ref="J1719">_xlfn.IFS(ISBLANK(C1719),"FALTANTE",ABS((C1719-$W$5)/$X$5)&gt;1.96,"ATÍPICO",ABS((C1719-$W$5)/$X$5)&lt;=1.96,"NO ATÍPICO")</f>
        <v>NO ATÍPICO</v>
      </c>
      <c r="K1719" t="str" cm="1">
        <f t="array" ref="K1719">_xlfn.IFS(ISBLANK(I1719),"FALTANTE",ABS((I1719-$W$8)/$X$8)&gt;1.92,"ATÍPICO",ABS((I1719-$W$8)/$X$8)&lt;=1.92,"NO ATÍPICO")</f>
        <v>NO ATÍPICO</v>
      </c>
      <c r="L1719">
        <f t="shared" si="120"/>
        <v>611625</v>
      </c>
      <c r="M1719" t="str">
        <f t="shared" si="120"/>
        <v>ASALARIADO</v>
      </c>
      <c r="N1719">
        <f t="shared" si="121"/>
        <v>41</v>
      </c>
      <c r="O1719" s="19" t="str">
        <f t="shared" si="122"/>
        <v>600k–900k</v>
      </c>
      <c r="P1719" s="19" t="str">
        <f t="shared" si="123"/>
        <v>36-45</v>
      </c>
    </row>
    <row r="1720" spans="1:16" x14ac:dyDescent="0.25">
      <c r="A1720">
        <v>1719</v>
      </c>
      <c r="B1720" t="s">
        <v>15</v>
      </c>
      <c r="C1720">
        <v>8457783.5700000003</v>
      </c>
      <c r="D1720" t="s">
        <v>10</v>
      </c>
      <c r="E1720" t="s">
        <v>16</v>
      </c>
      <c r="F1720" t="s">
        <v>12</v>
      </c>
      <c r="G1720" t="s">
        <v>12</v>
      </c>
      <c r="H1720" t="s">
        <v>13</v>
      </c>
      <c r="I1720">
        <v>55</v>
      </c>
      <c r="J1720" t="str" cm="1">
        <f t="array" ref="J1720">_xlfn.IFS(ISBLANK(C1720),"FALTANTE",ABS((C1720-$W$5)/$X$5)&gt;1.96,"ATÍPICO",ABS((C1720-$W$5)/$X$5)&lt;=1.96,"NO ATÍPICO")</f>
        <v>ATÍPICO</v>
      </c>
      <c r="K1720" t="str" cm="1">
        <f t="array" ref="K1720">_xlfn.IFS(ISBLANK(I1720),"FALTANTE",ABS((I1720-$W$8)/$X$8)&gt;1.92,"ATÍPICO",ABS((I1720-$W$8)/$X$8)&lt;=1.92,"NO ATÍPICO")</f>
        <v>NO ATÍPICO</v>
      </c>
      <c r="L1720">
        <f t="shared" si="120"/>
        <v>8457783.5700000003</v>
      </c>
      <c r="M1720" t="str">
        <f t="shared" si="120"/>
        <v>ASALARIADO</v>
      </c>
      <c r="N1720">
        <f t="shared" si="121"/>
        <v>55</v>
      </c>
      <c r="O1720" s="19" t="str">
        <f t="shared" si="122"/>
        <v>1200k+</v>
      </c>
      <c r="P1720" s="19" t="str">
        <f t="shared" si="123"/>
        <v>46-55</v>
      </c>
    </row>
    <row r="1721" spans="1:16" x14ac:dyDescent="0.25">
      <c r="A1721">
        <v>1720</v>
      </c>
      <c r="B1721" t="s">
        <v>9</v>
      </c>
      <c r="C1721">
        <v>412400.56</v>
      </c>
      <c r="D1721" t="s">
        <v>10</v>
      </c>
      <c r="E1721" t="s">
        <v>16</v>
      </c>
      <c r="F1721" t="s">
        <v>12</v>
      </c>
      <c r="G1721" t="s">
        <v>13</v>
      </c>
      <c r="H1721" t="s">
        <v>13</v>
      </c>
      <c r="I1721">
        <v>23</v>
      </c>
      <c r="J1721" t="str" cm="1">
        <f t="array" ref="J1721">_xlfn.IFS(ISBLANK(C1721),"FALTANTE",ABS((C1721-$W$5)/$X$5)&gt;1.96,"ATÍPICO",ABS((C1721-$W$5)/$X$5)&lt;=1.96,"NO ATÍPICO")</f>
        <v>NO ATÍPICO</v>
      </c>
      <c r="K1721" t="str" cm="1">
        <f t="array" ref="K1721">_xlfn.IFS(ISBLANK(I1721),"FALTANTE",ABS((I1721-$W$8)/$X$8)&gt;1.92,"ATÍPICO",ABS((I1721-$W$8)/$X$8)&lt;=1.92,"NO ATÍPICO")</f>
        <v>NO ATÍPICO</v>
      </c>
      <c r="L1721">
        <f t="shared" si="120"/>
        <v>412400.56</v>
      </c>
      <c r="M1721" t="str">
        <f t="shared" si="120"/>
        <v>ASALARIADO</v>
      </c>
      <c r="N1721">
        <f t="shared" si="121"/>
        <v>23</v>
      </c>
      <c r="O1721" s="19" t="str">
        <f t="shared" si="122"/>
        <v>300k–600k</v>
      </c>
      <c r="P1721" s="19" t="str">
        <f t="shared" si="123"/>
        <v>18-25</v>
      </c>
    </row>
    <row r="1722" spans="1:16" x14ac:dyDescent="0.25">
      <c r="A1722">
        <v>1721</v>
      </c>
      <c r="B1722" t="s">
        <v>9</v>
      </c>
      <c r="C1722">
        <v>341319</v>
      </c>
      <c r="D1722" t="s">
        <v>10</v>
      </c>
      <c r="E1722" t="s">
        <v>16</v>
      </c>
      <c r="F1722" t="s">
        <v>12</v>
      </c>
      <c r="G1722" t="s">
        <v>13</v>
      </c>
      <c r="H1722" t="s">
        <v>13</v>
      </c>
      <c r="I1722">
        <v>39</v>
      </c>
      <c r="J1722" t="str" cm="1">
        <f t="array" ref="J1722">_xlfn.IFS(ISBLANK(C1722),"FALTANTE",ABS((C1722-$W$5)/$X$5)&gt;1.96,"ATÍPICO",ABS((C1722-$W$5)/$X$5)&lt;=1.96,"NO ATÍPICO")</f>
        <v>NO ATÍPICO</v>
      </c>
      <c r="K1722" t="str" cm="1">
        <f t="array" ref="K1722">_xlfn.IFS(ISBLANK(I1722),"FALTANTE",ABS((I1722-$W$8)/$X$8)&gt;1.92,"ATÍPICO",ABS((I1722-$W$8)/$X$8)&lt;=1.92,"NO ATÍPICO")</f>
        <v>NO ATÍPICO</v>
      </c>
      <c r="L1722">
        <f t="shared" si="120"/>
        <v>341319</v>
      </c>
      <c r="M1722" t="str">
        <f t="shared" si="120"/>
        <v>ASALARIADO</v>
      </c>
      <c r="N1722">
        <f t="shared" si="121"/>
        <v>39</v>
      </c>
      <c r="O1722" s="19" t="str">
        <f t="shared" si="122"/>
        <v>300k–600k</v>
      </c>
      <c r="P1722" s="19" t="str">
        <f t="shared" si="123"/>
        <v>36-45</v>
      </c>
    </row>
    <row r="1723" spans="1:16" x14ac:dyDescent="0.25">
      <c r="A1723">
        <v>1722</v>
      </c>
      <c r="B1723" t="s">
        <v>15</v>
      </c>
      <c r="C1723">
        <v>1268597</v>
      </c>
      <c r="D1723" t="s">
        <v>14</v>
      </c>
      <c r="E1723" t="s">
        <v>11</v>
      </c>
      <c r="F1723" t="s">
        <v>12</v>
      </c>
      <c r="G1723" t="s">
        <v>13</v>
      </c>
      <c r="H1723" t="s">
        <v>13</v>
      </c>
      <c r="I1723">
        <v>58</v>
      </c>
      <c r="J1723" t="str" cm="1">
        <f t="array" ref="J1723">_xlfn.IFS(ISBLANK(C1723),"FALTANTE",ABS((C1723-$W$5)/$X$5)&gt;1.96,"ATÍPICO",ABS((C1723-$W$5)/$X$5)&lt;=1.96,"NO ATÍPICO")</f>
        <v>NO ATÍPICO</v>
      </c>
      <c r="K1723" t="str" cm="1">
        <f t="array" ref="K1723">_xlfn.IFS(ISBLANK(I1723),"FALTANTE",ABS((I1723-$W$8)/$X$8)&gt;1.92,"ATÍPICO",ABS((I1723-$W$8)/$X$8)&lt;=1.92,"NO ATÍPICO")</f>
        <v>NO ATÍPICO</v>
      </c>
      <c r="L1723">
        <f t="shared" si="120"/>
        <v>1268597</v>
      </c>
      <c r="M1723" t="str">
        <f t="shared" si="120"/>
        <v>PENSIONADOS EN SU PROPIO SISTEMA</v>
      </c>
      <c r="N1723">
        <f t="shared" si="121"/>
        <v>58</v>
      </c>
      <c r="O1723" s="19" t="str">
        <f t="shared" si="122"/>
        <v>1200k+</v>
      </c>
      <c r="P1723" s="19" t="str">
        <f t="shared" si="123"/>
        <v>56+</v>
      </c>
    </row>
    <row r="1724" spans="1:16" x14ac:dyDescent="0.25">
      <c r="A1724">
        <v>1723</v>
      </c>
      <c r="B1724" t="s">
        <v>9</v>
      </c>
      <c r="C1724">
        <v>796400.95</v>
      </c>
      <c r="D1724" t="s">
        <v>10</v>
      </c>
      <c r="E1724" t="s">
        <v>11</v>
      </c>
      <c r="F1724" t="s">
        <v>12</v>
      </c>
      <c r="G1724" t="s">
        <v>13</v>
      </c>
      <c r="H1724" t="s">
        <v>13</v>
      </c>
      <c r="I1724">
        <v>36</v>
      </c>
      <c r="J1724" t="str" cm="1">
        <f t="array" ref="J1724">_xlfn.IFS(ISBLANK(C1724),"FALTANTE",ABS((C1724-$W$5)/$X$5)&gt;1.96,"ATÍPICO",ABS((C1724-$W$5)/$X$5)&lt;=1.96,"NO ATÍPICO")</f>
        <v>NO ATÍPICO</v>
      </c>
      <c r="K1724" t="str" cm="1">
        <f t="array" ref="K1724">_xlfn.IFS(ISBLANK(I1724),"FALTANTE",ABS((I1724-$W$8)/$X$8)&gt;1.92,"ATÍPICO",ABS((I1724-$W$8)/$X$8)&lt;=1.92,"NO ATÍPICO")</f>
        <v>NO ATÍPICO</v>
      </c>
      <c r="L1724">
        <f t="shared" si="120"/>
        <v>796400.95</v>
      </c>
      <c r="M1724" t="str">
        <f t="shared" si="120"/>
        <v>ASALARIADO</v>
      </c>
      <c r="N1724">
        <f t="shared" si="121"/>
        <v>36</v>
      </c>
      <c r="O1724" s="19" t="str">
        <f t="shared" si="122"/>
        <v>600k–900k</v>
      </c>
      <c r="P1724" s="19" t="str">
        <f t="shared" si="123"/>
        <v>36-45</v>
      </c>
    </row>
    <row r="1725" spans="1:16" x14ac:dyDescent="0.25">
      <c r="A1725">
        <v>1724</v>
      </c>
      <c r="B1725" t="s">
        <v>15</v>
      </c>
      <c r="C1725">
        <v>736729</v>
      </c>
      <c r="D1725" t="s">
        <v>14</v>
      </c>
      <c r="E1725" t="s">
        <v>11</v>
      </c>
      <c r="F1725" t="s">
        <v>12</v>
      </c>
      <c r="G1725" t="s">
        <v>13</v>
      </c>
      <c r="H1725" t="s">
        <v>13</v>
      </c>
      <c r="I1725">
        <v>61</v>
      </c>
      <c r="J1725" t="str" cm="1">
        <f t="array" ref="J1725">_xlfn.IFS(ISBLANK(C1725),"FALTANTE",ABS((C1725-$W$5)/$X$5)&gt;1.96,"ATÍPICO",ABS((C1725-$W$5)/$X$5)&lt;=1.96,"NO ATÍPICO")</f>
        <v>NO ATÍPICO</v>
      </c>
      <c r="K1725" t="str" cm="1">
        <f t="array" ref="K1725">_xlfn.IFS(ISBLANK(I1725),"FALTANTE",ABS((I1725-$W$8)/$X$8)&gt;1.92,"ATÍPICO",ABS((I1725-$W$8)/$X$8)&lt;=1.92,"NO ATÍPICO")</f>
        <v>NO ATÍPICO</v>
      </c>
      <c r="L1725">
        <f t="shared" si="120"/>
        <v>736729</v>
      </c>
      <c r="M1725" t="str">
        <f t="shared" si="120"/>
        <v>PENSIONADOS EN SU PROPIO SISTEMA</v>
      </c>
      <c r="N1725">
        <f t="shared" si="121"/>
        <v>61</v>
      </c>
      <c r="O1725" s="19" t="str">
        <f t="shared" si="122"/>
        <v>600k–900k</v>
      </c>
      <c r="P1725" s="19" t="str">
        <f t="shared" si="123"/>
        <v>56+</v>
      </c>
    </row>
    <row r="1726" spans="1:16" x14ac:dyDescent="0.25">
      <c r="A1726">
        <v>1725</v>
      </c>
      <c r="B1726" t="s">
        <v>9</v>
      </c>
      <c r="C1726">
        <v>393988.8</v>
      </c>
      <c r="D1726" t="s">
        <v>10</v>
      </c>
      <c r="E1726" t="s">
        <v>11</v>
      </c>
      <c r="F1726" t="s">
        <v>12</v>
      </c>
      <c r="G1726" t="s">
        <v>13</v>
      </c>
      <c r="H1726" t="s">
        <v>13</v>
      </c>
      <c r="I1726">
        <v>58</v>
      </c>
      <c r="J1726" t="str" cm="1">
        <f t="array" ref="J1726">_xlfn.IFS(ISBLANK(C1726),"FALTANTE",ABS((C1726-$W$5)/$X$5)&gt;1.96,"ATÍPICO",ABS((C1726-$W$5)/$X$5)&lt;=1.96,"NO ATÍPICO")</f>
        <v>NO ATÍPICO</v>
      </c>
      <c r="K1726" t="str" cm="1">
        <f t="array" ref="K1726">_xlfn.IFS(ISBLANK(I1726),"FALTANTE",ABS((I1726-$W$8)/$X$8)&gt;1.92,"ATÍPICO",ABS((I1726-$W$8)/$X$8)&lt;=1.92,"NO ATÍPICO")</f>
        <v>NO ATÍPICO</v>
      </c>
      <c r="L1726">
        <f t="shared" si="120"/>
        <v>393988.8</v>
      </c>
      <c r="M1726" t="str">
        <f t="shared" si="120"/>
        <v>ASALARIADO</v>
      </c>
      <c r="N1726">
        <f t="shared" si="121"/>
        <v>58</v>
      </c>
      <c r="O1726" s="19" t="str">
        <f t="shared" si="122"/>
        <v>300k–600k</v>
      </c>
      <c r="P1726" s="19" t="str">
        <f t="shared" si="123"/>
        <v>56+</v>
      </c>
    </row>
    <row r="1727" spans="1:16" x14ac:dyDescent="0.25">
      <c r="A1727">
        <v>1726</v>
      </c>
      <c r="B1727" t="s">
        <v>9</v>
      </c>
      <c r="C1727">
        <v>730846.3</v>
      </c>
      <c r="D1727" t="s">
        <v>14</v>
      </c>
      <c r="E1727" t="s">
        <v>11</v>
      </c>
      <c r="F1727" t="s">
        <v>12</v>
      </c>
      <c r="G1727" t="s">
        <v>13</v>
      </c>
      <c r="H1727" t="s">
        <v>13</v>
      </c>
      <c r="I1727">
        <v>73</v>
      </c>
      <c r="J1727" t="str" cm="1">
        <f t="array" ref="J1727">_xlfn.IFS(ISBLANK(C1727),"FALTANTE",ABS((C1727-$W$5)/$X$5)&gt;1.96,"ATÍPICO",ABS((C1727-$W$5)/$X$5)&lt;=1.96,"NO ATÍPICO")</f>
        <v>NO ATÍPICO</v>
      </c>
      <c r="K1727" t="str" cm="1">
        <f t="array" ref="K1727">_xlfn.IFS(ISBLANK(I1727),"FALTANTE",ABS((I1727-$W$8)/$X$8)&gt;1.92,"ATÍPICO",ABS((I1727-$W$8)/$X$8)&lt;=1.92,"NO ATÍPICO")</f>
        <v>ATÍPICO</v>
      </c>
      <c r="L1727">
        <f t="shared" si="120"/>
        <v>730846.3</v>
      </c>
      <c r="M1727" t="str">
        <f t="shared" si="120"/>
        <v>PENSIONADOS EN SU PROPIO SISTEMA</v>
      </c>
      <c r="N1727">
        <f t="shared" si="121"/>
        <v>73</v>
      </c>
      <c r="O1727" s="19" t="str">
        <f t="shared" si="122"/>
        <v>600k–900k</v>
      </c>
      <c r="P1727" s="19" t="str">
        <f t="shared" si="123"/>
        <v>56+</v>
      </c>
    </row>
    <row r="1728" spans="1:16" x14ac:dyDescent="0.25">
      <c r="A1728">
        <v>1727</v>
      </c>
      <c r="B1728" t="s">
        <v>9</v>
      </c>
      <c r="C1728">
        <v>3410000</v>
      </c>
      <c r="D1728" t="s">
        <v>10</v>
      </c>
      <c r="E1728" t="s">
        <v>16</v>
      </c>
      <c r="F1728" t="s">
        <v>12</v>
      </c>
      <c r="G1728" t="s">
        <v>13</v>
      </c>
      <c r="H1728" t="s">
        <v>13</v>
      </c>
      <c r="I1728">
        <v>49</v>
      </c>
      <c r="J1728" t="str" cm="1">
        <f t="array" ref="J1728">_xlfn.IFS(ISBLANK(C1728),"FALTANTE",ABS((C1728-$W$5)/$X$5)&gt;1.96,"ATÍPICO",ABS((C1728-$W$5)/$X$5)&lt;=1.96,"NO ATÍPICO")</f>
        <v>ATÍPICO</v>
      </c>
      <c r="K1728" t="str" cm="1">
        <f t="array" ref="K1728">_xlfn.IFS(ISBLANK(I1728),"FALTANTE",ABS((I1728-$W$8)/$X$8)&gt;1.92,"ATÍPICO",ABS((I1728-$W$8)/$X$8)&lt;=1.92,"NO ATÍPICO")</f>
        <v>NO ATÍPICO</v>
      </c>
      <c r="L1728">
        <f t="shared" si="120"/>
        <v>3410000</v>
      </c>
      <c r="M1728" t="str">
        <f t="shared" si="120"/>
        <v>ASALARIADO</v>
      </c>
      <c r="N1728">
        <f t="shared" si="121"/>
        <v>49</v>
      </c>
      <c r="O1728" s="19" t="str">
        <f t="shared" si="122"/>
        <v>1200k+</v>
      </c>
      <c r="P1728" s="19" t="str">
        <f t="shared" si="123"/>
        <v>46-55</v>
      </c>
    </row>
    <row r="1729" spans="1:16" x14ac:dyDescent="0.25">
      <c r="A1729">
        <v>1728</v>
      </c>
      <c r="B1729" t="s">
        <v>9</v>
      </c>
      <c r="C1729">
        <v>460741.72</v>
      </c>
      <c r="D1729" t="s">
        <v>10</v>
      </c>
      <c r="E1729" t="s">
        <v>16</v>
      </c>
      <c r="F1729" t="s">
        <v>12</v>
      </c>
      <c r="G1729" t="s">
        <v>12</v>
      </c>
      <c r="H1729" t="s">
        <v>13</v>
      </c>
      <c r="I1729">
        <v>31</v>
      </c>
      <c r="J1729" t="str" cm="1">
        <f t="array" ref="J1729">_xlfn.IFS(ISBLANK(C1729),"FALTANTE",ABS((C1729-$W$5)/$X$5)&gt;1.96,"ATÍPICO",ABS((C1729-$W$5)/$X$5)&lt;=1.96,"NO ATÍPICO")</f>
        <v>NO ATÍPICO</v>
      </c>
      <c r="K1729" t="str" cm="1">
        <f t="array" ref="K1729">_xlfn.IFS(ISBLANK(I1729),"FALTANTE",ABS((I1729-$W$8)/$X$8)&gt;1.92,"ATÍPICO",ABS((I1729-$W$8)/$X$8)&lt;=1.92,"NO ATÍPICO")</f>
        <v>NO ATÍPICO</v>
      </c>
      <c r="L1729">
        <f t="shared" si="120"/>
        <v>460741.72</v>
      </c>
      <c r="M1729" t="str">
        <f t="shared" si="120"/>
        <v>ASALARIADO</v>
      </c>
      <c r="N1729">
        <f t="shared" si="121"/>
        <v>31</v>
      </c>
      <c r="O1729" s="19" t="str">
        <f t="shared" si="122"/>
        <v>300k–600k</v>
      </c>
      <c r="P1729" s="19" t="str">
        <f t="shared" si="123"/>
        <v>26-35</v>
      </c>
    </row>
    <row r="1730" spans="1:16" x14ac:dyDescent="0.25">
      <c r="A1730">
        <v>1729</v>
      </c>
      <c r="B1730" t="s">
        <v>15</v>
      </c>
      <c r="C1730">
        <v>297046</v>
      </c>
      <c r="D1730" t="s">
        <v>17</v>
      </c>
      <c r="E1730" t="s">
        <v>16</v>
      </c>
      <c r="F1730" t="s">
        <v>12</v>
      </c>
      <c r="G1730" t="s">
        <v>13</v>
      </c>
      <c r="H1730" t="s">
        <v>13</v>
      </c>
      <c r="I1730">
        <v>39</v>
      </c>
      <c r="J1730" t="str" cm="1">
        <f t="array" ref="J1730">_xlfn.IFS(ISBLANK(C1730),"FALTANTE",ABS((C1730-$W$5)/$X$5)&gt;1.96,"ATÍPICO",ABS((C1730-$W$5)/$X$5)&lt;=1.96,"NO ATÍPICO")</f>
        <v>NO ATÍPICO</v>
      </c>
      <c r="K1730" t="str" cm="1">
        <f t="array" ref="K1730">_xlfn.IFS(ISBLANK(I1730),"FALTANTE",ABS((I1730-$W$8)/$X$8)&gt;1.92,"ATÍPICO",ABS((I1730-$W$8)/$X$8)&lt;=1.92,"NO ATÍPICO")</f>
        <v>NO ATÍPICO</v>
      </c>
      <c r="L1730">
        <f t="shared" ref="L1730:M1793" si="124">C1730</f>
        <v>297046</v>
      </c>
      <c r="M1730" t="str">
        <f t="shared" si="124"/>
        <v>ASEGURADO VOLUNTARIO</v>
      </c>
      <c r="N1730">
        <f t="shared" ref="N1730:N1793" si="125">I1730</f>
        <v>39</v>
      </c>
      <c r="O1730" s="19" t="str">
        <f t="shared" ref="O1730:O1793" si="126">IF(L1730&lt;=300000,"0–300k",IF(L1730&lt;=600000,"300k–600k",IF(L1730&lt;=900000,"600k–900k",IF(L1730&lt;=1200000,"900k–1200k","1200k+"))))</f>
        <v>0–300k</v>
      </c>
      <c r="P1730" s="19" t="str">
        <f t="shared" ref="P1730:P1793" si="127">IF(N1730 &lt;=25,"18-25", IF(N1730&lt;=35,"26-35", IF(N1730 &lt;=45,"36-45", IF(N1730&lt;=55,"46-55","56+"))))</f>
        <v>36-45</v>
      </c>
    </row>
    <row r="1731" spans="1:16" x14ac:dyDescent="0.25">
      <c r="A1731">
        <v>1730</v>
      </c>
      <c r="B1731" t="s">
        <v>9</v>
      </c>
      <c r="C1731">
        <v>772177.52</v>
      </c>
      <c r="D1731" t="s">
        <v>10</v>
      </c>
      <c r="E1731" t="s">
        <v>16</v>
      </c>
      <c r="F1731" t="s">
        <v>12</v>
      </c>
      <c r="G1731" t="s">
        <v>13</v>
      </c>
      <c r="H1731" t="s">
        <v>13</v>
      </c>
      <c r="I1731">
        <v>28</v>
      </c>
      <c r="J1731" t="str" cm="1">
        <f t="array" ref="J1731">_xlfn.IFS(ISBLANK(C1731),"FALTANTE",ABS((C1731-$W$5)/$X$5)&gt;1.96,"ATÍPICO",ABS((C1731-$W$5)/$X$5)&lt;=1.96,"NO ATÍPICO")</f>
        <v>NO ATÍPICO</v>
      </c>
      <c r="K1731" t="str" cm="1">
        <f t="array" ref="K1731">_xlfn.IFS(ISBLANK(I1731),"FALTANTE",ABS((I1731-$W$8)/$X$8)&gt;1.92,"ATÍPICO",ABS((I1731-$W$8)/$X$8)&lt;=1.92,"NO ATÍPICO")</f>
        <v>NO ATÍPICO</v>
      </c>
      <c r="L1731">
        <f t="shared" si="124"/>
        <v>772177.52</v>
      </c>
      <c r="M1731" t="str">
        <f t="shared" si="124"/>
        <v>ASALARIADO</v>
      </c>
      <c r="N1731">
        <f t="shared" si="125"/>
        <v>28</v>
      </c>
      <c r="O1731" s="19" t="str">
        <f t="shared" si="126"/>
        <v>600k–900k</v>
      </c>
      <c r="P1731" s="19" t="str">
        <f t="shared" si="127"/>
        <v>26-35</v>
      </c>
    </row>
    <row r="1732" spans="1:16" x14ac:dyDescent="0.25">
      <c r="A1732">
        <v>1731</v>
      </c>
      <c r="B1732" t="s">
        <v>15</v>
      </c>
      <c r="C1732">
        <v>289717</v>
      </c>
      <c r="D1732" t="s">
        <v>18</v>
      </c>
      <c r="E1732" t="s">
        <v>16</v>
      </c>
      <c r="F1732" t="s">
        <v>12</v>
      </c>
      <c r="G1732" t="s">
        <v>13</v>
      </c>
      <c r="H1732" t="s">
        <v>13</v>
      </c>
      <c r="I1732">
        <v>59</v>
      </c>
      <c r="J1732" t="str" cm="1">
        <f t="array" ref="J1732">_xlfn.IFS(ISBLANK(C1732),"FALTANTE",ABS((C1732-$W$5)/$X$5)&gt;1.96,"ATÍPICO",ABS((C1732-$W$5)/$X$5)&lt;=1.96,"NO ATÍPICO")</f>
        <v>NO ATÍPICO</v>
      </c>
      <c r="K1732" t="str" cm="1">
        <f t="array" ref="K1732">_xlfn.IFS(ISBLANK(I1732),"FALTANTE",ABS((I1732-$W$8)/$X$8)&gt;1.92,"ATÍPICO",ABS((I1732-$W$8)/$X$8)&lt;=1.92,"NO ATÍPICO")</f>
        <v>NO ATÍPICO</v>
      </c>
      <c r="L1732">
        <f t="shared" si="124"/>
        <v>289717</v>
      </c>
      <c r="M1732" t="str">
        <f t="shared" si="124"/>
        <v>TRABAJADOR INDEPENDIENTE</v>
      </c>
      <c r="N1732">
        <f t="shared" si="125"/>
        <v>59</v>
      </c>
      <c r="O1732" s="19" t="str">
        <f t="shared" si="126"/>
        <v>0–300k</v>
      </c>
      <c r="P1732" s="19" t="str">
        <f t="shared" si="127"/>
        <v>56+</v>
      </c>
    </row>
    <row r="1733" spans="1:16" x14ac:dyDescent="0.25">
      <c r="A1733">
        <v>1732</v>
      </c>
      <c r="B1733" t="s">
        <v>15</v>
      </c>
      <c r="C1733">
        <v>380000</v>
      </c>
      <c r="D1733" t="s">
        <v>10</v>
      </c>
      <c r="E1733" t="s">
        <v>16</v>
      </c>
      <c r="F1733" t="s">
        <v>12</v>
      </c>
      <c r="G1733" t="s">
        <v>13</v>
      </c>
      <c r="H1733" t="s">
        <v>13</v>
      </c>
      <c r="I1733">
        <v>57</v>
      </c>
      <c r="J1733" t="str" cm="1">
        <f t="array" ref="J1733">_xlfn.IFS(ISBLANK(C1733),"FALTANTE",ABS((C1733-$W$5)/$X$5)&gt;1.96,"ATÍPICO",ABS((C1733-$W$5)/$X$5)&lt;=1.96,"NO ATÍPICO")</f>
        <v>NO ATÍPICO</v>
      </c>
      <c r="K1733" t="str" cm="1">
        <f t="array" ref="K1733">_xlfn.IFS(ISBLANK(I1733),"FALTANTE",ABS((I1733-$W$8)/$X$8)&gt;1.92,"ATÍPICO",ABS((I1733-$W$8)/$X$8)&lt;=1.92,"NO ATÍPICO")</f>
        <v>NO ATÍPICO</v>
      </c>
      <c r="L1733">
        <f t="shared" si="124"/>
        <v>380000</v>
      </c>
      <c r="M1733" t="str">
        <f t="shared" si="124"/>
        <v>ASALARIADO</v>
      </c>
      <c r="N1733">
        <f t="shared" si="125"/>
        <v>57</v>
      </c>
      <c r="O1733" s="19" t="str">
        <f t="shared" si="126"/>
        <v>300k–600k</v>
      </c>
      <c r="P1733" s="19" t="str">
        <f t="shared" si="127"/>
        <v>56+</v>
      </c>
    </row>
    <row r="1734" spans="1:16" x14ac:dyDescent="0.25">
      <c r="A1734">
        <v>1733</v>
      </c>
      <c r="B1734" t="s">
        <v>15</v>
      </c>
      <c r="C1734">
        <v>1156841.8400000001</v>
      </c>
      <c r="D1734" t="s">
        <v>10</v>
      </c>
      <c r="E1734" t="s">
        <v>11</v>
      </c>
      <c r="F1734" t="s">
        <v>12</v>
      </c>
      <c r="G1734" t="s">
        <v>13</v>
      </c>
      <c r="H1734" t="s">
        <v>13</v>
      </c>
      <c r="I1734">
        <v>43</v>
      </c>
      <c r="J1734" t="str" cm="1">
        <f t="array" ref="J1734">_xlfn.IFS(ISBLANK(C1734),"FALTANTE",ABS((C1734-$W$5)/$X$5)&gt;1.96,"ATÍPICO",ABS((C1734-$W$5)/$X$5)&lt;=1.96,"NO ATÍPICO")</f>
        <v>NO ATÍPICO</v>
      </c>
      <c r="K1734" t="str" cm="1">
        <f t="array" ref="K1734">_xlfn.IFS(ISBLANK(I1734),"FALTANTE",ABS((I1734-$W$8)/$X$8)&gt;1.92,"ATÍPICO",ABS((I1734-$W$8)/$X$8)&lt;=1.92,"NO ATÍPICO")</f>
        <v>NO ATÍPICO</v>
      </c>
      <c r="L1734">
        <f t="shared" si="124"/>
        <v>1156841.8400000001</v>
      </c>
      <c r="M1734" t="str">
        <f t="shared" si="124"/>
        <v>ASALARIADO</v>
      </c>
      <c r="N1734">
        <f t="shared" si="125"/>
        <v>43</v>
      </c>
      <c r="O1734" s="19" t="str">
        <f t="shared" si="126"/>
        <v>900k–1200k</v>
      </c>
      <c r="P1734" s="19" t="str">
        <f t="shared" si="127"/>
        <v>36-45</v>
      </c>
    </row>
    <row r="1735" spans="1:16" x14ac:dyDescent="0.25">
      <c r="A1735">
        <v>1734</v>
      </c>
      <c r="B1735" t="s">
        <v>9</v>
      </c>
      <c r="C1735">
        <v>387489.4</v>
      </c>
      <c r="D1735" t="s">
        <v>10</v>
      </c>
      <c r="E1735" t="s">
        <v>16</v>
      </c>
      <c r="F1735" t="s">
        <v>12</v>
      </c>
      <c r="G1735" t="s">
        <v>13</v>
      </c>
      <c r="H1735" t="s">
        <v>13</v>
      </c>
      <c r="I1735">
        <v>35</v>
      </c>
      <c r="J1735" t="str" cm="1">
        <f t="array" ref="J1735">_xlfn.IFS(ISBLANK(C1735),"FALTANTE",ABS((C1735-$W$5)/$X$5)&gt;1.96,"ATÍPICO",ABS((C1735-$W$5)/$X$5)&lt;=1.96,"NO ATÍPICO")</f>
        <v>NO ATÍPICO</v>
      </c>
      <c r="K1735" t="str" cm="1">
        <f t="array" ref="K1735">_xlfn.IFS(ISBLANK(I1735),"FALTANTE",ABS((I1735-$W$8)/$X$8)&gt;1.92,"ATÍPICO",ABS((I1735-$W$8)/$X$8)&lt;=1.92,"NO ATÍPICO")</f>
        <v>NO ATÍPICO</v>
      </c>
      <c r="L1735">
        <f t="shared" si="124"/>
        <v>387489.4</v>
      </c>
      <c r="M1735" t="str">
        <f t="shared" si="124"/>
        <v>ASALARIADO</v>
      </c>
      <c r="N1735">
        <f t="shared" si="125"/>
        <v>35</v>
      </c>
      <c r="O1735" s="19" t="str">
        <f t="shared" si="126"/>
        <v>300k–600k</v>
      </c>
      <c r="P1735" s="19" t="str">
        <f t="shared" si="127"/>
        <v>26-35</v>
      </c>
    </row>
    <row r="1736" spans="1:16" x14ac:dyDescent="0.25">
      <c r="A1736">
        <v>1735</v>
      </c>
      <c r="B1736" t="s">
        <v>9</v>
      </c>
      <c r="C1736">
        <v>449596</v>
      </c>
      <c r="D1736" t="s">
        <v>10</v>
      </c>
      <c r="E1736" t="s">
        <v>11</v>
      </c>
      <c r="F1736" t="s">
        <v>12</v>
      </c>
      <c r="G1736" t="s">
        <v>13</v>
      </c>
      <c r="H1736" t="s">
        <v>13</v>
      </c>
      <c r="I1736">
        <v>36</v>
      </c>
      <c r="J1736" t="str" cm="1">
        <f t="array" ref="J1736">_xlfn.IFS(ISBLANK(C1736),"FALTANTE",ABS((C1736-$W$5)/$X$5)&gt;1.96,"ATÍPICO",ABS((C1736-$W$5)/$X$5)&lt;=1.96,"NO ATÍPICO")</f>
        <v>NO ATÍPICO</v>
      </c>
      <c r="K1736" t="str" cm="1">
        <f t="array" ref="K1736">_xlfn.IFS(ISBLANK(I1736),"FALTANTE",ABS((I1736-$W$8)/$X$8)&gt;1.92,"ATÍPICO",ABS((I1736-$W$8)/$X$8)&lt;=1.92,"NO ATÍPICO")</f>
        <v>NO ATÍPICO</v>
      </c>
      <c r="L1736">
        <f t="shared" si="124"/>
        <v>449596</v>
      </c>
      <c r="M1736" t="str">
        <f t="shared" si="124"/>
        <v>ASALARIADO</v>
      </c>
      <c r="N1736">
        <f t="shared" si="125"/>
        <v>36</v>
      </c>
      <c r="O1736" s="19" t="str">
        <f t="shared" si="126"/>
        <v>300k–600k</v>
      </c>
      <c r="P1736" s="19" t="str">
        <f t="shared" si="127"/>
        <v>36-45</v>
      </c>
    </row>
    <row r="1737" spans="1:16" x14ac:dyDescent="0.25">
      <c r="A1737">
        <v>1736</v>
      </c>
      <c r="B1737" t="s">
        <v>9</v>
      </c>
      <c r="C1737">
        <v>477300</v>
      </c>
      <c r="D1737" t="s">
        <v>10</v>
      </c>
      <c r="E1737" t="s">
        <v>16</v>
      </c>
      <c r="F1737" t="s">
        <v>12</v>
      </c>
      <c r="G1737" t="s">
        <v>13</v>
      </c>
      <c r="H1737" t="s">
        <v>13</v>
      </c>
      <c r="I1737">
        <v>63</v>
      </c>
      <c r="J1737" t="str" cm="1">
        <f t="array" ref="J1737">_xlfn.IFS(ISBLANK(C1737),"FALTANTE",ABS((C1737-$W$5)/$X$5)&gt;1.96,"ATÍPICO",ABS((C1737-$W$5)/$X$5)&lt;=1.96,"NO ATÍPICO")</f>
        <v>NO ATÍPICO</v>
      </c>
      <c r="K1737" t="str" cm="1">
        <f t="array" ref="K1737">_xlfn.IFS(ISBLANK(I1737),"FALTANTE",ABS((I1737-$W$8)/$X$8)&gt;1.92,"ATÍPICO",ABS((I1737-$W$8)/$X$8)&lt;=1.92,"NO ATÍPICO")</f>
        <v>NO ATÍPICO</v>
      </c>
      <c r="L1737">
        <f t="shared" si="124"/>
        <v>477300</v>
      </c>
      <c r="M1737" t="str">
        <f t="shared" si="124"/>
        <v>ASALARIADO</v>
      </c>
      <c r="N1737">
        <f t="shared" si="125"/>
        <v>63</v>
      </c>
      <c r="O1737" s="19" t="str">
        <f t="shared" si="126"/>
        <v>300k–600k</v>
      </c>
      <c r="P1737" s="19" t="str">
        <f t="shared" si="127"/>
        <v>56+</v>
      </c>
    </row>
    <row r="1738" spans="1:16" x14ac:dyDescent="0.25">
      <c r="A1738">
        <v>1737</v>
      </c>
      <c r="B1738" t="s">
        <v>9</v>
      </c>
      <c r="C1738">
        <v>425703.55</v>
      </c>
      <c r="D1738" t="s">
        <v>10</v>
      </c>
      <c r="E1738" t="s">
        <v>16</v>
      </c>
      <c r="F1738" t="s">
        <v>12</v>
      </c>
      <c r="G1738" t="s">
        <v>13</v>
      </c>
      <c r="H1738" t="s">
        <v>13</v>
      </c>
      <c r="I1738">
        <v>44</v>
      </c>
      <c r="J1738" t="str" cm="1">
        <f t="array" ref="J1738">_xlfn.IFS(ISBLANK(C1738),"FALTANTE",ABS((C1738-$W$5)/$X$5)&gt;1.96,"ATÍPICO",ABS((C1738-$W$5)/$X$5)&lt;=1.96,"NO ATÍPICO")</f>
        <v>NO ATÍPICO</v>
      </c>
      <c r="K1738" t="str" cm="1">
        <f t="array" ref="K1738">_xlfn.IFS(ISBLANK(I1738),"FALTANTE",ABS((I1738-$W$8)/$X$8)&gt;1.92,"ATÍPICO",ABS((I1738-$W$8)/$X$8)&lt;=1.92,"NO ATÍPICO")</f>
        <v>NO ATÍPICO</v>
      </c>
      <c r="L1738">
        <f t="shared" si="124"/>
        <v>425703.55</v>
      </c>
      <c r="M1738" t="str">
        <f t="shared" si="124"/>
        <v>ASALARIADO</v>
      </c>
      <c r="N1738">
        <f t="shared" si="125"/>
        <v>44</v>
      </c>
      <c r="O1738" s="19" t="str">
        <f t="shared" si="126"/>
        <v>300k–600k</v>
      </c>
      <c r="P1738" s="19" t="str">
        <f t="shared" si="127"/>
        <v>36-45</v>
      </c>
    </row>
    <row r="1739" spans="1:16" x14ac:dyDescent="0.25">
      <c r="A1739">
        <v>1738</v>
      </c>
      <c r="B1739" t="s">
        <v>9</v>
      </c>
      <c r="C1739">
        <v>871427.3</v>
      </c>
      <c r="D1739" t="s">
        <v>10</v>
      </c>
      <c r="E1739" t="s">
        <v>16</v>
      </c>
      <c r="F1739" t="s">
        <v>12</v>
      </c>
      <c r="G1739" t="s">
        <v>13</v>
      </c>
      <c r="H1739" t="s">
        <v>13</v>
      </c>
      <c r="I1739">
        <v>51</v>
      </c>
      <c r="J1739" t="str" cm="1">
        <f t="array" ref="J1739">_xlfn.IFS(ISBLANK(C1739),"FALTANTE",ABS((C1739-$W$5)/$X$5)&gt;1.96,"ATÍPICO",ABS((C1739-$W$5)/$X$5)&lt;=1.96,"NO ATÍPICO")</f>
        <v>NO ATÍPICO</v>
      </c>
      <c r="K1739" t="str" cm="1">
        <f t="array" ref="K1739">_xlfn.IFS(ISBLANK(I1739),"FALTANTE",ABS((I1739-$W$8)/$X$8)&gt;1.92,"ATÍPICO",ABS((I1739-$W$8)/$X$8)&lt;=1.92,"NO ATÍPICO")</f>
        <v>NO ATÍPICO</v>
      </c>
      <c r="L1739">
        <f t="shared" si="124"/>
        <v>871427.3</v>
      </c>
      <c r="M1739" t="str">
        <f t="shared" si="124"/>
        <v>ASALARIADO</v>
      </c>
      <c r="N1739">
        <f t="shared" si="125"/>
        <v>51</v>
      </c>
      <c r="O1739" s="19" t="str">
        <f t="shared" si="126"/>
        <v>600k–900k</v>
      </c>
      <c r="P1739" s="19" t="str">
        <f t="shared" si="127"/>
        <v>46-55</v>
      </c>
    </row>
    <row r="1740" spans="1:16" x14ac:dyDescent="0.25">
      <c r="A1740">
        <v>1739</v>
      </c>
      <c r="B1740" t="s">
        <v>9</v>
      </c>
      <c r="C1740">
        <v>368750</v>
      </c>
      <c r="D1740" t="s">
        <v>10</v>
      </c>
      <c r="E1740" t="s">
        <v>16</v>
      </c>
      <c r="F1740" t="s">
        <v>12</v>
      </c>
      <c r="G1740" t="s">
        <v>13</v>
      </c>
      <c r="H1740" t="s">
        <v>13</v>
      </c>
      <c r="I1740">
        <v>41</v>
      </c>
      <c r="J1740" t="str" cm="1">
        <f t="array" ref="J1740">_xlfn.IFS(ISBLANK(C1740),"FALTANTE",ABS((C1740-$W$5)/$X$5)&gt;1.96,"ATÍPICO",ABS((C1740-$W$5)/$X$5)&lt;=1.96,"NO ATÍPICO")</f>
        <v>NO ATÍPICO</v>
      </c>
      <c r="K1740" t="str" cm="1">
        <f t="array" ref="K1740">_xlfn.IFS(ISBLANK(I1740),"FALTANTE",ABS((I1740-$W$8)/$X$8)&gt;1.92,"ATÍPICO",ABS((I1740-$W$8)/$X$8)&lt;=1.92,"NO ATÍPICO")</f>
        <v>NO ATÍPICO</v>
      </c>
      <c r="L1740">
        <f t="shared" si="124"/>
        <v>368750</v>
      </c>
      <c r="M1740" t="str">
        <f t="shared" si="124"/>
        <v>ASALARIADO</v>
      </c>
      <c r="N1740">
        <f t="shared" si="125"/>
        <v>41</v>
      </c>
      <c r="O1740" s="19" t="str">
        <f t="shared" si="126"/>
        <v>300k–600k</v>
      </c>
      <c r="P1740" s="19" t="str">
        <f t="shared" si="127"/>
        <v>36-45</v>
      </c>
    </row>
    <row r="1741" spans="1:16" x14ac:dyDescent="0.25">
      <c r="A1741">
        <v>1740</v>
      </c>
      <c r="B1741" t="s">
        <v>9</v>
      </c>
      <c r="C1741">
        <v>744158.02</v>
      </c>
      <c r="D1741" t="s">
        <v>10</v>
      </c>
      <c r="E1741" t="s">
        <v>11</v>
      </c>
      <c r="F1741" t="s">
        <v>12</v>
      </c>
      <c r="G1741" t="s">
        <v>13</v>
      </c>
      <c r="H1741" t="s">
        <v>13</v>
      </c>
      <c r="I1741">
        <v>26</v>
      </c>
      <c r="J1741" t="str" cm="1">
        <f t="array" ref="J1741">_xlfn.IFS(ISBLANK(C1741),"FALTANTE",ABS((C1741-$W$5)/$X$5)&gt;1.96,"ATÍPICO",ABS((C1741-$W$5)/$X$5)&lt;=1.96,"NO ATÍPICO")</f>
        <v>NO ATÍPICO</v>
      </c>
      <c r="K1741" t="str" cm="1">
        <f t="array" ref="K1741">_xlfn.IFS(ISBLANK(I1741),"FALTANTE",ABS((I1741-$W$8)/$X$8)&gt;1.92,"ATÍPICO",ABS((I1741-$W$8)/$X$8)&lt;=1.92,"NO ATÍPICO")</f>
        <v>NO ATÍPICO</v>
      </c>
      <c r="L1741">
        <f t="shared" si="124"/>
        <v>744158.02</v>
      </c>
      <c r="M1741" t="str">
        <f t="shared" si="124"/>
        <v>ASALARIADO</v>
      </c>
      <c r="N1741">
        <f t="shared" si="125"/>
        <v>26</v>
      </c>
      <c r="O1741" s="19" t="str">
        <f t="shared" si="126"/>
        <v>600k–900k</v>
      </c>
      <c r="P1741" s="19" t="str">
        <f t="shared" si="127"/>
        <v>26-35</v>
      </c>
    </row>
    <row r="1742" spans="1:16" x14ac:dyDescent="0.25">
      <c r="A1742">
        <v>1741</v>
      </c>
      <c r="B1742" t="s">
        <v>9</v>
      </c>
      <c r="C1742">
        <v>280000</v>
      </c>
      <c r="D1742" t="s">
        <v>10</v>
      </c>
      <c r="E1742" t="s">
        <v>16</v>
      </c>
      <c r="F1742" t="s">
        <v>12</v>
      </c>
      <c r="G1742" t="s">
        <v>13</v>
      </c>
      <c r="H1742" t="s">
        <v>12</v>
      </c>
      <c r="I1742">
        <v>56</v>
      </c>
      <c r="J1742" t="str" cm="1">
        <f t="array" ref="J1742">_xlfn.IFS(ISBLANK(C1742),"FALTANTE",ABS((C1742-$W$5)/$X$5)&gt;1.96,"ATÍPICO",ABS((C1742-$W$5)/$X$5)&lt;=1.96,"NO ATÍPICO")</f>
        <v>NO ATÍPICO</v>
      </c>
      <c r="K1742" t="str" cm="1">
        <f t="array" ref="K1742">_xlfn.IFS(ISBLANK(I1742),"FALTANTE",ABS((I1742-$W$8)/$X$8)&gt;1.92,"ATÍPICO",ABS((I1742-$W$8)/$X$8)&lt;=1.92,"NO ATÍPICO")</f>
        <v>NO ATÍPICO</v>
      </c>
      <c r="L1742">
        <f t="shared" si="124"/>
        <v>280000</v>
      </c>
      <c r="M1742" t="str">
        <f t="shared" si="124"/>
        <v>ASALARIADO</v>
      </c>
      <c r="N1742">
        <f t="shared" si="125"/>
        <v>56</v>
      </c>
      <c r="O1742" s="19" t="str">
        <f t="shared" si="126"/>
        <v>0–300k</v>
      </c>
      <c r="P1742" s="19" t="str">
        <f t="shared" si="127"/>
        <v>56+</v>
      </c>
    </row>
    <row r="1743" spans="1:16" x14ac:dyDescent="0.25">
      <c r="A1743">
        <v>1742</v>
      </c>
      <c r="B1743" t="s">
        <v>9</v>
      </c>
      <c r="C1743">
        <v>382584.15</v>
      </c>
      <c r="D1743" t="s">
        <v>10</v>
      </c>
      <c r="E1743" t="s">
        <v>11</v>
      </c>
      <c r="F1743" t="s">
        <v>12</v>
      </c>
      <c r="G1743" t="s">
        <v>13</v>
      </c>
      <c r="H1743" t="s">
        <v>13</v>
      </c>
      <c r="I1743">
        <v>47</v>
      </c>
      <c r="J1743" t="str" cm="1">
        <f t="array" ref="J1743">_xlfn.IFS(ISBLANK(C1743),"FALTANTE",ABS((C1743-$W$5)/$X$5)&gt;1.96,"ATÍPICO",ABS((C1743-$W$5)/$X$5)&lt;=1.96,"NO ATÍPICO")</f>
        <v>NO ATÍPICO</v>
      </c>
      <c r="K1743" t="str" cm="1">
        <f t="array" ref="K1743">_xlfn.IFS(ISBLANK(I1743),"FALTANTE",ABS((I1743-$W$8)/$X$8)&gt;1.92,"ATÍPICO",ABS((I1743-$W$8)/$X$8)&lt;=1.92,"NO ATÍPICO")</f>
        <v>NO ATÍPICO</v>
      </c>
      <c r="L1743">
        <f t="shared" si="124"/>
        <v>382584.15</v>
      </c>
      <c r="M1743" t="str">
        <f t="shared" si="124"/>
        <v>ASALARIADO</v>
      </c>
      <c r="N1743">
        <f t="shared" si="125"/>
        <v>47</v>
      </c>
      <c r="O1743" s="19" t="str">
        <f t="shared" si="126"/>
        <v>300k–600k</v>
      </c>
      <c r="P1743" s="19" t="str">
        <f t="shared" si="127"/>
        <v>46-55</v>
      </c>
    </row>
    <row r="1744" spans="1:16" x14ac:dyDescent="0.25">
      <c r="A1744">
        <v>1743</v>
      </c>
      <c r="B1744" t="s">
        <v>15</v>
      </c>
      <c r="C1744">
        <v>1275440.5</v>
      </c>
      <c r="D1744" t="s">
        <v>10</v>
      </c>
      <c r="E1744" t="s">
        <v>11</v>
      </c>
      <c r="F1744" t="s">
        <v>12</v>
      </c>
      <c r="G1744" t="s">
        <v>13</v>
      </c>
      <c r="H1744" t="s">
        <v>13</v>
      </c>
      <c r="I1744">
        <v>58</v>
      </c>
      <c r="J1744" t="str" cm="1">
        <f t="array" ref="J1744">_xlfn.IFS(ISBLANK(C1744),"FALTANTE",ABS((C1744-$W$5)/$X$5)&gt;1.96,"ATÍPICO",ABS((C1744-$W$5)/$X$5)&lt;=1.96,"NO ATÍPICO")</f>
        <v>NO ATÍPICO</v>
      </c>
      <c r="K1744" t="str" cm="1">
        <f t="array" ref="K1744">_xlfn.IFS(ISBLANK(I1744),"FALTANTE",ABS((I1744-$W$8)/$X$8)&gt;1.92,"ATÍPICO",ABS((I1744-$W$8)/$X$8)&lt;=1.92,"NO ATÍPICO")</f>
        <v>NO ATÍPICO</v>
      </c>
      <c r="L1744">
        <f t="shared" si="124"/>
        <v>1275440.5</v>
      </c>
      <c r="M1744" t="str">
        <f t="shared" si="124"/>
        <v>ASALARIADO</v>
      </c>
      <c r="N1744">
        <f t="shared" si="125"/>
        <v>58</v>
      </c>
      <c r="O1744" s="19" t="str">
        <f t="shared" si="126"/>
        <v>1200k+</v>
      </c>
      <c r="P1744" s="19" t="str">
        <f t="shared" si="127"/>
        <v>56+</v>
      </c>
    </row>
    <row r="1745" spans="1:16" x14ac:dyDescent="0.25">
      <c r="A1745">
        <v>1744</v>
      </c>
      <c r="B1745" t="s">
        <v>15</v>
      </c>
      <c r="C1745">
        <v>1566046.1</v>
      </c>
      <c r="D1745" t="s">
        <v>10</v>
      </c>
      <c r="E1745" t="s">
        <v>11</v>
      </c>
      <c r="F1745" t="s">
        <v>12</v>
      </c>
      <c r="G1745" t="s">
        <v>13</v>
      </c>
      <c r="H1745" t="s">
        <v>13</v>
      </c>
      <c r="I1745">
        <v>28</v>
      </c>
      <c r="J1745" t="str" cm="1">
        <f t="array" ref="J1745">_xlfn.IFS(ISBLANK(C1745),"FALTANTE",ABS((C1745-$W$5)/$X$5)&gt;1.96,"ATÍPICO",ABS((C1745-$W$5)/$X$5)&lt;=1.96,"NO ATÍPICO")</f>
        <v>NO ATÍPICO</v>
      </c>
      <c r="K1745" t="str" cm="1">
        <f t="array" ref="K1745">_xlfn.IFS(ISBLANK(I1745),"FALTANTE",ABS((I1745-$W$8)/$X$8)&gt;1.92,"ATÍPICO",ABS((I1745-$W$8)/$X$8)&lt;=1.92,"NO ATÍPICO")</f>
        <v>NO ATÍPICO</v>
      </c>
      <c r="L1745">
        <f t="shared" si="124"/>
        <v>1566046.1</v>
      </c>
      <c r="M1745" t="str">
        <f t="shared" si="124"/>
        <v>ASALARIADO</v>
      </c>
      <c r="N1745">
        <f t="shared" si="125"/>
        <v>28</v>
      </c>
      <c r="O1745" s="19" t="str">
        <f t="shared" si="126"/>
        <v>1200k+</v>
      </c>
      <c r="P1745" s="19" t="str">
        <f t="shared" si="127"/>
        <v>26-35</v>
      </c>
    </row>
    <row r="1746" spans="1:16" x14ac:dyDescent="0.25">
      <c r="A1746">
        <v>1745</v>
      </c>
      <c r="B1746" t="s">
        <v>15</v>
      </c>
      <c r="C1746">
        <v>477915</v>
      </c>
      <c r="D1746" t="s">
        <v>10</v>
      </c>
      <c r="E1746" t="s">
        <v>11</v>
      </c>
      <c r="F1746" t="s">
        <v>12</v>
      </c>
      <c r="G1746" t="s">
        <v>13</v>
      </c>
      <c r="H1746" t="s">
        <v>13</v>
      </c>
      <c r="I1746">
        <v>29</v>
      </c>
      <c r="J1746" t="str" cm="1">
        <f t="array" ref="J1746">_xlfn.IFS(ISBLANK(C1746),"FALTANTE",ABS((C1746-$W$5)/$X$5)&gt;1.96,"ATÍPICO",ABS((C1746-$W$5)/$X$5)&lt;=1.96,"NO ATÍPICO")</f>
        <v>NO ATÍPICO</v>
      </c>
      <c r="K1746" t="str" cm="1">
        <f t="array" ref="K1746">_xlfn.IFS(ISBLANK(I1746),"FALTANTE",ABS((I1746-$W$8)/$X$8)&gt;1.92,"ATÍPICO",ABS((I1746-$W$8)/$X$8)&lt;=1.92,"NO ATÍPICO")</f>
        <v>NO ATÍPICO</v>
      </c>
      <c r="L1746">
        <f t="shared" si="124"/>
        <v>477915</v>
      </c>
      <c r="M1746" t="str">
        <f t="shared" si="124"/>
        <v>ASALARIADO</v>
      </c>
      <c r="N1746">
        <f t="shared" si="125"/>
        <v>29</v>
      </c>
      <c r="O1746" s="19" t="str">
        <f t="shared" si="126"/>
        <v>300k–600k</v>
      </c>
      <c r="P1746" s="19" t="str">
        <f t="shared" si="127"/>
        <v>26-35</v>
      </c>
    </row>
    <row r="1747" spans="1:16" x14ac:dyDescent="0.25">
      <c r="A1747">
        <v>1746</v>
      </c>
      <c r="B1747" t="s">
        <v>9</v>
      </c>
      <c r="C1747">
        <v>389617</v>
      </c>
      <c r="D1747" t="s">
        <v>10</v>
      </c>
      <c r="E1747" t="s">
        <v>16</v>
      </c>
      <c r="F1747" t="s">
        <v>12</v>
      </c>
      <c r="G1747" t="s">
        <v>13</v>
      </c>
      <c r="H1747" t="s">
        <v>13</v>
      </c>
      <c r="I1747">
        <v>61</v>
      </c>
      <c r="J1747" t="str" cm="1">
        <f t="array" ref="J1747">_xlfn.IFS(ISBLANK(C1747),"FALTANTE",ABS((C1747-$W$5)/$X$5)&gt;1.96,"ATÍPICO",ABS((C1747-$W$5)/$X$5)&lt;=1.96,"NO ATÍPICO")</f>
        <v>NO ATÍPICO</v>
      </c>
      <c r="K1747" t="str" cm="1">
        <f t="array" ref="K1747">_xlfn.IFS(ISBLANK(I1747),"FALTANTE",ABS((I1747-$W$8)/$X$8)&gt;1.92,"ATÍPICO",ABS((I1747-$W$8)/$X$8)&lt;=1.92,"NO ATÍPICO")</f>
        <v>NO ATÍPICO</v>
      </c>
      <c r="L1747">
        <f t="shared" si="124"/>
        <v>389617</v>
      </c>
      <c r="M1747" t="str">
        <f t="shared" si="124"/>
        <v>ASALARIADO</v>
      </c>
      <c r="N1747">
        <f t="shared" si="125"/>
        <v>61</v>
      </c>
      <c r="O1747" s="19" t="str">
        <f t="shared" si="126"/>
        <v>300k–600k</v>
      </c>
      <c r="P1747" s="19" t="str">
        <f t="shared" si="127"/>
        <v>56+</v>
      </c>
    </row>
    <row r="1748" spans="1:16" x14ac:dyDescent="0.25">
      <c r="A1748">
        <v>1747</v>
      </c>
      <c r="B1748" t="s">
        <v>15</v>
      </c>
      <c r="C1748">
        <v>3312186.43</v>
      </c>
      <c r="D1748" t="s">
        <v>10</v>
      </c>
      <c r="E1748" t="s">
        <v>11</v>
      </c>
      <c r="F1748" t="s">
        <v>12</v>
      </c>
      <c r="G1748" t="s">
        <v>13</v>
      </c>
      <c r="H1748" t="s">
        <v>13</v>
      </c>
      <c r="I1748">
        <v>41</v>
      </c>
      <c r="J1748" t="str" cm="1">
        <f t="array" ref="J1748">_xlfn.IFS(ISBLANK(C1748),"FALTANTE",ABS((C1748-$W$5)/$X$5)&gt;1.96,"ATÍPICO",ABS((C1748-$W$5)/$X$5)&lt;=1.96,"NO ATÍPICO")</f>
        <v>ATÍPICO</v>
      </c>
      <c r="K1748" t="str" cm="1">
        <f t="array" ref="K1748">_xlfn.IFS(ISBLANK(I1748),"FALTANTE",ABS((I1748-$W$8)/$X$8)&gt;1.92,"ATÍPICO",ABS((I1748-$W$8)/$X$8)&lt;=1.92,"NO ATÍPICO")</f>
        <v>NO ATÍPICO</v>
      </c>
      <c r="L1748">
        <f t="shared" si="124"/>
        <v>3312186.43</v>
      </c>
      <c r="M1748" t="str">
        <f t="shared" si="124"/>
        <v>ASALARIADO</v>
      </c>
      <c r="N1748">
        <f t="shared" si="125"/>
        <v>41</v>
      </c>
      <c r="O1748" s="19" t="str">
        <f t="shared" si="126"/>
        <v>1200k+</v>
      </c>
      <c r="P1748" s="19" t="str">
        <f t="shared" si="127"/>
        <v>36-45</v>
      </c>
    </row>
    <row r="1749" spans="1:16" x14ac:dyDescent="0.25">
      <c r="A1749">
        <v>1748</v>
      </c>
      <c r="B1749" t="s">
        <v>9</v>
      </c>
      <c r="C1749">
        <v>331181</v>
      </c>
      <c r="D1749" t="s">
        <v>18</v>
      </c>
      <c r="E1749" t="s">
        <v>16</v>
      </c>
      <c r="F1749" t="s">
        <v>12</v>
      </c>
      <c r="G1749" t="s">
        <v>13</v>
      </c>
      <c r="H1749" t="s">
        <v>12</v>
      </c>
      <c r="I1749">
        <v>57</v>
      </c>
      <c r="J1749" t="str" cm="1">
        <f t="array" ref="J1749">_xlfn.IFS(ISBLANK(C1749),"FALTANTE",ABS((C1749-$W$5)/$X$5)&gt;1.96,"ATÍPICO",ABS((C1749-$W$5)/$X$5)&lt;=1.96,"NO ATÍPICO")</f>
        <v>NO ATÍPICO</v>
      </c>
      <c r="K1749" t="str" cm="1">
        <f t="array" ref="K1749">_xlfn.IFS(ISBLANK(I1749),"FALTANTE",ABS((I1749-$W$8)/$X$8)&gt;1.92,"ATÍPICO",ABS((I1749-$W$8)/$X$8)&lt;=1.92,"NO ATÍPICO")</f>
        <v>NO ATÍPICO</v>
      </c>
      <c r="L1749">
        <f t="shared" si="124"/>
        <v>331181</v>
      </c>
      <c r="M1749" t="str">
        <f t="shared" si="124"/>
        <v>TRABAJADOR INDEPENDIENTE</v>
      </c>
      <c r="N1749">
        <f t="shared" si="125"/>
        <v>57</v>
      </c>
      <c r="O1749" s="19" t="str">
        <f t="shared" si="126"/>
        <v>300k–600k</v>
      </c>
      <c r="P1749" s="19" t="str">
        <f t="shared" si="127"/>
        <v>56+</v>
      </c>
    </row>
    <row r="1750" spans="1:16" x14ac:dyDescent="0.25">
      <c r="A1750">
        <v>1749</v>
      </c>
      <c r="B1750" t="s">
        <v>9</v>
      </c>
      <c r="C1750">
        <v>196000</v>
      </c>
      <c r="D1750" t="s">
        <v>10</v>
      </c>
      <c r="E1750" t="s">
        <v>16</v>
      </c>
      <c r="F1750" t="s">
        <v>12</v>
      </c>
      <c r="G1750" t="s">
        <v>13</v>
      </c>
      <c r="H1750" t="s">
        <v>13</v>
      </c>
      <c r="I1750">
        <v>52</v>
      </c>
      <c r="J1750" t="str" cm="1">
        <f t="array" ref="J1750">_xlfn.IFS(ISBLANK(C1750),"FALTANTE",ABS((C1750-$W$5)/$X$5)&gt;1.96,"ATÍPICO",ABS((C1750-$W$5)/$X$5)&lt;=1.96,"NO ATÍPICO")</f>
        <v>NO ATÍPICO</v>
      </c>
      <c r="K1750" t="str" cm="1">
        <f t="array" ref="K1750">_xlfn.IFS(ISBLANK(I1750),"FALTANTE",ABS((I1750-$W$8)/$X$8)&gt;1.92,"ATÍPICO",ABS((I1750-$W$8)/$X$8)&lt;=1.92,"NO ATÍPICO")</f>
        <v>NO ATÍPICO</v>
      </c>
      <c r="L1750">
        <f t="shared" si="124"/>
        <v>196000</v>
      </c>
      <c r="M1750" t="str">
        <f t="shared" si="124"/>
        <v>ASALARIADO</v>
      </c>
      <c r="N1750">
        <f t="shared" si="125"/>
        <v>52</v>
      </c>
      <c r="O1750" s="19" t="str">
        <f t="shared" si="126"/>
        <v>0–300k</v>
      </c>
      <c r="P1750" s="19" t="str">
        <f t="shared" si="127"/>
        <v>46-55</v>
      </c>
    </row>
    <row r="1751" spans="1:16" x14ac:dyDescent="0.25">
      <c r="A1751">
        <v>1750</v>
      </c>
      <c r="B1751" t="s">
        <v>9</v>
      </c>
      <c r="C1751">
        <v>430000</v>
      </c>
      <c r="D1751" t="s">
        <v>10</v>
      </c>
      <c r="E1751" t="s">
        <v>16</v>
      </c>
      <c r="F1751" t="s">
        <v>12</v>
      </c>
      <c r="G1751" t="s">
        <v>13</v>
      </c>
      <c r="H1751" t="s">
        <v>13</v>
      </c>
      <c r="I1751">
        <v>39</v>
      </c>
      <c r="J1751" t="str" cm="1">
        <f t="array" ref="J1751">_xlfn.IFS(ISBLANK(C1751),"FALTANTE",ABS((C1751-$W$5)/$X$5)&gt;1.96,"ATÍPICO",ABS((C1751-$W$5)/$X$5)&lt;=1.96,"NO ATÍPICO")</f>
        <v>NO ATÍPICO</v>
      </c>
      <c r="K1751" t="str" cm="1">
        <f t="array" ref="K1751">_xlfn.IFS(ISBLANK(I1751),"FALTANTE",ABS((I1751-$W$8)/$X$8)&gt;1.92,"ATÍPICO",ABS((I1751-$W$8)/$X$8)&lt;=1.92,"NO ATÍPICO")</f>
        <v>NO ATÍPICO</v>
      </c>
      <c r="L1751">
        <f t="shared" si="124"/>
        <v>430000</v>
      </c>
      <c r="M1751" t="str">
        <f t="shared" si="124"/>
        <v>ASALARIADO</v>
      </c>
      <c r="N1751">
        <f t="shared" si="125"/>
        <v>39</v>
      </c>
      <c r="O1751" s="19" t="str">
        <f t="shared" si="126"/>
        <v>300k–600k</v>
      </c>
      <c r="P1751" s="19" t="str">
        <f t="shared" si="127"/>
        <v>36-45</v>
      </c>
    </row>
    <row r="1752" spans="1:16" x14ac:dyDescent="0.25">
      <c r="A1752">
        <v>1751</v>
      </c>
      <c r="B1752" t="s">
        <v>15</v>
      </c>
      <c r="C1752">
        <v>340000</v>
      </c>
      <c r="D1752" t="s">
        <v>10</v>
      </c>
      <c r="E1752" t="s">
        <v>16</v>
      </c>
      <c r="F1752" t="s">
        <v>12</v>
      </c>
      <c r="G1752" t="s">
        <v>13</v>
      </c>
      <c r="H1752" t="s">
        <v>13</v>
      </c>
      <c r="I1752">
        <v>26</v>
      </c>
      <c r="J1752" t="str" cm="1">
        <f t="array" ref="J1752">_xlfn.IFS(ISBLANK(C1752),"FALTANTE",ABS((C1752-$W$5)/$X$5)&gt;1.96,"ATÍPICO",ABS((C1752-$W$5)/$X$5)&lt;=1.96,"NO ATÍPICO")</f>
        <v>NO ATÍPICO</v>
      </c>
      <c r="K1752" t="str" cm="1">
        <f t="array" ref="K1752">_xlfn.IFS(ISBLANK(I1752),"FALTANTE",ABS((I1752-$W$8)/$X$8)&gt;1.92,"ATÍPICO",ABS((I1752-$W$8)/$X$8)&lt;=1.92,"NO ATÍPICO")</f>
        <v>NO ATÍPICO</v>
      </c>
      <c r="L1752">
        <f t="shared" si="124"/>
        <v>340000</v>
      </c>
      <c r="M1752" t="str">
        <f t="shared" si="124"/>
        <v>ASALARIADO</v>
      </c>
      <c r="N1752">
        <f t="shared" si="125"/>
        <v>26</v>
      </c>
      <c r="O1752" s="19" t="str">
        <f t="shared" si="126"/>
        <v>300k–600k</v>
      </c>
      <c r="P1752" s="19" t="str">
        <f t="shared" si="127"/>
        <v>26-35</v>
      </c>
    </row>
    <row r="1753" spans="1:16" x14ac:dyDescent="0.25">
      <c r="A1753">
        <v>1752</v>
      </c>
      <c r="B1753" t="s">
        <v>15</v>
      </c>
      <c r="C1753">
        <v>1183227.01</v>
      </c>
      <c r="D1753" t="s">
        <v>10</v>
      </c>
      <c r="E1753" t="s">
        <v>16</v>
      </c>
      <c r="F1753" t="s">
        <v>12</v>
      </c>
      <c r="G1753" t="s">
        <v>13</v>
      </c>
      <c r="H1753" t="s">
        <v>13</v>
      </c>
      <c r="I1753">
        <v>32</v>
      </c>
      <c r="J1753" t="str" cm="1">
        <f t="array" ref="J1753">_xlfn.IFS(ISBLANK(C1753),"FALTANTE",ABS((C1753-$W$5)/$X$5)&gt;1.96,"ATÍPICO",ABS((C1753-$W$5)/$X$5)&lt;=1.96,"NO ATÍPICO")</f>
        <v>NO ATÍPICO</v>
      </c>
      <c r="K1753" t="str" cm="1">
        <f t="array" ref="K1753">_xlfn.IFS(ISBLANK(I1753),"FALTANTE",ABS((I1753-$W$8)/$X$8)&gt;1.92,"ATÍPICO",ABS((I1753-$W$8)/$X$8)&lt;=1.92,"NO ATÍPICO")</f>
        <v>NO ATÍPICO</v>
      </c>
      <c r="L1753">
        <f t="shared" si="124"/>
        <v>1183227.01</v>
      </c>
      <c r="M1753" t="str">
        <f t="shared" si="124"/>
        <v>ASALARIADO</v>
      </c>
      <c r="N1753">
        <f t="shared" si="125"/>
        <v>32</v>
      </c>
      <c r="O1753" s="19" t="str">
        <f t="shared" si="126"/>
        <v>900k–1200k</v>
      </c>
      <c r="P1753" s="19" t="str">
        <f t="shared" si="127"/>
        <v>26-35</v>
      </c>
    </row>
    <row r="1754" spans="1:16" x14ac:dyDescent="0.25">
      <c r="A1754">
        <v>1753</v>
      </c>
      <c r="B1754" t="s">
        <v>15</v>
      </c>
      <c r="C1754">
        <v>392375</v>
      </c>
      <c r="D1754" t="s">
        <v>10</v>
      </c>
      <c r="E1754" t="s">
        <v>16</v>
      </c>
      <c r="F1754" t="s">
        <v>12</v>
      </c>
      <c r="G1754" t="s">
        <v>13</v>
      </c>
      <c r="H1754" t="s">
        <v>13</v>
      </c>
      <c r="I1754">
        <v>33</v>
      </c>
      <c r="J1754" t="str" cm="1">
        <f t="array" ref="J1754">_xlfn.IFS(ISBLANK(C1754),"FALTANTE",ABS((C1754-$W$5)/$X$5)&gt;1.96,"ATÍPICO",ABS((C1754-$W$5)/$X$5)&lt;=1.96,"NO ATÍPICO")</f>
        <v>NO ATÍPICO</v>
      </c>
      <c r="K1754" t="str" cm="1">
        <f t="array" ref="K1754">_xlfn.IFS(ISBLANK(I1754),"FALTANTE",ABS((I1754-$W$8)/$X$8)&gt;1.92,"ATÍPICO",ABS((I1754-$W$8)/$X$8)&lt;=1.92,"NO ATÍPICO")</f>
        <v>NO ATÍPICO</v>
      </c>
      <c r="L1754">
        <f t="shared" si="124"/>
        <v>392375</v>
      </c>
      <c r="M1754" t="str">
        <f t="shared" si="124"/>
        <v>ASALARIADO</v>
      </c>
      <c r="N1754">
        <f t="shared" si="125"/>
        <v>33</v>
      </c>
      <c r="O1754" s="19" t="str">
        <f t="shared" si="126"/>
        <v>300k–600k</v>
      </c>
      <c r="P1754" s="19" t="str">
        <f t="shared" si="127"/>
        <v>26-35</v>
      </c>
    </row>
    <row r="1755" spans="1:16" x14ac:dyDescent="0.25">
      <c r="A1755">
        <v>1754</v>
      </c>
      <c r="B1755" t="s">
        <v>15</v>
      </c>
      <c r="C1755">
        <v>278030</v>
      </c>
      <c r="D1755" t="s">
        <v>19</v>
      </c>
      <c r="E1755" t="s">
        <v>16</v>
      </c>
      <c r="F1755" t="s">
        <v>12</v>
      </c>
      <c r="G1755" t="s">
        <v>13</v>
      </c>
      <c r="H1755" t="s">
        <v>13</v>
      </c>
      <c r="I1755">
        <v>53</v>
      </c>
      <c r="J1755" t="str" cm="1">
        <f t="array" ref="J1755">_xlfn.IFS(ISBLANK(C1755),"FALTANTE",ABS((C1755-$W$5)/$X$5)&gt;1.96,"ATÍPICO",ABS((C1755-$W$5)/$X$5)&lt;=1.96,"NO ATÍPICO")</f>
        <v>NO ATÍPICO</v>
      </c>
      <c r="K1755" t="str" cm="1">
        <f t="array" ref="K1755">_xlfn.IFS(ISBLANK(I1755),"FALTANTE",ABS((I1755-$W$8)/$X$8)&gt;1.92,"ATÍPICO",ABS((I1755-$W$8)/$X$8)&lt;=1.92,"NO ATÍPICO")</f>
        <v>NO ATÍPICO</v>
      </c>
      <c r="L1755">
        <f t="shared" si="124"/>
        <v>278030</v>
      </c>
      <c r="M1755" t="str">
        <f t="shared" si="124"/>
        <v>CONVENIOS ESPECIALES DE TRABAJADORES INDEPENDIENTES</v>
      </c>
      <c r="N1755">
        <f t="shared" si="125"/>
        <v>53</v>
      </c>
      <c r="O1755" s="19" t="str">
        <f t="shared" si="126"/>
        <v>0–300k</v>
      </c>
      <c r="P1755" s="19" t="str">
        <f t="shared" si="127"/>
        <v>46-55</v>
      </c>
    </row>
    <row r="1756" spans="1:16" x14ac:dyDescent="0.25">
      <c r="A1756">
        <v>1755</v>
      </c>
      <c r="B1756" t="s">
        <v>15</v>
      </c>
      <c r="C1756">
        <v>436448</v>
      </c>
      <c r="D1756" t="s">
        <v>18</v>
      </c>
      <c r="E1756" t="s">
        <v>16</v>
      </c>
      <c r="F1756" t="s">
        <v>12</v>
      </c>
      <c r="G1756" t="s">
        <v>13</v>
      </c>
      <c r="H1756" t="s">
        <v>13</v>
      </c>
      <c r="I1756">
        <v>37</v>
      </c>
      <c r="J1756" t="str" cm="1">
        <f t="array" ref="J1756">_xlfn.IFS(ISBLANK(C1756),"FALTANTE",ABS((C1756-$W$5)/$X$5)&gt;1.96,"ATÍPICO",ABS((C1756-$W$5)/$X$5)&lt;=1.96,"NO ATÍPICO")</f>
        <v>NO ATÍPICO</v>
      </c>
      <c r="K1756" t="str" cm="1">
        <f t="array" ref="K1756">_xlfn.IFS(ISBLANK(I1756),"FALTANTE",ABS((I1756-$W$8)/$X$8)&gt;1.92,"ATÍPICO",ABS((I1756-$W$8)/$X$8)&lt;=1.92,"NO ATÍPICO")</f>
        <v>NO ATÍPICO</v>
      </c>
      <c r="L1756">
        <f t="shared" si="124"/>
        <v>436448</v>
      </c>
      <c r="M1756" t="str">
        <f t="shared" si="124"/>
        <v>TRABAJADOR INDEPENDIENTE</v>
      </c>
      <c r="N1756">
        <f t="shared" si="125"/>
        <v>37</v>
      </c>
      <c r="O1756" s="19" t="str">
        <f t="shared" si="126"/>
        <v>300k–600k</v>
      </c>
      <c r="P1756" s="19" t="str">
        <f t="shared" si="127"/>
        <v>36-45</v>
      </c>
    </row>
    <row r="1757" spans="1:16" x14ac:dyDescent="0.25">
      <c r="A1757">
        <v>1756</v>
      </c>
      <c r="B1757" t="s">
        <v>9</v>
      </c>
      <c r="C1757">
        <v>219381.52</v>
      </c>
      <c r="D1757" t="s">
        <v>10</v>
      </c>
      <c r="E1757" t="s">
        <v>16</v>
      </c>
      <c r="F1757" t="s">
        <v>12</v>
      </c>
      <c r="G1757" t="s">
        <v>12</v>
      </c>
      <c r="H1757" t="s">
        <v>13</v>
      </c>
      <c r="I1757">
        <v>53</v>
      </c>
      <c r="J1757" t="str" cm="1">
        <f t="array" ref="J1757">_xlfn.IFS(ISBLANK(C1757),"FALTANTE",ABS((C1757-$W$5)/$X$5)&gt;1.96,"ATÍPICO",ABS((C1757-$W$5)/$X$5)&lt;=1.96,"NO ATÍPICO")</f>
        <v>NO ATÍPICO</v>
      </c>
      <c r="K1757" t="str" cm="1">
        <f t="array" ref="K1757">_xlfn.IFS(ISBLANK(I1757),"FALTANTE",ABS((I1757-$W$8)/$X$8)&gt;1.92,"ATÍPICO",ABS((I1757-$W$8)/$X$8)&lt;=1.92,"NO ATÍPICO")</f>
        <v>NO ATÍPICO</v>
      </c>
      <c r="L1757">
        <f t="shared" si="124"/>
        <v>219381.52</v>
      </c>
      <c r="M1757" t="str">
        <f t="shared" si="124"/>
        <v>ASALARIADO</v>
      </c>
      <c r="N1757">
        <f t="shared" si="125"/>
        <v>53</v>
      </c>
      <c r="O1757" s="19" t="str">
        <f t="shared" si="126"/>
        <v>0–300k</v>
      </c>
      <c r="P1757" s="19" t="str">
        <f t="shared" si="127"/>
        <v>46-55</v>
      </c>
    </row>
    <row r="1758" spans="1:16" x14ac:dyDescent="0.25">
      <c r="A1758">
        <v>1757</v>
      </c>
      <c r="B1758" t="s">
        <v>15</v>
      </c>
      <c r="C1758">
        <v>359500</v>
      </c>
      <c r="D1758" t="s">
        <v>10</v>
      </c>
      <c r="E1758" t="s">
        <v>16</v>
      </c>
      <c r="F1758" t="s">
        <v>12</v>
      </c>
      <c r="G1758" t="s">
        <v>13</v>
      </c>
      <c r="H1758" t="s">
        <v>13</v>
      </c>
      <c r="I1758">
        <v>41</v>
      </c>
      <c r="J1758" t="str" cm="1">
        <f t="array" ref="J1758">_xlfn.IFS(ISBLANK(C1758),"FALTANTE",ABS((C1758-$W$5)/$X$5)&gt;1.96,"ATÍPICO",ABS((C1758-$W$5)/$X$5)&lt;=1.96,"NO ATÍPICO")</f>
        <v>NO ATÍPICO</v>
      </c>
      <c r="K1758" t="str" cm="1">
        <f t="array" ref="K1758">_xlfn.IFS(ISBLANK(I1758),"FALTANTE",ABS((I1758-$W$8)/$X$8)&gt;1.92,"ATÍPICO",ABS((I1758-$W$8)/$X$8)&lt;=1.92,"NO ATÍPICO")</f>
        <v>NO ATÍPICO</v>
      </c>
      <c r="L1758">
        <f t="shared" si="124"/>
        <v>359500</v>
      </c>
      <c r="M1758" t="str">
        <f t="shared" si="124"/>
        <v>ASALARIADO</v>
      </c>
      <c r="N1758">
        <f t="shared" si="125"/>
        <v>41</v>
      </c>
      <c r="O1758" s="19" t="str">
        <f t="shared" si="126"/>
        <v>300k–600k</v>
      </c>
      <c r="P1758" s="19" t="str">
        <f t="shared" si="127"/>
        <v>36-45</v>
      </c>
    </row>
    <row r="1759" spans="1:16" x14ac:dyDescent="0.25">
      <c r="A1759">
        <v>1758</v>
      </c>
      <c r="B1759" t="s">
        <v>9</v>
      </c>
      <c r="C1759">
        <v>300018</v>
      </c>
      <c r="D1759" t="s">
        <v>18</v>
      </c>
      <c r="E1759" t="s">
        <v>16</v>
      </c>
      <c r="F1759" t="s">
        <v>12</v>
      </c>
      <c r="G1759" t="s">
        <v>13</v>
      </c>
      <c r="H1759" t="s">
        <v>12</v>
      </c>
      <c r="I1759">
        <v>62</v>
      </c>
      <c r="J1759" t="str" cm="1">
        <f t="array" ref="J1759">_xlfn.IFS(ISBLANK(C1759),"FALTANTE",ABS((C1759-$W$5)/$X$5)&gt;1.96,"ATÍPICO",ABS((C1759-$W$5)/$X$5)&lt;=1.96,"NO ATÍPICO")</f>
        <v>NO ATÍPICO</v>
      </c>
      <c r="K1759" t="str" cm="1">
        <f t="array" ref="K1759">_xlfn.IFS(ISBLANK(I1759),"FALTANTE",ABS((I1759-$W$8)/$X$8)&gt;1.92,"ATÍPICO",ABS((I1759-$W$8)/$X$8)&lt;=1.92,"NO ATÍPICO")</f>
        <v>NO ATÍPICO</v>
      </c>
      <c r="L1759">
        <f t="shared" si="124"/>
        <v>300018</v>
      </c>
      <c r="M1759" t="str">
        <f t="shared" si="124"/>
        <v>TRABAJADOR INDEPENDIENTE</v>
      </c>
      <c r="N1759">
        <f t="shared" si="125"/>
        <v>62</v>
      </c>
      <c r="O1759" s="19" t="str">
        <f t="shared" si="126"/>
        <v>300k–600k</v>
      </c>
      <c r="P1759" s="19" t="str">
        <f t="shared" si="127"/>
        <v>56+</v>
      </c>
    </row>
    <row r="1760" spans="1:16" x14ac:dyDescent="0.25">
      <c r="A1760">
        <v>1759</v>
      </c>
      <c r="B1760" t="s">
        <v>9</v>
      </c>
      <c r="C1760">
        <v>300018</v>
      </c>
      <c r="D1760" t="s">
        <v>17</v>
      </c>
      <c r="E1760" t="s">
        <v>16</v>
      </c>
      <c r="F1760" t="s">
        <v>12</v>
      </c>
      <c r="G1760" t="s">
        <v>13</v>
      </c>
      <c r="H1760" t="s">
        <v>13</v>
      </c>
      <c r="I1760">
        <v>60</v>
      </c>
      <c r="J1760" t="str" cm="1">
        <f t="array" ref="J1760">_xlfn.IFS(ISBLANK(C1760),"FALTANTE",ABS((C1760-$W$5)/$X$5)&gt;1.96,"ATÍPICO",ABS((C1760-$W$5)/$X$5)&lt;=1.96,"NO ATÍPICO")</f>
        <v>NO ATÍPICO</v>
      </c>
      <c r="K1760" t="str" cm="1">
        <f t="array" ref="K1760">_xlfn.IFS(ISBLANK(I1760),"FALTANTE",ABS((I1760-$W$8)/$X$8)&gt;1.92,"ATÍPICO",ABS((I1760-$W$8)/$X$8)&lt;=1.92,"NO ATÍPICO")</f>
        <v>NO ATÍPICO</v>
      </c>
      <c r="L1760">
        <f t="shared" si="124"/>
        <v>300018</v>
      </c>
      <c r="M1760" t="str">
        <f t="shared" si="124"/>
        <v>ASEGURADO VOLUNTARIO</v>
      </c>
      <c r="N1760">
        <f t="shared" si="125"/>
        <v>60</v>
      </c>
      <c r="O1760" s="19" t="str">
        <f t="shared" si="126"/>
        <v>300k–600k</v>
      </c>
      <c r="P1760" s="19" t="str">
        <f t="shared" si="127"/>
        <v>56+</v>
      </c>
    </row>
    <row r="1761" spans="1:16" x14ac:dyDescent="0.25">
      <c r="A1761">
        <v>1760</v>
      </c>
      <c r="B1761" t="s">
        <v>9</v>
      </c>
      <c r="C1761">
        <v>297046</v>
      </c>
      <c r="D1761" t="s">
        <v>17</v>
      </c>
      <c r="E1761" t="s">
        <v>16</v>
      </c>
      <c r="F1761" t="s">
        <v>12</v>
      </c>
      <c r="G1761" t="s">
        <v>13</v>
      </c>
      <c r="H1761" t="s">
        <v>13</v>
      </c>
      <c r="I1761">
        <v>68</v>
      </c>
      <c r="J1761" t="str" cm="1">
        <f t="array" ref="J1761">_xlfn.IFS(ISBLANK(C1761),"FALTANTE",ABS((C1761-$W$5)/$X$5)&gt;1.96,"ATÍPICO",ABS((C1761-$W$5)/$X$5)&lt;=1.96,"NO ATÍPICO")</f>
        <v>NO ATÍPICO</v>
      </c>
      <c r="K1761" t="str" cm="1">
        <f t="array" ref="K1761">_xlfn.IFS(ISBLANK(I1761),"FALTANTE",ABS((I1761-$W$8)/$X$8)&gt;1.92,"ATÍPICO",ABS((I1761-$W$8)/$X$8)&lt;=1.92,"NO ATÍPICO")</f>
        <v>NO ATÍPICO</v>
      </c>
      <c r="L1761">
        <f t="shared" si="124"/>
        <v>297046</v>
      </c>
      <c r="M1761" t="str">
        <f t="shared" si="124"/>
        <v>ASEGURADO VOLUNTARIO</v>
      </c>
      <c r="N1761">
        <f t="shared" si="125"/>
        <v>68</v>
      </c>
      <c r="O1761" s="19" t="str">
        <f t="shared" si="126"/>
        <v>0–300k</v>
      </c>
      <c r="P1761" s="19" t="str">
        <f t="shared" si="127"/>
        <v>56+</v>
      </c>
    </row>
    <row r="1762" spans="1:16" x14ac:dyDescent="0.25">
      <c r="A1762">
        <v>1761</v>
      </c>
      <c r="B1762" t="s">
        <v>9</v>
      </c>
      <c r="C1762">
        <v>425916.67</v>
      </c>
      <c r="D1762" t="s">
        <v>10</v>
      </c>
      <c r="E1762" t="s">
        <v>16</v>
      </c>
      <c r="F1762" t="s">
        <v>12</v>
      </c>
      <c r="G1762" t="s">
        <v>13</v>
      </c>
      <c r="H1762" t="s">
        <v>13</v>
      </c>
      <c r="I1762">
        <v>22</v>
      </c>
      <c r="J1762" t="str" cm="1">
        <f t="array" ref="J1762">_xlfn.IFS(ISBLANK(C1762),"FALTANTE",ABS((C1762-$W$5)/$X$5)&gt;1.96,"ATÍPICO",ABS((C1762-$W$5)/$X$5)&lt;=1.96,"NO ATÍPICO")</f>
        <v>NO ATÍPICO</v>
      </c>
      <c r="K1762" t="str" cm="1">
        <f t="array" ref="K1762">_xlfn.IFS(ISBLANK(I1762),"FALTANTE",ABS((I1762-$W$8)/$X$8)&gt;1.92,"ATÍPICO",ABS((I1762-$W$8)/$X$8)&lt;=1.92,"NO ATÍPICO")</f>
        <v>NO ATÍPICO</v>
      </c>
      <c r="L1762">
        <f t="shared" si="124"/>
        <v>425916.67</v>
      </c>
      <c r="M1762" t="str">
        <f t="shared" si="124"/>
        <v>ASALARIADO</v>
      </c>
      <c r="N1762">
        <f t="shared" si="125"/>
        <v>22</v>
      </c>
      <c r="O1762" s="19" t="str">
        <f t="shared" si="126"/>
        <v>300k–600k</v>
      </c>
      <c r="P1762" s="19" t="str">
        <f t="shared" si="127"/>
        <v>18-25</v>
      </c>
    </row>
    <row r="1763" spans="1:16" x14ac:dyDescent="0.25">
      <c r="A1763">
        <v>1762</v>
      </c>
      <c r="B1763" t="s">
        <v>15</v>
      </c>
      <c r="C1763">
        <v>318064</v>
      </c>
      <c r="D1763" t="s">
        <v>18</v>
      </c>
      <c r="E1763" t="s">
        <v>16</v>
      </c>
      <c r="F1763" t="s">
        <v>12</v>
      </c>
      <c r="G1763" t="s">
        <v>13</v>
      </c>
      <c r="H1763" t="s">
        <v>12</v>
      </c>
      <c r="I1763">
        <v>38</v>
      </c>
      <c r="J1763" t="str" cm="1">
        <f t="array" ref="J1763">_xlfn.IFS(ISBLANK(C1763),"FALTANTE",ABS((C1763-$W$5)/$X$5)&gt;1.96,"ATÍPICO",ABS((C1763-$W$5)/$X$5)&lt;=1.96,"NO ATÍPICO")</f>
        <v>NO ATÍPICO</v>
      </c>
      <c r="K1763" t="str" cm="1">
        <f t="array" ref="K1763">_xlfn.IFS(ISBLANK(I1763),"FALTANTE",ABS((I1763-$W$8)/$X$8)&gt;1.92,"ATÍPICO",ABS((I1763-$W$8)/$X$8)&lt;=1.92,"NO ATÍPICO")</f>
        <v>NO ATÍPICO</v>
      </c>
      <c r="L1763">
        <f t="shared" si="124"/>
        <v>318064</v>
      </c>
      <c r="M1763" t="str">
        <f t="shared" si="124"/>
        <v>TRABAJADOR INDEPENDIENTE</v>
      </c>
      <c r="N1763">
        <f t="shared" si="125"/>
        <v>38</v>
      </c>
      <c r="O1763" s="19" t="str">
        <f t="shared" si="126"/>
        <v>300k–600k</v>
      </c>
      <c r="P1763" s="19" t="str">
        <f t="shared" si="127"/>
        <v>36-45</v>
      </c>
    </row>
    <row r="1764" spans="1:16" x14ac:dyDescent="0.25">
      <c r="A1764">
        <v>1763</v>
      </c>
      <c r="B1764" t="s">
        <v>9</v>
      </c>
      <c r="C1764">
        <v>949245.1</v>
      </c>
      <c r="D1764" t="s">
        <v>10</v>
      </c>
      <c r="E1764" t="s">
        <v>11</v>
      </c>
      <c r="F1764" t="s">
        <v>12</v>
      </c>
      <c r="G1764" t="s">
        <v>13</v>
      </c>
      <c r="H1764" t="s">
        <v>13</v>
      </c>
      <c r="I1764">
        <v>44</v>
      </c>
      <c r="J1764" t="str" cm="1">
        <f t="array" ref="J1764">_xlfn.IFS(ISBLANK(C1764),"FALTANTE",ABS((C1764-$W$5)/$X$5)&gt;1.96,"ATÍPICO",ABS((C1764-$W$5)/$X$5)&lt;=1.96,"NO ATÍPICO")</f>
        <v>NO ATÍPICO</v>
      </c>
      <c r="K1764" t="str" cm="1">
        <f t="array" ref="K1764">_xlfn.IFS(ISBLANK(I1764),"FALTANTE",ABS((I1764-$W$8)/$X$8)&gt;1.92,"ATÍPICO",ABS((I1764-$W$8)/$X$8)&lt;=1.92,"NO ATÍPICO")</f>
        <v>NO ATÍPICO</v>
      </c>
      <c r="L1764">
        <f t="shared" si="124"/>
        <v>949245.1</v>
      </c>
      <c r="M1764" t="str">
        <f t="shared" si="124"/>
        <v>ASALARIADO</v>
      </c>
      <c r="N1764">
        <f t="shared" si="125"/>
        <v>44</v>
      </c>
      <c r="O1764" s="19" t="str">
        <f t="shared" si="126"/>
        <v>900k–1200k</v>
      </c>
      <c r="P1764" s="19" t="str">
        <f t="shared" si="127"/>
        <v>36-45</v>
      </c>
    </row>
    <row r="1765" spans="1:16" x14ac:dyDescent="0.25">
      <c r="A1765">
        <v>1764</v>
      </c>
      <c r="B1765" t="s">
        <v>9</v>
      </c>
      <c r="C1765">
        <v>329608</v>
      </c>
      <c r="D1765" t="s">
        <v>18</v>
      </c>
      <c r="E1765" t="s">
        <v>16</v>
      </c>
      <c r="F1765" t="s">
        <v>12</v>
      </c>
      <c r="G1765" t="s">
        <v>13</v>
      </c>
      <c r="H1765" t="s">
        <v>13</v>
      </c>
      <c r="I1765">
        <v>44</v>
      </c>
      <c r="J1765" t="str" cm="1">
        <f t="array" ref="J1765">_xlfn.IFS(ISBLANK(C1765),"FALTANTE",ABS((C1765-$W$5)/$X$5)&gt;1.96,"ATÍPICO",ABS((C1765-$W$5)/$X$5)&lt;=1.96,"NO ATÍPICO")</f>
        <v>NO ATÍPICO</v>
      </c>
      <c r="K1765" t="str" cm="1">
        <f t="array" ref="K1765">_xlfn.IFS(ISBLANK(I1765),"FALTANTE",ABS((I1765-$W$8)/$X$8)&gt;1.92,"ATÍPICO",ABS((I1765-$W$8)/$X$8)&lt;=1.92,"NO ATÍPICO")</f>
        <v>NO ATÍPICO</v>
      </c>
      <c r="L1765">
        <f t="shared" si="124"/>
        <v>329608</v>
      </c>
      <c r="M1765" t="str">
        <f t="shared" si="124"/>
        <v>TRABAJADOR INDEPENDIENTE</v>
      </c>
      <c r="N1765">
        <f t="shared" si="125"/>
        <v>44</v>
      </c>
      <c r="O1765" s="19" t="str">
        <f t="shared" si="126"/>
        <v>300k–600k</v>
      </c>
      <c r="P1765" s="19" t="str">
        <f t="shared" si="127"/>
        <v>36-45</v>
      </c>
    </row>
    <row r="1766" spans="1:16" x14ac:dyDescent="0.25">
      <c r="A1766">
        <v>1765</v>
      </c>
      <c r="B1766" t="s">
        <v>15</v>
      </c>
      <c r="C1766">
        <v>339188.14</v>
      </c>
      <c r="D1766" t="s">
        <v>10</v>
      </c>
      <c r="E1766" t="s">
        <v>16</v>
      </c>
      <c r="F1766" t="s">
        <v>12</v>
      </c>
      <c r="G1766" t="s">
        <v>13</v>
      </c>
      <c r="H1766" t="s">
        <v>13</v>
      </c>
      <c r="I1766">
        <v>24</v>
      </c>
      <c r="J1766" t="str" cm="1">
        <f t="array" ref="J1766">_xlfn.IFS(ISBLANK(C1766),"FALTANTE",ABS((C1766-$W$5)/$X$5)&gt;1.96,"ATÍPICO",ABS((C1766-$W$5)/$X$5)&lt;=1.96,"NO ATÍPICO")</f>
        <v>NO ATÍPICO</v>
      </c>
      <c r="K1766" t="str" cm="1">
        <f t="array" ref="K1766">_xlfn.IFS(ISBLANK(I1766),"FALTANTE",ABS((I1766-$W$8)/$X$8)&gt;1.92,"ATÍPICO",ABS((I1766-$W$8)/$X$8)&lt;=1.92,"NO ATÍPICO")</f>
        <v>NO ATÍPICO</v>
      </c>
      <c r="L1766">
        <f t="shared" si="124"/>
        <v>339188.14</v>
      </c>
      <c r="M1766" t="str">
        <f t="shared" si="124"/>
        <v>ASALARIADO</v>
      </c>
      <c r="N1766">
        <f t="shared" si="125"/>
        <v>24</v>
      </c>
      <c r="O1766" s="19" t="str">
        <f t="shared" si="126"/>
        <v>300k–600k</v>
      </c>
      <c r="P1766" s="19" t="str">
        <f t="shared" si="127"/>
        <v>18-25</v>
      </c>
    </row>
    <row r="1767" spans="1:16" x14ac:dyDescent="0.25">
      <c r="A1767">
        <v>1766</v>
      </c>
      <c r="B1767" t="s">
        <v>15</v>
      </c>
      <c r="C1767">
        <v>377760.6</v>
      </c>
      <c r="D1767" t="s">
        <v>10</v>
      </c>
      <c r="E1767" t="s">
        <v>16</v>
      </c>
      <c r="F1767" t="s">
        <v>12</v>
      </c>
      <c r="G1767" t="s">
        <v>13</v>
      </c>
      <c r="H1767" t="s">
        <v>13</v>
      </c>
      <c r="I1767">
        <v>19</v>
      </c>
      <c r="J1767" t="str" cm="1">
        <f t="array" ref="J1767">_xlfn.IFS(ISBLANK(C1767),"FALTANTE",ABS((C1767-$W$5)/$X$5)&gt;1.96,"ATÍPICO",ABS((C1767-$W$5)/$X$5)&lt;=1.96,"NO ATÍPICO")</f>
        <v>NO ATÍPICO</v>
      </c>
      <c r="K1767" t="str" cm="1">
        <f t="array" ref="K1767">_xlfn.IFS(ISBLANK(I1767),"FALTANTE",ABS((I1767-$W$8)/$X$8)&gt;1.92,"ATÍPICO",ABS((I1767-$W$8)/$X$8)&lt;=1.92,"NO ATÍPICO")</f>
        <v>NO ATÍPICO</v>
      </c>
      <c r="L1767">
        <f t="shared" si="124"/>
        <v>377760.6</v>
      </c>
      <c r="M1767" t="str">
        <f t="shared" si="124"/>
        <v>ASALARIADO</v>
      </c>
      <c r="N1767">
        <f t="shared" si="125"/>
        <v>19</v>
      </c>
      <c r="O1767" s="19" t="str">
        <f t="shared" si="126"/>
        <v>300k–600k</v>
      </c>
      <c r="P1767" s="19" t="str">
        <f t="shared" si="127"/>
        <v>18-25</v>
      </c>
    </row>
    <row r="1768" spans="1:16" x14ac:dyDescent="0.25">
      <c r="A1768">
        <v>1767</v>
      </c>
      <c r="B1768" t="s">
        <v>9</v>
      </c>
      <c r="C1768">
        <v>300010</v>
      </c>
      <c r="D1768" t="s">
        <v>17</v>
      </c>
      <c r="E1768" t="s">
        <v>16</v>
      </c>
      <c r="F1768" t="s">
        <v>12</v>
      </c>
      <c r="G1768" t="s">
        <v>13</v>
      </c>
      <c r="H1768" t="s">
        <v>13</v>
      </c>
      <c r="I1768">
        <v>44</v>
      </c>
      <c r="J1768" t="str" cm="1">
        <f t="array" ref="J1768">_xlfn.IFS(ISBLANK(C1768),"FALTANTE",ABS((C1768-$W$5)/$X$5)&gt;1.96,"ATÍPICO",ABS((C1768-$W$5)/$X$5)&lt;=1.96,"NO ATÍPICO")</f>
        <v>NO ATÍPICO</v>
      </c>
      <c r="K1768" t="str" cm="1">
        <f t="array" ref="K1768">_xlfn.IFS(ISBLANK(I1768),"FALTANTE",ABS((I1768-$W$8)/$X$8)&gt;1.92,"ATÍPICO",ABS((I1768-$W$8)/$X$8)&lt;=1.92,"NO ATÍPICO")</f>
        <v>NO ATÍPICO</v>
      </c>
      <c r="L1768">
        <f t="shared" si="124"/>
        <v>300010</v>
      </c>
      <c r="M1768" t="str">
        <f t="shared" si="124"/>
        <v>ASEGURADO VOLUNTARIO</v>
      </c>
      <c r="N1768">
        <f t="shared" si="125"/>
        <v>44</v>
      </c>
      <c r="O1768" s="19" t="str">
        <f t="shared" si="126"/>
        <v>300k–600k</v>
      </c>
      <c r="P1768" s="19" t="str">
        <f t="shared" si="127"/>
        <v>36-45</v>
      </c>
    </row>
    <row r="1769" spans="1:16" x14ac:dyDescent="0.25">
      <c r="A1769">
        <v>1768</v>
      </c>
      <c r="B1769" t="s">
        <v>15</v>
      </c>
      <c r="C1769">
        <v>360000</v>
      </c>
      <c r="D1769" t="s">
        <v>10</v>
      </c>
      <c r="E1769" t="s">
        <v>16</v>
      </c>
      <c r="F1769" t="s">
        <v>12</v>
      </c>
      <c r="G1769" t="s">
        <v>13</v>
      </c>
      <c r="H1769" t="s">
        <v>13</v>
      </c>
      <c r="I1769">
        <v>23</v>
      </c>
      <c r="J1769" t="str" cm="1">
        <f t="array" ref="J1769">_xlfn.IFS(ISBLANK(C1769),"FALTANTE",ABS((C1769-$W$5)/$X$5)&gt;1.96,"ATÍPICO",ABS((C1769-$W$5)/$X$5)&lt;=1.96,"NO ATÍPICO")</f>
        <v>NO ATÍPICO</v>
      </c>
      <c r="K1769" t="str" cm="1">
        <f t="array" ref="K1769">_xlfn.IFS(ISBLANK(I1769),"FALTANTE",ABS((I1769-$W$8)/$X$8)&gt;1.92,"ATÍPICO",ABS((I1769-$W$8)/$X$8)&lt;=1.92,"NO ATÍPICO")</f>
        <v>NO ATÍPICO</v>
      </c>
      <c r="L1769">
        <f t="shared" si="124"/>
        <v>360000</v>
      </c>
      <c r="M1769" t="str">
        <f t="shared" si="124"/>
        <v>ASALARIADO</v>
      </c>
      <c r="N1769">
        <f t="shared" si="125"/>
        <v>23</v>
      </c>
      <c r="O1769" s="19" t="str">
        <f t="shared" si="126"/>
        <v>300k–600k</v>
      </c>
      <c r="P1769" s="19" t="str">
        <f t="shared" si="127"/>
        <v>18-25</v>
      </c>
    </row>
    <row r="1770" spans="1:16" x14ac:dyDescent="0.25">
      <c r="A1770">
        <v>1769</v>
      </c>
      <c r="B1770" t="s">
        <v>9</v>
      </c>
      <c r="C1770">
        <v>305704</v>
      </c>
      <c r="D1770" t="s">
        <v>17</v>
      </c>
      <c r="E1770" t="s">
        <v>16</v>
      </c>
      <c r="F1770" t="s">
        <v>12</v>
      </c>
      <c r="G1770" t="s">
        <v>13</v>
      </c>
      <c r="H1770" t="s">
        <v>13</v>
      </c>
      <c r="I1770">
        <v>60</v>
      </c>
      <c r="J1770" t="str" cm="1">
        <f t="array" ref="J1770">_xlfn.IFS(ISBLANK(C1770),"FALTANTE",ABS((C1770-$W$5)/$X$5)&gt;1.96,"ATÍPICO",ABS((C1770-$W$5)/$X$5)&lt;=1.96,"NO ATÍPICO")</f>
        <v>NO ATÍPICO</v>
      </c>
      <c r="K1770" t="str" cm="1">
        <f t="array" ref="K1770">_xlfn.IFS(ISBLANK(I1770),"FALTANTE",ABS((I1770-$W$8)/$X$8)&gt;1.92,"ATÍPICO",ABS((I1770-$W$8)/$X$8)&lt;=1.92,"NO ATÍPICO")</f>
        <v>NO ATÍPICO</v>
      </c>
      <c r="L1770">
        <f t="shared" si="124"/>
        <v>305704</v>
      </c>
      <c r="M1770" t="str">
        <f t="shared" si="124"/>
        <v>ASEGURADO VOLUNTARIO</v>
      </c>
      <c r="N1770">
        <f t="shared" si="125"/>
        <v>60</v>
      </c>
      <c r="O1770" s="19" t="str">
        <f t="shared" si="126"/>
        <v>300k–600k</v>
      </c>
      <c r="P1770" s="19" t="str">
        <f t="shared" si="127"/>
        <v>56+</v>
      </c>
    </row>
    <row r="1771" spans="1:16" x14ac:dyDescent="0.25">
      <c r="A1771">
        <v>1770</v>
      </c>
      <c r="B1771" t="s">
        <v>9</v>
      </c>
      <c r="C1771">
        <v>349670.3</v>
      </c>
      <c r="D1771" t="s">
        <v>10</v>
      </c>
      <c r="E1771" t="s">
        <v>16</v>
      </c>
      <c r="F1771" t="s">
        <v>12</v>
      </c>
      <c r="G1771" t="s">
        <v>13</v>
      </c>
      <c r="H1771" t="s">
        <v>13</v>
      </c>
      <c r="I1771">
        <v>32</v>
      </c>
      <c r="J1771" t="str" cm="1">
        <f t="array" ref="J1771">_xlfn.IFS(ISBLANK(C1771),"FALTANTE",ABS((C1771-$W$5)/$X$5)&gt;1.96,"ATÍPICO",ABS((C1771-$W$5)/$X$5)&lt;=1.96,"NO ATÍPICO")</f>
        <v>NO ATÍPICO</v>
      </c>
      <c r="K1771" t="str" cm="1">
        <f t="array" ref="K1771">_xlfn.IFS(ISBLANK(I1771),"FALTANTE",ABS((I1771-$W$8)/$X$8)&gt;1.92,"ATÍPICO",ABS((I1771-$W$8)/$X$8)&lt;=1.92,"NO ATÍPICO")</f>
        <v>NO ATÍPICO</v>
      </c>
      <c r="L1771">
        <f t="shared" si="124"/>
        <v>349670.3</v>
      </c>
      <c r="M1771" t="str">
        <f t="shared" si="124"/>
        <v>ASALARIADO</v>
      </c>
      <c r="N1771">
        <f t="shared" si="125"/>
        <v>32</v>
      </c>
      <c r="O1771" s="19" t="str">
        <f t="shared" si="126"/>
        <v>300k–600k</v>
      </c>
      <c r="P1771" s="19" t="str">
        <f t="shared" si="127"/>
        <v>26-35</v>
      </c>
    </row>
    <row r="1772" spans="1:16" x14ac:dyDescent="0.25">
      <c r="A1772">
        <v>1771</v>
      </c>
      <c r="B1772" t="s">
        <v>9</v>
      </c>
      <c r="C1772">
        <v>381385.92</v>
      </c>
      <c r="D1772" t="s">
        <v>10</v>
      </c>
      <c r="E1772" t="s">
        <v>16</v>
      </c>
      <c r="F1772" t="s">
        <v>12</v>
      </c>
      <c r="G1772" t="s">
        <v>13</v>
      </c>
      <c r="H1772" t="s">
        <v>13</v>
      </c>
      <c r="I1772">
        <v>43</v>
      </c>
      <c r="J1772" t="str" cm="1">
        <f t="array" ref="J1772">_xlfn.IFS(ISBLANK(C1772),"FALTANTE",ABS((C1772-$W$5)/$X$5)&gt;1.96,"ATÍPICO",ABS((C1772-$W$5)/$X$5)&lt;=1.96,"NO ATÍPICO")</f>
        <v>NO ATÍPICO</v>
      </c>
      <c r="K1772" t="str" cm="1">
        <f t="array" ref="K1772">_xlfn.IFS(ISBLANK(I1772),"FALTANTE",ABS((I1772-$W$8)/$X$8)&gt;1.92,"ATÍPICO",ABS((I1772-$W$8)/$X$8)&lt;=1.92,"NO ATÍPICO")</f>
        <v>NO ATÍPICO</v>
      </c>
      <c r="L1772">
        <f t="shared" si="124"/>
        <v>381385.92</v>
      </c>
      <c r="M1772" t="str">
        <f t="shared" si="124"/>
        <v>ASALARIADO</v>
      </c>
      <c r="N1772">
        <f t="shared" si="125"/>
        <v>43</v>
      </c>
      <c r="O1772" s="19" t="str">
        <f t="shared" si="126"/>
        <v>300k–600k</v>
      </c>
      <c r="P1772" s="19" t="str">
        <f t="shared" si="127"/>
        <v>36-45</v>
      </c>
    </row>
    <row r="1773" spans="1:16" x14ac:dyDescent="0.25">
      <c r="A1773">
        <v>1772</v>
      </c>
      <c r="B1773" t="s">
        <v>9</v>
      </c>
      <c r="C1773">
        <v>1272000</v>
      </c>
      <c r="D1773" t="s">
        <v>10</v>
      </c>
      <c r="E1773" t="s">
        <v>16</v>
      </c>
      <c r="F1773" t="s">
        <v>12</v>
      </c>
      <c r="G1773" t="s">
        <v>13</v>
      </c>
      <c r="H1773" t="s">
        <v>13</v>
      </c>
      <c r="I1773">
        <v>32</v>
      </c>
      <c r="J1773" t="str" cm="1">
        <f t="array" ref="J1773">_xlfn.IFS(ISBLANK(C1773),"FALTANTE",ABS((C1773-$W$5)/$X$5)&gt;1.96,"ATÍPICO",ABS((C1773-$W$5)/$X$5)&lt;=1.96,"NO ATÍPICO")</f>
        <v>NO ATÍPICO</v>
      </c>
      <c r="K1773" t="str" cm="1">
        <f t="array" ref="K1773">_xlfn.IFS(ISBLANK(I1773),"FALTANTE",ABS((I1773-$W$8)/$X$8)&gt;1.92,"ATÍPICO",ABS((I1773-$W$8)/$X$8)&lt;=1.92,"NO ATÍPICO")</f>
        <v>NO ATÍPICO</v>
      </c>
      <c r="L1773">
        <f t="shared" si="124"/>
        <v>1272000</v>
      </c>
      <c r="M1773" t="str">
        <f t="shared" si="124"/>
        <v>ASALARIADO</v>
      </c>
      <c r="N1773">
        <f t="shared" si="125"/>
        <v>32</v>
      </c>
      <c r="O1773" s="19" t="str">
        <f t="shared" si="126"/>
        <v>1200k+</v>
      </c>
      <c r="P1773" s="19" t="str">
        <f t="shared" si="127"/>
        <v>26-35</v>
      </c>
    </row>
    <row r="1774" spans="1:16" x14ac:dyDescent="0.25">
      <c r="A1774">
        <v>1773</v>
      </c>
      <c r="B1774" t="s">
        <v>9</v>
      </c>
      <c r="C1774">
        <v>297046</v>
      </c>
      <c r="D1774" t="s">
        <v>17</v>
      </c>
      <c r="E1774" t="s">
        <v>16</v>
      </c>
      <c r="F1774" t="s">
        <v>13</v>
      </c>
      <c r="G1774" t="s">
        <v>13</v>
      </c>
      <c r="H1774" t="s">
        <v>12</v>
      </c>
      <c r="I1774">
        <v>73</v>
      </c>
      <c r="J1774" t="str" cm="1">
        <f t="array" ref="J1774">_xlfn.IFS(ISBLANK(C1774),"FALTANTE",ABS((C1774-$W$5)/$X$5)&gt;1.96,"ATÍPICO",ABS((C1774-$W$5)/$X$5)&lt;=1.96,"NO ATÍPICO")</f>
        <v>NO ATÍPICO</v>
      </c>
      <c r="K1774" t="str" cm="1">
        <f t="array" ref="K1774">_xlfn.IFS(ISBLANK(I1774),"FALTANTE",ABS((I1774-$W$8)/$X$8)&gt;1.92,"ATÍPICO",ABS((I1774-$W$8)/$X$8)&lt;=1.92,"NO ATÍPICO")</f>
        <v>ATÍPICO</v>
      </c>
      <c r="L1774">
        <f t="shared" si="124"/>
        <v>297046</v>
      </c>
      <c r="M1774" t="str">
        <f t="shared" si="124"/>
        <v>ASEGURADO VOLUNTARIO</v>
      </c>
      <c r="N1774">
        <f t="shared" si="125"/>
        <v>73</v>
      </c>
      <c r="O1774" s="19" t="str">
        <f t="shared" si="126"/>
        <v>0–300k</v>
      </c>
      <c r="P1774" s="19" t="str">
        <f t="shared" si="127"/>
        <v>56+</v>
      </c>
    </row>
    <row r="1775" spans="1:16" x14ac:dyDescent="0.25">
      <c r="A1775">
        <v>1774</v>
      </c>
      <c r="B1775" t="s">
        <v>9</v>
      </c>
      <c r="C1775">
        <v>343391</v>
      </c>
      <c r="D1775" t="s">
        <v>10</v>
      </c>
      <c r="E1775" t="s">
        <v>16</v>
      </c>
      <c r="F1775" t="s">
        <v>12</v>
      </c>
      <c r="G1775" t="s">
        <v>13</v>
      </c>
      <c r="H1775" t="s">
        <v>13</v>
      </c>
      <c r="I1775">
        <v>70</v>
      </c>
      <c r="J1775" t="str" cm="1">
        <f t="array" ref="J1775">_xlfn.IFS(ISBLANK(C1775),"FALTANTE",ABS((C1775-$W$5)/$X$5)&gt;1.96,"ATÍPICO",ABS((C1775-$W$5)/$X$5)&lt;=1.96,"NO ATÍPICO")</f>
        <v>NO ATÍPICO</v>
      </c>
      <c r="K1775" t="str" cm="1">
        <f t="array" ref="K1775">_xlfn.IFS(ISBLANK(I1775),"FALTANTE",ABS((I1775-$W$8)/$X$8)&gt;1.92,"ATÍPICO",ABS((I1775-$W$8)/$X$8)&lt;=1.92,"NO ATÍPICO")</f>
        <v>ATÍPICO</v>
      </c>
      <c r="L1775">
        <f t="shared" si="124"/>
        <v>343391</v>
      </c>
      <c r="M1775" t="str">
        <f t="shared" si="124"/>
        <v>ASALARIADO</v>
      </c>
      <c r="N1775">
        <f t="shared" si="125"/>
        <v>70</v>
      </c>
      <c r="O1775" s="19" t="str">
        <f t="shared" si="126"/>
        <v>300k–600k</v>
      </c>
      <c r="P1775" s="19" t="str">
        <f t="shared" si="127"/>
        <v>56+</v>
      </c>
    </row>
    <row r="1776" spans="1:16" x14ac:dyDescent="0.25">
      <c r="A1776">
        <v>1775</v>
      </c>
      <c r="B1776" t="s">
        <v>9</v>
      </c>
      <c r="C1776">
        <v>1662042.88</v>
      </c>
      <c r="D1776" t="s">
        <v>10</v>
      </c>
      <c r="E1776" t="s">
        <v>11</v>
      </c>
      <c r="F1776" t="s">
        <v>12</v>
      </c>
      <c r="G1776" t="s">
        <v>13</v>
      </c>
      <c r="H1776" t="s">
        <v>13</v>
      </c>
      <c r="I1776">
        <v>57</v>
      </c>
      <c r="J1776" t="str" cm="1">
        <f t="array" ref="J1776">_xlfn.IFS(ISBLANK(C1776),"FALTANTE",ABS((C1776-$W$5)/$X$5)&gt;1.96,"ATÍPICO",ABS((C1776-$W$5)/$X$5)&lt;=1.96,"NO ATÍPICO")</f>
        <v>NO ATÍPICO</v>
      </c>
      <c r="K1776" t="str" cm="1">
        <f t="array" ref="K1776">_xlfn.IFS(ISBLANK(I1776),"FALTANTE",ABS((I1776-$W$8)/$X$8)&gt;1.92,"ATÍPICO",ABS((I1776-$W$8)/$X$8)&lt;=1.92,"NO ATÍPICO")</f>
        <v>NO ATÍPICO</v>
      </c>
      <c r="L1776">
        <f t="shared" si="124"/>
        <v>1662042.88</v>
      </c>
      <c r="M1776" t="str">
        <f t="shared" si="124"/>
        <v>ASALARIADO</v>
      </c>
      <c r="N1776">
        <f t="shared" si="125"/>
        <v>57</v>
      </c>
      <c r="O1776" s="19" t="str">
        <f t="shared" si="126"/>
        <v>1200k+</v>
      </c>
      <c r="P1776" s="19" t="str">
        <f t="shared" si="127"/>
        <v>56+</v>
      </c>
    </row>
    <row r="1777" spans="1:16" x14ac:dyDescent="0.25">
      <c r="A1777">
        <v>1776</v>
      </c>
      <c r="B1777" t="s">
        <v>9</v>
      </c>
      <c r="C1777">
        <v>50000</v>
      </c>
      <c r="D1777" t="s">
        <v>10</v>
      </c>
      <c r="E1777" t="s">
        <v>16</v>
      </c>
      <c r="F1777" t="s">
        <v>12</v>
      </c>
      <c r="G1777" t="s">
        <v>13</v>
      </c>
      <c r="H1777" t="s">
        <v>13</v>
      </c>
      <c r="I1777">
        <v>29</v>
      </c>
      <c r="J1777" t="str" cm="1">
        <f t="array" ref="J1777">_xlfn.IFS(ISBLANK(C1777),"FALTANTE",ABS((C1777-$W$5)/$X$5)&gt;1.96,"ATÍPICO",ABS((C1777-$W$5)/$X$5)&lt;=1.96,"NO ATÍPICO")</f>
        <v>NO ATÍPICO</v>
      </c>
      <c r="K1777" t="str" cm="1">
        <f t="array" ref="K1777">_xlfn.IFS(ISBLANK(I1777),"FALTANTE",ABS((I1777-$W$8)/$X$8)&gt;1.92,"ATÍPICO",ABS((I1777-$W$8)/$X$8)&lt;=1.92,"NO ATÍPICO")</f>
        <v>NO ATÍPICO</v>
      </c>
      <c r="L1777">
        <f t="shared" si="124"/>
        <v>50000</v>
      </c>
      <c r="M1777" t="str">
        <f t="shared" si="124"/>
        <v>ASALARIADO</v>
      </c>
      <c r="N1777">
        <f t="shared" si="125"/>
        <v>29</v>
      </c>
      <c r="O1777" s="19" t="str">
        <f t="shared" si="126"/>
        <v>0–300k</v>
      </c>
      <c r="P1777" s="19" t="str">
        <f t="shared" si="127"/>
        <v>26-35</v>
      </c>
    </row>
    <row r="1778" spans="1:16" x14ac:dyDescent="0.25">
      <c r="A1778">
        <v>1777</v>
      </c>
      <c r="B1778" t="s">
        <v>15</v>
      </c>
      <c r="C1778">
        <v>376500</v>
      </c>
      <c r="D1778" t="s">
        <v>10</v>
      </c>
      <c r="E1778" t="s">
        <v>16</v>
      </c>
      <c r="F1778" t="s">
        <v>12</v>
      </c>
      <c r="G1778" t="s">
        <v>12</v>
      </c>
      <c r="H1778" t="s">
        <v>13</v>
      </c>
      <c r="I1778">
        <v>28</v>
      </c>
      <c r="J1778" t="str" cm="1">
        <f t="array" ref="J1778">_xlfn.IFS(ISBLANK(C1778),"FALTANTE",ABS((C1778-$W$5)/$X$5)&gt;1.96,"ATÍPICO",ABS((C1778-$W$5)/$X$5)&lt;=1.96,"NO ATÍPICO")</f>
        <v>NO ATÍPICO</v>
      </c>
      <c r="K1778" t="str" cm="1">
        <f t="array" ref="K1778">_xlfn.IFS(ISBLANK(I1778),"FALTANTE",ABS((I1778-$W$8)/$X$8)&gt;1.92,"ATÍPICO",ABS((I1778-$W$8)/$X$8)&lt;=1.92,"NO ATÍPICO")</f>
        <v>NO ATÍPICO</v>
      </c>
      <c r="L1778">
        <f t="shared" si="124"/>
        <v>376500</v>
      </c>
      <c r="M1778" t="str">
        <f t="shared" si="124"/>
        <v>ASALARIADO</v>
      </c>
      <c r="N1778">
        <f t="shared" si="125"/>
        <v>28</v>
      </c>
      <c r="O1778" s="19" t="str">
        <f t="shared" si="126"/>
        <v>300k–600k</v>
      </c>
      <c r="P1778" s="19" t="str">
        <f t="shared" si="127"/>
        <v>26-35</v>
      </c>
    </row>
    <row r="1779" spans="1:16" x14ac:dyDescent="0.25">
      <c r="A1779">
        <v>1778</v>
      </c>
      <c r="B1779" t="s">
        <v>9</v>
      </c>
      <c r="C1779">
        <v>1099863.75</v>
      </c>
      <c r="D1779" t="s">
        <v>10</v>
      </c>
      <c r="E1779" t="s">
        <v>11</v>
      </c>
      <c r="F1779" t="s">
        <v>12</v>
      </c>
      <c r="G1779" t="s">
        <v>13</v>
      </c>
      <c r="H1779" t="s">
        <v>13</v>
      </c>
      <c r="I1779">
        <v>40</v>
      </c>
      <c r="J1779" t="str" cm="1">
        <f t="array" ref="J1779">_xlfn.IFS(ISBLANK(C1779),"FALTANTE",ABS((C1779-$W$5)/$X$5)&gt;1.96,"ATÍPICO",ABS((C1779-$W$5)/$X$5)&lt;=1.96,"NO ATÍPICO")</f>
        <v>NO ATÍPICO</v>
      </c>
      <c r="K1779" t="str" cm="1">
        <f t="array" ref="K1779">_xlfn.IFS(ISBLANK(I1779),"FALTANTE",ABS((I1779-$W$8)/$X$8)&gt;1.92,"ATÍPICO",ABS((I1779-$W$8)/$X$8)&lt;=1.92,"NO ATÍPICO")</f>
        <v>NO ATÍPICO</v>
      </c>
      <c r="L1779">
        <f t="shared" si="124"/>
        <v>1099863.75</v>
      </c>
      <c r="M1779" t="str">
        <f t="shared" si="124"/>
        <v>ASALARIADO</v>
      </c>
      <c r="N1779">
        <f t="shared" si="125"/>
        <v>40</v>
      </c>
      <c r="O1779" s="19" t="str">
        <f t="shared" si="126"/>
        <v>900k–1200k</v>
      </c>
      <c r="P1779" s="19" t="str">
        <f t="shared" si="127"/>
        <v>36-45</v>
      </c>
    </row>
    <row r="1780" spans="1:16" x14ac:dyDescent="0.25">
      <c r="A1780">
        <v>1779</v>
      </c>
      <c r="B1780" t="s">
        <v>15</v>
      </c>
      <c r="C1780">
        <v>420000</v>
      </c>
      <c r="D1780" t="s">
        <v>10</v>
      </c>
      <c r="E1780" t="s">
        <v>16</v>
      </c>
      <c r="F1780" t="s">
        <v>12</v>
      </c>
      <c r="G1780" t="s">
        <v>13</v>
      </c>
      <c r="H1780" t="s">
        <v>13</v>
      </c>
      <c r="I1780">
        <v>25</v>
      </c>
      <c r="J1780" t="str" cm="1">
        <f t="array" ref="J1780">_xlfn.IFS(ISBLANK(C1780),"FALTANTE",ABS((C1780-$W$5)/$X$5)&gt;1.96,"ATÍPICO",ABS((C1780-$W$5)/$X$5)&lt;=1.96,"NO ATÍPICO")</f>
        <v>NO ATÍPICO</v>
      </c>
      <c r="K1780" t="str" cm="1">
        <f t="array" ref="K1780">_xlfn.IFS(ISBLANK(I1780),"FALTANTE",ABS((I1780-$W$8)/$X$8)&gt;1.92,"ATÍPICO",ABS((I1780-$W$8)/$X$8)&lt;=1.92,"NO ATÍPICO")</f>
        <v>NO ATÍPICO</v>
      </c>
      <c r="L1780">
        <f t="shared" si="124"/>
        <v>420000</v>
      </c>
      <c r="M1780" t="str">
        <f t="shared" si="124"/>
        <v>ASALARIADO</v>
      </c>
      <c r="N1780">
        <f t="shared" si="125"/>
        <v>25</v>
      </c>
      <c r="O1780" s="19" t="str">
        <f t="shared" si="126"/>
        <v>300k–600k</v>
      </c>
      <c r="P1780" s="19" t="str">
        <f t="shared" si="127"/>
        <v>18-25</v>
      </c>
    </row>
    <row r="1781" spans="1:16" x14ac:dyDescent="0.25">
      <c r="A1781">
        <v>1780</v>
      </c>
      <c r="B1781" t="s">
        <v>9</v>
      </c>
      <c r="C1781">
        <v>480747.21</v>
      </c>
      <c r="D1781" t="s">
        <v>10</v>
      </c>
      <c r="E1781" t="s">
        <v>16</v>
      </c>
      <c r="F1781" t="s">
        <v>12</v>
      </c>
      <c r="G1781" t="s">
        <v>13</v>
      </c>
      <c r="H1781" t="s">
        <v>13</v>
      </c>
      <c r="I1781">
        <v>62</v>
      </c>
      <c r="J1781" t="str" cm="1">
        <f t="array" ref="J1781">_xlfn.IFS(ISBLANK(C1781),"FALTANTE",ABS((C1781-$W$5)/$X$5)&gt;1.96,"ATÍPICO",ABS((C1781-$W$5)/$X$5)&lt;=1.96,"NO ATÍPICO")</f>
        <v>NO ATÍPICO</v>
      </c>
      <c r="K1781" t="str" cm="1">
        <f t="array" ref="K1781">_xlfn.IFS(ISBLANK(I1781),"FALTANTE",ABS((I1781-$W$8)/$X$8)&gt;1.92,"ATÍPICO",ABS((I1781-$W$8)/$X$8)&lt;=1.92,"NO ATÍPICO")</f>
        <v>NO ATÍPICO</v>
      </c>
      <c r="L1781">
        <f t="shared" si="124"/>
        <v>480747.21</v>
      </c>
      <c r="M1781" t="str">
        <f t="shared" si="124"/>
        <v>ASALARIADO</v>
      </c>
      <c r="N1781">
        <f t="shared" si="125"/>
        <v>62</v>
      </c>
      <c r="O1781" s="19" t="str">
        <f t="shared" si="126"/>
        <v>300k–600k</v>
      </c>
      <c r="P1781" s="19" t="str">
        <f t="shared" si="127"/>
        <v>56+</v>
      </c>
    </row>
    <row r="1782" spans="1:16" x14ac:dyDescent="0.25">
      <c r="A1782">
        <v>1781</v>
      </c>
      <c r="B1782" t="s">
        <v>9</v>
      </c>
      <c r="C1782">
        <v>401499.84</v>
      </c>
      <c r="D1782" t="s">
        <v>10</v>
      </c>
      <c r="E1782" t="s">
        <v>16</v>
      </c>
      <c r="F1782" t="s">
        <v>12</v>
      </c>
      <c r="G1782" t="s">
        <v>13</v>
      </c>
      <c r="H1782" t="s">
        <v>13</v>
      </c>
      <c r="I1782">
        <v>32</v>
      </c>
      <c r="J1782" t="str" cm="1">
        <f t="array" ref="J1782">_xlfn.IFS(ISBLANK(C1782),"FALTANTE",ABS((C1782-$W$5)/$X$5)&gt;1.96,"ATÍPICO",ABS((C1782-$W$5)/$X$5)&lt;=1.96,"NO ATÍPICO")</f>
        <v>NO ATÍPICO</v>
      </c>
      <c r="K1782" t="str" cm="1">
        <f t="array" ref="K1782">_xlfn.IFS(ISBLANK(I1782),"FALTANTE",ABS((I1782-$W$8)/$X$8)&gt;1.92,"ATÍPICO",ABS((I1782-$W$8)/$X$8)&lt;=1.92,"NO ATÍPICO")</f>
        <v>NO ATÍPICO</v>
      </c>
      <c r="L1782">
        <f t="shared" si="124"/>
        <v>401499.84</v>
      </c>
      <c r="M1782" t="str">
        <f t="shared" si="124"/>
        <v>ASALARIADO</v>
      </c>
      <c r="N1782">
        <f t="shared" si="125"/>
        <v>32</v>
      </c>
      <c r="O1782" s="19" t="str">
        <f t="shared" si="126"/>
        <v>300k–600k</v>
      </c>
      <c r="P1782" s="19" t="str">
        <f t="shared" si="127"/>
        <v>26-35</v>
      </c>
    </row>
    <row r="1783" spans="1:16" x14ac:dyDescent="0.25">
      <c r="A1783">
        <v>1782</v>
      </c>
      <c r="B1783" t="s">
        <v>9</v>
      </c>
      <c r="C1783">
        <v>297046</v>
      </c>
      <c r="D1783" t="s">
        <v>18</v>
      </c>
      <c r="E1783" t="s">
        <v>16</v>
      </c>
      <c r="F1783" t="s">
        <v>12</v>
      </c>
      <c r="G1783" t="s">
        <v>13</v>
      </c>
      <c r="H1783" t="s">
        <v>12</v>
      </c>
      <c r="I1783">
        <v>34</v>
      </c>
      <c r="J1783" t="str" cm="1">
        <f t="array" ref="J1783">_xlfn.IFS(ISBLANK(C1783),"FALTANTE",ABS((C1783-$W$5)/$X$5)&gt;1.96,"ATÍPICO",ABS((C1783-$W$5)/$X$5)&lt;=1.96,"NO ATÍPICO")</f>
        <v>NO ATÍPICO</v>
      </c>
      <c r="K1783" t="str" cm="1">
        <f t="array" ref="K1783">_xlfn.IFS(ISBLANK(I1783),"FALTANTE",ABS((I1783-$W$8)/$X$8)&gt;1.92,"ATÍPICO",ABS((I1783-$W$8)/$X$8)&lt;=1.92,"NO ATÍPICO")</f>
        <v>NO ATÍPICO</v>
      </c>
      <c r="L1783">
        <f t="shared" si="124"/>
        <v>297046</v>
      </c>
      <c r="M1783" t="str">
        <f t="shared" si="124"/>
        <v>TRABAJADOR INDEPENDIENTE</v>
      </c>
      <c r="N1783">
        <f t="shared" si="125"/>
        <v>34</v>
      </c>
      <c r="O1783" s="19" t="str">
        <f t="shared" si="126"/>
        <v>0–300k</v>
      </c>
      <c r="P1783" s="19" t="str">
        <f t="shared" si="127"/>
        <v>26-35</v>
      </c>
    </row>
    <row r="1784" spans="1:16" x14ac:dyDescent="0.25">
      <c r="A1784">
        <v>1783</v>
      </c>
      <c r="B1784" t="s">
        <v>15</v>
      </c>
      <c r="C1784">
        <v>580000</v>
      </c>
      <c r="D1784" t="s">
        <v>10</v>
      </c>
      <c r="E1784" t="s">
        <v>16</v>
      </c>
      <c r="F1784" t="s">
        <v>12</v>
      </c>
      <c r="G1784" t="s">
        <v>13</v>
      </c>
      <c r="H1784" t="s">
        <v>13</v>
      </c>
      <c r="I1784">
        <v>21</v>
      </c>
      <c r="J1784" t="str" cm="1">
        <f t="array" ref="J1784">_xlfn.IFS(ISBLANK(C1784),"FALTANTE",ABS((C1784-$W$5)/$X$5)&gt;1.96,"ATÍPICO",ABS((C1784-$W$5)/$X$5)&lt;=1.96,"NO ATÍPICO")</f>
        <v>NO ATÍPICO</v>
      </c>
      <c r="K1784" t="str" cm="1">
        <f t="array" ref="K1784">_xlfn.IFS(ISBLANK(I1784),"FALTANTE",ABS((I1784-$W$8)/$X$8)&gt;1.92,"ATÍPICO",ABS((I1784-$W$8)/$X$8)&lt;=1.92,"NO ATÍPICO")</f>
        <v>NO ATÍPICO</v>
      </c>
      <c r="L1784">
        <f t="shared" si="124"/>
        <v>580000</v>
      </c>
      <c r="M1784" t="str">
        <f t="shared" si="124"/>
        <v>ASALARIADO</v>
      </c>
      <c r="N1784">
        <f t="shared" si="125"/>
        <v>21</v>
      </c>
      <c r="O1784" s="19" t="str">
        <f t="shared" si="126"/>
        <v>300k–600k</v>
      </c>
      <c r="P1784" s="19" t="str">
        <f t="shared" si="127"/>
        <v>18-25</v>
      </c>
    </row>
    <row r="1785" spans="1:16" x14ac:dyDescent="0.25">
      <c r="A1785">
        <v>1784</v>
      </c>
      <c r="B1785" t="s">
        <v>9</v>
      </c>
      <c r="C1785">
        <v>319574</v>
      </c>
      <c r="D1785" t="s">
        <v>10</v>
      </c>
      <c r="E1785" t="s">
        <v>16</v>
      </c>
      <c r="F1785" t="s">
        <v>12</v>
      </c>
      <c r="G1785" t="s">
        <v>12</v>
      </c>
      <c r="H1785" t="s">
        <v>12</v>
      </c>
      <c r="I1785">
        <v>43</v>
      </c>
      <c r="J1785" t="str" cm="1">
        <f t="array" ref="J1785">_xlfn.IFS(ISBLANK(C1785),"FALTANTE",ABS((C1785-$W$5)/$X$5)&gt;1.96,"ATÍPICO",ABS((C1785-$W$5)/$X$5)&lt;=1.96,"NO ATÍPICO")</f>
        <v>NO ATÍPICO</v>
      </c>
      <c r="K1785" t="str" cm="1">
        <f t="array" ref="K1785">_xlfn.IFS(ISBLANK(I1785),"FALTANTE",ABS((I1785-$W$8)/$X$8)&gt;1.92,"ATÍPICO",ABS((I1785-$W$8)/$X$8)&lt;=1.92,"NO ATÍPICO")</f>
        <v>NO ATÍPICO</v>
      </c>
      <c r="L1785">
        <f t="shared" si="124"/>
        <v>319574</v>
      </c>
      <c r="M1785" t="str">
        <f t="shared" si="124"/>
        <v>ASALARIADO</v>
      </c>
      <c r="N1785">
        <f t="shared" si="125"/>
        <v>43</v>
      </c>
      <c r="O1785" s="19" t="str">
        <f t="shared" si="126"/>
        <v>300k–600k</v>
      </c>
      <c r="P1785" s="19" t="str">
        <f t="shared" si="127"/>
        <v>36-45</v>
      </c>
    </row>
    <row r="1786" spans="1:16" x14ac:dyDescent="0.25">
      <c r="A1786">
        <v>1785</v>
      </c>
      <c r="B1786" t="s">
        <v>15</v>
      </c>
      <c r="C1786">
        <v>297719</v>
      </c>
      <c r="D1786" t="s">
        <v>17</v>
      </c>
      <c r="E1786" t="s">
        <v>16</v>
      </c>
      <c r="F1786" t="s">
        <v>12</v>
      </c>
      <c r="G1786" t="s">
        <v>12</v>
      </c>
      <c r="H1786" t="s">
        <v>13</v>
      </c>
      <c r="I1786">
        <v>43</v>
      </c>
      <c r="J1786" t="str" cm="1">
        <f t="array" ref="J1786">_xlfn.IFS(ISBLANK(C1786),"FALTANTE",ABS((C1786-$W$5)/$X$5)&gt;1.96,"ATÍPICO",ABS((C1786-$W$5)/$X$5)&lt;=1.96,"NO ATÍPICO")</f>
        <v>NO ATÍPICO</v>
      </c>
      <c r="K1786" t="str" cm="1">
        <f t="array" ref="K1786">_xlfn.IFS(ISBLANK(I1786),"FALTANTE",ABS((I1786-$W$8)/$X$8)&gt;1.92,"ATÍPICO",ABS((I1786-$W$8)/$X$8)&lt;=1.92,"NO ATÍPICO")</f>
        <v>NO ATÍPICO</v>
      </c>
      <c r="L1786">
        <f t="shared" si="124"/>
        <v>297719</v>
      </c>
      <c r="M1786" t="str">
        <f t="shared" si="124"/>
        <v>ASEGURADO VOLUNTARIO</v>
      </c>
      <c r="N1786">
        <f t="shared" si="125"/>
        <v>43</v>
      </c>
      <c r="O1786" s="19" t="str">
        <f t="shared" si="126"/>
        <v>0–300k</v>
      </c>
      <c r="P1786" s="19" t="str">
        <f t="shared" si="127"/>
        <v>36-45</v>
      </c>
    </row>
    <row r="1787" spans="1:16" x14ac:dyDescent="0.25">
      <c r="A1787">
        <v>1786</v>
      </c>
      <c r="B1787" t="s">
        <v>9</v>
      </c>
      <c r="C1787">
        <v>297046</v>
      </c>
      <c r="D1787" t="s">
        <v>17</v>
      </c>
      <c r="E1787" t="s">
        <v>16</v>
      </c>
      <c r="F1787" t="s">
        <v>12</v>
      </c>
      <c r="G1787" t="s">
        <v>13</v>
      </c>
      <c r="H1787" t="s">
        <v>13</v>
      </c>
      <c r="I1787">
        <v>41</v>
      </c>
      <c r="J1787" t="str" cm="1">
        <f t="array" ref="J1787">_xlfn.IFS(ISBLANK(C1787),"FALTANTE",ABS((C1787-$W$5)/$X$5)&gt;1.96,"ATÍPICO",ABS((C1787-$W$5)/$X$5)&lt;=1.96,"NO ATÍPICO")</f>
        <v>NO ATÍPICO</v>
      </c>
      <c r="K1787" t="str" cm="1">
        <f t="array" ref="K1787">_xlfn.IFS(ISBLANK(I1787),"FALTANTE",ABS((I1787-$W$8)/$X$8)&gt;1.92,"ATÍPICO",ABS((I1787-$W$8)/$X$8)&lt;=1.92,"NO ATÍPICO")</f>
        <v>NO ATÍPICO</v>
      </c>
      <c r="L1787">
        <f t="shared" si="124"/>
        <v>297046</v>
      </c>
      <c r="M1787" t="str">
        <f t="shared" si="124"/>
        <v>ASEGURADO VOLUNTARIO</v>
      </c>
      <c r="N1787">
        <f t="shared" si="125"/>
        <v>41</v>
      </c>
      <c r="O1787" s="19" t="str">
        <f t="shared" si="126"/>
        <v>0–300k</v>
      </c>
      <c r="P1787" s="19" t="str">
        <f t="shared" si="127"/>
        <v>36-45</v>
      </c>
    </row>
    <row r="1788" spans="1:16" x14ac:dyDescent="0.25">
      <c r="A1788">
        <v>1787</v>
      </c>
      <c r="B1788" t="s">
        <v>9</v>
      </c>
      <c r="C1788">
        <v>1578033.17</v>
      </c>
      <c r="D1788" t="s">
        <v>10</v>
      </c>
      <c r="E1788" t="s">
        <v>11</v>
      </c>
      <c r="F1788" t="s">
        <v>12</v>
      </c>
      <c r="G1788" t="s">
        <v>13</v>
      </c>
      <c r="H1788" t="s">
        <v>13</v>
      </c>
      <c r="I1788">
        <v>50</v>
      </c>
      <c r="J1788" t="str" cm="1">
        <f t="array" ref="J1788">_xlfn.IFS(ISBLANK(C1788),"FALTANTE",ABS((C1788-$W$5)/$X$5)&gt;1.96,"ATÍPICO",ABS((C1788-$W$5)/$X$5)&lt;=1.96,"NO ATÍPICO")</f>
        <v>NO ATÍPICO</v>
      </c>
      <c r="K1788" t="str" cm="1">
        <f t="array" ref="K1788">_xlfn.IFS(ISBLANK(I1788),"FALTANTE",ABS((I1788-$W$8)/$X$8)&gt;1.92,"ATÍPICO",ABS((I1788-$W$8)/$X$8)&lt;=1.92,"NO ATÍPICO")</f>
        <v>NO ATÍPICO</v>
      </c>
      <c r="L1788">
        <f t="shared" si="124"/>
        <v>1578033.17</v>
      </c>
      <c r="M1788" t="str">
        <f t="shared" si="124"/>
        <v>ASALARIADO</v>
      </c>
      <c r="N1788">
        <f t="shared" si="125"/>
        <v>50</v>
      </c>
      <c r="O1788" s="19" t="str">
        <f t="shared" si="126"/>
        <v>1200k+</v>
      </c>
      <c r="P1788" s="19" t="str">
        <f t="shared" si="127"/>
        <v>46-55</v>
      </c>
    </row>
    <row r="1789" spans="1:16" x14ac:dyDescent="0.25">
      <c r="A1789">
        <v>1788</v>
      </c>
      <c r="B1789" t="s">
        <v>15</v>
      </c>
      <c r="C1789">
        <v>361421</v>
      </c>
      <c r="D1789" t="s">
        <v>18</v>
      </c>
      <c r="E1789" t="s">
        <v>16</v>
      </c>
      <c r="F1789" t="s">
        <v>12</v>
      </c>
      <c r="G1789" t="s">
        <v>12</v>
      </c>
      <c r="H1789" t="s">
        <v>13</v>
      </c>
      <c r="I1789">
        <v>56</v>
      </c>
      <c r="J1789" t="str" cm="1">
        <f t="array" ref="J1789">_xlfn.IFS(ISBLANK(C1789),"FALTANTE",ABS((C1789-$W$5)/$X$5)&gt;1.96,"ATÍPICO",ABS((C1789-$W$5)/$X$5)&lt;=1.96,"NO ATÍPICO")</f>
        <v>NO ATÍPICO</v>
      </c>
      <c r="K1789" t="str" cm="1">
        <f t="array" ref="K1789">_xlfn.IFS(ISBLANK(I1789),"FALTANTE",ABS((I1789-$W$8)/$X$8)&gt;1.92,"ATÍPICO",ABS((I1789-$W$8)/$X$8)&lt;=1.92,"NO ATÍPICO")</f>
        <v>NO ATÍPICO</v>
      </c>
      <c r="L1789">
        <f t="shared" si="124"/>
        <v>361421</v>
      </c>
      <c r="M1789" t="str">
        <f t="shared" si="124"/>
        <v>TRABAJADOR INDEPENDIENTE</v>
      </c>
      <c r="N1789">
        <f t="shared" si="125"/>
        <v>56</v>
      </c>
      <c r="O1789" s="19" t="str">
        <f t="shared" si="126"/>
        <v>300k–600k</v>
      </c>
      <c r="P1789" s="19" t="str">
        <f t="shared" si="127"/>
        <v>56+</v>
      </c>
    </row>
    <row r="1790" spans="1:16" x14ac:dyDescent="0.25">
      <c r="A1790">
        <v>1789</v>
      </c>
      <c r="B1790" t="s">
        <v>15</v>
      </c>
      <c r="C1790">
        <v>1431628</v>
      </c>
      <c r="D1790" t="s">
        <v>10</v>
      </c>
      <c r="E1790" t="s">
        <v>11</v>
      </c>
      <c r="F1790" t="s">
        <v>12</v>
      </c>
      <c r="G1790" t="s">
        <v>13</v>
      </c>
      <c r="H1790" t="s">
        <v>12</v>
      </c>
      <c r="I1790">
        <v>37</v>
      </c>
      <c r="J1790" t="str" cm="1">
        <f t="array" ref="J1790">_xlfn.IFS(ISBLANK(C1790),"FALTANTE",ABS((C1790-$W$5)/$X$5)&gt;1.96,"ATÍPICO",ABS((C1790-$W$5)/$X$5)&lt;=1.96,"NO ATÍPICO")</f>
        <v>NO ATÍPICO</v>
      </c>
      <c r="K1790" t="str" cm="1">
        <f t="array" ref="K1790">_xlfn.IFS(ISBLANK(I1790),"FALTANTE",ABS((I1790-$W$8)/$X$8)&gt;1.92,"ATÍPICO",ABS((I1790-$W$8)/$X$8)&lt;=1.92,"NO ATÍPICO")</f>
        <v>NO ATÍPICO</v>
      </c>
      <c r="L1790">
        <f t="shared" si="124"/>
        <v>1431628</v>
      </c>
      <c r="M1790" t="str">
        <f t="shared" si="124"/>
        <v>ASALARIADO</v>
      </c>
      <c r="N1790">
        <f t="shared" si="125"/>
        <v>37</v>
      </c>
      <c r="O1790" s="19" t="str">
        <f t="shared" si="126"/>
        <v>1200k+</v>
      </c>
      <c r="P1790" s="19" t="str">
        <f t="shared" si="127"/>
        <v>36-45</v>
      </c>
    </row>
    <row r="1791" spans="1:16" x14ac:dyDescent="0.25">
      <c r="A1791">
        <v>1790</v>
      </c>
      <c r="B1791" t="s">
        <v>9</v>
      </c>
      <c r="C1791">
        <v>554862.32999999996</v>
      </c>
      <c r="D1791" t="s">
        <v>10</v>
      </c>
      <c r="E1791" t="s">
        <v>16</v>
      </c>
      <c r="F1791" t="s">
        <v>12</v>
      </c>
      <c r="G1791" t="s">
        <v>13</v>
      </c>
      <c r="H1791" t="s">
        <v>13</v>
      </c>
      <c r="I1791">
        <v>56</v>
      </c>
      <c r="J1791" t="str" cm="1">
        <f t="array" ref="J1791">_xlfn.IFS(ISBLANK(C1791),"FALTANTE",ABS((C1791-$W$5)/$X$5)&gt;1.96,"ATÍPICO",ABS((C1791-$W$5)/$X$5)&lt;=1.96,"NO ATÍPICO")</f>
        <v>NO ATÍPICO</v>
      </c>
      <c r="K1791" t="str" cm="1">
        <f t="array" ref="K1791">_xlfn.IFS(ISBLANK(I1791),"FALTANTE",ABS((I1791-$W$8)/$X$8)&gt;1.92,"ATÍPICO",ABS((I1791-$W$8)/$X$8)&lt;=1.92,"NO ATÍPICO")</f>
        <v>NO ATÍPICO</v>
      </c>
      <c r="L1791">
        <f t="shared" si="124"/>
        <v>554862.32999999996</v>
      </c>
      <c r="M1791" t="str">
        <f t="shared" si="124"/>
        <v>ASALARIADO</v>
      </c>
      <c r="N1791">
        <f t="shared" si="125"/>
        <v>56</v>
      </c>
      <c r="O1791" s="19" t="str">
        <f t="shared" si="126"/>
        <v>300k–600k</v>
      </c>
      <c r="P1791" s="19" t="str">
        <f t="shared" si="127"/>
        <v>56+</v>
      </c>
    </row>
    <row r="1792" spans="1:16" x14ac:dyDescent="0.25">
      <c r="A1792">
        <v>1791</v>
      </c>
      <c r="B1792" t="s">
        <v>9</v>
      </c>
      <c r="C1792">
        <v>200000</v>
      </c>
      <c r="D1792" t="s">
        <v>10</v>
      </c>
      <c r="E1792" t="s">
        <v>16</v>
      </c>
      <c r="F1792" t="s">
        <v>12</v>
      </c>
      <c r="G1792" t="s">
        <v>13</v>
      </c>
      <c r="H1792" t="s">
        <v>12</v>
      </c>
      <c r="I1792">
        <v>27</v>
      </c>
      <c r="J1792" t="str" cm="1">
        <f t="array" ref="J1792">_xlfn.IFS(ISBLANK(C1792),"FALTANTE",ABS((C1792-$W$5)/$X$5)&gt;1.96,"ATÍPICO",ABS((C1792-$W$5)/$X$5)&lt;=1.96,"NO ATÍPICO")</f>
        <v>NO ATÍPICO</v>
      </c>
      <c r="K1792" t="str" cm="1">
        <f t="array" ref="K1792">_xlfn.IFS(ISBLANK(I1792),"FALTANTE",ABS((I1792-$W$8)/$X$8)&gt;1.92,"ATÍPICO",ABS((I1792-$W$8)/$X$8)&lt;=1.92,"NO ATÍPICO")</f>
        <v>NO ATÍPICO</v>
      </c>
      <c r="L1792">
        <f t="shared" si="124"/>
        <v>200000</v>
      </c>
      <c r="M1792" t="str">
        <f t="shared" si="124"/>
        <v>ASALARIADO</v>
      </c>
      <c r="N1792">
        <f t="shared" si="125"/>
        <v>27</v>
      </c>
      <c r="O1792" s="19" t="str">
        <f t="shared" si="126"/>
        <v>0–300k</v>
      </c>
      <c r="P1792" s="19" t="str">
        <f t="shared" si="127"/>
        <v>26-35</v>
      </c>
    </row>
    <row r="1793" spans="1:16" x14ac:dyDescent="0.25">
      <c r="A1793">
        <v>1792</v>
      </c>
      <c r="B1793" t="s">
        <v>9</v>
      </c>
      <c r="C1793">
        <v>2534444.9500000002</v>
      </c>
      <c r="D1793" t="s">
        <v>10</v>
      </c>
      <c r="E1793" t="s">
        <v>11</v>
      </c>
      <c r="F1793" t="s">
        <v>12</v>
      </c>
      <c r="G1793" t="s">
        <v>13</v>
      </c>
      <c r="H1793" t="s">
        <v>13</v>
      </c>
      <c r="I1793">
        <v>38</v>
      </c>
      <c r="J1793" t="str" cm="1">
        <f t="array" ref="J1793">_xlfn.IFS(ISBLANK(C1793),"FALTANTE",ABS((C1793-$W$5)/$X$5)&gt;1.96,"ATÍPICO",ABS((C1793-$W$5)/$X$5)&lt;=1.96,"NO ATÍPICO")</f>
        <v>ATÍPICO</v>
      </c>
      <c r="K1793" t="str" cm="1">
        <f t="array" ref="K1793">_xlfn.IFS(ISBLANK(I1793),"FALTANTE",ABS((I1793-$W$8)/$X$8)&gt;1.92,"ATÍPICO",ABS((I1793-$W$8)/$X$8)&lt;=1.92,"NO ATÍPICO")</f>
        <v>NO ATÍPICO</v>
      </c>
      <c r="L1793">
        <f t="shared" si="124"/>
        <v>2534444.9500000002</v>
      </c>
      <c r="M1793" t="str">
        <f t="shared" si="124"/>
        <v>ASALARIADO</v>
      </c>
      <c r="N1793">
        <f t="shared" si="125"/>
        <v>38</v>
      </c>
      <c r="O1793" s="19" t="str">
        <f t="shared" si="126"/>
        <v>1200k+</v>
      </c>
      <c r="P1793" s="19" t="str">
        <f t="shared" si="127"/>
        <v>36-45</v>
      </c>
    </row>
    <row r="1794" spans="1:16" x14ac:dyDescent="0.25">
      <c r="A1794">
        <v>1793</v>
      </c>
      <c r="B1794" t="s">
        <v>9</v>
      </c>
      <c r="C1794">
        <v>253000</v>
      </c>
      <c r="D1794" t="s">
        <v>10</v>
      </c>
      <c r="E1794" t="s">
        <v>16</v>
      </c>
      <c r="F1794" t="s">
        <v>12</v>
      </c>
      <c r="G1794" t="s">
        <v>13</v>
      </c>
      <c r="H1794" t="s">
        <v>13</v>
      </c>
      <c r="I1794">
        <v>48</v>
      </c>
      <c r="J1794" t="str" cm="1">
        <f t="array" ref="J1794">_xlfn.IFS(ISBLANK(C1794),"FALTANTE",ABS((C1794-$W$5)/$X$5)&gt;1.96,"ATÍPICO",ABS((C1794-$W$5)/$X$5)&lt;=1.96,"NO ATÍPICO")</f>
        <v>NO ATÍPICO</v>
      </c>
      <c r="K1794" t="str" cm="1">
        <f t="array" ref="K1794">_xlfn.IFS(ISBLANK(I1794),"FALTANTE",ABS((I1794-$W$8)/$X$8)&gt;1.92,"ATÍPICO",ABS((I1794-$W$8)/$X$8)&lt;=1.92,"NO ATÍPICO")</f>
        <v>NO ATÍPICO</v>
      </c>
      <c r="L1794">
        <f t="shared" ref="L1794:M1857" si="128">C1794</f>
        <v>253000</v>
      </c>
      <c r="M1794" t="str">
        <f t="shared" si="128"/>
        <v>ASALARIADO</v>
      </c>
      <c r="N1794">
        <f t="shared" ref="N1794:N1857" si="129">I1794</f>
        <v>48</v>
      </c>
      <c r="O1794" s="19" t="str">
        <f t="shared" ref="O1794:O1857" si="130">IF(L1794&lt;=300000,"0–300k",IF(L1794&lt;=600000,"300k–600k",IF(L1794&lt;=900000,"600k–900k",IF(L1794&lt;=1200000,"900k–1200k","1200k+"))))</f>
        <v>0–300k</v>
      </c>
      <c r="P1794" s="19" t="str">
        <f t="shared" ref="P1794:P1857" si="131">IF(N1794 &lt;=25,"18-25", IF(N1794&lt;=35,"26-35", IF(N1794 &lt;=45,"36-45", IF(N1794&lt;=55,"46-55","56+"))))</f>
        <v>46-55</v>
      </c>
    </row>
    <row r="1795" spans="1:16" x14ac:dyDescent="0.25">
      <c r="A1795">
        <v>1794</v>
      </c>
      <c r="B1795" t="s">
        <v>15</v>
      </c>
      <c r="C1795">
        <v>325925</v>
      </c>
      <c r="D1795" t="s">
        <v>18</v>
      </c>
      <c r="E1795" t="s">
        <v>16</v>
      </c>
      <c r="F1795" t="s">
        <v>12</v>
      </c>
      <c r="G1795" t="s">
        <v>13</v>
      </c>
      <c r="H1795" t="s">
        <v>13</v>
      </c>
      <c r="I1795">
        <v>64</v>
      </c>
      <c r="J1795" t="str" cm="1">
        <f t="array" ref="J1795">_xlfn.IFS(ISBLANK(C1795),"FALTANTE",ABS((C1795-$W$5)/$X$5)&gt;1.96,"ATÍPICO",ABS((C1795-$W$5)/$X$5)&lt;=1.96,"NO ATÍPICO")</f>
        <v>NO ATÍPICO</v>
      </c>
      <c r="K1795" t="str" cm="1">
        <f t="array" ref="K1795">_xlfn.IFS(ISBLANK(I1795),"FALTANTE",ABS((I1795-$W$8)/$X$8)&gt;1.92,"ATÍPICO",ABS((I1795-$W$8)/$X$8)&lt;=1.92,"NO ATÍPICO")</f>
        <v>NO ATÍPICO</v>
      </c>
      <c r="L1795">
        <f t="shared" si="128"/>
        <v>325925</v>
      </c>
      <c r="M1795" t="str">
        <f t="shared" si="128"/>
        <v>TRABAJADOR INDEPENDIENTE</v>
      </c>
      <c r="N1795">
        <f t="shared" si="129"/>
        <v>64</v>
      </c>
      <c r="O1795" s="19" t="str">
        <f t="shared" si="130"/>
        <v>300k–600k</v>
      </c>
      <c r="P1795" s="19" t="str">
        <f t="shared" si="131"/>
        <v>56+</v>
      </c>
    </row>
    <row r="1796" spans="1:16" x14ac:dyDescent="0.25">
      <c r="A1796">
        <v>1795</v>
      </c>
      <c r="B1796" t="s">
        <v>15</v>
      </c>
      <c r="C1796">
        <v>200000</v>
      </c>
      <c r="D1796" t="s">
        <v>10</v>
      </c>
      <c r="E1796" t="s">
        <v>16</v>
      </c>
      <c r="F1796" t="s">
        <v>12</v>
      </c>
      <c r="G1796" t="s">
        <v>12</v>
      </c>
      <c r="H1796" t="s">
        <v>13</v>
      </c>
      <c r="I1796">
        <v>59</v>
      </c>
      <c r="J1796" t="str" cm="1">
        <f t="array" ref="J1796">_xlfn.IFS(ISBLANK(C1796),"FALTANTE",ABS((C1796-$W$5)/$X$5)&gt;1.96,"ATÍPICO",ABS((C1796-$W$5)/$X$5)&lt;=1.96,"NO ATÍPICO")</f>
        <v>NO ATÍPICO</v>
      </c>
      <c r="K1796" t="str" cm="1">
        <f t="array" ref="K1796">_xlfn.IFS(ISBLANK(I1796),"FALTANTE",ABS((I1796-$W$8)/$X$8)&gt;1.92,"ATÍPICO",ABS((I1796-$W$8)/$X$8)&lt;=1.92,"NO ATÍPICO")</f>
        <v>NO ATÍPICO</v>
      </c>
      <c r="L1796">
        <f t="shared" si="128"/>
        <v>200000</v>
      </c>
      <c r="M1796" t="str">
        <f t="shared" si="128"/>
        <v>ASALARIADO</v>
      </c>
      <c r="N1796">
        <f t="shared" si="129"/>
        <v>59</v>
      </c>
      <c r="O1796" s="19" t="str">
        <f t="shared" si="130"/>
        <v>0–300k</v>
      </c>
      <c r="P1796" s="19" t="str">
        <f t="shared" si="131"/>
        <v>56+</v>
      </c>
    </row>
    <row r="1797" spans="1:16" x14ac:dyDescent="0.25">
      <c r="A1797">
        <v>1796</v>
      </c>
      <c r="B1797" t="s">
        <v>9</v>
      </c>
      <c r="C1797">
        <v>329794</v>
      </c>
      <c r="D1797" t="s">
        <v>18</v>
      </c>
      <c r="E1797" t="s">
        <v>16</v>
      </c>
      <c r="F1797" t="s">
        <v>12</v>
      </c>
      <c r="G1797" t="s">
        <v>13</v>
      </c>
      <c r="H1797" t="s">
        <v>12</v>
      </c>
      <c r="I1797">
        <v>41</v>
      </c>
      <c r="J1797" t="str" cm="1">
        <f t="array" ref="J1797">_xlfn.IFS(ISBLANK(C1797),"FALTANTE",ABS((C1797-$W$5)/$X$5)&gt;1.96,"ATÍPICO",ABS((C1797-$W$5)/$X$5)&lt;=1.96,"NO ATÍPICO")</f>
        <v>NO ATÍPICO</v>
      </c>
      <c r="K1797" t="str" cm="1">
        <f t="array" ref="K1797">_xlfn.IFS(ISBLANK(I1797),"FALTANTE",ABS((I1797-$W$8)/$X$8)&gt;1.92,"ATÍPICO",ABS((I1797-$W$8)/$X$8)&lt;=1.92,"NO ATÍPICO")</f>
        <v>NO ATÍPICO</v>
      </c>
      <c r="L1797">
        <f t="shared" si="128"/>
        <v>329794</v>
      </c>
      <c r="M1797" t="str">
        <f t="shared" si="128"/>
        <v>TRABAJADOR INDEPENDIENTE</v>
      </c>
      <c r="N1797">
        <f t="shared" si="129"/>
        <v>41</v>
      </c>
      <c r="O1797" s="19" t="str">
        <f t="shared" si="130"/>
        <v>300k–600k</v>
      </c>
      <c r="P1797" s="19" t="str">
        <f t="shared" si="131"/>
        <v>36-45</v>
      </c>
    </row>
    <row r="1798" spans="1:16" x14ac:dyDescent="0.25">
      <c r="A1798">
        <v>1797</v>
      </c>
      <c r="B1798" t="s">
        <v>9</v>
      </c>
      <c r="C1798">
        <v>3702872.8</v>
      </c>
      <c r="D1798" t="s">
        <v>10</v>
      </c>
      <c r="E1798" t="s">
        <v>11</v>
      </c>
      <c r="F1798" t="s">
        <v>12</v>
      </c>
      <c r="G1798" t="s">
        <v>13</v>
      </c>
      <c r="H1798" t="s">
        <v>13</v>
      </c>
      <c r="I1798">
        <v>46</v>
      </c>
      <c r="J1798" t="str" cm="1">
        <f t="array" ref="J1798">_xlfn.IFS(ISBLANK(C1798),"FALTANTE",ABS((C1798-$W$5)/$X$5)&gt;1.96,"ATÍPICO",ABS((C1798-$W$5)/$X$5)&lt;=1.96,"NO ATÍPICO")</f>
        <v>ATÍPICO</v>
      </c>
      <c r="K1798" t="str" cm="1">
        <f t="array" ref="K1798">_xlfn.IFS(ISBLANK(I1798),"FALTANTE",ABS((I1798-$W$8)/$X$8)&gt;1.92,"ATÍPICO",ABS((I1798-$W$8)/$X$8)&lt;=1.92,"NO ATÍPICO")</f>
        <v>NO ATÍPICO</v>
      </c>
      <c r="L1798">
        <f t="shared" si="128"/>
        <v>3702872.8</v>
      </c>
      <c r="M1798" t="str">
        <f t="shared" si="128"/>
        <v>ASALARIADO</v>
      </c>
      <c r="N1798">
        <f t="shared" si="129"/>
        <v>46</v>
      </c>
      <c r="O1798" s="19" t="str">
        <f t="shared" si="130"/>
        <v>1200k+</v>
      </c>
      <c r="P1798" s="19" t="str">
        <f t="shared" si="131"/>
        <v>46-55</v>
      </c>
    </row>
    <row r="1799" spans="1:16" x14ac:dyDescent="0.25">
      <c r="A1799">
        <v>1798</v>
      </c>
      <c r="B1799" t="s">
        <v>15</v>
      </c>
      <c r="C1799">
        <v>1229350</v>
      </c>
      <c r="D1799" t="s">
        <v>10</v>
      </c>
      <c r="E1799" t="s">
        <v>16</v>
      </c>
      <c r="F1799" t="s">
        <v>12</v>
      </c>
      <c r="G1799" t="s">
        <v>13</v>
      </c>
      <c r="H1799" t="s">
        <v>13</v>
      </c>
      <c r="I1799">
        <v>33</v>
      </c>
      <c r="J1799" t="str" cm="1">
        <f t="array" ref="J1799">_xlfn.IFS(ISBLANK(C1799),"FALTANTE",ABS((C1799-$W$5)/$X$5)&gt;1.96,"ATÍPICO",ABS((C1799-$W$5)/$X$5)&lt;=1.96,"NO ATÍPICO")</f>
        <v>NO ATÍPICO</v>
      </c>
      <c r="K1799" t="str" cm="1">
        <f t="array" ref="K1799">_xlfn.IFS(ISBLANK(I1799),"FALTANTE",ABS((I1799-$W$8)/$X$8)&gt;1.92,"ATÍPICO",ABS((I1799-$W$8)/$X$8)&lt;=1.92,"NO ATÍPICO")</f>
        <v>NO ATÍPICO</v>
      </c>
      <c r="L1799">
        <f t="shared" si="128"/>
        <v>1229350</v>
      </c>
      <c r="M1799" t="str">
        <f t="shared" si="128"/>
        <v>ASALARIADO</v>
      </c>
      <c r="N1799">
        <f t="shared" si="129"/>
        <v>33</v>
      </c>
      <c r="O1799" s="19" t="str">
        <f t="shared" si="130"/>
        <v>1200k+</v>
      </c>
      <c r="P1799" s="19" t="str">
        <f t="shared" si="131"/>
        <v>26-35</v>
      </c>
    </row>
    <row r="1800" spans="1:16" x14ac:dyDescent="0.25">
      <c r="A1800">
        <v>1799</v>
      </c>
      <c r="B1800" t="s">
        <v>9</v>
      </c>
      <c r="C1800">
        <v>300000</v>
      </c>
      <c r="D1800" t="s">
        <v>10</v>
      </c>
      <c r="E1800" t="s">
        <v>16</v>
      </c>
      <c r="F1800" t="s">
        <v>12</v>
      </c>
      <c r="G1800" t="s">
        <v>13</v>
      </c>
      <c r="H1800" t="s">
        <v>13</v>
      </c>
      <c r="I1800">
        <v>26</v>
      </c>
      <c r="J1800" t="str" cm="1">
        <f t="array" ref="J1800">_xlfn.IFS(ISBLANK(C1800),"FALTANTE",ABS((C1800-$W$5)/$X$5)&gt;1.96,"ATÍPICO",ABS((C1800-$W$5)/$X$5)&lt;=1.96,"NO ATÍPICO")</f>
        <v>NO ATÍPICO</v>
      </c>
      <c r="K1800" t="str" cm="1">
        <f t="array" ref="K1800">_xlfn.IFS(ISBLANK(I1800),"FALTANTE",ABS((I1800-$W$8)/$X$8)&gt;1.92,"ATÍPICO",ABS((I1800-$W$8)/$X$8)&lt;=1.92,"NO ATÍPICO")</f>
        <v>NO ATÍPICO</v>
      </c>
      <c r="L1800">
        <f t="shared" si="128"/>
        <v>300000</v>
      </c>
      <c r="M1800" t="str">
        <f t="shared" si="128"/>
        <v>ASALARIADO</v>
      </c>
      <c r="N1800">
        <f t="shared" si="129"/>
        <v>26</v>
      </c>
      <c r="O1800" s="19" t="str">
        <f t="shared" si="130"/>
        <v>0–300k</v>
      </c>
      <c r="P1800" s="19" t="str">
        <f t="shared" si="131"/>
        <v>26-35</v>
      </c>
    </row>
    <row r="1801" spans="1:16" x14ac:dyDescent="0.25">
      <c r="A1801">
        <v>1800</v>
      </c>
      <c r="B1801" t="s">
        <v>9</v>
      </c>
      <c r="C1801">
        <v>298155</v>
      </c>
      <c r="D1801" t="s">
        <v>18</v>
      </c>
      <c r="E1801" t="s">
        <v>16</v>
      </c>
      <c r="F1801" t="s">
        <v>12</v>
      </c>
      <c r="G1801" t="s">
        <v>13</v>
      </c>
      <c r="H1801" t="s">
        <v>13</v>
      </c>
      <c r="I1801">
        <v>29</v>
      </c>
      <c r="J1801" t="str" cm="1">
        <f t="array" ref="J1801">_xlfn.IFS(ISBLANK(C1801),"FALTANTE",ABS((C1801-$W$5)/$X$5)&gt;1.96,"ATÍPICO",ABS((C1801-$W$5)/$X$5)&lt;=1.96,"NO ATÍPICO")</f>
        <v>NO ATÍPICO</v>
      </c>
      <c r="K1801" t="str" cm="1">
        <f t="array" ref="K1801">_xlfn.IFS(ISBLANK(I1801),"FALTANTE",ABS((I1801-$W$8)/$X$8)&gt;1.92,"ATÍPICO",ABS((I1801-$W$8)/$X$8)&lt;=1.92,"NO ATÍPICO")</f>
        <v>NO ATÍPICO</v>
      </c>
      <c r="L1801">
        <f t="shared" si="128"/>
        <v>298155</v>
      </c>
      <c r="M1801" t="str">
        <f t="shared" si="128"/>
        <v>TRABAJADOR INDEPENDIENTE</v>
      </c>
      <c r="N1801">
        <f t="shared" si="129"/>
        <v>29</v>
      </c>
      <c r="O1801" s="19" t="str">
        <f t="shared" si="130"/>
        <v>0–300k</v>
      </c>
      <c r="P1801" s="19" t="str">
        <f t="shared" si="131"/>
        <v>26-35</v>
      </c>
    </row>
    <row r="1802" spans="1:16" x14ac:dyDescent="0.25">
      <c r="A1802">
        <v>1801</v>
      </c>
      <c r="B1802" t="s">
        <v>15</v>
      </c>
      <c r="C1802">
        <v>761027.05</v>
      </c>
      <c r="D1802" t="s">
        <v>10</v>
      </c>
      <c r="E1802" t="s">
        <v>11</v>
      </c>
      <c r="F1802" t="s">
        <v>12</v>
      </c>
      <c r="G1802" t="s">
        <v>13</v>
      </c>
      <c r="H1802" t="s">
        <v>13</v>
      </c>
      <c r="I1802">
        <v>28</v>
      </c>
      <c r="J1802" t="str" cm="1">
        <f t="array" ref="J1802">_xlfn.IFS(ISBLANK(C1802),"FALTANTE",ABS((C1802-$W$5)/$X$5)&gt;1.96,"ATÍPICO",ABS((C1802-$W$5)/$X$5)&lt;=1.96,"NO ATÍPICO")</f>
        <v>NO ATÍPICO</v>
      </c>
      <c r="K1802" t="str" cm="1">
        <f t="array" ref="K1802">_xlfn.IFS(ISBLANK(I1802),"FALTANTE",ABS((I1802-$W$8)/$X$8)&gt;1.92,"ATÍPICO",ABS((I1802-$W$8)/$X$8)&lt;=1.92,"NO ATÍPICO")</f>
        <v>NO ATÍPICO</v>
      </c>
      <c r="L1802">
        <f t="shared" si="128"/>
        <v>761027.05</v>
      </c>
      <c r="M1802" t="str">
        <f t="shared" si="128"/>
        <v>ASALARIADO</v>
      </c>
      <c r="N1802">
        <f t="shared" si="129"/>
        <v>28</v>
      </c>
      <c r="O1802" s="19" t="str">
        <f t="shared" si="130"/>
        <v>600k–900k</v>
      </c>
      <c r="P1802" s="19" t="str">
        <f t="shared" si="131"/>
        <v>26-35</v>
      </c>
    </row>
    <row r="1803" spans="1:16" x14ac:dyDescent="0.25">
      <c r="A1803">
        <v>1802</v>
      </c>
      <c r="B1803" t="s">
        <v>9</v>
      </c>
      <c r="C1803">
        <v>347539.5</v>
      </c>
      <c r="D1803" t="s">
        <v>10</v>
      </c>
      <c r="E1803" t="s">
        <v>16</v>
      </c>
      <c r="F1803" t="s">
        <v>12</v>
      </c>
      <c r="G1803" t="s">
        <v>13</v>
      </c>
      <c r="H1803" t="s">
        <v>13</v>
      </c>
      <c r="I1803">
        <v>28</v>
      </c>
      <c r="J1803" t="str" cm="1">
        <f t="array" ref="J1803">_xlfn.IFS(ISBLANK(C1803),"FALTANTE",ABS((C1803-$W$5)/$X$5)&gt;1.96,"ATÍPICO",ABS((C1803-$W$5)/$X$5)&lt;=1.96,"NO ATÍPICO")</f>
        <v>NO ATÍPICO</v>
      </c>
      <c r="K1803" t="str" cm="1">
        <f t="array" ref="K1803">_xlfn.IFS(ISBLANK(I1803),"FALTANTE",ABS((I1803-$W$8)/$X$8)&gt;1.92,"ATÍPICO",ABS((I1803-$W$8)/$X$8)&lt;=1.92,"NO ATÍPICO")</f>
        <v>NO ATÍPICO</v>
      </c>
      <c r="L1803">
        <f t="shared" si="128"/>
        <v>347539.5</v>
      </c>
      <c r="M1803" t="str">
        <f t="shared" si="128"/>
        <v>ASALARIADO</v>
      </c>
      <c r="N1803">
        <f t="shared" si="129"/>
        <v>28</v>
      </c>
      <c r="O1803" s="19" t="str">
        <f t="shared" si="130"/>
        <v>300k–600k</v>
      </c>
      <c r="P1803" s="19" t="str">
        <f t="shared" si="131"/>
        <v>26-35</v>
      </c>
    </row>
    <row r="1804" spans="1:16" x14ac:dyDescent="0.25">
      <c r="A1804">
        <v>1803</v>
      </c>
      <c r="B1804" t="s">
        <v>15</v>
      </c>
      <c r="C1804">
        <v>319574</v>
      </c>
      <c r="D1804" t="s">
        <v>10</v>
      </c>
      <c r="E1804" t="s">
        <v>16</v>
      </c>
      <c r="F1804" t="s">
        <v>12</v>
      </c>
      <c r="G1804" t="s">
        <v>12</v>
      </c>
      <c r="H1804" t="s">
        <v>13</v>
      </c>
      <c r="I1804">
        <v>30</v>
      </c>
      <c r="J1804" t="str" cm="1">
        <f t="array" ref="J1804">_xlfn.IFS(ISBLANK(C1804),"FALTANTE",ABS((C1804-$W$5)/$X$5)&gt;1.96,"ATÍPICO",ABS((C1804-$W$5)/$X$5)&lt;=1.96,"NO ATÍPICO")</f>
        <v>NO ATÍPICO</v>
      </c>
      <c r="K1804" t="str" cm="1">
        <f t="array" ref="K1804">_xlfn.IFS(ISBLANK(I1804),"FALTANTE",ABS((I1804-$W$8)/$X$8)&gt;1.92,"ATÍPICO",ABS((I1804-$W$8)/$X$8)&lt;=1.92,"NO ATÍPICO")</f>
        <v>NO ATÍPICO</v>
      </c>
      <c r="L1804">
        <f t="shared" si="128"/>
        <v>319574</v>
      </c>
      <c r="M1804" t="str">
        <f t="shared" si="128"/>
        <v>ASALARIADO</v>
      </c>
      <c r="N1804">
        <f t="shared" si="129"/>
        <v>30</v>
      </c>
      <c r="O1804" s="19" t="str">
        <f t="shared" si="130"/>
        <v>300k–600k</v>
      </c>
      <c r="P1804" s="19" t="str">
        <f t="shared" si="131"/>
        <v>26-35</v>
      </c>
    </row>
    <row r="1805" spans="1:16" x14ac:dyDescent="0.25">
      <c r="A1805">
        <v>1804</v>
      </c>
      <c r="B1805" t="s">
        <v>9</v>
      </c>
      <c r="C1805">
        <v>352782.75</v>
      </c>
      <c r="D1805" t="s">
        <v>10</v>
      </c>
      <c r="E1805" t="s">
        <v>16</v>
      </c>
      <c r="F1805" t="s">
        <v>12</v>
      </c>
      <c r="G1805" t="s">
        <v>12</v>
      </c>
      <c r="H1805" t="s">
        <v>13</v>
      </c>
      <c r="I1805">
        <v>27</v>
      </c>
      <c r="J1805" t="str" cm="1">
        <f t="array" ref="J1805">_xlfn.IFS(ISBLANK(C1805),"FALTANTE",ABS((C1805-$W$5)/$X$5)&gt;1.96,"ATÍPICO",ABS((C1805-$W$5)/$X$5)&lt;=1.96,"NO ATÍPICO")</f>
        <v>NO ATÍPICO</v>
      </c>
      <c r="K1805" t="str" cm="1">
        <f t="array" ref="K1805">_xlfn.IFS(ISBLANK(I1805),"FALTANTE",ABS((I1805-$W$8)/$X$8)&gt;1.92,"ATÍPICO",ABS((I1805-$W$8)/$X$8)&lt;=1.92,"NO ATÍPICO")</f>
        <v>NO ATÍPICO</v>
      </c>
      <c r="L1805">
        <f t="shared" si="128"/>
        <v>352782.75</v>
      </c>
      <c r="M1805" t="str">
        <f t="shared" si="128"/>
        <v>ASALARIADO</v>
      </c>
      <c r="N1805">
        <f t="shared" si="129"/>
        <v>27</v>
      </c>
      <c r="O1805" s="19" t="str">
        <f t="shared" si="130"/>
        <v>300k–600k</v>
      </c>
      <c r="P1805" s="19" t="str">
        <f t="shared" si="131"/>
        <v>26-35</v>
      </c>
    </row>
    <row r="1806" spans="1:16" x14ac:dyDescent="0.25">
      <c r="A1806">
        <v>1805</v>
      </c>
      <c r="B1806" t="s">
        <v>9</v>
      </c>
      <c r="C1806">
        <v>453413.8</v>
      </c>
      <c r="D1806" t="s">
        <v>10</v>
      </c>
      <c r="E1806" t="s">
        <v>16</v>
      </c>
      <c r="F1806" t="s">
        <v>12</v>
      </c>
      <c r="G1806" t="s">
        <v>13</v>
      </c>
      <c r="H1806" t="s">
        <v>13</v>
      </c>
      <c r="I1806">
        <v>52</v>
      </c>
      <c r="J1806" t="str" cm="1">
        <f t="array" ref="J1806">_xlfn.IFS(ISBLANK(C1806),"FALTANTE",ABS((C1806-$W$5)/$X$5)&gt;1.96,"ATÍPICO",ABS((C1806-$W$5)/$X$5)&lt;=1.96,"NO ATÍPICO")</f>
        <v>NO ATÍPICO</v>
      </c>
      <c r="K1806" t="str" cm="1">
        <f t="array" ref="K1806">_xlfn.IFS(ISBLANK(I1806),"FALTANTE",ABS((I1806-$W$8)/$X$8)&gt;1.92,"ATÍPICO",ABS((I1806-$W$8)/$X$8)&lt;=1.92,"NO ATÍPICO")</f>
        <v>NO ATÍPICO</v>
      </c>
      <c r="L1806">
        <f t="shared" si="128"/>
        <v>453413.8</v>
      </c>
      <c r="M1806" t="str">
        <f t="shared" si="128"/>
        <v>ASALARIADO</v>
      </c>
      <c r="N1806">
        <f t="shared" si="129"/>
        <v>52</v>
      </c>
      <c r="O1806" s="19" t="str">
        <f t="shared" si="130"/>
        <v>300k–600k</v>
      </c>
      <c r="P1806" s="19" t="str">
        <f t="shared" si="131"/>
        <v>46-55</v>
      </c>
    </row>
    <row r="1807" spans="1:16" x14ac:dyDescent="0.25">
      <c r="A1807">
        <v>1806</v>
      </c>
      <c r="B1807" t="s">
        <v>15</v>
      </c>
      <c r="C1807">
        <v>329950</v>
      </c>
      <c r="D1807" t="s">
        <v>18</v>
      </c>
      <c r="E1807" t="s">
        <v>16</v>
      </c>
      <c r="F1807" t="s">
        <v>12</v>
      </c>
      <c r="G1807" t="s">
        <v>13</v>
      </c>
      <c r="H1807" t="s">
        <v>12</v>
      </c>
      <c r="I1807">
        <v>43</v>
      </c>
      <c r="J1807" t="str" cm="1">
        <f t="array" ref="J1807">_xlfn.IFS(ISBLANK(C1807),"FALTANTE",ABS((C1807-$W$5)/$X$5)&gt;1.96,"ATÍPICO",ABS((C1807-$W$5)/$X$5)&lt;=1.96,"NO ATÍPICO")</f>
        <v>NO ATÍPICO</v>
      </c>
      <c r="K1807" t="str" cm="1">
        <f t="array" ref="K1807">_xlfn.IFS(ISBLANK(I1807),"FALTANTE",ABS((I1807-$W$8)/$X$8)&gt;1.92,"ATÍPICO",ABS((I1807-$W$8)/$X$8)&lt;=1.92,"NO ATÍPICO")</f>
        <v>NO ATÍPICO</v>
      </c>
      <c r="L1807">
        <f t="shared" si="128"/>
        <v>329950</v>
      </c>
      <c r="M1807" t="str">
        <f t="shared" si="128"/>
        <v>TRABAJADOR INDEPENDIENTE</v>
      </c>
      <c r="N1807">
        <f t="shared" si="129"/>
        <v>43</v>
      </c>
      <c r="O1807" s="19" t="str">
        <f t="shared" si="130"/>
        <v>300k–600k</v>
      </c>
      <c r="P1807" s="19" t="str">
        <f t="shared" si="131"/>
        <v>36-45</v>
      </c>
    </row>
    <row r="1808" spans="1:16" x14ac:dyDescent="0.25">
      <c r="A1808">
        <v>1807</v>
      </c>
      <c r="B1808" t="s">
        <v>9</v>
      </c>
      <c r="C1808">
        <v>734449.38</v>
      </c>
      <c r="D1808" t="s">
        <v>10</v>
      </c>
      <c r="E1808" t="s">
        <v>11</v>
      </c>
      <c r="F1808" t="s">
        <v>12</v>
      </c>
      <c r="G1808" t="s">
        <v>13</v>
      </c>
      <c r="H1808" t="s">
        <v>13</v>
      </c>
      <c r="I1808">
        <v>24</v>
      </c>
      <c r="J1808" t="str" cm="1">
        <f t="array" ref="J1808">_xlfn.IFS(ISBLANK(C1808),"FALTANTE",ABS((C1808-$W$5)/$X$5)&gt;1.96,"ATÍPICO",ABS((C1808-$W$5)/$X$5)&lt;=1.96,"NO ATÍPICO")</f>
        <v>NO ATÍPICO</v>
      </c>
      <c r="K1808" t="str" cm="1">
        <f t="array" ref="K1808">_xlfn.IFS(ISBLANK(I1808),"FALTANTE",ABS((I1808-$W$8)/$X$8)&gt;1.92,"ATÍPICO",ABS((I1808-$W$8)/$X$8)&lt;=1.92,"NO ATÍPICO")</f>
        <v>NO ATÍPICO</v>
      </c>
      <c r="L1808">
        <f t="shared" si="128"/>
        <v>734449.38</v>
      </c>
      <c r="M1808" t="str">
        <f t="shared" si="128"/>
        <v>ASALARIADO</v>
      </c>
      <c r="N1808">
        <f t="shared" si="129"/>
        <v>24</v>
      </c>
      <c r="O1808" s="19" t="str">
        <f t="shared" si="130"/>
        <v>600k–900k</v>
      </c>
      <c r="P1808" s="19" t="str">
        <f t="shared" si="131"/>
        <v>18-25</v>
      </c>
    </row>
    <row r="1809" spans="1:16" x14ac:dyDescent="0.25">
      <c r="A1809">
        <v>1808</v>
      </c>
      <c r="B1809" t="s">
        <v>9</v>
      </c>
      <c r="C1809">
        <v>746380.68</v>
      </c>
      <c r="D1809" t="s">
        <v>10</v>
      </c>
      <c r="E1809" t="s">
        <v>16</v>
      </c>
      <c r="F1809" t="s">
        <v>12</v>
      </c>
      <c r="G1809" t="s">
        <v>13</v>
      </c>
      <c r="H1809" t="s">
        <v>13</v>
      </c>
      <c r="I1809">
        <v>37</v>
      </c>
      <c r="J1809" t="str" cm="1">
        <f t="array" ref="J1809">_xlfn.IFS(ISBLANK(C1809),"FALTANTE",ABS((C1809-$W$5)/$X$5)&gt;1.96,"ATÍPICO",ABS((C1809-$W$5)/$X$5)&lt;=1.96,"NO ATÍPICO")</f>
        <v>NO ATÍPICO</v>
      </c>
      <c r="K1809" t="str" cm="1">
        <f t="array" ref="K1809">_xlfn.IFS(ISBLANK(I1809),"FALTANTE",ABS((I1809-$W$8)/$X$8)&gt;1.92,"ATÍPICO",ABS((I1809-$W$8)/$X$8)&lt;=1.92,"NO ATÍPICO")</f>
        <v>NO ATÍPICO</v>
      </c>
      <c r="L1809">
        <f t="shared" si="128"/>
        <v>746380.68</v>
      </c>
      <c r="M1809" t="str">
        <f t="shared" si="128"/>
        <v>ASALARIADO</v>
      </c>
      <c r="N1809">
        <f t="shared" si="129"/>
        <v>37</v>
      </c>
      <c r="O1809" s="19" t="str">
        <f t="shared" si="130"/>
        <v>600k–900k</v>
      </c>
      <c r="P1809" s="19" t="str">
        <f t="shared" si="131"/>
        <v>36-45</v>
      </c>
    </row>
    <row r="1810" spans="1:16" x14ac:dyDescent="0.25">
      <c r="A1810">
        <v>1809</v>
      </c>
      <c r="B1810" t="s">
        <v>15</v>
      </c>
      <c r="C1810">
        <v>420000</v>
      </c>
      <c r="D1810" t="s">
        <v>10</v>
      </c>
      <c r="E1810" t="s">
        <v>16</v>
      </c>
      <c r="F1810" t="s">
        <v>12</v>
      </c>
      <c r="G1810" t="s">
        <v>13</v>
      </c>
      <c r="H1810" t="s">
        <v>13</v>
      </c>
      <c r="I1810">
        <v>29</v>
      </c>
      <c r="J1810" t="str" cm="1">
        <f t="array" ref="J1810">_xlfn.IFS(ISBLANK(C1810),"FALTANTE",ABS((C1810-$W$5)/$X$5)&gt;1.96,"ATÍPICO",ABS((C1810-$W$5)/$X$5)&lt;=1.96,"NO ATÍPICO")</f>
        <v>NO ATÍPICO</v>
      </c>
      <c r="K1810" t="str" cm="1">
        <f t="array" ref="K1810">_xlfn.IFS(ISBLANK(I1810),"FALTANTE",ABS((I1810-$W$8)/$X$8)&gt;1.92,"ATÍPICO",ABS((I1810-$W$8)/$X$8)&lt;=1.92,"NO ATÍPICO")</f>
        <v>NO ATÍPICO</v>
      </c>
      <c r="L1810">
        <f t="shared" si="128"/>
        <v>420000</v>
      </c>
      <c r="M1810" t="str">
        <f t="shared" si="128"/>
        <v>ASALARIADO</v>
      </c>
      <c r="N1810">
        <f t="shared" si="129"/>
        <v>29</v>
      </c>
      <c r="O1810" s="19" t="str">
        <f t="shared" si="130"/>
        <v>300k–600k</v>
      </c>
      <c r="P1810" s="19" t="str">
        <f t="shared" si="131"/>
        <v>26-35</v>
      </c>
    </row>
    <row r="1811" spans="1:16" x14ac:dyDescent="0.25">
      <c r="A1811">
        <v>1810</v>
      </c>
      <c r="B1811" t="s">
        <v>9</v>
      </c>
      <c r="C1811">
        <v>829520</v>
      </c>
      <c r="D1811" t="s">
        <v>10</v>
      </c>
      <c r="E1811" t="s">
        <v>16</v>
      </c>
      <c r="F1811" t="s">
        <v>12</v>
      </c>
      <c r="G1811" t="s">
        <v>13</v>
      </c>
      <c r="H1811" t="s">
        <v>13</v>
      </c>
      <c r="I1811">
        <v>61</v>
      </c>
      <c r="J1811" t="str" cm="1">
        <f t="array" ref="J1811">_xlfn.IFS(ISBLANK(C1811),"FALTANTE",ABS((C1811-$W$5)/$X$5)&gt;1.96,"ATÍPICO",ABS((C1811-$W$5)/$X$5)&lt;=1.96,"NO ATÍPICO")</f>
        <v>NO ATÍPICO</v>
      </c>
      <c r="K1811" t="str" cm="1">
        <f t="array" ref="K1811">_xlfn.IFS(ISBLANK(I1811),"FALTANTE",ABS((I1811-$W$8)/$X$8)&gt;1.92,"ATÍPICO",ABS((I1811-$W$8)/$X$8)&lt;=1.92,"NO ATÍPICO")</f>
        <v>NO ATÍPICO</v>
      </c>
      <c r="L1811">
        <f t="shared" si="128"/>
        <v>829520</v>
      </c>
      <c r="M1811" t="str">
        <f t="shared" si="128"/>
        <v>ASALARIADO</v>
      </c>
      <c r="N1811">
        <f t="shared" si="129"/>
        <v>61</v>
      </c>
      <c r="O1811" s="19" t="str">
        <f t="shared" si="130"/>
        <v>600k–900k</v>
      </c>
      <c r="P1811" s="19" t="str">
        <f t="shared" si="131"/>
        <v>56+</v>
      </c>
    </row>
    <row r="1812" spans="1:16" x14ac:dyDescent="0.25">
      <c r="A1812">
        <v>1811</v>
      </c>
      <c r="B1812" t="s">
        <v>15</v>
      </c>
      <c r="C1812">
        <v>297046</v>
      </c>
      <c r="D1812" t="s">
        <v>17</v>
      </c>
      <c r="E1812" t="s">
        <v>16</v>
      </c>
      <c r="F1812" t="s">
        <v>12</v>
      </c>
      <c r="G1812" t="s">
        <v>13</v>
      </c>
      <c r="H1812" t="s">
        <v>13</v>
      </c>
      <c r="I1812">
        <v>53</v>
      </c>
      <c r="J1812" t="str" cm="1">
        <f t="array" ref="J1812">_xlfn.IFS(ISBLANK(C1812),"FALTANTE",ABS((C1812-$W$5)/$X$5)&gt;1.96,"ATÍPICO",ABS((C1812-$W$5)/$X$5)&lt;=1.96,"NO ATÍPICO")</f>
        <v>NO ATÍPICO</v>
      </c>
      <c r="K1812" t="str" cm="1">
        <f t="array" ref="K1812">_xlfn.IFS(ISBLANK(I1812),"FALTANTE",ABS((I1812-$W$8)/$X$8)&gt;1.92,"ATÍPICO",ABS((I1812-$W$8)/$X$8)&lt;=1.92,"NO ATÍPICO")</f>
        <v>NO ATÍPICO</v>
      </c>
      <c r="L1812">
        <f t="shared" si="128"/>
        <v>297046</v>
      </c>
      <c r="M1812" t="str">
        <f t="shared" si="128"/>
        <v>ASEGURADO VOLUNTARIO</v>
      </c>
      <c r="N1812">
        <f t="shared" si="129"/>
        <v>53</v>
      </c>
      <c r="O1812" s="19" t="str">
        <f t="shared" si="130"/>
        <v>0–300k</v>
      </c>
      <c r="P1812" s="19" t="str">
        <f t="shared" si="131"/>
        <v>46-55</v>
      </c>
    </row>
    <row r="1813" spans="1:16" x14ac:dyDescent="0.25">
      <c r="A1813">
        <v>1812</v>
      </c>
      <c r="B1813" t="s">
        <v>9</v>
      </c>
      <c r="C1813">
        <v>2921803.69</v>
      </c>
      <c r="D1813" t="s">
        <v>10</v>
      </c>
      <c r="E1813" t="s">
        <v>16</v>
      </c>
      <c r="F1813" t="s">
        <v>12</v>
      </c>
      <c r="G1813" t="s">
        <v>13</v>
      </c>
      <c r="H1813" t="s">
        <v>13</v>
      </c>
      <c r="I1813">
        <v>38</v>
      </c>
      <c r="J1813" t="str" cm="1">
        <f t="array" ref="J1813">_xlfn.IFS(ISBLANK(C1813),"FALTANTE",ABS((C1813-$W$5)/$X$5)&gt;1.96,"ATÍPICO",ABS((C1813-$W$5)/$X$5)&lt;=1.96,"NO ATÍPICO")</f>
        <v>ATÍPICO</v>
      </c>
      <c r="K1813" t="str" cm="1">
        <f t="array" ref="K1813">_xlfn.IFS(ISBLANK(I1813),"FALTANTE",ABS((I1813-$W$8)/$X$8)&gt;1.92,"ATÍPICO",ABS((I1813-$W$8)/$X$8)&lt;=1.92,"NO ATÍPICO")</f>
        <v>NO ATÍPICO</v>
      </c>
      <c r="L1813">
        <f t="shared" si="128"/>
        <v>2921803.69</v>
      </c>
      <c r="M1813" t="str">
        <f t="shared" si="128"/>
        <v>ASALARIADO</v>
      </c>
      <c r="N1813">
        <f t="shared" si="129"/>
        <v>38</v>
      </c>
      <c r="O1813" s="19" t="str">
        <f t="shared" si="130"/>
        <v>1200k+</v>
      </c>
      <c r="P1813" s="19" t="str">
        <f t="shared" si="131"/>
        <v>36-45</v>
      </c>
    </row>
    <row r="1814" spans="1:16" x14ac:dyDescent="0.25">
      <c r="A1814">
        <v>1813</v>
      </c>
      <c r="B1814" t="s">
        <v>9</v>
      </c>
      <c r="C1814">
        <v>299647</v>
      </c>
      <c r="D1814" t="s">
        <v>17</v>
      </c>
      <c r="E1814" t="s">
        <v>16</v>
      </c>
      <c r="F1814" t="s">
        <v>12</v>
      </c>
      <c r="G1814" t="s">
        <v>13</v>
      </c>
      <c r="H1814" t="s">
        <v>13</v>
      </c>
      <c r="I1814">
        <v>58</v>
      </c>
      <c r="J1814" t="str" cm="1">
        <f t="array" ref="J1814">_xlfn.IFS(ISBLANK(C1814),"FALTANTE",ABS((C1814-$W$5)/$X$5)&gt;1.96,"ATÍPICO",ABS((C1814-$W$5)/$X$5)&lt;=1.96,"NO ATÍPICO")</f>
        <v>NO ATÍPICO</v>
      </c>
      <c r="K1814" t="str" cm="1">
        <f t="array" ref="K1814">_xlfn.IFS(ISBLANK(I1814),"FALTANTE",ABS((I1814-$W$8)/$X$8)&gt;1.92,"ATÍPICO",ABS((I1814-$W$8)/$X$8)&lt;=1.92,"NO ATÍPICO")</f>
        <v>NO ATÍPICO</v>
      </c>
      <c r="L1814">
        <f t="shared" si="128"/>
        <v>299647</v>
      </c>
      <c r="M1814" t="str">
        <f t="shared" si="128"/>
        <v>ASEGURADO VOLUNTARIO</v>
      </c>
      <c r="N1814">
        <f t="shared" si="129"/>
        <v>58</v>
      </c>
      <c r="O1814" s="19" t="str">
        <f t="shared" si="130"/>
        <v>0–300k</v>
      </c>
      <c r="P1814" s="19" t="str">
        <f t="shared" si="131"/>
        <v>56+</v>
      </c>
    </row>
    <row r="1815" spans="1:16" x14ac:dyDescent="0.25">
      <c r="A1815">
        <v>1814</v>
      </c>
      <c r="B1815" t="s">
        <v>15</v>
      </c>
      <c r="C1815">
        <v>385548</v>
      </c>
      <c r="D1815" t="s">
        <v>17</v>
      </c>
      <c r="E1815" t="s">
        <v>16</v>
      </c>
      <c r="F1815" t="s">
        <v>12</v>
      </c>
      <c r="G1815" t="s">
        <v>12</v>
      </c>
      <c r="H1815" t="s">
        <v>13</v>
      </c>
      <c r="I1815">
        <v>55</v>
      </c>
      <c r="J1815" t="str" cm="1">
        <f t="array" ref="J1815">_xlfn.IFS(ISBLANK(C1815),"FALTANTE",ABS((C1815-$W$5)/$X$5)&gt;1.96,"ATÍPICO",ABS((C1815-$W$5)/$X$5)&lt;=1.96,"NO ATÍPICO")</f>
        <v>NO ATÍPICO</v>
      </c>
      <c r="K1815" t="str" cm="1">
        <f t="array" ref="K1815">_xlfn.IFS(ISBLANK(I1815),"FALTANTE",ABS((I1815-$W$8)/$X$8)&gt;1.92,"ATÍPICO",ABS((I1815-$W$8)/$X$8)&lt;=1.92,"NO ATÍPICO")</f>
        <v>NO ATÍPICO</v>
      </c>
      <c r="L1815">
        <f t="shared" si="128"/>
        <v>385548</v>
      </c>
      <c r="M1815" t="str">
        <f t="shared" si="128"/>
        <v>ASEGURADO VOLUNTARIO</v>
      </c>
      <c r="N1815">
        <f t="shared" si="129"/>
        <v>55</v>
      </c>
      <c r="O1815" s="19" t="str">
        <f t="shared" si="130"/>
        <v>300k–600k</v>
      </c>
      <c r="P1815" s="19" t="str">
        <f t="shared" si="131"/>
        <v>46-55</v>
      </c>
    </row>
    <row r="1816" spans="1:16" x14ac:dyDescent="0.25">
      <c r="A1816">
        <v>1815</v>
      </c>
      <c r="B1816" t="s">
        <v>15</v>
      </c>
      <c r="C1816">
        <v>639148</v>
      </c>
      <c r="D1816" t="s">
        <v>18</v>
      </c>
      <c r="E1816" t="s">
        <v>16</v>
      </c>
      <c r="F1816" t="s">
        <v>12</v>
      </c>
      <c r="G1816" t="s">
        <v>13</v>
      </c>
      <c r="H1816" t="s">
        <v>13</v>
      </c>
      <c r="I1816">
        <v>34</v>
      </c>
      <c r="J1816" t="str" cm="1">
        <f t="array" ref="J1816">_xlfn.IFS(ISBLANK(C1816),"FALTANTE",ABS((C1816-$W$5)/$X$5)&gt;1.96,"ATÍPICO",ABS((C1816-$W$5)/$X$5)&lt;=1.96,"NO ATÍPICO")</f>
        <v>NO ATÍPICO</v>
      </c>
      <c r="K1816" t="str" cm="1">
        <f t="array" ref="K1816">_xlfn.IFS(ISBLANK(I1816),"FALTANTE",ABS((I1816-$W$8)/$X$8)&gt;1.92,"ATÍPICO",ABS((I1816-$W$8)/$X$8)&lt;=1.92,"NO ATÍPICO")</f>
        <v>NO ATÍPICO</v>
      </c>
      <c r="L1816">
        <f t="shared" si="128"/>
        <v>639148</v>
      </c>
      <c r="M1816" t="str">
        <f t="shared" si="128"/>
        <v>TRABAJADOR INDEPENDIENTE</v>
      </c>
      <c r="N1816">
        <f t="shared" si="129"/>
        <v>34</v>
      </c>
      <c r="O1816" s="19" t="str">
        <f t="shared" si="130"/>
        <v>600k–900k</v>
      </c>
      <c r="P1816" s="19" t="str">
        <f t="shared" si="131"/>
        <v>26-35</v>
      </c>
    </row>
    <row r="1817" spans="1:16" x14ac:dyDescent="0.25">
      <c r="A1817">
        <v>1816</v>
      </c>
      <c r="B1817" t="s">
        <v>9</v>
      </c>
      <c r="C1817">
        <v>202600.91</v>
      </c>
      <c r="D1817" t="s">
        <v>10</v>
      </c>
      <c r="E1817" t="s">
        <v>16</v>
      </c>
      <c r="F1817" t="s">
        <v>12</v>
      </c>
      <c r="G1817" t="s">
        <v>13</v>
      </c>
      <c r="H1817" t="s">
        <v>13</v>
      </c>
      <c r="I1817">
        <v>40</v>
      </c>
      <c r="J1817" t="str" cm="1">
        <f t="array" ref="J1817">_xlfn.IFS(ISBLANK(C1817),"FALTANTE",ABS((C1817-$W$5)/$X$5)&gt;1.96,"ATÍPICO",ABS((C1817-$W$5)/$X$5)&lt;=1.96,"NO ATÍPICO")</f>
        <v>NO ATÍPICO</v>
      </c>
      <c r="K1817" t="str" cm="1">
        <f t="array" ref="K1817">_xlfn.IFS(ISBLANK(I1817),"FALTANTE",ABS((I1817-$W$8)/$X$8)&gt;1.92,"ATÍPICO",ABS((I1817-$W$8)/$X$8)&lt;=1.92,"NO ATÍPICO")</f>
        <v>NO ATÍPICO</v>
      </c>
      <c r="L1817">
        <f t="shared" si="128"/>
        <v>202600.91</v>
      </c>
      <c r="M1817" t="str">
        <f t="shared" si="128"/>
        <v>ASALARIADO</v>
      </c>
      <c r="N1817">
        <f t="shared" si="129"/>
        <v>40</v>
      </c>
      <c r="O1817" s="19" t="str">
        <f t="shared" si="130"/>
        <v>0–300k</v>
      </c>
      <c r="P1817" s="19" t="str">
        <f t="shared" si="131"/>
        <v>36-45</v>
      </c>
    </row>
    <row r="1818" spans="1:16" x14ac:dyDescent="0.25">
      <c r="A1818">
        <v>1817</v>
      </c>
      <c r="B1818" t="s">
        <v>9</v>
      </c>
      <c r="C1818">
        <v>594092</v>
      </c>
      <c r="D1818" t="s">
        <v>18</v>
      </c>
      <c r="E1818" t="s">
        <v>16</v>
      </c>
      <c r="F1818" t="s">
        <v>12</v>
      </c>
      <c r="G1818" t="s">
        <v>13</v>
      </c>
      <c r="H1818" t="s">
        <v>12</v>
      </c>
      <c r="I1818">
        <v>61</v>
      </c>
      <c r="J1818" t="str" cm="1">
        <f t="array" ref="J1818">_xlfn.IFS(ISBLANK(C1818),"FALTANTE",ABS((C1818-$W$5)/$X$5)&gt;1.96,"ATÍPICO",ABS((C1818-$W$5)/$X$5)&lt;=1.96,"NO ATÍPICO")</f>
        <v>NO ATÍPICO</v>
      </c>
      <c r="K1818" t="str" cm="1">
        <f t="array" ref="K1818">_xlfn.IFS(ISBLANK(I1818),"FALTANTE",ABS((I1818-$W$8)/$X$8)&gt;1.92,"ATÍPICO",ABS((I1818-$W$8)/$X$8)&lt;=1.92,"NO ATÍPICO")</f>
        <v>NO ATÍPICO</v>
      </c>
      <c r="L1818">
        <f t="shared" si="128"/>
        <v>594092</v>
      </c>
      <c r="M1818" t="str">
        <f t="shared" si="128"/>
        <v>TRABAJADOR INDEPENDIENTE</v>
      </c>
      <c r="N1818">
        <f t="shared" si="129"/>
        <v>61</v>
      </c>
      <c r="O1818" s="19" t="str">
        <f t="shared" si="130"/>
        <v>300k–600k</v>
      </c>
      <c r="P1818" s="19" t="str">
        <f t="shared" si="131"/>
        <v>56+</v>
      </c>
    </row>
    <row r="1819" spans="1:16" x14ac:dyDescent="0.25">
      <c r="A1819">
        <v>1818</v>
      </c>
      <c r="B1819" t="s">
        <v>15</v>
      </c>
      <c r="C1819">
        <v>347514</v>
      </c>
      <c r="D1819" t="s">
        <v>10</v>
      </c>
      <c r="E1819" t="s">
        <v>16</v>
      </c>
      <c r="F1819" t="s">
        <v>12</v>
      </c>
      <c r="G1819" t="s">
        <v>13</v>
      </c>
      <c r="H1819" t="s">
        <v>12</v>
      </c>
      <c r="I1819">
        <v>20</v>
      </c>
      <c r="J1819" t="str" cm="1">
        <f t="array" ref="J1819">_xlfn.IFS(ISBLANK(C1819),"FALTANTE",ABS((C1819-$W$5)/$X$5)&gt;1.96,"ATÍPICO",ABS((C1819-$W$5)/$X$5)&lt;=1.96,"NO ATÍPICO")</f>
        <v>NO ATÍPICO</v>
      </c>
      <c r="K1819" t="str" cm="1">
        <f t="array" ref="K1819">_xlfn.IFS(ISBLANK(I1819),"FALTANTE",ABS((I1819-$W$8)/$X$8)&gt;1.92,"ATÍPICO",ABS((I1819-$W$8)/$X$8)&lt;=1.92,"NO ATÍPICO")</f>
        <v>NO ATÍPICO</v>
      </c>
      <c r="L1819">
        <f t="shared" si="128"/>
        <v>347514</v>
      </c>
      <c r="M1819" t="str">
        <f t="shared" si="128"/>
        <v>ASALARIADO</v>
      </c>
      <c r="N1819">
        <f t="shared" si="129"/>
        <v>20</v>
      </c>
      <c r="O1819" s="19" t="str">
        <f t="shared" si="130"/>
        <v>300k–600k</v>
      </c>
      <c r="P1819" s="19" t="str">
        <f t="shared" si="131"/>
        <v>18-25</v>
      </c>
    </row>
    <row r="1820" spans="1:16" x14ac:dyDescent="0.25">
      <c r="A1820">
        <v>1819</v>
      </c>
      <c r="B1820" t="s">
        <v>9</v>
      </c>
      <c r="C1820">
        <v>356858</v>
      </c>
      <c r="D1820" t="s">
        <v>18</v>
      </c>
      <c r="E1820" t="s">
        <v>16</v>
      </c>
      <c r="F1820" t="s">
        <v>12</v>
      </c>
      <c r="G1820" t="s">
        <v>13</v>
      </c>
      <c r="H1820" t="s">
        <v>12</v>
      </c>
      <c r="I1820">
        <v>42</v>
      </c>
      <c r="J1820" t="str" cm="1">
        <f t="array" ref="J1820">_xlfn.IFS(ISBLANK(C1820),"FALTANTE",ABS((C1820-$W$5)/$X$5)&gt;1.96,"ATÍPICO",ABS((C1820-$W$5)/$X$5)&lt;=1.96,"NO ATÍPICO")</f>
        <v>NO ATÍPICO</v>
      </c>
      <c r="K1820" t="str" cm="1">
        <f t="array" ref="K1820">_xlfn.IFS(ISBLANK(I1820),"FALTANTE",ABS((I1820-$W$8)/$X$8)&gt;1.92,"ATÍPICO",ABS((I1820-$W$8)/$X$8)&lt;=1.92,"NO ATÍPICO")</f>
        <v>NO ATÍPICO</v>
      </c>
      <c r="L1820">
        <f t="shared" si="128"/>
        <v>356858</v>
      </c>
      <c r="M1820" t="str">
        <f t="shared" si="128"/>
        <v>TRABAJADOR INDEPENDIENTE</v>
      </c>
      <c r="N1820">
        <f t="shared" si="129"/>
        <v>42</v>
      </c>
      <c r="O1820" s="19" t="str">
        <f t="shared" si="130"/>
        <v>300k–600k</v>
      </c>
      <c r="P1820" s="19" t="str">
        <f t="shared" si="131"/>
        <v>36-45</v>
      </c>
    </row>
    <row r="1821" spans="1:16" x14ac:dyDescent="0.25">
      <c r="A1821">
        <v>1820</v>
      </c>
      <c r="B1821" t="s">
        <v>9</v>
      </c>
      <c r="C1821">
        <v>387953</v>
      </c>
      <c r="D1821" t="s">
        <v>18</v>
      </c>
      <c r="E1821" t="s">
        <v>16</v>
      </c>
      <c r="F1821" t="s">
        <v>13</v>
      </c>
      <c r="G1821" t="s">
        <v>13</v>
      </c>
      <c r="H1821" t="s">
        <v>12</v>
      </c>
      <c r="I1821">
        <v>32</v>
      </c>
      <c r="J1821" t="str" cm="1">
        <f t="array" ref="J1821">_xlfn.IFS(ISBLANK(C1821),"FALTANTE",ABS((C1821-$W$5)/$X$5)&gt;1.96,"ATÍPICO",ABS((C1821-$W$5)/$X$5)&lt;=1.96,"NO ATÍPICO")</f>
        <v>NO ATÍPICO</v>
      </c>
      <c r="K1821" t="str" cm="1">
        <f t="array" ref="K1821">_xlfn.IFS(ISBLANK(I1821),"FALTANTE",ABS((I1821-$W$8)/$X$8)&gt;1.92,"ATÍPICO",ABS((I1821-$W$8)/$X$8)&lt;=1.92,"NO ATÍPICO")</f>
        <v>NO ATÍPICO</v>
      </c>
      <c r="L1821">
        <f t="shared" si="128"/>
        <v>387953</v>
      </c>
      <c r="M1821" t="str">
        <f t="shared" si="128"/>
        <v>TRABAJADOR INDEPENDIENTE</v>
      </c>
      <c r="N1821">
        <f t="shared" si="129"/>
        <v>32</v>
      </c>
      <c r="O1821" s="19" t="str">
        <f t="shared" si="130"/>
        <v>300k–600k</v>
      </c>
      <c r="P1821" s="19" t="str">
        <f t="shared" si="131"/>
        <v>26-35</v>
      </c>
    </row>
    <row r="1822" spans="1:16" x14ac:dyDescent="0.25">
      <c r="A1822">
        <v>1821</v>
      </c>
      <c r="B1822" t="s">
        <v>9</v>
      </c>
      <c r="C1822">
        <v>1742310</v>
      </c>
      <c r="D1822" t="s">
        <v>10</v>
      </c>
      <c r="E1822" t="s">
        <v>16</v>
      </c>
      <c r="F1822" t="s">
        <v>12</v>
      </c>
      <c r="G1822" t="s">
        <v>13</v>
      </c>
      <c r="H1822" t="s">
        <v>13</v>
      </c>
      <c r="I1822">
        <v>28</v>
      </c>
      <c r="J1822" t="str" cm="1">
        <f t="array" ref="J1822">_xlfn.IFS(ISBLANK(C1822),"FALTANTE",ABS((C1822-$W$5)/$X$5)&gt;1.96,"ATÍPICO",ABS((C1822-$W$5)/$X$5)&lt;=1.96,"NO ATÍPICO")</f>
        <v>NO ATÍPICO</v>
      </c>
      <c r="K1822" t="str" cm="1">
        <f t="array" ref="K1822">_xlfn.IFS(ISBLANK(I1822),"FALTANTE",ABS((I1822-$W$8)/$X$8)&gt;1.92,"ATÍPICO",ABS((I1822-$W$8)/$X$8)&lt;=1.92,"NO ATÍPICO")</f>
        <v>NO ATÍPICO</v>
      </c>
      <c r="L1822">
        <f t="shared" si="128"/>
        <v>1742310</v>
      </c>
      <c r="M1822" t="str">
        <f t="shared" si="128"/>
        <v>ASALARIADO</v>
      </c>
      <c r="N1822">
        <f t="shared" si="129"/>
        <v>28</v>
      </c>
      <c r="O1822" s="19" t="str">
        <f t="shared" si="130"/>
        <v>1200k+</v>
      </c>
      <c r="P1822" s="19" t="str">
        <f t="shared" si="131"/>
        <v>26-35</v>
      </c>
    </row>
    <row r="1823" spans="1:16" x14ac:dyDescent="0.25">
      <c r="A1823">
        <v>1822</v>
      </c>
      <c r="B1823" t="s">
        <v>9</v>
      </c>
      <c r="C1823">
        <v>550000</v>
      </c>
      <c r="D1823" t="s">
        <v>10</v>
      </c>
      <c r="E1823" t="s">
        <v>16</v>
      </c>
      <c r="F1823" t="s">
        <v>12</v>
      </c>
      <c r="G1823" t="s">
        <v>13</v>
      </c>
      <c r="H1823" t="s">
        <v>13</v>
      </c>
      <c r="I1823">
        <v>28</v>
      </c>
      <c r="J1823" t="str" cm="1">
        <f t="array" ref="J1823">_xlfn.IFS(ISBLANK(C1823),"FALTANTE",ABS((C1823-$W$5)/$X$5)&gt;1.96,"ATÍPICO",ABS((C1823-$W$5)/$X$5)&lt;=1.96,"NO ATÍPICO")</f>
        <v>NO ATÍPICO</v>
      </c>
      <c r="K1823" t="str" cm="1">
        <f t="array" ref="K1823">_xlfn.IFS(ISBLANK(I1823),"FALTANTE",ABS((I1823-$W$8)/$X$8)&gt;1.92,"ATÍPICO",ABS((I1823-$W$8)/$X$8)&lt;=1.92,"NO ATÍPICO")</f>
        <v>NO ATÍPICO</v>
      </c>
      <c r="L1823">
        <f t="shared" si="128"/>
        <v>550000</v>
      </c>
      <c r="M1823" t="str">
        <f t="shared" si="128"/>
        <v>ASALARIADO</v>
      </c>
      <c r="N1823">
        <f t="shared" si="129"/>
        <v>28</v>
      </c>
      <c r="O1823" s="19" t="str">
        <f t="shared" si="130"/>
        <v>300k–600k</v>
      </c>
      <c r="P1823" s="19" t="str">
        <f t="shared" si="131"/>
        <v>26-35</v>
      </c>
    </row>
    <row r="1824" spans="1:16" x14ac:dyDescent="0.25">
      <c r="A1824">
        <v>1823</v>
      </c>
      <c r="B1824" t="s">
        <v>9</v>
      </c>
      <c r="C1824">
        <v>1524359</v>
      </c>
      <c r="D1824" t="s">
        <v>10</v>
      </c>
      <c r="E1824" t="s">
        <v>11</v>
      </c>
      <c r="F1824" t="s">
        <v>12</v>
      </c>
      <c r="G1824" t="s">
        <v>13</v>
      </c>
      <c r="H1824" t="s">
        <v>12</v>
      </c>
      <c r="I1824">
        <v>51</v>
      </c>
      <c r="J1824" t="str" cm="1">
        <f t="array" ref="J1824">_xlfn.IFS(ISBLANK(C1824),"FALTANTE",ABS((C1824-$W$5)/$X$5)&gt;1.96,"ATÍPICO",ABS((C1824-$W$5)/$X$5)&lt;=1.96,"NO ATÍPICO")</f>
        <v>NO ATÍPICO</v>
      </c>
      <c r="K1824" t="str" cm="1">
        <f t="array" ref="K1824">_xlfn.IFS(ISBLANK(I1824),"FALTANTE",ABS((I1824-$W$8)/$X$8)&gt;1.92,"ATÍPICO",ABS((I1824-$W$8)/$X$8)&lt;=1.92,"NO ATÍPICO")</f>
        <v>NO ATÍPICO</v>
      </c>
      <c r="L1824">
        <f t="shared" si="128"/>
        <v>1524359</v>
      </c>
      <c r="M1824" t="str">
        <f t="shared" si="128"/>
        <v>ASALARIADO</v>
      </c>
      <c r="N1824">
        <f t="shared" si="129"/>
        <v>51</v>
      </c>
      <c r="O1824" s="19" t="str">
        <f t="shared" si="130"/>
        <v>1200k+</v>
      </c>
      <c r="P1824" s="19" t="str">
        <f t="shared" si="131"/>
        <v>46-55</v>
      </c>
    </row>
    <row r="1825" spans="1:16" x14ac:dyDescent="0.25">
      <c r="A1825">
        <v>1824</v>
      </c>
      <c r="B1825" t="s">
        <v>15</v>
      </c>
      <c r="C1825">
        <v>50000</v>
      </c>
      <c r="D1825" t="s">
        <v>10</v>
      </c>
      <c r="E1825" t="s">
        <v>16</v>
      </c>
      <c r="F1825" t="s">
        <v>12</v>
      </c>
      <c r="G1825" t="s">
        <v>12</v>
      </c>
      <c r="H1825" t="s">
        <v>13</v>
      </c>
      <c r="I1825">
        <v>35</v>
      </c>
      <c r="J1825" t="str" cm="1">
        <f t="array" ref="J1825">_xlfn.IFS(ISBLANK(C1825),"FALTANTE",ABS((C1825-$W$5)/$X$5)&gt;1.96,"ATÍPICO",ABS((C1825-$W$5)/$X$5)&lt;=1.96,"NO ATÍPICO")</f>
        <v>NO ATÍPICO</v>
      </c>
      <c r="K1825" t="str" cm="1">
        <f t="array" ref="K1825">_xlfn.IFS(ISBLANK(I1825),"FALTANTE",ABS((I1825-$W$8)/$X$8)&gt;1.92,"ATÍPICO",ABS((I1825-$W$8)/$X$8)&lt;=1.92,"NO ATÍPICO")</f>
        <v>NO ATÍPICO</v>
      </c>
      <c r="L1825">
        <f t="shared" si="128"/>
        <v>50000</v>
      </c>
      <c r="M1825" t="str">
        <f t="shared" si="128"/>
        <v>ASALARIADO</v>
      </c>
      <c r="N1825">
        <f t="shared" si="129"/>
        <v>35</v>
      </c>
      <c r="O1825" s="19" t="str">
        <f t="shared" si="130"/>
        <v>0–300k</v>
      </c>
      <c r="P1825" s="19" t="str">
        <f t="shared" si="131"/>
        <v>26-35</v>
      </c>
    </row>
    <row r="1826" spans="1:16" x14ac:dyDescent="0.25">
      <c r="A1826">
        <v>1825</v>
      </c>
      <c r="B1826" t="s">
        <v>15</v>
      </c>
      <c r="C1826">
        <v>310124</v>
      </c>
      <c r="D1826" t="s">
        <v>17</v>
      </c>
      <c r="E1826" t="s">
        <v>16</v>
      </c>
      <c r="F1826" t="s">
        <v>12</v>
      </c>
      <c r="G1826" t="s">
        <v>13</v>
      </c>
      <c r="H1826" t="s">
        <v>12</v>
      </c>
      <c r="I1826">
        <v>32</v>
      </c>
      <c r="J1826" t="str" cm="1">
        <f t="array" ref="J1826">_xlfn.IFS(ISBLANK(C1826),"FALTANTE",ABS((C1826-$W$5)/$X$5)&gt;1.96,"ATÍPICO",ABS((C1826-$W$5)/$X$5)&lt;=1.96,"NO ATÍPICO")</f>
        <v>NO ATÍPICO</v>
      </c>
      <c r="K1826" t="str" cm="1">
        <f t="array" ref="K1826">_xlfn.IFS(ISBLANK(I1826),"FALTANTE",ABS((I1826-$W$8)/$X$8)&gt;1.92,"ATÍPICO",ABS((I1826-$W$8)/$X$8)&lt;=1.92,"NO ATÍPICO")</f>
        <v>NO ATÍPICO</v>
      </c>
      <c r="L1826">
        <f t="shared" si="128"/>
        <v>310124</v>
      </c>
      <c r="M1826" t="str">
        <f t="shared" si="128"/>
        <v>ASEGURADO VOLUNTARIO</v>
      </c>
      <c r="N1826">
        <f t="shared" si="129"/>
        <v>32</v>
      </c>
      <c r="O1826" s="19" t="str">
        <f t="shared" si="130"/>
        <v>300k–600k</v>
      </c>
      <c r="P1826" s="19" t="str">
        <f t="shared" si="131"/>
        <v>26-35</v>
      </c>
    </row>
    <row r="1827" spans="1:16" x14ac:dyDescent="0.25">
      <c r="A1827">
        <v>1826</v>
      </c>
      <c r="B1827" t="s">
        <v>9</v>
      </c>
      <c r="C1827">
        <v>216200</v>
      </c>
      <c r="D1827" t="s">
        <v>10</v>
      </c>
      <c r="E1827" t="s">
        <v>16</v>
      </c>
      <c r="F1827" t="s">
        <v>12</v>
      </c>
      <c r="G1827" t="s">
        <v>12</v>
      </c>
      <c r="H1827" t="s">
        <v>12</v>
      </c>
      <c r="I1827">
        <v>29</v>
      </c>
      <c r="J1827" t="str" cm="1">
        <f t="array" ref="J1827">_xlfn.IFS(ISBLANK(C1827),"FALTANTE",ABS((C1827-$W$5)/$X$5)&gt;1.96,"ATÍPICO",ABS((C1827-$W$5)/$X$5)&lt;=1.96,"NO ATÍPICO")</f>
        <v>NO ATÍPICO</v>
      </c>
      <c r="K1827" t="str" cm="1">
        <f t="array" ref="K1827">_xlfn.IFS(ISBLANK(I1827),"FALTANTE",ABS((I1827-$W$8)/$X$8)&gt;1.92,"ATÍPICO",ABS((I1827-$W$8)/$X$8)&lt;=1.92,"NO ATÍPICO")</f>
        <v>NO ATÍPICO</v>
      </c>
      <c r="L1827">
        <f t="shared" si="128"/>
        <v>216200</v>
      </c>
      <c r="M1827" t="str">
        <f t="shared" si="128"/>
        <v>ASALARIADO</v>
      </c>
      <c r="N1827">
        <f t="shared" si="129"/>
        <v>29</v>
      </c>
      <c r="O1827" s="19" t="str">
        <f t="shared" si="130"/>
        <v>0–300k</v>
      </c>
      <c r="P1827" s="19" t="str">
        <f t="shared" si="131"/>
        <v>26-35</v>
      </c>
    </row>
    <row r="1828" spans="1:16" x14ac:dyDescent="0.25">
      <c r="A1828">
        <v>1827</v>
      </c>
      <c r="B1828" t="s">
        <v>15</v>
      </c>
      <c r="C1828">
        <v>577181</v>
      </c>
      <c r="D1828" t="s">
        <v>10</v>
      </c>
      <c r="E1828" t="s">
        <v>11</v>
      </c>
      <c r="F1828" t="s">
        <v>12</v>
      </c>
      <c r="G1828" t="s">
        <v>13</v>
      </c>
      <c r="H1828" t="s">
        <v>12</v>
      </c>
      <c r="I1828">
        <v>55</v>
      </c>
      <c r="J1828" t="str" cm="1">
        <f t="array" ref="J1828">_xlfn.IFS(ISBLANK(C1828),"FALTANTE",ABS((C1828-$W$5)/$X$5)&gt;1.96,"ATÍPICO",ABS((C1828-$W$5)/$X$5)&lt;=1.96,"NO ATÍPICO")</f>
        <v>NO ATÍPICO</v>
      </c>
      <c r="K1828" t="str" cm="1">
        <f t="array" ref="K1828">_xlfn.IFS(ISBLANK(I1828),"FALTANTE",ABS((I1828-$W$8)/$X$8)&gt;1.92,"ATÍPICO",ABS((I1828-$W$8)/$X$8)&lt;=1.92,"NO ATÍPICO")</f>
        <v>NO ATÍPICO</v>
      </c>
      <c r="L1828">
        <f t="shared" si="128"/>
        <v>577181</v>
      </c>
      <c r="M1828" t="str">
        <f t="shared" si="128"/>
        <v>ASALARIADO</v>
      </c>
      <c r="N1828">
        <f t="shared" si="129"/>
        <v>55</v>
      </c>
      <c r="O1828" s="19" t="str">
        <f t="shared" si="130"/>
        <v>300k–600k</v>
      </c>
      <c r="P1828" s="19" t="str">
        <f t="shared" si="131"/>
        <v>46-55</v>
      </c>
    </row>
    <row r="1829" spans="1:16" x14ac:dyDescent="0.25">
      <c r="A1829">
        <v>1828</v>
      </c>
      <c r="B1829" t="s">
        <v>15</v>
      </c>
      <c r="C1829">
        <v>719873.23</v>
      </c>
      <c r="D1829" t="s">
        <v>10</v>
      </c>
      <c r="E1829" t="s">
        <v>16</v>
      </c>
      <c r="F1829" t="s">
        <v>12</v>
      </c>
      <c r="G1829" t="s">
        <v>13</v>
      </c>
      <c r="H1829" t="s">
        <v>13</v>
      </c>
      <c r="I1829">
        <v>26</v>
      </c>
      <c r="J1829" t="str" cm="1">
        <f t="array" ref="J1829">_xlfn.IFS(ISBLANK(C1829),"FALTANTE",ABS((C1829-$W$5)/$X$5)&gt;1.96,"ATÍPICO",ABS((C1829-$W$5)/$X$5)&lt;=1.96,"NO ATÍPICO")</f>
        <v>NO ATÍPICO</v>
      </c>
      <c r="K1829" t="str" cm="1">
        <f t="array" ref="K1829">_xlfn.IFS(ISBLANK(I1829),"FALTANTE",ABS((I1829-$W$8)/$X$8)&gt;1.92,"ATÍPICO",ABS((I1829-$W$8)/$X$8)&lt;=1.92,"NO ATÍPICO")</f>
        <v>NO ATÍPICO</v>
      </c>
      <c r="L1829">
        <f t="shared" si="128"/>
        <v>719873.23</v>
      </c>
      <c r="M1829" t="str">
        <f t="shared" si="128"/>
        <v>ASALARIADO</v>
      </c>
      <c r="N1829">
        <f t="shared" si="129"/>
        <v>26</v>
      </c>
      <c r="O1829" s="19" t="str">
        <f t="shared" si="130"/>
        <v>600k–900k</v>
      </c>
      <c r="P1829" s="19" t="str">
        <f t="shared" si="131"/>
        <v>26-35</v>
      </c>
    </row>
    <row r="1830" spans="1:16" x14ac:dyDescent="0.25">
      <c r="A1830">
        <v>1829</v>
      </c>
      <c r="B1830" t="s">
        <v>15</v>
      </c>
      <c r="C1830">
        <v>625201.97</v>
      </c>
      <c r="D1830" t="s">
        <v>10</v>
      </c>
      <c r="E1830" t="s">
        <v>16</v>
      </c>
      <c r="F1830" t="s">
        <v>12</v>
      </c>
      <c r="G1830" t="s">
        <v>13</v>
      </c>
      <c r="H1830" t="s">
        <v>13</v>
      </c>
      <c r="I1830">
        <v>24</v>
      </c>
      <c r="J1830" t="str" cm="1">
        <f t="array" ref="J1830">_xlfn.IFS(ISBLANK(C1830),"FALTANTE",ABS((C1830-$W$5)/$X$5)&gt;1.96,"ATÍPICO",ABS((C1830-$W$5)/$X$5)&lt;=1.96,"NO ATÍPICO")</f>
        <v>NO ATÍPICO</v>
      </c>
      <c r="K1830" t="str" cm="1">
        <f t="array" ref="K1830">_xlfn.IFS(ISBLANK(I1830),"FALTANTE",ABS((I1830-$W$8)/$X$8)&gt;1.92,"ATÍPICO",ABS((I1830-$W$8)/$X$8)&lt;=1.92,"NO ATÍPICO")</f>
        <v>NO ATÍPICO</v>
      </c>
      <c r="L1830">
        <f t="shared" si="128"/>
        <v>625201.97</v>
      </c>
      <c r="M1830" t="str">
        <f t="shared" si="128"/>
        <v>ASALARIADO</v>
      </c>
      <c r="N1830">
        <f t="shared" si="129"/>
        <v>24</v>
      </c>
      <c r="O1830" s="19" t="str">
        <f t="shared" si="130"/>
        <v>600k–900k</v>
      </c>
      <c r="P1830" s="19" t="str">
        <f t="shared" si="131"/>
        <v>18-25</v>
      </c>
    </row>
    <row r="1831" spans="1:16" x14ac:dyDescent="0.25">
      <c r="A1831">
        <v>1830</v>
      </c>
      <c r="B1831" t="s">
        <v>9</v>
      </c>
      <c r="C1831">
        <v>294101</v>
      </c>
      <c r="D1831" t="s">
        <v>10</v>
      </c>
      <c r="E1831" t="s">
        <v>16</v>
      </c>
      <c r="F1831" t="s">
        <v>12</v>
      </c>
      <c r="G1831" t="s">
        <v>13</v>
      </c>
      <c r="H1831" t="s">
        <v>13</v>
      </c>
      <c r="I1831">
        <v>25</v>
      </c>
      <c r="J1831" t="str" cm="1">
        <f t="array" ref="J1831">_xlfn.IFS(ISBLANK(C1831),"FALTANTE",ABS((C1831-$W$5)/$X$5)&gt;1.96,"ATÍPICO",ABS((C1831-$W$5)/$X$5)&lt;=1.96,"NO ATÍPICO")</f>
        <v>NO ATÍPICO</v>
      </c>
      <c r="K1831" t="str" cm="1">
        <f t="array" ref="K1831">_xlfn.IFS(ISBLANK(I1831),"FALTANTE",ABS((I1831-$W$8)/$X$8)&gt;1.92,"ATÍPICO",ABS((I1831-$W$8)/$X$8)&lt;=1.92,"NO ATÍPICO")</f>
        <v>NO ATÍPICO</v>
      </c>
      <c r="L1831">
        <f t="shared" si="128"/>
        <v>294101</v>
      </c>
      <c r="M1831" t="str">
        <f t="shared" si="128"/>
        <v>ASALARIADO</v>
      </c>
      <c r="N1831">
        <f t="shared" si="129"/>
        <v>25</v>
      </c>
      <c r="O1831" s="19" t="str">
        <f t="shared" si="130"/>
        <v>0–300k</v>
      </c>
      <c r="P1831" s="19" t="str">
        <f t="shared" si="131"/>
        <v>18-25</v>
      </c>
    </row>
    <row r="1832" spans="1:16" x14ac:dyDescent="0.25">
      <c r="A1832">
        <v>1831</v>
      </c>
      <c r="B1832" t="s">
        <v>15</v>
      </c>
      <c r="C1832">
        <v>278272</v>
      </c>
      <c r="D1832" t="s">
        <v>17</v>
      </c>
      <c r="E1832" t="s">
        <v>16</v>
      </c>
      <c r="F1832" t="s">
        <v>12</v>
      </c>
      <c r="G1832" t="s">
        <v>13</v>
      </c>
      <c r="H1832" t="s">
        <v>13</v>
      </c>
      <c r="I1832">
        <v>25</v>
      </c>
      <c r="J1832" t="str" cm="1">
        <f t="array" ref="J1832">_xlfn.IFS(ISBLANK(C1832),"FALTANTE",ABS((C1832-$W$5)/$X$5)&gt;1.96,"ATÍPICO",ABS((C1832-$W$5)/$X$5)&lt;=1.96,"NO ATÍPICO")</f>
        <v>NO ATÍPICO</v>
      </c>
      <c r="K1832" t="str" cm="1">
        <f t="array" ref="K1832">_xlfn.IFS(ISBLANK(I1832),"FALTANTE",ABS((I1832-$W$8)/$X$8)&gt;1.92,"ATÍPICO",ABS((I1832-$W$8)/$X$8)&lt;=1.92,"NO ATÍPICO")</f>
        <v>NO ATÍPICO</v>
      </c>
      <c r="L1832">
        <f t="shared" si="128"/>
        <v>278272</v>
      </c>
      <c r="M1832" t="str">
        <f t="shared" si="128"/>
        <v>ASEGURADO VOLUNTARIO</v>
      </c>
      <c r="N1832">
        <f t="shared" si="129"/>
        <v>25</v>
      </c>
      <c r="O1832" s="19" t="str">
        <f t="shared" si="130"/>
        <v>0–300k</v>
      </c>
      <c r="P1832" s="19" t="str">
        <f t="shared" si="131"/>
        <v>18-25</v>
      </c>
    </row>
    <row r="1833" spans="1:16" x14ac:dyDescent="0.25">
      <c r="A1833">
        <v>1832</v>
      </c>
      <c r="B1833" t="s">
        <v>15</v>
      </c>
      <c r="C1833">
        <v>370275</v>
      </c>
      <c r="D1833" t="s">
        <v>10</v>
      </c>
      <c r="E1833" t="s">
        <v>16</v>
      </c>
      <c r="F1833" t="s">
        <v>12</v>
      </c>
      <c r="G1833" t="s">
        <v>13</v>
      </c>
      <c r="H1833" t="s">
        <v>13</v>
      </c>
      <c r="I1833">
        <v>36</v>
      </c>
      <c r="J1833" t="str" cm="1">
        <f t="array" ref="J1833">_xlfn.IFS(ISBLANK(C1833),"FALTANTE",ABS((C1833-$W$5)/$X$5)&gt;1.96,"ATÍPICO",ABS((C1833-$W$5)/$X$5)&lt;=1.96,"NO ATÍPICO")</f>
        <v>NO ATÍPICO</v>
      </c>
      <c r="K1833" t="str" cm="1">
        <f t="array" ref="K1833">_xlfn.IFS(ISBLANK(I1833),"FALTANTE",ABS((I1833-$W$8)/$X$8)&gt;1.92,"ATÍPICO",ABS((I1833-$W$8)/$X$8)&lt;=1.92,"NO ATÍPICO")</f>
        <v>NO ATÍPICO</v>
      </c>
      <c r="L1833">
        <f t="shared" si="128"/>
        <v>370275</v>
      </c>
      <c r="M1833" t="str">
        <f t="shared" si="128"/>
        <v>ASALARIADO</v>
      </c>
      <c r="N1833">
        <f t="shared" si="129"/>
        <v>36</v>
      </c>
      <c r="O1833" s="19" t="str">
        <f t="shared" si="130"/>
        <v>300k–600k</v>
      </c>
      <c r="P1833" s="19" t="str">
        <f t="shared" si="131"/>
        <v>36-45</v>
      </c>
    </row>
    <row r="1834" spans="1:16" x14ac:dyDescent="0.25">
      <c r="A1834">
        <v>1833</v>
      </c>
      <c r="B1834" t="s">
        <v>9</v>
      </c>
      <c r="C1834">
        <v>503329.68</v>
      </c>
      <c r="D1834" t="s">
        <v>10</v>
      </c>
      <c r="E1834" t="s">
        <v>16</v>
      </c>
      <c r="F1834" t="s">
        <v>12</v>
      </c>
      <c r="G1834" t="s">
        <v>12</v>
      </c>
      <c r="H1834" t="s">
        <v>13</v>
      </c>
      <c r="I1834">
        <v>26</v>
      </c>
      <c r="J1834" t="str" cm="1">
        <f t="array" ref="J1834">_xlfn.IFS(ISBLANK(C1834),"FALTANTE",ABS((C1834-$W$5)/$X$5)&gt;1.96,"ATÍPICO",ABS((C1834-$W$5)/$X$5)&lt;=1.96,"NO ATÍPICO")</f>
        <v>NO ATÍPICO</v>
      </c>
      <c r="K1834" t="str" cm="1">
        <f t="array" ref="K1834">_xlfn.IFS(ISBLANK(I1834),"FALTANTE",ABS((I1834-$W$8)/$X$8)&gt;1.92,"ATÍPICO",ABS((I1834-$W$8)/$X$8)&lt;=1.92,"NO ATÍPICO")</f>
        <v>NO ATÍPICO</v>
      </c>
      <c r="L1834">
        <f t="shared" si="128"/>
        <v>503329.68</v>
      </c>
      <c r="M1834" t="str">
        <f t="shared" si="128"/>
        <v>ASALARIADO</v>
      </c>
      <c r="N1834">
        <f t="shared" si="129"/>
        <v>26</v>
      </c>
      <c r="O1834" s="19" t="str">
        <f t="shared" si="130"/>
        <v>300k–600k</v>
      </c>
      <c r="P1834" s="19" t="str">
        <f t="shared" si="131"/>
        <v>26-35</v>
      </c>
    </row>
    <row r="1835" spans="1:16" x14ac:dyDescent="0.25">
      <c r="A1835">
        <v>1834</v>
      </c>
      <c r="B1835" t="s">
        <v>9</v>
      </c>
      <c r="C1835">
        <v>432986.25</v>
      </c>
      <c r="D1835" t="s">
        <v>10</v>
      </c>
      <c r="E1835" t="s">
        <v>16</v>
      </c>
      <c r="F1835" t="s">
        <v>12</v>
      </c>
      <c r="G1835" t="s">
        <v>12</v>
      </c>
      <c r="H1835" t="s">
        <v>13</v>
      </c>
      <c r="I1835">
        <v>45</v>
      </c>
      <c r="J1835" t="str" cm="1">
        <f t="array" ref="J1835">_xlfn.IFS(ISBLANK(C1835),"FALTANTE",ABS((C1835-$W$5)/$X$5)&gt;1.96,"ATÍPICO",ABS((C1835-$W$5)/$X$5)&lt;=1.96,"NO ATÍPICO")</f>
        <v>NO ATÍPICO</v>
      </c>
      <c r="K1835" t="str" cm="1">
        <f t="array" ref="K1835">_xlfn.IFS(ISBLANK(I1835),"FALTANTE",ABS((I1835-$W$8)/$X$8)&gt;1.92,"ATÍPICO",ABS((I1835-$W$8)/$X$8)&lt;=1.92,"NO ATÍPICO")</f>
        <v>NO ATÍPICO</v>
      </c>
      <c r="L1835">
        <f t="shared" si="128"/>
        <v>432986.25</v>
      </c>
      <c r="M1835" t="str">
        <f t="shared" si="128"/>
        <v>ASALARIADO</v>
      </c>
      <c r="N1835">
        <f t="shared" si="129"/>
        <v>45</v>
      </c>
      <c r="O1835" s="19" t="str">
        <f t="shared" si="130"/>
        <v>300k–600k</v>
      </c>
      <c r="P1835" s="19" t="str">
        <f t="shared" si="131"/>
        <v>36-45</v>
      </c>
    </row>
    <row r="1836" spans="1:16" x14ac:dyDescent="0.25">
      <c r="A1836">
        <v>1835</v>
      </c>
      <c r="B1836" t="s">
        <v>9</v>
      </c>
      <c r="C1836">
        <v>346480</v>
      </c>
      <c r="D1836" t="s">
        <v>10</v>
      </c>
      <c r="E1836" t="s">
        <v>16</v>
      </c>
      <c r="F1836" t="s">
        <v>12</v>
      </c>
      <c r="G1836" t="s">
        <v>13</v>
      </c>
      <c r="H1836" t="s">
        <v>13</v>
      </c>
      <c r="I1836">
        <v>25</v>
      </c>
      <c r="J1836" t="str" cm="1">
        <f t="array" ref="J1836">_xlfn.IFS(ISBLANK(C1836),"FALTANTE",ABS((C1836-$W$5)/$X$5)&gt;1.96,"ATÍPICO",ABS((C1836-$W$5)/$X$5)&lt;=1.96,"NO ATÍPICO")</f>
        <v>NO ATÍPICO</v>
      </c>
      <c r="K1836" t="str" cm="1">
        <f t="array" ref="K1836">_xlfn.IFS(ISBLANK(I1836),"FALTANTE",ABS((I1836-$W$8)/$X$8)&gt;1.92,"ATÍPICO",ABS((I1836-$W$8)/$X$8)&lt;=1.92,"NO ATÍPICO")</f>
        <v>NO ATÍPICO</v>
      </c>
      <c r="L1836">
        <f t="shared" si="128"/>
        <v>346480</v>
      </c>
      <c r="M1836" t="str">
        <f t="shared" si="128"/>
        <v>ASALARIADO</v>
      </c>
      <c r="N1836">
        <f t="shared" si="129"/>
        <v>25</v>
      </c>
      <c r="O1836" s="19" t="str">
        <f t="shared" si="130"/>
        <v>300k–600k</v>
      </c>
      <c r="P1836" s="19" t="str">
        <f t="shared" si="131"/>
        <v>18-25</v>
      </c>
    </row>
    <row r="1837" spans="1:16" x14ac:dyDescent="0.25">
      <c r="A1837">
        <v>1836</v>
      </c>
      <c r="B1837" t="s">
        <v>9</v>
      </c>
      <c r="C1837">
        <v>903246</v>
      </c>
      <c r="D1837" t="s">
        <v>10</v>
      </c>
      <c r="E1837" t="s">
        <v>11</v>
      </c>
      <c r="F1837" t="s">
        <v>12</v>
      </c>
      <c r="G1837" t="s">
        <v>13</v>
      </c>
      <c r="H1837" t="s">
        <v>13</v>
      </c>
      <c r="I1837">
        <v>34</v>
      </c>
      <c r="J1837" t="str" cm="1">
        <f t="array" ref="J1837">_xlfn.IFS(ISBLANK(C1837),"FALTANTE",ABS((C1837-$W$5)/$X$5)&gt;1.96,"ATÍPICO",ABS((C1837-$W$5)/$X$5)&lt;=1.96,"NO ATÍPICO")</f>
        <v>NO ATÍPICO</v>
      </c>
      <c r="K1837" t="str" cm="1">
        <f t="array" ref="K1837">_xlfn.IFS(ISBLANK(I1837),"FALTANTE",ABS((I1837-$W$8)/$X$8)&gt;1.92,"ATÍPICO",ABS((I1837-$W$8)/$X$8)&lt;=1.92,"NO ATÍPICO")</f>
        <v>NO ATÍPICO</v>
      </c>
      <c r="L1837">
        <f t="shared" si="128"/>
        <v>903246</v>
      </c>
      <c r="M1837" t="str">
        <f t="shared" si="128"/>
        <v>ASALARIADO</v>
      </c>
      <c r="N1837">
        <f t="shared" si="129"/>
        <v>34</v>
      </c>
      <c r="O1837" s="19" t="str">
        <f t="shared" si="130"/>
        <v>900k–1200k</v>
      </c>
      <c r="P1837" s="19" t="str">
        <f t="shared" si="131"/>
        <v>26-35</v>
      </c>
    </row>
    <row r="1838" spans="1:16" x14ac:dyDescent="0.25">
      <c r="A1838">
        <v>1837</v>
      </c>
      <c r="B1838" t="s">
        <v>9</v>
      </c>
      <c r="C1838">
        <v>320283</v>
      </c>
      <c r="D1838" t="s">
        <v>18</v>
      </c>
      <c r="E1838" t="s">
        <v>16</v>
      </c>
      <c r="F1838" t="s">
        <v>12</v>
      </c>
      <c r="G1838" t="s">
        <v>13</v>
      </c>
      <c r="H1838" t="s">
        <v>12</v>
      </c>
      <c r="I1838">
        <v>24</v>
      </c>
      <c r="J1838" t="str" cm="1">
        <f t="array" ref="J1838">_xlfn.IFS(ISBLANK(C1838),"FALTANTE",ABS((C1838-$W$5)/$X$5)&gt;1.96,"ATÍPICO",ABS((C1838-$W$5)/$X$5)&lt;=1.96,"NO ATÍPICO")</f>
        <v>NO ATÍPICO</v>
      </c>
      <c r="K1838" t="str" cm="1">
        <f t="array" ref="K1838">_xlfn.IFS(ISBLANK(I1838),"FALTANTE",ABS((I1838-$W$8)/$X$8)&gt;1.92,"ATÍPICO",ABS((I1838-$W$8)/$X$8)&lt;=1.92,"NO ATÍPICO")</f>
        <v>NO ATÍPICO</v>
      </c>
      <c r="L1838">
        <f t="shared" si="128"/>
        <v>320283</v>
      </c>
      <c r="M1838" t="str">
        <f t="shared" si="128"/>
        <v>TRABAJADOR INDEPENDIENTE</v>
      </c>
      <c r="N1838">
        <f t="shared" si="129"/>
        <v>24</v>
      </c>
      <c r="O1838" s="19" t="str">
        <f t="shared" si="130"/>
        <v>300k–600k</v>
      </c>
      <c r="P1838" s="19" t="str">
        <f t="shared" si="131"/>
        <v>18-25</v>
      </c>
    </row>
    <row r="1839" spans="1:16" x14ac:dyDescent="0.25">
      <c r="A1839">
        <v>1838</v>
      </c>
      <c r="B1839" t="s">
        <v>15</v>
      </c>
      <c r="C1839">
        <v>297045</v>
      </c>
      <c r="D1839" t="s">
        <v>17</v>
      </c>
      <c r="E1839" t="s">
        <v>16</v>
      </c>
      <c r="F1839" t="s">
        <v>12</v>
      </c>
      <c r="G1839" t="s">
        <v>13</v>
      </c>
      <c r="H1839" t="s">
        <v>13</v>
      </c>
      <c r="I1839">
        <v>41</v>
      </c>
      <c r="J1839" t="str" cm="1">
        <f t="array" ref="J1839">_xlfn.IFS(ISBLANK(C1839),"FALTANTE",ABS((C1839-$W$5)/$X$5)&gt;1.96,"ATÍPICO",ABS((C1839-$W$5)/$X$5)&lt;=1.96,"NO ATÍPICO")</f>
        <v>NO ATÍPICO</v>
      </c>
      <c r="K1839" t="str" cm="1">
        <f t="array" ref="K1839">_xlfn.IFS(ISBLANK(I1839),"FALTANTE",ABS((I1839-$W$8)/$X$8)&gt;1.92,"ATÍPICO",ABS((I1839-$W$8)/$X$8)&lt;=1.92,"NO ATÍPICO")</f>
        <v>NO ATÍPICO</v>
      </c>
      <c r="L1839">
        <f t="shared" si="128"/>
        <v>297045</v>
      </c>
      <c r="M1839" t="str">
        <f t="shared" si="128"/>
        <v>ASEGURADO VOLUNTARIO</v>
      </c>
      <c r="N1839">
        <f t="shared" si="129"/>
        <v>41</v>
      </c>
      <c r="O1839" s="19" t="str">
        <f t="shared" si="130"/>
        <v>0–300k</v>
      </c>
      <c r="P1839" s="19" t="str">
        <f t="shared" si="131"/>
        <v>36-45</v>
      </c>
    </row>
    <row r="1840" spans="1:16" x14ac:dyDescent="0.25">
      <c r="A1840">
        <v>1839</v>
      </c>
      <c r="B1840" t="s">
        <v>15</v>
      </c>
      <c r="C1840">
        <v>1019557</v>
      </c>
      <c r="D1840" t="s">
        <v>10</v>
      </c>
      <c r="E1840" t="s">
        <v>11</v>
      </c>
      <c r="F1840" t="s">
        <v>12</v>
      </c>
      <c r="G1840" t="s">
        <v>13</v>
      </c>
      <c r="H1840" t="s">
        <v>13</v>
      </c>
      <c r="I1840">
        <v>33</v>
      </c>
      <c r="J1840" t="str" cm="1">
        <f t="array" ref="J1840">_xlfn.IFS(ISBLANK(C1840),"FALTANTE",ABS((C1840-$W$5)/$X$5)&gt;1.96,"ATÍPICO",ABS((C1840-$W$5)/$X$5)&lt;=1.96,"NO ATÍPICO")</f>
        <v>NO ATÍPICO</v>
      </c>
      <c r="K1840" t="str" cm="1">
        <f t="array" ref="K1840">_xlfn.IFS(ISBLANK(I1840),"FALTANTE",ABS((I1840-$W$8)/$X$8)&gt;1.92,"ATÍPICO",ABS((I1840-$W$8)/$X$8)&lt;=1.92,"NO ATÍPICO")</f>
        <v>NO ATÍPICO</v>
      </c>
      <c r="L1840">
        <f t="shared" si="128"/>
        <v>1019557</v>
      </c>
      <c r="M1840" t="str">
        <f t="shared" si="128"/>
        <v>ASALARIADO</v>
      </c>
      <c r="N1840">
        <f t="shared" si="129"/>
        <v>33</v>
      </c>
      <c r="O1840" s="19" t="str">
        <f t="shared" si="130"/>
        <v>900k–1200k</v>
      </c>
      <c r="P1840" s="19" t="str">
        <f t="shared" si="131"/>
        <v>26-35</v>
      </c>
    </row>
    <row r="1841" spans="1:16" x14ac:dyDescent="0.25">
      <c r="A1841">
        <v>1840</v>
      </c>
      <c r="B1841" t="s">
        <v>9</v>
      </c>
      <c r="C1841">
        <v>370440.66</v>
      </c>
      <c r="D1841" t="s">
        <v>10</v>
      </c>
      <c r="E1841" t="s">
        <v>16</v>
      </c>
      <c r="F1841" t="s">
        <v>12</v>
      </c>
      <c r="G1841" t="s">
        <v>13</v>
      </c>
      <c r="H1841" t="s">
        <v>13</v>
      </c>
      <c r="I1841">
        <v>42</v>
      </c>
      <c r="J1841" t="str" cm="1">
        <f t="array" ref="J1841">_xlfn.IFS(ISBLANK(C1841),"FALTANTE",ABS((C1841-$W$5)/$X$5)&gt;1.96,"ATÍPICO",ABS((C1841-$W$5)/$X$5)&lt;=1.96,"NO ATÍPICO")</f>
        <v>NO ATÍPICO</v>
      </c>
      <c r="K1841" t="str" cm="1">
        <f t="array" ref="K1841">_xlfn.IFS(ISBLANK(I1841),"FALTANTE",ABS((I1841-$W$8)/$X$8)&gt;1.92,"ATÍPICO",ABS((I1841-$W$8)/$X$8)&lt;=1.92,"NO ATÍPICO")</f>
        <v>NO ATÍPICO</v>
      </c>
      <c r="L1841">
        <f t="shared" si="128"/>
        <v>370440.66</v>
      </c>
      <c r="M1841" t="str">
        <f t="shared" si="128"/>
        <v>ASALARIADO</v>
      </c>
      <c r="N1841">
        <f t="shared" si="129"/>
        <v>42</v>
      </c>
      <c r="O1841" s="19" t="str">
        <f t="shared" si="130"/>
        <v>300k–600k</v>
      </c>
      <c r="P1841" s="19" t="str">
        <f t="shared" si="131"/>
        <v>36-45</v>
      </c>
    </row>
    <row r="1842" spans="1:16" x14ac:dyDescent="0.25">
      <c r="A1842">
        <v>1841</v>
      </c>
      <c r="B1842" t="s">
        <v>15</v>
      </c>
      <c r="C1842">
        <v>133838</v>
      </c>
      <c r="D1842" t="s">
        <v>10</v>
      </c>
      <c r="E1842" t="s">
        <v>16</v>
      </c>
      <c r="F1842" t="s">
        <v>12</v>
      </c>
      <c r="G1842" t="s">
        <v>13</v>
      </c>
      <c r="H1842" t="s">
        <v>13</v>
      </c>
      <c r="I1842">
        <v>53</v>
      </c>
      <c r="J1842" t="str" cm="1">
        <f t="array" ref="J1842">_xlfn.IFS(ISBLANK(C1842),"FALTANTE",ABS((C1842-$W$5)/$X$5)&gt;1.96,"ATÍPICO",ABS((C1842-$W$5)/$X$5)&lt;=1.96,"NO ATÍPICO")</f>
        <v>NO ATÍPICO</v>
      </c>
      <c r="K1842" t="str" cm="1">
        <f t="array" ref="K1842">_xlfn.IFS(ISBLANK(I1842),"FALTANTE",ABS((I1842-$W$8)/$X$8)&gt;1.92,"ATÍPICO",ABS((I1842-$W$8)/$X$8)&lt;=1.92,"NO ATÍPICO")</f>
        <v>NO ATÍPICO</v>
      </c>
      <c r="L1842">
        <f t="shared" si="128"/>
        <v>133838</v>
      </c>
      <c r="M1842" t="str">
        <f t="shared" si="128"/>
        <v>ASALARIADO</v>
      </c>
      <c r="N1842">
        <f t="shared" si="129"/>
        <v>53</v>
      </c>
      <c r="O1842" s="19" t="str">
        <f t="shared" si="130"/>
        <v>0–300k</v>
      </c>
      <c r="P1842" s="19" t="str">
        <f t="shared" si="131"/>
        <v>46-55</v>
      </c>
    </row>
    <row r="1843" spans="1:16" x14ac:dyDescent="0.25">
      <c r="A1843">
        <v>1842</v>
      </c>
      <c r="B1843" t="s">
        <v>9</v>
      </c>
      <c r="C1843">
        <v>1578511.16</v>
      </c>
      <c r="D1843" t="s">
        <v>10</v>
      </c>
      <c r="E1843" t="s">
        <v>16</v>
      </c>
      <c r="F1843" t="s">
        <v>12</v>
      </c>
      <c r="G1843" t="s">
        <v>13</v>
      </c>
      <c r="H1843" t="s">
        <v>13</v>
      </c>
      <c r="I1843">
        <v>36</v>
      </c>
      <c r="J1843" t="str" cm="1">
        <f t="array" ref="J1843">_xlfn.IFS(ISBLANK(C1843),"FALTANTE",ABS((C1843-$W$5)/$X$5)&gt;1.96,"ATÍPICO",ABS((C1843-$W$5)/$X$5)&lt;=1.96,"NO ATÍPICO")</f>
        <v>NO ATÍPICO</v>
      </c>
      <c r="K1843" t="str" cm="1">
        <f t="array" ref="K1843">_xlfn.IFS(ISBLANK(I1843),"FALTANTE",ABS((I1843-$W$8)/$X$8)&gt;1.92,"ATÍPICO",ABS((I1843-$W$8)/$X$8)&lt;=1.92,"NO ATÍPICO")</f>
        <v>NO ATÍPICO</v>
      </c>
      <c r="L1843">
        <f t="shared" si="128"/>
        <v>1578511.16</v>
      </c>
      <c r="M1843" t="str">
        <f t="shared" si="128"/>
        <v>ASALARIADO</v>
      </c>
      <c r="N1843">
        <f t="shared" si="129"/>
        <v>36</v>
      </c>
      <c r="O1843" s="19" t="str">
        <f t="shared" si="130"/>
        <v>1200k+</v>
      </c>
      <c r="P1843" s="19" t="str">
        <f t="shared" si="131"/>
        <v>36-45</v>
      </c>
    </row>
    <row r="1844" spans="1:16" x14ac:dyDescent="0.25">
      <c r="A1844">
        <v>1843</v>
      </c>
      <c r="B1844" t="s">
        <v>9</v>
      </c>
      <c r="C1844">
        <v>639148</v>
      </c>
      <c r="D1844" t="s">
        <v>18</v>
      </c>
      <c r="E1844" t="s">
        <v>16</v>
      </c>
      <c r="F1844" t="s">
        <v>12</v>
      </c>
      <c r="G1844" t="s">
        <v>13</v>
      </c>
      <c r="H1844" t="s">
        <v>13</v>
      </c>
      <c r="I1844">
        <v>45</v>
      </c>
      <c r="J1844" t="str" cm="1">
        <f t="array" ref="J1844">_xlfn.IFS(ISBLANK(C1844),"FALTANTE",ABS((C1844-$W$5)/$X$5)&gt;1.96,"ATÍPICO",ABS((C1844-$W$5)/$X$5)&lt;=1.96,"NO ATÍPICO")</f>
        <v>NO ATÍPICO</v>
      </c>
      <c r="K1844" t="str" cm="1">
        <f t="array" ref="K1844">_xlfn.IFS(ISBLANK(I1844),"FALTANTE",ABS((I1844-$W$8)/$X$8)&gt;1.92,"ATÍPICO",ABS((I1844-$W$8)/$X$8)&lt;=1.92,"NO ATÍPICO")</f>
        <v>NO ATÍPICO</v>
      </c>
      <c r="L1844">
        <f t="shared" si="128"/>
        <v>639148</v>
      </c>
      <c r="M1844" t="str">
        <f t="shared" si="128"/>
        <v>TRABAJADOR INDEPENDIENTE</v>
      </c>
      <c r="N1844">
        <f t="shared" si="129"/>
        <v>45</v>
      </c>
      <c r="O1844" s="19" t="str">
        <f t="shared" si="130"/>
        <v>600k–900k</v>
      </c>
      <c r="P1844" s="19" t="str">
        <f t="shared" si="131"/>
        <v>36-45</v>
      </c>
    </row>
    <row r="1845" spans="1:16" x14ac:dyDescent="0.25">
      <c r="A1845">
        <v>1844</v>
      </c>
      <c r="B1845" t="s">
        <v>9</v>
      </c>
      <c r="C1845">
        <v>300018</v>
      </c>
      <c r="D1845" t="s">
        <v>18</v>
      </c>
      <c r="E1845" t="s">
        <v>16</v>
      </c>
      <c r="F1845" t="s">
        <v>12</v>
      </c>
      <c r="G1845" t="s">
        <v>13</v>
      </c>
      <c r="H1845" t="s">
        <v>12</v>
      </c>
      <c r="I1845">
        <v>42</v>
      </c>
      <c r="J1845" t="str" cm="1">
        <f t="array" ref="J1845">_xlfn.IFS(ISBLANK(C1845),"FALTANTE",ABS((C1845-$W$5)/$X$5)&gt;1.96,"ATÍPICO",ABS((C1845-$W$5)/$X$5)&lt;=1.96,"NO ATÍPICO")</f>
        <v>NO ATÍPICO</v>
      </c>
      <c r="K1845" t="str" cm="1">
        <f t="array" ref="K1845">_xlfn.IFS(ISBLANK(I1845),"FALTANTE",ABS((I1845-$W$8)/$X$8)&gt;1.92,"ATÍPICO",ABS((I1845-$W$8)/$X$8)&lt;=1.92,"NO ATÍPICO")</f>
        <v>NO ATÍPICO</v>
      </c>
      <c r="L1845">
        <f t="shared" si="128"/>
        <v>300018</v>
      </c>
      <c r="M1845" t="str">
        <f t="shared" si="128"/>
        <v>TRABAJADOR INDEPENDIENTE</v>
      </c>
      <c r="N1845">
        <f t="shared" si="129"/>
        <v>42</v>
      </c>
      <c r="O1845" s="19" t="str">
        <f t="shared" si="130"/>
        <v>300k–600k</v>
      </c>
      <c r="P1845" s="19" t="str">
        <f t="shared" si="131"/>
        <v>36-45</v>
      </c>
    </row>
    <row r="1846" spans="1:16" x14ac:dyDescent="0.25">
      <c r="A1846">
        <v>1845</v>
      </c>
      <c r="B1846" t="s">
        <v>15</v>
      </c>
      <c r="C1846">
        <v>390000</v>
      </c>
      <c r="D1846" t="s">
        <v>10</v>
      </c>
      <c r="E1846" t="s">
        <v>16</v>
      </c>
      <c r="F1846" t="s">
        <v>12</v>
      </c>
      <c r="G1846" t="s">
        <v>13</v>
      </c>
      <c r="H1846" t="s">
        <v>13</v>
      </c>
      <c r="I1846">
        <v>32</v>
      </c>
      <c r="J1846" t="str" cm="1">
        <f t="array" ref="J1846">_xlfn.IFS(ISBLANK(C1846),"FALTANTE",ABS((C1846-$W$5)/$X$5)&gt;1.96,"ATÍPICO",ABS((C1846-$W$5)/$X$5)&lt;=1.96,"NO ATÍPICO")</f>
        <v>NO ATÍPICO</v>
      </c>
      <c r="K1846" t="str" cm="1">
        <f t="array" ref="K1846">_xlfn.IFS(ISBLANK(I1846),"FALTANTE",ABS((I1846-$W$8)/$X$8)&gt;1.92,"ATÍPICO",ABS((I1846-$W$8)/$X$8)&lt;=1.92,"NO ATÍPICO")</f>
        <v>NO ATÍPICO</v>
      </c>
      <c r="L1846">
        <f t="shared" si="128"/>
        <v>390000</v>
      </c>
      <c r="M1846" t="str">
        <f t="shared" si="128"/>
        <v>ASALARIADO</v>
      </c>
      <c r="N1846">
        <f t="shared" si="129"/>
        <v>32</v>
      </c>
      <c r="O1846" s="19" t="str">
        <f t="shared" si="130"/>
        <v>300k–600k</v>
      </c>
      <c r="P1846" s="19" t="str">
        <f t="shared" si="131"/>
        <v>26-35</v>
      </c>
    </row>
    <row r="1847" spans="1:16" x14ac:dyDescent="0.25">
      <c r="A1847">
        <v>1846</v>
      </c>
      <c r="B1847" t="s">
        <v>9</v>
      </c>
      <c r="C1847">
        <v>299784</v>
      </c>
      <c r="D1847" t="s">
        <v>17</v>
      </c>
      <c r="E1847" t="s">
        <v>16</v>
      </c>
      <c r="F1847" t="s">
        <v>12</v>
      </c>
      <c r="G1847" t="s">
        <v>13</v>
      </c>
      <c r="H1847" t="s">
        <v>13</v>
      </c>
      <c r="I1847">
        <v>59</v>
      </c>
      <c r="J1847" t="str" cm="1">
        <f t="array" ref="J1847">_xlfn.IFS(ISBLANK(C1847),"FALTANTE",ABS((C1847-$W$5)/$X$5)&gt;1.96,"ATÍPICO",ABS((C1847-$W$5)/$X$5)&lt;=1.96,"NO ATÍPICO")</f>
        <v>NO ATÍPICO</v>
      </c>
      <c r="K1847" t="str" cm="1">
        <f t="array" ref="K1847">_xlfn.IFS(ISBLANK(I1847),"FALTANTE",ABS((I1847-$W$8)/$X$8)&gt;1.92,"ATÍPICO",ABS((I1847-$W$8)/$X$8)&lt;=1.92,"NO ATÍPICO")</f>
        <v>NO ATÍPICO</v>
      </c>
      <c r="L1847">
        <f t="shared" si="128"/>
        <v>299784</v>
      </c>
      <c r="M1847" t="str">
        <f t="shared" si="128"/>
        <v>ASEGURADO VOLUNTARIO</v>
      </c>
      <c r="N1847">
        <f t="shared" si="129"/>
        <v>59</v>
      </c>
      <c r="O1847" s="19" t="str">
        <f t="shared" si="130"/>
        <v>0–300k</v>
      </c>
      <c r="P1847" s="19" t="str">
        <f t="shared" si="131"/>
        <v>56+</v>
      </c>
    </row>
    <row r="1848" spans="1:16" x14ac:dyDescent="0.25">
      <c r="A1848">
        <v>1847</v>
      </c>
      <c r="B1848" t="s">
        <v>9</v>
      </c>
      <c r="C1848">
        <v>648421</v>
      </c>
      <c r="D1848" t="s">
        <v>10</v>
      </c>
      <c r="E1848" t="s">
        <v>16</v>
      </c>
      <c r="F1848" t="s">
        <v>12</v>
      </c>
      <c r="G1848" t="s">
        <v>13</v>
      </c>
      <c r="H1848" t="s">
        <v>13</v>
      </c>
      <c r="I1848">
        <v>53</v>
      </c>
      <c r="J1848" t="str" cm="1">
        <f t="array" ref="J1848">_xlfn.IFS(ISBLANK(C1848),"FALTANTE",ABS((C1848-$W$5)/$X$5)&gt;1.96,"ATÍPICO",ABS((C1848-$W$5)/$X$5)&lt;=1.96,"NO ATÍPICO")</f>
        <v>NO ATÍPICO</v>
      </c>
      <c r="K1848" t="str" cm="1">
        <f t="array" ref="K1848">_xlfn.IFS(ISBLANK(I1848),"FALTANTE",ABS((I1848-$W$8)/$X$8)&gt;1.92,"ATÍPICO",ABS((I1848-$W$8)/$X$8)&lt;=1.92,"NO ATÍPICO")</f>
        <v>NO ATÍPICO</v>
      </c>
      <c r="L1848">
        <f t="shared" si="128"/>
        <v>648421</v>
      </c>
      <c r="M1848" t="str">
        <f t="shared" si="128"/>
        <v>ASALARIADO</v>
      </c>
      <c r="N1848">
        <f t="shared" si="129"/>
        <v>53</v>
      </c>
      <c r="O1848" s="19" t="str">
        <f t="shared" si="130"/>
        <v>600k–900k</v>
      </c>
      <c r="P1848" s="19" t="str">
        <f t="shared" si="131"/>
        <v>46-55</v>
      </c>
    </row>
    <row r="1849" spans="1:16" x14ac:dyDescent="0.25">
      <c r="A1849">
        <v>1848</v>
      </c>
      <c r="B1849" t="s">
        <v>15</v>
      </c>
      <c r="C1849">
        <v>298018</v>
      </c>
      <c r="D1849" t="s">
        <v>18</v>
      </c>
      <c r="E1849" t="s">
        <v>16</v>
      </c>
      <c r="F1849" t="s">
        <v>12</v>
      </c>
      <c r="G1849" t="s">
        <v>13</v>
      </c>
      <c r="H1849" t="s">
        <v>12</v>
      </c>
      <c r="I1849">
        <v>54</v>
      </c>
      <c r="J1849" t="str" cm="1">
        <f t="array" ref="J1849">_xlfn.IFS(ISBLANK(C1849),"FALTANTE",ABS((C1849-$W$5)/$X$5)&gt;1.96,"ATÍPICO",ABS((C1849-$W$5)/$X$5)&lt;=1.96,"NO ATÍPICO")</f>
        <v>NO ATÍPICO</v>
      </c>
      <c r="K1849" t="str" cm="1">
        <f t="array" ref="K1849">_xlfn.IFS(ISBLANK(I1849),"FALTANTE",ABS((I1849-$W$8)/$X$8)&gt;1.92,"ATÍPICO",ABS((I1849-$W$8)/$X$8)&lt;=1.92,"NO ATÍPICO")</f>
        <v>NO ATÍPICO</v>
      </c>
      <c r="L1849">
        <f t="shared" si="128"/>
        <v>298018</v>
      </c>
      <c r="M1849" t="str">
        <f t="shared" si="128"/>
        <v>TRABAJADOR INDEPENDIENTE</v>
      </c>
      <c r="N1849">
        <f t="shared" si="129"/>
        <v>54</v>
      </c>
      <c r="O1849" s="19" t="str">
        <f t="shared" si="130"/>
        <v>0–300k</v>
      </c>
      <c r="P1849" s="19" t="str">
        <f t="shared" si="131"/>
        <v>46-55</v>
      </c>
    </row>
    <row r="1850" spans="1:16" x14ac:dyDescent="0.25">
      <c r="A1850">
        <v>1849</v>
      </c>
      <c r="B1850" t="s">
        <v>15</v>
      </c>
      <c r="C1850">
        <v>299046</v>
      </c>
      <c r="D1850" t="s">
        <v>18</v>
      </c>
      <c r="E1850" t="s">
        <v>16</v>
      </c>
      <c r="F1850" t="s">
        <v>12</v>
      </c>
      <c r="G1850" t="s">
        <v>12</v>
      </c>
      <c r="H1850" t="s">
        <v>13</v>
      </c>
      <c r="I1850">
        <v>40</v>
      </c>
      <c r="J1850" t="str" cm="1">
        <f t="array" ref="J1850">_xlfn.IFS(ISBLANK(C1850),"FALTANTE",ABS((C1850-$W$5)/$X$5)&gt;1.96,"ATÍPICO",ABS((C1850-$W$5)/$X$5)&lt;=1.96,"NO ATÍPICO")</f>
        <v>NO ATÍPICO</v>
      </c>
      <c r="K1850" t="str" cm="1">
        <f t="array" ref="K1850">_xlfn.IFS(ISBLANK(I1850),"FALTANTE",ABS((I1850-$W$8)/$X$8)&gt;1.92,"ATÍPICO",ABS((I1850-$W$8)/$X$8)&lt;=1.92,"NO ATÍPICO")</f>
        <v>NO ATÍPICO</v>
      </c>
      <c r="L1850">
        <f t="shared" si="128"/>
        <v>299046</v>
      </c>
      <c r="M1850" t="str">
        <f t="shared" si="128"/>
        <v>TRABAJADOR INDEPENDIENTE</v>
      </c>
      <c r="N1850">
        <f t="shared" si="129"/>
        <v>40</v>
      </c>
      <c r="O1850" s="19" t="str">
        <f t="shared" si="130"/>
        <v>0–300k</v>
      </c>
      <c r="P1850" s="19" t="str">
        <f t="shared" si="131"/>
        <v>36-45</v>
      </c>
    </row>
    <row r="1851" spans="1:16" x14ac:dyDescent="0.25">
      <c r="A1851">
        <v>1850</v>
      </c>
      <c r="B1851" t="s">
        <v>9</v>
      </c>
      <c r="C1851">
        <v>472038</v>
      </c>
      <c r="D1851" t="s">
        <v>10</v>
      </c>
      <c r="E1851" t="s">
        <v>16</v>
      </c>
      <c r="F1851" t="s">
        <v>12</v>
      </c>
      <c r="G1851" t="s">
        <v>13</v>
      </c>
      <c r="H1851" t="s">
        <v>13</v>
      </c>
      <c r="I1851">
        <v>28</v>
      </c>
      <c r="J1851" t="str" cm="1">
        <f t="array" ref="J1851">_xlfn.IFS(ISBLANK(C1851),"FALTANTE",ABS((C1851-$W$5)/$X$5)&gt;1.96,"ATÍPICO",ABS((C1851-$W$5)/$X$5)&lt;=1.96,"NO ATÍPICO")</f>
        <v>NO ATÍPICO</v>
      </c>
      <c r="K1851" t="str" cm="1">
        <f t="array" ref="K1851">_xlfn.IFS(ISBLANK(I1851),"FALTANTE",ABS((I1851-$W$8)/$X$8)&gt;1.92,"ATÍPICO",ABS((I1851-$W$8)/$X$8)&lt;=1.92,"NO ATÍPICO")</f>
        <v>NO ATÍPICO</v>
      </c>
      <c r="L1851">
        <f t="shared" si="128"/>
        <v>472038</v>
      </c>
      <c r="M1851" t="str">
        <f t="shared" si="128"/>
        <v>ASALARIADO</v>
      </c>
      <c r="N1851">
        <f t="shared" si="129"/>
        <v>28</v>
      </c>
      <c r="O1851" s="19" t="str">
        <f t="shared" si="130"/>
        <v>300k–600k</v>
      </c>
      <c r="P1851" s="19" t="str">
        <f t="shared" si="131"/>
        <v>26-35</v>
      </c>
    </row>
    <row r="1852" spans="1:16" x14ac:dyDescent="0.25">
      <c r="A1852">
        <v>1851</v>
      </c>
      <c r="B1852" t="s">
        <v>9</v>
      </c>
      <c r="C1852">
        <v>1509803.5</v>
      </c>
      <c r="D1852" t="s">
        <v>10</v>
      </c>
      <c r="E1852" t="s">
        <v>11</v>
      </c>
      <c r="F1852" t="s">
        <v>12</v>
      </c>
      <c r="G1852" t="s">
        <v>13</v>
      </c>
      <c r="H1852" t="s">
        <v>13</v>
      </c>
      <c r="I1852">
        <v>34</v>
      </c>
      <c r="J1852" t="str" cm="1">
        <f t="array" ref="J1852">_xlfn.IFS(ISBLANK(C1852),"FALTANTE",ABS((C1852-$W$5)/$X$5)&gt;1.96,"ATÍPICO",ABS((C1852-$W$5)/$X$5)&lt;=1.96,"NO ATÍPICO")</f>
        <v>NO ATÍPICO</v>
      </c>
      <c r="K1852" t="str" cm="1">
        <f t="array" ref="K1852">_xlfn.IFS(ISBLANK(I1852),"FALTANTE",ABS((I1852-$W$8)/$X$8)&gt;1.92,"ATÍPICO",ABS((I1852-$W$8)/$X$8)&lt;=1.92,"NO ATÍPICO")</f>
        <v>NO ATÍPICO</v>
      </c>
      <c r="L1852">
        <f t="shared" si="128"/>
        <v>1509803.5</v>
      </c>
      <c r="M1852" t="str">
        <f t="shared" si="128"/>
        <v>ASALARIADO</v>
      </c>
      <c r="N1852">
        <f t="shared" si="129"/>
        <v>34</v>
      </c>
      <c r="O1852" s="19" t="str">
        <f t="shared" si="130"/>
        <v>1200k+</v>
      </c>
      <c r="P1852" s="19" t="str">
        <f t="shared" si="131"/>
        <v>26-35</v>
      </c>
    </row>
    <row r="1853" spans="1:16" x14ac:dyDescent="0.25">
      <c r="A1853">
        <v>1852</v>
      </c>
      <c r="B1853" t="s">
        <v>15</v>
      </c>
      <c r="C1853">
        <v>278030</v>
      </c>
      <c r="D1853" t="s">
        <v>17</v>
      </c>
      <c r="E1853" t="s">
        <v>16</v>
      </c>
      <c r="F1853" t="s">
        <v>12</v>
      </c>
      <c r="G1853" t="s">
        <v>13</v>
      </c>
      <c r="H1853" t="s">
        <v>13</v>
      </c>
      <c r="I1853">
        <v>37</v>
      </c>
      <c r="J1853" t="str" cm="1">
        <f t="array" ref="J1853">_xlfn.IFS(ISBLANK(C1853),"FALTANTE",ABS((C1853-$W$5)/$X$5)&gt;1.96,"ATÍPICO",ABS((C1853-$W$5)/$X$5)&lt;=1.96,"NO ATÍPICO")</f>
        <v>NO ATÍPICO</v>
      </c>
      <c r="K1853" t="str" cm="1">
        <f t="array" ref="K1853">_xlfn.IFS(ISBLANK(I1853),"FALTANTE",ABS((I1853-$W$8)/$X$8)&gt;1.92,"ATÍPICO",ABS((I1853-$W$8)/$X$8)&lt;=1.92,"NO ATÍPICO")</f>
        <v>NO ATÍPICO</v>
      </c>
      <c r="L1853">
        <f t="shared" si="128"/>
        <v>278030</v>
      </c>
      <c r="M1853" t="str">
        <f t="shared" si="128"/>
        <v>ASEGURADO VOLUNTARIO</v>
      </c>
      <c r="N1853">
        <f t="shared" si="129"/>
        <v>37</v>
      </c>
      <c r="O1853" s="19" t="str">
        <f t="shared" si="130"/>
        <v>0–300k</v>
      </c>
      <c r="P1853" s="19" t="str">
        <f t="shared" si="131"/>
        <v>36-45</v>
      </c>
    </row>
    <row r="1854" spans="1:16" x14ac:dyDescent="0.25">
      <c r="A1854">
        <v>1853</v>
      </c>
      <c r="B1854" t="s">
        <v>15</v>
      </c>
      <c r="C1854">
        <v>259800</v>
      </c>
      <c r="D1854" t="s">
        <v>10</v>
      </c>
      <c r="E1854" t="s">
        <v>16</v>
      </c>
      <c r="F1854" t="s">
        <v>12</v>
      </c>
      <c r="G1854" t="s">
        <v>13</v>
      </c>
      <c r="H1854" t="s">
        <v>13</v>
      </c>
      <c r="I1854">
        <v>38</v>
      </c>
      <c r="J1854" t="str" cm="1">
        <f t="array" ref="J1854">_xlfn.IFS(ISBLANK(C1854),"FALTANTE",ABS((C1854-$W$5)/$X$5)&gt;1.96,"ATÍPICO",ABS((C1854-$W$5)/$X$5)&lt;=1.96,"NO ATÍPICO")</f>
        <v>NO ATÍPICO</v>
      </c>
      <c r="K1854" t="str" cm="1">
        <f t="array" ref="K1854">_xlfn.IFS(ISBLANK(I1854),"FALTANTE",ABS((I1854-$W$8)/$X$8)&gt;1.92,"ATÍPICO",ABS((I1854-$W$8)/$X$8)&lt;=1.92,"NO ATÍPICO")</f>
        <v>NO ATÍPICO</v>
      </c>
      <c r="L1854">
        <f t="shared" si="128"/>
        <v>259800</v>
      </c>
      <c r="M1854" t="str">
        <f t="shared" si="128"/>
        <v>ASALARIADO</v>
      </c>
      <c r="N1854">
        <f t="shared" si="129"/>
        <v>38</v>
      </c>
      <c r="O1854" s="19" t="str">
        <f t="shared" si="130"/>
        <v>0–300k</v>
      </c>
      <c r="P1854" s="19" t="str">
        <f t="shared" si="131"/>
        <v>36-45</v>
      </c>
    </row>
    <row r="1855" spans="1:16" x14ac:dyDescent="0.25">
      <c r="A1855">
        <v>1854</v>
      </c>
      <c r="B1855" t="s">
        <v>9</v>
      </c>
      <c r="C1855">
        <v>973600</v>
      </c>
      <c r="D1855" t="s">
        <v>10</v>
      </c>
      <c r="E1855" t="s">
        <v>16</v>
      </c>
      <c r="F1855" t="s">
        <v>12</v>
      </c>
      <c r="G1855" t="s">
        <v>13</v>
      </c>
      <c r="H1855" t="s">
        <v>13</v>
      </c>
      <c r="I1855">
        <v>25</v>
      </c>
      <c r="J1855" t="str" cm="1">
        <f t="array" ref="J1855">_xlfn.IFS(ISBLANK(C1855),"FALTANTE",ABS((C1855-$W$5)/$X$5)&gt;1.96,"ATÍPICO",ABS((C1855-$W$5)/$X$5)&lt;=1.96,"NO ATÍPICO")</f>
        <v>NO ATÍPICO</v>
      </c>
      <c r="K1855" t="str" cm="1">
        <f t="array" ref="K1855">_xlfn.IFS(ISBLANK(I1855),"FALTANTE",ABS((I1855-$W$8)/$X$8)&gt;1.92,"ATÍPICO",ABS((I1855-$W$8)/$X$8)&lt;=1.92,"NO ATÍPICO")</f>
        <v>NO ATÍPICO</v>
      </c>
      <c r="L1855">
        <f t="shared" si="128"/>
        <v>973600</v>
      </c>
      <c r="M1855" t="str">
        <f t="shared" si="128"/>
        <v>ASALARIADO</v>
      </c>
      <c r="N1855">
        <f t="shared" si="129"/>
        <v>25</v>
      </c>
      <c r="O1855" s="19" t="str">
        <f t="shared" si="130"/>
        <v>900k–1200k</v>
      </c>
      <c r="P1855" s="19" t="str">
        <f t="shared" si="131"/>
        <v>18-25</v>
      </c>
    </row>
    <row r="1856" spans="1:16" x14ac:dyDescent="0.25">
      <c r="A1856">
        <v>1855</v>
      </c>
      <c r="B1856" t="s">
        <v>9</v>
      </c>
      <c r="C1856">
        <v>4853991.51</v>
      </c>
      <c r="D1856" t="s">
        <v>10</v>
      </c>
      <c r="E1856" t="s">
        <v>16</v>
      </c>
      <c r="F1856" t="s">
        <v>12</v>
      </c>
      <c r="G1856" t="s">
        <v>13</v>
      </c>
      <c r="H1856" t="s">
        <v>13</v>
      </c>
      <c r="I1856">
        <v>43</v>
      </c>
      <c r="J1856" t="str" cm="1">
        <f t="array" ref="J1856">_xlfn.IFS(ISBLANK(C1856),"FALTANTE",ABS((C1856-$W$5)/$X$5)&gt;1.96,"ATÍPICO",ABS((C1856-$W$5)/$X$5)&lt;=1.96,"NO ATÍPICO")</f>
        <v>ATÍPICO</v>
      </c>
      <c r="K1856" t="str" cm="1">
        <f t="array" ref="K1856">_xlfn.IFS(ISBLANK(I1856),"FALTANTE",ABS((I1856-$W$8)/$X$8)&gt;1.92,"ATÍPICO",ABS((I1856-$W$8)/$X$8)&lt;=1.92,"NO ATÍPICO")</f>
        <v>NO ATÍPICO</v>
      </c>
      <c r="L1856">
        <f t="shared" si="128"/>
        <v>4853991.51</v>
      </c>
      <c r="M1856" t="str">
        <f t="shared" si="128"/>
        <v>ASALARIADO</v>
      </c>
      <c r="N1856">
        <f t="shared" si="129"/>
        <v>43</v>
      </c>
      <c r="O1856" s="19" t="str">
        <f t="shared" si="130"/>
        <v>1200k+</v>
      </c>
      <c r="P1856" s="19" t="str">
        <f t="shared" si="131"/>
        <v>36-45</v>
      </c>
    </row>
    <row r="1857" spans="1:16" x14ac:dyDescent="0.25">
      <c r="A1857">
        <v>1856</v>
      </c>
      <c r="B1857" t="s">
        <v>9</v>
      </c>
      <c r="C1857">
        <v>849678</v>
      </c>
      <c r="D1857" t="s">
        <v>18</v>
      </c>
      <c r="E1857" t="s">
        <v>16</v>
      </c>
      <c r="F1857" t="s">
        <v>12</v>
      </c>
      <c r="G1857" t="s">
        <v>13</v>
      </c>
      <c r="H1857" t="s">
        <v>12</v>
      </c>
      <c r="I1857">
        <v>51</v>
      </c>
      <c r="J1857" t="str" cm="1">
        <f t="array" ref="J1857">_xlfn.IFS(ISBLANK(C1857),"FALTANTE",ABS((C1857-$W$5)/$X$5)&gt;1.96,"ATÍPICO",ABS((C1857-$W$5)/$X$5)&lt;=1.96,"NO ATÍPICO")</f>
        <v>NO ATÍPICO</v>
      </c>
      <c r="K1857" t="str" cm="1">
        <f t="array" ref="K1857">_xlfn.IFS(ISBLANK(I1857),"FALTANTE",ABS((I1857-$W$8)/$X$8)&gt;1.92,"ATÍPICO",ABS((I1857-$W$8)/$X$8)&lt;=1.92,"NO ATÍPICO")</f>
        <v>NO ATÍPICO</v>
      </c>
      <c r="L1857">
        <f t="shared" si="128"/>
        <v>849678</v>
      </c>
      <c r="M1857" t="str">
        <f t="shared" si="128"/>
        <v>TRABAJADOR INDEPENDIENTE</v>
      </c>
      <c r="N1857">
        <f t="shared" si="129"/>
        <v>51</v>
      </c>
      <c r="O1857" s="19" t="str">
        <f t="shared" si="130"/>
        <v>600k–900k</v>
      </c>
      <c r="P1857" s="19" t="str">
        <f t="shared" si="131"/>
        <v>46-55</v>
      </c>
    </row>
    <row r="1858" spans="1:16" x14ac:dyDescent="0.25">
      <c r="A1858">
        <v>1857</v>
      </c>
      <c r="B1858" t="s">
        <v>9</v>
      </c>
      <c r="C1858">
        <v>200000</v>
      </c>
      <c r="D1858" t="s">
        <v>10</v>
      </c>
      <c r="E1858" t="s">
        <v>16</v>
      </c>
      <c r="F1858" t="s">
        <v>12</v>
      </c>
      <c r="G1858" t="s">
        <v>13</v>
      </c>
      <c r="H1858" t="s">
        <v>12</v>
      </c>
      <c r="I1858">
        <v>58</v>
      </c>
      <c r="J1858" t="str" cm="1">
        <f t="array" ref="J1858">_xlfn.IFS(ISBLANK(C1858),"FALTANTE",ABS((C1858-$W$5)/$X$5)&gt;1.96,"ATÍPICO",ABS((C1858-$W$5)/$X$5)&lt;=1.96,"NO ATÍPICO")</f>
        <v>NO ATÍPICO</v>
      </c>
      <c r="K1858" t="str" cm="1">
        <f t="array" ref="K1858">_xlfn.IFS(ISBLANK(I1858),"FALTANTE",ABS((I1858-$W$8)/$X$8)&gt;1.92,"ATÍPICO",ABS((I1858-$W$8)/$X$8)&lt;=1.92,"NO ATÍPICO")</f>
        <v>NO ATÍPICO</v>
      </c>
      <c r="L1858">
        <f t="shared" ref="L1858:M1921" si="132">C1858</f>
        <v>200000</v>
      </c>
      <c r="M1858" t="str">
        <f t="shared" si="132"/>
        <v>ASALARIADO</v>
      </c>
      <c r="N1858">
        <f t="shared" ref="N1858:N1921" si="133">I1858</f>
        <v>58</v>
      </c>
      <c r="O1858" s="19" t="str">
        <f t="shared" ref="O1858:O1921" si="134">IF(L1858&lt;=300000,"0–300k",IF(L1858&lt;=600000,"300k–600k",IF(L1858&lt;=900000,"600k–900k",IF(L1858&lt;=1200000,"900k–1200k","1200k+"))))</f>
        <v>0–300k</v>
      </c>
      <c r="P1858" s="19" t="str">
        <f t="shared" ref="P1858:P1921" si="135">IF(N1858 &lt;=25,"18-25", IF(N1858&lt;=35,"26-35", IF(N1858 &lt;=45,"36-45", IF(N1858&lt;=55,"46-55","56+"))))</f>
        <v>56+</v>
      </c>
    </row>
    <row r="1859" spans="1:16" x14ac:dyDescent="0.25">
      <c r="A1859">
        <v>1858</v>
      </c>
      <c r="B1859" t="s">
        <v>9</v>
      </c>
      <c r="C1859">
        <v>1842399.71</v>
      </c>
      <c r="D1859" t="s">
        <v>10</v>
      </c>
      <c r="E1859" t="s">
        <v>11</v>
      </c>
      <c r="F1859" t="s">
        <v>12</v>
      </c>
      <c r="G1859" t="s">
        <v>13</v>
      </c>
      <c r="H1859" t="s">
        <v>13</v>
      </c>
      <c r="I1859">
        <v>51</v>
      </c>
      <c r="J1859" t="str" cm="1">
        <f t="array" ref="J1859">_xlfn.IFS(ISBLANK(C1859),"FALTANTE",ABS((C1859-$W$5)/$X$5)&gt;1.96,"ATÍPICO",ABS((C1859-$W$5)/$X$5)&lt;=1.96,"NO ATÍPICO")</f>
        <v>NO ATÍPICO</v>
      </c>
      <c r="K1859" t="str" cm="1">
        <f t="array" ref="K1859">_xlfn.IFS(ISBLANK(I1859),"FALTANTE",ABS((I1859-$W$8)/$X$8)&gt;1.92,"ATÍPICO",ABS((I1859-$W$8)/$X$8)&lt;=1.92,"NO ATÍPICO")</f>
        <v>NO ATÍPICO</v>
      </c>
      <c r="L1859">
        <f t="shared" si="132"/>
        <v>1842399.71</v>
      </c>
      <c r="M1859" t="str">
        <f t="shared" si="132"/>
        <v>ASALARIADO</v>
      </c>
      <c r="N1859">
        <f t="shared" si="133"/>
        <v>51</v>
      </c>
      <c r="O1859" s="19" t="str">
        <f t="shared" si="134"/>
        <v>1200k+</v>
      </c>
      <c r="P1859" s="19" t="str">
        <f t="shared" si="135"/>
        <v>46-55</v>
      </c>
    </row>
    <row r="1860" spans="1:16" x14ac:dyDescent="0.25">
      <c r="A1860">
        <v>1859</v>
      </c>
      <c r="B1860" t="s">
        <v>9</v>
      </c>
      <c r="C1860">
        <v>30310</v>
      </c>
      <c r="D1860" t="s">
        <v>10</v>
      </c>
      <c r="E1860" t="s">
        <v>16</v>
      </c>
      <c r="F1860" t="s">
        <v>12</v>
      </c>
      <c r="G1860" t="s">
        <v>13</v>
      </c>
      <c r="H1860" t="s">
        <v>12</v>
      </c>
      <c r="I1860">
        <v>34</v>
      </c>
      <c r="J1860" t="str" cm="1">
        <f t="array" ref="J1860">_xlfn.IFS(ISBLANK(C1860),"FALTANTE",ABS((C1860-$W$5)/$X$5)&gt;1.96,"ATÍPICO",ABS((C1860-$W$5)/$X$5)&lt;=1.96,"NO ATÍPICO")</f>
        <v>NO ATÍPICO</v>
      </c>
      <c r="K1860" t="str" cm="1">
        <f t="array" ref="K1860">_xlfn.IFS(ISBLANK(I1860),"FALTANTE",ABS((I1860-$W$8)/$X$8)&gt;1.92,"ATÍPICO",ABS((I1860-$W$8)/$X$8)&lt;=1.92,"NO ATÍPICO")</f>
        <v>NO ATÍPICO</v>
      </c>
      <c r="L1860">
        <f t="shared" si="132"/>
        <v>30310</v>
      </c>
      <c r="M1860" t="str">
        <f t="shared" si="132"/>
        <v>ASALARIADO</v>
      </c>
      <c r="N1860">
        <f t="shared" si="133"/>
        <v>34</v>
      </c>
      <c r="O1860" s="19" t="str">
        <f t="shared" si="134"/>
        <v>0–300k</v>
      </c>
      <c r="P1860" s="19" t="str">
        <f t="shared" si="135"/>
        <v>26-35</v>
      </c>
    </row>
    <row r="1861" spans="1:16" x14ac:dyDescent="0.25">
      <c r="A1861">
        <v>1860</v>
      </c>
      <c r="B1861" t="s">
        <v>15</v>
      </c>
      <c r="C1861">
        <v>359545</v>
      </c>
      <c r="D1861" t="s">
        <v>10</v>
      </c>
      <c r="E1861" t="s">
        <v>16</v>
      </c>
      <c r="F1861" t="s">
        <v>12</v>
      </c>
      <c r="G1861" t="s">
        <v>13</v>
      </c>
      <c r="H1861" t="s">
        <v>13</v>
      </c>
      <c r="I1861">
        <v>27</v>
      </c>
      <c r="J1861" t="str" cm="1">
        <f t="array" ref="J1861">_xlfn.IFS(ISBLANK(C1861),"FALTANTE",ABS((C1861-$W$5)/$X$5)&gt;1.96,"ATÍPICO",ABS((C1861-$W$5)/$X$5)&lt;=1.96,"NO ATÍPICO")</f>
        <v>NO ATÍPICO</v>
      </c>
      <c r="K1861" t="str" cm="1">
        <f t="array" ref="K1861">_xlfn.IFS(ISBLANK(I1861),"FALTANTE",ABS((I1861-$W$8)/$X$8)&gt;1.92,"ATÍPICO",ABS((I1861-$W$8)/$X$8)&lt;=1.92,"NO ATÍPICO")</f>
        <v>NO ATÍPICO</v>
      </c>
      <c r="L1861">
        <f t="shared" si="132"/>
        <v>359545</v>
      </c>
      <c r="M1861" t="str">
        <f t="shared" si="132"/>
        <v>ASALARIADO</v>
      </c>
      <c r="N1861">
        <f t="shared" si="133"/>
        <v>27</v>
      </c>
      <c r="O1861" s="19" t="str">
        <f t="shared" si="134"/>
        <v>300k–600k</v>
      </c>
      <c r="P1861" s="19" t="str">
        <f t="shared" si="135"/>
        <v>26-35</v>
      </c>
    </row>
    <row r="1862" spans="1:16" x14ac:dyDescent="0.25">
      <c r="A1862">
        <v>1861</v>
      </c>
      <c r="B1862" t="s">
        <v>9</v>
      </c>
      <c r="C1862">
        <v>555920.49</v>
      </c>
      <c r="D1862" t="s">
        <v>10</v>
      </c>
      <c r="E1862" t="s">
        <v>16</v>
      </c>
      <c r="F1862" t="s">
        <v>12</v>
      </c>
      <c r="G1862" t="s">
        <v>12</v>
      </c>
      <c r="H1862" t="s">
        <v>13</v>
      </c>
      <c r="I1862">
        <v>47</v>
      </c>
      <c r="J1862" t="str" cm="1">
        <f t="array" ref="J1862">_xlfn.IFS(ISBLANK(C1862),"FALTANTE",ABS((C1862-$W$5)/$X$5)&gt;1.96,"ATÍPICO",ABS((C1862-$W$5)/$X$5)&lt;=1.96,"NO ATÍPICO")</f>
        <v>NO ATÍPICO</v>
      </c>
      <c r="K1862" t="str" cm="1">
        <f t="array" ref="K1862">_xlfn.IFS(ISBLANK(I1862),"FALTANTE",ABS((I1862-$W$8)/$X$8)&gt;1.92,"ATÍPICO",ABS((I1862-$W$8)/$X$8)&lt;=1.92,"NO ATÍPICO")</f>
        <v>NO ATÍPICO</v>
      </c>
      <c r="L1862">
        <f t="shared" si="132"/>
        <v>555920.49</v>
      </c>
      <c r="M1862" t="str">
        <f t="shared" si="132"/>
        <v>ASALARIADO</v>
      </c>
      <c r="N1862">
        <f t="shared" si="133"/>
        <v>47</v>
      </c>
      <c r="O1862" s="19" t="str">
        <f t="shared" si="134"/>
        <v>300k–600k</v>
      </c>
      <c r="P1862" s="19" t="str">
        <f t="shared" si="135"/>
        <v>46-55</v>
      </c>
    </row>
    <row r="1863" spans="1:16" x14ac:dyDescent="0.25">
      <c r="A1863">
        <v>1862</v>
      </c>
      <c r="B1863" t="s">
        <v>15</v>
      </c>
      <c r="C1863">
        <v>297046</v>
      </c>
      <c r="D1863" t="s">
        <v>18</v>
      </c>
      <c r="E1863" t="s">
        <v>16</v>
      </c>
      <c r="F1863" t="s">
        <v>12</v>
      </c>
      <c r="G1863" t="s">
        <v>13</v>
      </c>
      <c r="H1863" t="s">
        <v>12</v>
      </c>
      <c r="I1863">
        <v>25</v>
      </c>
      <c r="J1863" t="str" cm="1">
        <f t="array" ref="J1863">_xlfn.IFS(ISBLANK(C1863),"FALTANTE",ABS((C1863-$W$5)/$X$5)&gt;1.96,"ATÍPICO",ABS((C1863-$W$5)/$X$5)&lt;=1.96,"NO ATÍPICO")</f>
        <v>NO ATÍPICO</v>
      </c>
      <c r="K1863" t="str" cm="1">
        <f t="array" ref="K1863">_xlfn.IFS(ISBLANK(I1863),"FALTANTE",ABS((I1863-$W$8)/$X$8)&gt;1.92,"ATÍPICO",ABS((I1863-$W$8)/$X$8)&lt;=1.92,"NO ATÍPICO")</f>
        <v>NO ATÍPICO</v>
      </c>
      <c r="L1863">
        <f t="shared" si="132"/>
        <v>297046</v>
      </c>
      <c r="M1863" t="str">
        <f t="shared" si="132"/>
        <v>TRABAJADOR INDEPENDIENTE</v>
      </c>
      <c r="N1863">
        <f t="shared" si="133"/>
        <v>25</v>
      </c>
      <c r="O1863" s="19" t="str">
        <f t="shared" si="134"/>
        <v>0–300k</v>
      </c>
      <c r="P1863" s="19" t="str">
        <f t="shared" si="135"/>
        <v>18-25</v>
      </c>
    </row>
    <row r="1864" spans="1:16" x14ac:dyDescent="0.25">
      <c r="A1864">
        <v>1863</v>
      </c>
      <c r="B1864" t="s">
        <v>9</v>
      </c>
      <c r="C1864">
        <v>317915.58</v>
      </c>
      <c r="D1864" t="s">
        <v>10</v>
      </c>
      <c r="E1864" t="s">
        <v>16</v>
      </c>
      <c r="F1864" t="s">
        <v>12</v>
      </c>
      <c r="G1864" t="s">
        <v>13</v>
      </c>
      <c r="H1864" t="s">
        <v>13</v>
      </c>
      <c r="I1864">
        <v>49</v>
      </c>
      <c r="J1864" t="str" cm="1">
        <f t="array" ref="J1864">_xlfn.IFS(ISBLANK(C1864),"FALTANTE",ABS((C1864-$W$5)/$X$5)&gt;1.96,"ATÍPICO",ABS((C1864-$W$5)/$X$5)&lt;=1.96,"NO ATÍPICO")</f>
        <v>NO ATÍPICO</v>
      </c>
      <c r="K1864" t="str" cm="1">
        <f t="array" ref="K1864">_xlfn.IFS(ISBLANK(I1864),"FALTANTE",ABS((I1864-$W$8)/$X$8)&gt;1.92,"ATÍPICO",ABS((I1864-$W$8)/$X$8)&lt;=1.92,"NO ATÍPICO")</f>
        <v>NO ATÍPICO</v>
      </c>
      <c r="L1864">
        <f t="shared" si="132"/>
        <v>317915.58</v>
      </c>
      <c r="M1864" t="str">
        <f t="shared" si="132"/>
        <v>ASALARIADO</v>
      </c>
      <c r="N1864">
        <f t="shared" si="133"/>
        <v>49</v>
      </c>
      <c r="O1864" s="19" t="str">
        <f t="shared" si="134"/>
        <v>300k–600k</v>
      </c>
      <c r="P1864" s="19" t="str">
        <f t="shared" si="135"/>
        <v>46-55</v>
      </c>
    </row>
    <row r="1865" spans="1:16" x14ac:dyDescent="0.25">
      <c r="A1865">
        <v>1864</v>
      </c>
      <c r="B1865" t="s">
        <v>9</v>
      </c>
      <c r="C1865">
        <v>297045</v>
      </c>
      <c r="D1865" t="s">
        <v>17</v>
      </c>
      <c r="E1865" t="s">
        <v>16</v>
      </c>
      <c r="F1865" t="s">
        <v>12</v>
      </c>
      <c r="G1865" t="s">
        <v>13</v>
      </c>
      <c r="H1865" t="s">
        <v>12</v>
      </c>
      <c r="I1865">
        <v>49</v>
      </c>
      <c r="J1865" t="str" cm="1">
        <f t="array" ref="J1865">_xlfn.IFS(ISBLANK(C1865),"FALTANTE",ABS((C1865-$W$5)/$X$5)&gt;1.96,"ATÍPICO",ABS((C1865-$W$5)/$X$5)&lt;=1.96,"NO ATÍPICO")</f>
        <v>NO ATÍPICO</v>
      </c>
      <c r="K1865" t="str" cm="1">
        <f t="array" ref="K1865">_xlfn.IFS(ISBLANK(I1865),"FALTANTE",ABS((I1865-$W$8)/$X$8)&gt;1.92,"ATÍPICO",ABS((I1865-$W$8)/$X$8)&lt;=1.92,"NO ATÍPICO")</f>
        <v>NO ATÍPICO</v>
      </c>
      <c r="L1865">
        <f t="shared" si="132"/>
        <v>297045</v>
      </c>
      <c r="M1865" t="str">
        <f t="shared" si="132"/>
        <v>ASEGURADO VOLUNTARIO</v>
      </c>
      <c r="N1865">
        <f t="shared" si="133"/>
        <v>49</v>
      </c>
      <c r="O1865" s="19" t="str">
        <f t="shared" si="134"/>
        <v>0–300k</v>
      </c>
      <c r="P1865" s="19" t="str">
        <f t="shared" si="135"/>
        <v>46-55</v>
      </c>
    </row>
    <row r="1866" spans="1:16" x14ac:dyDescent="0.25">
      <c r="A1866">
        <v>1865</v>
      </c>
      <c r="B1866" t="s">
        <v>15</v>
      </c>
      <c r="C1866">
        <v>1094119.6000000001</v>
      </c>
      <c r="D1866" t="s">
        <v>10</v>
      </c>
      <c r="E1866" t="s">
        <v>11</v>
      </c>
      <c r="F1866" t="s">
        <v>12</v>
      </c>
      <c r="G1866" t="s">
        <v>13</v>
      </c>
      <c r="H1866" t="s">
        <v>13</v>
      </c>
      <c r="I1866">
        <v>49</v>
      </c>
      <c r="J1866" t="str" cm="1">
        <f t="array" ref="J1866">_xlfn.IFS(ISBLANK(C1866),"FALTANTE",ABS((C1866-$W$5)/$X$5)&gt;1.96,"ATÍPICO",ABS((C1866-$W$5)/$X$5)&lt;=1.96,"NO ATÍPICO")</f>
        <v>NO ATÍPICO</v>
      </c>
      <c r="K1866" t="str" cm="1">
        <f t="array" ref="K1866">_xlfn.IFS(ISBLANK(I1866),"FALTANTE",ABS((I1866-$W$8)/$X$8)&gt;1.92,"ATÍPICO",ABS((I1866-$W$8)/$X$8)&lt;=1.92,"NO ATÍPICO")</f>
        <v>NO ATÍPICO</v>
      </c>
      <c r="L1866">
        <f t="shared" si="132"/>
        <v>1094119.6000000001</v>
      </c>
      <c r="M1866" t="str">
        <f t="shared" si="132"/>
        <v>ASALARIADO</v>
      </c>
      <c r="N1866">
        <f t="shared" si="133"/>
        <v>49</v>
      </c>
      <c r="O1866" s="19" t="str">
        <f t="shared" si="134"/>
        <v>900k–1200k</v>
      </c>
      <c r="P1866" s="19" t="str">
        <f t="shared" si="135"/>
        <v>46-55</v>
      </c>
    </row>
    <row r="1867" spans="1:16" x14ac:dyDescent="0.25">
      <c r="A1867">
        <v>1866</v>
      </c>
      <c r="B1867" t="s">
        <v>9</v>
      </c>
      <c r="C1867">
        <v>276587</v>
      </c>
      <c r="D1867" t="s">
        <v>10</v>
      </c>
      <c r="E1867" t="s">
        <v>16</v>
      </c>
      <c r="F1867" t="s">
        <v>12</v>
      </c>
      <c r="G1867" t="s">
        <v>13</v>
      </c>
      <c r="H1867" t="s">
        <v>13</v>
      </c>
      <c r="I1867">
        <v>34</v>
      </c>
      <c r="J1867" t="str" cm="1">
        <f t="array" ref="J1867">_xlfn.IFS(ISBLANK(C1867),"FALTANTE",ABS((C1867-$W$5)/$X$5)&gt;1.96,"ATÍPICO",ABS((C1867-$W$5)/$X$5)&lt;=1.96,"NO ATÍPICO")</f>
        <v>NO ATÍPICO</v>
      </c>
      <c r="K1867" t="str" cm="1">
        <f t="array" ref="K1867">_xlfn.IFS(ISBLANK(I1867),"FALTANTE",ABS((I1867-$W$8)/$X$8)&gt;1.92,"ATÍPICO",ABS((I1867-$W$8)/$X$8)&lt;=1.92,"NO ATÍPICO")</f>
        <v>NO ATÍPICO</v>
      </c>
      <c r="L1867">
        <f t="shared" si="132"/>
        <v>276587</v>
      </c>
      <c r="M1867" t="str">
        <f t="shared" si="132"/>
        <v>ASALARIADO</v>
      </c>
      <c r="N1867">
        <f t="shared" si="133"/>
        <v>34</v>
      </c>
      <c r="O1867" s="19" t="str">
        <f t="shared" si="134"/>
        <v>0–300k</v>
      </c>
      <c r="P1867" s="19" t="str">
        <f t="shared" si="135"/>
        <v>26-35</v>
      </c>
    </row>
    <row r="1868" spans="1:16" x14ac:dyDescent="0.25">
      <c r="A1868">
        <v>1867</v>
      </c>
      <c r="B1868" t="s">
        <v>9</v>
      </c>
      <c r="C1868">
        <v>918351.77</v>
      </c>
      <c r="D1868" t="s">
        <v>10</v>
      </c>
      <c r="E1868" t="s">
        <v>16</v>
      </c>
      <c r="F1868" t="s">
        <v>12</v>
      </c>
      <c r="G1868" t="s">
        <v>13</v>
      </c>
      <c r="H1868" t="s">
        <v>13</v>
      </c>
      <c r="I1868">
        <v>33</v>
      </c>
      <c r="J1868" t="str" cm="1">
        <f t="array" ref="J1868">_xlfn.IFS(ISBLANK(C1868),"FALTANTE",ABS((C1868-$W$5)/$X$5)&gt;1.96,"ATÍPICO",ABS((C1868-$W$5)/$X$5)&lt;=1.96,"NO ATÍPICO")</f>
        <v>NO ATÍPICO</v>
      </c>
      <c r="K1868" t="str" cm="1">
        <f t="array" ref="K1868">_xlfn.IFS(ISBLANK(I1868),"FALTANTE",ABS((I1868-$W$8)/$X$8)&gt;1.92,"ATÍPICO",ABS((I1868-$W$8)/$X$8)&lt;=1.92,"NO ATÍPICO")</f>
        <v>NO ATÍPICO</v>
      </c>
      <c r="L1868">
        <f t="shared" si="132"/>
        <v>918351.77</v>
      </c>
      <c r="M1868" t="str">
        <f t="shared" si="132"/>
        <v>ASALARIADO</v>
      </c>
      <c r="N1868">
        <f t="shared" si="133"/>
        <v>33</v>
      </c>
      <c r="O1868" s="19" t="str">
        <f t="shared" si="134"/>
        <v>900k–1200k</v>
      </c>
      <c r="P1868" s="19" t="str">
        <f t="shared" si="135"/>
        <v>26-35</v>
      </c>
    </row>
    <row r="1869" spans="1:16" x14ac:dyDescent="0.25">
      <c r="A1869">
        <v>1868</v>
      </c>
      <c r="B1869" t="s">
        <v>9</v>
      </c>
      <c r="C1869">
        <v>639148</v>
      </c>
      <c r="D1869" t="s">
        <v>18</v>
      </c>
      <c r="E1869" t="s">
        <v>16</v>
      </c>
      <c r="F1869" t="s">
        <v>12</v>
      </c>
      <c r="G1869" t="s">
        <v>13</v>
      </c>
      <c r="H1869" t="s">
        <v>12</v>
      </c>
      <c r="I1869">
        <v>57</v>
      </c>
      <c r="J1869" t="str" cm="1">
        <f t="array" ref="J1869">_xlfn.IFS(ISBLANK(C1869),"FALTANTE",ABS((C1869-$W$5)/$X$5)&gt;1.96,"ATÍPICO",ABS((C1869-$W$5)/$X$5)&lt;=1.96,"NO ATÍPICO")</f>
        <v>NO ATÍPICO</v>
      </c>
      <c r="K1869" t="str" cm="1">
        <f t="array" ref="K1869">_xlfn.IFS(ISBLANK(I1869),"FALTANTE",ABS((I1869-$W$8)/$X$8)&gt;1.92,"ATÍPICO",ABS((I1869-$W$8)/$X$8)&lt;=1.92,"NO ATÍPICO")</f>
        <v>NO ATÍPICO</v>
      </c>
      <c r="L1869">
        <f t="shared" si="132"/>
        <v>639148</v>
      </c>
      <c r="M1869" t="str">
        <f t="shared" si="132"/>
        <v>TRABAJADOR INDEPENDIENTE</v>
      </c>
      <c r="N1869">
        <f t="shared" si="133"/>
        <v>57</v>
      </c>
      <c r="O1869" s="19" t="str">
        <f t="shared" si="134"/>
        <v>600k–900k</v>
      </c>
      <c r="P1869" s="19" t="str">
        <f t="shared" si="135"/>
        <v>56+</v>
      </c>
    </row>
    <row r="1870" spans="1:16" x14ac:dyDescent="0.25">
      <c r="A1870">
        <v>1869</v>
      </c>
      <c r="B1870" t="s">
        <v>9</v>
      </c>
      <c r="C1870">
        <v>414225.5</v>
      </c>
      <c r="D1870" t="s">
        <v>10</v>
      </c>
      <c r="E1870" t="s">
        <v>16</v>
      </c>
      <c r="F1870" t="s">
        <v>12</v>
      </c>
      <c r="G1870" t="s">
        <v>13</v>
      </c>
      <c r="H1870" t="s">
        <v>13</v>
      </c>
      <c r="I1870">
        <v>63</v>
      </c>
      <c r="J1870" t="str" cm="1">
        <f t="array" ref="J1870">_xlfn.IFS(ISBLANK(C1870),"FALTANTE",ABS((C1870-$W$5)/$X$5)&gt;1.96,"ATÍPICO",ABS((C1870-$W$5)/$X$5)&lt;=1.96,"NO ATÍPICO")</f>
        <v>NO ATÍPICO</v>
      </c>
      <c r="K1870" t="str" cm="1">
        <f t="array" ref="K1870">_xlfn.IFS(ISBLANK(I1870),"FALTANTE",ABS((I1870-$W$8)/$X$8)&gt;1.92,"ATÍPICO",ABS((I1870-$W$8)/$X$8)&lt;=1.92,"NO ATÍPICO")</f>
        <v>NO ATÍPICO</v>
      </c>
      <c r="L1870">
        <f t="shared" si="132"/>
        <v>414225.5</v>
      </c>
      <c r="M1870" t="str">
        <f t="shared" si="132"/>
        <v>ASALARIADO</v>
      </c>
      <c r="N1870">
        <f t="shared" si="133"/>
        <v>63</v>
      </c>
      <c r="O1870" s="19" t="str">
        <f t="shared" si="134"/>
        <v>300k–600k</v>
      </c>
      <c r="P1870" s="19" t="str">
        <f t="shared" si="135"/>
        <v>56+</v>
      </c>
    </row>
    <row r="1871" spans="1:16" x14ac:dyDescent="0.25">
      <c r="A1871">
        <v>1870</v>
      </c>
      <c r="B1871" t="s">
        <v>9</v>
      </c>
      <c r="C1871">
        <v>85219.45</v>
      </c>
      <c r="D1871" t="s">
        <v>10</v>
      </c>
      <c r="E1871" t="s">
        <v>16</v>
      </c>
      <c r="F1871" t="s">
        <v>12</v>
      </c>
      <c r="G1871" t="s">
        <v>13</v>
      </c>
      <c r="H1871" t="s">
        <v>13</v>
      </c>
      <c r="I1871">
        <v>47</v>
      </c>
      <c r="J1871" t="str" cm="1">
        <f t="array" ref="J1871">_xlfn.IFS(ISBLANK(C1871),"FALTANTE",ABS((C1871-$W$5)/$X$5)&gt;1.96,"ATÍPICO",ABS((C1871-$W$5)/$X$5)&lt;=1.96,"NO ATÍPICO")</f>
        <v>NO ATÍPICO</v>
      </c>
      <c r="K1871" t="str" cm="1">
        <f t="array" ref="K1871">_xlfn.IFS(ISBLANK(I1871),"FALTANTE",ABS((I1871-$W$8)/$X$8)&gt;1.92,"ATÍPICO",ABS((I1871-$W$8)/$X$8)&lt;=1.92,"NO ATÍPICO")</f>
        <v>NO ATÍPICO</v>
      </c>
      <c r="L1871">
        <f t="shared" si="132"/>
        <v>85219.45</v>
      </c>
      <c r="M1871" t="str">
        <f t="shared" si="132"/>
        <v>ASALARIADO</v>
      </c>
      <c r="N1871">
        <f t="shared" si="133"/>
        <v>47</v>
      </c>
      <c r="O1871" s="19" t="str">
        <f t="shared" si="134"/>
        <v>0–300k</v>
      </c>
      <c r="P1871" s="19" t="str">
        <f t="shared" si="135"/>
        <v>46-55</v>
      </c>
    </row>
    <row r="1872" spans="1:16" x14ac:dyDescent="0.25">
      <c r="A1872">
        <v>1871</v>
      </c>
      <c r="B1872" t="s">
        <v>9</v>
      </c>
      <c r="C1872">
        <v>399647</v>
      </c>
      <c r="D1872" t="s">
        <v>18</v>
      </c>
      <c r="E1872" t="s">
        <v>16</v>
      </c>
      <c r="F1872" t="s">
        <v>12</v>
      </c>
      <c r="G1872" t="s">
        <v>13</v>
      </c>
      <c r="H1872" t="s">
        <v>13</v>
      </c>
      <c r="I1872">
        <v>58</v>
      </c>
      <c r="J1872" t="str" cm="1">
        <f t="array" ref="J1872">_xlfn.IFS(ISBLANK(C1872),"FALTANTE",ABS((C1872-$W$5)/$X$5)&gt;1.96,"ATÍPICO",ABS((C1872-$W$5)/$X$5)&lt;=1.96,"NO ATÍPICO")</f>
        <v>NO ATÍPICO</v>
      </c>
      <c r="K1872" t="str" cm="1">
        <f t="array" ref="K1872">_xlfn.IFS(ISBLANK(I1872),"FALTANTE",ABS((I1872-$W$8)/$X$8)&gt;1.92,"ATÍPICO",ABS((I1872-$W$8)/$X$8)&lt;=1.92,"NO ATÍPICO")</f>
        <v>NO ATÍPICO</v>
      </c>
      <c r="L1872">
        <f t="shared" si="132"/>
        <v>399647</v>
      </c>
      <c r="M1872" t="str">
        <f t="shared" si="132"/>
        <v>TRABAJADOR INDEPENDIENTE</v>
      </c>
      <c r="N1872">
        <f t="shared" si="133"/>
        <v>58</v>
      </c>
      <c r="O1872" s="19" t="str">
        <f t="shared" si="134"/>
        <v>300k–600k</v>
      </c>
      <c r="P1872" s="19" t="str">
        <f t="shared" si="135"/>
        <v>56+</v>
      </c>
    </row>
    <row r="1873" spans="1:16" x14ac:dyDescent="0.25">
      <c r="A1873">
        <v>1872</v>
      </c>
      <c r="B1873" t="s">
        <v>15</v>
      </c>
      <c r="C1873">
        <v>574387.6</v>
      </c>
      <c r="D1873" t="s">
        <v>10</v>
      </c>
      <c r="E1873" t="s">
        <v>11</v>
      </c>
      <c r="F1873" t="s">
        <v>12</v>
      </c>
      <c r="G1873" t="s">
        <v>13</v>
      </c>
      <c r="H1873" t="s">
        <v>13</v>
      </c>
      <c r="I1873">
        <v>54</v>
      </c>
      <c r="J1873" t="str" cm="1">
        <f t="array" ref="J1873">_xlfn.IFS(ISBLANK(C1873),"FALTANTE",ABS((C1873-$W$5)/$X$5)&gt;1.96,"ATÍPICO",ABS((C1873-$W$5)/$X$5)&lt;=1.96,"NO ATÍPICO")</f>
        <v>NO ATÍPICO</v>
      </c>
      <c r="K1873" t="str" cm="1">
        <f t="array" ref="K1873">_xlfn.IFS(ISBLANK(I1873),"FALTANTE",ABS((I1873-$W$8)/$X$8)&gt;1.92,"ATÍPICO",ABS((I1873-$W$8)/$X$8)&lt;=1.92,"NO ATÍPICO")</f>
        <v>NO ATÍPICO</v>
      </c>
      <c r="L1873">
        <f t="shared" si="132"/>
        <v>574387.6</v>
      </c>
      <c r="M1873" t="str">
        <f t="shared" si="132"/>
        <v>ASALARIADO</v>
      </c>
      <c r="N1873">
        <f t="shared" si="133"/>
        <v>54</v>
      </c>
      <c r="O1873" s="19" t="str">
        <f t="shared" si="134"/>
        <v>300k–600k</v>
      </c>
      <c r="P1873" s="19" t="str">
        <f t="shared" si="135"/>
        <v>46-55</v>
      </c>
    </row>
    <row r="1874" spans="1:16" x14ac:dyDescent="0.25">
      <c r="A1874">
        <v>1873</v>
      </c>
      <c r="B1874" t="s">
        <v>15</v>
      </c>
      <c r="C1874">
        <v>550988.74</v>
      </c>
      <c r="D1874" t="s">
        <v>10</v>
      </c>
      <c r="E1874" t="s">
        <v>11</v>
      </c>
      <c r="F1874" t="s">
        <v>12</v>
      </c>
      <c r="G1874" t="s">
        <v>13</v>
      </c>
      <c r="H1874" t="s">
        <v>13</v>
      </c>
      <c r="I1874">
        <v>47</v>
      </c>
      <c r="J1874" t="str" cm="1">
        <f t="array" ref="J1874">_xlfn.IFS(ISBLANK(C1874),"FALTANTE",ABS((C1874-$W$5)/$X$5)&gt;1.96,"ATÍPICO",ABS((C1874-$W$5)/$X$5)&lt;=1.96,"NO ATÍPICO")</f>
        <v>NO ATÍPICO</v>
      </c>
      <c r="K1874" t="str" cm="1">
        <f t="array" ref="K1874">_xlfn.IFS(ISBLANK(I1874),"FALTANTE",ABS((I1874-$W$8)/$X$8)&gt;1.92,"ATÍPICO",ABS((I1874-$W$8)/$X$8)&lt;=1.92,"NO ATÍPICO")</f>
        <v>NO ATÍPICO</v>
      </c>
      <c r="L1874">
        <f t="shared" si="132"/>
        <v>550988.74</v>
      </c>
      <c r="M1874" t="str">
        <f t="shared" si="132"/>
        <v>ASALARIADO</v>
      </c>
      <c r="N1874">
        <f t="shared" si="133"/>
        <v>47</v>
      </c>
      <c r="O1874" s="19" t="str">
        <f t="shared" si="134"/>
        <v>300k–600k</v>
      </c>
      <c r="P1874" s="19" t="str">
        <f t="shared" si="135"/>
        <v>46-55</v>
      </c>
    </row>
    <row r="1875" spans="1:16" x14ac:dyDescent="0.25">
      <c r="A1875">
        <v>1874</v>
      </c>
      <c r="B1875" t="s">
        <v>9</v>
      </c>
      <c r="C1875">
        <v>738540</v>
      </c>
      <c r="D1875" t="s">
        <v>10</v>
      </c>
      <c r="E1875" t="s">
        <v>16</v>
      </c>
      <c r="F1875" t="s">
        <v>12</v>
      </c>
      <c r="G1875" t="s">
        <v>13</v>
      </c>
      <c r="H1875" t="s">
        <v>13</v>
      </c>
      <c r="I1875">
        <v>36</v>
      </c>
      <c r="J1875" t="str" cm="1">
        <f t="array" ref="J1875">_xlfn.IFS(ISBLANK(C1875),"FALTANTE",ABS((C1875-$W$5)/$X$5)&gt;1.96,"ATÍPICO",ABS((C1875-$W$5)/$X$5)&lt;=1.96,"NO ATÍPICO")</f>
        <v>NO ATÍPICO</v>
      </c>
      <c r="K1875" t="str" cm="1">
        <f t="array" ref="K1875">_xlfn.IFS(ISBLANK(I1875),"FALTANTE",ABS((I1875-$W$8)/$X$8)&gt;1.92,"ATÍPICO",ABS((I1875-$W$8)/$X$8)&lt;=1.92,"NO ATÍPICO")</f>
        <v>NO ATÍPICO</v>
      </c>
      <c r="L1875">
        <f t="shared" si="132"/>
        <v>738540</v>
      </c>
      <c r="M1875" t="str">
        <f t="shared" si="132"/>
        <v>ASALARIADO</v>
      </c>
      <c r="N1875">
        <f t="shared" si="133"/>
        <v>36</v>
      </c>
      <c r="O1875" s="19" t="str">
        <f t="shared" si="134"/>
        <v>600k–900k</v>
      </c>
      <c r="P1875" s="19" t="str">
        <f t="shared" si="135"/>
        <v>36-45</v>
      </c>
    </row>
    <row r="1876" spans="1:16" x14ac:dyDescent="0.25">
      <c r="A1876">
        <v>1875</v>
      </c>
      <c r="B1876" t="s">
        <v>15</v>
      </c>
      <c r="C1876">
        <v>955500</v>
      </c>
      <c r="D1876" t="s">
        <v>10</v>
      </c>
      <c r="E1876" t="s">
        <v>16</v>
      </c>
      <c r="F1876" t="s">
        <v>12</v>
      </c>
      <c r="G1876" t="s">
        <v>13</v>
      </c>
      <c r="H1876" t="s">
        <v>13</v>
      </c>
      <c r="I1876">
        <v>45</v>
      </c>
      <c r="J1876" t="str" cm="1">
        <f t="array" ref="J1876">_xlfn.IFS(ISBLANK(C1876),"FALTANTE",ABS((C1876-$W$5)/$X$5)&gt;1.96,"ATÍPICO",ABS((C1876-$W$5)/$X$5)&lt;=1.96,"NO ATÍPICO")</f>
        <v>NO ATÍPICO</v>
      </c>
      <c r="K1876" t="str" cm="1">
        <f t="array" ref="K1876">_xlfn.IFS(ISBLANK(I1876),"FALTANTE",ABS((I1876-$W$8)/$X$8)&gt;1.92,"ATÍPICO",ABS((I1876-$W$8)/$X$8)&lt;=1.92,"NO ATÍPICO")</f>
        <v>NO ATÍPICO</v>
      </c>
      <c r="L1876">
        <f t="shared" si="132"/>
        <v>955500</v>
      </c>
      <c r="M1876" t="str">
        <f t="shared" si="132"/>
        <v>ASALARIADO</v>
      </c>
      <c r="N1876">
        <f t="shared" si="133"/>
        <v>45</v>
      </c>
      <c r="O1876" s="19" t="str">
        <f t="shared" si="134"/>
        <v>900k–1200k</v>
      </c>
      <c r="P1876" s="19" t="str">
        <f t="shared" si="135"/>
        <v>36-45</v>
      </c>
    </row>
    <row r="1877" spans="1:16" x14ac:dyDescent="0.25">
      <c r="A1877">
        <v>1876</v>
      </c>
      <c r="B1877" t="s">
        <v>9</v>
      </c>
      <c r="C1877">
        <v>522287.6</v>
      </c>
      <c r="D1877" t="s">
        <v>10</v>
      </c>
      <c r="E1877" t="s">
        <v>16</v>
      </c>
      <c r="F1877" t="s">
        <v>12</v>
      </c>
      <c r="G1877" t="s">
        <v>13</v>
      </c>
      <c r="H1877" t="s">
        <v>13</v>
      </c>
      <c r="I1877">
        <v>36</v>
      </c>
      <c r="J1877" t="str" cm="1">
        <f t="array" ref="J1877">_xlfn.IFS(ISBLANK(C1877),"FALTANTE",ABS((C1877-$W$5)/$X$5)&gt;1.96,"ATÍPICO",ABS((C1877-$W$5)/$X$5)&lt;=1.96,"NO ATÍPICO")</f>
        <v>NO ATÍPICO</v>
      </c>
      <c r="K1877" t="str" cm="1">
        <f t="array" ref="K1877">_xlfn.IFS(ISBLANK(I1877),"FALTANTE",ABS((I1877-$W$8)/$X$8)&gt;1.92,"ATÍPICO",ABS((I1877-$W$8)/$X$8)&lt;=1.92,"NO ATÍPICO")</f>
        <v>NO ATÍPICO</v>
      </c>
      <c r="L1877">
        <f t="shared" si="132"/>
        <v>522287.6</v>
      </c>
      <c r="M1877" t="str">
        <f t="shared" si="132"/>
        <v>ASALARIADO</v>
      </c>
      <c r="N1877">
        <f t="shared" si="133"/>
        <v>36</v>
      </c>
      <c r="O1877" s="19" t="str">
        <f t="shared" si="134"/>
        <v>300k–600k</v>
      </c>
      <c r="P1877" s="19" t="str">
        <f t="shared" si="135"/>
        <v>36-45</v>
      </c>
    </row>
    <row r="1878" spans="1:16" x14ac:dyDescent="0.25">
      <c r="A1878">
        <v>1877</v>
      </c>
      <c r="B1878" t="s">
        <v>15</v>
      </c>
      <c r="C1878">
        <v>342968.37</v>
      </c>
      <c r="D1878" t="s">
        <v>10</v>
      </c>
      <c r="E1878" t="s">
        <v>16</v>
      </c>
      <c r="F1878" t="s">
        <v>12</v>
      </c>
      <c r="G1878" t="s">
        <v>13</v>
      </c>
      <c r="H1878" t="s">
        <v>13</v>
      </c>
      <c r="I1878">
        <v>43</v>
      </c>
      <c r="J1878" t="str" cm="1">
        <f t="array" ref="J1878">_xlfn.IFS(ISBLANK(C1878),"FALTANTE",ABS((C1878-$W$5)/$X$5)&gt;1.96,"ATÍPICO",ABS((C1878-$W$5)/$X$5)&lt;=1.96,"NO ATÍPICO")</f>
        <v>NO ATÍPICO</v>
      </c>
      <c r="K1878" t="str" cm="1">
        <f t="array" ref="K1878">_xlfn.IFS(ISBLANK(I1878),"FALTANTE",ABS((I1878-$W$8)/$X$8)&gt;1.92,"ATÍPICO",ABS((I1878-$W$8)/$X$8)&lt;=1.92,"NO ATÍPICO")</f>
        <v>NO ATÍPICO</v>
      </c>
      <c r="L1878">
        <f t="shared" si="132"/>
        <v>342968.37</v>
      </c>
      <c r="M1878" t="str">
        <f t="shared" si="132"/>
        <v>ASALARIADO</v>
      </c>
      <c r="N1878">
        <f t="shared" si="133"/>
        <v>43</v>
      </c>
      <c r="O1878" s="19" t="str">
        <f t="shared" si="134"/>
        <v>300k–600k</v>
      </c>
      <c r="P1878" s="19" t="str">
        <f t="shared" si="135"/>
        <v>36-45</v>
      </c>
    </row>
    <row r="1879" spans="1:16" x14ac:dyDescent="0.25">
      <c r="A1879">
        <v>1878</v>
      </c>
      <c r="B1879" t="s">
        <v>15</v>
      </c>
      <c r="C1879">
        <v>619612</v>
      </c>
      <c r="D1879" t="s">
        <v>18</v>
      </c>
      <c r="E1879" t="s">
        <v>16</v>
      </c>
      <c r="F1879" t="s">
        <v>12</v>
      </c>
      <c r="G1879" t="s">
        <v>13</v>
      </c>
      <c r="H1879" t="s">
        <v>13</v>
      </c>
      <c r="I1879">
        <v>40</v>
      </c>
      <c r="J1879" t="str" cm="1">
        <f t="array" ref="J1879">_xlfn.IFS(ISBLANK(C1879),"FALTANTE",ABS((C1879-$W$5)/$X$5)&gt;1.96,"ATÍPICO",ABS((C1879-$W$5)/$X$5)&lt;=1.96,"NO ATÍPICO")</f>
        <v>NO ATÍPICO</v>
      </c>
      <c r="K1879" t="str" cm="1">
        <f t="array" ref="K1879">_xlfn.IFS(ISBLANK(I1879),"FALTANTE",ABS((I1879-$W$8)/$X$8)&gt;1.92,"ATÍPICO",ABS((I1879-$W$8)/$X$8)&lt;=1.92,"NO ATÍPICO")</f>
        <v>NO ATÍPICO</v>
      </c>
      <c r="L1879">
        <f t="shared" si="132"/>
        <v>619612</v>
      </c>
      <c r="M1879" t="str">
        <f t="shared" si="132"/>
        <v>TRABAJADOR INDEPENDIENTE</v>
      </c>
      <c r="N1879">
        <f t="shared" si="133"/>
        <v>40</v>
      </c>
      <c r="O1879" s="19" t="str">
        <f t="shared" si="134"/>
        <v>600k–900k</v>
      </c>
      <c r="P1879" s="19" t="str">
        <f t="shared" si="135"/>
        <v>36-45</v>
      </c>
    </row>
    <row r="1880" spans="1:16" x14ac:dyDescent="0.25">
      <c r="A1880">
        <v>1879</v>
      </c>
      <c r="B1880" t="s">
        <v>9</v>
      </c>
      <c r="C1880">
        <v>952753.45</v>
      </c>
      <c r="D1880" t="s">
        <v>14</v>
      </c>
      <c r="E1880" t="s">
        <v>11</v>
      </c>
      <c r="F1880" t="s">
        <v>12</v>
      </c>
      <c r="G1880" t="s">
        <v>13</v>
      </c>
      <c r="H1880" t="s">
        <v>13</v>
      </c>
      <c r="I1880">
        <v>86</v>
      </c>
      <c r="J1880" t="str" cm="1">
        <f t="array" ref="J1880">_xlfn.IFS(ISBLANK(C1880),"FALTANTE",ABS((C1880-$W$5)/$X$5)&gt;1.96,"ATÍPICO",ABS((C1880-$W$5)/$X$5)&lt;=1.96,"NO ATÍPICO")</f>
        <v>NO ATÍPICO</v>
      </c>
      <c r="K1880" t="str" cm="1">
        <f t="array" ref="K1880">_xlfn.IFS(ISBLANK(I1880),"FALTANTE",ABS((I1880-$W$8)/$X$8)&gt;1.92,"ATÍPICO",ABS((I1880-$W$8)/$X$8)&lt;=1.92,"NO ATÍPICO")</f>
        <v>ATÍPICO</v>
      </c>
      <c r="L1880">
        <f t="shared" si="132"/>
        <v>952753.45</v>
      </c>
      <c r="M1880" t="str">
        <f t="shared" si="132"/>
        <v>PENSIONADOS EN SU PROPIO SISTEMA</v>
      </c>
      <c r="N1880">
        <f t="shared" si="133"/>
        <v>86</v>
      </c>
      <c r="O1880" s="19" t="str">
        <f t="shared" si="134"/>
        <v>900k–1200k</v>
      </c>
      <c r="P1880" s="19" t="str">
        <f t="shared" si="135"/>
        <v>56+</v>
      </c>
    </row>
    <row r="1881" spans="1:16" x14ac:dyDescent="0.25">
      <c r="A1881">
        <v>1880</v>
      </c>
      <c r="B1881" t="s">
        <v>15</v>
      </c>
      <c r="C1881">
        <v>422091</v>
      </c>
      <c r="D1881" t="s">
        <v>18</v>
      </c>
      <c r="E1881" t="s">
        <v>16</v>
      </c>
      <c r="F1881" t="s">
        <v>12</v>
      </c>
      <c r="G1881" t="s">
        <v>13</v>
      </c>
      <c r="H1881" t="s">
        <v>13</v>
      </c>
      <c r="I1881">
        <v>36</v>
      </c>
      <c r="J1881" t="str" cm="1">
        <f t="array" ref="J1881">_xlfn.IFS(ISBLANK(C1881),"FALTANTE",ABS((C1881-$W$5)/$X$5)&gt;1.96,"ATÍPICO",ABS((C1881-$W$5)/$X$5)&lt;=1.96,"NO ATÍPICO")</f>
        <v>NO ATÍPICO</v>
      </c>
      <c r="K1881" t="str" cm="1">
        <f t="array" ref="K1881">_xlfn.IFS(ISBLANK(I1881),"FALTANTE",ABS((I1881-$W$8)/$X$8)&gt;1.92,"ATÍPICO",ABS((I1881-$W$8)/$X$8)&lt;=1.92,"NO ATÍPICO")</f>
        <v>NO ATÍPICO</v>
      </c>
      <c r="L1881">
        <f t="shared" si="132"/>
        <v>422091</v>
      </c>
      <c r="M1881" t="str">
        <f t="shared" si="132"/>
        <v>TRABAJADOR INDEPENDIENTE</v>
      </c>
      <c r="N1881">
        <f t="shared" si="133"/>
        <v>36</v>
      </c>
      <c r="O1881" s="19" t="str">
        <f t="shared" si="134"/>
        <v>300k–600k</v>
      </c>
      <c r="P1881" s="19" t="str">
        <f t="shared" si="135"/>
        <v>36-45</v>
      </c>
    </row>
    <row r="1882" spans="1:16" x14ac:dyDescent="0.25">
      <c r="A1882">
        <v>1881</v>
      </c>
      <c r="B1882" t="s">
        <v>9</v>
      </c>
      <c r="C1882">
        <v>150000</v>
      </c>
      <c r="D1882" t="s">
        <v>10</v>
      </c>
      <c r="E1882" t="s">
        <v>16</v>
      </c>
      <c r="F1882" t="s">
        <v>12</v>
      </c>
      <c r="G1882" t="s">
        <v>13</v>
      </c>
      <c r="H1882" t="s">
        <v>13</v>
      </c>
      <c r="I1882">
        <v>73</v>
      </c>
      <c r="J1882" t="str" cm="1">
        <f t="array" ref="J1882">_xlfn.IFS(ISBLANK(C1882),"FALTANTE",ABS((C1882-$W$5)/$X$5)&gt;1.96,"ATÍPICO",ABS((C1882-$W$5)/$X$5)&lt;=1.96,"NO ATÍPICO")</f>
        <v>NO ATÍPICO</v>
      </c>
      <c r="K1882" t="str" cm="1">
        <f t="array" ref="K1882">_xlfn.IFS(ISBLANK(I1882),"FALTANTE",ABS((I1882-$W$8)/$X$8)&gt;1.92,"ATÍPICO",ABS((I1882-$W$8)/$X$8)&lt;=1.92,"NO ATÍPICO")</f>
        <v>ATÍPICO</v>
      </c>
      <c r="L1882">
        <f t="shared" si="132"/>
        <v>150000</v>
      </c>
      <c r="M1882" t="str">
        <f t="shared" si="132"/>
        <v>ASALARIADO</v>
      </c>
      <c r="N1882">
        <f t="shared" si="133"/>
        <v>73</v>
      </c>
      <c r="O1882" s="19" t="str">
        <f t="shared" si="134"/>
        <v>0–300k</v>
      </c>
      <c r="P1882" s="19" t="str">
        <f t="shared" si="135"/>
        <v>56+</v>
      </c>
    </row>
    <row r="1883" spans="1:16" x14ac:dyDescent="0.25">
      <c r="A1883">
        <v>1882</v>
      </c>
      <c r="B1883" t="s">
        <v>9</v>
      </c>
      <c r="C1883">
        <v>10500</v>
      </c>
      <c r="D1883" t="s">
        <v>10</v>
      </c>
      <c r="E1883" t="s">
        <v>16</v>
      </c>
      <c r="F1883" t="s">
        <v>12</v>
      </c>
      <c r="G1883" t="s">
        <v>12</v>
      </c>
      <c r="H1883" t="s">
        <v>13</v>
      </c>
      <c r="I1883">
        <v>29</v>
      </c>
      <c r="J1883" t="str" cm="1">
        <f t="array" ref="J1883">_xlfn.IFS(ISBLANK(C1883),"FALTANTE",ABS((C1883-$W$5)/$X$5)&gt;1.96,"ATÍPICO",ABS((C1883-$W$5)/$X$5)&lt;=1.96,"NO ATÍPICO")</f>
        <v>NO ATÍPICO</v>
      </c>
      <c r="K1883" t="str" cm="1">
        <f t="array" ref="K1883">_xlfn.IFS(ISBLANK(I1883),"FALTANTE",ABS((I1883-$W$8)/$X$8)&gt;1.92,"ATÍPICO",ABS((I1883-$W$8)/$X$8)&lt;=1.92,"NO ATÍPICO")</f>
        <v>NO ATÍPICO</v>
      </c>
      <c r="L1883">
        <f t="shared" si="132"/>
        <v>10500</v>
      </c>
      <c r="M1883" t="str">
        <f t="shared" si="132"/>
        <v>ASALARIADO</v>
      </c>
      <c r="N1883">
        <f t="shared" si="133"/>
        <v>29</v>
      </c>
      <c r="O1883" s="19" t="str">
        <f t="shared" si="134"/>
        <v>0–300k</v>
      </c>
      <c r="P1883" s="19" t="str">
        <f t="shared" si="135"/>
        <v>26-35</v>
      </c>
    </row>
    <row r="1884" spans="1:16" x14ac:dyDescent="0.25">
      <c r="A1884">
        <v>1883</v>
      </c>
      <c r="B1884" t="s">
        <v>9</v>
      </c>
      <c r="C1884">
        <v>278030.99</v>
      </c>
      <c r="D1884" t="s">
        <v>19</v>
      </c>
      <c r="E1884" t="s">
        <v>16</v>
      </c>
      <c r="F1884" t="s">
        <v>12</v>
      </c>
      <c r="G1884" t="s">
        <v>13</v>
      </c>
      <c r="H1884" t="s">
        <v>13</v>
      </c>
      <c r="I1884">
        <v>37</v>
      </c>
      <c r="J1884" t="str" cm="1">
        <f t="array" ref="J1884">_xlfn.IFS(ISBLANK(C1884),"FALTANTE",ABS((C1884-$W$5)/$X$5)&gt;1.96,"ATÍPICO",ABS((C1884-$W$5)/$X$5)&lt;=1.96,"NO ATÍPICO")</f>
        <v>NO ATÍPICO</v>
      </c>
      <c r="K1884" t="str" cm="1">
        <f t="array" ref="K1884">_xlfn.IFS(ISBLANK(I1884),"FALTANTE",ABS((I1884-$W$8)/$X$8)&gt;1.92,"ATÍPICO",ABS((I1884-$W$8)/$X$8)&lt;=1.92,"NO ATÍPICO")</f>
        <v>NO ATÍPICO</v>
      </c>
      <c r="L1884">
        <f t="shared" si="132"/>
        <v>278030.99</v>
      </c>
      <c r="M1884" t="str">
        <f t="shared" si="132"/>
        <v>CONVENIOS ESPECIALES DE TRABAJADORES INDEPENDIENTES</v>
      </c>
      <c r="N1884">
        <f t="shared" si="133"/>
        <v>37</v>
      </c>
      <c r="O1884" s="19" t="str">
        <f t="shared" si="134"/>
        <v>0–300k</v>
      </c>
      <c r="P1884" s="19" t="str">
        <f t="shared" si="135"/>
        <v>36-45</v>
      </c>
    </row>
    <row r="1885" spans="1:16" x14ac:dyDescent="0.25">
      <c r="A1885">
        <v>1884</v>
      </c>
      <c r="B1885" t="s">
        <v>15</v>
      </c>
      <c r="C1885">
        <v>756240</v>
      </c>
      <c r="D1885" t="s">
        <v>10</v>
      </c>
      <c r="E1885" t="s">
        <v>11</v>
      </c>
      <c r="F1885" t="s">
        <v>12</v>
      </c>
      <c r="G1885" t="s">
        <v>13</v>
      </c>
      <c r="H1885" t="s">
        <v>12</v>
      </c>
      <c r="I1885">
        <v>64</v>
      </c>
      <c r="J1885" t="str" cm="1">
        <f t="array" ref="J1885">_xlfn.IFS(ISBLANK(C1885),"FALTANTE",ABS((C1885-$W$5)/$X$5)&gt;1.96,"ATÍPICO",ABS((C1885-$W$5)/$X$5)&lt;=1.96,"NO ATÍPICO")</f>
        <v>NO ATÍPICO</v>
      </c>
      <c r="K1885" t="str" cm="1">
        <f t="array" ref="K1885">_xlfn.IFS(ISBLANK(I1885),"FALTANTE",ABS((I1885-$W$8)/$X$8)&gt;1.92,"ATÍPICO",ABS((I1885-$W$8)/$X$8)&lt;=1.92,"NO ATÍPICO")</f>
        <v>NO ATÍPICO</v>
      </c>
      <c r="L1885">
        <f t="shared" si="132"/>
        <v>756240</v>
      </c>
      <c r="M1885" t="str">
        <f t="shared" si="132"/>
        <v>ASALARIADO</v>
      </c>
      <c r="N1885">
        <f t="shared" si="133"/>
        <v>64</v>
      </c>
      <c r="O1885" s="19" t="str">
        <f t="shared" si="134"/>
        <v>600k–900k</v>
      </c>
      <c r="P1885" s="19" t="str">
        <f t="shared" si="135"/>
        <v>56+</v>
      </c>
    </row>
    <row r="1886" spans="1:16" x14ac:dyDescent="0.25">
      <c r="A1886">
        <v>1885</v>
      </c>
      <c r="B1886" t="s">
        <v>9</v>
      </c>
      <c r="C1886">
        <v>600000</v>
      </c>
      <c r="D1886" t="s">
        <v>10</v>
      </c>
      <c r="E1886" t="s">
        <v>16</v>
      </c>
      <c r="F1886" t="s">
        <v>12</v>
      </c>
      <c r="G1886" t="s">
        <v>13</v>
      </c>
      <c r="H1886" t="s">
        <v>12</v>
      </c>
      <c r="I1886">
        <v>53</v>
      </c>
      <c r="J1886" t="str" cm="1">
        <f t="array" ref="J1886">_xlfn.IFS(ISBLANK(C1886),"FALTANTE",ABS((C1886-$W$5)/$X$5)&gt;1.96,"ATÍPICO",ABS((C1886-$W$5)/$X$5)&lt;=1.96,"NO ATÍPICO")</f>
        <v>NO ATÍPICO</v>
      </c>
      <c r="K1886" t="str" cm="1">
        <f t="array" ref="K1886">_xlfn.IFS(ISBLANK(I1886),"FALTANTE",ABS((I1886-$W$8)/$X$8)&gt;1.92,"ATÍPICO",ABS((I1886-$W$8)/$X$8)&lt;=1.92,"NO ATÍPICO")</f>
        <v>NO ATÍPICO</v>
      </c>
      <c r="L1886">
        <f t="shared" si="132"/>
        <v>600000</v>
      </c>
      <c r="M1886" t="str">
        <f t="shared" si="132"/>
        <v>ASALARIADO</v>
      </c>
      <c r="N1886">
        <f t="shared" si="133"/>
        <v>53</v>
      </c>
      <c r="O1886" s="19" t="str">
        <f t="shared" si="134"/>
        <v>300k–600k</v>
      </c>
      <c r="P1886" s="19" t="str">
        <f t="shared" si="135"/>
        <v>46-55</v>
      </c>
    </row>
    <row r="1887" spans="1:16" x14ac:dyDescent="0.25">
      <c r="A1887">
        <v>1886</v>
      </c>
      <c r="B1887" t="s">
        <v>9</v>
      </c>
      <c r="C1887">
        <v>359544.27</v>
      </c>
      <c r="D1887" t="s">
        <v>21</v>
      </c>
      <c r="E1887" t="s">
        <v>16</v>
      </c>
      <c r="F1887" t="s">
        <v>12</v>
      </c>
      <c r="G1887" t="s">
        <v>12</v>
      </c>
      <c r="H1887" t="s">
        <v>13</v>
      </c>
      <c r="I1887">
        <v>26</v>
      </c>
      <c r="J1887" t="str" cm="1">
        <f t="array" ref="J1887">_xlfn.IFS(ISBLANK(C1887),"FALTANTE",ABS((C1887-$W$5)/$X$5)&gt;1.96,"ATÍPICO",ABS((C1887-$W$5)/$X$5)&lt;=1.96,"NO ATÍPICO")</f>
        <v>NO ATÍPICO</v>
      </c>
      <c r="K1887" t="str" cm="1">
        <f t="array" ref="K1887">_xlfn.IFS(ISBLANK(I1887),"FALTANTE",ABS((I1887-$W$8)/$X$8)&gt;1.92,"ATÍPICO",ABS((I1887-$W$8)/$X$8)&lt;=1.92,"NO ATÍPICO")</f>
        <v>NO ATÍPICO</v>
      </c>
      <c r="L1887">
        <f t="shared" si="132"/>
        <v>359544.27</v>
      </c>
      <c r="M1887" t="str">
        <f t="shared" si="132"/>
        <v>CONVENIOS ESPECIALES DE ASEGURADOS VOLUNTARIOS</v>
      </c>
      <c r="N1887">
        <f t="shared" si="133"/>
        <v>26</v>
      </c>
      <c r="O1887" s="19" t="str">
        <f t="shared" si="134"/>
        <v>300k–600k</v>
      </c>
      <c r="P1887" s="19" t="str">
        <f t="shared" si="135"/>
        <v>26-35</v>
      </c>
    </row>
    <row r="1888" spans="1:16" x14ac:dyDescent="0.25">
      <c r="A1888">
        <v>1887</v>
      </c>
      <c r="B1888" t="s">
        <v>9</v>
      </c>
      <c r="C1888">
        <v>529650</v>
      </c>
      <c r="D1888" t="s">
        <v>10</v>
      </c>
      <c r="E1888" t="s">
        <v>16</v>
      </c>
      <c r="F1888" t="s">
        <v>12</v>
      </c>
      <c r="G1888" t="s">
        <v>13</v>
      </c>
      <c r="H1888" t="s">
        <v>13</v>
      </c>
      <c r="I1888">
        <v>55</v>
      </c>
      <c r="J1888" t="str" cm="1">
        <f t="array" ref="J1888">_xlfn.IFS(ISBLANK(C1888),"FALTANTE",ABS((C1888-$W$5)/$X$5)&gt;1.96,"ATÍPICO",ABS((C1888-$W$5)/$X$5)&lt;=1.96,"NO ATÍPICO")</f>
        <v>NO ATÍPICO</v>
      </c>
      <c r="K1888" t="str" cm="1">
        <f t="array" ref="K1888">_xlfn.IFS(ISBLANK(I1888),"FALTANTE",ABS((I1888-$W$8)/$X$8)&gt;1.92,"ATÍPICO",ABS((I1888-$W$8)/$X$8)&lt;=1.92,"NO ATÍPICO")</f>
        <v>NO ATÍPICO</v>
      </c>
      <c r="L1888">
        <f t="shared" si="132"/>
        <v>529650</v>
      </c>
      <c r="M1888" t="str">
        <f t="shared" si="132"/>
        <v>ASALARIADO</v>
      </c>
      <c r="N1888">
        <f t="shared" si="133"/>
        <v>55</v>
      </c>
      <c r="O1888" s="19" t="str">
        <f t="shared" si="134"/>
        <v>300k–600k</v>
      </c>
      <c r="P1888" s="19" t="str">
        <f t="shared" si="135"/>
        <v>46-55</v>
      </c>
    </row>
    <row r="1889" spans="1:16" x14ac:dyDescent="0.25">
      <c r="A1889">
        <v>1888</v>
      </c>
      <c r="B1889" t="s">
        <v>9</v>
      </c>
      <c r="C1889">
        <v>406966.63</v>
      </c>
      <c r="D1889" t="s">
        <v>10</v>
      </c>
      <c r="E1889" t="s">
        <v>16</v>
      </c>
      <c r="F1889" t="s">
        <v>12</v>
      </c>
      <c r="G1889" t="s">
        <v>13</v>
      </c>
      <c r="H1889" t="s">
        <v>13</v>
      </c>
      <c r="I1889">
        <v>37</v>
      </c>
      <c r="J1889" t="str" cm="1">
        <f t="array" ref="J1889">_xlfn.IFS(ISBLANK(C1889),"FALTANTE",ABS((C1889-$W$5)/$X$5)&gt;1.96,"ATÍPICO",ABS((C1889-$W$5)/$X$5)&lt;=1.96,"NO ATÍPICO")</f>
        <v>NO ATÍPICO</v>
      </c>
      <c r="K1889" t="str" cm="1">
        <f t="array" ref="K1889">_xlfn.IFS(ISBLANK(I1889),"FALTANTE",ABS((I1889-$W$8)/$X$8)&gt;1.92,"ATÍPICO",ABS((I1889-$W$8)/$X$8)&lt;=1.92,"NO ATÍPICO")</f>
        <v>NO ATÍPICO</v>
      </c>
      <c r="L1889">
        <f t="shared" si="132"/>
        <v>406966.63</v>
      </c>
      <c r="M1889" t="str">
        <f t="shared" si="132"/>
        <v>ASALARIADO</v>
      </c>
      <c r="N1889">
        <f t="shared" si="133"/>
        <v>37</v>
      </c>
      <c r="O1889" s="19" t="str">
        <f t="shared" si="134"/>
        <v>300k–600k</v>
      </c>
      <c r="P1889" s="19" t="str">
        <f t="shared" si="135"/>
        <v>36-45</v>
      </c>
    </row>
    <row r="1890" spans="1:16" x14ac:dyDescent="0.25">
      <c r="A1890">
        <v>1889</v>
      </c>
      <c r="B1890" t="s">
        <v>9</v>
      </c>
      <c r="C1890">
        <v>185000</v>
      </c>
      <c r="D1890" t="s">
        <v>10</v>
      </c>
      <c r="E1890" t="s">
        <v>16</v>
      </c>
      <c r="F1890" t="s">
        <v>12</v>
      </c>
      <c r="G1890" t="s">
        <v>13</v>
      </c>
      <c r="H1890" t="s">
        <v>13</v>
      </c>
      <c r="I1890">
        <v>36</v>
      </c>
      <c r="J1890" t="str" cm="1">
        <f t="array" ref="J1890">_xlfn.IFS(ISBLANK(C1890),"FALTANTE",ABS((C1890-$W$5)/$X$5)&gt;1.96,"ATÍPICO",ABS((C1890-$W$5)/$X$5)&lt;=1.96,"NO ATÍPICO")</f>
        <v>NO ATÍPICO</v>
      </c>
      <c r="K1890" t="str" cm="1">
        <f t="array" ref="K1890">_xlfn.IFS(ISBLANK(I1890),"FALTANTE",ABS((I1890-$W$8)/$X$8)&gt;1.92,"ATÍPICO",ABS((I1890-$W$8)/$X$8)&lt;=1.92,"NO ATÍPICO")</f>
        <v>NO ATÍPICO</v>
      </c>
      <c r="L1890">
        <f t="shared" si="132"/>
        <v>185000</v>
      </c>
      <c r="M1890" t="str">
        <f t="shared" si="132"/>
        <v>ASALARIADO</v>
      </c>
      <c r="N1890">
        <f t="shared" si="133"/>
        <v>36</v>
      </c>
      <c r="O1890" s="19" t="str">
        <f t="shared" si="134"/>
        <v>0–300k</v>
      </c>
      <c r="P1890" s="19" t="str">
        <f t="shared" si="135"/>
        <v>36-45</v>
      </c>
    </row>
    <row r="1891" spans="1:16" x14ac:dyDescent="0.25">
      <c r="A1891">
        <v>1890</v>
      </c>
      <c r="B1891" t="s">
        <v>15</v>
      </c>
      <c r="C1891">
        <v>299152.38</v>
      </c>
      <c r="D1891" t="s">
        <v>10</v>
      </c>
      <c r="E1891" t="s">
        <v>11</v>
      </c>
      <c r="F1891" t="s">
        <v>12</v>
      </c>
      <c r="G1891" t="s">
        <v>13</v>
      </c>
      <c r="H1891" t="s">
        <v>13</v>
      </c>
      <c r="I1891">
        <v>36</v>
      </c>
      <c r="J1891" t="str" cm="1">
        <f t="array" ref="J1891">_xlfn.IFS(ISBLANK(C1891),"FALTANTE",ABS((C1891-$W$5)/$X$5)&gt;1.96,"ATÍPICO",ABS((C1891-$W$5)/$X$5)&lt;=1.96,"NO ATÍPICO")</f>
        <v>NO ATÍPICO</v>
      </c>
      <c r="K1891" t="str" cm="1">
        <f t="array" ref="K1891">_xlfn.IFS(ISBLANK(I1891),"FALTANTE",ABS((I1891-$W$8)/$X$8)&gt;1.92,"ATÍPICO",ABS((I1891-$W$8)/$X$8)&lt;=1.92,"NO ATÍPICO")</f>
        <v>NO ATÍPICO</v>
      </c>
      <c r="L1891">
        <f t="shared" si="132"/>
        <v>299152.38</v>
      </c>
      <c r="M1891" t="str">
        <f t="shared" si="132"/>
        <v>ASALARIADO</v>
      </c>
      <c r="N1891">
        <f t="shared" si="133"/>
        <v>36</v>
      </c>
      <c r="O1891" s="19" t="str">
        <f t="shared" si="134"/>
        <v>0–300k</v>
      </c>
      <c r="P1891" s="19" t="str">
        <f t="shared" si="135"/>
        <v>36-45</v>
      </c>
    </row>
    <row r="1892" spans="1:16" x14ac:dyDescent="0.25">
      <c r="A1892">
        <v>1891</v>
      </c>
      <c r="B1892" t="s">
        <v>9</v>
      </c>
      <c r="C1892">
        <v>170502</v>
      </c>
      <c r="D1892" t="s">
        <v>10</v>
      </c>
      <c r="E1892" t="s">
        <v>16</v>
      </c>
      <c r="F1892" t="s">
        <v>12</v>
      </c>
      <c r="G1892" t="s">
        <v>13</v>
      </c>
      <c r="H1892" t="s">
        <v>13</v>
      </c>
      <c r="I1892">
        <v>64</v>
      </c>
      <c r="J1892" t="str" cm="1">
        <f t="array" ref="J1892">_xlfn.IFS(ISBLANK(C1892),"FALTANTE",ABS((C1892-$W$5)/$X$5)&gt;1.96,"ATÍPICO",ABS((C1892-$W$5)/$X$5)&lt;=1.96,"NO ATÍPICO")</f>
        <v>NO ATÍPICO</v>
      </c>
      <c r="K1892" t="str" cm="1">
        <f t="array" ref="K1892">_xlfn.IFS(ISBLANK(I1892),"FALTANTE",ABS((I1892-$W$8)/$X$8)&gt;1.92,"ATÍPICO",ABS((I1892-$W$8)/$X$8)&lt;=1.92,"NO ATÍPICO")</f>
        <v>NO ATÍPICO</v>
      </c>
      <c r="L1892">
        <f t="shared" si="132"/>
        <v>170502</v>
      </c>
      <c r="M1892" t="str">
        <f t="shared" si="132"/>
        <v>ASALARIADO</v>
      </c>
      <c r="N1892">
        <f t="shared" si="133"/>
        <v>64</v>
      </c>
      <c r="O1892" s="19" t="str">
        <f t="shared" si="134"/>
        <v>0–300k</v>
      </c>
      <c r="P1892" s="19" t="str">
        <f t="shared" si="135"/>
        <v>56+</v>
      </c>
    </row>
    <row r="1893" spans="1:16" x14ac:dyDescent="0.25">
      <c r="A1893">
        <v>1892</v>
      </c>
      <c r="B1893" t="s">
        <v>15</v>
      </c>
      <c r="C1893">
        <v>758880</v>
      </c>
      <c r="D1893" t="s">
        <v>10</v>
      </c>
      <c r="E1893" t="s">
        <v>16</v>
      </c>
      <c r="F1893" t="s">
        <v>12</v>
      </c>
      <c r="G1893" t="s">
        <v>13</v>
      </c>
      <c r="H1893" t="s">
        <v>13</v>
      </c>
      <c r="I1893">
        <v>27</v>
      </c>
      <c r="J1893" t="str" cm="1">
        <f t="array" ref="J1893">_xlfn.IFS(ISBLANK(C1893),"FALTANTE",ABS((C1893-$W$5)/$X$5)&gt;1.96,"ATÍPICO",ABS((C1893-$W$5)/$X$5)&lt;=1.96,"NO ATÍPICO")</f>
        <v>NO ATÍPICO</v>
      </c>
      <c r="K1893" t="str" cm="1">
        <f t="array" ref="K1893">_xlfn.IFS(ISBLANK(I1893),"FALTANTE",ABS((I1893-$W$8)/$X$8)&gt;1.92,"ATÍPICO",ABS((I1893-$W$8)/$X$8)&lt;=1.92,"NO ATÍPICO")</f>
        <v>NO ATÍPICO</v>
      </c>
      <c r="L1893">
        <f t="shared" si="132"/>
        <v>758880</v>
      </c>
      <c r="M1893" t="str">
        <f t="shared" si="132"/>
        <v>ASALARIADO</v>
      </c>
      <c r="N1893">
        <f t="shared" si="133"/>
        <v>27</v>
      </c>
      <c r="O1893" s="19" t="str">
        <f t="shared" si="134"/>
        <v>600k–900k</v>
      </c>
      <c r="P1893" s="19" t="str">
        <f t="shared" si="135"/>
        <v>26-35</v>
      </c>
    </row>
    <row r="1894" spans="1:16" x14ac:dyDescent="0.25">
      <c r="A1894">
        <v>1893</v>
      </c>
      <c r="B1894" t="s">
        <v>15</v>
      </c>
      <c r="C1894">
        <v>345600</v>
      </c>
      <c r="D1894" t="s">
        <v>10</v>
      </c>
      <c r="E1894" t="s">
        <v>16</v>
      </c>
      <c r="F1894" t="s">
        <v>12</v>
      </c>
      <c r="G1894" t="s">
        <v>13</v>
      </c>
      <c r="H1894" t="s">
        <v>13</v>
      </c>
      <c r="I1894">
        <v>23</v>
      </c>
      <c r="J1894" t="str" cm="1">
        <f t="array" ref="J1894">_xlfn.IFS(ISBLANK(C1894),"FALTANTE",ABS((C1894-$W$5)/$X$5)&gt;1.96,"ATÍPICO",ABS((C1894-$W$5)/$X$5)&lt;=1.96,"NO ATÍPICO")</f>
        <v>NO ATÍPICO</v>
      </c>
      <c r="K1894" t="str" cm="1">
        <f t="array" ref="K1894">_xlfn.IFS(ISBLANK(I1894),"FALTANTE",ABS((I1894-$W$8)/$X$8)&gt;1.92,"ATÍPICO",ABS((I1894-$W$8)/$X$8)&lt;=1.92,"NO ATÍPICO")</f>
        <v>NO ATÍPICO</v>
      </c>
      <c r="L1894">
        <f t="shared" si="132"/>
        <v>345600</v>
      </c>
      <c r="M1894" t="str">
        <f t="shared" si="132"/>
        <v>ASALARIADO</v>
      </c>
      <c r="N1894">
        <f t="shared" si="133"/>
        <v>23</v>
      </c>
      <c r="O1894" s="19" t="str">
        <f t="shared" si="134"/>
        <v>300k–600k</v>
      </c>
      <c r="P1894" s="19" t="str">
        <f t="shared" si="135"/>
        <v>18-25</v>
      </c>
    </row>
    <row r="1895" spans="1:16" x14ac:dyDescent="0.25">
      <c r="A1895">
        <v>1894</v>
      </c>
      <c r="B1895" t="s">
        <v>9</v>
      </c>
      <c r="C1895">
        <v>309333.33</v>
      </c>
      <c r="D1895" t="s">
        <v>10</v>
      </c>
      <c r="E1895" t="s">
        <v>16</v>
      </c>
      <c r="F1895" t="s">
        <v>12</v>
      </c>
      <c r="G1895" t="s">
        <v>13</v>
      </c>
      <c r="H1895" t="s">
        <v>12</v>
      </c>
      <c r="I1895">
        <v>61</v>
      </c>
      <c r="J1895" t="str" cm="1">
        <f t="array" ref="J1895">_xlfn.IFS(ISBLANK(C1895),"FALTANTE",ABS((C1895-$W$5)/$X$5)&gt;1.96,"ATÍPICO",ABS((C1895-$W$5)/$X$5)&lt;=1.96,"NO ATÍPICO")</f>
        <v>NO ATÍPICO</v>
      </c>
      <c r="K1895" t="str" cm="1">
        <f t="array" ref="K1895">_xlfn.IFS(ISBLANK(I1895),"FALTANTE",ABS((I1895-$W$8)/$X$8)&gt;1.92,"ATÍPICO",ABS((I1895-$W$8)/$X$8)&lt;=1.92,"NO ATÍPICO")</f>
        <v>NO ATÍPICO</v>
      </c>
      <c r="L1895">
        <f t="shared" si="132"/>
        <v>309333.33</v>
      </c>
      <c r="M1895" t="str">
        <f t="shared" si="132"/>
        <v>ASALARIADO</v>
      </c>
      <c r="N1895">
        <f t="shared" si="133"/>
        <v>61</v>
      </c>
      <c r="O1895" s="19" t="str">
        <f t="shared" si="134"/>
        <v>300k–600k</v>
      </c>
      <c r="P1895" s="19" t="str">
        <f t="shared" si="135"/>
        <v>56+</v>
      </c>
    </row>
    <row r="1896" spans="1:16" x14ac:dyDescent="0.25">
      <c r="A1896">
        <v>1895</v>
      </c>
      <c r="B1896" t="s">
        <v>15</v>
      </c>
      <c r="C1896">
        <v>1188000</v>
      </c>
      <c r="D1896" t="s">
        <v>10</v>
      </c>
      <c r="E1896" t="s">
        <v>16</v>
      </c>
      <c r="F1896" t="s">
        <v>12</v>
      </c>
      <c r="G1896" t="s">
        <v>13</v>
      </c>
      <c r="H1896" t="s">
        <v>13</v>
      </c>
      <c r="I1896">
        <v>27</v>
      </c>
      <c r="J1896" t="str" cm="1">
        <f t="array" ref="J1896">_xlfn.IFS(ISBLANK(C1896),"FALTANTE",ABS((C1896-$W$5)/$X$5)&gt;1.96,"ATÍPICO",ABS((C1896-$W$5)/$X$5)&lt;=1.96,"NO ATÍPICO")</f>
        <v>NO ATÍPICO</v>
      </c>
      <c r="K1896" t="str" cm="1">
        <f t="array" ref="K1896">_xlfn.IFS(ISBLANK(I1896),"FALTANTE",ABS((I1896-$W$8)/$X$8)&gt;1.92,"ATÍPICO",ABS((I1896-$W$8)/$X$8)&lt;=1.92,"NO ATÍPICO")</f>
        <v>NO ATÍPICO</v>
      </c>
      <c r="L1896">
        <f t="shared" si="132"/>
        <v>1188000</v>
      </c>
      <c r="M1896" t="str">
        <f t="shared" si="132"/>
        <v>ASALARIADO</v>
      </c>
      <c r="N1896">
        <f t="shared" si="133"/>
        <v>27</v>
      </c>
      <c r="O1896" s="19" t="str">
        <f t="shared" si="134"/>
        <v>900k–1200k</v>
      </c>
      <c r="P1896" s="19" t="str">
        <f t="shared" si="135"/>
        <v>26-35</v>
      </c>
    </row>
    <row r="1897" spans="1:16" x14ac:dyDescent="0.25">
      <c r="A1897">
        <v>1896</v>
      </c>
      <c r="B1897" t="s">
        <v>15</v>
      </c>
      <c r="C1897">
        <v>4442960.54</v>
      </c>
      <c r="D1897" t="s">
        <v>10</v>
      </c>
      <c r="E1897" t="s">
        <v>16</v>
      </c>
      <c r="F1897" t="s">
        <v>12</v>
      </c>
      <c r="G1897" t="s">
        <v>13</v>
      </c>
      <c r="H1897" t="s">
        <v>13</v>
      </c>
      <c r="I1897">
        <v>34</v>
      </c>
      <c r="J1897" t="str" cm="1">
        <f t="array" ref="J1897">_xlfn.IFS(ISBLANK(C1897),"FALTANTE",ABS((C1897-$W$5)/$X$5)&gt;1.96,"ATÍPICO",ABS((C1897-$W$5)/$X$5)&lt;=1.96,"NO ATÍPICO")</f>
        <v>ATÍPICO</v>
      </c>
      <c r="K1897" t="str" cm="1">
        <f t="array" ref="K1897">_xlfn.IFS(ISBLANK(I1897),"FALTANTE",ABS((I1897-$W$8)/$X$8)&gt;1.92,"ATÍPICO",ABS((I1897-$W$8)/$X$8)&lt;=1.92,"NO ATÍPICO")</f>
        <v>NO ATÍPICO</v>
      </c>
      <c r="L1897">
        <f t="shared" si="132"/>
        <v>4442960.54</v>
      </c>
      <c r="M1897" t="str">
        <f t="shared" si="132"/>
        <v>ASALARIADO</v>
      </c>
      <c r="N1897">
        <f t="shared" si="133"/>
        <v>34</v>
      </c>
      <c r="O1897" s="19" t="str">
        <f t="shared" si="134"/>
        <v>1200k+</v>
      </c>
      <c r="P1897" s="19" t="str">
        <f t="shared" si="135"/>
        <v>26-35</v>
      </c>
    </row>
    <row r="1898" spans="1:16" x14ac:dyDescent="0.25">
      <c r="A1898">
        <v>1897</v>
      </c>
      <c r="B1898" t="s">
        <v>9</v>
      </c>
      <c r="C1898">
        <v>451891</v>
      </c>
      <c r="D1898" t="s">
        <v>18</v>
      </c>
      <c r="E1898" t="s">
        <v>16</v>
      </c>
      <c r="F1898" t="s">
        <v>12</v>
      </c>
      <c r="G1898" t="s">
        <v>13</v>
      </c>
      <c r="H1898" t="s">
        <v>12</v>
      </c>
      <c r="I1898">
        <v>46</v>
      </c>
      <c r="J1898" t="str" cm="1">
        <f t="array" ref="J1898">_xlfn.IFS(ISBLANK(C1898),"FALTANTE",ABS((C1898-$W$5)/$X$5)&gt;1.96,"ATÍPICO",ABS((C1898-$W$5)/$X$5)&lt;=1.96,"NO ATÍPICO")</f>
        <v>NO ATÍPICO</v>
      </c>
      <c r="K1898" t="str" cm="1">
        <f t="array" ref="K1898">_xlfn.IFS(ISBLANK(I1898),"FALTANTE",ABS((I1898-$W$8)/$X$8)&gt;1.92,"ATÍPICO",ABS((I1898-$W$8)/$X$8)&lt;=1.92,"NO ATÍPICO")</f>
        <v>NO ATÍPICO</v>
      </c>
      <c r="L1898">
        <f t="shared" si="132"/>
        <v>451891</v>
      </c>
      <c r="M1898" t="str">
        <f t="shared" si="132"/>
        <v>TRABAJADOR INDEPENDIENTE</v>
      </c>
      <c r="N1898">
        <f t="shared" si="133"/>
        <v>46</v>
      </c>
      <c r="O1898" s="19" t="str">
        <f t="shared" si="134"/>
        <v>300k–600k</v>
      </c>
      <c r="P1898" s="19" t="str">
        <f t="shared" si="135"/>
        <v>46-55</v>
      </c>
    </row>
    <row r="1899" spans="1:16" x14ac:dyDescent="0.25">
      <c r="A1899">
        <v>1898</v>
      </c>
      <c r="B1899" t="s">
        <v>15</v>
      </c>
      <c r="C1899">
        <v>1103237</v>
      </c>
      <c r="D1899" t="s">
        <v>10</v>
      </c>
      <c r="E1899" t="s">
        <v>11</v>
      </c>
      <c r="F1899" t="s">
        <v>12</v>
      </c>
      <c r="G1899" t="s">
        <v>13</v>
      </c>
      <c r="H1899" t="s">
        <v>12</v>
      </c>
      <c r="I1899">
        <v>30</v>
      </c>
      <c r="J1899" t="str" cm="1">
        <f t="array" ref="J1899">_xlfn.IFS(ISBLANK(C1899),"FALTANTE",ABS((C1899-$W$5)/$X$5)&gt;1.96,"ATÍPICO",ABS((C1899-$W$5)/$X$5)&lt;=1.96,"NO ATÍPICO")</f>
        <v>NO ATÍPICO</v>
      </c>
      <c r="K1899" t="str" cm="1">
        <f t="array" ref="K1899">_xlfn.IFS(ISBLANK(I1899),"FALTANTE",ABS((I1899-$W$8)/$X$8)&gt;1.92,"ATÍPICO",ABS((I1899-$W$8)/$X$8)&lt;=1.92,"NO ATÍPICO")</f>
        <v>NO ATÍPICO</v>
      </c>
      <c r="L1899">
        <f t="shared" si="132"/>
        <v>1103237</v>
      </c>
      <c r="M1899" t="str">
        <f t="shared" si="132"/>
        <v>ASALARIADO</v>
      </c>
      <c r="N1899">
        <f t="shared" si="133"/>
        <v>30</v>
      </c>
      <c r="O1899" s="19" t="str">
        <f t="shared" si="134"/>
        <v>900k–1200k</v>
      </c>
      <c r="P1899" s="19" t="str">
        <f t="shared" si="135"/>
        <v>26-35</v>
      </c>
    </row>
    <row r="1900" spans="1:16" x14ac:dyDescent="0.25">
      <c r="A1900">
        <v>1899</v>
      </c>
      <c r="B1900" t="s">
        <v>9</v>
      </c>
      <c r="C1900">
        <v>387468</v>
      </c>
      <c r="D1900" t="s">
        <v>10</v>
      </c>
      <c r="E1900" t="s">
        <v>11</v>
      </c>
      <c r="F1900" t="s">
        <v>12</v>
      </c>
      <c r="G1900" t="s">
        <v>13</v>
      </c>
      <c r="H1900" t="s">
        <v>13</v>
      </c>
      <c r="I1900">
        <v>32</v>
      </c>
      <c r="J1900" t="str" cm="1">
        <f t="array" ref="J1900">_xlfn.IFS(ISBLANK(C1900),"FALTANTE",ABS((C1900-$W$5)/$X$5)&gt;1.96,"ATÍPICO",ABS((C1900-$W$5)/$X$5)&lt;=1.96,"NO ATÍPICO")</f>
        <v>NO ATÍPICO</v>
      </c>
      <c r="K1900" t="str" cm="1">
        <f t="array" ref="K1900">_xlfn.IFS(ISBLANK(I1900),"FALTANTE",ABS((I1900-$W$8)/$X$8)&gt;1.92,"ATÍPICO",ABS((I1900-$W$8)/$X$8)&lt;=1.92,"NO ATÍPICO")</f>
        <v>NO ATÍPICO</v>
      </c>
      <c r="L1900">
        <f t="shared" si="132"/>
        <v>387468</v>
      </c>
      <c r="M1900" t="str">
        <f t="shared" si="132"/>
        <v>ASALARIADO</v>
      </c>
      <c r="N1900">
        <f t="shared" si="133"/>
        <v>32</v>
      </c>
      <c r="O1900" s="19" t="str">
        <f t="shared" si="134"/>
        <v>300k–600k</v>
      </c>
      <c r="P1900" s="19" t="str">
        <f t="shared" si="135"/>
        <v>26-35</v>
      </c>
    </row>
    <row r="1901" spans="1:16" x14ac:dyDescent="0.25">
      <c r="A1901">
        <v>1900</v>
      </c>
      <c r="B1901" t="s">
        <v>15</v>
      </c>
      <c r="C1901">
        <v>594092</v>
      </c>
      <c r="D1901" t="s">
        <v>18</v>
      </c>
      <c r="E1901" t="s">
        <v>16</v>
      </c>
      <c r="F1901" t="s">
        <v>12</v>
      </c>
      <c r="G1901" t="s">
        <v>13</v>
      </c>
      <c r="H1901" t="s">
        <v>13</v>
      </c>
      <c r="I1901">
        <v>57</v>
      </c>
      <c r="J1901" t="str" cm="1">
        <f t="array" ref="J1901">_xlfn.IFS(ISBLANK(C1901),"FALTANTE",ABS((C1901-$W$5)/$X$5)&gt;1.96,"ATÍPICO",ABS((C1901-$W$5)/$X$5)&lt;=1.96,"NO ATÍPICO")</f>
        <v>NO ATÍPICO</v>
      </c>
      <c r="K1901" t="str" cm="1">
        <f t="array" ref="K1901">_xlfn.IFS(ISBLANK(I1901),"FALTANTE",ABS((I1901-$W$8)/$X$8)&gt;1.92,"ATÍPICO",ABS((I1901-$W$8)/$X$8)&lt;=1.92,"NO ATÍPICO")</f>
        <v>NO ATÍPICO</v>
      </c>
      <c r="L1901">
        <f t="shared" si="132"/>
        <v>594092</v>
      </c>
      <c r="M1901" t="str">
        <f t="shared" si="132"/>
        <v>TRABAJADOR INDEPENDIENTE</v>
      </c>
      <c r="N1901">
        <f t="shared" si="133"/>
        <v>57</v>
      </c>
      <c r="O1901" s="19" t="str">
        <f t="shared" si="134"/>
        <v>300k–600k</v>
      </c>
      <c r="P1901" s="19" t="str">
        <f t="shared" si="135"/>
        <v>56+</v>
      </c>
    </row>
    <row r="1902" spans="1:16" x14ac:dyDescent="0.25">
      <c r="A1902">
        <v>1901</v>
      </c>
      <c r="B1902" t="s">
        <v>15</v>
      </c>
      <c r="C1902">
        <v>299647</v>
      </c>
      <c r="D1902" t="s">
        <v>17</v>
      </c>
      <c r="E1902" t="s">
        <v>16</v>
      </c>
      <c r="F1902" t="s">
        <v>12</v>
      </c>
      <c r="G1902" t="s">
        <v>13</v>
      </c>
      <c r="H1902" t="s">
        <v>13</v>
      </c>
      <c r="I1902">
        <v>78</v>
      </c>
      <c r="J1902" t="str" cm="1">
        <f t="array" ref="J1902">_xlfn.IFS(ISBLANK(C1902),"FALTANTE",ABS((C1902-$W$5)/$X$5)&gt;1.96,"ATÍPICO",ABS((C1902-$W$5)/$X$5)&lt;=1.96,"NO ATÍPICO")</f>
        <v>NO ATÍPICO</v>
      </c>
      <c r="K1902" t="str" cm="1">
        <f t="array" ref="K1902">_xlfn.IFS(ISBLANK(I1902),"FALTANTE",ABS((I1902-$W$8)/$X$8)&gt;1.92,"ATÍPICO",ABS((I1902-$W$8)/$X$8)&lt;=1.92,"NO ATÍPICO")</f>
        <v>ATÍPICO</v>
      </c>
      <c r="L1902">
        <f t="shared" si="132"/>
        <v>299647</v>
      </c>
      <c r="M1902" t="str">
        <f t="shared" si="132"/>
        <v>ASEGURADO VOLUNTARIO</v>
      </c>
      <c r="N1902">
        <f t="shared" si="133"/>
        <v>78</v>
      </c>
      <c r="O1902" s="19" t="str">
        <f t="shared" si="134"/>
        <v>0–300k</v>
      </c>
      <c r="P1902" s="19" t="str">
        <f t="shared" si="135"/>
        <v>56+</v>
      </c>
    </row>
    <row r="1903" spans="1:16" x14ac:dyDescent="0.25">
      <c r="A1903">
        <v>1902</v>
      </c>
      <c r="B1903" t="s">
        <v>9</v>
      </c>
      <c r="C1903">
        <v>340566</v>
      </c>
      <c r="D1903" t="s">
        <v>18</v>
      </c>
      <c r="E1903" t="s">
        <v>16</v>
      </c>
      <c r="F1903" t="s">
        <v>12</v>
      </c>
      <c r="G1903" t="s">
        <v>12</v>
      </c>
      <c r="H1903" t="s">
        <v>13</v>
      </c>
      <c r="I1903">
        <v>32</v>
      </c>
      <c r="J1903" t="str" cm="1">
        <f t="array" ref="J1903">_xlfn.IFS(ISBLANK(C1903),"FALTANTE",ABS((C1903-$W$5)/$X$5)&gt;1.96,"ATÍPICO",ABS((C1903-$W$5)/$X$5)&lt;=1.96,"NO ATÍPICO")</f>
        <v>NO ATÍPICO</v>
      </c>
      <c r="K1903" t="str" cm="1">
        <f t="array" ref="K1903">_xlfn.IFS(ISBLANK(I1903),"FALTANTE",ABS((I1903-$W$8)/$X$8)&gt;1.92,"ATÍPICO",ABS((I1903-$W$8)/$X$8)&lt;=1.92,"NO ATÍPICO")</f>
        <v>NO ATÍPICO</v>
      </c>
      <c r="L1903">
        <f t="shared" si="132"/>
        <v>340566</v>
      </c>
      <c r="M1903" t="str">
        <f t="shared" si="132"/>
        <v>TRABAJADOR INDEPENDIENTE</v>
      </c>
      <c r="N1903">
        <f t="shared" si="133"/>
        <v>32</v>
      </c>
      <c r="O1903" s="19" t="str">
        <f t="shared" si="134"/>
        <v>300k–600k</v>
      </c>
      <c r="P1903" s="19" t="str">
        <f t="shared" si="135"/>
        <v>26-35</v>
      </c>
    </row>
    <row r="1904" spans="1:16" x14ac:dyDescent="0.25">
      <c r="A1904">
        <v>1903</v>
      </c>
      <c r="B1904" t="s">
        <v>9</v>
      </c>
      <c r="C1904">
        <v>539000</v>
      </c>
      <c r="D1904" t="s">
        <v>10</v>
      </c>
      <c r="E1904" t="s">
        <v>16</v>
      </c>
      <c r="F1904" t="s">
        <v>12</v>
      </c>
      <c r="G1904" t="s">
        <v>12</v>
      </c>
      <c r="H1904" t="s">
        <v>13</v>
      </c>
      <c r="I1904">
        <v>36</v>
      </c>
      <c r="J1904" t="str" cm="1">
        <f t="array" ref="J1904">_xlfn.IFS(ISBLANK(C1904),"FALTANTE",ABS((C1904-$W$5)/$X$5)&gt;1.96,"ATÍPICO",ABS((C1904-$W$5)/$X$5)&lt;=1.96,"NO ATÍPICO")</f>
        <v>NO ATÍPICO</v>
      </c>
      <c r="K1904" t="str" cm="1">
        <f t="array" ref="K1904">_xlfn.IFS(ISBLANK(I1904),"FALTANTE",ABS((I1904-$W$8)/$X$8)&gt;1.92,"ATÍPICO",ABS((I1904-$W$8)/$X$8)&lt;=1.92,"NO ATÍPICO")</f>
        <v>NO ATÍPICO</v>
      </c>
      <c r="L1904">
        <f t="shared" si="132"/>
        <v>539000</v>
      </c>
      <c r="M1904" t="str">
        <f t="shared" si="132"/>
        <v>ASALARIADO</v>
      </c>
      <c r="N1904">
        <f t="shared" si="133"/>
        <v>36</v>
      </c>
      <c r="O1904" s="19" t="str">
        <f t="shared" si="134"/>
        <v>300k–600k</v>
      </c>
      <c r="P1904" s="19" t="str">
        <f t="shared" si="135"/>
        <v>36-45</v>
      </c>
    </row>
    <row r="1905" spans="1:16" x14ac:dyDescent="0.25">
      <c r="A1905">
        <v>1904</v>
      </c>
      <c r="B1905" t="s">
        <v>15</v>
      </c>
      <c r="C1905">
        <v>298155</v>
      </c>
      <c r="D1905" t="s">
        <v>17</v>
      </c>
      <c r="E1905" t="s">
        <v>16</v>
      </c>
      <c r="F1905" t="s">
        <v>12</v>
      </c>
      <c r="G1905" t="s">
        <v>13</v>
      </c>
      <c r="H1905" t="s">
        <v>12</v>
      </c>
      <c r="I1905">
        <v>54</v>
      </c>
      <c r="J1905" t="str" cm="1">
        <f t="array" ref="J1905">_xlfn.IFS(ISBLANK(C1905),"FALTANTE",ABS((C1905-$W$5)/$X$5)&gt;1.96,"ATÍPICO",ABS((C1905-$W$5)/$X$5)&lt;=1.96,"NO ATÍPICO")</f>
        <v>NO ATÍPICO</v>
      </c>
      <c r="K1905" t="str" cm="1">
        <f t="array" ref="K1905">_xlfn.IFS(ISBLANK(I1905),"FALTANTE",ABS((I1905-$W$8)/$X$8)&gt;1.92,"ATÍPICO",ABS((I1905-$W$8)/$X$8)&lt;=1.92,"NO ATÍPICO")</f>
        <v>NO ATÍPICO</v>
      </c>
      <c r="L1905">
        <f t="shared" si="132"/>
        <v>298155</v>
      </c>
      <c r="M1905" t="str">
        <f t="shared" si="132"/>
        <v>ASEGURADO VOLUNTARIO</v>
      </c>
      <c r="N1905">
        <f t="shared" si="133"/>
        <v>54</v>
      </c>
      <c r="O1905" s="19" t="str">
        <f t="shared" si="134"/>
        <v>0–300k</v>
      </c>
      <c r="P1905" s="19" t="str">
        <f t="shared" si="135"/>
        <v>46-55</v>
      </c>
    </row>
    <row r="1906" spans="1:16" x14ac:dyDescent="0.25">
      <c r="A1906">
        <v>1905</v>
      </c>
      <c r="B1906" t="s">
        <v>9</v>
      </c>
      <c r="C1906">
        <v>278030</v>
      </c>
      <c r="D1906" t="s">
        <v>19</v>
      </c>
      <c r="E1906" t="s">
        <v>16</v>
      </c>
      <c r="F1906" t="s">
        <v>12</v>
      </c>
      <c r="G1906" t="s">
        <v>12</v>
      </c>
      <c r="H1906" t="s">
        <v>13</v>
      </c>
      <c r="I1906">
        <v>54</v>
      </c>
      <c r="J1906" t="str" cm="1">
        <f t="array" ref="J1906">_xlfn.IFS(ISBLANK(C1906),"FALTANTE",ABS((C1906-$W$5)/$X$5)&gt;1.96,"ATÍPICO",ABS((C1906-$W$5)/$X$5)&lt;=1.96,"NO ATÍPICO")</f>
        <v>NO ATÍPICO</v>
      </c>
      <c r="K1906" t="str" cm="1">
        <f t="array" ref="K1906">_xlfn.IFS(ISBLANK(I1906),"FALTANTE",ABS((I1906-$W$8)/$X$8)&gt;1.92,"ATÍPICO",ABS((I1906-$W$8)/$X$8)&lt;=1.92,"NO ATÍPICO")</f>
        <v>NO ATÍPICO</v>
      </c>
      <c r="L1906">
        <f t="shared" si="132"/>
        <v>278030</v>
      </c>
      <c r="M1906" t="str">
        <f t="shared" si="132"/>
        <v>CONVENIOS ESPECIALES DE TRABAJADORES INDEPENDIENTES</v>
      </c>
      <c r="N1906">
        <f t="shared" si="133"/>
        <v>54</v>
      </c>
      <c r="O1906" s="19" t="str">
        <f t="shared" si="134"/>
        <v>0–300k</v>
      </c>
      <c r="P1906" s="19" t="str">
        <f t="shared" si="135"/>
        <v>46-55</v>
      </c>
    </row>
    <row r="1907" spans="1:16" x14ac:dyDescent="0.25">
      <c r="A1907">
        <v>1906</v>
      </c>
      <c r="B1907" t="s">
        <v>15</v>
      </c>
      <c r="C1907">
        <v>653122.46</v>
      </c>
      <c r="D1907" t="s">
        <v>10</v>
      </c>
      <c r="E1907" t="s">
        <v>16</v>
      </c>
      <c r="F1907" t="s">
        <v>12</v>
      </c>
      <c r="G1907" t="s">
        <v>13</v>
      </c>
      <c r="H1907" t="s">
        <v>13</v>
      </c>
      <c r="I1907">
        <v>29</v>
      </c>
      <c r="J1907" t="str" cm="1">
        <f t="array" ref="J1907">_xlfn.IFS(ISBLANK(C1907),"FALTANTE",ABS((C1907-$W$5)/$X$5)&gt;1.96,"ATÍPICO",ABS((C1907-$W$5)/$X$5)&lt;=1.96,"NO ATÍPICO")</f>
        <v>NO ATÍPICO</v>
      </c>
      <c r="K1907" t="str" cm="1">
        <f t="array" ref="K1907">_xlfn.IFS(ISBLANK(I1907),"FALTANTE",ABS((I1907-$W$8)/$X$8)&gt;1.92,"ATÍPICO",ABS((I1907-$W$8)/$X$8)&lt;=1.92,"NO ATÍPICO")</f>
        <v>NO ATÍPICO</v>
      </c>
      <c r="L1907">
        <f t="shared" si="132"/>
        <v>653122.46</v>
      </c>
      <c r="M1907" t="str">
        <f t="shared" si="132"/>
        <v>ASALARIADO</v>
      </c>
      <c r="N1907">
        <f t="shared" si="133"/>
        <v>29</v>
      </c>
      <c r="O1907" s="19" t="str">
        <f t="shared" si="134"/>
        <v>600k–900k</v>
      </c>
      <c r="P1907" s="19" t="str">
        <f t="shared" si="135"/>
        <v>26-35</v>
      </c>
    </row>
    <row r="1908" spans="1:16" x14ac:dyDescent="0.25">
      <c r="A1908">
        <v>1907</v>
      </c>
      <c r="B1908" t="s">
        <v>15</v>
      </c>
      <c r="C1908">
        <v>899559</v>
      </c>
      <c r="D1908" t="s">
        <v>10</v>
      </c>
      <c r="E1908" t="s">
        <v>11</v>
      </c>
      <c r="F1908" t="s">
        <v>12</v>
      </c>
      <c r="G1908" t="s">
        <v>13</v>
      </c>
      <c r="H1908" t="s">
        <v>13</v>
      </c>
      <c r="I1908">
        <v>51</v>
      </c>
      <c r="J1908" t="str" cm="1">
        <f t="array" ref="J1908">_xlfn.IFS(ISBLANK(C1908),"FALTANTE",ABS((C1908-$W$5)/$X$5)&gt;1.96,"ATÍPICO",ABS((C1908-$W$5)/$X$5)&lt;=1.96,"NO ATÍPICO")</f>
        <v>NO ATÍPICO</v>
      </c>
      <c r="K1908" t="str" cm="1">
        <f t="array" ref="K1908">_xlfn.IFS(ISBLANK(I1908),"FALTANTE",ABS((I1908-$W$8)/$X$8)&gt;1.92,"ATÍPICO",ABS((I1908-$W$8)/$X$8)&lt;=1.92,"NO ATÍPICO")</f>
        <v>NO ATÍPICO</v>
      </c>
      <c r="L1908">
        <f t="shared" si="132"/>
        <v>899559</v>
      </c>
      <c r="M1908" t="str">
        <f t="shared" si="132"/>
        <v>ASALARIADO</v>
      </c>
      <c r="N1908">
        <f t="shared" si="133"/>
        <v>51</v>
      </c>
      <c r="O1908" s="19" t="str">
        <f t="shared" si="134"/>
        <v>600k–900k</v>
      </c>
      <c r="P1908" s="19" t="str">
        <f t="shared" si="135"/>
        <v>46-55</v>
      </c>
    </row>
    <row r="1909" spans="1:16" x14ac:dyDescent="0.25">
      <c r="A1909">
        <v>1908</v>
      </c>
      <c r="B1909" t="s">
        <v>9</v>
      </c>
      <c r="C1909">
        <v>374003.1</v>
      </c>
      <c r="D1909" t="s">
        <v>10</v>
      </c>
      <c r="E1909" t="s">
        <v>16</v>
      </c>
      <c r="F1909" t="s">
        <v>12</v>
      </c>
      <c r="G1909" t="s">
        <v>13</v>
      </c>
      <c r="H1909" t="s">
        <v>13</v>
      </c>
      <c r="I1909">
        <v>38</v>
      </c>
      <c r="J1909" t="str" cm="1">
        <f t="array" ref="J1909">_xlfn.IFS(ISBLANK(C1909),"FALTANTE",ABS((C1909-$W$5)/$X$5)&gt;1.96,"ATÍPICO",ABS((C1909-$W$5)/$X$5)&lt;=1.96,"NO ATÍPICO")</f>
        <v>NO ATÍPICO</v>
      </c>
      <c r="K1909" t="str" cm="1">
        <f t="array" ref="K1909">_xlfn.IFS(ISBLANK(I1909),"FALTANTE",ABS((I1909-$W$8)/$X$8)&gt;1.92,"ATÍPICO",ABS((I1909-$W$8)/$X$8)&lt;=1.92,"NO ATÍPICO")</f>
        <v>NO ATÍPICO</v>
      </c>
      <c r="L1909">
        <f t="shared" si="132"/>
        <v>374003.1</v>
      </c>
      <c r="M1909" t="str">
        <f t="shared" si="132"/>
        <v>ASALARIADO</v>
      </c>
      <c r="N1909">
        <f t="shared" si="133"/>
        <v>38</v>
      </c>
      <c r="O1909" s="19" t="str">
        <f t="shared" si="134"/>
        <v>300k–600k</v>
      </c>
      <c r="P1909" s="19" t="str">
        <f t="shared" si="135"/>
        <v>36-45</v>
      </c>
    </row>
    <row r="1910" spans="1:16" x14ac:dyDescent="0.25">
      <c r="A1910">
        <v>1909</v>
      </c>
      <c r="B1910" t="s">
        <v>9</v>
      </c>
      <c r="C1910">
        <v>297046</v>
      </c>
      <c r="D1910" t="s">
        <v>17</v>
      </c>
      <c r="E1910" t="s">
        <v>16</v>
      </c>
      <c r="F1910" t="s">
        <v>12</v>
      </c>
      <c r="G1910" t="s">
        <v>13</v>
      </c>
      <c r="H1910" t="s">
        <v>13</v>
      </c>
      <c r="I1910">
        <v>67</v>
      </c>
      <c r="J1910" t="str" cm="1">
        <f t="array" ref="J1910">_xlfn.IFS(ISBLANK(C1910),"FALTANTE",ABS((C1910-$W$5)/$X$5)&gt;1.96,"ATÍPICO",ABS((C1910-$W$5)/$X$5)&lt;=1.96,"NO ATÍPICO")</f>
        <v>NO ATÍPICO</v>
      </c>
      <c r="K1910" t="str" cm="1">
        <f t="array" ref="K1910">_xlfn.IFS(ISBLANK(I1910),"FALTANTE",ABS((I1910-$W$8)/$X$8)&gt;1.92,"ATÍPICO",ABS((I1910-$W$8)/$X$8)&lt;=1.92,"NO ATÍPICO")</f>
        <v>NO ATÍPICO</v>
      </c>
      <c r="L1910">
        <f t="shared" si="132"/>
        <v>297046</v>
      </c>
      <c r="M1910" t="str">
        <f t="shared" si="132"/>
        <v>ASEGURADO VOLUNTARIO</v>
      </c>
      <c r="N1910">
        <f t="shared" si="133"/>
        <v>67</v>
      </c>
      <c r="O1910" s="19" t="str">
        <f t="shared" si="134"/>
        <v>0–300k</v>
      </c>
      <c r="P1910" s="19" t="str">
        <f t="shared" si="135"/>
        <v>56+</v>
      </c>
    </row>
    <row r="1911" spans="1:16" x14ac:dyDescent="0.25">
      <c r="A1911">
        <v>1910</v>
      </c>
      <c r="B1911" t="s">
        <v>15</v>
      </c>
      <c r="C1911">
        <v>1150000</v>
      </c>
      <c r="D1911" t="s">
        <v>10</v>
      </c>
      <c r="E1911" t="s">
        <v>16</v>
      </c>
      <c r="F1911" t="s">
        <v>12</v>
      </c>
      <c r="G1911" t="s">
        <v>13</v>
      </c>
      <c r="H1911" t="s">
        <v>13</v>
      </c>
      <c r="I1911">
        <v>32</v>
      </c>
      <c r="J1911" t="str" cm="1">
        <f t="array" ref="J1911">_xlfn.IFS(ISBLANK(C1911),"FALTANTE",ABS((C1911-$W$5)/$X$5)&gt;1.96,"ATÍPICO",ABS((C1911-$W$5)/$X$5)&lt;=1.96,"NO ATÍPICO")</f>
        <v>NO ATÍPICO</v>
      </c>
      <c r="K1911" t="str" cm="1">
        <f t="array" ref="K1911">_xlfn.IFS(ISBLANK(I1911),"FALTANTE",ABS((I1911-$W$8)/$X$8)&gt;1.92,"ATÍPICO",ABS((I1911-$W$8)/$X$8)&lt;=1.92,"NO ATÍPICO")</f>
        <v>NO ATÍPICO</v>
      </c>
      <c r="L1911">
        <f t="shared" si="132"/>
        <v>1150000</v>
      </c>
      <c r="M1911" t="str">
        <f t="shared" si="132"/>
        <v>ASALARIADO</v>
      </c>
      <c r="N1911">
        <f t="shared" si="133"/>
        <v>32</v>
      </c>
      <c r="O1911" s="19" t="str">
        <f t="shared" si="134"/>
        <v>900k–1200k</v>
      </c>
      <c r="P1911" s="19" t="str">
        <f t="shared" si="135"/>
        <v>26-35</v>
      </c>
    </row>
    <row r="1912" spans="1:16" x14ac:dyDescent="0.25">
      <c r="A1912">
        <v>1911</v>
      </c>
      <c r="B1912" t="s">
        <v>9</v>
      </c>
      <c r="C1912">
        <v>51833.33</v>
      </c>
      <c r="D1912" t="s">
        <v>10</v>
      </c>
      <c r="E1912" t="s">
        <v>16</v>
      </c>
      <c r="F1912" t="s">
        <v>12</v>
      </c>
      <c r="G1912" t="s">
        <v>13</v>
      </c>
      <c r="H1912" t="s">
        <v>13</v>
      </c>
      <c r="I1912">
        <v>37</v>
      </c>
      <c r="J1912" t="str" cm="1">
        <f t="array" ref="J1912">_xlfn.IFS(ISBLANK(C1912),"FALTANTE",ABS((C1912-$W$5)/$X$5)&gt;1.96,"ATÍPICO",ABS((C1912-$W$5)/$X$5)&lt;=1.96,"NO ATÍPICO")</f>
        <v>NO ATÍPICO</v>
      </c>
      <c r="K1912" t="str" cm="1">
        <f t="array" ref="K1912">_xlfn.IFS(ISBLANK(I1912),"FALTANTE",ABS((I1912-$W$8)/$X$8)&gt;1.92,"ATÍPICO",ABS((I1912-$W$8)/$X$8)&lt;=1.92,"NO ATÍPICO")</f>
        <v>NO ATÍPICO</v>
      </c>
      <c r="L1912">
        <f t="shared" si="132"/>
        <v>51833.33</v>
      </c>
      <c r="M1912" t="str">
        <f t="shared" si="132"/>
        <v>ASALARIADO</v>
      </c>
      <c r="N1912">
        <f t="shared" si="133"/>
        <v>37</v>
      </c>
      <c r="O1912" s="19" t="str">
        <f t="shared" si="134"/>
        <v>0–300k</v>
      </c>
      <c r="P1912" s="19" t="str">
        <f t="shared" si="135"/>
        <v>36-45</v>
      </c>
    </row>
    <row r="1913" spans="1:16" x14ac:dyDescent="0.25">
      <c r="A1913">
        <v>1912</v>
      </c>
      <c r="B1913" t="s">
        <v>9</v>
      </c>
      <c r="C1913">
        <v>225024.95</v>
      </c>
      <c r="D1913" t="s">
        <v>10</v>
      </c>
      <c r="E1913" t="s">
        <v>16</v>
      </c>
      <c r="F1913" t="s">
        <v>12</v>
      </c>
      <c r="G1913" t="s">
        <v>13</v>
      </c>
      <c r="H1913" t="s">
        <v>13</v>
      </c>
      <c r="I1913">
        <v>19</v>
      </c>
      <c r="J1913" t="str" cm="1">
        <f t="array" ref="J1913">_xlfn.IFS(ISBLANK(C1913),"FALTANTE",ABS((C1913-$W$5)/$X$5)&gt;1.96,"ATÍPICO",ABS((C1913-$W$5)/$X$5)&lt;=1.96,"NO ATÍPICO")</f>
        <v>NO ATÍPICO</v>
      </c>
      <c r="K1913" t="str" cm="1">
        <f t="array" ref="K1913">_xlfn.IFS(ISBLANK(I1913),"FALTANTE",ABS((I1913-$W$8)/$X$8)&gt;1.92,"ATÍPICO",ABS((I1913-$W$8)/$X$8)&lt;=1.92,"NO ATÍPICO")</f>
        <v>NO ATÍPICO</v>
      </c>
      <c r="L1913">
        <f t="shared" si="132"/>
        <v>225024.95</v>
      </c>
      <c r="M1913" t="str">
        <f t="shared" si="132"/>
        <v>ASALARIADO</v>
      </c>
      <c r="N1913">
        <f t="shared" si="133"/>
        <v>19</v>
      </c>
      <c r="O1913" s="19" t="str">
        <f t="shared" si="134"/>
        <v>0–300k</v>
      </c>
      <c r="P1913" s="19" t="str">
        <f t="shared" si="135"/>
        <v>18-25</v>
      </c>
    </row>
    <row r="1914" spans="1:16" x14ac:dyDescent="0.25">
      <c r="A1914">
        <v>1913</v>
      </c>
      <c r="B1914" t="s">
        <v>9</v>
      </c>
      <c r="C1914">
        <v>704330</v>
      </c>
      <c r="D1914" t="s">
        <v>10</v>
      </c>
      <c r="E1914" t="s">
        <v>11</v>
      </c>
      <c r="F1914" t="s">
        <v>12</v>
      </c>
      <c r="G1914" t="s">
        <v>13</v>
      </c>
      <c r="H1914" t="s">
        <v>13</v>
      </c>
      <c r="I1914">
        <v>32</v>
      </c>
      <c r="J1914" t="str" cm="1">
        <f t="array" ref="J1914">_xlfn.IFS(ISBLANK(C1914),"FALTANTE",ABS((C1914-$W$5)/$X$5)&gt;1.96,"ATÍPICO",ABS((C1914-$W$5)/$X$5)&lt;=1.96,"NO ATÍPICO")</f>
        <v>NO ATÍPICO</v>
      </c>
      <c r="K1914" t="str" cm="1">
        <f t="array" ref="K1914">_xlfn.IFS(ISBLANK(I1914),"FALTANTE",ABS((I1914-$W$8)/$X$8)&gt;1.92,"ATÍPICO",ABS((I1914-$W$8)/$X$8)&lt;=1.92,"NO ATÍPICO")</f>
        <v>NO ATÍPICO</v>
      </c>
      <c r="L1914">
        <f t="shared" si="132"/>
        <v>704330</v>
      </c>
      <c r="M1914" t="str">
        <f t="shared" si="132"/>
        <v>ASALARIADO</v>
      </c>
      <c r="N1914">
        <f t="shared" si="133"/>
        <v>32</v>
      </c>
      <c r="O1914" s="19" t="str">
        <f t="shared" si="134"/>
        <v>600k–900k</v>
      </c>
      <c r="P1914" s="19" t="str">
        <f t="shared" si="135"/>
        <v>26-35</v>
      </c>
    </row>
    <row r="1915" spans="1:16" x14ac:dyDescent="0.25">
      <c r="A1915">
        <v>1914</v>
      </c>
      <c r="B1915" t="s">
        <v>15</v>
      </c>
      <c r="C1915">
        <v>277520</v>
      </c>
      <c r="D1915" t="s">
        <v>10</v>
      </c>
      <c r="E1915" t="s">
        <v>16</v>
      </c>
      <c r="F1915" t="s">
        <v>12</v>
      </c>
      <c r="G1915" t="s">
        <v>12</v>
      </c>
      <c r="H1915" t="s">
        <v>13</v>
      </c>
      <c r="I1915">
        <v>46</v>
      </c>
      <c r="J1915" t="str" cm="1">
        <f t="array" ref="J1915">_xlfn.IFS(ISBLANK(C1915),"FALTANTE",ABS((C1915-$W$5)/$X$5)&gt;1.96,"ATÍPICO",ABS((C1915-$W$5)/$X$5)&lt;=1.96,"NO ATÍPICO")</f>
        <v>NO ATÍPICO</v>
      </c>
      <c r="K1915" t="str" cm="1">
        <f t="array" ref="K1915">_xlfn.IFS(ISBLANK(I1915),"FALTANTE",ABS((I1915-$W$8)/$X$8)&gt;1.92,"ATÍPICO",ABS((I1915-$W$8)/$X$8)&lt;=1.92,"NO ATÍPICO")</f>
        <v>NO ATÍPICO</v>
      </c>
      <c r="L1915">
        <f t="shared" si="132"/>
        <v>277520</v>
      </c>
      <c r="M1915" t="str">
        <f t="shared" si="132"/>
        <v>ASALARIADO</v>
      </c>
      <c r="N1915">
        <f t="shared" si="133"/>
        <v>46</v>
      </c>
      <c r="O1915" s="19" t="str">
        <f t="shared" si="134"/>
        <v>0–300k</v>
      </c>
      <c r="P1915" s="19" t="str">
        <f t="shared" si="135"/>
        <v>46-55</v>
      </c>
    </row>
    <row r="1916" spans="1:16" x14ac:dyDescent="0.25">
      <c r="A1916">
        <v>1915</v>
      </c>
      <c r="B1916" t="s">
        <v>15</v>
      </c>
      <c r="C1916">
        <v>1610392</v>
      </c>
      <c r="D1916" t="s">
        <v>10</v>
      </c>
      <c r="E1916" t="s">
        <v>11</v>
      </c>
      <c r="F1916" t="s">
        <v>12</v>
      </c>
      <c r="G1916" t="s">
        <v>13</v>
      </c>
      <c r="H1916" t="s">
        <v>13</v>
      </c>
      <c r="I1916">
        <v>46</v>
      </c>
      <c r="J1916" t="str" cm="1">
        <f t="array" ref="J1916">_xlfn.IFS(ISBLANK(C1916),"FALTANTE",ABS((C1916-$W$5)/$X$5)&gt;1.96,"ATÍPICO",ABS((C1916-$W$5)/$X$5)&lt;=1.96,"NO ATÍPICO")</f>
        <v>NO ATÍPICO</v>
      </c>
      <c r="K1916" t="str" cm="1">
        <f t="array" ref="K1916">_xlfn.IFS(ISBLANK(I1916),"FALTANTE",ABS((I1916-$W$8)/$X$8)&gt;1.92,"ATÍPICO",ABS((I1916-$W$8)/$X$8)&lt;=1.92,"NO ATÍPICO")</f>
        <v>NO ATÍPICO</v>
      </c>
      <c r="L1916">
        <f t="shared" si="132"/>
        <v>1610392</v>
      </c>
      <c r="M1916" t="str">
        <f t="shared" si="132"/>
        <v>ASALARIADO</v>
      </c>
      <c r="N1916">
        <f t="shared" si="133"/>
        <v>46</v>
      </c>
      <c r="O1916" s="19" t="str">
        <f t="shared" si="134"/>
        <v>1200k+</v>
      </c>
      <c r="P1916" s="19" t="str">
        <f t="shared" si="135"/>
        <v>46-55</v>
      </c>
    </row>
    <row r="1917" spans="1:16" x14ac:dyDescent="0.25">
      <c r="A1917">
        <v>1916</v>
      </c>
      <c r="B1917" t="s">
        <v>15</v>
      </c>
      <c r="C1917">
        <v>280000</v>
      </c>
      <c r="D1917" t="s">
        <v>10</v>
      </c>
      <c r="E1917" t="s">
        <v>16</v>
      </c>
      <c r="F1917" t="s">
        <v>12</v>
      </c>
      <c r="G1917" t="s">
        <v>13</v>
      </c>
      <c r="H1917" t="s">
        <v>13</v>
      </c>
      <c r="I1917">
        <v>38</v>
      </c>
      <c r="J1917" t="str" cm="1">
        <f t="array" ref="J1917">_xlfn.IFS(ISBLANK(C1917),"FALTANTE",ABS((C1917-$W$5)/$X$5)&gt;1.96,"ATÍPICO",ABS((C1917-$W$5)/$X$5)&lt;=1.96,"NO ATÍPICO")</f>
        <v>NO ATÍPICO</v>
      </c>
      <c r="K1917" t="str" cm="1">
        <f t="array" ref="K1917">_xlfn.IFS(ISBLANK(I1917),"FALTANTE",ABS((I1917-$W$8)/$X$8)&gt;1.92,"ATÍPICO",ABS((I1917-$W$8)/$X$8)&lt;=1.92,"NO ATÍPICO")</f>
        <v>NO ATÍPICO</v>
      </c>
      <c r="L1917">
        <f t="shared" si="132"/>
        <v>280000</v>
      </c>
      <c r="M1917" t="str">
        <f t="shared" si="132"/>
        <v>ASALARIADO</v>
      </c>
      <c r="N1917">
        <f t="shared" si="133"/>
        <v>38</v>
      </c>
      <c r="O1917" s="19" t="str">
        <f t="shared" si="134"/>
        <v>0–300k</v>
      </c>
      <c r="P1917" s="19" t="str">
        <f t="shared" si="135"/>
        <v>36-45</v>
      </c>
    </row>
    <row r="1918" spans="1:16" x14ac:dyDescent="0.25">
      <c r="A1918">
        <v>1917</v>
      </c>
      <c r="B1918" t="s">
        <v>9</v>
      </c>
      <c r="C1918">
        <v>322500</v>
      </c>
      <c r="D1918" t="s">
        <v>10</v>
      </c>
      <c r="E1918" t="s">
        <v>16</v>
      </c>
      <c r="F1918" t="s">
        <v>12</v>
      </c>
      <c r="G1918" t="s">
        <v>13</v>
      </c>
      <c r="H1918" t="s">
        <v>12</v>
      </c>
      <c r="I1918">
        <v>46</v>
      </c>
      <c r="J1918" t="str" cm="1">
        <f t="array" ref="J1918">_xlfn.IFS(ISBLANK(C1918),"FALTANTE",ABS((C1918-$W$5)/$X$5)&gt;1.96,"ATÍPICO",ABS((C1918-$W$5)/$X$5)&lt;=1.96,"NO ATÍPICO")</f>
        <v>NO ATÍPICO</v>
      </c>
      <c r="K1918" t="str" cm="1">
        <f t="array" ref="K1918">_xlfn.IFS(ISBLANK(I1918),"FALTANTE",ABS((I1918-$W$8)/$X$8)&gt;1.92,"ATÍPICO",ABS((I1918-$W$8)/$X$8)&lt;=1.92,"NO ATÍPICO")</f>
        <v>NO ATÍPICO</v>
      </c>
      <c r="L1918">
        <f t="shared" si="132"/>
        <v>322500</v>
      </c>
      <c r="M1918" t="str">
        <f t="shared" si="132"/>
        <v>ASALARIADO</v>
      </c>
      <c r="N1918">
        <f t="shared" si="133"/>
        <v>46</v>
      </c>
      <c r="O1918" s="19" t="str">
        <f t="shared" si="134"/>
        <v>300k–600k</v>
      </c>
      <c r="P1918" s="19" t="str">
        <f t="shared" si="135"/>
        <v>46-55</v>
      </c>
    </row>
    <row r="1919" spans="1:16" x14ac:dyDescent="0.25">
      <c r="A1919">
        <v>1918</v>
      </c>
      <c r="B1919" t="s">
        <v>9</v>
      </c>
      <c r="C1919">
        <v>3599311.8</v>
      </c>
      <c r="D1919" t="s">
        <v>10</v>
      </c>
      <c r="E1919" t="s">
        <v>11</v>
      </c>
      <c r="F1919" t="s">
        <v>12</v>
      </c>
      <c r="G1919" t="s">
        <v>13</v>
      </c>
      <c r="H1919" t="s">
        <v>13</v>
      </c>
      <c r="I1919">
        <v>60</v>
      </c>
      <c r="J1919" t="str" cm="1">
        <f t="array" ref="J1919">_xlfn.IFS(ISBLANK(C1919),"FALTANTE",ABS((C1919-$W$5)/$X$5)&gt;1.96,"ATÍPICO",ABS((C1919-$W$5)/$X$5)&lt;=1.96,"NO ATÍPICO")</f>
        <v>ATÍPICO</v>
      </c>
      <c r="K1919" t="str" cm="1">
        <f t="array" ref="K1919">_xlfn.IFS(ISBLANK(I1919),"FALTANTE",ABS((I1919-$W$8)/$X$8)&gt;1.92,"ATÍPICO",ABS((I1919-$W$8)/$X$8)&lt;=1.92,"NO ATÍPICO")</f>
        <v>NO ATÍPICO</v>
      </c>
      <c r="L1919">
        <f t="shared" si="132"/>
        <v>3599311.8</v>
      </c>
      <c r="M1919" t="str">
        <f t="shared" si="132"/>
        <v>ASALARIADO</v>
      </c>
      <c r="N1919">
        <f t="shared" si="133"/>
        <v>60</v>
      </c>
      <c r="O1919" s="19" t="str">
        <f t="shared" si="134"/>
        <v>1200k+</v>
      </c>
      <c r="P1919" s="19" t="str">
        <f t="shared" si="135"/>
        <v>56+</v>
      </c>
    </row>
    <row r="1920" spans="1:16" x14ac:dyDescent="0.25">
      <c r="A1920">
        <v>1919</v>
      </c>
      <c r="B1920" t="s">
        <v>15</v>
      </c>
      <c r="C1920">
        <v>512557.9</v>
      </c>
      <c r="D1920" t="s">
        <v>10</v>
      </c>
      <c r="E1920" t="s">
        <v>16</v>
      </c>
      <c r="F1920" t="s">
        <v>12</v>
      </c>
      <c r="G1920" t="s">
        <v>13</v>
      </c>
      <c r="H1920" t="s">
        <v>13</v>
      </c>
      <c r="I1920">
        <v>35</v>
      </c>
      <c r="J1920" t="str" cm="1">
        <f t="array" ref="J1920">_xlfn.IFS(ISBLANK(C1920),"FALTANTE",ABS((C1920-$W$5)/$X$5)&gt;1.96,"ATÍPICO",ABS((C1920-$W$5)/$X$5)&lt;=1.96,"NO ATÍPICO")</f>
        <v>NO ATÍPICO</v>
      </c>
      <c r="K1920" t="str" cm="1">
        <f t="array" ref="K1920">_xlfn.IFS(ISBLANK(I1920),"FALTANTE",ABS((I1920-$W$8)/$X$8)&gt;1.92,"ATÍPICO",ABS((I1920-$W$8)/$X$8)&lt;=1.92,"NO ATÍPICO")</f>
        <v>NO ATÍPICO</v>
      </c>
      <c r="L1920">
        <f t="shared" si="132"/>
        <v>512557.9</v>
      </c>
      <c r="M1920" t="str">
        <f t="shared" si="132"/>
        <v>ASALARIADO</v>
      </c>
      <c r="N1920">
        <f t="shared" si="133"/>
        <v>35</v>
      </c>
      <c r="O1920" s="19" t="str">
        <f t="shared" si="134"/>
        <v>300k–600k</v>
      </c>
      <c r="P1920" s="19" t="str">
        <f t="shared" si="135"/>
        <v>26-35</v>
      </c>
    </row>
    <row r="1921" spans="1:16" x14ac:dyDescent="0.25">
      <c r="A1921">
        <v>1920</v>
      </c>
      <c r="B1921" t="s">
        <v>15</v>
      </c>
      <c r="C1921">
        <v>500000</v>
      </c>
      <c r="D1921" t="s">
        <v>10</v>
      </c>
      <c r="E1921" t="s">
        <v>16</v>
      </c>
      <c r="F1921" t="s">
        <v>12</v>
      </c>
      <c r="G1921" t="s">
        <v>13</v>
      </c>
      <c r="H1921" t="s">
        <v>13</v>
      </c>
      <c r="I1921">
        <v>57</v>
      </c>
      <c r="J1921" t="str" cm="1">
        <f t="array" ref="J1921">_xlfn.IFS(ISBLANK(C1921),"FALTANTE",ABS((C1921-$W$5)/$X$5)&gt;1.96,"ATÍPICO",ABS((C1921-$W$5)/$X$5)&lt;=1.96,"NO ATÍPICO")</f>
        <v>NO ATÍPICO</v>
      </c>
      <c r="K1921" t="str" cm="1">
        <f t="array" ref="K1921">_xlfn.IFS(ISBLANK(I1921),"FALTANTE",ABS((I1921-$W$8)/$X$8)&gt;1.92,"ATÍPICO",ABS((I1921-$W$8)/$X$8)&lt;=1.92,"NO ATÍPICO")</f>
        <v>NO ATÍPICO</v>
      </c>
      <c r="L1921">
        <f t="shared" si="132"/>
        <v>500000</v>
      </c>
      <c r="M1921" t="str">
        <f t="shared" si="132"/>
        <v>ASALARIADO</v>
      </c>
      <c r="N1921">
        <f t="shared" si="133"/>
        <v>57</v>
      </c>
      <c r="O1921" s="19" t="str">
        <f t="shared" si="134"/>
        <v>300k–600k</v>
      </c>
      <c r="P1921" s="19" t="str">
        <f t="shared" si="135"/>
        <v>56+</v>
      </c>
    </row>
    <row r="1922" spans="1:16" x14ac:dyDescent="0.25">
      <c r="A1922">
        <v>1921</v>
      </c>
      <c r="B1922" t="s">
        <v>9</v>
      </c>
      <c r="C1922">
        <v>1744445</v>
      </c>
      <c r="D1922" t="s">
        <v>10</v>
      </c>
      <c r="E1922" t="s">
        <v>11</v>
      </c>
      <c r="F1922" t="s">
        <v>12</v>
      </c>
      <c r="G1922" t="s">
        <v>13</v>
      </c>
      <c r="H1922" t="s">
        <v>13</v>
      </c>
      <c r="I1922">
        <v>40</v>
      </c>
      <c r="J1922" t="str" cm="1">
        <f t="array" ref="J1922">_xlfn.IFS(ISBLANK(C1922),"FALTANTE",ABS((C1922-$W$5)/$X$5)&gt;1.96,"ATÍPICO",ABS((C1922-$W$5)/$X$5)&lt;=1.96,"NO ATÍPICO")</f>
        <v>NO ATÍPICO</v>
      </c>
      <c r="K1922" t="str" cm="1">
        <f t="array" ref="K1922">_xlfn.IFS(ISBLANK(I1922),"FALTANTE",ABS((I1922-$W$8)/$X$8)&gt;1.92,"ATÍPICO",ABS((I1922-$W$8)/$X$8)&lt;=1.92,"NO ATÍPICO")</f>
        <v>NO ATÍPICO</v>
      </c>
      <c r="L1922">
        <f t="shared" ref="L1922:M1985" si="136">C1922</f>
        <v>1744445</v>
      </c>
      <c r="M1922" t="str">
        <f t="shared" si="136"/>
        <v>ASALARIADO</v>
      </c>
      <c r="N1922">
        <f t="shared" ref="N1922:N1985" si="137">I1922</f>
        <v>40</v>
      </c>
      <c r="O1922" s="19" t="str">
        <f t="shared" ref="O1922:O1985" si="138">IF(L1922&lt;=300000,"0–300k",IF(L1922&lt;=600000,"300k–600k",IF(L1922&lt;=900000,"600k–900k",IF(L1922&lt;=1200000,"900k–1200k","1200k+"))))</f>
        <v>1200k+</v>
      </c>
      <c r="P1922" s="19" t="str">
        <f t="shared" ref="P1922:P1985" si="139">IF(N1922 &lt;=25,"18-25", IF(N1922&lt;=35,"26-35", IF(N1922 &lt;=45,"36-45", IF(N1922&lt;=55,"46-55","56+"))))</f>
        <v>36-45</v>
      </c>
    </row>
    <row r="1923" spans="1:16" x14ac:dyDescent="0.25">
      <c r="A1923">
        <v>1922</v>
      </c>
      <c r="B1923" t="s">
        <v>15</v>
      </c>
      <c r="C1923">
        <v>357576.42</v>
      </c>
      <c r="D1923" t="s">
        <v>10</v>
      </c>
      <c r="E1923" t="s">
        <v>16</v>
      </c>
      <c r="F1923" t="s">
        <v>12</v>
      </c>
      <c r="G1923" t="s">
        <v>13</v>
      </c>
      <c r="H1923" t="s">
        <v>13</v>
      </c>
      <c r="I1923">
        <v>35</v>
      </c>
      <c r="J1923" t="str" cm="1">
        <f t="array" ref="J1923">_xlfn.IFS(ISBLANK(C1923),"FALTANTE",ABS((C1923-$W$5)/$X$5)&gt;1.96,"ATÍPICO",ABS((C1923-$W$5)/$X$5)&lt;=1.96,"NO ATÍPICO")</f>
        <v>NO ATÍPICO</v>
      </c>
      <c r="K1923" t="str" cm="1">
        <f t="array" ref="K1923">_xlfn.IFS(ISBLANK(I1923),"FALTANTE",ABS((I1923-$W$8)/$X$8)&gt;1.92,"ATÍPICO",ABS((I1923-$W$8)/$X$8)&lt;=1.92,"NO ATÍPICO")</f>
        <v>NO ATÍPICO</v>
      </c>
      <c r="L1923">
        <f t="shared" si="136"/>
        <v>357576.42</v>
      </c>
      <c r="M1923" t="str">
        <f t="shared" si="136"/>
        <v>ASALARIADO</v>
      </c>
      <c r="N1923">
        <f t="shared" si="137"/>
        <v>35</v>
      </c>
      <c r="O1923" s="19" t="str">
        <f t="shared" si="138"/>
        <v>300k–600k</v>
      </c>
      <c r="P1923" s="19" t="str">
        <f t="shared" si="139"/>
        <v>26-35</v>
      </c>
    </row>
    <row r="1924" spans="1:16" x14ac:dyDescent="0.25">
      <c r="A1924">
        <v>1923</v>
      </c>
      <c r="B1924" t="s">
        <v>9</v>
      </c>
      <c r="C1924">
        <v>2724750</v>
      </c>
      <c r="D1924" t="s">
        <v>10</v>
      </c>
      <c r="E1924" t="s">
        <v>16</v>
      </c>
      <c r="F1924" t="s">
        <v>12</v>
      </c>
      <c r="G1924" t="s">
        <v>13</v>
      </c>
      <c r="H1924" t="s">
        <v>13</v>
      </c>
      <c r="I1924">
        <v>25</v>
      </c>
      <c r="J1924" t="str" cm="1">
        <f t="array" ref="J1924">_xlfn.IFS(ISBLANK(C1924),"FALTANTE",ABS((C1924-$W$5)/$X$5)&gt;1.96,"ATÍPICO",ABS((C1924-$W$5)/$X$5)&lt;=1.96,"NO ATÍPICO")</f>
        <v>ATÍPICO</v>
      </c>
      <c r="K1924" t="str" cm="1">
        <f t="array" ref="K1924">_xlfn.IFS(ISBLANK(I1924),"FALTANTE",ABS((I1924-$W$8)/$X$8)&gt;1.92,"ATÍPICO",ABS((I1924-$W$8)/$X$8)&lt;=1.92,"NO ATÍPICO")</f>
        <v>NO ATÍPICO</v>
      </c>
      <c r="L1924">
        <f t="shared" si="136"/>
        <v>2724750</v>
      </c>
      <c r="M1924" t="str">
        <f t="shared" si="136"/>
        <v>ASALARIADO</v>
      </c>
      <c r="N1924">
        <f t="shared" si="137"/>
        <v>25</v>
      </c>
      <c r="O1924" s="19" t="str">
        <f t="shared" si="138"/>
        <v>1200k+</v>
      </c>
      <c r="P1924" s="19" t="str">
        <f t="shared" si="139"/>
        <v>18-25</v>
      </c>
    </row>
    <row r="1925" spans="1:16" x14ac:dyDescent="0.25">
      <c r="A1925">
        <v>1924</v>
      </c>
      <c r="B1925" t="s">
        <v>9</v>
      </c>
      <c r="C1925">
        <v>655672</v>
      </c>
      <c r="D1925" t="s">
        <v>17</v>
      </c>
      <c r="E1925" t="s">
        <v>16</v>
      </c>
      <c r="F1925" t="s">
        <v>12</v>
      </c>
      <c r="G1925" t="s">
        <v>13</v>
      </c>
      <c r="H1925" t="s">
        <v>13</v>
      </c>
      <c r="I1925">
        <v>58</v>
      </c>
      <c r="J1925" t="str" cm="1">
        <f t="array" ref="J1925">_xlfn.IFS(ISBLANK(C1925),"FALTANTE",ABS((C1925-$W$5)/$X$5)&gt;1.96,"ATÍPICO",ABS((C1925-$W$5)/$X$5)&lt;=1.96,"NO ATÍPICO")</f>
        <v>NO ATÍPICO</v>
      </c>
      <c r="K1925" t="str" cm="1">
        <f t="array" ref="K1925">_xlfn.IFS(ISBLANK(I1925),"FALTANTE",ABS((I1925-$W$8)/$X$8)&gt;1.92,"ATÍPICO",ABS((I1925-$W$8)/$X$8)&lt;=1.92,"NO ATÍPICO")</f>
        <v>NO ATÍPICO</v>
      </c>
      <c r="L1925">
        <f t="shared" si="136"/>
        <v>655672</v>
      </c>
      <c r="M1925" t="str">
        <f t="shared" si="136"/>
        <v>ASEGURADO VOLUNTARIO</v>
      </c>
      <c r="N1925">
        <f t="shared" si="137"/>
        <v>58</v>
      </c>
      <c r="O1925" s="19" t="str">
        <f t="shared" si="138"/>
        <v>600k–900k</v>
      </c>
      <c r="P1925" s="19" t="str">
        <f t="shared" si="139"/>
        <v>56+</v>
      </c>
    </row>
    <row r="1926" spans="1:16" x14ac:dyDescent="0.25">
      <c r="A1926">
        <v>1925</v>
      </c>
      <c r="B1926" t="s">
        <v>9</v>
      </c>
      <c r="C1926">
        <v>1257384</v>
      </c>
      <c r="D1926" t="s">
        <v>14</v>
      </c>
      <c r="E1926" t="s">
        <v>11</v>
      </c>
      <c r="F1926" t="s">
        <v>12</v>
      </c>
      <c r="G1926" t="s">
        <v>13</v>
      </c>
      <c r="H1926" t="s">
        <v>13</v>
      </c>
      <c r="I1926">
        <v>68</v>
      </c>
      <c r="J1926" t="str" cm="1">
        <f t="array" ref="J1926">_xlfn.IFS(ISBLANK(C1926),"FALTANTE",ABS((C1926-$W$5)/$X$5)&gt;1.96,"ATÍPICO",ABS((C1926-$W$5)/$X$5)&lt;=1.96,"NO ATÍPICO")</f>
        <v>NO ATÍPICO</v>
      </c>
      <c r="K1926" t="str" cm="1">
        <f t="array" ref="K1926">_xlfn.IFS(ISBLANK(I1926),"FALTANTE",ABS((I1926-$W$8)/$X$8)&gt;1.92,"ATÍPICO",ABS((I1926-$W$8)/$X$8)&lt;=1.92,"NO ATÍPICO")</f>
        <v>NO ATÍPICO</v>
      </c>
      <c r="L1926">
        <f t="shared" si="136"/>
        <v>1257384</v>
      </c>
      <c r="M1926" t="str">
        <f t="shared" si="136"/>
        <v>PENSIONADOS EN SU PROPIO SISTEMA</v>
      </c>
      <c r="N1926">
        <f t="shared" si="137"/>
        <v>68</v>
      </c>
      <c r="O1926" s="19" t="str">
        <f t="shared" si="138"/>
        <v>1200k+</v>
      </c>
      <c r="P1926" s="19" t="str">
        <f t="shared" si="139"/>
        <v>56+</v>
      </c>
    </row>
    <row r="1927" spans="1:16" x14ac:dyDescent="0.25">
      <c r="A1927">
        <v>1926</v>
      </c>
      <c r="B1927" t="s">
        <v>9</v>
      </c>
      <c r="C1927">
        <v>385460.82</v>
      </c>
      <c r="D1927" t="s">
        <v>10</v>
      </c>
      <c r="E1927" t="s">
        <v>16</v>
      </c>
      <c r="F1927" t="s">
        <v>12</v>
      </c>
      <c r="G1927" t="s">
        <v>13</v>
      </c>
      <c r="H1927" t="s">
        <v>13</v>
      </c>
      <c r="I1927">
        <v>20</v>
      </c>
      <c r="J1927" t="str" cm="1">
        <f t="array" ref="J1927">_xlfn.IFS(ISBLANK(C1927),"FALTANTE",ABS((C1927-$W$5)/$X$5)&gt;1.96,"ATÍPICO",ABS((C1927-$W$5)/$X$5)&lt;=1.96,"NO ATÍPICO")</f>
        <v>NO ATÍPICO</v>
      </c>
      <c r="K1927" t="str" cm="1">
        <f t="array" ref="K1927">_xlfn.IFS(ISBLANK(I1927),"FALTANTE",ABS((I1927-$W$8)/$X$8)&gt;1.92,"ATÍPICO",ABS((I1927-$W$8)/$X$8)&lt;=1.92,"NO ATÍPICO")</f>
        <v>NO ATÍPICO</v>
      </c>
      <c r="L1927">
        <f t="shared" si="136"/>
        <v>385460.82</v>
      </c>
      <c r="M1927" t="str">
        <f t="shared" si="136"/>
        <v>ASALARIADO</v>
      </c>
      <c r="N1927">
        <f t="shared" si="137"/>
        <v>20</v>
      </c>
      <c r="O1927" s="19" t="str">
        <f t="shared" si="138"/>
        <v>300k–600k</v>
      </c>
      <c r="P1927" s="19" t="str">
        <f t="shared" si="139"/>
        <v>18-25</v>
      </c>
    </row>
    <row r="1928" spans="1:16" x14ac:dyDescent="0.25">
      <c r="A1928">
        <v>1927</v>
      </c>
      <c r="B1928" t="s">
        <v>9</v>
      </c>
      <c r="C1928">
        <v>454461.58</v>
      </c>
      <c r="D1928" t="s">
        <v>10</v>
      </c>
      <c r="E1928" t="s">
        <v>16</v>
      </c>
      <c r="F1928" t="s">
        <v>12</v>
      </c>
      <c r="G1928" t="s">
        <v>13</v>
      </c>
      <c r="H1928" t="s">
        <v>12</v>
      </c>
      <c r="I1928">
        <v>29</v>
      </c>
      <c r="J1928" t="str" cm="1">
        <f t="array" ref="J1928">_xlfn.IFS(ISBLANK(C1928),"FALTANTE",ABS((C1928-$W$5)/$X$5)&gt;1.96,"ATÍPICO",ABS((C1928-$W$5)/$X$5)&lt;=1.96,"NO ATÍPICO")</f>
        <v>NO ATÍPICO</v>
      </c>
      <c r="K1928" t="str" cm="1">
        <f t="array" ref="K1928">_xlfn.IFS(ISBLANK(I1928),"FALTANTE",ABS((I1928-$W$8)/$X$8)&gt;1.92,"ATÍPICO",ABS((I1928-$W$8)/$X$8)&lt;=1.92,"NO ATÍPICO")</f>
        <v>NO ATÍPICO</v>
      </c>
      <c r="L1928">
        <f t="shared" si="136"/>
        <v>454461.58</v>
      </c>
      <c r="M1928" t="str">
        <f t="shared" si="136"/>
        <v>ASALARIADO</v>
      </c>
      <c r="N1928">
        <f t="shared" si="137"/>
        <v>29</v>
      </c>
      <c r="O1928" s="19" t="str">
        <f t="shared" si="138"/>
        <v>300k–600k</v>
      </c>
      <c r="P1928" s="19" t="str">
        <f t="shared" si="139"/>
        <v>26-35</v>
      </c>
    </row>
    <row r="1929" spans="1:16" x14ac:dyDescent="0.25">
      <c r="A1929">
        <v>1928</v>
      </c>
      <c r="B1929" t="s">
        <v>15</v>
      </c>
      <c r="C1929">
        <v>277402</v>
      </c>
      <c r="D1929" t="s">
        <v>10</v>
      </c>
      <c r="E1929" t="s">
        <v>16</v>
      </c>
      <c r="F1929" t="s">
        <v>12</v>
      </c>
      <c r="G1929" t="s">
        <v>13</v>
      </c>
      <c r="H1929" t="s">
        <v>13</v>
      </c>
      <c r="I1929">
        <v>41</v>
      </c>
      <c r="J1929" t="str" cm="1">
        <f t="array" ref="J1929">_xlfn.IFS(ISBLANK(C1929),"FALTANTE",ABS((C1929-$W$5)/$X$5)&gt;1.96,"ATÍPICO",ABS((C1929-$W$5)/$X$5)&lt;=1.96,"NO ATÍPICO")</f>
        <v>NO ATÍPICO</v>
      </c>
      <c r="K1929" t="str" cm="1">
        <f t="array" ref="K1929">_xlfn.IFS(ISBLANK(I1929),"FALTANTE",ABS((I1929-$W$8)/$X$8)&gt;1.92,"ATÍPICO",ABS((I1929-$W$8)/$X$8)&lt;=1.92,"NO ATÍPICO")</f>
        <v>NO ATÍPICO</v>
      </c>
      <c r="L1929">
        <f t="shared" si="136"/>
        <v>277402</v>
      </c>
      <c r="M1929" t="str">
        <f t="shared" si="136"/>
        <v>ASALARIADO</v>
      </c>
      <c r="N1929">
        <f t="shared" si="137"/>
        <v>41</v>
      </c>
      <c r="O1929" s="19" t="str">
        <f t="shared" si="138"/>
        <v>0–300k</v>
      </c>
      <c r="P1929" s="19" t="str">
        <f t="shared" si="139"/>
        <v>36-45</v>
      </c>
    </row>
    <row r="1930" spans="1:16" x14ac:dyDescent="0.25">
      <c r="A1930">
        <v>1929</v>
      </c>
      <c r="B1930" t="s">
        <v>9</v>
      </c>
      <c r="C1930">
        <v>297046</v>
      </c>
      <c r="D1930" t="s">
        <v>18</v>
      </c>
      <c r="E1930" t="s">
        <v>16</v>
      </c>
      <c r="F1930" t="s">
        <v>12</v>
      </c>
      <c r="G1930" t="s">
        <v>13</v>
      </c>
      <c r="H1930" t="s">
        <v>12</v>
      </c>
      <c r="I1930">
        <v>27</v>
      </c>
      <c r="J1930" t="str" cm="1">
        <f t="array" ref="J1930">_xlfn.IFS(ISBLANK(C1930),"FALTANTE",ABS((C1930-$W$5)/$X$5)&gt;1.96,"ATÍPICO",ABS((C1930-$W$5)/$X$5)&lt;=1.96,"NO ATÍPICO")</f>
        <v>NO ATÍPICO</v>
      </c>
      <c r="K1930" t="str" cm="1">
        <f t="array" ref="K1930">_xlfn.IFS(ISBLANK(I1930),"FALTANTE",ABS((I1930-$W$8)/$X$8)&gt;1.92,"ATÍPICO",ABS((I1930-$W$8)/$X$8)&lt;=1.92,"NO ATÍPICO")</f>
        <v>NO ATÍPICO</v>
      </c>
      <c r="L1930">
        <f t="shared" si="136"/>
        <v>297046</v>
      </c>
      <c r="M1930" t="str">
        <f t="shared" si="136"/>
        <v>TRABAJADOR INDEPENDIENTE</v>
      </c>
      <c r="N1930">
        <f t="shared" si="137"/>
        <v>27</v>
      </c>
      <c r="O1930" s="19" t="str">
        <f t="shared" si="138"/>
        <v>0–300k</v>
      </c>
      <c r="P1930" s="19" t="str">
        <f t="shared" si="139"/>
        <v>26-35</v>
      </c>
    </row>
    <row r="1931" spans="1:16" x14ac:dyDescent="0.25">
      <c r="A1931">
        <v>1930</v>
      </c>
      <c r="B1931" t="s">
        <v>9</v>
      </c>
      <c r="C1931">
        <v>1541263.51</v>
      </c>
      <c r="D1931" t="s">
        <v>10</v>
      </c>
      <c r="E1931" t="s">
        <v>16</v>
      </c>
      <c r="F1931" t="s">
        <v>12</v>
      </c>
      <c r="G1931" t="s">
        <v>13</v>
      </c>
      <c r="H1931" t="s">
        <v>13</v>
      </c>
      <c r="I1931">
        <v>46</v>
      </c>
      <c r="J1931" t="str" cm="1">
        <f t="array" ref="J1931">_xlfn.IFS(ISBLANK(C1931),"FALTANTE",ABS((C1931-$W$5)/$X$5)&gt;1.96,"ATÍPICO",ABS((C1931-$W$5)/$X$5)&lt;=1.96,"NO ATÍPICO")</f>
        <v>NO ATÍPICO</v>
      </c>
      <c r="K1931" t="str" cm="1">
        <f t="array" ref="K1931">_xlfn.IFS(ISBLANK(I1931),"FALTANTE",ABS((I1931-$W$8)/$X$8)&gt;1.92,"ATÍPICO",ABS((I1931-$W$8)/$X$8)&lt;=1.92,"NO ATÍPICO")</f>
        <v>NO ATÍPICO</v>
      </c>
      <c r="L1931">
        <f t="shared" si="136"/>
        <v>1541263.51</v>
      </c>
      <c r="M1931" t="str">
        <f t="shared" si="136"/>
        <v>ASALARIADO</v>
      </c>
      <c r="N1931">
        <f t="shared" si="137"/>
        <v>46</v>
      </c>
      <c r="O1931" s="19" t="str">
        <f t="shared" si="138"/>
        <v>1200k+</v>
      </c>
      <c r="P1931" s="19" t="str">
        <f t="shared" si="139"/>
        <v>46-55</v>
      </c>
    </row>
    <row r="1932" spans="1:16" x14ac:dyDescent="0.25">
      <c r="A1932">
        <v>1931</v>
      </c>
      <c r="B1932" t="s">
        <v>15</v>
      </c>
      <c r="C1932">
        <v>1017485</v>
      </c>
      <c r="D1932" t="s">
        <v>18</v>
      </c>
      <c r="E1932" t="s">
        <v>16</v>
      </c>
      <c r="F1932" t="s">
        <v>12</v>
      </c>
      <c r="G1932" t="s">
        <v>13</v>
      </c>
      <c r="H1932" t="s">
        <v>13</v>
      </c>
      <c r="I1932">
        <v>53</v>
      </c>
      <c r="J1932" t="str" cm="1">
        <f t="array" ref="J1932">_xlfn.IFS(ISBLANK(C1932),"FALTANTE",ABS((C1932-$W$5)/$X$5)&gt;1.96,"ATÍPICO",ABS((C1932-$W$5)/$X$5)&lt;=1.96,"NO ATÍPICO")</f>
        <v>NO ATÍPICO</v>
      </c>
      <c r="K1932" t="str" cm="1">
        <f t="array" ref="K1932">_xlfn.IFS(ISBLANK(I1932),"FALTANTE",ABS((I1932-$W$8)/$X$8)&gt;1.92,"ATÍPICO",ABS((I1932-$W$8)/$X$8)&lt;=1.92,"NO ATÍPICO")</f>
        <v>NO ATÍPICO</v>
      </c>
      <c r="L1932">
        <f t="shared" si="136"/>
        <v>1017485</v>
      </c>
      <c r="M1932" t="str">
        <f t="shared" si="136"/>
        <v>TRABAJADOR INDEPENDIENTE</v>
      </c>
      <c r="N1932">
        <f t="shared" si="137"/>
        <v>53</v>
      </c>
      <c r="O1932" s="19" t="str">
        <f t="shared" si="138"/>
        <v>900k–1200k</v>
      </c>
      <c r="P1932" s="19" t="str">
        <f t="shared" si="139"/>
        <v>46-55</v>
      </c>
    </row>
    <row r="1933" spans="1:16" x14ac:dyDescent="0.25">
      <c r="A1933">
        <v>1932</v>
      </c>
      <c r="B1933" t="s">
        <v>9</v>
      </c>
      <c r="C1933">
        <v>1854952.25</v>
      </c>
      <c r="D1933" t="s">
        <v>10</v>
      </c>
      <c r="E1933" t="s">
        <v>16</v>
      </c>
      <c r="F1933" t="s">
        <v>12</v>
      </c>
      <c r="G1933" t="s">
        <v>13</v>
      </c>
      <c r="H1933" t="s">
        <v>13</v>
      </c>
      <c r="I1933">
        <v>33</v>
      </c>
      <c r="J1933" t="str" cm="1">
        <f t="array" ref="J1933">_xlfn.IFS(ISBLANK(C1933),"FALTANTE",ABS((C1933-$W$5)/$X$5)&gt;1.96,"ATÍPICO",ABS((C1933-$W$5)/$X$5)&lt;=1.96,"NO ATÍPICO")</f>
        <v>NO ATÍPICO</v>
      </c>
      <c r="K1933" t="str" cm="1">
        <f t="array" ref="K1933">_xlfn.IFS(ISBLANK(I1933),"FALTANTE",ABS((I1933-$W$8)/$X$8)&gt;1.92,"ATÍPICO",ABS((I1933-$W$8)/$X$8)&lt;=1.92,"NO ATÍPICO")</f>
        <v>NO ATÍPICO</v>
      </c>
      <c r="L1933">
        <f t="shared" si="136"/>
        <v>1854952.25</v>
      </c>
      <c r="M1933" t="str">
        <f t="shared" si="136"/>
        <v>ASALARIADO</v>
      </c>
      <c r="N1933">
        <f t="shared" si="137"/>
        <v>33</v>
      </c>
      <c r="O1933" s="19" t="str">
        <f t="shared" si="138"/>
        <v>1200k+</v>
      </c>
      <c r="P1933" s="19" t="str">
        <f t="shared" si="139"/>
        <v>26-35</v>
      </c>
    </row>
    <row r="1934" spans="1:16" x14ac:dyDescent="0.25">
      <c r="A1934">
        <v>1933</v>
      </c>
      <c r="B1934" t="s">
        <v>9</v>
      </c>
      <c r="C1934">
        <v>315617</v>
      </c>
      <c r="D1934" t="s">
        <v>17</v>
      </c>
      <c r="E1934" t="s">
        <v>16</v>
      </c>
      <c r="F1934" t="s">
        <v>12</v>
      </c>
      <c r="G1934" t="s">
        <v>13</v>
      </c>
      <c r="H1934" t="s">
        <v>13</v>
      </c>
      <c r="I1934">
        <v>56</v>
      </c>
      <c r="J1934" t="str" cm="1">
        <f t="array" ref="J1934">_xlfn.IFS(ISBLANK(C1934),"FALTANTE",ABS((C1934-$W$5)/$X$5)&gt;1.96,"ATÍPICO",ABS((C1934-$W$5)/$X$5)&lt;=1.96,"NO ATÍPICO")</f>
        <v>NO ATÍPICO</v>
      </c>
      <c r="K1934" t="str" cm="1">
        <f t="array" ref="K1934">_xlfn.IFS(ISBLANK(I1934),"FALTANTE",ABS((I1934-$W$8)/$X$8)&gt;1.92,"ATÍPICO",ABS((I1934-$W$8)/$X$8)&lt;=1.92,"NO ATÍPICO")</f>
        <v>NO ATÍPICO</v>
      </c>
      <c r="L1934">
        <f t="shared" si="136"/>
        <v>315617</v>
      </c>
      <c r="M1934" t="str">
        <f t="shared" si="136"/>
        <v>ASEGURADO VOLUNTARIO</v>
      </c>
      <c r="N1934">
        <f t="shared" si="137"/>
        <v>56</v>
      </c>
      <c r="O1934" s="19" t="str">
        <f t="shared" si="138"/>
        <v>300k–600k</v>
      </c>
      <c r="P1934" s="19" t="str">
        <f t="shared" si="139"/>
        <v>56+</v>
      </c>
    </row>
    <row r="1935" spans="1:16" x14ac:dyDescent="0.25">
      <c r="A1935">
        <v>1934</v>
      </c>
      <c r="B1935" t="s">
        <v>15</v>
      </c>
      <c r="C1935">
        <v>310124</v>
      </c>
      <c r="D1935" t="s">
        <v>18</v>
      </c>
      <c r="E1935" t="s">
        <v>16</v>
      </c>
      <c r="F1935" t="s">
        <v>12</v>
      </c>
      <c r="G1935" t="s">
        <v>13</v>
      </c>
      <c r="H1935" t="s">
        <v>12</v>
      </c>
      <c r="I1935">
        <v>59</v>
      </c>
      <c r="J1935" t="str" cm="1">
        <f t="array" ref="J1935">_xlfn.IFS(ISBLANK(C1935),"FALTANTE",ABS((C1935-$W$5)/$X$5)&gt;1.96,"ATÍPICO",ABS((C1935-$W$5)/$X$5)&lt;=1.96,"NO ATÍPICO")</f>
        <v>NO ATÍPICO</v>
      </c>
      <c r="K1935" t="str" cm="1">
        <f t="array" ref="K1935">_xlfn.IFS(ISBLANK(I1935),"FALTANTE",ABS((I1935-$W$8)/$X$8)&gt;1.92,"ATÍPICO",ABS((I1935-$W$8)/$X$8)&lt;=1.92,"NO ATÍPICO")</f>
        <v>NO ATÍPICO</v>
      </c>
      <c r="L1935">
        <f t="shared" si="136"/>
        <v>310124</v>
      </c>
      <c r="M1935" t="str">
        <f t="shared" si="136"/>
        <v>TRABAJADOR INDEPENDIENTE</v>
      </c>
      <c r="N1935">
        <f t="shared" si="137"/>
        <v>59</v>
      </c>
      <c r="O1935" s="19" t="str">
        <f t="shared" si="138"/>
        <v>300k–600k</v>
      </c>
      <c r="P1935" s="19" t="str">
        <f t="shared" si="139"/>
        <v>56+</v>
      </c>
    </row>
    <row r="1936" spans="1:16" x14ac:dyDescent="0.25">
      <c r="A1936">
        <v>1935</v>
      </c>
      <c r="B1936" t="s">
        <v>9</v>
      </c>
      <c r="C1936">
        <v>240000</v>
      </c>
      <c r="D1936" t="s">
        <v>10</v>
      </c>
      <c r="E1936" t="s">
        <v>16</v>
      </c>
      <c r="F1936" t="s">
        <v>12</v>
      </c>
      <c r="G1936" t="s">
        <v>13</v>
      </c>
      <c r="H1936" t="s">
        <v>13</v>
      </c>
      <c r="I1936">
        <v>39</v>
      </c>
      <c r="J1936" t="str" cm="1">
        <f t="array" ref="J1936">_xlfn.IFS(ISBLANK(C1936),"FALTANTE",ABS((C1936-$W$5)/$X$5)&gt;1.96,"ATÍPICO",ABS((C1936-$W$5)/$X$5)&lt;=1.96,"NO ATÍPICO")</f>
        <v>NO ATÍPICO</v>
      </c>
      <c r="K1936" t="str" cm="1">
        <f t="array" ref="K1936">_xlfn.IFS(ISBLANK(I1936),"FALTANTE",ABS((I1936-$W$8)/$X$8)&gt;1.92,"ATÍPICO",ABS((I1936-$W$8)/$X$8)&lt;=1.92,"NO ATÍPICO")</f>
        <v>NO ATÍPICO</v>
      </c>
      <c r="L1936">
        <f t="shared" si="136"/>
        <v>240000</v>
      </c>
      <c r="M1936" t="str">
        <f t="shared" si="136"/>
        <v>ASALARIADO</v>
      </c>
      <c r="N1936">
        <f t="shared" si="137"/>
        <v>39</v>
      </c>
      <c r="O1936" s="19" t="str">
        <f t="shared" si="138"/>
        <v>0–300k</v>
      </c>
      <c r="P1936" s="19" t="str">
        <f t="shared" si="139"/>
        <v>36-45</v>
      </c>
    </row>
    <row r="1937" spans="1:16" x14ac:dyDescent="0.25">
      <c r="A1937">
        <v>1936</v>
      </c>
      <c r="B1937" t="s">
        <v>15</v>
      </c>
      <c r="C1937">
        <v>446061.6</v>
      </c>
      <c r="D1937" t="s">
        <v>10</v>
      </c>
      <c r="E1937" t="s">
        <v>16</v>
      </c>
      <c r="F1937" t="s">
        <v>12</v>
      </c>
      <c r="G1937" t="s">
        <v>13</v>
      </c>
      <c r="H1937" t="s">
        <v>12</v>
      </c>
      <c r="I1937">
        <v>59</v>
      </c>
      <c r="J1937" t="str" cm="1">
        <f t="array" ref="J1937">_xlfn.IFS(ISBLANK(C1937),"FALTANTE",ABS((C1937-$W$5)/$X$5)&gt;1.96,"ATÍPICO",ABS((C1937-$W$5)/$X$5)&lt;=1.96,"NO ATÍPICO")</f>
        <v>NO ATÍPICO</v>
      </c>
      <c r="K1937" t="str" cm="1">
        <f t="array" ref="K1937">_xlfn.IFS(ISBLANK(I1937),"FALTANTE",ABS((I1937-$W$8)/$X$8)&gt;1.92,"ATÍPICO",ABS((I1937-$W$8)/$X$8)&lt;=1.92,"NO ATÍPICO")</f>
        <v>NO ATÍPICO</v>
      </c>
      <c r="L1937">
        <f t="shared" si="136"/>
        <v>446061.6</v>
      </c>
      <c r="M1937" t="str">
        <f t="shared" si="136"/>
        <v>ASALARIADO</v>
      </c>
      <c r="N1937">
        <f t="shared" si="137"/>
        <v>59</v>
      </c>
      <c r="O1937" s="19" t="str">
        <f t="shared" si="138"/>
        <v>300k–600k</v>
      </c>
      <c r="P1937" s="19" t="str">
        <f t="shared" si="139"/>
        <v>56+</v>
      </c>
    </row>
    <row r="1938" spans="1:16" x14ac:dyDescent="0.25">
      <c r="A1938">
        <v>1937</v>
      </c>
      <c r="B1938" t="s">
        <v>9</v>
      </c>
      <c r="C1938">
        <v>566297</v>
      </c>
      <c r="D1938" t="s">
        <v>18</v>
      </c>
      <c r="E1938" t="s">
        <v>16</v>
      </c>
      <c r="F1938" t="s">
        <v>12</v>
      </c>
      <c r="G1938" t="s">
        <v>13</v>
      </c>
      <c r="H1938" t="s">
        <v>13</v>
      </c>
      <c r="I1938">
        <v>49</v>
      </c>
      <c r="J1938" t="str" cm="1">
        <f t="array" ref="J1938">_xlfn.IFS(ISBLANK(C1938),"FALTANTE",ABS((C1938-$W$5)/$X$5)&gt;1.96,"ATÍPICO",ABS((C1938-$W$5)/$X$5)&lt;=1.96,"NO ATÍPICO")</f>
        <v>NO ATÍPICO</v>
      </c>
      <c r="K1938" t="str" cm="1">
        <f t="array" ref="K1938">_xlfn.IFS(ISBLANK(I1938),"FALTANTE",ABS((I1938-$W$8)/$X$8)&gt;1.92,"ATÍPICO",ABS((I1938-$W$8)/$X$8)&lt;=1.92,"NO ATÍPICO")</f>
        <v>NO ATÍPICO</v>
      </c>
      <c r="L1938">
        <f t="shared" si="136"/>
        <v>566297</v>
      </c>
      <c r="M1938" t="str">
        <f t="shared" si="136"/>
        <v>TRABAJADOR INDEPENDIENTE</v>
      </c>
      <c r="N1938">
        <f t="shared" si="137"/>
        <v>49</v>
      </c>
      <c r="O1938" s="19" t="str">
        <f t="shared" si="138"/>
        <v>300k–600k</v>
      </c>
      <c r="P1938" s="19" t="str">
        <f t="shared" si="139"/>
        <v>46-55</v>
      </c>
    </row>
    <row r="1939" spans="1:16" x14ac:dyDescent="0.25">
      <c r="A1939">
        <v>1938</v>
      </c>
      <c r="B1939" t="s">
        <v>15</v>
      </c>
      <c r="C1939">
        <v>50000</v>
      </c>
      <c r="D1939" t="s">
        <v>10</v>
      </c>
      <c r="E1939" t="s">
        <v>16</v>
      </c>
      <c r="F1939" t="s">
        <v>12</v>
      </c>
      <c r="G1939" t="s">
        <v>13</v>
      </c>
      <c r="H1939" t="s">
        <v>12</v>
      </c>
      <c r="I1939">
        <v>21</v>
      </c>
      <c r="J1939" t="str" cm="1">
        <f t="array" ref="J1939">_xlfn.IFS(ISBLANK(C1939),"FALTANTE",ABS((C1939-$W$5)/$X$5)&gt;1.96,"ATÍPICO",ABS((C1939-$W$5)/$X$5)&lt;=1.96,"NO ATÍPICO")</f>
        <v>NO ATÍPICO</v>
      </c>
      <c r="K1939" t="str" cm="1">
        <f t="array" ref="K1939">_xlfn.IFS(ISBLANK(I1939),"FALTANTE",ABS((I1939-$W$8)/$X$8)&gt;1.92,"ATÍPICO",ABS((I1939-$W$8)/$X$8)&lt;=1.92,"NO ATÍPICO")</f>
        <v>NO ATÍPICO</v>
      </c>
      <c r="L1939">
        <f t="shared" si="136"/>
        <v>50000</v>
      </c>
      <c r="M1939" t="str">
        <f t="shared" si="136"/>
        <v>ASALARIADO</v>
      </c>
      <c r="N1939">
        <f t="shared" si="137"/>
        <v>21</v>
      </c>
      <c r="O1939" s="19" t="str">
        <f t="shared" si="138"/>
        <v>0–300k</v>
      </c>
      <c r="P1939" s="19" t="str">
        <f t="shared" si="139"/>
        <v>18-25</v>
      </c>
    </row>
    <row r="1940" spans="1:16" x14ac:dyDescent="0.25">
      <c r="A1940">
        <v>1939</v>
      </c>
      <c r="B1940" t="s">
        <v>15</v>
      </c>
      <c r="C1940">
        <v>394998</v>
      </c>
      <c r="D1940" t="s">
        <v>10</v>
      </c>
      <c r="E1940" t="s">
        <v>16</v>
      </c>
      <c r="F1940" t="s">
        <v>12</v>
      </c>
      <c r="G1940" t="s">
        <v>13</v>
      </c>
      <c r="H1940" t="s">
        <v>13</v>
      </c>
      <c r="I1940">
        <v>29</v>
      </c>
      <c r="J1940" t="str" cm="1">
        <f t="array" ref="J1940">_xlfn.IFS(ISBLANK(C1940),"FALTANTE",ABS((C1940-$W$5)/$X$5)&gt;1.96,"ATÍPICO",ABS((C1940-$W$5)/$X$5)&lt;=1.96,"NO ATÍPICO")</f>
        <v>NO ATÍPICO</v>
      </c>
      <c r="K1940" t="str" cm="1">
        <f t="array" ref="K1940">_xlfn.IFS(ISBLANK(I1940),"FALTANTE",ABS((I1940-$W$8)/$X$8)&gt;1.92,"ATÍPICO",ABS((I1940-$W$8)/$X$8)&lt;=1.92,"NO ATÍPICO")</f>
        <v>NO ATÍPICO</v>
      </c>
      <c r="L1940">
        <f t="shared" si="136"/>
        <v>394998</v>
      </c>
      <c r="M1940" t="str">
        <f t="shared" si="136"/>
        <v>ASALARIADO</v>
      </c>
      <c r="N1940">
        <f t="shared" si="137"/>
        <v>29</v>
      </c>
      <c r="O1940" s="19" t="str">
        <f t="shared" si="138"/>
        <v>300k–600k</v>
      </c>
      <c r="P1940" s="19" t="str">
        <f t="shared" si="139"/>
        <v>26-35</v>
      </c>
    </row>
    <row r="1941" spans="1:16" x14ac:dyDescent="0.25">
      <c r="A1941">
        <v>1940</v>
      </c>
      <c r="B1941" t="s">
        <v>15</v>
      </c>
      <c r="C1941">
        <v>320000</v>
      </c>
      <c r="D1941" t="s">
        <v>10</v>
      </c>
      <c r="E1941" t="s">
        <v>16</v>
      </c>
      <c r="F1941" t="s">
        <v>12</v>
      </c>
      <c r="G1941" t="s">
        <v>13</v>
      </c>
      <c r="H1941" t="s">
        <v>13</v>
      </c>
      <c r="I1941">
        <v>27</v>
      </c>
      <c r="J1941" t="str" cm="1">
        <f t="array" ref="J1941">_xlfn.IFS(ISBLANK(C1941),"FALTANTE",ABS((C1941-$W$5)/$X$5)&gt;1.96,"ATÍPICO",ABS((C1941-$W$5)/$X$5)&lt;=1.96,"NO ATÍPICO")</f>
        <v>NO ATÍPICO</v>
      </c>
      <c r="K1941" t="str" cm="1">
        <f t="array" ref="K1941">_xlfn.IFS(ISBLANK(I1941),"FALTANTE",ABS((I1941-$W$8)/$X$8)&gt;1.92,"ATÍPICO",ABS((I1941-$W$8)/$X$8)&lt;=1.92,"NO ATÍPICO")</f>
        <v>NO ATÍPICO</v>
      </c>
      <c r="L1941">
        <f t="shared" si="136"/>
        <v>320000</v>
      </c>
      <c r="M1941" t="str">
        <f t="shared" si="136"/>
        <v>ASALARIADO</v>
      </c>
      <c r="N1941">
        <f t="shared" si="137"/>
        <v>27</v>
      </c>
      <c r="O1941" s="19" t="str">
        <f t="shared" si="138"/>
        <v>300k–600k</v>
      </c>
      <c r="P1941" s="19" t="str">
        <f t="shared" si="139"/>
        <v>26-35</v>
      </c>
    </row>
    <row r="1942" spans="1:16" x14ac:dyDescent="0.25">
      <c r="A1942">
        <v>1941</v>
      </c>
      <c r="B1942" t="s">
        <v>9</v>
      </c>
      <c r="C1942">
        <v>953728.87</v>
      </c>
      <c r="D1942" t="s">
        <v>10</v>
      </c>
      <c r="E1942" t="s">
        <v>16</v>
      </c>
      <c r="F1942" t="s">
        <v>12</v>
      </c>
      <c r="G1942" t="s">
        <v>13</v>
      </c>
      <c r="H1942" t="s">
        <v>13</v>
      </c>
      <c r="I1942">
        <v>60</v>
      </c>
      <c r="J1942" t="str" cm="1">
        <f t="array" ref="J1942">_xlfn.IFS(ISBLANK(C1942),"FALTANTE",ABS((C1942-$W$5)/$X$5)&gt;1.96,"ATÍPICO",ABS((C1942-$W$5)/$X$5)&lt;=1.96,"NO ATÍPICO")</f>
        <v>NO ATÍPICO</v>
      </c>
      <c r="K1942" t="str" cm="1">
        <f t="array" ref="K1942">_xlfn.IFS(ISBLANK(I1942),"FALTANTE",ABS((I1942-$W$8)/$X$8)&gt;1.92,"ATÍPICO",ABS((I1942-$W$8)/$X$8)&lt;=1.92,"NO ATÍPICO")</f>
        <v>NO ATÍPICO</v>
      </c>
      <c r="L1942">
        <f t="shared" si="136"/>
        <v>953728.87</v>
      </c>
      <c r="M1942" t="str">
        <f t="shared" si="136"/>
        <v>ASALARIADO</v>
      </c>
      <c r="N1942">
        <f t="shared" si="137"/>
        <v>60</v>
      </c>
      <c r="O1942" s="19" t="str">
        <f t="shared" si="138"/>
        <v>900k–1200k</v>
      </c>
      <c r="P1942" s="19" t="str">
        <f t="shared" si="139"/>
        <v>56+</v>
      </c>
    </row>
    <row r="1943" spans="1:16" x14ac:dyDescent="0.25">
      <c r="A1943">
        <v>1942</v>
      </c>
      <c r="B1943" t="s">
        <v>9</v>
      </c>
      <c r="C1943">
        <v>507443.6</v>
      </c>
      <c r="D1943" t="s">
        <v>10</v>
      </c>
      <c r="E1943" t="s">
        <v>16</v>
      </c>
      <c r="F1943" t="s">
        <v>12</v>
      </c>
      <c r="G1943" t="s">
        <v>13</v>
      </c>
      <c r="H1943" t="s">
        <v>13</v>
      </c>
      <c r="I1943">
        <v>20</v>
      </c>
      <c r="J1943" t="str" cm="1">
        <f t="array" ref="J1943">_xlfn.IFS(ISBLANK(C1943),"FALTANTE",ABS((C1943-$W$5)/$X$5)&gt;1.96,"ATÍPICO",ABS((C1943-$W$5)/$X$5)&lt;=1.96,"NO ATÍPICO")</f>
        <v>NO ATÍPICO</v>
      </c>
      <c r="K1943" t="str" cm="1">
        <f t="array" ref="K1943">_xlfn.IFS(ISBLANK(I1943),"FALTANTE",ABS((I1943-$W$8)/$X$8)&gt;1.92,"ATÍPICO",ABS((I1943-$W$8)/$X$8)&lt;=1.92,"NO ATÍPICO")</f>
        <v>NO ATÍPICO</v>
      </c>
      <c r="L1943">
        <f t="shared" si="136"/>
        <v>507443.6</v>
      </c>
      <c r="M1943" t="str">
        <f t="shared" si="136"/>
        <v>ASALARIADO</v>
      </c>
      <c r="N1943">
        <f t="shared" si="137"/>
        <v>20</v>
      </c>
      <c r="O1943" s="19" t="str">
        <f t="shared" si="138"/>
        <v>300k–600k</v>
      </c>
      <c r="P1943" s="19" t="str">
        <f t="shared" si="139"/>
        <v>18-25</v>
      </c>
    </row>
    <row r="1944" spans="1:16" x14ac:dyDescent="0.25">
      <c r="A1944">
        <v>1943</v>
      </c>
      <c r="B1944" t="s">
        <v>15</v>
      </c>
      <c r="C1944">
        <v>995680</v>
      </c>
      <c r="D1944" t="s">
        <v>10</v>
      </c>
      <c r="E1944" t="s">
        <v>11</v>
      </c>
      <c r="F1944" t="s">
        <v>12</v>
      </c>
      <c r="G1944" t="s">
        <v>13</v>
      </c>
      <c r="H1944" t="s">
        <v>13</v>
      </c>
      <c r="I1944">
        <v>35</v>
      </c>
      <c r="J1944" t="str" cm="1">
        <f t="array" ref="J1944">_xlfn.IFS(ISBLANK(C1944),"FALTANTE",ABS((C1944-$W$5)/$X$5)&gt;1.96,"ATÍPICO",ABS((C1944-$W$5)/$X$5)&lt;=1.96,"NO ATÍPICO")</f>
        <v>NO ATÍPICO</v>
      </c>
      <c r="K1944" t="str" cm="1">
        <f t="array" ref="K1944">_xlfn.IFS(ISBLANK(I1944),"FALTANTE",ABS((I1944-$W$8)/$X$8)&gt;1.92,"ATÍPICO",ABS((I1944-$W$8)/$X$8)&lt;=1.92,"NO ATÍPICO")</f>
        <v>NO ATÍPICO</v>
      </c>
      <c r="L1944">
        <f t="shared" si="136"/>
        <v>995680</v>
      </c>
      <c r="M1944" t="str">
        <f t="shared" si="136"/>
        <v>ASALARIADO</v>
      </c>
      <c r="N1944">
        <f t="shared" si="137"/>
        <v>35</v>
      </c>
      <c r="O1944" s="19" t="str">
        <f t="shared" si="138"/>
        <v>900k–1200k</v>
      </c>
      <c r="P1944" s="19" t="str">
        <f t="shared" si="139"/>
        <v>26-35</v>
      </c>
    </row>
    <row r="1945" spans="1:16" x14ac:dyDescent="0.25">
      <c r="A1945">
        <v>1944</v>
      </c>
      <c r="B1945" t="s">
        <v>9</v>
      </c>
      <c r="C1945">
        <v>278030</v>
      </c>
      <c r="D1945" t="s">
        <v>19</v>
      </c>
      <c r="E1945" t="s">
        <v>16</v>
      </c>
      <c r="F1945" t="s">
        <v>12</v>
      </c>
      <c r="G1945" t="s">
        <v>13</v>
      </c>
      <c r="H1945" t="s">
        <v>13</v>
      </c>
      <c r="I1945">
        <v>64</v>
      </c>
      <c r="J1945" t="str" cm="1">
        <f t="array" ref="J1945">_xlfn.IFS(ISBLANK(C1945),"FALTANTE",ABS((C1945-$W$5)/$X$5)&gt;1.96,"ATÍPICO",ABS((C1945-$W$5)/$X$5)&lt;=1.96,"NO ATÍPICO")</f>
        <v>NO ATÍPICO</v>
      </c>
      <c r="K1945" t="str" cm="1">
        <f t="array" ref="K1945">_xlfn.IFS(ISBLANK(I1945),"FALTANTE",ABS((I1945-$W$8)/$X$8)&gt;1.92,"ATÍPICO",ABS((I1945-$W$8)/$X$8)&lt;=1.92,"NO ATÍPICO")</f>
        <v>NO ATÍPICO</v>
      </c>
      <c r="L1945">
        <f t="shared" si="136"/>
        <v>278030</v>
      </c>
      <c r="M1945" t="str">
        <f t="shared" si="136"/>
        <v>CONVENIOS ESPECIALES DE TRABAJADORES INDEPENDIENTES</v>
      </c>
      <c r="N1945">
        <f t="shared" si="137"/>
        <v>64</v>
      </c>
      <c r="O1945" s="19" t="str">
        <f t="shared" si="138"/>
        <v>0–300k</v>
      </c>
      <c r="P1945" s="19" t="str">
        <f t="shared" si="139"/>
        <v>56+</v>
      </c>
    </row>
    <row r="1946" spans="1:16" x14ac:dyDescent="0.25">
      <c r="A1946">
        <v>1945</v>
      </c>
      <c r="B1946" t="s">
        <v>9</v>
      </c>
      <c r="C1946">
        <v>340100.8</v>
      </c>
      <c r="D1946" t="s">
        <v>10</v>
      </c>
      <c r="E1946" t="s">
        <v>16</v>
      </c>
      <c r="F1946" t="s">
        <v>12</v>
      </c>
      <c r="G1946" t="s">
        <v>13</v>
      </c>
      <c r="H1946" t="s">
        <v>13</v>
      </c>
      <c r="I1946">
        <v>22</v>
      </c>
      <c r="J1946" t="str" cm="1">
        <f t="array" ref="J1946">_xlfn.IFS(ISBLANK(C1946),"FALTANTE",ABS((C1946-$W$5)/$X$5)&gt;1.96,"ATÍPICO",ABS((C1946-$W$5)/$X$5)&lt;=1.96,"NO ATÍPICO")</f>
        <v>NO ATÍPICO</v>
      </c>
      <c r="K1946" t="str" cm="1">
        <f t="array" ref="K1946">_xlfn.IFS(ISBLANK(I1946),"FALTANTE",ABS((I1946-$W$8)/$X$8)&gt;1.92,"ATÍPICO",ABS((I1946-$W$8)/$X$8)&lt;=1.92,"NO ATÍPICO")</f>
        <v>NO ATÍPICO</v>
      </c>
      <c r="L1946">
        <f t="shared" si="136"/>
        <v>340100.8</v>
      </c>
      <c r="M1946" t="str">
        <f t="shared" si="136"/>
        <v>ASALARIADO</v>
      </c>
      <c r="N1946">
        <f t="shared" si="137"/>
        <v>22</v>
      </c>
      <c r="O1946" s="19" t="str">
        <f t="shared" si="138"/>
        <v>300k–600k</v>
      </c>
      <c r="P1946" s="19" t="str">
        <f t="shared" si="139"/>
        <v>18-25</v>
      </c>
    </row>
    <row r="1947" spans="1:16" x14ac:dyDescent="0.25">
      <c r="A1947">
        <v>1946</v>
      </c>
      <c r="B1947" t="s">
        <v>9</v>
      </c>
      <c r="C1947">
        <v>889976.5</v>
      </c>
      <c r="D1947" t="s">
        <v>10</v>
      </c>
      <c r="E1947" t="s">
        <v>11</v>
      </c>
      <c r="F1947" t="s">
        <v>12</v>
      </c>
      <c r="G1947" t="s">
        <v>13</v>
      </c>
      <c r="H1947" t="s">
        <v>13</v>
      </c>
      <c r="I1947">
        <v>30</v>
      </c>
      <c r="J1947" t="str" cm="1">
        <f t="array" ref="J1947">_xlfn.IFS(ISBLANK(C1947),"FALTANTE",ABS((C1947-$W$5)/$X$5)&gt;1.96,"ATÍPICO",ABS((C1947-$W$5)/$X$5)&lt;=1.96,"NO ATÍPICO")</f>
        <v>NO ATÍPICO</v>
      </c>
      <c r="K1947" t="str" cm="1">
        <f t="array" ref="K1947">_xlfn.IFS(ISBLANK(I1947),"FALTANTE",ABS((I1947-$W$8)/$X$8)&gt;1.92,"ATÍPICO",ABS((I1947-$W$8)/$X$8)&lt;=1.92,"NO ATÍPICO")</f>
        <v>NO ATÍPICO</v>
      </c>
      <c r="L1947">
        <f t="shared" si="136"/>
        <v>889976.5</v>
      </c>
      <c r="M1947" t="str">
        <f t="shared" si="136"/>
        <v>ASALARIADO</v>
      </c>
      <c r="N1947">
        <f t="shared" si="137"/>
        <v>30</v>
      </c>
      <c r="O1947" s="19" t="str">
        <f t="shared" si="138"/>
        <v>600k–900k</v>
      </c>
      <c r="P1947" s="19" t="str">
        <f t="shared" si="139"/>
        <v>26-35</v>
      </c>
    </row>
    <row r="1948" spans="1:16" x14ac:dyDescent="0.25">
      <c r="A1948">
        <v>1947</v>
      </c>
      <c r="B1948" t="s">
        <v>9</v>
      </c>
      <c r="C1948">
        <v>558420.11</v>
      </c>
      <c r="D1948" t="s">
        <v>10</v>
      </c>
      <c r="E1948" t="s">
        <v>16</v>
      </c>
      <c r="F1948" t="s">
        <v>12</v>
      </c>
      <c r="G1948" t="s">
        <v>13</v>
      </c>
      <c r="H1948" t="s">
        <v>13</v>
      </c>
      <c r="I1948">
        <v>26</v>
      </c>
      <c r="J1948" t="str" cm="1">
        <f t="array" ref="J1948">_xlfn.IFS(ISBLANK(C1948),"FALTANTE",ABS((C1948-$W$5)/$X$5)&gt;1.96,"ATÍPICO",ABS((C1948-$W$5)/$X$5)&lt;=1.96,"NO ATÍPICO")</f>
        <v>NO ATÍPICO</v>
      </c>
      <c r="K1948" t="str" cm="1">
        <f t="array" ref="K1948">_xlfn.IFS(ISBLANK(I1948),"FALTANTE",ABS((I1948-$W$8)/$X$8)&gt;1.92,"ATÍPICO",ABS((I1948-$W$8)/$X$8)&lt;=1.92,"NO ATÍPICO")</f>
        <v>NO ATÍPICO</v>
      </c>
      <c r="L1948">
        <f t="shared" si="136"/>
        <v>558420.11</v>
      </c>
      <c r="M1948" t="str">
        <f t="shared" si="136"/>
        <v>ASALARIADO</v>
      </c>
      <c r="N1948">
        <f t="shared" si="137"/>
        <v>26</v>
      </c>
      <c r="O1948" s="19" t="str">
        <f t="shared" si="138"/>
        <v>300k–600k</v>
      </c>
      <c r="P1948" s="19" t="str">
        <f t="shared" si="139"/>
        <v>26-35</v>
      </c>
    </row>
    <row r="1949" spans="1:16" x14ac:dyDescent="0.25">
      <c r="A1949">
        <v>1948</v>
      </c>
      <c r="B1949" t="s">
        <v>9</v>
      </c>
      <c r="C1949">
        <v>478452</v>
      </c>
      <c r="D1949" t="s">
        <v>18</v>
      </c>
      <c r="E1949" t="s">
        <v>16</v>
      </c>
      <c r="F1949" t="s">
        <v>12</v>
      </c>
      <c r="G1949" t="s">
        <v>12</v>
      </c>
      <c r="H1949" t="s">
        <v>13</v>
      </c>
      <c r="I1949">
        <v>49</v>
      </c>
      <c r="J1949" t="str" cm="1">
        <f t="array" ref="J1949">_xlfn.IFS(ISBLANK(C1949),"FALTANTE",ABS((C1949-$W$5)/$X$5)&gt;1.96,"ATÍPICO",ABS((C1949-$W$5)/$X$5)&lt;=1.96,"NO ATÍPICO")</f>
        <v>NO ATÍPICO</v>
      </c>
      <c r="K1949" t="str" cm="1">
        <f t="array" ref="K1949">_xlfn.IFS(ISBLANK(I1949),"FALTANTE",ABS((I1949-$W$8)/$X$8)&gt;1.92,"ATÍPICO",ABS((I1949-$W$8)/$X$8)&lt;=1.92,"NO ATÍPICO")</f>
        <v>NO ATÍPICO</v>
      </c>
      <c r="L1949">
        <f t="shared" si="136"/>
        <v>478452</v>
      </c>
      <c r="M1949" t="str">
        <f t="shared" si="136"/>
        <v>TRABAJADOR INDEPENDIENTE</v>
      </c>
      <c r="N1949">
        <f t="shared" si="137"/>
        <v>49</v>
      </c>
      <c r="O1949" s="19" t="str">
        <f t="shared" si="138"/>
        <v>300k–600k</v>
      </c>
      <c r="P1949" s="19" t="str">
        <f t="shared" si="139"/>
        <v>46-55</v>
      </c>
    </row>
    <row r="1950" spans="1:16" x14ac:dyDescent="0.25">
      <c r="A1950">
        <v>1949</v>
      </c>
      <c r="B1950" t="s">
        <v>15</v>
      </c>
      <c r="C1950">
        <v>594092</v>
      </c>
      <c r="D1950" t="s">
        <v>18</v>
      </c>
      <c r="E1950" t="s">
        <v>16</v>
      </c>
      <c r="F1950" t="s">
        <v>12</v>
      </c>
      <c r="G1950" t="s">
        <v>13</v>
      </c>
      <c r="H1950" t="s">
        <v>12</v>
      </c>
      <c r="I1950">
        <v>54</v>
      </c>
      <c r="J1950" t="str" cm="1">
        <f t="array" ref="J1950">_xlfn.IFS(ISBLANK(C1950),"FALTANTE",ABS((C1950-$W$5)/$X$5)&gt;1.96,"ATÍPICO",ABS((C1950-$W$5)/$X$5)&lt;=1.96,"NO ATÍPICO")</f>
        <v>NO ATÍPICO</v>
      </c>
      <c r="K1950" t="str" cm="1">
        <f t="array" ref="K1950">_xlfn.IFS(ISBLANK(I1950),"FALTANTE",ABS((I1950-$W$8)/$X$8)&gt;1.92,"ATÍPICO",ABS((I1950-$W$8)/$X$8)&lt;=1.92,"NO ATÍPICO")</f>
        <v>NO ATÍPICO</v>
      </c>
      <c r="L1950">
        <f t="shared" si="136"/>
        <v>594092</v>
      </c>
      <c r="M1950" t="str">
        <f t="shared" si="136"/>
        <v>TRABAJADOR INDEPENDIENTE</v>
      </c>
      <c r="N1950">
        <f t="shared" si="137"/>
        <v>54</v>
      </c>
      <c r="O1950" s="19" t="str">
        <f t="shared" si="138"/>
        <v>300k–600k</v>
      </c>
      <c r="P1950" s="19" t="str">
        <f t="shared" si="139"/>
        <v>46-55</v>
      </c>
    </row>
    <row r="1951" spans="1:16" x14ac:dyDescent="0.25">
      <c r="A1951">
        <v>1950</v>
      </c>
      <c r="B1951" t="s">
        <v>15</v>
      </c>
      <c r="C1951">
        <v>1281095</v>
      </c>
      <c r="D1951" t="s">
        <v>10</v>
      </c>
      <c r="E1951" t="s">
        <v>11</v>
      </c>
      <c r="F1951" t="s">
        <v>12</v>
      </c>
      <c r="G1951" t="s">
        <v>13</v>
      </c>
      <c r="H1951" t="s">
        <v>12</v>
      </c>
      <c r="I1951">
        <v>43</v>
      </c>
      <c r="J1951" t="str" cm="1">
        <f t="array" ref="J1951">_xlfn.IFS(ISBLANK(C1951),"FALTANTE",ABS((C1951-$W$5)/$X$5)&gt;1.96,"ATÍPICO",ABS((C1951-$W$5)/$X$5)&lt;=1.96,"NO ATÍPICO")</f>
        <v>NO ATÍPICO</v>
      </c>
      <c r="K1951" t="str" cm="1">
        <f t="array" ref="K1951">_xlfn.IFS(ISBLANK(I1951),"FALTANTE",ABS((I1951-$W$8)/$X$8)&gt;1.92,"ATÍPICO",ABS((I1951-$W$8)/$X$8)&lt;=1.92,"NO ATÍPICO")</f>
        <v>NO ATÍPICO</v>
      </c>
      <c r="L1951">
        <f t="shared" si="136"/>
        <v>1281095</v>
      </c>
      <c r="M1951" t="str">
        <f t="shared" si="136"/>
        <v>ASALARIADO</v>
      </c>
      <c r="N1951">
        <f t="shared" si="137"/>
        <v>43</v>
      </c>
      <c r="O1951" s="19" t="str">
        <f t="shared" si="138"/>
        <v>1200k+</v>
      </c>
      <c r="P1951" s="19" t="str">
        <f t="shared" si="139"/>
        <v>36-45</v>
      </c>
    </row>
    <row r="1952" spans="1:16" x14ac:dyDescent="0.25">
      <c r="A1952">
        <v>1951</v>
      </c>
      <c r="B1952" t="s">
        <v>9</v>
      </c>
      <c r="C1952">
        <v>610146</v>
      </c>
      <c r="D1952" t="s">
        <v>17</v>
      </c>
      <c r="E1952" t="s">
        <v>16</v>
      </c>
      <c r="F1952" t="s">
        <v>12</v>
      </c>
      <c r="G1952" t="s">
        <v>13</v>
      </c>
      <c r="H1952" t="s">
        <v>13</v>
      </c>
      <c r="I1952">
        <v>49</v>
      </c>
      <c r="J1952" t="str" cm="1">
        <f t="array" ref="J1952">_xlfn.IFS(ISBLANK(C1952),"FALTANTE",ABS((C1952-$W$5)/$X$5)&gt;1.96,"ATÍPICO",ABS((C1952-$W$5)/$X$5)&lt;=1.96,"NO ATÍPICO")</f>
        <v>NO ATÍPICO</v>
      </c>
      <c r="K1952" t="str" cm="1">
        <f t="array" ref="K1952">_xlfn.IFS(ISBLANK(I1952),"FALTANTE",ABS((I1952-$W$8)/$X$8)&gt;1.92,"ATÍPICO",ABS((I1952-$W$8)/$X$8)&lt;=1.92,"NO ATÍPICO")</f>
        <v>NO ATÍPICO</v>
      </c>
      <c r="L1952">
        <f t="shared" si="136"/>
        <v>610146</v>
      </c>
      <c r="M1952" t="str">
        <f t="shared" si="136"/>
        <v>ASEGURADO VOLUNTARIO</v>
      </c>
      <c r="N1952">
        <f t="shared" si="137"/>
        <v>49</v>
      </c>
      <c r="O1952" s="19" t="str">
        <f t="shared" si="138"/>
        <v>600k–900k</v>
      </c>
      <c r="P1952" s="19" t="str">
        <f t="shared" si="139"/>
        <v>46-55</v>
      </c>
    </row>
    <row r="1953" spans="1:16" x14ac:dyDescent="0.25">
      <c r="A1953">
        <v>1952</v>
      </c>
      <c r="B1953" t="s">
        <v>9</v>
      </c>
      <c r="C1953">
        <v>278030</v>
      </c>
      <c r="D1953" t="s">
        <v>19</v>
      </c>
      <c r="E1953" t="s">
        <v>16</v>
      </c>
      <c r="F1953" t="s">
        <v>12</v>
      </c>
      <c r="G1953" t="s">
        <v>13</v>
      </c>
      <c r="H1953" t="s">
        <v>13</v>
      </c>
      <c r="I1953">
        <v>55</v>
      </c>
      <c r="J1953" t="str" cm="1">
        <f t="array" ref="J1953">_xlfn.IFS(ISBLANK(C1953),"FALTANTE",ABS((C1953-$W$5)/$X$5)&gt;1.96,"ATÍPICO",ABS((C1953-$W$5)/$X$5)&lt;=1.96,"NO ATÍPICO")</f>
        <v>NO ATÍPICO</v>
      </c>
      <c r="K1953" t="str" cm="1">
        <f t="array" ref="K1953">_xlfn.IFS(ISBLANK(I1953),"FALTANTE",ABS((I1953-$W$8)/$X$8)&gt;1.92,"ATÍPICO",ABS((I1953-$W$8)/$X$8)&lt;=1.92,"NO ATÍPICO")</f>
        <v>NO ATÍPICO</v>
      </c>
      <c r="L1953">
        <f t="shared" si="136"/>
        <v>278030</v>
      </c>
      <c r="M1953" t="str">
        <f t="shared" si="136"/>
        <v>CONVENIOS ESPECIALES DE TRABAJADORES INDEPENDIENTES</v>
      </c>
      <c r="N1953">
        <f t="shared" si="137"/>
        <v>55</v>
      </c>
      <c r="O1953" s="19" t="str">
        <f t="shared" si="138"/>
        <v>0–300k</v>
      </c>
      <c r="P1953" s="19" t="str">
        <f t="shared" si="139"/>
        <v>46-55</v>
      </c>
    </row>
    <row r="1954" spans="1:16" x14ac:dyDescent="0.25">
      <c r="A1954">
        <v>1953</v>
      </c>
      <c r="B1954" t="s">
        <v>15</v>
      </c>
      <c r="C1954">
        <v>752666</v>
      </c>
      <c r="D1954" t="s">
        <v>10</v>
      </c>
      <c r="E1954" t="s">
        <v>16</v>
      </c>
      <c r="F1954" t="s">
        <v>12</v>
      </c>
      <c r="G1954" t="s">
        <v>13</v>
      </c>
      <c r="H1954" t="s">
        <v>13</v>
      </c>
      <c r="I1954">
        <v>31</v>
      </c>
      <c r="J1954" t="str" cm="1">
        <f t="array" ref="J1954">_xlfn.IFS(ISBLANK(C1954),"FALTANTE",ABS((C1954-$W$5)/$X$5)&gt;1.96,"ATÍPICO",ABS((C1954-$W$5)/$X$5)&lt;=1.96,"NO ATÍPICO")</f>
        <v>NO ATÍPICO</v>
      </c>
      <c r="K1954" t="str" cm="1">
        <f t="array" ref="K1954">_xlfn.IFS(ISBLANK(I1954),"FALTANTE",ABS((I1954-$W$8)/$X$8)&gt;1.92,"ATÍPICO",ABS((I1954-$W$8)/$X$8)&lt;=1.92,"NO ATÍPICO")</f>
        <v>NO ATÍPICO</v>
      </c>
      <c r="L1954">
        <f t="shared" si="136"/>
        <v>752666</v>
      </c>
      <c r="M1954" t="str">
        <f t="shared" si="136"/>
        <v>ASALARIADO</v>
      </c>
      <c r="N1954">
        <f t="shared" si="137"/>
        <v>31</v>
      </c>
      <c r="O1954" s="19" t="str">
        <f t="shared" si="138"/>
        <v>600k–900k</v>
      </c>
      <c r="P1954" s="19" t="str">
        <f t="shared" si="139"/>
        <v>26-35</v>
      </c>
    </row>
    <row r="1955" spans="1:16" x14ac:dyDescent="0.25">
      <c r="A1955">
        <v>1954</v>
      </c>
      <c r="B1955" t="s">
        <v>9</v>
      </c>
      <c r="C1955">
        <v>96000</v>
      </c>
      <c r="D1955" t="s">
        <v>10</v>
      </c>
      <c r="E1955" t="s">
        <v>16</v>
      </c>
      <c r="F1955" t="s">
        <v>12</v>
      </c>
      <c r="G1955" t="s">
        <v>12</v>
      </c>
      <c r="H1955" t="s">
        <v>13</v>
      </c>
      <c r="I1955">
        <v>47</v>
      </c>
      <c r="J1955" t="str" cm="1">
        <f t="array" ref="J1955">_xlfn.IFS(ISBLANK(C1955),"FALTANTE",ABS((C1955-$W$5)/$X$5)&gt;1.96,"ATÍPICO",ABS((C1955-$W$5)/$X$5)&lt;=1.96,"NO ATÍPICO")</f>
        <v>NO ATÍPICO</v>
      </c>
      <c r="K1955" t="str" cm="1">
        <f t="array" ref="K1955">_xlfn.IFS(ISBLANK(I1955),"FALTANTE",ABS((I1955-$W$8)/$X$8)&gt;1.92,"ATÍPICO",ABS((I1955-$W$8)/$X$8)&lt;=1.92,"NO ATÍPICO")</f>
        <v>NO ATÍPICO</v>
      </c>
      <c r="L1955">
        <f t="shared" si="136"/>
        <v>96000</v>
      </c>
      <c r="M1955" t="str">
        <f t="shared" si="136"/>
        <v>ASALARIADO</v>
      </c>
      <c r="N1955">
        <f t="shared" si="137"/>
        <v>47</v>
      </c>
      <c r="O1955" s="19" t="str">
        <f t="shared" si="138"/>
        <v>0–300k</v>
      </c>
      <c r="P1955" s="19" t="str">
        <f t="shared" si="139"/>
        <v>46-55</v>
      </c>
    </row>
    <row r="1956" spans="1:16" x14ac:dyDescent="0.25">
      <c r="A1956">
        <v>1955</v>
      </c>
      <c r="B1956" t="s">
        <v>15</v>
      </c>
      <c r="C1956">
        <v>363604.49</v>
      </c>
      <c r="D1956" t="s">
        <v>10</v>
      </c>
      <c r="E1956" t="s">
        <v>16</v>
      </c>
      <c r="F1956" t="s">
        <v>12</v>
      </c>
      <c r="G1956" t="s">
        <v>13</v>
      </c>
      <c r="H1956" t="s">
        <v>13</v>
      </c>
      <c r="I1956">
        <v>21</v>
      </c>
      <c r="J1956" t="str" cm="1">
        <f t="array" ref="J1956">_xlfn.IFS(ISBLANK(C1956),"FALTANTE",ABS((C1956-$W$5)/$X$5)&gt;1.96,"ATÍPICO",ABS((C1956-$W$5)/$X$5)&lt;=1.96,"NO ATÍPICO")</f>
        <v>NO ATÍPICO</v>
      </c>
      <c r="K1956" t="str" cm="1">
        <f t="array" ref="K1956">_xlfn.IFS(ISBLANK(I1956),"FALTANTE",ABS((I1956-$W$8)/$X$8)&gt;1.92,"ATÍPICO",ABS((I1956-$W$8)/$X$8)&lt;=1.92,"NO ATÍPICO")</f>
        <v>NO ATÍPICO</v>
      </c>
      <c r="L1956">
        <f t="shared" si="136"/>
        <v>363604.49</v>
      </c>
      <c r="M1956" t="str">
        <f t="shared" si="136"/>
        <v>ASALARIADO</v>
      </c>
      <c r="N1956">
        <f t="shared" si="137"/>
        <v>21</v>
      </c>
      <c r="O1956" s="19" t="str">
        <f t="shared" si="138"/>
        <v>300k–600k</v>
      </c>
      <c r="P1956" s="19" t="str">
        <f t="shared" si="139"/>
        <v>18-25</v>
      </c>
    </row>
    <row r="1957" spans="1:16" x14ac:dyDescent="0.25">
      <c r="A1957">
        <v>1956</v>
      </c>
      <c r="B1957" t="s">
        <v>9</v>
      </c>
      <c r="C1957">
        <v>1094727.6000000001</v>
      </c>
      <c r="D1957" t="s">
        <v>14</v>
      </c>
      <c r="E1957" t="s">
        <v>11</v>
      </c>
      <c r="F1957" t="s">
        <v>12</v>
      </c>
      <c r="G1957" t="s">
        <v>13</v>
      </c>
      <c r="H1957" t="s">
        <v>13</v>
      </c>
      <c r="I1957">
        <v>70</v>
      </c>
      <c r="J1957" t="str" cm="1">
        <f t="array" ref="J1957">_xlfn.IFS(ISBLANK(C1957),"FALTANTE",ABS((C1957-$W$5)/$X$5)&gt;1.96,"ATÍPICO",ABS((C1957-$W$5)/$X$5)&lt;=1.96,"NO ATÍPICO")</f>
        <v>NO ATÍPICO</v>
      </c>
      <c r="K1957" t="str" cm="1">
        <f t="array" ref="K1957">_xlfn.IFS(ISBLANK(I1957),"FALTANTE",ABS((I1957-$W$8)/$X$8)&gt;1.92,"ATÍPICO",ABS((I1957-$W$8)/$X$8)&lt;=1.92,"NO ATÍPICO")</f>
        <v>ATÍPICO</v>
      </c>
      <c r="L1957">
        <f t="shared" si="136"/>
        <v>1094727.6000000001</v>
      </c>
      <c r="M1957" t="str">
        <f t="shared" si="136"/>
        <v>PENSIONADOS EN SU PROPIO SISTEMA</v>
      </c>
      <c r="N1957">
        <f t="shared" si="137"/>
        <v>70</v>
      </c>
      <c r="O1957" s="19" t="str">
        <f t="shared" si="138"/>
        <v>900k–1200k</v>
      </c>
      <c r="P1957" s="19" t="str">
        <f t="shared" si="139"/>
        <v>56+</v>
      </c>
    </row>
    <row r="1958" spans="1:16" x14ac:dyDescent="0.25">
      <c r="A1958">
        <v>1957</v>
      </c>
      <c r="B1958" t="s">
        <v>15</v>
      </c>
      <c r="C1958">
        <v>297046</v>
      </c>
      <c r="D1958" t="s">
        <v>17</v>
      </c>
      <c r="E1958" t="s">
        <v>16</v>
      </c>
      <c r="F1958" t="s">
        <v>12</v>
      </c>
      <c r="G1958" t="s">
        <v>13</v>
      </c>
      <c r="H1958" t="s">
        <v>13</v>
      </c>
      <c r="I1958">
        <v>25</v>
      </c>
      <c r="J1958" t="str" cm="1">
        <f t="array" ref="J1958">_xlfn.IFS(ISBLANK(C1958),"FALTANTE",ABS((C1958-$W$5)/$X$5)&gt;1.96,"ATÍPICO",ABS((C1958-$W$5)/$X$5)&lt;=1.96,"NO ATÍPICO")</f>
        <v>NO ATÍPICO</v>
      </c>
      <c r="K1958" t="str" cm="1">
        <f t="array" ref="K1958">_xlfn.IFS(ISBLANK(I1958),"FALTANTE",ABS((I1958-$W$8)/$X$8)&gt;1.92,"ATÍPICO",ABS((I1958-$W$8)/$X$8)&lt;=1.92,"NO ATÍPICO")</f>
        <v>NO ATÍPICO</v>
      </c>
      <c r="L1958">
        <f t="shared" si="136"/>
        <v>297046</v>
      </c>
      <c r="M1958" t="str">
        <f t="shared" si="136"/>
        <v>ASEGURADO VOLUNTARIO</v>
      </c>
      <c r="N1958">
        <f t="shared" si="137"/>
        <v>25</v>
      </c>
      <c r="O1958" s="19" t="str">
        <f t="shared" si="138"/>
        <v>0–300k</v>
      </c>
      <c r="P1958" s="19" t="str">
        <f t="shared" si="139"/>
        <v>18-25</v>
      </c>
    </row>
    <row r="1959" spans="1:16" x14ac:dyDescent="0.25">
      <c r="A1959">
        <v>1958</v>
      </c>
      <c r="B1959" t="s">
        <v>9</v>
      </c>
      <c r="C1959">
        <v>297046</v>
      </c>
      <c r="D1959" t="s">
        <v>17</v>
      </c>
      <c r="E1959" t="s">
        <v>16</v>
      </c>
      <c r="F1959" t="s">
        <v>12</v>
      </c>
      <c r="G1959" t="s">
        <v>13</v>
      </c>
      <c r="H1959" t="s">
        <v>13</v>
      </c>
      <c r="I1959">
        <v>45</v>
      </c>
      <c r="J1959" t="str" cm="1">
        <f t="array" ref="J1959">_xlfn.IFS(ISBLANK(C1959),"FALTANTE",ABS((C1959-$W$5)/$X$5)&gt;1.96,"ATÍPICO",ABS((C1959-$W$5)/$X$5)&lt;=1.96,"NO ATÍPICO")</f>
        <v>NO ATÍPICO</v>
      </c>
      <c r="K1959" t="str" cm="1">
        <f t="array" ref="K1959">_xlfn.IFS(ISBLANK(I1959),"FALTANTE",ABS((I1959-$W$8)/$X$8)&gt;1.92,"ATÍPICO",ABS((I1959-$W$8)/$X$8)&lt;=1.92,"NO ATÍPICO")</f>
        <v>NO ATÍPICO</v>
      </c>
      <c r="L1959">
        <f t="shared" si="136"/>
        <v>297046</v>
      </c>
      <c r="M1959" t="str">
        <f t="shared" si="136"/>
        <v>ASEGURADO VOLUNTARIO</v>
      </c>
      <c r="N1959">
        <f t="shared" si="137"/>
        <v>45</v>
      </c>
      <c r="O1959" s="19" t="str">
        <f t="shared" si="138"/>
        <v>0–300k</v>
      </c>
      <c r="P1959" s="19" t="str">
        <f t="shared" si="139"/>
        <v>36-45</v>
      </c>
    </row>
    <row r="1960" spans="1:16" x14ac:dyDescent="0.25">
      <c r="A1960">
        <v>1959</v>
      </c>
      <c r="B1960" t="s">
        <v>15</v>
      </c>
      <c r="C1960">
        <v>350899.48</v>
      </c>
      <c r="D1960" t="s">
        <v>10</v>
      </c>
      <c r="E1960" t="s">
        <v>16</v>
      </c>
      <c r="F1960" t="s">
        <v>12</v>
      </c>
      <c r="G1960" t="s">
        <v>12</v>
      </c>
      <c r="H1960" t="s">
        <v>13</v>
      </c>
      <c r="I1960">
        <v>38</v>
      </c>
      <c r="J1960" t="str" cm="1">
        <f t="array" ref="J1960">_xlfn.IFS(ISBLANK(C1960),"FALTANTE",ABS((C1960-$W$5)/$X$5)&gt;1.96,"ATÍPICO",ABS((C1960-$W$5)/$X$5)&lt;=1.96,"NO ATÍPICO")</f>
        <v>NO ATÍPICO</v>
      </c>
      <c r="K1960" t="str" cm="1">
        <f t="array" ref="K1960">_xlfn.IFS(ISBLANK(I1960),"FALTANTE",ABS((I1960-$W$8)/$X$8)&gt;1.92,"ATÍPICO",ABS((I1960-$W$8)/$X$8)&lt;=1.92,"NO ATÍPICO")</f>
        <v>NO ATÍPICO</v>
      </c>
      <c r="L1960">
        <f t="shared" si="136"/>
        <v>350899.48</v>
      </c>
      <c r="M1960" t="str">
        <f t="shared" si="136"/>
        <v>ASALARIADO</v>
      </c>
      <c r="N1960">
        <f t="shared" si="137"/>
        <v>38</v>
      </c>
      <c r="O1960" s="19" t="str">
        <f t="shared" si="138"/>
        <v>300k–600k</v>
      </c>
      <c r="P1960" s="19" t="str">
        <f t="shared" si="139"/>
        <v>36-45</v>
      </c>
    </row>
    <row r="1961" spans="1:16" x14ac:dyDescent="0.25">
      <c r="A1961">
        <v>1960</v>
      </c>
      <c r="B1961" t="s">
        <v>9</v>
      </c>
      <c r="C1961">
        <v>639148</v>
      </c>
      <c r="D1961" t="s">
        <v>18</v>
      </c>
      <c r="E1961" t="s">
        <v>16</v>
      </c>
      <c r="F1961" t="s">
        <v>12</v>
      </c>
      <c r="G1961" t="s">
        <v>13</v>
      </c>
      <c r="H1961" t="s">
        <v>12</v>
      </c>
      <c r="I1961">
        <v>50</v>
      </c>
      <c r="J1961" t="str" cm="1">
        <f t="array" ref="J1961">_xlfn.IFS(ISBLANK(C1961),"FALTANTE",ABS((C1961-$W$5)/$X$5)&gt;1.96,"ATÍPICO",ABS((C1961-$W$5)/$X$5)&lt;=1.96,"NO ATÍPICO")</f>
        <v>NO ATÍPICO</v>
      </c>
      <c r="K1961" t="str" cm="1">
        <f t="array" ref="K1961">_xlfn.IFS(ISBLANK(I1961),"FALTANTE",ABS((I1961-$W$8)/$X$8)&gt;1.92,"ATÍPICO",ABS((I1961-$W$8)/$X$8)&lt;=1.92,"NO ATÍPICO")</f>
        <v>NO ATÍPICO</v>
      </c>
      <c r="L1961">
        <f t="shared" si="136"/>
        <v>639148</v>
      </c>
      <c r="M1961" t="str">
        <f t="shared" si="136"/>
        <v>TRABAJADOR INDEPENDIENTE</v>
      </c>
      <c r="N1961">
        <f t="shared" si="137"/>
        <v>50</v>
      </c>
      <c r="O1961" s="19" t="str">
        <f t="shared" si="138"/>
        <v>600k–900k</v>
      </c>
      <c r="P1961" s="19" t="str">
        <f t="shared" si="139"/>
        <v>46-55</v>
      </c>
    </row>
    <row r="1962" spans="1:16" x14ac:dyDescent="0.25">
      <c r="A1962">
        <v>1961</v>
      </c>
      <c r="B1962" t="s">
        <v>15</v>
      </c>
      <c r="C1962">
        <v>798237</v>
      </c>
      <c r="D1962" t="s">
        <v>10</v>
      </c>
      <c r="E1962" t="s">
        <v>11</v>
      </c>
      <c r="F1962" t="s">
        <v>12</v>
      </c>
      <c r="G1962" t="s">
        <v>13</v>
      </c>
      <c r="H1962" t="s">
        <v>12</v>
      </c>
      <c r="I1962">
        <v>36</v>
      </c>
      <c r="J1962" t="str" cm="1">
        <f t="array" ref="J1962">_xlfn.IFS(ISBLANK(C1962),"FALTANTE",ABS((C1962-$W$5)/$X$5)&gt;1.96,"ATÍPICO",ABS((C1962-$W$5)/$X$5)&lt;=1.96,"NO ATÍPICO")</f>
        <v>NO ATÍPICO</v>
      </c>
      <c r="K1962" t="str" cm="1">
        <f t="array" ref="K1962">_xlfn.IFS(ISBLANK(I1962),"FALTANTE",ABS((I1962-$W$8)/$X$8)&gt;1.92,"ATÍPICO",ABS((I1962-$W$8)/$X$8)&lt;=1.92,"NO ATÍPICO")</f>
        <v>NO ATÍPICO</v>
      </c>
      <c r="L1962">
        <f t="shared" si="136"/>
        <v>798237</v>
      </c>
      <c r="M1962" t="str">
        <f t="shared" si="136"/>
        <v>ASALARIADO</v>
      </c>
      <c r="N1962">
        <f t="shared" si="137"/>
        <v>36</v>
      </c>
      <c r="O1962" s="19" t="str">
        <f t="shared" si="138"/>
        <v>600k–900k</v>
      </c>
      <c r="P1962" s="19" t="str">
        <f t="shared" si="139"/>
        <v>36-45</v>
      </c>
    </row>
    <row r="1963" spans="1:16" x14ac:dyDescent="0.25">
      <c r="A1963">
        <v>1962</v>
      </c>
      <c r="B1963" t="s">
        <v>9</v>
      </c>
      <c r="C1963">
        <v>445567</v>
      </c>
      <c r="D1963" t="s">
        <v>18</v>
      </c>
      <c r="E1963" t="s">
        <v>16</v>
      </c>
      <c r="F1963" t="s">
        <v>12</v>
      </c>
      <c r="G1963" t="s">
        <v>13</v>
      </c>
      <c r="H1963" t="s">
        <v>12</v>
      </c>
      <c r="I1963">
        <v>33</v>
      </c>
      <c r="J1963" t="str" cm="1">
        <f t="array" ref="J1963">_xlfn.IFS(ISBLANK(C1963),"FALTANTE",ABS((C1963-$W$5)/$X$5)&gt;1.96,"ATÍPICO",ABS((C1963-$W$5)/$X$5)&lt;=1.96,"NO ATÍPICO")</f>
        <v>NO ATÍPICO</v>
      </c>
      <c r="K1963" t="str" cm="1">
        <f t="array" ref="K1963">_xlfn.IFS(ISBLANK(I1963),"FALTANTE",ABS((I1963-$W$8)/$X$8)&gt;1.92,"ATÍPICO",ABS((I1963-$W$8)/$X$8)&lt;=1.92,"NO ATÍPICO")</f>
        <v>NO ATÍPICO</v>
      </c>
      <c r="L1963">
        <f t="shared" si="136"/>
        <v>445567</v>
      </c>
      <c r="M1963" t="str">
        <f t="shared" si="136"/>
        <v>TRABAJADOR INDEPENDIENTE</v>
      </c>
      <c r="N1963">
        <f t="shared" si="137"/>
        <v>33</v>
      </c>
      <c r="O1963" s="19" t="str">
        <f t="shared" si="138"/>
        <v>300k–600k</v>
      </c>
      <c r="P1963" s="19" t="str">
        <f t="shared" si="139"/>
        <v>26-35</v>
      </c>
    </row>
    <row r="1964" spans="1:16" x14ac:dyDescent="0.25">
      <c r="A1964">
        <v>1963</v>
      </c>
      <c r="B1964" t="s">
        <v>9</v>
      </c>
      <c r="C1964">
        <v>537540</v>
      </c>
      <c r="D1964" t="s">
        <v>10</v>
      </c>
      <c r="E1964" t="s">
        <v>16</v>
      </c>
      <c r="F1964" t="s">
        <v>12</v>
      </c>
      <c r="G1964" t="s">
        <v>13</v>
      </c>
      <c r="H1964" t="s">
        <v>13</v>
      </c>
      <c r="I1964">
        <v>36</v>
      </c>
      <c r="J1964" t="str" cm="1">
        <f t="array" ref="J1964">_xlfn.IFS(ISBLANK(C1964),"FALTANTE",ABS((C1964-$W$5)/$X$5)&gt;1.96,"ATÍPICO",ABS((C1964-$W$5)/$X$5)&lt;=1.96,"NO ATÍPICO")</f>
        <v>NO ATÍPICO</v>
      </c>
      <c r="K1964" t="str" cm="1">
        <f t="array" ref="K1964">_xlfn.IFS(ISBLANK(I1964),"FALTANTE",ABS((I1964-$W$8)/$X$8)&gt;1.92,"ATÍPICO",ABS((I1964-$W$8)/$X$8)&lt;=1.92,"NO ATÍPICO")</f>
        <v>NO ATÍPICO</v>
      </c>
      <c r="L1964">
        <f t="shared" si="136"/>
        <v>537540</v>
      </c>
      <c r="M1964" t="str">
        <f t="shared" si="136"/>
        <v>ASALARIADO</v>
      </c>
      <c r="N1964">
        <f t="shared" si="137"/>
        <v>36</v>
      </c>
      <c r="O1964" s="19" t="str">
        <f t="shared" si="138"/>
        <v>300k–600k</v>
      </c>
      <c r="P1964" s="19" t="str">
        <f t="shared" si="139"/>
        <v>36-45</v>
      </c>
    </row>
    <row r="1965" spans="1:16" x14ac:dyDescent="0.25">
      <c r="A1965">
        <v>1964</v>
      </c>
      <c r="B1965" t="s">
        <v>9</v>
      </c>
      <c r="C1965">
        <v>300018</v>
      </c>
      <c r="D1965" t="s">
        <v>18</v>
      </c>
      <c r="E1965" t="s">
        <v>16</v>
      </c>
      <c r="F1965" t="s">
        <v>12</v>
      </c>
      <c r="G1965" t="s">
        <v>13</v>
      </c>
      <c r="H1965" t="s">
        <v>13</v>
      </c>
      <c r="I1965">
        <v>71</v>
      </c>
      <c r="J1965" t="str" cm="1">
        <f t="array" ref="J1965">_xlfn.IFS(ISBLANK(C1965),"FALTANTE",ABS((C1965-$W$5)/$X$5)&gt;1.96,"ATÍPICO",ABS((C1965-$W$5)/$X$5)&lt;=1.96,"NO ATÍPICO")</f>
        <v>NO ATÍPICO</v>
      </c>
      <c r="K1965" t="str" cm="1">
        <f t="array" ref="K1965">_xlfn.IFS(ISBLANK(I1965),"FALTANTE",ABS((I1965-$W$8)/$X$8)&gt;1.92,"ATÍPICO",ABS((I1965-$W$8)/$X$8)&lt;=1.92,"NO ATÍPICO")</f>
        <v>ATÍPICO</v>
      </c>
      <c r="L1965">
        <f t="shared" si="136"/>
        <v>300018</v>
      </c>
      <c r="M1965" t="str">
        <f t="shared" si="136"/>
        <v>TRABAJADOR INDEPENDIENTE</v>
      </c>
      <c r="N1965">
        <f t="shared" si="137"/>
        <v>71</v>
      </c>
      <c r="O1965" s="19" t="str">
        <f t="shared" si="138"/>
        <v>300k–600k</v>
      </c>
      <c r="P1965" s="19" t="str">
        <f t="shared" si="139"/>
        <v>56+</v>
      </c>
    </row>
    <row r="1966" spans="1:16" x14ac:dyDescent="0.25">
      <c r="A1966">
        <v>1965</v>
      </c>
      <c r="B1966" t="s">
        <v>9</v>
      </c>
      <c r="C1966">
        <v>1500808.75</v>
      </c>
      <c r="D1966" t="s">
        <v>10</v>
      </c>
      <c r="E1966" t="s">
        <v>16</v>
      </c>
      <c r="F1966" t="s">
        <v>12</v>
      </c>
      <c r="G1966" t="s">
        <v>13</v>
      </c>
      <c r="H1966" t="s">
        <v>13</v>
      </c>
      <c r="I1966">
        <v>37</v>
      </c>
      <c r="J1966" t="str" cm="1">
        <f t="array" ref="J1966">_xlfn.IFS(ISBLANK(C1966),"FALTANTE",ABS((C1966-$W$5)/$X$5)&gt;1.96,"ATÍPICO",ABS((C1966-$W$5)/$X$5)&lt;=1.96,"NO ATÍPICO")</f>
        <v>NO ATÍPICO</v>
      </c>
      <c r="K1966" t="str" cm="1">
        <f t="array" ref="K1966">_xlfn.IFS(ISBLANK(I1966),"FALTANTE",ABS((I1966-$W$8)/$X$8)&gt;1.92,"ATÍPICO",ABS((I1966-$W$8)/$X$8)&lt;=1.92,"NO ATÍPICO")</f>
        <v>NO ATÍPICO</v>
      </c>
      <c r="L1966">
        <f t="shared" si="136"/>
        <v>1500808.75</v>
      </c>
      <c r="M1966" t="str">
        <f t="shared" si="136"/>
        <v>ASALARIADO</v>
      </c>
      <c r="N1966">
        <f t="shared" si="137"/>
        <v>37</v>
      </c>
      <c r="O1966" s="19" t="str">
        <f t="shared" si="138"/>
        <v>1200k+</v>
      </c>
      <c r="P1966" s="19" t="str">
        <f t="shared" si="139"/>
        <v>36-45</v>
      </c>
    </row>
    <row r="1967" spans="1:16" x14ac:dyDescent="0.25">
      <c r="A1967">
        <v>1966</v>
      </c>
      <c r="B1967" t="s">
        <v>15</v>
      </c>
      <c r="C1967">
        <v>285000</v>
      </c>
      <c r="D1967" t="s">
        <v>10</v>
      </c>
      <c r="E1967" t="s">
        <v>16</v>
      </c>
      <c r="F1967" t="s">
        <v>12</v>
      </c>
      <c r="G1967" t="s">
        <v>13</v>
      </c>
      <c r="H1967" t="s">
        <v>13</v>
      </c>
      <c r="I1967">
        <v>27</v>
      </c>
      <c r="J1967" t="str" cm="1">
        <f t="array" ref="J1967">_xlfn.IFS(ISBLANK(C1967),"FALTANTE",ABS((C1967-$W$5)/$X$5)&gt;1.96,"ATÍPICO",ABS((C1967-$W$5)/$X$5)&lt;=1.96,"NO ATÍPICO")</f>
        <v>NO ATÍPICO</v>
      </c>
      <c r="K1967" t="str" cm="1">
        <f t="array" ref="K1967">_xlfn.IFS(ISBLANK(I1967),"FALTANTE",ABS((I1967-$W$8)/$X$8)&gt;1.92,"ATÍPICO",ABS((I1967-$W$8)/$X$8)&lt;=1.92,"NO ATÍPICO")</f>
        <v>NO ATÍPICO</v>
      </c>
      <c r="L1967">
        <f t="shared" si="136"/>
        <v>285000</v>
      </c>
      <c r="M1967" t="str">
        <f t="shared" si="136"/>
        <v>ASALARIADO</v>
      </c>
      <c r="N1967">
        <f t="shared" si="137"/>
        <v>27</v>
      </c>
      <c r="O1967" s="19" t="str">
        <f t="shared" si="138"/>
        <v>0–300k</v>
      </c>
      <c r="P1967" s="19" t="str">
        <f t="shared" si="139"/>
        <v>26-35</v>
      </c>
    </row>
    <row r="1968" spans="1:16" x14ac:dyDescent="0.25">
      <c r="A1968">
        <v>1967</v>
      </c>
      <c r="B1968" t="s">
        <v>9</v>
      </c>
      <c r="C1968">
        <v>282305</v>
      </c>
      <c r="D1968" t="s">
        <v>18</v>
      </c>
      <c r="E1968" t="s">
        <v>16</v>
      </c>
      <c r="F1968" t="s">
        <v>12</v>
      </c>
      <c r="G1968" t="s">
        <v>13</v>
      </c>
      <c r="H1968" t="s">
        <v>13</v>
      </c>
      <c r="I1968">
        <v>29</v>
      </c>
      <c r="J1968" t="str" cm="1">
        <f t="array" ref="J1968">_xlfn.IFS(ISBLANK(C1968),"FALTANTE",ABS((C1968-$W$5)/$X$5)&gt;1.96,"ATÍPICO",ABS((C1968-$W$5)/$X$5)&lt;=1.96,"NO ATÍPICO")</f>
        <v>NO ATÍPICO</v>
      </c>
      <c r="K1968" t="str" cm="1">
        <f t="array" ref="K1968">_xlfn.IFS(ISBLANK(I1968),"FALTANTE",ABS((I1968-$W$8)/$X$8)&gt;1.92,"ATÍPICO",ABS((I1968-$W$8)/$X$8)&lt;=1.92,"NO ATÍPICO")</f>
        <v>NO ATÍPICO</v>
      </c>
      <c r="L1968">
        <f t="shared" si="136"/>
        <v>282305</v>
      </c>
      <c r="M1968" t="str">
        <f t="shared" si="136"/>
        <v>TRABAJADOR INDEPENDIENTE</v>
      </c>
      <c r="N1968">
        <f t="shared" si="137"/>
        <v>29</v>
      </c>
      <c r="O1968" s="19" t="str">
        <f t="shared" si="138"/>
        <v>0–300k</v>
      </c>
      <c r="P1968" s="19" t="str">
        <f t="shared" si="139"/>
        <v>26-35</v>
      </c>
    </row>
    <row r="1969" spans="1:16" x14ac:dyDescent="0.25">
      <c r="A1969">
        <v>1968</v>
      </c>
      <c r="B1969" t="s">
        <v>9</v>
      </c>
      <c r="C1969">
        <v>2546628.4</v>
      </c>
      <c r="D1969" t="s">
        <v>10</v>
      </c>
      <c r="E1969" t="s">
        <v>11</v>
      </c>
      <c r="F1969" t="s">
        <v>12</v>
      </c>
      <c r="G1969" t="s">
        <v>13</v>
      </c>
      <c r="H1969" t="s">
        <v>13</v>
      </c>
      <c r="I1969">
        <v>59</v>
      </c>
      <c r="J1969" t="str" cm="1">
        <f t="array" ref="J1969">_xlfn.IFS(ISBLANK(C1969),"FALTANTE",ABS((C1969-$W$5)/$X$5)&gt;1.96,"ATÍPICO",ABS((C1969-$W$5)/$X$5)&lt;=1.96,"NO ATÍPICO")</f>
        <v>ATÍPICO</v>
      </c>
      <c r="K1969" t="str" cm="1">
        <f t="array" ref="K1969">_xlfn.IFS(ISBLANK(I1969),"FALTANTE",ABS((I1969-$W$8)/$X$8)&gt;1.92,"ATÍPICO",ABS((I1969-$W$8)/$X$8)&lt;=1.92,"NO ATÍPICO")</f>
        <v>NO ATÍPICO</v>
      </c>
      <c r="L1969">
        <f t="shared" si="136"/>
        <v>2546628.4</v>
      </c>
      <c r="M1969" t="str">
        <f t="shared" si="136"/>
        <v>ASALARIADO</v>
      </c>
      <c r="N1969">
        <f t="shared" si="137"/>
        <v>59</v>
      </c>
      <c r="O1969" s="19" t="str">
        <f t="shared" si="138"/>
        <v>1200k+</v>
      </c>
      <c r="P1969" s="19" t="str">
        <f t="shared" si="139"/>
        <v>56+</v>
      </c>
    </row>
    <row r="1970" spans="1:16" x14ac:dyDescent="0.25">
      <c r="A1970">
        <v>1969</v>
      </c>
      <c r="B1970" t="s">
        <v>9</v>
      </c>
      <c r="C1970">
        <v>461935.5</v>
      </c>
      <c r="D1970" t="s">
        <v>10</v>
      </c>
      <c r="E1970" t="s">
        <v>16</v>
      </c>
      <c r="F1970" t="s">
        <v>12</v>
      </c>
      <c r="G1970" t="s">
        <v>13</v>
      </c>
      <c r="H1970" t="s">
        <v>13</v>
      </c>
      <c r="I1970">
        <v>28</v>
      </c>
      <c r="J1970" t="str" cm="1">
        <f t="array" ref="J1970">_xlfn.IFS(ISBLANK(C1970),"FALTANTE",ABS((C1970-$W$5)/$X$5)&gt;1.96,"ATÍPICO",ABS((C1970-$W$5)/$X$5)&lt;=1.96,"NO ATÍPICO")</f>
        <v>NO ATÍPICO</v>
      </c>
      <c r="K1970" t="str" cm="1">
        <f t="array" ref="K1970">_xlfn.IFS(ISBLANK(I1970),"FALTANTE",ABS((I1970-$W$8)/$X$8)&gt;1.92,"ATÍPICO",ABS((I1970-$W$8)/$X$8)&lt;=1.92,"NO ATÍPICO")</f>
        <v>NO ATÍPICO</v>
      </c>
      <c r="L1970">
        <f t="shared" si="136"/>
        <v>461935.5</v>
      </c>
      <c r="M1970" t="str">
        <f t="shared" si="136"/>
        <v>ASALARIADO</v>
      </c>
      <c r="N1970">
        <f t="shared" si="137"/>
        <v>28</v>
      </c>
      <c r="O1970" s="19" t="str">
        <f t="shared" si="138"/>
        <v>300k–600k</v>
      </c>
      <c r="P1970" s="19" t="str">
        <f t="shared" si="139"/>
        <v>26-35</v>
      </c>
    </row>
    <row r="1971" spans="1:16" x14ac:dyDescent="0.25">
      <c r="A1971">
        <v>1970</v>
      </c>
      <c r="B1971" t="s">
        <v>15</v>
      </c>
      <c r="C1971">
        <v>212356.1</v>
      </c>
      <c r="D1971" t="s">
        <v>10</v>
      </c>
      <c r="E1971" t="s">
        <v>16</v>
      </c>
      <c r="F1971" t="s">
        <v>12</v>
      </c>
      <c r="G1971" t="s">
        <v>13</v>
      </c>
      <c r="H1971" t="s">
        <v>13</v>
      </c>
      <c r="I1971">
        <v>27</v>
      </c>
      <c r="J1971" t="str" cm="1">
        <f t="array" ref="J1971">_xlfn.IFS(ISBLANK(C1971),"FALTANTE",ABS((C1971-$W$5)/$X$5)&gt;1.96,"ATÍPICO",ABS((C1971-$W$5)/$X$5)&lt;=1.96,"NO ATÍPICO")</f>
        <v>NO ATÍPICO</v>
      </c>
      <c r="K1971" t="str" cm="1">
        <f t="array" ref="K1971">_xlfn.IFS(ISBLANK(I1971),"FALTANTE",ABS((I1971-$W$8)/$X$8)&gt;1.92,"ATÍPICO",ABS((I1971-$W$8)/$X$8)&lt;=1.92,"NO ATÍPICO")</f>
        <v>NO ATÍPICO</v>
      </c>
      <c r="L1971">
        <f t="shared" si="136"/>
        <v>212356.1</v>
      </c>
      <c r="M1971" t="str">
        <f t="shared" si="136"/>
        <v>ASALARIADO</v>
      </c>
      <c r="N1971">
        <f t="shared" si="137"/>
        <v>27</v>
      </c>
      <c r="O1971" s="19" t="str">
        <f t="shared" si="138"/>
        <v>0–300k</v>
      </c>
      <c r="P1971" s="19" t="str">
        <f t="shared" si="139"/>
        <v>26-35</v>
      </c>
    </row>
    <row r="1972" spans="1:16" x14ac:dyDescent="0.25">
      <c r="A1972">
        <v>1971</v>
      </c>
      <c r="B1972" t="s">
        <v>9</v>
      </c>
      <c r="C1972">
        <v>297046</v>
      </c>
      <c r="D1972" t="s">
        <v>18</v>
      </c>
      <c r="E1972" t="s">
        <v>16</v>
      </c>
      <c r="F1972" t="s">
        <v>12</v>
      </c>
      <c r="G1972" t="s">
        <v>13</v>
      </c>
      <c r="H1972" t="s">
        <v>12</v>
      </c>
      <c r="I1972">
        <v>38</v>
      </c>
      <c r="J1972" t="str" cm="1">
        <f t="array" ref="J1972">_xlfn.IFS(ISBLANK(C1972),"FALTANTE",ABS((C1972-$W$5)/$X$5)&gt;1.96,"ATÍPICO",ABS((C1972-$W$5)/$X$5)&lt;=1.96,"NO ATÍPICO")</f>
        <v>NO ATÍPICO</v>
      </c>
      <c r="K1972" t="str" cm="1">
        <f t="array" ref="K1972">_xlfn.IFS(ISBLANK(I1972),"FALTANTE",ABS((I1972-$W$8)/$X$8)&gt;1.92,"ATÍPICO",ABS((I1972-$W$8)/$X$8)&lt;=1.92,"NO ATÍPICO")</f>
        <v>NO ATÍPICO</v>
      </c>
      <c r="L1972">
        <f t="shared" si="136"/>
        <v>297046</v>
      </c>
      <c r="M1972" t="str">
        <f t="shared" si="136"/>
        <v>TRABAJADOR INDEPENDIENTE</v>
      </c>
      <c r="N1972">
        <f t="shared" si="137"/>
        <v>38</v>
      </c>
      <c r="O1972" s="19" t="str">
        <f t="shared" si="138"/>
        <v>0–300k</v>
      </c>
      <c r="P1972" s="19" t="str">
        <f t="shared" si="139"/>
        <v>36-45</v>
      </c>
    </row>
    <row r="1973" spans="1:16" x14ac:dyDescent="0.25">
      <c r="A1973">
        <v>1972</v>
      </c>
      <c r="B1973" t="s">
        <v>15</v>
      </c>
      <c r="C1973">
        <v>367734</v>
      </c>
      <c r="D1973" t="s">
        <v>18</v>
      </c>
      <c r="E1973" t="s">
        <v>16</v>
      </c>
      <c r="F1973" t="s">
        <v>12</v>
      </c>
      <c r="G1973" t="s">
        <v>13</v>
      </c>
      <c r="H1973" t="s">
        <v>13</v>
      </c>
      <c r="I1973">
        <v>45</v>
      </c>
      <c r="J1973" t="str" cm="1">
        <f t="array" ref="J1973">_xlfn.IFS(ISBLANK(C1973),"FALTANTE",ABS((C1973-$W$5)/$X$5)&gt;1.96,"ATÍPICO",ABS((C1973-$W$5)/$X$5)&lt;=1.96,"NO ATÍPICO")</f>
        <v>NO ATÍPICO</v>
      </c>
      <c r="K1973" t="str" cm="1">
        <f t="array" ref="K1973">_xlfn.IFS(ISBLANK(I1973),"FALTANTE",ABS((I1973-$W$8)/$X$8)&gt;1.92,"ATÍPICO",ABS((I1973-$W$8)/$X$8)&lt;=1.92,"NO ATÍPICO")</f>
        <v>NO ATÍPICO</v>
      </c>
      <c r="L1973">
        <f t="shared" si="136"/>
        <v>367734</v>
      </c>
      <c r="M1973" t="str">
        <f t="shared" si="136"/>
        <v>TRABAJADOR INDEPENDIENTE</v>
      </c>
      <c r="N1973">
        <f t="shared" si="137"/>
        <v>45</v>
      </c>
      <c r="O1973" s="19" t="str">
        <f t="shared" si="138"/>
        <v>300k–600k</v>
      </c>
      <c r="P1973" s="19" t="str">
        <f t="shared" si="139"/>
        <v>36-45</v>
      </c>
    </row>
    <row r="1974" spans="1:16" x14ac:dyDescent="0.25">
      <c r="A1974">
        <v>1973</v>
      </c>
      <c r="B1974" t="s">
        <v>15</v>
      </c>
      <c r="C1974">
        <v>355311.3</v>
      </c>
      <c r="D1974" t="s">
        <v>10</v>
      </c>
      <c r="E1974" t="s">
        <v>11</v>
      </c>
      <c r="F1974" t="s">
        <v>12</v>
      </c>
      <c r="G1974" t="s">
        <v>13</v>
      </c>
      <c r="H1974" t="s">
        <v>13</v>
      </c>
      <c r="I1974">
        <v>46</v>
      </c>
      <c r="J1974" t="str" cm="1">
        <f t="array" ref="J1974">_xlfn.IFS(ISBLANK(C1974),"FALTANTE",ABS((C1974-$W$5)/$X$5)&gt;1.96,"ATÍPICO",ABS((C1974-$W$5)/$X$5)&lt;=1.96,"NO ATÍPICO")</f>
        <v>NO ATÍPICO</v>
      </c>
      <c r="K1974" t="str" cm="1">
        <f t="array" ref="K1974">_xlfn.IFS(ISBLANK(I1974),"FALTANTE",ABS((I1974-$W$8)/$X$8)&gt;1.92,"ATÍPICO",ABS((I1974-$W$8)/$X$8)&lt;=1.92,"NO ATÍPICO")</f>
        <v>NO ATÍPICO</v>
      </c>
      <c r="L1974">
        <f t="shared" si="136"/>
        <v>355311.3</v>
      </c>
      <c r="M1974" t="str">
        <f t="shared" si="136"/>
        <v>ASALARIADO</v>
      </c>
      <c r="N1974">
        <f t="shared" si="137"/>
        <v>46</v>
      </c>
      <c r="O1974" s="19" t="str">
        <f t="shared" si="138"/>
        <v>300k–600k</v>
      </c>
      <c r="P1974" s="19" t="str">
        <f t="shared" si="139"/>
        <v>46-55</v>
      </c>
    </row>
    <row r="1975" spans="1:16" x14ac:dyDescent="0.25">
      <c r="A1975">
        <v>1974</v>
      </c>
      <c r="B1975" t="s">
        <v>9</v>
      </c>
      <c r="C1975">
        <v>4340894</v>
      </c>
      <c r="D1975" t="s">
        <v>14</v>
      </c>
      <c r="E1975" t="s">
        <v>11</v>
      </c>
      <c r="F1975" t="s">
        <v>12</v>
      </c>
      <c r="G1975" t="s">
        <v>13</v>
      </c>
      <c r="H1975" t="s">
        <v>13</v>
      </c>
      <c r="I1975">
        <v>54</v>
      </c>
      <c r="J1975" t="str" cm="1">
        <f t="array" ref="J1975">_xlfn.IFS(ISBLANK(C1975),"FALTANTE",ABS((C1975-$W$5)/$X$5)&gt;1.96,"ATÍPICO",ABS((C1975-$W$5)/$X$5)&lt;=1.96,"NO ATÍPICO")</f>
        <v>ATÍPICO</v>
      </c>
      <c r="K1975" t="str" cm="1">
        <f t="array" ref="K1975">_xlfn.IFS(ISBLANK(I1975),"FALTANTE",ABS((I1975-$W$8)/$X$8)&gt;1.92,"ATÍPICO",ABS((I1975-$W$8)/$X$8)&lt;=1.92,"NO ATÍPICO")</f>
        <v>NO ATÍPICO</v>
      </c>
      <c r="L1975">
        <f t="shared" si="136"/>
        <v>4340894</v>
      </c>
      <c r="M1975" t="str">
        <f t="shared" si="136"/>
        <v>PENSIONADOS EN SU PROPIO SISTEMA</v>
      </c>
      <c r="N1975">
        <f t="shared" si="137"/>
        <v>54</v>
      </c>
      <c r="O1975" s="19" t="str">
        <f t="shared" si="138"/>
        <v>1200k+</v>
      </c>
      <c r="P1975" s="19" t="str">
        <f t="shared" si="139"/>
        <v>46-55</v>
      </c>
    </row>
    <row r="1976" spans="1:16" x14ac:dyDescent="0.25">
      <c r="A1976">
        <v>1975</v>
      </c>
      <c r="B1976" t="s">
        <v>15</v>
      </c>
      <c r="C1976">
        <v>300056</v>
      </c>
      <c r="D1976" t="s">
        <v>14</v>
      </c>
      <c r="E1976" t="s">
        <v>11</v>
      </c>
      <c r="F1976" t="s">
        <v>12</v>
      </c>
      <c r="G1976" t="s">
        <v>13</v>
      </c>
      <c r="H1976" t="s">
        <v>13</v>
      </c>
      <c r="I1976">
        <v>60</v>
      </c>
      <c r="J1976" t="str" cm="1">
        <f t="array" ref="J1976">_xlfn.IFS(ISBLANK(C1976),"FALTANTE",ABS((C1976-$W$5)/$X$5)&gt;1.96,"ATÍPICO",ABS((C1976-$W$5)/$X$5)&lt;=1.96,"NO ATÍPICO")</f>
        <v>NO ATÍPICO</v>
      </c>
      <c r="K1976" t="str" cm="1">
        <f t="array" ref="K1976">_xlfn.IFS(ISBLANK(I1976),"FALTANTE",ABS((I1976-$W$8)/$X$8)&gt;1.92,"ATÍPICO",ABS((I1976-$W$8)/$X$8)&lt;=1.92,"NO ATÍPICO")</f>
        <v>NO ATÍPICO</v>
      </c>
      <c r="L1976">
        <f t="shared" si="136"/>
        <v>300056</v>
      </c>
      <c r="M1976" t="str">
        <f t="shared" si="136"/>
        <v>PENSIONADOS EN SU PROPIO SISTEMA</v>
      </c>
      <c r="N1976">
        <f t="shared" si="137"/>
        <v>60</v>
      </c>
      <c r="O1976" s="19" t="str">
        <f t="shared" si="138"/>
        <v>300k–600k</v>
      </c>
      <c r="P1976" s="19" t="str">
        <f t="shared" si="139"/>
        <v>56+</v>
      </c>
    </row>
    <row r="1977" spans="1:16" x14ac:dyDescent="0.25">
      <c r="A1977">
        <v>1976</v>
      </c>
      <c r="B1977" t="s">
        <v>9</v>
      </c>
      <c r="C1977">
        <v>222597.23</v>
      </c>
      <c r="D1977" t="s">
        <v>10</v>
      </c>
      <c r="E1977" t="s">
        <v>16</v>
      </c>
      <c r="F1977" t="s">
        <v>12</v>
      </c>
      <c r="G1977" t="s">
        <v>13</v>
      </c>
      <c r="H1977" t="s">
        <v>13</v>
      </c>
      <c r="I1977">
        <v>23</v>
      </c>
      <c r="J1977" t="str" cm="1">
        <f t="array" ref="J1977">_xlfn.IFS(ISBLANK(C1977),"FALTANTE",ABS((C1977-$W$5)/$X$5)&gt;1.96,"ATÍPICO",ABS((C1977-$W$5)/$X$5)&lt;=1.96,"NO ATÍPICO")</f>
        <v>NO ATÍPICO</v>
      </c>
      <c r="K1977" t="str" cm="1">
        <f t="array" ref="K1977">_xlfn.IFS(ISBLANK(I1977),"FALTANTE",ABS((I1977-$W$8)/$X$8)&gt;1.92,"ATÍPICO",ABS((I1977-$W$8)/$X$8)&lt;=1.92,"NO ATÍPICO")</f>
        <v>NO ATÍPICO</v>
      </c>
      <c r="L1977">
        <f t="shared" si="136"/>
        <v>222597.23</v>
      </c>
      <c r="M1977" t="str">
        <f t="shared" si="136"/>
        <v>ASALARIADO</v>
      </c>
      <c r="N1977">
        <f t="shared" si="137"/>
        <v>23</v>
      </c>
      <c r="O1977" s="19" t="str">
        <f t="shared" si="138"/>
        <v>0–300k</v>
      </c>
      <c r="P1977" s="19" t="str">
        <f t="shared" si="139"/>
        <v>18-25</v>
      </c>
    </row>
    <row r="1978" spans="1:16" x14ac:dyDescent="0.25">
      <c r="A1978">
        <v>1977</v>
      </c>
      <c r="B1978" t="s">
        <v>9</v>
      </c>
      <c r="C1978">
        <v>409746</v>
      </c>
      <c r="D1978" t="s">
        <v>18</v>
      </c>
      <c r="E1978" t="s">
        <v>16</v>
      </c>
      <c r="F1978" t="s">
        <v>12</v>
      </c>
      <c r="G1978" t="s">
        <v>13</v>
      </c>
      <c r="H1978" t="s">
        <v>12</v>
      </c>
      <c r="I1978">
        <v>30</v>
      </c>
      <c r="J1978" t="str" cm="1">
        <f t="array" ref="J1978">_xlfn.IFS(ISBLANK(C1978),"FALTANTE",ABS((C1978-$W$5)/$X$5)&gt;1.96,"ATÍPICO",ABS((C1978-$W$5)/$X$5)&lt;=1.96,"NO ATÍPICO")</f>
        <v>NO ATÍPICO</v>
      </c>
      <c r="K1978" t="str" cm="1">
        <f t="array" ref="K1978">_xlfn.IFS(ISBLANK(I1978),"FALTANTE",ABS((I1978-$W$8)/$X$8)&gt;1.92,"ATÍPICO",ABS((I1978-$W$8)/$X$8)&lt;=1.92,"NO ATÍPICO")</f>
        <v>NO ATÍPICO</v>
      </c>
      <c r="L1978">
        <f t="shared" si="136"/>
        <v>409746</v>
      </c>
      <c r="M1978" t="str">
        <f t="shared" si="136"/>
        <v>TRABAJADOR INDEPENDIENTE</v>
      </c>
      <c r="N1978">
        <f t="shared" si="137"/>
        <v>30</v>
      </c>
      <c r="O1978" s="19" t="str">
        <f t="shared" si="138"/>
        <v>300k–600k</v>
      </c>
      <c r="P1978" s="19" t="str">
        <f t="shared" si="139"/>
        <v>26-35</v>
      </c>
    </row>
    <row r="1979" spans="1:16" x14ac:dyDescent="0.25">
      <c r="A1979">
        <v>1978</v>
      </c>
      <c r="B1979" t="s">
        <v>9</v>
      </c>
      <c r="C1979">
        <v>346474.5</v>
      </c>
      <c r="D1979" t="s">
        <v>10</v>
      </c>
      <c r="E1979" t="s">
        <v>16</v>
      </c>
      <c r="F1979" t="s">
        <v>12</v>
      </c>
      <c r="G1979" t="s">
        <v>13</v>
      </c>
      <c r="H1979" t="s">
        <v>13</v>
      </c>
      <c r="I1979">
        <v>28</v>
      </c>
      <c r="J1979" t="str" cm="1">
        <f t="array" ref="J1979">_xlfn.IFS(ISBLANK(C1979),"FALTANTE",ABS((C1979-$W$5)/$X$5)&gt;1.96,"ATÍPICO",ABS((C1979-$W$5)/$X$5)&lt;=1.96,"NO ATÍPICO")</f>
        <v>NO ATÍPICO</v>
      </c>
      <c r="K1979" t="str" cm="1">
        <f t="array" ref="K1979">_xlfn.IFS(ISBLANK(I1979),"FALTANTE",ABS((I1979-$W$8)/$X$8)&gt;1.92,"ATÍPICO",ABS((I1979-$W$8)/$X$8)&lt;=1.92,"NO ATÍPICO")</f>
        <v>NO ATÍPICO</v>
      </c>
      <c r="L1979">
        <f t="shared" si="136"/>
        <v>346474.5</v>
      </c>
      <c r="M1979" t="str">
        <f t="shared" si="136"/>
        <v>ASALARIADO</v>
      </c>
      <c r="N1979">
        <f t="shared" si="137"/>
        <v>28</v>
      </c>
      <c r="O1979" s="19" t="str">
        <f t="shared" si="138"/>
        <v>300k–600k</v>
      </c>
      <c r="P1979" s="19" t="str">
        <f t="shared" si="139"/>
        <v>26-35</v>
      </c>
    </row>
    <row r="1980" spans="1:16" x14ac:dyDescent="0.25">
      <c r="A1980">
        <v>1979</v>
      </c>
      <c r="B1980" t="s">
        <v>9</v>
      </c>
      <c r="C1980">
        <v>278030</v>
      </c>
      <c r="D1980" t="s">
        <v>19</v>
      </c>
      <c r="E1980" t="s">
        <v>16</v>
      </c>
      <c r="F1980" t="s">
        <v>12</v>
      </c>
      <c r="G1980" t="s">
        <v>13</v>
      </c>
      <c r="H1980" t="s">
        <v>13</v>
      </c>
      <c r="I1980">
        <v>86</v>
      </c>
      <c r="J1980" t="str" cm="1">
        <f t="array" ref="J1980">_xlfn.IFS(ISBLANK(C1980),"FALTANTE",ABS((C1980-$W$5)/$X$5)&gt;1.96,"ATÍPICO",ABS((C1980-$W$5)/$X$5)&lt;=1.96,"NO ATÍPICO")</f>
        <v>NO ATÍPICO</v>
      </c>
      <c r="K1980" t="str" cm="1">
        <f t="array" ref="K1980">_xlfn.IFS(ISBLANK(I1980),"FALTANTE",ABS((I1980-$W$8)/$X$8)&gt;1.92,"ATÍPICO",ABS((I1980-$W$8)/$X$8)&lt;=1.92,"NO ATÍPICO")</f>
        <v>ATÍPICO</v>
      </c>
      <c r="L1980">
        <f t="shared" si="136"/>
        <v>278030</v>
      </c>
      <c r="M1980" t="str">
        <f t="shared" si="136"/>
        <v>CONVENIOS ESPECIALES DE TRABAJADORES INDEPENDIENTES</v>
      </c>
      <c r="N1980">
        <f t="shared" si="137"/>
        <v>86</v>
      </c>
      <c r="O1980" s="19" t="str">
        <f t="shared" si="138"/>
        <v>0–300k</v>
      </c>
      <c r="P1980" s="19" t="str">
        <f t="shared" si="139"/>
        <v>56+</v>
      </c>
    </row>
    <row r="1981" spans="1:16" x14ac:dyDescent="0.25">
      <c r="A1981">
        <v>1980</v>
      </c>
      <c r="B1981" t="s">
        <v>9</v>
      </c>
      <c r="C1981">
        <v>278030.99</v>
      </c>
      <c r="D1981" t="s">
        <v>19</v>
      </c>
      <c r="E1981" t="s">
        <v>16</v>
      </c>
      <c r="F1981" t="s">
        <v>12</v>
      </c>
      <c r="G1981" t="s">
        <v>13</v>
      </c>
      <c r="H1981" t="s">
        <v>13</v>
      </c>
      <c r="I1981">
        <v>27</v>
      </c>
      <c r="J1981" t="str" cm="1">
        <f t="array" ref="J1981">_xlfn.IFS(ISBLANK(C1981),"FALTANTE",ABS((C1981-$W$5)/$X$5)&gt;1.96,"ATÍPICO",ABS((C1981-$W$5)/$X$5)&lt;=1.96,"NO ATÍPICO")</f>
        <v>NO ATÍPICO</v>
      </c>
      <c r="K1981" t="str" cm="1">
        <f t="array" ref="K1981">_xlfn.IFS(ISBLANK(I1981),"FALTANTE",ABS((I1981-$W$8)/$X$8)&gt;1.92,"ATÍPICO",ABS((I1981-$W$8)/$X$8)&lt;=1.92,"NO ATÍPICO")</f>
        <v>NO ATÍPICO</v>
      </c>
      <c r="L1981">
        <f t="shared" si="136"/>
        <v>278030.99</v>
      </c>
      <c r="M1981" t="str">
        <f t="shared" si="136"/>
        <v>CONVENIOS ESPECIALES DE TRABAJADORES INDEPENDIENTES</v>
      </c>
      <c r="N1981">
        <f t="shared" si="137"/>
        <v>27</v>
      </c>
      <c r="O1981" s="19" t="str">
        <f t="shared" si="138"/>
        <v>0–300k</v>
      </c>
      <c r="P1981" s="19" t="str">
        <f t="shared" si="139"/>
        <v>26-35</v>
      </c>
    </row>
    <row r="1982" spans="1:16" x14ac:dyDescent="0.25">
      <c r="A1982">
        <v>1981</v>
      </c>
      <c r="B1982" t="s">
        <v>9</v>
      </c>
      <c r="C1982">
        <v>530000</v>
      </c>
      <c r="D1982" t="s">
        <v>10</v>
      </c>
      <c r="E1982" t="s">
        <v>16</v>
      </c>
      <c r="F1982" t="s">
        <v>12</v>
      </c>
      <c r="G1982" t="s">
        <v>13</v>
      </c>
      <c r="H1982" t="s">
        <v>13</v>
      </c>
      <c r="I1982">
        <v>24</v>
      </c>
      <c r="J1982" t="str" cm="1">
        <f t="array" ref="J1982">_xlfn.IFS(ISBLANK(C1982),"FALTANTE",ABS((C1982-$W$5)/$X$5)&gt;1.96,"ATÍPICO",ABS((C1982-$W$5)/$X$5)&lt;=1.96,"NO ATÍPICO")</f>
        <v>NO ATÍPICO</v>
      </c>
      <c r="K1982" t="str" cm="1">
        <f t="array" ref="K1982">_xlfn.IFS(ISBLANK(I1982),"FALTANTE",ABS((I1982-$W$8)/$X$8)&gt;1.92,"ATÍPICO",ABS((I1982-$W$8)/$X$8)&lt;=1.92,"NO ATÍPICO")</f>
        <v>NO ATÍPICO</v>
      </c>
      <c r="L1982">
        <f t="shared" si="136"/>
        <v>530000</v>
      </c>
      <c r="M1982" t="str">
        <f t="shared" si="136"/>
        <v>ASALARIADO</v>
      </c>
      <c r="N1982">
        <f t="shared" si="137"/>
        <v>24</v>
      </c>
      <c r="O1982" s="19" t="str">
        <f t="shared" si="138"/>
        <v>300k–600k</v>
      </c>
      <c r="P1982" s="19" t="str">
        <f t="shared" si="139"/>
        <v>18-25</v>
      </c>
    </row>
    <row r="1983" spans="1:16" x14ac:dyDescent="0.25">
      <c r="A1983">
        <v>1982</v>
      </c>
      <c r="B1983" t="s">
        <v>15</v>
      </c>
      <c r="C1983">
        <v>1583743</v>
      </c>
      <c r="D1983" t="s">
        <v>10</v>
      </c>
      <c r="E1983" t="s">
        <v>11</v>
      </c>
      <c r="F1983" t="s">
        <v>12</v>
      </c>
      <c r="G1983" t="s">
        <v>13</v>
      </c>
      <c r="H1983" t="s">
        <v>13</v>
      </c>
      <c r="I1983">
        <v>58</v>
      </c>
      <c r="J1983" t="str" cm="1">
        <f t="array" ref="J1983">_xlfn.IFS(ISBLANK(C1983),"FALTANTE",ABS((C1983-$W$5)/$X$5)&gt;1.96,"ATÍPICO",ABS((C1983-$W$5)/$X$5)&lt;=1.96,"NO ATÍPICO")</f>
        <v>NO ATÍPICO</v>
      </c>
      <c r="K1983" t="str" cm="1">
        <f t="array" ref="K1983">_xlfn.IFS(ISBLANK(I1983),"FALTANTE",ABS((I1983-$W$8)/$X$8)&gt;1.92,"ATÍPICO",ABS((I1983-$W$8)/$X$8)&lt;=1.92,"NO ATÍPICO")</f>
        <v>NO ATÍPICO</v>
      </c>
      <c r="L1983">
        <f t="shared" si="136"/>
        <v>1583743</v>
      </c>
      <c r="M1983" t="str">
        <f t="shared" si="136"/>
        <v>ASALARIADO</v>
      </c>
      <c r="N1983">
        <f t="shared" si="137"/>
        <v>58</v>
      </c>
      <c r="O1983" s="19" t="str">
        <f t="shared" si="138"/>
        <v>1200k+</v>
      </c>
      <c r="P1983" s="19" t="str">
        <f t="shared" si="139"/>
        <v>56+</v>
      </c>
    </row>
    <row r="1984" spans="1:16" x14ac:dyDescent="0.25">
      <c r="A1984">
        <v>1983</v>
      </c>
      <c r="B1984" t="s">
        <v>15</v>
      </c>
      <c r="C1984">
        <v>1178626</v>
      </c>
      <c r="D1984" t="s">
        <v>10</v>
      </c>
      <c r="E1984" t="s">
        <v>11</v>
      </c>
      <c r="F1984" t="s">
        <v>12</v>
      </c>
      <c r="G1984" t="s">
        <v>13</v>
      </c>
      <c r="H1984" t="s">
        <v>13</v>
      </c>
      <c r="I1984">
        <v>36</v>
      </c>
      <c r="J1984" t="str" cm="1">
        <f t="array" ref="J1984">_xlfn.IFS(ISBLANK(C1984),"FALTANTE",ABS((C1984-$W$5)/$X$5)&gt;1.96,"ATÍPICO",ABS((C1984-$W$5)/$X$5)&lt;=1.96,"NO ATÍPICO")</f>
        <v>NO ATÍPICO</v>
      </c>
      <c r="K1984" t="str" cm="1">
        <f t="array" ref="K1984">_xlfn.IFS(ISBLANK(I1984),"FALTANTE",ABS((I1984-$W$8)/$X$8)&gt;1.92,"ATÍPICO",ABS((I1984-$W$8)/$X$8)&lt;=1.92,"NO ATÍPICO")</f>
        <v>NO ATÍPICO</v>
      </c>
      <c r="L1984">
        <f t="shared" si="136"/>
        <v>1178626</v>
      </c>
      <c r="M1984" t="str">
        <f t="shared" si="136"/>
        <v>ASALARIADO</v>
      </c>
      <c r="N1984">
        <f t="shared" si="137"/>
        <v>36</v>
      </c>
      <c r="O1984" s="19" t="str">
        <f t="shared" si="138"/>
        <v>900k–1200k</v>
      </c>
      <c r="P1984" s="19" t="str">
        <f t="shared" si="139"/>
        <v>36-45</v>
      </c>
    </row>
    <row r="1985" spans="1:16" x14ac:dyDescent="0.25">
      <c r="A1985">
        <v>1984</v>
      </c>
      <c r="B1985" t="s">
        <v>9</v>
      </c>
      <c r="C1985">
        <v>297045</v>
      </c>
      <c r="D1985" t="s">
        <v>17</v>
      </c>
      <c r="E1985" t="s">
        <v>16</v>
      </c>
      <c r="F1985" t="s">
        <v>12</v>
      </c>
      <c r="G1985" t="s">
        <v>13</v>
      </c>
      <c r="H1985" t="s">
        <v>13</v>
      </c>
      <c r="I1985">
        <v>78</v>
      </c>
      <c r="J1985" t="str" cm="1">
        <f t="array" ref="J1985">_xlfn.IFS(ISBLANK(C1985),"FALTANTE",ABS((C1985-$W$5)/$X$5)&gt;1.96,"ATÍPICO",ABS((C1985-$W$5)/$X$5)&lt;=1.96,"NO ATÍPICO")</f>
        <v>NO ATÍPICO</v>
      </c>
      <c r="K1985" t="str" cm="1">
        <f t="array" ref="K1985">_xlfn.IFS(ISBLANK(I1985),"FALTANTE",ABS((I1985-$W$8)/$X$8)&gt;1.92,"ATÍPICO",ABS((I1985-$W$8)/$X$8)&lt;=1.92,"NO ATÍPICO")</f>
        <v>ATÍPICO</v>
      </c>
      <c r="L1985">
        <f t="shared" si="136"/>
        <v>297045</v>
      </c>
      <c r="M1985" t="str">
        <f t="shared" si="136"/>
        <v>ASEGURADO VOLUNTARIO</v>
      </c>
      <c r="N1985">
        <f t="shared" si="137"/>
        <v>78</v>
      </c>
      <c r="O1985" s="19" t="str">
        <f t="shared" si="138"/>
        <v>0–300k</v>
      </c>
      <c r="P1985" s="19" t="str">
        <f t="shared" si="139"/>
        <v>56+</v>
      </c>
    </row>
    <row r="1986" spans="1:16" x14ac:dyDescent="0.25">
      <c r="A1986">
        <v>1985</v>
      </c>
      <c r="B1986" t="s">
        <v>15</v>
      </c>
      <c r="C1986">
        <v>484699.48</v>
      </c>
      <c r="D1986" t="s">
        <v>10</v>
      </c>
      <c r="E1986" t="s">
        <v>16</v>
      </c>
      <c r="F1986" t="s">
        <v>12</v>
      </c>
      <c r="G1986" t="s">
        <v>13</v>
      </c>
      <c r="H1986" t="s">
        <v>13</v>
      </c>
      <c r="I1986">
        <v>21</v>
      </c>
      <c r="J1986" t="str" cm="1">
        <f t="array" ref="J1986">_xlfn.IFS(ISBLANK(C1986),"FALTANTE",ABS((C1986-$W$5)/$X$5)&gt;1.96,"ATÍPICO",ABS((C1986-$W$5)/$X$5)&lt;=1.96,"NO ATÍPICO")</f>
        <v>NO ATÍPICO</v>
      </c>
      <c r="K1986" t="str" cm="1">
        <f t="array" ref="K1986">_xlfn.IFS(ISBLANK(I1986),"FALTANTE",ABS((I1986-$W$8)/$X$8)&gt;1.92,"ATÍPICO",ABS((I1986-$W$8)/$X$8)&lt;=1.92,"NO ATÍPICO")</f>
        <v>NO ATÍPICO</v>
      </c>
      <c r="L1986">
        <f t="shared" ref="L1986:L2049" si="140">C1986</f>
        <v>484699.48</v>
      </c>
      <c r="M1986" t="str">
        <f t="shared" ref="M1986:M2049" si="141">D1986</f>
        <v>ASALARIADO</v>
      </c>
      <c r="N1986">
        <f t="shared" ref="N1986:N2049" si="142">I1986</f>
        <v>21</v>
      </c>
      <c r="O1986" s="19" t="str">
        <f t="shared" ref="O1986:O2049" si="143">IF(L1986&lt;=300000,"0–300k",IF(L1986&lt;=600000,"300k–600k",IF(L1986&lt;=900000,"600k–900k",IF(L1986&lt;=1200000,"900k–1200k","1200k+"))))</f>
        <v>300k–600k</v>
      </c>
      <c r="P1986" s="19" t="str">
        <f t="shared" ref="P1986:P2049" si="144">IF(N1986 &lt;=25,"18-25", IF(N1986&lt;=35,"26-35", IF(N1986 &lt;=45,"36-45", IF(N1986&lt;=55,"46-55","56+"))))</f>
        <v>18-25</v>
      </c>
    </row>
    <row r="1987" spans="1:16" x14ac:dyDescent="0.25">
      <c r="A1987">
        <v>1986</v>
      </c>
      <c r="B1987" t="s">
        <v>9</v>
      </c>
      <c r="C1987">
        <v>1782316</v>
      </c>
      <c r="D1987" t="s">
        <v>10</v>
      </c>
      <c r="E1987" t="s">
        <v>11</v>
      </c>
      <c r="F1987" t="s">
        <v>12</v>
      </c>
      <c r="G1987" t="s">
        <v>13</v>
      </c>
      <c r="H1987" t="s">
        <v>12</v>
      </c>
      <c r="I1987">
        <v>50</v>
      </c>
      <c r="J1987" t="str" cm="1">
        <f t="array" ref="J1987">_xlfn.IFS(ISBLANK(C1987),"FALTANTE",ABS((C1987-$W$5)/$X$5)&gt;1.96,"ATÍPICO",ABS((C1987-$W$5)/$X$5)&lt;=1.96,"NO ATÍPICO")</f>
        <v>NO ATÍPICO</v>
      </c>
      <c r="K1987" t="str" cm="1">
        <f t="array" ref="K1987">_xlfn.IFS(ISBLANK(I1987),"FALTANTE",ABS((I1987-$W$8)/$X$8)&gt;1.92,"ATÍPICO",ABS((I1987-$W$8)/$X$8)&lt;=1.92,"NO ATÍPICO")</f>
        <v>NO ATÍPICO</v>
      </c>
      <c r="L1987">
        <f t="shared" si="140"/>
        <v>1782316</v>
      </c>
      <c r="M1987" t="str">
        <f t="shared" si="141"/>
        <v>ASALARIADO</v>
      </c>
      <c r="N1987">
        <f t="shared" si="142"/>
        <v>50</v>
      </c>
      <c r="O1987" s="19" t="str">
        <f t="shared" si="143"/>
        <v>1200k+</v>
      </c>
      <c r="P1987" s="19" t="str">
        <f t="shared" si="144"/>
        <v>46-55</v>
      </c>
    </row>
    <row r="1988" spans="1:16" x14ac:dyDescent="0.25">
      <c r="A1988">
        <v>1987</v>
      </c>
      <c r="B1988" t="s">
        <v>15</v>
      </c>
      <c r="C1988">
        <v>454673.58</v>
      </c>
      <c r="D1988" t="s">
        <v>10</v>
      </c>
      <c r="E1988" t="s">
        <v>16</v>
      </c>
      <c r="F1988" t="s">
        <v>12</v>
      </c>
      <c r="G1988" t="s">
        <v>13</v>
      </c>
      <c r="H1988" t="s">
        <v>13</v>
      </c>
      <c r="I1988">
        <v>39</v>
      </c>
      <c r="J1988" t="str" cm="1">
        <f t="array" ref="J1988">_xlfn.IFS(ISBLANK(C1988),"FALTANTE",ABS((C1988-$W$5)/$X$5)&gt;1.96,"ATÍPICO",ABS((C1988-$W$5)/$X$5)&lt;=1.96,"NO ATÍPICO")</f>
        <v>NO ATÍPICO</v>
      </c>
      <c r="K1988" t="str" cm="1">
        <f t="array" ref="K1988">_xlfn.IFS(ISBLANK(I1988),"FALTANTE",ABS((I1988-$W$8)/$X$8)&gt;1.92,"ATÍPICO",ABS((I1988-$W$8)/$X$8)&lt;=1.92,"NO ATÍPICO")</f>
        <v>NO ATÍPICO</v>
      </c>
      <c r="L1988">
        <f t="shared" si="140"/>
        <v>454673.58</v>
      </c>
      <c r="M1988" t="str">
        <f t="shared" si="141"/>
        <v>ASALARIADO</v>
      </c>
      <c r="N1988">
        <f t="shared" si="142"/>
        <v>39</v>
      </c>
      <c r="O1988" s="19" t="str">
        <f t="shared" si="143"/>
        <v>300k–600k</v>
      </c>
      <c r="P1988" s="19" t="str">
        <f t="shared" si="144"/>
        <v>36-45</v>
      </c>
    </row>
    <row r="1989" spans="1:16" x14ac:dyDescent="0.25">
      <c r="A1989">
        <v>1988</v>
      </c>
      <c r="B1989" t="s">
        <v>15</v>
      </c>
      <c r="C1989">
        <v>120000</v>
      </c>
      <c r="D1989" t="s">
        <v>10</v>
      </c>
      <c r="E1989" t="s">
        <v>16</v>
      </c>
      <c r="F1989" t="s">
        <v>12</v>
      </c>
      <c r="G1989" t="s">
        <v>13</v>
      </c>
      <c r="H1989" t="s">
        <v>13</v>
      </c>
      <c r="I1989">
        <v>32</v>
      </c>
      <c r="J1989" t="str" cm="1">
        <f t="array" ref="J1989">_xlfn.IFS(ISBLANK(C1989),"FALTANTE",ABS((C1989-$W$5)/$X$5)&gt;1.96,"ATÍPICO",ABS((C1989-$W$5)/$X$5)&lt;=1.96,"NO ATÍPICO")</f>
        <v>NO ATÍPICO</v>
      </c>
      <c r="K1989" t="str" cm="1">
        <f t="array" ref="K1989">_xlfn.IFS(ISBLANK(I1989),"FALTANTE",ABS((I1989-$W$8)/$X$8)&gt;1.92,"ATÍPICO",ABS((I1989-$W$8)/$X$8)&lt;=1.92,"NO ATÍPICO")</f>
        <v>NO ATÍPICO</v>
      </c>
      <c r="L1989">
        <f t="shared" si="140"/>
        <v>120000</v>
      </c>
      <c r="M1989" t="str">
        <f t="shared" si="141"/>
        <v>ASALARIADO</v>
      </c>
      <c r="N1989">
        <f t="shared" si="142"/>
        <v>32</v>
      </c>
      <c r="O1989" s="19" t="str">
        <f t="shared" si="143"/>
        <v>0–300k</v>
      </c>
      <c r="P1989" s="19" t="str">
        <f t="shared" si="144"/>
        <v>26-35</v>
      </c>
    </row>
    <row r="1990" spans="1:16" x14ac:dyDescent="0.25">
      <c r="A1990">
        <v>1989</v>
      </c>
      <c r="B1990" t="s">
        <v>9</v>
      </c>
      <c r="C1990">
        <v>513274</v>
      </c>
      <c r="D1990" t="s">
        <v>10</v>
      </c>
      <c r="E1990" t="s">
        <v>11</v>
      </c>
      <c r="F1990" t="s">
        <v>12</v>
      </c>
      <c r="G1990" t="s">
        <v>13</v>
      </c>
      <c r="H1990" t="s">
        <v>13</v>
      </c>
      <c r="I1990">
        <v>57</v>
      </c>
      <c r="J1990" t="str" cm="1">
        <f t="array" ref="J1990">_xlfn.IFS(ISBLANK(C1990),"FALTANTE",ABS((C1990-$W$5)/$X$5)&gt;1.96,"ATÍPICO",ABS((C1990-$W$5)/$X$5)&lt;=1.96,"NO ATÍPICO")</f>
        <v>NO ATÍPICO</v>
      </c>
      <c r="K1990" t="str" cm="1">
        <f t="array" ref="K1990">_xlfn.IFS(ISBLANK(I1990),"FALTANTE",ABS((I1990-$W$8)/$X$8)&gt;1.92,"ATÍPICO",ABS((I1990-$W$8)/$X$8)&lt;=1.92,"NO ATÍPICO")</f>
        <v>NO ATÍPICO</v>
      </c>
      <c r="L1990">
        <f t="shared" si="140"/>
        <v>513274</v>
      </c>
      <c r="M1990" t="str">
        <f t="shared" si="141"/>
        <v>ASALARIADO</v>
      </c>
      <c r="N1990">
        <f t="shared" si="142"/>
        <v>57</v>
      </c>
      <c r="O1990" s="19" t="str">
        <f t="shared" si="143"/>
        <v>300k–600k</v>
      </c>
      <c r="P1990" s="19" t="str">
        <f t="shared" si="144"/>
        <v>56+</v>
      </c>
    </row>
    <row r="1991" spans="1:16" x14ac:dyDescent="0.25">
      <c r="A1991">
        <v>1990</v>
      </c>
      <c r="B1991" t="s">
        <v>15</v>
      </c>
      <c r="C1991">
        <v>457059</v>
      </c>
      <c r="D1991" t="s">
        <v>10</v>
      </c>
      <c r="E1991" t="s">
        <v>11</v>
      </c>
      <c r="F1991" t="s">
        <v>12</v>
      </c>
      <c r="G1991" t="s">
        <v>13</v>
      </c>
      <c r="H1991" t="s">
        <v>12</v>
      </c>
      <c r="I1991">
        <v>59</v>
      </c>
      <c r="J1991" t="str" cm="1">
        <f t="array" ref="J1991">_xlfn.IFS(ISBLANK(C1991),"FALTANTE",ABS((C1991-$W$5)/$X$5)&gt;1.96,"ATÍPICO",ABS((C1991-$W$5)/$X$5)&lt;=1.96,"NO ATÍPICO")</f>
        <v>NO ATÍPICO</v>
      </c>
      <c r="K1991" t="str" cm="1">
        <f t="array" ref="K1991">_xlfn.IFS(ISBLANK(I1991),"FALTANTE",ABS((I1991-$W$8)/$X$8)&gt;1.92,"ATÍPICO",ABS((I1991-$W$8)/$X$8)&lt;=1.92,"NO ATÍPICO")</f>
        <v>NO ATÍPICO</v>
      </c>
      <c r="L1991">
        <f t="shared" si="140"/>
        <v>457059</v>
      </c>
      <c r="M1991" t="str">
        <f t="shared" si="141"/>
        <v>ASALARIADO</v>
      </c>
      <c r="N1991">
        <f t="shared" si="142"/>
        <v>59</v>
      </c>
      <c r="O1991" s="19" t="str">
        <f t="shared" si="143"/>
        <v>300k–600k</v>
      </c>
      <c r="P1991" s="19" t="str">
        <f t="shared" si="144"/>
        <v>56+</v>
      </c>
    </row>
    <row r="1992" spans="1:16" x14ac:dyDescent="0.25">
      <c r="A1992">
        <v>1991</v>
      </c>
      <c r="B1992" t="s">
        <v>15</v>
      </c>
      <c r="C1992">
        <v>1708013</v>
      </c>
      <c r="D1992" t="s">
        <v>14</v>
      </c>
      <c r="E1992" t="s">
        <v>11</v>
      </c>
      <c r="F1992" t="s">
        <v>12</v>
      </c>
      <c r="G1992" t="s">
        <v>13</v>
      </c>
      <c r="H1992" t="s">
        <v>13</v>
      </c>
      <c r="I1992">
        <v>57</v>
      </c>
      <c r="J1992" t="str" cm="1">
        <f t="array" ref="J1992">_xlfn.IFS(ISBLANK(C1992),"FALTANTE",ABS((C1992-$W$5)/$X$5)&gt;1.96,"ATÍPICO",ABS((C1992-$W$5)/$X$5)&lt;=1.96,"NO ATÍPICO")</f>
        <v>NO ATÍPICO</v>
      </c>
      <c r="K1992" t="str" cm="1">
        <f t="array" ref="K1992">_xlfn.IFS(ISBLANK(I1992),"FALTANTE",ABS((I1992-$W$8)/$X$8)&gt;1.92,"ATÍPICO",ABS((I1992-$W$8)/$X$8)&lt;=1.92,"NO ATÍPICO")</f>
        <v>NO ATÍPICO</v>
      </c>
      <c r="L1992">
        <f t="shared" si="140"/>
        <v>1708013</v>
      </c>
      <c r="M1992" t="str">
        <f t="shared" si="141"/>
        <v>PENSIONADOS EN SU PROPIO SISTEMA</v>
      </c>
      <c r="N1992">
        <f t="shared" si="142"/>
        <v>57</v>
      </c>
      <c r="O1992" s="19" t="str">
        <f t="shared" si="143"/>
        <v>1200k+</v>
      </c>
      <c r="P1992" s="19" t="str">
        <f t="shared" si="144"/>
        <v>56+</v>
      </c>
    </row>
    <row r="1993" spans="1:16" x14ac:dyDescent="0.25">
      <c r="A1993">
        <v>1992</v>
      </c>
      <c r="B1993" t="s">
        <v>9</v>
      </c>
      <c r="C1993">
        <v>362989.67</v>
      </c>
      <c r="D1993" t="s">
        <v>10</v>
      </c>
      <c r="E1993" t="s">
        <v>16</v>
      </c>
      <c r="F1993" t="s">
        <v>12</v>
      </c>
      <c r="G1993" t="s">
        <v>13</v>
      </c>
      <c r="H1993" t="s">
        <v>13</v>
      </c>
      <c r="I1993">
        <v>20</v>
      </c>
      <c r="J1993" t="str" cm="1">
        <f t="array" ref="J1993">_xlfn.IFS(ISBLANK(C1993),"FALTANTE",ABS((C1993-$W$5)/$X$5)&gt;1.96,"ATÍPICO",ABS((C1993-$W$5)/$X$5)&lt;=1.96,"NO ATÍPICO")</f>
        <v>NO ATÍPICO</v>
      </c>
      <c r="K1993" t="str" cm="1">
        <f t="array" ref="K1993">_xlfn.IFS(ISBLANK(I1993),"FALTANTE",ABS((I1993-$W$8)/$X$8)&gt;1.92,"ATÍPICO",ABS((I1993-$W$8)/$X$8)&lt;=1.92,"NO ATÍPICO")</f>
        <v>NO ATÍPICO</v>
      </c>
      <c r="L1993">
        <f t="shared" si="140"/>
        <v>362989.67</v>
      </c>
      <c r="M1993" t="str">
        <f t="shared" si="141"/>
        <v>ASALARIADO</v>
      </c>
      <c r="N1993">
        <f t="shared" si="142"/>
        <v>20</v>
      </c>
      <c r="O1993" s="19" t="str">
        <f t="shared" si="143"/>
        <v>300k–600k</v>
      </c>
      <c r="P1993" s="19" t="str">
        <f t="shared" si="144"/>
        <v>18-25</v>
      </c>
    </row>
    <row r="1994" spans="1:16" x14ac:dyDescent="0.25">
      <c r="A1994">
        <v>1993</v>
      </c>
      <c r="B1994" t="s">
        <v>9</v>
      </c>
      <c r="C1994">
        <v>393714</v>
      </c>
      <c r="D1994" t="s">
        <v>10</v>
      </c>
      <c r="E1994" t="s">
        <v>16</v>
      </c>
      <c r="F1994" t="s">
        <v>12</v>
      </c>
      <c r="G1994" t="s">
        <v>13</v>
      </c>
      <c r="H1994" t="s">
        <v>13</v>
      </c>
      <c r="I1994">
        <v>48</v>
      </c>
      <c r="J1994" t="str" cm="1">
        <f t="array" ref="J1994">_xlfn.IFS(ISBLANK(C1994),"FALTANTE",ABS((C1994-$W$5)/$X$5)&gt;1.96,"ATÍPICO",ABS((C1994-$W$5)/$X$5)&lt;=1.96,"NO ATÍPICO")</f>
        <v>NO ATÍPICO</v>
      </c>
      <c r="K1994" t="str" cm="1">
        <f t="array" ref="K1994">_xlfn.IFS(ISBLANK(I1994),"FALTANTE",ABS((I1994-$W$8)/$X$8)&gt;1.92,"ATÍPICO",ABS((I1994-$W$8)/$X$8)&lt;=1.92,"NO ATÍPICO")</f>
        <v>NO ATÍPICO</v>
      </c>
      <c r="L1994">
        <f t="shared" si="140"/>
        <v>393714</v>
      </c>
      <c r="M1994" t="str">
        <f t="shared" si="141"/>
        <v>ASALARIADO</v>
      </c>
      <c r="N1994">
        <f t="shared" si="142"/>
        <v>48</v>
      </c>
      <c r="O1994" s="19" t="str">
        <f t="shared" si="143"/>
        <v>300k–600k</v>
      </c>
      <c r="P1994" s="19" t="str">
        <f t="shared" si="144"/>
        <v>46-55</v>
      </c>
    </row>
    <row r="1995" spans="1:16" x14ac:dyDescent="0.25">
      <c r="A1995">
        <v>1994</v>
      </c>
      <c r="B1995" t="s">
        <v>9</v>
      </c>
      <c r="C1995">
        <v>444719</v>
      </c>
      <c r="D1995" t="s">
        <v>18</v>
      </c>
      <c r="E1995" t="s">
        <v>16</v>
      </c>
      <c r="F1995" t="s">
        <v>12</v>
      </c>
      <c r="G1995" t="s">
        <v>13</v>
      </c>
      <c r="H1995" t="s">
        <v>12</v>
      </c>
      <c r="I1995">
        <v>36</v>
      </c>
      <c r="J1995" t="str" cm="1">
        <f t="array" ref="J1995">_xlfn.IFS(ISBLANK(C1995),"FALTANTE",ABS((C1995-$W$5)/$X$5)&gt;1.96,"ATÍPICO",ABS((C1995-$W$5)/$X$5)&lt;=1.96,"NO ATÍPICO")</f>
        <v>NO ATÍPICO</v>
      </c>
      <c r="K1995" t="str" cm="1">
        <f t="array" ref="K1995">_xlfn.IFS(ISBLANK(I1995),"FALTANTE",ABS((I1995-$W$8)/$X$8)&gt;1.92,"ATÍPICO",ABS((I1995-$W$8)/$X$8)&lt;=1.92,"NO ATÍPICO")</f>
        <v>NO ATÍPICO</v>
      </c>
      <c r="L1995">
        <f t="shared" si="140"/>
        <v>444719</v>
      </c>
      <c r="M1995" t="str">
        <f t="shared" si="141"/>
        <v>TRABAJADOR INDEPENDIENTE</v>
      </c>
      <c r="N1995">
        <f t="shared" si="142"/>
        <v>36</v>
      </c>
      <c r="O1995" s="19" t="str">
        <f t="shared" si="143"/>
        <v>300k–600k</v>
      </c>
      <c r="P1995" s="19" t="str">
        <f t="shared" si="144"/>
        <v>36-45</v>
      </c>
    </row>
    <row r="1996" spans="1:16" x14ac:dyDescent="0.25">
      <c r="A1996">
        <v>1995</v>
      </c>
      <c r="B1996" t="s">
        <v>9</v>
      </c>
      <c r="C1996">
        <v>1352723.7</v>
      </c>
      <c r="D1996" t="s">
        <v>10</v>
      </c>
      <c r="E1996" t="s">
        <v>11</v>
      </c>
      <c r="F1996" t="s">
        <v>12</v>
      </c>
      <c r="G1996" t="s">
        <v>13</v>
      </c>
      <c r="H1996" t="s">
        <v>13</v>
      </c>
      <c r="I1996">
        <v>29</v>
      </c>
      <c r="J1996" t="str" cm="1">
        <f t="array" ref="J1996">_xlfn.IFS(ISBLANK(C1996),"FALTANTE",ABS((C1996-$W$5)/$X$5)&gt;1.96,"ATÍPICO",ABS((C1996-$W$5)/$X$5)&lt;=1.96,"NO ATÍPICO")</f>
        <v>NO ATÍPICO</v>
      </c>
      <c r="K1996" t="str" cm="1">
        <f t="array" ref="K1996">_xlfn.IFS(ISBLANK(I1996),"FALTANTE",ABS((I1996-$W$8)/$X$8)&gt;1.92,"ATÍPICO",ABS((I1996-$W$8)/$X$8)&lt;=1.92,"NO ATÍPICO")</f>
        <v>NO ATÍPICO</v>
      </c>
      <c r="L1996">
        <f t="shared" si="140"/>
        <v>1352723.7</v>
      </c>
      <c r="M1996" t="str">
        <f t="shared" si="141"/>
        <v>ASALARIADO</v>
      </c>
      <c r="N1996">
        <f t="shared" si="142"/>
        <v>29</v>
      </c>
      <c r="O1996" s="19" t="str">
        <f t="shared" si="143"/>
        <v>1200k+</v>
      </c>
      <c r="P1996" s="19" t="str">
        <f t="shared" si="144"/>
        <v>26-35</v>
      </c>
    </row>
    <row r="1997" spans="1:16" x14ac:dyDescent="0.25">
      <c r="A1997">
        <v>1996</v>
      </c>
      <c r="B1997" t="s">
        <v>9</v>
      </c>
      <c r="C1997">
        <v>299647</v>
      </c>
      <c r="D1997" t="s">
        <v>18</v>
      </c>
      <c r="E1997" t="s">
        <v>16</v>
      </c>
      <c r="F1997" t="s">
        <v>12</v>
      </c>
      <c r="G1997" t="s">
        <v>13</v>
      </c>
      <c r="H1997" t="s">
        <v>12</v>
      </c>
      <c r="I1997">
        <v>38</v>
      </c>
      <c r="J1997" t="str" cm="1">
        <f t="array" ref="J1997">_xlfn.IFS(ISBLANK(C1997),"FALTANTE",ABS((C1997-$W$5)/$X$5)&gt;1.96,"ATÍPICO",ABS((C1997-$W$5)/$X$5)&lt;=1.96,"NO ATÍPICO")</f>
        <v>NO ATÍPICO</v>
      </c>
      <c r="K1997" t="str" cm="1">
        <f t="array" ref="K1997">_xlfn.IFS(ISBLANK(I1997),"FALTANTE",ABS((I1997-$W$8)/$X$8)&gt;1.92,"ATÍPICO",ABS((I1997-$W$8)/$X$8)&lt;=1.92,"NO ATÍPICO")</f>
        <v>NO ATÍPICO</v>
      </c>
      <c r="L1997">
        <f t="shared" si="140"/>
        <v>299647</v>
      </c>
      <c r="M1997" t="str">
        <f t="shared" si="141"/>
        <v>TRABAJADOR INDEPENDIENTE</v>
      </c>
      <c r="N1997">
        <f t="shared" si="142"/>
        <v>38</v>
      </c>
      <c r="O1997" s="19" t="str">
        <f t="shared" si="143"/>
        <v>0–300k</v>
      </c>
      <c r="P1997" s="19" t="str">
        <f t="shared" si="144"/>
        <v>36-45</v>
      </c>
    </row>
    <row r="1998" spans="1:16" x14ac:dyDescent="0.25">
      <c r="A1998">
        <v>1997</v>
      </c>
      <c r="B1998" t="s">
        <v>15</v>
      </c>
      <c r="C1998">
        <v>141509.48000000001</v>
      </c>
      <c r="D1998" t="s">
        <v>14</v>
      </c>
      <c r="E1998" t="s">
        <v>11</v>
      </c>
      <c r="F1998" t="s">
        <v>12</v>
      </c>
      <c r="G1998" t="s">
        <v>13</v>
      </c>
      <c r="H1998" t="s">
        <v>13</v>
      </c>
      <c r="I1998">
        <v>91</v>
      </c>
      <c r="J1998" t="str" cm="1">
        <f t="array" ref="J1998">_xlfn.IFS(ISBLANK(C1998),"FALTANTE",ABS((C1998-$W$5)/$X$5)&gt;1.96,"ATÍPICO",ABS((C1998-$W$5)/$X$5)&lt;=1.96,"NO ATÍPICO")</f>
        <v>NO ATÍPICO</v>
      </c>
      <c r="K1998" t="str" cm="1">
        <f t="array" ref="K1998">_xlfn.IFS(ISBLANK(I1998),"FALTANTE",ABS((I1998-$W$8)/$X$8)&gt;1.92,"ATÍPICO",ABS((I1998-$W$8)/$X$8)&lt;=1.92,"NO ATÍPICO")</f>
        <v>ATÍPICO</v>
      </c>
      <c r="L1998">
        <f t="shared" si="140"/>
        <v>141509.48000000001</v>
      </c>
      <c r="M1998" t="str">
        <f t="shared" si="141"/>
        <v>PENSIONADOS EN SU PROPIO SISTEMA</v>
      </c>
      <c r="N1998">
        <f t="shared" si="142"/>
        <v>91</v>
      </c>
      <c r="O1998" s="19" t="str">
        <f t="shared" si="143"/>
        <v>0–300k</v>
      </c>
      <c r="P1998" s="19" t="str">
        <f t="shared" si="144"/>
        <v>56+</v>
      </c>
    </row>
    <row r="1999" spans="1:16" x14ac:dyDescent="0.25">
      <c r="A1999">
        <v>1998</v>
      </c>
      <c r="B1999" t="s">
        <v>15</v>
      </c>
      <c r="C1999">
        <v>350000</v>
      </c>
      <c r="D1999" t="s">
        <v>10</v>
      </c>
      <c r="E1999" t="s">
        <v>11</v>
      </c>
      <c r="F1999" t="s">
        <v>12</v>
      </c>
      <c r="G1999" t="s">
        <v>13</v>
      </c>
      <c r="H1999" t="s">
        <v>13</v>
      </c>
      <c r="I1999">
        <v>41</v>
      </c>
      <c r="J1999" t="str" cm="1">
        <f t="array" ref="J1999">_xlfn.IFS(ISBLANK(C1999),"FALTANTE",ABS((C1999-$W$5)/$X$5)&gt;1.96,"ATÍPICO",ABS((C1999-$W$5)/$X$5)&lt;=1.96,"NO ATÍPICO")</f>
        <v>NO ATÍPICO</v>
      </c>
      <c r="K1999" t="str" cm="1">
        <f t="array" ref="K1999">_xlfn.IFS(ISBLANK(I1999),"FALTANTE",ABS((I1999-$W$8)/$X$8)&gt;1.92,"ATÍPICO",ABS((I1999-$W$8)/$X$8)&lt;=1.92,"NO ATÍPICO")</f>
        <v>NO ATÍPICO</v>
      </c>
      <c r="L1999">
        <f t="shared" si="140"/>
        <v>350000</v>
      </c>
      <c r="M1999" t="str">
        <f t="shared" si="141"/>
        <v>ASALARIADO</v>
      </c>
      <c r="N1999">
        <f t="shared" si="142"/>
        <v>41</v>
      </c>
      <c r="O1999" s="19" t="str">
        <f t="shared" si="143"/>
        <v>300k–600k</v>
      </c>
      <c r="P1999" s="19" t="str">
        <f t="shared" si="144"/>
        <v>36-45</v>
      </c>
    </row>
    <row r="2000" spans="1:16" x14ac:dyDescent="0.25">
      <c r="A2000">
        <v>1999</v>
      </c>
      <c r="B2000" t="s">
        <v>15</v>
      </c>
      <c r="C2000">
        <v>127421.8</v>
      </c>
      <c r="D2000" t="s">
        <v>10</v>
      </c>
      <c r="E2000" t="s">
        <v>16</v>
      </c>
      <c r="F2000" t="s">
        <v>12</v>
      </c>
      <c r="G2000" t="s">
        <v>13</v>
      </c>
      <c r="H2000" t="s">
        <v>13</v>
      </c>
      <c r="I2000">
        <v>25</v>
      </c>
      <c r="J2000" t="str" cm="1">
        <f t="array" ref="J2000">_xlfn.IFS(ISBLANK(C2000),"FALTANTE",ABS((C2000-$W$5)/$X$5)&gt;1.96,"ATÍPICO",ABS((C2000-$W$5)/$X$5)&lt;=1.96,"NO ATÍPICO")</f>
        <v>NO ATÍPICO</v>
      </c>
      <c r="K2000" t="str" cm="1">
        <f t="array" ref="K2000">_xlfn.IFS(ISBLANK(I2000),"FALTANTE",ABS((I2000-$W$8)/$X$8)&gt;1.92,"ATÍPICO",ABS((I2000-$W$8)/$X$8)&lt;=1.92,"NO ATÍPICO")</f>
        <v>NO ATÍPICO</v>
      </c>
      <c r="L2000">
        <f t="shared" si="140"/>
        <v>127421.8</v>
      </c>
      <c r="M2000" t="str">
        <f t="shared" si="141"/>
        <v>ASALARIADO</v>
      </c>
      <c r="N2000">
        <f t="shared" si="142"/>
        <v>25</v>
      </c>
      <c r="O2000" s="19" t="str">
        <f t="shared" si="143"/>
        <v>0–300k</v>
      </c>
      <c r="P2000" s="19" t="str">
        <f t="shared" si="144"/>
        <v>18-25</v>
      </c>
    </row>
    <row r="2001" spans="1:16" x14ac:dyDescent="0.25">
      <c r="A2001">
        <v>2000</v>
      </c>
      <c r="B2001" t="s">
        <v>9</v>
      </c>
      <c r="C2001">
        <v>266719</v>
      </c>
      <c r="D2001" t="s">
        <v>10</v>
      </c>
      <c r="E2001" t="s">
        <v>16</v>
      </c>
      <c r="F2001" t="s">
        <v>12</v>
      </c>
      <c r="G2001" t="s">
        <v>13</v>
      </c>
      <c r="H2001" t="s">
        <v>13</v>
      </c>
      <c r="I2001">
        <v>36</v>
      </c>
      <c r="J2001" t="str" cm="1">
        <f t="array" ref="J2001">_xlfn.IFS(ISBLANK(C2001),"FALTANTE",ABS((C2001-$W$5)/$X$5)&gt;1.96,"ATÍPICO",ABS((C2001-$W$5)/$X$5)&lt;=1.96,"NO ATÍPICO")</f>
        <v>NO ATÍPICO</v>
      </c>
      <c r="K2001" t="str" cm="1">
        <f t="array" ref="K2001">_xlfn.IFS(ISBLANK(I2001),"FALTANTE",ABS((I2001-$W$8)/$X$8)&gt;1.92,"ATÍPICO",ABS((I2001-$W$8)/$X$8)&lt;=1.92,"NO ATÍPICO")</f>
        <v>NO ATÍPICO</v>
      </c>
      <c r="L2001">
        <f t="shared" si="140"/>
        <v>266719</v>
      </c>
      <c r="M2001" t="str">
        <f t="shared" si="141"/>
        <v>ASALARIADO</v>
      </c>
      <c r="N2001">
        <f t="shared" si="142"/>
        <v>36</v>
      </c>
      <c r="O2001" s="19" t="str">
        <f t="shared" si="143"/>
        <v>0–300k</v>
      </c>
      <c r="P2001" s="19" t="str">
        <f t="shared" si="144"/>
        <v>36-45</v>
      </c>
    </row>
    <row r="2002" spans="1:16" x14ac:dyDescent="0.25">
      <c r="A2002">
        <v>2001</v>
      </c>
      <c r="B2002" t="s">
        <v>15</v>
      </c>
      <c r="C2002">
        <v>766198.68</v>
      </c>
      <c r="D2002" t="s">
        <v>10</v>
      </c>
      <c r="E2002" t="s">
        <v>11</v>
      </c>
      <c r="F2002" t="s">
        <v>12</v>
      </c>
      <c r="G2002" t="s">
        <v>12</v>
      </c>
      <c r="H2002" t="s">
        <v>13</v>
      </c>
      <c r="I2002">
        <v>36</v>
      </c>
      <c r="J2002" t="str" cm="1">
        <f t="array" ref="J2002">_xlfn.IFS(ISBLANK(C2002),"FALTANTE",ABS((C2002-$W$5)/$X$5)&gt;1.96,"ATÍPICO",ABS((C2002-$W$5)/$X$5)&lt;=1.96,"NO ATÍPICO")</f>
        <v>NO ATÍPICO</v>
      </c>
      <c r="K2002" t="str" cm="1">
        <f t="array" ref="K2002">_xlfn.IFS(ISBLANK(I2002),"FALTANTE",ABS((I2002-$W$8)/$X$8)&gt;1.92,"ATÍPICO",ABS((I2002-$W$8)/$X$8)&lt;=1.92,"NO ATÍPICO")</f>
        <v>NO ATÍPICO</v>
      </c>
      <c r="L2002">
        <f t="shared" si="140"/>
        <v>766198.68</v>
      </c>
      <c r="M2002" t="str">
        <f t="shared" si="141"/>
        <v>ASALARIADO</v>
      </c>
      <c r="N2002">
        <f t="shared" si="142"/>
        <v>36</v>
      </c>
      <c r="O2002" s="19" t="str">
        <f t="shared" si="143"/>
        <v>600k–900k</v>
      </c>
      <c r="P2002" s="19" t="str">
        <f t="shared" si="144"/>
        <v>36-45</v>
      </c>
    </row>
    <row r="2003" spans="1:16" x14ac:dyDescent="0.25">
      <c r="A2003">
        <v>2002</v>
      </c>
      <c r="B2003" t="s">
        <v>9</v>
      </c>
      <c r="C2003">
        <v>1528849.72</v>
      </c>
      <c r="D2003" t="s">
        <v>10</v>
      </c>
      <c r="E2003" t="s">
        <v>11</v>
      </c>
      <c r="F2003" t="s">
        <v>12</v>
      </c>
      <c r="G2003" t="s">
        <v>13</v>
      </c>
      <c r="H2003" t="s">
        <v>13</v>
      </c>
      <c r="I2003">
        <v>45</v>
      </c>
      <c r="J2003" t="str" cm="1">
        <f t="array" ref="J2003">_xlfn.IFS(ISBLANK(C2003),"FALTANTE",ABS((C2003-$W$5)/$X$5)&gt;1.96,"ATÍPICO",ABS((C2003-$W$5)/$X$5)&lt;=1.96,"NO ATÍPICO")</f>
        <v>NO ATÍPICO</v>
      </c>
      <c r="K2003" t="str" cm="1">
        <f t="array" ref="K2003">_xlfn.IFS(ISBLANK(I2003),"FALTANTE",ABS((I2003-$W$8)/$X$8)&gt;1.92,"ATÍPICO",ABS((I2003-$W$8)/$X$8)&lt;=1.92,"NO ATÍPICO")</f>
        <v>NO ATÍPICO</v>
      </c>
      <c r="L2003">
        <f t="shared" si="140"/>
        <v>1528849.72</v>
      </c>
      <c r="M2003" t="str">
        <f t="shared" si="141"/>
        <v>ASALARIADO</v>
      </c>
      <c r="N2003">
        <f t="shared" si="142"/>
        <v>45</v>
      </c>
      <c r="O2003" s="19" t="str">
        <f t="shared" si="143"/>
        <v>1200k+</v>
      </c>
      <c r="P2003" s="19" t="str">
        <f t="shared" si="144"/>
        <v>36-45</v>
      </c>
    </row>
    <row r="2004" spans="1:16" x14ac:dyDescent="0.25">
      <c r="A2004">
        <v>2003</v>
      </c>
      <c r="B2004" t="s">
        <v>9</v>
      </c>
      <c r="C2004">
        <v>297047</v>
      </c>
      <c r="D2004" t="s">
        <v>18</v>
      </c>
      <c r="E2004" t="s">
        <v>16</v>
      </c>
      <c r="F2004" t="s">
        <v>12</v>
      </c>
      <c r="G2004" t="s">
        <v>13</v>
      </c>
      <c r="H2004" t="s">
        <v>13</v>
      </c>
      <c r="I2004">
        <v>59</v>
      </c>
      <c r="J2004" t="str" cm="1">
        <f t="array" ref="J2004">_xlfn.IFS(ISBLANK(C2004),"FALTANTE",ABS((C2004-$W$5)/$X$5)&gt;1.96,"ATÍPICO",ABS((C2004-$W$5)/$X$5)&lt;=1.96,"NO ATÍPICO")</f>
        <v>NO ATÍPICO</v>
      </c>
      <c r="K2004" t="str" cm="1">
        <f t="array" ref="K2004">_xlfn.IFS(ISBLANK(I2004),"FALTANTE",ABS((I2004-$W$8)/$X$8)&gt;1.92,"ATÍPICO",ABS((I2004-$W$8)/$X$8)&lt;=1.92,"NO ATÍPICO")</f>
        <v>NO ATÍPICO</v>
      </c>
      <c r="L2004">
        <f t="shared" si="140"/>
        <v>297047</v>
      </c>
      <c r="M2004" t="str">
        <f t="shared" si="141"/>
        <v>TRABAJADOR INDEPENDIENTE</v>
      </c>
      <c r="N2004">
        <f t="shared" si="142"/>
        <v>59</v>
      </c>
      <c r="O2004" s="19" t="str">
        <f t="shared" si="143"/>
        <v>0–300k</v>
      </c>
      <c r="P2004" s="19" t="str">
        <f t="shared" si="144"/>
        <v>56+</v>
      </c>
    </row>
    <row r="2005" spans="1:16" x14ac:dyDescent="0.25">
      <c r="A2005">
        <v>2004</v>
      </c>
      <c r="B2005" t="s">
        <v>15</v>
      </c>
      <c r="C2005">
        <v>50000</v>
      </c>
      <c r="D2005" t="s">
        <v>10</v>
      </c>
      <c r="E2005" t="s">
        <v>16</v>
      </c>
      <c r="F2005" t="s">
        <v>12</v>
      </c>
      <c r="G2005" t="s">
        <v>13</v>
      </c>
      <c r="H2005" t="s">
        <v>13</v>
      </c>
      <c r="I2005">
        <v>40</v>
      </c>
      <c r="J2005" t="str" cm="1">
        <f t="array" ref="J2005">_xlfn.IFS(ISBLANK(C2005),"FALTANTE",ABS((C2005-$W$5)/$X$5)&gt;1.96,"ATÍPICO",ABS((C2005-$W$5)/$X$5)&lt;=1.96,"NO ATÍPICO")</f>
        <v>NO ATÍPICO</v>
      </c>
      <c r="K2005" t="str" cm="1">
        <f t="array" ref="K2005">_xlfn.IFS(ISBLANK(I2005),"FALTANTE",ABS((I2005-$W$8)/$X$8)&gt;1.92,"ATÍPICO",ABS((I2005-$W$8)/$X$8)&lt;=1.92,"NO ATÍPICO")</f>
        <v>NO ATÍPICO</v>
      </c>
      <c r="L2005">
        <f t="shared" si="140"/>
        <v>50000</v>
      </c>
      <c r="M2005" t="str">
        <f t="shared" si="141"/>
        <v>ASALARIADO</v>
      </c>
      <c r="N2005">
        <f t="shared" si="142"/>
        <v>40</v>
      </c>
      <c r="O2005" s="19" t="str">
        <f t="shared" si="143"/>
        <v>0–300k</v>
      </c>
      <c r="P2005" s="19" t="str">
        <f t="shared" si="144"/>
        <v>36-45</v>
      </c>
    </row>
    <row r="2006" spans="1:16" x14ac:dyDescent="0.25">
      <c r="A2006">
        <v>2005</v>
      </c>
      <c r="B2006" t="s">
        <v>9</v>
      </c>
      <c r="C2006">
        <v>379361</v>
      </c>
      <c r="D2006" t="s">
        <v>10</v>
      </c>
      <c r="E2006" t="s">
        <v>16</v>
      </c>
      <c r="F2006" t="s">
        <v>12</v>
      </c>
      <c r="G2006" t="s">
        <v>13</v>
      </c>
      <c r="H2006" t="s">
        <v>13</v>
      </c>
      <c r="I2006">
        <v>39</v>
      </c>
      <c r="J2006" t="str" cm="1">
        <f t="array" ref="J2006">_xlfn.IFS(ISBLANK(C2006),"FALTANTE",ABS((C2006-$W$5)/$X$5)&gt;1.96,"ATÍPICO",ABS((C2006-$W$5)/$X$5)&lt;=1.96,"NO ATÍPICO")</f>
        <v>NO ATÍPICO</v>
      </c>
      <c r="K2006" t="str" cm="1">
        <f t="array" ref="K2006">_xlfn.IFS(ISBLANK(I2006),"FALTANTE",ABS((I2006-$W$8)/$X$8)&gt;1.92,"ATÍPICO",ABS((I2006-$W$8)/$X$8)&lt;=1.92,"NO ATÍPICO")</f>
        <v>NO ATÍPICO</v>
      </c>
      <c r="L2006">
        <f t="shared" si="140"/>
        <v>379361</v>
      </c>
      <c r="M2006" t="str">
        <f t="shared" si="141"/>
        <v>ASALARIADO</v>
      </c>
      <c r="N2006">
        <f t="shared" si="142"/>
        <v>39</v>
      </c>
      <c r="O2006" s="19" t="str">
        <f t="shared" si="143"/>
        <v>300k–600k</v>
      </c>
      <c r="P2006" s="19" t="str">
        <f t="shared" si="144"/>
        <v>36-45</v>
      </c>
    </row>
    <row r="2007" spans="1:16" x14ac:dyDescent="0.25">
      <c r="A2007">
        <v>2006</v>
      </c>
      <c r="B2007" t="s">
        <v>9</v>
      </c>
      <c r="C2007">
        <v>594388.81000000006</v>
      </c>
      <c r="D2007" t="s">
        <v>10</v>
      </c>
      <c r="E2007" t="s">
        <v>16</v>
      </c>
      <c r="F2007" t="s">
        <v>12</v>
      </c>
      <c r="G2007" t="s">
        <v>13</v>
      </c>
      <c r="H2007" t="s">
        <v>13</v>
      </c>
      <c r="I2007">
        <v>24</v>
      </c>
      <c r="J2007" t="str" cm="1">
        <f t="array" ref="J2007">_xlfn.IFS(ISBLANK(C2007),"FALTANTE",ABS((C2007-$W$5)/$X$5)&gt;1.96,"ATÍPICO",ABS((C2007-$W$5)/$X$5)&lt;=1.96,"NO ATÍPICO")</f>
        <v>NO ATÍPICO</v>
      </c>
      <c r="K2007" t="str" cm="1">
        <f t="array" ref="K2007">_xlfn.IFS(ISBLANK(I2007),"FALTANTE",ABS((I2007-$W$8)/$X$8)&gt;1.92,"ATÍPICO",ABS((I2007-$W$8)/$X$8)&lt;=1.92,"NO ATÍPICO")</f>
        <v>NO ATÍPICO</v>
      </c>
      <c r="L2007">
        <f t="shared" si="140"/>
        <v>594388.81000000006</v>
      </c>
      <c r="M2007" t="str">
        <f t="shared" si="141"/>
        <v>ASALARIADO</v>
      </c>
      <c r="N2007">
        <f t="shared" si="142"/>
        <v>24</v>
      </c>
      <c r="O2007" s="19" t="str">
        <f t="shared" si="143"/>
        <v>300k–600k</v>
      </c>
      <c r="P2007" s="19" t="str">
        <f t="shared" si="144"/>
        <v>18-25</v>
      </c>
    </row>
    <row r="2008" spans="1:16" x14ac:dyDescent="0.25">
      <c r="A2008">
        <v>2007</v>
      </c>
      <c r="B2008" t="s">
        <v>15</v>
      </c>
      <c r="C2008">
        <v>354029.89</v>
      </c>
      <c r="D2008" t="s">
        <v>10</v>
      </c>
      <c r="E2008" t="s">
        <v>16</v>
      </c>
      <c r="F2008" t="s">
        <v>12</v>
      </c>
      <c r="G2008" t="s">
        <v>13</v>
      </c>
      <c r="H2008" t="s">
        <v>13</v>
      </c>
      <c r="I2008">
        <v>33</v>
      </c>
      <c r="J2008" t="str" cm="1">
        <f t="array" ref="J2008">_xlfn.IFS(ISBLANK(C2008),"FALTANTE",ABS((C2008-$W$5)/$X$5)&gt;1.96,"ATÍPICO",ABS((C2008-$W$5)/$X$5)&lt;=1.96,"NO ATÍPICO")</f>
        <v>NO ATÍPICO</v>
      </c>
      <c r="K2008" t="str" cm="1">
        <f t="array" ref="K2008">_xlfn.IFS(ISBLANK(I2008),"FALTANTE",ABS((I2008-$W$8)/$X$8)&gt;1.92,"ATÍPICO",ABS((I2008-$W$8)/$X$8)&lt;=1.92,"NO ATÍPICO")</f>
        <v>NO ATÍPICO</v>
      </c>
      <c r="L2008">
        <f t="shared" si="140"/>
        <v>354029.89</v>
      </c>
      <c r="M2008" t="str">
        <f t="shared" si="141"/>
        <v>ASALARIADO</v>
      </c>
      <c r="N2008">
        <f t="shared" si="142"/>
        <v>33</v>
      </c>
      <c r="O2008" s="19" t="str">
        <f t="shared" si="143"/>
        <v>300k–600k</v>
      </c>
      <c r="P2008" s="19" t="str">
        <f t="shared" si="144"/>
        <v>26-35</v>
      </c>
    </row>
    <row r="2009" spans="1:16" x14ac:dyDescent="0.25">
      <c r="A2009">
        <v>2008</v>
      </c>
      <c r="B2009" t="s">
        <v>9</v>
      </c>
      <c r="C2009">
        <v>342027</v>
      </c>
      <c r="D2009" t="s">
        <v>10</v>
      </c>
      <c r="E2009" t="s">
        <v>16</v>
      </c>
      <c r="F2009" t="s">
        <v>12</v>
      </c>
      <c r="G2009" t="s">
        <v>13</v>
      </c>
      <c r="H2009" t="s">
        <v>13</v>
      </c>
      <c r="I2009">
        <v>53</v>
      </c>
      <c r="J2009" t="str" cm="1">
        <f t="array" ref="J2009">_xlfn.IFS(ISBLANK(C2009),"FALTANTE",ABS((C2009-$W$5)/$X$5)&gt;1.96,"ATÍPICO",ABS((C2009-$W$5)/$X$5)&lt;=1.96,"NO ATÍPICO")</f>
        <v>NO ATÍPICO</v>
      </c>
      <c r="K2009" t="str" cm="1">
        <f t="array" ref="K2009">_xlfn.IFS(ISBLANK(I2009),"FALTANTE",ABS((I2009-$W$8)/$X$8)&gt;1.92,"ATÍPICO",ABS((I2009-$W$8)/$X$8)&lt;=1.92,"NO ATÍPICO")</f>
        <v>NO ATÍPICO</v>
      </c>
      <c r="L2009">
        <f t="shared" si="140"/>
        <v>342027</v>
      </c>
      <c r="M2009" t="str">
        <f t="shared" si="141"/>
        <v>ASALARIADO</v>
      </c>
      <c r="N2009">
        <f t="shared" si="142"/>
        <v>53</v>
      </c>
      <c r="O2009" s="19" t="str">
        <f t="shared" si="143"/>
        <v>300k–600k</v>
      </c>
      <c r="P2009" s="19" t="str">
        <f t="shared" si="144"/>
        <v>46-55</v>
      </c>
    </row>
    <row r="2010" spans="1:16" x14ac:dyDescent="0.25">
      <c r="A2010">
        <v>2009</v>
      </c>
      <c r="B2010" t="s">
        <v>15</v>
      </c>
      <c r="C2010">
        <v>1059620</v>
      </c>
      <c r="D2010" t="s">
        <v>17</v>
      </c>
      <c r="E2010" t="s">
        <v>16</v>
      </c>
      <c r="F2010" t="s">
        <v>12</v>
      </c>
      <c r="G2010" t="s">
        <v>12</v>
      </c>
      <c r="H2010" t="s">
        <v>13</v>
      </c>
      <c r="I2010">
        <v>76</v>
      </c>
      <c r="J2010" t="str" cm="1">
        <f t="array" ref="J2010">_xlfn.IFS(ISBLANK(C2010),"FALTANTE",ABS((C2010-$W$5)/$X$5)&gt;1.96,"ATÍPICO",ABS((C2010-$W$5)/$X$5)&lt;=1.96,"NO ATÍPICO")</f>
        <v>NO ATÍPICO</v>
      </c>
      <c r="K2010" t="str" cm="1">
        <f t="array" ref="K2010">_xlfn.IFS(ISBLANK(I2010),"FALTANTE",ABS((I2010-$W$8)/$X$8)&gt;1.92,"ATÍPICO",ABS((I2010-$W$8)/$X$8)&lt;=1.92,"NO ATÍPICO")</f>
        <v>ATÍPICO</v>
      </c>
      <c r="L2010">
        <f t="shared" si="140"/>
        <v>1059620</v>
      </c>
      <c r="M2010" t="str">
        <f t="shared" si="141"/>
        <v>ASEGURADO VOLUNTARIO</v>
      </c>
      <c r="N2010">
        <f t="shared" si="142"/>
        <v>76</v>
      </c>
      <c r="O2010" s="19" t="str">
        <f t="shared" si="143"/>
        <v>900k–1200k</v>
      </c>
      <c r="P2010" s="19" t="str">
        <f t="shared" si="144"/>
        <v>56+</v>
      </c>
    </row>
    <row r="2011" spans="1:16" x14ac:dyDescent="0.25">
      <c r="A2011">
        <v>2010</v>
      </c>
      <c r="B2011" t="s">
        <v>15</v>
      </c>
      <c r="C2011">
        <v>233537.36</v>
      </c>
      <c r="D2011" t="s">
        <v>10</v>
      </c>
      <c r="E2011" t="s">
        <v>16</v>
      </c>
      <c r="F2011" t="s">
        <v>12</v>
      </c>
      <c r="G2011" t="s">
        <v>13</v>
      </c>
      <c r="H2011" t="s">
        <v>13</v>
      </c>
      <c r="I2011">
        <v>33</v>
      </c>
      <c r="J2011" t="str" cm="1">
        <f t="array" ref="J2011">_xlfn.IFS(ISBLANK(C2011),"FALTANTE",ABS((C2011-$W$5)/$X$5)&gt;1.96,"ATÍPICO",ABS((C2011-$W$5)/$X$5)&lt;=1.96,"NO ATÍPICO")</f>
        <v>NO ATÍPICO</v>
      </c>
      <c r="K2011" t="str" cm="1">
        <f t="array" ref="K2011">_xlfn.IFS(ISBLANK(I2011),"FALTANTE",ABS((I2011-$W$8)/$X$8)&gt;1.92,"ATÍPICO",ABS((I2011-$W$8)/$X$8)&lt;=1.92,"NO ATÍPICO")</f>
        <v>NO ATÍPICO</v>
      </c>
      <c r="L2011">
        <f t="shared" si="140"/>
        <v>233537.36</v>
      </c>
      <c r="M2011" t="str">
        <f t="shared" si="141"/>
        <v>ASALARIADO</v>
      </c>
      <c r="N2011">
        <f t="shared" si="142"/>
        <v>33</v>
      </c>
      <c r="O2011" s="19" t="str">
        <f t="shared" si="143"/>
        <v>0–300k</v>
      </c>
      <c r="P2011" s="19" t="str">
        <f t="shared" si="144"/>
        <v>26-35</v>
      </c>
    </row>
    <row r="2012" spans="1:16" x14ac:dyDescent="0.25">
      <c r="A2012">
        <v>2011</v>
      </c>
      <c r="B2012" t="s">
        <v>9</v>
      </c>
      <c r="C2012">
        <v>2161351.1</v>
      </c>
      <c r="D2012" t="s">
        <v>10</v>
      </c>
      <c r="E2012" t="s">
        <v>11</v>
      </c>
      <c r="F2012" t="s">
        <v>12</v>
      </c>
      <c r="G2012" t="s">
        <v>13</v>
      </c>
      <c r="H2012" t="s">
        <v>13</v>
      </c>
      <c r="I2012">
        <v>56</v>
      </c>
      <c r="J2012" t="str" cm="1">
        <f t="array" ref="J2012">_xlfn.IFS(ISBLANK(C2012),"FALTANTE",ABS((C2012-$W$5)/$X$5)&gt;1.96,"ATÍPICO",ABS((C2012-$W$5)/$X$5)&lt;=1.96,"NO ATÍPICO")</f>
        <v>NO ATÍPICO</v>
      </c>
      <c r="K2012" t="str" cm="1">
        <f t="array" ref="K2012">_xlfn.IFS(ISBLANK(I2012),"FALTANTE",ABS((I2012-$W$8)/$X$8)&gt;1.92,"ATÍPICO",ABS((I2012-$W$8)/$X$8)&lt;=1.92,"NO ATÍPICO")</f>
        <v>NO ATÍPICO</v>
      </c>
      <c r="L2012">
        <f t="shared" si="140"/>
        <v>2161351.1</v>
      </c>
      <c r="M2012" t="str">
        <f t="shared" si="141"/>
        <v>ASALARIADO</v>
      </c>
      <c r="N2012">
        <f t="shared" si="142"/>
        <v>56</v>
      </c>
      <c r="O2012" s="19" t="str">
        <f t="shared" si="143"/>
        <v>1200k+</v>
      </c>
      <c r="P2012" s="19" t="str">
        <f t="shared" si="144"/>
        <v>56+</v>
      </c>
    </row>
    <row r="2013" spans="1:16" x14ac:dyDescent="0.25">
      <c r="A2013">
        <v>2012</v>
      </c>
      <c r="B2013" t="s">
        <v>9</v>
      </c>
      <c r="C2013">
        <v>158034.53</v>
      </c>
      <c r="D2013" t="s">
        <v>10</v>
      </c>
      <c r="E2013" t="s">
        <v>16</v>
      </c>
      <c r="F2013" t="s">
        <v>12</v>
      </c>
      <c r="G2013" t="s">
        <v>12</v>
      </c>
      <c r="H2013" t="s">
        <v>12</v>
      </c>
      <c r="I2013">
        <v>34</v>
      </c>
      <c r="J2013" t="str" cm="1">
        <f t="array" ref="J2013">_xlfn.IFS(ISBLANK(C2013),"FALTANTE",ABS((C2013-$W$5)/$X$5)&gt;1.96,"ATÍPICO",ABS((C2013-$W$5)/$X$5)&lt;=1.96,"NO ATÍPICO")</f>
        <v>NO ATÍPICO</v>
      </c>
      <c r="K2013" t="str" cm="1">
        <f t="array" ref="K2013">_xlfn.IFS(ISBLANK(I2013),"FALTANTE",ABS((I2013-$W$8)/$X$8)&gt;1.92,"ATÍPICO",ABS((I2013-$W$8)/$X$8)&lt;=1.92,"NO ATÍPICO")</f>
        <v>NO ATÍPICO</v>
      </c>
      <c r="L2013">
        <f t="shared" si="140"/>
        <v>158034.53</v>
      </c>
      <c r="M2013" t="str">
        <f t="shared" si="141"/>
        <v>ASALARIADO</v>
      </c>
      <c r="N2013">
        <f t="shared" si="142"/>
        <v>34</v>
      </c>
      <c r="O2013" s="19" t="str">
        <f t="shared" si="143"/>
        <v>0–300k</v>
      </c>
      <c r="P2013" s="19" t="str">
        <f t="shared" si="144"/>
        <v>26-35</v>
      </c>
    </row>
    <row r="2014" spans="1:16" x14ac:dyDescent="0.25">
      <c r="A2014">
        <v>2013</v>
      </c>
      <c r="B2014" t="s">
        <v>9</v>
      </c>
      <c r="C2014">
        <v>433085</v>
      </c>
      <c r="D2014" t="s">
        <v>18</v>
      </c>
      <c r="E2014" t="s">
        <v>16</v>
      </c>
      <c r="F2014" t="s">
        <v>12</v>
      </c>
      <c r="G2014" t="s">
        <v>13</v>
      </c>
      <c r="H2014" t="s">
        <v>12</v>
      </c>
      <c r="I2014">
        <v>46</v>
      </c>
      <c r="J2014" t="str" cm="1">
        <f t="array" ref="J2014">_xlfn.IFS(ISBLANK(C2014),"FALTANTE",ABS((C2014-$W$5)/$X$5)&gt;1.96,"ATÍPICO",ABS((C2014-$W$5)/$X$5)&lt;=1.96,"NO ATÍPICO")</f>
        <v>NO ATÍPICO</v>
      </c>
      <c r="K2014" t="str" cm="1">
        <f t="array" ref="K2014">_xlfn.IFS(ISBLANK(I2014),"FALTANTE",ABS((I2014-$W$8)/$X$8)&gt;1.92,"ATÍPICO",ABS((I2014-$W$8)/$X$8)&lt;=1.92,"NO ATÍPICO")</f>
        <v>NO ATÍPICO</v>
      </c>
      <c r="L2014">
        <f t="shared" si="140"/>
        <v>433085</v>
      </c>
      <c r="M2014" t="str">
        <f t="shared" si="141"/>
        <v>TRABAJADOR INDEPENDIENTE</v>
      </c>
      <c r="N2014">
        <f t="shared" si="142"/>
        <v>46</v>
      </c>
      <c r="O2014" s="19" t="str">
        <f t="shared" si="143"/>
        <v>300k–600k</v>
      </c>
      <c r="P2014" s="19" t="str">
        <f t="shared" si="144"/>
        <v>46-55</v>
      </c>
    </row>
    <row r="2015" spans="1:16" x14ac:dyDescent="0.25">
      <c r="A2015">
        <v>2014</v>
      </c>
      <c r="B2015" t="s">
        <v>9</v>
      </c>
      <c r="C2015">
        <v>765111.68</v>
      </c>
      <c r="D2015" t="s">
        <v>14</v>
      </c>
      <c r="E2015" t="s">
        <v>11</v>
      </c>
      <c r="F2015" t="s">
        <v>12</v>
      </c>
      <c r="G2015" t="s">
        <v>13</v>
      </c>
      <c r="H2015" t="s">
        <v>13</v>
      </c>
      <c r="I2015">
        <v>62</v>
      </c>
      <c r="J2015" t="str" cm="1">
        <f t="array" ref="J2015">_xlfn.IFS(ISBLANK(C2015),"FALTANTE",ABS((C2015-$W$5)/$X$5)&gt;1.96,"ATÍPICO",ABS((C2015-$W$5)/$X$5)&lt;=1.96,"NO ATÍPICO")</f>
        <v>NO ATÍPICO</v>
      </c>
      <c r="K2015" t="str" cm="1">
        <f t="array" ref="K2015">_xlfn.IFS(ISBLANK(I2015),"FALTANTE",ABS((I2015-$W$8)/$X$8)&gt;1.92,"ATÍPICO",ABS((I2015-$W$8)/$X$8)&lt;=1.92,"NO ATÍPICO")</f>
        <v>NO ATÍPICO</v>
      </c>
      <c r="L2015">
        <f t="shared" si="140"/>
        <v>765111.68</v>
      </c>
      <c r="M2015" t="str">
        <f t="shared" si="141"/>
        <v>PENSIONADOS EN SU PROPIO SISTEMA</v>
      </c>
      <c r="N2015">
        <f t="shared" si="142"/>
        <v>62</v>
      </c>
      <c r="O2015" s="19" t="str">
        <f t="shared" si="143"/>
        <v>600k–900k</v>
      </c>
      <c r="P2015" s="19" t="str">
        <f t="shared" si="144"/>
        <v>56+</v>
      </c>
    </row>
    <row r="2016" spans="1:16" x14ac:dyDescent="0.25">
      <c r="A2016">
        <v>2015</v>
      </c>
      <c r="B2016" t="s">
        <v>9</v>
      </c>
      <c r="C2016">
        <v>175000</v>
      </c>
      <c r="D2016" t="s">
        <v>10</v>
      </c>
      <c r="E2016" t="s">
        <v>16</v>
      </c>
      <c r="F2016" t="s">
        <v>12</v>
      </c>
      <c r="G2016" t="s">
        <v>13</v>
      </c>
      <c r="H2016" t="s">
        <v>13</v>
      </c>
      <c r="I2016">
        <v>39</v>
      </c>
      <c r="J2016" t="str" cm="1">
        <f t="array" ref="J2016">_xlfn.IFS(ISBLANK(C2016),"FALTANTE",ABS((C2016-$W$5)/$X$5)&gt;1.96,"ATÍPICO",ABS((C2016-$W$5)/$X$5)&lt;=1.96,"NO ATÍPICO")</f>
        <v>NO ATÍPICO</v>
      </c>
      <c r="K2016" t="str" cm="1">
        <f t="array" ref="K2016">_xlfn.IFS(ISBLANK(I2016),"FALTANTE",ABS((I2016-$W$8)/$X$8)&gt;1.92,"ATÍPICO",ABS((I2016-$W$8)/$X$8)&lt;=1.92,"NO ATÍPICO")</f>
        <v>NO ATÍPICO</v>
      </c>
      <c r="L2016">
        <f t="shared" si="140"/>
        <v>175000</v>
      </c>
      <c r="M2016" t="str">
        <f t="shared" si="141"/>
        <v>ASALARIADO</v>
      </c>
      <c r="N2016">
        <f t="shared" si="142"/>
        <v>39</v>
      </c>
      <c r="O2016" s="19" t="str">
        <f t="shared" si="143"/>
        <v>0–300k</v>
      </c>
      <c r="P2016" s="19" t="str">
        <f t="shared" si="144"/>
        <v>36-45</v>
      </c>
    </row>
    <row r="2017" spans="1:16" x14ac:dyDescent="0.25">
      <c r="A2017">
        <v>2016</v>
      </c>
      <c r="B2017" t="s">
        <v>9</v>
      </c>
      <c r="C2017">
        <v>611409</v>
      </c>
      <c r="D2017" t="s">
        <v>18</v>
      </c>
      <c r="E2017" t="s">
        <v>16</v>
      </c>
      <c r="F2017" t="s">
        <v>12</v>
      </c>
      <c r="G2017" t="s">
        <v>13</v>
      </c>
      <c r="H2017" t="s">
        <v>12</v>
      </c>
      <c r="I2017">
        <v>68</v>
      </c>
      <c r="J2017" t="str" cm="1">
        <f t="array" ref="J2017">_xlfn.IFS(ISBLANK(C2017),"FALTANTE",ABS((C2017-$W$5)/$X$5)&gt;1.96,"ATÍPICO",ABS((C2017-$W$5)/$X$5)&lt;=1.96,"NO ATÍPICO")</f>
        <v>NO ATÍPICO</v>
      </c>
      <c r="K2017" t="str" cm="1">
        <f t="array" ref="K2017">_xlfn.IFS(ISBLANK(I2017),"FALTANTE",ABS((I2017-$W$8)/$X$8)&gt;1.92,"ATÍPICO",ABS((I2017-$W$8)/$X$8)&lt;=1.92,"NO ATÍPICO")</f>
        <v>NO ATÍPICO</v>
      </c>
      <c r="L2017">
        <f t="shared" si="140"/>
        <v>611409</v>
      </c>
      <c r="M2017" t="str">
        <f t="shared" si="141"/>
        <v>TRABAJADOR INDEPENDIENTE</v>
      </c>
      <c r="N2017">
        <f t="shared" si="142"/>
        <v>68</v>
      </c>
      <c r="O2017" s="19" t="str">
        <f t="shared" si="143"/>
        <v>600k–900k</v>
      </c>
      <c r="P2017" s="19" t="str">
        <f t="shared" si="144"/>
        <v>56+</v>
      </c>
    </row>
    <row r="2018" spans="1:16" x14ac:dyDescent="0.25">
      <c r="A2018">
        <v>2017</v>
      </c>
      <c r="B2018" t="s">
        <v>9</v>
      </c>
      <c r="C2018">
        <v>405473.29</v>
      </c>
      <c r="D2018" t="s">
        <v>10</v>
      </c>
      <c r="E2018" t="s">
        <v>16</v>
      </c>
      <c r="F2018" t="s">
        <v>12</v>
      </c>
      <c r="G2018" t="s">
        <v>12</v>
      </c>
      <c r="H2018" t="s">
        <v>13</v>
      </c>
      <c r="I2018">
        <v>29</v>
      </c>
      <c r="J2018" t="str" cm="1">
        <f t="array" ref="J2018">_xlfn.IFS(ISBLANK(C2018),"FALTANTE",ABS((C2018-$W$5)/$X$5)&gt;1.96,"ATÍPICO",ABS((C2018-$W$5)/$X$5)&lt;=1.96,"NO ATÍPICO")</f>
        <v>NO ATÍPICO</v>
      </c>
      <c r="K2018" t="str" cm="1">
        <f t="array" ref="K2018">_xlfn.IFS(ISBLANK(I2018),"FALTANTE",ABS((I2018-$W$8)/$X$8)&gt;1.92,"ATÍPICO",ABS((I2018-$W$8)/$X$8)&lt;=1.92,"NO ATÍPICO")</f>
        <v>NO ATÍPICO</v>
      </c>
      <c r="L2018">
        <f t="shared" si="140"/>
        <v>405473.29</v>
      </c>
      <c r="M2018" t="str">
        <f t="shared" si="141"/>
        <v>ASALARIADO</v>
      </c>
      <c r="N2018">
        <f t="shared" si="142"/>
        <v>29</v>
      </c>
      <c r="O2018" s="19" t="str">
        <f t="shared" si="143"/>
        <v>300k–600k</v>
      </c>
      <c r="P2018" s="19" t="str">
        <f t="shared" si="144"/>
        <v>26-35</v>
      </c>
    </row>
    <row r="2019" spans="1:16" x14ac:dyDescent="0.25">
      <c r="A2019">
        <v>2018</v>
      </c>
      <c r="B2019" t="s">
        <v>15</v>
      </c>
      <c r="C2019">
        <v>297046</v>
      </c>
      <c r="D2019" t="s">
        <v>17</v>
      </c>
      <c r="E2019" t="s">
        <v>16</v>
      </c>
      <c r="F2019" t="s">
        <v>13</v>
      </c>
      <c r="G2019" t="s">
        <v>13</v>
      </c>
      <c r="H2019" t="s">
        <v>12</v>
      </c>
      <c r="I2019">
        <v>27</v>
      </c>
      <c r="J2019" t="str" cm="1">
        <f t="array" ref="J2019">_xlfn.IFS(ISBLANK(C2019),"FALTANTE",ABS((C2019-$W$5)/$X$5)&gt;1.96,"ATÍPICO",ABS((C2019-$W$5)/$X$5)&lt;=1.96,"NO ATÍPICO")</f>
        <v>NO ATÍPICO</v>
      </c>
      <c r="K2019" t="str" cm="1">
        <f t="array" ref="K2019">_xlfn.IFS(ISBLANK(I2019),"FALTANTE",ABS((I2019-$W$8)/$X$8)&gt;1.92,"ATÍPICO",ABS((I2019-$W$8)/$X$8)&lt;=1.92,"NO ATÍPICO")</f>
        <v>NO ATÍPICO</v>
      </c>
      <c r="L2019">
        <f t="shared" si="140"/>
        <v>297046</v>
      </c>
      <c r="M2019" t="str">
        <f t="shared" si="141"/>
        <v>ASEGURADO VOLUNTARIO</v>
      </c>
      <c r="N2019">
        <f t="shared" si="142"/>
        <v>27</v>
      </c>
      <c r="O2019" s="19" t="str">
        <f t="shared" si="143"/>
        <v>0–300k</v>
      </c>
      <c r="P2019" s="19" t="str">
        <f t="shared" si="144"/>
        <v>26-35</v>
      </c>
    </row>
    <row r="2020" spans="1:16" x14ac:dyDescent="0.25">
      <c r="A2020">
        <v>2019</v>
      </c>
      <c r="B2020" t="s">
        <v>15</v>
      </c>
      <c r="C2020">
        <v>297046</v>
      </c>
      <c r="D2020" t="s">
        <v>17</v>
      </c>
      <c r="E2020" t="s">
        <v>16</v>
      </c>
      <c r="F2020" t="s">
        <v>12</v>
      </c>
      <c r="G2020" t="s">
        <v>13</v>
      </c>
      <c r="H2020" t="s">
        <v>13</v>
      </c>
      <c r="I2020">
        <v>26</v>
      </c>
      <c r="J2020" t="str" cm="1">
        <f t="array" ref="J2020">_xlfn.IFS(ISBLANK(C2020),"FALTANTE",ABS((C2020-$W$5)/$X$5)&gt;1.96,"ATÍPICO",ABS((C2020-$W$5)/$X$5)&lt;=1.96,"NO ATÍPICO")</f>
        <v>NO ATÍPICO</v>
      </c>
      <c r="K2020" t="str" cm="1">
        <f t="array" ref="K2020">_xlfn.IFS(ISBLANK(I2020),"FALTANTE",ABS((I2020-$W$8)/$X$8)&gt;1.92,"ATÍPICO",ABS((I2020-$W$8)/$X$8)&lt;=1.92,"NO ATÍPICO")</f>
        <v>NO ATÍPICO</v>
      </c>
      <c r="L2020">
        <f t="shared" si="140"/>
        <v>297046</v>
      </c>
      <c r="M2020" t="str">
        <f t="shared" si="141"/>
        <v>ASEGURADO VOLUNTARIO</v>
      </c>
      <c r="N2020">
        <f t="shared" si="142"/>
        <v>26</v>
      </c>
      <c r="O2020" s="19" t="str">
        <f t="shared" si="143"/>
        <v>0–300k</v>
      </c>
      <c r="P2020" s="19" t="str">
        <f t="shared" si="144"/>
        <v>26-35</v>
      </c>
    </row>
    <row r="2021" spans="1:16" x14ac:dyDescent="0.25">
      <c r="A2021">
        <v>2020</v>
      </c>
      <c r="B2021" t="s">
        <v>15</v>
      </c>
      <c r="C2021">
        <v>970529.5</v>
      </c>
      <c r="D2021" t="s">
        <v>10</v>
      </c>
      <c r="E2021" t="s">
        <v>11</v>
      </c>
      <c r="F2021" t="s">
        <v>12</v>
      </c>
      <c r="G2021" t="s">
        <v>13</v>
      </c>
      <c r="H2021" t="s">
        <v>13</v>
      </c>
      <c r="I2021">
        <v>37</v>
      </c>
      <c r="J2021" t="str" cm="1">
        <f t="array" ref="J2021">_xlfn.IFS(ISBLANK(C2021),"FALTANTE",ABS((C2021-$W$5)/$X$5)&gt;1.96,"ATÍPICO",ABS((C2021-$W$5)/$X$5)&lt;=1.96,"NO ATÍPICO")</f>
        <v>NO ATÍPICO</v>
      </c>
      <c r="K2021" t="str" cm="1">
        <f t="array" ref="K2021">_xlfn.IFS(ISBLANK(I2021),"FALTANTE",ABS((I2021-$W$8)/$X$8)&gt;1.92,"ATÍPICO",ABS((I2021-$W$8)/$X$8)&lt;=1.92,"NO ATÍPICO")</f>
        <v>NO ATÍPICO</v>
      </c>
      <c r="L2021">
        <f t="shared" si="140"/>
        <v>970529.5</v>
      </c>
      <c r="M2021" t="str">
        <f t="shared" si="141"/>
        <v>ASALARIADO</v>
      </c>
      <c r="N2021">
        <f t="shared" si="142"/>
        <v>37</v>
      </c>
      <c r="O2021" s="19" t="str">
        <f t="shared" si="143"/>
        <v>900k–1200k</v>
      </c>
      <c r="P2021" s="19" t="str">
        <f t="shared" si="144"/>
        <v>36-45</v>
      </c>
    </row>
    <row r="2022" spans="1:16" x14ac:dyDescent="0.25">
      <c r="A2022">
        <v>2021</v>
      </c>
      <c r="B2022" t="s">
        <v>15</v>
      </c>
      <c r="C2022">
        <v>1789161.05</v>
      </c>
      <c r="D2022" t="s">
        <v>10</v>
      </c>
      <c r="E2022" t="s">
        <v>11</v>
      </c>
      <c r="F2022" t="s">
        <v>12</v>
      </c>
      <c r="G2022" t="s">
        <v>13</v>
      </c>
      <c r="H2022" t="s">
        <v>13</v>
      </c>
      <c r="I2022">
        <v>41</v>
      </c>
      <c r="J2022" t="str" cm="1">
        <f t="array" ref="J2022">_xlfn.IFS(ISBLANK(C2022),"FALTANTE",ABS((C2022-$W$5)/$X$5)&gt;1.96,"ATÍPICO",ABS((C2022-$W$5)/$X$5)&lt;=1.96,"NO ATÍPICO")</f>
        <v>NO ATÍPICO</v>
      </c>
      <c r="K2022" t="str" cm="1">
        <f t="array" ref="K2022">_xlfn.IFS(ISBLANK(I2022),"FALTANTE",ABS((I2022-$W$8)/$X$8)&gt;1.92,"ATÍPICO",ABS((I2022-$W$8)/$X$8)&lt;=1.92,"NO ATÍPICO")</f>
        <v>NO ATÍPICO</v>
      </c>
      <c r="L2022">
        <f t="shared" si="140"/>
        <v>1789161.05</v>
      </c>
      <c r="M2022" t="str">
        <f t="shared" si="141"/>
        <v>ASALARIADO</v>
      </c>
      <c r="N2022">
        <f t="shared" si="142"/>
        <v>41</v>
      </c>
      <c r="O2022" s="19" t="str">
        <f t="shared" si="143"/>
        <v>1200k+</v>
      </c>
      <c r="P2022" s="19" t="str">
        <f t="shared" si="144"/>
        <v>36-45</v>
      </c>
    </row>
    <row r="2023" spans="1:16" x14ac:dyDescent="0.25">
      <c r="A2023">
        <v>2022</v>
      </c>
      <c r="B2023" t="s">
        <v>9</v>
      </c>
      <c r="C2023">
        <v>417000</v>
      </c>
      <c r="D2023" t="s">
        <v>10</v>
      </c>
      <c r="E2023" t="s">
        <v>16</v>
      </c>
      <c r="F2023" t="s">
        <v>12</v>
      </c>
      <c r="G2023" t="s">
        <v>13</v>
      </c>
      <c r="H2023" t="s">
        <v>13</v>
      </c>
      <c r="I2023">
        <v>42</v>
      </c>
      <c r="J2023" t="str" cm="1">
        <f t="array" ref="J2023">_xlfn.IFS(ISBLANK(C2023),"FALTANTE",ABS((C2023-$W$5)/$X$5)&gt;1.96,"ATÍPICO",ABS((C2023-$W$5)/$X$5)&lt;=1.96,"NO ATÍPICO")</f>
        <v>NO ATÍPICO</v>
      </c>
      <c r="K2023" t="str" cm="1">
        <f t="array" ref="K2023">_xlfn.IFS(ISBLANK(I2023),"FALTANTE",ABS((I2023-$W$8)/$X$8)&gt;1.92,"ATÍPICO",ABS((I2023-$W$8)/$X$8)&lt;=1.92,"NO ATÍPICO")</f>
        <v>NO ATÍPICO</v>
      </c>
      <c r="L2023">
        <f t="shared" si="140"/>
        <v>417000</v>
      </c>
      <c r="M2023" t="str">
        <f t="shared" si="141"/>
        <v>ASALARIADO</v>
      </c>
      <c r="N2023">
        <f t="shared" si="142"/>
        <v>42</v>
      </c>
      <c r="O2023" s="19" t="str">
        <f t="shared" si="143"/>
        <v>300k–600k</v>
      </c>
      <c r="P2023" s="19" t="str">
        <f t="shared" si="144"/>
        <v>36-45</v>
      </c>
    </row>
    <row r="2024" spans="1:16" x14ac:dyDescent="0.25">
      <c r="A2024">
        <v>2023</v>
      </c>
      <c r="B2024" t="s">
        <v>9</v>
      </c>
      <c r="C2024">
        <v>500000</v>
      </c>
      <c r="D2024" t="s">
        <v>18</v>
      </c>
      <c r="E2024" t="s">
        <v>16</v>
      </c>
      <c r="F2024" t="s">
        <v>12</v>
      </c>
      <c r="G2024" t="s">
        <v>13</v>
      </c>
      <c r="H2024" t="s">
        <v>13</v>
      </c>
      <c r="I2024">
        <v>31</v>
      </c>
      <c r="J2024" t="str" cm="1">
        <f t="array" ref="J2024">_xlfn.IFS(ISBLANK(C2024),"FALTANTE",ABS((C2024-$W$5)/$X$5)&gt;1.96,"ATÍPICO",ABS((C2024-$W$5)/$X$5)&lt;=1.96,"NO ATÍPICO")</f>
        <v>NO ATÍPICO</v>
      </c>
      <c r="K2024" t="str" cm="1">
        <f t="array" ref="K2024">_xlfn.IFS(ISBLANK(I2024),"FALTANTE",ABS((I2024-$W$8)/$X$8)&gt;1.92,"ATÍPICO",ABS((I2024-$W$8)/$X$8)&lt;=1.92,"NO ATÍPICO")</f>
        <v>NO ATÍPICO</v>
      </c>
      <c r="L2024">
        <f t="shared" si="140"/>
        <v>500000</v>
      </c>
      <c r="M2024" t="str">
        <f t="shared" si="141"/>
        <v>TRABAJADOR INDEPENDIENTE</v>
      </c>
      <c r="N2024">
        <f t="shared" si="142"/>
        <v>31</v>
      </c>
      <c r="O2024" s="19" t="str">
        <f t="shared" si="143"/>
        <v>300k–600k</v>
      </c>
      <c r="P2024" s="19" t="str">
        <f t="shared" si="144"/>
        <v>26-35</v>
      </c>
    </row>
    <row r="2025" spans="1:16" x14ac:dyDescent="0.25">
      <c r="A2025">
        <v>2024</v>
      </c>
      <c r="B2025" t="s">
        <v>9</v>
      </c>
      <c r="C2025">
        <v>351360</v>
      </c>
      <c r="D2025" t="s">
        <v>10</v>
      </c>
      <c r="E2025" t="s">
        <v>16</v>
      </c>
      <c r="F2025" t="s">
        <v>12</v>
      </c>
      <c r="G2025" t="s">
        <v>13</v>
      </c>
      <c r="H2025" t="s">
        <v>12</v>
      </c>
      <c r="I2025">
        <v>61</v>
      </c>
      <c r="J2025" t="str" cm="1">
        <f t="array" ref="J2025">_xlfn.IFS(ISBLANK(C2025),"FALTANTE",ABS((C2025-$W$5)/$X$5)&gt;1.96,"ATÍPICO",ABS((C2025-$W$5)/$X$5)&lt;=1.96,"NO ATÍPICO")</f>
        <v>NO ATÍPICO</v>
      </c>
      <c r="K2025" t="str" cm="1">
        <f t="array" ref="K2025">_xlfn.IFS(ISBLANK(I2025),"FALTANTE",ABS((I2025-$W$8)/$X$8)&gt;1.92,"ATÍPICO",ABS((I2025-$W$8)/$X$8)&lt;=1.92,"NO ATÍPICO")</f>
        <v>NO ATÍPICO</v>
      </c>
      <c r="L2025">
        <f t="shared" si="140"/>
        <v>351360</v>
      </c>
      <c r="M2025" t="str">
        <f t="shared" si="141"/>
        <v>ASALARIADO</v>
      </c>
      <c r="N2025">
        <f t="shared" si="142"/>
        <v>61</v>
      </c>
      <c r="O2025" s="19" t="str">
        <f t="shared" si="143"/>
        <v>300k–600k</v>
      </c>
      <c r="P2025" s="19" t="str">
        <f t="shared" si="144"/>
        <v>56+</v>
      </c>
    </row>
    <row r="2026" spans="1:16" x14ac:dyDescent="0.25">
      <c r="A2026">
        <v>2025</v>
      </c>
      <c r="B2026" t="s">
        <v>15</v>
      </c>
      <c r="C2026">
        <v>297046</v>
      </c>
      <c r="D2026" t="s">
        <v>17</v>
      </c>
      <c r="E2026" t="s">
        <v>16</v>
      </c>
      <c r="F2026" t="s">
        <v>13</v>
      </c>
      <c r="G2026" t="s">
        <v>13</v>
      </c>
      <c r="H2026" t="s">
        <v>12</v>
      </c>
      <c r="I2026">
        <v>54</v>
      </c>
      <c r="J2026" t="str" cm="1">
        <f t="array" ref="J2026">_xlfn.IFS(ISBLANK(C2026),"FALTANTE",ABS((C2026-$W$5)/$X$5)&gt;1.96,"ATÍPICO",ABS((C2026-$W$5)/$X$5)&lt;=1.96,"NO ATÍPICO")</f>
        <v>NO ATÍPICO</v>
      </c>
      <c r="K2026" t="str" cm="1">
        <f t="array" ref="K2026">_xlfn.IFS(ISBLANK(I2026),"FALTANTE",ABS((I2026-$W$8)/$X$8)&gt;1.92,"ATÍPICO",ABS((I2026-$W$8)/$X$8)&lt;=1.92,"NO ATÍPICO")</f>
        <v>NO ATÍPICO</v>
      </c>
      <c r="L2026">
        <f t="shared" si="140"/>
        <v>297046</v>
      </c>
      <c r="M2026" t="str">
        <f t="shared" si="141"/>
        <v>ASEGURADO VOLUNTARIO</v>
      </c>
      <c r="N2026">
        <f t="shared" si="142"/>
        <v>54</v>
      </c>
      <c r="O2026" s="19" t="str">
        <f t="shared" si="143"/>
        <v>0–300k</v>
      </c>
      <c r="P2026" s="19" t="str">
        <f t="shared" si="144"/>
        <v>46-55</v>
      </c>
    </row>
    <row r="2027" spans="1:16" x14ac:dyDescent="0.25">
      <c r="A2027">
        <v>2026</v>
      </c>
      <c r="B2027" t="s">
        <v>15</v>
      </c>
      <c r="C2027">
        <v>297042</v>
      </c>
      <c r="D2027" t="s">
        <v>18</v>
      </c>
      <c r="E2027" t="s">
        <v>16</v>
      </c>
      <c r="F2027" t="s">
        <v>12</v>
      </c>
      <c r="G2027" t="s">
        <v>13</v>
      </c>
      <c r="H2027" t="s">
        <v>13</v>
      </c>
      <c r="I2027">
        <v>25</v>
      </c>
      <c r="J2027" t="str" cm="1">
        <f t="array" ref="J2027">_xlfn.IFS(ISBLANK(C2027),"FALTANTE",ABS((C2027-$W$5)/$X$5)&gt;1.96,"ATÍPICO",ABS((C2027-$W$5)/$X$5)&lt;=1.96,"NO ATÍPICO")</f>
        <v>NO ATÍPICO</v>
      </c>
      <c r="K2027" t="str" cm="1">
        <f t="array" ref="K2027">_xlfn.IFS(ISBLANK(I2027),"FALTANTE",ABS((I2027-$W$8)/$X$8)&gt;1.92,"ATÍPICO",ABS((I2027-$W$8)/$X$8)&lt;=1.92,"NO ATÍPICO")</f>
        <v>NO ATÍPICO</v>
      </c>
      <c r="L2027">
        <f t="shared" si="140"/>
        <v>297042</v>
      </c>
      <c r="M2027" t="str">
        <f t="shared" si="141"/>
        <v>TRABAJADOR INDEPENDIENTE</v>
      </c>
      <c r="N2027">
        <f t="shared" si="142"/>
        <v>25</v>
      </c>
      <c r="O2027" s="19" t="str">
        <f t="shared" si="143"/>
        <v>0–300k</v>
      </c>
      <c r="P2027" s="19" t="str">
        <f t="shared" si="144"/>
        <v>18-25</v>
      </c>
    </row>
    <row r="2028" spans="1:16" x14ac:dyDescent="0.25">
      <c r="A2028">
        <v>2027</v>
      </c>
      <c r="B2028" t="s">
        <v>9</v>
      </c>
      <c r="C2028">
        <v>356455</v>
      </c>
      <c r="D2028" t="s">
        <v>18</v>
      </c>
      <c r="E2028" t="s">
        <v>16</v>
      </c>
      <c r="F2028" t="s">
        <v>12</v>
      </c>
      <c r="G2028" t="s">
        <v>13</v>
      </c>
      <c r="H2028" t="s">
        <v>12</v>
      </c>
      <c r="I2028">
        <v>55</v>
      </c>
      <c r="J2028" t="str" cm="1">
        <f t="array" ref="J2028">_xlfn.IFS(ISBLANK(C2028),"FALTANTE",ABS((C2028-$W$5)/$X$5)&gt;1.96,"ATÍPICO",ABS((C2028-$W$5)/$X$5)&lt;=1.96,"NO ATÍPICO")</f>
        <v>NO ATÍPICO</v>
      </c>
      <c r="K2028" t="str" cm="1">
        <f t="array" ref="K2028">_xlfn.IFS(ISBLANK(I2028),"FALTANTE",ABS((I2028-$W$8)/$X$8)&gt;1.92,"ATÍPICO",ABS((I2028-$W$8)/$X$8)&lt;=1.92,"NO ATÍPICO")</f>
        <v>NO ATÍPICO</v>
      </c>
      <c r="L2028">
        <f t="shared" si="140"/>
        <v>356455</v>
      </c>
      <c r="M2028" t="str">
        <f t="shared" si="141"/>
        <v>TRABAJADOR INDEPENDIENTE</v>
      </c>
      <c r="N2028">
        <f t="shared" si="142"/>
        <v>55</v>
      </c>
      <c r="O2028" s="19" t="str">
        <f t="shared" si="143"/>
        <v>300k–600k</v>
      </c>
      <c r="P2028" s="19" t="str">
        <f t="shared" si="144"/>
        <v>46-55</v>
      </c>
    </row>
    <row r="2029" spans="1:16" x14ac:dyDescent="0.25">
      <c r="A2029">
        <v>2028</v>
      </c>
      <c r="B2029" t="s">
        <v>15</v>
      </c>
      <c r="C2029">
        <v>369338.24</v>
      </c>
      <c r="D2029" t="s">
        <v>10</v>
      </c>
      <c r="E2029" t="s">
        <v>16</v>
      </c>
      <c r="F2029" t="s">
        <v>12</v>
      </c>
      <c r="G2029" t="s">
        <v>13</v>
      </c>
      <c r="H2029" t="s">
        <v>13</v>
      </c>
      <c r="I2029">
        <v>48</v>
      </c>
      <c r="J2029" t="str" cm="1">
        <f t="array" ref="J2029">_xlfn.IFS(ISBLANK(C2029),"FALTANTE",ABS((C2029-$W$5)/$X$5)&gt;1.96,"ATÍPICO",ABS((C2029-$W$5)/$X$5)&lt;=1.96,"NO ATÍPICO")</f>
        <v>NO ATÍPICO</v>
      </c>
      <c r="K2029" t="str" cm="1">
        <f t="array" ref="K2029">_xlfn.IFS(ISBLANK(I2029),"FALTANTE",ABS((I2029-$W$8)/$X$8)&gt;1.92,"ATÍPICO",ABS((I2029-$W$8)/$X$8)&lt;=1.92,"NO ATÍPICO")</f>
        <v>NO ATÍPICO</v>
      </c>
      <c r="L2029">
        <f t="shared" si="140"/>
        <v>369338.24</v>
      </c>
      <c r="M2029" t="str">
        <f t="shared" si="141"/>
        <v>ASALARIADO</v>
      </c>
      <c r="N2029">
        <f t="shared" si="142"/>
        <v>48</v>
      </c>
      <c r="O2029" s="19" t="str">
        <f t="shared" si="143"/>
        <v>300k–600k</v>
      </c>
      <c r="P2029" s="19" t="str">
        <f t="shared" si="144"/>
        <v>46-55</v>
      </c>
    </row>
    <row r="2030" spans="1:16" x14ac:dyDescent="0.25">
      <c r="A2030">
        <v>2029</v>
      </c>
      <c r="B2030" t="s">
        <v>15</v>
      </c>
      <c r="C2030">
        <v>299837</v>
      </c>
      <c r="D2030" t="s">
        <v>17</v>
      </c>
      <c r="E2030" t="s">
        <v>16</v>
      </c>
      <c r="F2030" t="s">
        <v>13</v>
      </c>
      <c r="G2030" t="s">
        <v>12</v>
      </c>
      <c r="H2030" t="s">
        <v>13</v>
      </c>
      <c r="I2030">
        <v>52</v>
      </c>
      <c r="J2030" t="str" cm="1">
        <f t="array" ref="J2030">_xlfn.IFS(ISBLANK(C2030),"FALTANTE",ABS((C2030-$W$5)/$X$5)&gt;1.96,"ATÍPICO",ABS((C2030-$W$5)/$X$5)&lt;=1.96,"NO ATÍPICO")</f>
        <v>NO ATÍPICO</v>
      </c>
      <c r="K2030" t="str" cm="1">
        <f t="array" ref="K2030">_xlfn.IFS(ISBLANK(I2030),"FALTANTE",ABS((I2030-$W$8)/$X$8)&gt;1.92,"ATÍPICO",ABS((I2030-$W$8)/$X$8)&lt;=1.92,"NO ATÍPICO")</f>
        <v>NO ATÍPICO</v>
      </c>
      <c r="L2030">
        <f t="shared" si="140"/>
        <v>299837</v>
      </c>
      <c r="M2030" t="str">
        <f t="shared" si="141"/>
        <v>ASEGURADO VOLUNTARIO</v>
      </c>
      <c r="N2030">
        <f t="shared" si="142"/>
        <v>52</v>
      </c>
      <c r="O2030" s="19" t="str">
        <f t="shared" si="143"/>
        <v>0–300k</v>
      </c>
      <c r="P2030" s="19" t="str">
        <f t="shared" si="144"/>
        <v>46-55</v>
      </c>
    </row>
    <row r="2031" spans="1:16" x14ac:dyDescent="0.25">
      <c r="A2031">
        <v>2030</v>
      </c>
      <c r="B2031" t="s">
        <v>15</v>
      </c>
      <c r="C2031">
        <v>267366</v>
      </c>
      <c r="D2031" t="s">
        <v>10</v>
      </c>
      <c r="E2031" t="s">
        <v>16</v>
      </c>
      <c r="F2031" t="s">
        <v>12</v>
      </c>
      <c r="G2031" t="s">
        <v>13</v>
      </c>
      <c r="H2031" t="s">
        <v>13</v>
      </c>
      <c r="I2031">
        <v>27</v>
      </c>
      <c r="J2031" t="str" cm="1">
        <f t="array" ref="J2031">_xlfn.IFS(ISBLANK(C2031),"FALTANTE",ABS((C2031-$W$5)/$X$5)&gt;1.96,"ATÍPICO",ABS((C2031-$W$5)/$X$5)&lt;=1.96,"NO ATÍPICO")</f>
        <v>NO ATÍPICO</v>
      </c>
      <c r="K2031" t="str" cm="1">
        <f t="array" ref="K2031">_xlfn.IFS(ISBLANK(I2031),"FALTANTE",ABS((I2031-$W$8)/$X$8)&gt;1.92,"ATÍPICO",ABS((I2031-$W$8)/$X$8)&lt;=1.92,"NO ATÍPICO")</f>
        <v>NO ATÍPICO</v>
      </c>
      <c r="L2031">
        <f t="shared" si="140"/>
        <v>267366</v>
      </c>
      <c r="M2031" t="str">
        <f t="shared" si="141"/>
        <v>ASALARIADO</v>
      </c>
      <c r="N2031">
        <f t="shared" si="142"/>
        <v>27</v>
      </c>
      <c r="O2031" s="19" t="str">
        <f t="shared" si="143"/>
        <v>0–300k</v>
      </c>
      <c r="P2031" s="19" t="str">
        <f t="shared" si="144"/>
        <v>26-35</v>
      </c>
    </row>
    <row r="2032" spans="1:16" x14ac:dyDescent="0.25">
      <c r="A2032">
        <v>2031</v>
      </c>
      <c r="B2032" t="s">
        <v>9</v>
      </c>
      <c r="C2032">
        <v>340000</v>
      </c>
      <c r="D2032" t="s">
        <v>10</v>
      </c>
      <c r="E2032" t="s">
        <v>16</v>
      </c>
      <c r="F2032" t="s">
        <v>12</v>
      </c>
      <c r="G2032" t="s">
        <v>13</v>
      </c>
      <c r="H2032" t="s">
        <v>13</v>
      </c>
      <c r="I2032">
        <v>40</v>
      </c>
      <c r="J2032" t="str" cm="1">
        <f t="array" ref="J2032">_xlfn.IFS(ISBLANK(C2032),"FALTANTE",ABS((C2032-$W$5)/$X$5)&gt;1.96,"ATÍPICO",ABS((C2032-$W$5)/$X$5)&lt;=1.96,"NO ATÍPICO")</f>
        <v>NO ATÍPICO</v>
      </c>
      <c r="K2032" t="str" cm="1">
        <f t="array" ref="K2032">_xlfn.IFS(ISBLANK(I2032),"FALTANTE",ABS((I2032-$W$8)/$X$8)&gt;1.92,"ATÍPICO",ABS((I2032-$W$8)/$X$8)&lt;=1.92,"NO ATÍPICO")</f>
        <v>NO ATÍPICO</v>
      </c>
      <c r="L2032">
        <f t="shared" si="140"/>
        <v>340000</v>
      </c>
      <c r="M2032" t="str">
        <f t="shared" si="141"/>
        <v>ASALARIADO</v>
      </c>
      <c r="N2032">
        <f t="shared" si="142"/>
        <v>40</v>
      </c>
      <c r="O2032" s="19" t="str">
        <f t="shared" si="143"/>
        <v>300k–600k</v>
      </c>
      <c r="P2032" s="19" t="str">
        <f t="shared" si="144"/>
        <v>36-45</v>
      </c>
    </row>
    <row r="2033" spans="1:16" x14ac:dyDescent="0.25">
      <c r="A2033">
        <v>2032</v>
      </c>
      <c r="B2033" t="s">
        <v>9</v>
      </c>
      <c r="C2033">
        <v>505930</v>
      </c>
      <c r="D2033" t="s">
        <v>10</v>
      </c>
      <c r="E2033" t="s">
        <v>16</v>
      </c>
      <c r="F2033" t="s">
        <v>12</v>
      </c>
      <c r="G2033" t="s">
        <v>13</v>
      </c>
      <c r="H2033" t="s">
        <v>13</v>
      </c>
      <c r="I2033">
        <v>20</v>
      </c>
      <c r="J2033" t="str" cm="1">
        <f t="array" ref="J2033">_xlfn.IFS(ISBLANK(C2033),"FALTANTE",ABS((C2033-$W$5)/$X$5)&gt;1.96,"ATÍPICO",ABS((C2033-$W$5)/$X$5)&lt;=1.96,"NO ATÍPICO")</f>
        <v>NO ATÍPICO</v>
      </c>
      <c r="K2033" t="str" cm="1">
        <f t="array" ref="K2033">_xlfn.IFS(ISBLANK(I2033),"FALTANTE",ABS((I2033-$W$8)/$X$8)&gt;1.92,"ATÍPICO",ABS((I2033-$W$8)/$X$8)&lt;=1.92,"NO ATÍPICO")</f>
        <v>NO ATÍPICO</v>
      </c>
      <c r="L2033">
        <f t="shared" si="140"/>
        <v>505930</v>
      </c>
      <c r="M2033" t="str">
        <f t="shared" si="141"/>
        <v>ASALARIADO</v>
      </c>
      <c r="N2033">
        <f t="shared" si="142"/>
        <v>20</v>
      </c>
      <c r="O2033" s="19" t="str">
        <f t="shared" si="143"/>
        <v>300k–600k</v>
      </c>
      <c r="P2033" s="19" t="str">
        <f t="shared" si="144"/>
        <v>18-25</v>
      </c>
    </row>
    <row r="2034" spans="1:16" x14ac:dyDescent="0.25">
      <c r="A2034">
        <v>2033</v>
      </c>
      <c r="B2034" t="s">
        <v>9</v>
      </c>
      <c r="C2034">
        <v>275658</v>
      </c>
      <c r="D2034" t="s">
        <v>10</v>
      </c>
      <c r="E2034" t="s">
        <v>16</v>
      </c>
      <c r="F2034" t="s">
        <v>12</v>
      </c>
      <c r="G2034" t="s">
        <v>12</v>
      </c>
      <c r="H2034" t="s">
        <v>13</v>
      </c>
      <c r="I2034">
        <v>52</v>
      </c>
      <c r="J2034" t="str" cm="1">
        <f t="array" ref="J2034">_xlfn.IFS(ISBLANK(C2034),"FALTANTE",ABS((C2034-$W$5)/$X$5)&gt;1.96,"ATÍPICO",ABS((C2034-$W$5)/$X$5)&lt;=1.96,"NO ATÍPICO")</f>
        <v>NO ATÍPICO</v>
      </c>
      <c r="K2034" t="str" cm="1">
        <f t="array" ref="K2034">_xlfn.IFS(ISBLANK(I2034),"FALTANTE",ABS((I2034-$W$8)/$X$8)&gt;1.92,"ATÍPICO",ABS((I2034-$W$8)/$X$8)&lt;=1.92,"NO ATÍPICO")</f>
        <v>NO ATÍPICO</v>
      </c>
      <c r="L2034">
        <f t="shared" si="140"/>
        <v>275658</v>
      </c>
      <c r="M2034" t="str">
        <f t="shared" si="141"/>
        <v>ASALARIADO</v>
      </c>
      <c r="N2034">
        <f t="shared" si="142"/>
        <v>52</v>
      </c>
      <c r="O2034" s="19" t="str">
        <f t="shared" si="143"/>
        <v>0–300k</v>
      </c>
      <c r="P2034" s="19" t="str">
        <f t="shared" si="144"/>
        <v>46-55</v>
      </c>
    </row>
    <row r="2035" spans="1:16" x14ac:dyDescent="0.25">
      <c r="A2035">
        <v>2034</v>
      </c>
      <c r="B2035" t="s">
        <v>9</v>
      </c>
      <c r="C2035">
        <v>278035</v>
      </c>
      <c r="D2035" t="s">
        <v>18</v>
      </c>
      <c r="E2035" t="s">
        <v>16</v>
      </c>
      <c r="F2035" t="s">
        <v>12</v>
      </c>
      <c r="G2035" t="s">
        <v>13</v>
      </c>
      <c r="H2035" t="s">
        <v>13</v>
      </c>
      <c r="I2035">
        <v>28</v>
      </c>
      <c r="J2035" t="str" cm="1">
        <f t="array" ref="J2035">_xlfn.IFS(ISBLANK(C2035),"FALTANTE",ABS((C2035-$W$5)/$X$5)&gt;1.96,"ATÍPICO",ABS((C2035-$W$5)/$X$5)&lt;=1.96,"NO ATÍPICO")</f>
        <v>NO ATÍPICO</v>
      </c>
      <c r="K2035" t="str" cm="1">
        <f t="array" ref="K2035">_xlfn.IFS(ISBLANK(I2035),"FALTANTE",ABS((I2035-$W$8)/$X$8)&gt;1.92,"ATÍPICO",ABS((I2035-$W$8)/$X$8)&lt;=1.92,"NO ATÍPICO")</f>
        <v>NO ATÍPICO</v>
      </c>
      <c r="L2035">
        <f t="shared" si="140"/>
        <v>278035</v>
      </c>
      <c r="M2035" t="str">
        <f t="shared" si="141"/>
        <v>TRABAJADOR INDEPENDIENTE</v>
      </c>
      <c r="N2035">
        <f t="shared" si="142"/>
        <v>28</v>
      </c>
      <c r="O2035" s="19" t="str">
        <f t="shared" si="143"/>
        <v>0–300k</v>
      </c>
      <c r="P2035" s="19" t="str">
        <f t="shared" si="144"/>
        <v>26-35</v>
      </c>
    </row>
    <row r="2036" spans="1:16" x14ac:dyDescent="0.25">
      <c r="A2036">
        <v>2035</v>
      </c>
      <c r="B2036" t="s">
        <v>15</v>
      </c>
      <c r="C2036">
        <v>1546084</v>
      </c>
      <c r="D2036" t="s">
        <v>10</v>
      </c>
      <c r="E2036" t="s">
        <v>11</v>
      </c>
      <c r="F2036" t="s">
        <v>12</v>
      </c>
      <c r="G2036" t="s">
        <v>13</v>
      </c>
      <c r="H2036" t="s">
        <v>13</v>
      </c>
      <c r="I2036">
        <v>47</v>
      </c>
      <c r="J2036" t="str" cm="1">
        <f t="array" ref="J2036">_xlfn.IFS(ISBLANK(C2036),"FALTANTE",ABS((C2036-$W$5)/$X$5)&gt;1.96,"ATÍPICO",ABS((C2036-$W$5)/$X$5)&lt;=1.96,"NO ATÍPICO")</f>
        <v>NO ATÍPICO</v>
      </c>
      <c r="K2036" t="str" cm="1">
        <f t="array" ref="K2036">_xlfn.IFS(ISBLANK(I2036),"FALTANTE",ABS((I2036-$W$8)/$X$8)&gt;1.92,"ATÍPICO",ABS((I2036-$W$8)/$X$8)&lt;=1.92,"NO ATÍPICO")</f>
        <v>NO ATÍPICO</v>
      </c>
      <c r="L2036">
        <f t="shared" si="140"/>
        <v>1546084</v>
      </c>
      <c r="M2036" t="str">
        <f t="shared" si="141"/>
        <v>ASALARIADO</v>
      </c>
      <c r="N2036">
        <f t="shared" si="142"/>
        <v>47</v>
      </c>
      <c r="O2036" s="19" t="str">
        <f t="shared" si="143"/>
        <v>1200k+</v>
      </c>
      <c r="P2036" s="19" t="str">
        <f t="shared" si="144"/>
        <v>46-55</v>
      </c>
    </row>
    <row r="2037" spans="1:16" x14ac:dyDescent="0.25">
      <c r="A2037">
        <v>2036</v>
      </c>
      <c r="B2037" t="s">
        <v>9</v>
      </c>
      <c r="C2037">
        <v>810097</v>
      </c>
      <c r="D2037" t="s">
        <v>10</v>
      </c>
      <c r="E2037" t="s">
        <v>16</v>
      </c>
      <c r="F2037" t="s">
        <v>12</v>
      </c>
      <c r="G2037" t="s">
        <v>13</v>
      </c>
      <c r="H2037" t="s">
        <v>13</v>
      </c>
      <c r="I2037">
        <v>31</v>
      </c>
      <c r="J2037" t="str" cm="1">
        <f t="array" ref="J2037">_xlfn.IFS(ISBLANK(C2037),"FALTANTE",ABS((C2037-$W$5)/$X$5)&gt;1.96,"ATÍPICO",ABS((C2037-$W$5)/$X$5)&lt;=1.96,"NO ATÍPICO")</f>
        <v>NO ATÍPICO</v>
      </c>
      <c r="K2037" t="str" cm="1">
        <f t="array" ref="K2037">_xlfn.IFS(ISBLANK(I2037),"FALTANTE",ABS((I2037-$W$8)/$X$8)&gt;1.92,"ATÍPICO",ABS((I2037-$W$8)/$X$8)&lt;=1.92,"NO ATÍPICO")</f>
        <v>NO ATÍPICO</v>
      </c>
      <c r="L2037">
        <f t="shared" si="140"/>
        <v>810097</v>
      </c>
      <c r="M2037" t="str">
        <f t="shared" si="141"/>
        <v>ASALARIADO</v>
      </c>
      <c r="N2037">
        <f t="shared" si="142"/>
        <v>31</v>
      </c>
      <c r="O2037" s="19" t="str">
        <f t="shared" si="143"/>
        <v>600k–900k</v>
      </c>
      <c r="P2037" s="19" t="str">
        <f t="shared" si="144"/>
        <v>26-35</v>
      </c>
    </row>
    <row r="2038" spans="1:16" x14ac:dyDescent="0.25">
      <c r="A2038">
        <v>2037</v>
      </c>
      <c r="B2038" t="s">
        <v>9</v>
      </c>
      <c r="C2038">
        <v>1068679.67</v>
      </c>
      <c r="D2038" t="s">
        <v>10</v>
      </c>
      <c r="E2038" t="s">
        <v>11</v>
      </c>
      <c r="F2038" t="s">
        <v>12</v>
      </c>
      <c r="G2038" t="s">
        <v>13</v>
      </c>
      <c r="H2038" t="s">
        <v>13</v>
      </c>
      <c r="I2038">
        <v>28</v>
      </c>
      <c r="J2038" t="str" cm="1">
        <f t="array" ref="J2038">_xlfn.IFS(ISBLANK(C2038),"FALTANTE",ABS((C2038-$W$5)/$X$5)&gt;1.96,"ATÍPICO",ABS((C2038-$W$5)/$X$5)&lt;=1.96,"NO ATÍPICO")</f>
        <v>NO ATÍPICO</v>
      </c>
      <c r="K2038" t="str" cm="1">
        <f t="array" ref="K2038">_xlfn.IFS(ISBLANK(I2038),"FALTANTE",ABS((I2038-$W$8)/$X$8)&gt;1.92,"ATÍPICO",ABS((I2038-$W$8)/$X$8)&lt;=1.92,"NO ATÍPICO")</f>
        <v>NO ATÍPICO</v>
      </c>
      <c r="L2038">
        <f t="shared" si="140"/>
        <v>1068679.67</v>
      </c>
      <c r="M2038" t="str">
        <f t="shared" si="141"/>
        <v>ASALARIADO</v>
      </c>
      <c r="N2038">
        <f t="shared" si="142"/>
        <v>28</v>
      </c>
      <c r="O2038" s="19" t="str">
        <f t="shared" si="143"/>
        <v>900k–1200k</v>
      </c>
      <c r="P2038" s="19" t="str">
        <f t="shared" si="144"/>
        <v>26-35</v>
      </c>
    </row>
    <row r="2039" spans="1:16" x14ac:dyDescent="0.25">
      <c r="A2039">
        <v>2038</v>
      </c>
      <c r="B2039" t="s">
        <v>15</v>
      </c>
      <c r="C2039">
        <v>1511481</v>
      </c>
      <c r="D2039" t="s">
        <v>14</v>
      </c>
      <c r="E2039" t="s">
        <v>11</v>
      </c>
      <c r="F2039" t="s">
        <v>12</v>
      </c>
      <c r="G2039" t="s">
        <v>13</v>
      </c>
      <c r="H2039" t="s">
        <v>13</v>
      </c>
      <c r="I2039">
        <v>69</v>
      </c>
      <c r="J2039" t="str" cm="1">
        <f t="array" ref="J2039">_xlfn.IFS(ISBLANK(C2039),"FALTANTE",ABS((C2039-$W$5)/$X$5)&gt;1.96,"ATÍPICO",ABS((C2039-$W$5)/$X$5)&lt;=1.96,"NO ATÍPICO")</f>
        <v>NO ATÍPICO</v>
      </c>
      <c r="K2039" t="str" cm="1">
        <f t="array" ref="K2039">_xlfn.IFS(ISBLANK(I2039),"FALTANTE",ABS((I2039-$W$8)/$X$8)&gt;1.92,"ATÍPICO",ABS((I2039-$W$8)/$X$8)&lt;=1.92,"NO ATÍPICO")</f>
        <v>NO ATÍPICO</v>
      </c>
      <c r="L2039">
        <f t="shared" si="140"/>
        <v>1511481</v>
      </c>
      <c r="M2039" t="str">
        <f t="shared" si="141"/>
        <v>PENSIONADOS EN SU PROPIO SISTEMA</v>
      </c>
      <c r="N2039">
        <f t="shared" si="142"/>
        <v>69</v>
      </c>
      <c r="O2039" s="19" t="str">
        <f t="shared" si="143"/>
        <v>1200k+</v>
      </c>
      <c r="P2039" s="19" t="str">
        <f t="shared" si="144"/>
        <v>56+</v>
      </c>
    </row>
    <row r="2040" spans="1:16" x14ac:dyDescent="0.25">
      <c r="A2040">
        <v>2039</v>
      </c>
      <c r="B2040" t="s">
        <v>9</v>
      </c>
      <c r="C2040">
        <v>360000</v>
      </c>
      <c r="D2040" t="s">
        <v>10</v>
      </c>
      <c r="E2040" t="s">
        <v>16</v>
      </c>
      <c r="F2040" t="s">
        <v>12</v>
      </c>
      <c r="G2040" t="s">
        <v>13</v>
      </c>
      <c r="H2040" t="s">
        <v>13</v>
      </c>
      <c r="I2040">
        <v>49</v>
      </c>
      <c r="J2040" t="str" cm="1">
        <f t="array" ref="J2040">_xlfn.IFS(ISBLANK(C2040),"FALTANTE",ABS((C2040-$W$5)/$X$5)&gt;1.96,"ATÍPICO",ABS((C2040-$W$5)/$X$5)&lt;=1.96,"NO ATÍPICO")</f>
        <v>NO ATÍPICO</v>
      </c>
      <c r="K2040" t="str" cm="1">
        <f t="array" ref="K2040">_xlfn.IFS(ISBLANK(I2040),"FALTANTE",ABS((I2040-$W$8)/$X$8)&gt;1.92,"ATÍPICO",ABS((I2040-$W$8)/$X$8)&lt;=1.92,"NO ATÍPICO")</f>
        <v>NO ATÍPICO</v>
      </c>
      <c r="L2040">
        <f t="shared" si="140"/>
        <v>360000</v>
      </c>
      <c r="M2040" t="str">
        <f t="shared" si="141"/>
        <v>ASALARIADO</v>
      </c>
      <c r="N2040">
        <f t="shared" si="142"/>
        <v>49</v>
      </c>
      <c r="O2040" s="19" t="str">
        <f t="shared" si="143"/>
        <v>300k–600k</v>
      </c>
      <c r="P2040" s="19" t="str">
        <f t="shared" si="144"/>
        <v>46-55</v>
      </c>
    </row>
    <row r="2041" spans="1:16" x14ac:dyDescent="0.25">
      <c r="A2041">
        <v>2040</v>
      </c>
      <c r="B2041" t="s">
        <v>9</v>
      </c>
      <c r="C2041">
        <v>639148</v>
      </c>
      <c r="D2041" t="s">
        <v>18</v>
      </c>
      <c r="E2041" t="s">
        <v>16</v>
      </c>
      <c r="F2041" t="s">
        <v>12</v>
      </c>
      <c r="G2041" t="s">
        <v>13</v>
      </c>
      <c r="H2041" t="s">
        <v>13</v>
      </c>
      <c r="I2041">
        <v>54</v>
      </c>
      <c r="J2041" t="str" cm="1">
        <f t="array" ref="J2041">_xlfn.IFS(ISBLANK(C2041),"FALTANTE",ABS((C2041-$W$5)/$X$5)&gt;1.96,"ATÍPICO",ABS((C2041-$W$5)/$X$5)&lt;=1.96,"NO ATÍPICO")</f>
        <v>NO ATÍPICO</v>
      </c>
      <c r="K2041" t="str" cm="1">
        <f t="array" ref="K2041">_xlfn.IFS(ISBLANK(I2041),"FALTANTE",ABS((I2041-$W$8)/$X$8)&gt;1.92,"ATÍPICO",ABS((I2041-$W$8)/$X$8)&lt;=1.92,"NO ATÍPICO")</f>
        <v>NO ATÍPICO</v>
      </c>
      <c r="L2041">
        <f t="shared" si="140"/>
        <v>639148</v>
      </c>
      <c r="M2041" t="str">
        <f t="shared" si="141"/>
        <v>TRABAJADOR INDEPENDIENTE</v>
      </c>
      <c r="N2041">
        <f t="shared" si="142"/>
        <v>54</v>
      </c>
      <c r="O2041" s="19" t="str">
        <f t="shared" si="143"/>
        <v>600k–900k</v>
      </c>
      <c r="P2041" s="19" t="str">
        <f t="shared" si="144"/>
        <v>46-55</v>
      </c>
    </row>
    <row r="2042" spans="1:16" x14ac:dyDescent="0.25">
      <c r="A2042">
        <v>2041</v>
      </c>
      <c r="B2042" t="s">
        <v>9</v>
      </c>
      <c r="C2042">
        <v>300277.90000000002</v>
      </c>
      <c r="D2042" t="s">
        <v>10</v>
      </c>
      <c r="E2042" t="s">
        <v>16</v>
      </c>
      <c r="F2042" t="s">
        <v>12</v>
      </c>
      <c r="G2042" t="s">
        <v>12</v>
      </c>
      <c r="H2042" t="s">
        <v>13</v>
      </c>
      <c r="I2042">
        <v>39</v>
      </c>
      <c r="J2042" t="str" cm="1">
        <f t="array" ref="J2042">_xlfn.IFS(ISBLANK(C2042),"FALTANTE",ABS((C2042-$W$5)/$X$5)&gt;1.96,"ATÍPICO",ABS((C2042-$W$5)/$X$5)&lt;=1.96,"NO ATÍPICO")</f>
        <v>NO ATÍPICO</v>
      </c>
      <c r="K2042" t="str" cm="1">
        <f t="array" ref="K2042">_xlfn.IFS(ISBLANK(I2042),"FALTANTE",ABS((I2042-$W$8)/$X$8)&gt;1.92,"ATÍPICO",ABS((I2042-$W$8)/$X$8)&lt;=1.92,"NO ATÍPICO")</f>
        <v>NO ATÍPICO</v>
      </c>
      <c r="L2042">
        <f t="shared" si="140"/>
        <v>300277.90000000002</v>
      </c>
      <c r="M2042" t="str">
        <f t="shared" si="141"/>
        <v>ASALARIADO</v>
      </c>
      <c r="N2042">
        <f t="shared" si="142"/>
        <v>39</v>
      </c>
      <c r="O2042" s="19" t="str">
        <f t="shared" si="143"/>
        <v>300k–600k</v>
      </c>
      <c r="P2042" s="19" t="str">
        <f t="shared" si="144"/>
        <v>36-45</v>
      </c>
    </row>
    <row r="2043" spans="1:16" x14ac:dyDescent="0.25">
      <c r="A2043">
        <v>2042</v>
      </c>
      <c r="B2043" t="s">
        <v>9</v>
      </c>
      <c r="C2043">
        <v>505376</v>
      </c>
      <c r="D2043" t="s">
        <v>10</v>
      </c>
      <c r="E2043" t="s">
        <v>11</v>
      </c>
      <c r="F2043" t="s">
        <v>12</v>
      </c>
      <c r="G2043" t="s">
        <v>13</v>
      </c>
      <c r="H2043" t="s">
        <v>12</v>
      </c>
      <c r="I2043">
        <v>29</v>
      </c>
      <c r="J2043" t="str" cm="1">
        <f t="array" ref="J2043">_xlfn.IFS(ISBLANK(C2043),"FALTANTE",ABS((C2043-$W$5)/$X$5)&gt;1.96,"ATÍPICO",ABS((C2043-$W$5)/$X$5)&lt;=1.96,"NO ATÍPICO")</f>
        <v>NO ATÍPICO</v>
      </c>
      <c r="K2043" t="str" cm="1">
        <f t="array" ref="K2043">_xlfn.IFS(ISBLANK(I2043),"FALTANTE",ABS((I2043-$W$8)/$X$8)&gt;1.92,"ATÍPICO",ABS((I2043-$W$8)/$X$8)&lt;=1.92,"NO ATÍPICO")</f>
        <v>NO ATÍPICO</v>
      </c>
      <c r="L2043">
        <f t="shared" si="140"/>
        <v>505376</v>
      </c>
      <c r="M2043" t="str">
        <f t="shared" si="141"/>
        <v>ASALARIADO</v>
      </c>
      <c r="N2043">
        <f t="shared" si="142"/>
        <v>29</v>
      </c>
      <c r="O2043" s="19" t="str">
        <f t="shared" si="143"/>
        <v>300k–600k</v>
      </c>
      <c r="P2043" s="19" t="str">
        <f t="shared" si="144"/>
        <v>26-35</v>
      </c>
    </row>
    <row r="2044" spans="1:16" x14ac:dyDescent="0.25">
      <c r="A2044">
        <v>2043</v>
      </c>
      <c r="B2044" t="s">
        <v>15</v>
      </c>
      <c r="C2044">
        <v>26956.799999999999</v>
      </c>
      <c r="D2044" t="s">
        <v>10</v>
      </c>
      <c r="E2044" t="s">
        <v>16</v>
      </c>
      <c r="F2044" t="s">
        <v>12</v>
      </c>
      <c r="G2044" t="s">
        <v>13</v>
      </c>
      <c r="H2044" t="s">
        <v>13</v>
      </c>
      <c r="I2044">
        <v>28</v>
      </c>
      <c r="J2044" t="str" cm="1">
        <f t="array" ref="J2044">_xlfn.IFS(ISBLANK(C2044),"FALTANTE",ABS((C2044-$W$5)/$X$5)&gt;1.96,"ATÍPICO",ABS((C2044-$W$5)/$X$5)&lt;=1.96,"NO ATÍPICO")</f>
        <v>NO ATÍPICO</v>
      </c>
      <c r="K2044" t="str" cm="1">
        <f t="array" ref="K2044">_xlfn.IFS(ISBLANK(I2044),"FALTANTE",ABS((I2044-$W$8)/$X$8)&gt;1.92,"ATÍPICO",ABS((I2044-$W$8)/$X$8)&lt;=1.92,"NO ATÍPICO")</f>
        <v>NO ATÍPICO</v>
      </c>
      <c r="L2044">
        <f t="shared" si="140"/>
        <v>26956.799999999999</v>
      </c>
      <c r="M2044" t="str">
        <f t="shared" si="141"/>
        <v>ASALARIADO</v>
      </c>
      <c r="N2044">
        <f t="shared" si="142"/>
        <v>28</v>
      </c>
      <c r="O2044" s="19" t="str">
        <f t="shared" si="143"/>
        <v>0–300k</v>
      </c>
      <c r="P2044" s="19" t="str">
        <f t="shared" si="144"/>
        <v>26-35</v>
      </c>
    </row>
    <row r="2045" spans="1:16" x14ac:dyDescent="0.25">
      <c r="A2045">
        <v>2044</v>
      </c>
      <c r="B2045" t="s">
        <v>9</v>
      </c>
      <c r="C2045">
        <v>366000</v>
      </c>
      <c r="D2045" t="s">
        <v>10</v>
      </c>
      <c r="E2045" t="s">
        <v>16</v>
      </c>
      <c r="F2045" t="s">
        <v>12</v>
      </c>
      <c r="G2045" t="s">
        <v>13</v>
      </c>
      <c r="H2045" t="s">
        <v>13</v>
      </c>
      <c r="I2045">
        <v>51</v>
      </c>
      <c r="J2045" t="str" cm="1">
        <f t="array" ref="J2045">_xlfn.IFS(ISBLANK(C2045),"FALTANTE",ABS((C2045-$W$5)/$X$5)&gt;1.96,"ATÍPICO",ABS((C2045-$W$5)/$X$5)&lt;=1.96,"NO ATÍPICO")</f>
        <v>NO ATÍPICO</v>
      </c>
      <c r="K2045" t="str" cm="1">
        <f t="array" ref="K2045">_xlfn.IFS(ISBLANK(I2045),"FALTANTE",ABS((I2045-$W$8)/$X$8)&gt;1.92,"ATÍPICO",ABS((I2045-$W$8)/$X$8)&lt;=1.92,"NO ATÍPICO")</f>
        <v>NO ATÍPICO</v>
      </c>
      <c r="L2045">
        <f t="shared" si="140"/>
        <v>366000</v>
      </c>
      <c r="M2045" t="str">
        <f t="shared" si="141"/>
        <v>ASALARIADO</v>
      </c>
      <c r="N2045">
        <f t="shared" si="142"/>
        <v>51</v>
      </c>
      <c r="O2045" s="19" t="str">
        <f t="shared" si="143"/>
        <v>300k–600k</v>
      </c>
      <c r="P2045" s="19" t="str">
        <f t="shared" si="144"/>
        <v>46-55</v>
      </c>
    </row>
    <row r="2046" spans="1:16" x14ac:dyDescent="0.25">
      <c r="A2046">
        <v>2045</v>
      </c>
      <c r="B2046" t="s">
        <v>9</v>
      </c>
      <c r="C2046">
        <v>357240.53</v>
      </c>
      <c r="D2046" t="s">
        <v>10</v>
      </c>
      <c r="E2046" t="s">
        <v>16</v>
      </c>
      <c r="F2046" t="s">
        <v>12</v>
      </c>
      <c r="G2046" t="s">
        <v>13</v>
      </c>
      <c r="H2046" t="s">
        <v>13</v>
      </c>
      <c r="I2046">
        <v>21</v>
      </c>
      <c r="J2046" t="str" cm="1">
        <f t="array" ref="J2046">_xlfn.IFS(ISBLANK(C2046),"FALTANTE",ABS((C2046-$W$5)/$X$5)&gt;1.96,"ATÍPICO",ABS((C2046-$W$5)/$X$5)&lt;=1.96,"NO ATÍPICO")</f>
        <v>NO ATÍPICO</v>
      </c>
      <c r="K2046" t="str" cm="1">
        <f t="array" ref="K2046">_xlfn.IFS(ISBLANK(I2046),"FALTANTE",ABS((I2046-$W$8)/$X$8)&gt;1.92,"ATÍPICO",ABS((I2046-$W$8)/$X$8)&lt;=1.92,"NO ATÍPICO")</f>
        <v>NO ATÍPICO</v>
      </c>
      <c r="L2046">
        <f t="shared" si="140"/>
        <v>357240.53</v>
      </c>
      <c r="M2046" t="str">
        <f t="shared" si="141"/>
        <v>ASALARIADO</v>
      </c>
      <c r="N2046">
        <f t="shared" si="142"/>
        <v>21</v>
      </c>
      <c r="O2046" s="19" t="str">
        <f t="shared" si="143"/>
        <v>300k–600k</v>
      </c>
      <c r="P2046" s="19" t="str">
        <f t="shared" si="144"/>
        <v>18-25</v>
      </c>
    </row>
    <row r="2047" spans="1:16" x14ac:dyDescent="0.25">
      <c r="A2047">
        <v>2046</v>
      </c>
      <c r="B2047" t="s">
        <v>9</v>
      </c>
      <c r="C2047">
        <v>310124</v>
      </c>
      <c r="D2047" t="s">
        <v>18</v>
      </c>
      <c r="E2047" t="s">
        <v>16</v>
      </c>
      <c r="F2047" t="s">
        <v>12</v>
      </c>
      <c r="G2047" t="s">
        <v>13</v>
      </c>
      <c r="H2047" t="s">
        <v>12</v>
      </c>
      <c r="I2047">
        <v>66</v>
      </c>
      <c r="J2047" t="str" cm="1">
        <f t="array" ref="J2047">_xlfn.IFS(ISBLANK(C2047),"FALTANTE",ABS((C2047-$W$5)/$X$5)&gt;1.96,"ATÍPICO",ABS((C2047-$W$5)/$X$5)&lt;=1.96,"NO ATÍPICO")</f>
        <v>NO ATÍPICO</v>
      </c>
      <c r="K2047" t="str" cm="1">
        <f t="array" ref="K2047">_xlfn.IFS(ISBLANK(I2047),"FALTANTE",ABS((I2047-$W$8)/$X$8)&gt;1.92,"ATÍPICO",ABS((I2047-$W$8)/$X$8)&lt;=1.92,"NO ATÍPICO")</f>
        <v>NO ATÍPICO</v>
      </c>
      <c r="L2047">
        <f t="shared" si="140"/>
        <v>310124</v>
      </c>
      <c r="M2047" t="str">
        <f t="shared" si="141"/>
        <v>TRABAJADOR INDEPENDIENTE</v>
      </c>
      <c r="N2047">
        <f t="shared" si="142"/>
        <v>66</v>
      </c>
      <c r="O2047" s="19" t="str">
        <f t="shared" si="143"/>
        <v>300k–600k</v>
      </c>
      <c r="P2047" s="19" t="str">
        <f t="shared" si="144"/>
        <v>56+</v>
      </c>
    </row>
    <row r="2048" spans="1:16" x14ac:dyDescent="0.25">
      <c r="A2048">
        <v>2047</v>
      </c>
      <c r="B2048" t="s">
        <v>9</v>
      </c>
      <c r="C2048">
        <v>505875.11</v>
      </c>
      <c r="D2048" t="s">
        <v>10</v>
      </c>
      <c r="E2048" t="s">
        <v>16</v>
      </c>
      <c r="F2048" t="s">
        <v>12</v>
      </c>
      <c r="G2048" t="s">
        <v>13</v>
      </c>
      <c r="H2048" t="s">
        <v>13</v>
      </c>
      <c r="I2048">
        <v>29</v>
      </c>
      <c r="J2048" t="str" cm="1">
        <f t="array" ref="J2048">_xlfn.IFS(ISBLANK(C2048),"FALTANTE",ABS((C2048-$W$5)/$X$5)&gt;1.96,"ATÍPICO",ABS((C2048-$W$5)/$X$5)&lt;=1.96,"NO ATÍPICO")</f>
        <v>NO ATÍPICO</v>
      </c>
      <c r="K2048" t="str" cm="1">
        <f t="array" ref="K2048">_xlfn.IFS(ISBLANK(I2048),"FALTANTE",ABS((I2048-$W$8)/$X$8)&gt;1.92,"ATÍPICO",ABS((I2048-$W$8)/$X$8)&lt;=1.92,"NO ATÍPICO")</f>
        <v>NO ATÍPICO</v>
      </c>
      <c r="L2048">
        <f t="shared" si="140"/>
        <v>505875.11</v>
      </c>
      <c r="M2048" t="str">
        <f t="shared" si="141"/>
        <v>ASALARIADO</v>
      </c>
      <c r="N2048">
        <f t="shared" si="142"/>
        <v>29</v>
      </c>
      <c r="O2048" s="19" t="str">
        <f t="shared" si="143"/>
        <v>300k–600k</v>
      </c>
      <c r="P2048" s="19" t="str">
        <f t="shared" si="144"/>
        <v>26-35</v>
      </c>
    </row>
    <row r="2049" spans="1:16" x14ac:dyDescent="0.25">
      <c r="A2049">
        <v>2048</v>
      </c>
      <c r="B2049" t="s">
        <v>9</v>
      </c>
      <c r="C2049">
        <v>344041.81</v>
      </c>
      <c r="D2049" t="s">
        <v>10</v>
      </c>
      <c r="E2049" t="s">
        <v>16</v>
      </c>
      <c r="F2049" t="s">
        <v>12</v>
      </c>
      <c r="G2049" t="s">
        <v>13</v>
      </c>
      <c r="H2049" t="s">
        <v>13</v>
      </c>
      <c r="I2049">
        <v>23</v>
      </c>
      <c r="J2049" t="str" cm="1">
        <f t="array" ref="J2049">_xlfn.IFS(ISBLANK(C2049),"FALTANTE",ABS((C2049-$W$5)/$X$5)&gt;1.96,"ATÍPICO",ABS((C2049-$W$5)/$X$5)&lt;=1.96,"NO ATÍPICO")</f>
        <v>NO ATÍPICO</v>
      </c>
      <c r="K2049" t="str" cm="1">
        <f t="array" ref="K2049">_xlfn.IFS(ISBLANK(I2049),"FALTANTE",ABS((I2049-$W$8)/$X$8)&gt;1.92,"ATÍPICO",ABS((I2049-$W$8)/$X$8)&lt;=1.92,"NO ATÍPICO")</f>
        <v>NO ATÍPICO</v>
      </c>
      <c r="L2049">
        <f t="shared" si="140"/>
        <v>344041.81</v>
      </c>
      <c r="M2049" t="str">
        <f t="shared" si="141"/>
        <v>ASALARIADO</v>
      </c>
      <c r="N2049">
        <f t="shared" si="142"/>
        <v>23</v>
      </c>
      <c r="O2049" s="19" t="str">
        <f t="shared" si="143"/>
        <v>300k–600k</v>
      </c>
      <c r="P2049" s="19" t="str">
        <f t="shared" si="144"/>
        <v>18-25</v>
      </c>
    </row>
    <row r="2050" spans="1:16" x14ac:dyDescent="0.25">
      <c r="A2050">
        <v>2049</v>
      </c>
      <c r="B2050" t="s">
        <v>15</v>
      </c>
      <c r="C2050">
        <v>731044</v>
      </c>
      <c r="D2050" t="s">
        <v>10</v>
      </c>
      <c r="E2050" t="s">
        <v>11</v>
      </c>
      <c r="F2050" t="s">
        <v>12</v>
      </c>
      <c r="G2050" t="s">
        <v>13</v>
      </c>
      <c r="H2050" t="s">
        <v>12</v>
      </c>
      <c r="I2050">
        <v>36</v>
      </c>
      <c r="J2050" t="str" cm="1">
        <f t="array" ref="J2050">_xlfn.IFS(ISBLANK(C2050),"FALTANTE",ABS((C2050-$W$5)/$X$5)&gt;1.96,"ATÍPICO",ABS((C2050-$W$5)/$X$5)&lt;=1.96,"NO ATÍPICO")</f>
        <v>NO ATÍPICO</v>
      </c>
      <c r="K2050" t="str" cm="1">
        <f t="array" ref="K2050">_xlfn.IFS(ISBLANK(I2050),"FALTANTE",ABS((I2050-$W$8)/$X$8)&gt;1.92,"ATÍPICO",ABS((I2050-$W$8)/$X$8)&lt;=1.92,"NO ATÍPICO")</f>
        <v>NO ATÍPICO</v>
      </c>
      <c r="L2050">
        <f t="shared" ref="L2050:M2113" si="145">C2050</f>
        <v>731044</v>
      </c>
      <c r="M2050" t="str">
        <f t="shared" si="145"/>
        <v>ASALARIADO</v>
      </c>
      <c r="N2050">
        <f t="shared" ref="N2050:N2113" si="146">I2050</f>
        <v>36</v>
      </c>
      <c r="O2050" s="19" t="str">
        <f t="shared" ref="O2050:O2113" si="147">IF(L2050&lt;=300000,"0–300k",IF(L2050&lt;=600000,"300k–600k",IF(L2050&lt;=900000,"600k–900k",IF(L2050&lt;=1200000,"900k–1200k","1200k+"))))</f>
        <v>600k–900k</v>
      </c>
      <c r="P2050" s="19" t="str">
        <f t="shared" ref="P2050:P2113" si="148">IF(N2050 &lt;=25,"18-25", IF(N2050&lt;=35,"26-35", IF(N2050 &lt;=45,"36-45", IF(N2050&lt;=55,"46-55","56+"))))</f>
        <v>36-45</v>
      </c>
    </row>
    <row r="2051" spans="1:16" x14ac:dyDescent="0.25">
      <c r="A2051">
        <v>2050</v>
      </c>
      <c r="B2051" t="s">
        <v>15</v>
      </c>
      <c r="C2051">
        <v>3026789.5</v>
      </c>
      <c r="D2051" t="s">
        <v>10</v>
      </c>
      <c r="E2051" t="s">
        <v>11</v>
      </c>
      <c r="F2051" t="s">
        <v>12</v>
      </c>
      <c r="G2051" t="s">
        <v>13</v>
      </c>
      <c r="H2051" t="s">
        <v>13</v>
      </c>
      <c r="I2051">
        <v>58</v>
      </c>
      <c r="J2051" t="str" cm="1">
        <f t="array" ref="J2051">_xlfn.IFS(ISBLANK(C2051),"FALTANTE",ABS((C2051-$W$5)/$X$5)&gt;1.96,"ATÍPICO",ABS((C2051-$W$5)/$X$5)&lt;=1.96,"NO ATÍPICO")</f>
        <v>ATÍPICO</v>
      </c>
      <c r="K2051" t="str" cm="1">
        <f t="array" ref="K2051">_xlfn.IFS(ISBLANK(I2051),"FALTANTE",ABS((I2051-$W$8)/$X$8)&gt;1.92,"ATÍPICO",ABS((I2051-$W$8)/$X$8)&lt;=1.92,"NO ATÍPICO")</f>
        <v>NO ATÍPICO</v>
      </c>
      <c r="L2051">
        <f t="shared" si="145"/>
        <v>3026789.5</v>
      </c>
      <c r="M2051" t="str">
        <f t="shared" si="145"/>
        <v>ASALARIADO</v>
      </c>
      <c r="N2051">
        <f t="shared" si="146"/>
        <v>58</v>
      </c>
      <c r="O2051" s="19" t="str">
        <f t="shared" si="147"/>
        <v>1200k+</v>
      </c>
      <c r="P2051" s="19" t="str">
        <f t="shared" si="148"/>
        <v>56+</v>
      </c>
    </row>
    <row r="2052" spans="1:16" x14ac:dyDescent="0.25">
      <c r="A2052">
        <v>2051</v>
      </c>
      <c r="B2052" t="s">
        <v>15</v>
      </c>
      <c r="C2052">
        <v>791106.77</v>
      </c>
      <c r="D2052" t="s">
        <v>10</v>
      </c>
      <c r="E2052" t="s">
        <v>16</v>
      </c>
      <c r="F2052" t="s">
        <v>12</v>
      </c>
      <c r="G2052" t="s">
        <v>13</v>
      </c>
      <c r="H2052" t="s">
        <v>13</v>
      </c>
      <c r="I2052">
        <v>48</v>
      </c>
      <c r="J2052" t="str" cm="1">
        <f t="array" ref="J2052">_xlfn.IFS(ISBLANK(C2052),"FALTANTE",ABS((C2052-$W$5)/$X$5)&gt;1.96,"ATÍPICO",ABS((C2052-$W$5)/$X$5)&lt;=1.96,"NO ATÍPICO")</f>
        <v>NO ATÍPICO</v>
      </c>
      <c r="K2052" t="str" cm="1">
        <f t="array" ref="K2052">_xlfn.IFS(ISBLANK(I2052),"FALTANTE",ABS((I2052-$W$8)/$X$8)&gt;1.92,"ATÍPICO",ABS((I2052-$W$8)/$X$8)&lt;=1.92,"NO ATÍPICO")</f>
        <v>NO ATÍPICO</v>
      </c>
      <c r="L2052">
        <f t="shared" si="145"/>
        <v>791106.77</v>
      </c>
      <c r="M2052" t="str">
        <f t="shared" si="145"/>
        <v>ASALARIADO</v>
      </c>
      <c r="N2052">
        <f t="shared" si="146"/>
        <v>48</v>
      </c>
      <c r="O2052" s="19" t="str">
        <f t="shared" si="147"/>
        <v>600k–900k</v>
      </c>
      <c r="P2052" s="19" t="str">
        <f t="shared" si="148"/>
        <v>46-55</v>
      </c>
    </row>
    <row r="2053" spans="1:16" x14ac:dyDescent="0.25">
      <c r="A2053">
        <v>2052</v>
      </c>
      <c r="B2053" t="s">
        <v>15</v>
      </c>
      <c r="C2053">
        <v>112068.94</v>
      </c>
      <c r="D2053" t="s">
        <v>14</v>
      </c>
      <c r="E2053" t="s">
        <v>11</v>
      </c>
      <c r="F2053" t="s">
        <v>12</v>
      </c>
      <c r="G2053" t="s">
        <v>13</v>
      </c>
      <c r="H2053" t="s">
        <v>13</v>
      </c>
      <c r="I2053">
        <v>68</v>
      </c>
      <c r="J2053" t="str" cm="1">
        <f t="array" ref="J2053">_xlfn.IFS(ISBLANK(C2053),"FALTANTE",ABS((C2053-$W$5)/$X$5)&gt;1.96,"ATÍPICO",ABS((C2053-$W$5)/$X$5)&lt;=1.96,"NO ATÍPICO")</f>
        <v>NO ATÍPICO</v>
      </c>
      <c r="K2053" t="str" cm="1">
        <f t="array" ref="K2053">_xlfn.IFS(ISBLANK(I2053),"FALTANTE",ABS((I2053-$W$8)/$X$8)&gt;1.92,"ATÍPICO",ABS((I2053-$W$8)/$X$8)&lt;=1.92,"NO ATÍPICO")</f>
        <v>NO ATÍPICO</v>
      </c>
      <c r="L2053">
        <f t="shared" si="145"/>
        <v>112068.94</v>
      </c>
      <c r="M2053" t="str">
        <f t="shared" si="145"/>
        <v>PENSIONADOS EN SU PROPIO SISTEMA</v>
      </c>
      <c r="N2053">
        <f t="shared" si="146"/>
        <v>68</v>
      </c>
      <c r="O2053" s="19" t="str">
        <f t="shared" si="147"/>
        <v>0–300k</v>
      </c>
      <c r="P2053" s="19" t="str">
        <f t="shared" si="148"/>
        <v>56+</v>
      </c>
    </row>
    <row r="2054" spans="1:16" x14ac:dyDescent="0.25">
      <c r="A2054">
        <v>2053</v>
      </c>
      <c r="B2054" t="s">
        <v>9</v>
      </c>
      <c r="C2054">
        <v>297046</v>
      </c>
      <c r="D2054" t="s">
        <v>17</v>
      </c>
      <c r="E2054" t="s">
        <v>16</v>
      </c>
      <c r="F2054" t="s">
        <v>12</v>
      </c>
      <c r="G2054" t="s">
        <v>13</v>
      </c>
      <c r="H2054" t="s">
        <v>12</v>
      </c>
      <c r="I2054">
        <v>31</v>
      </c>
      <c r="J2054" t="str" cm="1">
        <f t="array" ref="J2054">_xlfn.IFS(ISBLANK(C2054),"FALTANTE",ABS((C2054-$W$5)/$X$5)&gt;1.96,"ATÍPICO",ABS((C2054-$W$5)/$X$5)&lt;=1.96,"NO ATÍPICO")</f>
        <v>NO ATÍPICO</v>
      </c>
      <c r="K2054" t="str" cm="1">
        <f t="array" ref="K2054">_xlfn.IFS(ISBLANK(I2054),"FALTANTE",ABS((I2054-$W$8)/$X$8)&gt;1.92,"ATÍPICO",ABS((I2054-$W$8)/$X$8)&lt;=1.92,"NO ATÍPICO")</f>
        <v>NO ATÍPICO</v>
      </c>
      <c r="L2054">
        <f t="shared" si="145"/>
        <v>297046</v>
      </c>
      <c r="M2054" t="str">
        <f t="shared" si="145"/>
        <v>ASEGURADO VOLUNTARIO</v>
      </c>
      <c r="N2054">
        <f t="shared" si="146"/>
        <v>31</v>
      </c>
      <c r="O2054" s="19" t="str">
        <f t="shared" si="147"/>
        <v>0–300k</v>
      </c>
      <c r="P2054" s="19" t="str">
        <f t="shared" si="148"/>
        <v>26-35</v>
      </c>
    </row>
    <row r="2055" spans="1:16" x14ac:dyDescent="0.25">
      <c r="A2055">
        <v>2054</v>
      </c>
      <c r="B2055" t="s">
        <v>15</v>
      </c>
      <c r="C2055">
        <v>2024000</v>
      </c>
      <c r="D2055" t="s">
        <v>10</v>
      </c>
      <c r="E2055" t="s">
        <v>16</v>
      </c>
      <c r="F2055" t="s">
        <v>12</v>
      </c>
      <c r="G2055" t="s">
        <v>13</v>
      </c>
      <c r="H2055" t="s">
        <v>13</v>
      </c>
      <c r="I2055">
        <v>26</v>
      </c>
      <c r="J2055" t="str" cm="1">
        <f t="array" ref="J2055">_xlfn.IFS(ISBLANK(C2055),"FALTANTE",ABS((C2055-$W$5)/$X$5)&gt;1.96,"ATÍPICO",ABS((C2055-$W$5)/$X$5)&lt;=1.96,"NO ATÍPICO")</f>
        <v>NO ATÍPICO</v>
      </c>
      <c r="K2055" t="str" cm="1">
        <f t="array" ref="K2055">_xlfn.IFS(ISBLANK(I2055),"FALTANTE",ABS((I2055-$W$8)/$X$8)&gt;1.92,"ATÍPICO",ABS((I2055-$W$8)/$X$8)&lt;=1.92,"NO ATÍPICO")</f>
        <v>NO ATÍPICO</v>
      </c>
      <c r="L2055">
        <f t="shared" si="145"/>
        <v>2024000</v>
      </c>
      <c r="M2055" t="str">
        <f t="shared" si="145"/>
        <v>ASALARIADO</v>
      </c>
      <c r="N2055">
        <f t="shared" si="146"/>
        <v>26</v>
      </c>
      <c r="O2055" s="19" t="str">
        <f t="shared" si="147"/>
        <v>1200k+</v>
      </c>
      <c r="P2055" s="19" t="str">
        <f t="shared" si="148"/>
        <v>26-35</v>
      </c>
    </row>
    <row r="2056" spans="1:16" x14ac:dyDescent="0.25">
      <c r="A2056">
        <v>2055</v>
      </c>
      <c r="B2056" t="s">
        <v>15</v>
      </c>
      <c r="C2056">
        <v>220000</v>
      </c>
      <c r="D2056" t="s">
        <v>10</v>
      </c>
      <c r="E2056" t="s">
        <v>16</v>
      </c>
      <c r="F2056" t="s">
        <v>12</v>
      </c>
      <c r="G2056" t="s">
        <v>13</v>
      </c>
      <c r="H2056" t="s">
        <v>13</v>
      </c>
      <c r="I2056">
        <v>24</v>
      </c>
      <c r="J2056" t="str" cm="1">
        <f t="array" ref="J2056">_xlfn.IFS(ISBLANK(C2056),"FALTANTE",ABS((C2056-$W$5)/$X$5)&gt;1.96,"ATÍPICO",ABS((C2056-$W$5)/$X$5)&lt;=1.96,"NO ATÍPICO")</f>
        <v>NO ATÍPICO</v>
      </c>
      <c r="K2056" t="str" cm="1">
        <f t="array" ref="K2056">_xlfn.IFS(ISBLANK(I2056),"FALTANTE",ABS((I2056-$W$8)/$X$8)&gt;1.92,"ATÍPICO",ABS((I2056-$W$8)/$X$8)&lt;=1.92,"NO ATÍPICO")</f>
        <v>NO ATÍPICO</v>
      </c>
      <c r="L2056">
        <f t="shared" si="145"/>
        <v>220000</v>
      </c>
      <c r="M2056" t="str">
        <f t="shared" si="145"/>
        <v>ASALARIADO</v>
      </c>
      <c r="N2056">
        <f t="shared" si="146"/>
        <v>24</v>
      </c>
      <c r="O2056" s="19" t="str">
        <f t="shared" si="147"/>
        <v>0–300k</v>
      </c>
      <c r="P2056" s="19" t="str">
        <f t="shared" si="148"/>
        <v>18-25</v>
      </c>
    </row>
    <row r="2057" spans="1:16" x14ac:dyDescent="0.25">
      <c r="A2057">
        <v>2056</v>
      </c>
      <c r="B2057" t="s">
        <v>9</v>
      </c>
      <c r="C2057">
        <v>297659</v>
      </c>
      <c r="D2057" t="s">
        <v>18</v>
      </c>
      <c r="E2057" t="s">
        <v>16</v>
      </c>
      <c r="F2057" t="s">
        <v>12</v>
      </c>
      <c r="G2057" t="s">
        <v>13</v>
      </c>
      <c r="H2057" t="s">
        <v>13</v>
      </c>
      <c r="I2057">
        <v>60</v>
      </c>
      <c r="J2057" t="str" cm="1">
        <f t="array" ref="J2057">_xlfn.IFS(ISBLANK(C2057),"FALTANTE",ABS((C2057-$W$5)/$X$5)&gt;1.96,"ATÍPICO",ABS((C2057-$W$5)/$X$5)&lt;=1.96,"NO ATÍPICO")</f>
        <v>NO ATÍPICO</v>
      </c>
      <c r="K2057" t="str" cm="1">
        <f t="array" ref="K2057">_xlfn.IFS(ISBLANK(I2057),"FALTANTE",ABS((I2057-$W$8)/$X$8)&gt;1.92,"ATÍPICO",ABS((I2057-$W$8)/$X$8)&lt;=1.92,"NO ATÍPICO")</f>
        <v>NO ATÍPICO</v>
      </c>
      <c r="L2057">
        <f t="shared" si="145"/>
        <v>297659</v>
      </c>
      <c r="M2057" t="str">
        <f t="shared" si="145"/>
        <v>TRABAJADOR INDEPENDIENTE</v>
      </c>
      <c r="N2057">
        <f t="shared" si="146"/>
        <v>60</v>
      </c>
      <c r="O2057" s="19" t="str">
        <f t="shared" si="147"/>
        <v>0–300k</v>
      </c>
      <c r="P2057" s="19" t="str">
        <f t="shared" si="148"/>
        <v>56+</v>
      </c>
    </row>
    <row r="2058" spans="1:16" x14ac:dyDescent="0.25">
      <c r="A2058">
        <v>2057</v>
      </c>
      <c r="B2058" t="s">
        <v>15</v>
      </c>
      <c r="C2058">
        <v>1286116</v>
      </c>
      <c r="D2058" t="s">
        <v>10</v>
      </c>
      <c r="E2058" t="s">
        <v>11</v>
      </c>
      <c r="F2058" t="s">
        <v>12</v>
      </c>
      <c r="G2058" t="s">
        <v>13</v>
      </c>
      <c r="H2058" t="s">
        <v>12</v>
      </c>
      <c r="I2058">
        <v>51</v>
      </c>
      <c r="J2058" t="str" cm="1">
        <f t="array" ref="J2058">_xlfn.IFS(ISBLANK(C2058),"FALTANTE",ABS((C2058-$W$5)/$X$5)&gt;1.96,"ATÍPICO",ABS((C2058-$W$5)/$X$5)&lt;=1.96,"NO ATÍPICO")</f>
        <v>NO ATÍPICO</v>
      </c>
      <c r="K2058" t="str" cm="1">
        <f t="array" ref="K2058">_xlfn.IFS(ISBLANK(I2058),"FALTANTE",ABS((I2058-$W$8)/$X$8)&gt;1.92,"ATÍPICO",ABS((I2058-$W$8)/$X$8)&lt;=1.92,"NO ATÍPICO")</f>
        <v>NO ATÍPICO</v>
      </c>
      <c r="L2058">
        <f t="shared" si="145"/>
        <v>1286116</v>
      </c>
      <c r="M2058" t="str">
        <f t="shared" si="145"/>
        <v>ASALARIADO</v>
      </c>
      <c r="N2058">
        <f t="shared" si="146"/>
        <v>51</v>
      </c>
      <c r="O2058" s="19" t="str">
        <f t="shared" si="147"/>
        <v>1200k+</v>
      </c>
      <c r="P2058" s="19" t="str">
        <f t="shared" si="148"/>
        <v>46-55</v>
      </c>
    </row>
    <row r="2059" spans="1:16" x14ac:dyDescent="0.25">
      <c r="A2059">
        <v>2058</v>
      </c>
      <c r="B2059" t="s">
        <v>9</v>
      </c>
      <c r="C2059">
        <v>180800</v>
      </c>
      <c r="D2059" t="s">
        <v>10</v>
      </c>
      <c r="E2059" t="s">
        <v>16</v>
      </c>
      <c r="F2059" t="s">
        <v>12</v>
      </c>
      <c r="G2059" t="s">
        <v>13</v>
      </c>
      <c r="H2059" t="s">
        <v>12</v>
      </c>
      <c r="I2059">
        <v>35</v>
      </c>
      <c r="J2059" t="str" cm="1">
        <f t="array" ref="J2059">_xlfn.IFS(ISBLANK(C2059),"FALTANTE",ABS((C2059-$W$5)/$X$5)&gt;1.96,"ATÍPICO",ABS((C2059-$W$5)/$X$5)&lt;=1.96,"NO ATÍPICO")</f>
        <v>NO ATÍPICO</v>
      </c>
      <c r="K2059" t="str" cm="1">
        <f t="array" ref="K2059">_xlfn.IFS(ISBLANK(I2059),"FALTANTE",ABS((I2059-$W$8)/$X$8)&gt;1.92,"ATÍPICO",ABS((I2059-$W$8)/$X$8)&lt;=1.92,"NO ATÍPICO")</f>
        <v>NO ATÍPICO</v>
      </c>
      <c r="L2059">
        <f t="shared" si="145"/>
        <v>180800</v>
      </c>
      <c r="M2059" t="str">
        <f t="shared" si="145"/>
        <v>ASALARIADO</v>
      </c>
      <c r="N2059">
        <f t="shared" si="146"/>
        <v>35</v>
      </c>
      <c r="O2059" s="19" t="str">
        <f t="shared" si="147"/>
        <v>0–300k</v>
      </c>
      <c r="P2059" s="19" t="str">
        <f t="shared" si="148"/>
        <v>26-35</v>
      </c>
    </row>
    <row r="2060" spans="1:16" x14ac:dyDescent="0.25">
      <c r="A2060">
        <v>2059</v>
      </c>
      <c r="B2060" t="s">
        <v>9</v>
      </c>
      <c r="C2060">
        <v>334141</v>
      </c>
      <c r="D2060" t="s">
        <v>18</v>
      </c>
      <c r="E2060" t="s">
        <v>16</v>
      </c>
      <c r="F2060" t="s">
        <v>12</v>
      </c>
      <c r="G2060" t="s">
        <v>13</v>
      </c>
      <c r="H2060" t="s">
        <v>12</v>
      </c>
      <c r="I2060">
        <v>38</v>
      </c>
      <c r="J2060" t="str" cm="1">
        <f t="array" ref="J2060">_xlfn.IFS(ISBLANK(C2060),"FALTANTE",ABS((C2060-$W$5)/$X$5)&gt;1.96,"ATÍPICO",ABS((C2060-$W$5)/$X$5)&lt;=1.96,"NO ATÍPICO")</f>
        <v>NO ATÍPICO</v>
      </c>
      <c r="K2060" t="str" cm="1">
        <f t="array" ref="K2060">_xlfn.IFS(ISBLANK(I2060),"FALTANTE",ABS((I2060-$W$8)/$X$8)&gt;1.92,"ATÍPICO",ABS((I2060-$W$8)/$X$8)&lt;=1.92,"NO ATÍPICO")</f>
        <v>NO ATÍPICO</v>
      </c>
      <c r="L2060">
        <f t="shared" si="145"/>
        <v>334141</v>
      </c>
      <c r="M2060" t="str">
        <f t="shared" si="145"/>
        <v>TRABAJADOR INDEPENDIENTE</v>
      </c>
      <c r="N2060">
        <f t="shared" si="146"/>
        <v>38</v>
      </c>
      <c r="O2060" s="19" t="str">
        <f t="shared" si="147"/>
        <v>300k–600k</v>
      </c>
      <c r="P2060" s="19" t="str">
        <f t="shared" si="148"/>
        <v>36-45</v>
      </c>
    </row>
    <row r="2061" spans="1:16" x14ac:dyDescent="0.25">
      <c r="A2061">
        <v>2060</v>
      </c>
      <c r="B2061" t="s">
        <v>15</v>
      </c>
      <c r="C2061">
        <v>356549.6</v>
      </c>
      <c r="D2061" t="s">
        <v>10</v>
      </c>
      <c r="E2061" t="s">
        <v>16</v>
      </c>
      <c r="F2061" t="s">
        <v>12</v>
      </c>
      <c r="G2061" t="s">
        <v>13</v>
      </c>
      <c r="H2061" t="s">
        <v>12</v>
      </c>
      <c r="I2061">
        <v>43</v>
      </c>
      <c r="J2061" t="str" cm="1">
        <f t="array" ref="J2061">_xlfn.IFS(ISBLANK(C2061),"FALTANTE",ABS((C2061-$W$5)/$X$5)&gt;1.96,"ATÍPICO",ABS((C2061-$W$5)/$X$5)&lt;=1.96,"NO ATÍPICO")</f>
        <v>NO ATÍPICO</v>
      </c>
      <c r="K2061" t="str" cm="1">
        <f t="array" ref="K2061">_xlfn.IFS(ISBLANK(I2061),"FALTANTE",ABS((I2061-$W$8)/$X$8)&gt;1.92,"ATÍPICO",ABS((I2061-$W$8)/$X$8)&lt;=1.92,"NO ATÍPICO")</f>
        <v>NO ATÍPICO</v>
      </c>
      <c r="L2061">
        <f t="shared" si="145"/>
        <v>356549.6</v>
      </c>
      <c r="M2061" t="str">
        <f t="shared" si="145"/>
        <v>ASALARIADO</v>
      </c>
      <c r="N2061">
        <f t="shared" si="146"/>
        <v>43</v>
      </c>
      <c r="O2061" s="19" t="str">
        <f t="shared" si="147"/>
        <v>300k–600k</v>
      </c>
      <c r="P2061" s="19" t="str">
        <f t="shared" si="148"/>
        <v>36-45</v>
      </c>
    </row>
    <row r="2062" spans="1:16" x14ac:dyDescent="0.25">
      <c r="A2062">
        <v>2061</v>
      </c>
      <c r="B2062" t="s">
        <v>9</v>
      </c>
      <c r="C2062">
        <v>526441.80000000005</v>
      </c>
      <c r="D2062" t="s">
        <v>10</v>
      </c>
      <c r="E2062" t="s">
        <v>16</v>
      </c>
      <c r="F2062" t="s">
        <v>12</v>
      </c>
      <c r="G2062" t="s">
        <v>13</v>
      </c>
      <c r="H2062" t="s">
        <v>13</v>
      </c>
      <c r="I2062">
        <v>43</v>
      </c>
      <c r="J2062" t="str" cm="1">
        <f t="array" ref="J2062">_xlfn.IFS(ISBLANK(C2062),"FALTANTE",ABS((C2062-$W$5)/$X$5)&gt;1.96,"ATÍPICO",ABS((C2062-$W$5)/$X$5)&lt;=1.96,"NO ATÍPICO")</f>
        <v>NO ATÍPICO</v>
      </c>
      <c r="K2062" t="str" cm="1">
        <f t="array" ref="K2062">_xlfn.IFS(ISBLANK(I2062),"FALTANTE",ABS((I2062-$W$8)/$X$8)&gt;1.92,"ATÍPICO",ABS((I2062-$W$8)/$X$8)&lt;=1.92,"NO ATÍPICO")</f>
        <v>NO ATÍPICO</v>
      </c>
      <c r="L2062">
        <f t="shared" si="145"/>
        <v>526441.80000000005</v>
      </c>
      <c r="M2062" t="str">
        <f t="shared" si="145"/>
        <v>ASALARIADO</v>
      </c>
      <c r="N2062">
        <f t="shared" si="146"/>
        <v>43</v>
      </c>
      <c r="O2062" s="19" t="str">
        <f t="shared" si="147"/>
        <v>300k–600k</v>
      </c>
      <c r="P2062" s="19" t="str">
        <f t="shared" si="148"/>
        <v>36-45</v>
      </c>
    </row>
    <row r="2063" spans="1:16" x14ac:dyDescent="0.25">
      <c r="A2063">
        <v>2062</v>
      </c>
      <c r="B2063" t="s">
        <v>15</v>
      </c>
      <c r="C2063">
        <v>297046</v>
      </c>
      <c r="D2063" t="s">
        <v>17</v>
      </c>
      <c r="E2063" t="s">
        <v>16</v>
      </c>
      <c r="F2063" t="s">
        <v>12</v>
      </c>
      <c r="G2063" t="s">
        <v>13</v>
      </c>
      <c r="H2063" t="s">
        <v>13</v>
      </c>
      <c r="I2063">
        <v>30</v>
      </c>
      <c r="J2063" t="str" cm="1">
        <f t="array" ref="J2063">_xlfn.IFS(ISBLANK(C2063),"FALTANTE",ABS((C2063-$W$5)/$X$5)&gt;1.96,"ATÍPICO",ABS((C2063-$W$5)/$X$5)&lt;=1.96,"NO ATÍPICO")</f>
        <v>NO ATÍPICO</v>
      </c>
      <c r="K2063" t="str" cm="1">
        <f t="array" ref="K2063">_xlfn.IFS(ISBLANK(I2063),"FALTANTE",ABS((I2063-$W$8)/$X$8)&gt;1.92,"ATÍPICO",ABS((I2063-$W$8)/$X$8)&lt;=1.92,"NO ATÍPICO")</f>
        <v>NO ATÍPICO</v>
      </c>
      <c r="L2063">
        <f t="shared" si="145"/>
        <v>297046</v>
      </c>
      <c r="M2063" t="str">
        <f t="shared" si="145"/>
        <v>ASEGURADO VOLUNTARIO</v>
      </c>
      <c r="N2063">
        <f t="shared" si="146"/>
        <v>30</v>
      </c>
      <c r="O2063" s="19" t="str">
        <f t="shared" si="147"/>
        <v>0–300k</v>
      </c>
      <c r="P2063" s="19" t="str">
        <f t="shared" si="148"/>
        <v>26-35</v>
      </c>
    </row>
    <row r="2064" spans="1:16" x14ac:dyDescent="0.25">
      <c r="A2064">
        <v>2063</v>
      </c>
      <c r="B2064" t="s">
        <v>15</v>
      </c>
      <c r="C2064">
        <v>269640.95</v>
      </c>
      <c r="D2064" t="s">
        <v>10</v>
      </c>
      <c r="E2064" t="s">
        <v>16</v>
      </c>
      <c r="F2064" t="s">
        <v>12</v>
      </c>
      <c r="G2064" t="s">
        <v>13</v>
      </c>
      <c r="H2064" t="s">
        <v>13</v>
      </c>
      <c r="I2064">
        <v>26</v>
      </c>
      <c r="J2064" t="str" cm="1">
        <f t="array" ref="J2064">_xlfn.IFS(ISBLANK(C2064),"FALTANTE",ABS((C2064-$W$5)/$X$5)&gt;1.96,"ATÍPICO",ABS((C2064-$W$5)/$X$5)&lt;=1.96,"NO ATÍPICO")</f>
        <v>NO ATÍPICO</v>
      </c>
      <c r="K2064" t="str" cm="1">
        <f t="array" ref="K2064">_xlfn.IFS(ISBLANK(I2064),"FALTANTE",ABS((I2064-$W$8)/$X$8)&gt;1.92,"ATÍPICO",ABS((I2064-$W$8)/$X$8)&lt;=1.92,"NO ATÍPICO")</f>
        <v>NO ATÍPICO</v>
      </c>
      <c r="L2064">
        <f t="shared" si="145"/>
        <v>269640.95</v>
      </c>
      <c r="M2064" t="str">
        <f t="shared" si="145"/>
        <v>ASALARIADO</v>
      </c>
      <c r="N2064">
        <f t="shared" si="146"/>
        <v>26</v>
      </c>
      <c r="O2064" s="19" t="str">
        <f t="shared" si="147"/>
        <v>0–300k</v>
      </c>
      <c r="P2064" s="19" t="str">
        <f t="shared" si="148"/>
        <v>26-35</v>
      </c>
    </row>
    <row r="2065" spans="1:16" x14ac:dyDescent="0.25">
      <c r="A2065">
        <v>2064</v>
      </c>
      <c r="B2065" t="s">
        <v>9</v>
      </c>
      <c r="C2065">
        <v>601793</v>
      </c>
      <c r="D2065" t="s">
        <v>10</v>
      </c>
      <c r="E2065" t="s">
        <v>11</v>
      </c>
      <c r="F2065" t="s">
        <v>12</v>
      </c>
      <c r="G2065" t="s">
        <v>13</v>
      </c>
      <c r="H2065" t="s">
        <v>13</v>
      </c>
      <c r="I2065">
        <v>58</v>
      </c>
      <c r="J2065" t="str" cm="1">
        <f t="array" ref="J2065">_xlfn.IFS(ISBLANK(C2065),"FALTANTE",ABS((C2065-$W$5)/$X$5)&gt;1.96,"ATÍPICO",ABS((C2065-$W$5)/$X$5)&lt;=1.96,"NO ATÍPICO")</f>
        <v>NO ATÍPICO</v>
      </c>
      <c r="K2065" t="str" cm="1">
        <f t="array" ref="K2065">_xlfn.IFS(ISBLANK(I2065),"FALTANTE",ABS((I2065-$W$8)/$X$8)&gt;1.92,"ATÍPICO",ABS((I2065-$W$8)/$X$8)&lt;=1.92,"NO ATÍPICO")</f>
        <v>NO ATÍPICO</v>
      </c>
      <c r="L2065">
        <f t="shared" si="145"/>
        <v>601793</v>
      </c>
      <c r="M2065" t="str">
        <f t="shared" si="145"/>
        <v>ASALARIADO</v>
      </c>
      <c r="N2065">
        <f t="shared" si="146"/>
        <v>58</v>
      </c>
      <c r="O2065" s="19" t="str">
        <f t="shared" si="147"/>
        <v>600k–900k</v>
      </c>
      <c r="P2065" s="19" t="str">
        <f t="shared" si="148"/>
        <v>56+</v>
      </c>
    </row>
    <row r="2066" spans="1:16" x14ac:dyDescent="0.25">
      <c r="A2066">
        <v>2065</v>
      </c>
      <c r="B2066" t="s">
        <v>15</v>
      </c>
      <c r="C2066">
        <v>1000000</v>
      </c>
      <c r="D2066" t="s">
        <v>10</v>
      </c>
      <c r="E2066" t="s">
        <v>16</v>
      </c>
      <c r="F2066" t="s">
        <v>12</v>
      </c>
      <c r="G2066" t="s">
        <v>13</v>
      </c>
      <c r="H2066" t="s">
        <v>13</v>
      </c>
      <c r="I2066">
        <v>23</v>
      </c>
      <c r="J2066" t="str" cm="1">
        <f t="array" ref="J2066">_xlfn.IFS(ISBLANK(C2066),"FALTANTE",ABS((C2066-$W$5)/$X$5)&gt;1.96,"ATÍPICO",ABS((C2066-$W$5)/$X$5)&lt;=1.96,"NO ATÍPICO")</f>
        <v>NO ATÍPICO</v>
      </c>
      <c r="K2066" t="str" cm="1">
        <f t="array" ref="K2066">_xlfn.IFS(ISBLANK(I2066),"FALTANTE",ABS((I2066-$W$8)/$X$8)&gt;1.92,"ATÍPICO",ABS((I2066-$W$8)/$X$8)&lt;=1.92,"NO ATÍPICO")</f>
        <v>NO ATÍPICO</v>
      </c>
      <c r="L2066">
        <f t="shared" si="145"/>
        <v>1000000</v>
      </c>
      <c r="M2066" t="str">
        <f t="shared" si="145"/>
        <v>ASALARIADO</v>
      </c>
      <c r="N2066">
        <f t="shared" si="146"/>
        <v>23</v>
      </c>
      <c r="O2066" s="19" t="str">
        <f t="shared" si="147"/>
        <v>900k–1200k</v>
      </c>
      <c r="P2066" s="19" t="str">
        <f t="shared" si="148"/>
        <v>18-25</v>
      </c>
    </row>
    <row r="2067" spans="1:16" x14ac:dyDescent="0.25">
      <c r="A2067">
        <v>2066</v>
      </c>
      <c r="B2067" t="s">
        <v>9</v>
      </c>
      <c r="C2067">
        <v>255672</v>
      </c>
      <c r="D2067" t="s">
        <v>10</v>
      </c>
      <c r="E2067" t="s">
        <v>16</v>
      </c>
      <c r="F2067" t="s">
        <v>12</v>
      </c>
      <c r="G2067" t="s">
        <v>13</v>
      </c>
      <c r="H2067" t="s">
        <v>13</v>
      </c>
      <c r="I2067">
        <v>50</v>
      </c>
      <c r="J2067" t="str" cm="1">
        <f t="array" ref="J2067">_xlfn.IFS(ISBLANK(C2067),"FALTANTE",ABS((C2067-$W$5)/$X$5)&gt;1.96,"ATÍPICO",ABS((C2067-$W$5)/$X$5)&lt;=1.96,"NO ATÍPICO")</f>
        <v>NO ATÍPICO</v>
      </c>
      <c r="K2067" t="str" cm="1">
        <f t="array" ref="K2067">_xlfn.IFS(ISBLANK(I2067),"FALTANTE",ABS((I2067-$W$8)/$X$8)&gt;1.92,"ATÍPICO",ABS((I2067-$W$8)/$X$8)&lt;=1.92,"NO ATÍPICO")</f>
        <v>NO ATÍPICO</v>
      </c>
      <c r="L2067">
        <f t="shared" si="145"/>
        <v>255672</v>
      </c>
      <c r="M2067" t="str">
        <f t="shared" si="145"/>
        <v>ASALARIADO</v>
      </c>
      <c r="N2067">
        <f t="shared" si="146"/>
        <v>50</v>
      </c>
      <c r="O2067" s="19" t="str">
        <f t="shared" si="147"/>
        <v>0–300k</v>
      </c>
      <c r="P2067" s="19" t="str">
        <f t="shared" si="148"/>
        <v>46-55</v>
      </c>
    </row>
    <row r="2068" spans="1:16" x14ac:dyDescent="0.25">
      <c r="A2068">
        <v>2067</v>
      </c>
      <c r="B2068" t="s">
        <v>9</v>
      </c>
      <c r="C2068">
        <v>69361.600000000006</v>
      </c>
      <c r="D2068" t="s">
        <v>10</v>
      </c>
      <c r="E2068" t="s">
        <v>16</v>
      </c>
      <c r="F2068" t="s">
        <v>12</v>
      </c>
      <c r="G2068" t="s">
        <v>13</v>
      </c>
      <c r="H2068" t="s">
        <v>13</v>
      </c>
      <c r="I2068">
        <v>60</v>
      </c>
      <c r="J2068" t="str" cm="1">
        <f t="array" ref="J2068">_xlfn.IFS(ISBLANK(C2068),"FALTANTE",ABS((C2068-$W$5)/$X$5)&gt;1.96,"ATÍPICO",ABS((C2068-$W$5)/$X$5)&lt;=1.96,"NO ATÍPICO")</f>
        <v>NO ATÍPICO</v>
      </c>
      <c r="K2068" t="str" cm="1">
        <f t="array" ref="K2068">_xlfn.IFS(ISBLANK(I2068),"FALTANTE",ABS((I2068-$W$8)/$X$8)&gt;1.92,"ATÍPICO",ABS((I2068-$W$8)/$X$8)&lt;=1.92,"NO ATÍPICO")</f>
        <v>NO ATÍPICO</v>
      </c>
      <c r="L2068">
        <f t="shared" si="145"/>
        <v>69361.600000000006</v>
      </c>
      <c r="M2068" t="str">
        <f t="shared" si="145"/>
        <v>ASALARIADO</v>
      </c>
      <c r="N2068">
        <f t="shared" si="146"/>
        <v>60</v>
      </c>
      <c r="O2068" s="19" t="str">
        <f t="shared" si="147"/>
        <v>0–300k</v>
      </c>
      <c r="P2068" s="19" t="str">
        <f t="shared" si="148"/>
        <v>56+</v>
      </c>
    </row>
    <row r="2069" spans="1:16" x14ac:dyDescent="0.25">
      <c r="A2069">
        <v>2068</v>
      </c>
      <c r="B2069" t="s">
        <v>9</v>
      </c>
      <c r="C2069">
        <v>326749</v>
      </c>
      <c r="D2069" t="s">
        <v>18</v>
      </c>
      <c r="E2069" t="s">
        <v>16</v>
      </c>
      <c r="F2069" t="s">
        <v>12</v>
      </c>
      <c r="G2069" t="s">
        <v>13</v>
      </c>
      <c r="H2069" t="s">
        <v>12</v>
      </c>
      <c r="I2069">
        <v>36</v>
      </c>
      <c r="J2069" t="str" cm="1">
        <f t="array" ref="J2069">_xlfn.IFS(ISBLANK(C2069),"FALTANTE",ABS((C2069-$W$5)/$X$5)&gt;1.96,"ATÍPICO",ABS((C2069-$W$5)/$X$5)&lt;=1.96,"NO ATÍPICO")</f>
        <v>NO ATÍPICO</v>
      </c>
      <c r="K2069" t="str" cm="1">
        <f t="array" ref="K2069">_xlfn.IFS(ISBLANK(I2069),"FALTANTE",ABS((I2069-$W$8)/$X$8)&gt;1.92,"ATÍPICO",ABS((I2069-$W$8)/$X$8)&lt;=1.92,"NO ATÍPICO")</f>
        <v>NO ATÍPICO</v>
      </c>
      <c r="L2069">
        <f t="shared" si="145"/>
        <v>326749</v>
      </c>
      <c r="M2069" t="str">
        <f t="shared" si="145"/>
        <v>TRABAJADOR INDEPENDIENTE</v>
      </c>
      <c r="N2069">
        <f t="shared" si="146"/>
        <v>36</v>
      </c>
      <c r="O2069" s="19" t="str">
        <f t="shared" si="147"/>
        <v>300k–600k</v>
      </c>
      <c r="P2069" s="19" t="str">
        <f t="shared" si="148"/>
        <v>36-45</v>
      </c>
    </row>
    <row r="2070" spans="1:16" x14ac:dyDescent="0.25">
      <c r="A2070">
        <v>2069</v>
      </c>
      <c r="B2070" t="s">
        <v>15</v>
      </c>
      <c r="C2070">
        <v>319576</v>
      </c>
      <c r="D2070" t="s">
        <v>10</v>
      </c>
      <c r="E2070" t="s">
        <v>16</v>
      </c>
      <c r="F2070" t="s">
        <v>12</v>
      </c>
      <c r="G2070" t="s">
        <v>13</v>
      </c>
      <c r="H2070" t="s">
        <v>13</v>
      </c>
      <c r="I2070">
        <v>44</v>
      </c>
      <c r="J2070" t="str" cm="1">
        <f t="array" ref="J2070">_xlfn.IFS(ISBLANK(C2070),"FALTANTE",ABS((C2070-$W$5)/$X$5)&gt;1.96,"ATÍPICO",ABS((C2070-$W$5)/$X$5)&lt;=1.96,"NO ATÍPICO")</f>
        <v>NO ATÍPICO</v>
      </c>
      <c r="K2070" t="str" cm="1">
        <f t="array" ref="K2070">_xlfn.IFS(ISBLANK(I2070),"FALTANTE",ABS((I2070-$W$8)/$X$8)&gt;1.92,"ATÍPICO",ABS((I2070-$W$8)/$X$8)&lt;=1.92,"NO ATÍPICO")</f>
        <v>NO ATÍPICO</v>
      </c>
      <c r="L2070">
        <f t="shared" si="145"/>
        <v>319576</v>
      </c>
      <c r="M2070" t="str">
        <f t="shared" si="145"/>
        <v>ASALARIADO</v>
      </c>
      <c r="N2070">
        <f t="shared" si="146"/>
        <v>44</v>
      </c>
      <c r="O2070" s="19" t="str">
        <f t="shared" si="147"/>
        <v>300k–600k</v>
      </c>
      <c r="P2070" s="19" t="str">
        <f t="shared" si="148"/>
        <v>36-45</v>
      </c>
    </row>
    <row r="2071" spans="1:16" x14ac:dyDescent="0.25">
      <c r="A2071">
        <v>2070</v>
      </c>
      <c r="B2071" t="s">
        <v>9</v>
      </c>
      <c r="C2071">
        <v>278030.99</v>
      </c>
      <c r="D2071" t="s">
        <v>19</v>
      </c>
      <c r="E2071" t="s">
        <v>16</v>
      </c>
      <c r="F2071" t="s">
        <v>12</v>
      </c>
      <c r="G2071" t="s">
        <v>13</v>
      </c>
      <c r="H2071" t="s">
        <v>13</v>
      </c>
      <c r="I2071">
        <v>43</v>
      </c>
      <c r="J2071" t="str" cm="1">
        <f t="array" ref="J2071">_xlfn.IFS(ISBLANK(C2071),"FALTANTE",ABS((C2071-$W$5)/$X$5)&gt;1.96,"ATÍPICO",ABS((C2071-$W$5)/$X$5)&lt;=1.96,"NO ATÍPICO")</f>
        <v>NO ATÍPICO</v>
      </c>
      <c r="K2071" t="str" cm="1">
        <f t="array" ref="K2071">_xlfn.IFS(ISBLANK(I2071),"FALTANTE",ABS((I2071-$W$8)/$X$8)&gt;1.92,"ATÍPICO",ABS((I2071-$W$8)/$X$8)&lt;=1.92,"NO ATÍPICO")</f>
        <v>NO ATÍPICO</v>
      </c>
      <c r="L2071">
        <f t="shared" si="145"/>
        <v>278030.99</v>
      </c>
      <c r="M2071" t="str">
        <f t="shared" si="145"/>
        <v>CONVENIOS ESPECIALES DE TRABAJADORES INDEPENDIENTES</v>
      </c>
      <c r="N2071">
        <f t="shared" si="146"/>
        <v>43</v>
      </c>
      <c r="O2071" s="19" t="str">
        <f t="shared" si="147"/>
        <v>0–300k</v>
      </c>
      <c r="P2071" s="19" t="str">
        <f t="shared" si="148"/>
        <v>36-45</v>
      </c>
    </row>
    <row r="2072" spans="1:16" x14ac:dyDescent="0.25">
      <c r="A2072">
        <v>2071</v>
      </c>
      <c r="B2072" t="s">
        <v>15</v>
      </c>
      <c r="C2072">
        <v>400000</v>
      </c>
      <c r="D2072" t="s">
        <v>10</v>
      </c>
      <c r="E2072" t="s">
        <v>16</v>
      </c>
      <c r="F2072" t="s">
        <v>12</v>
      </c>
      <c r="G2072" t="s">
        <v>13</v>
      </c>
      <c r="H2072" t="s">
        <v>13</v>
      </c>
      <c r="I2072">
        <v>40</v>
      </c>
      <c r="J2072" t="str" cm="1">
        <f t="array" ref="J2072">_xlfn.IFS(ISBLANK(C2072),"FALTANTE",ABS((C2072-$W$5)/$X$5)&gt;1.96,"ATÍPICO",ABS((C2072-$W$5)/$X$5)&lt;=1.96,"NO ATÍPICO")</f>
        <v>NO ATÍPICO</v>
      </c>
      <c r="K2072" t="str" cm="1">
        <f t="array" ref="K2072">_xlfn.IFS(ISBLANK(I2072),"FALTANTE",ABS((I2072-$W$8)/$X$8)&gt;1.92,"ATÍPICO",ABS((I2072-$W$8)/$X$8)&lt;=1.92,"NO ATÍPICO")</f>
        <v>NO ATÍPICO</v>
      </c>
      <c r="L2072">
        <f t="shared" si="145"/>
        <v>400000</v>
      </c>
      <c r="M2072" t="str">
        <f t="shared" si="145"/>
        <v>ASALARIADO</v>
      </c>
      <c r="N2072">
        <f t="shared" si="146"/>
        <v>40</v>
      </c>
      <c r="O2072" s="19" t="str">
        <f t="shared" si="147"/>
        <v>300k–600k</v>
      </c>
      <c r="P2072" s="19" t="str">
        <f t="shared" si="148"/>
        <v>36-45</v>
      </c>
    </row>
    <row r="2073" spans="1:16" x14ac:dyDescent="0.25">
      <c r="A2073">
        <v>2072</v>
      </c>
      <c r="B2073" t="s">
        <v>9</v>
      </c>
      <c r="C2073">
        <v>328192</v>
      </c>
      <c r="D2073" t="s">
        <v>18</v>
      </c>
      <c r="E2073" t="s">
        <v>16</v>
      </c>
      <c r="F2073" t="s">
        <v>12</v>
      </c>
      <c r="G2073" t="s">
        <v>13</v>
      </c>
      <c r="H2073" t="s">
        <v>12</v>
      </c>
      <c r="I2073">
        <v>43</v>
      </c>
      <c r="J2073" t="str" cm="1">
        <f t="array" ref="J2073">_xlfn.IFS(ISBLANK(C2073),"FALTANTE",ABS((C2073-$W$5)/$X$5)&gt;1.96,"ATÍPICO",ABS((C2073-$W$5)/$X$5)&lt;=1.96,"NO ATÍPICO")</f>
        <v>NO ATÍPICO</v>
      </c>
      <c r="K2073" t="str" cm="1">
        <f t="array" ref="K2073">_xlfn.IFS(ISBLANK(I2073),"FALTANTE",ABS((I2073-$W$8)/$X$8)&gt;1.92,"ATÍPICO",ABS((I2073-$W$8)/$X$8)&lt;=1.92,"NO ATÍPICO")</f>
        <v>NO ATÍPICO</v>
      </c>
      <c r="L2073">
        <f t="shared" si="145"/>
        <v>328192</v>
      </c>
      <c r="M2073" t="str">
        <f t="shared" si="145"/>
        <v>TRABAJADOR INDEPENDIENTE</v>
      </c>
      <c r="N2073">
        <f t="shared" si="146"/>
        <v>43</v>
      </c>
      <c r="O2073" s="19" t="str">
        <f t="shared" si="147"/>
        <v>300k–600k</v>
      </c>
      <c r="P2073" s="19" t="str">
        <f t="shared" si="148"/>
        <v>36-45</v>
      </c>
    </row>
    <row r="2074" spans="1:16" x14ac:dyDescent="0.25">
      <c r="A2074">
        <v>2073</v>
      </c>
      <c r="B2074" t="s">
        <v>15</v>
      </c>
      <c r="C2074">
        <v>1314059</v>
      </c>
      <c r="D2074" t="s">
        <v>14</v>
      </c>
      <c r="E2074" t="s">
        <v>11</v>
      </c>
      <c r="F2074" t="s">
        <v>12</v>
      </c>
      <c r="G2074" t="s">
        <v>13</v>
      </c>
      <c r="H2074" t="s">
        <v>13</v>
      </c>
      <c r="I2074">
        <v>67</v>
      </c>
      <c r="J2074" t="str" cm="1">
        <f t="array" ref="J2074">_xlfn.IFS(ISBLANK(C2074),"FALTANTE",ABS((C2074-$W$5)/$X$5)&gt;1.96,"ATÍPICO",ABS((C2074-$W$5)/$X$5)&lt;=1.96,"NO ATÍPICO")</f>
        <v>NO ATÍPICO</v>
      </c>
      <c r="K2074" t="str" cm="1">
        <f t="array" ref="K2074">_xlfn.IFS(ISBLANK(I2074),"FALTANTE",ABS((I2074-$W$8)/$X$8)&gt;1.92,"ATÍPICO",ABS((I2074-$W$8)/$X$8)&lt;=1.92,"NO ATÍPICO")</f>
        <v>NO ATÍPICO</v>
      </c>
      <c r="L2074">
        <f t="shared" si="145"/>
        <v>1314059</v>
      </c>
      <c r="M2074" t="str">
        <f t="shared" si="145"/>
        <v>PENSIONADOS EN SU PROPIO SISTEMA</v>
      </c>
      <c r="N2074">
        <f t="shared" si="146"/>
        <v>67</v>
      </c>
      <c r="O2074" s="19" t="str">
        <f t="shared" si="147"/>
        <v>1200k+</v>
      </c>
      <c r="P2074" s="19" t="str">
        <f t="shared" si="148"/>
        <v>56+</v>
      </c>
    </row>
    <row r="2075" spans="1:16" x14ac:dyDescent="0.25">
      <c r="A2075">
        <v>2074</v>
      </c>
      <c r="B2075" t="s">
        <v>15</v>
      </c>
      <c r="C2075">
        <v>300018</v>
      </c>
      <c r="D2075" t="s">
        <v>17</v>
      </c>
      <c r="E2075" t="s">
        <v>16</v>
      </c>
      <c r="F2075" t="s">
        <v>12</v>
      </c>
      <c r="G2075" t="s">
        <v>13</v>
      </c>
      <c r="H2075" t="s">
        <v>13</v>
      </c>
      <c r="I2075">
        <v>59</v>
      </c>
      <c r="J2075" t="str" cm="1">
        <f t="array" ref="J2075">_xlfn.IFS(ISBLANK(C2075),"FALTANTE",ABS((C2075-$W$5)/$X$5)&gt;1.96,"ATÍPICO",ABS((C2075-$W$5)/$X$5)&lt;=1.96,"NO ATÍPICO")</f>
        <v>NO ATÍPICO</v>
      </c>
      <c r="K2075" t="str" cm="1">
        <f t="array" ref="K2075">_xlfn.IFS(ISBLANK(I2075),"FALTANTE",ABS((I2075-$W$8)/$X$8)&gt;1.92,"ATÍPICO",ABS((I2075-$W$8)/$X$8)&lt;=1.92,"NO ATÍPICO")</f>
        <v>NO ATÍPICO</v>
      </c>
      <c r="L2075">
        <f t="shared" si="145"/>
        <v>300018</v>
      </c>
      <c r="M2075" t="str">
        <f t="shared" si="145"/>
        <v>ASEGURADO VOLUNTARIO</v>
      </c>
      <c r="N2075">
        <f t="shared" si="146"/>
        <v>59</v>
      </c>
      <c r="O2075" s="19" t="str">
        <f t="shared" si="147"/>
        <v>300k–600k</v>
      </c>
      <c r="P2075" s="19" t="str">
        <f t="shared" si="148"/>
        <v>56+</v>
      </c>
    </row>
    <row r="2076" spans="1:16" x14ac:dyDescent="0.25">
      <c r="A2076">
        <v>2075</v>
      </c>
      <c r="B2076" t="s">
        <v>15</v>
      </c>
      <c r="C2076">
        <v>400000</v>
      </c>
      <c r="D2076" t="s">
        <v>10</v>
      </c>
      <c r="E2076" t="s">
        <v>16</v>
      </c>
      <c r="F2076" t="s">
        <v>12</v>
      </c>
      <c r="G2076" t="s">
        <v>13</v>
      </c>
      <c r="H2076" t="s">
        <v>13</v>
      </c>
      <c r="I2076">
        <v>35</v>
      </c>
      <c r="J2076" t="str" cm="1">
        <f t="array" ref="J2076">_xlfn.IFS(ISBLANK(C2076),"FALTANTE",ABS((C2076-$W$5)/$X$5)&gt;1.96,"ATÍPICO",ABS((C2076-$W$5)/$X$5)&lt;=1.96,"NO ATÍPICO")</f>
        <v>NO ATÍPICO</v>
      </c>
      <c r="K2076" t="str" cm="1">
        <f t="array" ref="K2076">_xlfn.IFS(ISBLANK(I2076),"FALTANTE",ABS((I2076-$W$8)/$X$8)&gt;1.92,"ATÍPICO",ABS((I2076-$W$8)/$X$8)&lt;=1.92,"NO ATÍPICO")</f>
        <v>NO ATÍPICO</v>
      </c>
      <c r="L2076">
        <f t="shared" si="145"/>
        <v>400000</v>
      </c>
      <c r="M2076" t="str">
        <f t="shared" si="145"/>
        <v>ASALARIADO</v>
      </c>
      <c r="N2076">
        <f t="shared" si="146"/>
        <v>35</v>
      </c>
      <c r="O2076" s="19" t="str">
        <f t="shared" si="147"/>
        <v>300k–600k</v>
      </c>
      <c r="P2076" s="19" t="str">
        <f t="shared" si="148"/>
        <v>26-35</v>
      </c>
    </row>
    <row r="2077" spans="1:16" x14ac:dyDescent="0.25">
      <c r="A2077">
        <v>2076</v>
      </c>
      <c r="B2077" t="s">
        <v>9</v>
      </c>
      <c r="C2077">
        <v>550000</v>
      </c>
      <c r="D2077" t="s">
        <v>10</v>
      </c>
      <c r="E2077" t="s">
        <v>16</v>
      </c>
      <c r="F2077" t="s">
        <v>12</v>
      </c>
      <c r="G2077" t="s">
        <v>13</v>
      </c>
      <c r="H2077" t="s">
        <v>13</v>
      </c>
      <c r="I2077">
        <v>25</v>
      </c>
      <c r="J2077" t="str" cm="1">
        <f t="array" ref="J2077">_xlfn.IFS(ISBLANK(C2077),"FALTANTE",ABS((C2077-$W$5)/$X$5)&gt;1.96,"ATÍPICO",ABS((C2077-$W$5)/$X$5)&lt;=1.96,"NO ATÍPICO")</f>
        <v>NO ATÍPICO</v>
      </c>
      <c r="K2077" t="str" cm="1">
        <f t="array" ref="K2077">_xlfn.IFS(ISBLANK(I2077),"FALTANTE",ABS((I2077-$W$8)/$X$8)&gt;1.92,"ATÍPICO",ABS((I2077-$W$8)/$X$8)&lt;=1.92,"NO ATÍPICO")</f>
        <v>NO ATÍPICO</v>
      </c>
      <c r="L2077">
        <f t="shared" si="145"/>
        <v>550000</v>
      </c>
      <c r="M2077" t="str">
        <f t="shared" si="145"/>
        <v>ASALARIADO</v>
      </c>
      <c r="N2077">
        <f t="shared" si="146"/>
        <v>25</v>
      </c>
      <c r="O2077" s="19" t="str">
        <f t="shared" si="147"/>
        <v>300k–600k</v>
      </c>
      <c r="P2077" s="19" t="str">
        <f t="shared" si="148"/>
        <v>18-25</v>
      </c>
    </row>
    <row r="2078" spans="1:16" x14ac:dyDescent="0.25">
      <c r="A2078">
        <v>2077</v>
      </c>
      <c r="B2078" t="s">
        <v>15</v>
      </c>
      <c r="C2078">
        <v>686170</v>
      </c>
      <c r="D2078" t="s">
        <v>18</v>
      </c>
      <c r="E2078" t="s">
        <v>16</v>
      </c>
      <c r="F2078" t="s">
        <v>12</v>
      </c>
      <c r="G2078" t="s">
        <v>13</v>
      </c>
      <c r="H2078" t="s">
        <v>12</v>
      </c>
      <c r="I2078">
        <v>43</v>
      </c>
      <c r="J2078" t="str" cm="1">
        <f t="array" ref="J2078">_xlfn.IFS(ISBLANK(C2078),"FALTANTE",ABS((C2078-$W$5)/$X$5)&gt;1.96,"ATÍPICO",ABS((C2078-$W$5)/$X$5)&lt;=1.96,"NO ATÍPICO")</f>
        <v>NO ATÍPICO</v>
      </c>
      <c r="K2078" t="str" cm="1">
        <f t="array" ref="K2078">_xlfn.IFS(ISBLANK(I2078),"FALTANTE",ABS((I2078-$W$8)/$X$8)&gt;1.92,"ATÍPICO",ABS((I2078-$W$8)/$X$8)&lt;=1.92,"NO ATÍPICO")</f>
        <v>NO ATÍPICO</v>
      </c>
      <c r="L2078">
        <f t="shared" si="145"/>
        <v>686170</v>
      </c>
      <c r="M2078" t="str">
        <f t="shared" si="145"/>
        <v>TRABAJADOR INDEPENDIENTE</v>
      </c>
      <c r="N2078">
        <f t="shared" si="146"/>
        <v>43</v>
      </c>
      <c r="O2078" s="19" t="str">
        <f t="shared" si="147"/>
        <v>600k–900k</v>
      </c>
      <c r="P2078" s="19" t="str">
        <f t="shared" si="148"/>
        <v>36-45</v>
      </c>
    </row>
    <row r="2079" spans="1:16" x14ac:dyDescent="0.25">
      <c r="A2079">
        <v>2078</v>
      </c>
      <c r="B2079" t="s">
        <v>15</v>
      </c>
      <c r="C2079">
        <v>161550</v>
      </c>
      <c r="D2079" t="s">
        <v>10</v>
      </c>
      <c r="E2079" t="s">
        <v>16</v>
      </c>
      <c r="F2079" t="s">
        <v>12</v>
      </c>
      <c r="G2079" t="s">
        <v>13</v>
      </c>
      <c r="H2079" t="s">
        <v>13</v>
      </c>
      <c r="I2079">
        <v>39</v>
      </c>
      <c r="J2079" t="str" cm="1">
        <f t="array" ref="J2079">_xlfn.IFS(ISBLANK(C2079),"FALTANTE",ABS((C2079-$W$5)/$X$5)&gt;1.96,"ATÍPICO",ABS((C2079-$W$5)/$X$5)&lt;=1.96,"NO ATÍPICO")</f>
        <v>NO ATÍPICO</v>
      </c>
      <c r="K2079" t="str" cm="1">
        <f t="array" ref="K2079">_xlfn.IFS(ISBLANK(I2079),"FALTANTE",ABS((I2079-$W$8)/$X$8)&gt;1.92,"ATÍPICO",ABS((I2079-$W$8)/$X$8)&lt;=1.92,"NO ATÍPICO")</f>
        <v>NO ATÍPICO</v>
      </c>
      <c r="L2079">
        <f t="shared" si="145"/>
        <v>161550</v>
      </c>
      <c r="M2079" t="str">
        <f t="shared" si="145"/>
        <v>ASALARIADO</v>
      </c>
      <c r="N2079">
        <f t="shared" si="146"/>
        <v>39</v>
      </c>
      <c r="O2079" s="19" t="str">
        <f t="shared" si="147"/>
        <v>0–300k</v>
      </c>
      <c r="P2079" s="19" t="str">
        <f t="shared" si="148"/>
        <v>36-45</v>
      </c>
    </row>
    <row r="2080" spans="1:16" x14ac:dyDescent="0.25">
      <c r="A2080">
        <v>2079</v>
      </c>
      <c r="B2080" t="s">
        <v>9</v>
      </c>
      <c r="C2080">
        <v>1038456</v>
      </c>
      <c r="D2080" t="s">
        <v>10</v>
      </c>
      <c r="E2080" t="s">
        <v>16</v>
      </c>
      <c r="F2080" t="s">
        <v>12</v>
      </c>
      <c r="G2080" t="s">
        <v>13</v>
      </c>
      <c r="H2080" t="s">
        <v>13</v>
      </c>
      <c r="I2080">
        <v>36</v>
      </c>
      <c r="J2080" t="str" cm="1">
        <f t="array" ref="J2080">_xlfn.IFS(ISBLANK(C2080),"FALTANTE",ABS((C2080-$W$5)/$X$5)&gt;1.96,"ATÍPICO",ABS((C2080-$W$5)/$X$5)&lt;=1.96,"NO ATÍPICO")</f>
        <v>NO ATÍPICO</v>
      </c>
      <c r="K2080" t="str" cm="1">
        <f t="array" ref="K2080">_xlfn.IFS(ISBLANK(I2080),"FALTANTE",ABS((I2080-$W$8)/$X$8)&gt;1.92,"ATÍPICO",ABS((I2080-$W$8)/$X$8)&lt;=1.92,"NO ATÍPICO")</f>
        <v>NO ATÍPICO</v>
      </c>
      <c r="L2080">
        <f t="shared" si="145"/>
        <v>1038456</v>
      </c>
      <c r="M2080" t="str">
        <f t="shared" si="145"/>
        <v>ASALARIADO</v>
      </c>
      <c r="N2080">
        <f t="shared" si="146"/>
        <v>36</v>
      </c>
      <c r="O2080" s="19" t="str">
        <f t="shared" si="147"/>
        <v>900k–1200k</v>
      </c>
      <c r="P2080" s="19" t="str">
        <f t="shared" si="148"/>
        <v>36-45</v>
      </c>
    </row>
    <row r="2081" spans="1:16" x14ac:dyDescent="0.25">
      <c r="A2081">
        <v>2080</v>
      </c>
      <c r="B2081" t="s">
        <v>9</v>
      </c>
      <c r="C2081">
        <v>685653.34</v>
      </c>
      <c r="D2081" t="s">
        <v>10</v>
      </c>
      <c r="E2081" t="s">
        <v>16</v>
      </c>
      <c r="F2081" t="s">
        <v>12</v>
      </c>
      <c r="G2081" t="s">
        <v>13</v>
      </c>
      <c r="H2081" t="s">
        <v>13</v>
      </c>
      <c r="I2081">
        <v>44</v>
      </c>
      <c r="J2081" t="str" cm="1">
        <f t="array" ref="J2081">_xlfn.IFS(ISBLANK(C2081),"FALTANTE",ABS((C2081-$W$5)/$X$5)&gt;1.96,"ATÍPICO",ABS((C2081-$W$5)/$X$5)&lt;=1.96,"NO ATÍPICO")</f>
        <v>NO ATÍPICO</v>
      </c>
      <c r="K2081" t="str" cm="1">
        <f t="array" ref="K2081">_xlfn.IFS(ISBLANK(I2081),"FALTANTE",ABS((I2081-$W$8)/$X$8)&gt;1.92,"ATÍPICO",ABS((I2081-$W$8)/$X$8)&lt;=1.92,"NO ATÍPICO")</f>
        <v>NO ATÍPICO</v>
      </c>
      <c r="L2081">
        <f t="shared" si="145"/>
        <v>685653.34</v>
      </c>
      <c r="M2081" t="str">
        <f t="shared" si="145"/>
        <v>ASALARIADO</v>
      </c>
      <c r="N2081">
        <f t="shared" si="146"/>
        <v>44</v>
      </c>
      <c r="O2081" s="19" t="str">
        <f t="shared" si="147"/>
        <v>600k–900k</v>
      </c>
      <c r="P2081" s="19" t="str">
        <f t="shared" si="148"/>
        <v>36-45</v>
      </c>
    </row>
    <row r="2082" spans="1:16" x14ac:dyDescent="0.25">
      <c r="A2082">
        <v>2081</v>
      </c>
      <c r="B2082" t="s">
        <v>9</v>
      </c>
      <c r="C2082">
        <v>594092</v>
      </c>
      <c r="D2082" t="s">
        <v>18</v>
      </c>
      <c r="E2082" t="s">
        <v>16</v>
      </c>
      <c r="F2082" t="s">
        <v>12</v>
      </c>
      <c r="G2082" t="s">
        <v>12</v>
      </c>
      <c r="H2082" t="s">
        <v>13</v>
      </c>
      <c r="I2082">
        <v>55</v>
      </c>
      <c r="J2082" t="str" cm="1">
        <f t="array" ref="J2082">_xlfn.IFS(ISBLANK(C2082),"FALTANTE",ABS((C2082-$W$5)/$X$5)&gt;1.96,"ATÍPICO",ABS((C2082-$W$5)/$X$5)&lt;=1.96,"NO ATÍPICO")</f>
        <v>NO ATÍPICO</v>
      </c>
      <c r="K2082" t="str" cm="1">
        <f t="array" ref="K2082">_xlfn.IFS(ISBLANK(I2082),"FALTANTE",ABS((I2082-$W$8)/$X$8)&gt;1.92,"ATÍPICO",ABS((I2082-$W$8)/$X$8)&lt;=1.92,"NO ATÍPICO")</f>
        <v>NO ATÍPICO</v>
      </c>
      <c r="L2082">
        <f t="shared" si="145"/>
        <v>594092</v>
      </c>
      <c r="M2082" t="str">
        <f t="shared" si="145"/>
        <v>TRABAJADOR INDEPENDIENTE</v>
      </c>
      <c r="N2082">
        <f t="shared" si="146"/>
        <v>55</v>
      </c>
      <c r="O2082" s="19" t="str">
        <f t="shared" si="147"/>
        <v>300k–600k</v>
      </c>
      <c r="P2082" s="19" t="str">
        <f t="shared" si="148"/>
        <v>46-55</v>
      </c>
    </row>
    <row r="2083" spans="1:16" x14ac:dyDescent="0.25">
      <c r="A2083">
        <v>2082</v>
      </c>
      <c r="B2083" t="s">
        <v>9</v>
      </c>
      <c r="C2083">
        <v>457059</v>
      </c>
      <c r="D2083" t="s">
        <v>10</v>
      </c>
      <c r="E2083" t="s">
        <v>11</v>
      </c>
      <c r="F2083" t="s">
        <v>12</v>
      </c>
      <c r="G2083" t="s">
        <v>13</v>
      </c>
      <c r="H2083" t="s">
        <v>12</v>
      </c>
      <c r="I2083">
        <v>44</v>
      </c>
      <c r="J2083" t="str" cm="1">
        <f t="array" ref="J2083">_xlfn.IFS(ISBLANK(C2083),"FALTANTE",ABS((C2083-$W$5)/$X$5)&gt;1.96,"ATÍPICO",ABS((C2083-$W$5)/$X$5)&lt;=1.96,"NO ATÍPICO")</f>
        <v>NO ATÍPICO</v>
      </c>
      <c r="K2083" t="str" cm="1">
        <f t="array" ref="K2083">_xlfn.IFS(ISBLANK(I2083),"FALTANTE",ABS((I2083-$W$8)/$X$8)&gt;1.92,"ATÍPICO",ABS((I2083-$W$8)/$X$8)&lt;=1.92,"NO ATÍPICO")</f>
        <v>NO ATÍPICO</v>
      </c>
      <c r="L2083">
        <f t="shared" si="145"/>
        <v>457059</v>
      </c>
      <c r="M2083" t="str">
        <f t="shared" si="145"/>
        <v>ASALARIADO</v>
      </c>
      <c r="N2083">
        <f t="shared" si="146"/>
        <v>44</v>
      </c>
      <c r="O2083" s="19" t="str">
        <f t="shared" si="147"/>
        <v>300k–600k</v>
      </c>
      <c r="P2083" s="19" t="str">
        <f t="shared" si="148"/>
        <v>36-45</v>
      </c>
    </row>
    <row r="2084" spans="1:16" x14ac:dyDescent="0.25">
      <c r="A2084">
        <v>2083</v>
      </c>
      <c r="B2084" t="s">
        <v>9</v>
      </c>
      <c r="C2084">
        <v>250000</v>
      </c>
      <c r="D2084" t="s">
        <v>10</v>
      </c>
      <c r="E2084" t="s">
        <v>16</v>
      </c>
      <c r="F2084" t="s">
        <v>12</v>
      </c>
      <c r="G2084" t="s">
        <v>12</v>
      </c>
      <c r="H2084" t="s">
        <v>12</v>
      </c>
      <c r="I2084">
        <v>47</v>
      </c>
      <c r="J2084" t="str" cm="1">
        <f t="array" ref="J2084">_xlfn.IFS(ISBLANK(C2084),"FALTANTE",ABS((C2084-$W$5)/$X$5)&gt;1.96,"ATÍPICO",ABS((C2084-$W$5)/$X$5)&lt;=1.96,"NO ATÍPICO")</f>
        <v>NO ATÍPICO</v>
      </c>
      <c r="K2084" t="str" cm="1">
        <f t="array" ref="K2084">_xlfn.IFS(ISBLANK(I2084),"FALTANTE",ABS((I2084-$W$8)/$X$8)&gt;1.92,"ATÍPICO",ABS((I2084-$W$8)/$X$8)&lt;=1.92,"NO ATÍPICO")</f>
        <v>NO ATÍPICO</v>
      </c>
      <c r="L2084">
        <f t="shared" si="145"/>
        <v>250000</v>
      </c>
      <c r="M2084" t="str">
        <f t="shared" si="145"/>
        <v>ASALARIADO</v>
      </c>
      <c r="N2084">
        <f t="shared" si="146"/>
        <v>47</v>
      </c>
      <c r="O2084" s="19" t="str">
        <f t="shared" si="147"/>
        <v>0–300k</v>
      </c>
      <c r="P2084" s="19" t="str">
        <f t="shared" si="148"/>
        <v>46-55</v>
      </c>
    </row>
    <row r="2085" spans="1:16" x14ac:dyDescent="0.25">
      <c r="A2085">
        <v>2084</v>
      </c>
      <c r="B2085" t="s">
        <v>15</v>
      </c>
      <c r="C2085">
        <v>356600</v>
      </c>
      <c r="D2085" t="s">
        <v>10</v>
      </c>
      <c r="E2085" t="s">
        <v>16</v>
      </c>
      <c r="F2085" t="s">
        <v>12</v>
      </c>
      <c r="G2085" t="s">
        <v>13</v>
      </c>
      <c r="H2085" t="s">
        <v>13</v>
      </c>
      <c r="I2085">
        <v>49</v>
      </c>
      <c r="J2085" t="str" cm="1">
        <f t="array" ref="J2085">_xlfn.IFS(ISBLANK(C2085),"FALTANTE",ABS((C2085-$W$5)/$X$5)&gt;1.96,"ATÍPICO",ABS((C2085-$W$5)/$X$5)&lt;=1.96,"NO ATÍPICO")</f>
        <v>NO ATÍPICO</v>
      </c>
      <c r="K2085" t="str" cm="1">
        <f t="array" ref="K2085">_xlfn.IFS(ISBLANK(I2085),"FALTANTE",ABS((I2085-$W$8)/$X$8)&gt;1.92,"ATÍPICO",ABS((I2085-$W$8)/$X$8)&lt;=1.92,"NO ATÍPICO")</f>
        <v>NO ATÍPICO</v>
      </c>
      <c r="L2085">
        <f t="shared" si="145"/>
        <v>356600</v>
      </c>
      <c r="M2085" t="str">
        <f t="shared" si="145"/>
        <v>ASALARIADO</v>
      </c>
      <c r="N2085">
        <f t="shared" si="146"/>
        <v>49</v>
      </c>
      <c r="O2085" s="19" t="str">
        <f t="shared" si="147"/>
        <v>300k–600k</v>
      </c>
      <c r="P2085" s="19" t="str">
        <f t="shared" si="148"/>
        <v>46-55</v>
      </c>
    </row>
    <row r="2086" spans="1:16" x14ac:dyDescent="0.25">
      <c r="A2086">
        <v>2085</v>
      </c>
      <c r="B2086" t="s">
        <v>9</v>
      </c>
      <c r="C2086">
        <v>3983343</v>
      </c>
      <c r="D2086" t="s">
        <v>14</v>
      </c>
      <c r="E2086" t="s">
        <v>11</v>
      </c>
      <c r="F2086" t="s">
        <v>12</v>
      </c>
      <c r="G2086" t="s">
        <v>13</v>
      </c>
      <c r="H2086" t="s">
        <v>13</v>
      </c>
      <c r="I2086">
        <v>69</v>
      </c>
      <c r="J2086" t="str" cm="1">
        <f t="array" ref="J2086">_xlfn.IFS(ISBLANK(C2086),"FALTANTE",ABS((C2086-$W$5)/$X$5)&gt;1.96,"ATÍPICO",ABS((C2086-$W$5)/$X$5)&lt;=1.96,"NO ATÍPICO")</f>
        <v>ATÍPICO</v>
      </c>
      <c r="K2086" t="str" cm="1">
        <f t="array" ref="K2086">_xlfn.IFS(ISBLANK(I2086),"FALTANTE",ABS((I2086-$W$8)/$X$8)&gt;1.92,"ATÍPICO",ABS((I2086-$W$8)/$X$8)&lt;=1.92,"NO ATÍPICO")</f>
        <v>NO ATÍPICO</v>
      </c>
      <c r="L2086">
        <f t="shared" si="145"/>
        <v>3983343</v>
      </c>
      <c r="M2086" t="str">
        <f t="shared" si="145"/>
        <v>PENSIONADOS EN SU PROPIO SISTEMA</v>
      </c>
      <c r="N2086">
        <f t="shared" si="146"/>
        <v>69</v>
      </c>
      <c r="O2086" s="19" t="str">
        <f t="shared" si="147"/>
        <v>1200k+</v>
      </c>
      <c r="P2086" s="19" t="str">
        <f t="shared" si="148"/>
        <v>56+</v>
      </c>
    </row>
    <row r="2087" spans="1:16" x14ac:dyDescent="0.25">
      <c r="A2087">
        <v>2086</v>
      </c>
      <c r="B2087" t="s">
        <v>9</v>
      </c>
      <c r="C2087">
        <v>300000</v>
      </c>
      <c r="D2087" t="s">
        <v>10</v>
      </c>
      <c r="E2087" t="s">
        <v>16</v>
      </c>
      <c r="F2087" t="s">
        <v>12</v>
      </c>
      <c r="G2087" t="s">
        <v>13</v>
      </c>
      <c r="H2087" t="s">
        <v>13</v>
      </c>
      <c r="I2087">
        <v>20</v>
      </c>
      <c r="J2087" t="str" cm="1">
        <f t="array" ref="J2087">_xlfn.IFS(ISBLANK(C2087),"FALTANTE",ABS((C2087-$W$5)/$X$5)&gt;1.96,"ATÍPICO",ABS((C2087-$W$5)/$X$5)&lt;=1.96,"NO ATÍPICO")</f>
        <v>NO ATÍPICO</v>
      </c>
      <c r="K2087" t="str" cm="1">
        <f t="array" ref="K2087">_xlfn.IFS(ISBLANK(I2087),"FALTANTE",ABS((I2087-$W$8)/$X$8)&gt;1.92,"ATÍPICO",ABS((I2087-$W$8)/$X$8)&lt;=1.92,"NO ATÍPICO")</f>
        <v>NO ATÍPICO</v>
      </c>
      <c r="L2087">
        <f t="shared" si="145"/>
        <v>300000</v>
      </c>
      <c r="M2087" t="str">
        <f t="shared" si="145"/>
        <v>ASALARIADO</v>
      </c>
      <c r="N2087">
        <f t="shared" si="146"/>
        <v>20</v>
      </c>
      <c r="O2087" s="19" t="str">
        <f t="shared" si="147"/>
        <v>0–300k</v>
      </c>
      <c r="P2087" s="19" t="str">
        <f t="shared" si="148"/>
        <v>18-25</v>
      </c>
    </row>
    <row r="2088" spans="1:16" x14ac:dyDescent="0.25">
      <c r="A2088">
        <v>2087</v>
      </c>
      <c r="B2088" t="s">
        <v>9</v>
      </c>
      <c r="C2088">
        <v>110000</v>
      </c>
      <c r="D2088" t="s">
        <v>10</v>
      </c>
      <c r="E2088" t="s">
        <v>16</v>
      </c>
      <c r="F2088" t="s">
        <v>12</v>
      </c>
      <c r="G2088" t="s">
        <v>13</v>
      </c>
      <c r="H2088" t="s">
        <v>12</v>
      </c>
      <c r="I2088">
        <v>57</v>
      </c>
      <c r="J2088" t="str" cm="1">
        <f t="array" ref="J2088">_xlfn.IFS(ISBLANK(C2088),"FALTANTE",ABS((C2088-$W$5)/$X$5)&gt;1.96,"ATÍPICO",ABS((C2088-$W$5)/$X$5)&lt;=1.96,"NO ATÍPICO")</f>
        <v>NO ATÍPICO</v>
      </c>
      <c r="K2088" t="str" cm="1">
        <f t="array" ref="K2088">_xlfn.IFS(ISBLANK(I2088),"FALTANTE",ABS((I2088-$W$8)/$X$8)&gt;1.92,"ATÍPICO",ABS((I2088-$W$8)/$X$8)&lt;=1.92,"NO ATÍPICO")</f>
        <v>NO ATÍPICO</v>
      </c>
      <c r="L2088">
        <f t="shared" si="145"/>
        <v>110000</v>
      </c>
      <c r="M2088" t="str">
        <f t="shared" si="145"/>
        <v>ASALARIADO</v>
      </c>
      <c r="N2088">
        <f t="shared" si="146"/>
        <v>57</v>
      </c>
      <c r="O2088" s="19" t="str">
        <f t="shared" si="147"/>
        <v>0–300k</v>
      </c>
      <c r="P2088" s="19" t="str">
        <f t="shared" si="148"/>
        <v>56+</v>
      </c>
    </row>
    <row r="2089" spans="1:16" x14ac:dyDescent="0.25">
      <c r="A2089">
        <v>2088</v>
      </c>
      <c r="B2089" t="s">
        <v>15</v>
      </c>
      <c r="C2089">
        <v>799650</v>
      </c>
      <c r="D2089" t="s">
        <v>10</v>
      </c>
      <c r="E2089" t="s">
        <v>16</v>
      </c>
      <c r="F2089" t="s">
        <v>12</v>
      </c>
      <c r="G2089" t="s">
        <v>13</v>
      </c>
      <c r="H2089" t="s">
        <v>13</v>
      </c>
      <c r="I2089">
        <v>25</v>
      </c>
      <c r="J2089" t="str" cm="1">
        <f t="array" ref="J2089">_xlfn.IFS(ISBLANK(C2089),"FALTANTE",ABS((C2089-$W$5)/$X$5)&gt;1.96,"ATÍPICO",ABS((C2089-$W$5)/$X$5)&lt;=1.96,"NO ATÍPICO")</f>
        <v>NO ATÍPICO</v>
      </c>
      <c r="K2089" t="str" cm="1">
        <f t="array" ref="K2089">_xlfn.IFS(ISBLANK(I2089),"FALTANTE",ABS((I2089-$W$8)/$X$8)&gt;1.92,"ATÍPICO",ABS((I2089-$W$8)/$X$8)&lt;=1.92,"NO ATÍPICO")</f>
        <v>NO ATÍPICO</v>
      </c>
      <c r="L2089">
        <f t="shared" si="145"/>
        <v>799650</v>
      </c>
      <c r="M2089" t="str">
        <f t="shared" si="145"/>
        <v>ASALARIADO</v>
      </c>
      <c r="N2089">
        <f t="shared" si="146"/>
        <v>25</v>
      </c>
      <c r="O2089" s="19" t="str">
        <f t="shared" si="147"/>
        <v>600k–900k</v>
      </c>
      <c r="P2089" s="19" t="str">
        <f t="shared" si="148"/>
        <v>18-25</v>
      </c>
    </row>
    <row r="2090" spans="1:16" x14ac:dyDescent="0.25">
      <c r="A2090">
        <v>2089</v>
      </c>
      <c r="B2090" t="s">
        <v>15</v>
      </c>
      <c r="C2090">
        <v>488750</v>
      </c>
      <c r="D2090" t="s">
        <v>10</v>
      </c>
      <c r="E2090" t="s">
        <v>16</v>
      </c>
      <c r="F2090" t="s">
        <v>12</v>
      </c>
      <c r="G2090" t="s">
        <v>13</v>
      </c>
      <c r="H2090" t="s">
        <v>13</v>
      </c>
      <c r="I2090">
        <v>24</v>
      </c>
      <c r="J2090" t="str" cm="1">
        <f t="array" ref="J2090">_xlfn.IFS(ISBLANK(C2090),"FALTANTE",ABS((C2090-$W$5)/$X$5)&gt;1.96,"ATÍPICO",ABS((C2090-$W$5)/$X$5)&lt;=1.96,"NO ATÍPICO")</f>
        <v>NO ATÍPICO</v>
      </c>
      <c r="K2090" t="str" cm="1">
        <f t="array" ref="K2090">_xlfn.IFS(ISBLANK(I2090),"FALTANTE",ABS((I2090-$W$8)/$X$8)&gt;1.92,"ATÍPICO",ABS((I2090-$W$8)/$X$8)&lt;=1.92,"NO ATÍPICO")</f>
        <v>NO ATÍPICO</v>
      </c>
      <c r="L2090">
        <f t="shared" si="145"/>
        <v>488750</v>
      </c>
      <c r="M2090" t="str">
        <f t="shared" si="145"/>
        <v>ASALARIADO</v>
      </c>
      <c r="N2090">
        <f t="shared" si="146"/>
        <v>24</v>
      </c>
      <c r="O2090" s="19" t="str">
        <f t="shared" si="147"/>
        <v>300k–600k</v>
      </c>
      <c r="P2090" s="19" t="str">
        <f t="shared" si="148"/>
        <v>18-25</v>
      </c>
    </row>
    <row r="2091" spans="1:16" x14ac:dyDescent="0.25">
      <c r="A2091">
        <v>2090</v>
      </c>
      <c r="B2091" t="s">
        <v>9</v>
      </c>
      <c r="C2091">
        <v>2038867</v>
      </c>
      <c r="D2091" t="s">
        <v>10</v>
      </c>
      <c r="E2091" t="s">
        <v>16</v>
      </c>
      <c r="F2091" t="s">
        <v>12</v>
      </c>
      <c r="G2091" t="s">
        <v>13</v>
      </c>
      <c r="H2091" t="s">
        <v>13</v>
      </c>
      <c r="I2091">
        <v>34</v>
      </c>
      <c r="J2091" t="str" cm="1">
        <f t="array" ref="J2091">_xlfn.IFS(ISBLANK(C2091),"FALTANTE",ABS((C2091-$W$5)/$X$5)&gt;1.96,"ATÍPICO",ABS((C2091-$W$5)/$X$5)&lt;=1.96,"NO ATÍPICO")</f>
        <v>NO ATÍPICO</v>
      </c>
      <c r="K2091" t="str" cm="1">
        <f t="array" ref="K2091">_xlfn.IFS(ISBLANK(I2091),"FALTANTE",ABS((I2091-$W$8)/$X$8)&gt;1.92,"ATÍPICO",ABS((I2091-$W$8)/$X$8)&lt;=1.92,"NO ATÍPICO")</f>
        <v>NO ATÍPICO</v>
      </c>
      <c r="L2091">
        <f t="shared" si="145"/>
        <v>2038867</v>
      </c>
      <c r="M2091" t="str">
        <f t="shared" si="145"/>
        <v>ASALARIADO</v>
      </c>
      <c r="N2091">
        <f t="shared" si="146"/>
        <v>34</v>
      </c>
      <c r="O2091" s="19" t="str">
        <f t="shared" si="147"/>
        <v>1200k+</v>
      </c>
      <c r="P2091" s="19" t="str">
        <f t="shared" si="148"/>
        <v>26-35</v>
      </c>
    </row>
    <row r="2092" spans="1:16" x14ac:dyDescent="0.25">
      <c r="A2092">
        <v>2091</v>
      </c>
      <c r="B2092" t="s">
        <v>15</v>
      </c>
      <c r="C2092">
        <v>793930.98</v>
      </c>
      <c r="D2092" t="s">
        <v>10</v>
      </c>
      <c r="E2092" t="s">
        <v>11</v>
      </c>
      <c r="F2092" t="s">
        <v>12</v>
      </c>
      <c r="G2092" t="s">
        <v>13</v>
      </c>
      <c r="H2092" t="s">
        <v>13</v>
      </c>
      <c r="I2092">
        <v>35</v>
      </c>
      <c r="J2092" t="str" cm="1">
        <f t="array" ref="J2092">_xlfn.IFS(ISBLANK(C2092),"FALTANTE",ABS((C2092-$W$5)/$X$5)&gt;1.96,"ATÍPICO",ABS((C2092-$W$5)/$X$5)&lt;=1.96,"NO ATÍPICO")</f>
        <v>NO ATÍPICO</v>
      </c>
      <c r="K2092" t="str" cm="1">
        <f t="array" ref="K2092">_xlfn.IFS(ISBLANK(I2092),"FALTANTE",ABS((I2092-$W$8)/$X$8)&gt;1.92,"ATÍPICO",ABS((I2092-$W$8)/$X$8)&lt;=1.92,"NO ATÍPICO")</f>
        <v>NO ATÍPICO</v>
      </c>
      <c r="L2092">
        <f t="shared" si="145"/>
        <v>793930.98</v>
      </c>
      <c r="M2092" t="str">
        <f t="shared" si="145"/>
        <v>ASALARIADO</v>
      </c>
      <c r="N2092">
        <f t="shared" si="146"/>
        <v>35</v>
      </c>
      <c r="O2092" s="19" t="str">
        <f t="shared" si="147"/>
        <v>600k–900k</v>
      </c>
      <c r="P2092" s="19" t="str">
        <f t="shared" si="148"/>
        <v>26-35</v>
      </c>
    </row>
    <row r="2093" spans="1:16" x14ac:dyDescent="0.25">
      <c r="A2093">
        <v>2092</v>
      </c>
      <c r="B2093" t="s">
        <v>9</v>
      </c>
      <c r="C2093">
        <v>452337.26</v>
      </c>
      <c r="D2093" t="s">
        <v>10</v>
      </c>
      <c r="E2093" t="s">
        <v>16</v>
      </c>
      <c r="F2093" t="s">
        <v>12</v>
      </c>
      <c r="G2093" t="s">
        <v>13</v>
      </c>
      <c r="H2093" t="s">
        <v>13</v>
      </c>
      <c r="I2093">
        <v>40</v>
      </c>
      <c r="J2093" t="str" cm="1">
        <f t="array" ref="J2093">_xlfn.IFS(ISBLANK(C2093),"FALTANTE",ABS((C2093-$W$5)/$X$5)&gt;1.96,"ATÍPICO",ABS((C2093-$W$5)/$X$5)&lt;=1.96,"NO ATÍPICO")</f>
        <v>NO ATÍPICO</v>
      </c>
      <c r="K2093" t="str" cm="1">
        <f t="array" ref="K2093">_xlfn.IFS(ISBLANK(I2093),"FALTANTE",ABS((I2093-$W$8)/$X$8)&gt;1.92,"ATÍPICO",ABS((I2093-$W$8)/$X$8)&lt;=1.92,"NO ATÍPICO")</f>
        <v>NO ATÍPICO</v>
      </c>
      <c r="L2093">
        <f t="shared" si="145"/>
        <v>452337.26</v>
      </c>
      <c r="M2093" t="str">
        <f t="shared" si="145"/>
        <v>ASALARIADO</v>
      </c>
      <c r="N2093">
        <f t="shared" si="146"/>
        <v>40</v>
      </c>
      <c r="O2093" s="19" t="str">
        <f t="shared" si="147"/>
        <v>300k–600k</v>
      </c>
      <c r="P2093" s="19" t="str">
        <f t="shared" si="148"/>
        <v>36-45</v>
      </c>
    </row>
    <row r="2094" spans="1:16" x14ac:dyDescent="0.25">
      <c r="A2094">
        <v>2093</v>
      </c>
      <c r="B2094" t="s">
        <v>9</v>
      </c>
      <c r="C2094">
        <v>401258.65</v>
      </c>
      <c r="D2094" t="s">
        <v>10</v>
      </c>
      <c r="E2094" t="s">
        <v>16</v>
      </c>
      <c r="F2094" t="s">
        <v>12</v>
      </c>
      <c r="G2094" t="s">
        <v>13</v>
      </c>
      <c r="H2094" t="s">
        <v>13</v>
      </c>
      <c r="I2094">
        <v>59</v>
      </c>
      <c r="J2094" t="str" cm="1">
        <f t="array" ref="J2094">_xlfn.IFS(ISBLANK(C2094),"FALTANTE",ABS((C2094-$W$5)/$X$5)&gt;1.96,"ATÍPICO",ABS((C2094-$W$5)/$X$5)&lt;=1.96,"NO ATÍPICO")</f>
        <v>NO ATÍPICO</v>
      </c>
      <c r="K2094" t="str" cm="1">
        <f t="array" ref="K2094">_xlfn.IFS(ISBLANK(I2094),"FALTANTE",ABS((I2094-$W$8)/$X$8)&gt;1.92,"ATÍPICO",ABS((I2094-$W$8)/$X$8)&lt;=1.92,"NO ATÍPICO")</f>
        <v>NO ATÍPICO</v>
      </c>
      <c r="L2094">
        <f t="shared" si="145"/>
        <v>401258.65</v>
      </c>
      <c r="M2094" t="str">
        <f t="shared" si="145"/>
        <v>ASALARIADO</v>
      </c>
      <c r="N2094">
        <f t="shared" si="146"/>
        <v>59</v>
      </c>
      <c r="O2094" s="19" t="str">
        <f t="shared" si="147"/>
        <v>300k–600k</v>
      </c>
      <c r="P2094" s="19" t="str">
        <f t="shared" si="148"/>
        <v>56+</v>
      </c>
    </row>
    <row r="2095" spans="1:16" x14ac:dyDescent="0.25">
      <c r="A2095">
        <v>2094</v>
      </c>
      <c r="B2095" t="s">
        <v>15</v>
      </c>
      <c r="C2095">
        <v>476344.45</v>
      </c>
      <c r="D2095" t="s">
        <v>10</v>
      </c>
      <c r="E2095" t="s">
        <v>16</v>
      </c>
      <c r="F2095" t="s">
        <v>12</v>
      </c>
      <c r="G2095" t="s">
        <v>13</v>
      </c>
      <c r="H2095" t="s">
        <v>13</v>
      </c>
      <c r="I2095">
        <v>24</v>
      </c>
      <c r="J2095" t="str" cm="1">
        <f t="array" ref="J2095">_xlfn.IFS(ISBLANK(C2095),"FALTANTE",ABS((C2095-$W$5)/$X$5)&gt;1.96,"ATÍPICO",ABS((C2095-$W$5)/$X$5)&lt;=1.96,"NO ATÍPICO")</f>
        <v>NO ATÍPICO</v>
      </c>
      <c r="K2095" t="str" cm="1">
        <f t="array" ref="K2095">_xlfn.IFS(ISBLANK(I2095),"FALTANTE",ABS((I2095-$W$8)/$X$8)&gt;1.92,"ATÍPICO",ABS((I2095-$W$8)/$X$8)&lt;=1.92,"NO ATÍPICO")</f>
        <v>NO ATÍPICO</v>
      </c>
      <c r="L2095">
        <f t="shared" si="145"/>
        <v>476344.45</v>
      </c>
      <c r="M2095" t="str">
        <f t="shared" si="145"/>
        <v>ASALARIADO</v>
      </c>
      <c r="N2095">
        <f t="shared" si="146"/>
        <v>24</v>
      </c>
      <c r="O2095" s="19" t="str">
        <f t="shared" si="147"/>
        <v>300k–600k</v>
      </c>
      <c r="P2095" s="19" t="str">
        <f t="shared" si="148"/>
        <v>18-25</v>
      </c>
    </row>
    <row r="2096" spans="1:16" x14ac:dyDescent="0.25">
      <c r="A2096">
        <v>2095</v>
      </c>
      <c r="B2096" t="s">
        <v>9</v>
      </c>
      <c r="C2096">
        <v>1934551</v>
      </c>
      <c r="D2096" t="s">
        <v>10</v>
      </c>
      <c r="E2096" t="s">
        <v>16</v>
      </c>
      <c r="F2096" t="s">
        <v>12</v>
      </c>
      <c r="G2096" t="s">
        <v>13</v>
      </c>
      <c r="H2096" t="s">
        <v>12</v>
      </c>
      <c r="I2096">
        <v>58</v>
      </c>
      <c r="J2096" t="str" cm="1">
        <f t="array" ref="J2096">_xlfn.IFS(ISBLANK(C2096),"FALTANTE",ABS((C2096-$W$5)/$X$5)&gt;1.96,"ATÍPICO",ABS((C2096-$W$5)/$X$5)&lt;=1.96,"NO ATÍPICO")</f>
        <v>NO ATÍPICO</v>
      </c>
      <c r="K2096" t="str" cm="1">
        <f t="array" ref="K2096">_xlfn.IFS(ISBLANK(I2096),"FALTANTE",ABS((I2096-$W$8)/$X$8)&gt;1.92,"ATÍPICO",ABS((I2096-$W$8)/$X$8)&lt;=1.92,"NO ATÍPICO")</f>
        <v>NO ATÍPICO</v>
      </c>
      <c r="L2096">
        <f t="shared" si="145"/>
        <v>1934551</v>
      </c>
      <c r="M2096" t="str">
        <f t="shared" si="145"/>
        <v>ASALARIADO</v>
      </c>
      <c r="N2096">
        <f t="shared" si="146"/>
        <v>58</v>
      </c>
      <c r="O2096" s="19" t="str">
        <f t="shared" si="147"/>
        <v>1200k+</v>
      </c>
      <c r="P2096" s="19" t="str">
        <f t="shared" si="148"/>
        <v>56+</v>
      </c>
    </row>
    <row r="2097" spans="1:16" x14ac:dyDescent="0.25">
      <c r="A2097">
        <v>2096</v>
      </c>
      <c r="B2097" t="s">
        <v>9</v>
      </c>
      <c r="C2097">
        <v>1995482.54</v>
      </c>
      <c r="D2097" t="s">
        <v>10</v>
      </c>
      <c r="E2097" t="s">
        <v>11</v>
      </c>
      <c r="F2097" t="s">
        <v>12</v>
      </c>
      <c r="G2097" t="s">
        <v>13</v>
      </c>
      <c r="H2097" t="s">
        <v>13</v>
      </c>
      <c r="I2097">
        <v>34</v>
      </c>
      <c r="J2097" t="str" cm="1">
        <f t="array" ref="J2097">_xlfn.IFS(ISBLANK(C2097),"FALTANTE",ABS((C2097-$W$5)/$X$5)&gt;1.96,"ATÍPICO",ABS((C2097-$W$5)/$X$5)&lt;=1.96,"NO ATÍPICO")</f>
        <v>NO ATÍPICO</v>
      </c>
      <c r="K2097" t="str" cm="1">
        <f t="array" ref="K2097">_xlfn.IFS(ISBLANK(I2097),"FALTANTE",ABS((I2097-$W$8)/$X$8)&gt;1.92,"ATÍPICO",ABS((I2097-$W$8)/$X$8)&lt;=1.92,"NO ATÍPICO")</f>
        <v>NO ATÍPICO</v>
      </c>
      <c r="L2097">
        <f t="shared" si="145"/>
        <v>1995482.54</v>
      </c>
      <c r="M2097" t="str">
        <f t="shared" si="145"/>
        <v>ASALARIADO</v>
      </c>
      <c r="N2097">
        <f t="shared" si="146"/>
        <v>34</v>
      </c>
      <c r="O2097" s="19" t="str">
        <f t="shared" si="147"/>
        <v>1200k+</v>
      </c>
      <c r="P2097" s="19" t="str">
        <f t="shared" si="148"/>
        <v>26-35</v>
      </c>
    </row>
    <row r="2098" spans="1:16" x14ac:dyDescent="0.25">
      <c r="A2098">
        <v>2097</v>
      </c>
      <c r="B2098" t="s">
        <v>9</v>
      </c>
      <c r="C2098">
        <v>297949</v>
      </c>
      <c r="D2098" t="s">
        <v>17</v>
      </c>
      <c r="E2098" t="s">
        <v>16</v>
      </c>
      <c r="F2098" t="s">
        <v>12</v>
      </c>
      <c r="G2098" t="s">
        <v>13</v>
      </c>
      <c r="H2098" t="s">
        <v>13</v>
      </c>
      <c r="I2098">
        <v>37</v>
      </c>
      <c r="J2098" t="str" cm="1">
        <f t="array" ref="J2098">_xlfn.IFS(ISBLANK(C2098),"FALTANTE",ABS((C2098-$W$5)/$X$5)&gt;1.96,"ATÍPICO",ABS((C2098-$W$5)/$X$5)&lt;=1.96,"NO ATÍPICO")</f>
        <v>NO ATÍPICO</v>
      </c>
      <c r="K2098" t="str" cm="1">
        <f t="array" ref="K2098">_xlfn.IFS(ISBLANK(I2098),"FALTANTE",ABS((I2098-$W$8)/$X$8)&gt;1.92,"ATÍPICO",ABS((I2098-$W$8)/$X$8)&lt;=1.92,"NO ATÍPICO")</f>
        <v>NO ATÍPICO</v>
      </c>
      <c r="L2098">
        <f t="shared" si="145"/>
        <v>297949</v>
      </c>
      <c r="M2098" t="str">
        <f t="shared" si="145"/>
        <v>ASEGURADO VOLUNTARIO</v>
      </c>
      <c r="N2098">
        <f t="shared" si="146"/>
        <v>37</v>
      </c>
      <c r="O2098" s="19" t="str">
        <f t="shared" si="147"/>
        <v>0–300k</v>
      </c>
      <c r="P2098" s="19" t="str">
        <f t="shared" si="148"/>
        <v>36-45</v>
      </c>
    </row>
    <row r="2099" spans="1:16" x14ac:dyDescent="0.25">
      <c r="A2099">
        <v>2098</v>
      </c>
      <c r="B2099" t="s">
        <v>9</v>
      </c>
      <c r="C2099">
        <v>722064</v>
      </c>
      <c r="D2099" t="s">
        <v>10</v>
      </c>
      <c r="E2099" t="s">
        <v>16</v>
      </c>
      <c r="F2099" t="s">
        <v>12</v>
      </c>
      <c r="G2099" t="s">
        <v>13</v>
      </c>
      <c r="H2099" t="s">
        <v>13</v>
      </c>
      <c r="I2099">
        <v>33</v>
      </c>
      <c r="J2099" t="str" cm="1">
        <f t="array" ref="J2099">_xlfn.IFS(ISBLANK(C2099),"FALTANTE",ABS((C2099-$W$5)/$X$5)&gt;1.96,"ATÍPICO",ABS((C2099-$W$5)/$X$5)&lt;=1.96,"NO ATÍPICO")</f>
        <v>NO ATÍPICO</v>
      </c>
      <c r="K2099" t="str" cm="1">
        <f t="array" ref="K2099">_xlfn.IFS(ISBLANK(I2099),"FALTANTE",ABS((I2099-$W$8)/$X$8)&gt;1.92,"ATÍPICO",ABS((I2099-$W$8)/$X$8)&lt;=1.92,"NO ATÍPICO")</f>
        <v>NO ATÍPICO</v>
      </c>
      <c r="L2099">
        <f t="shared" si="145"/>
        <v>722064</v>
      </c>
      <c r="M2099" t="str">
        <f t="shared" si="145"/>
        <v>ASALARIADO</v>
      </c>
      <c r="N2099">
        <f t="shared" si="146"/>
        <v>33</v>
      </c>
      <c r="O2099" s="19" t="str">
        <f t="shared" si="147"/>
        <v>600k–900k</v>
      </c>
      <c r="P2099" s="19" t="str">
        <f t="shared" si="148"/>
        <v>26-35</v>
      </c>
    </row>
    <row r="2100" spans="1:16" x14ac:dyDescent="0.25">
      <c r="A2100">
        <v>2099</v>
      </c>
      <c r="B2100" t="s">
        <v>9</v>
      </c>
      <c r="C2100">
        <v>753913.5</v>
      </c>
      <c r="D2100" t="s">
        <v>10</v>
      </c>
      <c r="E2100" t="s">
        <v>11</v>
      </c>
      <c r="F2100" t="s">
        <v>12</v>
      </c>
      <c r="G2100" t="s">
        <v>13</v>
      </c>
      <c r="H2100" t="s">
        <v>13</v>
      </c>
      <c r="I2100">
        <v>56</v>
      </c>
      <c r="J2100" t="str" cm="1">
        <f t="array" ref="J2100">_xlfn.IFS(ISBLANK(C2100),"FALTANTE",ABS((C2100-$W$5)/$X$5)&gt;1.96,"ATÍPICO",ABS((C2100-$W$5)/$X$5)&lt;=1.96,"NO ATÍPICO")</f>
        <v>NO ATÍPICO</v>
      </c>
      <c r="K2100" t="str" cm="1">
        <f t="array" ref="K2100">_xlfn.IFS(ISBLANK(I2100),"FALTANTE",ABS((I2100-$W$8)/$X$8)&gt;1.92,"ATÍPICO",ABS((I2100-$W$8)/$X$8)&lt;=1.92,"NO ATÍPICO")</f>
        <v>NO ATÍPICO</v>
      </c>
      <c r="L2100">
        <f t="shared" si="145"/>
        <v>753913.5</v>
      </c>
      <c r="M2100" t="str">
        <f t="shared" si="145"/>
        <v>ASALARIADO</v>
      </c>
      <c r="N2100">
        <f t="shared" si="146"/>
        <v>56</v>
      </c>
      <c r="O2100" s="19" t="str">
        <f t="shared" si="147"/>
        <v>600k–900k</v>
      </c>
      <c r="P2100" s="19" t="str">
        <f t="shared" si="148"/>
        <v>56+</v>
      </c>
    </row>
    <row r="2101" spans="1:16" x14ac:dyDescent="0.25">
      <c r="A2101">
        <v>2100</v>
      </c>
      <c r="B2101" t="s">
        <v>9</v>
      </c>
      <c r="C2101">
        <v>607142.85</v>
      </c>
      <c r="D2101" t="s">
        <v>10</v>
      </c>
      <c r="E2101" t="s">
        <v>16</v>
      </c>
      <c r="F2101" t="s">
        <v>12</v>
      </c>
      <c r="G2101" t="s">
        <v>13</v>
      </c>
      <c r="H2101" t="s">
        <v>13</v>
      </c>
      <c r="I2101">
        <v>31</v>
      </c>
      <c r="J2101" t="str" cm="1">
        <f t="array" ref="J2101">_xlfn.IFS(ISBLANK(C2101),"FALTANTE",ABS((C2101-$W$5)/$X$5)&gt;1.96,"ATÍPICO",ABS((C2101-$W$5)/$X$5)&lt;=1.96,"NO ATÍPICO")</f>
        <v>NO ATÍPICO</v>
      </c>
      <c r="K2101" t="str" cm="1">
        <f t="array" ref="K2101">_xlfn.IFS(ISBLANK(I2101),"FALTANTE",ABS((I2101-$W$8)/$X$8)&gt;1.92,"ATÍPICO",ABS((I2101-$W$8)/$X$8)&lt;=1.92,"NO ATÍPICO")</f>
        <v>NO ATÍPICO</v>
      </c>
      <c r="L2101">
        <f t="shared" si="145"/>
        <v>607142.85</v>
      </c>
      <c r="M2101" t="str">
        <f t="shared" si="145"/>
        <v>ASALARIADO</v>
      </c>
      <c r="N2101">
        <f t="shared" si="146"/>
        <v>31</v>
      </c>
      <c r="O2101" s="19" t="str">
        <f t="shared" si="147"/>
        <v>600k–900k</v>
      </c>
      <c r="P2101" s="19" t="str">
        <f t="shared" si="148"/>
        <v>26-35</v>
      </c>
    </row>
    <row r="2102" spans="1:16" x14ac:dyDescent="0.25">
      <c r="A2102">
        <v>2101</v>
      </c>
      <c r="B2102" t="s">
        <v>9</v>
      </c>
      <c r="C2102">
        <v>260000</v>
      </c>
      <c r="D2102" t="s">
        <v>10</v>
      </c>
      <c r="E2102" t="s">
        <v>16</v>
      </c>
      <c r="F2102" t="s">
        <v>12</v>
      </c>
      <c r="G2102" t="s">
        <v>13</v>
      </c>
      <c r="H2102" t="s">
        <v>12</v>
      </c>
      <c r="I2102">
        <v>37</v>
      </c>
      <c r="J2102" t="str" cm="1">
        <f t="array" ref="J2102">_xlfn.IFS(ISBLANK(C2102),"FALTANTE",ABS((C2102-$W$5)/$X$5)&gt;1.96,"ATÍPICO",ABS((C2102-$W$5)/$X$5)&lt;=1.96,"NO ATÍPICO")</f>
        <v>NO ATÍPICO</v>
      </c>
      <c r="K2102" t="str" cm="1">
        <f t="array" ref="K2102">_xlfn.IFS(ISBLANK(I2102),"FALTANTE",ABS((I2102-$W$8)/$X$8)&gt;1.92,"ATÍPICO",ABS((I2102-$W$8)/$X$8)&lt;=1.92,"NO ATÍPICO")</f>
        <v>NO ATÍPICO</v>
      </c>
      <c r="L2102">
        <f t="shared" si="145"/>
        <v>260000</v>
      </c>
      <c r="M2102" t="str">
        <f t="shared" si="145"/>
        <v>ASALARIADO</v>
      </c>
      <c r="N2102">
        <f t="shared" si="146"/>
        <v>37</v>
      </c>
      <c r="O2102" s="19" t="str">
        <f t="shared" si="147"/>
        <v>0–300k</v>
      </c>
      <c r="P2102" s="19" t="str">
        <f t="shared" si="148"/>
        <v>36-45</v>
      </c>
    </row>
    <row r="2103" spans="1:16" x14ac:dyDescent="0.25">
      <c r="A2103">
        <v>2102</v>
      </c>
      <c r="B2103" t="s">
        <v>9</v>
      </c>
      <c r="C2103">
        <v>742000</v>
      </c>
      <c r="D2103" t="s">
        <v>10</v>
      </c>
      <c r="E2103" t="s">
        <v>16</v>
      </c>
      <c r="F2103" t="s">
        <v>12</v>
      </c>
      <c r="G2103" t="s">
        <v>13</v>
      </c>
      <c r="H2103" t="s">
        <v>13</v>
      </c>
      <c r="I2103">
        <v>57</v>
      </c>
      <c r="J2103" t="str" cm="1">
        <f t="array" ref="J2103">_xlfn.IFS(ISBLANK(C2103),"FALTANTE",ABS((C2103-$W$5)/$X$5)&gt;1.96,"ATÍPICO",ABS((C2103-$W$5)/$X$5)&lt;=1.96,"NO ATÍPICO")</f>
        <v>NO ATÍPICO</v>
      </c>
      <c r="K2103" t="str" cm="1">
        <f t="array" ref="K2103">_xlfn.IFS(ISBLANK(I2103),"FALTANTE",ABS((I2103-$W$8)/$X$8)&gt;1.92,"ATÍPICO",ABS((I2103-$W$8)/$X$8)&lt;=1.92,"NO ATÍPICO")</f>
        <v>NO ATÍPICO</v>
      </c>
      <c r="L2103">
        <f t="shared" si="145"/>
        <v>742000</v>
      </c>
      <c r="M2103" t="str">
        <f t="shared" si="145"/>
        <v>ASALARIADO</v>
      </c>
      <c r="N2103">
        <f t="shared" si="146"/>
        <v>57</v>
      </c>
      <c r="O2103" s="19" t="str">
        <f t="shared" si="147"/>
        <v>600k–900k</v>
      </c>
      <c r="P2103" s="19" t="str">
        <f t="shared" si="148"/>
        <v>56+</v>
      </c>
    </row>
    <row r="2104" spans="1:16" x14ac:dyDescent="0.25">
      <c r="A2104">
        <v>2103</v>
      </c>
      <c r="B2104" t="s">
        <v>9</v>
      </c>
      <c r="C2104">
        <v>170440</v>
      </c>
      <c r="D2104" t="s">
        <v>10</v>
      </c>
      <c r="E2104" t="s">
        <v>16</v>
      </c>
      <c r="F2104" t="s">
        <v>12</v>
      </c>
      <c r="G2104" t="s">
        <v>13</v>
      </c>
      <c r="H2104" t="s">
        <v>13</v>
      </c>
      <c r="I2104">
        <v>42</v>
      </c>
      <c r="J2104" t="str" cm="1">
        <f t="array" ref="J2104">_xlfn.IFS(ISBLANK(C2104),"FALTANTE",ABS((C2104-$W$5)/$X$5)&gt;1.96,"ATÍPICO",ABS((C2104-$W$5)/$X$5)&lt;=1.96,"NO ATÍPICO")</f>
        <v>NO ATÍPICO</v>
      </c>
      <c r="K2104" t="str" cm="1">
        <f t="array" ref="K2104">_xlfn.IFS(ISBLANK(I2104),"FALTANTE",ABS((I2104-$W$8)/$X$8)&gt;1.92,"ATÍPICO",ABS((I2104-$W$8)/$X$8)&lt;=1.92,"NO ATÍPICO")</f>
        <v>NO ATÍPICO</v>
      </c>
      <c r="L2104">
        <f t="shared" si="145"/>
        <v>170440</v>
      </c>
      <c r="M2104" t="str">
        <f t="shared" si="145"/>
        <v>ASALARIADO</v>
      </c>
      <c r="N2104">
        <f t="shared" si="146"/>
        <v>42</v>
      </c>
      <c r="O2104" s="19" t="str">
        <f t="shared" si="147"/>
        <v>0–300k</v>
      </c>
      <c r="P2104" s="19" t="str">
        <f t="shared" si="148"/>
        <v>36-45</v>
      </c>
    </row>
    <row r="2105" spans="1:16" x14ac:dyDescent="0.25">
      <c r="A2105">
        <v>2104</v>
      </c>
      <c r="B2105" t="s">
        <v>15</v>
      </c>
      <c r="C2105">
        <v>242860</v>
      </c>
      <c r="D2105" t="s">
        <v>10</v>
      </c>
      <c r="E2105" t="s">
        <v>16</v>
      </c>
      <c r="F2105" t="s">
        <v>12</v>
      </c>
      <c r="G2105" t="s">
        <v>13</v>
      </c>
      <c r="H2105" t="s">
        <v>12</v>
      </c>
      <c r="I2105">
        <v>62</v>
      </c>
      <c r="J2105" t="str" cm="1">
        <f t="array" ref="J2105">_xlfn.IFS(ISBLANK(C2105),"FALTANTE",ABS((C2105-$W$5)/$X$5)&gt;1.96,"ATÍPICO",ABS((C2105-$W$5)/$X$5)&lt;=1.96,"NO ATÍPICO")</f>
        <v>NO ATÍPICO</v>
      </c>
      <c r="K2105" t="str" cm="1">
        <f t="array" ref="K2105">_xlfn.IFS(ISBLANK(I2105),"FALTANTE",ABS((I2105-$W$8)/$X$8)&gt;1.92,"ATÍPICO",ABS((I2105-$W$8)/$X$8)&lt;=1.92,"NO ATÍPICO")</f>
        <v>NO ATÍPICO</v>
      </c>
      <c r="L2105">
        <f t="shared" si="145"/>
        <v>242860</v>
      </c>
      <c r="M2105" t="str">
        <f t="shared" si="145"/>
        <v>ASALARIADO</v>
      </c>
      <c r="N2105">
        <f t="shared" si="146"/>
        <v>62</v>
      </c>
      <c r="O2105" s="19" t="str">
        <f t="shared" si="147"/>
        <v>0–300k</v>
      </c>
      <c r="P2105" s="19" t="str">
        <f t="shared" si="148"/>
        <v>56+</v>
      </c>
    </row>
    <row r="2106" spans="1:16" x14ac:dyDescent="0.25">
      <c r="A2106">
        <v>2105</v>
      </c>
      <c r="B2106" t="s">
        <v>9</v>
      </c>
      <c r="C2106">
        <v>1860734</v>
      </c>
      <c r="D2106" t="s">
        <v>18</v>
      </c>
      <c r="E2106" t="s">
        <v>16</v>
      </c>
      <c r="F2106" t="s">
        <v>12</v>
      </c>
      <c r="G2106" t="s">
        <v>12</v>
      </c>
      <c r="H2106" t="s">
        <v>12</v>
      </c>
      <c r="I2106">
        <v>52</v>
      </c>
      <c r="J2106" t="str" cm="1">
        <f t="array" ref="J2106">_xlfn.IFS(ISBLANK(C2106),"FALTANTE",ABS((C2106-$W$5)/$X$5)&gt;1.96,"ATÍPICO",ABS((C2106-$W$5)/$X$5)&lt;=1.96,"NO ATÍPICO")</f>
        <v>NO ATÍPICO</v>
      </c>
      <c r="K2106" t="str" cm="1">
        <f t="array" ref="K2106">_xlfn.IFS(ISBLANK(I2106),"FALTANTE",ABS((I2106-$W$8)/$X$8)&gt;1.92,"ATÍPICO",ABS((I2106-$W$8)/$X$8)&lt;=1.92,"NO ATÍPICO")</f>
        <v>NO ATÍPICO</v>
      </c>
      <c r="L2106">
        <f t="shared" si="145"/>
        <v>1860734</v>
      </c>
      <c r="M2106" t="str">
        <f t="shared" si="145"/>
        <v>TRABAJADOR INDEPENDIENTE</v>
      </c>
      <c r="N2106">
        <f t="shared" si="146"/>
        <v>52</v>
      </c>
      <c r="O2106" s="19" t="str">
        <f t="shared" si="147"/>
        <v>1200k+</v>
      </c>
      <c r="P2106" s="19" t="str">
        <f t="shared" si="148"/>
        <v>46-55</v>
      </c>
    </row>
    <row r="2107" spans="1:16" x14ac:dyDescent="0.25">
      <c r="A2107">
        <v>2106</v>
      </c>
      <c r="B2107" t="s">
        <v>9</v>
      </c>
      <c r="C2107">
        <v>620373.67000000004</v>
      </c>
      <c r="D2107" t="s">
        <v>10</v>
      </c>
      <c r="E2107" t="s">
        <v>16</v>
      </c>
      <c r="F2107" t="s">
        <v>12</v>
      </c>
      <c r="G2107" t="s">
        <v>13</v>
      </c>
      <c r="H2107" t="s">
        <v>13</v>
      </c>
      <c r="I2107">
        <v>46</v>
      </c>
      <c r="J2107" t="str" cm="1">
        <f t="array" ref="J2107">_xlfn.IFS(ISBLANK(C2107),"FALTANTE",ABS((C2107-$W$5)/$X$5)&gt;1.96,"ATÍPICO",ABS((C2107-$W$5)/$X$5)&lt;=1.96,"NO ATÍPICO")</f>
        <v>NO ATÍPICO</v>
      </c>
      <c r="K2107" t="str" cm="1">
        <f t="array" ref="K2107">_xlfn.IFS(ISBLANK(I2107),"FALTANTE",ABS((I2107-$W$8)/$X$8)&gt;1.92,"ATÍPICO",ABS((I2107-$W$8)/$X$8)&lt;=1.92,"NO ATÍPICO")</f>
        <v>NO ATÍPICO</v>
      </c>
      <c r="L2107">
        <f t="shared" si="145"/>
        <v>620373.67000000004</v>
      </c>
      <c r="M2107" t="str">
        <f t="shared" si="145"/>
        <v>ASALARIADO</v>
      </c>
      <c r="N2107">
        <f t="shared" si="146"/>
        <v>46</v>
      </c>
      <c r="O2107" s="19" t="str">
        <f t="shared" si="147"/>
        <v>600k–900k</v>
      </c>
      <c r="P2107" s="19" t="str">
        <f t="shared" si="148"/>
        <v>46-55</v>
      </c>
    </row>
    <row r="2108" spans="1:16" x14ac:dyDescent="0.25">
      <c r="A2108">
        <v>2107</v>
      </c>
      <c r="B2108" t="s">
        <v>15</v>
      </c>
      <c r="C2108">
        <v>1233708</v>
      </c>
      <c r="D2108" t="s">
        <v>10</v>
      </c>
      <c r="E2108" t="s">
        <v>16</v>
      </c>
      <c r="F2108" t="s">
        <v>12</v>
      </c>
      <c r="G2108" t="s">
        <v>13</v>
      </c>
      <c r="H2108" t="s">
        <v>13</v>
      </c>
      <c r="I2108">
        <v>40</v>
      </c>
      <c r="J2108" t="str" cm="1">
        <f t="array" ref="J2108">_xlfn.IFS(ISBLANK(C2108),"FALTANTE",ABS((C2108-$W$5)/$X$5)&gt;1.96,"ATÍPICO",ABS((C2108-$W$5)/$X$5)&lt;=1.96,"NO ATÍPICO")</f>
        <v>NO ATÍPICO</v>
      </c>
      <c r="K2108" t="str" cm="1">
        <f t="array" ref="K2108">_xlfn.IFS(ISBLANK(I2108),"FALTANTE",ABS((I2108-$W$8)/$X$8)&gt;1.92,"ATÍPICO",ABS((I2108-$W$8)/$X$8)&lt;=1.92,"NO ATÍPICO")</f>
        <v>NO ATÍPICO</v>
      </c>
      <c r="L2108">
        <f t="shared" si="145"/>
        <v>1233708</v>
      </c>
      <c r="M2108" t="str">
        <f t="shared" si="145"/>
        <v>ASALARIADO</v>
      </c>
      <c r="N2108">
        <f t="shared" si="146"/>
        <v>40</v>
      </c>
      <c r="O2108" s="19" t="str">
        <f t="shared" si="147"/>
        <v>1200k+</v>
      </c>
      <c r="P2108" s="19" t="str">
        <f t="shared" si="148"/>
        <v>36-45</v>
      </c>
    </row>
    <row r="2109" spans="1:16" x14ac:dyDescent="0.25">
      <c r="A2109">
        <v>2108</v>
      </c>
      <c r="B2109" t="s">
        <v>9</v>
      </c>
      <c r="C2109">
        <v>520000</v>
      </c>
      <c r="D2109" t="s">
        <v>10</v>
      </c>
      <c r="E2109" t="s">
        <v>16</v>
      </c>
      <c r="F2109" t="s">
        <v>12</v>
      </c>
      <c r="G2109" t="s">
        <v>13</v>
      </c>
      <c r="H2109" t="s">
        <v>13</v>
      </c>
      <c r="I2109">
        <v>45</v>
      </c>
      <c r="J2109" t="str" cm="1">
        <f t="array" ref="J2109">_xlfn.IFS(ISBLANK(C2109),"FALTANTE",ABS((C2109-$W$5)/$X$5)&gt;1.96,"ATÍPICO",ABS((C2109-$W$5)/$X$5)&lt;=1.96,"NO ATÍPICO")</f>
        <v>NO ATÍPICO</v>
      </c>
      <c r="K2109" t="str" cm="1">
        <f t="array" ref="K2109">_xlfn.IFS(ISBLANK(I2109),"FALTANTE",ABS((I2109-$W$8)/$X$8)&gt;1.92,"ATÍPICO",ABS((I2109-$W$8)/$X$8)&lt;=1.92,"NO ATÍPICO")</f>
        <v>NO ATÍPICO</v>
      </c>
      <c r="L2109">
        <f t="shared" si="145"/>
        <v>520000</v>
      </c>
      <c r="M2109" t="str">
        <f t="shared" si="145"/>
        <v>ASALARIADO</v>
      </c>
      <c r="N2109">
        <f t="shared" si="146"/>
        <v>45</v>
      </c>
      <c r="O2109" s="19" t="str">
        <f t="shared" si="147"/>
        <v>300k–600k</v>
      </c>
      <c r="P2109" s="19" t="str">
        <f t="shared" si="148"/>
        <v>36-45</v>
      </c>
    </row>
    <row r="2110" spans="1:16" x14ac:dyDescent="0.25">
      <c r="A2110">
        <v>2109</v>
      </c>
      <c r="B2110" t="s">
        <v>9</v>
      </c>
      <c r="C2110">
        <v>160000</v>
      </c>
      <c r="D2110" t="s">
        <v>10</v>
      </c>
      <c r="E2110" t="s">
        <v>16</v>
      </c>
      <c r="F2110" t="s">
        <v>12</v>
      </c>
      <c r="G2110" t="s">
        <v>12</v>
      </c>
      <c r="H2110" t="s">
        <v>13</v>
      </c>
      <c r="I2110">
        <v>26</v>
      </c>
      <c r="J2110" t="str" cm="1">
        <f t="array" ref="J2110">_xlfn.IFS(ISBLANK(C2110),"FALTANTE",ABS((C2110-$W$5)/$X$5)&gt;1.96,"ATÍPICO",ABS((C2110-$W$5)/$X$5)&lt;=1.96,"NO ATÍPICO")</f>
        <v>NO ATÍPICO</v>
      </c>
      <c r="K2110" t="str" cm="1">
        <f t="array" ref="K2110">_xlfn.IFS(ISBLANK(I2110),"FALTANTE",ABS((I2110-$W$8)/$X$8)&gt;1.92,"ATÍPICO",ABS((I2110-$W$8)/$X$8)&lt;=1.92,"NO ATÍPICO")</f>
        <v>NO ATÍPICO</v>
      </c>
      <c r="L2110">
        <f t="shared" si="145"/>
        <v>160000</v>
      </c>
      <c r="M2110" t="str">
        <f t="shared" si="145"/>
        <v>ASALARIADO</v>
      </c>
      <c r="N2110">
        <f t="shared" si="146"/>
        <v>26</v>
      </c>
      <c r="O2110" s="19" t="str">
        <f t="shared" si="147"/>
        <v>0–300k</v>
      </c>
      <c r="P2110" s="19" t="str">
        <f t="shared" si="148"/>
        <v>26-35</v>
      </c>
    </row>
    <row r="2111" spans="1:16" x14ac:dyDescent="0.25">
      <c r="A2111">
        <v>2110</v>
      </c>
      <c r="B2111" t="s">
        <v>9</v>
      </c>
      <c r="C2111">
        <v>296346.2</v>
      </c>
      <c r="D2111" t="s">
        <v>10</v>
      </c>
      <c r="E2111" t="s">
        <v>16</v>
      </c>
      <c r="F2111" t="s">
        <v>12</v>
      </c>
      <c r="G2111" t="s">
        <v>13</v>
      </c>
      <c r="H2111" t="s">
        <v>13</v>
      </c>
      <c r="I2111">
        <v>48</v>
      </c>
      <c r="J2111" t="str" cm="1">
        <f t="array" ref="J2111">_xlfn.IFS(ISBLANK(C2111),"FALTANTE",ABS((C2111-$W$5)/$X$5)&gt;1.96,"ATÍPICO",ABS((C2111-$W$5)/$X$5)&lt;=1.96,"NO ATÍPICO")</f>
        <v>NO ATÍPICO</v>
      </c>
      <c r="K2111" t="str" cm="1">
        <f t="array" ref="K2111">_xlfn.IFS(ISBLANK(I2111),"FALTANTE",ABS((I2111-$W$8)/$X$8)&gt;1.92,"ATÍPICO",ABS((I2111-$W$8)/$X$8)&lt;=1.92,"NO ATÍPICO")</f>
        <v>NO ATÍPICO</v>
      </c>
      <c r="L2111">
        <f t="shared" si="145"/>
        <v>296346.2</v>
      </c>
      <c r="M2111" t="str">
        <f t="shared" si="145"/>
        <v>ASALARIADO</v>
      </c>
      <c r="N2111">
        <f t="shared" si="146"/>
        <v>48</v>
      </c>
      <c r="O2111" s="19" t="str">
        <f t="shared" si="147"/>
        <v>0–300k</v>
      </c>
      <c r="P2111" s="19" t="str">
        <f t="shared" si="148"/>
        <v>46-55</v>
      </c>
    </row>
    <row r="2112" spans="1:16" x14ac:dyDescent="0.25">
      <c r="A2112">
        <v>2111</v>
      </c>
      <c r="B2112" t="s">
        <v>15</v>
      </c>
      <c r="C2112">
        <v>32942.089999999997</v>
      </c>
      <c r="D2112" t="s">
        <v>10</v>
      </c>
      <c r="E2112" t="s">
        <v>11</v>
      </c>
      <c r="F2112" t="s">
        <v>12</v>
      </c>
      <c r="G2112" t="s">
        <v>13</v>
      </c>
      <c r="H2112" t="s">
        <v>13</v>
      </c>
      <c r="I2112">
        <v>24</v>
      </c>
      <c r="J2112" t="str" cm="1">
        <f t="array" ref="J2112">_xlfn.IFS(ISBLANK(C2112),"FALTANTE",ABS((C2112-$W$5)/$X$5)&gt;1.96,"ATÍPICO",ABS((C2112-$W$5)/$X$5)&lt;=1.96,"NO ATÍPICO")</f>
        <v>NO ATÍPICO</v>
      </c>
      <c r="K2112" t="str" cm="1">
        <f t="array" ref="K2112">_xlfn.IFS(ISBLANK(I2112),"FALTANTE",ABS((I2112-$W$8)/$X$8)&gt;1.92,"ATÍPICO",ABS((I2112-$W$8)/$X$8)&lt;=1.92,"NO ATÍPICO")</f>
        <v>NO ATÍPICO</v>
      </c>
      <c r="L2112">
        <f t="shared" si="145"/>
        <v>32942.089999999997</v>
      </c>
      <c r="M2112" t="str">
        <f t="shared" si="145"/>
        <v>ASALARIADO</v>
      </c>
      <c r="N2112">
        <f t="shared" si="146"/>
        <v>24</v>
      </c>
      <c r="O2112" s="19" t="str">
        <f t="shared" si="147"/>
        <v>0–300k</v>
      </c>
      <c r="P2112" s="19" t="str">
        <f t="shared" si="148"/>
        <v>18-25</v>
      </c>
    </row>
    <row r="2113" spans="1:16" x14ac:dyDescent="0.25">
      <c r="A2113">
        <v>2112</v>
      </c>
      <c r="B2113" t="s">
        <v>9</v>
      </c>
      <c r="C2113">
        <v>297102</v>
      </c>
      <c r="D2113" t="s">
        <v>18</v>
      </c>
      <c r="E2113" t="s">
        <v>16</v>
      </c>
      <c r="F2113" t="s">
        <v>12</v>
      </c>
      <c r="G2113" t="s">
        <v>13</v>
      </c>
      <c r="H2113" t="s">
        <v>13</v>
      </c>
      <c r="I2113">
        <v>29</v>
      </c>
      <c r="J2113" t="str" cm="1">
        <f t="array" ref="J2113">_xlfn.IFS(ISBLANK(C2113),"FALTANTE",ABS((C2113-$W$5)/$X$5)&gt;1.96,"ATÍPICO",ABS((C2113-$W$5)/$X$5)&lt;=1.96,"NO ATÍPICO")</f>
        <v>NO ATÍPICO</v>
      </c>
      <c r="K2113" t="str" cm="1">
        <f t="array" ref="K2113">_xlfn.IFS(ISBLANK(I2113),"FALTANTE",ABS((I2113-$W$8)/$X$8)&gt;1.92,"ATÍPICO",ABS((I2113-$W$8)/$X$8)&lt;=1.92,"NO ATÍPICO")</f>
        <v>NO ATÍPICO</v>
      </c>
      <c r="L2113">
        <f t="shared" si="145"/>
        <v>297102</v>
      </c>
      <c r="M2113" t="str">
        <f t="shared" si="145"/>
        <v>TRABAJADOR INDEPENDIENTE</v>
      </c>
      <c r="N2113">
        <f t="shared" si="146"/>
        <v>29</v>
      </c>
      <c r="O2113" s="19" t="str">
        <f t="shared" si="147"/>
        <v>0–300k</v>
      </c>
      <c r="P2113" s="19" t="str">
        <f t="shared" si="148"/>
        <v>26-35</v>
      </c>
    </row>
    <row r="2114" spans="1:16" x14ac:dyDescent="0.25">
      <c r="A2114">
        <v>2113</v>
      </c>
      <c r="B2114" t="s">
        <v>9</v>
      </c>
      <c r="C2114">
        <v>297139</v>
      </c>
      <c r="D2114" t="s">
        <v>17</v>
      </c>
      <c r="E2114" t="s">
        <v>16</v>
      </c>
      <c r="F2114" t="s">
        <v>12</v>
      </c>
      <c r="G2114" t="s">
        <v>13</v>
      </c>
      <c r="H2114" t="s">
        <v>13</v>
      </c>
      <c r="I2114">
        <v>36</v>
      </c>
      <c r="J2114" t="str" cm="1">
        <f t="array" ref="J2114">_xlfn.IFS(ISBLANK(C2114),"FALTANTE",ABS((C2114-$W$5)/$X$5)&gt;1.96,"ATÍPICO",ABS((C2114-$W$5)/$X$5)&lt;=1.96,"NO ATÍPICO")</f>
        <v>NO ATÍPICO</v>
      </c>
      <c r="K2114" t="str" cm="1">
        <f t="array" ref="K2114">_xlfn.IFS(ISBLANK(I2114),"FALTANTE",ABS((I2114-$W$8)/$X$8)&gt;1.92,"ATÍPICO",ABS((I2114-$W$8)/$X$8)&lt;=1.92,"NO ATÍPICO")</f>
        <v>NO ATÍPICO</v>
      </c>
      <c r="L2114">
        <f t="shared" ref="L2114:M2177" si="149">C2114</f>
        <v>297139</v>
      </c>
      <c r="M2114" t="str">
        <f t="shared" si="149"/>
        <v>ASEGURADO VOLUNTARIO</v>
      </c>
      <c r="N2114">
        <f t="shared" ref="N2114:N2177" si="150">I2114</f>
        <v>36</v>
      </c>
      <c r="O2114" s="19" t="str">
        <f t="shared" ref="O2114:O2177" si="151">IF(L2114&lt;=300000,"0–300k",IF(L2114&lt;=600000,"300k–600k",IF(L2114&lt;=900000,"600k–900k",IF(L2114&lt;=1200000,"900k–1200k","1200k+"))))</f>
        <v>0–300k</v>
      </c>
      <c r="P2114" s="19" t="str">
        <f t="shared" ref="P2114:P2177" si="152">IF(N2114 &lt;=25,"18-25", IF(N2114&lt;=35,"26-35", IF(N2114 &lt;=45,"36-45", IF(N2114&lt;=55,"46-55","56+"))))</f>
        <v>36-45</v>
      </c>
    </row>
    <row r="2115" spans="1:16" x14ac:dyDescent="0.25">
      <c r="A2115">
        <v>2114</v>
      </c>
      <c r="B2115" t="s">
        <v>9</v>
      </c>
      <c r="C2115">
        <v>1069013.75</v>
      </c>
      <c r="D2115" t="s">
        <v>10</v>
      </c>
      <c r="E2115" t="s">
        <v>16</v>
      </c>
      <c r="F2115" t="s">
        <v>12</v>
      </c>
      <c r="G2115" t="s">
        <v>13</v>
      </c>
      <c r="H2115" t="s">
        <v>13</v>
      </c>
      <c r="I2115">
        <v>27</v>
      </c>
      <c r="J2115" t="str" cm="1">
        <f t="array" ref="J2115">_xlfn.IFS(ISBLANK(C2115),"FALTANTE",ABS((C2115-$W$5)/$X$5)&gt;1.96,"ATÍPICO",ABS((C2115-$W$5)/$X$5)&lt;=1.96,"NO ATÍPICO")</f>
        <v>NO ATÍPICO</v>
      </c>
      <c r="K2115" t="str" cm="1">
        <f t="array" ref="K2115">_xlfn.IFS(ISBLANK(I2115),"FALTANTE",ABS((I2115-$W$8)/$X$8)&gt;1.92,"ATÍPICO",ABS((I2115-$W$8)/$X$8)&lt;=1.92,"NO ATÍPICO")</f>
        <v>NO ATÍPICO</v>
      </c>
      <c r="L2115">
        <f t="shared" si="149"/>
        <v>1069013.75</v>
      </c>
      <c r="M2115" t="str">
        <f t="shared" si="149"/>
        <v>ASALARIADO</v>
      </c>
      <c r="N2115">
        <f t="shared" si="150"/>
        <v>27</v>
      </c>
      <c r="O2115" s="19" t="str">
        <f t="shared" si="151"/>
        <v>900k–1200k</v>
      </c>
      <c r="P2115" s="19" t="str">
        <f t="shared" si="152"/>
        <v>26-35</v>
      </c>
    </row>
    <row r="2116" spans="1:16" x14ac:dyDescent="0.25">
      <c r="A2116">
        <v>2115</v>
      </c>
      <c r="B2116" t="s">
        <v>15</v>
      </c>
      <c r="C2116">
        <v>358405</v>
      </c>
      <c r="D2116" t="s">
        <v>10</v>
      </c>
      <c r="E2116" t="s">
        <v>16</v>
      </c>
      <c r="F2116" t="s">
        <v>12</v>
      </c>
      <c r="G2116" t="s">
        <v>13</v>
      </c>
      <c r="H2116" t="s">
        <v>13</v>
      </c>
      <c r="I2116">
        <v>24</v>
      </c>
      <c r="J2116" t="str" cm="1">
        <f t="array" ref="J2116">_xlfn.IFS(ISBLANK(C2116),"FALTANTE",ABS((C2116-$W$5)/$X$5)&gt;1.96,"ATÍPICO",ABS((C2116-$W$5)/$X$5)&lt;=1.96,"NO ATÍPICO")</f>
        <v>NO ATÍPICO</v>
      </c>
      <c r="K2116" t="str" cm="1">
        <f t="array" ref="K2116">_xlfn.IFS(ISBLANK(I2116),"FALTANTE",ABS((I2116-$W$8)/$X$8)&gt;1.92,"ATÍPICO",ABS((I2116-$W$8)/$X$8)&lt;=1.92,"NO ATÍPICO")</f>
        <v>NO ATÍPICO</v>
      </c>
      <c r="L2116">
        <f t="shared" si="149"/>
        <v>358405</v>
      </c>
      <c r="M2116" t="str">
        <f t="shared" si="149"/>
        <v>ASALARIADO</v>
      </c>
      <c r="N2116">
        <f t="shared" si="150"/>
        <v>24</v>
      </c>
      <c r="O2116" s="19" t="str">
        <f t="shared" si="151"/>
        <v>300k–600k</v>
      </c>
      <c r="P2116" s="19" t="str">
        <f t="shared" si="152"/>
        <v>18-25</v>
      </c>
    </row>
    <row r="2117" spans="1:16" x14ac:dyDescent="0.25">
      <c r="A2117">
        <v>2116</v>
      </c>
      <c r="B2117" t="s">
        <v>9</v>
      </c>
      <c r="C2117">
        <v>1596417</v>
      </c>
      <c r="D2117" t="s">
        <v>10</v>
      </c>
      <c r="E2117" t="s">
        <v>11</v>
      </c>
      <c r="F2117" t="s">
        <v>12</v>
      </c>
      <c r="G2117" t="s">
        <v>13</v>
      </c>
      <c r="H2117" t="s">
        <v>12</v>
      </c>
      <c r="I2117">
        <v>47</v>
      </c>
      <c r="J2117" t="str" cm="1">
        <f t="array" ref="J2117">_xlfn.IFS(ISBLANK(C2117),"FALTANTE",ABS((C2117-$W$5)/$X$5)&gt;1.96,"ATÍPICO",ABS((C2117-$W$5)/$X$5)&lt;=1.96,"NO ATÍPICO")</f>
        <v>NO ATÍPICO</v>
      </c>
      <c r="K2117" t="str" cm="1">
        <f t="array" ref="K2117">_xlfn.IFS(ISBLANK(I2117),"FALTANTE",ABS((I2117-$W$8)/$X$8)&gt;1.92,"ATÍPICO",ABS((I2117-$W$8)/$X$8)&lt;=1.92,"NO ATÍPICO")</f>
        <v>NO ATÍPICO</v>
      </c>
      <c r="L2117">
        <f t="shared" si="149"/>
        <v>1596417</v>
      </c>
      <c r="M2117" t="str">
        <f t="shared" si="149"/>
        <v>ASALARIADO</v>
      </c>
      <c r="N2117">
        <f t="shared" si="150"/>
        <v>47</v>
      </c>
      <c r="O2117" s="19" t="str">
        <f t="shared" si="151"/>
        <v>1200k+</v>
      </c>
      <c r="P2117" s="19" t="str">
        <f t="shared" si="152"/>
        <v>46-55</v>
      </c>
    </row>
    <row r="2118" spans="1:16" x14ac:dyDescent="0.25">
      <c r="A2118">
        <v>2117</v>
      </c>
      <c r="B2118" t="s">
        <v>9</v>
      </c>
      <c r="C2118">
        <v>303000</v>
      </c>
      <c r="D2118" t="s">
        <v>10</v>
      </c>
      <c r="E2118" t="s">
        <v>16</v>
      </c>
      <c r="F2118" t="s">
        <v>12</v>
      </c>
      <c r="G2118" t="s">
        <v>13</v>
      </c>
      <c r="H2118" t="s">
        <v>13</v>
      </c>
      <c r="I2118">
        <v>24</v>
      </c>
      <c r="J2118" t="str" cm="1">
        <f t="array" ref="J2118">_xlfn.IFS(ISBLANK(C2118),"FALTANTE",ABS((C2118-$W$5)/$X$5)&gt;1.96,"ATÍPICO",ABS((C2118-$W$5)/$X$5)&lt;=1.96,"NO ATÍPICO")</f>
        <v>NO ATÍPICO</v>
      </c>
      <c r="K2118" t="str" cm="1">
        <f t="array" ref="K2118">_xlfn.IFS(ISBLANK(I2118),"FALTANTE",ABS((I2118-$W$8)/$X$8)&gt;1.92,"ATÍPICO",ABS((I2118-$W$8)/$X$8)&lt;=1.92,"NO ATÍPICO")</f>
        <v>NO ATÍPICO</v>
      </c>
      <c r="L2118">
        <f t="shared" si="149"/>
        <v>303000</v>
      </c>
      <c r="M2118" t="str">
        <f t="shared" si="149"/>
        <v>ASALARIADO</v>
      </c>
      <c r="N2118">
        <f t="shared" si="150"/>
        <v>24</v>
      </c>
      <c r="O2118" s="19" t="str">
        <f t="shared" si="151"/>
        <v>300k–600k</v>
      </c>
      <c r="P2118" s="19" t="str">
        <f t="shared" si="152"/>
        <v>18-25</v>
      </c>
    </row>
    <row r="2119" spans="1:16" x14ac:dyDescent="0.25">
      <c r="A2119">
        <v>2118</v>
      </c>
      <c r="B2119" t="s">
        <v>9</v>
      </c>
      <c r="C2119">
        <v>400944.9</v>
      </c>
      <c r="D2119" t="s">
        <v>10</v>
      </c>
      <c r="E2119" t="s">
        <v>16</v>
      </c>
      <c r="F2119" t="s">
        <v>12</v>
      </c>
      <c r="G2119" t="s">
        <v>13</v>
      </c>
      <c r="H2119" t="s">
        <v>13</v>
      </c>
      <c r="I2119">
        <v>27</v>
      </c>
      <c r="J2119" t="str" cm="1">
        <f t="array" ref="J2119">_xlfn.IFS(ISBLANK(C2119),"FALTANTE",ABS((C2119-$W$5)/$X$5)&gt;1.96,"ATÍPICO",ABS((C2119-$W$5)/$X$5)&lt;=1.96,"NO ATÍPICO")</f>
        <v>NO ATÍPICO</v>
      </c>
      <c r="K2119" t="str" cm="1">
        <f t="array" ref="K2119">_xlfn.IFS(ISBLANK(I2119),"FALTANTE",ABS((I2119-$W$8)/$X$8)&gt;1.92,"ATÍPICO",ABS((I2119-$W$8)/$X$8)&lt;=1.92,"NO ATÍPICO")</f>
        <v>NO ATÍPICO</v>
      </c>
      <c r="L2119">
        <f t="shared" si="149"/>
        <v>400944.9</v>
      </c>
      <c r="M2119" t="str">
        <f t="shared" si="149"/>
        <v>ASALARIADO</v>
      </c>
      <c r="N2119">
        <f t="shared" si="150"/>
        <v>27</v>
      </c>
      <c r="O2119" s="19" t="str">
        <f t="shared" si="151"/>
        <v>300k–600k</v>
      </c>
      <c r="P2119" s="19" t="str">
        <f t="shared" si="152"/>
        <v>26-35</v>
      </c>
    </row>
    <row r="2120" spans="1:16" x14ac:dyDescent="0.25">
      <c r="A2120">
        <v>2119</v>
      </c>
      <c r="B2120" t="s">
        <v>9</v>
      </c>
      <c r="C2120">
        <v>130000</v>
      </c>
      <c r="D2120" t="s">
        <v>10</v>
      </c>
      <c r="E2120" t="s">
        <v>16</v>
      </c>
      <c r="F2120" t="s">
        <v>12</v>
      </c>
      <c r="G2120" t="s">
        <v>13</v>
      </c>
      <c r="H2120" t="s">
        <v>12</v>
      </c>
      <c r="I2120">
        <v>27</v>
      </c>
      <c r="J2120" t="str" cm="1">
        <f t="array" ref="J2120">_xlfn.IFS(ISBLANK(C2120),"FALTANTE",ABS((C2120-$W$5)/$X$5)&gt;1.96,"ATÍPICO",ABS((C2120-$W$5)/$X$5)&lt;=1.96,"NO ATÍPICO")</f>
        <v>NO ATÍPICO</v>
      </c>
      <c r="K2120" t="str" cm="1">
        <f t="array" ref="K2120">_xlfn.IFS(ISBLANK(I2120),"FALTANTE",ABS((I2120-$W$8)/$X$8)&gt;1.92,"ATÍPICO",ABS((I2120-$W$8)/$X$8)&lt;=1.92,"NO ATÍPICO")</f>
        <v>NO ATÍPICO</v>
      </c>
      <c r="L2120">
        <f t="shared" si="149"/>
        <v>130000</v>
      </c>
      <c r="M2120" t="str">
        <f t="shared" si="149"/>
        <v>ASALARIADO</v>
      </c>
      <c r="N2120">
        <f t="shared" si="150"/>
        <v>27</v>
      </c>
      <c r="O2120" s="19" t="str">
        <f t="shared" si="151"/>
        <v>0–300k</v>
      </c>
      <c r="P2120" s="19" t="str">
        <f t="shared" si="152"/>
        <v>26-35</v>
      </c>
    </row>
    <row r="2121" spans="1:16" x14ac:dyDescent="0.25">
      <c r="A2121">
        <v>2120</v>
      </c>
      <c r="B2121" t="s">
        <v>15</v>
      </c>
      <c r="C2121">
        <v>284392</v>
      </c>
      <c r="D2121" t="s">
        <v>10</v>
      </c>
      <c r="E2121" t="s">
        <v>11</v>
      </c>
      <c r="F2121" t="s">
        <v>12</v>
      </c>
      <c r="G2121" t="s">
        <v>13</v>
      </c>
      <c r="H2121" t="s">
        <v>12</v>
      </c>
      <c r="I2121">
        <v>56</v>
      </c>
      <c r="J2121" t="str" cm="1">
        <f t="array" ref="J2121">_xlfn.IFS(ISBLANK(C2121),"FALTANTE",ABS((C2121-$W$5)/$X$5)&gt;1.96,"ATÍPICO",ABS((C2121-$W$5)/$X$5)&lt;=1.96,"NO ATÍPICO")</f>
        <v>NO ATÍPICO</v>
      </c>
      <c r="K2121" t="str" cm="1">
        <f t="array" ref="K2121">_xlfn.IFS(ISBLANK(I2121),"FALTANTE",ABS((I2121-$W$8)/$X$8)&gt;1.92,"ATÍPICO",ABS((I2121-$W$8)/$X$8)&lt;=1.92,"NO ATÍPICO")</f>
        <v>NO ATÍPICO</v>
      </c>
      <c r="L2121">
        <f t="shared" si="149"/>
        <v>284392</v>
      </c>
      <c r="M2121" t="str">
        <f t="shared" si="149"/>
        <v>ASALARIADO</v>
      </c>
      <c r="N2121">
        <f t="shared" si="150"/>
        <v>56</v>
      </c>
      <c r="O2121" s="19" t="str">
        <f t="shared" si="151"/>
        <v>0–300k</v>
      </c>
      <c r="P2121" s="19" t="str">
        <f t="shared" si="152"/>
        <v>56+</v>
      </c>
    </row>
    <row r="2122" spans="1:16" x14ac:dyDescent="0.25">
      <c r="A2122">
        <v>2121</v>
      </c>
      <c r="B2122" t="s">
        <v>9</v>
      </c>
      <c r="C2122">
        <v>681308.01</v>
      </c>
      <c r="D2122" t="s">
        <v>10</v>
      </c>
      <c r="E2122" t="s">
        <v>16</v>
      </c>
      <c r="F2122" t="s">
        <v>12</v>
      </c>
      <c r="G2122" t="s">
        <v>13</v>
      </c>
      <c r="H2122" t="s">
        <v>13</v>
      </c>
      <c r="I2122">
        <v>31</v>
      </c>
      <c r="J2122" t="str" cm="1">
        <f t="array" ref="J2122">_xlfn.IFS(ISBLANK(C2122),"FALTANTE",ABS((C2122-$W$5)/$X$5)&gt;1.96,"ATÍPICO",ABS((C2122-$W$5)/$X$5)&lt;=1.96,"NO ATÍPICO")</f>
        <v>NO ATÍPICO</v>
      </c>
      <c r="K2122" t="str" cm="1">
        <f t="array" ref="K2122">_xlfn.IFS(ISBLANK(I2122),"FALTANTE",ABS((I2122-$W$8)/$X$8)&gt;1.92,"ATÍPICO",ABS((I2122-$W$8)/$X$8)&lt;=1.92,"NO ATÍPICO")</f>
        <v>NO ATÍPICO</v>
      </c>
      <c r="L2122">
        <f t="shared" si="149"/>
        <v>681308.01</v>
      </c>
      <c r="M2122" t="str">
        <f t="shared" si="149"/>
        <v>ASALARIADO</v>
      </c>
      <c r="N2122">
        <f t="shared" si="150"/>
        <v>31</v>
      </c>
      <c r="O2122" s="19" t="str">
        <f t="shared" si="151"/>
        <v>600k–900k</v>
      </c>
      <c r="P2122" s="19" t="str">
        <f t="shared" si="152"/>
        <v>26-35</v>
      </c>
    </row>
    <row r="2123" spans="1:16" x14ac:dyDescent="0.25">
      <c r="A2123">
        <v>2122</v>
      </c>
      <c r="B2123" t="s">
        <v>15</v>
      </c>
      <c r="C2123">
        <v>1436096</v>
      </c>
      <c r="D2123" t="s">
        <v>14</v>
      </c>
      <c r="E2123" t="s">
        <v>11</v>
      </c>
      <c r="F2123" t="s">
        <v>12</v>
      </c>
      <c r="G2123" t="s">
        <v>13</v>
      </c>
      <c r="H2123" t="s">
        <v>13</v>
      </c>
      <c r="I2123">
        <v>60</v>
      </c>
      <c r="J2123" t="str" cm="1">
        <f t="array" ref="J2123">_xlfn.IFS(ISBLANK(C2123),"FALTANTE",ABS((C2123-$W$5)/$X$5)&gt;1.96,"ATÍPICO",ABS((C2123-$W$5)/$X$5)&lt;=1.96,"NO ATÍPICO")</f>
        <v>NO ATÍPICO</v>
      </c>
      <c r="K2123" t="str" cm="1">
        <f t="array" ref="K2123">_xlfn.IFS(ISBLANK(I2123),"FALTANTE",ABS((I2123-$W$8)/$X$8)&gt;1.92,"ATÍPICO",ABS((I2123-$W$8)/$X$8)&lt;=1.92,"NO ATÍPICO")</f>
        <v>NO ATÍPICO</v>
      </c>
      <c r="L2123">
        <f t="shared" si="149"/>
        <v>1436096</v>
      </c>
      <c r="M2123" t="str">
        <f t="shared" si="149"/>
        <v>PENSIONADOS EN SU PROPIO SISTEMA</v>
      </c>
      <c r="N2123">
        <f t="shared" si="150"/>
        <v>60</v>
      </c>
      <c r="O2123" s="19" t="str">
        <f t="shared" si="151"/>
        <v>1200k+</v>
      </c>
      <c r="P2123" s="19" t="str">
        <f t="shared" si="152"/>
        <v>56+</v>
      </c>
    </row>
    <row r="2124" spans="1:16" x14ac:dyDescent="0.25">
      <c r="A2124">
        <v>2123</v>
      </c>
      <c r="B2124" t="s">
        <v>9</v>
      </c>
      <c r="C2124">
        <v>299647</v>
      </c>
      <c r="D2124" t="s">
        <v>18</v>
      </c>
      <c r="E2124" t="s">
        <v>16</v>
      </c>
      <c r="F2124" t="s">
        <v>12</v>
      </c>
      <c r="G2124" t="s">
        <v>13</v>
      </c>
      <c r="H2124" t="s">
        <v>12</v>
      </c>
      <c r="I2124">
        <v>48</v>
      </c>
      <c r="J2124" t="str" cm="1">
        <f t="array" ref="J2124">_xlfn.IFS(ISBLANK(C2124),"FALTANTE",ABS((C2124-$W$5)/$X$5)&gt;1.96,"ATÍPICO",ABS((C2124-$W$5)/$X$5)&lt;=1.96,"NO ATÍPICO")</f>
        <v>NO ATÍPICO</v>
      </c>
      <c r="K2124" t="str" cm="1">
        <f t="array" ref="K2124">_xlfn.IFS(ISBLANK(I2124),"FALTANTE",ABS((I2124-$W$8)/$X$8)&gt;1.92,"ATÍPICO",ABS((I2124-$W$8)/$X$8)&lt;=1.92,"NO ATÍPICO")</f>
        <v>NO ATÍPICO</v>
      </c>
      <c r="L2124">
        <f t="shared" si="149"/>
        <v>299647</v>
      </c>
      <c r="M2124" t="str">
        <f t="shared" si="149"/>
        <v>TRABAJADOR INDEPENDIENTE</v>
      </c>
      <c r="N2124">
        <f t="shared" si="150"/>
        <v>48</v>
      </c>
      <c r="O2124" s="19" t="str">
        <f t="shared" si="151"/>
        <v>0–300k</v>
      </c>
      <c r="P2124" s="19" t="str">
        <f t="shared" si="152"/>
        <v>46-55</v>
      </c>
    </row>
    <row r="2125" spans="1:16" x14ac:dyDescent="0.25">
      <c r="A2125">
        <v>2124</v>
      </c>
      <c r="B2125" t="s">
        <v>9</v>
      </c>
      <c r="C2125">
        <v>522249</v>
      </c>
      <c r="D2125" t="s">
        <v>18</v>
      </c>
      <c r="E2125" t="s">
        <v>16</v>
      </c>
      <c r="F2125" t="s">
        <v>12</v>
      </c>
      <c r="G2125" t="s">
        <v>13</v>
      </c>
      <c r="H2125" t="s">
        <v>12</v>
      </c>
      <c r="I2125">
        <v>30</v>
      </c>
      <c r="J2125" t="str" cm="1">
        <f t="array" ref="J2125">_xlfn.IFS(ISBLANK(C2125),"FALTANTE",ABS((C2125-$W$5)/$X$5)&gt;1.96,"ATÍPICO",ABS((C2125-$W$5)/$X$5)&lt;=1.96,"NO ATÍPICO")</f>
        <v>NO ATÍPICO</v>
      </c>
      <c r="K2125" t="str" cm="1">
        <f t="array" ref="K2125">_xlfn.IFS(ISBLANK(I2125),"FALTANTE",ABS((I2125-$W$8)/$X$8)&gt;1.92,"ATÍPICO",ABS((I2125-$W$8)/$X$8)&lt;=1.92,"NO ATÍPICO")</f>
        <v>NO ATÍPICO</v>
      </c>
      <c r="L2125">
        <f t="shared" si="149"/>
        <v>522249</v>
      </c>
      <c r="M2125" t="str">
        <f t="shared" si="149"/>
        <v>TRABAJADOR INDEPENDIENTE</v>
      </c>
      <c r="N2125">
        <f t="shared" si="150"/>
        <v>30</v>
      </c>
      <c r="O2125" s="19" t="str">
        <f t="shared" si="151"/>
        <v>300k–600k</v>
      </c>
      <c r="P2125" s="19" t="str">
        <f t="shared" si="152"/>
        <v>26-35</v>
      </c>
    </row>
    <row r="2126" spans="1:16" x14ac:dyDescent="0.25">
      <c r="A2126">
        <v>2125</v>
      </c>
      <c r="B2126" t="s">
        <v>9</v>
      </c>
      <c r="C2126">
        <v>2399117.94</v>
      </c>
      <c r="D2126" t="s">
        <v>10</v>
      </c>
      <c r="E2126" t="s">
        <v>16</v>
      </c>
      <c r="F2126" t="s">
        <v>12</v>
      </c>
      <c r="G2126" t="s">
        <v>13</v>
      </c>
      <c r="H2126" t="s">
        <v>13</v>
      </c>
      <c r="I2126">
        <v>36</v>
      </c>
      <c r="J2126" t="str" cm="1">
        <f t="array" ref="J2126">_xlfn.IFS(ISBLANK(C2126),"FALTANTE",ABS((C2126-$W$5)/$X$5)&gt;1.96,"ATÍPICO",ABS((C2126-$W$5)/$X$5)&lt;=1.96,"NO ATÍPICO")</f>
        <v>ATÍPICO</v>
      </c>
      <c r="K2126" t="str" cm="1">
        <f t="array" ref="K2126">_xlfn.IFS(ISBLANK(I2126),"FALTANTE",ABS((I2126-$W$8)/$X$8)&gt;1.92,"ATÍPICO",ABS((I2126-$W$8)/$X$8)&lt;=1.92,"NO ATÍPICO")</f>
        <v>NO ATÍPICO</v>
      </c>
      <c r="L2126">
        <f t="shared" si="149"/>
        <v>2399117.94</v>
      </c>
      <c r="M2126" t="str">
        <f t="shared" si="149"/>
        <v>ASALARIADO</v>
      </c>
      <c r="N2126">
        <f t="shared" si="150"/>
        <v>36</v>
      </c>
      <c r="O2126" s="19" t="str">
        <f t="shared" si="151"/>
        <v>1200k+</v>
      </c>
      <c r="P2126" s="19" t="str">
        <f t="shared" si="152"/>
        <v>36-45</v>
      </c>
    </row>
    <row r="2127" spans="1:16" x14ac:dyDescent="0.25">
      <c r="A2127">
        <v>2126</v>
      </c>
      <c r="B2127" t="s">
        <v>9</v>
      </c>
      <c r="C2127">
        <v>1431680.32</v>
      </c>
      <c r="D2127" t="s">
        <v>10</v>
      </c>
      <c r="E2127" t="s">
        <v>11</v>
      </c>
      <c r="F2127" t="s">
        <v>12</v>
      </c>
      <c r="G2127" t="s">
        <v>13</v>
      </c>
      <c r="H2127" t="s">
        <v>13</v>
      </c>
      <c r="I2127">
        <v>37</v>
      </c>
      <c r="J2127" t="str" cm="1">
        <f t="array" ref="J2127">_xlfn.IFS(ISBLANK(C2127),"FALTANTE",ABS((C2127-$W$5)/$X$5)&gt;1.96,"ATÍPICO",ABS((C2127-$W$5)/$X$5)&lt;=1.96,"NO ATÍPICO")</f>
        <v>NO ATÍPICO</v>
      </c>
      <c r="K2127" t="str" cm="1">
        <f t="array" ref="K2127">_xlfn.IFS(ISBLANK(I2127),"FALTANTE",ABS((I2127-$W$8)/$X$8)&gt;1.92,"ATÍPICO",ABS((I2127-$W$8)/$X$8)&lt;=1.92,"NO ATÍPICO")</f>
        <v>NO ATÍPICO</v>
      </c>
      <c r="L2127">
        <f t="shared" si="149"/>
        <v>1431680.32</v>
      </c>
      <c r="M2127" t="str">
        <f t="shared" si="149"/>
        <v>ASALARIADO</v>
      </c>
      <c r="N2127">
        <f t="shared" si="150"/>
        <v>37</v>
      </c>
      <c r="O2127" s="19" t="str">
        <f t="shared" si="151"/>
        <v>1200k+</v>
      </c>
      <c r="P2127" s="19" t="str">
        <f t="shared" si="152"/>
        <v>36-45</v>
      </c>
    </row>
    <row r="2128" spans="1:16" x14ac:dyDescent="0.25">
      <c r="A2128">
        <v>2127</v>
      </c>
      <c r="B2128" t="s">
        <v>9</v>
      </c>
      <c r="C2128">
        <v>299647</v>
      </c>
      <c r="D2128" t="s">
        <v>17</v>
      </c>
      <c r="E2128" t="s">
        <v>16</v>
      </c>
      <c r="F2128" t="s">
        <v>12</v>
      </c>
      <c r="G2128" t="s">
        <v>13</v>
      </c>
      <c r="H2128" t="s">
        <v>12</v>
      </c>
      <c r="I2128">
        <v>63</v>
      </c>
      <c r="J2128" t="str" cm="1">
        <f t="array" ref="J2128">_xlfn.IFS(ISBLANK(C2128),"FALTANTE",ABS((C2128-$W$5)/$X$5)&gt;1.96,"ATÍPICO",ABS((C2128-$W$5)/$X$5)&lt;=1.96,"NO ATÍPICO")</f>
        <v>NO ATÍPICO</v>
      </c>
      <c r="K2128" t="str" cm="1">
        <f t="array" ref="K2128">_xlfn.IFS(ISBLANK(I2128),"FALTANTE",ABS((I2128-$W$8)/$X$8)&gt;1.92,"ATÍPICO",ABS((I2128-$W$8)/$X$8)&lt;=1.92,"NO ATÍPICO")</f>
        <v>NO ATÍPICO</v>
      </c>
      <c r="L2128">
        <f t="shared" si="149"/>
        <v>299647</v>
      </c>
      <c r="M2128" t="str">
        <f t="shared" si="149"/>
        <v>ASEGURADO VOLUNTARIO</v>
      </c>
      <c r="N2128">
        <f t="shared" si="150"/>
        <v>63</v>
      </c>
      <c r="O2128" s="19" t="str">
        <f t="shared" si="151"/>
        <v>0–300k</v>
      </c>
      <c r="P2128" s="19" t="str">
        <f t="shared" si="152"/>
        <v>56+</v>
      </c>
    </row>
    <row r="2129" spans="1:16" x14ac:dyDescent="0.25">
      <c r="A2129">
        <v>2128</v>
      </c>
      <c r="B2129" t="s">
        <v>9</v>
      </c>
      <c r="C2129">
        <v>297046</v>
      </c>
      <c r="D2129" t="s">
        <v>18</v>
      </c>
      <c r="E2129" t="s">
        <v>16</v>
      </c>
      <c r="F2129" t="s">
        <v>12</v>
      </c>
      <c r="G2129" t="s">
        <v>12</v>
      </c>
      <c r="H2129" t="s">
        <v>12</v>
      </c>
      <c r="I2129">
        <v>25</v>
      </c>
      <c r="J2129" t="str" cm="1">
        <f t="array" ref="J2129">_xlfn.IFS(ISBLANK(C2129),"FALTANTE",ABS((C2129-$W$5)/$X$5)&gt;1.96,"ATÍPICO",ABS((C2129-$W$5)/$X$5)&lt;=1.96,"NO ATÍPICO")</f>
        <v>NO ATÍPICO</v>
      </c>
      <c r="K2129" t="str" cm="1">
        <f t="array" ref="K2129">_xlfn.IFS(ISBLANK(I2129),"FALTANTE",ABS((I2129-$W$8)/$X$8)&gt;1.92,"ATÍPICO",ABS((I2129-$W$8)/$X$8)&lt;=1.92,"NO ATÍPICO")</f>
        <v>NO ATÍPICO</v>
      </c>
      <c r="L2129">
        <f t="shared" si="149"/>
        <v>297046</v>
      </c>
      <c r="M2129" t="str">
        <f t="shared" si="149"/>
        <v>TRABAJADOR INDEPENDIENTE</v>
      </c>
      <c r="N2129">
        <f t="shared" si="150"/>
        <v>25</v>
      </c>
      <c r="O2129" s="19" t="str">
        <f t="shared" si="151"/>
        <v>0–300k</v>
      </c>
      <c r="P2129" s="19" t="str">
        <f t="shared" si="152"/>
        <v>18-25</v>
      </c>
    </row>
    <row r="2130" spans="1:16" x14ac:dyDescent="0.25">
      <c r="A2130">
        <v>2129</v>
      </c>
      <c r="B2130" t="s">
        <v>9</v>
      </c>
      <c r="C2130">
        <v>347510</v>
      </c>
      <c r="D2130" t="s">
        <v>10</v>
      </c>
      <c r="E2130" t="s">
        <v>16</v>
      </c>
      <c r="F2130" t="s">
        <v>12</v>
      </c>
      <c r="G2130" t="s">
        <v>13</v>
      </c>
      <c r="H2130" t="s">
        <v>13</v>
      </c>
      <c r="I2130">
        <v>37</v>
      </c>
      <c r="J2130" t="str" cm="1">
        <f t="array" ref="J2130">_xlfn.IFS(ISBLANK(C2130),"FALTANTE",ABS((C2130-$W$5)/$X$5)&gt;1.96,"ATÍPICO",ABS((C2130-$W$5)/$X$5)&lt;=1.96,"NO ATÍPICO")</f>
        <v>NO ATÍPICO</v>
      </c>
      <c r="K2130" t="str" cm="1">
        <f t="array" ref="K2130">_xlfn.IFS(ISBLANK(I2130),"FALTANTE",ABS((I2130-$W$8)/$X$8)&gt;1.92,"ATÍPICO",ABS((I2130-$W$8)/$X$8)&lt;=1.92,"NO ATÍPICO")</f>
        <v>NO ATÍPICO</v>
      </c>
      <c r="L2130">
        <f t="shared" si="149"/>
        <v>347510</v>
      </c>
      <c r="M2130" t="str">
        <f t="shared" si="149"/>
        <v>ASALARIADO</v>
      </c>
      <c r="N2130">
        <f t="shared" si="150"/>
        <v>37</v>
      </c>
      <c r="O2130" s="19" t="str">
        <f t="shared" si="151"/>
        <v>300k–600k</v>
      </c>
      <c r="P2130" s="19" t="str">
        <f t="shared" si="152"/>
        <v>36-45</v>
      </c>
    </row>
    <row r="2131" spans="1:16" x14ac:dyDescent="0.25">
      <c r="A2131">
        <v>2130</v>
      </c>
      <c r="B2131" t="s">
        <v>9</v>
      </c>
      <c r="C2131">
        <v>315000</v>
      </c>
      <c r="D2131" t="s">
        <v>10</v>
      </c>
      <c r="E2131" t="s">
        <v>16</v>
      </c>
      <c r="F2131" t="s">
        <v>12</v>
      </c>
      <c r="G2131" t="s">
        <v>13</v>
      </c>
      <c r="H2131" t="s">
        <v>13</v>
      </c>
      <c r="I2131">
        <v>53</v>
      </c>
      <c r="J2131" t="str" cm="1">
        <f t="array" ref="J2131">_xlfn.IFS(ISBLANK(C2131),"FALTANTE",ABS((C2131-$W$5)/$X$5)&gt;1.96,"ATÍPICO",ABS((C2131-$W$5)/$X$5)&lt;=1.96,"NO ATÍPICO")</f>
        <v>NO ATÍPICO</v>
      </c>
      <c r="K2131" t="str" cm="1">
        <f t="array" ref="K2131">_xlfn.IFS(ISBLANK(I2131),"FALTANTE",ABS((I2131-$W$8)/$X$8)&gt;1.92,"ATÍPICO",ABS((I2131-$W$8)/$X$8)&lt;=1.92,"NO ATÍPICO")</f>
        <v>NO ATÍPICO</v>
      </c>
      <c r="L2131">
        <f t="shared" si="149"/>
        <v>315000</v>
      </c>
      <c r="M2131" t="str">
        <f t="shared" si="149"/>
        <v>ASALARIADO</v>
      </c>
      <c r="N2131">
        <f t="shared" si="150"/>
        <v>53</v>
      </c>
      <c r="O2131" s="19" t="str">
        <f t="shared" si="151"/>
        <v>300k–600k</v>
      </c>
      <c r="P2131" s="19" t="str">
        <f t="shared" si="152"/>
        <v>46-55</v>
      </c>
    </row>
    <row r="2132" spans="1:16" x14ac:dyDescent="0.25">
      <c r="A2132">
        <v>2131</v>
      </c>
      <c r="B2132" t="s">
        <v>9</v>
      </c>
      <c r="C2132">
        <v>297046</v>
      </c>
      <c r="D2132" t="s">
        <v>18</v>
      </c>
      <c r="E2132" t="s">
        <v>16</v>
      </c>
      <c r="F2132" t="s">
        <v>12</v>
      </c>
      <c r="G2132" t="s">
        <v>13</v>
      </c>
      <c r="H2132" t="s">
        <v>13</v>
      </c>
      <c r="I2132">
        <v>43</v>
      </c>
      <c r="J2132" t="str" cm="1">
        <f t="array" ref="J2132">_xlfn.IFS(ISBLANK(C2132),"FALTANTE",ABS((C2132-$W$5)/$X$5)&gt;1.96,"ATÍPICO",ABS((C2132-$W$5)/$X$5)&lt;=1.96,"NO ATÍPICO")</f>
        <v>NO ATÍPICO</v>
      </c>
      <c r="K2132" t="str" cm="1">
        <f t="array" ref="K2132">_xlfn.IFS(ISBLANK(I2132),"FALTANTE",ABS((I2132-$W$8)/$X$8)&gt;1.92,"ATÍPICO",ABS((I2132-$W$8)/$X$8)&lt;=1.92,"NO ATÍPICO")</f>
        <v>NO ATÍPICO</v>
      </c>
      <c r="L2132">
        <f t="shared" si="149"/>
        <v>297046</v>
      </c>
      <c r="M2132" t="str">
        <f t="shared" si="149"/>
        <v>TRABAJADOR INDEPENDIENTE</v>
      </c>
      <c r="N2132">
        <f t="shared" si="150"/>
        <v>43</v>
      </c>
      <c r="O2132" s="19" t="str">
        <f t="shared" si="151"/>
        <v>0–300k</v>
      </c>
      <c r="P2132" s="19" t="str">
        <f t="shared" si="152"/>
        <v>36-45</v>
      </c>
    </row>
    <row r="2133" spans="1:16" x14ac:dyDescent="0.25">
      <c r="A2133">
        <v>2132</v>
      </c>
      <c r="B2133" t="s">
        <v>9</v>
      </c>
      <c r="C2133">
        <v>278030</v>
      </c>
      <c r="D2133" t="s">
        <v>19</v>
      </c>
      <c r="E2133" t="s">
        <v>16</v>
      </c>
      <c r="F2133" t="s">
        <v>12</v>
      </c>
      <c r="G2133" t="s">
        <v>12</v>
      </c>
      <c r="H2133" t="s">
        <v>13</v>
      </c>
      <c r="I2133">
        <v>54</v>
      </c>
      <c r="J2133" t="str" cm="1">
        <f t="array" ref="J2133">_xlfn.IFS(ISBLANK(C2133),"FALTANTE",ABS((C2133-$W$5)/$X$5)&gt;1.96,"ATÍPICO",ABS((C2133-$W$5)/$X$5)&lt;=1.96,"NO ATÍPICO")</f>
        <v>NO ATÍPICO</v>
      </c>
      <c r="K2133" t="str" cm="1">
        <f t="array" ref="K2133">_xlfn.IFS(ISBLANK(I2133),"FALTANTE",ABS((I2133-$W$8)/$X$8)&gt;1.92,"ATÍPICO",ABS((I2133-$W$8)/$X$8)&lt;=1.92,"NO ATÍPICO")</f>
        <v>NO ATÍPICO</v>
      </c>
      <c r="L2133">
        <f t="shared" si="149"/>
        <v>278030</v>
      </c>
      <c r="M2133" t="str">
        <f t="shared" si="149"/>
        <v>CONVENIOS ESPECIALES DE TRABAJADORES INDEPENDIENTES</v>
      </c>
      <c r="N2133">
        <f t="shared" si="150"/>
        <v>54</v>
      </c>
      <c r="O2133" s="19" t="str">
        <f t="shared" si="151"/>
        <v>0–300k</v>
      </c>
      <c r="P2133" s="19" t="str">
        <f t="shared" si="152"/>
        <v>46-55</v>
      </c>
    </row>
    <row r="2134" spans="1:16" x14ac:dyDescent="0.25">
      <c r="A2134">
        <v>2133</v>
      </c>
      <c r="B2134" t="s">
        <v>15</v>
      </c>
      <c r="C2134">
        <v>445821</v>
      </c>
      <c r="D2134" t="s">
        <v>18</v>
      </c>
      <c r="E2134" t="s">
        <v>16</v>
      </c>
      <c r="F2134" t="s">
        <v>12</v>
      </c>
      <c r="G2134" t="s">
        <v>13</v>
      </c>
      <c r="H2134" t="s">
        <v>13</v>
      </c>
      <c r="I2134">
        <v>39</v>
      </c>
      <c r="J2134" t="str" cm="1">
        <f t="array" ref="J2134">_xlfn.IFS(ISBLANK(C2134),"FALTANTE",ABS((C2134-$W$5)/$X$5)&gt;1.96,"ATÍPICO",ABS((C2134-$W$5)/$X$5)&lt;=1.96,"NO ATÍPICO")</f>
        <v>NO ATÍPICO</v>
      </c>
      <c r="K2134" t="str" cm="1">
        <f t="array" ref="K2134">_xlfn.IFS(ISBLANK(I2134),"FALTANTE",ABS((I2134-$W$8)/$X$8)&gt;1.92,"ATÍPICO",ABS((I2134-$W$8)/$X$8)&lt;=1.92,"NO ATÍPICO")</f>
        <v>NO ATÍPICO</v>
      </c>
      <c r="L2134">
        <f t="shared" si="149"/>
        <v>445821</v>
      </c>
      <c r="M2134" t="str">
        <f t="shared" si="149"/>
        <v>TRABAJADOR INDEPENDIENTE</v>
      </c>
      <c r="N2134">
        <f t="shared" si="150"/>
        <v>39</v>
      </c>
      <c r="O2134" s="19" t="str">
        <f t="shared" si="151"/>
        <v>300k–600k</v>
      </c>
      <c r="P2134" s="19" t="str">
        <f t="shared" si="152"/>
        <v>36-45</v>
      </c>
    </row>
    <row r="2135" spans="1:16" x14ac:dyDescent="0.25">
      <c r="A2135">
        <v>2134</v>
      </c>
      <c r="B2135" t="s">
        <v>9</v>
      </c>
      <c r="C2135">
        <v>306723.3</v>
      </c>
      <c r="D2135" t="s">
        <v>18</v>
      </c>
      <c r="E2135" t="s">
        <v>16</v>
      </c>
      <c r="F2135" t="s">
        <v>12</v>
      </c>
      <c r="G2135" t="s">
        <v>12</v>
      </c>
      <c r="H2135" t="s">
        <v>12</v>
      </c>
      <c r="I2135">
        <v>45</v>
      </c>
      <c r="J2135" t="str" cm="1">
        <f t="array" ref="J2135">_xlfn.IFS(ISBLANK(C2135),"FALTANTE",ABS((C2135-$W$5)/$X$5)&gt;1.96,"ATÍPICO",ABS((C2135-$W$5)/$X$5)&lt;=1.96,"NO ATÍPICO")</f>
        <v>NO ATÍPICO</v>
      </c>
      <c r="K2135" t="str" cm="1">
        <f t="array" ref="K2135">_xlfn.IFS(ISBLANK(I2135),"FALTANTE",ABS((I2135-$W$8)/$X$8)&gt;1.92,"ATÍPICO",ABS((I2135-$W$8)/$X$8)&lt;=1.92,"NO ATÍPICO")</f>
        <v>NO ATÍPICO</v>
      </c>
      <c r="L2135">
        <f t="shared" si="149"/>
        <v>306723.3</v>
      </c>
      <c r="M2135" t="str">
        <f t="shared" si="149"/>
        <v>TRABAJADOR INDEPENDIENTE</v>
      </c>
      <c r="N2135">
        <f t="shared" si="150"/>
        <v>45</v>
      </c>
      <c r="O2135" s="19" t="str">
        <f t="shared" si="151"/>
        <v>300k–600k</v>
      </c>
      <c r="P2135" s="19" t="str">
        <f t="shared" si="152"/>
        <v>36-45</v>
      </c>
    </row>
    <row r="2136" spans="1:16" x14ac:dyDescent="0.25">
      <c r="A2136">
        <v>2135</v>
      </c>
      <c r="B2136" t="s">
        <v>15</v>
      </c>
      <c r="C2136">
        <v>445431.32</v>
      </c>
      <c r="D2136" t="s">
        <v>10</v>
      </c>
      <c r="E2136" t="s">
        <v>16</v>
      </c>
      <c r="F2136" t="s">
        <v>12</v>
      </c>
      <c r="G2136" t="s">
        <v>13</v>
      </c>
      <c r="H2136" t="s">
        <v>13</v>
      </c>
      <c r="I2136">
        <v>25</v>
      </c>
      <c r="J2136" t="str" cm="1">
        <f t="array" ref="J2136">_xlfn.IFS(ISBLANK(C2136),"FALTANTE",ABS((C2136-$W$5)/$X$5)&gt;1.96,"ATÍPICO",ABS((C2136-$W$5)/$X$5)&lt;=1.96,"NO ATÍPICO")</f>
        <v>NO ATÍPICO</v>
      </c>
      <c r="K2136" t="str" cm="1">
        <f t="array" ref="K2136">_xlfn.IFS(ISBLANK(I2136),"FALTANTE",ABS((I2136-$W$8)/$X$8)&gt;1.92,"ATÍPICO",ABS((I2136-$W$8)/$X$8)&lt;=1.92,"NO ATÍPICO")</f>
        <v>NO ATÍPICO</v>
      </c>
      <c r="L2136">
        <f t="shared" si="149"/>
        <v>445431.32</v>
      </c>
      <c r="M2136" t="str">
        <f t="shared" si="149"/>
        <v>ASALARIADO</v>
      </c>
      <c r="N2136">
        <f t="shared" si="150"/>
        <v>25</v>
      </c>
      <c r="O2136" s="19" t="str">
        <f t="shared" si="151"/>
        <v>300k–600k</v>
      </c>
      <c r="P2136" s="19" t="str">
        <f t="shared" si="152"/>
        <v>18-25</v>
      </c>
    </row>
    <row r="2137" spans="1:16" x14ac:dyDescent="0.25">
      <c r="A2137">
        <v>2136</v>
      </c>
      <c r="B2137" t="s">
        <v>9</v>
      </c>
      <c r="C2137">
        <v>1460786.78</v>
      </c>
      <c r="D2137" t="s">
        <v>10</v>
      </c>
      <c r="E2137" t="s">
        <v>16</v>
      </c>
      <c r="F2137" t="s">
        <v>12</v>
      </c>
      <c r="G2137" t="s">
        <v>13</v>
      </c>
      <c r="H2137" t="s">
        <v>13</v>
      </c>
      <c r="I2137">
        <v>32</v>
      </c>
      <c r="J2137" t="str" cm="1">
        <f t="array" ref="J2137">_xlfn.IFS(ISBLANK(C2137),"FALTANTE",ABS((C2137-$W$5)/$X$5)&gt;1.96,"ATÍPICO",ABS((C2137-$W$5)/$X$5)&lt;=1.96,"NO ATÍPICO")</f>
        <v>NO ATÍPICO</v>
      </c>
      <c r="K2137" t="str" cm="1">
        <f t="array" ref="K2137">_xlfn.IFS(ISBLANK(I2137),"FALTANTE",ABS((I2137-$W$8)/$X$8)&gt;1.92,"ATÍPICO",ABS((I2137-$W$8)/$X$8)&lt;=1.92,"NO ATÍPICO")</f>
        <v>NO ATÍPICO</v>
      </c>
      <c r="L2137">
        <f t="shared" si="149"/>
        <v>1460786.78</v>
      </c>
      <c r="M2137" t="str">
        <f t="shared" si="149"/>
        <v>ASALARIADO</v>
      </c>
      <c r="N2137">
        <f t="shared" si="150"/>
        <v>32</v>
      </c>
      <c r="O2137" s="19" t="str">
        <f t="shared" si="151"/>
        <v>1200k+</v>
      </c>
      <c r="P2137" s="19" t="str">
        <f t="shared" si="152"/>
        <v>26-35</v>
      </c>
    </row>
    <row r="2138" spans="1:16" x14ac:dyDescent="0.25">
      <c r="A2138">
        <v>2137</v>
      </c>
      <c r="B2138" t="s">
        <v>9</v>
      </c>
      <c r="C2138">
        <v>10652</v>
      </c>
      <c r="D2138" t="s">
        <v>10</v>
      </c>
      <c r="E2138" t="s">
        <v>16</v>
      </c>
      <c r="F2138" t="s">
        <v>12</v>
      </c>
      <c r="G2138" t="s">
        <v>12</v>
      </c>
      <c r="H2138" t="s">
        <v>13</v>
      </c>
      <c r="I2138">
        <v>24</v>
      </c>
      <c r="J2138" t="str" cm="1">
        <f t="array" ref="J2138">_xlfn.IFS(ISBLANK(C2138),"FALTANTE",ABS((C2138-$W$5)/$X$5)&gt;1.96,"ATÍPICO",ABS((C2138-$W$5)/$X$5)&lt;=1.96,"NO ATÍPICO")</f>
        <v>NO ATÍPICO</v>
      </c>
      <c r="K2138" t="str" cm="1">
        <f t="array" ref="K2138">_xlfn.IFS(ISBLANK(I2138),"FALTANTE",ABS((I2138-$W$8)/$X$8)&gt;1.92,"ATÍPICO",ABS((I2138-$W$8)/$X$8)&lt;=1.92,"NO ATÍPICO")</f>
        <v>NO ATÍPICO</v>
      </c>
      <c r="L2138">
        <f t="shared" si="149"/>
        <v>10652</v>
      </c>
      <c r="M2138" t="str">
        <f t="shared" si="149"/>
        <v>ASALARIADO</v>
      </c>
      <c r="N2138">
        <f t="shared" si="150"/>
        <v>24</v>
      </c>
      <c r="O2138" s="19" t="str">
        <f t="shared" si="151"/>
        <v>0–300k</v>
      </c>
      <c r="P2138" s="19" t="str">
        <f t="shared" si="152"/>
        <v>18-25</v>
      </c>
    </row>
    <row r="2139" spans="1:16" x14ac:dyDescent="0.25">
      <c r="A2139">
        <v>2138</v>
      </c>
      <c r="B2139" t="s">
        <v>15</v>
      </c>
      <c r="C2139">
        <v>278030</v>
      </c>
      <c r="D2139" t="s">
        <v>17</v>
      </c>
      <c r="E2139" t="s">
        <v>16</v>
      </c>
      <c r="F2139" t="s">
        <v>12</v>
      </c>
      <c r="G2139" t="s">
        <v>13</v>
      </c>
      <c r="H2139" t="s">
        <v>12</v>
      </c>
      <c r="I2139">
        <v>27</v>
      </c>
      <c r="J2139" t="str" cm="1">
        <f t="array" ref="J2139">_xlfn.IFS(ISBLANK(C2139),"FALTANTE",ABS((C2139-$W$5)/$X$5)&gt;1.96,"ATÍPICO",ABS((C2139-$W$5)/$X$5)&lt;=1.96,"NO ATÍPICO")</f>
        <v>NO ATÍPICO</v>
      </c>
      <c r="K2139" t="str" cm="1">
        <f t="array" ref="K2139">_xlfn.IFS(ISBLANK(I2139),"FALTANTE",ABS((I2139-$W$8)/$X$8)&gt;1.92,"ATÍPICO",ABS((I2139-$W$8)/$X$8)&lt;=1.92,"NO ATÍPICO")</f>
        <v>NO ATÍPICO</v>
      </c>
      <c r="L2139">
        <f t="shared" si="149"/>
        <v>278030</v>
      </c>
      <c r="M2139" t="str">
        <f t="shared" si="149"/>
        <v>ASEGURADO VOLUNTARIO</v>
      </c>
      <c r="N2139">
        <f t="shared" si="150"/>
        <v>27</v>
      </c>
      <c r="O2139" s="19" t="str">
        <f t="shared" si="151"/>
        <v>0–300k</v>
      </c>
      <c r="P2139" s="19" t="str">
        <f t="shared" si="152"/>
        <v>26-35</v>
      </c>
    </row>
    <row r="2140" spans="1:16" x14ac:dyDescent="0.25">
      <c r="A2140">
        <v>2139</v>
      </c>
      <c r="B2140" t="s">
        <v>15</v>
      </c>
      <c r="C2140">
        <v>1160116</v>
      </c>
      <c r="D2140" t="s">
        <v>14</v>
      </c>
      <c r="E2140" t="s">
        <v>11</v>
      </c>
      <c r="F2140" t="s">
        <v>12</v>
      </c>
      <c r="G2140" t="s">
        <v>13</v>
      </c>
      <c r="H2140" t="s">
        <v>13</v>
      </c>
      <c r="I2140">
        <v>66</v>
      </c>
      <c r="J2140" t="str" cm="1">
        <f t="array" ref="J2140">_xlfn.IFS(ISBLANK(C2140),"FALTANTE",ABS((C2140-$W$5)/$X$5)&gt;1.96,"ATÍPICO",ABS((C2140-$W$5)/$X$5)&lt;=1.96,"NO ATÍPICO")</f>
        <v>NO ATÍPICO</v>
      </c>
      <c r="K2140" t="str" cm="1">
        <f t="array" ref="K2140">_xlfn.IFS(ISBLANK(I2140),"FALTANTE",ABS((I2140-$W$8)/$X$8)&gt;1.92,"ATÍPICO",ABS((I2140-$W$8)/$X$8)&lt;=1.92,"NO ATÍPICO")</f>
        <v>NO ATÍPICO</v>
      </c>
      <c r="L2140">
        <f t="shared" si="149"/>
        <v>1160116</v>
      </c>
      <c r="M2140" t="str">
        <f t="shared" si="149"/>
        <v>PENSIONADOS EN SU PROPIO SISTEMA</v>
      </c>
      <c r="N2140">
        <f t="shared" si="150"/>
        <v>66</v>
      </c>
      <c r="O2140" s="19" t="str">
        <f t="shared" si="151"/>
        <v>900k–1200k</v>
      </c>
      <c r="P2140" s="19" t="str">
        <f t="shared" si="152"/>
        <v>56+</v>
      </c>
    </row>
    <row r="2141" spans="1:16" x14ac:dyDescent="0.25">
      <c r="A2141">
        <v>2140</v>
      </c>
      <c r="B2141" t="s">
        <v>9</v>
      </c>
      <c r="C2141">
        <v>342028</v>
      </c>
      <c r="D2141" t="s">
        <v>10</v>
      </c>
      <c r="E2141" t="s">
        <v>16</v>
      </c>
      <c r="F2141" t="s">
        <v>12</v>
      </c>
      <c r="G2141" t="s">
        <v>13</v>
      </c>
      <c r="H2141" t="s">
        <v>13</v>
      </c>
      <c r="I2141">
        <v>58</v>
      </c>
      <c r="J2141" t="str" cm="1">
        <f t="array" ref="J2141">_xlfn.IFS(ISBLANK(C2141),"FALTANTE",ABS((C2141-$W$5)/$X$5)&gt;1.96,"ATÍPICO",ABS((C2141-$W$5)/$X$5)&lt;=1.96,"NO ATÍPICO")</f>
        <v>NO ATÍPICO</v>
      </c>
      <c r="K2141" t="str" cm="1">
        <f t="array" ref="K2141">_xlfn.IFS(ISBLANK(I2141),"FALTANTE",ABS((I2141-$W$8)/$X$8)&gt;1.92,"ATÍPICO",ABS((I2141-$W$8)/$X$8)&lt;=1.92,"NO ATÍPICO")</f>
        <v>NO ATÍPICO</v>
      </c>
      <c r="L2141">
        <f t="shared" si="149"/>
        <v>342028</v>
      </c>
      <c r="M2141" t="str">
        <f t="shared" si="149"/>
        <v>ASALARIADO</v>
      </c>
      <c r="N2141">
        <f t="shared" si="150"/>
        <v>58</v>
      </c>
      <c r="O2141" s="19" t="str">
        <f t="shared" si="151"/>
        <v>300k–600k</v>
      </c>
      <c r="P2141" s="19" t="str">
        <f t="shared" si="152"/>
        <v>56+</v>
      </c>
    </row>
    <row r="2142" spans="1:16" x14ac:dyDescent="0.25">
      <c r="A2142">
        <v>2141</v>
      </c>
      <c r="B2142" t="s">
        <v>9</v>
      </c>
      <c r="C2142">
        <v>239390</v>
      </c>
      <c r="D2142" t="s">
        <v>10</v>
      </c>
      <c r="E2142" t="s">
        <v>16</v>
      </c>
      <c r="F2142" t="s">
        <v>12</v>
      </c>
      <c r="G2142" t="s">
        <v>13</v>
      </c>
      <c r="H2142" t="s">
        <v>13</v>
      </c>
      <c r="I2142">
        <v>46</v>
      </c>
      <c r="J2142" t="str" cm="1">
        <f t="array" ref="J2142">_xlfn.IFS(ISBLANK(C2142),"FALTANTE",ABS((C2142-$W$5)/$X$5)&gt;1.96,"ATÍPICO",ABS((C2142-$W$5)/$X$5)&lt;=1.96,"NO ATÍPICO")</f>
        <v>NO ATÍPICO</v>
      </c>
      <c r="K2142" t="str" cm="1">
        <f t="array" ref="K2142">_xlfn.IFS(ISBLANK(I2142),"FALTANTE",ABS((I2142-$W$8)/$X$8)&gt;1.92,"ATÍPICO",ABS((I2142-$W$8)/$X$8)&lt;=1.92,"NO ATÍPICO")</f>
        <v>NO ATÍPICO</v>
      </c>
      <c r="L2142">
        <f t="shared" si="149"/>
        <v>239390</v>
      </c>
      <c r="M2142" t="str">
        <f t="shared" si="149"/>
        <v>ASALARIADO</v>
      </c>
      <c r="N2142">
        <f t="shared" si="150"/>
        <v>46</v>
      </c>
      <c r="O2142" s="19" t="str">
        <f t="shared" si="151"/>
        <v>0–300k</v>
      </c>
      <c r="P2142" s="19" t="str">
        <f t="shared" si="152"/>
        <v>46-55</v>
      </c>
    </row>
    <row r="2143" spans="1:16" x14ac:dyDescent="0.25">
      <c r="A2143">
        <v>2142</v>
      </c>
      <c r="B2143" t="s">
        <v>9</v>
      </c>
      <c r="C2143">
        <v>1347519</v>
      </c>
      <c r="D2143" t="s">
        <v>10</v>
      </c>
      <c r="E2143" t="s">
        <v>11</v>
      </c>
      <c r="F2143" t="s">
        <v>12</v>
      </c>
      <c r="G2143" t="s">
        <v>13</v>
      </c>
      <c r="H2143" t="s">
        <v>13</v>
      </c>
      <c r="I2143">
        <v>57</v>
      </c>
      <c r="J2143" t="str" cm="1">
        <f t="array" ref="J2143">_xlfn.IFS(ISBLANK(C2143),"FALTANTE",ABS((C2143-$W$5)/$X$5)&gt;1.96,"ATÍPICO",ABS((C2143-$W$5)/$X$5)&lt;=1.96,"NO ATÍPICO")</f>
        <v>NO ATÍPICO</v>
      </c>
      <c r="K2143" t="str" cm="1">
        <f t="array" ref="K2143">_xlfn.IFS(ISBLANK(I2143),"FALTANTE",ABS((I2143-$W$8)/$X$8)&gt;1.92,"ATÍPICO",ABS((I2143-$W$8)/$X$8)&lt;=1.92,"NO ATÍPICO")</f>
        <v>NO ATÍPICO</v>
      </c>
      <c r="L2143">
        <f t="shared" si="149"/>
        <v>1347519</v>
      </c>
      <c r="M2143" t="str">
        <f t="shared" si="149"/>
        <v>ASALARIADO</v>
      </c>
      <c r="N2143">
        <f t="shared" si="150"/>
        <v>57</v>
      </c>
      <c r="O2143" s="19" t="str">
        <f t="shared" si="151"/>
        <v>1200k+</v>
      </c>
      <c r="P2143" s="19" t="str">
        <f t="shared" si="152"/>
        <v>56+</v>
      </c>
    </row>
    <row r="2144" spans="1:16" x14ac:dyDescent="0.25">
      <c r="A2144">
        <v>2143</v>
      </c>
      <c r="B2144" t="s">
        <v>9</v>
      </c>
      <c r="C2144">
        <v>350000</v>
      </c>
      <c r="D2144" t="s">
        <v>10</v>
      </c>
      <c r="E2144" t="s">
        <v>16</v>
      </c>
      <c r="F2144" t="s">
        <v>12</v>
      </c>
      <c r="G2144" t="s">
        <v>13</v>
      </c>
      <c r="H2144" t="s">
        <v>13</v>
      </c>
      <c r="I2144">
        <v>37</v>
      </c>
      <c r="J2144" t="str" cm="1">
        <f t="array" ref="J2144">_xlfn.IFS(ISBLANK(C2144),"FALTANTE",ABS((C2144-$W$5)/$X$5)&gt;1.96,"ATÍPICO",ABS((C2144-$W$5)/$X$5)&lt;=1.96,"NO ATÍPICO")</f>
        <v>NO ATÍPICO</v>
      </c>
      <c r="K2144" t="str" cm="1">
        <f t="array" ref="K2144">_xlfn.IFS(ISBLANK(I2144),"FALTANTE",ABS((I2144-$W$8)/$X$8)&gt;1.92,"ATÍPICO",ABS((I2144-$W$8)/$X$8)&lt;=1.92,"NO ATÍPICO")</f>
        <v>NO ATÍPICO</v>
      </c>
      <c r="L2144">
        <f t="shared" si="149"/>
        <v>350000</v>
      </c>
      <c r="M2144" t="str">
        <f t="shared" si="149"/>
        <v>ASALARIADO</v>
      </c>
      <c r="N2144">
        <f t="shared" si="150"/>
        <v>37</v>
      </c>
      <c r="O2144" s="19" t="str">
        <f t="shared" si="151"/>
        <v>300k–600k</v>
      </c>
      <c r="P2144" s="19" t="str">
        <f t="shared" si="152"/>
        <v>36-45</v>
      </c>
    </row>
    <row r="2145" spans="1:16" x14ac:dyDescent="0.25">
      <c r="A2145">
        <v>2144</v>
      </c>
      <c r="B2145" t="s">
        <v>15</v>
      </c>
      <c r="C2145">
        <v>295000</v>
      </c>
      <c r="D2145" t="s">
        <v>10</v>
      </c>
      <c r="E2145" t="s">
        <v>16</v>
      </c>
      <c r="F2145" t="s">
        <v>12</v>
      </c>
      <c r="G2145" t="s">
        <v>13</v>
      </c>
      <c r="H2145" t="s">
        <v>12</v>
      </c>
      <c r="I2145">
        <v>19</v>
      </c>
      <c r="J2145" t="str" cm="1">
        <f t="array" ref="J2145">_xlfn.IFS(ISBLANK(C2145),"FALTANTE",ABS((C2145-$W$5)/$X$5)&gt;1.96,"ATÍPICO",ABS((C2145-$W$5)/$X$5)&lt;=1.96,"NO ATÍPICO")</f>
        <v>NO ATÍPICO</v>
      </c>
      <c r="K2145" t="str" cm="1">
        <f t="array" ref="K2145">_xlfn.IFS(ISBLANK(I2145),"FALTANTE",ABS((I2145-$W$8)/$X$8)&gt;1.92,"ATÍPICO",ABS((I2145-$W$8)/$X$8)&lt;=1.92,"NO ATÍPICO")</f>
        <v>NO ATÍPICO</v>
      </c>
      <c r="L2145">
        <f t="shared" si="149"/>
        <v>295000</v>
      </c>
      <c r="M2145" t="str">
        <f t="shared" si="149"/>
        <v>ASALARIADO</v>
      </c>
      <c r="N2145">
        <f t="shared" si="150"/>
        <v>19</v>
      </c>
      <c r="O2145" s="19" t="str">
        <f t="shared" si="151"/>
        <v>0–300k</v>
      </c>
      <c r="P2145" s="19" t="str">
        <f t="shared" si="152"/>
        <v>18-25</v>
      </c>
    </row>
    <row r="2146" spans="1:16" x14ac:dyDescent="0.25">
      <c r="A2146">
        <v>2145</v>
      </c>
      <c r="B2146" t="s">
        <v>9</v>
      </c>
      <c r="C2146">
        <v>302470</v>
      </c>
      <c r="D2146" t="s">
        <v>18</v>
      </c>
      <c r="E2146" t="s">
        <v>16</v>
      </c>
      <c r="F2146" t="s">
        <v>12</v>
      </c>
      <c r="G2146" t="s">
        <v>13</v>
      </c>
      <c r="H2146" t="s">
        <v>13</v>
      </c>
      <c r="I2146">
        <v>48</v>
      </c>
      <c r="J2146" t="str" cm="1">
        <f t="array" ref="J2146">_xlfn.IFS(ISBLANK(C2146),"FALTANTE",ABS((C2146-$W$5)/$X$5)&gt;1.96,"ATÍPICO",ABS((C2146-$W$5)/$X$5)&lt;=1.96,"NO ATÍPICO")</f>
        <v>NO ATÍPICO</v>
      </c>
      <c r="K2146" t="str" cm="1">
        <f t="array" ref="K2146">_xlfn.IFS(ISBLANK(I2146),"FALTANTE",ABS((I2146-$W$8)/$X$8)&gt;1.92,"ATÍPICO",ABS((I2146-$W$8)/$X$8)&lt;=1.92,"NO ATÍPICO")</f>
        <v>NO ATÍPICO</v>
      </c>
      <c r="L2146">
        <f t="shared" si="149"/>
        <v>302470</v>
      </c>
      <c r="M2146" t="str">
        <f t="shared" si="149"/>
        <v>TRABAJADOR INDEPENDIENTE</v>
      </c>
      <c r="N2146">
        <f t="shared" si="150"/>
        <v>48</v>
      </c>
      <c r="O2146" s="19" t="str">
        <f t="shared" si="151"/>
        <v>300k–600k</v>
      </c>
      <c r="P2146" s="19" t="str">
        <f t="shared" si="152"/>
        <v>46-55</v>
      </c>
    </row>
    <row r="2147" spans="1:16" x14ac:dyDescent="0.25">
      <c r="A2147">
        <v>2146</v>
      </c>
      <c r="B2147" t="s">
        <v>15</v>
      </c>
      <c r="C2147">
        <v>2613281.4500000002</v>
      </c>
      <c r="D2147" t="s">
        <v>10</v>
      </c>
      <c r="E2147" t="s">
        <v>11</v>
      </c>
      <c r="F2147" t="s">
        <v>12</v>
      </c>
      <c r="G2147" t="s">
        <v>13</v>
      </c>
      <c r="H2147" t="s">
        <v>13</v>
      </c>
      <c r="I2147">
        <v>47</v>
      </c>
      <c r="J2147" t="str" cm="1">
        <f t="array" ref="J2147">_xlfn.IFS(ISBLANK(C2147),"FALTANTE",ABS((C2147-$W$5)/$X$5)&gt;1.96,"ATÍPICO",ABS((C2147-$W$5)/$X$5)&lt;=1.96,"NO ATÍPICO")</f>
        <v>ATÍPICO</v>
      </c>
      <c r="K2147" t="str" cm="1">
        <f t="array" ref="K2147">_xlfn.IFS(ISBLANK(I2147),"FALTANTE",ABS((I2147-$W$8)/$X$8)&gt;1.92,"ATÍPICO",ABS((I2147-$W$8)/$X$8)&lt;=1.92,"NO ATÍPICO")</f>
        <v>NO ATÍPICO</v>
      </c>
      <c r="L2147">
        <f t="shared" si="149"/>
        <v>2613281.4500000002</v>
      </c>
      <c r="M2147" t="str">
        <f t="shared" si="149"/>
        <v>ASALARIADO</v>
      </c>
      <c r="N2147">
        <f t="shared" si="150"/>
        <v>47</v>
      </c>
      <c r="O2147" s="19" t="str">
        <f t="shared" si="151"/>
        <v>1200k+</v>
      </c>
      <c r="P2147" s="19" t="str">
        <f t="shared" si="152"/>
        <v>46-55</v>
      </c>
    </row>
    <row r="2148" spans="1:16" x14ac:dyDescent="0.25">
      <c r="A2148">
        <v>2147</v>
      </c>
      <c r="B2148" t="s">
        <v>15</v>
      </c>
      <c r="C2148">
        <v>150409.17000000001</v>
      </c>
      <c r="D2148" t="s">
        <v>14</v>
      </c>
      <c r="E2148" t="s">
        <v>11</v>
      </c>
      <c r="F2148" t="s">
        <v>12</v>
      </c>
      <c r="G2148" t="s">
        <v>13</v>
      </c>
      <c r="H2148" t="s">
        <v>13</v>
      </c>
      <c r="I2148">
        <v>86</v>
      </c>
      <c r="J2148" t="str" cm="1">
        <f t="array" ref="J2148">_xlfn.IFS(ISBLANK(C2148),"FALTANTE",ABS((C2148-$W$5)/$X$5)&gt;1.96,"ATÍPICO",ABS((C2148-$W$5)/$X$5)&lt;=1.96,"NO ATÍPICO")</f>
        <v>NO ATÍPICO</v>
      </c>
      <c r="K2148" t="str" cm="1">
        <f t="array" ref="K2148">_xlfn.IFS(ISBLANK(I2148),"FALTANTE",ABS((I2148-$W$8)/$X$8)&gt;1.92,"ATÍPICO",ABS((I2148-$W$8)/$X$8)&lt;=1.92,"NO ATÍPICO")</f>
        <v>ATÍPICO</v>
      </c>
      <c r="L2148">
        <f t="shared" si="149"/>
        <v>150409.17000000001</v>
      </c>
      <c r="M2148" t="str">
        <f t="shared" si="149"/>
        <v>PENSIONADOS EN SU PROPIO SISTEMA</v>
      </c>
      <c r="N2148">
        <f t="shared" si="150"/>
        <v>86</v>
      </c>
      <c r="O2148" s="19" t="str">
        <f t="shared" si="151"/>
        <v>0–300k</v>
      </c>
      <c r="P2148" s="19" t="str">
        <f t="shared" si="152"/>
        <v>56+</v>
      </c>
    </row>
    <row r="2149" spans="1:16" x14ac:dyDescent="0.25">
      <c r="A2149">
        <v>2148</v>
      </c>
      <c r="B2149" t="s">
        <v>9</v>
      </c>
      <c r="C2149">
        <v>77065</v>
      </c>
      <c r="D2149" t="s">
        <v>10</v>
      </c>
      <c r="E2149" t="s">
        <v>16</v>
      </c>
      <c r="F2149" t="s">
        <v>12</v>
      </c>
      <c r="G2149" t="s">
        <v>13</v>
      </c>
      <c r="H2149" t="s">
        <v>12</v>
      </c>
      <c r="I2149">
        <v>43</v>
      </c>
      <c r="J2149" t="str" cm="1">
        <f t="array" ref="J2149">_xlfn.IFS(ISBLANK(C2149),"FALTANTE",ABS((C2149-$W$5)/$X$5)&gt;1.96,"ATÍPICO",ABS((C2149-$W$5)/$X$5)&lt;=1.96,"NO ATÍPICO")</f>
        <v>NO ATÍPICO</v>
      </c>
      <c r="K2149" t="str" cm="1">
        <f t="array" ref="K2149">_xlfn.IFS(ISBLANK(I2149),"FALTANTE",ABS((I2149-$W$8)/$X$8)&gt;1.92,"ATÍPICO",ABS((I2149-$W$8)/$X$8)&lt;=1.92,"NO ATÍPICO")</f>
        <v>NO ATÍPICO</v>
      </c>
      <c r="L2149">
        <f t="shared" si="149"/>
        <v>77065</v>
      </c>
      <c r="M2149" t="str">
        <f t="shared" si="149"/>
        <v>ASALARIADO</v>
      </c>
      <c r="N2149">
        <f t="shared" si="150"/>
        <v>43</v>
      </c>
      <c r="O2149" s="19" t="str">
        <f t="shared" si="151"/>
        <v>0–300k</v>
      </c>
      <c r="P2149" s="19" t="str">
        <f t="shared" si="152"/>
        <v>36-45</v>
      </c>
    </row>
    <row r="2150" spans="1:16" x14ac:dyDescent="0.25">
      <c r="A2150">
        <v>2149</v>
      </c>
      <c r="B2150" t="s">
        <v>9</v>
      </c>
      <c r="C2150">
        <v>426459.38</v>
      </c>
      <c r="D2150" t="s">
        <v>10</v>
      </c>
      <c r="E2150" t="s">
        <v>16</v>
      </c>
      <c r="F2150" t="s">
        <v>12</v>
      </c>
      <c r="G2150" t="s">
        <v>13</v>
      </c>
      <c r="H2150" t="s">
        <v>13</v>
      </c>
      <c r="I2150">
        <v>25</v>
      </c>
      <c r="J2150" t="str" cm="1">
        <f t="array" ref="J2150">_xlfn.IFS(ISBLANK(C2150),"FALTANTE",ABS((C2150-$W$5)/$X$5)&gt;1.96,"ATÍPICO",ABS((C2150-$W$5)/$X$5)&lt;=1.96,"NO ATÍPICO")</f>
        <v>NO ATÍPICO</v>
      </c>
      <c r="K2150" t="str" cm="1">
        <f t="array" ref="K2150">_xlfn.IFS(ISBLANK(I2150),"FALTANTE",ABS((I2150-$W$8)/$X$8)&gt;1.92,"ATÍPICO",ABS((I2150-$W$8)/$X$8)&lt;=1.92,"NO ATÍPICO")</f>
        <v>NO ATÍPICO</v>
      </c>
      <c r="L2150">
        <f t="shared" si="149"/>
        <v>426459.38</v>
      </c>
      <c r="M2150" t="str">
        <f t="shared" si="149"/>
        <v>ASALARIADO</v>
      </c>
      <c r="N2150">
        <f t="shared" si="150"/>
        <v>25</v>
      </c>
      <c r="O2150" s="19" t="str">
        <f t="shared" si="151"/>
        <v>300k–600k</v>
      </c>
      <c r="P2150" s="19" t="str">
        <f t="shared" si="152"/>
        <v>18-25</v>
      </c>
    </row>
    <row r="2151" spans="1:16" x14ac:dyDescent="0.25">
      <c r="A2151">
        <v>2150</v>
      </c>
      <c r="B2151" t="s">
        <v>9</v>
      </c>
      <c r="C2151">
        <v>448880</v>
      </c>
      <c r="D2151" t="s">
        <v>10</v>
      </c>
      <c r="E2151" t="s">
        <v>16</v>
      </c>
      <c r="F2151" t="s">
        <v>12</v>
      </c>
      <c r="G2151" t="s">
        <v>13</v>
      </c>
      <c r="H2151" t="s">
        <v>13</v>
      </c>
      <c r="I2151">
        <v>33</v>
      </c>
      <c r="J2151" t="str" cm="1">
        <f t="array" ref="J2151">_xlfn.IFS(ISBLANK(C2151),"FALTANTE",ABS((C2151-$W$5)/$X$5)&gt;1.96,"ATÍPICO",ABS((C2151-$W$5)/$X$5)&lt;=1.96,"NO ATÍPICO")</f>
        <v>NO ATÍPICO</v>
      </c>
      <c r="K2151" t="str" cm="1">
        <f t="array" ref="K2151">_xlfn.IFS(ISBLANK(I2151),"FALTANTE",ABS((I2151-$W$8)/$X$8)&gt;1.92,"ATÍPICO",ABS((I2151-$W$8)/$X$8)&lt;=1.92,"NO ATÍPICO")</f>
        <v>NO ATÍPICO</v>
      </c>
      <c r="L2151">
        <f t="shared" si="149"/>
        <v>448880</v>
      </c>
      <c r="M2151" t="str">
        <f t="shared" si="149"/>
        <v>ASALARIADO</v>
      </c>
      <c r="N2151">
        <f t="shared" si="150"/>
        <v>33</v>
      </c>
      <c r="O2151" s="19" t="str">
        <f t="shared" si="151"/>
        <v>300k–600k</v>
      </c>
      <c r="P2151" s="19" t="str">
        <f t="shared" si="152"/>
        <v>26-35</v>
      </c>
    </row>
    <row r="2152" spans="1:16" x14ac:dyDescent="0.25">
      <c r="A2152">
        <v>2151</v>
      </c>
      <c r="B2152" t="s">
        <v>15</v>
      </c>
      <c r="C2152">
        <v>10</v>
      </c>
      <c r="D2152" t="s">
        <v>10</v>
      </c>
      <c r="E2152" t="s">
        <v>16</v>
      </c>
      <c r="F2152" t="s">
        <v>12</v>
      </c>
      <c r="G2152" t="s">
        <v>13</v>
      </c>
      <c r="H2152" t="s">
        <v>13</v>
      </c>
      <c r="I2152">
        <v>26</v>
      </c>
      <c r="J2152" t="str" cm="1">
        <f t="array" ref="J2152">_xlfn.IFS(ISBLANK(C2152),"FALTANTE",ABS((C2152-$W$5)/$X$5)&gt;1.96,"ATÍPICO",ABS((C2152-$W$5)/$X$5)&lt;=1.96,"NO ATÍPICO")</f>
        <v>NO ATÍPICO</v>
      </c>
      <c r="K2152" t="str" cm="1">
        <f t="array" ref="K2152">_xlfn.IFS(ISBLANK(I2152),"FALTANTE",ABS((I2152-$W$8)/$X$8)&gt;1.92,"ATÍPICO",ABS((I2152-$W$8)/$X$8)&lt;=1.92,"NO ATÍPICO")</f>
        <v>NO ATÍPICO</v>
      </c>
      <c r="L2152">
        <f t="shared" si="149"/>
        <v>10</v>
      </c>
      <c r="M2152" t="str">
        <f t="shared" si="149"/>
        <v>ASALARIADO</v>
      </c>
      <c r="N2152">
        <f t="shared" si="150"/>
        <v>26</v>
      </c>
      <c r="O2152" s="19" t="str">
        <f t="shared" si="151"/>
        <v>0–300k</v>
      </c>
      <c r="P2152" s="19" t="str">
        <f t="shared" si="152"/>
        <v>26-35</v>
      </c>
    </row>
    <row r="2153" spans="1:16" x14ac:dyDescent="0.25">
      <c r="A2153">
        <v>2152</v>
      </c>
      <c r="B2153" t="s">
        <v>9</v>
      </c>
      <c r="C2153">
        <v>237717.86</v>
      </c>
      <c r="D2153" t="s">
        <v>10</v>
      </c>
      <c r="E2153" t="s">
        <v>16</v>
      </c>
      <c r="F2153" t="s">
        <v>12</v>
      </c>
      <c r="G2153" t="s">
        <v>13</v>
      </c>
      <c r="H2153" t="s">
        <v>12</v>
      </c>
      <c r="I2153">
        <v>23</v>
      </c>
      <c r="J2153" t="str" cm="1">
        <f t="array" ref="J2153">_xlfn.IFS(ISBLANK(C2153),"FALTANTE",ABS((C2153-$W$5)/$X$5)&gt;1.96,"ATÍPICO",ABS((C2153-$W$5)/$X$5)&lt;=1.96,"NO ATÍPICO")</f>
        <v>NO ATÍPICO</v>
      </c>
      <c r="K2153" t="str" cm="1">
        <f t="array" ref="K2153">_xlfn.IFS(ISBLANK(I2153),"FALTANTE",ABS((I2153-$W$8)/$X$8)&gt;1.92,"ATÍPICO",ABS((I2153-$W$8)/$X$8)&lt;=1.92,"NO ATÍPICO")</f>
        <v>NO ATÍPICO</v>
      </c>
      <c r="L2153">
        <f t="shared" si="149"/>
        <v>237717.86</v>
      </c>
      <c r="M2153" t="str">
        <f t="shared" si="149"/>
        <v>ASALARIADO</v>
      </c>
      <c r="N2153">
        <f t="shared" si="150"/>
        <v>23</v>
      </c>
      <c r="O2153" s="19" t="str">
        <f t="shared" si="151"/>
        <v>0–300k</v>
      </c>
      <c r="P2153" s="19" t="str">
        <f t="shared" si="152"/>
        <v>18-25</v>
      </c>
    </row>
    <row r="2154" spans="1:16" x14ac:dyDescent="0.25">
      <c r="A2154">
        <v>2153</v>
      </c>
      <c r="B2154" t="s">
        <v>9</v>
      </c>
      <c r="C2154">
        <v>297045</v>
      </c>
      <c r="D2154" t="s">
        <v>17</v>
      </c>
      <c r="E2154" t="s">
        <v>16</v>
      </c>
      <c r="F2154" t="s">
        <v>12</v>
      </c>
      <c r="G2154" t="s">
        <v>12</v>
      </c>
      <c r="H2154" t="s">
        <v>13</v>
      </c>
      <c r="I2154">
        <v>30</v>
      </c>
      <c r="J2154" t="str" cm="1">
        <f t="array" ref="J2154">_xlfn.IFS(ISBLANK(C2154),"FALTANTE",ABS((C2154-$W$5)/$X$5)&gt;1.96,"ATÍPICO",ABS((C2154-$W$5)/$X$5)&lt;=1.96,"NO ATÍPICO")</f>
        <v>NO ATÍPICO</v>
      </c>
      <c r="K2154" t="str" cm="1">
        <f t="array" ref="K2154">_xlfn.IFS(ISBLANK(I2154),"FALTANTE",ABS((I2154-$W$8)/$X$8)&gt;1.92,"ATÍPICO",ABS((I2154-$W$8)/$X$8)&lt;=1.92,"NO ATÍPICO")</f>
        <v>NO ATÍPICO</v>
      </c>
      <c r="L2154">
        <f t="shared" si="149"/>
        <v>297045</v>
      </c>
      <c r="M2154" t="str">
        <f t="shared" si="149"/>
        <v>ASEGURADO VOLUNTARIO</v>
      </c>
      <c r="N2154">
        <f t="shared" si="150"/>
        <v>30</v>
      </c>
      <c r="O2154" s="19" t="str">
        <f t="shared" si="151"/>
        <v>0–300k</v>
      </c>
      <c r="P2154" s="19" t="str">
        <f t="shared" si="152"/>
        <v>26-35</v>
      </c>
    </row>
    <row r="2155" spans="1:16" x14ac:dyDescent="0.25">
      <c r="A2155">
        <v>2154</v>
      </c>
      <c r="B2155" t="s">
        <v>15</v>
      </c>
      <c r="C2155">
        <v>585854</v>
      </c>
      <c r="D2155" t="s">
        <v>14</v>
      </c>
      <c r="E2155" t="s">
        <v>11</v>
      </c>
      <c r="F2155" t="s">
        <v>12</v>
      </c>
      <c r="G2155" t="s">
        <v>13</v>
      </c>
      <c r="H2155" t="s">
        <v>13</v>
      </c>
      <c r="I2155">
        <v>76</v>
      </c>
      <c r="J2155" t="str" cm="1">
        <f t="array" ref="J2155">_xlfn.IFS(ISBLANK(C2155),"FALTANTE",ABS((C2155-$W$5)/$X$5)&gt;1.96,"ATÍPICO",ABS((C2155-$W$5)/$X$5)&lt;=1.96,"NO ATÍPICO")</f>
        <v>NO ATÍPICO</v>
      </c>
      <c r="K2155" t="str" cm="1">
        <f t="array" ref="K2155">_xlfn.IFS(ISBLANK(I2155),"FALTANTE",ABS((I2155-$W$8)/$X$8)&gt;1.92,"ATÍPICO",ABS((I2155-$W$8)/$X$8)&lt;=1.92,"NO ATÍPICO")</f>
        <v>ATÍPICO</v>
      </c>
      <c r="L2155">
        <f t="shared" si="149"/>
        <v>585854</v>
      </c>
      <c r="M2155" t="str">
        <f t="shared" si="149"/>
        <v>PENSIONADOS EN SU PROPIO SISTEMA</v>
      </c>
      <c r="N2155">
        <f t="shared" si="150"/>
        <v>76</v>
      </c>
      <c r="O2155" s="19" t="str">
        <f t="shared" si="151"/>
        <v>300k–600k</v>
      </c>
      <c r="P2155" s="19" t="str">
        <f t="shared" si="152"/>
        <v>56+</v>
      </c>
    </row>
    <row r="2156" spans="1:16" x14ac:dyDescent="0.25">
      <c r="A2156">
        <v>2155</v>
      </c>
      <c r="B2156" t="s">
        <v>9</v>
      </c>
      <c r="C2156">
        <v>404467</v>
      </c>
      <c r="D2156" t="s">
        <v>17</v>
      </c>
      <c r="E2156" t="s">
        <v>16</v>
      </c>
      <c r="F2156" t="s">
        <v>12</v>
      </c>
      <c r="G2156" t="s">
        <v>13</v>
      </c>
      <c r="H2156" t="s">
        <v>13</v>
      </c>
      <c r="I2156">
        <v>58</v>
      </c>
      <c r="J2156" t="str" cm="1">
        <f t="array" ref="J2156">_xlfn.IFS(ISBLANK(C2156),"FALTANTE",ABS((C2156-$W$5)/$X$5)&gt;1.96,"ATÍPICO",ABS((C2156-$W$5)/$X$5)&lt;=1.96,"NO ATÍPICO")</f>
        <v>NO ATÍPICO</v>
      </c>
      <c r="K2156" t="str" cm="1">
        <f t="array" ref="K2156">_xlfn.IFS(ISBLANK(I2156),"FALTANTE",ABS((I2156-$W$8)/$X$8)&gt;1.92,"ATÍPICO",ABS((I2156-$W$8)/$X$8)&lt;=1.92,"NO ATÍPICO")</f>
        <v>NO ATÍPICO</v>
      </c>
      <c r="L2156">
        <f t="shared" si="149"/>
        <v>404467</v>
      </c>
      <c r="M2156" t="str">
        <f t="shared" si="149"/>
        <v>ASEGURADO VOLUNTARIO</v>
      </c>
      <c r="N2156">
        <f t="shared" si="150"/>
        <v>58</v>
      </c>
      <c r="O2156" s="19" t="str">
        <f t="shared" si="151"/>
        <v>300k–600k</v>
      </c>
      <c r="P2156" s="19" t="str">
        <f t="shared" si="152"/>
        <v>56+</v>
      </c>
    </row>
    <row r="2157" spans="1:16" x14ac:dyDescent="0.25">
      <c r="A2157">
        <v>2156</v>
      </c>
      <c r="B2157" t="s">
        <v>9</v>
      </c>
      <c r="C2157">
        <v>594092</v>
      </c>
      <c r="D2157" t="s">
        <v>18</v>
      </c>
      <c r="E2157" t="s">
        <v>16</v>
      </c>
      <c r="F2157" t="s">
        <v>12</v>
      </c>
      <c r="G2157" t="s">
        <v>12</v>
      </c>
      <c r="H2157" t="s">
        <v>12</v>
      </c>
      <c r="I2157">
        <v>48</v>
      </c>
      <c r="J2157" t="str" cm="1">
        <f t="array" ref="J2157">_xlfn.IFS(ISBLANK(C2157),"FALTANTE",ABS((C2157-$W$5)/$X$5)&gt;1.96,"ATÍPICO",ABS((C2157-$W$5)/$X$5)&lt;=1.96,"NO ATÍPICO")</f>
        <v>NO ATÍPICO</v>
      </c>
      <c r="K2157" t="str" cm="1">
        <f t="array" ref="K2157">_xlfn.IFS(ISBLANK(I2157),"FALTANTE",ABS((I2157-$W$8)/$X$8)&gt;1.92,"ATÍPICO",ABS((I2157-$W$8)/$X$8)&lt;=1.92,"NO ATÍPICO")</f>
        <v>NO ATÍPICO</v>
      </c>
      <c r="L2157">
        <f t="shared" si="149"/>
        <v>594092</v>
      </c>
      <c r="M2157" t="str">
        <f t="shared" si="149"/>
        <v>TRABAJADOR INDEPENDIENTE</v>
      </c>
      <c r="N2157">
        <f t="shared" si="150"/>
        <v>48</v>
      </c>
      <c r="O2157" s="19" t="str">
        <f t="shared" si="151"/>
        <v>300k–600k</v>
      </c>
      <c r="P2157" s="19" t="str">
        <f t="shared" si="152"/>
        <v>46-55</v>
      </c>
    </row>
    <row r="2158" spans="1:16" x14ac:dyDescent="0.25">
      <c r="A2158">
        <v>2157</v>
      </c>
      <c r="B2158" t="s">
        <v>9</v>
      </c>
      <c r="C2158">
        <v>138580</v>
      </c>
      <c r="D2158" t="s">
        <v>10</v>
      </c>
      <c r="E2158" t="s">
        <v>16</v>
      </c>
      <c r="F2158" t="s">
        <v>12</v>
      </c>
      <c r="G2158" t="s">
        <v>13</v>
      </c>
      <c r="H2158" t="s">
        <v>13</v>
      </c>
      <c r="I2158">
        <v>46</v>
      </c>
      <c r="J2158" t="str" cm="1">
        <f t="array" ref="J2158">_xlfn.IFS(ISBLANK(C2158),"FALTANTE",ABS((C2158-$W$5)/$X$5)&gt;1.96,"ATÍPICO",ABS((C2158-$W$5)/$X$5)&lt;=1.96,"NO ATÍPICO")</f>
        <v>NO ATÍPICO</v>
      </c>
      <c r="K2158" t="str" cm="1">
        <f t="array" ref="K2158">_xlfn.IFS(ISBLANK(I2158),"FALTANTE",ABS((I2158-$W$8)/$X$8)&gt;1.92,"ATÍPICO",ABS((I2158-$W$8)/$X$8)&lt;=1.92,"NO ATÍPICO")</f>
        <v>NO ATÍPICO</v>
      </c>
      <c r="L2158">
        <f t="shared" si="149"/>
        <v>138580</v>
      </c>
      <c r="M2158" t="str">
        <f t="shared" si="149"/>
        <v>ASALARIADO</v>
      </c>
      <c r="N2158">
        <f t="shared" si="150"/>
        <v>46</v>
      </c>
      <c r="O2158" s="19" t="str">
        <f t="shared" si="151"/>
        <v>0–300k</v>
      </c>
      <c r="P2158" s="19" t="str">
        <f t="shared" si="152"/>
        <v>46-55</v>
      </c>
    </row>
    <row r="2159" spans="1:16" x14ac:dyDescent="0.25">
      <c r="A2159">
        <v>2158</v>
      </c>
      <c r="B2159" t="s">
        <v>15</v>
      </c>
      <c r="C2159">
        <v>1241627.95</v>
      </c>
      <c r="D2159" t="s">
        <v>14</v>
      </c>
      <c r="E2159" t="s">
        <v>11</v>
      </c>
      <c r="F2159" t="s">
        <v>12</v>
      </c>
      <c r="G2159" t="s">
        <v>13</v>
      </c>
      <c r="H2159" t="s">
        <v>13</v>
      </c>
      <c r="I2159">
        <v>63</v>
      </c>
      <c r="J2159" t="str" cm="1">
        <f t="array" ref="J2159">_xlfn.IFS(ISBLANK(C2159),"FALTANTE",ABS((C2159-$W$5)/$X$5)&gt;1.96,"ATÍPICO",ABS((C2159-$W$5)/$X$5)&lt;=1.96,"NO ATÍPICO")</f>
        <v>NO ATÍPICO</v>
      </c>
      <c r="K2159" t="str" cm="1">
        <f t="array" ref="K2159">_xlfn.IFS(ISBLANK(I2159),"FALTANTE",ABS((I2159-$W$8)/$X$8)&gt;1.92,"ATÍPICO",ABS((I2159-$W$8)/$X$8)&lt;=1.92,"NO ATÍPICO")</f>
        <v>NO ATÍPICO</v>
      </c>
      <c r="L2159">
        <f t="shared" si="149"/>
        <v>1241627.95</v>
      </c>
      <c r="M2159" t="str">
        <f t="shared" si="149"/>
        <v>PENSIONADOS EN SU PROPIO SISTEMA</v>
      </c>
      <c r="N2159">
        <f t="shared" si="150"/>
        <v>63</v>
      </c>
      <c r="O2159" s="19" t="str">
        <f t="shared" si="151"/>
        <v>1200k+</v>
      </c>
      <c r="P2159" s="19" t="str">
        <f t="shared" si="152"/>
        <v>56+</v>
      </c>
    </row>
    <row r="2160" spans="1:16" x14ac:dyDescent="0.25">
      <c r="A2160">
        <v>2159</v>
      </c>
      <c r="B2160" t="s">
        <v>9</v>
      </c>
      <c r="C2160">
        <v>915020.56</v>
      </c>
      <c r="D2160" t="s">
        <v>10</v>
      </c>
      <c r="E2160" t="s">
        <v>16</v>
      </c>
      <c r="F2160" t="s">
        <v>12</v>
      </c>
      <c r="G2160" t="s">
        <v>13</v>
      </c>
      <c r="H2160" t="s">
        <v>13</v>
      </c>
      <c r="I2160">
        <v>52</v>
      </c>
      <c r="J2160" t="str" cm="1">
        <f t="array" ref="J2160">_xlfn.IFS(ISBLANK(C2160),"FALTANTE",ABS((C2160-$W$5)/$X$5)&gt;1.96,"ATÍPICO",ABS((C2160-$W$5)/$X$5)&lt;=1.96,"NO ATÍPICO")</f>
        <v>NO ATÍPICO</v>
      </c>
      <c r="K2160" t="str" cm="1">
        <f t="array" ref="K2160">_xlfn.IFS(ISBLANK(I2160),"FALTANTE",ABS((I2160-$W$8)/$X$8)&gt;1.92,"ATÍPICO",ABS((I2160-$W$8)/$X$8)&lt;=1.92,"NO ATÍPICO")</f>
        <v>NO ATÍPICO</v>
      </c>
      <c r="L2160">
        <f t="shared" si="149"/>
        <v>915020.56</v>
      </c>
      <c r="M2160" t="str">
        <f t="shared" si="149"/>
        <v>ASALARIADO</v>
      </c>
      <c r="N2160">
        <f t="shared" si="150"/>
        <v>52</v>
      </c>
      <c r="O2160" s="19" t="str">
        <f t="shared" si="151"/>
        <v>900k–1200k</v>
      </c>
      <c r="P2160" s="19" t="str">
        <f t="shared" si="152"/>
        <v>46-55</v>
      </c>
    </row>
    <row r="2161" spans="1:16" x14ac:dyDescent="0.25">
      <c r="A2161">
        <v>2160</v>
      </c>
      <c r="B2161" t="s">
        <v>9</v>
      </c>
      <c r="C2161">
        <v>569373.16</v>
      </c>
      <c r="D2161" t="s">
        <v>10</v>
      </c>
      <c r="E2161" t="s">
        <v>16</v>
      </c>
      <c r="F2161" t="s">
        <v>12</v>
      </c>
      <c r="G2161" t="s">
        <v>13</v>
      </c>
      <c r="H2161" t="s">
        <v>13</v>
      </c>
      <c r="I2161">
        <v>41</v>
      </c>
      <c r="J2161" t="str" cm="1">
        <f t="array" ref="J2161">_xlfn.IFS(ISBLANK(C2161),"FALTANTE",ABS((C2161-$W$5)/$X$5)&gt;1.96,"ATÍPICO",ABS((C2161-$W$5)/$X$5)&lt;=1.96,"NO ATÍPICO")</f>
        <v>NO ATÍPICO</v>
      </c>
      <c r="K2161" t="str" cm="1">
        <f t="array" ref="K2161">_xlfn.IFS(ISBLANK(I2161),"FALTANTE",ABS((I2161-$W$8)/$X$8)&gt;1.92,"ATÍPICO",ABS((I2161-$W$8)/$X$8)&lt;=1.92,"NO ATÍPICO")</f>
        <v>NO ATÍPICO</v>
      </c>
      <c r="L2161">
        <f t="shared" si="149"/>
        <v>569373.16</v>
      </c>
      <c r="M2161" t="str">
        <f t="shared" si="149"/>
        <v>ASALARIADO</v>
      </c>
      <c r="N2161">
        <f t="shared" si="150"/>
        <v>41</v>
      </c>
      <c r="O2161" s="19" t="str">
        <f t="shared" si="151"/>
        <v>300k–600k</v>
      </c>
      <c r="P2161" s="19" t="str">
        <f t="shared" si="152"/>
        <v>36-45</v>
      </c>
    </row>
    <row r="2162" spans="1:16" x14ac:dyDescent="0.25">
      <c r="A2162">
        <v>2161</v>
      </c>
      <c r="B2162" t="s">
        <v>9</v>
      </c>
      <c r="C2162">
        <v>457000</v>
      </c>
      <c r="D2162" t="s">
        <v>10</v>
      </c>
      <c r="E2162" t="s">
        <v>16</v>
      </c>
      <c r="F2162" t="s">
        <v>12</v>
      </c>
      <c r="G2162" t="s">
        <v>13</v>
      </c>
      <c r="H2162" t="s">
        <v>13</v>
      </c>
      <c r="I2162">
        <v>19</v>
      </c>
      <c r="J2162" t="str" cm="1">
        <f t="array" ref="J2162">_xlfn.IFS(ISBLANK(C2162),"FALTANTE",ABS((C2162-$W$5)/$X$5)&gt;1.96,"ATÍPICO",ABS((C2162-$W$5)/$X$5)&lt;=1.96,"NO ATÍPICO")</f>
        <v>NO ATÍPICO</v>
      </c>
      <c r="K2162" t="str" cm="1">
        <f t="array" ref="K2162">_xlfn.IFS(ISBLANK(I2162),"FALTANTE",ABS((I2162-$W$8)/$X$8)&gt;1.92,"ATÍPICO",ABS((I2162-$W$8)/$X$8)&lt;=1.92,"NO ATÍPICO")</f>
        <v>NO ATÍPICO</v>
      </c>
      <c r="L2162">
        <f t="shared" si="149"/>
        <v>457000</v>
      </c>
      <c r="M2162" t="str">
        <f t="shared" si="149"/>
        <v>ASALARIADO</v>
      </c>
      <c r="N2162">
        <f t="shared" si="150"/>
        <v>19</v>
      </c>
      <c r="O2162" s="19" t="str">
        <f t="shared" si="151"/>
        <v>300k–600k</v>
      </c>
      <c r="P2162" s="19" t="str">
        <f t="shared" si="152"/>
        <v>18-25</v>
      </c>
    </row>
    <row r="2163" spans="1:16" x14ac:dyDescent="0.25">
      <c r="A2163">
        <v>2162</v>
      </c>
      <c r="B2163" t="s">
        <v>9</v>
      </c>
      <c r="C2163">
        <v>440696.47</v>
      </c>
      <c r="D2163" t="s">
        <v>10</v>
      </c>
      <c r="E2163" t="s">
        <v>16</v>
      </c>
      <c r="F2163" t="s">
        <v>12</v>
      </c>
      <c r="G2163" t="s">
        <v>13</v>
      </c>
      <c r="H2163" t="s">
        <v>13</v>
      </c>
      <c r="I2163">
        <v>27</v>
      </c>
      <c r="J2163" t="str" cm="1">
        <f t="array" ref="J2163">_xlfn.IFS(ISBLANK(C2163),"FALTANTE",ABS((C2163-$W$5)/$X$5)&gt;1.96,"ATÍPICO",ABS((C2163-$W$5)/$X$5)&lt;=1.96,"NO ATÍPICO")</f>
        <v>NO ATÍPICO</v>
      </c>
      <c r="K2163" t="str" cm="1">
        <f t="array" ref="K2163">_xlfn.IFS(ISBLANK(I2163),"FALTANTE",ABS((I2163-$W$8)/$X$8)&gt;1.92,"ATÍPICO",ABS((I2163-$W$8)/$X$8)&lt;=1.92,"NO ATÍPICO")</f>
        <v>NO ATÍPICO</v>
      </c>
      <c r="L2163">
        <f t="shared" si="149"/>
        <v>440696.47</v>
      </c>
      <c r="M2163" t="str">
        <f t="shared" si="149"/>
        <v>ASALARIADO</v>
      </c>
      <c r="N2163">
        <f t="shared" si="150"/>
        <v>27</v>
      </c>
      <c r="O2163" s="19" t="str">
        <f t="shared" si="151"/>
        <v>300k–600k</v>
      </c>
      <c r="P2163" s="19" t="str">
        <f t="shared" si="152"/>
        <v>26-35</v>
      </c>
    </row>
    <row r="2164" spans="1:16" x14ac:dyDescent="0.25">
      <c r="A2164">
        <v>2163</v>
      </c>
      <c r="B2164" t="s">
        <v>15</v>
      </c>
      <c r="C2164">
        <v>1057538</v>
      </c>
      <c r="D2164" t="s">
        <v>10</v>
      </c>
      <c r="E2164" t="s">
        <v>11</v>
      </c>
      <c r="F2164" t="s">
        <v>12</v>
      </c>
      <c r="G2164" t="s">
        <v>13</v>
      </c>
      <c r="H2164" t="s">
        <v>12</v>
      </c>
      <c r="I2164">
        <v>38</v>
      </c>
      <c r="J2164" t="str" cm="1">
        <f t="array" ref="J2164">_xlfn.IFS(ISBLANK(C2164),"FALTANTE",ABS((C2164-$W$5)/$X$5)&gt;1.96,"ATÍPICO",ABS((C2164-$W$5)/$X$5)&lt;=1.96,"NO ATÍPICO")</f>
        <v>NO ATÍPICO</v>
      </c>
      <c r="K2164" t="str" cm="1">
        <f t="array" ref="K2164">_xlfn.IFS(ISBLANK(I2164),"FALTANTE",ABS((I2164-$W$8)/$X$8)&gt;1.92,"ATÍPICO",ABS((I2164-$W$8)/$X$8)&lt;=1.92,"NO ATÍPICO")</f>
        <v>NO ATÍPICO</v>
      </c>
      <c r="L2164">
        <f t="shared" si="149"/>
        <v>1057538</v>
      </c>
      <c r="M2164" t="str">
        <f t="shared" si="149"/>
        <v>ASALARIADO</v>
      </c>
      <c r="N2164">
        <f t="shared" si="150"/>
        <v>38</v>
      </c>
      <c r="O2164" s="19" t="str">
        <f t="shared" si="151"/>
        <v>900k–1200k</v>
      </c>
      <c r="P2164" s="19" t="str">
        <f t="shared" si="152"/>
        <v>36-45</v>
      </c>
    </row>
    <row r="2165" spans="1:16" x14ac:dyDescent="0.25">
      <c r="A2165">
        <v>2164</v>
      </c>
      <c r="B2165" t="s">
        <v>9</v>
      </c>
      <c r="C2165">
        <v>428222.68</v>
      </c>
      <c r="D2165" t="s">
        <v>10</v>
      </c>
      <c r="E2165" t="s">
        <v>16</v>
      </c>
      <c r="F2165" t="s">
        <v>12</v>
      </c>
      <c r="G2165" t="s">
        <v>13</v>
      </c>
      <c r="H2165" t="s">
        <v>12</v>
      </c>
      <c r="I2165">
        <v>21</v>
      </c>
      <c r="J2165" t="str" cm="1">
        <f t="array" ref="J2165">_xlfn.IFS(ISBLANK(C2165),"FALTANTE",ABS((C2165-$W$5)/$X$5)&gt;1.96,"ATÍPICO",ABS((C2165-$W$5)/$X$5)&lt;=1.96,"NO ATÍPICO")</f>
        <v>NO ATÍPICO</v>
      </c>
      <c r="K2165" t="str" cm="1">
        <f t="array" ref="K2165">_xlfn.IFS(ISBLANK(I2165),"FALTANTE",ABS((I2165-$W$8)/$X$8)&gt;1.92,"ATÍPICO",ABS((I2165-$W$8)/$X$8)&lt;=1.92,"NO ATÍPICO")</f>
        <v>NO ATÍPICO</v>
      </c>
      <c r="L2165">
        <f t="shared" si="149"/>
        <v>428222.68</v>
      </c>
      <c r="M2165" t="str">
        <f t="shared" si="149"/>
        <v>ASALARIADO</v>
      </c>
      <c r="N2165">
        <f t="shared" si="150"/>
        <v>21</v>
      </c>
      <c r="O2165" s="19" t="str">
        <f t="shared" si="151"/>
        <v>300k–600k</v>
      </c>
      <c r="P2165" s="19" t="str">
        <f t="shared" si="152"/>
        <v>18-25</v>
      </c>
    </row>
    <row r="2166" spans="1:16" x14ac:dyDescent="0.25">
      <c r="A2166">
        <v>2165</v>
      </c>
      <c r="B2166" t="s">
        <v>9</v>
      </c>
      <c r="C2166">
        <v>301566</v>
      </c>
      <c r="D2166" t="s">
        <v>18</v>
      </c>
      <c r="E2166" t="s">
        <v>16</v>
      </c>
      <c r="F2166" t="s">
        <v>12</v>
      </c>
      <c r="G2166" t="s">
        <v>13</v>
      </c>
      <c r="H2166" t="s">
        <v>13</v>
      </c>
      <c r="I2166">
        <v>20</v>
      </c>
      <c r="J2166" t="str" cm="1">
        <f t="array" ref="J2166">_xlfn.IFS(ISBLANK(C2166),"FALTANTE",ABS((C2166-$W$5)/$X$5)&gt;1.96,"ATÍPICO",ABS((C2166-$W$5)/$X$5)&lt;=1.96,"NO ATÍPICO")</f>
        <v>NO ATÍPICO</v>
      </c>
      <c r="K2166" t="str" cm="1">
        <f t="array" ref="K2166">_xlfn.IFS(ISBLANK(I2166),"FALTANTE",ABS((I2166-$W$8)/$X$8)&gt;1.92,"ATÍPICO",ABS((I2166-$W$8)/$X$8)&lt;=1.92,"NO ATÍPICO")</f>
        <v>NO ATÍPICO</v>
      </c>
      <c r="L2166">
        <f t="shared" si="149"/>
        <v>301566</v>
      </c>
      <c r="M2166" t="str">
        <f t="shared" si="149"/>
        <v>TRABAJADOR INDEPENDIENTE</v>
      </c>
      <c r="N2166">
        <f t="shared" si="150"/>
        <v>20</v>
      </c>
      <c r="O2166" s="19" t="str">
        <f t="shared" si="151"/>
        <v>300k–600k</v>
      </c>
      <c r="P2166" s="19" t="str">
        <f t="shared" si="152"/>
        <v>18-25</v>
      </c>
    </row>
    <row r="2167" spans="1:16" x14ac:dyDescent="0.25">
      <c r="A2167">
        <v>2166</v>
      </c>
      <c r="B2167" t="s">
        <v>9</v>
      </c>
      <c r="C2167">
        <v>183333</v>
      </c>
      <c r="D2167" t="s">
        <v>10</v>
      </c>
      <c r="E2167" t="s">
        <v>16</v>
      </c>
      <c r="F2167" t="s">
        <v>12</v>
      </c>
      <c r="G2167" t="s">
        <v>12</v>
      </c>
      <c r="H2167" t="s">
        <v>12</v>
      </c>
      <c r="I2167">
        <v>30</v>
      </c>
      <c r="J2167" t="str" cm="1">
        <f t="array" ref="J2167">_xlfn.IFS(ISBLANK(C2167),"FALTANTE",ABS((C2167-$W$5)/$X$5)&gt;1.96,"ATÍPICO",ABS((C2167-$W$5)/$X$5)&lt;=1.96,"NO ATÍPICO")</f>
        <v>NO ATÍPICO</v>
      </c>
      <c r="K2167" t="str" cm="1">
        <f t="array" ref="K2167">_xlfn.IFS(ISBLANK(I2167),"FALTANTE",ABS((I2167-$W$8)/$X$8)&gt;1.92,"ATÍPICO",ABS((I2167-$W$8)/$X$8)&lt;=1.92,"NO ATÍPICO")</f>
        <v>NO ATÍPICO</v>
      </c>
      <c r="L2167">
        <f t="shared" si="149"/>
        <v>183333</v>
      </c>
      <c r="M2167" t="str">
        <f t="shared" si="149"/>
        <v>ASALARIADO</v>
      </c>
      <c r="N2167">
        <f t="shared" si="150"/>
        <v>30</v>
      </c>
      <c r="O2167" s="19" t="str">
        <f t="shared" si="151"/>
        <v>0–300k</v>
      </c>
      <c r="P2167" s="19" t="str">
        <f t="shared" si="152"/>
        <v>26-35</v>
      </c>
    </row>
    <row r="2168" spans="1:16" x14ac:dyDescent="0.25">
      <c r="A2168">
        <v>2167</v>
      </c>
      <c r="B2168" t="s">
        <v>9</v>
      </c>
      <c r="C2168">
        <v>297045</v>
      </c>
      <c r="D2168" t="s">
        <v>17</v>
      </c>
      <c r="E2168" t="s">
        <v>16</v>
      </c>
      <c r="F2168" t="s">
        <v>12</v>
      </c>
      <c r="G2168" t="s">
        <v>12</v>
      </c>
      <c r="H2168" t="s">
        <v>13</v>
      </c>
      <c r="I2168">
        <v>28</v>
      </c>
      <c r="J2168" t="str" cm="1">
        <f t="array" ref="J2168">_xlfn.IFS(ISBLANK(C2168),"FALTANTE",ABS((C2168-$W$5)/$X$5)&gt;1.96,"ATÍPICO",ABS((C2168-$W$5)/$X$5)&lt;=1.96,"NO ATÍPICO")</f>
        <v>NO ATÍPICO</v>
      </c>
      <c r="K2168" t="str" cm="1">
        <f t="array" ref="K2168">_xlfn.IFS(ISBLANK(I2168),"FALTANTE",ABS((I2168-$W$8)/$X$8)&gt;1.92,"ATÍPICO",ABS((I2168-$W$8)/$X$8)&lt;=1.92,"NO ATÍPICO")</f>
        <v>NO ATÍPICO</v>
      </c>
      <c r="L2168">
        <f t="shared" si="149"/>
        <v>297045</v>
      </c>
      <c r="M2168" t="str">
        <f t="shared" si="149"/>
        <v>ASEGURADO VOLUNTARIO</v>
      </c>
      <c r="N2168">
        <f t="shared" si="150"/>
        <v>28</v>
      </c>
      <c r="O2168" s="19" t="str">
        <f t="shared" si="151"/>
        <v>0–300k</v>
      </c>
      <c r="P2168" s="19" t="str">
        <f t="shared" si="152"/>
        <v>26-35</v>
      </c>
    </row>
    <row r="2169" spans="1:16" x14ac:dyDescent="0.25">
      <c r="A2169">
        <v>2168</v>
      </c>
      <c r="B2169" t="s">
        <v>9</v>
      </c>
      <c r="C2169">
        <v>335377.5</v>
      </c>
      <c r="D2169" t="s">
        <v>10</v>
      </c>
      <c r="E2169" t="s">
        <v>16</v>
      </c>
      <c r="F2169" t="s">
        <v>12</v>
      </c>
      <c r="G2169" t="s">
        <v>13</v>
      </c>
      <c r="H2169" t="s">
        <v>13</v>
      </c>
      <c r="I2169">
        <v>22</v>
      </c>
      <c r="J2169" t="str" cm="1">
        <f t="array" ref="J2169">_xlfn.IFS(ISBLANK(C2169),"FALTANTE",ABS((C2169-$W$5)/$X$5)&gt;1.96,"ATÍPICO",ABS((C2169-$W$5)/$X$5)&lt;=1.96,"NO ATÍPICO")</f>
        <v>NO ATÍPICO</v>
      </c>
      <c r="K2169" t="str" cm="1">
        <f t="array" ref="K2169">_xlfn.IFS(ISBLANK(I2169),"FALTANTE",ABS((I2169-$W$8)/$X$8)&gt;1.92,"ATÍPICO",ABS((I2169-$W$8)/$X$8)&lt;=1.92,"NO ATÍPICO")</f>
        <v>NO ATÍPICO</v>
      </c>
      <c r="L2169">
        <f t="shared" si="149"/>
        <v>335377.5</v>
      </c>
      <c r="M2169" t="str">
        <f t="shared" si="149"/>
        <v>ASALARIADO</v>
      </c>
      <c r="N2169">
        <f t="shared" si="150"/>
        <v>22</v>
      </c>
      <c r="O2169" s="19" t="str">
        <f t="shared" si="151"/>
        <v>300k–600k</v>
      </c>
      <c r="P2169" s="19" t="str">
        <f t="shared" si="152"/>
        <v>18-25</v>
      </c>
    </row>
    <row r="2170" spans="1:16" x14ac:dyDescent="0.25">
      <c r="A2170">
        <v>2169</v>
      </c>
      <c r="B2170" t="s">
        <v>9</v>
      </c>
      <c r="C2170">
        <v>210000</v>
      </c>
      <c r="D2170" t="s">
        <v>10</v>
      </c>
      <c r="E2170" t="s">
        <v>16</v>
      </c>
      <c r="F2170" t="s">
        <v>12</v>
      </c>
      <c r="G2170" t="s">
        <v>13</v>
      </c>
      <c r="H2170" t="s">
        <v>13</v>
      </c>
      <c r="I2170">
        <v>26</v>
      </c>
      <c r="J2170" t="str" cm="1">
        <f t="array" ref="J2170">_xlfn.IFS(ISBLANK(C2170),"FALTANTE",ABS((C2170-$W$5)/$X$5)&gt;1.96,"ATÍPICO",ABS((C2170-$W$5)/$X$5)&lt;=1.96,"NO ATÍPICO")</f>
        <v>NO ATÍPICO</v>
      </c>
      <c r="K2170" t="str" cm="1">
        <f t="array" ref="K2170">_xlfn.IFS(ISBLANK(I2170),"FALTANTE",ABS((I2170-$W$8)/$X$8)&gt;1.92,"ATÍPICO",ABS((I2170-$W$8)/$X$8)&lt;=1.92,"NO ATÍPICO")</f>
        <v>NO ATÍPICO</v>
      </c>
      <c r="L2170">
        <f t="shared" si="149"/>
        <v>210000</v>
      </c>
      <c r="M2170" t="str">
        <f t="shared" si="149"/>
        <v>ASALARIADO</v>
      </c>
      <c r="N2170">
        <f t="shared" si="150"/>
        <v>26</v>
      </c>
      <c r="O2170" s="19" t="str">
        <f t="shared" si="151"/>
        <v>0–300k</v>
      </c>
      <c r="P2170" s="19" t="str">
        <f t="shared" si="152"/>
        <v>26-35</v>
      </c>
    </row>
    <row r="2171" spans="1:16" x14ac:dyDescent="0.25">
      <c r="A2171">
        <v>2170</v>
      </c>
      <c r="B2171" t="s">
        <v>15</v>
      </c>
      <c r="C2171">
        <v>813888.34</v>
      </c>
      <c r="D2171" t="s">
        <v>10</v>
      </c>
      <c r="E2171" t="s">
        <v>11</v>
      </c>
      <c r="F2171" t="s">
        <v>12</v>
      </c>
      <c r="G2171" t="s">
        <v>13</v>
      </c>
      <c r="H2171" t="s">
        <v>13</v>
      </c>
      <c r="I2171">
        <v>29</v>
      </c>
      <c r="J2171" t="str" cm="1">
        <f t="array" ref="J2171">_xlfn.IFS(ISBLANK(C2171),"FALTANTE",ABS((C2171-$W$5)/$X$5)&gt;1.96,"ATÍPICO",ABS((C2171-$W$5)/$X$5)&lt;=1.96,"NO ATÍPICO")</f>
        <v>NO ATÍPICO</v>
      </c>
      <c r="K2171" t="str" cm="1">
        <f t="array" ref="K2171">_xlfn.IFS(ISBLANK(I2171),"FALTANTE",ABS((I2171-$W$8)/$X$8)&gt;1.92,"ATÍPICO",ABS((I2171-$W$8)/$X$8)&lt;=1.92,"NO ATÍPICO")</f>
        <v>NO ATÍPICO</v>
      </c>
      <c r="L2171">
        <f t="shared" si="149"/>
        <v>813888.34</v>
      </c>
      <c r="M2171" t="str">
        <f t="shared" si="149"/>
        <v>ASALARIADO</v>
      </c>
      <c r="N2171">
        <f t="shared" si="150"/>
        <v>29</v>
      </c>
      <c r="O2171" s="19" t="str">
        <f t="shared" si="151"/>
        <v>600k–900k</v>
      </c>
      <c r="P2171" s="19" t="str">
        <f t="shared" si="152"/>
        <v>26-35</v>
      </c>
    </row>
    <row r="2172" spans="1:16" x14ac:dyDescent="0.25">
      <c r="A2172">
        <v>2171</v>
      </c>
      <c r="B2172" t="s">
        <v>15</v>
      </c>
      <c r="C2172">
        <v>297045</v>
      </c>
      <c r="D2172" t="s">
        <v>18</v>
      </c>
      <c r="E2172" t="s">
        <v>16</v>
      </c>
      <c r="F2172" t="s">
        <v>12</v>
      </c>
      <c r="G2172" t="s">
        <v>12</v>
      </c>
      <c r="H2172" t="s">
        <v>12</v>
      </c>
      <c r="I2172">
        <v>41</v>
      </c>
      <c r="J2172" t="str" cm="1">
        <f t="array" ref="J2172">_xlfn.IFS(ISBLANK(C2172),"FALTANTE",ABS((C2172-$W$5)/$X$5)&gt;1.96,"ATÍPICO",ABS((C2172-$W$5)/$X$5)&lt;=1.96,"NO ATÍPICO")</f>
        <v>NO ATÍPICO</v>
      </c>
      <c r="K2172" t="str" cm="1">
        <f t="array" ref="K2172">_xlfn.IFS(ISBLANK(I2172),"FALTANTE",ABS((I2172-$W$8)/$X$8)&gt;1.92,"ATÍPICO",ABS((I2172-$W$8)/$X$8)&lt;=1.92,"NO ATÍPICO")</f>
        <v>NO ATÍPICO</v>
      </c>
      <c r="L2172">
        <f t="shared" si="149"/>
        <v>297045</v>
      </c>
      <c r="M2172" t="str">
        <f t="shared" si="149"/>
        <v>TRABAJADOR INDEPENDIENTE</v>
      </c>
      <c r="N2172">
        <f t="shared" si="150"/>
        <v>41</v>
      </c>
      <c r="O2172" s="19" t="str">
        <f t="shared" si="151"/>
        <v>0–300k</v>
      </c>
      <c r="P2172" s="19" t="str">
        <f t="shared" si="152"/>
        <v>36-45</v>
      </c>
    </row>
    <row r="2173" spans="1:16" x14ac:dyDescent="0.25">
      <c r="A2173">
        <v>2172</v>
      </c>
      <c r="B2173" t="s">
        <v>15</v>
      </c>
      <c r="C2173">
        <v>912428.05</v>
      </c>
      <c r="D2173" t="s">
        <v>10</v>
      </c>
      <c r="E2173" t="s">
        <v>16</v>
      </c>
      <c r="F2173" t="s">
        <v>12</v>
      </c>
      <c r="G2173" t="s">
        <v>13</v>
      </c>
      <c r="H2173" t="s">
        <v>13</v>
      </c>
      <c r="I2173">
        <v>24</v>
      </c>
      <c r="J2173" t="str" cm="1">
        <f t="array" ref="J2173">_xlfn.IFS(ISBLANK(C2173),"FALTANTE",ABS((C2173-$W$5)/$X$5)&gt;1.96,"ATÍPICO",ABS((C2173-$W$5)/$X$5)&lt;=1.96,"NO ATÍPICO")</f>
        <v>NO ATÍPICO</v>
      </c>
      <c r="K2173" t="str" cm="1">
        <f t="array" ref="K2173">_xlfn.IFS(ISBLANK(I2173),"FALTANTE",ABS((I2173-$W$8)/$X$8)&gt;1.92,"ATÍPICO",ABS((I2173-$W$8)/$X$8)&lt;=1.92,"NO ATÍPICO")</f>
        <v>NO ATÍPICO</v>
      </c>
      <c r="L2173">
        <f t="shared" si="149"/>
        <v>912428.05</v>
      </c>
      <c r="M2173" t="str">
        <f t="shared" si="149"/>
        <v>ASALARIADO</v>
      </c>
      <c r="N2173">
        <f t="shared" si="150"/>
        <v>24</v>
      </c>
      <c r="O2173" s="19" t="str">
        <f t="shared" si="151"/>
        <v>900k–1200k</v>
      </c>
      <c r="P2173" s="19" t="str">
        <f t="shared" si="152"/>
        <v>18-25</v>
      </c>
    </row>
    <row r="2174" spans="1:16" x14ac:dyDescent="0.25">
      <c r="A2174">
        <v>2173</v>
      </c>
      <c r="B2174" t="s">
        <v>9</v>
      </c>
      <c r="C2174">
        <v>762283.34</v>
      </c>
      <c r="D2174" t="s">
        <v>10</v>
      </c>
      <c r="E2174" t="s">
        <v>16</v>
      </c>
      <c r="F2174" t="s">
        <v>12</v>
      </c>
      <c r="G2174" t="s">
        <v>13</v>
      </c>
      <c r="H2174" t="s">
        <v>13</v>
      </c>
      <c r="I2174">
        <v>46</v>
      </c>
      <c r="J2174" t="str" cm="1">
        <f t="array" ref="J2174">_xlfn.IFS(ISBLANK(C2174),"FALTANTE",ABS((C2174-$W$5)/$X$5)&gt;1.96,"ATÍPICO",ABS((C2174-$W$5)/$X$5)&lt;=1.96,"NO ATÍPICO")</f>
        <v>NO ATÍPICO</v>
      </c>
      <c r="K2174" t="str" cm="1">
        <f t="array" ref="K2174">_xlfn.IFS(ISBLANK(I2174),"FALTANTE",ABS((I2174-$W$8)/$X$8)&gt;1.92,"ATÍPICO",ABS((I2174-$W$8)/$X$8)&lt;=1.92,"NO ATÍPICO")</f>
        <v>NO ATÍPICO</v>
      </c>
      <c r="L2174">
        <f t="shared" si="149"/>
        <v>762283.34</v>
      </c>
      <c r="M2174" t="str">
        <f t="shared" si="149"/>
        <v>ASALARIADO</v>
      </c>
      <c r="N2174">
        <f t="shared" si="150"/>
        <v>46</v>
      </c>
      <c r="O2174" s="19" t="str">
        <f t="shared" si="151"/>
        <v>600k–900k</v>
      </c>
      <c r="P2174" s="19" t="str">
        <f t="shared" si="152"/>
        <v>46-55</v>
      </c>
    </row>
    <row r="2175" spans="1:16" x14ac:dyDescent="0.25">
      <c r="A2175">
        <v>2174</v>
      </c>
      <c r="B2175" t="s">
        <v>9</v>
      </c>
      <c r="C2175">
        <v>213049</v>
      </c>
      <c r="D2175" t="s">
        <v>10</v>
      </c>
      <c r="E2175" t="s">
        <v>16</v>
      </c>
      <c r="F2175" t="s">
        <v>12</v>
      </c>
      <c r="G2175" t="s">
        <v>13</v>
      </c>
      <c r="H2175" t="s">
        <v>13</v>
      </c>
      <c r="I2175">
        <v>42</v>
      </c>
      <c r="J2175" t="str" cm="1">
        <f t="array" ref="J2175">_xlfn.IFS(ISBLANK(C2175),"FALTANTE",ABS((C2175-$W$5)/$X$5)&gt;1.96,"ATÍPICO",ABS((C2175-$W$5)/$X$5)&lt;=1.96,"NO ATÍPICO")</f>
        <v>NO ATÍPICO</v>
      </c>
      <c r="K2175" t="str" cm="1">
        <f t="array" ref="K2175">_xlfn.IFS(ISBLANK(I2175),"FALTANTE",ABS((I2175-$W$8)/$X$8)&gt;1.92,"ATÍPICO",ABS((I2175-$W$8)/$X$8)&lt;=1.92,"NO ATÍPICO")</f>
        <v>NO ATÍPICO</v>
      </c>
      <c r="L2175">
        <f t="shared" si="149"/>
        <v>213049</v>
      </c>
      <c r="M2175" t="str">
        <f t="shared" si="149"/>
        <v>ASALARIADO</v>
      </c>
      <c r="N2175">
        <f t="shared" si="150"/>
        <v>42</v>
      </c>
      <c r="O2175" s="19" t="str">
        <f t="shared" si="151"/>
        <v>0–300k</v>
      </c>
      <c r="P2175" s="19" t="str">
        <f t="shared" si="152"/>
        <v>36-45</v>
      </c>
    </row>
    <row r="2176" spans="1:16" x14ac:dyDescent="0.25">
      <c r="A2176">
        <v>2175</v>
      </c>
      <c r="B2176" t="s">
        <v>9</v>
      </c>
      <c r="C2176">
        <v>560000</v>
      </c>
      <c r="D2176" t="s">
        <v>10</v>
      </c>
      <c r="E2176" t="s">
        <v>16</v>
      </c>
      <c r="F2176" t="s">
        <v>12</v>
      </c>
      <c r="G2176" t="s">
        <v>13</v>
      </c>
      <c r="H2176" t="s">
        <v>13</v>
      </c>
      <c r="I2176">
        <v>47</v>
      </c>
      <c r="J2176" t="str" cm="1">
        <f t="array" ref="J2176">_xlfn.IFS(ISBLANK(C2176),"FALTANTE",ABS((C2176-$W$5)/$X$5)&gt;1.96,"ATÍPICO",ABS((C2176-$W$5)/$X$5)&lt;=1.96,"NO ATÍPICO")</f>
        <v>NO ATÍPICO</v>
      </c>
      <c r="K2176" t="str" cm="1">
        <f t="array" ref="K2176">_xlfn.IFS(ISBLANK(I2176),"FALTANTE",ABS((I2176-$W$8)/$X$8)&gt;1.92,"ATÍPICO",ABS((I2176-$W$8)/$X$8)&lt;=1.92,"NO ATÍPICO")</f>
        <v>NO ATÍPICO</v>
      </c>
      <c r="L2176">
        <f t="shared" si="149"/>
        <v>560000</v>
      </c>
      <c r="M2176" t="str">
        <f t="shared" si="149"/>
        <v>ASALARIADO</v>
      </c>
      <c r="N2176">
        <f t="shared" si="150"/>
        <v>47</v>
      </c>
      <c r="O2176" s="19" t="str">
        <f t="shared" si="151"/>
        <v>300k–600k</v>
      </c>
      <c r="P2176" s="19" t="str">
        <f t="shared" si="152"/>
        <v>46-55</v>
      </c>
    </row>
    <row r="2177" spans="1:16" x14ac:dyDescent="0.25">
      <c r="A2177">
        <v>2176</v>
      </c>
      <c r="B2177" t="s">
        <v>15</v>
      </c>
      <c r="C2177">
        <v>127390.96</v>
      </c>
      <c r="D2177" t="s">
        <v>10</v>
      </c>
      <c r="E2177" t="s">
        <v>16</v>
      </c>
      <c r="F2177" t="s">
        <v>12</v>
      </c>
      <c r="G2177" t="s">
        <v>12</v>
      </c>
      <c r="H2177" t="s">
        <v>13</v>
      </c>
      <c r="I2177">
        <v>48</v>
      </c>
      <c r="J2177" t="str" cm="1">
        <f t="array" ref="J2177">_xlfn.IFS(ISBLANK(C2177),"FALTANTE",ABS((C2177-$W$5)/$X$5)&gt;1.96,"ATÍPICO",ABS((C2177-$W$5)/$X$5)&lt;=1.96,"NO ATÍPICO")</f>
        <v>NO ATÍPICO</v>
      </c>
      <c r="K2177" t="str" cm="1">
        <f t="array" ref="K2177">_xlfn.IFS(ISBLANK(I2177),"FALTANTE",ABS((I2177-$W$8)/$X$8)&gt;1.92,"ATÍPICO",ABS((I2177-$W$8)/$X$8)&lt;=1.92,"NO ATÍPICO")</f>
        <v>NO ATÍPICO</v>
      </c>
      <c r="L2177">
        <f t="shared" si="149"/>
        <v>127390.96</v>
      </c>
      <c r="M2177" t="str">
        <f t="shared" si="149"/>
        <v>ASALARIADO</v>
      </c>
      <c r="N2177">
        <f t="shared" si="150"/>
        <v>48</v>
      </c>
      <c r="O2177" s="19" t="str">
        <f t="shared" si="151"/>
        <v>0–300k</v>
      </c>
      <c r="P2177" s="19" t="str">
        <f t="shared" si="152"/>
        <v>46-55</v>
      </c>
    </row>
    <row r="2178" spans="1:16" x14ac:dyDescent="0.25">
      <c r="A2178">
        <v>2177</v>
      </c>
      <c r="B2178" t="s">
        <v>9</v>
      </c>
      <c r="C2178">
        <v>12000</v>
      </c>
      <c r="D2178" t="s">
        <v>10</v>
      </c>
      <c r="E2178" t="s">
        <v>16</v>
      </c>
      <c r="F2178" t="s">
        <v>12</v>
      </c>
      <c r="G2178" t="s">
        <v>13</v>
      </c>
      <c r="H2178" t="s">
        <v>12</v>
      </c>
      <c r="I2178">
        <v>24</v>
      </c>
      <c r="J2178" t="str" cm="1">
        <f t="array" ref="J2178">_xlfn.IFS(ISBLANK(C2178),"FALTANTE",ABS((C2178-$W$5)/$X$5)&gt;1.96,"ATÍPICO",ABS((C2178-$W$5)/$X$5)&lt;=1.96,"NO ATÍPICO")</f>
        <v>NO ATÍPICO</v>
      </c>
      <c r="K2178" t="str" cm="1">
        <f t="array" ref="K2178">_xlfn.IFS(ISBLANK(I2178),"FALTANTE",ABS((I2178-$W$8)/$X$8)&gt;1.92,"ATÍPICO",ABS((I2178-$W$8)/$X$8)&lt;=1.92,"NO ATÍPICO")</f>
        <v>NO ATÍPICO</v>
      </c>
      <c r="L2178">
        <f t="shared" ref="L2178:M2241" si="153">C2178</f>
        <v>12000</v>
      </c>
      <c r="M2178" t="str">
        <f t="shared" si="153"/>
        <v>ASALARIADO</v>
      </c>
      <c r="N2178">
        <f t="shared" ref="N2178:N2241" si="154">I2178</f>
        <v>24</v>
      </c>
      <c r="O2178" s="19" t="str">
        <f t="shared" ref="O2178:O2241" si="155">IF(L2178&lt;=300000,"0–300k",IF(L2178&lt;=600000,"300k–600k",IF(L2178&lt;=900000,"600k–900k",IF(L2178&lt;=1200000,"900k–1200k","1200k+"))))</f>
        <v>0–300k</v>
      </c>
      <c r="P2178" s="19" t="str">
        <f t="shared" ref="P2178:P2241" si="156">IF(N2178 &lt;=25,"18-25", IF(N2178&lt;=35,"26-35", IF(N2178 &lt;=45,"36-45", IF(N2178&lt;=55,"46-55","56+"))))</f>
        <v>18-25</v>
      </c>
    </row>
    <row r="2179" spans="1:16" x14ac:dyDescent="0.25">
      <c r="A2179">
        <v>2178</v>
      </c>
      <c r="B2179" t="s">
        <v>9</v>
      </c>
      <c r="C2179">
        <v>1154586.75</v>
      </c>
      <c r="D2179" t="s">
        <v>10</v>
      </c>
      <c r="E2179" t="s">
        <v>16</v>
      </c>
      <c r="F2179" t="s">
        <v>12</v>
      </c>
      <c r="G2179" t="s">
        <v>13</v>
      </c>
      <c r="H2179" t="s">
        <v>13</v>
      </c>
      <c r="I2179">
        <v>30</v>
      </c>
      <c r="J2179" t="str" cm="1">
        <f t="array" ref="J2179">_xlfn.IFS(ISBLANK(C2179),"FALTANTE",ABS((C2179-$W$5)/$X$5)&gt;1.96,"ATÍPICO",ABS((C2179-$W$5)/$X$5)&lt;=1.96,"NO ATÍPICO")</f>
        <v>NO ATÍPICO</v>
      </c>
      <c r="K2179" t="str" cm="1">
        <f t="array" ref="K2179">_xlfn.IFS(ISBLANK(I2179),"FALTANTE",ABS((I2179-$W$8)/$X$8)&gt;1.92,"ATÍPICO",ABS((I2179-$W$8)/$X$8)&lt;=1.92,"NO ATÍPICO")</f>
        <v>NO ATÍPICO</v>
      </c>
      <c r="L2179">
        <f t="shared" si="153"/>
        <v>1154586.75</v>
      </c>
      <c r="M2179" t="str">
        <f t="shared" si="153"/>
        <v>ASALARIADO</v>
      </c>
      <c r="N2179">
        <f t="shared" si="154"/>
        <v>30</v>
      </c>
      <c r="O2179" s="19" t="str">
        <f t="shared" si="155"/>
        <v>900k–1200k</v>
      </c>
      <c r="P2179" s="19" t="str">
        <f t="shared" si="156"/>
        <v>26-35</v>
      </c>
    </row>
    <row r="2180" spans="1:16" x14ac:dyDescent="0.25">
      <c r="A2180">
        <v>2179</v>
      </c>
      <c r="B2180" t="s">
        <v>9</v>
      </c>
      <c r="C2180">
        <v>394295.68</v>
      </c>
      <c r="D2180" t="s">
        <v>10</v>
      </c>
      <c r="E2180" t="s">
        <v>16</v>
      </c>
      <c r="F2180" t="s">
        <v>12</v>
      </c>
      <c r="G2180" t="s">
        <v>13</v>
      </c>
      <c r="H2180" t="s">
        <v>13</v>
      </c>
      <c r="I2180">
        <v>42</v>
      </c>
      <c r="J2180" t="str" cm="1">
        <f t="array" ref="J2180">_xlfn.IFS(ISBLANK(C2180),"FALTANTE",ABS((C2180-$W$5)/$X$5)&gt;1.96,"ATÍPICO",ABS((C2180-$W$5)/$X$5)&lt;=1.96,"NO ATÍPICO")</f>
        <v>NO ATÍPICO</v>
      </c>
      <c r="K2180" t="str" cm="1">
        <f t="array" ref="K2180">_xlfn.IFS(ISBLANK(I2180),"FALTANTE",ABS((I2180-$W$8)/$X$8)&gt;1.92,"ATÍPICO",ABS((I2180-$W$8)/$X$8)&lt;=1.92,"NO ATÍPICO")</f>
        <v>NO ATÍPICO</v>
      </c>
      <c r="L2180">
        <f t="shared" si="153"/>
        <v>394295.68</v>
      </c>
      <c r="M2180" t="str">
        <f t="shared" si="153"/>
        <v>ASALARIADO</v>
      </c>
      <c r="N2180">
        <f t="shared" si="154"/>
        <v>42</v>
      </c>
      <c r="O2180" s="19" t="str">
        <f t="shared" si="155"/>
        <v>300k–600k</v>
      </c>
      <c r="P2180" s="19" t="str">
        <f t="shared" si="156"/>
        <v>36-45</v>
      </c>
    </row>
    <row r="2181" spans="1:16" x14ac:dyDescent="0.25">
      <c r="A2181">
        <v>2180</v>
      </c>
      <c r="B2181" t="s">
        <v>9</v>
      </c>
      <c r="C2181">
        <v>10000</v>
      </c>
      <c r="D2181" t="s">
        <v>10</v>
      </c>
      <c r="E2181" t="s">
        <v>16</v>
      </c>
      <c r="F2181" t="s">
        <v>12</v>
      </c>
      <c r="G2181" t="s">
        <v>12</v>
      </c>
      <c r="H2181" t="s">
        <v>13</v>
      </c>
      <c r="I2181">
        <v>34</v>
      </c>
      <c r="J2181" t="str" cm="1">
        <f t="array" ref="J2181">_xlfn.IFS(ISBLANK(C2181),"FALTANTE",ABS((C2181-$W$5)/$X$5)&gt;1.96,"ATÍPICO",ABS((C2181-$W$5)/$X$5)&lt;=1.96,"NO ATÍPICO")</f>
        <v>NO ATÍPICO</v>
      </c>
      <c r="K2181" t="str" cm="1">
        <f t="array" ref="K2181">_xlfn.IFS(ISBLANK(I2181),"FALTANTE",ABS((I2181-$W$8)/$X$8)&gt;1.92,"ATÍPICO",ABS((I2181-$W$8)/$X$8)&lt;=1.92,"NO ATÍPICO")</f>
        <v>NO ATÍPICO</v>
      </c>
      <c r="L2181">
        <f t="shared" si="153"/>
        <v>10000</v>
      </c>
      <c r="M2181" t="str">
        <f t="shared" si="153"/>
        <v>ASALARIADO</v>
      </c>
      <c r="N2181">
        <f t="shared" si="154"/>
        <v>34</v>
      </c>
      <c r="O2181" s="19" t="str">
        <f t="shared" si="155"/>
        <v>0–300k</v>
      </c>
      <c r="P2181" s="19" t="str">
        <f t="shared" si="156"/>
        <v>26-35</v>
      </c>
    </row>
    <row r="2182" spans="1:16" x14ac:dyDescent="0.25">
      <c r="A2182">
        <v>2181</v>
      </c>
      <c r="B2182" t="s">
        <v>9</v>
      </c>
      <c r="C2182">
        <v>295970</v>
      </c>
      <c r="D2182" t="s">
        <v>18</v>
      </c>
      <c r="E2182" t="s">
        <v>16</v>
      </c>
      <c r="F2182" t="s">
        <v>12</v>
      </c>
      <c r="G2182" t="s">
        <v>13</v>
      </c>
      <c r="H2182" t="s">
        <v>13</v>
      </c>
      <c r="I2182">
        <v>28</v>
      </c>
      <c r="J2182" t="str" cm="1">
        <f t="array" ref="J2182">_xlfn.IFS(ISBLANK(C2182),"FALTANTE",ABS((C2182-$W$5)/$X$5)&gt;1.96,"ATÍPICO",ABS((C2182-$W$5)/$X$5)&lt;=1.96,"NO ATÍPICO")</f>
        <v>NO ATÍPICO</v>
      </c>
      <c r="K2182" t="str" cm="1">
        <f t="array" ref="K2182">_xlfn.IFS(ISBLANK(I2182),"FALTANTE",ABS((I2182-$W$8)/$X$8)&gt;1.92,"ATÍPICO",ABS((I2182-$W$8)/$X$8)&lt;=1.92,"NO ATÍPICO")</f>
        <v>NO ATÍPICO</v>
      </c>
      <c r="L2182">
        <f t="shared" si="153"/>
        <v>295970</v>
      </c>
      <c r="M2182" t="str">
        <f t="shared" si="153"/>
        <v>TRABAJADOR INDEPENDIENTE</v>
      </c>
      <c r="N2182">
        <f t="shared" si="154"/>
        <v>28</v>
      </c>
      <c r="O2182" s="19" t="str">
        <f t="shared" si="155"/>
        <v>0–300k</v>
      </c>
      <c r="P2182" s="19" t="str">
        <f t="shared" si="156"/>
        <v>26-35</v>
      </c>
    </row>
    <row r="2183" spans="1:16" x14ac:dyDescent="0.25">
      <c r="A2183">
        <v>2182</v>
      </c>
      <c r="B2183" t="s">
        <v>9</v>
      </c>
      <c r="C2183">
        <v>1042448</v>
      </c>
      <c r="D2183" t="s">
        <v>10</v>
      </c>
      <c r="E2183" t="s">
        <v>16</v>
      </c>
      <c r="F2183" t="s">
        <v>12</v>
      </c>
      <c r="G2183" t="s">
        <v>13</v>
      </c>
      <c r="H2183" t="s">
        <v>13</v>
      </c>
      <c r="I2183">
        <v>33</v>
      </c>
      <c r="J2183" t="str" cm="1">
        <f t="array" ref="J2183">_xlfn.IFS(ISBLANK(C2183),"FALTANTE",ABS((C2183-$W$5)/$X$5)&gt;1.96,"ATÍPICO",ABS((C2183-$W$5)/$X$5)&lt;=1.96,"NO ATÍPICO")</f>
        <v>NO ATÍPICO</v>
      </c>
      <c r="K2183" t="str" cm="1">
        <f t="array" ref="K2183">_xlfn.IFS(ISBLANK(I2183),"FALTANTE",ABS((I2183-$W$8)/$X$8)&gt;1.92,"ATÍPICO",ABS((I2183-$W$8)/$X$8)&lt;=1.92,"NO ATÍPICO")</f>
        <v>NO ATÍPICO</v>
      </c>
      <c r="L2183">
        <f t="shared" si="153"/>
        <v>1042448</v>
      </c>
      <c r="M2183" t="str">
        <f t="shared" si="153"/>
        <v>ASALARIADO</v>
      </c>
      <c r="N2183">
        <f t="shared" si="154"/>
        <v>33</v>
      </c>
      <c r="O2183" s="19" t="str">
        <f t="shared" si="155"/>
        <v>900k–1200k</v>
      </c>
      <c r="P2183" s="19" t="str">
        <f t="shared" si="156"/>
        <v>26-35</v>
      </c>
    </row>
    <row r="2184" spans="1:16" x14ac:dyDescent="0.25">
      <c r="A2184">
        <v>2183</v>
      </c>
      <c r="B2184" t="s">
        <v>9</v>
      </c>
      <c r="C2184">
        <v>313109.76000000001</v>
      </c>
      <c r="D2184" t="s">
        <v>10</v>
      </c>
      <c r="E2184" t="s">
        <v>16</v>
      </c>
      <c r="F2184" t="s">
        <v>12</v>
      </c>
      <c r="G2184" t="s">
        <v>12</v>
      </c>
      <c r="H2184" t="s">
        <v>13</v>
      </c>
      <c r="I2184">
        <v>55</v>
      </c>
      <c r="J2184" t="str" cm="1">
        <f t="array" ref="J2184">_xlfn.IFS(ISBLANK(C2184),"FALTANTE",ABS((C2184-$W$5)/$X$5)&gt;1.96,"ATÍPICO",ABS((C2184-$W$5)/$X$5)&lt;=1.96,"NO ATÍPICO")</f>
        <v>NO ATÍPICO</v>
      </c>
      <c r="K2184" t="str" cm="1">
        <f t="array" ref="K2184">_xlfn.IFS(ISBLANK(I2184),"FALTANTE",ABS((I2184-$W$8)/$X$8)&gt;1.92,"ATÍPICO",ABS((I2184-$W$8)/$X$8)&lt;=1.92,"NO ATÍPICO")</f>
        <v>NO ATÍPICO</v>
      </c>
      <c r="L2184">
        <f t="shared" si="153"/>
        <v>313109.76000000001</v>
      </c>
      <c r="M2184" t="str">
        <f t="shared" si="153"/>
        <v>ASALARIADO</v>
      </c>
      <c r="N2184">
        <f t="shared" si="154"/>
        <v>55</v>
      </c>
      <c r="O2184" s="19" t="str">
        <f t="shared" si="155"/>
        <v>300k–600k</v>
      </c>
      <c r="P2184" s="19" t="str">
        <f t="shared" si="156"/>
        <v>46-55</v>
      </c>
    </row>
    <row r="2185" spans="1:16" x14ac:dyDescent="0.25">
      <c r="A2185">
        <v>2184</v>
      </c>
      <c r="B2185" t="s">
        <v>9</v>
      </c>
      <c r="C2185">
        <v>2030634.72</v>
      </c>
      <c r="D2185" t="s">
        <v>10</v>
      </c>
      <c r="E2185" t="s">
        <v>11</v>
      </c>
      <c r="F2185" t="s">
        <v>12</v>
      </c>
      <c r="G2185" t="s">
        <v>13</v>
      </c>
      <c r="H2185" t="s">
        <v>13</v>
      </c>
      <c r="I2185">
        <v>45</v>
      </c>
      <c r="J2185" t="str" cm="1">
        <f t="array" ref="J2185">_xlfn.IFS(ISBLANK(C2185),"FALTANTE",ABS((C2185-$W$5)/$X$5)&gt;1.96,"ATÍPICO",ABS((C2185-$W$5)/$X$5)&lt;=1.96,"NO ATÍPICO")</f>
        <v>NO ATÍPICO</v>
      </c>
      <c r="K2185" t="str" cm="1">
        <f t="array" ref="K2185">_xlfn.IFS(ISBLANK(I2185),"FALTANTE",ABS((I2185-$W$8)/$X$8)&gt;1.92,"ATÍPICO",ABS((I2185-$W$8)/$X$8)&lt;=1.92,"NO ATÍPICO")</f>
        <v>NO ATÍPICO</v>
      </c>
      <c r="L2185">
        <f t="shared" si="153"/>
        <v>2030634.72</v>
      </c>
      <c r="M2185" t="str">
        <f t="shared" si="153"/>
        <v>ASALARIADO</v>
      </c>
      <c r="N2185">
        <f t="shared" si="154"/>
        <v>45</v>
      </c>
      <c r="O2185" s="19" t="str">
        <f t="shared" si="155"/>
        <v>1200k+</v>
      </c>
      <c r="P2185" s="19" t="str">
        <f t="shared" si="156"/>
        <v>36-45</v>
      </c>
    </row>
    <row r="2186" spans="1:16" x14ac:dyDescent="0.25">
      <c r="A2186">
        <v>2185</v>
      </c>
      <c r="B2186" t="s">
        <v>9</v>
      </c>
      <c r="C2186">
        <v>975000</v>
      </c>
      <c r="D2186" t="s">
        <v>10</v>
      </c>
      <c r="E2186" t="s">
        <v>16</v>
      </c>
      <c r="F2186" t="s">
        <v>12</v>
      </c>
      <c r="G2186" t="s">
        <v>13</v>
      </c>
      <c r="H2186" t="s">
        <v>13</v>
      </c>
      <c r="I2186">
        <v>47</v>
      </c>
      <c r="J2186" t="str" cm="1">
        <f t="array" ref="J2186">_xlfn.IFS(ISBLANK(C2186),"FALTANTE",ABS((C2186-$W$5)/$X$5)&gt;1.96,"ATÍPICO",ABS((C2186-$W$5)/$X$5)&lt;=1.96,"NO ATÍPICO")</f>
        <v>NO ATÍPICO</v>
      </c>
      <c r="K2186" t="str" cm="1">
        <f t="array" ref="K2186">_xlfn.IFS(ISBLANK(I2186),"FALTANTE",ABS((I2186-$W$8)/$X$8)&gt;1.92,"ATÍPICO",ABS((I2186-$W$8)/$X$8)&lt;=1.92,"NO ATÍPICO")</f>
        <v>NO ATÍPICO</v>
      </c>
      <c r="L2186">
        <f t="shared" si="153"/>
        <v>975000</v>
      </c>
      <c r="M2186" t="str">
        <f t="shared" si="153"/>
        <v>ASALARIADO</v>
      </c>
      <c r="N2186">
        <f t="shared" si="154"/>
        <v>47</v>
      </c>
      <c r="O2186" s="19" t="str">
        <f t="shared" si="155"/>
        <v>900k–1200k</v>
      </c>
      <c r="P2186" s="19" t="str">
        <f t="shared" si="156"/>
        <v>46-55</v>
      </c>
    </row>
    <row r="2187" spans="1:16" x14ac:dyDescent="0.25">
      <c r="A2187">
        <v>2186</v>
      </c>
      <c r="B2187" t="s">
        <v>9</v>
      </c>
      <c r="C2187">
        <v>1271336.5</v>
      </c>
      <c r="D2187" t="s">
        <v>10</v>
      </c>
      <c r="E2187" t="s">
        <v>11</v>
      </c>
      <c r="F2187" t="s">
        <v>12</v>
      </c>
      <c r="G2187" t="s">
        <v>13</v>
      </c>
      <c r="H2187" t="s">
        <v>13</v>
      </c>
      <c r="I2187">
        <v>35</v>
      </c>
      <c r="J2187" t="str" cm="1">
        <f t="array" ref="J2187">_xlfn.IFS(ISBLANK(C2187),"FALTANTE",ABS((C2187-$W$5)/$X$5)&gt;1.96,"ATÍPICO",ABS((C2187-$W$5)/$X$5)&lt;=1.96,"NO ATÍPICO")</f>
        <v>NO ATÍPICO</v>
      </c>
      <c r="K2187" t="str" cm="1">
        <f t="array" ref="K2187">_xlfn.IFS(ISBLANK(I2187),"FALTANTE",ABS((I2187-$W$8)/$X$8)&gt;1.92,"ATÍPICO",ABS((I2187-$W$8)/$X$8)&lt;=1.92,"NO ATÍPICO")</f>
        <v>NO ATÍPICO</v>
      </c>
      <c r="L2187">
        <f t="shared" si="153"/>
        <v>1271336.5</v>
      </c>
      <c r="M2187" t="str">
        <f t="shared" si="153"/>
        <v>ASALARIADO</v>
      </c>
      <c r="N2187">
        <f t="shared" si="154"/>
        <v>35</v>
      </c>
      <c r="O2187" s="19" t="str">
        <f t="shared" si="155"/>
        <v>1200k+</v>
      </c>
      <c r="P2187" s="19" t="str">
        <f t="shared" si="156"/>
        <v>26-35</v>
      </c>
    </row>
    <row r="2188" spans="1:16" x14ac:dyDescent="0.25">
      <c r="A2188">
        <v>2187</v>
      </c>
      <c r="B2188" t="s">
        <v>9</v>
      </c>
      <c r="C2188">
        <v>3551482</v>
      </c>
      <c r="D2188" t="s">
        <v>14</v>
      </c>
      <c r="E2188" t="s">
        <v>11</v>
      </c>
      <c r="F2188" t="s">
        <v>12</v>
      </c>
      <c r="G2188" t="s">
        <v>13</v>
      </c>
      <c r="H2188" t="s">
        <v>13</v>
      </c>
      <c r="I2188">
        <v>64</v>
      </c>
      <c r="J2188" t="str" cm="1">
        <f t="array" ref="J2188">_xlfn.IFS(ISBLANK(C2188),"FALTANTE",ABS((C2188-$W$5)/$X$5)&gt;1.96,"ATÍPICO",ABS((C2188-$W$5)/$X$5)&lt;=1.96,"NO ATÍPICO")</f>
        <v>ATÍPICO</v>
      </c>
      <c r="K2188" t="str" cm="1">
        <f t="array" ref="K2188">_xlfn.IFS(ISBLANK(I2188),"FALTANTE",ABS((I2188-$W$8)/$X$8)&gt;1.92,"ATÍPICO",ABS((I2188-$W$8)/$X$8)&lt;=1.92,"NO ATÍPICO")</f>
        <v>NO ATÍPICO</v>
      </c>
      <c r="L2188">
        <f t="shared" si="153"/>
        <v>3551482</v>
      </c>
      <c r="M2188" t="str">
        <f t="shared" si="153"/>
        <v>PENSIONADOS EN SU PROPIO SISTEMA</v>
      </c>
      <c r="N2188">
        <f t="shared" si="154"/>
        <v>64</v>
      </c>
      <c r="O2188" s="19" t="str">
        <f t="shared" si="155"/>
        <v>1200k+</v>
      </c>
      <c r="P2188" s="19" t="str">
        <f t="shared" si="156"/>
        <v>56+</v>
      </c>
    </row>
    <row r="2189" spans="1:16" x14ac:dyDescent="0.25">
      <c r="A2189">
        <v>2188</v>
      </c>
      <c r="B2189" t="s">
        <v>15</v>
      </c>
      <c r="C2189">
        <v>297046</v>
      </c>
      <c r="D2189" t="s">
        <v>17</v>
      </c>
      <c r="E2189" t="s">
        <v>16</v>
      </c>
      <c r="F2189" t="s">
        <v>12</v>
      </c>
      <c r="G2189" t="s">
        <v>13</v>
      </c>
      <c r="H2189" t="s">
        <v>13</v>
      </c>
      <c r="I2189">
        <v>35</v>
      </c>
      <c r="J2189" t="str" cm="1">
        <f t="array" ref="J2189">_xlfn.IFS(ISBLANK(C2189),"FALTANTE",ABS((C2189-$W$5)/$X$5)&gt;1.96,"ATÍPICO",ABS((C2189-$W$5)/$X$5)&lt;=1.96,"NO ATÍPICO")</f>
        <v>NO ATÍPICO</v>
      </c>
      <c r="K2189" t="str" cm="1">
        <f t="array" ref="K2189">_xlfn.IFS(ISBLANK(I2189),"FALTANTE",ABS((I2189-$W$8)/$X$8)&gt;1.92,"ATÍPICO",ABS((I2189-$W$8)/$X$8)&lt;=1.92,"NO ATÍPICO")</f>
        <v>NO ATÍPICO</v>
      </c>
      <c r="L2189">
        <f t="shared" si="153"/>
        <v>297046</v>
      </c>
      <c r="M2189" t="str">
        <f t="shared" si="153"/>
        <v>ASEGURADO VOLUNTARIO</v>
      </c>
      <c r="N2189">
        <f t="shared" si="154"/>
        <v>35</v>
      </c>
      <c r="O2189" s="19" t="str">
        <f t="shared" si="155"/>
        <v>0–300k</v>
      </c>
      <c r="P2189" s="19" t="str">
        <f t="shared" si="156"/>
        <v>26-35</v>
      </c>
    </row>
    <row r="2190" spans="1:16" x14ac:dyDescent="0.25">
      <c r="A2190">
        <v>2189</v>
      </c>
      <c r="B2190" t="s">
        <v>15</v>
      </c>
      <c r="C2190">
        <v>301260</v>
      </c>
      <c r="D2190" t="s">
        <v>17</v>
      </c>
      <c r="E2190" t="s">
        <v>16</v>
      </c>
      <c r="F2190" t="s">
        <v>12</v>
      </c>
      <c r="G2190" t="s">
        <v>13</v>
      </c>
      <c r="H2190" t="s">
        <v>13</v>
      </c>
      <c r="I2190">
        <v>24</v>
      </c>
      <c r="J2190" t="str" cm="1">
        <f t="array" ref="J2190">_xlfn.IFS(ISBLANK(C2190),"FALTANTE",ABS((C2190-$W$5)/$X$5)&gt;1.96,"ATÍPICO",ABS((C2190-$W$5)/$X$5)&lt;=1.96,"NO ATÍPICO")</f>
        <v>NO ATÍPICO</v>
      </c>
      <c r="K2190" t="str" cm="1">
        <f t="array" ref="K2190">_xlfn.IFS(ISBLANK(I2190),"FALTANTE",ABS((I2190-$W$8)/$X$8)&gt;1.92,"ATÍPICO",ABS((I2190-$W$8)/$X$8)&lt;=1.92,"NO ATÍPICO")</f>
        <v>NO ATÍPICO</v>
      </c>
      <c r="L2190">
        <f t="shared" si="153"/>
        <v>301260</v>
      </c>
      <c r="M2190" t="str">
        <f t="shared" si="153"/>
        <v>ASEGURADO VOLUNTARIO</v>
      </c>
      <c r="N2190">
        <f t="shared" si="154"/>
        <v>24</v>
      </c>
      <c r="O2190" s="19" t="str">
        <f t="shared" si="155"/>
        <v>300k–600k</v>
      </c>
      <c r="P2190" s="19" t="str">
        <f t="shared" si="156"/>
        <v>18-25</v>
      </c>
    </row>
    <row r="2191" spans="1:16" x14ac:dyDescent="0.25">
      <c r="A2191">
        <v>2190</v>
      </c>
      <c r="B2191" t="s">
        <v>9</v>
      </c>
      <c r="C2191">
        <v>329054</v>
      </c>
      <c r="D2191" t="s">
        <v>10</v>
      </c>
      <c r="E2191" t="s">
        <v>16</v>
      </c>
      <c r="F2191" t="s">
        <v>12</v>
      </c>
      <c r="G2191" t="s">
        <v>13</v>
      </c>
      <c r="H2191" t="s">
        <v>13</v>
      </c>
      <c r="I2191">
        <v>25</v>
      </c>
      <c r="J2191" t="str" cm="1">
        <f t="array" ref="J2191">_xlfn.IFS(ISBLANK(C2191),"FALTANTE",ABS((C2191-$W$5)/$X$5)&gt;1.96,"ATÍPICO",ABS((C2191-$W$5)/$X$5)&lt;=1.96,"NO ATÍPICO")</f>
        <v>NO ATÍPICO</v>
      </c>
      <c r="K2191" t="str" cm="1">
        <f t="array" ref="K2191">_xlfn.IFS(ISBLANK(I2191),"FALTANTE",ABS((I2191-$W$8)/$X$8)&gt;1.92,"ATÍPICO",ABS((I2191-$W$8)/$X$8)&lt;=1.92,"NO ATÍPICO")</f>
        <v>NO ATÍPICO</v>
      </c>
      <c r="L2191">
        <f t="shared" si="153"/>
        <v>329054</v>
      </c>
      <c r="M2191" t="str">
        <f t="shared" si="153"/>
        <v>ASALARIADO</v>
      </c>
      <c r="N2191">
        <f t="shared" si="154"/>
        <v>25</v>
      </c>
      <c r="O2191" s="19" t="str">
        <f t="shared" si="155"/>
        <v>300k–600k</v>
      </c>
      <c r="P2191" s="19" t="str">
        <f t="shared" si="156"/>
        <v>18-25</v>
      </c>
    </row>
    <row r="2192" spans="1:16" x14ac:dyDescent="0.25">
      <c r="A2192">
        <v>2191</v>
      </c>
      <c r="B2192" t="s">
        <v>9</v>
      </c>
      <c r="C2192">
        <v>1218000</v>
      </c>
      <c r="D2192" t="s">
        <v>10</v>
      </c>
      <c r="E2192" t="s">
        <v>16</v>
      </c>
      <c r="F2192" t="s">
        <v>12</v>
      </c>
      <c r="G2192" t="s">
        <v>12</v>
      </c>
      <c r="H2192" t="s">
        <v>13</v>
      </c>
      <c r="I2192">
        <v>49</v>
      </c>
      <c r="J2192" t="str" cm="1">
        <f t="array" ref="J2192">_xlfn.IFS(ISBLANK(C2192),"FALTANTE",ABS((C2192-$W$5)/$X$5)&gt;1.96,"ATÍPICO",ABS((C2192-$W$5)/$X$5)&lt;=1.96,"NO ATÍPICO")</f>
        <v>NO ATÍPICO</v>
      </c>
      <c r="K2192" t="str" cm="1">
        <f t="array" ref="K2192">_xlfn.IFS(ISBLANK(I2192),"FALTANTE",ABS((I2192-$W$8)/$X$8)&gt;1.92,"ATÍPICO",ABS((I2192-$W$8)/$X$8)&lt;=1.92,"NO ATÍPICO")</f>
        <v>NO ATÍPICO</v>
      </c>
      <c r="L2192">
        <f t="shared" si="153"/>
        <v>1218000</v>
      </c>
      <c r="M2192" t="str">
        <f t="shared" si="153"/>
        <v>ASALARIADO</v>
      </c>
      <c r="N2192">
        <f t="shared" si="154"/>
        <v>49</v>
      </c>
      <c r="O2192" s="19" t="str">
        <f t="shared" si="155"/>
        <v>1200k+</v>
      </c>
      <c r="P2192" s="19" t="str">
        <f t="shared" si="156"/>
        <v>46-55</v>
      </c>
    </row>
    <row r="2193" spans="1:16" x14ac:dyDescent="0.25">
      <c r="A2193">
        <v>2192</v>
      </c>
      <c r="B2193" t="s">
        <v>15</v>
      </c>
      <c r="C2193">
        <v>782118.81</v>
      </c>
      <c r="D2193" t="s">
        <v>10</v>
      </c>
      <c r="E2193" t="s">
        <v>16</v>
      </c>
      <c r="F2193" t="s">
        <v>12</v>
      </c>
      <c r="G2193" t="s">
        <v>13</v>
      </c>
      <c r="H2193" t="s">
        <v>13</v>
      </c>
      <c r="I2193">
        <v>27</v>
      </c>
      <c r="J2193" t="str" cm="1">
        <f t="array" ref="J2193">_xlfn.IFS(ISBLANK(C2193),"FALTANTE",ABS((C2193-$W$5)/$X$5)&gt;1.96,"ATÍPICO",ABS((C2193-$W$5)/$X$5)&lt;=1.96,"NO ATÍPICO")</f>
        <v>NO ATÍPICO</v>
      </c>
      <c r="K2193" t="str" cm="1">
        <f t="array" ref="K2193">_xlfn.IFS(ISBLANK(I2193),"FALTANTE",ABS((I2193-$W$8)/$X$8)&gt;1.92,"ATÍPICO",ABS((I2193-$W$8)/$X$8)&lt;=1.92,"NO ATÍPICO")</f>
        <v>NO ATÍPICO</v>
      </c>
      <c r="L2193">
        <f t="shared" si="153"/>
        <v>782118.81</v>
      </c>
      <c r="M2193" t="str">
        <f t="shared" si="153"/>
        <v>ASALARIADO</v>
      </c>
      <c r="N2193">
        <f t="shared" si="154"/>
        <v>27</v>
      </c>
      <c r="O2193" s="19" t="str">
        <f t="shared" si="155"/>
        <v>600k–900k</v>
      </c>
      <c r="P2193" s="19" t="str">
        <f t="shared" si="156"/>
        <v>26-35</v>
      </c>
    </row>
    <row r="2194" spans="1:16" x14ac:dyDescent="0.25">
      <c r="A2194">
        <v>2193</v>
      </c>
      <c r="B2194" t="s">
        <v>15</v>
      </c>
      <c r="C2194">
        <v>1914699</v>
      </c>
      <c r="D2194" t="s">
        <v>10</v>
      </c>
      <c r="E2194" t="s">
        <v>11</v>
      </c>
      <c r="F2194" t="s">
        <v>12</v>
      </c>
      <c r="G2194" t="s">
        <v>13</v>
      </c>
      <c r="H2194" t="s">
        <v>13</v>
      </c>
      <c r="I2194">
        <v>59</v>
      </c>
      <c r="J2194" t="str" cm="1">
        <f t="array" ref="J2194">_xlfn.IFS(ISBLANK(C2194),"FALTANTE",ABS((C2194-$W$5)/$X$5)&gt;1.96,"ATÍPICO",ABS((C2194-$W$5)/$X$5)&lt;=1.96,"NO ATÍPICO")</f>
        <v>NO ATÍPICO</v>
      </c>
      <c r="K2194" t="str" cm="1">
        <f t="array" ref="K2194">_xlfn.IFS(ISBLANK(I2194),"FALTANTE",ABS((I2194-$W$8)/$X$8)&gt;1.92,"ATÍPICO",ABS((I2194-$W$8)/$X$8)&lt;=1.92,"NO ATÍPICO")</f>
        <v>NO ATÍPICO</v>
      </c>
      <c r="L2194">
        <f t="shared" si="153"/>
        <v>1914699</v>
      </c>
      <c r="M2194" t="str">
        <f t="shared" si="153"/>
        <v>ASALARIADO</v>
      </c>
      <c r="N2194">
        <f t="shared" si="154"/>
        <v>59</v>
      </c>
      <c r="O2194" s="19" t="str">
        <f t="shared" si="155"/>
        <v>1200k+</v>
      </c>
      <c r="P2194" s="19" t="str">
        <f t="shared" si="156"/>
        <v>56+</v>
      </c>
    </row>
    <row r="2195" spans="1:16" x14ac:dyDescent="0.25">
      <c r="A2195">
        <v>2194</v>
      </c>
      <c r="B2195" t="s">
        <v>9</v>
      </c>
      <c r="C2195">
        <v>347514</v>
      </c>
      <c r="D2195" t="s">
        <v>10</v>
      </c>
      <c r="E2195" t="s">
        <v>16</v>
      </c>
      <c r="F2195" t="s">
        <v>12</v>
      </c>
      <c r="G2195" t="s">
        <v>13</v>
      </c>
      <c r="H2195" t="s">
        <v>13</v>
      </c>
      <c r="I2195">
        <v>27</v>
      </c>
      <c r="J2195" t="str" cm="1">
        <f t="array" ref="J2195">_xlfn.IFS(ISBLANK(C2195),"FALTANTE",ABS((C2195-$W$5)/$X$5)&gt;1.96,"ATÍPICO",ABS((C2195-$W$5)/$X$5)&lt;=1.96,"NO ATÍPICO")</f>
        <v>NO ATÍPICO</v>
      </c>
      <c r="K2195" t="str" cm="1">
        <f t="array" ref="K2195">_xlfn.IFS(ISBLANK(I2195),"FALTANTE",ABS((I2195-$W$8)/$X$8)&gt;1.92,"ATÍPICO",ABS((I2195-$W$8)/$X$8)&lt;=1.92,"NO ATÍPICO")</f>
        <v>NO ATÍPICO</v>
      </c>
      <c r="L2195">
        <f t="shared" si="153"/>
        <v>347514</v>
      </c>
      <c r="M2195" t="str">
        <f t="shared" si="153"/>
        <v>ASALARIADO</v>
      </c>
      <c r="N2195">
        <f t="shared" si="154"/>
        <v>27</v>
      </c>
      <c r="O2195" s="19" t="str">
        <f t="shared" si="155"/>
        <v>300k–600k</v>
      </c>
      <c r="P2195" s="19" t="str">
        <f t="shared" si="156"/>
        <v>26-35</v>
      </c>
    </row>
    <row r="2196" spans="1:16" x14ac:dyDescent="0.25">
      <c r="A2196">
        <v>2195</v>
      </c>
      <c r="B2196" t="s">
        <v>15</v>
      </c>
      <c r="C2196">
        <v>136001</v>
      </c>
      <c r="D2196" t="s">
        <v>10</v>
      </c>
      <c r="E2196" t="s">
        <v>16</v>
      </c>
      <c r="F2196" t="s">
        <v>12</v>
      </c>
      <c r="G2196" t="s">
        <v>13</v>
      </c>
      <c r="H2196" t="s">
        <v>13</v>
      </c>
      <c r="I2196">
        <v>52</v>
      </c>
      <c r="J2196" t="str" cm="1">
        <f t="array" ref="J2196">_xlfn.IFS(ISBLANK(C2196),"FALTANTE",ABS((C2196-$W$5)/$X$5)&gt;1.96,"ATÍPICO",ABS((C2196-$W$5)/$X$5)&lt;=1.96,"NO ATÍPICO")</f>
        <v>NO ATÍPICO</v>
      </c>
      <c r="K2196" t="str" cm="1">
        <f t="array" ref="K2196">_xlfn.IFS(ISBLANK(I2196),"FALTANTE",ABS((I2196-$W$8)/$X$8)&gt;1.92,"ATÍPICO",ABS((I2196-$W$8)/$X$8)&lt;=1.92,"NO ATÍPICO")</f>
        <v>NO ATÍPICO</v>
      </c>
      <c r="L2196">
        <f t="shared" si="153"/>
        <v>136001</v>
      </c>
      <c r="M2196" t="str">
        <f t="shared" si="153"/>
        <v>ASALARIADO</v>
      </c>
      <c r="N2196">
        <f t="shared" si="154"/>
        <v>52</v>
      </c>
      <c r="O2196" s="19" t="str">
        <f t="shared" si="155"/>
        <v>0–300k</v>
      </c>
      <c r="P2196" s="19" t="str">
        <f t="shared" si="156"/>
        <v>46-55</v>
      </c>
    </row>
    <row r="2197" spans="1:16" x14ac:dyDescent="0.25">
      <c r="A2197">
        <v>2196</v>
      </c>
      <c r="B2197" t="s">
        <v>15</v>
      </c>
      <c r="C2197">
        <v>1002612</v>
      </c>
      <c r="D2197" t="s">
        <v>14</v>
      </c>
      <c r="E2197" t="s">
        <v>11</v>
      </c>
      <c r="F2197" t="s">
        <v>12</v>
      </c>
      <c r="G2197" t="s">
        <v>13</v>
      </c>
      <c r="H2197" t="s">
        <v>13</v>
      </c>
      <c r="I2197">
        <v>63</v>
      </c>
      <c r="J2197" t="str" cm="1">
        <f t="array" ref="J2197">_xlfn.IFS(ISBLANK(C2197),"FALTANTE",ABS((C2197-$W$5)/$X$5)&gt;1.96,"ATÍPICO",ABS((C2197-$W$5)/$X$5)&lt;=1.96,"NO ATÍPICO")</f>
        <v>NO ATÍPICO</v>
      </c>
      <c r="K2197" t="str" cm="1">
        <f t="array" ref="K2197">_xlfn.IFS(ISBLANK(I2197),"FALTANTE",ABS((I2197-$W$8)/$X$8)&gt;1.92,"ATÍPICO",ABS((I2197-$W$8)/$X$8)&lt;=1.92,"NO ATÍPICO")</f>
        <v>NO ATÍPICO</v>
      </c>
      <c r="L2197">
        <f t="shared" si="153"/>
        <v>1002612</v>
      </c>
      <c r="M2197" t="str">
        <f t="shared" si="153"/>
        <v>PENSIONADOS EN SU PROPIO SISTEMA</v>
      </c>
      <c r="N2197">
        <f t="shared" si="154"/>
        <v>63</v>
      </c>
      <c r="O2197" s="19" t="str">
        <f t="shared" si="155"/>
        <v>900k–1200k</v>
      </c>
      <c r="P2197" s="19" t="str">
        <f t="shared" si="156"/>
        <v>56+</v>
      </c>
    </row>
    <row r="2198" spans="1:16" x14ac:dyDescent="0.25">
      <c r="A2198">
        <v>2197</v>
      </c>
      <c r="B2198" t="s">
        <v>9</v>
      </c>
      <c r="C2198">
        <v>543686</v>
      </c>
      <c r="D2198" t="s">
        <v>10</v>
      </c>
      <c r="E2198" t="s">
        <v>11</v>
      </c>
      <c r="F2198" t="s">
        <v>12</v>
      </c>
      <c r="G2198" t="s">
        <v>13</v>
      </c>
      <c r="H2198" t="s">
        <v>12</v>
      </c>
      <c r="I2198">
        <v>49</v>
      </c>
      <c r="J2198" t="str" cm="1">
        <f t="array" ref="J2198">_xlfn.IFS(ISBLANK(C2198),"FALTANTE",ABS((C2198-$W$5)/$X$5)&gt;1.96,"ATÍPICO",ABS((C2198-$W$5)/$X$5)&lt;=1.96,"NO ATÍPICO")</f>
        <v>NO ATÍPICO</v>
      </c>
      <c r="K2198" t="str" cm="1">
        <f t="array" ref="K2198">_xlfn.IFS(ISBLANK(I2198),"FALTANTE",ABS((I2198-$W$8)/$X$8)&gt;1.92,"ATÍPICO",ABS((I2198-$W$8)/$X$8)&lt;=1.92,"NO ATÍPICO")</f>
        <v>NO ATÍPICO</v>
      </c>
      <c r="L2198">
        <f t="shared" si="153"/>
        <v>543686</v>
      </c>
      <c r="M2198" t="str">
        <f t="shared" si="153"/>
        <v>ASALARIADO</v>
      </c>
      <c r="N2198">
        <f t="shared" si="154"/>
        <v>49</v>
      </c>
      <c r="O2198" s="19" t="str">
        <f t="shared" si="155"/>
        <v>300k–600k</v>
      </c>
      <c r="P2198" s="19" t="str">
        <f t="shared" si="156"/>
        <v>46-55</v>
      </c>
    </row>
    <row r="2199" spans="1:16" x14ac:dyDescent="0.25">
      <c r="A2199">
        <v>2198</v>
      </c>
      <c r="B2199" t="s">
        <v>9</v>
      </c>
      <c r="C2199">
        <v>187645.6</v>
      </c>
      <c r="D2199" t="s">
        <v>10</v>
      </c>
      <c r="E2199" t="s">
        <v>16</v>
      </c>
      <c r="F2199" t="s">
        <v>12</v>
      </c>
      <c r="G2199" t="s">
        <v>13</v>
      </c>
      <c r="H2199" t="s">
        <v>13</v>
      </c>
      <c r="I2199">
        <v>47</v>
      </c>
      <c r="J2199" t="str" cm="1">
        <f t="array" ref="J2199">_xlfn.IFS(ISBLANK(C2199),"FALTANTE",ABS((C2199-$W$5)/$X$5)&gt;1.96,"ATÍPICO",ABS((C2199-$W$5)/$X$5)&lt;=1.96,"NO ATÍPICO")</f>
        <v>NO ATÍPICO</v>
      </c>
      <c r="K2199" t="str" cm="1">
        <f t="array" ref="K2199">_xlfn.IFS(ISBLANK(I2199),"FALTANTE",ABS((I2199-$W$8)/$X$8)&gt;1.92,"ATÍPICO",ABS((I2199-$W$8)/$X$8)&lt;=1.92,"NO ATÍPICO")</f>
        <v>NO ATÍPICO</v>
      </c>
      <c r="L2199">
        <f t="shared" si="153"/>
        <v>187645.6</v>
      </c>
      <c r="M2199" t="str">
        <f t="shared" si="153"/>
        <v>ASALARIADO</v>
      </c>
      <c r="N2199">
        <f t="shared" si="154"/>
        <v>47</v>
      </c>
      <c r="O2199" s="19" t="str">
        <f t="shared" si="155"/>
        <v>0–300k</v>
      </c>
      <c r="P2199" s="19" t="str">
        <f t="shared" si="156"/>
        <v>46-55</v>
      </c>
    </row>
    <row r="2200" spans="1:16" x14ac:dyDescent="0.25">
      <c r="A2200">
        <v>2199</v>
      </c>
      <c r="B2200" t="s">
        <v>9</v>
      </c>
      <c r="C2200">
        <v>837414</v>
      </c>
      <c r="D2200" t="s">
        <v>18</v>
      </c>
      <c r="E2200" t="s">
        <v>16</v>
      </c>
      <c r="F2200" t="s">
        <v>12</v>
      </c>
      <c r="G2200" t="s">
        <v>13</v>
      </c>
      <c r="H2200" t="s">
        <v>13</v>
      </c>
      <c r="I2200">
        <v>64</v>
      </c>
      <c r="J2200" t="str" cm="1">
        <f t="array" ref="J2200">_xlfn.IFS(ISBLANK(C2200),"FALTANTE",ABS((C2200-$W$5)/$X$5)&gt;1.96,"ATÍPICO",ABS((C2200-$W$5)/$X$5)&lt;=1.96,"NO ATÍPICO")</f>
        <v>NO ATÍPICO</v>
      </c>
      <c r="K2200" t="str" cm="1">
        <f t="array" ref="K2200">_xlfn.IFS(ISBLANK(I2200),"FALTANTE",ABS((I2200-$W$8)/$X$8)&gt;1.92,"ATÍPICO",ABS((I2200-$W$8)/$X$8)&lt;=1.92,"NO ATÍPICO")</f>
        <v>NO ATÍPICO</v>
      </c>
      <c r="L2200">
        <f t="shared" si="153"/>
        <v>837414</v>
      </c>
      <c r="M2200" t="str">
        <f t="shared" si="153"/>
        <v>TRABAJADOR INDEPENDIENTE</v>
      </c>
      <c r="N2200">
        <f t="shared" si="154"/>
        <v>64</v>
      </c>
      <c r="O2200" s="19" t="str">
        <f t="shared" si="155"/>
        <v>600k–900k</v>
      </c>
      <c r="P2200" s="19" t="str">
        <f t="shared" si="156"/>
        <v>56+</v>
      </c>
    </row>
    <row r="2201" spans="1:16" x14ac:dyDescent="0.25">
      <c r="A2201">
        <v>2200</v>
      </c>
      <c r="B2201" t="s">
        <v>9</v>
      </c>
      <c r="C2201">
        <v>140978.96</v>
      </c>
      <c r="D2201" t="s">
        <v>10</v>
      </c>
      <c r="E2201" t="s">
        <v>16</v>
      </c>
      <c r="F2201" t="s">
        <v>12</v>
      </c>
      <c r="G2201" t="s">
        <v>13</v>
      </c>
      <c r="H2201" t="s">
        <v>13</v>
      </c>
      <c r="I2201">
        <v>46</v>
      </c>
      <c r="J2201" t="str" cm="1">
        <f t="array" ref="J2201">_xlfn.IFS(ISBLANK(C2201),"FALTANTE",ABS((C2201-$W$5)/$X$5)&gt;1.96,"ATÍPICO",ABS((C2201-$W$5)/$X$5)&lt;=1.96,"NO ATÍPICO")</f>
        <v>NO ATÍPICO</v>
      </c>
      <c r="K2201" t="str" cm="1">
        <f t="array" ref="K2201">_xlfn.IFS(ISBLANK(I2201),"FALTANTE",ABS((I2201-$W$8)/$X$8)&gt;1.92,"ATÍPICO",ABS((I2201-$W$8)/$X$8)&lt;=1.92,"NO ATÍPICO")</f>
        <v>NO ATÍPICO</v>
      </c>
      <c r="L2201">
        <f t="shared" si="153"/>
        <v>140978.96</v>
      </c>
      <c r="M2201" t="str">
        <f t="shared" si="153"/>
        <v>ASALARIADO</v>
      </c>
      <c r="N2201">
        <f t="shared" si="154"/>
        <v>46</v>
      </c>
      <c r="O2201" s="19" t="str">
        <f t="shared" si="155"/>
        <v>0–300k</v>
      </c>
      <c r="P2201" s="19" t="str">
        <f t="shared" si="156"/>
        <v>46-55</v>
      </c>
    </row>
    <row r="2202" spans="1:16" x14ac:dyDescent="0.25">
      <c r="A2202">
        <v>2201</v>
      </c>
      <c r="B2202" t="s">
        <v>9</v>
      </c>
      <c r="C2202">
        <v>297046</v>
      </c>
      <c r="D2202" t="s">
        <v>17</v>
      </c>
      <c r="E2202" t="s">
        <v>16</v>
      </c>
      <c r="F2202" t="s">
        <v>12</v>
      </c>
      <c r="G2202" t="s">
        <v>12</v>
      </c>
      <c r="H2202" t="s">
        <v>12</v>
      </c>
      <c r="I2202">
        <v>37</v>
      </c>
      <c r="J2202" t="str" cm="1">
        <f t="array" ref="J2202">_xlfn.IFS(ISBLANK(C2202),"FALTANTE",ABS((C2202-$W$5)/$X$5)&gt;1.96,"ATÍPICO",ABS((C2202-$W$5)/$X$5)&lt;=1.96,"NO ATÍPICO")</f>
        <v>NO ATÍPICO</v>
      </c>
      <c r="K2202" t="str" cm="1">
        <f t="array" ref="K2202">_xlfn.IFS(ISBLANK(I2202),"FALTANTE",ABS((I2202-$W$8)/$X$8)&gt;1.92,"ATÍPICO",ABS((I2202-$W$8)/$X$8)&lt;=1.92,"NO ATÍPICO")</f>
        <v>NO ATÍPICO</v>
      </c>
      <c r="L2202">
        <f t="shared" si="153"/>
        <v>297046</v>
      </c>
      <c r="M2202" t="str">
        <f t="shared" si="153"/>
        <v>ASEGURADO VOLUNTARIO</v>
      </c>
      <c r="N2202">
        <f t="shared" si="154"/>
        <v>37</v>
      </c>
      <c r="O2202" s="19" t="str">
        <f t="shared" si="155"/>
        <v>0–300k</v>
      </c>
      <c r="P2202" s="19" t="str">
        <f t="shared" si="156"/>
        <v>36-45</v>
      </c>
    </row>
    <row r="2203" spans="1:16" x14ac:dyDescent="0.25">
      <c r="A2203">
        <v>2202</v>
      </c>
      <c r="B2203" t="s">
        <v>15</v>
      </c>
      <c r="C2203">
        <v>376750</v>
      </c>
      <c r="D2203" t="s">
        <v>10</v>
      </c>
      <c r="E2203" t="s">
        <v>16</v>
      </c>
      <c r="F2203" t="s">
        <v>12</v>
      </c>
      <c r="G2203" t="s">
        <v>13</v>
      </c>
      <c r="H2203" t="s">
        <v>13</v>
      </c>
      <c r="I2203">
        <v>24</v>
      </c>
      <c r="J2203" t="str" cm="1">
        <f t="array" ref="J2203">_xlfn.IFS(ISBLANK(C2203),"FALTANTE",ABS((C2203-$W$5)/$X$5)&gt;1.96,"ATÍPICO",ABS((C2203-$W$5)/$X$5)&lt;=1.96,"NO ATÍPICO")</f>
        <v>NO ATÍPICO</v>
      </c>
      <c r="K2203" t="str" cm="1">
        <f t="array" ref="K2203">_xlfn.IFS(ISBLANK(I2203),"FALTANTE",ABS((I2203-$W$8)/$X$8)&gt;1.92,"ATÍPICO",ABS((I2203-$W$8)/$X$8)&lt;=1.92,"NO ATÍPICO")</f>
        <v>NO ATÍPICO</v>
      </c>
      <c r="L2203">
        <f t="shared" si="153"/>
        <v>376750</v>
      </c>
      <c r="M2203" t="str">
        <f t="shared" si="153"/>
        <v>ASALARIADO</v>
      </c>
      <c r="N2203">
        <f t="shared" si="154"/>
        <v>24</v>
      </c>
      <c r="O2203" s="19" t="str">
        <f t="shared" si="155"/>
        <v>300k–600k</v>
      </c>
      <c r="P2203" s="19" t="str">
        <f t="shared" si="156"/>
        <v>18-25</v>
      </c>
    </row>
    <row r="2204" spans="1:16" x14ac:dyDescent="0.25">
      <c r="A2204">
        <v>2203</v>
      </c>
      <c r="B2204" t="s">
        <v>9</v>
      </c>
      <c r="C2204">
        <v>50000</v>
      </c>
      <c r="D2204" t="s">
        <v>10</v>
      </c>
      <c r="E2204" t="s">
        <v>16</v>
      </c>
      <c r="F2204" t="s">
        <v>12</v>
      </c>
      <c r="G2204" t="s">
        <v>12</v>
      </c>
      <c r="H2204" t="s">
        <v>13</v>
      </c>
      <c r="I2204">
        <v>34</v>
      </c>
      <c r="J2204" t="str" cm="1">
        <f t="array" ref="J2204">_xlfn.IFS(ISBLANK(C2204),"FALTANTE",ABS((C2204-$W$5)/$X$5)&gt;1.96,"ATÍPICO",ABS((C2204-$W$5)/$X$5)&lt;=1.96,"NO ATÍPICO")</f>
        <v>NO ATÍPICO</v>
      </c>
      <c r="K2204" t="str" cm="1">
        <f t="array" ref="K2204">_xlfn.IFS(ISBLANK(I2204),"FALTANTE",ABS((I2204-$W$8)/$X$8)&gt;1.92,"ATÍPICO",ABS((I2204-$W$8)/$X$8)&lt;=1.92,"NO ATÍPICO")</f>
        <v>NO ATÍPICO</v>
      </c>
      <c r="L2204">
        <f t="shared" si="153"/>
        <v>50000</v>
      </c>
      <c r="M2204" t="str">
        <f t="shared" si="153"/>
        <v>ASALARIADO</v>
      </c>
      <c r="N2204">
        <f t="shared" si="154"/>
        <v>34</v>
      </c>
      <c r="O2204" s="19" t="str">
        <f t="shared" si="155"/>
        <v>0–300k</v>
      </c>
      <c r="P2204" s="19" t="str">
        <f t="shared" si="156"/>
        <v>26-35</v>
      </c>
    </row>
    <row r="2205" spans="1:16" x14ac:dyDescent="0.25">
      <c r="A2205">
        <v>2204</v>
      </c>
      <c r="B2205" t="s">
        <v>15</v>
      </c>
      <c r="C2205">
        <v>278030</v>
      </c>
      <c r="D2205" t="s">
        <v>19</v>
      </c>
      <c r="E2205" t="s">
        <v>16</v>
      </c>
      <c r="F2205" t="s">
        <v>12</v>
      </c>
      <c r="G2205" t="s">
        <v>13</v>
      </c>
      <c r="H2205" t="s">
        <v>13</v>
      </c>
      <c r="I2205">
        <v>51</v>
      </c>
      <c r="J2205" t="str" cm="1">
        <f t="array" ref="J2205">_xlfn.IFS(ISBLANK(C2205),"FALTANTE",ABS((C2205-$W$5)/$X$5)&gt;1.96,"ATÍPICO",ABS((C2205-$W$5)/$X$5)&lt;=1.96,"NO ATÍPICO")</f>
        <v>NO ATÍPICO</v>
      </c>
      <c r="K2205" t="str" cm="1">
        <f t="array" ref="K2205">_xlfn.IFS(ISBLANK(I2205),"FALTANTE",ABS((I2205-$W$8)/$X$8)&gt;1.92,"ATÍPICO",ABS((I2205-$W$8)/$X$8)&lt;=1.92,"NO ATÍPICO")</f>
        <v>NO ATÍPICO</v>
      </c>
      <c r="L2205">
        <f t="shared" si="153"/>
        <v>278030</v>
      </c>
      <c r="M2205" t="str">
        <f t="shared" si="153"/>
        <v>CONVENIOS ESPECIALES DE TRABAJADORES INDEPENDIENTES</v>
      </c>
      <c r="N2205">
        <f t="shared" si="154"/>
        <v>51</v>
      </c>
      <c r="O2205" s="19" t="str">
        <f t="shared" si="155"/>
        <v>0–300k</v>
      </c>
      <c r="P2205" s="19" t="str">
        <f t="shared" si="156"/>
        <v>46-55</v>
      </c>
    </row>
    <row r="2206" spans="1:16" x14ac:dyDescent="0.25">
      <c r="A2206">
        <v>2205</v>
      </c>
      <c r="B2206" t="s">
        <v>9</v>
      </c>
      <c r="C2206">
        <v>305704</v>
      </c>
      <c r="D2206" t="s">
        <v>17</v>
      </c>
      <c r="E2206" t="s">
        <v>16</v>
      </c>
      <c r="F2206" t="s">
        <v>13</v>
      </c>
      <c r="G2206" t="s">
        <v>13</v>
      </c>
      <c r="H2206" t="s">
        <v>13</v>
      </c>
      <c r="I2206">
        <v>40</v>
      </c>
      <c r="J2206" t="str" cm="1">
        <f t="array" ref="J2206">_xlfn.IFS(ISBLANK(C2206),"FALTANTE",ABS((C2206-$W$5)/$X$5)&gt;1.96,"ATÍPICO",ABS((C2206-$W$5)/$X$5)&lt;=1.96,"NO ATÍPICO")</f>
        <v>NO ATÍPICO</v>
      </c>
      <c r="K2206" t="str" cm="1">
        <f t="array" ref="K2206">_xlfn.IFS(ISBLANK(I2206),"FALTANTE",ABS((I2206-$W$8)/$X$8)&gt;1.92,"ATÍPICO",ABS((I2206-$W$8)/$X$8)&lt;=1.92,"NO ATÍPICO")</f>
        <v>NO ATÍPICO</v>
      </c>
      <c r="L2206">
        <f t="shared" si="153"/>
        <v>305704</v>
      </c>
      <c r="M2206" t="str">
        <f t="shared" si="153"/>
        <v>ASEGURADO VOLUNTARIO</v>
      </c>
      <c r="N2206">
        <f t="shared" si="154"/>
        <v>40</v>
      </c>
      <c r="O2206" s="19" t="str">
        <f t="shared" si="155"/>
        <v>300k–600k</v>
      </c>
      <c r="P2206" s="19" t="str">
        <f t="shared" si="156"/>
        <v>36-45</v>
      </c>
    </row>
    <row r="2207" spans="1:16" x14ac:dyDescent="0.25">
      <c r="A2207">
        <v>2206</v>
      </c>
      <c r="B2207" t="s">
        <v>15</v>
      </c>
      <c r="C2207">
        <v>719271.8</v>
      </c>
      <c r="D2207" t="s">
        <v>14</v>
      </c>
      <c r="E2207" t="s">
        <v>11</v>
      </c>
      <c r="F2207" t="s">
        <v>12</v>
      </c>
      <c r="G2207" t="s">
        <v>13</v>
      </c>
      <c r="H2207" t="s">
        <v>13</v>
      </c>
      <c r="I2207">
        <v>81</v>
      </c>
      <c r="J2207" t="str" cm="1">
        <f t="array" ref="J2207">_xlfn.IFS(ISBLANK(C2207),"FALTANTE",ABS((C2207-$W$5)/$X$5)&gt;1.96,"ATÍPICO",ABS((C2207-$W$5)/$X$5)&lt;=1.96,"NO ATÍPICO")</f>
        <v>NO ATÍPICO</v>
      </c>
      <c r="K2207" t="str" cm="1">
        <f t="array" ref="K2207">_xlfn.IFS(ISBLANK(I2207),"FALTANTE",ABS((I2207-$W$8)/$X$8)&gt;1.92,"ATÍPICO",ABS((I2207-$W$8)/$X$8)&lt;=1.92,"NO ATÍPICO")</f>
        <v>ATÍPICO</v>
      </c>
      <c r="L2207">
        <f t="shared" si="153"/>
        <v>719271.8</v>
      </c>
      <c r="M2207" t="str">
        <f t="shared" si="153"/>
        <v>PENSIONADOS EN SU PROPIO SISTEMA</v>
      </c>
      <c r="N2207">
        <f t="shared" si="154"/>
        <v>81</v>
      </c>
      <c r="O2207" s="19" t="str">
        <f t="shared" si="155"/>
        <v>600k–900k</v>
      </c>
      <c r="P2207" s="19" t="str">
        <f t="shared" si="156"/>
        <v>56+</v>
      </c>
    </row>
    <row r="2208" spans="1:16" x14ac:dyDescent="0.25">
      <c r="A2208">
        <v>2207</v>
      </c>
      <c r="B2208" t="s">
        <v>15</v>
      </c>
      <c r="C2208">
        <v>1111989</v>
      </c>
      <c r="D2208" t="s">
        <v>10</v>
      </c>
      <c r="E2208" t="s">
        <v>11</v>
      </c>
      <c r="F2208" t="s">
        <v>12</v>
      </c>
      <c r="G2208" t="s">
        <v>13</v>
      </c>
      <c r="H2208" t="s">
        <v>12</v>
      </c>
      <c r="I2208">
        <v>53</v>
      </c>
      <c r="J2208" t="str" cm="1">
        <f t="array" ref="J2208">_xlfn.IFS(ISBLANK(C2208),"FALTANTE",ABS((C2208-$W$5)/$X$5)&gt;1.96,"ATÍPICO",ABS((C2208-$W$5)/$X$5)&lt;=1.96,"NO ATÍPICO")</f>
        <v>NO ATÍPICO</v>
      </c>
      <c r="K2208" t="str" cm="1">
        <f t="array" ref="K2208">_xlfn.IFS(ISBLANK(I2208),"FALTANTE",ABS((I2208-$W$8)/$X$8)&gt;1.92,"ATÍPICO",ABS((I2208-$W$8)/$X$8)&lt;=1.92,"NO ATÍPICO")</f>
        <v>NO ATÍPICO</v>
      </c>
      <c r="L2208">
        <f t="shared" si="153"/>
        <v>1111989</v>
      </c>
      <c r="M2208" t="str">
        <f t="shared" si="153"/>
        <v>ASALARIADO</v>
      </c>
      <c r="N2208">
        <f t="shared" si="154"/>
        <v>53</v>
      </c>
      <c r="O2208" s="19" t="str">
        <f t="shared" si="155"/>
        <v>900k–1200k</v>
      </c>
      <c r="P2208" s="19" t="str">
        <f t="shared" si="156"/>
        <v>46-55</v>
      </c>
    </row>
    <row r="2209" spans="1:16" x14ac:dyDescent="0.25">
      <c r="A2209">
        <v>2208</v>
      </c>
      <c r="B2209" t="s">
        <v>15</v>
      </c>
      <c r="C2209">
        <v>1214632</v>
      </c>
      <c r="D2209" t="s">
        <v>10</v>
      </c>
      <c r="E2209" t="s">
        <v>11</v>
      </c>
      <c r="F2209" t="s">
        <v>12</v>
      </c>
      <c r="G2209" t="s">
        <v>13</v>
      </c>
      <c r="H2209" t="s">
        <v>12</v>
      </c>
      <c r="I2209">
        <v>57</v>
      </c>
      <c r="J2209" t="str" cm="1">
        <f t="array" ref="J2209">_xlfn.IFS(ISBLANK(C2209),"FALTANTE",ABS((C2209-$W$5)/$X$5)&gt;1.96,"ATÍPICO",ABS((C2209-$W$5)/$X$5)&lt;=1.96,"NO ATÍPICO")</f>
        <v>NO ATÍPICO</v>
      </c>
      <c r="K2209" t="str" cm="1">
        <f t="array" ref="K2209">_xlfn.IFS(ISBLANK(I2209),"FALTANTE",ABS((I2209-$W$8)/$X$8)&gt;1.92,"ATÍPICO",ABS((I2209-$W$8)/$X$8)&lt;=1.92,"NO ATÍPICO")</f>
        <v>NO ATÍPICO</v>
      </c>
      <c r="L2209">
        <f t="shared" si="153"/>
        <v>1214632</v>
      </c>
      <c r="M2209" t="str">
        <f t="shared" si="153"/>
        <v>ASALARIADO</v>
      </c>
      <c r="N2209">
        <f t="shared" si="154"/>
        <v>57</v>
      </c>
      <c r="O2209" s="19" t="str">
        <f t="shared" si="155"/>
        <v>1200k+</v>
      </c>
      <c r="P2209" s="19" t="str">
        <f t="shared" si="156"/>
        <v>56+</v>
      </c>
    </row>
    <row r="2210" spans="1:16" x14ac:dyDescent="0.25">
      <c r="A2210">
        <v>2209</v>
      </c>
      <c r="B2210" t="s">
        <v>15</v>
      </c>
      <c r="C2210">
        <v>550000</v>
      </c>
      <c r="D2210" t="s">
        <v>10</v>
      </c>
      <c r="E2210" t="s">
        <v>16</v>
      </c>
      <c r="F2210" t="s">
        <v>12</v>
      </c>
      <c r="G2210" t="s">
        <v>13</v>
      </c>
      <c r="H2210" t="s">
        <v>13</v>
      </c>
      <c r="I2210">
        <v>31</v>
      </c>
      <c r="J2210" t="str" cm="1">
        <f t="array" ref="J2210">_xlfn.IFS(ISBLANK(C2210),"FALTANTE",ABS((C2210-$W$5)/$X$5)&gt;1.96,"ATÍPICO",ABS((C2210-$W$5)/$X$5)&lt;=1.96,"NO ATÍPICO")</f>
        <v>NO ATÍPICO</v>
      </c>
      <c r="K2210" t="str" cm="1">
        <f t="array" ref="K2210">_xlfn.IFS(ISBLANK(I2210),"FALTANTE",ABS((I2210-$W$8)/$X$8)&gt;1.92,"ATÍPICO",ABS((I2210-$W$8)/$X$8)&lt;=1.92,"NO ATÍPICO")</f>
        <v>NO ATÍPICO</v>
      </c>
      <c r="L2210">
        <f t="shared" si="153"/>
        <v>550000</v>
      </c>
      <c r="M2210" t="str">
        <f t="shared" si="153"/>
        <v>ASALARIADO</v>
      </c>
      <c r="N2210">
        <f t="shared" si="154"/>
        <v>31</v>
      </c>
      <c r="O2210" s="19" t="str">
        <f t="shared" si="155"/>
        <v>300k–600k</v>
      </c>
      <c r="P2210" s="19" t="str">
        <f t="shared" si="156"/>
        <v>26-35</v>
      </c>
    </row>
    <row r="2211" spans="1:16" x14ac:dyDescent="0.25">
      <c r="A2211">
        <v>2210</v>
      </c>
      <c r="B2211" t="s">
        <v>9</v>
      </c>
      <c r="C2211">
        <v>721187.76</v>
      </c>
      <c r="D2211" t="s">
        <v>10</v>
      </c>
      <c r="E2211" t="s">
        <v>11</v>
      </c>
      <c r="F2211" t="s">
        <v>12</v>
      </c>
      <c r="G2211" t="s">
        <v>13</v>
      </c>
      <c r="H2211" t="s">
        <v>13</v>
      </c>
      <c r="I2211">
        <v>49</v>
      </c>
      <c r="J2211" t="str" cm="1">
        <f t="array" ref="J2211">_xlfn.IFS(ISBLANK(C2211),"FALTANTE",ABS((C2211-$W$5)/$X$5)&gt;1.96,"ATÍPICO",ABS((C2211-$W$5)/$X$5)&lt;=1.96,"NO ATÍPICO")</f>
        <v>NO ATÍPICO</v>
      </c>
      <c r="K2211" t="str" cm="1">
        <f t="array" ref="K2211">_xlfn.IFS(ISBLANK(I2211),"FALTANTE",ABS((I2211-$W$8)/$X$8)&gt;1.92,"ATÍPICO",ABS((I2211-$W$8)/$X$8)&lt;=1.92,"NO ATÍPICO")</f>
        <v>NO ATÍPICO</v>
      </c>
      <c r="L2211">
        <f t="shared" si="153"/>
        <v>721187.76</v>
      </c>
      <c r="M2211" t="str">
        <f t="shared" si="153"/>
        <v>ASALARIADO</v>
      </c>
      <c r="N2211">
        <f t="shared" si="154"/>
        <v>49</v>
      </c>
      <c r="O2211" s="19" t="str">
        <f t="shared" si="155"/>
        <v>600k–900k</v>
      </c>
      <c r="P2211" s="19" t="str">
        <f t="shared" si="156"/>
        <v>46-55</v>
      </c>
    </row>
    <row r="2212" spans="1:16" x14ac:dyDescent="0.25">
      <c r="A2212">
        <v>2211</v>
      </c>
      <c r="B2212" t="s">
        <v>9</v>
      </c>
      <c r="C2212">
        <v>333500</v>
      </c>
      <c r="D2212" t="s">
        <v>10</v>
      </c>
      <c r="E2212" t="s">
        <v>16</v>
      </c>
      <c r="F2212" t="s">
        <v>12</v>
      </c>
      <c r="G2212" t="s">
        <v>13</v>
      </c>
      <c r="H2212" t="s">
        <v>13</v>
      </c>
      <c r="I2212">
        <v>41</v>
      </c>
      <c r="J2212" t="str" cm="1">
        <f t="array" ref="J2212">_xlfn.IFS(ISBLANK(C2212),"FALTANTE",ABS((C2212-$W$5)/$X$5)&gt;1.96,"ATÍPICO",ABS((C2212-$W$5)/$X$5)&lt;=1.96,"NO ATÍPICO")</f>
        <v>NO ATÍPICO</v>
      </c>
      <c r="K2212" t="str" cm="1">
        <f t="array" ref="K2212">_xlfn.IFS(ISBLANK(I2212),"FALTANTE",ABS((I2212-$W$8)/$X$8)&gt;1.92,"ATÍPICO",ABS((I2212-$W$8)/$X$8)&lt;=1.92,"NO ATÍPICO")</f>
        <v>NO ATÍPICO</v>
      </c>
      <c r="L2212">
        <f t="shared" si="153"/>
        <v>333500</v>
      </c>
      <c r="M2212" t="str">
        <f t="shared" si="153"/>
        <v>ASALARIADO</v>
      </c>
      <c r="N2212">
        <f t="shared" si="154"/>
        <v>41</v>
      </c>
      <c r="O2212" s="19" t="str">
        <f t="shared" si="155"/>
        <v>300k–600k</v>
      </c>
      <c r="P2212" s="19" t="str">
        <f t="shared" si="156"/>
        <v>36-45</v>
      </c>
    </row>
    <row r="2213" spans="1:16" x14ac:dyDescent="0.25">
      <c r="A2213">
        <v>2212</v>
      </c>
      <c r="B2213" t="s">
        <v>9</v>
      </c>
      <c r="C2213">
        <v>1371326</v>
      </c>
      <c r="D2213" t="s">
        <v>10</v>
      </c>
      <c r="E2213" t="s">
        <v>11</v>
      </c>
      <c r="F2213" t="s">
        <v>12</v>
      </c>
      <c r="G2213" t="s">
        <v>13</v>
      </c>
      <c r="H2213" t="s">
        <v>13</v>
      </c>
      <c r="I2213">
        <v>51</v>
      </c>
      <c r="J2213" t="str" cm="1">
        <f t="array" ref="J2213">_xlfn.IFS(ISBLANK(C2213),"FALTANTE",ABS((C2213-$W$5)/$X$5)&gt;1.96,"ATÍPICO",ABS((C2213-$W$5)/$X$5)&lt;=1.96,"NO ATÍPICO")</f>
        <v>NO ATÍPICO</v>
      </c>
      <c r="K2213" t="str" cm="1">
        <f t="array" ref="K2213">_xlfn.IFS(ISBLANK(I2213),"FALTANTE",ABS((I2213-$W$8)/$X$8)&gt;1.92,"ATÍPICO",ABS((I2213-$W$8)/$X$8)&lt;=1.92,"NO ATÍPICO")</f>
        <v>NO ATÍPICO</v>
      </c>
      <c r="L2213">
        <f t="shared" si="153"/>
        <v>1371326</v>
      </c>
      <c r="M2213" t="str">
        <f t="shared" si="153"/>
        <v>ASALARIADO</v>
      </c>
      <c r="N2213">
        <f t="shared" si="154"/>
        <v>51</v>
      </c>
      <c r="O2213" s="19" t="str">
        <f t="shared" si="155"/>
        <v>1200k+</v>
      </c>
      <c r="P2213" s="19" t="str">
        <f t="shared" si="156"/>
        <v>46-55</v>
      </c>
    </row>
    <row r="2214" spans="1:16" x14ac:dyDescent="0.25">
      <c r="A2214">
        <v>2213</v>
      </c>
      <c r="B2214" t="s">
        <v>15</v>
      </c>
      <c r="C2214">
        <v>619970</v>
      </c>
      <c r="D2214" t="s">
        <v>18</v>
      </c>
      <c r="E2214" t="s">
        <v>16</v>
      </c>
      <c r="F2214" t="s">
        <v>12</v>
      </c>
      <c r="G2214" t="s">
        <v>13</v>
      </c>
      <c r="H2214" t="s">
        <v>13</v>
      </c>
      <c r="I2214">
        <v>53</v>
      </c>
      <c r="J2214" t="str" cm="1">
        <f t="array" ref="J2214">_xlfn.IFS(ISBLANK(C2214),"FALTANTE",ABS((C2214-$W$5)/$X$5)&gt;1.96,"ATÍPICO",ABS((C2214-$W$5)/$X$5)&lt;=1.96,"NO ATÍPICO")</f>
        <v>NO ATÍPICO</v>
      </c>
      <c r="K2214" t="str" cm="1">
        <f t="array" ref="K2214">_xlfn.IFS(ISBLANK(I2214),"FALTANTE",ABS((I2214-$W$8)/$X$8)&gt;1.92,"ATÍPICO",ABS((I2214-$W$8)/$X$8)&lt;=1.92,"NO ATÍPICO")</f>
        <v>NO ATÍPICO</v>
      </c>
      <c r="L2214">
        <f t="shared" si="153"/>
        <v>619970</v>
      </c>
      <c r="M2214" t="str">
        <f t="shared" si="153"/>
        <v>TRABAJADOR INDEPENDIENTE</v>
      </c>
      <c r="N2214">
        <f t="shared" si="154"/>
        <v>53</v>
      </c>
      <c r="O2214" s="19" t="str">
        <f t="shared" si="155"/>
        <v>600k–900k</v>
      </c>
      <c r="P2214" s="19" t="str">
        <f t="shared" si="156"/>
        <v>46-55</v>
      </c>
    </row>
    <row r="2215" spans="1:16" x14ac:dyDescent="0.25">
      <c r="A2215">
        <v>2214</v>
      </c>
      <c r="B2215" t="s">
        <v>9</v>
      </c>
      <c r="C2215">
        <v>361811</v>
      </c>
      <c r="D2215" t="s">
        <v>18</v>
      </c>
      <c r="E2215" t="s">
        <v>16</v>
      </c>
      <c r="F2215" t="s">
        <v>12</v>
      </c>
      <c r="G2215" t="s">
        <v>13</v>
      </c>
      <c r="H2215" t="s">
        <v>12</v>
      </c>
      <c r="I2215">
        <v>44</v>
      </c>
      <c r="J2215" t="str" cm="1">
        <f t="array" ref="J2215">_xlfn.IFS(ISBLANK(C2215),"FALTANTE",ABS((C2215-$W$5)/$X$5)&gt;1.96,"ATÍPICO",ABS((C2215-$W$5)/$X$5)&lt;=1.96,"NO ATÍPICO")</f>
        <v>NO ATÍPICO</v>
      </c>
      <c r="K2215" t="str" cm="1">
        <f t="array" ref="K2215">_xlfn.IFS(ISBLANK(I2215),"FALTANTE",ABS((I2215-$W$8)/$X$8)&gt;1.92,"ATÍPICO",ABS((I2215-$W$8)/$X$8)&lt;=1.92,"NO ATÍPICO")</f>
        <v>NO ATÍPICO</v>
      </c>
      <c r="L2215">
        <f t="shared" si="153"/>
        <v>361811</v>
      </c>
      <c r="M2215" t="str">
        <f t="shared" si="153"/>
        <v>TRABAJADOR INDEPENDIENTE</v>
      </c>
      <c r="N2215">
        <f t="shared" si="154"/>
        <v>44</v>
      </c>
      <c r="O2215" s="19" t="str">
        <f t="shared" si="155"/>
        <v>300k–600k</v>
      </c>
      <c r="P2215" s="19" t="str">
        <f t="shared" si="156"/>
        <v>36-45</v>
      </c>
    </row>
    <row r="2216" spans="1:16" x14ac:dyDescent="0.25">
      <c r="A2216">
        <v>2215</v>
      </c>
      <c r="B2216" t="s">
        <v>15</v>
      </c>
      <c r="C2216">
        <v>2329738.04</v>
      </c>
      <c r="D2216" t="s">
        <v>10</v>
      </c>
      <c r="E2216" t="s">
        <v>11</v>
      </c>
      <c r="F2216" t="s">
        <v>12</v>
      </c>
      <c r="G2216" t="s">
        <v>13</v>
      </c>
      <c r="H2216" t="s">
        <v>13</v>
      </c>
      <c r="I2216">
        <v>59</v>
      </c>
      <c r="J2216" t="str" cm="1">
        <f t="array" ref="J2216">_xlfn.IFS(ISBLANK(C2216),"FALTANTE",ABS((C2216-$W$5)/$X$5)&gt;1.96,"ATÍPICO",ABS((C2216-$W$5)/$X$5)&lt;=1.96,"NO ATÍPICO")</f>
        <v>ATÍPICO</v>
      </c>
      <c r="K2216" t="str" cm="1">
        <f t="array" ref="K2216">_xlfn.IFS(ISBLANK(I2216),"FALTANTE",ABS((I2216-$W$8)/$X$8)&gt;1.92,"ATÍPICO",ABS((I2216-$W$8)/$X$8)&lt;=1.92,"NO ATÍPICO")</f>
        <v>NO ATÍPICO</v>
      </c>
      <c r="L2216">
        <f t="shared" si="153"/>
        <v>2329738.04</v>
      </c>
      <c r="M2216" t="str">
        <f t="shared" si="153"/>
        <v>ASALARIADO</v>
      </c>
      <c r="N2216">
        <f t="shared" si="154"/>
        <v>59</v>
      </c>
      <c r="O2216" s="19" t="str">
        <f t="shared" si="155"/>
        <v>1200k+</v>
      </c>
      <c r="P2216" s="19" t="str">
        <f t="shared" si="156"/>
        <v>56+</v>
      </c>
    </row>
    <row r="2217" spans="1:16" x14ac:dyDescent="0.25">
      <c r="A2217">
        <v>2216</v>
      </c>
      <c r="B2217" t="s">
        <v>15</v>
      </c>
      <c r="C2217">
        <v>343085</v>
      </c>
      <c r="D2217" t="s">
        <v>18</v>
      </c>
      <c r="E2217" t="s">
        <v>16</v>
      </c>
      <c r="F2217" t="s">
        <v>12</v>
      </c>
      <c r="G2217" t="s">
        <v>13</v>
      </c>
      <c r="H2217" t="s">
        <v>13</v>
      </c>
      <c r="I2217">
        <v>42</v>
      </c>
      <c r="J2217" t="str" cm="1">
        <f t="array" ref="J2217">_xlfn.IFS(ISBLANK(C2217),"FALTANTE",ABS((C2217-$W$5)/$X$5)&gt;1.96,"ATÍPICO",ABS((C2217-$W$5)/$X$5)&lt;=1.96,"NO ATÍPICO")</f>
        <v>NO ATÍPICO</v>
      </c>
      <c r="K2217" t="str" cm="1">
        <f t="array" ref="K2217">_xlfn.IFS(ISBLANK(I2217),"FALTANTE",ABS((I2217-$W$8)/$X$8)&gt;1.92,"ATÍPICO",ABS((I2217-$W$8)/$X$8)&lt;=1.92,"NO ATÍPICO")</f>
        <v>NO ATÍPICO</v>
      </c>
      <c r="L2217">
        <f t="shared" si="153"/>
        <v>343085</v>
      </c>
      <c r="M2217" t="str">
        <f t="shared" si="153"/>
        <v>TRABAJADOR INDEPENDIENTE</v>
      </c>
      <c r="N2217">
        <f t="shared" si="154"/>
        <v>42</v>
      </c>
      <c r="O2217" s="19" t="str">
        <f t="shared" si="155"/>
        <v>300k–600k</v>
      </c>
      <c r="P2217" s="19" t="str">
        <f t="shared" si="156"/>
        <v>36-45</v>
      </c>
    </row>
    <row r="2218" spans="1:16" x14ac:dyDescent="0.25">
      <c r="A2218">
        <v>2217</v>
      </c>
      <c r="B2218" t="s">
        <v>15</v>
      </c>
      <c r="C2218">
        <v>1029228</v>
      </c>
      <c r="D2218" t="s">
        <v>10</v>
      </c>
      <c r="E2218" t="s">
        <v>11</v>
      </c>
      <c r="F2218" t="s">
        <v>12</v>
      </c>
      <c r="G2218" t="s">
        <v>13</v>
      </c>
      <c r="H2218" t="s">
        <v>13</v>
      </c>
      <c r="I2218">
        <v>38</v>
      </c>
      <c r="J2218" t="str" cm="1">
        <f t="array" ref="J2218">_xlfn.IFS(ISBLANK(C2218),"FALTANTE",ABS((C2218-$W$5)/$X$5)&gt;1.96,"ATÍPICO",ABS((C2218-$W$5)/$X$5)&lt;=1.96,"NO ATÍPICO")</f>
        <v>NO ATÍPICO</v>
      </c>
      <c r="K2218" t="str" cm="1">
        <f t="array" ref="K2218">_xlfn.IFS(ISBLANK(I2218),"FALTANTE",ABS((I2218-$W$8)/$X$8)&gt;1.92,"ATÍPICO",ABS((I2218-$W$8)/$X$8)&lt;=1.92,"NO ATÍPICO")</f>
        <v>NO ATÍPICO</v>
      </c>
      <c r="L2218">
        <f t="shared" si="153"/>
        <v>1029228</v>
      </c>
      <c r="M2218" t="str">
        <f t="shared" si="153"/>
        <v>ASALARIADO</v>
      </c>
      <c r="N2218">
        <f t="shared" si="154"/>
        <v>38</v>
      </c>
      <c r="O2218" s="19" t="str">
        <f t="shared" si="155"/>
        <v>900k–1200k</v>
      </c>
      <c r="P2218" s="19" t="str">
        <f t="shared" si="156"/>
        <v>36-45</v>
      </c>
    </row>
    <row r="2219" spans="1:16" x14ac:dyDescent="0.25">
      <c r="A2219">
        <v>2218</v>
      </c>
      <c r="B2219" t="s">
        <v>15</v>
      </c>
      <c r="C2219">
        <v>2725702</v>
      </c>
      <c r="D2219" t="s">
        <v>10</v>
      </c>
      <c r="E2219" t="s">
        <v>11</v>
      </c>
      <c r="F2219" t="s">
        <v>12</v>
      </c>
      <c r="G2219" t="s">
        <v>13</v>
      </c>
      <c r="H2219" t="s">
        <v>13</v>
      </c>
      <c r="I2219">
        <v>55</v>
      </c>
      <c r="J2219" t="str" cm="1">
        <f t="array" ref="J2219">_xlfn.IFS(ISBLANK(C2219),"FALTANTE",ABS((C2219-$W$5)/$X$5)&gt;1.96,"ATÍPICO",ABS((C2219-$W$5)/$X$5)&lt;=1.96,"NO ATÍPICO")</f>
        <v>ATÍPICO</v>
      </c>
      <c r="K2219" t="str" cm="1">
        <f t="array" ref="K2219">_xlfn.IFS(ISBLANK(I2219),"FALTANTE",ABS((I2219-$W$8)/$X$8)&gt;1.92,"ATÍPICO",ABS((I2219-$W$8)/$X$8)&lt;=1.92,"NO ATÍPICO")</f>
        <v>NO ATÍPICO</v>
      </c>
      <c r="L2219">
        <f t="shared" si="153"/>
        <v>2725702</v>
      </c>
      <c r="M2219" t="str">
        <f t="shared" si="153"/>
        <v>ASALARIADO</v>
      </c>
      <c r="N2219">
        <f t="shared" si="154"/>
        <v>55</v>
      </c>
      <c r="O2219" s="19" t="str">
        <f t="shared" si="155"/>
        <v>1200k+</v>
      </c>
      <c r="P2219" s="19" t="str">
        <f t="shared" si="156"/>
        <v>46-55</v>
      </c>
    </row>
    <row r="2220" spans="1:16" x14ac:dyDescent="0.25">
      <c r="A2220">
        <v>2219</v>
      </c>
      <c r="B2220" t="s">
        <v>9</v>
      </c>
      <c r="C2220">
        <v>297046</v>
      </c>
      <c r="D2220" t="s">
        <v>17</v>
      </c>
      <c r="E2220" t="s">
        <v>16</v>
      </c>
      <c r="F2220" t="s">
        <v>12</v>
      </c>
      <c r="G2220" t="s">
        <v>13</v>
      </c>
      <c r="H2220" t="s">
        <v>12</v>
      </c>
      <c r="I2220">
        <v>28</v>
      </c>
      <c r="J2220" t="str" cm="1">
        <f t="array" ref="J2220">_xlfn.IFS(ISBLANK(C2220),"FALTANTE",ABS((C2220-$W$5)/$X$5)&gt;1.96,"ATÍPICO",ABS((C2220-$W$5)/$X$5)&lt;=1.96,"NO ATÍPICO")</f>
        <v>NO ATÍPICO</v>
      </c>
      <c r="K2220" t="str" cm="1">
        <f t="array" ref="K2220">_xlfn.IFS(ISBLANK(I2220),"FALTANTE",ABS((I2220-$W$8)/$X$8)&gt;1.92,"ATÍPICO",ABS((I2220-$W$8)/$X$8)&lt;=1.92,"NO ATÍPICO")</f>
        <v>NO ATÍPICO</v>
      </c>
      <c r="L2220">
        <f t="shared" si="153"/>
        <v>297046</v>
      </c>
      <c r="M2220" t="str">
        <f t="shared" si="153"/>
        <v>ASEGURADO VOLUNTARIO</v>
      </c>
      <c r="N2220">
        <f t="shared" si="154"/>
        <v>28</v>
      </c>
      <c r="O2220" s="19" t="str">
        <f t="shared" si="155"/>
        <v>0–300k</v>
      </c>
      <c r="P2220" s="19" t="str">
        <f t="shared" si="156"/>
        <v>26-35</v>
      </c>
    </row>
    <row r="2221" spans="1:16" x14ac:dyDescent="0.25">
      <c r="A2221">
        <v>2220</v>
      </c>
      <c r="B2221" t="s">
        <v>9</v>
      </c>
      <c r="C2221">
        <v>807000</v>
      </c>
      <c r="D2221" t="s">
        <v>10</v>
      </c>
      <c r="E2221" t="s">
        <v>16</v>
      </c>
      <c r="F2221" t="s">
        <v>12</v>
      </c>
      <c r="G2221" t="s">
        <v>13</v>
      </c>
      <c r="H2221" t="s">
        <v>13</v>
      </c>
      <c r="I2221">
        <v>36</v>
      </c>
      <c r="J2221" t="str" cm="1">
        <f t="array" ref="J2221">_xlfn.IFS(ISBLANK(C2221),"FALTANTE",ABS((C2221-$W$5)/$X$5)&gt;1.96,"ATÍPICO",ABS((C2221-$W$5)/$X$5)&lt;=1.96,"NO ATÍPICO")</f>
        <v>NO ATÍPICO</v>
      </c>
      <c r="K2221" t="str" cm="1">
        <f t="array" ref="K2221">_xlfn.IFS(ISBLANK(I2221),"FALTANTE",ABS((I2221-$W$8)/$X$8)&gt;1.92,"ATÍPICO",ABS((I2221-$W$8)/$X$8)&lt;=1.92,"NO ATÍPICO")</f>
        <v>NO ATÍPICO</v>
      </c>
      <c r="L2221">
        <f t="shared" si="153"/>
        <v>807000</v>
      </c>
      <c r="M2221" t="str">
        <f t="shared" si="153"/>
        <v>ASALARIADO</v>
      </c>
      <c r="N2221">
        <f t="shared" si="154"/>
        <v>36</v>
      </c>
      <c r="O2221" s="19" t="str">
        <f t="shared" si="155"/>
        <v>600k–900k</v>
      </c>
      <c r="P2221" s="19" t="str">
        <f t="shared" si="156"/>
        <v>36-45</v>
      </c>
    </row>
    <row r="2222" spans="1:16" x14ac:dyDescent="0.25">
      <c r="A2222">
        <v>2221</v>
      </c>
      <c r="B2222" t="s">
        <v>9</v>
      </c>
      <c r="C2222">
        <v>299647</v>
      </c>
      <c r="D2222" t="s">
        <v>17</v>
      </c>
      <c r="E2222" t="s">
        <v>16</v>
      </c>
      <c r="F2222" t="s">
        <v>12</v>
      </c>
      <c r="G2222" t="s">
        <v>13</v>
      </c>
      <c r="H2222" t="s">
        <v>13</v>
      </c>
      <c r="I2222">
        <v>88</v>
      </c>
      <c r="J2222" t="str" cm="1">
        <f t="array" ref="J2222">_xlfn.IFS(ISBLANK(C2222),"FALTANTE",ABS((C2222-$W$5)/$X$5)&gt;1.96,"ATÍPICO",ABS((C2222-$W$5)/$X$5)&lt;=1.96,"NO ATÍPICO")</f>
        <v>NO ATÍPICO</v>
      </c>
      <c r="K2222" t="str" cm="1">
        <f t="array" ref="K2222">_xlfn.IFS(ISBLANK(I2222),"FALTANTE",ABS((I2222-$W$8)/$X$8)&gt;1.92,"ATÍPICO",ABS((I2222-$W$8)/$X$8)&lt;=1.92,"NO ATÍPICO")</f>
        <v>ATÍPICO</v>
      </c>
      <c r="L2222">
        <f t="shared" si="153"/>
        <v>299647</v>
      </c>
      <c r="M2222" t="str">
        <f t="shared" si="153"/>
        <v>ASEGURADO VOLUNTARIO</v>
      </c>
      <c r="N2222">
        <f t="shared" si="154"/>
        <v>88</v>
      </c>
      <c r="O2222" s="19" t="str">
        <f t="shared" si="155"/>
        <v>0–300k</v>
      </c>
      <c r="P2222" s="19" t="str">
        <f t="shared" si="156"/>
        <v>56+</v>
      </c>
    </row>
    <row r="2223" spans="1:16" x14ac:dyDescent="0.25">
      <c r="A2223">
        <v>2222</v>
      </c>
      <c r="B2223" t="s">
        <v>15</v>
      </c>
      <c r="C2223">
        <v>370090</v>
      </c>
      <c r="D2223" t="s">
        <v>18</v>
      </c>
      <c r="E2223" t="s">
        <v>16</v>
      </c>
      <c r="F2223" t="s">
        <v>12</v>
      </c>
      <c r="G2223" t="s">
        <v>13</v>
      </c>
      <c r="H2223" t="s">
        <v>13</v>
      </c>
      <c r="I2223">
        <v>63</v>
      </c>
      <c r="J2223" t="str" cm="1">
        <f t="array" ref="J2223">_xlfn.IFS(ISBLANK(C2223),"FALTANTE",ABS((C2223-$W$5)/$X$5)&gt;1.96,"ATÍPICO",ABS((C2223-$W$5)/$X$5)&lt;=1.96,"NO ATÍPICO")</f>
        <v>NO ATÍPICO</v>
      </c>
      <c r="K2223" t="str" cm="1">
        <f t="array" ref="K2223">_xlfn.IFS(ISBLANK(I2223),"FALTANTE",ABS((I2223-$W$8)/$X$8)&gt;1.92,"ATÍPICO",ABS((I2223-$W$8)/$X$8)&lt;=1.92,"NO ATÍPICO")</f>
        <v>NO ATÍPICO</v>
      </c>
      <c r="L2223">
        <f t="shared" si="153"/>
        <v>370090</v>
      </c>
      <c r="M2223" t="str">
        <f t="shared" si="153"/>
        <v>TRABAJADOR INDEPENDIENTE</v>
      </c>
      <c r="N2223">
        <f t="shared" si="154"/>
        <v>63</v>
      </c>
      <c r="O2223" s="19" t="str">
        <f t="shared" si="155"/>
        <v>300k–600k</v>
      </c>
      <c r="P2223" s="19" t="str">
        <f t="shared" si="156"/>
        <v>56+</v>
      </c>
    </row>
    <row r="2224" spans="1:16" x14ac:dyDescent="0.25">
      <c r="A2224">
        <v>2223</v>
      </c>
      <c r="B2224" t="s">
        <v>9</v>
      </c>
      <c r="C2224">
        <v>263208.75</v>
      </c>
      <c r="D2224" t="s">
        <v>10</v>
      </c>
      <c r="E2224" t="s">
        <v>16</v>
      </c>
      <c r="F2224" t="s">
        <v>12</v>
      </c>
      <c r="G2224" t="s">
        <v>13</v>
      </c>
      <c r="H2224" t="s">
        <v>13</v>
      </c>
      <c r="I2224">
        <v>25</v>
      </c>
      <c r="J2224" t="str" cm="1">
        <f t="array" ref="J2224">_xlfn.IFS(ISBLANK(C2224),"FALTANTE",ABS((C2224-$W$5)/$X$5)&gt;1.96,"ATÍPICO",ABS((C2224-$W$5)/$X$5)&lt;=1.96,"NO ATÍPICO")</f>
        <v>NO ATÍPICO</v>
      </c>
      <c r="K2224" t="str" cm="1">
        <f t="array" ref="K2224">_xlfn.IFS(ISBLANK(I2224),"FALTANTE",ABS((I2224-$W$8)/$X$8)&gt;1.92,"ATÍPICO",ABS((I2224-$W$8)/$X$8)&lt;=1.92,"NO ATÍPICO")</f>
        <v>NO ATÍPICO</v>
      </c>
      <c r="L2224">
        <f t="shared" si="153"/>
        <v>263208.75</v>
      </c>
      <c r="M2224" t="str">
        <f t="shared" si="153"/>
        <v>ASALARIADO</v>
      </c>
      <c r="N2224">
        <f t="shared" si="154"/>
        <v>25</v>
      </c>
      <c r="O2224" s="19" t="str">
        <f t="shared" si="155"/>
        <v>0–300k</v>
      </c>
      <c r="P2224" s="19" t="str">
        <f t="shared" si="156"/>
        <v>18-25</v>
      </c>
    </row>
    <row r="2225" spans="1:16" x14ac:dyDescent="0.25">
      <c r="A2225">
        <v>2224</v>
      </c>
      <c r="B2225" t="s">
        <v>15</v>
      </c>
      <c r="C2225">
        <v>343050</v>
      </c>
      <c r="D2225" t="s">
        <v>10</v>
      </c>
      <c r="E2225" t="s">
        <v>11</v>
      </c>
      <c r="F2225" t="s">
        <v>12</v>
      </c>
      <c r="G2225" t="s">
        <v>13</v>
      </c>
      <c r="H2225" t="s">
        <v>13</v>
      </c>
      <c r="I2225">
        <v>34</v>
      </c>
      <c r="J2225" t="str" cm="1">
        <f t="array" ref="J2225">_xlfn.IFS(ISBLANK(C2225),"FALTANTE",ABS((C2225-$W$5)/$X$5)&gt;1.96,"ATÍPICO",ABS((C2225-$W$5)/$X$5)&lt;=1.96,"NO ATÍPICO")</f>
        <v>NO ATÍPICO</v>
      </c>
      <c r="K2225" t="str" cm="1">
        <f t="array" ref="K2225">_xlfn.IFS(ISBLANK(I2225),"FALTANTE",ABS((I2225-$W$8)/$X$8)&gt;1.92,"ATÍPICO",ABS((I2225-$W$8)/$X$8)&lt;=1.92,"NO ATÍPICO")</f>
        <v>NO ATÍPICO</v>
      </c>
      <c r="L2225">
        <f t="shared" si="153"/>
        <v>343050</v>
      </c>
      <c r="M2225" t="str">
        <f t="shared" si="153"/>
        <v>ASALARIADO</v>
      </c>
      <c r="N2225">
        <f t="shared" si="154"/>
        <v>34</v>
      </c>
      <c r="O2225" s="19" t="str">
        <f t="shared" si="155"/>
        <v>300k–600k</v>
      </c>
      <c r="P2225" s="19" t="str">
        <f t="shared" si="156"/>
        <v>26-35</v>
      </c>
    </row>
    <row r="2226" spans="1:16" x14ac:dyDescent="0.25">
      <c r="A2226">
        <v>2225</v>
      </c>
      <c r="B2226" t="s">
        <v>9</v>
      </c>
      <c r="C2226">
        <v>848107</v>
      </c>
      <c r="D2226" t="s">
        <v>10</v>
      </c>
      <c r="E2226" t="s">
        <v>11</v>
      </c>
      <c r="F2226" t="s">
        <v>12</v>
      </c>
      <c r="G2226" t="s">
        <v>13</v>
      </c>
      <c r="H2226" t="s">
        <v>13</v>
      </c>
      <c r="I2226">
        <v>40</v>
      </c>
      <c r="J2226" t="str" cm="1">
        <f t="array" ref="J2226">_xlfn.IFS(ISBLANK(C2226),"FALTANTE",ABS((C2226-$W$5)/$X$5)&gt;1.96,"ATÍPICO",ABS((C2226-$W$5)/$X$5)&lt;=1.96,"NO ATÍPICO")</f>
        <v>NO ATÍPICO</v>
      </c>
      <c r="K2226" t="str" cm="1">
        <f t="array" ref="K2226">_xlfn.IFS(ISBLANK(I2226),"FALTANTE",ABS((I2226-$W$8)/$X$8)&gt;1.92,"ATÍPICO",ABS((I2226-$W$8)/$X$8)&lt;=1.92,"NO ATÍPICO")</f>
        <v>NO ATÍPICO</v>
      </c>
      <c r="L2226">
        <f t="shared" si="153"/>
        <v>848107</v>
      </c>
      <c r="M2226" t="str">
        <f t="shared" si="153"/>
        <v>ASALARIADO</v>
      </c>
      <c r="N2226">
        <f t="shared" si="154"/>
        <v>40</v>
      </c>
      <c r="O2226" s="19" t="str">
        <f t="shared" si="155"/>
        <v>600k–900k</v>
      </c>
      <c r="P2226" s="19" t="str">
        <f t="shared" si="156"/>
        <v>36-45</v>
      </c>
    </row>
    <row r="2227" spans="1:16" x14ac:dyDescent="0.25">
      <c r="A2227">
        <v>2226</v>
      </c>
      <c r="B2227" t="s">
        <v>15</v>
      </c>
      <c r="C2227">
        <v>668166.67000000004</v>
      </c>
      <c r="D2227" t="s">
        <v>10</v>
      </c>
      <c r="E2227" t="s">
        <v>11</v>
      </c>
      <c r="F2227" t="s">
        <v>12</v>
      </c>
      <c r="G2227" t="s">
        <v>13</v>
      </c>
      <c r="H2227" t="s">
        <v>13</v>
      </c>
      <c r="I2227">
        <v>34</v>
      </c>
      <c r="J2227" t="str" cm="1">
        <f t="array" ref="J2227">_xlfn.IFS(ISBLANK(C2227),"FALTANTE",ABS((C2227-$W$5)/$X$5)&gt;1.96,"ATÍPICO",ABS((C2227-$W$5)/$X$5)&lt;=1.96,"NO ATÍPICO")</f>
        <v>NO ATÍPICO</v>
      </c>
      <c r="K2227" t="str" cm="1">
        <f t="array" ref="K2227">_xlfn.IFS(ISBLANK(I2227),"FALTANTE",ABS((I2227-$W$8)/$X$8)&gt;1.92,"ATÍPICO",ABS((I2227-$W$8)/$X$8)&lt;=1.92,"NO ATÍPICO")</f>
        <v>NO ATÍPICO</v>
      </c>
      <c r="L2227">
        <f t="shared" si="153"/>
        <v>668166.67000000004</v>
      </c>
      <c r="M2227" t="str">
        <f t="shared" si="153"/>
        <v>ASALARIADO</v>
      </c>
      <c r="N2227">
        <f t="shared" si="154"/>
        <v>34</v>
      </c>
      <c r="O2227" s="19" t="str">
        <f t="shared" si="155"/>
        <v>600k–900k</v>
      </c>
      <c r="P2227" s="19" t="str">
        <f t="shared" si="156"/>
        <v>26-35</v>
      </c>
    </row>
    <row r="2228" spans="1:16" x14ac:dyDescent="0.25">
      <c r="A2228">
        <v>2227</v>
      </c>
      <c r="B2228" t="s">
        <v>9</v>
      </c>
      <c r="C2228">
        <v>992801.25</v>
      </c>
      <c r="D2228" t="s">
        <v>10</v>
      </c>
      <c r="E2228" t="s">
        <v>16</v>
      </c>
      <c r="F2228" t="s">
        <v>12</v>
      </c>
      <c r="G2228" t="s">
        <v>13</v>
      </c>
      <c r="H2228" t="s">
        <v>13</v>
      </c>
      <c r="I2228">
        <v>27</v>
      </c>
      <c r="J2228" t="str" cm="1">
        <f t="array" ref="J2228">_xlfn.IFS(ISBLANK(C2228),"FALTANTE",ABS((C2228-$W$5)/$X$5)&gt;1.96,"ATÍPICO",ABS((C2228-$W$5)/$X$5)&lt;=1.96,"NO ATÍPICO")</f>
        <v>NO ATÍPICO</v>
      </c>
      <c r="K2228" t="str" cm="1">
        <f t="array" ref="K2228">_xlfn.IFS(ISBLANK(I2228),"FALTANTE",ABS((I2228-$W$8)/$X$8)&gt;1.92,"ATÍPICO",ABS((I2228-$W$8)/$X$8)&lt;=1.92,"NO ATÍPICO")</f>
        <v>NO ATÍPICO</v>
      </c>
      <c r="L2228">
        <f t="shared" si="153"/>
        <v>992801.25</v>
      </c>
      <c r="M2228" t="str">
        <f t="shared" si="153"/>
        <v>ASALARIADO</v>
      </c>
      <c r="N2228">
        <f t="shared" si="154"/>
        <v>27</v>
      </c>
      <c r="O2228" s="19" t="str">
        <f t="shared" si="155"/>
        <v>900k–1200k</v>
      </c>
      <c r="P2228" s="19" t="str">
        <f t="shared" si="156"/>
        <v>26-35</v>
      </c>
    </row>
    <row r="2229" spans="1:16" x14ac:dyDescent="0.25">
      <c r="A2229">
        <v>2228</v>
      </c>
      <c r="B2229" t="s">
        <v>9</v>
      </c>
      <c r="C2229">
        <v>87475</v>
      </c>
      <c r="D2229" t="s">
        <v>10</v>
      </c>
      <c r="E2229" t="s">
        <v>16</v>
      </c>
      <c r="F2229" t="s">
        <v>12</v>
      </c>
      <c r="G2229" t="s">
        <v>13</v>
      </c>
      <c r="H2229" t="s">
        <v>13</v>
      </c>
      <c r="I2229">
        <v>53</v>
      </c>
      <c r="J2229" t="str" cm="1">
        <f t="array" ref="J2229">_xlfn.IFS(ISBLANK(C2229),"FALTANTE",ABS((C2229-$W$5)/$X$5)&gt;1.96,"ATÍPICO",ABS((C2229-$W$5)/$X$5)&lt;=1.96,"NO ATÍPICO")</f>
        <v>NO ATÍPICO</v>
      </c>
      <c r="K2229" t="str" cm="1">
        <f t="array" ref="K2229">_xlfn.IFS(ISBLANK(I2229),"FALTANTE",ABS((I2229-$W$8)/$X$8)&gt;1.92,"ATÍPICO",ABS((I2229-$W$8)/$X$8)&lt;=1.92,"NO ATÍPICO")</f>
        <v>NO ATÍPICO</v>
      </c>
      <c r="L2229">
        <f t="shared" si="153"/>
        <v>87475</v>
      </c>
      <c r="M2229" t="str">
        <f t="shared" si="153"/>
        <v>ASALARIADO</v>
      </c>
      <c r="N2229">
        <f t="shared" si="154"/>
        <v>53</v>
      </c>
      <c r="O2229" s="19" t="str">
        <f t="shared" si="155"/>
        <v>0–300k</v>
      </c>
      <c r="P2229" s="19" t="str">
        <f t="shared" si="156"/>
        <v>46-55</v>
      </c>
    </row>
    <row r="2230" spans="1:16" x14ac:dyDescent="0.25">
      <c r="A2230">
        <v>2229</v>
      </c>
      <c r="B2230" t="s">
        <v>15</v>
      </c>
      <c r="C2230">
        <v>404467</v>
      </c>
      <c r="D2230" t="s">
        <v>17</v>
      </c>
      <c r="E2230" t="s">
        <v>16</v>
      </c>
      <c r="F2230" t="s">
        <v>12</v>
      </c>
      <c r="G2230" t="s">
        <v>13</v>
      </c>
      <c r="H2230" t="s">
        <v>13</v>
      </c>
      <c r="I2230">
        <v>61</v>
      </c>
      <c r="J2230" t="str" cm="1">
        <f t="array" ref="J2230">_xlfn.IFS(ISBLANK(C2230),"FALTANTE",ABS((C2230-$W$5)/$X$5)&gt;1.96,"ATÍPICO",ABS((C2230-$W$5)/$X$5)&lt;=1.96,"NO ATÍPICO")</f>
        <v>NO ATÍPICO</v>
      </c>
      <c r="K2230" t="str" cm="1">
        <f t="array" ref="K2230">_xlfn.IFS(ISBLANK(I2230),"FALTANTE",ABS((I2230-$W$8)/$X$8)&gt;1.92,"ATÍPICO",ABS((I2230-$W$8)/$X$8)&lt;=1.92,"NO ATÍPICO")</f>
        <v>NO ATÍPICO</v>
      </c>
      <c r="L2230">
        <f t="shared" si="153"/>
        <v>404467</v>
      </c>
      <c r="M2230" t="str">
        <f t="shared" si="153"/>
        <v>ASEGURADO VOLUNTARIO</v>
      </c>
      <c r="N2230">
        <f t="shared" si="154"/>
        <v>61</v>
      </c>
      <c r="O2230" s="19" t="str">
        <f t="shared" si="155"/>
        <v>300k–600k</v>
      </c>
      <c r="P2230" s="19" t="str">
        <f t="shared" si="156"/>
        <v>56+</v>
      </c>
    </row>
    <row r="2231" spans="1:16" x14ac:dyDescent="0.25">
      <c r="A2231">
        <v>2230</v>
      </c>
      <c r="B2231" t="s">
        <v>9</v>
      </c>
      <c r="C2231">
        <v>1038228.44</v>
      </c>
      <c r="D2231" t="s">
        <v>10</v>
      </c>
      <c r="E2231" t="s">
        <v>11</v>
      </c>
      <c r="F2231" t="s">
        <v>12</v>
      </c>
      <c r="G2231" t="s">
        <v>13</v>
      </c>
      <c r="H2231" t="s">
        <v>13</v>
      </c>
      <c r="I2231">
        <v>37</v>
      </c>
      <c r="J2231" t="str" cm="1">
        <f t="array" ref="J2231">_xlfn.IFS(ISBLANK(C2231),"FALTANTE",ABS((C2231-$W$5)/$X$5)&gt;1.96,"ATÍPICO",ABS((C2231-$W$5)/$X$5)&lt;=1.96,"NO ATÍPICO")</f>
        <v>NO ATÍPICO</v>
      </c>
      <c r="K2231" t="str" cm="1">
        <f t="array" ref="K2231">_xlfn.IFS(ISBLANK(I2231),"FALTANTE",ABS((I2231-$W$8)/$X$8)&gt;1.92,"ATÍPICO",ABS((I2231-$W$8)/$X$8)&lt;=1.92,"NO ATÍPICO")</f>
        <v>NO ATÍPICO</v>
      </c>
      <c r="L2231">
        <f t="shared" si="153"/>
        <v>1038228.44</v>
      </c>
      <c r="M2231" t="str">
        <f t="shared" si="153"/>
        <v>ASALARIADO</v>
      </c>
      <c r="N2231">
        <f t="shared" si="154"/>
        <v>37</v>
      </c>
      <c r="O2231" s="19" t="str">
        <f t="shared" si="155"/>
        <v>900k–1200k</v>
      </c>
      <c r="P2231" s="19" t="str">
        <f t="shared" si="156"/>
        <v>36-45</v>
      </c>
    </row>
    <row r="2232" spans="1:16" x14ac:dyDescent="0.25">
      <c r="A2232">
        <v>2231</v>
      </c>
      <c r="B2232" t="s">
        <v>15</v>
      </c>
      <c r="C2232">
        <v>297719</v>
      </c>
      <c r="D2232" t="s">
        <v>17</v>
      </c>
      <c r="E2232" t="s">
        <v>16</v>
      </c>
      <c r="F2232" t="s">
        <v>12</v>
      </c>
      <c r="G2232" t="s">
        <v>13</v>
      </c>
      <c r="H2232" t="s">
        <v>13</v>
      </c>
      <c r="I2232">
        <v>30</v>
      </c>
      <c r="J2232" t="str" cm="1">
        <f t="array" ref="J2232">_xlfn.IFS(ISBLANK(C2232),"FALTANTE",ABS((C2232-$W$5)/$X$5)&gt;1.96,"ATÍPICO",ABS((C2232-$W$5)/$X$5)&lt;=1.96,"NO ATÍPICO")</f>
        <v>NO ATÍPICO</v>
      </c>
      <c r="K2232" t="str" cm="1">
        <f t="array" ref="K2232">_xlfn.IFS(ISBLANK(I2232),"FALTANTE",ABS((I2232-$W$8)/$X$8)&gt;1.92,"ATÍPICO",ABS((I2232-$W$8)/$X$8)&lt;=1.92,"NO ATÍPICO")</f>
        <v>NO ATÍPICO</v>
      </c>
      <c r="L2232">
        <f t="shared" si="153"/>
        <v>297719</v>
      </c>
      <c r="M2232" t="str">
        <f t="shared" si="153"/>
        <v>ASEGURADO VOLUNTARIO</v>
      </c>
      <c r="N2232">
        <f t="shared" si="154"/>
        <v>30</v>
      </c>
      <c r="O2232" s="19" t="str">
        <f t="shared" si="155"/>
        <v>0–300k</v>
      </c>
      <c r="P2232" s="19" t="str">
        <f t="shared" si="156"/>
        <v>26-35</v>
      </c>
    </row>
    <row r="2233" spans="1:16" x14ac:dyDescent="0.25">
      <c r="A2233">
        <v>2232</v>
      </c>
      <c r="B2233" t="s">
        <v>15</v>
      </c>
      <c r="C2233">
        <v>329950</v>
      </c>
      <c r="D2233" t="s">
        <v>18</v>
      </c>
      <c r="E2233" t="s">
        <v>16</v>
      </c>
      <c r="F2233" t="s">
        <v>12</v>
      </c>
      <c r="G2233" t="s">
        <v>13</v>
      </c>
      <c r="H2233" t="s">
        <v>13</v>
      </c>
      <c r="I2233">
        <v>52</v>
      </c>
      <c r="J2233" t="str" cm="1">
        <f t="array" ref="J2233">_xlfn.IFS(ISBLANK(C2233),"FALTANTE",ABS((C2233-$W$5)/$X$5)&gt;1.96,"ATÍPICO",ABS((C2233-$W$5)/$X$5)&lt;=1.96,"NO ATÍPICO")</f>
        <v>NO ATÍPICO</v>
      </c>
      <c r="K2233" t="str" cm="1">
        <f t="array" ref="K2233">_xlfn.IFS(ISBLANK(I2233),"FALTANTE",ABS((I2233-$W$8)/$X$8)&gt;1.92,"ATÍPICO",ABS((I2233-$W$8)/$X$8)&lt;=1.92,"NO ATÍPICO")</f>
        <v>NO ATÍPICO</v>
      </c>
      <c r="L2233">
        <f t="shared" si="153"/>
        <v>329950</v>
      </c>
      <c r="M2233" t="str">
        <f t="shared" si="153"/>
        <v>TRABAJADOR INDEPENDIENTE</v>
      </c>
      <c r="N2233">
        <f t="shared" si="154"/>
        <v>52</v>
      </c>
      <c r="O2233" s="19" t="str">
        <f t="shared" si="155"/>
        <v>300k–600k</v>
      </c>
      <c r="P2233" s="19" t="str">
        <f t="shared" si="156"/>
        <v>46-55</v>
      </c>
    </row>
    <row r="2234" spans="1:16" x14ac:dyDescent="0.25">
      <c r="A2234">
        <v>2233</v>
      </c>
      <c r="B2234" t="s">
        <v>15</v>
      </c>
      <c r="C2234">
        <v>1813790.96</v>
      </c>
      <c r="D2234" t="s">
        <v>10</v>
      </c>
      <c r="E2234" t="s">
        <v>16</v>
      </c>
      <c r="F2234" t="s">
        <v>12</v>
      </c>
      <c r="G2234" t="s">
        <v>13</v>
      </c>
      <c r="H2234" t="s">
        <v>13</v>
      </c>
      <c r="I2234">
        <v>35</v>
      </c>
      <c r="J2234" t="str" cm="1">
        <f t="array" ref="J2234">_xlfn.IFS(ISBLANK(C2234),"FALTANTE",ABS((C2234-$W$5)/$X$5)&gt;1.96,"ATÍPICO",ABS((C2234-$W$5)/$X$5)&lt;=1.96,"NO ATÍPICO")</f>
        <v>NO ATÍPICO</v>
      </c>
      <c r="K2234" t="str" cm="1">
        <f t="array" ref="K2234">_xlfn.IFS(ISBLANK(I2234),"FALTANTE",ABS((I2234-$W$8)/$X$8)&gt;1.92,"ATÍPICO",ABS((I2234-$W$8)/$X$8)&lt;=1.92,"NO ATÍPICO")</f>
        <v>NO ATÍPICO</v>
      </c>
      <c r="L2234">
        <f t="shared" si="153"/>
        <v>1813790.96</v>
      </c>
      <c r="M2234" t="str">
        <f t="shared" si="153"/>
        <v>ASALARIADO</v>
      </c>
      <c r="N2234">
        <f t="shared" si="154"/>
        <v>35</v>
      </c>
      <c r="O2234" s="19" t="str">
        <f t="shared" si="155"/>
        <v>1200k+</v>
      </c>
      <c r="P2234" s="19" t="str">
        <f t="shared" si="156"/>
        <v>26-35</v>
      </c>
    </row>
    <row r="2235" spans="1:16" x14ac:dyDescent="0.25">
      <c r="A2235">
        <v>2234</v>
      </c>
      <c r="B2235" t="s">
        <v>9</v>
      </c>
      <c r="C2235">
        <v>639148</v>
      </c>
      <c r="D2235" t="s">
        <v>18</v>
      </c>
      <c r="E2235" t="s">
        <v>16</v>
      </c>
      <c r="F2235" t="s">
        <v>12</v>
      </c>
      <c r="G2235" t="s">
        <v>13</v>
      </c>
      <c r="H2235" t="s">
        <v>12</v>
      </c>
      <c r="I2235">
        <v>61</v>
      </c>
      <c r="J2235" t="str" cm="1">
        <f t="array" ref="J2235">_xlfn.IFS(ISBLANK(C2235),"FALTANTE",ABS((C2235-$W$5)/$X$5)&gt;1.96,"ATÍPICO",ABS((C2235-$W$5)/$X$5)&lt;=1.96,"NO ATÍPICO")</f>
        <v>NO ATÍPICO</v>
      </c>
      <c r="K2235" t="str" cm="1">
        <f t="array" ref="K2235">_xlfn.IFS(ISBLANK(I2235),"FALTANTE",ABS((I2235-$W$8)/$X$8)&gt;1.92,"ATÍPICO",ABS((I2235-$W$8)/$X$8)&lt;=1.92,"NO ATÍPICO")</f>
        <v>NO ATÍPICO</v>
      </c>
      <c r="L2235">
        <f t="shared" si="153"/>
        <v>639148</v>
      </c>
      <c r="M2235" t="str">
        <f t="shared" si="153"/>
        <v>TRABAJADOR INDEPENDIENTE</v>
      </c>
      <c r="N2235">
        <f t="shared" si="154"/>
        <v>61</v>
      </c>
      <c r="O2235" s="19" t="str">
        <f t="shared" si="155"/>
        <v>600k–900k</v>
      </c>
      <c r="P2235" s="19" t="str">
        <f t="shared" si="156"/>
        <v>56+</v>
      </c>
    </row>
    <row r="2236" spans="1:16" x14ac:dyDescent="0.25">
      <c r="A2236">
        <v>2235</v>
      </c>
      <c r="B2236" t="s">
        <v>9</v>
      </c>
      <c r="C2236">
        <v>1080638</v>
      </c>
      <c r="D2236" t="s">
        <v>10</v>
      </c>
      <c r="E2236" t="s">
        <v>11</v>
      </c>
      <c r="F2236" t="s">
        <v>12</v>
      </c>
      <c r="G2236" t="s">
        <v>13</v>
      </c>
      <c r="H2236" t="s">
        <v>13</v>
      </c>
      <c r="I2236">
        <v>37</v>
      </c>
      <c r="J2236" t="str" cm="1">
        <f t="array" ref="J2236">_xlfn.IFS(ISBLANK(C2236),"FALTANTE",ABS((C2236-$W$5)/$X$5)&gt;1.96,"ATÍPICO",ABS((C2236-$W$5)/$X$5)&lt;=1.96,"NO ATÍPICO")</f>
        <v>NO ATÍPICO</v>
      </c>
      <c r="K2236" t="str" cm="1">
        <f t="array" ref="K2236">_xlfn.IFS(ISBLANK(I2236),"FALTANTE",ABS((I2236-$W$8)/$X$8)&gt;1.92,"ATÍPICO",ABS((I2236-$W$8)/$X$8)&lt;=1.92,"NO ATÍPICO")</f>
        <v>NO ATÍPICO</v>
      </c>
      <c r="L2236">
        <f t="shared" si="153"/>
        <v>1080638</v>
      </c>
      <c r="M2236" t="str">
        <f t="shared" si="153"/>
        <v>ASALARIADO</v>
      </c>
      <c r="N2236">
        <f t="shared" si="154"/>
        <v>37</v>
      </c>
      <c r="O2236" s="19" t="str">
        <f t="shared" si="155"/>
        <v>900k–1200k</v>
      </c>
      <c r="P2236" s="19" t="str">
        <f t="shared" si="156"/>
        <v>36-45</v>
      </c>
    </row>
    <row r="2237" spans="1:16" x14ac:dyDescent="0.25">
      <c r="A2237">
        <v>2236</v>
      </c>
      <c r="B2237" t="s">
        <v>15</v>
      </c>
      <c r="C2237">
        <v>784000.75</v>
      </c>
      <c r="D2237" t="s">
        <v>10</v>
      </c>
      <c r="E2237" t="s">
        <v>11</v>
      </c>
      <c r="F2237" t="s">
        <v>12</v>
      </c>
      <c r="G2237" t="s">
        <v>13</v>
      </c>
      <c r="H2237" t="s">
        <v>13</v>
      </c>
      <c r="I2237">
        <v>42</v>
      </c>
      <c r="J2237" t="str" cm="1">
        <f t="array" ref="J2237">_xlfn.IFS(ISBLANK(C2237),"FALTANTE",ABS((C2237-$W$5)/$X$5)&gt;1.96,"ATÍPICO",ABS((C2237-$W$5)/$X$5)&lt;=1.96,"NO ATÍPICO")</f>
        <v>NO ATÍPICO</v>
      </c>
      <c r="K2237" t="str" cm="1">
        <f t="array" ref="K2237">_xlfn.IFS(ISBLANK(I2237),"FALTANTE",ABS((I2237-$W$8)/$X$8)&gt;1.92,"ATÍPICO",ABS((I2237-$W$8)/$X$8)&lt;=1.92,"NO ATÍPICO")</f>
        <v>NO ATÍPICO</v>
      </c>
      <c r="L2237">
        <f t="shared" si="153"/>
        <v>784000.75</v>
      </c>
      <c r="M2237" t="str">
        <f t="shared" si="153"/>
        <v>ASALARIADO</v>
      </c>
      <c r="N2237">
        <f t="shared" si="154"/>
        <v>42</v>
      </c>
      <c r="O2237" s="19" t="str">
        <f t="shared" si="155"/>
        <v>600k–900k</v>
      </c>
      <c r="P2237" s="19" t="str">
        <f t="shared" si="156"/>
        <v>36-45</v>
      </c>
    </row>
    <row r="2238" spans="1:16" x14ac:dyDescent="0.25">
      <c r="A2238">
        <v>2237</v>
      </c>
      <c r="B2238" t="s">
        <v>15</v>
      </c>
      <c r="C2238">
        <v>635827.4</v>
      </c>
      <c r="D2238" t="s">
        <v>14</v>
      </c>
      <c r="E2238" t="s">
        <v>11</v>
      </c>
      <c r="F2238" t="s">
        <v>12</v>
      </c>
      <c r="G2238" t="s">
        <v>13</v>
      </c>
      <c r="H2238" t="s">
        <v>13</v>
      </c>
      <c r="I2238">
        <v>64</v>
      </c>
      <c r="J2238" t="str" cm="1">
        <f t="array" ref="J2238">_xlfn.IFS(ISBLANK(C2238),"FALTANTE",ABS((C2238-$W$5)/$X$5)&gt;1.96,"ATÍPICO",ABS((C2238-$W$5)/$X$5)&lt;=1.96,"NO ATÍPICO")</f>
        <v>NO ATÍPICO</v>
      </c>
      <c r="K2238" t="str" cm="1">
        <f t="array" ref="K2238">_xlfn.IFS(ISBLANK(I2238),"FALTANTE",ABS((I2238-$W$8)/$X$8)&gt;1.92,"ATÍPICO",ABS((I2238-$W$8)/$X$8)&lt;=1.92,"NO ATÍPICO")</f>
        <v>NO ATÍPICO</v>
      </c>
      <c r="L2238">
        <f t="shared" si="153"/>
        <v>635827.4</v>
      </c>
      <c r="M2238" t="str">
        <f t="shared" si="153"/>
        <v>PENSIONADOS EN SU PROPIO SISTEMA</v>
      </c>
      <c r="N2238">
        <f t="shared" si="154"/>
        <v>64</v>
      </c>
      <c r="O2238" s="19" t="str">
        <f t="shared" si="155"/>
        <v>600k–900k</v>
      </c>
      <c r="P2238" s="19" t="str">
        <f t="shared" si="156"/>
        <v>56+</v>
      </c>
    </row>
    <row r="2239" spans="1:16" x14ac:dyDescent="0.25">
      <c r="A2239">
        <v>2238</v>
      </c>
      <c r="B2239" t="s">
        <v>15</v>
      </c>
      <c r="C2239">
        <v>278030</v>
      </c>
      <c r="D2239" t="s">
        <v>19</v>
      </c>
      <c r="E2239" t="s">
        <v>16</v>
      </c>
      <c r="F2239" t="s">
        <v>12</v>
      </c>
      <c r="G2239" t="s">
        <v>13</v>
      </c>
      <c r="H2239" t="s">
        <v>13</v>
      </c>
      <c r="I2239">
        <v>89</v>
      </c>
      <c r="J2239" t="str" cm="1">
        <f t="array" ref="J2239">_xlfn.IFS(ISBLANK(C2239),"FALTANTE",ABS((C2239-$W$5)/$X$5)&gt;1.96,"ATÍPICO",ABS((C2239-$W$5)/$X$5)&lt;=1.96,"NO ATÍPICO")</f>
        <v>NO ATÍPICO</v>
      </c>
      <c r="K2239" t="str" cm="1">
        <f t="array" ref="K2239">_xlfn.IFS(ISBLANK(I2239),"FALTANTE",ABS((I2239-$W$8)/$X$8)&gt;1.92,"ATÍPICO",ABS((I2239-$W$8)/$X$8)&lt;=1.92,"NO ATÍPICO")</f>
        <v>ATÍPICO</v>
      </c>
      <c r="L2239">
        <f t="shared" si="153"/>
        <v>278030</v>
      </c>
      <c r="M2239" t="str">
        <f t="shared" si="153"/>
        <v>CONVENIOS ESPECIALES DE TRABAJADORES INDEPENDIENTES</v>
      </c>
      <c r="N2239">
        <f t="shared" si="154"/>
        <v>89</v>
      </c>
      <c r="O2239" s="19" t="str">
        <f t="shared" si="155"/>
        <v>0–300k</v>
      </c>
      <c r="P2239" s="19" t="str">
        <f t="shared" si="156"/>
        <v>56+</v>
      </c>
    </row>
    <row r="2240" spans="1:16" x14ac:dyDescent="0.25">
      <c r="A2240">
        <v>2239</v>
      </c>
      <c r="B2240" t="s">
        <v>15</v>
      </c>
      <c r="C2240">
        <v>627774.12</v>
      </c>
      <c r="D2240" t="s">
        <v>10</v>
      </c>
      <c r="E2240" t="s">
        <v>16</v>
      </c>
      <c r="F2240" t="s">
        <v>12</v>
      </c>
      <c r="G2240" t="s">
        <v>13</v>
      </c>
      <c r="H2240" t="s">
        <v>13</v>
      </c>
      <c r="I2240">
        <v>35</v>
      </c>
      <c r="J2240" t="str" cm="1">
        <f t="array" ref="J2240">_xlfn.IFS(ISBLANK(C2240),"FALTANTE",ABS((C2240-$W$5)/$X$5)&gt;1.96,"ATÍPICO",ABS((C2240-$W$5)/$X$5)&lt;=1.96,"NO ATÍPICO")</f>
        <v>NO ATÍPICO</v>
      </c>
      <c r="K2240" t="str" cm="1">
        <f t="array" ref="K2240">_xlfn.IFS(ISBLANK(I2240),"FALTANTE",ABS((I2240-$W$8)/$X$8)&gt;1.92,"ATÍPICO",ABS((I2240-$W$8)/$X$8)&lt;=1.92,"NO ATÍPICO")</f>
        <v>NO ATÍPICO</v>
      </c>
      <c r="L2240">
        <f t="shared" si="153"/>
        <v>627774.12</v>
      </c>
      <c r="M2240" t="str">
        <f t="shared" si="153"/>
        <v>ASALARIADO</v>
      </c>
      <c r="N2240">
        <f t="shared" si="154"/>
        <v>35</v>
      </c>
      <c r="O2240" s="19" t="str">
        <f t="shared" si="155"/>
        <v>600k–900k</v>
      </c>
      <c r="P2240" s="19" t="str">
        <f t="shared" si="156"/>
        <v>26-35</v>
      </c>
    </row>
    <row r="2241" spans="1:16" x14ac:dyDescent="0.25">
      <c r="A2241">
        <v>2240</v>
      </c>
      <c r="B2241" t="s">
        <v>9</v>
      </c>
      <c r="C2241">
        <v>450000</v>
      </c>
      <c r="D2241" t="s">
        <v>10</v>
      </c>
      <c r="E2241" t="s">
        <v>16</v>
      </c>
      <c r="F2241" t="s">
        <v>12</v>
      </c>
      <c r="G2241" t="s">
        <v>13</v>
      </c>
      <c r="H2241" t="s">
        <v>13</v>
      </c>
      <c r="I2241">
        <v>58</v>
      </c>
      <c r="J2241" t="str" cm="1">
        <f t="array" ref="J2241">_xlfn.IFS(ISBLANK(C2241),"FALTANTE",ABS((C2241-$W$5)/$X$5)&gt;1.96,"ATÍPICO",ABS((C2241-$W$5)/$X$5)&lt;=1.96,"NO ATÍPICO")</f>
        <v>NO ATÍPICO</v>
      </c>
      <c r="K2241" t="str" cm="1">
        <f t="array" ref="K2241">_xlfn.IFS(ISBLANK(I2241),"FALTANTE",ABS((I2241-$W$8)/$X$8)&gt;1.92,"ATÍPICO",ABS((I2241-$W$8)/$X$8)&lt;=1.92,"NO ATÍPICO")</f>
        <v>NO ATÍPICO</v>
      </c>
      <c r="L2241">
        <f t="shared" si="153"/>
        <v>450000</v>
      </c>
      <c r="M2241" t="str">
        <f t="shared" si="153"/>
        <v>ASALARIADO</v>
      </c>
      <c r="N2241">
        <f t="shared" si="154"/>
        <v>58</v>
      </c>
      <c r="O2241" s="19" t="str">
        <f t="shared" si="155"/>
        <v>300k–600k</v>
      </c>
      <c r="P2241" s="19" t="str">
        <f t="shared" si="156"/>
        <v>56+</v>
      </c>
    </row>
    <row r="2242" spans="1:16" x14ac:dyDescent="0.25">
      <c r="A2242">
        <v>2241</v>
      </c>
      <c r="B2242" t="s">
        <v>9</v>
      </c>
      <c r="C2242">
        <v>320000</v>
      </c>
      <c r="D2242" t="s">
        <v>10</v>
      </c>
      <c r="E2242" t="s">
        <v>16</v>
      </c>
      <c r="F2242" t="s">
        <v>12</v>
      </c>
      <c r="G2242" t="s">
        <v>13</v>
      </c>
      <c r="H2242" t="s">
        <v>13</v>
      </c>
      <c r="I2242">
        <v>31</v>
      </c>
      <c r="J2242" t="str" cm="1">
        <f t="array" ref="J2242">_xlfn.IFS(ISBLANK(C2242),"FALTANTE",ABS((C2242-$W$5)/$X$5)&gt;1.96,"ATÍPICO",ABS((C2242-$W$5)/$X$5)&lt;=1.96,"NO ATÍPICO")</f>
        <v>NO ATÍPICO</v>
      </c>
      <c r="K2242" t="str" cm="1">
        <f t="array" ref="K2242">_xlfn.IFS(ISBLANK(I2242),"FALTANTE",ABS((I2242-$W$8)/$X$8)&gt;1.92,"ATÍPICO",ABS((I2242-$W$8)/$X$8)&lt;=1.92,"NO ATÍPICO")</f>
        <v>NO ATÍPICO</v>
      </c>
      <c r="L2242">
        <f t="shared" ref="L2242:M2305" si="157">C2242</f>
        <v>320000</v>
      </c>
      <c r="M2242" t="str">
        <f t="shared" si="157"/>
        <v>ASALARIADO</v>
      </c>
      <c r="N2242">
        <f t="shared" ref="N2242:N2305" si="158">I2242</f>
        <v>31</v>
      </c>
      <c r="O2242" s="19" t="str">
        <f t="shared" ref="O2242:O2305" si="159">IF(L2242&lt;=300000,"0–300k",IF(L2242&lt;=600000,"300k–600k",IF(L2242&lt;=900000,"600k–900k",IF(L2242&lt;=1200000,"900k–1200k","1200k+"))))</f>
        <v>300k–600k</v>
      </c>
      <c r="P2242" s="19" t="str">
        <f t="shared" ref="P2242:P2305" si="160">IF(N2242 &lt;=25,"18-25", IF(N2242&lt;=35,"26-35", IF(N2242 &lt;=45,"36-45", IF(N2242&lt;=55,"46-55","56+"))))</f>
        <v>26-35</v>
      </c>
    </row>
    <row r="2243" spans="1:16" x14ac:dyDescent="0.25">
      <c r="A2243">
        <v>2242</v>
      </c>
      <c r="B2243" t="s">
        <v>9</v>
      </c>
      <c r="C2243">
        <v>407782</v>
      </c>
      <c r="D2243" t="s">
        <v>10</v>
      </c>
      <c r="E2243" t="s">
        <v>16</v>
      </c>
      <c r="F2243" t="s">
        <v>12</v>
      </c>
      <c r="G2243" t="s">
        <v>13</v>
      </c>
      <c r="H2243" t="s">
        <v>13</v>
      </c>
      <c r="I2243">
        <v>22</v>
      </c>
      <c r="J2243" t="str" cm="1">
        <f t="array" ref="J2243">_xlfn.IFS(ISBLANK(C2243),"FALTANTE",ABS((C2243-$W$5)/$X$5)&gt;1.96,"ATÍPICO",ABS((C2243-$W$5)/$X$5)&lt;=1.96,"NO ATÍPICO")</f>
        <v>NO ATÍPICO</v>
      </c>
      <c r="K2243" t="str" cm="1">
        <f t="array" ref="K2243">_xlfn.IFS(ISBLANK(I2243),"FALTANTE",ABS((I2243-$W$8)/$X$8)&gt;1.92,"ATÍPICO",ABS((I2243-$W$8)/$X$8)&lt;=1.92,"NO ATÍPICO")</f>
        <v>NO ATÍPICO</v>
      </c>
      <c r="L2243">
        <f t="shared" si="157"/>
        <v>407782</v>
      </c>
      <c r="M2243" t="str">
        <f t="shared" si="157"/>
        <v>ASALARIADO</v>
      </c>
      <c r="N2243">
        <f t="shared" si="158"/>
        <v>22</v>
      </c>
      <c r="O2243" s="19" t="str">
        <f t="shared" si="159"/>
        <v>300k–600k</v>
      </c>
      <c r="P2243" s="19" t="str">
        <f t="shared" si="160"/>
        <v>18-25</v>
      </c>
    </row>
    <row r="2244" spans="1:16" x14ac:dyDescent="0.25">
      <c r="A2244">
        <v>2243</v>
      </c>
      <c r="B2244" t="s">
        <v>15</v>
      </c>
      <c r="C2244">
        <v>297045</v>
      </c>
      <c r="D2244" t="s">
        <v>18</v>
      </c>
      <c r="E2244" t="s">
        <v>16</v>
      </c>
      <c r="F2244" t="s">
        <v>12</v>
      </c>
      <c r="G2244" t="s">
        <v>13</v>
      </c>
      <c r="H2244" t="s">
        <v>13</v>
      </c>
      <c r="I2244">
        <v>66</v>
      </c>
      <c r="J2244" t="str" cm="1">
        <f t="array" ref="J2244">_xlfn.IFS(ISBLANK(C2244),"FALTANTE",ABS((C2244-$W$5)/$X$5)&gt;1.96,"ATÍPICO",ABS((C2244-$W$5)/$X$5)&lt;=1.96,"NO ATÍPICO")</f>
        <v>NO ATÍPICO</v>
      </c>
      <c r="K2244" t="str" cm="1">
        <f t="array" ref="K2244">_xlfn.IFS(ISBLANK(I2244),"FALTANTE",ABS((I2244-$W$8)/$X$8)&gt;1.92,"ATÍPICO",ABS((I2244-$W$8)/$X$8)&lt;=1.92,"NO ATÍPICO")</f>
        <v>NO ATÍPICO</v>
      </c>
      <c r="L2244">
        <f t="shared" si="157"/>
        <v>297045</v>
      </c>
      <c r="M2244" t="str">
        <f t="shared" si="157"/>
        <v>TRABAJADOR INDEPENDIENTE</v>
      </c>
      <c r="N2244">
        <f t="shared" si="158"/>
        <v>66</v>
      </c>
      <c r="O2244" s="19" t="str">
        <f t="shared" si="159"/>
        <v>0–300k</v>
      </c>
      <c r="P2244" s="19" t="str">
        <f t="shared" si="160"/>
        <v>56+</v>
      </c>
    </row>
    <row r="2245" spans="1:16" x14ac:dyDescent="0.25">
      <c r="A2245">
        <v>2244</v>
      </c>
      <c r="B2245" t="s">
        <v>9</v>
      </c>
      <c r="C2245">
        <v>430434</v>
      </c>
      <c r="D2245" t="s">
        <v>10</v>
      </c>
      <c r="E2245" t="s">
        <v>16</v>
      </c>
      <c r="F2245" t="s">
        <v>12</v>
      </c>
      <c r="G2245" t="s">
        <v>13</v>
      </c>
      <c r="H2245" t="s">
        <v>12</v>
      </c>
      <c r="I2245">
        <v>28</v>
      </c>
      <c r="J2245" t="str" cm="1">
        <f t="array" ref="J2245">_xlfn.IFS(ISBLANK(C2245),"FALTANTE",ABS((C2245-$W$5)/$X$5)&gt;1.96,"ATÍPICO",ABS((C2245-$W$5)/$X$5)&lt;=1.96,"NO ATÍPICO")</f>
        <v>NO ATÍPICO</v>
      </c>
      <c r="K2245" t="str" cm="1">
        <f t="array" ref="K2245">_xlfn.IFS(ISBLANK(I2245),"FALTANTE",ABS((I2245-$W$8)/$X$8)&gt;1.92,"ATÍPICO",ABS((I2245-$W$8)/$X$8)&lt;=1.92,"NO ATÍPICO")</f>
        <v>NO ATÍPICO</v>
      </c>
      <c r="L2245">
        <f t="shared" si="157"/>
        <v>430434</v>
      </c>
      <c r="M2245" t="str">
        <f t="shared" si="157"/>
        <v>ASALARIADO</v>
      </c>
      <c r="N2245">
        <f t="shared" si="158"/>
        <v>28</v>
      </c>
      <c r="O2245" s="19" t="str">
        <f t="shared" si="159"/>
        <v>300k–600k</v>
      </c>
      <c r="P2245" s="19" t="str">
        <f t="shared" si="160"/>
        <v>26-35</v>
      </c>
    </row>
    <row r="2246" spans="1:16" x14ac:dyDescent="0.25">
      <c r="A2246">
        <v>2245</v>
      </c>
      <c r="B2246" t="s">
        <v>9</v>
      </c>
      <c r="C2246">
        <v>476646.28</v>
      </c>
      <c r="D2246" t="s">
        <v>10</v>
      </c>
      <c r="E2246" t="s">
        <v>16</v>
      </c>
      <c r="F2246" t="s">
        <v>12</v>
      </c>
      <c r="G2246" t="s">
        <v>13</v>
      </c>
      <c r="H2246" t="s">
        <v>13</v>
      </c>
      <c r="I2246">
        <v>29</v>
      </c>
      <c r="J2246" t="str" cm="1">
        <f t="array" ref="J2246">_xlfn.IFS(ISBLANK(C2246),"FALTANTE",ABS((C2246-$W$5)/$X$5)&gt;1.96,"ATÍPICO",ABS((C2246-$W$5)/$X$5)&lt;=1.96,"NO ATÍPICO")</f>
        <v>NO ATÍPICO</v>
      </c>
      <c r="K2246" t="str" cm="1">
        <f t="array" ref="K2246">_xlfn.IFS(ISBLANK(I2246),"FALTANTE",ABS((I2246-$W$8)/$X$8)&gt;1.92,"ATÍPICO",ABS((I2246-$W$8)/$X$8)&lt;=1.92,"NO ATÍPICO")</f>
        <v>NO ATÍPICO</v>
      </c>
      <c r="L2246">
        <f t="shared" si="157"/>
        <v>476646.28</v>
      </c>
      <c r="M2246" t="str">
        <f t="shared" si="157"/>
        <v>ASALARIADO</v>
      </c>
      <c r="N2246">
        <f t="shared" si="158"/>
        <v>29</v>
      </c>
      <c r="O2246" s="19" t="str">
        <f t="shared" si="159"/>
        <v>300k–600k</v>
      </c>
      <c r="P2246" s="19" t="str">
        <f t="shared" si="160"/>
        <v>26-35</v>
      </c>
    </row>
    <row r="2247" spans="1:16" x14ac:dyDescent="0.25">
      <c r="A2247">
        <v>2246</v>
      </c>
      <c r="B2247" t="s">
        <v>15</v>
      </c>
      <c r="C2247">
        <v>1566842</v>
      </c>
      <c r="D2247" t="s">
        <v>10</v>
      </c>
      <c r="E2247" t="s">
        <v>11</v>
      </c>
      <c r="F2247" t="s">
        <v>12</v>
      </c>
      <c r="G2247" t="s">
        <v>13</v>
      </c>
      <c r="H2247" t="s">
        <v>13</v>
      </c>
      <c r="I2247">
        <v>59</v>
      </c>
      <c r="J2247" t="str" cm="1">
        <f t="array" ref="J2247">_xlfn.IFS(ISBLANK(C2247),"FALTANTE",ABS((C2247-$W$5)/$X$5)&gt;1.96,"ATÍPICO",ABS((C2247-$W$5)/$X$5)&lt;=1.96,"NO ATÍPICO")</f>
        <v>NO ATÍPICO</v>
      </c>
      <c r="K2247" t="str" cm="1">
        <f t="array" ref="K2247">_xlfn.IFS(ISBLANK(I2247),"FALTANTE",ABS((I2247-$W$8)/$X$8)&gt;1.92,"ATÍPICO",ABS((I2247-$W$8)/$X$8)&lt;=1.92,"NO ATÍPICO")</f>
        <v>NO ATÍPICO</v>
      </c>
      <c r="L2247">
        <f t="shared" si="157"/>
        <v>1566842</v>
      </c>
      <c r="M2247" t="str">
        <f t="shared" si="157"/>
        <v>ASALARIADO</v>
      </c>
      <c r="N2247">
        <f t="shared" si="158"/>
        <v>59</v>
      </c>
      <c r="O2247" s="19" t="str">
        <f t="shared" si="159"/>
        <v>1200k+</v>
      </c>
      <c r="P2247" s="19" t="str">
        <f t="shared" si="160"/>
        <v>56+</v>
      </c>
    </row>
    <row r="2248" spans="1:16" x14ac:dyDescent="0.25">
      <c r="A2248">
        <v>2247</v>
      </c>
      <c r="B2248" t="s">
        <v>15</v>
      </c>
      <c r="C2248">
        <v>868869.23</v>
      </c>
      <c r="D2248" t="s">
        <v>10</v>
      </c>
      <c r="E2248" t="s">
        <v>16</v>
      </c>
      <c r="F2248" t="s">
        <v>12</v>
      </c>
      <c r="G2248" t="s">
        <v>13</v>
      </c>
      <c r="H2248" t="s">
        <v>13</v>
      </c>
      <c r="I2248">
        <v>40</v>
      </c>
      <c r="J2248" t="str" cm="1">
        <f t="array" ref="J2248">_xlfn.IFS(ISBLANK(C2248),"FALTANTE",ABS((C2248-$W$5)/$X$5)&gt;1.96,"ATÍPICO",ABS((C2248-$W$5)/$X$5)&lt;=1.96,"NO ATÍPICO")</f>
        <v>NO ATÍPICO</v>
      </c>
      <c r="K2248" t="str" cm="1">
        <f t="array" ref="K2248">_xlfn.IFS(ISBLANK(I2248),"FALTANTE",ABS((I2248-$W$8)/$X$8)&gt;1.92,"ATÍPICO",ABS((I2248-$W$8)/$X$8)&lt;=1.92,"NO ATÍPICO")</f>
        <v>NO ATÍPICO</v>
      </c>
      <c r="L2248">
        <f t="shared" si="157"/>
        <v>868869.23</v>
      </c>
      <c r="M2248" t="str">
        <f t="shared" si="157"/>
        <v>ASALARIADO</v>
      </c>
      <c r="N2248">
        <f t="shared" si="158"/>
        <v>40</v>
      </c>
      <c r="O2248" s="19" t="str">
        <f t="shared" si="159"/>
        <v>600k–900k</v>
      </c>
      <c r="P2248" s="19" t="str">
        <f t="shared" si="160"/>
        <v>36-45</v>
      </c>
    </row>
    <row r="2249" spans="1:16" x14ac:dyDescent="0.25">
      <c r="A2249">
        <v>2248</v>
      </c>
      <c r="B2249" t="s">
        <v>15</v>
      </c>
      <c r="C2249">
        <v>306400</v>
      </c>
      <c r="D2249" t="s">
        <v>10</v>
      </c>
      <c r="E2249" t="s">
        <v>16</v>
      </c>
      <c r="F2249" t="s">
        <v>12</v>
      </c>
      <c r="G2249" t="s">
        <v>13</v>
      </c>
      <c r="H2249" t="s">
        <v>13</v>
      </c>
      <c r="I2249">
        <v>61</v>
      </c>
      <c r="J2249" t="str" cm="1">
        <f t="array" ref="J2249">_xlfn.IFS(ISBLANK(C2249),"FALTANTE",ABS((C2249-$W$5)/$X$5)&gt;1.96,"ATÍPICO",ABS((C2249-$W$5)/$X$5)&lt;=1.96,"NO ATÍPICO")</f>
        <v>NO ATÍPICO</v>
      </c>
      <c r="K2249" t="str" cm="1">
        <f t="array" ref="K2249">_xlfn.IFS(ISBLANK(I2249),"FALTANTE",ABS((I2249-$W$8)/$X$8)&gt;1.92,"ATÍPICO",ABS((I2249-$W$8)/$X$8)&lt;=1.92,"NO ATÍPICO")</f>
        <v>NO ATÍPICO</v>
      </c>
      <c r="L2249">
        <f t="shared" si="157"/>
        <v>306400</v>
      </c>
      <c r="M2249" t="str">
        <f t="shared" si="157"/>
        <v>ASALARIADO</v>
      </c>
      <c r="N2249">
        <f t="shared" si="158"/>
        <v>61</v>
      </c>
      <c r="O2249" s="19" t="str">
        <f t="shared" si="159"/>
        <v>300k–600k</v>
      </c>
      <c r="P2249" s="19" t="str">
        <f t="shared" si="160"/>
        <v>56+</v>
      </c>
    </row>
    <row r="2250" spans="1:16" x14ac:dyDescent="0.25">
      <c r="A2250">
        <v>2249</v>
      </c>
      <c r="B2250" t="s">
        <v>9</v>
      </c>
      <c r="C2250">
        <v>408800</v>
      </c>
      <c r="D2250" t="s">
        <v>10</v>
      </c>
      <c r="E2250" t="s">
        <v>16</v>
      </c>
      <c r="F2250" t="s">
        <v>12</v>
      </c>
      <c r="G2250" t="s">
        <v>13</v>
      </c>
      <c r="H2250" t="s">
        <v>13</v>
      </c>
      <c r="I2250">
        <v>39</v>
      </c>
      <c r="J2250" t="str" cm="1">
        <f t="array" ref="J2250">_xlfn.IFS(ISBLANK(C2250),"FALTANTE",ABS((C2250-$W$5)/$X$5)&gt;1.96,"ATÍPICO",ABS((C2250-$W$5)/$X$5)&lt;=1.96,"NO ATÍPICO")</f>
        <v>NO ATÍPICO</v>
      </c>
      <c r="K2250" t="str" cm="1">
        <f t="array" ref="K2250">_xlfn.IFS(ISBLANK(I2250),"FALTANTE",ABS((I2250-$W$8)/$X$8)&gt;1.92,"ATÍPICO",ABS((I2250-$W$8)/$X$8)&lt;=1.92,"NO ATÍPICO")</f>
        <v>NO ATÍPICO</v>
      </c>
      <c r="L2250">
        <f t="shared" si="157"/>
        <v>408800</v>
      </c>
      <c r="M2250" t="str">
        <f t="shared" si="157"/>
        <v>ASALARIADO</v>
      </c>
      <c r="N2250">
        <f t="shared" si="158"/>
        <v>39</v>
      </c>
      <c r="O2250" s="19" t="str">
        <f t="shared" si="159"/>
        <v>300k–600k</v>
      </c>
      <c r="P2250" s="19" t="str">
        <f t="shared" si="160"/>
        <v>36-45</v>
      </c>
    </row>
    <row r="2251" spans="1:16" x14ac:dyDescent="0.25">
      <c r="A2251">
        <v>2250</v>
      </c>
      <c r="B2251" t="s">
        <v>9</v>
      </c>
      <c r="C2251">
        <v>467167.61</v>
      </c>
      <c r="D2251" t="s">
        <v>10</v>
      </c>
      <c r="E2251" t="s">
        <v>11</v>
      </c>
      <c r="F2251" t="s">
        <v>12</v>
      </c>
      <c r="G2251" t="s">
        <v>12</v>
      </c>
      <c r="H2251" t="s">
        <v>13</v>
      </c>
      <c r="I2251">
        <v>46</v>
      </c>
      <c r="J2251" t="str" cm="1">
        <f t="array" ref="J2251">_xlfn.IFS(ISBLANK(C2251),"FALTANTE",ABS((C2251-$W$5)/$X$5)&gt;1.96,"ATÍPICO",ABS((C2251-$W$5)/$X$5)&lt;=1.96,"NO ATÍPICO")</f>
        <v>NO ATÍPICO</v>
      </c>
      <c r="K2251" t="str" cm="1">
        <f t="array" ref="K2251">_xlfn.IFS(ISBLANK(I2251),"FALTANTE",ABS((I2251-$W$8)/$X$8)&gt;1.92,"ATÍPICO",ABS((I2251-$W$8)/$X$8)&lt;=1.92,"NO ATÍPICO")</f>
        <v>NO ATÍPICO</v>
      </c>
      <c r="L2251">
        <f t="shared" si="157"/>
        <v>467167.61</v>
      </c>
      <c r="M2251" t="str">
        <f t="shared" si="157"/>
        <v>ASALARIADO</v>
      </c>
      <c r="N2251">
        <f t="shared" si="158"/>
        <v>46</v>
      </c>
      <c r="O2251" s="19" t="str">
        <f t="shared" si="159"/>
        <v>300k–600k</v>
      </c>
      <c r="P2251" s="19" t="str">
        <f t="shared" si="160"/>
        <v>46-55</v>
      </c>
    </row>
    <row r="2252" spans="1:16" x14ac:dyDescent="0.25">
      <c r="A2252">
        <v>2251</v>
      </c>
      <c r="B2252" t="s">
        <v>15</v>
      </c>
      <c r="C2252">
        <v>376344</v>
      </c>
      <c r="D2252" t="s">
        <v>10</v>
      </c>
      <c r="E2252" t="s">
        <v>16</v>
      </c>
      <c r="F2252" t="s">
        <v>12</v>
      </c>
      <c r="G2252" t="s">
        <v>13</v>
      </c>
      <c r="H2252" t="s">
        <v>13</v>
      </c>
      <c r="I2252">
        <v>39</v>
      </c>
      <c r="J2252" t="str" cm="1">
        <f t="array" ref="J2252">_xlfn.IFS(ISBLANK(C2252),"FALTANTE",ABS((C2252-$W$5)/$X$5)&gt;1.96,"ATÍPICO",ABS((C2252-$W$5)/$X$5)&lt;=1.96,"NO ATÍPICO")</f>
        <v>NO ATÍPICO</v>
      </c>
      <c r="K2252" t="str" cm="1">
        <f t="array" ref="K2252">_xlfn.IFS(ISBLANK(I2252),"FALTANTE",ABS((I2252-$W$8)/$X$8)&gt;1.92,"ATÍPICO",ABS((I2252-$W$8)/$X$8)&lt;=1.92,"NO ATÍPICO")</f>
        <v>NO ATÍPICO</v>
      </c>
      <c r="L2252">
        <f t="shared" si="157"/>
        <v>376344</v>
      </c>
      <c r="M2252" t="str">
        <f t="shared" si="157"/>
        <v>ASALARIADO</v>
      </c>
      <c r="N2252">
        <f t="shared" si="158"/>
        <v>39</v>
      </c>
      <c r="O2252" s="19" t="str">
        <f t="shared" si="159"/>
        <v>300k–600k</v>
      </c>
      <c r="P2252" s="19" t="str">
        <f t="shared" si="160"/>
        <v>36-45</v>
      </c>
    </row>
    <row r="2253" spans="1:16" x14ac:dyDescent="0.25">
      <c r="A2253">
        <v>2252</v>
      </c>
      <c r="B2253" t="s">
        <v>9</v>
      </c>
      <c r="C2253">
        <v>327264</v>
      </c>
      <c r="D2253" t="s">
        <v>10</v>
      </c>
      <c r="E2253" t="s">
        <v>11</v>
      </c>
      <c r="F2253" t="s">
        <v>12</v>
      </c>
      <c r="G2253" t="s">
        <v>13</v>
      </c>
      <c r="H2253" t="s">
        <v>13</v>
      </c>
      <c r="I2253">
        <v>32</v>
      </c>
      <c r="J2253" t="str" cm="1">
        <f t="array" ref="J2253">_xlfn.IFS(ISBLANK(C2253),"FALTANTE",ABS((C2253-$W$5)/$X$5)&gt;1.96,"ATÍPICO",ABS((C2253-$W$5)/$X$5)&lt;=1.96,"NO ATÍPICO")</f>
        <v>NO ATÍPICO</v>
      </c>
      <c r="K2253" t="str" cm="1">
        <f t="array" ref="K2253">_xlfn.IFS(ISBLANK(I2253),"FALTANTE",ABS((I2253-$W$8)/$X$8)&gt;1.92,"ATÍPICO",ABS((I2253-$W$8)/$X$8)&lt;=1.92,"NO ATÍPICO")</f>
        <v>NO ATÍPICO</v>
      </c>
      <c r="L2253">
        <f t="shared" si="157"/>
        <v>327264</v>
      </c>
      <c r="M2253" t="str">
        <f t="shared" si="157"/>
        <v>ASALARIADO</v>
      </c>
      <c r="N2253">
        <f t="shared" si="158"/>
        <v>32</v>
      </c>
      <c r="O2253" s="19" t="str">
        <f t="shared" si="159"/>
        <v>300k–600k</v>
      </c>
      <c r="P2253" s="19" t="str">
        <f t="shared" si="160"/>
        <v>26-35</v>
      </c>
    </row>
    <row r="2254" spans="1:16" x14ac:dyDescent="0.25">
      <c r="A2254">
        <v>2253</v>
      </c>
      <c r="B2254" t="s">
        <v>9</v>
      </c>
      <c r="C2254">
        <v>750000</v>
      </c>
      <c r="D2254" t="s">
        <v>10</v>
      </c>
      <c r="E2254" t="s">
        <v>16</v>
      </c>
      <c r="F2254" t="s">
        <v>12</v>
      </c>
      <c r="G2254" t="s">
        <v>13</v>
      </c>
      <c r="H2254" t="s">
        <v>13</v>
      </c>
      <c r="I2254">
        <v>55</v>
      </c>
      <c r="J2254" t="str" cm="1">
        <f t="array" ref="J2254">_xlfn.IFS(ISBLANK(C2254),"FALTANTE",ABS((C2254-$W$5)/$X$5)&gt;1.96,"ATÍPICO",ABS((C2254-$W$5)/$X$5)&lt;=1.96,"NO ATÍPICO")</f>
        <v>NO ATÍPICO</v>
      </c>
      <c r="K2254" t="str" cm="1">
        <f t="array" ref="K2254">_xlfn.IFS(ISBLANK(I2254),"FALTANTE",ABS((I2254-$W$8)/$X$8)&gt;1.92,"ATÍPICO",ABS((I2254-$W$8)/$X$8)&lt;=1.92,"NO ATÍPICO")</f>
        <v>NO ATÍPICO</v>
      </c>
      <c r="L2254">
        <f t="shared" si="157"/>
        <v>750000</v>
      </c>
      <c r="M2254" t="str">
        <f t="shared" si="157"/>
        <v>ASALARIADO</v>
      </c>
      <c r="N2254">
        <f t="shared" si="158"/>
        <v>55</v>
      </c>
      <c r="O2254" s="19" t="str">
        <f t="shared" si="159"/>
        <v>600k–900k</v>
      </c>
      <c r="P2254" s="19" t="str">
        <f t="shared" si="160"/>
        <v>46-55</v>
      </c>
    </row>
    <row r="2255" spans="1:16" x14ac:dyDescent="0.25">
      <c r="A2255">
        <v>2254</v>
      </c>
      <c r="B2255" t="s">
        <v>9</v>
      </c>
      <c r="C2255">
        <v>423289</v>
      </c>
      <c r="D2255" t="s">
        <v>18</v>
      </c>
      <c r="E2255" t="s">
        <v>16</v>
      </c>
      <c r="F2255" t="s">
        <v>12</v>
      </c>
      <c r="G2255" t="s">
        <v>13</v>
      </c>
      <c r="H2255" t="s">
        <v>13</v>
      </c>
      <c r="I2255">
        <v>59</v>
      </c>
      <c r="J2255" t="str" cm="1">
        <f t="array" ref="J2255">_xlfn.IFS(ISBLANK(C2255),"FALTANTE",ABS((C2255-$W$5)/$X$5)&gt;1.96,"ATÍPICO",ABS((C2255-$W$5)/$X$5)&lt;=1.96,"NO ATÍPICO")</f>
        <v>NO ATÍPICO</v>
      </c>
      <c r="K2255" t="str" cm="1">
        <f t="array" ref="K2255">_xlfn.IFS(ISBLANK(I2255),"FALTANTE",ABS((I2255-$W$8)/$X$8)&gt;1.92,"ATÍPICO",ABS((I2255-$W$8)/$X$8)&lt;=1.92,"NO ATÍPICO")</f>
        <v>NO ATÍPICO</v>
      </c>
      <c r="L2255">
        <f t="shared" si="157"/>
        <v>423289</v>
      </c>
      <c r="M2255" t="str">
        <f t="shared" si="157"/>
        <v>TRABAJADOR INDEPENDIENTE</v>
      </c>
      <c r="N2255">
        <f t="shared" si="158"/>
        <v>59</v>
      </c>
      <c r="O2255" s="19" t="str">
        <f t="shared" si="159"/>
        <v>300k–600k</v>
      </c>
      <c r="P2255" s="19" t="str">
        <f t="shared" si="160"/>
        <v>56+</v>
      </c>
    </row>
    <row r="2256" spans="1:16" x14ac:dyDescent="0.25">
      <c r="A2256">
        <v>2255</v>
      </c>
      <c r="B2256" t="s">
        <v>15</v>
      </c>
      <c r="C2256">
        <v>619506.39</v>
      </c>
      <c r="D2256" t="s">
        <v>10</v>
      </c>
      <c r="E2256" t="s">
        <v>11</v>
      </c>
      <c r="F2256" t="s">
        <v>12</v>
      </c>
      <c r="G2256" t="s">
        <v>13</v>
      </c>
      <c r="H2256" t="s">
        <v>13</v>
      </c>
      <c r="I2256">
        <v>34</v>
      </c>
      <c r="J2256" t="str" cm="1">
        <f t="array" ref="J2256">_xlfn.IFS(ISBLANK(C2256),"FALTANTE",ABS((C2256-$W$5)/$X$5)&gt;1.96,"ATÍPICO",ABS((C2256-$W$5)/$X$5)&lt;=1.96,"NO ATÍPICO")</f>
        <v>NO ATÍPICO</v>
      </c>
      <c r="K2256" t="str" cm="1">
        <f t="array" ref="K2256">_xlfn.IFS(ISBLANK(I2256),"FALTANTE",ABS((I2256-$W$8)/$X$8)&gt;1.92,"ATÍPICO",ABS((I2256-$W$8)/$X$8)&lt;=1.92,"NO ATÍPICO")</f>
        <v>NO ATÍPICO</v>
      </c>
      <c r="L2256">
        <f t="shared" si="157"/>
        <v>619506.39</v>
      </c>
      <c r="M2256" t="str">
        <f t="shared" si="157"/>
        <v>ASALARIADO</v>
      </c>
      <c r="N2256">
        <f t="shared" si="158"/>
        <v>34</v>
      </c>
      <c r="O2256" s="19" t="str">
        <f t="shared" si="159"/>
        <v>600k–900k</v>
      </c>
      <c r="P2256" s="19" t="str">
        <f t="shared" si="160"/>
        <v>26-35</v>
      </c>
    </row>
    <row r="2257" spans="1:16" x14ac:dyDescent="0.25">
      <c r="A2257">
        <v>2256</v>
      </c>
      <c r="B2257" t="s">
        <v>15</v>
      </c>
      <c r="C2257">
        <v>465179.89</v>
      </c>
      <c r="D2257" t="s">
        <v>10</v>
      </c>
      <c r="E2257" t="s">
        <v>16</v>
      </c>
      <c r="F2257" t="s">
        <v>12</v>
      </c>
      <c r="G2257" t="s">
        <v>13</v>
      </c>
      <c r="H2257" t="s">
        <v>13</v>
      </c>
      <c r="I2257">
        <v>39</v>
      </c>
      <c r="J2257" t="str" cm="1">
        <f t="array" ref="J2257">_xlfn.IFS(ISBLANK(C2257),"FALTANTE",ABS((C2257-$W$5)/$X$5)&gt;1.96,"ATÍPICO",ABS((C2257-$W$5)/$X$5)&lt;=1.96,"NO ATÍPICO")</f>
        <v>NO ATÍPICO</v>
      </c>
      <c r="K2257" t="str" cm="1">
        <f t="array" ref="K2257">_xlfn.IFS(ISBLANK(I2257),"FALTANTE",ABS((I2257-$W$8)/$X$8)&gt;1.92,"ATÍPICO",ABS((I2257-$W$8)/$X$8)&lt;=1.92,"NO ATÍPICO")</f>
        <v>NO ATÍPICO</v>
      </c>
      <c r="L2257">
        <f t="shared" si="157"/>
        <v>465179.89</v>
      </c>
      <c r="M2257" t="str">
        <f t="shared" si="157"/>
        <v>ASALARIADO</v>
      </c>
      <c r="N2257">
        <f t="shared" si="158"/>
        <v>39</v>
      </c>
      <c r="O2257" s="19" t="str">
        <f t="shared" si="159"/>
        <v>300k–600k</v>
      </c>
      <c r="P2257" s="19" t="str">
        <f t="shared" si="160"/>
        <v>36-45</v>
      </c>
    </row>
    <row r="2258" spans="1:16" x14ac:dyDescent="0.25">
      <c r="A2258">
        <v>2257</v>
      </c>
      <c r="B2258" t="s">
        <v>9</v>
      </c>
      <c r="C2258">
        <v>562152.61</v>
      </c>
      <c r="D2258" t="s">
        <v>10</v>
      </c>
      <c r="E2258" t="s">
        <v>11</v>
      </c>
      <c r="F2258" t="s">
        <v>12</v>
      </c>
      <c r="G2258" t="s">
        <v>13</v>
      </c>
      <c r="H2258" t="s">
        <v>13</v>
      </c>
      <c r="I2258">
        <v>38</v>
      </c>
      <c r="J2258" t="str" cm="1">
        <f t="array" ref="J2258">_xlfn.IFS(ISBLANK(C2258),"FALTANTE",ABS((C2258-$W$5)/$X$5)&gt;1.96,"ATÍPICO",ABS((C2258-$W$5)/$X$5)&lt;=1.96,"NO ATÍPICO")</f>
        <v>NO ATÍPICO</v>
      </c>
      <c r="K2258" t="str" cm="1">
        <f t="array" ref="K2258">_xlfn.IFS(ISBLANK(I2258),"FALTANTE",ABS((I2258-$W$8)/$X$8)&gt;1.92,"ATÍPICO",ABS((I2258-$W$8)/$X$8)&lt;=1.92,"NO ATÍPICO")</f>
        <v>NO ATÍPICO</v>
      </c>
      <c r="L2258">
        <f t="shared" si="157"/>
        <v>562152.61</v>
      </c>
      <c r="M2258" t="str">
        <f t="shared" si="157"/>
        <v>ASALARIADO</v>
      </c>
      <c r="N2258">
        <f t="shared" si="158"/>
        <v>38</v>
      </c>
      <c r="O2258" s="19" t="str">
        <f t="shared" si="159"/>
        <v>300k–600k</v>
      </c>
      <c r="P2258" s="19" t="str">
        <f t="shared" si="160"/>
        <v>36-45</v>
      </c>
    </row>
    <row r="2259" spans="1:16" x14ac:dyDescent="0.25">
      <c r="A2259">
        <v>2258</v>
      </c>
      <c r="B2259" t="s">
        <v>9</v>
      </c>
      <c r="C2259">
        <v>811421.65</v>
      </c>
      <c r="D2259" t="s">
        <v>10</v>
      </c>
      <c r="E2259" t="s">
        <v>11</v>
      </c>
      <c r="F2259" t="s">
        <v>12</v>
      </c>
      <c r="G2259" t="s">
        <v>13</v>
      </c>
      <c r="H2259" t="s">
        <v>13</v>
      </c>
      <c r="I2259">
        <v>32</v>
      </c>
      <c r="J2259" t="str" cm="1">
        <f t="array" ref="J2259">_xlfn.IFS(ISBLANK(C2259),"FALTANTE",ABS((C2259-$W$5)/$X$5)&gt;1.96,"ATÍPICO",ABS((C2259-$W$5)/$X$5)&lt;=1.96,"NO ATÍPICO")</f>
        <v>NO ATÍPICO</v>
      </c>
      <c r="K2259" t="str" cm="1">
        <f t="array" ref="K2259">_xlfn.IFS(ISBLANK(I2259),"FALTANTE",ABS((I2259-$W$8)/$X$8)&gt;1.92,"ATÍPICO",ABS((I2259-$W$8)/$X$8)&lt;=1.92,"NO ATÍPICO")</f>
        <v>NO ATÍPICO</v>
      </c>
      <c r="L2259">
        <f t="shared" si="157"/>
        <v>811421.65</v>
      </c>
      <c r="M2259" t="str">
        <f t="shared" si="157"/>
        <v>ASALARIADO</v>
      </c>
      <c r="N2259">
        <f t="shared" si="158"/>
        <v>32</v>
      </c>
      <c r="O2259" s="19" t="str">
        <f t="shared" si="159"/>
        <v>600k–900k</v>
      </c>
      <c r="P2259" s="19" t="str">
        <f t="shared" si="160"/>
        <v>26-35</v>
      </c>
    </row>
    <row r="2260" spans="1:16" x14ac:dyDescent="0.25">
      <c r="A2260">
        <v>2259</v>
      </c>
      <c r="B2260" t="s">
        <v>15</v>
      </c>
      <c r="C2260">
        <v>338933.34</v>
      </c>
      <c r="D2260" t="s">
        <v>10</v>
      </c>
      <c r="E2260" t="s">
        <v>16</v>
      </c>
      <c r="F2260" t="s">
        <v>12</v>
      </c>
      <c r="G2260" t="s">
        <v>13</v>
      </c>
      <c r="H2260" t="s">
        <v>13</v>
      </c>
      <c r="I2260">
        <v>27</v>
      </c>
      <c r="J2260" t="str" cm="1">
        <f t="array" ref="J2260">_xlfn.IFS(ISBLANK(C2260),"FALTANTE",ABS((C2260-$W$5)/$X$5)&gt;1.96,"ATÍPICO",ABS((C2260-$W$5)/$X$5)&lt;=1.96,"NO ATÍPICO")</f>
        <v>NO ATÍPICO</v>
      </c>
      <c r="K2260" t="str" cm="1">
        <f t="array" ref="K2260">_xlfn.IFS(ISBLANK(I2260),"FALTANTE",ABS((I2260-$W$8)/$X$8)&gt;1.92,"ATÍPICO",ABS((I2260-$W$8)/$X$8)&lt;=1.92,"NO ATÍPICO")</f>
        <v>NO ATÍPICO</v>
      </c>
      <c r="L2260">
        <f t="shared" si="157"/>
        <v>338933.34</v>
      </c>
      <c r="M2260" t="str">
        <f t="shared" si="157"/>
        <v>ASALARIADO</v>
      </c>
      <c r="N2260">
        <f t="shared" si="158"/>
        <v>27</v>
      </c>
      <c r="O2260" s="19" t="str">
        <f t="shared" si="159"/>
        <v>300k–600k</v>
      </c>
      <c r="P2260" s="19" t="str">
        <f t="shared" si="160"/>
        <v>26-35</v>
      </c>
    </row>
    <row r="2261" spans="1:16" x14ac:dyDescent="0.25">
      <c r="A2261">
        <v>2260</v>
      </c>
      <c r="B2261" t="s">
        <v>15</v>
      </c>
      <c r="C2261">
        <v>100000</v>
      </c>
      <c r="D2261" t="s">
        <v>10</v>
      </c>
      <c r="E2261" t="s">
        <v>16</v>
      </c>
      <c r="F2261" t="s">
        <v>12</v>
      </c>
      <c r="G2261" t="s">
        <v>13</v>
      </c>
      <c r="H2261" t="s">
        <v>13</v>
      </c>
      <c r="I2261">
        <v>29</v>
      </c>
      <c r="J2261" t="str" cm="1">
        <f t="array" ref="J2261">_xlfn.IFS(ISBLANK(C2261),"FALTANTE",ABS((C2261-$W$5)/$X$5)&gt;1.96,"ATÍPICO",ABS((C2261-$W$5)/$X$5)&lt;=1.96,"NO ATÍPICO")</f>
        <v>NO ATÍPICO</v>
      </c>
      <c r="K2261" t="str" cm="1">
        <f t="array" ref="K2261">_xlfn.IFS(ISBLANK(I2261),"FALTANTE",ABS((I2261-$W$8)/$X$8)&gt;1.92,"ATÍPICO",ABS((I2261-$W$8)/$X$8)&lt;=1.92,"NO ATÍPICO")</f>
        <v>NO ATÍPICO</v>
      </c>
      <c r="L2261">
        <f t="shared" si="157"/>
        <v>100000</v>
      </c>
      <c r="M2261" t="str">
        <f t="shared" si="157"/>
        <v>ASALARIADO</v>
      </c>
      <c r="N2261">
        <f t="shared" si="158"/>
        <v>29</v>
      </c>
      <c r="O2261" s="19" t="str">
        <f t="shared" si="159"/>
        <v>0–300k</v>
      </c>
      <c r="P2261" s="19" t="str">
        <f t="shared" si="160"/>
        <v>26-35</v>
      </c>
    </row>
    <row r="2262" spans="1:16" x14ac:dyDescent="0.25">
      <c r="A2262">
        <v>2261</v>
      </c>
      <c r="B2262" t="s">
        <v>9</v>
      </c>
      <c r="C2262">
        <v>697648</v>
      </c>
      <c r="D2262" t="s">
        <v>10</v>
      </c>
      <c r="E2262" t="s">
        <v>16</v>
      </c>
      <c r="F2262" t="s">
        <v>12</v>
      </c>
      <c r="G2262" t="s">
        <v>13</v>
      </c>
      <c r="H2262" t="s">
        <v>13</v>
      </c>
      <c r="I2262">
        <v>61</v>
      </c>
      <c r="J2262" t="str" cm="1">
        <f t="array" ref="J2262">_xlfn.IFS(ISBLANK(C2262),"FALTANTE",ABS((C2262-$W$5)/$X$5)&gt;1.96,"ATÍPICO",ABS((C2262-$W$5)/$X$5)&lt;=1.96,"NO ATÍPICO")</f>
        <v>NO ATÍPICO</v>
      </c>
      <c r="K2262" t="str" cm="1">
        <f t="array" ref="K2262">_xlfn.IFS(ISBLANK(I2262),"FALTANTE",ABS((I2262-$W$8)/$X$8)&gt;1.92,"ATÍPICO",ABS((I2262-$W$8)/$X$8)&lt;=1.92,"NO ATÍPICO")</f>
        <v>NO ATÍPICO</v>
      </c>
      <c r="L2262">
        <f t="shared" si="157"/>
        <v>697648</v>
      </c>
      <c r="M2262" t="str">
        <f t="shared" si="157"/>
        <v>ASALARIADO</v>
      </c>
      <c r="N2262">
        <f t="shared" si="158"/>
        <v>61</v>
      </c>
      <c r="O2262" s="19" t="str">
        <f t="shared" si="159"/>
        <v>600k–900k</v>
      </c>
      <c r="P2262" s="19" t="str">
        <f t="shared" si="160"/>
        <v>56+</v>
      </c>
    </row>
    <row r="2263" spans="1:16" x14ac:dyDescent="0.25">
      <c r="A2263">
        <v>2262</v>
      </c>
      <c r="B2263" t="s">
        <v>9</v>
      </c>
      <c r="C2263">
        <v>377498</v>
      </c>
      <c r="D2263" t="s">
        <v>18</v>
      </c>
      <c r="E2263" t="s">
        <v>16</v>
      </c>
      <c r="F2263" t="s">
        <v>12</v>
      </c>
      <c r="G2263" t="s">
        <v>13</v>
      </c>
      <c r="H2263" t="s">
        <v>13</v>
      </c>
      <c r="I2263">
        <v>37</v>
      </c>
      <c r="J2263" t="str" cm="1">
        <f t="array" ref="J2263">_xlfn.IFS(ISBLANK(C2263),"FALTANTE",ABS((C2263-$W$5)/$X$5)&gt;1.96,"ATÍPICO",ABS((C2263-$W$5)/$X$5)&lt;=1.96,"NO ATÍPICO")</f>
        <v>NO ATÍPICO</v>
      </c>
      <c r="K2263" t="str" cm="1">
        <f t="array" ref="K2263">_xlfn.IFS(ISBLANK(I2263),"FALTANTE",ABS((I2263-$W$8)/$X$8)&gt;1.92,"ATÍPICO",ABS((I2263-$W$8)/$X$8)&lt;=1.92,"NO ATÍPICO")</f>
        <v>NO ATÍPICO</v>
      </c>
      <c r="L2263">
        <f t="shared" si="157"/>
        <v>377498</v>
      </c>
      <c r="M2263" t="str">
        <f t="shared" si="157"/>
        <v>TRABAJADOR INDEPENDIENTE</v>
      </c>
      <c r="N2263">
        <f t="shared" si="158"/>
        <v>37</v>
      </c>
      <c r="O2263" s="19" t="str">
        <f t="shared" si="159"/>
        <v>300k–600k</v>
      </c>
      <c r="P2263" s="19" t="str">
        <f t="shared" si="160"/>
        <v>36-45</v>
      </c>
    </row>
    <row r="2264" spans="1:16" x14ac:dyDescent="0.25">
      <c r="A2264">
        <v>2263</v>
      </c>
      <c r="B2264" t="s">
        <v>9</v>
      </c>
      <c r="C2264">
        <v>308750</v>
      </c>
      <c r="D2264" t="s">
        <v>10</v>
      </c>
      <c r="E2264" t="s">
        <v>16</v>
      </c>
      <c r="F2264" t="s">
        <v>12</v>
      </c>
      <c r="G2264" t="s">
        <v>13</v>
      </c>
      <c r="H2264" t="s">
        <v>12</v>
      </c>
      <c r="I2264">
        <v>35</v>
      </c>
      <c r="J2264" t="str" cm="1">
        <f t="array" ref="J2264">_xlfn.IFS(ISBLANK(C2264),"FALTANTE",ABS((C2264-$W$5)/$X$5)&gt;1.96,"ATÍPICO",ABS((C2264-$W$5)/$X$5)&lt;=1.96,"NO ATÍPICO")</f>
        <v>NO ATÍPICO</v>
      </c>
      <c r="K2264" t="str" cm="1">
        <f t="array" ref="K2264">_xlfn.IFS(ISBLANK(I2264),"FALTANTE",ABS((I2264-$W$8)/$X$8)&gt;1.92,"ATÍPICO",ABS((I2264-$W$8)/$X$8)&lt;=1.92,"NO ATÍPICO")</f>
        <v>NO ATÍPICO</v>
      </c>
      <c r="L2264">
        <f t="shared" si="157"/>
        <v>308750</v>
      </c>
      <c r="M2264" t="str">
        <f t="shared" si="157"/>
        <v>ASALARIADO</v>
      </c>
      <c r="N2264">
        <f t="shared" si="158"/>
        <v>35</v>
      </c>
      <c r="O2264" s="19" t="str">
        <f t="shared" si="159"/>
        <v>300k–600k</v>
      </c>
      <c r="P2264" s="19" t="str">
        <f t="shared" si="160"/>
        <v>26-35</v>
      </c>
    </row>
    <row r="2265" spans="1:16" x14ac:dyDescent="0.25">
      <c r="A2265">
        <v>2264</v>
      </c>
      <c r="B2265" t="s">
        <v>9</v>
      </c>
      <c r="C2265">
        <v>451354.46</v>
      </c>
      <c r="D2265" t="s">
        <v>10</v>
      </c>
      <c r="E2265" t="s">
        <v>16</v>
      </c>
      <c r="F2265" t="s">
        <v>12</v>
      </c>
      <c r="G2265" t="s">
        <v>13</v>
      </c>
      <c r="H2265" t="s">
        <v>13</v>
      </c>
      <c r="I2265">
        <v>58</v>
      </c>
      <c r="J2265" t="str" cm="1">
        <f t="array" ref="J2265">_xlfn.IFS(ISBLANK(C2265),"FALTANTE",ABS((C2265-$W$5)/$X$5)&gt;1.96,"ATÍPICO",ABS((C2265-$W$5)/$X$5)&lt;=1.96,"NO ATÍPICO")</f>
        <v>NO ATÍPICO</v>
      </c>
      <c r="K2265" t="str" cm="1">
        <f t="array" ref="K2265">_xlfn.IFS(ISBLANK(I2265),"FALTANTE",ABS((I2265-$W$8)/$X$8)&gt;1.92,"ATÍPICO",ABS((I2265-$W$8)/$X$8)&lt;=1.92,"NO ATÍPICO")</f>
        <v>NO ATÍPICO</v>
      </c>
      <c r="L2265">
        <f t="shared" si="157"/>
        <v>451354.46</v>
      </c>
      <c r="M2265" t="str">
        <f t="shared" si="157"/>
        <v>ASALARIADO</v>
      </c>
      <c r="N2265">
        <f t="shared" si="158"/>
        <v>58</v>
      </c>
      <c r="O2265" s="19" t="str">
        <f t="shared" si="159"/>
        <v>300k–600k</v>
      </c>
      <c r="P2265" s="19" t="str">
        <f t="shared" si="160"/>
        <v>56+</v>
      </c>
    </row>
    <row r="2266" spans="1:16" x14ac:dyDescent="0.25">
      <c r="A2266">
        <v>2265</v>
      </c>
      <c r="B2266" t="s">
        <v>9</v>
      </c>
      <c r="C2266">
        <v>455001.5</v>
      </c>
      <c r="D2266" t="s">
        <v>10</v>
      </c>
      <c r="E2266" t="s">
        <v>16</v>
      </c>
      <c r="F2266" t="s">
        <v>12</v>
      </c>
      <c r="G2266" t="s">
        <v>13</v>
      </c>
      <c r="H2266" t="s">
        <v>13</v>
      </c>
      <c r="I2266">
        <v>20</v>
      </c>
      <c r="J2266" t="str" cm="1">
        <f t="array" ref="J2266">_xlfn.IFS(ISBLANK(C2266),"FALTANTE",ABS((C2266-$W$5)/$X$5)&gt;1.96,"ATÍPICO",ABS((C2266-$W$5)/$X$5)&lt;=1.96,"NO ATÍPICO")</f>
        <v>NO ATÍPICO</v>
      </c>
      <c r="K2266" t="str" cm="1">
        <f t="array" ref="K2266">_xlfn.IFS(ISBLANK(I2266),"FALTANTE",ABS((I2266-$W$8)/$X$8)&gt;1.92,"ATÍPICO",ABS((I2266-$W$8)/$X$8)&lt;=1.92,"NO ATÍPICO")</f>
        <v>NO ATÍPICO</v>
      </c>
      <c r="L2266">
        <f t="shared" si="157"/>
        <v>455001.5</v>
      </c>
      <c r="M2266" t="str">
        <f t="shared" si="157"/>
        <v>ASALARIADO</v>
      </c>
      <c r="N2266">
        <f t="shared" si="158"/>
        <v>20</v>
      </c>
      <c r="O2266" s="19" t="str">
        <f t="shared" si="159"/>
        <v>300k–600k</v>
      </c>
      <c r="P2266" s="19" t="str">
        <f t="shared" si="160"/>
        <v>18-25</v>
      </c>
    </row>
    <row r="2267" spans="1:16" x14ac:dyDescent="0.25">
      <c r="A2267">
        <v>2266</v>
      </c>
      <c r="B2267" t="s">
        <v>15</v>
      </c>
      <c r="C2267">
        <v>994882.5</v>
      </c>
      <c r="D2267" t="s">
        <v>10</v>
      </c>
      <c r="E2267" t="s">
        <v>16</v>
      </c>
      <c r="F2267" t="s">
        <v>12</v>
      </c>
      <c r="G2267" t="s">
        <v>13</v>
      </c>
      <c r="H2267" t="s">
        <v>13</v>
      </c>
      <c r="I2267">
        <v>50</v>
      </c>
      <c r="J2267" t="str" cm="1">
        <f t="array" ref="J2267">_xlfn.IFS(ISBLANK(C2267),"FALTANTE",ABS((C2267-$W$5)/$X$5)&gt;1.96,"ATÍPICO",ABS((C2267-$W$5)/$X$5)&lt;=1.96,"NO ATÍPICO")</f>
        <v>NO ATÍPICO</v>
      </c>
      <c r="K2267" t="str" cm="1">
        <f t="array" ref="K2267">_xlfn.IFS(ISBLANK(I2267),"FALTANTE",ABS((I2267-$W$8)/$X$8)&gt;1.92,"ATÍPICO",ABS((I2267-$W$8)/$X$8)&lt;=1.92,"NO ATÍPICO")</f>
        <v>NO ATÍPICO</v>
      </c>
      <c r="L2267">
        <f t="shared" si="157"/>
        <v>994882.5</v>
      </c>
      <c r="M2267" t="str">
        <f t="shared" si="157"/>
        <v>ASALARIADO</v>
      </c>
      <c r="N2267">
        <f t="shared" si="158"/>
        <v>50</v>
      </c>
      <c r="O2267" s="19" t="str">
        <f t="shared" si="159"/>
        <v>900k–1200k</v>
      </c>
      <c r="P2267" s="19" t="str">
        <f t="shared" si="160"/>
        <v>46-55</v>
      </c>
    </row>
    <row r="2268" spans="1:16" x14ac:dyDescent="0.25">
      <c r="A2268">
        <v>2267</v>
      </c>
      <c r="B2268" t="s">
        <v>9</v>
      </c>
      <c r="C2268">
        <v>509509</v>
      </c>
      <c r="D2268" t="s">
        <v>18</v>
      </c>
      <c r="E2268" t="s">
        <v>16</v>
      </c>
      <c r="F2268" t="s">
        <v>12</v>
      </c>
      <c r="G2268" t="s">
        <v>12</v>
      </c>
      <c r="H2268" t="s">
        <v>12</v>
      </c>
      <c r="I2268">
        <v>59</v>
      </c>
      <c r="J2268" t="str" cm="1">
        <f t="array" ref="J2268">_xlfn.IFS(ISBLANK(C2268),"FALTANTE",ABS((C2268-$W$5)/$X$5)&gt;1.96,"ATÍPICO",ABS((C2268-$W$5)/$X$5)&lt;=1.96,"NO ATÍPICO")</f>
        <v>NO ATÍPICO</v>
      </c>
      <c r="K2268" t="str" cm="1">
        <f t="array" ref="K2268">_xlfn.IFS(ISBLANK(I2268),"FALTANTE",ABS((I2268-$W$8)/$X$8)&gt;1.92,"ATÍPICO",ABS((I2268-$W$8)/$X$8)&lt;=1.92,"NO ATÍPICO")</f>
        <v>NO ATÍPICO</v>
      </c>
      <c r="L2268">
        <f t="shared" si="157"/>
        <v>509509</v>
      </c>
      <c r="M2268" t="str">
        <f t="shared" si="157"/>
        <v>TRABAJADOR INDEPENDIENTE</v>
      </c>
      <c r="N2268">
        <f t="shared" si="158"/>
        <v>59</v>
      </c>
      <c r="O2268" s="19" t="str">
        <f t="shared" si="159"/>
        <v>300k–600k</v>
      </c>
      <c r="P2268" s="19" t="str">
        <f t="shared" si="160"/>
        <v>56+</v>
      </c>
    </row>
    <row r="2269" spans="1:16" x14ac:dyDescent="0.25">
      <c r="A2269">
        <v>2268</v>
      </c>
      <c r="B2269" t="s">
        <v>9</v>
      </c>
      <c r="C2269">
        <v>349920</v>
      </c>
      <c r="D2269" t="s">
        <v>10</v>
      </c>
      <c r="E2269" t="s">
        <v>16</v>
      </c>
      <c r="F2269" t="s">
        <v>12</v>
      </c>
      <c r="G2269" t="s">
        <v>13</v>
      </c>
      <c r="H2269" t="s">
        <v>13</v>
      </c>
      <c r="I2269">
        <v>34</v>
      </c>
      <c r="J2269" t="str" cm="1">
        <f t="array" ref="J2269">_xlfn.IFS(ISBLANK(C2269),"FALTANTE",ABS((C2269-$W$5)/$X$5)&gt;1.96,"ATÍPICO",ABS((C2269-$W$5)/$X$5)&lt;=1.96,"NO ATÍPICO")</f>
        <v>NO ATÍPICO</v>
      </c>
      <c r="K2269" t="str" cm="1">
        <f t="array" ref="K2269">_xlfn.IFS(ISBLANK(I2269),"FALTANTE",ABS((I2269-$W$8)/$X$8)&gt;1.92,"ATÍPICO",ABS((I2269-$W$8)/$X$8)&lt;=1.92,"NO ATÍPICO")</f>
        <v>NO ATÍPICO</v>
      </c>
      <c r="L2269">
        <f t="shared" si="157"/>
        <v>349920</v>
      </c>
      <c r="M2269" t="str">
        <f t="shared" si="157"/>
        <v>ASALARIADO</v>
      </c>
      <c r="N2269">
        <f t="shared" si="158"/>
        <v>34</v>
      </c>
      <c r="O2269" s="19" t="str">
        <f t="shared" si="159"/>
        <v>300k–600k</v>
      </c>
      <c r="P2269" s="19" t="str">
        <f t="shared" si="160"/>
        <v>26-35</v>
      </c>
    </row>
    <row r="2270" spans="1:16" x14ac:dyDescent="0.25">
      <c r="A2270">
        <v>2269</v>
      </c>
      <c r="B2270" t="s">
        <v>9</v>
      </c>
      <c r="C2270">
        <v>17760.8</v>
      </c>
      <c r="D2270" t="s">
        <v>10</v>
      </c>
      <c r="E2270" t="s">
        <v>16</v>
      </c>
      <c r="F2270" t="s">
        <v>12</v>
      </c>
      <c r="G2270" t="s">
        <v>12</v>
      </c>
      <c r="H2270" t="s">
        <v>13</v>
      </c>
      <c r="I2270">
        <v>29</v>
      </c>
      <c r="J2270" t="str" cm="1">
        <f t="array" ref="J2270">_xlfn.IFS(ISBLANK(C2270),"FALTANTE",ABS((C2270-$W$5)/$X$5)&gt;1.96,"ATÍPICO",ABS((C2270-$W$5)/$X$5)&lt;=1.96,"NO ATÍPICO")</f>
        <v>NO ATÍPICO</v>
      </c>
      <c r="K2270" t="str" cm="1">
        <f t="array" ref="K2270">_xlfn.IFS(ISBLANK(I2270),"FALTANTE",ABS((I2270-$W$8)/$X$8)&gt;1.92,"ATÍPICO",ABS((I2270-$W$8)/$X$8)&lt;=1.92,"NO ATÍPICO")</f>
        <v>NO ATÍPICO</v>
      </c>
      <c r="L2270">
        <f t="shared" si="157"/>
        <v>17760.8</v>
      </c>
      <c r="M2270" t="str">
        <f t="shared" si="157"/>
        <v>ASALARIADO</v>
      </c>
      <c r="N2270">
        <f t="shared" si="158"/>
        <v>29</v>
      </c>
      <c r="O2270" s="19" t="str">
        <f t="shared" si="159"/>
        <v>0–300k</v>
      </c>
      <c r="P2270" s="19" t="str">
        <f t="shared" si="160"/>
        <v>26-35</v>
      </c>
    </row>
    <row r="2271" spans="1:16" x14ac:dyDescent="0.25">
      <c r="A2271">
        <v>2270</v>
      </c>
      <c r="B2271" t="s">
        <v>15</v>
      </c>
      <c r="C2271">
        <v>526736.80000000005</v>
      </c>
      <c r="D2271" t="s">
        <v>10</v>
      </c>
      <c r="E2271" t="s">
        <v>16</v>
      </c>
      <c r="F2271" t="s">
        <v>12</v>
      </c>
      <c r="G2271" t="s">
        <v>13</v>
      </c>
      <c r="H2271" t="s">
        <v>13</v>
      </c>
      <c r="I2271">
        <v>25</v>
      </c>
      <c r="J2271" t="str" cm="1">
        <f t="array" ref="J2271">_xlfn.IFS(ISBLANK(C2271),"FALTANTE",ABS((C2271-$W$5)/$X$5)&gt;1.96,"ATÍPICO",ABS((C2271-$W$5)/$X$5)&lt;=1.96,"NO ATÍPICO")</f>
        <v>NO ATÍPICO</v>
      </c>
      <c r="K2271" t="str" cm="1">
        <f t="array" ref="K2271">_xlfn.IFS(ISBLANK(I2271),"FALTANTE",ABS((I2271-$W$8)/$X$8)&gt;1.92,"ATÍPICO",ABS((I2271-$W$8)/$X$8)&lt;=1.92,"NO ATÍPICO")</f>
        <v>NO ATÍPICO</v>
      </c>
      <c r="L2271">
        <f t="shared" si="157"/>
        <v>526736.80000000005</v>
      </c>
      <c r="M2271" t="str">
        <f t="shared" si="157"/>
        <v>ASALARIADO</v>
      </c>
      <c r="N2271">
        <f t="shared" si="158"/>
        <v>25</v>
      </c>
      <c r="O2271" s="19" t="str">
        <f t="shared" si="159"/>
        <v>300k–600k</v>
      </c>
      <c r="P2271" s="19" t="str">
        <f t="shared" si="160"/>
        <v>18-25</v>
      </c>
    </row>
    <row r="2272" spans="1:16" x14ac:dyDescent="0.25">
      <c r="A2272">
        <v>2271</v>
      </c>
      <c r="B2272" t="s">
        <v>9</v>
      </c>
      <c r="C2272">
        <v>497155.33</v>
      </c>
      <c r="D2272" t="s">
        <v>10</v>
      </c>
      <c r="E2272" t="s">
        <v>16</v>
      </c>
      <c r="F2272" t="s">
        <v>12</v>
      </c>
      <c r="G2272" t="s">
        <v>13</v>
      </c>
      <c r="H2272" t="s">
        <v>13</v>
      </c>
      <c r="I2272">
        <v>27</v>
      </c>
      <c r="J2272" t="str" cm="1">
        <f t="array" ref="J2272">_xlfn.IFS(ISBLANK(C2272),"FALTANTE",ABS((C2272-$W$5)/$X$5)&gt;1.96,"ATÍPICO",ABS((C2272-$W$5)/$X$5)&lt;=1.96,"NO ATÍPICO")</f>
        <v>NO ATÍPICO</v>
      </c>
      <c r="K2272" t="str" cm="1">
        <f t="array" ref="K2272">_xlfn.IFS(ISBLANK(I2272),"FALTANTE",ABS((I2272-$W$8)/$X$8)&gt;1.92,"ATÍPICO",ABS((I2272-$W$8)/$X$8)&lt;=1.92,"NO ATÍPICO")</f>
        <v>NO ATÍPICO</v>
      </c>
      <c r="L2272">
        <f t="shared" si="157"/>
        <v>497155.33</v>
      </c>
      <c r="M2272" t="str">
        <f t="shared" si="157"/>
        <v>ASALARIADO</v>
      </c>
      <c r="N2272">
        <f t="shared" si="158"/>
        <v>27</v>
      </c>
      <c r="O2272" s="19" t="str">
        <f t="shared" si="159"/>
        <v>300k–600k</v>
      </c>
      <c r="P2272" s="19" t="str">
        <f t="shared" si="160"/>
        <v>26-35</v>
      </c>
    </row>
    <row r="2273" spans="1:16" x14ac:dyDescent="0.25">
      <c r="A2273">
        <v>2272</v>
      </c>
      <c r="B2273" t="s">
        <v>15</v>
      </c>
      <c r="C2273">
        <v>423675</v>
      </c>
      <c r="D2273" t="s">
        <v>10</v>
      </c>
      <c r="E2273" t="s">
        <v>16</v>
      </c>
      <c r="F2273" t="s">
        <v>12</v>
      </c>
      <c r="G2273" t="s">
        <v>13</v>
      </c>
      <c r="H2273" t="s">
        <v>13</v>
      </c>
      <c r="I2273">
        <v>26</v>
      </c>
      <c r="J2273" t="str" cm="1">
        <f t="array" ref="J2273">_xlfn.IFS(ISBLANK(C2273),"FALTANTE",ABS((C2273-$W$5)/$X$5)&gt;1.96,"ATÍPICO",ABS((C2273-$W$5)/$X$5)&lt;=1.96,"NO ATÍPICO")</f>
        <v>NO ATÍPICO</v>
      </c>
      <c r="K2273" t="str" cm="1">
        <f t="array" ref="K2273">_xlfn.IFS(ISBLANK(I2273),"FALTANTE",ABS((I2273-$W$8)/$X$8)&gt;1.92,"ATÍPICO",ABS((I2273-$W$8)/$X$8)&lt;=1.92,"NO ATÍPICO")</f>
        <v>NO ATÍPICO</v>
      </c>
      <c r="L2273">
        <f t="shared" si="157"/>
        <v>423675</v>
      </c>
      <c r="M2273" t="str">
        <f t="shared" si="157"/>
        <v>ASALARIADO</v>
      </c>
      <c r="N2273">
        <f t="shared" si="158"/>
        <v>26</v>
      </c>
      <c r="O2273" s="19" t="str">
        <f t="shared" si="159"/>
        <v>300k–600k</v>
      </c>
      <c r="P2273" s="19" t="str">
        <f t="shared" si="160"/>
        <v>26-35</v>
      </c>
    </row>
    <row r="2274" spans="1:16" x14ac:dyDescent="0.25">
      <c r="A2274">
        <v>2273</v>
      </c>
      <c r="B2274" t="s">
        <v>9</v>
      </c>
      <c r="C2274">
        <v>292387</v>
      </c>
      <c r="D2274" t="s">
        <v>17</v>
      </c>
      <c r="E2274" t="s">
        <v>16</v>
      </c>
      <c r="F2274" t="s">
        <v>12</v>
      </c>
      <c r="G2274" t="s">
        <v>12</v>
      </c>
      <c r="H2274" t="s">
        <v>13</v>
      </c>
      <c r="I2274">
        <v>33</v>
      </c>
      <c r="J2274" t="str" cm="1">
        <f t="array" ref="J2274">_xlfn.IFS(ISBLANK(C2274),"FALTANTE",ABS((C2274-$W$5)/$X$5)&gt;1.96,"ATÍPICO",ABS((C2274-$W$5)/$X$5)&lt;=1.96,"NO ATÍPICO")</f>
        <v>NO ATÍPICO</v>
      </c>
      <c r="K2274" t="str" cm="1">
        <f t="array" ref="K2274">_xlfn.IFS(ISBLANK(I2274),"FALTANTE",ABS((I2274-$W$8)/$X$8)&gt;1.92,"ATÍPICO",ABS((I2274-$W$8)/$X$8)&lt;=1.92,"NO ATÍPICO")</f>
        <v>NO ATÍPICO</v>
      </c>
      <c r="L2274">
        <f t="shared" si="157"/>
        <v>292387</v>
      </c>
      <c r="M2274" t="str">
        <f t="shared" si="157"/>
        <v>ASEGURADO VOLUNTARIO</v>
      </c>
      <c r="N2274">
        <f t="shared" si="158"/>
        <v>33</v>
      </c>
      <c r="O2274" s="19" t="str">
        <f t="shared" si="159"/>
        <v>0–300k</v>
      </c>
      <c r="P2274" s="19" t="str">
        <f t="shared" si="160"/>
        <v>26-35</v>
      </c>
    </row>
    <row r="2275" spans="1:16" x14ac:dyDescent="0.25">
      <c r="A2275">
        <v>2274</v>
      </c>
      <c r="B2275" t="s">
        <v>15</v>
      </c>
      <c r="C2275">
        <v>430993</v>
      </c>
      <c r="D2275" t="s">
        <v>14</v>
      </c>
      <c r="E2275" t="s">
        <v>11</v>
      </c>
      <c r="F2275" t="s">
        <v>12</v>
      </c>
      <c r="G2275" t="s">
        <v>13</v>
      </c>
      <c r="H2275" t="s">
        <v>13</v>
      </c>
      <c r="I2275">
        <v>64</v>
      </c>
      <c r="J2275" t="str" cm="1">
        <f t="array" ref="J2275">_xlfn.IFS(ISBLANK(C2275),"FALTANTE",ABS((C2275-$W$5)/$X$5)&gt;1.96,"ATÍPICO",ABS((C2275-$W$5)/$X$5)&lt;=1.96,"NO ATÍPICO")</f>
        <v>NO ATÍPICO</v>
      </c>
      <c r="K2275" t="str" cm="1">
        <f t="array" ref="K2275">_xlfn.IFS(ISBLANK(I2275),"FALTANTE",ABS((I2275-$W$8)/$X$8)&gt;1.92,"ATÍPICO",ABS((I2275-$W$8)/$X$8)&lt;=1.92,"NO ATÍPICO")</f>
        <v>NO ATÍPICO</v>
      </c>
      <c r="L2275">
        <f t="shared" si="157"/>
        <v>430993</v>
      </c>
      <c r="M2275" t="str">
        <f t="shared" si="157"/>
        <v>PENSIONADOS EN SU PROPIO SISTEMA</v>
      </c>
      <c r="N2275">
        <f t="shared" si="158"/>
        <v>64</v>
      </c>
      <c r="O2275" s="19" t="str">
        <f t="shared" si="159"/>
        <v>300k–600k</v>
      </c>
      <c r="P2275" s="19" t="str">
        <f t="shared" si="160"/>
        <v>56+</v>
      </c>
    </row>
    <row r="2276" spans="1:16" x14ac:dyDescent="0.25">
      <c r="A2276">
        <v>2275</v>
      </c>
      <c r="B2276" t="s">
        <v>9</v>
      </c>
      <c r="C2276">
        <v>298000</v>
      </c>
      <c r="D2276" t="s">
        <v>10</v>
      </c>
      <c r="E2276" t="s">
        <v>16</v>
      </c>
      <c r="F2276" t="s">
        <v>12</v>
      </c>
      <c r="G2276" t="s">
        <v>12</v>
      </c>
      <c r="H2276" t="s">
        <v>13</v>
      </c>
      <c r="I2276">
        <v>42</v>
      </c>
      <c r="J2276" t="str" cm="1">
        <f t="array" ref="J2276">_xlfn.IFS(ISBLANK(C2276),"FALTANTE",ABS((C2276-$W$5)/$X$5)&gt;1.96,"ATÍPICO",ABS((C2276-$W$5)/$X$5)&lt;=1.96,"NO ATÍPICO")</f>
        <v>NO ATÍPICO</v>
      </c>
      <c r="K2276" t="str" cm="1">
        <f t="array" ref="K2276">_xlfn.IFS(ISBLANK(I2276),"FALTANTE",ABS((I2276-$W$8)/$X$8)&gt;1.92,"ATÍPICO",ABS((I2276-$W$8)/$X$8)&lt;=1.92,"NO ATÍPICO")</f>
        <v>NO ATÍPICO</v>
      </c>
      <c r="L2276">
        <f t="shared" si="157"/>
        <v>298000</v>
      </c>
      <c r="M2276" t="str">
        <f t="shared" si="157"/>
        <v>ASALARIADO</v>
      </c>
      <c r="N2276">
        <f t="shared" si="158"/>
        <v>42</v>
      </c>
      <c r="O2276" s="19" t="str">
        <f t="shared" si="159"/>
        <v>0–300k</v>
      </c>
      <c r="P2276" s="19" t="str">
        <f t="shared" si="160"/>
        <v>36-45</v>
      </c>
    </row>
    <row r="2277" spans="1:16" x14ac:dyDescent="0.25">
      <c r="A2277">
        <v>2276</v>
      </c>
      <c r="B2277" t="s">
        <v>9</v>
      </c>
      <c r="C2277">
        <v>405063</v>
      </c>
      <c r="D2277" t="s">
        <v>18</v>
      </c>
      <c r="E2277" t="s">
        <v>16</v>
      </c>
      <c r="F2277" t="s">
        <v>12</v>
      </c>
      <c r="G2277" t="s">
        <v>12</v>
      </c>
      <c r="H2277" t="s">
        <v>12</v>
      </c>
      <c r="I2277">
        <v>40</v>
      </c>
      <c r="J2277" t="str" cm="1">
        <f t="array" ref="J2277">_xlfn.IFS(ISBLANK(C2277),"FALTANTE",ABS((C2277-$W$5)/$X$5)&gt;1.96,"ATÍPICO",ABS((C2277-$W$5)/$X$5)&lt;=1.96,"NO ATÍPICO")</f>
        <v>NO ATÍPICO</v>
      </c>
      <c r="K2277" t="str" cm="1">
        <f t="array" ref="K2277">_xlfn.IFS(ISBLANK(I2277),"FALTANTE",ABS((I2277-$W$8)/$X$8)&gt;1.92,"ATÍPICO",ABS((I2277-$W$8)/$X$8)&lt;=1.92,"NO ATÍPICO")</f>
        <v>NO ATÍPICO</v>
      </c>
      <c r="L2277">
        <f t="shared" si="157"/>
        <v>405063</v>
      </c>
      <c r="M2277" t="str">
        <f t="shared" si="157"/>
        <v>TRABAJADOR INDEPENDIENTE</v>
      </c>
      <c r="N2277">
        <f t="shared" si="158"/>
        <v>40</v>
      </c>
      <c r="O2277" s="19" t="str">
        <f t="shared" si="159"/>
        <v>300k–600k</v>
      </c>
      <c r="P2277" s="19" t="str">
        <f t="shared" si="160"/>
        <v>36-45</v>
      </c>
    </row>
    <row r="2278" spans="1:16" x14ac:dyDescent="0.25">
      <c r="A2278">
        <v>2277</v>
      </c>
      <c r="B2278" t="s">
        <v>9</v>
      </c>
      <c r="C2278">
        <v>1400000</v>
      </c>
      <c r="D2278" t="s">
        <v>10</v>
      </c>
      <c r="E2278" t="s">
        <v>16</v>
      </c>
      <c r="F2278" t="s">
        <v>12</v>
      </c>
      <c r="G2278" t="s">
        <v>13</v>
      </c>
      <c r="H2278" t="s">
        <v>13</v>
      </c>
      <c r="I2278">
        <v>30</v>
      </c>
      <c r="J2278" t="str" cm="1">
        <f t="array" ref="J2278">_xlfn.IFS(ISBLANK(C2278),"FALTANTE",ABS((C2278-$W$5)/$X$5)&gt;1.96,"ATÍPICO",ABS((C2278-$W$5)/$X$5)&lt;=1.96,"NO ATÍPICO")</f>
        <v>NO ATÍPICO</v>
      </c>
      <c r="K2278" t="str" cm="1">
        <f t="array" ref="K2278">_xlfn.IFS(ISBLANK(I2278),"FALTANTE",ABS((I2278-$W$8)/$X$8)&gt;1.92,"ATÍPICO",ABS((I2278-$W$8)/$X$8)&lt;=1.92,"NO ATÍPICO")</f>
        <v>NO ATÍPICO</v>
      </c>
      <c r="L2278">
        <f t="shared" si="157"/>
        <v>1400000</v>
      </c>
      <c r="M2278" t="str">
        <f t="shared" si="157"/>
        <v>ASALARIADO</v>
      </c>
      <c r="N2278">
        <f t="shared" si="158"/>
        <v>30</v>
      </c>
      <c r="O2278" s="19" t="str">
        <f t="shared" si="159"/>
        <v>1200k+</v>
      </c>
      <c r="P2278" s="19" t="str">
        <f t="shared" si="160"/>
        <v>26-35</v>
      </c>
    </row>
    <row r="2279" spans="1:16" x14ac:dyDescent="0.25">
      <c r="A2279">
        <v>2278</v>
      </c>
      <c r="B2279" t="s">
        <v>15</v>
      </c>
      <c r="C2279">
        <v>341602</v>
      </c>
      <c r="D2279" t="s">
        <v>18</v>
      </c>
      <c r="E2279" t="s">
        <v>16</v>
      </c>
      <c r="F2279" t="s">
        <v>12</v>
      </c>
      <c r="G2279" t="s">
        <v>13</v>
      </c>
      <c r="H2279" t="s">
        <v>13</v>
      </c>
      <c r="I2279">
        <v>42</v>
      </c>
      <c r="J2279" t="str" cm="1">
        <f t="array" ref="J2279">_xlfn.IFS(ISBLANK(C2279),"FALTANTE",ABS((C2279-$W$5)/$X$5)&gt;1.96,"ATÍPICO",ABS((C2279-$W$5)/$X$5)&lt;=1.96,"NO ATÍPICO")</f>
        <v>NO ATÍPICO</v>
      </c>
      <c r="K2279" t="str" cm="1">
        <f t="array" ref="K2279">_xlfn.IFS(ISBLANK(I2279),"FALTANTE",ABS((I2279-$W$8)/$X$8)&gt;1.92,"ATÍPICO",ABS((I2279-$W$8)/$X$8)&lt;=1.92,"NO ATÍPICO")</f>
        <v>NO ATÍPICO</v>
      </c>
      <c r="L2279">
        <f t="shared" si="157"/>
        <v>341602</v>
      </c>
      <c r="M2279" t="str">
        <f t="shared" si="157"/>
        <v>TRABAJADOR INDEPENDIENTE</v>
      </c>
      <c r="N2279">
        <f t="shared" si="158"/>
        <v>42</v>
      </c>
      <c r="O2279" s="19" t="str">
        <f t="shared" si="159"/>
        <v>300k–600k</v>
      </c>
      <c r="P2279" s="19" t="str">
        <f t="shared" si="160"/>
        <v>36-45</v>
      </c>
    </row>
    <row r="2280" spans="1:16" x14ac:dyDescent="0.25">
      <c r="A2280">
        <v>2279</v>
      </c>
      <c r="B2280" t="s">
        <v>9</v>
      </c>
      <c r="C2280">
        <v>915000</v>
      </c>
      <c r="D2280" t="s">
        <v>10</v>
      </c>
      <c r="E2280" t="s">
        <v>16</v>
      </c>
      <c r="F2280" t="s">
        <v>12</v>
      </c>
      <c r="G2280" t="s">
        <v>13</v>
      </c>
      <c r="H2280" t="s">
        <v>13</v>
      </c>
      <c r="I2280">
        <v>24</v>
      </c>
      <c r="J2280" t="str" cm="1">
        <f t="array" ref="J2280">_xlfn.IFS(ISBLANK(C2280),"FALTANTE",ABS((C2280-$W$5)/$X$5)&gt;1.96,"ATÍPICO",ABS((C2280-$W$5)/$X$5)&lt;=1.96,"NO ATÍPICO")</f>
        <v>NO ATÍPICO</v>
      </c>
      <c r="K2280" t="str" cm="1">
        <f t="array" ref="K2280">_xlfn.IFS(ISBLANK(I2280),"FALTANTE",ABS((I2280-$W$8)/$X$8)&gt;1.92,"ATÍPICO",ABS((I2280-$W$8)/$X$8)&lt;=1.92,"NO ATÍPICO")</f>
        <v>NO ATÍPICO</v>
      </c>
      <c r="L2280">
        <f t="shared" si="157"/>
        <v>915000</v>
      </c>
      <c r="M2280" t="str">
        <f t="shared" si="157"/>
        <v>ASALARIADO</v>
      </c>
      <c r="N2280">
        <f t="shared" si="158"/>
        <v>24</v>
      </c>
      <c r="O2280" s="19" t="str">
        <f t="shared" si="159"/>
        <v>900k–1200k</v>
      </c>
      <c r="P2280" s="19" t="str">
        <f t="shared" si="160"/>
        <v>18-25</v>
      </c>
    </row>
    <row r="2281" spans="1:16" x14ac:dyDescent="0.25">
      <c r="A2281">
        <v>2280</v>
      </c>
      <c r="B2281" t="s">
        <v>15</v>
      </c>
      <c r="C2281">
        <v>339164.62</v>
      </c>
      <c r="D2281" t="s">
        <v>14</v>
      </c>
      <c r="E2281" t="s">
        <v>11</v>
      </c>
      <c r="F2281" t="s">
        <v>12</v>
      </c>
      <c r="G2281" t="s">
        <v>13</v>
      </c>
      <c r="H2281" t="s">
        <v>13</v>
      </c>
      <c r="I2281">
        <v>70</v>
      </c>
      <c r="J2281" t="str" cm="1">
        <f t="array" ref="J2281">_xlfn.IFS(ISBLANK(C2281),"FALTANTE",ABS((C2281-$W$5)/$X$5)&gt;1.96,"ATÍPICO",ABS((C2281-$W$5)/$X$5)&lt;=1.96,"NO ATÍPICO")</f>
        <v>NO ATÍPICO</v>
      </c>
      <c r="K2281" t="str" cm="1">
        <f t="array" ref="K2281">_xlfn.IFS(ISBLANK(I2281),"FALTANTE",ABS((I2281-$W$8)/$X$8)&gt;1.92,"ATÍPICO",ABS((I2281-$W$8)/$X$8)&lt;=1.92,"NO ATÍPICO")</f>
        <v>ATÍPICO</v>
      </c>
      <c r="L2281">
        <f t="shared" si="157"/>
        <v>339164.62</v>
      </c>
      <c r="M2281" t="str">
        <f t="shared" si="157"/>
        <v>PENSIONADOS EN SU PROPIO SISTEMA</v>
      </c>
      <c r="N2281">
        <f t="shared" si="158"/>
        <v>70</v>
      </c>
      <c r="O2281" s="19" t="str">
        <f t="shared" si="159"/>
        <v>300k–600k</v>
      </c>
      <c r="P2281" s="19" t="str">
        <f t="shared" si="160"/>
        <v>56+</v>
      </c>
    </row>
    <row r="2282" spans="1:16" x14ac:dyDescent="0.25">
      <c r="A2282">
        <v>2281</v>
      </c>
      <c r="B2282" t="s">
        <v>9</v>
      </c>
      <c r="C2282">
        <v>278030</v>
      </c>
      <c r="D2282" t="s">
        <v>19</v>
      </c>
      <c r="E2282" t="s">
        <v>16</v>
      </c>
      <c r="F2282" t="s">
        <v>12</v>
      </c>
      <c r="G2282" t="s">
        <v>13</v>
      </c>
      <c r="H2282" t="s">
        <v>13</v>
      </c>
      <c r="I2282">
        <v>71</v>
      </c>
      <c r="J2282" t="str" cm="1">
        <f t="array" ref="J2282">_xlfn.IFS(ISBLANK(C2282),"FALTANTE",ABS((C2282-$W$5)/$X$5)&gt;1.96,"ATÍPICO",ABS((C2282-$W$5)/$X$5)&lt;=1.96,"NO ATÍPICO")</f>
        <v>NO ATÍPICO</v>
      </c>
      <c r="K2282" t="str" cm="1">
        <f t="array" ref="K2282">_xlfn.IFS(ISBLANK(I2282),"FALTANTE",ABS((I2282-$W$8)/$X$8)&gt;1.92,"ATÍPICO",ABS((I2282-$W$8)/$X$8)&lt;=1.92,"NO ATÍPICO")</f>
        <v>ATÍPICO</v>
      </c>
      <c r="L2282">
        <f t="shared" si="157"/>
        <v>278030</v>
      </c>
      <c r="M2282" t="str">
        <f t="shared" si="157"/>
        <v>CONVENIOS ESPECIALES DE TRABAJADORES INDEPENDIENTES</v>
      </c>
      <c r="N2282">
        <f t="shared" si="158"/>
        <v>71</v>
      </c>
      <c r="O2282" s="19" t="str">
        <f t="shared" si="159"/>
        <v>0–300k</v>
      </c>
      <c r="P2282" s="19" t="str">
        <f t="shared" si="160"/>
        <v>56+</v>
      </c>
    </row>
    <row r="2283" spans="1:16" x14ac:dyDescent="0.25">
      <c r="A2283">
        <v>2282</v>
      </c>
      <c r="B2283" t="s">
        <v>15</v>
      </c>
      <c r="C2283">
        <v>490713.59999999998</v>
      </c>
      <c r="D2283" t="s">
        <v>10</v>
      </c>
      <c r="E2283" t="s">
        <v>16</v>
      </c>
      <c r="F2283" t="s">
        <v>12</v>
      </c>
      <c r="G2283" t="s">
        <v>13</v>
      </c>
      <c r="H2283" t="s">
        <v>13</v>
      </c>
      <c r="I2283">
        <v>47</v>
      </c>
      <c r="J2283" t="str" cm="1">
        <f t="array" ref="J2283">_xlfn.IFS(ISBLANK(C2283),"FALTANTE",ABS((C2283-$W$5)/$X$5)&gt;1.96,"ATÍPICO",ABS((C2283-$W$5)/$X$5)&lt;=1.96,"NO ATÍPICO")</f>
        <v>NO ATÍPICO</v>
      </c>
      <c r="K2283" t="str" cm="1">
        <f t="array" ref="K2283">_xlfn.IFS(ISBLANK(I2283),"FALTANTE",ABS((I2283-$W$8)/$X$8)&gt;1.92,"ATÍPICO",ABS((I2283-$W$8)/$X$8)&lt;=1.92,"NO ATÍPICO")</f>
        <v>NO ATÍPICO</v>
      </c>
      <c r="L2283">
        <f t="shared" si="157"/>
        <v>490713.59999999998</v>
      </c>
      <c r="M2283" t="str">
        <f t="shared" si="157"/>
        <v>ASALARIADO</v>
      </c>
      <c r="N2283">
        <f t="shared" si="158"/>
        <v>47</v>
      </c>
      <c r="O2283" s="19" t="str">
        <f t="shared" si="159"/>
        <v>300k–600k</v>
      </c>
      <c r="P2283" s="19" t="str">
        <f t="shared" si="160"/>
        <v>46-55</v>
      </c>
    </row>
    <row r="2284" spans="1:16" x14ac:dyDescent="0.25">
      <c r="A2284">
        <v>2283</v>
      </c>
      <c r="B2284" t="s">
        <v>9</v>
      </c>
      <c r="C2284">
        <v>1051374.8</v>
      </c>
      <c r="D2284" t="s">
        <v>10</v>
      </c>
      <c r="E2284" t="s">
        <v>11</v>
      </c>
      <c r="F2284" t="s">
        <v>12</v>
      </c>
      <c r="G2284" t="s">
        <v>13</v>
      </c>
      <c r="H2284" t="s">
        <v>13</v>
      </c>
      <c r="I2284">
        <v>62</v>
      </c>
      <c r="J2284" t="str" cm="1">
        <f t="array" ref="J2284">_xlfn.IFS(ISBLANK(C2284),"FALTANTE",ABS((C2284-$W$5)/$X$5)&gt;1.96,"ATÍPICO",ABS((C2284-$W$5)/$X$5)&lt;=1.96,"NO ATÍPICO")</f>
        <v>NO ATÍPICO</v>
      </c>
      <c r="K2284" t="str" cm="1">
        <f t="array" ref="K2284">_xlfn.IFS(ISBLANK(I2284),"FALTANTE",ABS((I2284-$W$8)/$X$8)&gt;1.92,"ATÍPICO",ABS((I2284-$W$8)/$X$8)&lt;=1.92,"NO ATÍPICO")</f>
        <v>NO ATÍPICO</v>
      </c>
      <c r="L2284">
        <f t="shared" si="157"/>
        <v>1051374.8</v>
      </c>
      <c r="M2284" t="str">
        <f t="shared" si="157"/>
        <v>ASALARIADO</v>
      </c>
      <c r="N2284">
        <f t="shared" si="158"/>
        <v>62</v>
      </c>
      <c r="O2284" s="19" t="str">
        <f t="shared" si="159"/>
        <v>900k–1200k</v>
      </c>
      <c r="P2284" s="19" t="str">
        <f t="shared" si="160"/>
        <v>56+</v>
      </c>
    </row>
    <row r="2285" spans="1:16" x14ac:dyDescent="0.25">
      <c r="A2285">
        <v>2284</v>
      </c>
      <c r="B2285" t="s">
        <v>9</v>
      </c>
      <c r="C2285">
        <v>445841.44</v>
      </c>
      <c r="D2285" t="s">
        <v>10</v>
      </c>
      <c r="E2285" t="s">
        <v>16</v>
      </c>
      <c r="F2285" t="s">
        <v>12</v>
      </c>
      <c r="G2285" t="s">
        <v>12</v>
      </c>
      <c r="H2285" t="s">
        <v>13</v>
      </c>
      <c r="I2285">
        <v>57</v>
      </c>
      <c r="J2285" t="str" cm="1">
        <f t="array" ref="J2285">_xlfn.IFS(ISBLANK(C2285),"FALTANTE",ABS((C2285-$W$5)/$X$5)&gt;1.96,"ATÍPICO",ABS((C2285-$W$5)/$X$5)&lt;=1.96,"NO ATÍPICO")</f>
        <v>NO ATÍPICO</v>
      </c>
      <c r="K2285" t="str" cm="1">
        <f t="array" ref="K2285">_xlfn.IFS(ISBLANK(I2285),"FALTANTE",ABS((I2285-$W$8)/$X$8)&gt;1.92,"ATÍPICO",ABS((I2285-$W$8)/$X$8)&lt;=1.92,"NO ATÍPICO")</f>
        <v>NO ATÍPICO</v>
      </c>
      <c r="L2285">
        <f t="shared" si="157"/>
        <v>445841.44</v>
      </c>
      <c r="M2285" t="str">
        <f t="shared" si="157"/>
        <v>ASALARIADO</v>
      </c>
      <c r="N2285">
        <f t="shared" si="158"/>
        <v>57</v>
      </c>
      <c r="O2285" s="19" t="str">
        <f t="shared" si="159"/>
        <v>300k–600k</v>
      </c>
      <c r="P2285" s="19" t="str">
        <f t="shared" si="160"/>
        <v>56+</v>
      </c>
    </row>
    <row r="2286" spans="1:16" x14ac:dyDescent="0.25">
      <c r="A2286">
        <v>2285</v>
      </c>
      <c r="B2286" t="s">
        <v>15</v>
      </c>
      <c r="C2286">
        <v>485843.98</v>
      </c>
      <c r="D2286" t="s">
        <v>10</v>
      </c>
      <c r="E2286" t="s">
        <v>16</v>
      </c>
      <c r="F2286" t="s">
        <v>12</v>
      </c>
      <c r="G2286" t="s">
        <v>13</v>
      </c>
      <c r="H2286" t="s">
        <v>13</v>
      </c>
      <c r="I2286">
        <v>25</v>
      </c>
      <c r="J2286" t="str" cm="1">
        <f t="array" ref="J2286">_xlfn.IFS(ISBLANK(C2286),"FALTANTE",ABS((C2286-$W$5)/$X$5)&gt;1.96,"ATÍPICO",ABS((C2286-$W$5)/$X$5)&lt;=1.96,"NO ATÍPICO")</f>
        <v>NO ATÍPICO</v>
      </c>
      <c r="K2286" t="str" cm="1">
        <f t="array" ref="K2286">_xlfn.IFS(ISBLANK(I2286),"FALTANTE",ABS((I2286-$W$8)/$X$8)&gt;1.92,"ATÍPICO",ABS((I2286-$W$8)/$X$8)&lt;=1.92,"NO ATÍPICO")</f>
        <v>NO ATÍPICO</v>
      </c>
      <c r="L2286">
        <f t="shared" si="157"/>
        <v>485843.98</v>
      </c>
      <c r="M2286" t="str">
        <f t="shared" si="157"/>
        <v>ASALARIADO</v>
      </c>
      <c r="N2286">
        <f t="shared" si="158"/>
        <v>25</v>
      </c>
      <c r="O2286" s="19" t="str">
        <f t="shared" si="159"/>
        <v>300k–600k</v>
      </c>
      <c r="P2286" s="19" t="str">
        <f t="shared" si="160"/>
        <v>18-25</v>
      </c>
    </row>
    <row r="2287" spans="1:16" x14ac:dyDescent="0.25">
      <c r="A2287">
        <v>2286</v>
      </c>
      <c r="B2287" t="s">
        <v>9</v>
      </c>
      <c r="C2287">
        <v>370647</v>
      </c>
      <c r="D2287" t="s">
        <v>18</v>
      </c>
      <c r="E2287" t="s">
        <v>16</v>
      </c>
      <c r="F2287" t="s">
        <v>12</v>
      </c>
      <c r="G2287" t="s">
        <v>13</v>
      </c>
      <c r="H2287" t="s">
        <v>13</v>
      </c>
      <c r="I2287">
        <v>49</v>
      </c>
      <c r="J2287" t="str" cm="1">
        <f t="array" ref="J2287">_xlfn.IFS(ISBLANK(C2287),"FALTANTE",ABS((C2287-$W$5)/$X$5)&gt;1.96,"ATÍPICO",ABS((C2287-$W$5)/$X$5)&lt;=1.96,"NO ATÍPICO")</f>
        <v>NO ATÍPICO</v>
      </c>
      <c r="K2287" t="str" cm="1">
        <f t="array" ref="K2287">_xlfn.IFS(ISBLANK(I2287),"FALTANTE",ABS((I2287-$W$8)/$X$8)&gt;1.92,"ATÍPICO",ABS((I2287-$W$8)/$X$8)&lt;=1.92,"NO ATÍPICO")</f>
        <v>NO ATÍPICO</v>
      </c>
      <c r="L2287">
        <f t="shared" si="157"/>
        <v>370647</v>
      </c>
      <c r="M2287" t="str">
        <f t="shared" si="157"/>
        <v>TRABAJADOR INDEPENDIENTE</v>
      </c>
      <c r="N2287">
        <f t="shared" si="158"/>
        <v>49</v>
      </c>
      <c r="O2287" s="19" t="str">
        <f t="shared" si="159"/>
        <v>300k–600k</v>
      </c>
      <c r="P2287" s="19" t="str">
        <f t="shared" si="160"/>
        <v>46-55</v>
      </c>
    </row>
    <row r="2288" spans="1:16" x14ac:dyDescent="0.25">
      <c r="A2288">
        <v>2287</v>
      </c>
      <c r="B2288" t="s">
        <v>15</v>
      </c>
      <c r="C2288">
        <v>138101.79999999999</v>
      </c>
      <c r="D2288" t="s">
        <v>10</v>
      </c>
      <c r="E2288" t="s">
        <v>11</v>
      </c>
      <c r="F2288" t="s">
        <v>12</v>
      </c>
      <c r="G2288" t="s">
        <v>13</v>
      </c>
      <c r="H2288" t="s">
        <v>13</v>
      </c>
      <c r="I2288">
        <v>31</v>
      </c>
      <c r="J2288" t="str" cm="1">
        <f t="array" ref="J2288">_xlfn.IFS(ISBLANK(C2288),"FALTANTE",ABS((C2288-$W$5)/$X$5)&gt;1.96,"ATÍPICO",ABS((C2288-$W$5)/$X$5)&lt;=1.96,"NO ATÍPICO")</f>
        <v>NO ATÍPICO</v>
      </c>
      <c r="K2288" t="str" cm="1">
        <f t="array" ref="K2288">_xlfn.IFS(ISBLANK(I2288),"FALTANTE",ABS((I2288-$W$8)/$X$8)&gt;1.92,"ATÍPICO",ABS((I2288-$W$8)/$X$8)&lt;=1.92,"NO ATÍPICO")</f>
        <v>NO ATÍPICO</v>
      </c>
      <c r="L2288">
        <f t="shared" si="157"/>
        <v>138101.79999999999</v>
      </c>
      <c r="M2288" t="str">
        <f t="shared" si="157"/>
        <v>ASALARIADO</v>
      </c>
      <c r="N2288">
        <f t="shared" si="158"/>
        <v>31</v>
      </c>
      <c r="O2288" s="19" t="str">
        <f t="shared" si="159"/>
        <v>0–300k</v>
      </c>
      <c r="P2288" s="19" t="str">
        <f t="shared" si="160"/>
        <v>26-35</v>
      </c>
    </row>
    <row r="2289" spans="1:16" x14ac:dyDescent="0.25">
      <c r="A2289">
        <v>2288</v>
      </c>
      <c r="B2289" t="s">
        <v>9</v>
      </c>
      <c r="C2289">
        <v>338629</v>
      </c>
      <c r="D2289" t="s">
        <v>18</v>
      </c>
      <c r="E2289" t="s">
        <v>16</v>
      </c>
      <c r="F2289" t="s">
        <v>12</v>
      </c>
      <c r="G2289" t="s">
        <v>13</v>
      </c>
      <c r="H2289" t="s">
        <v>12</v>
      </c>
      <c r="I2289">
        <v>50</v>
      </c>
      <c r="J2289" t="str" cm="1">
        <f t="array" ref="J2289">_xlfn.IFS(ISBLANK(C2289),"FALTANTE",ABS((C2289-$W$5)/$X$5)&gt;1.96,"ATÍPICO",ABS((C2289-$W$5)/$X$5)&lt;=1.96,"NO ATÍPICO")</f>
        <v>NO ATÍPICO</v>
      </c>
      <c r="K2289" t="str" cm="1">
        <f t="array" ref="K2289">_xlfn.IFS(ISBLANK(I2289),"FALTANTE",ABS((I2289-$W$8)/$X$8)&gt;1.92,"ATÍPICO",ABS((I2289-$W$8)/$X$8)&lt;=1.92,"NO ATÍPICO")</f>
        <v>NO ATÍPICO</v>
      </c>
      <c r="L2289">
        <f t="shared" si="157"/>
        <v>338629</v>
      </c>
      <c r="M2289" t="str">
        <f t="shared" si="157"/>
        <v>TRABAJADOR INDEPENDIENTE</v>
      </c>
      <c r="N2289">
        <f t="shared" si="158"/>
        <v>50</v>
      </c>
      <c r="O2289" s="19" t="str">
        <f t="shared" si="159"/>
        <v>300k–600k</v>
      </c>
      <c r="P2289" s="19" t="str">
        <f t="shared" si="160"/>
        <v>46-55</v>
      </c>
    </row>
    <row r="2290" spans="1:16" x14ac:dyDescent="0.25">
      <c r="A2290">
        <v>2289</v>
      </c>
      <c r="B2290" t="s">
        <v>9</v>
      </c>
      <c r="C2290">
        <v>1080496.5</v>
      </c>
      <c r="D2290" t="s">
        <v>10</v>
      </c>
      <c r="E2290" t="s">
        <v>16</v>
      </c>
      <c r="F2290" t="s">
        <v>12</v>
      </c>
      <c r="G2290" t="s">
        <v>13</v>
      </c>
      <c r="H2290" t="s">
        <v>13</v>
      </c>
      <c r="I2290">
        <v>37</v>
      </c>
      <c r="J2290" t="str" cm="1">
        <f t="array" ref="J2290">_xlfn.IFS(ISBLANK(C2290),"FALTANTE",ABS((C2290-$W$5)/$X$5)&gt;1.96,"ATÍPICO",ABS((C2290-$W$5)/$X$5)&lt;=1.96,"NO ATÍPICO")</f>
        <v>NO ATÍPICO</v>
      </c>
      <c r="K2290" t="str" cm="1">
        <f t="array" ref="K2290">_xlfn.IFS(ISBLANK(I2290),"FALTANTE",ABS((I2290-$W$8)/$X$8)&gt;1.92,"ATÍPICO",ABS((I2290-$W$8)/$X$8)&lt;=1.92,"NO ATÍPICO")</f>
        <v>NO ATÍPICO</v>
      </c>
      <c r="L2290">
        <f t="shared" si="157"/>
        <v>1080496.5</v>
      </c>
      <c r="M2290" t="str">
        <f t="shared" si="157"/>
        <v>ASALARIADO</v>
      </c>
      <c r="N2290">
        <f t="shared" si="158"/>
        <v>37</v>
      </c>
      <c r="O2290" s="19" t="str">
        <f t="shared" si="159"/>
        <v>900k–1200k</v>
      </c>
      <c r="P2290" s="19" t="str">
        <f t="shared" si="160"/>
        <v>36-45</v>
      </c>
    </row>
    <row r="2291" spans="1:16" x14ac:dyDescent="0.25">
      <c r="A2291">
        <v>2290</v>
      </c>
      <c r="B2291" t="s">
        <v>15</v>
      </c>
      <c r="C2291">
        <v>294025</v>
      </c>
      <c r="D2291" t="s">
        <v>10</v>
      </c>
      <c r="E2291" t="s">
        <v>16</v>
      </c>
      <c r="F2291" t="s">
        <v>12</v>
      </c>
      <c r="G2291" t="s">
        <v>13</v>
      </c>
      <c r="H2291" t="s">
        <v>13</v>
      </c>
      <c r="I2291">
        <v>49</v>
      </c>
      <c r="J2291" t="str" cm="1">
        <f t="array" ref="J2291">_xlfn.IFS(ISBLANK(C2291),"FALTANTE",ABS((C2291-$W$5)/$X$5)&gt;1.96,"ATÍPICO",ABS((C2291-$W$5)/$X$5)&lt;=1.96,"NO ATÍPICO")</f>
        <v>NO ATÍPICO</v>
      </c>
      <c r="K2291" t="str" cm="1">
        <f t="array" ref="K2291">_xlfn.IFS(ISBLANK(I2291),"FALTANTE",ABS((I2291-$W$8)/$X$8)&gt;1.92,"ATÍPICO",ABS((I2291-$W$8)/$X$8)&lt;=1.92,"NO ATÍPICO")</f>
        <v>NO ATÍPICO</v>
      </c>
      <c r="L2291">
        <f t="shared" si="157"/>
        <v>294025</v>
      </c>
      <c r="M2291" t="str">
        <f t="shared" si="157"/>
        <v>ASALARIADO</v>
      </c>
      <c r="N2291">
        <f t="shared" si="158"/>
        <v>49</v>
      </c>
      <c r="O2291" s="19" t="str">
        <f t="shared" si="159"/>
        <v>0–300k</v>
      </c>
      <c r="P2291" s="19" t="str">
        <f t="shared" si="160"/>
        <v>46-55</v>
      </c>
    </row>
    <row r="2292" spans="1:16" x14ac:dyDescent="0.25">
      <c r="A2292">
        <v>2291</v>
      </c>
      <c r="B2292" t="s">
        <v>9</v>
      </c>
      <c r="C2292">
        <v>300018</v>
      </c>
      <c r="D2292" t="s">
        <v>18</v>
      </c>
      <c r="E2292" t="s">
        <v>16</v>
      </c>
      <c r="F2292" t="s">
        <v>12</v>
      </c>
      <c r="G2292" t="s">
        <v>13</v>
      </c>
      <c r="H2292" t="s">
        <v>12</v>
      </c>
      <c r="I2292">
        <v>54</v>
      </c>
      <c r="J2292" t="str" cm="1">
        <f t="array" ref="J2292">_xlfn.IFS(ISBLANK(C2292),"FALTANTE",ABS((C2292-$W$5)/$X$5)&gt;1.96,"ATÍPICO",ABS((C2292-$W$5)/$X$5)&lt;=1.96,"NO ATÍPICO")</f>
        <v>NO ATÍPICO</v>
      </c>
      <c r="K2292" t="str" cm="1">
        <f t="array" ref="K2292">_xlfn.IFS(ISBLANK(I2292),"FALTANTE",ABS((I2292-$W$8)/$X$8)&gt;1.92,"ATÍPICO",ABS((I2292-$W$8)/$X$8)&lt;=1.92,"NO ATÍPICO")</f>
        <v>NO ATÍPICO</v>
      </c>
      <c r="L2292">
        <f t="shared" si="157"/>
        <v>300018</v>
      </c>
      <c r="M2292" t="str">
        <f t="shared" si="157"/>
        <v>TRABAJADOR INDEPENDIENTE</v>
      </c>
      <c r="N2292">
        <f t="shared" si="158"/>
        <v>54</v>
      </c>
      <c r="O2292" s="19" t="str">
        <f t="shared" si="159"/>
        <v>300k–600k</v>
      </c>
      <c r="P2292" s="19" t="str">
        <f t="shared" si="160"/>
        <v>46-55</v>
      </c>
    </row>
    <row r="2293" spans="1:16" x14ac:dyDescent="0.25">
      <c r="A2293">
        <v>2292</v>
      </c>
      <c r="B2293" t="s">
        <v>9</v>
      </c>
      <c r="C2293">
        <v>278030</v>
      </c>
      <c r="D2293" t="s">
        <v>19</v>
      </c>
      <c r="E2293" t="s">
        <v>16</v>
      </c>
      <c r="F2293" t="s">
        <v>12</v>
      </c>
      <c r="G2293" t="s">
        <v>13</v>
      </c>
      <c r="H2293" t="s">
        <v>13</v>
      </c>
      <c r="I2293">
        <v>53</v>
      </c>
      <c r="J2293" t="str" cm="1">
        <f t="array" ref="J2293">_xlfn.IFS(ISBLANK(C2293),"FALTANTE",ABS((C2293-$W$5)/$X$5)&gt;1.96,"ATÍPICO",ABS((C2293-$W$5)/$X$5)&lt;=1.96,"NO ATÍPICO")</f>
        <v>NO ATÍPICO</v>
      </c>
      <c r="K2293" t="str" cm="1">
        <f t="array" ref="K2293">_xlfn.IFS(ISBLANK(I2293),"FALTANTE",ABS((I2293-$W$8)/$X$8)&gt;1.92,"ATÍPICO",ABS((I2293-$W$8)/$X$8)&lt;=1.92,"NO ATÍPICO")</f>
        <v>NO ATÍPICO</v>
      </c>
      <c r="L2293">
        <f t="shared" si="157"/>
        <v>278030</v>
      </c>
      <c r="M2293" t="str">
        <f t="shared" si="157"/>
        <v>CONVENIOS ESPECIALES DE TRABAJADORES INDEPENDIENTES</v>
      </c>
      <c r="N2293">
        <f t="shared" si="158"/>
        <v>53</v>
      </c>
      <c r="O2293" s="19" t="str">
        <f t="shared" si="159"/>
        <v>0–300k</v>
      </c>
      <c r="P2293" s="19" t="str">
        <f t="shared" si="160"/>
        <v>46-55</v>
      </c>
    </row>
    <row r="2294" spans="1:16" x14ac:dyDescent="0.25">
      <c r="A2294">
        <v>2293</v>
      </c>
      <c r="B2294" t="s">
        <v>9</v>
      </c>
      <c r="C2294">
        <v>299647</v>
      </c>
      <c r="D2294" t="s">
        <v>17</v>
      </c>
      <c r="E2294" t="s">
        <v>16</v>
      </c>
      <c r="F2294" t="s">
        <v>12</v>
      </c>
      <c r="G2294" t="s">
        <v>13</v>
      </c>
      <c r="H2294" t="s">
        <v>13</v>
      </c>
      <c r="I2294">
        <v>61</v>
      </c>
      <c r="J2294" t="str" cm="1">
        <f t="array" ref="J2294">_xlfn.IFS(ISBLANK(C2294),"FALTANTE",ABS((C2294-$W$5)/$X$5)&gt;1.96,"ATÍPICO",ABS((C2294-$W$5)/$X$5)&lt;=1.96,"NO ATÍPICO")</f>
        <v>NO ATÍPICO</v>
      </c>
      <c r="K2294" t="str" cm="1">
        <f t="array" ref="K2294">_xlfn.IFS(ISBLANK(I2294),"FALTANTE",ABS((I2294-$W$8)/$X$8)&gt;1.92,"ATÍPICO",ABS((I2294-$W$8)/$X$8)&lt;=1.92,"NO ATÍPICO")</f>
        <v>NO ATÍPICO</v>
      </c>
      <c r="L2294">
        <f t="shared" si="157"/>
        <v>299647</v>
      </c>
      <c r="M2294" t="str">
        <f t="shared" si="157"/>
        <v>ASEGURADO VOLUNTARIO</v>
      </c>
      <c r="N2294">
        <f t="shared" si="158"/>
        <v>61</v>
      </c>
      <c r="O2294" s="19" t="str">
        <f t="shared" si="159"/>
        <v>0–300k</v>
      </c>
      <c r="P2294" s="19" t="str">
        <f t="shared" si="160"/>
        <v>56+</v>
      </c>
    </row>
    <row r="2295" spans="1:16" x14ac:dyDescent="0.25">
      <c r="A2295">
        <v>2294</v>
      </c>
      <c r="B2295" t="s">
        <v>15</v>
      </c>
      <c r="C2295">
        <v>2376310</v>
      </c>
      <c r="D2295" t="s">
        <v>10</v>
      </c>
      <c r="E2295" t="s">
        <v>11</v>
      </c>
      <c r="F2295" t="s">
        <v>12</v>
      </c>
      <c r="G2295" t="s">
        <v>13</v>
      </c>
      <c r="H2295" t="s">
        <v>13</v>
      </c>
      <c r="I2295">
        <v>45</v>
      </c>
      <c r="J2295" t="str" cm="1">
        <f t="array" ref="J2295">_xlfn.IFS(ISBLANK(C2295),"FALTANTE",ABS((C2295-$W$5)/$X$5)&gt;1.96,"ATÍPICO",ABS((C2295-$W$5)/$X$5)&lt;=1.96,"NO ATÍPICO")</f>
        <v>ATÍPICO</v>
      </c>
      <c r="K2295" t="str" cm="1">
        <f t="array" ref="K2295">_xlfn.IFS(ISBLANK(I2295),"FALTANTE",ABS((I2295-$W$8)/$X$8)&gt;1.92,"ATÍPICO",ABS((I2295-$W$8)/$X$8)&lt;=1.92,"NO ATÍPICO")</f>
        <v>NO ATÍPICO</v>
      </c>
      <c r="L2295">
        <f t="shared" si="157"/>
        <v>2376310</v>
      </c>
      <c r="M2295" t="str">
        <f t="shared" si="157"/>
        <v>ASALARIADO</v>
      </c>
      <c r="N2295">
        <f t="shared" si="158"/>
        <v>45</v>
      </c>
      <c r="O2295" s="19" t="str">
        <f t="shared" si="159"/>
        <v>1200k+</v>
      </c>
      <c r="P2295" s="19" t="str">
        <f t="shared" si="160"/>
        <v>36-45</v>
      </c>
    </row>
    <row r="2296" spans="1:16" x14ac:dyDescent="0.25">
      <c r="A2296">
        <v>2295</v>
      </c>
      <c r="B2296" t="s">
        <v>15</v>
      </c>
      <c r="C2296">
        <v>257784</v>
      </c>
      <c r="D2296" t="s">
        <v>10</v>
      </c>
      <c r="E2296" t="s">
        <v>16</v>
      </c>
      <c r="F2296" t="s">
        <v>12</v>
      </c>
      <c r="G2296" t="s">
        <v>13</v>
      </c>
      <c r="H2296" t="s">
        <v>13</v>
      </c>
      <c r="I2296">
        <v>44</v>
      </c>
      <c r="J2296" t="str" cm="1">
        <f t="array" ref="J2296">_xlfn.IFS(ISBLANK(C2296),"FALTANTE",ABS((C2296-$W$5)/$X$5)&gt;1.96,"ATÍPICO",ABS((C2296-$W$5)/$X$5)&lt;=1.96,"NO ATÍPICO")</f>
        <v>NO ATÍPICO</v>
      </c>
      <c r="K2296" t="str" cm="1">
        <f t="array" ref="K2296">_xlfn.IFS(ISBLANK(I2296),"FALTANTE",ABS((I2296-$W$8)/$X$8)&gt;1.92,"ATÍPICO",ABS((I2296-$W$8)/$X$8)&lt;=1.92,"NO ATÍPICO")</f>
        <v>NO ATÍPICO</v>
      </c>
      <c r="L2296">
        <f t="shared" si="157"/>
        <v>257784</v>
      </c>
      <c r="M2296" t="str">
        <f t="shared" si="157"/>
        <v>ASALARIADO</v>
      </c>
      <c r="N2296">
        <f t="shared" si="158"/>
        <v>44</v>
      </c>
      <c r="O2296" s="19" t="str">
        <f t="shared" si="159"/>
        <v>0–300k</v>
      </c>
      <c r="P2296" s="19" t="str">
        <f t="shared" si="160"/>
        <v>36-45</v>
      </c>
    </row>
    <row r="2297" spans="1:16" x14ac:dyDescent="0.25">
      <c r="A2297">
        <v>2296</v>
      </c>
      <c r="B2297" t="s">
        <v>15</v>
      </c>
      <c r="C2297">
        <v>149800.53</v>
      </c>
      <c r="D2297" t="s">
        <v>10</v>
      </c>
      <c r="E2297" t="s">
        <v>16</v>
      </c>
      <c r="F2297" t="s">
        <v>12</v>
      </c>
      <c r="G2297" t="s">
        <v>13</v>
      </c>
      <c r="H2297" t="s">
        <v>13</v>
      </c>
      <c r="I2297">
        <v>63</v>
      </c>
      <c r="J2297" t="str" cm="1">
        <f t="array" ref="J2297">_xlfn.IFS(ISBLANK(C2297),"FALTANTE",ABS((C2297-$W$5)/$X$5)&gt;1.96,"ATÍPICO",ABS((C2297-$W$5)/$X$5)&lt;=1.96,"NO ATÍPICO")</f>
        <v>NO ATÍPICO</v>
      </c>
      <c r="K2297" t="str" cm="1">
        <f t="array" ref="K2297">_xlfn.IFS(ISBLANK(I2297),"FALTANTE",ABS((I2297-$W$8)/$X$8)&gt;1.92,"ATÍPICO",ABS((I2297-$W$8)/$X$8)&lt;=1.92,"NO ATÍPICO")</f>
        <v>NO ATÍPICO</v>
      </c>
      <c r="L2297">
        <f t="shared" si="157"/>
        <v>149800.53</v>
      </c>
      <c r="M2297" t="str">
        <f t="shared" si="157"/>
        <v>ASALARIADO</v>
      </c>
      <c r="N2297">
        <f t="shared" si="158"/>
        <v>63</v>
      </c>
      <c r="O2297" s="19" t="str">
        <f t="shared" si="159"/>
        <v>0–300k</v>
      </c>
      <c r="P2297" s="19" t="str">
        <f t="shared" si="160"/>
        <v>56+</v>
      </c>
    </row>
    <row r="2298" spans="1:16" x14ac:dyDescent="0.25">
      <c r="A2298">
        <v>2297</v>
      </c>
      <c r="B2298" t="s">
        <v>15</v>
      </c>
      <c r="C2298">
        <v>282305</v>
      </c>
      <c r="D2298" t="s">
        <v>17</v>
      </c>
      <c r="E2298" t="s">
        <v>16</v>
      </c>
      <c r="F2298" t="s">
        <v>12</v>
      </c>
      <c r="G2298" t="s">
        <v>13</v>
      </c>
      <c r="H2298" t="s">
        <v>13</v>
      </c>
      <c r="I2298">
        <v>52</v>
      </c>
      <c r="J2298" t="str" cm="1">
        <f t="array" ref="J2298">_xlfn.IFS(ISBLANK(C2298),"FALTANTE",ABS((C2298-$W$5)/$X$5)&gt;1.96,"ATÍPICO",ABS((C2298-$W$5)/$X$5)&lt;=1.96,"NO ATÍPICO")</f>
        <v>NO ATÍPICO</v>
      </c>
      <c r="K2298" t="str" cm="1">
        <f t="array" ref="K2298">_xlfn.IFS(ISBLANK(I2298),"FALTANTE",ABS((I2298-$W$8)/$X$8)&gt;1.92,"ATÍPICO",ABS((I2298-$W$8)/$X$8)&lt;=1.92,"NO ATÍPICO")</f>
        <v>NO ATÍPICO</v>
      </c>
      <c r="L2298">
        <f t="shared" si="157"/>
        <v>282305</v>
      </c>
      <c r="M2298" t="str">
        <f t="shared" si="157"/>
        <v>ASEGURADO VOLUNTARIO</v>
      </c>
      <c r="N2298">
        <f t="shared" si="158"/>
        <v>52</v>
      </c>
      <c r="O2298" s="19" t="str">
        <f t="shared" si="159"/>
        <v>0–300k</v>
      </c>
      <c r="P2298" s="19" t="str">
        <f t="shared" si="160"/>
        <v>46-55</v>
      </c>
    </row>
    <row r="2299" spans="1:16" x14ac:dyDescent="0.25">
      <c r="A2299">
        <v>2298</v>
      </c>
      <c r="B2299" t="s">
        <v>9</v>
      </c>
      <c r="C2299">
        <v>458557</v>
      </c>
      <c r="D2299" t="s">
        <v>18</v>
      </c>
      <c r="E2299" t="s">
        <v>16</v>
      </c>
      <c r="F2299" t="s">
        <v>12</v>
      </c>
      <c r="G2299" t="s">
        <v>13</v>
      </c>
      <c r="H2299" t="s">
        <v>12</v>
      </c>
      <c r="I2299">
        <v>30</v>
      </c>
      <c r="J2299" t="str" cm="1">
        <f t="array" ref="J2299">_xlfn.IFS(ISBLANK(C2299),"FALTANTE",ABS((C2299-$W$5)/$X$5)&gt;1.96,"ATÍPICO",ABS((C2299-$W$5)/$X$5)&lt;=1.96,"NO ATÍPICO")</f>
        <v>NO ATÍPICO</v>
      </c>
      <c r="K2299" t="str" cm="1">
        <f t="array" ref="K2299">_xlfn.IFS(ISBLANK(I2299),"FALTANTE",ABS((I2299-$W$8)/$X$8)&gt;1.92,"ATÍPICO",ABS((I2299-$W$8)/$X$8)&lt;=1.92,"NO ATÍPICO")</f>
        <v>NO ATÍPICO</v>
      </c>
      <c r="L2299">
        <f t="shared" si="157"/>
        <v>458557</v>
      </c>
      <c r="M2299" t="str">
        <f t="shared" si="157"/>
        <v>TRABAJADOR INDEPENDIENTE</v>
      </c>
      <c r="N2299">
        <f t="shared" si="158"/>
        <v>30</v>
      </c>
      <c r="O2299" s="19" t="str">
        <f t="shared" si="159"/>
        <v>300k–600k</v>
      </c>
      <c r="P2299" s="19" t="str">
        <f t="shared" si="160"/>
        <v>26-35</v>
      </c>
    </row>
    <row r="2300" spans="1:16" x14ac:dyDescent="0.25">
      <c r="A2300">
        <v>2299</v>
      </c>
      <c r="B2300" t="s">
        <v>9</v>
      </c>
      <c r="C2300">
        <v>299647</v>
      </c>
      <c r="D2300" t="s">
        <v>17</v>
      </c>
      <c r="E2300" t="s">
        <v>16</v>
      </c>
      <c r="F2300" t="s">
        <v>12</v>
      </c>
      <c r="G2300" t="s">
        <v>13</v>
      </c>
      <c r="H2300" t="s">
        <v>13</v>
      </c>
      <c r="I2300">
        <v>54</v>
      </c>
      <c r="J2300" t="str" cm="1">
        <f t="array" ref="J2300">_xlfn.IFS(ISBLANK(C2300),"FALTANTE",ABS((C2300-$W$5)/$X$5)&gt;1.96,"ATÍPICO",ABS((C2300-$W$5)/$X$5)&lt;=1.96,"NO ATÍPICO")</f>
        <v>NO ATÍPICO</v>
      </c>
      <c r="K2300" t="str" cm="1">
        <f t="array" ref="K2300">_xlfn.IFS(ISBLANK(I2300),"FALTANTE",ABS((I2300-$W$8)/$X$8)&gt;1.92,"ATÍPICO",ABS((I2300-$W$8)/$X$8)&lt;=1.92,"NO ATÍPICO")</f>
        <v>NO ATÍPICO</v>
      </c>
      <c r="L2300">
        <f t="shared" si="157"/>
        <v>299647</v>
      </c>
      <c r="M2300" t="str">
        <f t="shared" si="157"/>
        <v>ASEGURADO VOLUNTARIO</v>
      </c>
      <c r="N2300">
        <f t="shared" si="158"/>
        <v>54</v>
      </c>
      <c r="O2300" s="19" t="str">
        <f t="shared" si="159"/>
        <v>0–300k</v>
      </c>
      <c r="P2300" s="19" t="str">
        <f t="shared" si="160"/>
        <v>46-55</v>
      </c>
    </row>
    <row r="2301" spans="1:16" x14ac:dyDescent="0.25">
      <c r="A2301">
        <v>2300</v>
      </c>
      <c r="B2301" t="s">
        <v>9</v>
      </c>
      <c r="C2301">
        <v>347000</v>
      </c>
      <c r="D2301" t="s">
        <v>10</v>
      </c>
      <c r="E2301" t="s">
        <v>16</v>
      </c>
      <c r="F2301" t="s">
        <v>12</v>
      </c>
      <c r="G2301" t="s">
        <v>13</v>
      </c>
      <c r="H2301" t="s">
        <v>13</v>
      </c>
      <c r="I2301">
        <v>18</v>
      </c>
      <c r="J2301" t="str" cm="1">
        <f t="array" ref="J2301">_xlfn.IFS(ISBLANK(C2301),"FALTANTE",ABS((C2301-$W$5)/$X$5)&gt;1.96,"ATÍPICO",ABS((C2301-$W$5)/$X$5)&lt;=1.96,"NO ATÍPICO")</f>
        <v>NO ATÍPICO</v>
      </c>
      <c r="K2301" t="str" cm="1">
        <f t="array" ref="K2301">_xlfn.IFS(ISBLANK(I2301),"FALTANTE",ABS((I2301-$W$8)/$X$8)&gt;1.92,"ATÍPICO",ABS((I2301-$W$8)/$X$8)&lt;=1.92,"NO ATÍPICO")</f>
        <v>NO ATÍPICO</v>
      </c>
      <c r="L2301">
        <f t="shared" si="157"/>
        <v>347000</v>
      </c>
      <c r="M2301" t="str">
        <f t="shared" si="157"/>
        <v>ASALARIADO</v>
      </c>
      <c r="N2301">
        <f t="shared" si="158"/>
        <v>18</v>
      </c>
      <c r="O2301" s="19" t="str">
        <f t="shared" si="159"/>
        <v>300k–600k</v>
      </c>
      <c r="P2301" s="19" t="str">
        <f t="shared" si="160"/>
        <v>18-25</v>
      </c>
    </row>
    <row r="2302" spans="1:16" x14ac:dyDescent="0.25">
      <c r="A2302">
        <v>2301</v>
      </c>
      <c r="B2302" t="s">
        <v>15</v>
      </c>
      <c r="C2302">
        <v>297046</v>
      </c>
      <c r="D2302" t="s">
        <v>17</v>
      </c>
      <c r="E2302" t="s">
        <v>16</v>
      </c>
      <c r="F2302" t="s">
        <v>12</v>
      </c>
      <c r="G2302" t="s">
        <v>13</v>
      </c>
      <c r="H2302" t="s">
        <v>13</v>
      </c>
      <c r="I2302">
        <v>58</v>
      </c>
      <c r="J2302" t="str" cm="1">
        <f t="array" ref="J2302">_xlfn.IFS(ISBLANK(C2302),"FALTANTE",ABS((C2302-$W$5)/$X$5)&gt;1.96,"ATÍPICO",ABS((C2302-$W$5)/$X$5)&lt;=1.96,"NO ATÍPICO")</f>
        <v>NO ATÍPICO</v>
      </c>
      <c r="K2302" t="str" cm="1">
        <f t="array" ref="K2302">_xlfn.IFS(ISBLANK(I2302),"FALTANTE",ABS((I2302-$W$8)/$X$8)&gt;1.92,"ATÍPICO",ABS((I2302-$W$8)/$X$8)&lt;=1.92,"NO ATÍPICO")</f>
        <v>NO ATÍPICO</v>
      </c>
      <c r="L2302">
        <f t="shared" si="157"/>
        <v>297046</v>
      </c>
      <c r="M2302" t="str">
        <f t="shared" si="157"/>
        <v>ASEGURADO VOLUNTARIO</v>
      </c>
      <c r="N2302">
        <f t="shared" si="158"/>
        <v>58</v>
      </c>
      <c r="O2302" s="19" t="str">
        <f t="shared" si="159"/>
        <v>0–300k</v>
      </c>
      <c r="P2302" s="19" t="str">
        <f t="shared" si="160"/>
        <v>56+</v>
      </c>
    </row>
    <row r="2303" spans="1:16" x14ac:dyDescent="0.25">
      <c r="A2303">
        <v>2302</v>
      </c>
      <c r="B2303" t="s">
        <v>9</v>
      </c>
      <c r="C2303">
        <v>1329256</v>
      </c>
      <c r="D2303" t="s">
        <v>10</v>
      </c>
      <c r="E2303" t="s">
        <v>11</v>
      </c>
      <c r="F2303" t="s">
        <v>12</v>
      </c>
      <c r="G2303" t="s">
        <v>13</v>
      </c>
      <c r="H2303" t="s">
        <v>12</v>
      </c>
      <c r="I2303">
        <v>30</v>
      </c>
      <c r="J2303" t="str" cm="1">
        <f t="array" ref="J2303">_xlfn.IFS(ISBLANK(C2303),"FALTANTE",ABS((C2303-$W$5)/$X$5)&gt;1.96,"ATÍPICO",ABS((C2303-$W$5)/$X$5)&lt;=1.96,"NO ATÍPICO")</f>
        <v>NO ATÍPICO</v>
      </c>
      <c r="K2303" t="str" cm="1">
        <f t="array" ref="K2303">_xlfn.IFS(ISBLANK(I2303),"FALTANTE",ABS((I2303-$W$8)/$X$8)&gt;1.92,"ATÍPICO",ABS((I2303-$W$8)/$X$8)&lt;=1.92,"NO ATÍPICO")</f>
        <v>NO ATÍPICO</v>
      </c>
      <c r="L2303">
        <f t="shared" si="157"/>
        <v>1329256</v>
      </c>
      <c r="M2303" t="str">
        <f t="shared" si="157"/>
        <v>ASALARIADO</v>
      </c>
      <c r="N2303">
        <f t="shared" si="158"/>
        <v>30</v>
      </c>
      <c r="O2303" s="19" t="str">
        <f t="shared" si="159"/>
        <v>1200k+</v>
      </c>
      <c r="P2303" s="19" t="str">
        <f t="shared" si="160"/>
        <v>26-35</v>
      </c>
    </row>
    <row r="2304" spans="1:16" x14ac:dyDescent="0.25">
      <c r="A2304">
        <v>2303</v>
      </c>
      <c r="B2304" t="s">
        <v>9</v>
      </c>
      <c r="C2304">
        <v>382333.34</v>
      </c>
      <c r="D2304" t="s">
        <v>10</v>
      </c>
      <c r="E2304" t="s">
        <v>16</v>
      </c>
      <c r="F2304" t="s">
        <v>12</v>
      </c>
      <c r="G2304" t="s">
        <v>13</v>
      </c>
      <c r="H2304" t="s">
        <v>13</v>
      </c>
      <c r="I2304">
        <v>22</v>
      </c>
      <c r="J2304" t="str" cm="1">
        <f t="array" ref="J2304">_xlfn.IFS(ISBLANK(C2304),"FALTANTE",ABS((C2304-$W$5)/$X$5)&gt;1.96,"ATÍPICO",ABS((C2304-$W$5)/$X$5)&lt;=1.96,"NO ATÍPICO")</f>
        <v>NO ATÍPICO</v>
      </c>
      <c r="K2304" t="str" cm="1">
        <f t="array" ref="K2304">_xlfn.IFS(ISBLANK(I2304),"FALTANTE",ABS((I2304-$W$8)/$X$8)&gt;1.92,"ATÍPICO",ABS((I2304-$W$8)/$X$8)&lt;=1.92,"NO ATÍPICO")</f>
        <v>NO ATÍPICO</v>
      </c>
      <c r="L2304">
        <f t="shared" si="157"/>
        <v>382333.34</v>
      </c>
      <c r="M2304" t="str">
        <f t="shared" si="157"/>
        <v>ASALARIADO</v>
      </c>
      <c r="N2304">
        <f t="shared" si="158"/>
        <v>22</v>
      </c>
      <c r="O2304" s="19" t="str">
        <f t="shared" si="159"/>
        <v>300k–600k</v>
      </c>
      <c r="P2304" s="19" t="str">
        <f t="shared" si="160"/>
        <v>18-25</v>
      </c>
    </row>
    <row r="2305" spans="1:16" x14ac:dyDescent="0.25">
      <c r="A2305">
        <v>2304</v>
      </c>
      <c r="B2305" t="s">
        <v>9</v>
      </c>
      <c r="C2305">
        <v>330000</v>
      </c>
      <c r="D2305" t="s">
        <v>10</v>
      </c>
      <c r="E2305" t="s">
        <v>16</v>
      </c>
      <c r="F2305" t="s">
        <v>12</v>
      </c>
      <c r="G2305" t="s">
        <v>13</v>
      </c>
      <c r="H2305" t="s">
        <v>13</v>
      </c>
      <c r="I2305">
        <v>21</v>
      </c>
      <c r="J2305" t="str" cm="1">
        <f t="array" ref="J2305">_xlfn.IFS(ISBLANK(C2305),"FALTANTE",ABS((C2305-$W$5)/$X$5)&gt;1.96,"ATÍPICO",ABS((C2305-$W$5)/$X$5)&lt;=1.96,"NO ATÍPICO")</f>
        <v>NO ATÍPICO</v>
      </c>
      <c r="K2305" t="str" cm="1">
        <f t="array" ref="K2305">_xlfn.IFS(ISBLANK(I2305),"FALTANTE",ABS((I2305-$W$8)/$X$8)&gt;1.92,"ATÍPICO",ABS((I2305-$W$8)/$X$8)&lt;=1.92,"NO ATÍPICO")</f>
        <v>NO ATÍPICO</v>
      </c>
      <c r="L2305">
        <f t="shared" si="157"/>
        <v>330000</v>
      </c>
      <c r="M2305" t="str">
        <f t="shared" si="157"/>
        <v>ASALARIADO</v>
      </c>
      <c r="N2305">
        <f t="shared" si="158"/>
        <v>21</v>
      </c>
      <c r="O2305" s="19" t="str">
        <f t="shared" si="159"/>
        <v>300k–600k</v>
      </c>
      <c r="P2305" s="19" t="str">
        <f t="shared" si="160"/>
        <v>18-25</v>
      </c>
    </row>
    <row r="2306" spans="1:16" x14ac:dyDescent="0.25">
      <c r="A2306">
        <v>2305</v>
      </c>
      <c r="B2306" t="s">
        <v>9</v>
      </c>
      <c r="C2306">
        <v>483976.7</v>
      </c>
      <c r="D2306" t="s">
        <v>14</v>
      </c>
      <c r="E2306" t="s">
        <v>11</v>
      </c>
      <c r="F2306" t="s">
        <v>12</v>
      </c>
      <c r="G2306" t="s">
        <v>13</v>
      </c>
      <c r="H2306" t="s">
        <v>13</v>
      </c>
      <c r="I2306">
        <v>72</v>
      </c>
      <c r="J2306" t="str" cm="1">
        <f t="array" ref="J2306">_xlfn.IFS(ISBLANK(C2306),"FALTANTE",ABS((C2306-$W$5)/$X$5)&gt;1.96,"ATÍPICO",ABS((C2306-$W$5)/$X$5)&lt;=1.96,"NO ATÍPICO")</f>
        <v>NO ATÍPICO</v>
      </c>
      <c r="K2306" t="str" cm="1">
        <f t="array" ref="K2306">_xlfn.IFS(ISBLANK(I2306),"FALTANTE",ABS((I2306-$W$8)/$X$8)&gt;1.92,"ATÍPICO",ABS((I2306-$W$8)/$X$8)&lt;=1.92,"NO ATÍPICO")</f>
        <v>ATÍPICO</v>
      </c>
      <c r="L2306">
        <f t="shared" ref="L2306:M2369" si="161">C2306</f>
        <v>483976.7</v>
      </c>
      <c r="M2306" t="str">
        <f t="shared" si="161"/>
        <v>PENSIONADOS EN SU PROPIO SISTEMA</v>
      </c>
      <c r="N2306">
        <f t="shared" ref="N2306:N2369" si="162">I2306</f>
        <v>72</v>
      </c>
      <c r="O2306" s="19" t="str">
        <f t="shared" ref="O2306:O2369" si="163">IF(L2306&lt;=300000,"0–300k",IF(L2306&lt;=600000,"300k–600k",IF(L2306&lt;=900000,"600k–900k",IF(L2306&lt;=1200000,"900k–1200k","1200k+"))))</f>
        <v>300k–600k</v>
      </c>
      <c r="P2306" s="19" t="str">
        <f t="shared" ref="P2306:P2369" si="164">IF(N2306 &lt;=25,"18-25", IF(N2306&lt;=35,"26-35", IF(N2306 &lt;=45,"36-45", IF(N2306&lt;=55,"46-55","56+"))))</f>
        <v>56+</v>
      </c>
    </row>
    <row r="2307" spans="1:16" x14ac:dyDescent="0.25">
      <c r="A2307">
        <v>2306</v>
      </c>
      <c r="B2307" t="s">
        <v>15</v>
      </c>
      <c r="C2307">
        <v>343390.86</v>
      </c>
      <c r="D2307" t="s">
        <v>10</v>
      </c>
      <c r="E2307" t="s">
        <v>16</v>
      </c>
      <c r="F2307" t="s">
        <v>12</v>
      </c>
      <c r="G2307" t="s">
        <v>13</v>
      </c>
      <c r="H2307" t="s">
        <v>12</v>
      </c>
      <c r="I2307">
        <v>25</v>
      </c>
      <c r="J2307" t="str" cm="1">
        <f t="array" ref="J2307">_xlfn.IFS(ISBLANK(C2307),"FALTANTE",ABS((C2307-$W$5)/$X$5)&gt;1.96,"ATÍPICO",ABS((C2307-$W$5)/$X$5)&lt;=1.96,"NO ATÍPICO")</f>
        <v>NO ATÍPICO</v>
      </c>
      <c r="K2307" t="str" cm="1">
        <f t="array" ref="K2307">_xlfn.IFS(ISBLANK(I2307),"FALTANTE",ABS((I2307-$W$8)/$X$8)&gt;1.92,"ATÍPICO",ABS((I2307-$W$8)/$X$8)&lt;=1.92,"NO ATÍPICO")</f>
        <v>NO ATÍPICO</v>
      </c>
      <c r="L2307">
        <f t="shared" si="161"/>
        <v>343390.86</v>
      </c>
      <c r="M2307" t="str">
        <f t="shared" si="161"/>
        <v>ASALARIADO</v>
      </c>
      <c r="N2307">
        <f t="shared" si="162"/>
        <v>25</v>
      </c>
      <c r="O2307" s="19" t="str">
        <f t="shared" si="163"/>
        <v>300k–600k</v>
      </c>
      <c r="P2307" s="19" t="str">
        <f t="shared" si="164"/>
        <v>18-25</v>
      </c>
    </row>
    <row r="2308" spans="1:16" x14ac:dyDescent="0.25">
      <c r="A2308">
        <v>2307</v>
      </c>
      <c r="B2308" t="s">
        <v>9</v>
      </c>
      <c r="C2308">
        <v>278030</v>
      </c>
      <c r="D2308" t="s">
        <v>19</v>
      </c>
      <c r="E2308" t="s">
        <v>16</v>
      </c>
      <c r="F2308" t="s">
        <v>12</v>
      </c>
      <c r="G2308" t="s">
        <v>13</v>
      </c>
      <c r="H2308" t="s">
        <v>13</v>
      </c>
      <c r="I2308">
        <v>59</v>
      </c>
      <c r="J2308" t="str" cm="1">
        <f t="array" ref="J2308">_xlfn.IFS(ISBLANK(C2308),"FALTANTE",ABS((C2308-$W$5)/$X$5)&gt;1.96,"ATÍPICO",ABS((C2308-$W$5)/$X$5)&lt;=1.96,"NO ATÍPICO")</f>
        <v>NO ATÍPICO</v>
      </c>
      <c r="K2308" t="str" cm="1">
        <f t="array" ref="K2308">_xlfn.IFS(ISBLANK(I2308),"FALTANTE",ABS((I2308-$W$8)/$X$8)&gt;1.92,"ATÍPICO",ABS((I2308-$W$8)/$X$8)&lt;=1.92,"NO ATÍPICO")</f>
        <v>NO ATÍPICO</v>
      </c>
      <c r="L2308">
        <f t="shared" si="161"/>
        <v>278030</v>
      </c>
      <c r="M2308" t="str">
        <f t="shared" si="161"/>
        <v>CONVENIOS ESPECIALES DE TRABAJADORES INDEPENDIENTES</v>
      </c>
      <c r="N2308">
        <f t="shared" si="162"/>
        <v>59</v>
      </c>
      <c r="O2308" s="19" t="str">
        <f t="shared" si="163"/>
        <v>0–300k</v>
      </c>
      <c r="P2308" s="19" t="str">
        <f t="shared" si="164"/>
        <v>56+</v>
      </c>
    </row>
    <row r="2309" spans="1:16" x14ac:dyDescent="0.25">
      <c r="A2309">
        <v>2308</v>
      </c>
      <c r="B2309" t="s">
        <v>9</v>
      </c>
      <c r="C2309">
        <v>417995</v>
      </c>
      <c r="D2309" t="s">
        <v>10</v>
      </c>
      <c r="E2309" t="s">
        <v>16</v>
      </c>
      <c r="F2309" t="s">
        <v>12</v>
      </c>
      <c r="G2309" t="s">
        <v>13</v>
      </c>
      <c r="H2309" t="s">
        <v>13</v>
      </c>
      <c r="I2309">
        <v>40</v>
      </c>
      <c r="J2309" t="str" cm="1">
        <f t="array" ref="J2309">_xlfn.IFS(ISBLANK(C2309),"FALTANTE",ABS((C2309-$W$5)/$X$5)&gt;1.96,"ATÍPICO",ABS((C2309-$W$5)/$X$5)&lt;=1.96,"NO ATÍPICO")</f>
        <v>NO ATÍPICO</v>
      </c>
      <c r="K2309" t="str" cm="1">
        <f t="array" ref="K2309">_xlfn.IFS(ISBLANK(I2309),"FALTANTE",ABS((I2309-$W$8)/$X$8)&gt;1.92,"ATÍPICO",ABS((I2309-$W$8)/$X$8)&lt;=1.92,"NO ATÍPICO")</f>
        <v>NO ATÍPICO</v>
      </c>
      <c r="L2309">
        <f t="shared" si="161"/>
        <v>417995</v>
      </c>
      <c r="M2309" t="str">
        <f t="shared" si="161"/>
        <v>ASALARIADO</v>
      </c>
      <c r="N2309">
        <f t="shared" si="162"/>
        <v>40</v>
      </c>
      <c r="O2309" s="19" t="str">
        <f t="shared" si="163"/>
        <v>300k–600k</v>
      </c>
      <c r="P2309" s="19" t="str">
        <f t="shared" si="164"/>
        <v>36-45</v>
      </c>
    </row>
    <row r="2310" spans="1:16" x14ac:dyDescent="0.25">
      <c r="A2310">
        <v>2309</v>
      </c>
      <c r="B2310" t="s">
        <v>9</v>
      </c>
      <c r="C2310">
        <v>400000</v>
      </c>
      <c r="D2310" t="s">
        <v>10</v>
      </c>
      <c r="E2310" t="s">
        <v>16</v>
      </c>
      <c r="F2310" t="s">
        <v>12</v>
      </c>
      <c r="G2310" t="s">
        <v>13</v>
      </c>
      <c r="H2310" t="s">
        <v>13</v>
      </c>
      <c r="I2310">
        <v>56</v>
      </c>
      <c r="J2310" t="str" cm="1">
        <f t="array" ref="J2310">_xlfn.IFS(ISBLANK(C2310),"FALTANTE",ABS((C2310-$W$5)/$X$5)&gt;1.96,"ATÍPICO",ABS((C2310-$W$5)/$X$5)&lt;=1.96,"NO ATÍPICO")</f>
        <v>NO ATÍPICO</v>
      </c>
      <c r="K2310" t="str" cm="1">
        <f t="array" ref="K2310">_xlfn.IFS(ISBLANK(I2310),"FALTANTE",ABS((I2310-$W$8)/$X$8)&gt;1.92,"ATÍPICO",ABS((I2310-$W$8)/$X$8)&lt;=1.92,"NO ATÍPICO")</f>
        <v>NO ATÍPICO</v>
      </c>
      <c r="L2310">
        <f t="shared" si="161"/>
        <v>400000</v>
      </c>
      <c r="M2310" t="str">
        <f t="shared" si="161"/>
        <v>ASALARIADO</v>
      </c>
      <c r="N2310">
        <f t="shared" si="162"/>
        <v>56</v>
      </c>
      <c r="O2310" s="19" t="str">
        <f t="shared" si="163"/>
        <v>300k–600k</v>
      </c>
      <c r="P2310" s="19" t="str">
        <f t="shared" si="164"/>
        <v>56+</v>
      </c>
    </row>
    <row r="2311" spans="1:16" x14ac:dyDescent="0.25">
      <c r="A2311">
        <v>2310</v>
      </c>
      <c r="B2311" t="s">
        <v>9</v>
      </c>
      <c r="C2311">
        <v>278030</v>
      </c>
      <c r="D2311" t="s">
        <v>19</v>
      </c>
      <c r="E2311" t="s">
        <v>16</v>
      </c>
      <c r="F2311" t="s">
        <v>12</v>
      </c>
      <c r="G2311" t="s">
        <v>13</v>
      </c>
      <c r="H2311" t="s">
        <v>13</v>
      </c>
      <c r="I2311">
        <v>45</v>
      </c>
      <c r="J2311" t="str" cm="1">
        <f t="array" ref="J2311">_xlfn.IFS(ISBLANK(C2311),"FALTANTE",ABS((C2311-$W$5)/$X$5)&gt;1.96,"ATÍPICO",ABS((C2311-$W$5)/$X$5)&lt;=1.96,"NO ATÍPICO")</f>
        <v>NO ATÍPICO</v>
      </c>
      <c r="K2311" t="str" cm="1">
        <f t="array" ref="K2311">_xlfn.IFS(ISBLANK(I2311),"FALTANTE",ABS((I2311-$W$8)/$X$8)&gt;1.92,"ATÍPICO",ABS((I2311-$W$8)/$X$8)&lt;=1.92,"NO ATÍPICO")</f>
        <v>NO ATÍPICO</v>
      </c>
      <c r="L2311">
        <f t="shared" si="161"/>
        <v>278030</v>
      </c>
      <c r="M2311" t="str">
        <f t="shared" si="161"/>
        <v>CONVENIOS ESPECIALES DE TRABAJADORES INDEPENDIENTES</v>
      </c>
      <c r="N2311">
        <f t="shared" si="162"/>
        <v>45</v>
      </c>
      <c r="O2311" s="19" t="str">
        <f t="shared" si="163"/>
        <v>0–300k</v>
      </c>
      <c r="P2311" s="19" t="str">
        <f t="shared" si="164"/>
        <v>36-45</v>
      </c>
    </row>
    <row r="2312" spans="1:16" x14ac:dyDescent="0.25">
      <c r="A2312">
        <v>2311</v>
      </c>
      <c r="B2312" t="s">
        <v>15</v>
      </c>
      <c r="C2312">
        <v>297046</v>
      </c>
      <c r="D2312" t="s">
        <v>18</v>
      </c>
      <c r="E2312" t="s">
        <v>16</v>
      </c>
      <c r="F2312" t="s">
        <v>12</v>
      </c>
      <c r="G2312" t="s">
        <v>13</v>
      </c>
      <c r="H2312" t="s">
        <v>13</v>
      </c>
      <c r="I2312">
        <v>41</v>
      </c>
      <c r="J2312" t="str" cm="1">
        <f t="array" ref="J2312">_xlfn.IFS(ISBLANK(C2312),"FALTANTE",ABS((C2312-$W$5)/$X$5)&gt;1.96,"ATÍPICO",ABS((C2312-$W$5)/$X$5)&lt;=1.96,"NO ATÍPICO")</f>
        <v>NO ATÍPICO</v>
      </c>
      <c r="K2312" t="str" cm="1">
        <f t="array" ref="K2312">_xlfn.IFS(ISBLANK(I2312),"FALTANTE",ABS((I2312-$W$8)/$X$8)&gt;1.92,"ATÍPICO",ABS((I2312-$W$8)/$X$8)&lt;=1.92,"NO ATÍPICO")</f>
        <v>NO ATÍPICO</v>
      </c>
      <c r="L2312">
        <f t="shared" si="161"/>
        <v>297046</v>
      </c>
      <c r="M2312" t="str">
        <f t="shared" si="161"/>
        <v>TRABAJADOR INDEPENDIENTE</v>
      </c>
      <c r="N2312">
        <f t="shared" si="162"/>
        <v>41</v>
      </c>
      <c r="O2312" s="19" t="str">
        <f t="shared" si="163"/>
        <v>0–300k</v>
      </c>
      <c r="P2312" s="19" t="str">
        <f t="shared" si="164"/>
        <v>36-45</v>
      </c>
    </row>
    <row r="2313" spans="1:16" x14ac:dyDescent="0.25">
      <c r="A2313">
        <v>2312</v>
      </c>
      <c r="B2313" t="s">
        <v>9</v>
      </c>
      <c r="C2313">
        <v>639148</v>
      </c>
      <c r="D2313" t="s">
        <v>18</v>
      </c>
      <c r="E2313" t="s">
        <v>16</v>
      </c>
      <c r="F2313" t="s">
        <v>12</v>
      </c>
      <c r="G2313" t="s">
        <v>13</v>
      </c>
      <c r="H2313" t="s">
        <v>12</v>
      </c>
      <c r="I2313">
        <v>41</v>
      </c>
      <c r="J2313" t="str" cm="1">
        <f t="array" ref="J2313">_xlfn.IFS(ISBLANK(C2313),"FALTANTE",ABS((C2313-$W$5)/$X$5)&gt;1.96,"ATÍPICO",ABS((C2313-$W$5)/$X$5)&lt;=1.96,"NO ATÍPICO")</f>
        <v>NO ATÍPICO</v>
      </c>
      <c r="K2313" t="str" cm="1">
        <f t="array" ref="K2313">_xlfn.IFS(ISBLANK(I2313),"FALTANTE",ABS((I2313-$W$8)/$X$8)&gt;1.92,"ATÍPICO",ABS((I2313-$W$8)/$X$8)&lt;=1.92,"NO ATÍPICO")</f>
        <v>NO ATÍPICO</v>
      </c>
      <c r="L2313">
        <f t="shared" si="161"/>
        <v>639148</v>
      </c>
      <c r="M2313" t="str">
        <f t="shared" si="161"/>
        <v>TRABAJADOR INDEPENDIENTE</v>
      </c>
      <c r="N2313">
        <f t="shared" si="162"/>
        <v>41</v>
      </c>
      <c r="O2313" s="19" t="str">
        <f t="shared" si="163"/>
        <v>600k–900k</v>
      </c>
      <c r="P2313" s="19" t="str">
        <f t="shared" si="164"/>
        <v>36-45</v>
      </c>
    </row>
    <row r="2314" spans="1:16" x14ac:dyDescent="0.25">
      <c r="A2314">
        <v>2313</v>
      </c>
      <c r="B2314" t="s">
        <v>9</v>
      </c>
      <c r="C2314">
        <v>690952.85</v>
      </c>
      <c r="D2314" t="s">
        <v>10</v>
      </c>
      <c r="E2314" t="s">
        <v>16</v>
      </c>
      <c r="F2314" t="s">
        <v>12</v>
      </c>
      <c r="G2314" t="s">
        <v>13</v>
      </c>
      <c r="H2314" t="s">
        <v>13</v>
      </c>
      <c r="I2314">
        <v>38</v>
      </c>
      <c r="J2314" t="str" cm="1">
        <f t="array" ref="J2314">_xlfn.IFS(ISBLANK(C2314),"FALTANTE",ABS((C2314-$W$5)/$X$5)&gt;1.96,"ATÍPICO",ABS((C2314-$W$5)/$X$5)&lt;=1.96,"NO ATÍPICO")</f>
        <v>NO ATÍPICO</v>
      </c>
      <c r="K2314" t="str" cm="1">
        <f t="array" ref="K2314">_xlfn.IFS(ISBLANK(I2314),"FALTANTE",ABS((I2314-$W$8)/$X$8)&gt;1.92,"ATÍPICO",ABS((I2314-$W$8)/$X$8)&lt;=1.92,"NO ATÍPICO")</f>
        <v>NO ATÍPICO</v>
      </c>
      <c r="L2314">
        <f t="shared" si="161"/>
        <v>690952.85</v>
      </c>
      <c r="M2314" t="str">
        <f t="shared" si="161"/>
        <v>ASALARIADO</v>
      </c>
      <c r="N2314">
        <f t="shared" si="162"/>
        <v>38</v>
      </c>
      <c r="O2314" s="19" t="str">
        <f t="shared" si="163"/>
        <v>600k–900k</v>
      </c>
      <c r="P2314" s="19" t="str">
        <f t="shared" si="164"/>
        <v>36-45</v>
      </c>
    </row>
    <row r="2315" spans="1:16" x14ac:dyDescent="0.25">
      <c r="A2315">
        <v>2314</v>
      </c>
      <c r="B2315" t="s">
        <v>9</v>
      </c>
      <c r="C2315">
        <v>150000</v>
      </c>
      <c r="D2315" t="s">
        <v>10</v>
      </c>
      <c r="E2315" t="s">
        <v>16</v>
      </c>
      <c r="F2315" t="s">
        <v>12</v>
      </c>
      <c r="G2315" t="s">
        <v>12</v>
      </c>
      <c r="H2315" t="s">
        <v>12</v>
      </c>
      <c r="I2315">
        <v>41</v>
      </c>
      <c r="J2315" t="str" cm="1">
        <f t="array" ref="J2315">_xlfn.IFS(ISBLANK(C2315),"FALTANTE",ABS((C2315-$W$5)/$X$5)&gt;1.96,"ATÍPICO",ABS((C2315-$W$5)/$X$5)&lt;=1.96,"NO ATÍPICO")</f>
        <v>NO ATÍPICO</v>
      </c>
      <c r="K2315" t="str" cm="1">
        <f t="array" ref="K2315">_xlfn.IFS(ISBLANK(I2315),"FALTANTE",ABS((I2315-$W$8)/$X$8)&gt;1.92,"ATÍPICO",ABS((I2315-$W$8)/$X$8)&lt;=1.92,"NO ATÍPICO")</f>
        <v>NO ATÍPICO</v>
      </c>
      <c r="L2315">
        <f t="shared" si="161"/>
        <v>150000</v>
      </c>
      <c r="M2315" t="str">
        <f t="shared" si="161"/>
        <v>ASALARIADO</v>
      </c>
      <c r="N2315">
        <f t="shared" si="162"/>
        <v>41</v>
      </c>
      <c r="O2315" s="19" t="str">
        <f t="shared" si="163"/>
        <v>0–300k</v>
      </c>
      <c r="P2315" s="19" t="str">
        <f t="shared" si="164"/>
        <v>36-45</v>
      </c>
    </row>
    <row r="2316" spans="1:16" x14ac:dyDescent="0.25">
      <c r="A2316">
        <v>2315</v>
      </c>
      <c r="B2316" t="s">
        <v>15</v>
      </c>
      <c r="C2316">
        <v>750000</v>
      </c>
      <c r="D2316" t="s">
        <v>10</v>
      </c>
      <c r="E2316" t="s">
        <v>16</v>
      </c>
      <c r="F2316" t="s">
        <v>12</v>
      </c>
      <c r="G2316" t="s">
        <v>13</v>
      </c>
      <c r="H2316" t="s">
        <v>13</v>
      </c>
      <c r="I2316">
        <v>32</v>
      </c>
      <c r="J2316" t="str" cm="1">
        <f t="array" ref="J2316">_xlfn.IFS(ISBLANK(C2316),"FALTANTE",ABS((C2316-$W$5)/$X$5)&gt;1.96,"ATÍPICO",ABS((C2316-$W$5)/$X$5)&lt;=1.96,"NO ATÍPICO")</f>
        <v>NO ATÍPICO</v>
      </c>
      <c r="K2316" t="str" cm="1">
        <f t="array" ref="K2316">_xlfn.IFS(ISBLANK(I2316),"FALTANTE",ABS((I2316-$W$8)/$X$8)&gt;1.92,"ATÍPICO",ABS((I2316-$W$8)/$X$8)&lt;=1.92,"NO ATÍPICO")</f>
        <v>NO ATÍPICO</v>
      </c>
      <c r="L2316">
        <f t="shared" si="161"/>
        <v>750000</v>
      </c>
      <c r="M2316" t="str">
        <f t="shared" si="161"/>
        <v>ASALARIADO</v>
      </c>
      <c r="N2316">
        <f t="shared" si="162"/>
        <v>32</v>
      </c>
      <c r="O2316" s="19" t="str">
        <f t="shared" si="163"/>
        <v>600k–900k</v>
      </c>
      <c r="P2316" s="19" t="str">
        <f t="shared" si="164"/>
        <v>26-35</v>
      </c>
    </row>
    <row r="2317" spans="1:16" x14ac:dyDescent="0.25">
      <c r="A2317">
        <v>2316</v>
      </c>
      <c r="B2317" t="s">
        <v>15</v>
      </c>
      <c r="C2317">
        <v>1458494</v>
      </c>
      <c r="D2317" t="s">
        <v>10</v>
      </c>
      <c r="E2317" t="s">
        <v>11</v>
      </c>
      <c r="F2317" t="s">
        <v>12</v>
      </c>
      <c r="G2317" t="s">
        <v>13</v>
      </c>
      <c r="H2317" t="s">
        <v>12</v>
      </c>
      <c r="I2317">
        <v>49</v>
      </c>
      <c r="J2317" t="str" cm="1">
        <f t="array" ref="J2317">_xlfn.IFS(ISBLANK(C2317),"FALTANTE",ABS((C2317-$W$5)/$X$5)&gt;1.96,"ATÍPICO",ABS((C2317-$W$5)/$X$5)&lt;=1.96,"NO ATÍPICO")</f>
        <v>NO ATÍPICO</v>
      </c>
      <c r="K2317" t="str" cm="1">
        <f t="array" ref="K2317">_xlfn.IFS(ISBLANK(I2317),"FALTANTE",ABS((I2317-$W$8)/$X$8)&gt;1.92,"ATÍPICO",ABS((I2317-$W$8)/$X$8)&lt;=1.92,"NO ATÍPICO")</f>
        <v>NO ATÍPICO</v>
      </c>
      <c r="L2317">
        <f t="shared" si="161"/>
        <v>1458494</v>
      </c>
      <c r="M2317" t="str">
        <f t="shared" si="161"/>
        <v>ASALARIADO</v>
      </c>
      <c r="N2317">
        <f t="shared" si="162"/>
        <v>49</v>
      </c>
      <c r="O2317" s="19" t="str">
        <f t="shared" si="163"/>
        <v>1200k+</v>
      </c>
      <c r="P2317" s="19" t="str">
        <f t="shared" si="164"/>
        <v>46-55</v>
      </c>
    </row>
    <row r="2318" spans="1:16" x14ac:dyDescent="0.25">
      <c r="A2318">
        <v>2317</v>
      </c>
      <c r="B2318" t="s">
        <v>15</v>
      </c>
      <c r="C2318">
        <v>500460</v>
      </c>
      <c r="D2318" t="s">
        <v>10</v>
      </c>
      <c r="E2318" t="s">
        <v>11</v>
      </c>
      <c r="F2318" t="s">
        <v>12</v>
      </c>
      <c r="G2318" t="s">
        <v>13</v>
      </c>
      <c r="H2318" t="s">
        <v>13</v>
      </c>
      <c r="I2318">
        <v>43</v>
      </c>
      <c r="J2318" t="str" cm="1">
        <f t="array" ref="J2318">_xlfn.IFS(ISBLANK(C2318),"FALTANTE",ABS((C2318-$W$5)/$X$5)&gt;1.96,"ATÍPICO",ABS((C2318-$W$5)/$X$5)&lt;=1.96,"NO ATÍPICO")</f>
        <v>NO ATÍPICO</v>
      </c>
      <c r="K2318" t="str" cm="1">
        <f t="array" ref="K2318">_xlfn.IFS(ISBLANK(I2318),"FALTANTE",ABS((I2318-$W$8)/$X$8)&gt;1.92,"ATÍPICO",ABS((I2318-$W$8)/$X$8)&lt;=1.92,"NO ATÍPICO")</f>
        <v>NO ATÍPICO</v>
      </c>
      <c r="L2318">
        <f t="shared" si="161"/>
        <v>500460</v>
      </c>
      <c r="M2318" t="str">
        <f t="shared" si="161"/>
        <v>ASALARIADO</v>
      </c>
      <c r="N2318">
        <f t="shared" si="162"/>
        <v>43</v>
      </c>
      <c r="O2318" s="19" t="str">
        <f t="shared" si="163"/>
        <v>300k–600k</v>
      </c>
      <c r="P2318" s="19" t="str">
        <f t="shared" si="164"/>
        <v>36-45</v>
      </c>
    </row>
    <row r="2319" spans="1:16" x14ac:dyDescent="0.25">
      <c r="A2319">
        <v>2318</v>
      </c>
      <c r="B2319" t="s">
        <v>15</v>
      </c>
      <c r="C2319">
        <v>453432</v>
      </c>
      <c r="D2319" t="s">
        <v>14</v>
      </c>
      <c r="E2319" t="s">
        <v>11</v>
      </c>
      <c r="F2319" t="s">
        <v>12</v>
      </c>
      <c r="G2319" t="s">
        <v>13</v>
      </c>
      <c r="H2319" t="s">
        <v>13</v>
      </c>
      <c r="I2319">
        <v>67</v>
      </c>
      <c r="J2319" t="str" cm="1">
        <f t="array" ref="J2319">_xlfn.IFS(ISBLANK(C2319),"FALTANTE",ABS((C2319-$W$5)/$X$5)&gt;1.96,"ATÍPICO",ABS((C2319-$W$5)/$X$5)&lt;=1.96,"NO ATÍPICO")</f>
        <v>NO ATÍPICO</v>
      </c>
      <c r="K2319" t="str" cm="1">
        <f t="array" ref="K2319">_xlfn.IFS(ISBLANK(I2319),"FALTANTE",ABS((I2319-$W$8)/$X$8)&gt;1.92,"ATÍPICO",ABS((I2319-$W$8)/$X$8)&lt;=1.92,"NO ATÍPICO")</f>
        <v>NO ATÍPICO</v>
      </c>
      <c r="L2319">
        <f t="shared" si="161"/>
        <v>453432</v>
      </c>
      <c r="M2319" t="str">
        <f t="shared" si="161"/>
        <v>PENSIONADOS EN SU PROPIO SISTEMA</v>
      </c>
      <c r="N2319">
        <f t="shared" si="162"/>
        <v>67</v>
      </c>
      <c r="O2319" s="19" t="str">
        <f t="shared" si="163"/>
        <v>300k–600k</v>
      </c>
      <c r="P2319" s="19" t="str">
        <f t="shared" si="164"/>
        <v>56+</v>
      </c>
    </row>
    <row r="2320" spans="1:16" x14ac:dyDescent="0.25">
      <c r="A2320">
        <v>2319</v>
      </c>
      <c r="B2320" t="s">
        <v>9</v>
      </c>
      <c r="C2320">
        <v>297046</v>
      </c>
      <c r="D2320" t="s">
        <v>17</v>
      </c>
      <c r="E2320" t="s">
        <v>16</v>
      </c>
      <c r="F2320" t="s">
        <v>12</v>
      </c>
      <c r="G2320" t="s">
        <v>13</v>
      </c>
      <c r="H2320" t="s">
        <v>13</v>
      </c>
      <c r="I2320">
        <v>53</v>
      </c>
      <c r="J2320" t="str" cm="1">
        <f t="array" ref="J2320">_xlfn.IFS(ISBLANK(C2320),"FALTANTE",ABS((C2320-$W$5)/$X$5)&gt;1.96,"ATÍPICO",ABS((C2320-$W$5)/$X$5)&lt;=1.96,"NO ATÍPICO")</f>
        <v>NO ATÍPICO</v>
      </c>
      <c r="K2320" t="str" cm="1">
        <f t="array" ref="K2320">_xlfn.IFS(ISBLANK(I2320),"FALTANTE",ABS((I2320-$W$8)/$X$8)&gt;1.92,"ATÍPICO",ABS((I2320-$W$8)/$X$8)&lt;=1.92,"NO ATÍPICO")</f>
        <v>NO ATÍPICO</v>
      </c>
      <c r="L2320">
        <f t="shared" si="161"/>
        <v>297046</v>
      </c>
      <c r="M2320" t="str">
        <f t="shared" si="161"/>
        <v>ASEGURADO VOLUNTARIO</v>
      </c>
      <c r="N2320">
        <f t="shared" si="162"/>
        <v>53</v>
      </c>
      <c r="O2320" s="19" t="str">
        <f t="shared" si="163"/>
        <v>0–300k</v>
      </c>
      <c r="P2320" s="19" t="str">
        <f t="shared" si="164"/>
        <v>46-55</v>
      </c>
    </row>
    <row r="2321" spans="1:16" x14ac:dyDescent="0.25">
      <c r="A2321">
        <v>2320</v>
      </c>
      <c r="B2321" t="s">
        <v>9</v>
      </c>
      <c r="C2321">
        <v>536142.9</v>
      </c>
      <c r="D2321" t="s">
        <v>10</v>
      </c>
      <c r="E2321" t="s">
        <v>16</v>
      </c>
      <c r="F2321" t="s">
        <v>12</v>
      </c>
      <c r="G2321" t="s">
        <v>13</v>
      </c>
      <c r="H2321" t="s">
        <v>13</v>
      </c>
      <c r="I2321">
        <v>20</v>
      </c>
      <c r="J2321" t="str" cm="1">
        <f t="array" ref="J2321">_xlfn.IFS(ISBLANK(C2321),"FALTANTE",ABS((C2321-$W$5)/$X$5)&gt;1.96,"ATÍPICO",ABS((C2321-$W$5)/$X$5)&lt;=1.96,"NO ATÍPICO")</f>
        <v>NO ATÍPICO</v>
      </c>
      <c r="K2321" t="str" cm="1">
        <f t="array" ref="K2321">_xlfn.IFS(ISBLANK(I2321),"FALTANTE",ABS((I2321-$W$8)/$X$8)&gt;1.92,"ATÍPICO",ABS((I2321-$W$8)/$X$8)&lt;=1.92,"NO ATÍPICO")</f>
        <v>NO ATÍPICO</v>
      </c>
      <c r="L2321">
        <f t="shared" si="161"/>
        <v>536142.9</v>
      </c>
      <c r="M2321" t="str">
        <f t="shared" si="161"/>
        <v>ASALARIADO</v>
      </c>
      <c r="N2321">
        <f t="shared" si="162"/>
        <v>20</v>
      </c>
      <c r="O2321" s="19" t="str">
        <f t="shared" si="163"/>
        <v>300k–600k</v>
      </c>
      <c r="P2321" s="19" t="str">
        <f t="shared" si="164"/>
        <v>18-25</v>
      </c>
    </row>
    <row r="2322" spans="1:16" x14ac:dyDescent="0.25">
      <c r="A2322">
        <v>2321</v>
      </c>
      <c r="B2322" t="s">
        <v>15</v>
      </c>
      <c r="C2322">
        <v>1584930</v>
      </c>
      <c r="D2322" t="s">
        <v>14</v>
      </c>
      <c r="E2322" t="s">
        <v>11</v>
      </c>
      <c r="F2322" t="s">
        <v>12</v>
      </c>
      <c r="G2322" t="s">
        <v>13</v>
      </c>
      <c r="H2322" t="s">
        <v>13</v>
      </c>
      <c r="I2322">
        <v>71</v>
      </c>
      <c r="J2322" t="str" cm="1">
        <f t="array" ref="J2322">_xlfn.IFS(ISBLANK(C2322),"FALTANTE",ABS((C2322-$W$5)/$X$5)&gt;1.96,"ATÍPICO",ABS((C2322-$W$5)/$X$5)&lt;=1.96,"NO ATÍPICO")</f>
        <v>NO ATÍPICO</v>
      </c>
      <c r="K2322" t="str" cm="1">
        <f t="array" ref="K2322">_xlfn.IFS(ISBLANK(I2322),"FALTANTE",ABS((I2322-$W$8)/$X$8)&gt;1.92,"ATÍPICO",ABS((I2322-$W$8)/$X$8)&lt;=1.92,"NO ATÍPICO")</f>
        <v>ATÍPICO</v>
      </c>
      <c r="L2322">
        <f t="shared" si="161"/>
        <v>1584930</v>
      </c>
      <c r="M2322" t="str">
        <f t="shared" si="161"/>
        <v>PENSIONADOS EN SU PROPIO SISTEMA</v>
      </c>
      <c r="N2322">
        <f t="shared" si="162"/>
        <v>71</v>
      </c>
      <c r="O2322" s="19" t="str">
        <f t="shared" si="163"/>
        <v>1200k+</v>
      </c>
      <c r="P2322" s="19" t="str">
        <f t="shared" si="164"/>
        <v>56+</v>
      </c>
    </row>
    <row r="2323" spans="1:16" x14ac:dyDescent="0.25">
      <c r="A2323">
        <v>2322</v>
      </c>
      <c r="B2323" t="s">
        <v>15</v>
      </c>
      <c r="C2323">
        <v>241729.4</v>
      </c>
      <c r="D2323" t="s">
        <v>10</v>
      </c>
      <c r="E2323" t="s">
        <v>16</v>
      </c>
      <c r="F2323" t="s">
        <v>12</v>
      </c>
      <c r="G2323" t="s">
        <v>13</v>
      </c>
      <c r="H2323" t="s">
        <v>13</v>
      </c>
      <c r="I2323">
        <v>34</v>
      </c>
      <c r="J2323" t="str" cm="1">
        <f t="array" ref="J2323">_xlfn.IFS(ISBLANK(C2323),"FALTANTE",ABS((C2323-$W$5)/$X$5)&gt;1.96,"ATÍPICO",ABS((C2323-$W$5)/$X$5)&lt;=1.96,"NO ATÍPICO")</f>
        <v>NO ATÍPICO</v>
      </c>
      <c r="K2323" t="str" cm="1">
        <f t="array" ref="K2323">_xlfn.IFS(ISBLANK(I2323),"FALTANTE",ABS((I2323-$W$8)/$X$8)&gt;1.92,"ATÍPICO",ABS((I2323-$W$8)/$X$8)&lt;=1.92,"NO ATÍPICO")</f>
        <v>NO ATÍPICO</v>
      </c>
      <c r="L2323">
        <f t="shared" si="161"/>
        <v>241729.4</v>
      </c>
      <c r="M2323" t="str">
        <f t="shared" si="161"/>
        <v>ASALARIADO</v>
      </c>
      <c r="N2323">
        <f t="shared" si="162"/>
        <v>34</v>
      </c>
      <c r="O2323" s="19" t="str">
        <f t="shared" si="163"/>
        <v>0–300k</v>
      </c>
      <c r="P2323" s="19" t="str">
        <f t="shared" si="164"/>
        <v>26-35</v>
      </c>
    </row>
    <row r="2324" spans="1:16" x14ac:dyDescent="0.25">
      <c r="A2324">
        <v>2323</v>
      </c>
      <c r="B2324" t="s">
        <v>9</v>
      </c>
      <c r="C2324">
        <v>297046</v>
      </c>
      <c r="D2324" t="s">
        <v>18</v>
      </c>
      <c r="E2324" t="s">
        <v>16</v>
      </c>
      <c r="F2324" t="s">
        <v>12</v>
      </c>
      <c r="G2324" t="s">
        <v>13</v>
      </c>
      <c r="H2324" t="s">
        <v>12</v>
      </c>
      <c r="I2324">
        <v>43</v>
      </c>
      <c r="J2324" t="str" cm="1">
        <f t="array" ref="J2324">_xlfn.IFS(ISBLANK(C2324),"FALTANTE",ABS((C2324-$W$5)/$X$5)&gt;1.96,"ATÍPICO",ABS((C2324-$W$5)/$X$5)&lt;=1.96,"NO ATÍPICO")</f>
        <v>NO ATÍPICO</v>
      </c>
      <c r="K2324" t="str" cm="1">
        <f t="array" ref="K2324">_xlfn.IFS(ISBLANK(I2324),"FALTANTE",ABS((I2324-$W$8)/$X$8)&gt;1.92,"ATÍPICO",ABS((I2324-$W$8)/$X$8)&lt;=1.92,"NO ATÍPICO")</f>
        <v>NO ATÍPICO</v>
      </c>
      <c r="L2324">
        <f t="shared" si="161"/>
        <v>297046</v>
      </c>
      <c r="M2324" t="str">
        <f t="shared" si="161"/>
        <v>TRABAJADOR INDEPENDIENTE</v>
      </c>
      <c r="N2324">
        <f t="shared" si="162"/>
        <v>43</v>
      </c>
      <c r="O2324" s="19" t="str">
        <f t="shared" si="163"/>
        <v>0–300k</v>
      </c>
      <c r="P2324" s="19" t="str">
        <f t="shared" si="164"/>
        <v>36-45</v>
      </c>
    </row>
    <row r="2325" spans="1:16" x14ac:dyDescent="0.25">
      <c r="A2325">
        <v>2324</v>
      </c>
      <c r="B2325" t="s">
        <v>15</v>
      </c>
      <c r="C2325">
        <v>402249.06</v>
      </c>
      <c r="D2325" t="s">
        <v>10</v>
      </c>
      <c r="E2325" t="s">
        <v>16</v>
      </c>
      <c r="F2325" t="s">
        <v>12</v>
      </c>
      <c r="G2325" t="s">
        <v>13</v>
      </c>
      <c r="H2325" t="s">
        <v>13</v>
      </c>
      <c r="I2325">
        <v>29</v>
      </c>
      <c r="J2325" t="str" cm="1">
        <f t="array" ref="J2325">_xlfn.IFS(ISBLANK(C2325),"FALTANTE",ABS((C2325-$W$5)/$X$5)&gt;1.96,"ATÍPICO",ABS((C2325-$W$5)/$X$5)&lt;=1.96,"NO ATÍPICO")</f>
        <v>NO ATÍPICO</v>
      </c>
      <c r="K2325" t="str" cm="1">
        <f t="array" ref="K2325">_xlfn.IFS(ISBLANK(I2325),"FALTANTE",ABS((I2325-$W$8)/$X$8)&gt;1.92,"ATÍPICO",ABS((I2325-$W$8)/$X$8)&lt;=1.92,"NO ATÍPICO")</f>
        <v>NO ATÍPICO</v>
      </c>
      <c r="L2325">
        <f t="shared" si="161"/>
        <v>402249.06</v>
      </c>
      <c r="M2325" t="str">
        <f t="shared" si="161"/>
        <v>ASALARIADO</v>
      </c>
      <c r="N2325">
        <f t="shared" si="162"/>
        <v>29</v>
      </c>
      <c r="O2325" s="19" t="str">
        <f t="shared" si="163"/>
        <v>300k–600k</v>
      </c>
      <c r="P2325" s="19" t="str">
        <f t="shared" si="164"/>
        <v>26-35</v>
      </c>
    </row>
    <row r="2326" spans="1:16" x14ac:dyDescent="0.25">
      <c r="A2326">
        <v>2325</v>
      </c>
      <c r="B2326" t="s">
        <v>9</v>
      </c>
      <c r="C2326">
        <v>639148</v>
      </c>
      <c r="D2326" t="s">
        <v>18</v>
      </c>
      <c r="E2326" t="s">
        <v>16</v>
      </c>
      <c r="F2326" t="s">
        <v>12</v>
      </c>
      <c r="G2326" t="s">
        <v>13</v>
      </c>
      <c r="H2326" t="s">
        <v>12</v>
      </c>
      <c r="I2326">
        <v>46</v>
      </c>
      <c r="J2326" t="str" cm="1">
        <f t="array" ref="J2326">_xlfn.IFS(ISBLANK(C2326),"FALTANTE",ABS((C2326-$W$5)/$X$5)&gt;1.96,"ATÍPICO",ABS((C2326-$W$5)/$X$5)&lt;=1.96,"NO ATÍPICO")</f>
        <v>NO ATÍPICO</v>
      </c>
      <c r="K2326" t="str" cm="1">
        <f t="array" ref="K2326">_xlfn.IFS(ISBLANK(I2326),"FALTANTE",ABS((I2326-$W$8)/$X$8)&gt;1.92,"ATÍPICO",ABS((I2326-$W$8)/$X$8)&lt;=1.92,"NO ATÍPICO")</f>
        <v>NO ATÍPICO</v>
      </c>
      <c r="L2326">
        <f t="shared" si="161"/>
        <v>639148</v>
      </c>
      <c r="M2326" t="str">
        <f t="shared" si="161"/>
        <v>TRABAJADOR INDEPENDIENTE</v>
      </c>
      <c r="N2326">
        <f t="shared" si="162"/>
        <v>46</v>
      </c>
      <c r="O2326" s="19" t="str">
        <f t="shared" si="163"/>
        <v>600k–900k</v>
      </c>
      <c r="P2326" s="19" t="str">
        <f t="shared" si="164"/>
        <v>46-55</v>
      </c>
    </row>
    <row r="2327" spans="1:16" x14ac:dyDescent="0.25">
      <c r="A2327">
        <v>2326</v>
      </c>
      <c r="B2327" t="s">
        <v>9</v>
      </c>
      <c r="C2327">
        <v>328210.2</v>
      </c>
      <c r="D2327" t="s">
        <v>10</v>
      </c>
      <c r="E2327" t="s">
        <v>16</v>
      </c>
      <c r="F2327" t="s">
        <v>12</v>
      </c>
      <c r="G2327" t="s">
        <v>13</v>
      </c>
      <c r="H2327" t="s">
        <v>13</v>
      </c>
      <c r="I2327">
        <v>42</v>
      </c>
      <c r="J2327" t="str" cm="1">
        <f t="array" ref="J2327">_xlfn.IFS(ISBLANK(C2327),"FALTANTE",ABS((C2327-$W$5)/$X$5)&gt;1.96,"ATÍPICO",ABS((C2327-$W$5)/$X$5)&lt;=1.96,"NO ATÍPICO")</f>
        <v>NO ATÍPICO</v>
      </c>
      <c r="K2327" t="str" cm="1">
        <f t="array" ref="K2327">_xlfn.IFS(ISBLANK(I2327),"FALTANTE",ABS((I2327-$W$8)/$X$8)&gt;1.92,"ATÍPICO",ABS((I2327-$W$8)/$X$8)&lt;=1.92,"NO ATÍPICO")</f>
        <v>NO ATÍPICO</v>
      </c>
      <c r="L2327">
        <f t="shared" si="161"/>
        <v>328210.2</v>
      </c>
      <c r="M2327" t="str">
        <f t="shared" si="161"/>
        <v>ASALARIADO</v>
      </c>
      <c r="N2327">
        <f t="shared" si="162"/>
        <v>42</v>
      </c>
      <c r="O2327" s="19" t="str">
        <f t="shared" si="163"/>
        <v>300k–600k</v>
      </c>
      <c r="P2327" s="19" t="str">
        <f t="shared" si="164"/>
        <v>36-45</v>
      </c>
    </row>
    <row r="2328" spans="1:16" x14ac:dyDescent="0.25">
      <c r="A2328">
        <v>2327</v>
      </c>
      <c r="B2328" t="s">
        <v>15</v>
      </c>
      <c r="C2328">
        <v>361045</v>
      </c>
      <c r="D2328" t="s">
        <v>18</v>
      </c>
      <c r="E2328" t="s">
        <v>16</v>
      </c>
      <c r="F2328" t="s">
        <v>12</v>
      </c>
      <c r="G2328" t="s">
        <v>13</v>
      </c>
      <c r="H2328" t="s">
        <v>12</v>
      </c>
      <c r="I2328">
        <v>42</v>
      </c>
      <c r="J2328" t="str" cm="1">
        <f t="array" ref="J2328">_xlfn.IFS(ISBLANK(C2328),"FALTANTE",ABS((C2328-$W$5)/$X$5)&gt;1.96,"ATÍPICO",ABS((C2328-$W$5)/$X$5)&lt;=1.96,"NO ATÍPICO")</f>
        <v>NO ATÍPICO</v>
      </c>
      <c r="K2328" t="str" cm="1">
        <f t="array" ref="K2328">_xlfn.IFS(ISBLANK(I2328),"FALTANTE",ABS((I2328-$W$8)/$X$8)&gt;1.92,"ATÍPICO",ABS((I2328-$W$8)/$X$8)&lt;=1.92,"NO ATÍPICO")</f>
        <v>NO ATÍPICO</v>
      </c>
      <c r="L2328">
        <f t="shared" si="161"/>
        <v>361045</v>
      </c>
      <c r="M2328" t="str">
        <f t="shared" si="161"/>
        <v>TRABAJADOR INDEPENDIENTE</v>
      </c>
      <c r="N2328">
        <f t="shared" si="162"/>
        <v>42</v>
      </c>
      <c r="O2328" s="19" t="str">
        <f t="shared" si="163"/>
        <v>300k–600k</v>
      </c>
      <c r="P2328" s="19" t="str">
        <f t="shared" si="164"/>
        <v>36-45</v>
      </c>
    </row>
    <row r="2329" spans="1:16" x14ac:dyDescent="0.25">
      <c r="A2329">
        <v>2328</v>
      </c>
      <c r="B2329" t="s">
        <v>9</v>
      </c>
      <c r="C2329">
        <v>999312</v>
      </c>
      <c r="D2329" t="s">
        <v>10</v>
      </c>
      <c r="E2329" t="s">
        <v>11</v>
      </c>
      <c r="F2329" t="s">
        <v>12</v>
      </c>
      <c r="G2329" t="s">
        <v>13</v>
      </c>
      <c r="H2329" t="s">
        <v>12</v>
      </c>
      <c r="I2329">
        <v>28</v>
      </c>
      <c r="J2329" t="str" cm="1">
        <f t="array" ref="J2329">_xlfn.IFS(ISBLANK(C2329),"FALTANTE",ABS((C2329-$W$5)/$X$5)&gt;1.96,"ATÍPICO",ABS((C2329-$W$5)/$X$5)&lt;=1.96,"NO ATÍPICO")</f>
        <v>NO ATÍPICO</v>
      </c>
      <c r="K2329" t="str" cm="1">
        <f t="array" ref="K2329">_xlfn.IFS(ISBLANK(I2329),"FALTANTE",ABS((I2329-$W$8)/$X$8)&gt;1.92,"ATÍPICO",ABS((I2329-$W$8)/$X$8)&lt;=1.92,"NO ATÍPICO")</f>
        <v>NO ATÍPICO</v>
      </c>
      <c r="L2329">
        <f t="shared" si="161"/>
        <v>999312</v>
      </c>
      <c r="M2329" t="str">
        <f t="shared" si="161"/>
        <v>ASALARIADO</v>
      </c>
      <c r="N2329">
        <f t="shared" si="162"/>
        <v>28</v>
      </c>
      <c r="O2329" s="19" t="str">
        <f t="shared" si="163"/>
        <v>900k–1200k</v>
      </c>
      <c r="P2329" s="19" t="str">
        <f t="shared" si="164"/>
        <v>26-35</v>
      </c>
    </row>
    <row r="2330" spans="1:16" x14ac:dyDescent="0.25">
      <c r="A2330">
        <v>2329</v>
      </c>
      <c r="B2330" t="s">
        <v>15</v>
      </c>
      <c r="C2330">
        <v>121300</v>
      </c>
      <c r="D2330" t="s">
        <v>10</v>
      </c>
      <c r="E2330" t="s">
        <v>16</v>
      </c>
      <c r="F2330" t="s">
        <v>12</v>
      </c>
      <c r="G2330" t="s">
        <v>13</v>
      </c>
      <c r="H2330" t="s">
        <v>12</v>
      </c>
      <c r="I2330">
        <v>40</v>
      </c>
      <c r="J2330" t="str" cm="1">
        <f t="array" ref="J2330">_xlfn.IFS(ISBLANK(C2330),"FALTANTE",ABS((C2330-$W$5)/$X$5)&gt;1.96,"ATÍPICO",ABS((C2330-$W$5)/$X$5)&lt;=1.96,"NO ATÍPICO")</f>
        <v>NO ATÍPICO</v>
      </c>
      <c r="K2330" t="str" cm="1">
        <f t="array" ref="K2330">_xlfn.IFS(ISBLANK(I2330),"FALTANTE",ABS((I2330-$W$8)/$X$8)&gt;1.92,"ATÍPICO",ABS((I2330-$W$8)/$X$8)&lt;=1.92,"NO ATÍPICO")</f>
        <v>NO ATÍPICO</v>
      </c>
      <c r="L2330">
        <f t="shared" si="161"/>
        <v>121300</v>
      </c>
      <c r="M2330" t="str">
        <f t="shared" si="161"/>
        <v>ASALARIADO</v>
      </c>
      <c r="N2330">
        <f t="shared" si="162"/>
        <v>40</v>
      </c>
      <c r="O2330" s="19" t="str">
        <f t="shared" si="163"/>
        <v>0–300k</v>
      </c>
      <c r="P2330" s="19" t="str">
        <f t="shared" si="164"/>
        <v>36-45</v>
      </c>
    </row>
    <row r="2331" spans="1:16" x14ac:dyDescent="0.25">
      <c r="A2331">
        <v>2330</v>
      </c>
      <c r="B2331" t="s">
        <v>9</v>
      </c>
      <c r="C2331">
        <v>279960.49</v>
      </c>
      <c r="D2331" t="s">
        <v>10</v>
      </c>
      <c r="E2331" t="s">
        <v>16</v>
      </c>
      <c r="F2331" t="s">
        <v>12</v>
      </c>
      <c r="G2331" t="s">
        <v>13</v>
      </c>
      <c r="H2331" t="s">
        <v>13</v>
      </c>
      <c r="I2331">
        <v>23</v>
      </c>
      <c r="J2331" t="str" cm="1">
        <f t="array" ref="J2331">_xlfn.IFS(ISBLANK(C2331),"FALTANTE",ABS((C2331-$W$5)/$X$5)&gt;1.96,"ATÍPICO",ABS((C2331-$W$5)/$X$5)&lt;=1.96,"NO ATÍPICO")</f>
        <v>NO ATÍPICO</v>
      </c>
      <c r="K2331" t="str" cm="1">
        <f t="array" ref="K2331">_xlfn.IFS(ISBLANK(I2331),"FALTANTE",ABS((I2331-$W$8)/$X$8)&gt;1.92,"ATÍPICO",ABS((I2331-$W$8)/$X$8)&lt;=1.92,"NO ATÍPICO")</f>
        <v>NO ATÍPICO</v>
      </c>
      <c r="L2331">
        <f t="shared" si="161"/>
        <v>279960.49</v>
      </c>
      <c r="M2331" t="str">
        <f t="shared" si="161"/>
        <v>ASALARIADO</v>
      </c>
      <c r="N2331">
        <f t="shared" si="162"/>
        <v>23</v>
      </c>
      <c r="O2331" s="19" t="str">
        <f t="shared" si="163"/>
        <v>0–300k</v>
      </c>
      <c r="P2331" s="19" t="str">
        <f t="shared" si="164"/>
        <v>18-25</v>
      </c>
    </row>
    <row r="2332" spans="1:16" x14ac:dyDescent="0.25">
      <c r="A2332">
        <v>2331</v>
      </c>
      <c r="B2332" t="s">
        <v>15</v>
      </c>
      <c r="C2332">
        <v>119219.91</v>
      </c>
      <c r="D2332" t="s">
        <v>14</v>
      </c>
      <c r="E2332" t="s">
        <v>11</v>
      </c>
      <c r="F2332" t="s">
        <v>12</v>
      </c>
      <c r="G2332" t="s">
        <v>13</v>
      </c>
      <c r="H2332" t="s">
        <v>13</v>
      </c>
      <c r="I2332">
        <v>59</v>
      </c>
      <c r="J2332" t="str" cm="1">
        <f t="array" ref="J2332">_xlfn.IFS(ISBLANK(C2332),"FALTANTE",ABS((C2332-$W$5)/$X$5)&gt;1.96,"ATÍPICO",ABS((C2332-$W$5)/$X$5)&lt;=1.96,"NO ATÍPICO")</f>
        <v>NO ATÍPICO</v>
      </c>
      <c r="K2332" t="str" cm="1">
        <f t="array" ref="K2332">_xlfn.IFS(ISBLANK(I2332),"FALTANTE",ABS((I2332-$W$8)/$X$8)&gt;1.92,"ATÍPICO",ABS((I2332-$W$8)/$X$8)&lt;=1.92,"NO ATÍPICO")</f>
        <v>NO ATÍPICO</v>
      </c>
      <c r="L2332">
        <f t="shared" si="161"/>
        <v>119219.91</v>
      </c>
      <c r="M2332" t="str">
        <f t="shared" si="161"/>
        <v>PENSIONADOS EN SU PROPIO SISTEMA</v>
      </c>
      <c r="N2332">
        <f t="shared" si="162"/>
        <v>59</v>
      </c>
      <c r="O2332" s="19" t="str">
        <f t="shared" si="163"/>
        <v>0–300k</v>
      </c>
      <c r="P2332" s="19" t="str">
        <f t="shared" si="164"/>
        <v>56+</v>
      </c>
    </row>
    <row r="2333" spans="1:16" x14ac:dyDescent="0.25">
      <c r="A2333">
        <v>2332</v>
      </c>
      <c r="B2333" t="s">
        <v>15</v>
      </c>
      <c r="C2333">
        <v>430000</v>
      </c>
      <c r="D2333" t="s">
        <v>10</v>
      </c>
      <c r="E2333" t="s">
        <v>16</v>
      </c>
      <c r="F2333" t="s">
        <v>12</v>
      </c>
      <c r="G2333" t="s">
        <v>13</v>
      </c>
      <c r="H2333" t="s">
        <v>13</v>
      </c>
      <c r="I2333">
        <v>42</v>
      </c>
      <c r="J2333" t="str" cm="1">
        <f t="array" ref="J2333">_xlfn.IFS(ISBLANK(C2333),"FALTANTE",ABS((C2333-$W$5)/$X$5)&gt;1.96,"ATÍPICO",ABS((C2333-$W$5)/$X$5)&lt;=1.96,"NO ATÍPICO")</f>
        <v>NO ATÍPICO</v>
      </c>
      <c r="K2333" t="str" cm="1">
        <f t="array" ref="K2333">_xlfn.IFS(ISBLANK(I2333),"FALTANTE",ABS((I2333-$W$8)/$X$8)&gt;1.92,"ATÍPICO",ABS((I2333-$W$8)/$X$8)&lt;=1.92,"NO ATÍPICO")</f>
        <v>NO ATÍPICO</v>
      </c>
      <c r="L2333">
        <f t="shared" si="161"/>
        <v>430000</v>
      </c>
      <c r="M2333" t="str">
        <f t="shared" si="161"/>
        <v>ASALARIADO</v>
      </c>
      <c r="N2333">
        <f t="shared" si="162"/>
        <v>42</v>
      </c>
      <c r="O2333" s="19" t="str">
        <f t="shared" si="163"/>
        <v>300k–600k</v>
      </c>
      <c r="P2333" s="19" t="str">
        <f t="shared" si="164"/>
        <v>36-45</v>
      </c>
    </row>
    <row r="2334" spans="1:16" x14ac:dyDescent="0.25">
      <c r="A2334">
        <v>2333</v>
      </c>
      <c r="B2334" t="s">
        <v>15</v>
      </c>
      <c r="C2334">
        <v>278030</v>
      </c>
      <c r="D2334" t="s">
        <v>17</v>
      </c>
      <c r="E2334" t="s">
        <v>16</v>
      </c>
      <c r="F2334" t="s">
        <v>12</v>
      </c>
      <c r="G2334" t="s">
        <v>13</v>
      </c>
      <c r="H2334" t="s">
        <v>12</v>
      </c>
      <c r="I2334">
        <v>20</v>
      </c>
      <c r="J2334" t="str" cm="1">
        <f t="array" ref="J2334">_xlfn.IFS(ISBLANK(C2334),"FALTANTE",ABS((C2334-$W$5)/$X$5)&gt;1.96,"ATÍPICO",ABS((C2334-$W$5)/$X$5)&lt;=1.96,"NO ATÍPICO")</f>
        <v>NO ATÍPICO</v>
      </c>
      <c r="K2334" t="str" cm="1">
        <f t="array" ref="K2334">_xlfn.IFS(ISBLANK(I2334),"FALTANTE",ABS((I2334-$W$8)/$X$8)&gt;1.92,"ATÍPICO",ABS((I2334-$W$8)/$X$8)&lt;=1.92,"NO ATÍPICO")</f>
        <v>NO ATÍPICO</v>
      </c>
      <c r="L2334">
        <f t="shared" si="161"/>
        <v>278030</v>
      </c>
      <c r="M2334" t="str">
        <f t="shared" si="161"/>
        <v>ASEGURADO VOLUNTARIO</v>
      </c>
      <c r="N2334">
        <f t="shared" si="162"/>
        <v>20</v>
      </c>
      <c r="O2334" s="19" t="str">
        <f t="shared" si="163"/>
        <v>0–300k</v>
      </c>
      <c r="P2334" s="19" t="str">
        <f t="shared" si="164"/>
        <v>18-25</v>
      </c>
    </row>
    <row r="2335" spans="1:16" x14ac:dyDescent="0.25">
      <c r="A2335">
        <v>2334</v>
      </c>
      <c r="B2335" t="s">
        <v>9</v>
      </c>
      <c r="C2335">
        <v>1613702.64</v>
      </c>
      <c r="D2335" t="s">
        <v>10</v>
      </c>
      <c r="E2335" t="s">
        <v>16</v>
      </c>
      <c r="F2335" t="s">
        <v>12</v>
      </c>
      <c r="G2335" t="s">
        <v>13</v>
      </c>
      <c r="H2335" t="s">
        <v>13</v>
      </c>
      <c r="I2335">
        <v>32</v>
      </c>
      <c r="J2335" t="str" cm="1">
        <f t="array" ref="J2335">_xlfn.IFS(ISBLANK(C2335),"FALTANTE",ABS((C2335-$W$5)/$X$5)&gt;1.96,"ATÍPICO",ABS((C2335-$W$5)/$X$5)&lt;=1.96,"NO ATÍPICO")</f>
        <v>NO ATÍPICO</v>
      </c>
      <c r="K2335" t="str" cm="1">
        <f t="array" ref="K2335">_xlfn.IFS(ISBLANK(I2335),"FALTANTE",ABS((I2335-$W$8)/$X$8)&gt;1.92,"ATÍPICO",ABS((I2335-$W$8)/$X$8)&lt;=1.92,"NO ATÍPICO")</f>
        <v>NO ATÍPICO</v>
      </c>
      <c r="L2335">
        <f t="shared" si="161"/>
        <v>1613702.64</v>
      </c>
      <c r="M2335" t="str">
        <f t="shared" si="161"/>
        <v>ASALARIADO</v>
      </c>
      <c r="N2335">
        <f t="shared" si="162"/>
        <v>32</v>
      </c>
      <c r="O2335" s="19" t="str">
        <f t="shared" si="163"/>
        <v>1200k+</v>
      </c>
      <c r="P2335" s="19" t="str">
        <f t="shared" si="164"/>
        <v>26-35</v>
      </c>
    </row>
    <row r="2336" spans="1:16" x14ac:dyDescent="0.25">
      <c r="A2336">
        <v>2335</v>
      </c>
      <c r="B2336" t="s">
        <v>9</v>
      </c>
      <c r="C2336">
        <v>2545183.7000000002</v>
      </c>
      <c r="D2336" t="s">
        <v>10</v>
      </c>
      <c r="E2336" t="s">
        <v>16</v>
      </c>
      <c r="F2336" t="s">
        <v>12</v>
      </c>
      <c r="G2336" t="s">
        <v>13</v>
      </c>
      <c r="H2336" t="s">
        <v>13</v>
      </c>
      <c r="I2336">
        <v>46</v>
      </c>
      <c r="J2336" t="str" cm="1">
        <f t="array" ref="J2336">_xlfn.IFS(ISBLANK(C2336),"FALTANTE",ABS((C2336-$W$5)/$X$5)&gt;1.96,"ATÍPICO",ABS((C2336-$W$5)/$X$5)&lt;=1.96,"NO ATÍPICO")</f>
        <v>ATÍPICO</v>
      </c>
      <c r="K2336" t="str" cm="1">
        <f t="array" ref="K2336">_xlfn.IFS(ISBLANK(I2336),"FALTANTE",ABS((I2336-$W$8)/$X$8)&gt;1.92,"ATÍPICO",ABS((I2336-$W$8)/$X$8)&lt;=1.92,"NO ATÍPICO")</f>
        <v>NO ATÍPICO</v>
      </c>
      <c r="L2336">
        <f t="shared" si="161"/>
        <v>2545183.7000000002</v>
      </c>
      <c r="M2336" t="str">
        <f t="shared" si="161"/>
        <v>ASALARIADO</v>
      </c>
      <c r="N2336">
        <f t="shared" si="162"/>
        <v>46</v>
      </c>
      <c r="O2336" s="19" t="str">
        <f t="shared" si="163"/>
        <v>1200k+</v>
      </c>
      <c r="P2336" s="19" t="str">
        <f t="shared" si="164"/>
        <v>46-55</v>
      </c>
    </row>
    <row r="2337" spans="1:16" x14ac:dyDescent="0.25">
      <c r="A2337">
        <v>2336</v>
      </c>
      <c r="B2337" t="s">
        <v>9</v>
      </c>
      <c r="C2337">
        <v>2133715</v>
      </c>
      <c r="D2337" t="s">
        <v>14</v>
      </c>
      <c r="E2337" t="s">
        <v>11</v>
      </c>
      <c r="F2337" t="s">
        <v>12</v>
      </c>
      <c r="G2337" t="s">
        <v>13</v>
      </c>
      <c r="H2337" t="s">
        <v>13</v>
      </c>
      <c r="I2337">
        <v>83</v>
      </c>
      <c r="J2337" t="str" cm="1">
        <f t="array" ref="J2337">_xlfn.IFS(ISBLANK(C2337),"FALTANTE",ABS((C2337-$W$5)/$X$5)&gt;1.96,"ATÍPICO",ABS((C2337-$W$5)/$X$5)&lt;=1.96,"NO ATÍPICO")</f>
        <v>NO ATÍPICO</v>
      </c>
      <c r="K2337" t="str" cm="1">
        <f t="array" ref="K2337">_xlfn.IFS(ISBLANK(I2337),"FALTANTE",ABS((I2337-$W$8)/$X$8)&gt;1.92,"ATÍPICO",ABS((I2337-$W$8)/$X$8)&lt;=1.92,"NO ATÍPICO")</f>
        <v>ATÍPICO</v>
      </c>
      <c r="L2337">
        <f t="shared" si="161"/>
        <v>2133715</v>
      </c>
      <c r="M2337" t="str">
        <f t="shared" si="161"/>
        <v>PENSIONADOS EN SU PROPIO SISTEMA</v>
      </c>
      <c r="N2337">
        <f t="shared" si="162"/>
        <v>83</v>
      </c>
      <c r="O2337" s="19" t="str">
        <f t="shared" si="163"/>
        <v>1200k+</v>
      </c>
      <c r="P2337" s="19" t="str">
        <f t="shared" si="164"/>
        <v>56+</v>
      </c>
    </row>
    <row r="2338" spans="1:16" x14ac:dyDescent="0.25">
      <c r="A2338">
        <v>2337</v>
      </c>
      <c r="B2338" t="s">
        <v>15</v>
      </c>
      <c r="C2338">
        <v>81536</v>
      </c>
      <c r="D2338" t="s">
        <v>10</v>
      </c>
      <c r="E2338" t="s">
        <v>11</v>
      </c>
      <c r="F2338" t="s">
        <v>12</v>
      </c>
      <c r="G2338" t="s">
        <v>13</v>
      </c>
      <c r="H2338" t="s">
        <v>12</v>
      </c>
      <c r="I2338">
        <v>31</v>
      </c>
      <c r="J2338" t="str" cm="1">
        <f t="array" ref="J2338">_xlfn.IFS(ISBLANK(C2338),"FALTANTE",ABS((C2338-$W$5)/$X$5)&gt;1.96,"ATÍPICO",ABS((C2338-$W$5)/$X$5)&lt;=1.96,"NO ATÍPICO")</f>
        <v>NO ATÍPICO</v>
      </c>
      <c r="K2338" t="str" cm="1">
        <f t="array" ref="K2338">_xlfn.IFS(ISBLANK(I2338),"FALTANTE",ABS((I2338-$W$8)/$X$8)&gt;1.92,"ATÍPICO",ABS((I2338-$W$8)/$X$8)&lt;=1.92,"NO ATÍPICO")</f>
        <v>NO ATÍPICO</v>
      </c>
      <c r="L2338">
        <f t="shared" si="161"/>
        <v>81536</v>
      </c>
      <c r="M2338" t="str">
        <f t="shared" si="161"/>
        <v>ASALARIADO</v>
      </c>
      <c r="N2338">
        <f t="shared" si="162"/>
        <v>31</v>
      </c>
      <c r="O2338" s="19" t="str">
        <f t="shared" si="163"/>
        <v>0–300k</v>
      </c>
      <c r="P2338" s="19" t="str">
        <f t="shared" si="164"/>
        <v>26-35</v>
      </c>
    </row>
    <row r="2339" spans="1:16" x14ac:dyDescent="0.25">
      <c r="A2339">
        <v>2338</v>
      </c>
      <c r="B2339" t="s">
        <v>15</v>
      </c>
      <c r="C2339">
        <v>157177</v>
      </c>
      <c r="D2339" t="s">
        <v>10</v>
      </c>
      <c r="E2339" t="s">
        <v>16</v>
      </c>
      <c r="F2339" t="s">
        <v>12</v>
      </c>
      <c r="G2339" t="s">
        <v>13</v>
      </c>
      <c r="H2339" t="s">
        <v>13</v>
      </c>
      <c r="I2339">
        <v>23</v>
      </c>
      <c r="J2339" t="str" cm="1">
        <f t="array" ref="J2339">_xlfn.IFS(ISBLANK(C2339),"FALTANTE",ABS((C2339-$W$5)/$X$5)&gt;1.96,"ATÍPICO",ABS((C2339-$W$5)/$X$5)&lt;=1.96,"NO ATÍPICO")</f>
        <v>NO ATÍPICO</v>
      </c>
      <c r="K2339" t="str" cm="1">
        <f t="array" ref="K2339">_xlfn.IFS(ISBLANK(I2339),"FALTANTE",ABS((I2339-$W$8)/$X$8)&gt;1.92,"ATÍPICO",ABS((I2339-$W$8)/$X$8)&lt;=1.92,"NO ATÍPICO")</f>
        <v>NO ATÍPICO</v>
      </c>
      <c r="L2339">
        <f t="shared" si="161"/>
        <v>157177</v>
      </c>
      <c r="M2339" t="str">
        <f t="shared" si="161"/>
        <v>ASALARIADO</v>
      </c>
      <c r="N2339">
        <f t="shared" si="162"/>
        <v>23</v>
      </c>
      <c r="O2339" s="19" t="str">
        <f t="shared" si="163"/>
        <v>0–300k</v>
      </c>
      <c r="P2339" s="19" t="str">
        <f t="shared" si="164"/>
        <v>18-25</v>
      </c>
    </row>
    <row r="2340" spans="1:16" x14ac:dyDescent="0.25">
      <c r="A2340">
        <v>2339</v>
      </c>
      <c r="B2340" t="s">
        <v>9</v>
      </c>
      <c r="C2340">
        <v>505609</v>
      </c>
      <c r="D2340" t="s">
        <v>10</v>
      </c>
      <c r="E2340" t="s">
        <v>16</v>
      </c>
      <c r="F2340" t="s">
        <v>12</v>
      </c>
      <c r="G2340" t="s">
        <v>13</v>
      </c>
      <c r="H2340" t="s">
        <v>13</v>
      </c>
      <c r="I2340">
        <v>44</v>
      </c>
      <c r="J2340" t="str" cm="1">
        <f t="array" ref="J2340">_xlfn.IFS(ISBLANK(C2340),"FALTANTE",ABS((C2340-$W$5)/$X$5)&gt;1.96,"ATÍPICO",ABS((C2340-$W$5)/$X$5)&lt;=1.96,"NO ATÍPICO")</f>
        <v>NO ATÍPICO</v>
      </c>
      <c r="K2340" t="str" cm="1">
        <f t="array" ref="K2340">_xlfn.IFS(ISBLANK(I2340),"FALTANTE",ABS((I2340-$W$8)/$X$8)&gt;1.92,"ATÍPICO",ABS((I2340-$W$8)/$X$8)&lt;=1.92,"NO ATÍPICO")</f>
        <v>NO ATÍPICO</v>
      </c>
      <c r="L2340">
        <f t="shared" si="161"/>
        <v>505609</v>
      </c>
      <c r="M2340" t="str">
        <f t="shared" si="161"/>
        <v>ASALARIADO</v>
      </c>
      <c r="N2340">
        <f t="shared" si="162"/>
        <v>44</v>
      </c>
      <c r="O2340" s="19" t="str">
        <f t="shared" si="163"/>
        <v>300k–600k</v>
      </c>
      <c r="P2340" s="19" t="str">
        <f t="shared" si="164"/>
        <v>36-45</v>
      </c>
    </row>
    <row r="2341" spans="1:16" x14ac:dyDescent="0.25">
      <c r="A2341">
        <v>2340</v>
      </c>
      <c r="B2341" t="s">
        <v>15</v>
      </c>
      <c r="C2341">
        <v>6177.62</v>
      </c>
      <c r="D2341" t="s">
        <v>10</v>
      </c>
      <c r="E2341" t="s">
        <v>16</v>
      </c>
      <c r="F2341" t="s">
        <v>12</v>
      </c>
      <c r="G2341" t="s">
        <v>13</v>
      </c>
      <c r="H2341" t="s">
        <v>13</v>
      </c>
      <c r="I2341">
        <v>61</v>
      </c>
      <c r="J2341" t="str" cm="1">
        <f t="array" ref="J2341">_xlfn.IFS(ISBLANK(C2341),"FALTANTE",ABS((C2341-$W$5)/$X$5)&gt;1.96,"ATÍPICO",ABS((C2341-$W$5)/$X$5)&lt;=1.96,"NO ATÍPICO")</f>
        <v>NO ATÍPICO</v>
      </c>
      <c r="K2341" t="str" cm="1">
        <f t="array" ref="K2341">_xlfn.IFS(ISBLANK(I2341),"FALTANTE",ABS((I2341-$W$8)/$X$8)&gt;1.92,"ATÍPICO",ABS((I2341-$W$8)/$X$8)&lt;=1.92,"NO ATÍPICO")</f>
        <v>NO ATÍPICO</v>
      </c>
      <c r="L2341">
        <f t="shared" si="161"/>
        <v>6177.62</v>
      </c>
      <c r="M2341" t="str">
        <f t="shared" si="161"/>
        <v>ASALARIADO</v>
      </c>
      <c r="N2341">
        <f t="shared" si="162"/>
        <v>61</v>
      </c>
      <c r="O2341" s="19" t="str">
        <f t="shared" si="163"/>
        <v>0–300k</v>
      </c>
      <c r="P2341" s="19" t="str">
        <f t="shared" si="164"/>
        <v>56+</v>
      </c>
    </row>
    <row r="2342" spans="1:16" x14ac:dyDescent="0.25">
      <c r="A2342">
        <v>2341</v>
      </c>
      <c r="B2342" t="s">
        <v>15</v>
      </c>
      <c r="C2342">
        <v>299137</v>
      </c>
      <c r="D2342" t="s">
        <v>10</v>
      </c>
      <c r="E2342" t="s">
        <v>11</v>
      </c>
      <c r="F2342" t="s">
        <v>12</v>
      </c>
      <c r="G2342" t="s">
        <v>13</v>
      </c>
      <c r="H2342" t="s">
        <v>13</v>
      </c>
      <c r="I2342">
        <v>44</v>
      </c>
      <c r="J2342" t="str" cm="1">
        <f t="array" ref="J2342">_xlfn.IFS(ISBLANK(C2342),"FALTANTE",ABS((C2342-$W$5)/$X$5)&gt;1.96,"ATÍPICO",ABS((C2342-$W$5)/$X$5)&lt;=1.96,"NO ATÍPICO")</f>
        <v>NO ATÍPICO</v>
      </c>
      <c r="K2342" t="str" cm="1">
        <f t="array" ref="K2342">_xlfn.IFS(ISBLANK(I2342),"FALTANTE",ABS((I2342-$W$8)/$X$8)&gt;1.92,"ATÍPICO",ABS((I2342-$W$8)/$X$8)&lt;=1.92,"NO ATÍPICO")</f>
        <v>NO ATÍPICO</v>
      </c>
      <c r="L2342">
        <f t="shared" si="161"/>
        <v>299137</v>
      </c>
      <c r="M2342" t="str">
        <f t="shared" si="161"/>
        <v>ASALARIADO</v>
      </c>
      <c r="N2342">
        <f t="shared" si="162"/>
        <v>44</v>
      </c>
      <c r="O2342" s="19" t="str">
        <f t="shared" si="163"/>
        <v>0–300k</v>
      </c>
      <c r="P2342" s="19" t="str">
        <f t="shared" si="164"/>
        <v>36-45</v>
      </c>
    </row>
    <row r="2343" spans="1:16" x14ac:dyDescent="0.25">
      <c r="A2343">
        <v>2342</v>
      </c>
      <c r="B2343" t="s">
        <v>15</v>
      </c>
      <c r="C2343">
        <v>338166</v>
      </c>
      <c r="D2343" t="s">
        <v>18</v>
      </c>
      <c r="E2343" t="s">
        <v>16</v>
      </c>
      <c r="F2343" t="s">
        <v>12</v>
      </c>
      <c r="G2343" t="s">
        <v>13</v>
      </c>
      <c r="H2343" t="s">
        <v>13</v>
      </c>
      <c r="I2343">
        <v>61</v>
      </c>
      <c r="J2343" t="str" cm="1">
        <f t="array" ref="J2343">_xlfn.IFS(ISBLANK(C2343),"FALTANTE",ABS((C2343-$W$5)/$X$5)&gt;1.96,"ATÍPICO",ABS((C2343-$W$5)/$X$5)&lt;=1.96,"NO ATÍPICO")</f>
        <v>NO ATÍPICO</v>
      </c>
      <c r="K2343" t="str" cm="1">
        <f t="array" ref="K2343">_xlfn.IFS(ISBLANK(I2343),"FALTANTE",ABS((I2343-$W$8)/$X$8)&gt;1.92,"ATÍPICO",ABS((I2343-$W$8)/$X$8)&lt;=1.92,"NO ATÍPICO")</f>
        <v>NO ATÍPICO</v>
      </c>
      <c r="L2343">
        <f t="shared" si="161"/>
        <v>338166</v>
      </c>
      <c r="M2343" t="str">
        <f t="shared" si="161"/>
        <v>TRABAJADOR INDEPENDIENTE</v>
      </c>
      <c r="N2343">
        <f t="shared" si="162"/>
        <v>61</v>
      </c>
      <c r="O2343" s="19" t="str">
        <f t="shared" si="163"/>
        <v>300k–600k</v>
      </c>
      <c r="P2343" s="19" t="str">
        <f t="shared" si="164"/>
        <v>56+</v>
      </c>
    </row>
    <row r="2344" spans="1:16" x14ac:dyDescent="0.25">
      <c r="A2344">
        <v>2343</v>
      </c>
      <c r="B2344" t="s">
        <v>9</v>
      </c>
      <c r="C2344">
        <v>1250000</v>
      </c>
      <c r="D2344" t="s">
        <v>10</v>
      </c>
      <c r="E2344" t="s">
        <v>16</v>
      </c>
      <c r="F2344" t="s">
        <v>12</v>
      </c>
      <c r="G2344" t="s">
        <v>13</v>
      </c>
      <c r="H2344" t="s">
        <v>13</v>
      </c>
      <c r="I2344">
        <v>29</v>
      </c>
      <c r="J2344" t="str" cm="1">
        <f t="array" ref="J2344">_xlfn.IFS(ISBLANK(C2344),"FALTANTE",ABS((C2344-$W$5)/$X$5)&gt;1.96,"ATÍPICO",ABS((C2344-$W$5)/$X$5)&lt;=1.96,"NO ATÍPICO")</f>
        <v>NO ATÍPICO</v>
      </c>
      <c r="K2344" t="str" cm="1">
        <f t="array" ref="K2344">_xlfn.IFS(ISBLANK(I2344),"FALTANTE",ABS((I2344-$W$8)/$X$8)&gt;1.92,"ATÍPICO",ABS((I2344-$W$8)/$X$8)&lt;=1.92,"NO ATÍPICO")</f>
        <v>NO ATÍPICO</v>
      </c>
      <c r="L2344">
        <f t="shared" si="161"/>
        <v>1250000</v>
      </c>
      <c r="M2344" t="str">
        <f t="shared" si="161"/>
        <v>ASALARIADO</v>
      </c>
      <c r="N2344">
        <f t="shared" si="162"/>
        <v>29</v>
      </c>
      <c r="O2344" s="19" t="str">
        <f t="shared" si="163"/>
        <v>1200k+</v>
      </c>
      <c r="P2344" s="19" t="str">
        <f t="shared" si="164"/>
        <v>26-35</v>
      </c>
    </row>
    <row r="2345" spans="1:16" x14ac:dyDescent="0.25">
      <c r="A2345">
        <v>2344</v>
      </c>
      <c r="B2345" t="s">
        <v>15</v>
      </c>
      <c r="C2345">
        <v>305704</v>
      </c>
      <c r="D2345" t="s">
        <v>17</v>
      </c>
      <c r="E2345" t="s">
        <v>16</v>
      </c>
      <c r="F2345" t="s">
        <v>13</v>
      </c>
      <c r="G2345" t="s">
        <v>13</v>
      </c>
      <c r="H2345" t="s">
        <v>13</v>
      </c>
      <c r="I2345">
        <v>60</v>
      </c>
      <c r="J2345" t="str" cm="1">
        <f t="array" ref="J2345">_xlfn.IFS(ISBLANK(C2345),"FALTANTE",ABS((C2345-$W$5)/$X$5)&gt;1.96,"ATÍPICO",ABS((C2345-$W$5)/$X$5)&lt;=1.96,"NO ATÍPICO")</f>
        <v>NO ATÍPICO</v>
      </c>
      <c r="K2345" t="str" cm="1">
        <f t="array" ref="K2345">_xlfn.IFS(ISBLANK(I2345),"FALTANTE",ABS((I2345-$W$8)/$X$8)&gt;1.92,"ATÍPICO",ABS((I2345-$W$8)/$X$8)&lt;=1.92,"NO ATÍPICO")</f>
        <v>NO ATÍPICO</v>
      </c>
      <c r="L2345">
        <f t="shared" si="161"/>
        <v>305704</v>
      </c>
      <c r="M2345" t="str">
        <f t="shared" si="161"/>
        <v>ASEGURADO VOLUNTARIO</v>
      </c>
      <c r="N2345">
        <f t="shared" si="162"/>
        <v>60</v>
      </c>
      <c r="O2345" s="19" t="str">
        <f t="shared" si="163"/>
        <v>300k–600k</v>
      </c>
      <c r="P2345" s="19" t="str">
        <f t="shared" si="164"/>
        <v>56+</v>
      </c>
    </row>
    <row r="2346" spans="1:16" x14ac:dyDescent="0.25">
      <c r="A2346">
        <v>2345</v>
      </c>
      <c r="B2346" t="s">
        <v>9</v>
      </c>
      <c r="C2346">
        <v>502063.88</v>
      </c>
      <c r="D2346" t="s">
        <v>10</v>
      </c>
      <c r="E2346" t="s">
        <v>16</v>
      </c>
      <c r="F2346" t="s">
        <v>12</v>
      </c>
      <c r="G2346" t="s">
        <v>13</v>
      </c>
      <c r="H2346" t="s">
        <v>13</v>
      </c>
      <c r="I2346">
        <v>22</v>
      </c>
      <c r="J2346" t="str" cm="1">
        <f t="array" ref="J2346">_xlfn.IFS(ISBLANK(C2346),"FALTANTE",ABS((C2346-$W$5)/$X$5)&gt;1.96,"ATÍPICO",ABS((C2346-$W$5)/$X$5)&lt;=1.96,"NO ATÍPICO")</f>
        <v>NO ATÍPICO</v>
      </c>
      <c r="K2346" t="str" cm="1">
        <f t="array" ref="K2346">_xlfn.IFS(ISBLANK(I2346),"FALTANTE",ABS((I2346-$W$8)/$X$8)&gt;1.92,"ATÍPICO",ABS((I2346-$W$8)/$X$8)&lt;=1.92,"NO ATÍPICO")</f>
        <v>NO ATÍPICO</v>
      </c>
      <c r="L2346">
        <f t="shared" si="161"/>
        <v>502063.88</v>
      </c>
      <c r="M2346" t="str">
        <f t="shared" si="161"/>
        <v>ASALARIADO</v>
      </c>
      <c r="N2346">
        <f t="shared" si="162"/>
        <v>22</v>
      </c>
      <c r="O2346" s="19" t="str">
        <f t="shared" si="163"/>
        <v>300k–600k</v>
      </c>
      <c r="P2346" s="19" t="str">
        <f t="shared" si="164"/>
        <v>18-25</v>
      </c>
    </row>
    <row r="2347" spans="1:16" x14ac:dyDescent="0.25">
      <c r="A2347">
        <v>2346</v>
      </c>
      <c r="B2347" t="s">
        <v>9</v>
      </c>
      <c r="C2347">
        <v>843824.96</v>
      </c>
      <c r="D2347" t="s">
        <v>10</v>
      </c>
      <c r="E2347" t="s">
        <v>16</v>
      </c>
      <c r="F2347" t="s">
        <v>12</v>
      </c>
      <c r="G2347" t="s">
        <v>13</v>
      </c>
      <c r="H2347" t="s">
        <v>13</v>
      </c>
      <c r="I2347">
        <v>31</v>
      </c>
      <c r="J2347" t="str" cm="1">
        <f t="array" ref="J2347">_xlfn.IFS(ISBLANK(C2347),"FALTANTE",ABS((C2347-$W$5)/$X$5)&gt;1.96,"ATÍPICO",ABS((C2347-$W$5)/$X$5)&lt;=1.96,"NO ATÍPICO")</f>
        <v>NO ATÍPICO</v>
      </c>
      <c r="K2347" t="str" cm="1">
        <f t="array" ref="K2347">_xlfn.IFS(ISBLANK(I2347),"FALTANTE",ABS((I2347-$W$8)/$X$8)&gt;1.92,"ATÍPICO",ABS((I2347-$W$8)/$X$8)&lt;=1.92,"NO ATÍPICO")</f>
        <v>NO ATÍPICO</v>
      </c>
      <c r="L2347">
        <f t="shared" si="161"/>
        <v>843824.96</v>
      </c>
      <c r="M2347" t="str">
        <f t="shared" si="161"/>
        <v>ASALARIADO</v>
      </c>
      <c r="N2347">
        <f t="shared" si="162"/>
        <v>31</v>
      </c>
      <c r="O2347" s="19" t="str">
        <f t="shared" si="163"/>
        <v>600k–900k</v>
      </c>
      <c r="P2347" s="19" t="str">
        <f t="shared" si="164"/>
        <v>26-35</v>
      </c>
    </row>
    <row r="2348" spans="1:16" x14ac:dyDescent="0.25">
      <c r="A2348">
        <v>2347</v>
      </c>
      <c r="B2348" t="s">
        <v>9</v>
      </c>
      <c r="C2348">
        <v>278030</v>
      </c>
      <c r="D2348" t="s">
        <v>18</v>
      </c>
      <c r="E2348" t="s">
        <v>16</v>
      </c>
      <c r="F2348" t="s">
        <v>12</v>
      </c>
      <c r="G2348" t="s">
        <v>13</v>
      </c>
      <c r="H2348" t="s">
        <v>12</v>
      </c>
      <c r="I2348">
        <v>39</v>
      </c>
      <c r="J2348" t="str" cm="1">
        <f t="array" ref="J2348">_xlfn.IFS(ISBLANK(C2348),"FALTANTE",ABS((C2348-$W$5)/$X$5)&gt;1.96,"ATÍPICO",ABS((C2348-$W$5)/$X$5)&lt;=1.96,"NO ATÍPICO")</f>
        <v>NO ATÍPICO</v>
      </c>
      <c r="K2348" t="str" cm="1">
        <f t="array" ref="K2348">_xlfn.IFS(ISBLANK(I2348),"FALTANTE",ABS((I2348-$W$8)/$X$8)&gt;1.92,"ATÍPICO",ABS((I2348-$W$8)/$X$8)&lt;=1.92,"NO ATÍPICO")</f>
        <v>NO ATÍPICO</v>
      </c>
      <c r="L2348">
        <f t="shared" si="161"/>
        <v>278030</v>
      </c>
      <c r="M2348" t="str">
        <f t="shared" si="161"/>
        <v>TRABAJADOR INDEPENDIENTE</v>
      </c>
      <c r="N2348">
        <f t="shared" si="162"/>
        <v>39</v>
      </c>
      <c r="O2348" s="19" t="str">
        <f t="shared" si="163"/>
        <v>0–300k</v>
      </c>
      <c r="P2348" s="19" t="str">
        <f t="shared" si="164"/>
        <v>36-45</v>
      </c>
    </row>
    <row r="2349" spans="1:16" x14ac:dyDescent="0.25">
      <c r="A2349">
        <v>2348</v>
      </c>
      <c r="B2349" t="s">
        <v>9</v>
      </c>
      <c r="C2349">
        <v>347504.4</v>
      </c>
      <c r="D2349" t="s">
        <v>10</v>
      </c>
      <c r="E2349" t="s">
        <v>16</v>
      </c>
      <c r="F2349" t="s">
        <v>12</v>
      </c>
      <c r="G2349" t="s">
        <v>12</v>
      </c>
      <c r="H2349" t="s">
        <v>13</v>
      </c>
      <c r="I2349">
        <v>24</v>
      </c>
      <c r="J2349" t="str" cm="1">
        <f t="array" ref="J2349">_xlfn.IFS(ISBLANK(C2349),"FALTANTE",ABS((C2349-$W$5)/$X$5)&gt;1.96,"ATÍPICO",ABS((C2349-$W$5)/$X$5)&lt;=1.96,"NO ATÍPICO")</f>
        <v>NO ATÍPICO</v>
      </c>
      <c r="K2349" t="str" cm="1">
        <f t="array" ref="K2349">_xlfn.IFS(ISBLANK(I2349),"FALTANTE",ABS((I2349-$W$8)/$X$8)&gt;1.92,"ATÍPICO",ABS((I2349-$W$8)/$X$8)&lt;=1.92,"NO ATÍPICO")</f>
        <v>NO ATÍPICO</v>
      </c>
      <c r="L2349">
        <f t="shared" si="161"/>
        <v>347504.4</v>
      </c>
      <c r="M2349" t="str">
        <f t="shared" si="161"/>
        <v>ASALARIADO</v>
      </c>
      <c r="N2349">
        <f t="shared" si="162"/>
        <v>24</v>
      </c>
      <c r="O2349" s="19" t="str">
        <f t="shared" si="163"/>
        <v>300k–600k</v>
      </c>
      <c r="P2349" s="19" t="str">
        <f t="shared" si="164"/>
        <v>18-25</v>
      </c>
    </row>
    <row r="2350" spans="1:16" x14ac:dyDescent="0.25">
      <c r="A2350">
        <v>2349</v>
      </c>
      <c r="B2350" t="s">
        <v>9</v>
      </c>
      <c r="C2350">
        <v>1811308.47</v>
      </c>
      <c r="D2350" t="s">
        <v>10</v>
      </c>
      <c r="E2350" t="s">
        <v>16</v>
      </c>
      <c r="F2350" t="s">
        <v>12</v>
      </c>
      <c r="G2350" t="s">
        <v>13</v>
      </c>
      <c r="H2350" t="s">
        <v>13</v>
      </c>
      <c r="I2350">
        <v>43</v>
      </c>
      <c r="J2350" t="str" cm="1">
        <f t="array" ref="J2350">_xlfn.IFS(ISBLANK(C2350),"FALTANTE",ABS((C2350-$W$5)/$X$5)&gt;1.96,"ATÍPICO",ABS((C2350-$W$5)/$X$5)&lt;=1.96,"NO ATÍPICO")</f>
        <v>NO ATÍPICO</v>
      </c>
      <c r="K2350" t="str" cm="1">
        <f t="array" ref="K2350">_xlfn.IFS(ISBLANK(I2350),"FALTANTE",ABS((I2350-$W$8)/$X$8)&gt;1.92,"ATÍPICO",ABS((I2350-$W$8)/$X$8)&lt;=1.92,"NO ATÍPICO")</f>
        <v>NO ATÍPICO</v>
      </c>
      <c r="L2350">
        <f t="shared" si="161"/>
        <v>1811308.47</v>
      </c>
      <c r="M2350" t="str">
        <f t="shared" si="161"/>
        <v>ASALARIADO</v>
      </c>
      <c r="N2350">
        <f t="shared" si="162"/>
        <v>43</v>
      </c>
      <c r="O2350" s="19" t="str">
        <f t="shared" si="163"/>
        <v>1200k+</v>
      </c>
      <c r="P2350" s="19" t="str">
        <f t="shared" si="164"/>
        <v>36-45</v>
      </c>
    </row>
    <row r="2351" spans="1:16" x14ac:dyDescent="0.25">
      <c r="A2351">
        <v>2350</v>
      </c>
      <c r="B2351" t="s">
        <v>15</v>
      </c>
      <c r="C2351">
        <v>359544.27</v>
      </c>
      <c r="D2351" t="s">
        <v>21</v>
      </c>
      <c r="E2351" t="s">
        <v>16</v>
      </c>
      <c r="F2351" t="s">
        <v>12</v>
      </c>
      <c r="G2351" t="s">
        <v>12</v>
      </c>
      <c r="H2351" t="s">
        <v>13</v>
      </c>
      <c r="I2351">
        <v>51</v>
      </c>
      <c r="J2351" t="str" cm="1">
        <f t="array" ref="J2351">_xlfn.IFS(ISBLANK(C2351),"FALTANTE",ABS((C2351-$W$5)/$X$5)&gt;1.96,"ATÍPICO",ABS((C2351-$W$5)/$X$5)&lt;=1.96,"NO ATÍPICO")</f>
        <v>NO ATÍPICO</v>
      </c>
      <c r="K2351" t="str" cm="1">
        <f t="array" ref="K2351">_xlfn.IFS(ISBLANK(I2351),"FALTANTE",ABS((I2351-$W$8)/$X$8)&gt;1.92,"ATÍPICO",ABS((I2351-$W$8)/$X$8)&lt;=1.92,"NO ATÍPICO")</f>
        <v>NO ATÍPICO</v>
      </c>
      <c r="L2351">
        <f t="shared" si="161"/>
        <v>359544.27</v>
      </c>
      <c r="M2351" t="str">
        <f t="shared" si="161"/>
        <v>CONVENIOS ESPECIALES DE ASEGURADOS VOLUNTARIOS</v>
      </c>
      <c r="N2351">
        <f t="shared" si="162"/>
        <v>51</v>
      </c>
      <c r="O2351" s="19" t="str">
        <f t="shared" si="163"/>
        <v>300k–600k</v>
      </c>
      <c r="P2351" s="19" t="str">
        <f t="shared" si="164"/>
        <v>46-55</v>
      </c>
    </row>
    <row r="2352" spans="1:16" x14ac:dyDescent="0.25">
      <c r="A2352">
        <v>2351</v>
      </c>
      <c r="B2352" t="s">
        <v>15</v>
      </c>
      <c r="C2352">
        <v>278030</v>
      </c>
      <c r="D2352" t="s">
        <v>19</v>
      </c>
      <c r="E2352" t="s">
        <v>16</v>
      </c>
      <c r="F2352" t="s">
        <v>12</v>
      </c>
      <c r="G2352" t="s">
        <v>13</v>
      </c>
      <c r="H2352" t="s">
        <v>13</v>
      </c>
      <c r="I2352">
        <v>32</v>
      </c>
      <c r="J2352" t="str" cm="1">
        <f t="array" ref="J2352">_xlfn.IFS(ISBLANK(C2352),"FALTANTE",ABS((C2352-$W$5)/$X$5)&gt;1.96,"ATÍPICO",ABS((C2352-$W$5)/$X$5)&lt;=1.96,"NO ATÍPICO")</f>
        <v>NO ATÍPICO</v>
      </c>
      <c r="K2352" t="str" cm="1">
        <f t="array" ref="K2352">_xlfn.IFS(ISBLANK(I2352),"FALTANTE",ABS((I2352-$W$8)/$X$8)&gt;1.92,"ATÍPICO",ABS((I2352-$W$8)/$X$8)&lt;=1.92,"NO ATÍPICO")</f>
        <v>NO ATÍPICO</v>
      </c>
      <c r="L2352">
        <f t="shared" si="161"/>
        <v>278030</v>
      </c>
      <c r="M2352" t="str">
        <f t="shared" si="161"/>
        <v>CONVENIOS ESPECIALES DE TRABAJADORES INDEPENDIENTES</v>
      </c>
      <c r="N2352">
        <f t="shared" si="162"/>
        <v>32</v>
      </c>
      <c r="O2352" s="19" t="str">
        <f t="shared" si="163"/>
        <v>0–300k</v>
      </c>
      <c r="P2352" s="19" t="str">
        <f t="shared" si="164"/>
        <v>26-35</v>
      </c>
    </row>
    <row r="2353" spans="1:16" x14ac:dyDescent="0.25">
      <c r="A2353">
        <v>2352</v>
      </c>
      <c r="B2353" t="s">
        <v>15</v>
      </c>
      <c r="C2353">
        <v>278035</v>
      </c>
      <c r="D2353" t="s">
        <v>17</v>
      </c>
      <c r="E2353" t="s">
        <v>16</v>
      </c>
      <c r="F2353" t="s">
        <v>12</v>
      </c>
      <c r="G2353" t="s">
        <v>13</v>
      </c>
      <c r="H2353" t="s">
        <v>13</v>
      </c>
      <c r="I2353">
        <v>27</v>
      </c>
      <c r="J2353" t="str" cm="1">
        <f t="array" ref="J2353">_xlfn.IFS(ISBLANK(C2353),"FALTANTE",ABS((C2353-$W$5)/$X$5)&gt;1.96,"ATÍPICO",ABS((C2353-$W$5)/$X$5)&lt;=1.96,"NO ATÍPICO")</f>
        <v>NO ATÍPICO</v>
      </c>
      <c r="K2353" t="str" cm="1">
        <f t="array" ref="K2353">_xlfn.IFS(ISBLANK(I2353),"FALTANTE",ABS((I2353-$W$8)/$X$8)&gt;1.92,"ATÍPICO",ABS((I2353-$W$8)/$X$8)&lt;=1.92,"NO ATÍPICO")</f>
        <v>NO ATÍPICO</v>
      </c>
      <c r="L2353">
        <f t="shared" si="161"/>
        <v>278035</v>
      </c>
      <c r="M2353" t="str">
        <f t="shared" si="161"/>
        <v>ASEGURADO VOLUNTARIO</v>
      </c>
      <c r="N2353">
        <f t="shared" si="162"/>
        <v>27</v>
      </c>
      <c r="O2353" s="19" t="str">
        <f t="shared" si="163"/>
        <v>0–300k</v>
      </c>
      <c r="P2353" s="19" t="str">
        <f t="shared" si="164"/>
        <v>26-35</v>
      </c>
    </row>
    <row r="2354" spans="1:16" x14ac:dyDescent="0.25">
      <c r="A2354">
        <v>2353</v>
      </c>
      <c r="B2354" t="s">
        <v>9</v>
      </c>
      <c r="C2354">
        <v>888101.64</v>
      </c>
      <c r="D2354" t="s">
        <v>10</v>
      </c>
      <c r="E2354" t="s">
        <v>11</v>
      </c>
      <c r="F2354" t="s">
        <v>12</v>
      </c>
      <c r="G2354" t="s">
        <v>13</v>
      </c>
      <c r="H2354" t="s">
        <v>13</v>
      </c>
      <c r="I2354">
        <v>30</v>
      </c>
      <c r="J2354" t="str" cm="1">
        <f t="array" ref="J2354">_xlfn.IFS(ISBLANK(C2354),"FALTANTE",ABS((C2354-$W$5)/$X$5)&gt;1.96,"ATÍPICO",ABS((C2354-$W$5)/$X$5)&lt;=1.96,"NO ATÍPICO")</f>
        <v>NO ATÍPICO</v>
      </c>
      <c r="K2354" t="str" cm="1">
        <f t="array" ref="K2354">_xlfn.IFS(ISBLANK(I2354),"FALTANTE",ABS((I2354-$W$8)/$X$8)&gt;1.92,"ATÍPICO",ABS((I2354-$W$8)/$X$8)&lt;=1.92,"NO ATÍPICO")</f>
        <v>NO ATÍPICO</v>
      </c>
      <c r="L2354">
        <f t="shared" si="161"/>
        <v>888101.64</v>
      </c>
      <c r="M2354" t="str">
        <f t="shared" si="161"/>
        <v>ASALARIADO</v>
      </c>
      <c r="N2354">
        <f t="shared" si="162"/>
        <v>30</v>
      </c>
      <c r="O2354" s="19" t="str">
        <f t="shared" si="163"/>
        <v>600k–900k</v>
      </c>
      <c r="P2354" s="19" t="str">
        <f t="shared" si="164"/>
        <v>26-35</v>
      </c>
    </row>
    <row r="2355" spans="1:16" x14ac:dyDescent="0.25">
      <c r="A2355">
        <v>2354</v>
      </c>
      <c r="B2355" t="s">
        <v>15</v>
      </c>
      <c r="C2355">
        <v>417971.20000000001</v>
      </c>
      <c r="D2355" t="s">
        <v>10</v>
      </c>
      <c r="E2355" t="s">
        <v>16</v>
      </c>
      <c r="F2355" t="s">
        <v>12</v>
      </c>
      <c r="G2355" t="s">
        <v>13</v>
      </c>
      <c r="H2355" t="s">
        <v>12</v>
      </c>
      <c r="I2355">
        <v>40</v>
      </c>
      <c r="J2355" t="str" cm="1">
        <f t="array" ref="J2355">_xlfn.IFS(ISBLANK(C2355),"FALTANTE",ABS((C2355-$W$5)/$X$5)&gt;1.96,"ATÍPICO",ABS((C2355-$W$5)/$X$5)&lt;=1.96,"NO ATÍPICO")</f>
        <v>NO ATÍPICO</v>
      </c>
      <c r="K2355" t="str" cm="1">
        <f t="array" ref="K2355">_xlfn.IFS(ISBLANK(I2355),"FALTANTE",ABS((I2355-$W$8)/$X$8)&gt;1.92,"ATÍPICO",ABS((I2355-$W$8)/$X$8)&lt;=1.92,"NO ATÍPICO")</f>
        <v>NO ATÍPICO</v>
      </c>
      <c r="L2355">
        <f t="shared" si="161"/>
        <v>417971.20000000001</v>
      </c>
      <c r="M2355" t="str">
        <f t="shared" si="161"/>
        <v>ASALARIADO</v>
      </c>
      <c r="N2355">
        <f t="shared" si="162"/>
        <v>40</v>
      </c>
      <c r="O2355" s="19" t="str">
        <f t="shared" si="163"/>
        <v>300k–600k</v>
      </c>
      <c r="P2355" s="19" t="str">
        <f t="shared" si="164"/>
        <v>36-45</v>
      </c>
    </row>
    <row r="2356" spans="1:16" x14ac:dyDescent="0.25">
      <c r="A2356">
        <v>2355</v>
      </c>
      <c r="B2356" t="s">
        <v>15</v>
      </c>
      <c r="C2356">
        <v>380732</v>
      </c>
      <c r="D2356" t="s">
        <v>10</v>
      </c>
      <c r="E2356" t="s">
        <v>11</v>
      </c>
      <c r="F2356" t="s">
        <v>12</v>
      </c>
      <c r="G2356" t="s">
        <v>13</v>
      </c>
      <c r="H2356" t="s">
        <v>12</v>
      </c>
      <c r="I2356">
        <v>55</v>
      </c>
      <c r="J2356" t="str" cm="1">
        <f t="array" ref="J2356">_xlfn.IFS(ISBLANK(C2356),"FALTANTE",ABS((C2356-$W$5)/$X$5)&gt;1.96,"ATÍPICO",ABS((C2356-$W$5)/$X$5)&lt;=1.96,"NO ATÍPICO")</f>
        <v>NO ATÍPICO</v>
      </c>
      <c r="K2356" t="str" cm="1">
        <f t="array" ref="K2356">_xlfn.IFS(ISBLANK(I2356),"FALTANTE",ABS((I2356-$W$8)/$X$8)&gt;1.92,"ATÍPICO",ABS((I2356-$W$8)/$X$8)&lt;=1.92,"NO ATÍPICO")</f>
        <v>NO ATÍPICO</v>
      </c>
      <c r="L2356">
        <f t="shared" si="161"/>
        <v>380732</v>
      </c>
      <c r="M2356" t="str">
        <f t="shared" si="161"/>
        <v>ASALARIADO</v>
      </c>
      <c r="N2356">
        <f t="shared" si="162"/>
        <v>55</v>
      </c>
      <c r="O2356" s="19" t="str">
        <f t="shared" si="163"/>
        <v>300k–600k</v>
      </c>
      <c r="P2356" s="19" t="str">
        <f t="shared" si="164"/>
        <v>46-55</v>
      </c>
    </row>
    <row r="2357" spans="1:16" x14ac:dyDescent="0.25">
      <c r="A2357">
        <v>2356</v>
      </c>
      <c r="B2357" t="s">
        <v>9</v>
      </c>
      <c r="C2357">
        <v>3173069.67</v>
      </c>
      <c r="D2357" t="s">
        <v>10</v>
      </c>
      <c r="E2357" t="s">
        <v>11</v>
      </c>
      <c r="F2357" t="s">
        <v>12</v>
      </c>
      <c r="G2357" t="s">
        <v>13</v>
      </c>
      <c r="H2357" t="s">
        <v>13</v>
      </c>
      <c r="I2357">
        <v>54</v>
      </c>
      <c r="J2357" t="str" cm="1">
        <f t="array" ref="J2357">_xlfn.IFS(ISBLANK(C2357),"FALTANTE",ABS((C2357-$W$5)/$X$5)&gt;1.96,"ATÍPICO",ABS((C2357-$W$5)/$X$5)&lt;=1.96,"NO ATÍPICO")</f>
        <v>ATÍPICO</v>
      </c>
      <c r="K2357" t="str" cm="1">
        <f t="array" ref="K2357">_xlfn.IFS(ISBLANK(I2357),"FALTANTE",ABS((I2357-$W$8)/$X$8)&gt;1.92,"ATÍPICO",ABS((I2357-$W$8)/$X$8)&lt;=1.92,"NO ATÍPICO")</f>
        <v>NO ATÍPICO</v>
      </c>
      <c r="L2357">
        <f t="shared" si="161"/>
        <v>3173069.67</v>
      </c>
      <c r="M2357" t="str">
        <f t="shared" si="161"/>
        <v>ASALARIADO</v>
      </c>
      <c r="N2357">
        <f t="shared" si="162"/>
        <v>54</v>
      </c>
      <c r="O2357" s="19" t="str">
        <f t="shared" si="163"/>
        <v>1200k+</v>
      </c>
      <c r="P2357" s="19" t="str">
        <f t="shared" si="164"/>
        <v>46-55</v>
      </c>
    </row>
    <row r="2358" spans="1:16" x14ac:dyDescent="0.25">
      <c r="A2358">
        <v>2357</v>
      </c>
      <c r="B2358" t="s">
        <v>15</v>
      </c>
      <c r="C2358">
        <v>355000</v>
      </c>
      <c r="D2358" t="s">
        <v>18</v>
      </c>
      <c r="E2358" t="s">
        <v>16</v>
      </c>
      <c r="F2358" t="s">
        <v>12</v>
      </c>
      <c r="G2358" t="s">
        <v>13</v>
      </c>
      <c r="H2358" t="s">
        <v>12</v>
      </c>
      <c r="I2358">
        <v>28</v>
      </c>
      <c r="J2358" t="str" cm="1">
        <f t="array" ref="J2358">_xlfn.IFS(ISBLANK(C2358),"FALTANTE",ABS((C2358-$W$5)/$X$5)&gt;1.96,"ATÍPICO",ABS((C2358-$W$5)/$X$5)&lt;=1.96,"NO ATÍPICO")</f>
        <v>NO ATÍPICO</v>
      </c>
      <c r="K2358" t="str" cm="1">
        <f t="array" ref="K2358">_xlfn.IFS(ISBLANK(I2358),"FALTANTE",ABS((I2358-$W$8)/$X$8)&gt;1.92,"ATÍPICO",ABS((I2358-$W$8)/$X$8)&lt;=1.92,"NO ATÍPICO")</f>
        <v>NO ATÍPICO</v>
      </c>
      <c r="L2358">
        <f t="shared" si="161"/>
        <v>355000</v>
      </c>
      <c r="M2358" t="str">
        <f t="shared" si="161"/>
        <v>TRABAJADOR INDEPENDIENTE</v>
      </c>
      <c r="N2358">
        <f t="shared" si="162"/>
        <v>28</v>
      </c>
      <c r="O2358" s="19" t="str">
        <f t="shared" si="163"/>
        <v>300k–600k</v>
      </c>
      <c r="P2358" s="19" t="str">
        <f t="shared" si="164"/>
        <v>26-35</v>
      </c>
    </row>
    <row r="2359" spans="1:16" x14ac:dyDescent="0.25">
      <c r="A2359">
        <v>2358</v>
      </c>
      <c r="B2359" t="s">
        <v>9</v>
      </c>
      <c r="C2359">
        <v>563202</v>
      </c>
      <c r="D2359" t="s">
        <v>10</v>
      </c>
      <c r="E2359" t="s">
        <v>16</v>
      </c>
      <c r="F2359" t="s">
        <v>12</v>
      </c>
      <c r="G2359" t="s">
        <v>13</v>
      </c>
      <c r="H2359" t="s">
        <v>13</v>
      </c>
      <c r="I2359">
        <v>37</v>
      </c>
      <c r="J2359" t="str" cm="1">
        <f t="array" ref="J2359">_xlfn.IFS(ISBLANK(C2359),"FALTANTE",ABS((C2359-$W$5)/$X$5)&gt;1.96,"ATÍPICO",ABS((C2359-$W$5)/$X$5)&lt;=1.96,"NO ATÍPICO")</f>
        <v>NO ATÍPICO</v>
      </c>
      <c r="K2359" t="str" cm="1">
        <f t="array" ref="K2359">_xlfn.IFS(ISBLANK(I2359),"FALTANTE",ABS((I2359-$W$8)/$X$8)&gt;1.92,"ATÍPICO",ABS((I2359-$W$8)/$X$8)&lt;=1.92,"NO ATÍPICO")</f>
        <v>NO ATÍPICO</v>
      </c>
      <c r="L2359">
        <f t="shared" si="161"/>
        <v>563202</v>
      </c>
      <c r="M2359" t="str">
        <f t="shared" si="161"/>
        <v>ASALARIADO</v>
      </c>
      <c r="N2359">
        <f t="shared" si="162"/>
        <v>37</v>
      </c>
      <c r="O2359" s="19" t="str">
        <f t="shared" si="163"/>
        <v>300k–600k</v>
      </c>
      <c r="P2359" s="19" t="str">
        <f t="shared" si="164"/>
        <v>36-45</v>
      </c>
    </row>
    <row r="2360" spans="1:16" x14ac:dyDescent="0.25">
      <c r="A2360">
        <v>2359</v>
      </c>
      <c r="B2360" t="s">
        <v>9</v>
      </c>
      <c r="C2360">
        <v>299647</v>
      </c>
      <c r="D2360" t="s">
        <v>17</v>
      </c>
      <c r="E2360" t="s">
        <v>16</v>
      </c>
      <c r="F2360" t="s">
        <v>12</v>
      </c>
      <c r="G2360" t="s">
        <v>13</v>
      </c>
      <c r="H2360" t="s">
        <v>13</v>
      </c>
      <c r="I2360">
        <v>74</v>
      </c>
      <c r="J2360" t="str" cm="1">
        <f t="array" ref="J2360">_xlfn.IFS(ISBLANK(C2360),"FALTANTE",ABS((C2360-$W$5)/$X$5)&gt;1.96,"ATÍPICO",ABS((C2360-$W$5)/$X$5)&lt;=1.96,"NO ATÍPICO")</f>
        <v>NO ATÍPICO</v>
      </c>
      <c r="K2360" t="str" cm="1">
        <f t="array" ref="K2360">_xlfn.IFS(ISBLANK(I2360),"FALTANTE",ABS((I2360-$W$8)/$X$8)&gt;1.92,"ATÍPICO",ABS((I2360-$W$8)/$X$8)&lt;=1.92,"NO ATÍPICO")</f>
        <v>ATÍPICO</v>
      </c>
      <c r="L2360">
        <f t="shared" si="161"/>
        <v>299647</v>
      </c>
      <c r="M2360" t="str">
        <f t="shared" si="161"/>
        <v>ASEGURADO VOLUNTARIO</v>
      </c>
      <c r="N2360">
        <f t="shared" si="162"/>
        <v>74</v>
      </c>
      <c r="O2360" s="19" t="str">
        <f t="shared" si="163"/>
        <v>0–300k</v>
      </c>
      <c r="P2360" s="19" t="str">
        <f t="shared" si="164"/>
        <v>56+</v>
      </c>
    </row>
    <row r="2361" spans="1:16" x14ac:dyDescent="0.25">
      <c r="A2361">
        <v>2360</v>
      </c>
      <c r="B2361" t="s">
        <v>9</v>
      </c>
      <c r="C2361">
        <v>564955.81999999995</v>
      </c>
      <c r="D2361" t="s">
        <v>10</v>
      </c>
      <c r="E2361" t="s">
        <v>16</v>
      </c>
      <c r="F2361" t="s">
        <v>12</v>
      </c>
      <c r="G2361" t="s">
        <v>13</v>
      </c>
      <c r="H2361" t="s">
        <v>13</v>
      </c>
      <c r="I2361">
        <v>60</v>
      </c>
      <c r="J2361" t="str" cm="1">
        <f t="array" ref="J2361">_xlfn.IFS(ISBLANK(C2361),"FALTANTE",ABS((C2361-$W$5)/$X$5)&gt;1.96,"ATÍPICO",ABS((C2361-$W$5)/$X$5)&lt;=1.96,"NO ATÍPICO")</f>
        <v>NO ATÍPICO</v>
      </c>
      <c r="K2361" t="str" cm="1">
        <f t="array" ref="K2361">_xlfn.IFS(ISBLANK(I2361),"FALTANTE",ABS((I2361-$W$8)/$X$8)&gt;1.92,"ATÍPICO",ABS((I2361-$W$8)/$X$8)&lt;=1.92,"NO ATÍPICO")</f>
        <v>NO ATÍPICO</v>
      </c>
      <c r="L2361">
        <f t="shared" si="161"/>
        <v>564955.81999999995</v>
      </c>
      <c r="M2361" t="str">
        <f t="shared" si="161"/>
        <v>ASALARIADO</v>
      </c>
      <c r="N2361">
        <f t="shared" si="162"/>
        <v>60</v>
      </c>
      <c r="O2361" s="19" t="str">
        <f t="shared" si="163"/>
        <v>300k–600k</v>
      </c>
      <c r="P2361" s="19" t="str">
        <f t="shared" si="164"/>
        <v>56+</v>
      </c>
    </row>
    <row r="2362" spans="1:16" x14ac:dyDescent="0.25">
      <c r="A2362">
        <v>2361</v>
      </c>
      <c r="B2362" t="s">
        <v>9</v>
      </c>
      <c r="C2362">
        <v>326749</v>
      </c>
      <c r="D2362" t="s">
        <v>18</v>
      </c>
      <c r="E2362" t="s">
        <v>16</v>
      </c>
      <c r="F2362" t="s">
        <v>12</v>
      </c>
      <c r="G2362" t="s">
        <v>13</v>
      </c>
      <c r="H2362" t="s">
        <v>12</v>
      </c>
      <c r="I2362">
        <v>52</v>
      </c>
      <c r="J2362" t="str" cm="1">
        <f t="array" ref="J2362">_xlfn.IFS(ISBLANK(C2362),"FALTANTE",ABS((C2362-$W$5)/$X$5)&gt;1.96,"ATÍPICO",ABS((C2362-$W$5)/$X$5)&lt;=1.96,"NO ATÍPICO")</f>
        <v>NO ATÍPICO</v>
      </c>
      <c r="K2362" t="str" cm="1">
        <f t="array" ref="K2362">_xlfn.IFS(ISBLANK(I2362),"FALTANTE",ABS((I2362-$W$8)/$X$8)&gt;1.92,"ATÍPICO",ABS((I2362-$W$8)/$X$8)&lt;=1.92,"NO ATÍPICO")</f>
        <v>NO ATÍPICO</v>
      </c>
      <c r="L2362">
        <f t="shared" si="161"/>
        <v>326749</v>
      </c>
      <c r="M2362" t="str">
        <f t="shared" si="161"/>
        <v>TRABAJADOR INDEPENDIENTE</v>
      </c>
      <c r="N2362">
        <f t="shared" si="162"/>
        <v>52</v>
      </c>
      <c r="O2362" s="19" t="str">
        <f t="shared" si="163"/>
        <v>300k–600k</v>
      </c>
      <c r="P2362" s="19" t="str">
        <f t="shared" si="164"/>
        <v>46-55</v>
      </c>
    </row>
    <row r="2363" spans="1:16" x14ac:dyDescent="0.25">
      <c r="A2363">
        <v>2362</v>
      </c>
      <c r="B2363" t="s">
        <v>9</v>
      </c>
      <c r="C2363">
        <v>2190000</v>
      </c>
      <c r="D2363" t="s">
        <v>10</v>
      </c>
      <c r="E2363" t="s">
        <v>16</v>
      </c>
      <c r="F2363" t="s">
        <v>12</v>
      </c>
      <c r="G2363" t="s">
        <v>13</v>
      </c>
      <c r="H2363" t="s">
        <v>13</v>
      </c>
      <c r="I2363">
        <v>59</v>
      </c>
      <c r="J2363" t="str" cm="1">
        <f t="array" ref="J2363">_xlfn.IFS(ISBLANK(C2363),"FALTANTE",ABS((C2363-$W$5)/$X$5)&gt;1.96,"ATÍPICO",ABS((C2363-$W$5)/$X$5)&lt;=1.96,"NO ATÍPICO")</f>
        <v>NO ATÍPICO</v>
      </c>
      <c r="K2363" t="str" cm="1">
        <f t="array" ref="K2363">_xlfn.IFS(ISBLANK(I2363),"FALTANTE",ABS((I2363-$W$8)/$X$8)&gt;1.92,"ATÍPICO",ABS((I2363-$W$8)/$X$8)&lt;=1.92,"NO ATÍPICO")</f>
        <v>NO ATÍPICO</v>
      </c>
      <c r="L2363">
        <f t="shared" si="161"/>
        <v>2190000</v>
      </c>
      <c r="M2363" t="str">
        <f t="shared" si="161"/>
        <v>ASALARIADO</v>
      </c>
      <c r="N2363">
        <f t="shared" si="162"/>
        <v>59</v>
      </c>
      <c r="O2363" s="19" t="str">
        <f t="shared" si="163"/>
        <v>1200k+</v>
      </c>
      <c r="P2363" s="19" t="str">
        <f t="shared" si="164"/>
        <v>56+</v>
      </c>
    </row>
    <row r="2364" spans="1:16" x14ac:dyDescent="0.25">
      <c r="A2364">
        <v>2363</v>
      </c>
      <c r="B2364" t="s">
        <v>15</v>
      </c>
      <c r="C2364">
        <v>1248185</v>
      </c>
      <c r="D2364" t="s">
        <v>10</v>
      </c>
      <c r="E2364" t="s">
        <v>11</v>
      </c>
      <c r="F2364" t="s">
        <v>12</v>
      </c>
      <c r="G2364" t="s">
        <v>13</v>
      </c>
      <c r="H2364" t="s">
        <v>12</v>
      </c>
      <c r="I2364">
        <v>60</v>
      </c>
      <c r="J2364" t="str" cm="1">
        <f t="array" ref="J2364">_xlfn.IFS(ISBLANK(C2364),"FALTANTE",ABS((C2364-$W$5)/$X$5)&gt;1.96,"ATÍPICO",ABS((C2364-$W$5)/$X$5)&lt;=1.96,"NO ATÍPICO")</f>
        <v>NO ATÍPICO</v>
      </c>
      <c r="K2364" t="str" cm="1">
        <f t="array" ref="K2364">_xlfn.IFS(ISBLANK(I2364),"FALTANTE",ABS((I2364-$W$8)/$X$8)&gt;1.92,"ATÍPICO",ABS((I2364-$W$8)/$X$8)&lt;=1.92,"NO ATÍPICO")</f>
        <v>NO ATÍPICO</v>
      </c>
      <c r="L2364">
        <f t="shared" si="161"/>
        <v>1248185</v>
      </c>
      <c r="M2364" t="str">
        <f t="shared" si="161"/>
        <v>ASALARIADO</v>
      </c>
      <c r="N2364">
        <f t="shared" si="162"/>
        <v>60</v>
      </c>
      <c r="O2364" s="19" t="str">
        <f t="shared" si="163"/>
        <v>1200k+</v>
      </c>
      <c r="P2364" s="19" t="str">
        <f t="shared" si="164"/>
        <v>56+</v>
      </c>
    </row>
    <row r="2365" spans="1:16" x14ac:dyDescent="0.25">
      <c r="A2365">
        <v>2364</v>
      </c>
      <c r="B2365" t="s">
        <v>15</v>
      </c>
      <c r="C2365">
        <v>360000</v>
      </c>
      <c r="D2365" t="s">
        <v>10</v>
      </c>
      <c r="E2365" t="s">
        <v>16</v>
      </c>
      <c r="F2365" t="s">
        <v>12</v>
      </c>
      <c r="G2365" t="s">
        <v>13</v>
      </c>
      <c r="H2365" t="s">
        <v>13</v>
      </c>
      <c r="I2365">
        <v>27</v>
      </c>
      <c r="J2365" t="str" cm="1">
        <f t="array" ref="J2365">_xlfn.IFS(ISBLANK(C2365),"FALTANTE",ABS((C2365-$W$5)/$X$5)&gt;1.96,"ATÍPICO",ABS((C2365-$W$5)/$X$5)&lt;=1.96,"NO ATÍPICO")</f>
        <v>NO ATÍPICO</v>
      </c>
      <c r="K2365" t="str" cm="1">
        <f t="array" ref="K2365">_xlfn.IFS(ISBLANK(I2365),"FALTANTE",ABS((I2365-$W$8)/$X$8)&gt;1.92,"ATÍPICO",ABS((I2365-$W$8)/$X$8)&lt;=1.92,"NO ATÍPICO")</f>
        <v>NO ATÍPICO</v>
      </c>
      <c r="L2365">
        <f t="shared" si="161"/>
        <v>360000</v>
      </c>
      <c r="M2365" t="str">
        <f t="shared" si="161"/>
        <v>ASALARIADO</v>
      </c>
      <c r="N2365">
        <f t="shared" si="162"/>
        <v>27</v>
      </c>
      <c r="O2365" s="19" t="str">
        <f t="shared" si="163"/>
        <v>300k–600k</v>
      </c>
      <c r="P2365" s="19" t="str">
        <f t="shared" si="164"/>
        <v>26-35</v>
      </c>
    </row>
    <row r="2366" spans="1:16" x14ac:dyDescent="0.25">
      <c r="A2366">
        <v>2365</v>
      </c>
      <c r="B2366" t="s">
        <v>9</v>
      </c>
      <c r="C2366">
        <v>190000</v>
      </c>
      <c r="D2366" t="s">
        <v>10</v>
      </c>
      <c r="E2366" t="s">
        <v>16</v>
      </c>
      <c r="F2366" t="s">
        <v>12</v>
      </c>
      <c r="G2366" t="s">
        <v>13</v>
      </c>
      <c r="H2366" t="s">
        <v>12</v>
      </c>
      <c r="I2366">
        <v>45</v>
      </c>
      <c r="J2366" t="str" cm="1">
        <f t="array" ref="J2366">_xlfn.IFS(ISBLANK(C2366),"FALTANTE",ABS((C2366-$W$5)/$X$5)&gt;1.96,"ATÍPICO",ABS((C2366-$W$5)/$X$5)&lt;=1.96,"NO ATÍPICO")</f>
        <v>NO ATÍPICO</v>
      </c>
      <c r="K2366" t="str" cm="1">
        <f t="array" ref="K2366">_xlfn.IFS(ISBLANK(I2366),"FALTANTE",ABS((I2366-$W$8)/$X$8)&gt;1.92,"ATÍPICO",ABS((I2366-$W$8)/$X$8)&lt;=1.92,"NO ATÍPICO")</f>
        <v>NO ATÍPICO</v>
      </c>
      <c r="L2366">
        <f t="shared" si="161"/>
        <v>190000</v>
      </c>
      <c r="M2366" t="str">
        <f t="shared" si="161"/>
        <v>ASALARIADO</v>
      </c>
      <c r="N2366">
        <f t="shared" si="162"/>
        <v>45</v>
      </c>
      <c r="O2366" s="19" t="str">
        <f t="shared" si="163"/>
        <v>0–300k</v>
      </c>
      <c r="P2366" s="19" t="str">
        <f t="shared" si="164"/>
        <v>36-45</v>
      </c>
    </row>
    <row r="2367" spans="1:16" x14ac:dyDescent="0.25">
      <c r="A2367">
        <v>2366</v>
      </c>
      <c r="B2367" t="s">
        <v>15</v>
      </c>
      <c r="C2367">
        <v>1287284</v>
      </c>
      <c r="D2367" t="s">
        <v>10</v>
      </c>
      <c r="E2367" t="s">
        <v>11</v>
      </c>
      <c r="F2367" t="s">
        <v>12</v>
      </c>
      <c r="G2367" t="s">
        <v>13</v>
      </c>
      <c r="H2367" t="s">
        <v>13</v>
      </c>
      <c r="I2367">
        <v>37</v>
      </c>
      <c r="J2367" t="str" cm="1">
        <f t="array" ref="J2367">_xlfn.IFS(ISBLANK(C2367),"FALTANTE",ABS((C2367-$W$5)/$X$5)&gt;1.96,"ATÍPICO",ABS((C2367-$W$5)/$X$5)&lt;=1.96,"NO ATÍPICO")</f>
        <v>NO ATÍPICO</v>
      </c>
      <c r="K2367" t="str" cm="1">
        <f t="array" ref="K2367">_xlfn.IFS(ISBLANK(I2367),"FALTANTE",ABS((I2367-$W$8)/$X$8)&gt;1.92,"ATÍPICO",ABS((I2367-$W$8)/$X$8)&lt;=1.92,"NO ATÍPICO")</f>
        <v>NO ATÍPICO</v>
      </c>
      <c r="L2367">
        <f t="shared" si="161"/>
        <v>1287284</v>
      </c>
      <c r="M2367" t="str">
        <f t="shared" si="161"/>
        <v>ASALARIADO</v>
      </c>
      <c r="N2367">
        <f t="shared" si="162"/>
        <v>37</v>
      </c>
      <c r="O2367" s="19" t="str">
        <f t="shared" si="163"/>
        <v>1200k+</v>
      </c>
      <c r="P2367" s="19" t="str">
        <f t="shared" si="164"/>
        <v>36-45</v>
      </c>
    </row>
    <row r="2368" spans="1:16" x14ac:dyDescent="0.25">
      <c r="A2368">
        <v>2367</v>
      </c>
      <c r="B2368" t="s">
        <v>9</v>
      </c>
      <c r="C2368">
        <v>1161697.8500000001</v>
      </c>
      <c r="D2368" t="s">
        <v>10</v>
      </c>
      <c r="E2368" t="s">
        <v>11</v>
      </c>
      <c r="F2368" t="s">
        <v>12</v>
      </c>
      <c r="G2368" t="s">
        <v>13</v>
      </c>
      <c r="H2368" t="s">
        <v>13</v>
      </c>
      <c r="I2368">
        <v>41</v>
      </c>
      <c r="J2368" t="str" cm="1">
        <f t="array" ref="J2368">_xlfn.IFS(ISBLANK(C2368),"FALTANTE",ABS((C2368-$W$5)/$X$5)&gt;1.96,"ATÍPICO",ABS((C2368-$W$5)/$X$5)&lt;=1.96,"NO ATÍPICO")</f>
        <v>NO ATÍPICO</v>
      </c>
      <c r="K2368" t="str" cm="1">
        <f t="array" ref="K2368">_xlfn.IFS(ISBLANK(I2368),"FALTANTE",ABS((I2368-$W$8)/$X$8)&gt;1.92,"ATÍPICO",ABS((I2368-$W$8)/$X$8)&lt;=1.92,"NO ATÍPICO")</f>
        <v>NO ATÍPICO</v>
      </c>
      <c r="L2368">
        <f t="shared" si="161"/>
        <v>1161697.8500000001</v>
      </c>
      <c r="M2368" t="str">
        <f t="shared" si="161"/>
        <v>ASALARIADO</v>
      </c>
      <c r="N2368">
        <f t="shared" si="162"/>
        <v>41</v>
      </c>
      <c r="O2368" s="19" t="str">
        <f t="shared" si="163"/>
        <v>900k–1200k</v>
      </c>
      <c r="P2368" s="19" t="str">
        <f t="shared" si="164"/>
        <v>36-45</v>
      </c>
    </row>
    <row r="2369" spans="1:16" x14ac:dyDescent="0.25">
      <c r="A2369">
        <v>2368</v>
      </c>
      <c r="B2369" t="s">
        <v>9</v>
      </c>
      <c r="C2369">
        <v>520000</v>
      </c>
      <c r="D2369" t="s">
        <v>10</v>
      </c>
      <c r="E2369" t="s">
        <v>16</v>
      </c>
      <c r="F2369" t="s">
        <v>12</v>
      </c>
      <c r="G2369" t="s">
        <v>13</v>
      </c>
      <c r="H2369" t="s">
        <v>12</v>
      </c>
      <c r="I2369">
        <v>62</v>
      </c>
      <c r="J2369" t="str" cm="1">
        <f t="array" ref="J2369">_xlfn.IFS(ISBLANK(C2369),"FALTANTE",ABS((C2369-$W$5)/$X$5)&gt;1.96,"ATÍPICO",ABS((C2369-$W$5)/$X$5)&lt;=1.96,"NO ATÍPICO")</f>
        <v>NO ATÍPICO</v>
      </c>
      <c r="K2369" t="str" cm="1">
        <f t="array" ref="K2369">_xlfn.IFS(ISBLANK(I2369),"FALTANTE",ABS((I2369-$W$8)/$X$8)&gt;1.92,"ATÍPICO",ABS((I2369-$W$8)/$X$8)&lt;=1.92,"NO ATÍPICO")</f>
        <v>NO ATÍPICO</v>
      </c>
      <c r="L2369">
        <f t="shared" si="161"/>
        <v>520000</v>
      </c>
      <c r="M2369" t="str">
        <f t="shared" si="161"/>
        <v>ASALARIADO</v>
      </c>
      <c r="N2369">
        <f t="shared" si="162"/>
        <v>62</v>
      </c>
      <c r="O2369" s="19" t="str">
        <f t="shared" si="163"/>
        <v>300k–600k</v>
      </c>
      <c r="P2369" s="19" t="str">
        <f t="shared" si="164"/>
        <v>56+</v>
      </c>
    </row>
    <row r="2370" spans="1:16" x14ac:dyDescent="0.25">
      <c r="A2370">
        <v>2369</v>
      </c>
      <c r="B2370" t="s">
        <v>9</v>
      </c>
      <c r="C2370">
        <v>1459164</v>
      </c>
      <c r="D2370" t="s">
        <v>10</v>
      </c>
      <c r="E2370" t="s">
        <v>16</v>
      </c>
      <c r="F2370" t="s">
        <v>12</v>
      </c>
      <c r="G2370" t="s">
        <v>13</v>
      </c>
      <c r="H2370" t="s">
        <v>13</v>
      </c>
      <c r="I2370">
        <v>55</v>
      </c>
      <c r="J2370" t="str" cm="1">
        <f t="array" ref="J2370">_xlfn.IFS(ISBLANK(C2370),"FALTANTE",ABS((C2370-$W$5)/$X$5)&gt;1.96,"ATÍPICO",ABS((C2370-$W$5)/$X$5)&lt;=1.96,"NO ATÍPICO")</f>
        <v>NO ATÍPICO</v>
      </c>
      <c r="K2370" t="str" cm="1">
        <f t="array" ref="K2370">_xlfn.IFS(ISBLANK(I2370),"FALTANTE",ABS((I2370-$W$8)/$X$8)&gt;1.92,"ATÍPICO",ABS((I2370-$W$8)/$X$8)&lt;=1.92,"NO ATÍPICO")</f>
        <v>NO ATÍPICO</v>
      </c>
      <c r="L2370">
        <f t="shared" ref="L2370:M2433" si="165">C2370</f>
        <v>1459164</v>
      </c>
      <c r="M2370" t="str">
        <f t="shared" si="165"/>
        <v>ASALARIADO</v>
      </c>
      <c r="N2370">
        <f t="shared" ref="N2370:N2433" si="166">I2370</f>
        <v>55</v>
      </c>
      <c r="O2370" s="19" t="str">
        <f t="shared" ref="O2370:O2433" si="167">IF(L2370&lt;=300000,"0–300k",IF(L2370&lt;=600000,"300k–600k",IF(L2370&lt;=900000,"600k–900k",IF(L2370&lt;=1200000,"900k–1200k","1200k+"))))</f>
        <v>1200k+</v>
      </c>
      <c r="P2370" s="19" t="str">
        <f t="shared" ref="P2370:P2433" si="168">IF(N2370 &lt;=25,"18-25", IF(N2370&lt;=35,"26-35", IF(N2370 &lt;=45,"36-45", IF(N2370&lt;=55,"46-55","56+"))))</f>
        <v>46-55</v>
      </c>
    </row>
    <row r="2371" spans="1:16" x14ac:dyDescent="0.25">
      <c r="A2371">
        <v>2370</v>
      </c>
      <c r="B2371" t="s">
        <v>9</v>
      </c>
      <c r="C2371">
        <v>785103.77</v>
      </c>
      <c r="D2371" t="s">
        <v>10</v>
      </c>
      <c r="E2371" t="s">
        <v>16</v>
      </c>
      <c r="F2371" t="s">
        <v>12</v>
      </c>
      <c r="G2371" t="s">
        <v>13</v>
      </c>
      <c r="H2371" t="s">
        <v>13</v>
      </c>
      <c r="I2371">
        <v>49</v>
      </c>
      <c r="J2371" t="str" cm="1">
        <f t="array" ref="J2371">_xlfn.IFS(ISBLANK(C2371),"FALTANTE",ABS((C2371-$W$5)/$X$5)&gt;1.96,"ATÍPICO",ABS((C2371-$W$5)/$X$5)&lt;=1.96,"NO ATÍPICO")</f>
        <v>NO ATÍPICO</v>
      </c>
      <c r="K2371" t="str" cm="1">
        <f t="array" ref="K2371">_xlfn.IFS(ISBLANK(I2371),"FALTANTE",ABS((I2371-$W$8)/$X$8)&gt;1.92,"ATÍPICO",ABS((I2371-$W$8)/$X$8)&lt;=1.92,"NO ATÍPICO")</f>
        <v>NO ATÍPICO</v>
      </c>
      <c r="L2371">
        <f t="shared" si="165"/>
        <v>785103.77</v>
      </c>
      <c r="M2371" t="str">
        <f t="shared" si="165"/>
        <v>ASALARIADO</v>
      </c>
      <c r="N2371">
        <f t="shared" si="166"/>
        <v>49</v>
      </c>
      <c r="O2371" s="19" t="str">
        <f t="shared" si="167"/>
        <v>600k–900k</v>
      </c>
      <c r="P2371" s="19" t="str">
        <f t="shared" si="168"/>
        <v>46-55</v>
      </c>
    </row>
    <row r="2372" spans="1:16" x14ac:dyDescent="0.25">
      <c r="A2372">
        <v>2371</v>
      </c>
      <c r="B2372" t="s">
        <v>9</v>
      </c>
      <c r="C2372">
        <v>175874.58</v>
      </c>
      <c r="D2372" t="s">
        <v>10</v>
      </c>
      <c r="E2372" t="s">
        <v>16</v>
      </c>
      <c r="F2372" t="s">
        <v>12</v>
      </c>
      <c r="G2372" t="s">
        <v>13</v>
      </c>
      <c r="H2372" t="s">
        <v>12</v>
      </c>
      <c r="I2372">
        <v>38</v>
      </c>
      <c r="J2372" t="str" cm="1">
        <f t="array" ref="J2372">_xlfn.IFS(ISBLANK(C2372),"FALTANTE",ABS((C2372-$W$5)/$X$5)&gt;1.96,"ATÍPICO",ABS((C2372-$W$5)/$X$5)&lt;=1.96,"NO ATÍPICO")</f>
        <v>NO ATÍPICO</v>
      </c>
      <c r="K2372" t="str" cm="1">
        <f t="array" ref="K2372">_xlfn.IFS(ISBLANK(I2372),"FALTANTE",ABS((I2372-$W$8)/$X$8)&gt;1.92,"ATÍPICO",ABS((I2372-$W$8)/$X$8)&lt;=1.92,"NO ATÍPICO")</f>
        <v>NO ATÍPICO</v>
      </c>
      <c r="L2372">
        <f t="shared" si="165"/>
        <v>175874.58</v>
      </c>
      <c r="M2372" t="str">
        <f t="shared" si="165"/>
        <v>ASALARIADO</v>
      </c>
      <c r="N2372">
        <f t="shared" si="166"/>
        <v>38</v>
      </c>
      <c r="O2372" s="19" t="str">
        <f t="shared" si="167"/>
        <v>0–300k</v>
      </c>
      <c r="P2372" s="19" t="str">
        <f t="shared" si="168"/>
        <v>36-45</v>
      </c>
    </row>
    <row r="2373" spans="1:16" x14ac:dyDescent="0.25">
      <c r="A2373">
        <v>2372</v>
      </c>
      <c r="B2373" t="s">
        <v>9</v>
      </c>
      <c r="C2373">
        <v>341004</v>
      </c>
      <c r="D2373" t="s">
        <v>10</v>
      </c>
      <c r="E2373" t="s">
        <v>16</v>
      </c>
      <c r="F2373" t="s">
        <v>12</v>
      </c>
      <c r="G2373" t="s">
        <v>12</v>
      </c>
      <c r="H2373" t="s">
        <v>13</v>
      </c>
      <c r="I2373">
        <v>57</v>
      </c>
      <c r="J2373" t="str" cm="1">
        <f t="array" ref="J2373">_xlfn.IFS(ISBLANK(C2373),"FALTANTE",ABS((C2373-$W$5)/$X$5)&gt;1.96,"ATÍPICO",ABS((C2373-$W$5)/$X$5)&lt;=1.96,"NO ATÍPICO")</f>
        <v>NO ATÍPICO</v>
      </c>
      <c r="K2373" t="str" cm="1">
        <f t="array" ref="K2373">_xlfn.IFS(ISBLANK(I2373),"FALTANTE",ABS((I2373-$W$8)/$X$8)&gt;1.92,"ATÍPICO",ABS((I2373-$W$8)/$X$8)&lt;=1.92,"NO ATÍPICO")</f>
        <v>NO ATÍPICO</v>
      </c>
      <c r="L2373">
        <f t="shared" si="165"/>
        <v>341004</v>
      </c>
      <c r="M2373" t="str">
        <f t="shared" si="165"/>
        <v>ASALARIADO</v>
      </c>
      <c r="N2373">
        <f t="shared" si="166"/>
        <v>57</v>
      </c>
      <c r="O2373" s="19" t="str">
        <f t="shared" si="167"/>
        <v>300k–600k</v>
      </c>
      <c r="P2373" s="19" t="str">
        <f t="shared" si="168"/>
        <v>56+</v>
      </c>
    </row>
    <row r="2374" spans="1:16" x14ac:dyDescent="0.25">
      <c r="A2374">
        <v>2373</v>
      </c>
      <c r="B2374" t="s">
        <v>15</v>
      </c>
      <c r="C2374">
        <v>3426447.35</v>
      </c>
      <c r="D2374" t="s">
        <v>10</v>
      </c>
      <c r="E2374" t="s">
        <v>11</v>
      </c>
      <c r="F2374" t="s">
        <v>12</v>
      </c>
      <c r="G2374" t="s">
        <v>13</v>
      </c>
      <c r="H2374" t="s">
        <v>13</v>
      </c>
      <c r="I2374">
        <v>42</v>
      </c>
      <c r="J2374" t="str" cm="1">
        <f t="array" ref="J2374">_xlfn.IFS(ISBLANK(C2374),"FALTANTE",ABS((C2374-$W$5)/$X$5)&gt;1.96,"ATÍPICO",ABS((C2374-$W$5)/$X$5)&lt;=1.96,"NO ATÍPICO")</f>
        <v>ATÍPICO</v>
      </c>
      <c r="K2374" t="str" cm="1">
        <f t="array" ref="K2374">_xlfn.IFS(ISBLANK(I2374),"FALTANTE",ABS((I2374-$W$8)/$X$8)&gt;1.92,"ATÍPICO",ABS((I2374-$W$8)/$X$8)&lt;=1.92,"NO ATÍPICO")</f>
        <v>NO ATÍPICO</v>
      </c>
      <c r="L2374">
        <f t="shared" si="165"/>
        <v>3426447.35</v>
      </c>
      <c r="M2374" t="str">
        <f t="shared" si="165"/>
        <v>ASALARIADO</v>
      </c>
      <c r="N2374">
        <f t="shared" si="166"/>
        <v>42</v>
      </c>
      <c r="O2374" s="19" t="str">
        <f t="shared" si="167"/>
        <v>1200k+</v>
      </c>
      <c r="P2374" s="19" t="str">
        <f t="shared" si="168"/>
        <v>36-45</v>
      </c>
    </row>
    <row r="2375" spans="1:16" x14ac:dyDescent="0.25">
      <c r="A2375">
        <v>2374</v>
      </c>
      <c r="B2375" t="s">
        <v>15</v>
      </c>
      <c r="C2375">
        <v>638675</v>
      </c>
      <c r="D2375" t="s">
        <v>10</v>
      </c>
      <c r="E2375" t="s">
        <v>16</v>
      </c>
      <c r="F2375" t="s">
        <v>12</v>
      </c>
      <c r="G2375" t="s">
        <v>13</v>
      </c>
      <c r="H2375" t="s">
        <v>13</v>
      </c>
      <c r="I2375">
        <v>18</v>
      </c>
      <c r="J2375" t="str" cm="1">
        <f t="array" ref="J2375">_xlfn.IFS(ISBLANK(C2375),"FALTANTE",ABS((C2375-$W$5)/$X$5)&gt;1.96,"ATÍPICO",ABS((C2375-$W$5)/$X$5)&lt;=1.96,"NO ATÍPICO")</f>
        <v>NO ATÍPICO</v>
      </c>
      <c r="K2375" t="str" cm="1">
        <f t="array" ref="K2375">_xlfn.IFS(ISBLANK(I2375),"FALTANTE",ABS((I2375-$W$8)/$X$8)&gt;1.92,"ATÍPICO",ABS((I2375-$W$8)/$X$8)&lt;=1.92,"NO ATÍPICO")</f>
        <v>NO ATÍPICO</v>
      </c>
      <c r="L2375">
        <f t="shared" si="165"/>
        <v>638675</v>
      </c>
      <c r="M2375" t="str">
        <f t="shared" si="165"/>
        <v>ASALARIADO</v>
      </c>
      <c r="N2375">
        <f t="shared" si="166"/>
        <v>18</v>
      </c>
      <c r="O2375" s="19" t="str">
        <f t="shared" si="167"/>
        <v>600k–900k</v>
      </c>
      <c r="P2375" s="19" t="str">
        <f t="shared" si="168"/>
        <v>18-25</v>
      </c>
    </row>
    <row r="2376" spans="1:16" x14ac:dyDescent="0.25">
      <c r="A2376">
        <v>2375</v>
      </c>
      <c r="B2376" t="s">
        <v>9</v>
      </c>
      <c r="C2376">
        <v>587574</v>
      </c>
      <c r="D2376" t="s">
        <v>18</v>
      </c>
      <c r="E2376" t="s">
        <v>16</v>
      </c>
      <c r="F2376" t="s">
        <v>12</v>
      </c>
      <c r="G2376" t="s">
        <v>12</v>
      </c>
      <c r="H2376" t="s">
        <v>13</v>
      </c>
      <c r="I2376">
        <v>53</v>
      </c>
      <c r="J2376" t="str" cm="1">
        <f t="array" ref="J2376">_xlfn.IFS(ISBLANK(C2376),"FALTANTE",ABS((C2376-$W$5)/$X$5)&gt;1.96,"ATÍPICO",ABS((C2376-$W$5)/$X$5)&lt;=1.96,"NO ATÍPICO")</f>
        <v>NO ATÍPICO</v>
      </c>
      <c r="K2376" t="str" cm="1">
        <f t="array" ref="K2376">_xlfn.IFS(ISBLANK(I2376),"FALTANTE",ABS((I2376-$W$8)/$X$8)&gt;1.92,"ATÍPICO",ABS((I2376-$W$8)/$X$8)&lt;=1.92,"NO ATÍPICO")</f>
        <v>NO ATÍPICO</v>
      </c>
      <c r="L2376">
        <f t="shared" si="165"/>
        <v>587574</v>
      </c>
      <c r="M2376" t="str">
        <f t="shared" si="165"/>
        <v>TRABAJADOR INDEPENDIENTE</v>
      </c>
      <c r="N2376">
        <f t="shared" si="166"/>
        <v>53</v>
      </c>
      <c r="O2376" s="19" t="str">
        <f t="shared" si="167"/>
        <v>300k–600k</v>
      </c>
      <c r="P2376" s="19" t="str">
        <f t="shared" si="168"/>
        <v>46-55</v>
      </c>
    </row>
    <row r="2377" spans="1:16" x14ac:dyDescent="0.25">
      <c r="A2377">
        <v>2376</v>
      </c>
      <c r="B2377" t="s">
        <v>15</v>
      </c>
      <c r="C2377">
        <v>120000</v>
      </c>
      <c r="D2377" t="s">
        <v>10</v>
      </c>
      <c r="E2377" t="s">
        <v>16</v>
      </c>
      <c r="F2377" t="s">
        <v>12</v>
      </c>
      <c r="G2377" t="s">
        <v>13</v>
      </c>
      <c r="H2377" t="s">
        <v>12</v>
      </c>
      <c r="I2377">
        <v>47</v>
      </c>
      <c r="J2377" t="str" cm="1">
        <f t="array" ref="J2377">_xlfn.IFS(ISBLANK(C2377),"FALTANTE",ABS((C2377-$W$5)/$X$5)&gt;1.96,"ATÍPICO",ABS((C2377-$W$5)/$X$5)&lt;=1.96,"NO ATÍPICO")</f>
        <v>NO ATÍPICO</v>
      </c>
      <c r="K2377" t="str" cm="1">
        <f t="array" ref="K2377">_xlfn.IFS(ISBLANK(I2377),"FALTANTE",ABS((I2377-$W$8)/$X$8)&gt;1.92,"ATÍPICO",ABS((I2377-$W$8)/$X$8)&lt;=1.92,"NO ATÍPICO")</f>
        <v>NO ATÍPICO</v>
      </c>
      <c r="L2377">
        <f t="shared" si="165"/>
        <v>120000</v>
      </c>
      <c r="M2377" t="str">
        <f t="shared" si="165"/>
        <v>ASALARIADO</v>
      </c>
      <c r="N2377">
        <f t="shared" si="166"/>
        <v>47</v>
      </c>
      <c r="O2377" s="19" t="str">
        <f t="shared" si="167"/>
        <v>0–300k</v>
      </c>
      <c r="P2377" s="19" t="str">
        <f t="shared" si="168"/>
        <v>46-55</v>
      </c>
    </row>
    <row r="2378" spans="1:16" x14ac:dyDescent="0.25">
      <c r="A2378">
        <v>2377</v>
      </c>
      <c r="B2378" t="s">
        <v>9</v>
      </c>
      <c r="C2378">
        <v>498141.67</v>
      </c>
      <c r="D2378" t="s">
        <v>10</v>
      </c>
      <c r="E2378" t="s">
        <v>16</v>
      </c>
      <c r="F2378" t="s">
        <v>12</v>
      </c>
      <c r="G2378" t="s">
        <v>13</v>
      </c>
      <c r="H2378" t="s">
        <v>13</v>
      </c>
      <c r="I2378">
        <v>49</v>
      </c>
      <c r="J2378" t="str" cm="1">
        <f t="array" ref="J2378">_xlfn.IFS(ISBLANK(C2378),"FALTANTE",ABS((C2378-$W$5)/$X$5)&gt;1.96,"ATÍPICO",ABS((C2378-$W$5)/$X$5)&lt;=1.96,"NO ATÍPICO")</f>
        <v>NO ATÍPICO</v>
      </c>
      <c r="K2378" t="str" cm="1">
        <f t="array" ref="K2378">_xlfn.IFS(ISBLANK(I2378),"FALTANTE",ABS((I2378-$W$8)/$X$8)&gt;1.92,"ATÍPICO",ABS((I2378-$W$8)/$X$8)&lt;=1.92,"NO ATÍPICO")</f>
        <v>NO ATÍPICO</v>
      </c>
      <c r="L2378">
        <f t="shared" si="165"/>
        <v>498141.67</v>
      </c>
      <c r="M2378" t="str">
        <f t="shared" si="165"/>
        <v>ASALARIADO</v>
      </c>
      <c r="N2378">
        <f t="shared" si="166"/>
        <v>49</v>
      </c>
      <c r="O2378" s="19" t="str">
        <f t="shared" si="167"/>
        <v>300k–600k</v>
      </c>
      <c r="P2378" s="19" t="str">
        <f t="shared" si="168"/>
        <v>46-55</v>
      </c>
    </row>
    <row r="2379" spans="1:16" x14ac:dyDescent="0.25">
      <c r="A2379">
        <v>2378</v>
      </c>
      <c r="B2379" t="s">
        <v>9</v>
      </c>
      <c r="C2379">
        <v>562493.75</v>
      </c>
      <c r="D2379" t="s">
        <v>10</v>
      </c>
      <c r="E2379" t="s">
        <v>16</v>
      </c>
      <c r="F2379" t="s">
        <v>12</v>
      </c>
      <c r="G2379" t="s">
        <v>13</v>
      </c>
      <c r="H2379" t="s">
        <v>13</v>
      </c>
      <c r="I2379">
        <v>34</v>
      </c>
      <c r="J2379" t="str" cm="1">
        <f t="array" ref="J2379">_xlfn.IFS(ISBLANK(C2379),"FALTANTE",ABS((C2379-$W$5)/$X$5)&gt;1.96,"ATÍPICO",ABS((C2379-$W$5)/$X$5)&lt;=1.96,"NO ATÍPICO")</f>
        <v>NO ATÍPICO</v>
      </c>
      <c r="K2379" t="str" cm="1">
        <f t="array" ref="K2379">_xlfn.IFS(ISBLANK(I2379),"FALTANTE",ABS((I2379-$W$8)/$X$8)&gt;1.92,"ATÍPICO",ABS((I2379-$W$8)/$X$8)&lt;=1.92,"NO ATÍPICO")</f>
        <v>NO ATÍPICO</v>
      </c>
      <c r="L2379">
        <f t="shared" si="165"/>
        <v>562493.75</v>
      </c>
      <c r="M2379" t="str">
        <f t="shared" si="165"/>
        <v>ASALARIADO</v>
      </c>
      <c r="N2379">
        <f t="shared" si="166"/>
        <v>34</v>
      </c>
      <c r="O2379" s="19" t="str">
        <f t="shared" si="167"/>
        <v>300k–600k</v>
      </c>
      <c r="P2379" s="19" t="str">
        <f t="shared" si="168"/>
        <v>26-35</v>
      </c>
    </row>
    <row r="2380" spans="1:16" x14ac:dyDescent="0.25">
      <c r="A2380">
        <v>2379</v>
      </c>
      <c r="B2380" t="s">
        <v>9</v>
      </c>
      <c r="C2380">
        <v>464100</v>
      </c>
      <c r="D2380" t="s">
        <v>10</v>
      </c>
      <c r="E2380" t="s">
        <v>16</v>
      </c>
      <c r="F2380" t="s">
        <v>12</v>
      </c>
      <c r="G2380" t="s">
        <v>12</v>
      </c>
      <c r="H2380" t="s">
        <v>13</v>
      </c>
      <c r="I2380">
        <v>29</v>
      </c>
      <c r="J2380" t="str" cm="1">
        <f t="array" ref="J2380">_xlfn.IFS(ISBLANK(C2380),"FALTANTE",ABS((C2380-$W$5)/$X$5)&gt;1.96,"ATÍPICO",ABS((C2380-$W$5)/$X$5)&lt;=1.96,"NO ATÍPICO")</f>
        <v>NO ATÍPICO</v>
      </c>
      <c r="K2380" t="str" cm="1">
        <f t="array" ref="K2380">_xlfn.IFS(ISBLANK(I2380),"FALTANTE",ABS((I2380-$W$8)/$X$8)&gt;1.92,"ATÍPICO",ABS((I2380-$W$8)/$X$8)&lt;=1.92,"NO ATÍPICO")</f>
        <v>NO ATÍPICO</v>
      </c>
      <c r="L2380">
        <f t="shared" si="165"/>
        <v>464100</v>
      </c>
      <c r="M2380" t="str">
        <f t="shared" si="165"/>
        <v>ASALARIADO</v>
      </c>
      <c r="N2380">
        <f t="shared" si="166"/>
        <v>29</v>
      </c>
      <c r="O2380" s="19" t="str">
        <f t="shared" si="167"/>
        <v>300k–600k</v>
      </c>
      <c r="P2380" s="19" t="str">
        <f t="shared" si="168"/>
        <v>26-35</v>
      </c>
    </row>
    <row r="2381" spans="1:16" x14ac:dyDescent="0.25">
      <c r="A2381">
        <v>2380</v>
      </c>
      <c r="B2381" t="s">
        <v>9</v>
      </c>
      <c r="C2381">
        <v>324953</v>
      </c>
      <c r="D2381" t="s">
        <v>17</v>
      </c>
      <c r="E2381" t="s">
        <v>16</v>
      </c>
      <c r="F2381" t="s">
        <v>12</v>
      </c>
      <c r="G2381" t="s">
        <v>13</v>
      </c>
      <c r="H2381" t="s">
        <v>13</v>
      </c>
      <c r="I2381">
        <v>33</v>
      </c>
      <c r="J2381" t="str" cm="1">
        <f t="array" ref="J2381">_xlfn.IFS(ISBLANK(C2381),"FALTANTE",ABS((C2381-$W$5)/$X$5)&gt;1.96,"ATÍPICO",ABS((C2381-$W$5)/$X$5)&lt;=1.96,"NO ATÍPICO")</f>
        <v>NO ATÍPICO</v>
      </c>
      <c r="K2381" t="str" cm="1">
        <f t="array" ref="K2381">_xlfn.IFS(ISBLANK(I2381),"FALTANTE",ABS((I2381-$W$8)/$X$8)&gt;1.92,"ATÍPICO",ABS((I2381-$W$8)/$X$8)&lt;=1.92,"NO ATÍPICO")</f>
        <v>NO ATÍPICO</v>
      </c>
      <c r="L2381">
        <f t="shared" si="165"/>
        <v>324953</v>
      </c>
      <c r="M2381" t="str">
        <f t="shared" si="165"/>
        <v>ASEGURADO VOLUNTARIO</v>
      </c>
      <c r="N2381">
        <f t="shared" si="166"/>
        <v>33</v>
      </c>
      <c r="O2381" s="19" t="str">
        <f t="shared" si="167"/>
        <v>300k–600k</v>
      </c>
      <c r="P2381" s="19" t="str">
        <f t="shared" si="168"/>
        <v>26-35</v>
      </c>
    </row>
    <row r="2382" spans="1:16" x14ac:dyDescent="0.25">
      <c r="A2382">
        <v>2381</v>
      </c>
      <c r="B2382" t="s">
        <v>15</v>
      </c>
      <c r="C2382">
        <v>318550</v>
      </c>
      <c r="D2382" t="s">
        <v>10</v>
      </c>
      <c r="E2382" t="s">
        <v>16</v>
      </c>
      <c r="F2382" t="s">
        <v>12</v>
      </c>
      <c r="G2382" t="s">
        <v>13</v>
      </c>
      <c r="H2382" t="s">
        <v>13</v>
      </c>
      <c r="I2382">
        <v>41</v>
      </c>
      <c r="J2382" t="str" cm="1">
        <f t="array" ref="J2382">_xlfn.IFS(ISBLANK(C2382),"FALTANTE",ABS((C2382-$W$5)/$X$5)&gt;1.96,"ATÍPICO",ABS((C2382-$W$5)/$X$5)&lt;=1.96,"NO ATÍPICO")</f>
        <v>NO ATÍPICO</v>
      </c>
      <c r="K2382" t="str" cm="1">
        <f t="array" ref="K2382">_xlfn.IFS(ISBLANK(I2382),"FALTANTE",ABS((I2382-$W$8)/$X$8)&gt;1.92,"ATÍPICO",ABS((I2382-$W$8)/$X$8)&lt;=1.92,"NO ATÍPICO")</f>
        <v>NO ATÍPICO</v>
      </c>
      <c r="L2382">
        <f t="shared" si="165"/>
        <v>318550</v>
      </c>
      <c r="M2382" t="str">
        <f t="shared" si="165"/>
        <v>ASALARIADO</v>
      </c>
      <c r="N2382">
        <f t="shared" si="166"/>
        <v>41</v>
      </c>
      <c r="O2382" s="19" t="str">
        <f t="shared" si="167"/>
        <v>300k–600k</v>
      </c>
      <c r="P2382" s="19" t="str">
        <f t="shared" si="168"/>
        <v>36-45</v>
      </c>
    </row>
    <row r="2383" spans="1:16" x14ac:dyDescent="0.25">
      <c r="A2383">
        <v>2382</v>
      </c>
      <c r="B2383" t="s">
        <v>9</v>
      </c>
      <c r="C2383">
        <v>336217.85</v>
      </c>
      <c r="D2383" t="s">
        <v>10</v>
      </c>
      <c r="E2383" t="s">
        <v>16</v>
      </c>
      <c r="F2383" t="s">
        <v>12</v>
      </c>
      <c r="G2383" t="s">
        <v>12</v>
      </c>
      <c r="H2383" t="s">
        <v>13</v>
      </c>
      <c r="I2383">
        <v>43</v>
      </c>
      <c r="J2383" t="str" cm="1">
        <f t="array" ref="J2383">_xlfn.IFS(ISBLANK(C2383),"FALTANTE",ABS((C2383-$W$5)/$X$5)&gt;1.96,"ATÍPICO",ABS((C2383-$W$5)/$X$5)&lt;=1.96,"NO ATÍPICO")</f>
        <v>NO ATÍPICO</v>
      </c>
      <c r="K2383" t="str" cm="1">
        <f t="array" ref="K2383">_xlfn.IFS(ISBLANK(I2383),"FALTANTE",ABS((I2383-$W$8)/$X$8)&gt;1.92,"ATÍPICO",ABS((I2383-$W$8)/$X$8)&lt;=1.92,"NO ATÍPICO")</f>
        <v>NO ATÍPICO</v>
      </c>
      <c r="L2383">
        <f t="shared" si="165"/>
        <v>336217.85</v>
      </c>
      <c r="M2383" t="str">
        <f t="shared" si="165"/>
        <v>ASALARIADO</v>
      </c>
      <c r="N2383">
        <f t="shared" si="166"/>
        <v>43</v>
      </c>
      <c r="O2383" s="19" t="str">
        <f t="shared" si="167"/>
        <v>300k–600k</v>
      </c>
      <c r="P2383" s="19" t="str">
        <f t="shared" si="168"/>
        <v>36-45</v>
      </c>
    </row>
    <row r="2384" spans="1:16" x14ac:dyDescent="0.25">
      <c r="A2384">
        <v>2383</v>
      </c>
      <c r="B2384" t="s">
        <v>9</v>
      </c>
      <c r="C2384">
        <v>297045</v>
      </c>
      <c r="D2384" t="s">
        <v>17</v>
      </c>
      <c r="E2384" t="s">
        <v>16</v>
      </c>
      <c r="F2384" t="s">
        <v>12</v>
      </c>
      <c r="G2384" t="s">
        <v>13</v>
      </c>
      <c r="H2384" t="s">
        <v>13</v>
      </c>
      <c r="I2384">
        <v>24</v>
      </c>
      <c r="J2384" t="str" cm="1">
        <f t="array" ref="J2384">_xlfn.IFS(ISBLANK(C2384),"FALTANTE",ABS((C2384-$W$5)/$X$5)&gt;1.96,"ATÍPICO",ABS((C2384-$W$5)/$X$5)&lt;=1.96,"NO ATÍPICO")</f>
        <v>NO ATÍPICO</v>
      </c>
      <c r="K2384" t="str" cm="1">
        <f t="array" ref="K2384">_xlfn.IFS(ISBLANK(I2384),"FALTANTE",ABS((I2384-$W$8)/$X$8)&gt;1.92,"ATÍPICO",ABS((I2384-$W$8)/$X$8)&lt;=1.92,"NO ATÍPICO")</f>
        <v>NO ATÍPICO</v>
      </c>
      <c r="L2384">
        <f t="shared" si="165"/>
        <v>297045</v>
      </c>
      <c r="M2384" t="str">
        <f t="shared" si="165"/>
        <v>ASEGURADO VOLUNTARIO</v>
      </c>
      <c r="N2384">
        <f t="shared" si="166"/>
        <v>24</v>
      </c>
      <c r="O2384" s="19" t="str">
        <f t="shared" si="167"/>
        <v>0–300k</v>
      </c>
      <c r="P2384" s="19" t="str">
        <f t="shared" si="168"/>
        <v>18-25</v>
      </c>
    </row>
    <row r="2385" spans="1:16" x14ac:dyDescent="0.25">
      <c r="A2385">
        <v>2384</v>
      </c>
      <c r="B2385" t="s">
        <v>9</v>
      </c>
      <c r="C2385">
        <v>1614330</v>
      </c>
      <c r="D2385" t="s">
        <v>10</v>
      </c>
      <c r="E2385" t="s">
        <v>11</v>
      </c>
      <c r="F2385" t="s">
        <v>12</v>
      </c>
      <c r="G2385" t="s">
        <v>13</v>
      </c>
      <c r="H2385" t="s">
        <v>12</v>
      </c>
      <c r="I2385">
        <v>30</v>
      </c>
      <c r="J2385" t="str" cm="1">
        <f t="array" ref="J2385">_xlfn.IFS(ISBLANK(C2385),"FALTANTE",ABS((C2385-$W$5)/$X$5)&gt;1.96,"ATÍPICO",ABS((C2385-$W$5)/$X$5)&lt;=1.96,"NO ATÍPICO")</f>
        <v>NO ATÍPICO</v>
      </c>
      <c r="K2385" t="str" cm="1">
        <f t="array" ref="K2385">_xlfn.IFS(ISBLANK(I2385),"FALTANTE",ABS((I2385-$W$8)/$X$8)&gt;1.92,"ATÍPICO",ABS((I2385-$W$8)/$X$8)&lt;=1.92,"NO ATÍPICO")</f>
        <v>NO ATÍPICO</v>
      </c>
      <c r="L2385">
        <f t="shared" si="165"/>
        <v>1614330</v>
      </c>
      <c r="M2385" t="str">
        <f t="shared" si="165"/>
        <v>ASALARIADO</v>
      </c>
      <c r="N2385">
        <f t="shared" si="166"/>
        <v>30</v>
      </c>
      <c r="O2385" s="19" t="str">
        <f t="shared" si="167"/>
        <v>1200k+</v>
      </c>
      <c r="P2385" s="19" t="str">
        <f t="shared" si="168"/>
        <v>26-35</v>
      </c>
    </row>
    <row r="2386" spans="1:16" x14ac:dyDescent="0.25">
      <c r="A2386">
        <v>2385</v>
      </c>
      <c r="B2386" t="s">
        <v>15</v>
      </c>
      <c r="C2386">
        <v>260000</v>
      </c>
      <c r="D2386" t="s">
        <v>10</v>
      </c>
      <c r="E2386" t="s">
        <v>16</v>
      </c>
      <c r="F2386" t="s">
        <v>12</v>
      </c>
      <c r="G2386" t="s">
        <v>13</v>
      </c>
      <c r="H2386" t="s">
        <v>12</v>
      </c>
      <c r="I2386">
        <v>39</v>
      </c>
      <c r="J2386" t="str" cm="1">
        <f t="array" ref="J2386">_xlfn.IFS(ISBLANK(C2386),"FALTANTE",ABS((C2386-$W$5)/$X$5)&gt;1.96,"ATÍPICO",ABS((C2386-$W$5)/$X$5)&lt;=1.96,"NO ATÍPICO")</f>
        <v>NO ATÍPICO</v>
      </c>
      <c r="K2386" t="str" cm="1">
        <f t="array" ref="K2386">_xlfn.IFS(ISBLANK(I2386),"FALTANTE",ABS((I2386-$W$8)/$X$8)&gt;1.92,"ATÍPICO",ABS((I2386-$W$8)/$X$8)&lt;=1.92,"NO ATÍPICO")</f>
        <v>NO ATÍPICO</v>
      </c>
      <c r="L2386">
        <f t="shared" si="165"/>
        <v>260000</v>
      </c>
      <c r="M2386" t="str">
        <f t="shared" si="165"/>
        <v>ASALARIADO</v>
      </c>
      <c r="N2386">
        <f t="shared" si="166"/>
        <v>39</v>
      </c>
      <c r="O2386" s="19" t="str">
        <f t="shared" si="167"/>
        <v>0–300k</v>
      </c>
      <c r="P2386" s="19" t="str">
        <f t="shared" si="168"/>
        <v>36-45</v>
      </c>
    </row>
    <row r="2387" spans="1:16" x14ac:dyDescent="0.25">
      <c r="A2387">
        <v>2386</v>
      </c>
      <c r="B2387" t="s">
        <v>15</v>
      </c>
      <c r="C2387">
        <v>278030</v>
      </c>
      <c r="D2387" t="s">
        <v>18</v>
      </c>
      <c r="E2387" t="s">
        <v>16</v>
      </c>
      <c r="F2387" t="s">
        <v>12</v>
      </c>
      <c r="G2387" t="s">
        <v>13</v>
      </c>
      <c r="H2387" t="s">
        <v>13</v>
      </c>
      <c r="I2387">
        <v>52</v>
      </c>
      <c r="J2387" t="str" cm="1">
        <f t="array" ref="J2387">_xlfn.IFS(ISBLANK(C2387),"FALTANTE",ABS((C2387-$W$5)/$X$5)&gt;1.96,"ATÍPICO",ABS((C2387-$W$5)/$X$5)&lt;=1.96,"NO ATÍPICO")</f>
        <v>NO ATÍPICO</v>
      </c>
      <c r="K2387" t="str" cm="1">
        <f t="array" ref="K2387">_xlfn.IFS(ISBLANK(I2387),"FALTANTE",ABS((I2387-$W$8)/$X$8)&gt;1.92,"ATÍPICO",ABS((I2387-$W$8)/$X$8)&lt;=1.92,"NO ATÍPICO")</f>
        <v>NO ATÍPICO</v>
      </c>
      <c r="L2387">
        <f t="shared" si="165"/>
        <v>278030</v>
      </c>
      <c r="M2387" t="str">
        <f t="shared" si="165"/>
        <v>TRABAJADOR INDEPENDIENTE</v>
      </c>
      <c r="N2387">
        <f t="shared" si="166"/>
        <v>52</v>
      </c>
      <c r="O2387" s="19" t="str">
        <f t="shared" si="167"/>
        <v>0–300k</v>
      </c>
      <c r="P2387" s="19" t="str">
        <f t="shared" si="168"/>
        <v>46-55</v>
      </c>
    </row>
    <row r="2388" spans="1:16" x14ac:dyDescent="0.25">
      <c r="A2388">
        <v>2387</v>
      </c>
      <c r="B2388" t="s">
        <v>15</v>
      </c>
      <c r="C2388">
        <v>297046</v>
      </c>
      <c r="D2388" t="s">
        <v>18</v>
      </c>
      <c r="E2388" t="s">
        <v>16</v>
      </c>
      <c r="F2388" t="s">
        <v>12</v>
      </c>
      <c r="G2388" t="s">
        <v>13</v>
      </c>
      <c r="H2388" t="s">
        <v>12</v>
      </c>
      <c r="I2388">
        <v>40</v>
      </c>
      <c r="J2388" t="str" cm="1">
        <f t="array" ref="J2388">_xlfn.IFS(ISBLANK(C2388),"FALTANTE",ABS((C2388-$W$5)/$X$5)&gt;1.96,"ATÍPICO",ABS((C2388-$W$5)/$X$5)&lt;=1.96,"NO ATÍPICO")</f>
        <v>NO ATÍPICO</v>
      </c>
      <c r="K2388" t="str" cm="1">
        <f t="array" ref="K2388">_xlfn.IFS(ISBLANK(I2388),"FALTANTE",ABS((I2388-$W$8)/$X$8)&gt;1.92,"ATÍPICO",ABS((I2388-$W$8)/$X$8)&lt;=1.92,"NO ATÍPICO")</f>
        <v>NO ATÍPICO</v>
      </c>
      <c r="L2388">
        <f t="shared" si="165"/>
        <v>297046</v>
      </c>
      <c r="M2388" t="str">
        <f t="shared" si="165"/>
        <v>TRABAJADOR INDEPENDIENTE</v>
      </c>
      <c r="N2388">
        <f t="shared" si="166"/>
        <v>40</v>
      </c>
      <c r="O2388" s="19" t="str">
        <f t="shared" si="167"/>
        <v>0–300k</v>
      </c>
      <c r="P2388" s="19" t="str">
        <f t="shared" si="168"/>
        <v>36-45</v>
      </c>
    </row>
    <row r="2389" spans="1:16" x14ac:dyDescent="0.25">
      <c r="A2389">
        <v>2388</v>
      </c>
      <c r="B2389" t="s">
        <v>9</v>
      </c>
      <c r="C2389">
        <v>491706.2</v>
      </c>
      <c r="D2389" t="s">
        <v>10</v>
      </c>
      <c r="E2389" t="s">
        <v>16</v>
      </c>
      <c r="F2389" t="s">
        <v>12</v>
      </c>
      <c r="G2389" t="s">
        <v>13</v>
      </c>
      <c r="H2389" t="s">
        <v>13</v>
      </c>
      <c r="I2389">
        <v>50</v>
      </c>
      <c r="J2389" t="str" cm="1">
        <f t="array" ref="J2389">_xlfn.IFS(ISBLANK(C2389),"FALTANTE",ABS((C2389-$W$5)/$X$5)&gt;1.96,"ATÍPICO",ABS((C2389-$W$5)/$X$5)&lt;=1.96,"NO ATÍPICO")</f>
        <v>NO ATÍPICO</v>
      </c>
      <c r="K2389" t="str" cm="1">
        <f t="array" ref="K2389">_xlfn.IFS(ISBLANK(I2389),"FALTANTE",ABS((I2389-$W$8)/$X$8)&gt;1.92,"ATÍPICO",ABS((I2389-$W$8)/$X$8)&lt;=1.92,"NO ATÍPICO")</f>
        <v>NO ATÍPICO</v>
      </c>
      <c r="L2389">
        <f t="shared" si="165"/>
        <v>491706.2</v>
      </c>
      <c r="M2389" t="str">
        <f t="shared" si="165"/>
        <v>ASALARIADO</v>
      </c>
      <c r="N2389">
        <f t="shared" si="166"/>
        <v>50</v>
      </c>
      <c r="O2389" s="19" t="str">
        <f t="shared" si="167"/>
        <v>300k–600k</v>
      </c>
      <c r="P2389" s="19" t="str">
        <f t="shared" si="168"/>
        <v>46-55</v>
      </c>
    </row>
    <row r="2390" spans="1:16" x14ac:dyDescent="0.25">
      <c r="A2390">
        <v>2389</v>
      </c>
      <c r="B2390" t="s">
        <v>9</v>
      </c>
      <c r="C2390">
        <v>1308403</v>
      </c>
      <c r="D2390" t="s">
        <v>10</v>
      </c>
      <c r="E2390" t="s">
        <v>11</v>
      </c>
      <c r="F2390" t="s">
        <v>12</v>
      </c>
      <c r="G2390" t="s">
        <v>13</v>
      </c>
      <c r="H2390" t="s">
        <v>13</v>
      </c>
      <c r="I2390">
        <v>40</v>
      </c>
      <c r="J2390" t="str" cm="1">
        <f t="array" ref="J2390">_xlfn.IFS(ISBLANK(C2390),"FALTANTE",ABS((C2390-$W$5)/$X$5)&gt;1.96,"ATÍPICO",ABS((C2390-$W$5)/$X$5)&lt;=1.96,"NO ATÍPICO")</f>
        <v>NO ATÍPICO</v>
      </c>
      <c r="K2390" t="str" cm="1">
        <f t="array" ref="K2390">_xlfn.IFS(ISBLANK(I2390),"FALTANTE",ABS((I2390-$W$8)/$X$8)&gt;1.92,"ATÍPICO",ABS((I2390-$W$8)/$X$8)&lt;=1.92,"NO ATÍPICO")</f>
        <v>NO ATÍPICO</v>
      </c>
      <c r="L2390">
        <f t="shared" si="165"/>
        <v>1308403</v>
      </c>
      <c r="M2390" t="str">
        <f t="shared" si="165"/>
        <v>ASALARIADO</v>
      </c>
      <c r="N2390">
        <f t="shared" si="166"/>
        <v>40</v>
      </c>
      <c r="O2390" s="19" t="str">
        <f t="shared" si="167"/>
        <v>1200k+</v>
      </c>
      <c r="P2390" s="19" t="str">
        <f t="shared" si="168"/>
        <v>36-45</v>
      </c>
    </row>
    <row r="2391" spans="1:16" x14ac:dyDescent="0.25">
      <c r="A2391">
        <v>2390</v>
      </c>
      <c r="B2391" t="s">
        <v>9</v>
      </c>
      <c r="C2391">
        <v>278030</v>
      </c>
      <c r="D2391" t="s">
        <v>19</v>
      </c>
      <c r="E2391" t="s">
        <v>16</v>
      </c>
      <c r="F2391" t="s">
        <v>12</v>
      </c>
      <c r="G2391" t="s">
        <v>13</v>
      </c>
      <c r="H2391" t="s">
        <v>13</v>
      </c>
      <c r="I2391">
        <v>28</v>
      </c>
      <c r="J2391" t="str" cm="1">
        <f t="array" ref="J2391">_xlfn.IFS(ISBLANK(C2391),"FALTANTE",ABS((C2391-$W$5)/$X$5)&gt;1.96,"ATÍPICO",ABS((C2391-$W$5)/$X$5)&lt;=1.96,"NO ATÍPICO")</f>
        <v>NO ATÍPICO</v>
      </c>
      <c r="K2391" t="str" cm="1">
        <f t="array" ref="K2391">_xlfn.IFS(ISBLANK(I2391),"FALTANTE",ABS((I2391-$W$8)/$X$8)&gt;1.92,"ATÍPICO",ABS((I2391-$W$8)/$X$8)&lt;=1.92,"NO ATÍPICO")</f>
        <v>NO ATÍPICO</v>
      </c>
      <c r="L2391">
        <f t="shared" si="165"/>
        <v>278030</v>
      </c>
      <c r="M2391" t="str">
        <f t="shared" si="165"/>
        <v>CONVENIOS ESPECIALES DE TRABAJADORES INDEPENDIENTES</v>
      </c>
      <c r="N2391">
        <f t="shared" si="166"/>
        <v>28</v>
      </c>
      <c r="O2391" s="19" t="str">
        <f t="shared" si="167"/>
        <v>0–300k</v>
      </c>
      <c r="P2391" s="19" t="str">
        <f t="shared" si="168"/>
        <v>26-35</v>
      </c>
    </row>
    <row r="2392" spans="1:16" x14ac:dyDescent="0.25">
      <c r="A2392">
        <v>2391</v>
      </c>
      <c r="B2392" t="s">
        <v>9</v>
      </c>
      <c r="C2392">
        <v>338629</v>
      </c>
      <c r="D2392" t="s">
        <v>18</v>
      </c>
      <c r="E2392" t="s">
        <v>16</v>
      </c>
      <c r="F2392" t="s">
        <v>12</v>
      </c>
      <c r="G2392" t="s">
        <v>13</v>
      </c>
      <c r="H2392" t="s">
        <v>12</v>
      </c>
      <c r="I2392">
        <v>39</v>
      </c>
      <c r="J2392" t="str" cm="1">
        <f t="array" ref="J2392">_xlfn.IFS(ISBLANK(C2392),"FALTANTE",ABS((C2392-$W$5)/$X$5)&gt;1.96,"ATÍPICO",ABS((C2392-$W$5)/$X$5)&lt;=1.96,"NO ATÍPICO")</f>
        <v>NO ATÍPICO</v>
      </c>
      <c r="K2392" t="str" cm="1">
        <f t="array" ref="K2392">_xlfn.IFS(ISBLANK(I2392),"FALTANTE",ABS((I2392-$W$8)/$X$8)&gt;1.92,"ATÍPICO",ABS((I2392-$W$8)/$X$8)&lt;=1.92,"NO ATÍPICO")</f>
        <v>NO ATÍPICO</v>
      </c>
      <c r="L2392">
        <f t="shared" si="165"/>
        <v>338629</v>
      </c>
      <c r="M2392" t="str">
        <f t="shared" si="165"/>
        <v>TRABAJADOR INDEPENDIENTE</v>
      </c>
      <c r="N2392">
        <f t="shared" si="166"/>
        <v>39</v>
      </c>
      <c r="O2392" s="19" t="str">
        <f t="shared" si="167"/>
        <v>300k–600k</v>
      </c>
      <c r="P2392" s="19" t="str">
        <f t="shared" si="168"/>
        <v>36-45</v>
      </c>
    </row>
    <row r="2393" spans="1:16" x14ac:dyDescent="0.25">
      <c r="A2393">
        <v>2392</v>
      </c>
      <c r="B2393" t="s">
        <v>9</v>
      </c>
      <c r="C2393">
        <v>639148</v>
      </c>
      <c r="D2393" t="s">
        <v>18</v>
      </c>
      <c r="E2393" t="s">
        <v>16</v>
      </c>
      <c r="F2393" t="s">
        <v>12</v>
      </c>
      <c r="G2393" t="s">
        <v>13</v>
      </c>
      <c r="H2393" t="s">
        <v>13</v>
      </c>
      <c r="I2393">
        <v>48</v>
      </c>
      <c r="J2393" t="str" cm="1">
        <f t="array" ref="J2393">_xlfn.IFS(ISBLANK(C2393),"FALTANTE",ABS((C2393-$W$5)/$X$5)&gt;1.96,"ATÍPICO",ABS((C2393-$W$5)/$X$5)&lt;=1.96,"NO ATÍPICO")</f>
        <v>NO ATÍPICO</v>
      </c>
      <c r="K2393" t="str" cm="1">
        <f t="array" ref="K2393">_xlfn.IFS(ISBLANK(I2393),"FALTANTE",ABS((I2393-$W$8)/$X$8)&gt;1.92,"ATÍPICO",ABS((I2393-$W$8)/$X$8)&lt;=1.92,"NO ATÍPICO")</f>
        <v>NO ATÍPICO</v>
      </c>
      <c r="L2393">
        <f t="shared" si="165"/>
        <v>639148</v>
      </c>
      <c r="M2393" t="str">
        <f t="shared" si="165"/>
        <v>TRABAJADOR INDEPENDIENTE</v>
      </c>
      <c r="N2393">
        <f t="shared" si="166"/>
        <v>48</v>
      </c>
      <c r="O2393" s="19" t="str">
        <f t="shared" si="167"/>
        <v>600k–900k</v>
      </c>
      <c r="P2393" s="19" t="str">
        <f t="shared" si="168"/>
        <v>46-55</v>
      </c>
    </row>
    <row r="2394" spans="1:16" x14ac:dyDescent="0.25">
      <c r="A2394">
        <v>2393</v>
      </c>
      <c r="B2394" t="s">
        <v>9</v>
      </c>
      <c r="C2394">
        <v>869420</v>
      </c>
      <c r="D2394" t="s">
        <v>10</v>
      </c>
      <c r="E2394" t="s">
        <v>11</v>
      </c>
      <c r="F2394" t="s">
        <v>12</v>
      </c>
      <c r="G2394" t="s">
        <v>13</v>
      </c>
      <c r="H2394" t="s">
        <v>12</v>
      </c>
      <c r="I2394">
        <v>46</v>
      </c>
      <c r="J2394" t="str" cm="1">
        <f t="array" ref="J2394">_xlfn.IFS(ISBLANK(C2394),"FALTANTE",ABS((C2394-$W$5)/$X$5)&gt;1.96,"ATÍPICO",ABS((C2394-$W$5)/$X$5)&lt;=1.96,"NO ATÍPICO")</f>
        <v>NO ATÍPICO</v>
      </c>
      <c r="K2394" t="str" cm="1">
        <f t="array" ref="K2394">_xlfn.IFS(ISBLANK(I2394),"FALTANTE",ABS((I2394-$W$8)/$X$8)&gt;1.92,"ATÍPICO",ABS((I2394-$W$8)/$X$8)&lt;=1.92,"NO ATÍPICO")</f>
        <v>NO ATÍPICO</v>
      </c>
      <c r="L2394">
        <f t="shared" si="165"/>
        <v>869420</v>
      </c>
      <c r="M2394" t="str">
        <f t="shared" si="165"/>
        <v>ASALARIADO</v>
      </c>
      <c r="N2394">
        <f t="shared" si="166"/>
        <v>46</v>
      </c>
      <c r="O2394" s="19" t="str">
        <f t="shared" si="167"/>
        <v>600k–900k</v>
      </c>
      <c r="P2394" s="19" t="str">
        <f t="shared" si="168"/>
        <v>46-55</v>
      </c>
    </row>
    <row r="2395" spans="1:16" x14ac:dyDescent="0.25">
      <c r="A2395">
        <v>2394</v>
      </c>
      <c r="B2395" t="s">
        <v>9</v>
      </c>
      <c r="C2395">
        <v>86400</v>
      </c>
      <c r="D2395" t="s">
        <v>10</v>
      </c>
      <c r="E2395" t="s">
        <v>16</v>
      </c>
      <c r="F2395" t="s">
        <v>12</v>
      </c>
      <c r="G2395" t="s">
        <v>13</v>
      </c>
      <c r="H2395" t="s">
        <v>13</v>
      </c>
      <c r="I2395">
        <v>24</v>
      </c>
      <c r="J2395" t="str" cm="1">
        <f t="array" ref="J2395">_xlfn.IFS(ISBLANK(C2395),"FALTANTE",ABS((C2395-$W$5)/$X$5)&gt;1.96,"ATÍPICO",ABS((C2395-$W$5)/$X$5)&lt;=1.96,"NO ATÍPICO")</f>
        <v>NO ATÍPICO</v>
      </c>
      <c r="K2395" t="str" cm="1">
        <f t="array" ref="K2395">_xlfn.IFS(ISBLANK(I2395),"FALTANTE",ABS((I2395-$W$8)/$X$8)&gt;1.92,"ATÍPICO",ABS((I2395-$W$8)/$X$8)&lt;=1.92,"NO ATÍPICO")</f>
        <v>NO ATÍPICO</v>
      </c>
      <c r="L2395">
        <f t="shared" si="165"/>
        <v>86400</v>
      </c>
      <c r="M2395" t="str">
        <f t="shared" si="165"/>
        <v>ASALARIADO</v>
      </c>
      <c r="N2395">
        <f t="shared" si="166"/>
        <v>24</v>
      </c>
      <c r="O2395" s="19" t="str">
        <f t="shared" si="167"/>
        <v>0–300k</v>
      </c>
      <c r="P2395" s="19" t="str">
        <f t="shared" si="168"/>
        <v>18-25</v>
      </c>
    </row>
    <row r="2396" spans="1:16" x14ac:dyDescent="0.25">
      <c r="A2396">
        <v>2395</v>
      </c>
      <c r="B2396" t="s">
        <v>15</v>
      </c>
      <c r="C2396">
        <v>466740</v>
      </c>
      <c r="D2396" t="s">
        <v>10</v>
      </c>
      <c r="E2396" t="s">
        <v>11</v>
      </c>
      <c r="F2396" t="s">
        <v>12</v>
      </c>
      <c r="G2396" t="s">
        <v>13</v>
      </c>
      <c r="H2396" t="s">
        <v>12</v>
      </c>
      <c r="I2396">
        <v>35</v>
      </c>
      <c r="J2396" t="str" cm="1">
        <f t="array" ref="J2396">_xlfn.IFS(ISBLANK(C2396),"FALTANTE",ABS((C2396-$W$5)/$X$5)&gt;1.96,"ATÍPICO",ABS((C2396-$W$5)/$X$5)&lt;=1.96,"NO ATÍPICO")</f>
        <v>NO ATÍPICO</v>
      </c>
      <c r="K2396" t="str" cm="1">
        <f t="array" ref="K2396">_xlfn.IFS(ISBLANK(I2396),"FALTANTE",ABS((I2396-$W$8)/$X$8)&gt;1.92,"ATÍPICO",ABS((I2396-$W$8)/$X$8)&lt;=1.92,"NO ATÍPICO")</f>
        <v>NO ATÍPICO</v>
      </c>
      <c r="L2396">
        <f t="shared" si="165"/>
        <v>466740</v>
      </c>
      <c r="M2396" t="str">
        <f t="shared" si="165"/>
        <v>ASALARIADO</v>
      </c>
      <c r="N2396">
        <f t="shared" si="166"/>
        <v>35</v>
      </c>
      <c r="O2396" s="19" t="str">
        <f t="shared" si="167"/>
        <v>300k–600k</v>
      </c>
      <c r="P2396" s="19" t="str">
        <f t="shared" si="168"/>
        <v>26-35</v>
      </c>
    </row>
    <row r="2397" spans="1:16" x14ac:dyDescent="0.25">
      <c r="A2397">
        <v>2396</v>
      </c>
      <c r="B2397" t="s">
        <v>15</v>
      </c>
      <c r="C2397">
        <v>319560</v>
      </c>
      <c r="D2397" t="s">
        <v>10</v>
      </c>
      <c r="E2397" t="s">
        <v>16</v>
      </c>
      <c r="F2397" t="s">
        <v>12</v>
      </c>
      <c r="G2397" t="s">
        <v>13</v>
      </c>
      <c r="H2397" t="s">
        <v>12</v>
      </c>
      <c r="I2397">
        <v>30</v>
      </c>
      <c r="J2397" t="str" cm="1">
        <f t="array" ref="J2397">_xlfn.IFS(ISBLANK(C2397),"FALTANTE",ABS((C2397-$W$5)/$X$5)&gt;1.96,"ATÍPICO",ABS((C2397-$W$5)/$X$5)&lt;=1.96,"NO ATÍPICO")</f>
        <v>NO ATÍPICO</v>
      </c>
      <c r="K2397" t="str" cm="1">
        <f t="array" ref="K2397">_xlfn.IFS(ISBLANK(I2397),"FALTANTE",ABS((I2397-$W$8)/$X$8)&gt;1.92,"ATÍPICO",ABS((I2397-$W$8)/$X$8)&lt;=1.92,"NO ATÍPICO")</f>
        <v>NO ATÍPICO</v>
      </c>
      <c r="L2397">
        <f t="shared" si="165"/>
        <v>319560</v>
      </c>
      <c r="M2397" t="str">
        <f t="shared" si="165"/>
        <v>ASALARIADO</v>
      </c>
      <c r="N2397">
        <f t="shared" si="166"/>
        <v>30</v>
      </c>
      <c r="O2397" s="19" t="str">
        <f t="shared" si="167"/>
        <v>300k–600k</v>
      </c>
      <c r="P2397" s="19" t="str">
        <f t="shared" si="168"/>
        <v>26-35</v>
      </c>
    </row>
    <row r="2398" spans="1:16" x14ac:dyDescent="0.25">
      <c r="A2398">
        <v>2397</v>
      </c>
      <c r="B2398" t="s">
        <v>9</v>
      </c>
      <c r="C2398">
        <v>545579.25</v>
      </c>
      <c r="D2398" t="s">
        <v>10</v>
      </c>
      <c r="E2398" t="s">
        <v>16</v>
      </c>
      <c r="F2398" t="s">
        <v>12</v>
      </c>
      <c r="G2398" t="s">
        <v>13</v>
      </c>
      <c r="H2398" t="s">
        <v>13</v>
      </c>
      <c r="I2398">
        <v>39</v>
      </c>
      <c r="J2398" t="str" cm="1">
        <f t="array" ref="J2398">_xlfn.IFS(ISBLANK(C2398),"FALTANTE",ABS((C2398-$W$5)/$X$5)&gt;1.96,"ATÍPICO",ABS((C2398-$W$5)/$X$5)&lt;=1.96,"NO ATÍPICO")</f>
        <v>NO ATÍPICO</v>
      </c>
      <c r="K2398" t="str" cm="1">
        <f t="array" ref="K2398">_xlfn.IFS(ISBLANK(I2398),"FALTANTE",ABS((I2398-$W$8)/$X$8)&gt;1.92,"ATÍPICO",ABS((I2398-$W$8)/$X$8)&lt;=1.92,"NO ATÍPICO")</f>
        <v>NO ATÍPICO</v>
      </c>
      <c r="L2398">
        <f t="shared" si="165"/>
        <v>545579.25</v>
      </c>
      <c r="M2398" t="str">
        <f t="shared" si="165"/>
        <v>ASALARIADO</v>
      </c>
      <c r="N2398">
        <f t="shared" si="166"/>
        <v>39</v>
      </c>
      <c r="O2398" s="19" t="str">
        <f t="shared" si="167"/>
        <v>300k–600k</v>
      </c>
      <c r="P2398" s="19" t="str">
        <f t="shared" si="168"/>
        <v>36-45</v>
      </c>
    </row>
    <row r="2399" spans="1:16" x14ac:dyDescent="0.25">
      <c r="A2399">
        <v>2398</v>
      </c>
      <c r="B2399" t="s">
        <v>9</v>
      </c>
      <c r="C2399">
        <v>297046</v>
      </c>
      <c r="D2399" t="s">
        <v>18</v>
      </c>
      <c r="E2399" t="s">
        <v>16</v>
      </c>
      <c r="F2399" t="s">
        <v>12</v>
      </c>
      <c r="G2399" t="s">
        <v>12</v>
      </c>
      <c r="H2399" t="s">
        <v>12</v>
      </c>
      <c r="I2399">
        <v>43</v>
      </c>
      <c r="J2399" t="str" cm="1">
        <f t="array" ref="J2399">_xlfn.IFS(ISBLANK(C2399),"FALTANTE",ABS((C2399-$W$5)/$X$5)&gt;1.96,"ATÍPICO",ABS((C2399-$W$5)/$X$5)&lt;=1.96,"NO ATÍPICO")</f>
        <v>NO ATÍPICO</v>
      </c>
      <c r="K2399" t="str" cm="1">
        <f t="array" ref="K2399">_xlfn.IFS(ISBLANK(I2399),"FALTANTE",ABS((I2399-$W$8)/$X$8)&gt;1.92,"ATÍPICO",ABS((I2399-$W$8)/$X$8)&lt;=1.92,"NO ATÍPICO")</f>
        <v>NO ATÍPICO</v>
      </c>
      <c r="L2399">
        <f t="shared" si="165"/>
        <v>297046</v>
      </c>
      <c r="M2399" t="str">
        <f t="shared" si="165"/>
        <v>TRABAJADOR INDEPENDIENTE</v>
      </c>
      <c r="N2399">
        <f t="shared" si="166"/>
        <v>43</v>
      </c>
      <c r="O2399" s="19" t="str">
        <f t="shared" si="167"/>
        <v>0–300k</v>
      </c>
      <c r="P2399" s="19" t="str">
        <f t="shared" si="168"/>
        <v>36-45</v>
      </c>
    </row>
    <row r="2400" spans="1:16" x14ac:dyDescent="0.25">
      <c r="A2400">
        <v>2399</v>
      </c>
      <c r="B2400" t="s">
        <v>9</v>
      </c>
      <c r="C2400">
        <v>464335.96</v>
      </c>
      <c r="D2400" t="s">
        <v>10</v>
      </c>
      <c r="E2400" t="s">
        <v>16</v>
      </c>
      <c r="F2400" t="s">
        <v>12</v>
      </c>
      <c r="G2400" t="s">
        <v>13</v>
      </c>
      <c r="H2400" t="s">
        <v>13</v>
      </c>
      <c r="I2400">
        <v>54</v>
      </c>
      <c r="J2400" t="str" cm="1">
        <f t="array" ref="J2400">_xlfn.IFS(ISBLANK(C2400),"FALTANTE",ABS((C2400-$W$5)/$X$5)&gt;1.96,"ATÍPICO",ABS((C2400-$W$5)/$X$5)&lt;=1.96,"NO ATÍPICO")</f>
        <v>NO ATÍPICO</v>
      </c>
      <c r="K2400" t="str" cm="1">
        <f t="array" ref="K2400">_xlfn.IFS(ISBLANK(I2400),"FALTANTE",ABS((I2400-$W$8)/$X$8)&gt;1.92,"ATÍPICO",ABS((I2400-$W$8)/$X$8)&lt;=1.92,"NO ATÍPICO")</f>
        <v>NO ATÍPICO</v>
      </c>
      <c r="L2400">
        <f t="shared" si="165"/>
        <v>464335.96</v>
      </c>
      <c r="M2400" t="str">
        <f t="shared" si="165"/>
        <v>ASALARIADO</v>
      </c>
      <c r="N2400">
        <f t="shared" si="166"/>
        <v>54</v>
      </c>
      <c r="O2400" s="19" t="str">
        <f t="shared" si="167"/>
        <v>300k–600k</v>
      </c>
      <c r="P2400" s="19" t="str">
        <f t="shared" si="168"/>
        <v>46-55</v>
      </c>
    </row>
    <row r="2401" spans="1:16" x14ac:dyDescent="0.25">
      <c r="A2401">
        <v>2400</v>
      </c>
      <c r="B2401" t="s">
        <v>9</v>
      </c>
      <c r="C2401">
        <v>35000</v>
      </c>
      <c r="D2401" t="s">
        <v>10</v>
      </c>
      <c r="E2401" t="s">
        <v>16</v>
      </c>
      <c r="F2401" t="s">
        <v>12</v>
      </c>
      <c r="G2401" t="s">
        <v>13</v>
      </c>
      <c r="H2401" t="s">
        <v>13</v>
      </c>
      <c r="I2401">
        <v>34</v>
      </c>
      <c r="J2401" t="str" cm="1">
        <f t="array" ref="J2401">_xlfn.IFS(ISBLANK(C2401),"FALTANTE",ABS((C2401-$W$5)/$X$5)&gt;1.96,"ATÍPICO",ABS((C2401-$W$5)/$X$5)&lt;=1.96,"NO ATÍPICO")</f>
        <v>NO ATÍPICO</v>
      </c>
      <c r="K2401" t="str" cm="1">
        <f t="array" ref="K2401">_xlfn.IFS(ISBLANK(I2401),"FALTANTE",ABS((I2401-$W$8)/$X$8)&gt;1.92,"ATÍPICO",ABS((I2401-$W$8)/$X$8)&lt;=1.92,"NO ATÍPICO")</f>
        <v>NO ATÍPICO</v>
      </c>
      <c r="L2401">
        <f t="shared" si="165"/>
        <v>35000</v>
      </c>
      <c r="M2401" t="str">
        <f t="shared" si="165"/>
        <v>ASALARIADO</v>
      </c>
      <c r="N2401">
        <f t="shared" si="166"/>
        <v>34</v>
      </c>
      <c r="O2401" s="19" t="str">
        <f t="shared" si="167"/>
        <v>0–300k</v>
      </c>
      <c r="P2401" s="19" t="str">
        <f t="shared" si="168"/>
        <v>26-35</v>
      </c>
    </row>
    <row r="2402" spans="1:16" x14ac:dyDescent="0.25">
      <c r="A2402">
        <v>2401</v>
      </c>
      <c r="B2402" t="s">
        <v>9</v>
      </c>
      <c r="C2402">
        <v>344805</v>
      </c>
      <c r="D2402" t="s">
        <v>10</v>
      </c>
      <c r="E2402" t="s">
        <v>16</v>
      </c>
      <c r="F2402" t="s">
        <v>12</v>
      </c>
      <c r="G2402" t="s">
        <v>13</v>
      </c>
      <c r="H2402" t="s">
        <v>13</v>
      </c>
      <c r="I2402">
        <v>47</v>
      </c>
      <c r="J2402" t="str" cm="1">
        <f t="array" ref="J2402">_xlfn.IFS(ISBLANK(C2402),"FALTANTE",ABS((C2402-$W$5)/$X$5)&gt;1.96,"ATÍPICO",ABS((C2402-$W$5)/$X$5)&lt;=1.96,"NO ATÍPICO")</f>
        <v>NO ATÍPICO</v>
      </c>
      <c r="K2402" t="str" cm="1">
        <f t="array" ref="K2402">_xlfn.IFS(ISBLANK(I2402),"FALTANTE",ABS((I2402-$W$8)/$X$8)&gt;1.92,"ATÍPICO",ABS((I2402-$W$8)/$X$8)&lt;=1.92,"NO ATÍPICO")</f>
        <v>NO ATÍPICO</v>
      </c>
      <c r="L2402">
        <f t="shared" si="165"/>
        <v>344805</v>
      </c>
      <c r="M2402" t="str">
        <f t="shared" si="165"/>
        <v>ASALARIADO</v>
      </c>
      <c r="N2402">
        <f t="shared" si="166"/>
        <v>47</v>
      </c>
      <c r="O2402" s="19" t="str">
        <f t="shared" si="167"/>
        <v>300k–600k</v>
      </c>
      <c r="P2402" s="19" t="str">
        <f t="shared" si="168"/>
        <v>46-55</v>
      </c>
    </row>
    <row r="2403" spans="1:16" x14ac:dyDescent="0.25">
      <c r="A2403">
        <v>2402</v>
      </c>
      <c r="B2403" t="s">
        <v>15</v>
      </c>
      <c r="C2403">
        <v>323562</v>
      </c>
      <c r="D2403" t="s">
        <v>18</v>
      </c>
      <c r="E2403" t="s">
        <v>16</v>
      </c>
      <c r="F2403" t="s">
        <v>12</v>
      </c>
      <c r="G2403" t="s">
        <v>13</v>
      </c>
      <c r="H2403" t="s">
        <v>12</v>
      </c>
      <c r="I2403">
        <v>38</v>
      </c>
      <c r="J2403" t="str" cm="1">
        <f t="array" ref="J2403">_xlfn.IFS(ISBLANK(C2403),"FALTANTE",ABS((C2403-$W$5)/$X$5)&gt;1.96,"ATÍPICO",ABS((C2403-$W$5)/$X$5)&lt;=1.96,"NO ATÍPICO")</f>
        <v>NO ATÍPICO</v>
      </c>
      <c r="K2403" t="str" cm="1">
        <f t="array" ref="K2403">_xlfn.IFS(ISBLANK(I2403),"FALTANTE",ABS((I2403-$W$8)/$X$8)&gt;1.92,"ATÍPICO",ABS((I2403-$W$8)/$X$8)&lt;=1.92,"NO ATÍPICO")</f>
        <v>NO ATÍPICO</v>
      </c>
      <c r="L2403">
        <f t="shared" si="165"/>
        <v>323562</v>
      </c>
      <c r="M2403" t="str">
        <f t="shared" si="165"/>
        <v>TRABAJADOR INDEPENDIENTE</v>
      </c>
      <c r="N2403">
        <f t="shared" si="166"/>
        <v>38</v>
      </c>
      <c r="O2403" s="19" t="str">
        <f t="shared" si="167"/>
        <v>300k–600k</v>
      </c>
      <c r="P2403" s="19" t="str">
        <f t="shared" si="168"/>
        <v>36-45</v>
      </c>
    </row>
    <row r="2404" spans="1:16" x14ac:dyDescent="0.25">
      <c r="A2404">
        <v>2403</v>
      </c>
      <c r="B2404" t="s">
        <v>15</v>
      </c>
      <c r="C2404">
        <v>1095589</v>
      </c>
      <c r="D2404" t="s">
        <v>10</v>
      </c>
      <c r="E2404" t="s">
        <v>11</v>
      </c>
      <c r="F2404" t="s">
        <v>12</v>
      </c>
      <c r="G2404" t="s">
        <v>13</v>
      </c>
      <c r="H2404" t="s">
        <v>12</v>
      </c>
      <c r="I2404">
        <v>37</v>
      </c>
      <c r="J2404" t="str" cm="1">
        <f t="array" ref="J2404">_xlfn.IFS(ISBLANK(C2404),"FALTANTE",ABS((C2404-$W$5)/$X$5)&gt;1.96,"ATÍPICO",ABS((C2404-$W$5)/$X$5)&lt;=1.96,"NO ATÍPICO")</f>
        <v>NO ATÍPICO</v>
      </c>
      <c r="K2404" t="str" cm="1">
        <f t="array" ref="K2404">_xlfn.IFS(ISBLANK(I2404),"FALTANTE",ABS((I2404-$W$8)/$X$8)&gt;1.92,"ATÍPICO",ABS((I2404-$W$8)/$X$8)&lt;=1.92,"NO ATÍPICO")</f>
        <v>NO ATÍPICO</v>
      </c>
      <c r="L2404">
        <f t="shared" si="165"/>
        <v>1095589</v>
      </c>
      <c r="M2404" t="str">
        <f t="shared" si="165"/>
        <v>ASALARIADO</v>
      </c>
      <c r="N2404">
        <f t="shared" si="166"/>
        <v>37</v>
      </c>
      <c r="O2404" s="19" t="str">
        <f t="shared" si="167"/>
        <v>900k–1200k</v>
      </c>
      <c r="P2404" s="19" t="str">
        <f t="shared" si="168"/>
        <v>36-45</v>
      </c>
    </row>
    <row r="2405" spans="1:16" x14ac:dyDescent="0.25">
      <c r="A2405">
        <v>2404</v>
      </c>
      <c r="B2405" t="s">
        <v>9</v>
      </c>
      <c r="C2405">
        <v>549445.32999999996</v>
      </c>
      <c r="D2405" t="s">
        <v>10</v>
      </c>
      <c r="E2405" t="s">
        <v>16</v>
      </c>
      <c r="F2405" t="s">
        <v>12</v>
      </c>
      <c r="G2405" t="s">
        <v>13</v>
      </c>
      <c r="H2405" t="s">
        <v>13</v>
      </c>
      <c r="I2405">
        <v>20</v>
      </c>
      <c r="J2405" t="str" cm="1">
        <f t="array" ref="J2405">_xlfn.IFS(ISBLANK(C2405),"FALTANTE",ABS((C2405-$W$5)/$X$5)&gt;1.96,"ATÍPICO",ABS((C2405-$W$5)/$X$5)&lt;=1.96,"NO ATÍPICO")</f>
        <v>NO ATÍPICO</v>
      </c>
      <c r="K2405" t="str" cm="1">
        <f t="array" ref="K2405">_xlfn.IFS(ISBLANK(I2405),"FALTANTE",ABS((I2405-$W$8)/$X$8)&gt;1.92,"ATÍPICO",ABS((I2405-$W$8)/$X$8)&lt;=1.92,"NO ATÍPICO")</f>
        <v>NO ATÍPICO</v>
      </c>
      <c r="L2405">
        <f t="shared" si="165"/>
        <v>549445.32999999996</v>
      </c>
      <c r="M2405" t="str">
        <f t="shared" si="165"/>
        <v>ASALARIADO</v>
      </c>
      <c r="N2405">
        <f t="shared" si="166"/>
        <v>20</v>
      </c>
      <c r="O2405" s="19" t="str">
        <f t="shared" si="167"/>
        <v>300k–600k</v>
      </c>
      <c r="P2405" s="19" t="str">
        <f t="shared" si="168"/>
        <v>18-25</v>
      </c>
    </row>
    <row r="2406" spans="1:16" x14ac:dyDescent="0.25">
      <c r="A2406">
        <v>2405</v>
      </c>
      <c r="B2406" t="s">
        <v>15</v>
      </c>
      <c r="C2406">
        <v>245079.8</v>
      </c>
      <c r="D2406" t="s">
        <v>10</v>
      </c>
      <c r="E2406" t="s">
        <v>16</v>
      </c>
      <c r="F2406" t="s">
        <v>12</v>
      </c>
      <c r="G2406" t="s">
        <v>13</v>
      </c>
      <c r="H2406" t="s">
        <v>13</v>
      </c>
      <c r="I2406">
        <v>21</v>
      </c>
      <c r="J2406" t="str" cm="1">
        <f t="array" ref="J2406">_xlfn.IFS(ISBLANK(C2406),"FALTANTE",ABS((C2406-$W$5)/$X$5)&gt;1.96,"ATÍPICO",ABS((C2406-$W$5)/$X$5)&lt;=1.96,"NO ATÍPICO")</f>
        <v>NO ATÍPICO</v>
      </c>
      <c r="K2406" t="str" cm="1">
        <f t="array" ref="K2406">_xlfn.IFS(ISBLANK(I2406),"FALTANTE",ABS((I2406-$W$8)/$X$8)&gt;1.92,"ATÍPICO",ABS((I2406-$W$8)/$X$8)&lt;=1.92,"NO ATÍPICO")</f>
        <v>NO ATÍPICO</v>
      </c>
      <c r="L2406">
        <f t="shared" si="165"/>
        <v>245079.8</v>
      </c>
      <c r="M2406" t="str">
        <f t="shared" si="165"/>
        <v>ASALARIADO</v>
      </c>
      <c r="N2406">
        <f t="shared" si="166"/>
        <v>21</v>
      </c>
      <c r="O2406" s="19" t="str">
        <f t="shared" si="167"/>
        <v>0–300k</v>
      </c>
      <c r="P2406" s="19" t="str">
        <f t="shared" si="168"/>
        <v>18-25</v>
      </c>
    </row>
    <row r="2407" spans="1:16" x14ac:dyDescent="0.25">
      <c r="A2407">
        <v>2406</v>
      </c>
      <c r="B2407" t="s">
        <v>15</v>
      </c>
      <c r="C2407">
        <v>387099.75</v>
      </c>
      <c r="D2407" t="s">
        <v>10</v>
      </c>
      <c r="E2407" t="s">
        <v>16</v>
      </c>
      <c r="F2407" t="s">
        <v>12</v>
      </c>
      <c r="G2407" t="s">
        <v>13</v>
      </c>
      <c r="H2407" t="s">
        <v>13</v>
      </c>
      <c r="I2407">
        <v>41</v>
      </c>
      <c r="J2407" t="str" cm="1">
        <f t="array" ref="J2407">_xlfn.IFS(ISBLANK(C2407),"FALTANTE",ABS((C2407-$W$5)/$X$5)&gt;1.96,"ATÍPICO",ABS((C2407-$W$5)/$X$5)&lt;=1.96,"NO ATÍPICO")</f>
        <v>NO ATÍPICO</v>
      </c>
      <c r="K2407" t="str" cm="1">
        <f t="array" ref="K2407">_xlfn.IFS(ISBLANK(I2407),"FALTANTE",ABS((I2407-$W$8)/$X$8)&gt;1.92,"ATÍPICO",ABS((I2407-$W$8)/$X$8)&lt;=1.92,"NO ATÍPICO")</f>
        <v>NO ATÍPICO</v>
      </c>
      <c r="L2407">
        <f t="shared" si="165"/>
        <v>387099.75</v>
      </c>
      <c r="M2407" t="str">
        <f t="shared" si="165"/>
        <v>ASALARIADO</v>
      </c>
      <c r="N2407">
        <f t="shared" si="166"/>
        <v>41</v>
      </c>
      <c r="O2407" s="19" t="str">
        <f t="shared" si="167"/>
        <v>300k–600k</v>
      </c>
      <c r="P2407" s="19" t="str">
        <f t="shared" si="168"/>
        <v>36-45</v>
      </c>
    </row>
    <row r="2408" spans="1:16" x14ac:dyDescent="0.25">
      <c r="A2408">
        <v>2407</v>
      </c>
      <c r="B2408" t="s">
        <v>9</v>
      </c>
      <c r="C2408">
        <v>253571</v>
      </c>
      <c r="D2408" t="s">
        <v>14</v>
      </c>
      <c r="E2408" t="s">
        <v>11</v>
      </c>
      <c r="F2408" t="s">
        <v>12</v>
      </c>
      <c r="G2408" t="s">
        <v>13</v>
      </c>
      <c r="H2408" t="s">
        <v>13</v>
      </c>
      <c r="I2408">
        <v>56</v>
      </c>
      <c r="J2408" t="str" cm="1">
        <f t="array" ref="J2408">_xlfn.IFS(ISBLANK(C2408),"FALTANTE",ABS((C2408-$W$5)/$X$5)&gt;1.96,"ATÍPICO",ABS((C2408-$W$5)/$X$5)&lt;=1.96,"NO ATÍPICO")</f>
        <v>NO ATÍPICO</v>
      </c>
      <c r="K2408" t="str" cm="1">
        <f t="array" ref="K2408">_xlfn.IFS(ISBLANK(I2408),"FALTANTE",ABS((I2408-$W$8)/$X$8)&gt;1.92,"ATÍPICO",ABS((I2408-$W$8)/$X$8)&lt;=1.92,"NO ATÍPICO")</f>
        <v>NO ATÍPICO</v>
      </c>
      <c r="L2408">
        <f t="shared" si="165"/>
        <v>253571</v>
      </c>
      <c r="M2408" t="str">
        <f t="shared" si="165"/>
        <v>PENSIONADOS EN SU PROPIO SISTEMA</v>
      </c>
      <c r="N2408">
        <f t="shared" si="166"/>
        <v>56</v>
      </c>
      <c r="O2408" s="19" t="str">
        <f t="shared" si="167"/>
        <v>0–300k</v>
      </c>
      <c r="P2408" s="19" t="str">
        <f t="shared" si="168"/>
        <v>56+</v>
      </c>
    </row>
    <row r="2409" spans="1:16" x14ac:dyDescent="0.25">
      <c r="A2409">
        <v>2408</v>
      </c>
      <c r="B2409" t="s">
        <v>9</v>
      </c>
      <c r="C2409">
        <v>1187224</v>
      </c>
      <c r="D2409" t="s">
        <v>10</v>
      </c>
      <c r="E2409" t="s">
        <v>11</v>
      </c>
      <c r="F2409" t="s">
        <v>12</v>
      </c>
      <c r="G2409" t="s">
        <v>13</v>
      </c>
      <c r="H2409" t="s">
        <v>12</v>
      </c>
      <c r="I2409">
        <v>46</v>
      </c>
      <c r="J2409" t="str" cm="1">
        <f t="array" ref="J2409">_xlfn.IFS(ISBLANK(C2409),"FALTANTE",ABS((C2409-$W$5)/$X$5)&gt;1.96,"ATÍPICO",ABS((C2409-$W$5)/$X$5)&lt;=1.96,"NO ATÍPICO")</f>
        <v>NO ATÍPICO</v>
      </c>
      <c r="K2409" t="str" cm="1">
        <f t="array" ref="K2409">_xlfn.IFS(ISBLANK(I2409),"FALTANTE",ABS((I2409-$W$8)/$X$8)&gt;1.92,"ATÍPICO",ABS((I2409-$W$8)/$X$8)&lt;=1.92,"NO ATÍPICO")</f>
        <v>NO ATÍPICO</v>
      </c>
      <c r="L2409">
        <f t="shared" si="165"/>
        <v>1187224</v>
      </c>
      <c r="M2409" t="str">
        <f t="shared" si="165"/>
        <v>ASALARIADO</v>
      </c>
      <c r="N2409">
        <f t="shared" si="166"/>
        <v>46</v>
      </c>
      <c r="O2409" s="19" t="str">
        <f t="shared" si="167"/>
        <v>900k–1200k</v>
      </c>
      <c r="P2409" s="19" t="str">
        <f t="shared" si="168"/>
        <v>46-55</v>
      </c>
    </row>
    <row r="2410" spans="1:16" x14ac:dyDescent="0.25">
      <c r="A2410">
        <v>2409</v>
      </c>
      <c r="B2410" t="s">
        <v>9</v>
      </c>
      <c r="C2410">
        <v>584115.32999999996</v>
      </c>
      <c r="D2410" t="s">
        <v>10</v>
      </c>
      <c r="E2410" t="s">
        <v>16</v>
      </c>
      <c r="F2410" t="s">
        <v>12</v>
      </c>
      <c r="G2410" t="s">
        <v>13</v>
      </c>
      <c r="H2410" t="s">
        <v>13</v>
      </c>
      <c r="I2410">
        <v>46</v>
      </c>
      <c r="J2410" t="str" cm="1">
        <f t="array" ref="J2410">_xlfn.IFS(ISBLANK(C2410),"FALTANTE",ABS((C2410-$W$5)/$X$5)&gt;1.96,"ATÍPICO",ABS((C2410-$W$5)/$X$5)&lt;=1.96,"NO ATÍPICO")</f>
        <v>NO ATÍPICO</v>
      </c>
      <c r="K2410" t="str" cm="1">
        <f t="array" ref="K2410">_xlfn.IFS(ISBLANK(I2410),"FALTANTE",ABS((I2410-$W$8)/$X$8)&gt;1.92,"ATÍPICO",ABS((I2410-$W$8)/$X$8)&lt;=1.92,"NO ATÍPICO")</f>
        <v>NO ATÍPICO</v>
      </c>
      <c r="L2410">
        <f t="shared" si="165"/>
        <v>584115.32999999996</v>
      </c>
      <c r="M2410" t="str">
        <f t="shared" si="165"/>
        <v>ASALARIADO</v>
      </c>
      <c r="N2410">
        <f t="shared" si="166"/>
        <v>46</v>
      </c>
      <c r="O2410" s="19" t="str">
        <f t="shared" si="167"/>
        <v>300k–600k</v>
      </c>
      <c r="P2410" s="19" t="str">
        <f t="shared" si="168"/>
        <v>46-55</v>
      </c>
    </row>
    <row r="2411" spans="1:16" x14ac:dyDescent="0.25">
      <c r="A2411">
        <v>2410</v>
      </c>
      <c r="B2411" t="s">
        <v>15</v>
      </c>
      <c r="C2411">
        <v>446928</v>
      </c>
      <c r="D2411" t="s">
        <v>10</v>
      </c>
      <c r="E2411" t="s">
        <v>16</v>
      </c>
      <c r="F2411" t="s">
        <v>12</v>
      </c>
      <c r="G2411" t="s">
        <v>13</v>
      </c>
      <c r="H2411" t="s">
        <v>13</v>
      </c>
      <c r="I2411">
        <v>23</v>
      </c>
      <c r="J2411" t="str" cm="1">
        <f t="array" ref="J2411">_xlfn.IFS(ISBLANK(C2411),"FALTANTE",ABS((C2411-$W$5)/$X$5)&gt;1.96,"ATÍPICO",ABS((C2411-$W$5)/$X$5)&lt;=1.96,"NO ATÍPICO")</f>
        <v>NO ATÍPICO</v>
      </c>
      <c r="K2411" t="str" cm="1">
        <f t="array" ref="K2411">_xlfn.IFS(ISBLANK(I2411),"FALTANTE",ABS((I2411-$W$8)/$X$8)&gt;1.92,"ATÍPICO",ABS((I2411-$W$8)/$X$8)&lt;=1.92,"NO ATÍPICO")</f>
        <v>NO ATÍPICO</v>
      </c>
      <c r="L2411">
        <f t="shared" si="165"/>
        <v>446928</v>
      </c>
      <c r="M2411" t="str">
        <f t="shared" si="165"/>
        <v>ASALARIADO</v>
      </c>
      <c r="N2411">
        <f t="shared" si="166"/>
        <v>23</v>
      </c>
      <c r="O2411" s="19" t="str">
        <f t="shared" si="167"/>
        <v>300k–600k</v>
      </c>
      <c r="P2411" s="19" t="str">
        <f t="shared" si="168"/>
        <v>18-25</v>
      </c>
    </row>
    <row r="2412" spans="1:16" x14ac:dyDescent="0.25">
      <c r="A2412">
        <v>2411</v>
      </c>
      <c r="B2412" t="s">
        <v>9</v>
      </c>
      <c r="C2412">
        <v>302470</v>
      </c>
      <c r="D2412" t="s">
        <v>17</v>
      </c>
      <c r="E2412" t="s">
        <v>16</v>
      </c>
      <c r="F2412" t="s">
        <v>12</v>
      </c>
      <c r="G2412" t="s">
        <v>12</v>
      </c>
      <c r="H2412" t="s">
        <v>13</v>
      </c>
      <c r="I2412">
        <v>34</v>
      </c>
      <c r="J2412" t="str" cm="1">
        <f t="array" ref="J2412">_xlfn.IFS(ISBLANK(C2412),"FALTANTE",ABS((C2412-$W$5)/$X$5)&gt;1.96,"ATÍPICO",ABS((C2412-$W$5)/$X$5)&lt;=1.96,"NO ATÍPICO")</f>
        <v>NO ATÍPICO</v>
      </c>
      <c r="K2412" t="str" cm="1">
        <f t="array" ref="K2412">_xlfn.IFS(ISBLANK(I2412),"FALTANTE",ABS((I2412-$W$8)/$X$8)&gt;1.92,"ATÍPICO",ABS((I2412-$W$8)/$X$8)&lt;=1.92,"NO ATÍPICO")</f>
        <v>NO ATÍPICO</v>
      </c>
      <c r="L2412">
        <f t="shared" si="165"/>
        <v>302470</v>
      </c>
      <c r="M2412" t="str">
        <f t="shared" si="165"/>
        <v>ASEGURADO VOLUNTARIO</v>
      </c>
      <c r="N2412">
        <f t="shared" si="166"/>
        <v>34</v>
      </c>
      <c r="O2412" s="19" t="str">
        <f t="shared" si="167"/>
        <v>300k–600k</v>
      </c>
      <c r="P2412" s="19" t="str">
        <f t="shared" si="168"/>
        <v>26-35</v>
      </c>
    </row>
    <row r="2413" spans="1:16" x14ac:dyDescent="0.25">
      <c r="A2413">
        <v>2412</v>
      </c>
      <c r="B2413" t="s">
        <v>9</v>
      </c>
      <c r="C2413">
        <v>277000</v>
      </c>
      <c r="D2413" t="s">
        <v>10</v>
      </c>
      <c r="E2413" t="s">
        <v>16</v>
      </c>
      <c r="F2413" t="s">
        <v>12</v>
      </c>
      <c r="G2413" t="s">
        <v>12</v>
      </c>
      <c r="H2413" t="s">
        <v>12</v>
      </c>
      <c r="I2413">
        <v>23</v>
      </c>
      <c r="J2413" t="str" cm="1">
        <f t="array" ref="J2413">_xlfn.IFS(ISBLANK(C2413),"FALTANTE",ABS((C2413-$W$5)/$X$5)&gt;1.96,"ATÍPICO",ABS((C2413-$W$5)/$X$5)&lt;=1.96,"NO ATÍPICO")</f>
        <v>NO ATÍPICO</v>
      </c>
      <c r="K2413" t="str" cm="1">
        <f t="array" ref="K2413">_xlfn.IFS(ISBLANK(I2413),"FALTANTE",ABS((I2413-$W$8)/$X$8)&gt;1.92,"ATÍPICO",ABS((I2413-$W$8)/$X$8)&lt;=1.92,"NO ATÍPICO")</f>
        <v>NO ATÍPICO</v>
      </c>
      <c r="L2413">
        <f t="shared" si="165"/>
        <v>277000</v>
      </c>
      <c r="M2413" t="str">
        <f t="shared" si="165"/>
        <v>ASALARIADO</v>
      </c>
      <c r="N2413">
        <f t="shared" si="166"/>
        <v>23</v>
      </c>
      <c r="O2413" s="19" t="str">
        <f t="shared" si="167"/>
        <v>0–300k</v>
      </c>
      <c r="P2413" s="19" t="str">
        <f t="shared" si="168"/>
        <v>18-25</v>
      </c>
    </row>
    <row r="2414" spans="1:16" x14ac:dyDescent="0.25">
      <c r="A2414">
        <v>2413</v>
      </c>
      <c r="B2414" t="s">
        <v>9</v>
      </c>
      <c r="C2414">
        <v>241458</v>
      </c>
      <c r="D2414" t="s">
        <v>10</v>
      </c>
      <c r="E2414" t="s">
        <v>16</v>
      </c>
      <c r="F2414" t="s">
        <v>12</v>
      </c>
      <c r="G2414" t="s">
        <v>13</v>
      </c>
      <c r="H2414" t="s">
        <v>12</v>
      </c>
      <c r="I2414">
        <v>41</v>
      </c>
      <c r="J2414" t="str" cm="1">
        <f t="array" ref="J2414">_xlfn.IFS(ISBLANK(C2414),"FALTANTE",ABS((C2414-$W$5)/$X$5)&gt;1.96,"ATÍPICO",ABS((C2414-$W$5)/$X$5)&lt;=1.96,"NO ATÍPICO")</f>
        <v>NO ATÍPICO</v>
      </c>
      <c r="K2414" t="str" cm="1">
        <f t="array" ref="K2414">_xlfn.IFS(ISBLANK(I2414),"FALTANTE",ABS((I2414-$W$8)/$X$8)&gt;1.92,"ATÍPICO",ABS((I2414-$W$8)/$X$8)&lt;=1.92,"NO ATÍPICO")</f>
        <v>NO ATÍPICO</v>
      </c>
      <c r="L2414">
        <f t="shared" si="165"/>
        <v>241458</v>
      </c>
      <c r="M2414" t="str">
        <f t="shared" si="165"/>
        <v>ASALARIADO</v>
      </c>
      <c r="N2414">
        <f t="shared" si="166"/>
        <v>41</v>
      </c>
      <c r="O2414" s="19" t="str">
        <f t="shared" si="167"/>
        <v>0–300k</v>
      </c>
      <c r="P2414" s="19" t="str">
        <f t="shared" si="168"/>
        <v>36-45</v>
      </c>
    </row>
    <row r="2415" spans="1:16" x14ac:dyDescent="0.25">
      <c r="A2415">
        <v>2414</v>
      </c>
      <c r="B2415" t="s">
        <v>9</v>
      </c>
      <c r="C2415">
        <v>255000</v>
      </c>
      <c r="D2415" t="s">
        <v>10</v>
      </c>
      <c r="E2415" t="s">
        <v>16</v>
      </c>
      <c r="F2415" t="s">
        <v>12</v>
      </c>
      <c r="G2415" t="s">
        <v>12</v>
      </c>
      <c r="H2415" t="s">
        <v>12</v>
      </c>
      <c r="I2415">
        <v>55</v>
      </c>
      <c r="J2415" t="str" cm="1">
        <f t="array" ref="J2415">_xlfn.IFS(ISBLANK(C2415),"FALTANTE",ABS((C2415-$W$5)/$X$5)&gt;1.96,"ATÍPICO",ABS((C2415-$W$5)/$X$5)&lt;=1.96,"NO ATÍPICO")</f>
        <v>NO ATÍPICO</v>
      </c>
      <c r="K2415" t="str" cm="1">
        <f t="array" ref="K2415">_xlfn.IFS(ISBLANK(I2415),"FALTANTE",ABS((I2415-$W$8)/$X$8)&gt;1.92,"ATÍPICO",ABS((I2415-$W$8)/$X$8)&lt;=1.92,"NO ATÍPICO")</f>
        <v>NO ATÍPICO</v>
      </c>
      <c r="L2415">
        <f t="shared" si="165"/>
        <v>255000</v>
      </c>
      <c r="M2415" t="str">
        <f t="shared" si="165"/>
        <v>ASALARIADO</v>
      </c>
      <c r="N2415">
        <f t="shared" si="166"/>
        <v>55</v>
      </c>
      <c r="O2415" s="19" t="str">
        <f t="shared" si="167"/>
        <v>0–300k</v>
      </c>
      <c r="P2415" s="19" t="str">
        <f t="shared" si="168"/>
        <v>46-55</v>
      </c>
    </row>
    <row r="2416" spans="1:16" x14ac:dyDescent="0.25">
      <c r="A2416">
        <v>2415</v>
      </c>
      <c r="B2416" t="s">
        <v>15</v>
      </c>
      <c r="C2416">
        <v>1332081</v>
      </c>
      <c r="D2416" t="s">
        <v>14</v>
      </c>
      <c r="E2416" t="s">
        <v>11</v>
      </c>
      <c r="F2416" t="s">
        <v>12</v>
      </c>
      <c r="G2416" t="s">
        <v>13</v>
      </c>
      <c r="H2416" t="s">
        <v>13</v>
      </c>
      <c r="I2416">
        <v>65</v>
      </c>
      <c r="J2416" t="str" cm="1">
        <f t="array" ref="J2416">_xlfn.IFS(ISBLANK(C2416),"FALTANTE",ABS((C2416-$W$5)/$X$5)&gt;1.96,"ATÍPICO",ABS((C2416-$W$5)/$X$5)&lt;=1.96,"NO ATÍPICO")</f>
        <v>NO ATÍPICO</v>
      </c>
      <c r="K2416" t="str" cm="1">
        <f t="array" ref="K2416">_xlfn.IFS(ISBLANK(I2416),"FALTANTE",ABS((I2416-$W$8)/$X$8)&gt;1.92,"ATÍPICO",ABS((I2416-$W$8)/$X$8)&lt;=1.92,"NO ATÍPICO")</f>
        <v>NO ATÍPICO</v>
      </c>
      <c r="L2416">
        <f t="shared" si="165"/>
        <v>1332081</v>
      </c>
      <c r="M2416" t="str">
        <f t="shared" si="165"/>
        <v>PENSIONADOS EN SU PROPIO SISTEMA</v>
      </c>
      <c r="N2416">
        <f t="shared" si="166"/>
        <v>65</v>
      </c>
      <c r="O2416" s="19" t="str">
        <f t="shared" si="167"/>
        <v>1200k+</v>
      </c>
      <c r="P2416" s="19" t="str">
        <f t="shared" si="168"/>
        <v>56+</v>
      </c>
    </row>
    <row r="2417" spans="1:16" x14ac:dyDescent="0.25">
      <c r="A2417">
        <v>2416</v>
      </c>
      <c r="B2417" t="s">
        <v>9</v>
      </c>
      <c r="C2417">
        <v>323296</v>
      </c>
      <c r="D2417" t="s">
        <v>18</v>
      </c>
      <c r="E2417" t="s">
        <v>16</v>
      </c>
      <c r="F2417" t="s">
        <v>12</v>
      </c>
      <c r="G2417" t="s">
        <v>13</v>
      </c>
      <c r="H2417" t="s">
        <v>13</v>
      </c>
      <c r="I2417">
        <v>33</v>
      </c>
      <c r="J2417" t="str" cm="1">
        <f t="array" ref="J2417">_xlfn.IFS(ISBLANK(C2417),"FALTANTE",ABS((C2417-$W$5)/$X$5)&gt;1.96,"ATÍPICO",ABS((C2417-$W$5)/$X$5)&lt;=1.96,"NO ATÍPICO")</f>
        <v>NO ATÍPICO</v>
      </c>
      <c r="K2417" t="str" cm="1">
        <f t="array" ref="K2417">_xlfn.IFS(ISBLANK(I2417),"FALTANTE",ABS((I2417-$W$8)/$X$8)&gt;1.92,"ATÍPICO",ABS((I2417-$W$8)/$X$8)&lt;=1.92,"NO ATÍPICO")</f>
        <v>NO ATÍPICO</v>
      </c>
      <c r="L2417">
        <f t="shared" si="165"/>
        <v>323296</v>
      </c>
      <c r="M2417" t="str">
        <f t="shared" si="165"/>
        <v>TRABAJADOR INDEPENDIENTE</v>
      </c>
      <c r="N2417">
        <f t="shared" si="166"/>
        <v>33</v>
      </c>
      <c r="O2417" s="19" t="str">
        <f t="shared" si="167"/>
        <v>300k–600k</v>
      </c>
      <c r="P2417" s="19" t="str">
        <f t="shared" si="168"/>
        <v>26-35</v>
      </c>
    </row>
    <row r="2418" spans="1:16" x14ac:dyDescent="0.25">
      <c r="A2418">
        <v>2417</v>
      </c>
      <c r="B2418" t="s">
        <v>9</v>
      </c>
      <c r="C2418">
        <v>362000</v>
      </c>
      <c r="D2418" t="s">
        <v>10</v>
      </c>
      <c r="E2418" t="s">
        <v>16</v>
      </c>
      <c r="F2418" t="s">
        <v>12</v>
      </c>
      <c r="G2418" t="s">
        <v>13</v>
      </c>
      <c r="H2418" t="s">
        <v>13</v>
      </c>
      <c r="I2418">
        <v>31</v>
      </c>
      <c r="J2418" t="str" cm="1">
        <f t="array" ref="J2418">_xlfn.IFS(ISBLANK(C2418),"FALTANTE",ABS((C2418-$W$5)/$X$5)&gt;1.96,"ATÍPICO",ABS((C2418-$W$5)/$X$5)&lt;=1.96,"NO ATÍPICO")</f>
        <v>NO ATÍPICO</v>
      </c>
      <c r="K2418" t="str" cm="1">
        <f t="array" ref="K2418">_xlfn.IFS(ISBLANK(I2418),"FALTANTE",ABS((I2418-$W$8)/$X$8)&gt;1.92,"ATÍPICO",ABS((I2418-$W$8)/$X$8)&lt;=1.92,"NO ATÍPICO")</f>
        <v>NO ATÍPICO</v>
      </c>
      <c r="L2418">
        <f t="shared" si="165"/>
        <v>362000</v>
      </c>
      <c r="M2418" t="str">
        <f t="shared" si="165"/>
        <v>ASALARIADO</v>
      </c>
      <c r="N2418">
        <f t="shared" si="166"/>
        <v>31</v>
      </c>
      <c r="O2418" s="19" t="str">
        <f t="shared" si="167"/>
        <v>300k–600k</v>
      </c>
      <c r="P2418" s="19" t="str">
        <f t="shared" si="168"/>
        <v>26-35</v>
      </c>
    </row>
    <row r="2419" spans="1:16" x14ac:dyDescent="0.25">
      <c r="A2419">
        <v>2418</v>
      </c>
      <c r="B2419" t="s">
        <v>9</v>
      </c>
      <c r="C2419">
        <v>501467</v>
      </c>
      <c r="D2419" t="s">
        <v>18</v>
      </c>
      <c r="E2419" t="s">
        <v>16</v>
      </c>
      <c r="F2419" t="s">
        <v>12</v>
      </c>
      <c r="G2419" t="s">
        <v>13</v>
      </c>
      <c r="H2419" t="s">
        <v>13</v>
      </c>
      <c r="I2419">
        <v>37</v>
      </c>
      <c r="J2419" t="str" cm="1">
        <f t="array" ref="J2419">_xlfn.IFS(ISBLANK(C2419),"FALTANTE",ABS((C2419-$W$5)/$X$5)&gt;1.96,"ATÍPICO",ABS((C2419-$W$5)/$X$5)&lt;=1.96,"NO ATÍPICO")</f>
        <v>NO ATÍPICO</v>
      </c>
      <c r="K2419" t="str" cm="1">
        <f t="array" ref="K2419">_xlfn.IFS(ISBLANK(I2419),"FALTANTE",ABS((I2419-$W$8)/$X$8)&gt;1.92,"ATÍPICO",ABS((I2419-$W$8)/$X$8)&lt;=1.92,"NO ATÍPICO")</f>
        <v>NO ATÍPICO</v>
      </c>
      <c r="L2419">
        <f t="shared" si="165"/>
        <v>501467</v>
      </c>
      <c r="M2419" t="str">
        <f t="shared" si="165"/>
        <v>TRABAJADOR INDEPENDIENTE</v>
      </c>
      <c r="N2419">
        <f t="shared" si="166"/>
        <v>37</v>
      </c>
      <c r="O2419" s="19" t="str">
        <f t="shared" si="167"/>
        <v>300k–600k</v>
      </c>
      <c r="P2419" s="19" t="str">
        <f t="shared" si="168"/>
        <v>36-45</v>
      </c>
    </row>
    <row r="2420" spans="1:16" x14ac:dyDescent="0.25">
      <c r="A2420">
        <v>2419</v>
      </c>
      <c r="B2420" t="s">
        <v>15</v>
      </c>
      <c r="C2420">
        <v>534933</v>
      </c>
      <c r="D2420" t="s">
        <v>10</v>
      </c>
      <c r="E2420" t="s">
        <v>16</v>
      </c>
      <c r="F2420" t="s">
        <v>12</v>
      </c>
      <c r="G2420" t="s">
        <v>13</v>
      </c>
      <c r="H2420" t="s">
        <v>13</v>
      </c>
      <c r="I2420">
        <v>59</v>
      </c>
      <c r="J2420" t="str" cm="1">
        <f t="array" ref="J2420">_xlfn.IFS(ISBLANK(C2420),"FALTANTE",ABS((C2420-$W$5)/$X$5)&gt;1.96,"ATÍPICO",ABS((C2420-$W$5)/$X$5)&lt;=1.96,"NO ATÍPICO")</f>
        <v>NO ATÍPICO</v>
      </c>
      <c r="K2420" t="str" cm="1">
        <f t="array" ref="K2420">_xlfn.IFS(ISBLANK(I2420),"FALTANTE",ABS((I2420-$W$8)/$X$8)&gt;1.92,"ATÍPICO",ABS((I2420-$W$8)/$X$8)&lt;=1.92,"NO ATÍPICO")</f>
        <v>NO ATÍPICO</v>
      </c>
      <c r="L2420">
        <f t="shared" si="165"/>
        <v>534933</v>
      </c>
      <c r="M2420" t="str">
        <f t="shared" si="165"/>
        <v>ASALARIADO</v>
      </c>
      <c r="N2420">
        <f t="shared" si="166"/>
        <v>59</v>
      </c>
      <c r="O2420" s="19" t="str">
        <f t="shared" si="167"/>
        <v>300k–600k</v>
      </c>
      <c r="P2420" s="19" t="str">
        <f t="shared" si="168"/>
        <v>56+</v>
      </c>
    </row>
    <row r="2421" spans="1:16" x14ac:dyDescent="0.25">
      <c r="A2421">
        <v>2420</v>
      </c>
      <c r="B2421" t="s">
        <v>15</v>
      </c>
      <c r="C2421">
        <v>375584</v>
      </c>
      <c r="D2421" t="s">
        <v>10</v>
      </c>
      <c r="E2421" t="s">
        <v>11</v>
      </c>
      <c r="F2421" t="s">
        <v>12</v>
      </c>
      <c r="G2421" t="s">
        <v>13</v>
      </c>
      <c r="H2421" t="s">
        <v>13</v>
      </c>
      <c r="I2421">
        <v>26</v>
      </c>
      <c r="J2421" t="str" cm="1">
        <f t="array" ref="J2421">_xlfn.IFS(ISBLANK(C2421),"FALTANTE",ABS((C2421-$W$5)/$X$5)&gt;1.96,"ATÍPICO",ABS((C2421-$W$5)/$X$5)&lt;=1.96,"NO ATÍPICO")</f>
        <v>NO ATÍPICO</v>
      </c>
      <c r="K2421" t="str" cm="1">
        <f t="array" ref="K2421">_xlfn.IFS(ISBLANK(I2421),"FALTANTE",ABS((I2421-$W$8)/$X$8)&gt;1.92,"ATÍPICO",ABS((I2421-$W$8)/$X$8)&lt;=1.92,"NO ATÍPICO")</f>
        <v>NO ATÍPICO</v>
      </c>
      <c r="L2421">
        <f t="shared" si="165"/>
        <v>375584</v>
      </c>
      <c r="M2421" t="str">
        <f t="shared" si="165"/>
        <v>ASALARIADO</v>
      </c>
      <c r="N2421">
        <f t="shared" si="166"/>
        <v>26</v>
      </c>
      <c r="O2421" s="19" t="str">
        <f t="shared" si="167"/>
        <v>300k–600k</v>
      </c>
      <c r="P2421" s="19" t="str">
        <f t="shared" si="168"/>
        <v>26-35</v>
      </c>
    </row>
    <row r="2422" spans="1:16" x14ac:dyDescent="0.25">
      <c r="A2422">
        <v>2421</v>
      </c>
      <c r="B2422" t="s">
        <v>9</v>
      </c>
      <c r="C2422">
        <v>414094.87</v>
      </c>
      <c r="D2422" t="s">
        <v>10</v>
      </c>
      <c r="E2422" t="s">
        <v>16</v>
      </c>
      <c r="F2422" t="s">
        <v>12</v>
      </c>
      <c r="G2422" t="s">
        <v>13</v>
      </c>
      <c r="H2422" t="s">
        <v>13</v>
      </c>
      <c r="I2422">
        <v>19</v>
      </c>
      <c r="J2422" t="str" cm="1">
        <f t="array" ref="J2422">_xlfn.IFS(ISBLANK(C2422),"FALTANTE",ABS((C2422-$W$5)/$X$5)&gt;1.96,"ATÍPICO",ABS((C2422-$W$5)/$X$5)&lt;=1.96,"NO ATÍPICO")</f>
        <v>NO ATÍPICO</v>
      </c>
      <c r="K2422" t="str" cm="1">
        <f t="array" ref="K2422">_xlfn.IFS(ISBLANK(I2422),"FALTANTE",ABS((I2422-$W$8)/$X$8)&gt;1.92,"ATÍPICO",ABS((I2422-$W$8)/$X$8)&lt;=1.92,"NO ATÍPICO")</f>
        <v>NO ATÍPICO</v>
      </c>
      <c r="L2422">
        <f t="shared" si="165"/>
        <v>414094.87</v>
      </c>
      <c r="M2422" t="str">
        <f t="shared" si="165"/>
        <v>ASALARIADO</v>
      </c>
      <c r="N2422">
        <f t="shared" si="166"/>
        <v>19</v>
      </c>
      <c r="O2422" s="19" t="str">
        <f t="shared" si="167"/>
        <v>300k–600k</v>
      </c>
      <c r="P2422" s="19" t="str">
        <f t="shared" si="168"/>
        <v>18-25</v>
      </c>
    </row>
    <row r="2423" spans="1:16" x14ac:dyDescent="0.25">
      <c r="A2423">
        <v>2422</v>
      </c>
      <c r="B2423" t="s">
        <v>9</v>
      </c>
      <c r="C2423">
        <v>292387</v>
      </c>
      <c r="D2423" t="s">
        <v>17</v>
      </c>
      <c r="E2423" t="s">
        <v>16</v>
      </c>
      <c r="F2423" t="s">
        <v>12</v>
      </c>
      <c r="G2423" t="s">
        <v>13</v>
      </c>
      <c r="H2423" t="s">
        <v>12</v>
      </c>
      <c r="I2423">
        <v>52</v>
      </c>
      <c r="J2423" t="str" cm="1">
        <f t="array" ref="J2423">_xlfn.IFS(ISBLANK(C2423),"FALTANTE",ABS((C2423-$W$5)/$X$5)&gt;1.96,"ATÍPICO",ABS((C2423-$W$5)/$X$5)&lt;=1.96,"NO ATÍPICO")</f>
        <v>NO ATÍPICO</v>
      </c>
      <c r="K2423" t="str" cm="1">
        <f t="array" ref="K2423">_xlfn.IFS(ISBLANK(I2423),"FALTANTE",ABS((I2423-$W$8)/$X$8)&gt;1.92,"ATÍPICO",ABS((I2423-$W$8)/$X$8)&lt;=1.92,"NO ATÍPICO")</f>
        <v>NO ATÍPICO</v>
      </c>
      <c r="L2423">
        <f t="shared" si="165"/>
        <v>292387</v>
      </c>
      <c r="M2423" t="str">
        <f t="shared" si="165"/>
        <v>ASEGURADO VOLUNTARIO</v>
      </c>
      <c r="N2423">
        <f t="shared" si="166"/>
        <v>52</v>
      </c>
      <c r="O2423" s="19" t="str">
        <f t="shared" si="167"/>
        <v>0–300k</v>
      </c>
      <c r="P2423" s="19" t="str">
        <f t="shared" si="168"/>
        <v>46-55</v>
      </c>
    </row>
    <row r="2424" spans="1:16" x14ac:dyDescent="0.25">
      <c r="A2424">
        <v>2423</v>
      </c>
      <c r="B2424" t="s">
        <v>15</v>
      </c>
      <c r="C2424">
        <v>753003.24</v>
      </c>
      <c r="D2424" t="s">
        <v>10</v>
      </c>
      <c r="E2424" t="s">
        <v>11</v>
      </c>
      <c r="F2424" t="s">
        <v>12</v>
      </c>
      <c r="G2424" t="s">
        <v>13</v>
      </c>
      <c r="H2424" t="s">
        <v>13</v>
      </c>
      <c r="I2424">
        <v>22</v>
      </c>
      <c r="J2424" t="str" cm="1">
        <f t="array" ref="J2424">_xlfn.IFS(ISBLANK(C2424),"FALTANTE",ABS((C2424-$W$5)/$X$5)&gt;1.96,"ATÍPICO",ABS((C2424-$W$5)/$X$5)&lt;=1.96,"NO ATÍPICO")</f>
        <v>NO ATÍPICO</v>
      </c>
      <c r="K2424" t="str" cm="1">
        <f t="array" ref="K2424">_xlfn.IFS(ISBLANK(I2424),"FALTANTE",ABS((I2424-$W$8)/$X$8)&gt;1.92,"ATÍPICO",ABS((I2424-$W$8)/$X$8)&lt;=1.92,"NO ATÍPICO")</f>
        <v>NO ATÍPICO</v>
      </c>
      <c r="L2424">
        <f t="shared" si="165"/>
        <v>753003.24</v>
      </c>
      <c r="M2424" t="str">
        <f t="shared" si="165"/>
        <v>ASALARIADO</v>
      </c>
      <c r="N2424">
        <f t="shared" si="166"/>
        <v>22</v>
      </c>
      <c r="O2424" s="19" t="str">
        <f t="shared" si="167"/>
        <v>600k–900k</v>
      </c>
      <c r="P2424" s="19" t="str">
        <f t="shared" si="168"/>
        <v>18-25</v>
      </c>
    </row>
    <row r="2425" spans="1:16" x14ac:dyDescent="0.25">
      <c r="A2425">
        <v>2424</v>
      </c>
      <c r="B2425" t="s">
        <v>15</v>
      </c>
      <c r="C2425">
        <v>375740</v>
      </c>
      <c r="D2425" t="s">
        <v>18</v>
      </c>
      <c r="E2425" t="s">
        <v>16</v>
      </c>
      <c r="F2425" t="s">
        <v>12</v>
      </c>
      <c r="G2425" t="s">
        <v>13</v>
      </c>
      <c r="H2425" t="s">
        <v>12</v>
      </c>
      <c r="I2425">
        <v>50</v>
      </c>
      <c r="J2425" t="str" cm="1">
        <f t="array" ref="J2425">_xlfn.IFS(ISBLANK(C2425),"FALTANTE",ABS((C2425-$W$5)/$X$5)&gt;1.96,"ATÍPICO",ABS((C2425-$W$5)/$X$5)&lt;=1.96,"NO ATÍPICO")</f>
        <v>NO ATÍPICO</v>
      </c>
      <c r="K2425" t="str" cm="1">
        <f t="array" ref="K2425">_xlfn.IFS(ISBLANK(I2425),"FALTANTE",ABS((I2425-$W$8)/$X$8)&gt;1.92,"ATÍPICO",ABS((I2425-$W$8)/$X$8)&lt;=1.92,"NO ATÍPICO")</f>
        <v>NO ATÍPICO</v>
      </c>
      <c r="L2425">
        <f t="shared" si="165"/>
        <v>375740</v>
      </c>
      <c r="M2425" t="str">
        <f t="shared" si="165"/>
        <v>TRABAJADOR INDEPENDIENTE</v>
      </c>
      <c r="N2425">
        <f t="shared" si="166"/>
        <v>50</v>
      </c>
      <c r="O2425" s="19" t="str">
        <f t="shared" si="167"/>
        <v>300k–600k</v>
      </c>
      <c r="P2425" s="19" t="str">
        <f t="shared" si="168"/>
        <v>46-55</v>
      </c>
    </row>
    <row r="2426" spans="1:16" x14ac:dyDescent="0.25">
      <c r="A2426">
        <v>2425</v>
      </c>
      <c r="B2426" t="s">
        <v>15</v>
      </c>
      <c r="C2426">
        <v>1070560</v>
      </c>
      <c r="D2426" t="s">
        <v>10</v>
      </c>
      <c r="E2426" t="s">
        <v>11</v>
      </c>
      <c r="F2426" t="s">
        <v>12</v>
      </c>
      <c r="G2426" t="s">
        <v>13</v>
      </c>
      <c r="H2426" t="s">
        <v>12</v>
      </c>
      <c r="I2426">
        <v>34</v>
      </c>
      <c r="J2426" t="str" cm="1">
        <f t="array" ref="J2426">_xlfn.IFS(ISBLANK(C2426),"FALTANTE",ABS((C2426-$W$5)/$X$5)&gt;1.96,"ATÍPICO",ABS((C2426-$W$5)/$X$5)&lt;=1.96,"NO ATÍPICO")</f>
        <v>NO ATÍPICO</v>
      </c>
      <c r="K2426" t="str" cm="1">
        <f t="array" ref="K2426">_xlfn.IFS(ISBLANK(I2426),"FALTANTE",ABS((I2426-$W$8)/$X$8)&gt;1.92,"ATÍPICO",ABS((I2426-$W$8)/$X$8)&lt;=1.92,"NO ATÍPICO")</f>
        <v>NO ATÍPICO</v>
      </c>
      <c r="L2426">
        <f t="shared" si="165"/>
        <v>1070560</v>
      </c>
      <c r="M2426" t="str">
        <f t="shared" si="165"/>
        <v>ASALARIADO</v>
      </c>
      <c r="N2426">
        <f t="shared" si="166"/>
        <v>34</v>
      </c>
      <c r="O2426" s="19" t="str">
        <f t="shared" si="167"/>
        <v>900k–1200k</v>
      </c>
      <c r="P2426" s="19" t="str">
        <f t="shared" si="168"/>
        <v>26-35</v>
      </c>
    </row>
    <row r="2427" spans="1:16" x14ac:dyDescent="0.25">
      <c r="A2427">
        <v>2426</v>
      </c>
      <c r="B2427" t="s">
        <v>15</v>
      </c>
      <c r="C2427">
        <v>297046</v>
      </c>
      <c r="D2427" t="s">
        <v>17</v>
      </c>
      <c r="E2427" t="s">
        <v>16</v>
      </c>
      <c r="F2427" t="s">
        <v>12</v>
      </c>
      <c r="G2427" t="s">
        <v>12</v>
      </c>
      <c r="H2427" t="s">
        <v>13</v>
      </c>
      <c r="I2427">
        <v>55</v>
      </c>
      <c r="J2427" t="str" cm="1">
        <f t="array" ref="J2427">_xlfn.IFS(ISBLANK(C2427),"FALTANTE",ABS((C2427-$W$5)/$X$5)&gt;1.96,"ATÍPICO",ABS((C2427-$W$5)/$X$5)&lt;=1.96,"NO ATÍPICO")</f>
        <v>NO ATÍPICO</v>
      </c>
      <c r="K2427" t="str" cm="1">
        <f t="array" ref="K2427">_xlfn.IFS(ISBLANK(I2427),"FALTANTE",ABS((I2427-$W$8)/$X$8)&gt;1.92,"ATÍPICO",ABS((I2427-$W$8)/$X$8)&lt;=1.92,"NO ATÍPICO")</f>
        <v>NO ATÍPICO</v>
      </c>
      <c r="L2427">
        <f t="shared" si="165"/>
        <v>297046</v>
      </c>
      <c r="M2427" t="str">
        <f t="shared" si="165"/>
        <v>ASEGURADO VOLUNTARIO</v>
      </c>
      <c r="N2427">
        <f t="shared" si="166"/>
        <v>55</v>
      </c>
      <c r="O2427" s="19" t="str">
        <f t="shared" si="167"/>
        <v>0–300k</v>
      </c>
      <c r="P2427" s="19" t="str">
        <f t="shared" si="168"/>
        <v>46-55</v>
      </c>
    </row>
    <row r="2428" spans="1:16" x14ac:dyDescent="0.25">
      <c r="A2428">
        <v>2427</v>
      </c>
      <c r="B2428" t="s">
        <v>9</v>
      </c>
      <c r="C2428">
        <v>391510</v>
      </c>
      <c r="D2428" t="s">
        <v>10</v>
      </c>
      <c r="E2428" t="s">
        <v>16</v>
      </c>
      <c r="F2428" t="s">
        <v>12</v>
      </c>
      <c r="G2428" t="s">
        <v>13</v>
      </c>
      <c r="H2428" t="s">
        <v>13</v>
      </c>
      <c r="I2428">
        <v>31</v>
      </c>
      <c r="J2428" t="str" cm="1">
        <f t="array" ref="J2428">_xlfn.IFS(ISBLANK(C2428),"FALTANTE",ABS((C2428-$W$5)/$X$5)&gt;1.96,"ATÍPICO",ABS((C2428-$W$5)/$X$5)&lt;=1.96,"NO ATÍPICO")</f>
        <v>NO ATÍPICO</v>
      </c>
      <c r="K2428" t="str" cm="1">
        <f t="array" ref="K2428">_xlfn.IFS(ISBLANK(I2428),"FALTANTE",ABS((I2428-$W$8)/$X$8)&gt;1.92,"ATÍPICO",ABS((I2428-$W$8)/$X$8)&lt;=1.92,"NO ATÍPICO")</f>
        <v>NO ATÍPICO</v>
      </c>
      <c r="L2428">
        <f t="shared" si="165"/>
        <v>391510</v>
      </c>
      <c r="M2428" t="str">
        <f t="shared" si="165"/>
        <v>ASALARIADO</v>
      </c>
      <c r="N2428">
        <f t="shared" si="166"/>
        <v>31</v>
      </c>
      <c r="O2428" s="19" t="str">
        <f t="shared" si="167"/>
        <v>300k–600k</v>
      </c>
      <c r="P2428" s="19" t="str">
        <f t="shared" si="168"/>
        <v>26-35</v>
      </c>
    </row>
    <row r="2429" spans="1:16" x14ac:dyDescent="0.25">
      <c r="A2429">
        <v>2428</v>
      </c>
      <c r="B2429" t="s">
        <v>9</v>
      </c>
      <c r="C2429">
        <v>447250</v>
      </c>
      <c r="D2429" t="s">
        <v>10</v>
      </c>
      <c r="E2429" t="s">
        <v>16</v>
      </c>
      <c r="F2429" t="s">
        <v>12</v>
      </c>
      <c r="G2429" t="s">
        <v>13</v>
      </c>
      <c r="H2429" t="s">
        <v>13</v>
      </c>
      <c r="I2429">
        <v>37</v>
      </c>
      <c r="J2429" t="str" cm="1">
        <f t="array" ref="J2429">_xlfn.IFS(ISBLANK(C2429),"FALTANTE",ABS((C2429-$W$5)/$X$5)&gt;1.96,"ATÍPICO",ABS((C2429-$W$5)/$X$5)&lt;=1.96,"NO ATÍPICO")</f>
        <v>NO ATÍPICO</v>
      </c>
      <c r="K2429" t="str" cm="1">
        <f t="array" ref="K2429">_xlfn.IFS(ISBLANK(I2429),"FALTANTE",ABS((I2429-$W$8)/$X$8)&gt;1.92,"ATÍPICO",ABS((I2429-$W$8)/$X$8)&lt;=1.92,"NO ATÍPICO")</f>
        <v>NO ATÍPICO</v>
      </c>
      <c r="L2429">
        <f t="shared" si="165"/>
        <v>447250</v>
      </c>
      <c r="M2429" t="str">
        <f t="shared" si="165"/>
        <v>ASALARIADO</v>
      </c>
      <c r="N2429">
        <f t="shared" si="166"/>
        <v>37</v>
      </c>
      <c r="O2429" s="19" t="str">
        <f t="shared" si="167"/>
        <v>300k–600k</v>
      </c>
      <c r="P2429" s="19" t="str">
        <f t="shared" si="168"/>
        <v>36-45</v>
      </c>
    </row>
    <row r="2430" spans="1:16" x14ac:dyDescent="0.25">
      <c r="A2430">
        <v>2429</v>
      </c>
      <c r="B2430" t="s">
        <v>9</v>
      </c>
      <c r="C2430">
        <v>518738.06</v>
      </c>
      <c r="D2430" t="s">
        <v>10</v>
      </c>
      <c r="E2430" t="s">
        <v>16</v>
      </c>
      <c r="F2430" t="s">
        <v>12</v>
      </c>
      <c r="G2430" t="s">
        <v>12</v>
      </c>
      <c r="H2430" t="s">
        <v>13</v>
      </c>
      <c r="I2430">
        <v>41</v>
      </c>
      <c r="J2430" t="str" cm="1">
        <f t="array" ref="J2430">_xlfn.IFS(ISBLANK(C2430),"FALTANTE",ABS((C2430-$W$5)/$X$5)&gt;1.96,"ATÍPICO",ABS((C2430-$W$5)/$X$5)&lt;=1.96,"NO ATÍPICO")</f>
        <v>NO ATÍPICO</v>
      </c>
      <c r="K2430" t="str" cm="1">
        <f t="array" ref="K2430">_xlfn.IFS(ISBLANK(I2430),"FALTANTE",ABS((I2430-$W$8)/$X$8)&gt;1.92,"ATÍPICO",ABS((I2430-$W$8)/$X$8)&lt;=1.92,"NO ATÍPICO")</f>
        <v>NO ATÍPICO</v>
      </c>
      <c r="L2430">
        <f t="shared" si="165"/>
        <v>518738.06</v>
      </c>
      <c r="M2430" t="str">
        <f t="shared" si="165"/>
        <v>ASALARIADO</v>
      </c>
      <c r="N2430">
        <f t="shared" si="166"/>
        <v>41</v>
      </c>
      <c r="O2430" s="19" t="str">
        <f t="shared" si="167"/>
        <v>300k–600k</v>
      </c>
      <c r="P2430" s="19" t="str">
        <f t="shared" si="168"/>
        <v>36-45</v>
      </c>
    </row>
    <row r="2431" spans="1:16" x14ac:dyDescent="0.25">
      <c r="A2431">
        <v>2430</v>
      </c>
      <c r="B2431" t="s">
        <v>15</v>
      </c>
      <c r="C2431">
        <v>1373096</v>
      </c>
      <c r="D2431" t="s">
        <v>10</v>
      </c>
      <c r="E2431" t="s">
        <v>11</v>
      </c>
      <c r="F2431" t="s">
        <v>12</v>
      </c>
      <c r="G2431" t="s">
        <v>13</v>
      </c>
      <c r="H2431" t="s">
        <v>13</v>
      </c>
      <c r="I2431">
        <v>37</v>
      </c>
      <c r="J2431" t="str" cm="1">
        <f t="array" ref="J2431">_xlfn.IFS(ISBLANK(C2431),"FALTANTE",ABS((C2431-$W$5)/$X$5)&gt;1.96,"ATÍPICO",ABS((C2431-$W$5)/$X$5)&lt;=1.96,"NO ATÍPICO")</f>
        <v>NO ATÍPICO</v>
      </c>
      <c r="K2431" t="str" cm="1">
        <f t="array" ref="K2431">_xlfn.IFS(ISBLANK(I2431),"FALTANTE",ABS((I2431-$W$8)/$X$8)&gt;1.92,"ATÍPICO",ABS((I2431-$W$8)/$X$8)&lt;=1.92,"NO ATÍPICO")</f>
        <v>NO ATÍPICO</v>
      </c>
      <c r="L2431">
        <f t="shared" si="165"/>
        <v>1373096</v>
      </c>
      <c r="M2431" t="str">
        <f t="shared" si="165"/>
        <v>ASALARIADO</v>
      </c>
      <c r="N2431">
        <f t="shared" si="166"/>
        <v>37</v>
      </c>
      <c r="O2431" s="19" t="str">
        <f t="shared" si="167"/>
        <v>1200k+</v>
      </c>
      <c r="P2431" s="19" t="str">
        <f t="shared" si="168"/>
        <v>36-45</v>
      </c>
    </row>
    <row r="2432" spans="1:16" x14ac:dyDescent="0.25">
      <c r="A2432">
        <v>2431</v>
      </c>
      <c r="B2432" t="s">
        <v>15</v>
      </c>
      <c r="C2432">
        <v>574611.66</v>
      </c>
      <c r="D2432" t="s">
        <v>10</v>
      </c>
      <c r="E2432" t="s">
        <v>16</v>
      </c>
      <c r="F2432" t="s">
        <v>12</v>
      </c>
      <c r="G2432" t="s">
        <v>13</v>
      </c>
      <c r="H2432" t="s">
        <v>13</v>
      </c>
      <c r="I2432">
        <v>37</v>
      </c>
      <c r="J2432" t="str" cm="1">
        <f t="array" ref="J2432">_xlfn.IFS(ISBLANK(C2432),"FALTANTE",ABS((C2432-$W$5)/$X$5)&gt;1.96,"ATÍPICO",ABS((C2432-$W$5)/$X$5)&lt;=1.96,"NO ATÍPICO")</f>
        <v>NO ATÍPICO</v>
      </c>
      <c r="K2432" t="str" cm="1">
        <f t="array" ref="K2432">_xlfn.IFS(ISBLANK(I2432),"FALTANTE",ABS((I2432-$W$8)/$X$8)&gt;1.92,"ATÍPICO",ABS((I2432-$W$8)/$X$8)&lt;=1.92,"NO ATÍPICO")</f>
        <v>NO ATÍPICO</v>
      </c>
      <c r="L2432">
        <f t="shared" si="165"/>
        <v>574611.66</v>
      </c>
      <c r="M2432" t="str">
        <f t="shared" si="165"/>
        <v>ASALARIADO</v>
      </c>
      <c r="N2432">
        <f t="shared" si="166"/>
        <v>37</v>
      </c>
      <c r="O2432" s="19" t="str">
        <f t="shared" si="167"/>
        <v>300k–600k</v>
      </c>
      <c r="P2432" s="19" t="str">
        <f t="shared" si="168"/>
        <v>36-45</v>
      </c>
    </row>
    <row r="2433" spans="1:16" x14ac:dyDescent="0.25">
      <c r="A2433">
        <v>2432</v>
      </c>
      <c r="B2433" t="s">
        <v>9</v>
      </c>
      <c r="C2433">
        <v>450297.7</v>
      </c>
      <c r="D2433" t="s">
        <v>10</v>
      </c>
      <c r="E2433" t="s">
        <v>16</v>
      </c>
      <c r="F2433" t="s">
        <v>12</v>
      </c>
      <c r="G2433" t="s">
        <v>13</v>
      </c>
      <c r="H2433" t="s">
        <v>13</v>
      </c>
      <c r="I2433">
        <v>43</v>
      </c>
      <c r="J2433" t="str" cm="1">
        <f t="array" ref="J2433">_xlfn.IFS(ISBLANK(C2433),"FALTANTE",ABS((C2433-$W$5)/$X$5)&gt;1.96,"ATÍPICO",ABS((C2433-$W$5)/$X$5)&lt;=1.96,"NO ATÍPICO")</f>
        <v>NO ATÍPICO</v>
      </c>
      <c r="K2433" t="str" cm="1">
        <f t="array" ref="K2433">_xlfn.IFS(ISBLANK(I2433),"FALTANTE",ABS((I2433-$W$8)/$X$8)&gt;1.92,"ATÍPICO",ABS((I2433-$W$8)/$X$8)&lt;=1.92,"NO ATÍPICO")</f>
        <v>NO ATÍPICO</v>
      </c>
      <c r="L2433">
        <f t="shared" si="165"/>
        <v>450297.7</v>
      </c>
      <c r="M2433" t="str">
        <f t="shared" si="165"/>
        <v>ASALARIADO</v>
      </c>
      <c r="N2433">
        <f t="shared" si="166"/>
        <v>43</v>
      </c>
      <c r="O2433" s="19" t="str">
        <f t="shared" si="167"/>
        <v>300k–600k</v>
      </c>
      <c r="P2433" s="19" t="str">
        <f t="shared" si="168"/>
        <v>36-45</v>
      </c>
    </row>
    <row r="2434" spans="1:16" x14ac:dyDescent="0.25">
      <c r="A2434">
        <v>2433</v>
      </c>
      <c r="B2434" t="s">
        <v>15</v>
      </c>
      <c r="C2434">
        <v>477000</v>
      </c>
      <c r="D2434" t="s">
        <v>10</v>
      </c>
      <c r="E2434" t="s">
        <v>16</v>
      </c>
      <c r="F2434" t="s">
        <v>12</v>
      </c>
      <c r="G2434" t="s">
        <v>13</v>
      </c>
      <c r="H2434" t="s">
        <v>13</v>
      </c>
      <c r="I2434">
        <v>34</v>
      </c>
      <c r="J2434" t="str" cm="1">
        <f t="array" ref="J2434">_xlfn.IFS(ISBLANK(C2434),"FALTANTE",ABS((C2434-$W$5)/$X$5)&gt;1.96,"ATÍPICO",ABS((C2434-$W$5)/$X$5)&lt;=1.96,"NO ATÍPICO")</f>
        <v>NO ATÍPICO</v>
      </c>
      <c r="K2434" t="str" cm="1">
        <f t="array" ref="K2434">_xlfn.IFS(ISBLANK(I2434),"FALTANTE",ABS((I2434-$W$8)/$X$8)&gt;1.92,"ATÍPICO",ABS((I2434-$W$8)/$X$8)&lt;=1.92,"NO ATÍPICO")</f>
        <v>NO ATÍPICO</v>
      </c>
      <c r="L2434">
        <f t="shared" ref="L2434:M2497" si="169">C2434</f>
        <v>477000</v>
      </c>
      <c r="M2434" t="str">
        <f t="shared" si="169"/>
        <v>ASALARIADO</v>
      </c>
      <c r="N2434">
        <f t="shared" ref="N2434:N2497" si="170">I2434</f>
        <v>34</v>
      </c>
      <c r="O2434" s="19" t="str">
        <f t="shared" ref="O2434:O2497" si="171">IF(L2434&lt;=300000,"0–300k",IF(L2434&lt;=600000,"300k–600k",IF(L2434&lt;=900000,"600k–900k",IF(L2434&lt;=1200000,"900k–1200k","1200k+"))))</f>
        <v>300k–600k</v>
      </c>
      <c r="P2434" s="19" t="str">
        <f t="shared" ref="P2434:P2497" si="172">IF(N2434 &lt;=25,"18-25", IF(N2434&lt;=35,"26-35", IF(N2434 &lt;=45,"36-45", IF(N2434&lt;=55,"46-55","56+"))))</f>
        <v>26-35</v>
      </c>
    </row>
    <row r="2435" spans="1:16" x14ac:dyDescent="0.25">
      <c r="A2435">
        <v>2434</v>
      </c>
      <c r="B2435" t="s">
        <v>9</v>
      </c>
      <c r="C2435">
        <v>4164181.77</v>
      </c>
      <c r="D2435" t="s">
        <v>10</v>
      </c>
      <c r="E2435" t="s">
        <v>16</v>
      </c>
      <c r="F2435" t="s">
        <v>12</v>
      </c>
      <c r="G2435" t="s">
        <v>13</v>
      </c>
      <c r="H2435" t="s">
        <v>13</v>
      </c>
      <c r="I2435">
        <v>35</v>
      </c>
      <c r="J2435" t="str" cm="1">
        <f t="array" ref="J2435">_xlfn.IFS(ISBLANK(C2435),"FALTANTE",ABS((C2435-$W$5)/$X$5)&gt;1.96,"ATÍPICO",ABS((C2435-$W$5)/$X$5)&lt;=1.96,"NO ATÍPICO")</f>
        <v>ATÍPICO</v>
      </c>
      <c r="K2435" t="str" cm="1">
        <f t="array" ref="K2435">_xlfn.IFS(ISBLANK(I2435),"FALTANTE",ABS((I2435-$W$8)/$X$8)&gt;1.92,"ATÍPICO",ABS((I2435-$W$8)/$X$8)&lt;=1.92,"NO ATÍPICO")</f>
        <v>NO ATÍPICO</v>
      </c>
      <c r="L2435">
        <f t="shared" si="169"/>
        <v>4164181.77</v>
      </c>
      <c r="M2435" t="str">
        <f t="shared" si="169"/>
        <v>ASALARIADO</v>
      </c>
      <c r="N2435">
        <f t="shared" si="170"/>
        <v>35</v>
      </c>
      <c r="O2435" s="19" t="str">
        <f t="shared" si="171"/>
        <v>1200k+</v>
      </c>
      <c r="P2435" s="19" t="str">
        <f t="shared" si="172"/>
        <v>26-35</v>
      </c>
    </row>
    <row r="2436" spans="1:16" x14ac:dyDescent="0.25">
      <c r="A2436">
        <v>2435</v>
      </c>
      <c r="B2436" t="s">
        <v>15</v>
      </c>
      <c r="C2436">
        <v>1476693.45</v>
      </c>
      <c r="D2436" t="s">
        <v>14</v>
      </c>
      <c r="E2436" t="s">
        <v>11</v>
      </c>
      <c r="F2436" t="s">
        <v>12</v>
      </c>
      <c r="G2436" t="s">
        <v>13</v>
      </c>
      <c r="H2436" t="s">
        <v>13</v>
      </c>
      <c r="I2436">
        <v>62</v>
      </c>
      <c r="J2436" t="str" cm="1">
        <f t="array" ref="J2436">_xlfn.IFS(ISBLANK(C2436),"FALTANTE",ABS((C2436-$W$5)/$X$5)&gt;1.96,"ATÍPICO",ABS((C2436-$W$5)/$X$5)&lt;=1.96,"NO ATÍPICO")</f>
        <v>NO ATÍPICO</v>
      </c>
      <c r="K2436" t="str" cm="1">
        <f t="array" ref="K2436">_xlfn.IFS(ISBLANK(I2436),"FALTANTE",ABS((I2436-$W$8)/$X$8)&gt;1.92,"ATÍPICO",ABS((I2436-$W$8)/$X$8)&lt;=1.92,"NO ATÍPICO")</f>
        <v>NO ATÍPICO</v>
      </c>
      <c r="L2436">
        <f t="shared" si="169"/>
        <v>1476693.45</v>
      </c>
      <c r="M2436" t="str">
        <f t="shared" si="169"/>
        <v>PENSIONADOS EN SU PROPIO SISTEMA</v>
      </c>
      <c r="N2436">
        <f t="shared" si="170"/>
        <v>62</v>
      </c>
      <c r="O2436" s="19" t="str">
        <f t="shared" si="171"/>
        <v>1200k+</v>
      </c>
      <c r="P2436" s="19" t="str">
        <f t="shared" si="172"/>
        <v>56+</v>
      </c>
    </row>
    <row r="2437" spans="1:16" x14ac:dyDescent="0.25">
      <c r="A2437">
        <v>2436</v>
      </c>
      <c r="B2437" t="s">
        <v>9</v>
      </c>
      <c r="C2437">
        <v>278030</v>
      </c>
      <c r="D2437" t="s">
        <v>18</v>
      </c>
      <c r="E2437" t="s">
        <v>16</v>
      </c>
      <c r="F2437" t="s">
        <v>12</v>
      </c>
      <c r="G2437" t="s">
        <v>13</v>
      </c>
      <c r="H2437" t="s">
        <v>13</v>
      </c>
      <c r="I2437">
        <v>38</v>
      </c>
      <c r="J2437" t="str" cm="1">
        <f t="array" ref="J2437">_xlfn.IFS(ISBLANK(C2437),"FALTANTE",ABS((C2437-$W$5)/$X$5)&gt;1.96,"ATÍPICO",ABS((C2437-$W$5)/$X$5)&lt;=1.96,"NO ATÍPICO")</f>
        <v>NO ATÍPICO</v>
      </c>
      <c r="K2437" t="str" cm="1">
        <f t="array" ref="K2437">_xlfn.IFS(ISBLANK(I2437),"FALTANTE",ABS((I2437-$W$8)/$X$8)&gt;1.92,"ATÍPICO",ABS((I2437-$W$8)/$X$8)&lt;=1.92,"NO ATÍPICO")</f>
        <v>NO ATÍPICO</v>
      </c>
      <c r="L2437">
        <f t="shared" si="169"/>
        <v>278030</v>
      </c>
      <c r="M2437" t="str">
        <f t="shared" si="169"/>
        <v>TRABAJADOR INDEPENDIENTE</v>
      </c>
      <c r="N2437">
        <f t="shared" si="170"/>
        <v>38</v>
      </c>
      <c r="O2437" s="19" t="str">
        <f t="shared" si="171"/>
        <v>0–300k</v>
      </c>
      <c r="P2437" s="19" t="str">
        <f t="shared" si="172"/>
        <v>36-45</v>
      </c>
    </row>
    <row r="2438" spans="1:16" x14ac:dyDescent="0.25">
      <c r="A2438">
        <v>2437</v>
      </c>
      <c r="B2438" t="s">
        <v>9</v>
      </c>
      <c r="C2438">
        <v>534815.5</v>
      </c>
      <c r="D2438" t="s">
        <v>10</v>
      </c>
      <c r="E2438" t="s">
        <v>11</v>
      </c>
      <c r="F2438" t="s">
        <v>12</v>
      </c>
      <c r="G2438" t="s">
        <v>13</v>
      </c>
      <c r="H2438" t="s">
        <v>13</v>
      </c>
      <c r="I2438">
        <v>26</v>
      </c>
      <c r="J2438" t="str" cm="1">
        <f t="array" ref="J2438">_xlfn.IFS(ISBLANK(C2438),"FALTANTE",ABS((C2438-$W$5)/$X$5)&gt;1.96,"ATÍPICO",ABS((C2438-$W$5)/$X$5)&lt;=1.96,"NO ATÍPICO")</f>
        <v>NO ATÍPICO</v>
      </c>
      <c r="K2438" t="str" cm="1">
        <f t="array" ref="K2438">_xlfn.IFS(ISBLANK(I2438),"FALTANTE",ABS((I2438-$W$8)/$X$8)&gt;1.92,"ATÍPICO",ABS((I2438-$W$8)/$X$8)&lt;=1.92,"NO ATÍPICO")</f>
        <v>NO ATÍPICO</v>
      </c>
      <c r="L2438">
        <f t="shared" si="169"/>
        <v>534815.5</v>
      </c>
      <c r="M2438" t="str">
        <f t="shared" si="169"/>
        <v>ASALARIADO</v>
      </c>
      <c r="N2438">
        <f t="shared" si="170"/>
        <v>26</v>
      </c>
      <c r="O2438" s="19" t="str">
        <f t="shared" si="171"/>
        <v>300k–600k</v>
      </c>
      <c r="P2438" s="19" t="str">
        <f t="shared" si="172"/>
        <v>26-35</v>
      </c>
    </row>
    <row r="2439" spans="1:16" x14ac:dyDescent="0.25">
      <c r="A2439">
        <v>2438</v>
      </c>
      <c r="B2439" t="s">
        <v>9</v>
      </c>
      <c r="C2439">
        <v>2767500</v>
      </c>
      <c r="D2439" t="s">
        <v>10</v>
      </c>
      <c r="E2439" t="s">
        <v>16</v>
      </c>
      <c r="F2439" t="s">
        <v>12</v>
      </c>
      <c r="G2439" t="s">
        <v>13</v>
      </c>
      <c r="H2439" t="s">
        <v>13</v>
      </c>
      <c r="I2439">
        <v>24</v>
      </c>
      <c r="J2439" t="str" cm="1">
        <f t="array" ref="J2439">_xlfn.IFS(ISBLANK(C2439),"FALTANTE",ABS((C2439-$W$5)/$X$5)&gt;1.96,"ATÍPICO",ABS((C2439-$W$5)/$X$5)&lt;=1.96,"NO ATÍPICO")</f>
        <v>ATÍPICO</v>
      </c>
      <c r="K2439" t="str" cm="1">
        <f t="array" ref="K2439">_xlfn.IFS(ISBLANK(I2439),"FALTANTE",ABS((I2439-$W$8)/$X$8)&gt;1.92,"ATÍPICO",ABS((I2439-$W$8)/$X$8)&lt;=1.92,"NO ATÍPICO")</f>
        <v>NO ATÍPICO</v>
      </c>
      <c r="L2439">
        <f t="shared" si="169"/>
        <v>2767500</v>
      </c>
      <c r="M2439" t="str">
        <f t="shared" si="169"/>
        <v>ASALARIADO</v>
      </c>
      <c r="N2439">
        <f t="shared" si="170"/>
        <v>24</v>
      </c>
      <c r="O2439" s="19" t="str">
        <f t="shared" si="171"/>
        <v>1200k+</v>
      </c>
      <c r="P2439" s="19" t="str">
        <f t="shared" si="172"/>
        <v>18-25</v>
      </c>
    </row>
    <row r="2440" spans="1:16" x14ac:dyDescent="0.25">
      <c r="A2440">
        <v>2439</v>
      </c>
      <c r="B2440" t="s">
        <v>9</v>
      </c>
      <c r="C2440">
        <v>297046</v>
      </c>
      <c r="D2440" t="s">
        <v>18</v>
      </c>
      <c r="E2440" t="s">
        <v>16</v>
      </c>
      <c r="F2440" t="s">
        <v>12</v>
      </c>
      <c r="G2440" t="s">
        <v>13</v>
      </c>
      <c r="H2440" t="s">
        <v>13</v>
      </c>
      <c r="I2440">
        <v>29</v>
      </c>
      <c r="J2440" t="str" cm="1">
        <f t="array" ref="J2440">_xlfn.IFS(ISBLANK(C2440),"FALTANTE",ABS((C2440-$W$5)/$X$5)&gt;1.96,"ATÍPICO",ABS((C2440-$W$5)/$X$5)&lt;=1.96,"NO ATÍPICO")</f>
        <v>NO ATÍPICO</v>
      </c>
      <c r="K2440" t="str" cm="1">
        <f t="array" ref="K2440">_xlfn.IFS(ISBLANK(I2440),"FALTANTE",ABS((I2440-$W$8)/$X$8)&gt;1.92,"ATÍPICO",ABS((I2440-$W$8)/$X$8)&lt;=1.92,"NO ATÍPICO")</f>
        <v>NO ATÍPICO</v>
      </c>
      <c r="L2440">
        <f t="shared" si="169"/>
        <v>297046</v>
      </c>
      <c r="M2440" t="str">
        <f t="shared" si="169"/>
        <v>TRABAJADOR INDEPENDIENTE</v>
      </c>
      <c r="N2440">
        <f t="shared" si="170"/>
        <v>29</v>
      </c>
      <c r="O2440" s="19" t="str">
        <f t="shared" si="171"/>
        <v>0–300k</v>
      </c>
      <c r="P2440" s="19" t="str">
        <f t="shared" si="172"/>
        <v>26-35</v>
      </c>
    </row>
    <row r="2441" spans="1:16" x14ac:dyDescent="0.25">
      <c r="A2441">
        <v>2440</v>
      </c>
      <c r="B2441" t="s">
        <v>15</v>
      </c>
      <c r="C2441">
        <v>278030</v>
      </c>
      <c r="D2441" t="s">
        <v>19</v>
      </c>
      <c r="E2441" t="s">
        <v>16</v>
      </c>
      <c r="F2441" t="s">
        <v>12</v>
      </c>
      <c r="G2441" t="s">
        <v>13</v>
      </c>
      <c r="H2441" t="s">
        <v>13</v>
      </c>
      <c r="I2441">
        <v>39</v>
      </c>
      <c r="J2441" t="str" cm="1">
        <f t="array" ref="J2441">_xlfn.IFS(ISBLANK(C2441),"FALTANTE",ABS((C2441-$W$5)/$X$5)&gt;1.96,"ATÍPICO",ABS((C2441-$W$5)/$X$5)&lt;=1.96,"NO ATÍPICO")</f>
        <v>NO ATÍPICO</v>
      </c>
      <c r="K2441" t="str" cm="1">
        <f t="array" ref="K2441">_xlfn.IFS(ISBLANK(I2441),"FALTANTE",ABS((I2441-$W$8)/$X$8)&gt;1.92,"ATÍPICO",ABS((I2441-$W$8)/$X$8)&lt;=1.92,"NO ATÍPICO")</f>
        <v>NO ATÍPICO</v>
      </c>
      <c r="L2441">
        <f t="shared" si="169"/>
        <v>278030</v>
      </c>
      <c r="M2441" t="str">
        <f t="shared" si="169"/>
        <v>CONVENIOS ESPECIALES DE TRABAJADORES INDEPENDIENTES</v>
      </c>
      <c r="N2441">
        <f t="shared" si="170"/>
        <v>39</v>
      </c>
      <c r="O2441" s="19" t="str">
        <f t="shared" si="171"/>
        <v>0–300k</v>
      </c>
      <c r="P2441" s="19" t="str">
        <f t="shared" si="172"/>
        <v>36-45</v>
      </c>
    </row>
    <row r="2442" spans="1:16" x14ac:dyDescent="0.25">
      <c r="A2442">
        <v>2441</v>
      </c>
      <c r="B2442" t="s">
        <v>15</v>
      </c>
      <c r="C2442">
        <v>436419</v>
      </c>
      <c r="D2442" t="s">
        <v>14</v>
      </c>
      <c r="E2442" t="s">
        <v>11</v>
      </c>
      <c r="F2442" t="s">
        <v>12</v>
      </c>
      <c r="G2442" t="s">
        <v>13</v>
      </c>
      <c r="H2442" t="s">
        <v>13</v>
      </c>
      <c r="I2442">
        <v>79</v>
      </c>
      <c r="J2442" t="str" cm="1">
        <f t="array" ref="J2442">_xlfn.IFS(ISBLANK(C2442),"FALTANTE",ABS((C2442-$W$5)/$X$5)&gt;1.96,"ATÍPICO",ABS((C2442-$W$5)/$X$5)&lt;=1.96,"NO ATÍPICO")</f>
        <v>NO ATÍPICO</v>
      </c>
      <c r="K2442" t="str" cm="1">
        <f t="array" ref="K2442">_xlfn.IFS(ISBLANK(I2442),"FALTANTE",ABS((I2442-$W$8)/$X$8)&gt;1.92,"ATÍPICO",ABS((I2442-$W$8)/$X$8)&lt;=1.92,"NO ATÍPICO")</f>
        <v>ATÍPICO</v>
      </c>
      <c r="L2442">
        <f t="shared" si="169"/>
        <v>436419</v>
      </c>
      <c r="M2442" t="str">
        <f t="shared" si="169"/>
        <v>PENSIONADOS EN SU PROPIO SISTEMA</v>
      </c>
      <c r="N2442">
        <f t="shared" si="170"/>
        <v>79</v>
      </c>
      <c r="O2442" s="19" t="str">
        <f t="shared" si="171"/>
        <v>300k–600k</v>
      </c>
      <c r="P2442" s="19" t="str">
        <f t="shared" si="172"/>
        <v>56+</v>
      </c>
    </row>
    <row r="2443" spans="1:16" x14ac:dyDescent="0.25">
      <c r="A2443">
        <v>2442</v>
      </c>
      <c r="B2443" t="s">
        <v>15</v>
      </c>
      <c r="C2443">
        <v>734801</v>
      </c>
      <c r="D2443" t="s">
        <v>10</v>
      </c>
      <c r="E2443" t="s">
        <v>11</v>
      </c>
      <c r="F2443" t="s">
        <v>12</v>
      </c>
      <c r="G2443" t="s">
        <v>13</v>
      </c>
      <c r="H2443" t="s">
        <v>13</v>
      </c>
      <c r="I2443">
        <v>43</v>
      </c>
      <c r="J2443" t="str" cm="1">
        <f t="array" ref="J2443">_xlfn.IFS(ISBLANK(C2443),"FALTANTE",ABS((C2443-$W$5)/$X$5)&gt;1.96,"ATÍPICO",ABS((C2443-$W$5)/$X$5)&lt;=1.96,"NO ATÍPICO")</f>
        <v>NO ATÍPICO</v>
      </c>
      <c r="K2443" t="str" cm="1">
        <f t="array" ref="K2443">_xlfn.IFS(ISBLANK(I2443),"FALTANTE",ABS((I2443-$W$8)/$X$8)&gt;1.92,"ATÍPICO",ABS((I2443-$W$8)/$X$8)&lt;=1.92,"NO ATÍPICO")</f>
        <v>NO ATÍPICO</v>
      </c>
      <c r="L2443">
        <f t="shared" si="169"/>
        <v>734801</v>
      </c>
      <c r="M2443" t="str">
        <f t="shared" si="169"/>
        <v>ASALARIADO</v>
      </c>
      <c r="N2443">
        <f t="shared" si="170"/>
        <v>43</v>
      </c>
      <c r="O2443" s="19" t="str">
        <f t="shared" si="171"/>
        <v>600k–900k</v>
      </c>
      <c r="P2443" s="19" t="str">
        <f t="shared" si="172"/>
        <v>36-45</v>
      </c>
    </row>
    <row r="2444" spans="1:16" x14ac:dyDescent="0.25">
      <c r="A2444">
        <v>2443</v>
      </c>
      <c r="B2444" t="s">
        <v>9</v>
      </c>
      <c r="C2444">
        <v>639148</v>
      </c>
      <c r="D2444" t="s">
        <v>18</v>
      </c>
      <c r="E2444" t="s">
        <v>16</v>
      </c>
      <c r="F2444" t="s">
        <v>12</v>
      </c>
      <c r="G2444" t="s">
        <v>13</v>
      </c>
      <c r="H2444" t="s">
        <v>12</v>
      </c>
      <c r="I2444">
        <v>44</v>
      </c>
      <c r="J2444" t="str" cm="1">
        <f t="array" ref="J2444">_xlfn.IFS(ISBLANK(C2444),"FALTANTE",ABS((C2444-$W$5)/$X$5)&gt;1.96,"ATÍPICO",ABS((C2444-$W$5)/$X$5)&lt;=1.96,"NO ATÍPICO")</f>
        <v>NO ATÍPICO</v>
      </c>
      <c r="K2444" t="str" cm="1">
        <f t="array" ref="K2444">_xlfn.IFS(ISBLANK(I2444),"FALTANTE",ABS((I2444-$W$8)/$X$8)&gt;1.92,"ATÍPICO",ABS((I2444-$W$8)/$X$8)&lt;=1.92,"NO ATÍPICO")</f>
        <v>NO ATÍPICO</v>
      </c>
      <c r="L2444">
        <f t="shared" si="169"/>
        <v>639148</v>
      </c>
      <c r="M2444" t="str">
        <f t="shared" si="169"/>
        <v>TRABAJADOR INDEPENDIENTE</v>
      </c>
      <c r="N2444">
        <f t="shared" si="170"/>
        <v>44</v>
      </c>
      <c r="O2444" s="19" t="str">
        <f t="shared" si="171"/>
        <v>600k–900k</v>
      </c>
      <c r="P2444" s="19" t="str">
        <f t="shared" si="172"/>
        <v>36-45</v>
      </c>
    </row>
    <row r="2445" spans="1:16" x14ac:dyDescent="0.25">
      <c r="A2445">
        <v>2444</v>
      </c>
      <c r="B2445" t="s">
        <v>15</v>
      </c>
      <c r="C2445">
        <v>454899.51</v>
      </c>
      <c r="D2445" t="s">
        <v>10</v>
      </c>
      <c r="E2445" t="s">
        <v>11</v>
      </c>
      <c r="F2445" t="s">
        <v>12</v>
      </c>
      <c r="G2445" t="s">
        <v>13</v>
      </c>
      <c r="H2445" t="s">
        <v>13</v>
      </c>
      <c r="I2445">
        <v>59</v>
      </c>
      <c r="J2445" t="str" cm="1">
        <f t="array" ref="J2445">_xlfn.IFS(ISBLANK(C2445),"FALTANTE",ABS((C2445-$W$5)/$X$5)&gt;1.96,"ATÍPICO",ABS((C2445-$W$5)/$X$5)&lt;=1.96,"NO ATÍPICO")</f>
        <v>NO ATÍPICO</v>
      </c>
      <c r="K2445" t="str" cm="1">
        <f t="array" ref="K2445">_xlfn.IFS(ISBLANK(I2445),"FALTANTE",ABS((I2445-$W$8)/$X$8)&gt;1.92,"ATÍPICO",ABS((I2445-$W$8)/$X$8)&lt;=1.92,"NO ATÍPICO")</f>
        <v>NO ATÍPICO</v>
      </c>
      <c r="L2445">
        <f t="shared" si="169"/>
        <v>454899.51</v>
      </c>
      <c r="M2445" t="str">
        <f t="shared" si="169"/>
        <v>ASALARIADO</v>
      </c>
      <c r="N2445">
        <f t="shared" si="170"/>
        <v>59</v>
      </c>
      <c r="O2445" s="19" t="str">
        <f t="shared" si="171"/>
        <v>300k–600k</v>
      </c>
      <c r="P2445" s="19" t="str">
        <f t="shared" si="172"/>
        <v>56+</v>
      </c>
    </row>
    <row r="2446" spans="1:16" x14ac:dyDescent="0.25">
      <c r="A2446">
        <v>2445</v>
      </c>
      <c r="B2446" t="s">
        <v>15</v>
      </c>
      <c r="C2446">
        <v>3622084.85</v>
      </c>
      <c r="D2446" t="s">
        <v>10</v>
      </c>
      <c r="E2446" t="s">
        <v>16</v>
      </c>
      <c r="F2446" t="s">
        <v>12</v>
      </c>
      <c r="G2446" t="s">
        <v>13</v>
      </c>
      <c r="H2446" t="s">
        <v>13</v>
      </c>
      <c r="I2446">
        <v>35</v>
      </c>
      <c r="J2446" t="str" cm="1">
        <f t="array" ref="J2446">_xlfn.IFS(ISBLANK(C2446),"FALTANTE",ABS((C2446-$W$5)/$X$5)&gt;1.96,"ATÍPICO",ABS((C2446-$W$5)/$X$5)&lt;=1.96,"NO ATÍPICO")</f>
        <v>ATÍPICO</v>
      </c>
      <c r="K2446" t="str" cm="1">
        <f t="array" ref="K2446">_xlfn.IFS(ISBLANK(I2446),"FALTANTE",ABS((I2446-$W$8)/$X$8)&gt;1.92,"ATÍPICO",ABS((I2446-$W$8)/$X$8)&lt;=1.92,"NO ATÍPICO")</f>
        <v>NO ATÍPICO</v>
      </c>
      <c r="L2446">
        <f t="shared" si="169"/>
        <v>3622084.85</v>
      </c>
      <c r="M2446" t="str">
        <f t="shared" si="169"/>
        <v>ASALARIADO</v>
      </c>
      <c r="N2446">
        <f t="shared" si="170"/>
        <v>35</v>
      </c>
      <c r="O2446" s="19" t="str">
        <f t="shared" si="171"/>
        <v>1200k+</v>
      </c>
      <c r="P2446" s="19" t="str">
        <f t="shared" si="172"/>
        <v>26-35</v>
      </c>
    </row>
    <row r="2447" spans="1:16" x14ac:dyDescent="0.25">
      <c r="A2447">
        <v>2446</v>
      </c>
      <c r="B2447" t="s">
        <v>9</v>
      </c>
      <c r="C2447">
        <v>360000</v>
      </c>
      <c r="D2447" t="s">
        <v>10</v>
      </c>
      <c r="E2447" t="s">
        <v>16</v>
      </c>
      <c r="F2447" t="s">
        <v>12</v>
      </c>
      <c r="G2447" t="s">
        <v>13</v>
      </c>
      <c r="H2447" t="s">
        <v>13</v>
      </c>
      <c r="I2447">
        <v>37</v>
      </c>
      <c r="J2447" t="str" cm="1">
        <f t="array" ref="J2447">_xlfn.IFS(ISBLANK(C2447),"FALTANTE",ABS((C2447-$W$5)/$X$5)&gt;1.96,"ATÍPICO",ABS((C2447-$W$5)/$X$5)&lt;=1.96,"NO ATÍPICO")</f>
        <v>NO ATÍPICO</v>
      </c>
      <c r="K2447" t="str" cm="1">
        <f t="array" ref="K2447">_xlfn.IFS(ISBLANK(I2447),"FALTANTE",ABS((I2447-$W$8)/$X$8)&gt;1.92,"ATÍPICO",ABS((I2447-$W$8)/$X$8)&lt;=1.92,"NO ATÍPICO")</f>
        <v>NO ATÍPICO</v>
      </c>
      <c r="L2447">
        <f t="shared" si="169"/>
        <v>360000</v>
      </c>
      <c r="M2447" t="str">
        <f t="shared" si="169"/>
        <v>ASALARIADO</v>
      </c>
      <c r="N2447">
        <f t="shared" si="170"/>
        <v>37</v>
      </c>
      <c r="O2447" s="19" t="str">
        <f t="shared" si="171"/>
        <v>300k–600k</v>
      </c>
      <c r="P2447" s="19" t="str">
        <f t="shared" si="172"/>
        <v>36-45</v>
      </c>
    </row>
    <row r="2448" spans="1:16" x14ac:dyDescent="0.25">
      <c r="A2448">
        <v>2447</v>
      </c>
      <c r="B2448" t="s">
        <v>15</v>
      </c>
      <c r="C2448">
        <v>1064830</v>
      </c>
      <c r="D2448" t="s">
        <v>10</v>
      </c>
      <c r="E2448" t="s">
        <v>11</v>
      </c>
      <c r="F2448" t="s">
        <v>12</v>
      </c>
      <c r="G2448" t="s">
        <v>13</v>
      </c>
      <c r="H2448" t="s">
        <v>12</v>
      </c>
      <c r="I2448">
        <v>51</v>
      </c>
      <c r="J2448" t="str" cm="1">
        <f t="array" ref="J2448">_xlfn.IFS(ISBLANK(C2448),"FALTANTE",ABS((C2448-$W$5)/$X$5)&gt;1.96,"ATÍPICO",ABS((C2448-$W$5)/$X$5)&lt;=1.96,"NO ATÍPICO")</f>
        <v>NO ATÍPICO</v>
      </c>
      <c r="K2448" t="str" cm="1">
        <f t="array" ref="K2448">_xlfn.IFS(ISBLANK(I2448),"FALTANTE",ABS((I2448-$W$8)/$X$8)&gt;1.92,"ATÍPICO",ABS((I2448-$W$8)/$X$8)&lt;=1.92,"NO ATÍPICO")</f>
        <v>NO ATÍPICO</v>
      </c>
      <c r="L2448">
        <f t="shared" si="169"/>
        <v>1064830</v>
      </c>
      <c r="M2448" t="str">
        <f t="shared" si="169"/>
        <v>ASALARIADO</v>
      </c>
      <c r="N2448">
        <f t="shared" si="170"/>
        <v>51</v>
      </c>
      <c r="O2448" s="19" t="str">
        <f t="shared" si="171"/>
        <v>900k–1200k</v>
      </c>
      <c r="P2448" s="19" t="str">
        <f t="shared" si="172"/>
        <v>46-55</v>
      </c>
    </row>
    <row r="2449" spans="1:16" x14ac:dyDescent="0.25">
      <c r="A2449">
        <v>2448</v>
      </c>
      <c r="B2449" t="s">
        <v>15</v>
      </c>
      <c r="C2449">
        <v>62402.9</v>
      </c>
      <c r="D2449" t="s">
        <v>10</v>
      </c>
      <c r="E2449" t="s">
        <v>16</v>
      </c>
      <c r="F2449" t="s">
        <v>12</v>
      </c>
      <c r="G2449" t="s">
        <v>13</v>
      </c>
      <c r="H2449" t="s">
        <v>13</v>
      </c>
      <c r="I2449">
        <v>21</v>
      </c>
      <c r="J2449" t="str" cm="1">
        <f t="array" ref="J2449">_xlfn.IFS(ISBLANK(C2449),"FALTANTE",ABS((C2449-$W$5)/$X$5)&gt;1.96,"ATÍPICO",ABS((C2449-$W$5)/$X$5)&lt;=1.96,"NO ATÍPICO")</f>
        <v>NO ATÍPICO</v>
      </c>
      <c r="K2449" t="str" cm="1">
        <f t="array" ref="K2449">_xlfn.IFS(ISBLANK(I2449),"FALTANTE",ABS((I2449-$W$8)/$X$8)&gt;1.92,"ATÍPICO",ABS((I2449-$W$8)/$X$8)&lt;=1.92,"NO ATÍPICO")</f>
        <v>NO ATÍPICO</v>
      </c>
      <c r="L2449">
        <f t="shared" si="169"/>
        <v>62402.9</v>
      </c>
      <c r="M2449" t="str">
        <f t="shared" si="169"/>
        <v>ASALARIADO</v>
      </c>
      <c r="N2449">
        <f t="shared" si="170"/>
        <v>21</v>
      </c>
      <c r="O2449" s="19" t="str">
        <f t="shared" si="171"/>
        <v>0–300k</v>
      </c>
      <c r="P2449" s="19" t="str">
        <f t="shared" si="172"/>
        <v>18-25</v>
      </c>
    </row>
    <row r="2450" spans="1:16" x14ac:dyDescent="0.25">
      <c r="A2450">
        <v>2449</v>
      </c>
      <c r="B2450" t="s">
        <v>9</v>
      </c>
      <c r="C2450">
        <v>297046</v>
      </c>
      <c r="D2450" t="s">
        <v>18</v>
      </c>
      <c r="E2450" t="s">
        <v>16</v>
      </c>
      <c r="F2450" t="s">
        <v>12</v>
      </c>
      <c r="G2450" t="s">
        <v>13</v>
      </c>
      <c r="H2450" t="s">
        <v>12</v>
      </c>
      <c r="I2450">
        <v>30</v>
      </c>
      <c r="J2450" t="str" cm="1">
        <f t="array" ref="J2450">_xlfn.IFS(ISBLANK(C2450),"FALTANTE",ABS((C2450-$W$5)/$X$5)&gt;1.96,"ATÍPICO",ABS((C2450-$W$5)/$X$5)&lt;=1.96,"NO ATÍPICO")</f>
        <v>NO ATÍPICO</v>
      </c>
      <c r="K2450" t="str" cm="1">
        <f t="array" ref="K2450">_xlfn.IFS(ISBLANK(I2450),"FALTANTE",ABS((I2450-$W$8)/$X$8)&gt;1.92,"ATÍPICO",ABS((I2450-$W$8)/$X$8)&lt;=1.92,"NO ATÍPICO")</f>
        <v>NO ATÍPICO</v>
      </c>
      <c r="L2450">
        <f t="shared" si="169"/>
        <v>297046</v>
      </c>
      <c r="M2450" t="str">
        <f t="shared" si="169"/>
        <v>TRABAJADOR INDEPENDIENTE</v>
      </c>
      <c r="N2450">
        <f t="shared" si="170"/>
        <v>30</v>
      </c>
      <c r="O2450" s="19" t="str">
        <f t="shared" si="171"/>
        <v>0–300k</v>
      </c>
      <c r="P2450" s="19" t="str">
        <f t="shared" si="172"/>
        <v>26-35</v>
      </c>
    </row>
    <row r="2451" spans="1:16" x14ac:dyDescent="0.25">
      <c r="A2451">
        <v>2450</v>
      </c>
      <c r="B2451" t="s">
        <v>15</v>
      </c>
      <c r="C2451">
        <v>338125</v>
      </c>
      <c r="D2451" t="s">
        <v>10</v>
      </c>
      <c r="E2451" t="s">
        <v>16</v>
      </c>
      <c r="F2451" t="s">
        <v>12</v>
      </c>
      <c r="G2451" t="s">
        <v>13</v>
      </c>
      <c r="H2451" t="s">
        <v>13</v>
      </c>
      <c r="I2451">
        <v>50</v>
      </c>
      <c r="J2451" t="str" cm="1">
        <f t="array" ref="J2451">_xlfn.IFS(ISBLANK(C2451),"FALTANTE",ABS((C2451-$W$5)/$X$5)&gt;1.96,"ATÍPICO",ABS((C2451-$W$5)/$X$5)&lt;=1.96,"NO ATÍPICO")</f>
        <v>NO ATÍPICO</v>
      </c>
      <c r="K2451" t="str" cm="1">
        <f t="array" ref="K2451">_xlfn.IFS(ISBLANK(I2451),"FALTANTE",ABS((I2451-$W$8)/$X$8)&gt;1.92,"ATÍPICO",ABS((I2451-$W$8)/$X$8)&lt;=1.92,"NO ATÍPICO")</f>
        <v>NO ATÍPICO</v>
      </c>
      <c r="L2451">
        <f t="shared" si="169"/>
        <v>338125</v>
      </c>
      <c r="M2451" t="str">
        <f t="shared" si="169"/>
        <v>ASALARIADO</v>
      </c>
      <c r="N2451">
        <f t="shared" si="170"/>
        <v>50</v>
      </c>
      <c r="O2451" s="19" t="str">
        <f t="shared" si="171"/>
        <v>300k–600k</v>
      </c>
      <c r="P2451" s="19" t="str">
        <f t="shared" si="172"/>
        <v>46-55</v>
      </c>
    </row>
    <row r="2452" spans="1:16" x14ac:dyDescent="0.25">
      <c r="A2452">
        <v>2451</v>
      </c>
      <c r="B2452" t="s">
        <v>9</v>
      </c>
      <c r="C2452">
        <v>423458</v>
      </c>
      <c r="D2452" t="s">
        <v>18</v>
      </c>
      <c r="E2452" t="s">
        <v>16</v>
      </c>
      <c r="F2452" t="s">
        <v>12</v>
      </c>
      <c r="G2452" t="s">
        <v>13</v>
      </c>
      <c r="H2452" t="s">
        <v>13</v>
      </c>
      <c r="I2452">
        <v>42</v>
      </c>
      <c r="J2452" t="str" cm="1">
        <f t="array" ref="J2452">_xlfn.IFS(ISBLANK(C2452),"FALTANTE",ABS((C2452-$W$5)/$X$5)&gt;1.96,"ATÍPICO",ABS((C2452-$W$5)/$X$5)&lt;=1.96,"NO ATÍPICO")</f>
        <v>NO ATÍPICO</v>
      </c>
      <c r="K2452" t="str" cm="1">
        <f t="array" ref="K2452">_xlfn.IFS(ISBLANK(I2452),"FALTANTE",ABS((I2452-$W$8)/$X$8)&gt;1.92,"ATÍPICO",ABS((I2452-$W$8)/$X$8)&lt;=1.92,"NO ATÍPICO")</f>
        <v>NO ATÍPICO</v>
      </c>
      <c r="L2452">
        <f t="shared" si="169"/>
        <v>423458</v>
      </c>
      <c r="M2452" t="str">
        <f t="shared" si="169"/>
        <v>TRABAJADOR INDEPENDIENTE</v>
      </c>
      <c r="N2452">
        <f t="shared" si="170"/>
        <v>42</v>
      </c>
      <c r="O2452" s="19" t="str">
        <f t="shared" si="171"/>
        <v>300k–600k</v>
      </c>
      <c r="P2452" s="19" t="str">
        <f t="shared" si="172"/>
        <v>36-45</v>
      </c>
    </row>
    <row r="2453" spans="1:16" x14ac:dyDescent="0.25">
      <c r="A2453">
        <v>2452</v>
      </c>
      <c r="B2453" t="s">
        <v>9</v>
      </c>
      <c r="C2453">
        <v>75000</v>
      </c>
      <c r="D2453" t="s">
        <v>10</v>
      </c>
      <c r="E2453" t="s">
        <v>16</v>
      </c>
      <c r="F2453" t="s">
        <v>12</v>
      </c>
      <c r="G2453" t="s">
        <v>13</v>
      </c>
      <c r="H2453" t="s">
        <v>12</v>
      </c>
      <c r="I2453">
        <v>28</v>
      </c>
      <c r="J2453" t="str" cm="1">
        <f t="array" ref="J2453">_xlfn.IFS(ISBLANK(C2453),"FALTANTE",ABS((C2453-$W$5)/$X$5)&gt;1.96,"ATÍPICO",ABS((C2453-$W$5)/$X$5)&lt;=1.96,"NO ATÍPICO")</f>
        <v>NO ATÍPICO</v>
      </c>
      <c r="K2453" t="str" cm="1">
        <f t="array" ref="K2453">_xlfn.IFS(ISBLANK(I2453),"FALTANTE",ABS((I2453-$W$8)/$X$8)&gt;1.92,"ATÍPICO",ABS((I2453-$W$8)/$X$8)&lt;=1.92,"NO ATÍPICO")</f>
        <v>NO ATÍPICO</v>
      </c>
      <c r="L2453">
        <f t="shared" si="169"/>
        <v>75000</v>
      </c>
      <c r="M2453" t="str">
        <f t="shared" si="169"/>
        <v>ASALARIADO</v>
      </c>
      <c r="N2453">
        <f t="shared" si="170"/>
        <v>28</v>
      </c>
      <c r="O2453" s="19" t="str">
        <f t="shared" si="171"/>
        <v>0–300k</v>
      </c>
      <c r="P2453" s="19" t="str">
        <f t="shared" si="172"/>
        <v>26-35</v>
      </c>
    </row>
    <row r="2454" spans="1:16" x14ac:dyDescent="0.25">
      <c r="A2454">
        <v>2453</v>
      </c>
      <c r="B2454" t="s">
        <v>9</v>
      </c>
      <c r="C2454">
        <v>318000</v>
      </c>
      <c r="D2454" t="s">
        <v>10</v>
      </c>
      <c r="E2454" t="s">
        <v>16</v>
      </c>
      <c r="F2454" t="s">
        <v>12</v>
      </c>
      <c r="G2454" t="s">
        <v>13</v>
      </c>
      <c r="H2454" t="s">
        <v>12</v>
      </c>
      <c r="I2454">
        <v>50</v>
      </c>
      <c r="J2454" t="str" cm="1">
        <f t="array" ref="J2454">_xlfn.IFS(ISBLANK(C2454),"FALTANTE",ABS((C2454-$W$5)/$X$5)&gt;1.96,"ATÍPICO",ABS((C2454-$W$5)/$X$5)&lt;=1.96,"NO ATÍPICO")</f>
        <v>NO ATÍPICO</v>
      </c>
      <c r="K2454" t="str" cm="1">
        <f t="array" ref="K2454">_xlfn.IFS(ISBLANK(I2454),"FALTANTE",ABS((I2454-$W$8)/$X$8)&gt;1.92,"ATÍPICO",ABS((I2454-$W$8)/$X$8)&lt;=1.92,"NO ATÍPICO")</f>
        <v>NO ATÍPICO</v>
      </c>
      <c r="L2454">
        <f t="shared" si="169"/>
        <v>318000</v>
      </c>
      <c r="M2454" t="str">
        <f t="shared" si="169"/>
        <v>ASALARIADO</v>
      </c>
      <c r="N2454">
        <f t="shared" si="170"/>
        <v>50</v>
      </c>
      <c r="O2454" s="19" t="str">
        <f t="shared" si="171"/>
        <v>300k–600k</v>
      </c>
      <c r="P2454" s="19" t="str">
        <f t="shared" si="172"/>
        <v>46-55</v>
      </c>
    </row>
    <row r="2455" spans="1:16" x14ac:dyDescent="0.25">
      <c r="A2455">
        <v>2454</v>
      </c>
      <c r="B2455" t="s">
        <v>9</v>
      </c>
      <c r="C2455">
        <v>297187</v>
      </c>
      <c r="D2455" t="s">
        <v>18</v>
      </c>
      <c r="E2455" t="s">
        <v>16</v>
      </c>
      <c r="F2455" t="s">
        <v>12</v>
      </c>
      <c r="G2455" t="s">
        <v>13</v>
      </c>
      <c r="H2455" t="s">
        <v>13</v>
      </c>
      <c r="I2455">
        <v>41</v>
      </c>
      <c r="J2455" t="str" cm="1">
        <f t="array" ref="J2455">_xlfn.IFS(ISBLANK(C2455),"FALTANTE",ABS((C2455-$W$5)/$X$5)&gt;1.96,"ATÍPICO",ABS((C2455-$W$5)/$X$5)&lt;=1.96,"NO ATÍPICO")</f>
        <v>NO ATÍPICO</v>
      </c>
      <c r="K2455" t="str" cm="1">
        <f t="array" ref="K2455">_xlfn.IFS(ISBLANK(I2455),"FALTANTE",ABS((I2455-$W$8)/$X$8)&gt;1.92,"ATÍPICO",ABS((I2455-$W$8)/$X$8)&lt;=1.92,"NO ATÍPICO")</f>
        <v>NO ATÍPICO</v>
      </c>
      <c r="L2455">
        <f t="shared" si="169"/>
        <v>297187</v>
      </c>
      <c r="M2455" t="str">
        <f t="shared" si="169"/>
        <v>TRABAJADOR INDEPENDIENTE</v>
      </c>
      <c r="N2455">
        <f t="shared" si="170"/>
        <v>41</v>
      </c>
      <c r="O2455" s="19" t="str">
        <f t="shared" si="171"/>
        <v>0–300k</v>
      </c>
      <c r="P2455" s="19" t="str">
        <f t="shared" si="172"/>
        <v>36-45</v>
      </c>
    </row>
    <row r="2456" spans="1:16" x14ac:dyDescent="0.25">
      <c r="A2456">
        <v>2455</v>
      </c>
      <c r="B2456" t="s">
        <v>15</v>
      </c>
      <c r="C2456">
        <v>1023887.95</v>
      </c>
      <c r="D2456" t="s">
        <v>10</v>
      </c>
      <c r="E2456" t="s">
        <v>11</v>
      </c>
      <c r="F2456" t="s">
        <v>12</v>
      </c>
      <c r="G2456" t="s">
        <v>13</v>
      </c>
      <c r="H2456" t="s">
        <v>13</v>
      </c>
      <c r="I2456">
        <v>33</v>
      </c>
      <c r="J2456" t="str" cm="1">
        <f t="array" ref="J2456">_xlfn.IFS(ISBLANK(C2456),"FALTANTE",ABS((C2456-$W$5)/$X$5)&gt;1.96,"ATÍPICO",ABS((C2456-$W$5)/$X$5)&lt;=1.96,"NO ATÍPICO")</f>
        <v>NO ATÍPICO</v>
      </c>
      <c r="K2456" t="str" cm="1">
        <f t="array" ref="K2456">_xlfn.IFS(ISBLANK(I2456),"FALTANTE",ABS((I2456-$W$8)/$X$8)&gt;1.92,"ATÍPICO",ABS((I2456-$W$8)/$X$8)&lt;=1.92,"NO ATÍPICO")</f>
        <v>NO ATÍPICO</v>
      </c>
      <c r="L2456">
        <f t="shared" si="169"/>
        <v>1023887.95</v>
      </c>
      <c r="M2456" t="str">
        <f t="shared" si="169"/>
        <v>ASALARIADO</v>
      </c>
      <c r="N2456">
        <f t="shared" si="170"/>
        <v>33</v>
      </c>
      <c r="O2456" s="19" t="str">
        <f t="shared" si="171"/>
        <v>900k–1200k</v>
      </c>
      <c r="P2456" s="19" t="str">
        <f t="shared" si="172"/>
        <v>26-35</v>
      </c>
    </row>
    <row r="2457" spans="1:16" x14ac:dyDescent="0.25">
      <c r="A2457">
        <v>2456</v>
      </c>
      <c r="B2457" t="s">
        <v>15</v>
      </c>
      <c r="C2457">
        <v>297046</v>
      </c>
      <c r="D2457" t="s">
        <v>18</v>
      </c>
      <c r="E2457" t="s">
        <v>16</v>
      </c>
      <c r="F2457" t="s">
        <v>12</v>
      </c>
      <c r="G2457" t="s">
        <v>13</v>
      </c>
      <c r="H2457" t="s">
        <v>12</v>
      </c>
      <c r="I2457">
        <v>34</v>
      </c>
      <c r="J2457" t="str" cm="1">
        <f t="array" ref="J2457">_xlfn.IFS(ISBLANK(C2457),"FALTANTE",ABS((C2457-$W$5)/$X$5)&gt;1.96,"ATÍPICO",ABS((C2457-$W$5)/$X$5)&lt;=1.96,"NO ATÍPICO")</f>
        <v>NO ATÍPICO</v>
      </c>
      <c r="K2457" t="str" cm="1">
        <f t="array" ref="K2457">_xlfn.IFS(ISBLANK(I2457),"FALTANTE",ABS((I2457-$W$8)/$X$8)&gt;1.92,"ATÍPICO",ABS((I2457-$W$8)/$X$8)&lt;=1.92,"NO ATÍPICO")</f>
        <v>NO ATÍPICO</v>
      </c>
      <c r="L2457">
        <f t="shared" si="169"/>
        <v>297046</v>
      </c>
      <c r="M2457" t="str">
        <f t="shared" si="169"/>
        <v>TRABAJADOR INDEPENDIENTE</v>
      </c>
      <c r="N2457">
        <f t="shared" si="170"/>
        <v>34</v>
      </c>
      <c r="O2457" s="19" t="str">
        <f t="shared" si="171"/>
        <v>0–300k</v>
      </c>
      <c r="P2457" s="19" t="str">
        <f t="shared" si="172"/>
        <v>26-35</v>
      </c>
    </row>
    <row r="2458" spans="1:16" x14ac:dyDescent="0.25">
      <c r="A2458">
        <v>2457</v>
      </c>
      <c r="B2458" t="s">
        <v>15</v>
      </c>
      <c r="C2458">
        <v>937593</v>
      </c>
      <c r="D2458" t="s">
        <v>10</v>
      </c>
      <c r="E2458" t="s">
        <v>11</v>
      </c>
      <c r="F2458" t="s">
        <v>12</v>
      </c>
      <c r="G2458" t="s">
        <v>13</v>
      </c>
      <c r="H2458" t="s">
        <v>13</v>
      </c>
      <c r="I2458">
        <v>56</v>
      </c>
      <c r="J2458" t="str" cm="1">
        <f t="array" ref="J2458">_xlfn.IFS(ISBLANK(C2458),"FALTANTE",ABS((C2458-$W$5)/$X$5)&gt;1.96,"ATÍPICO",ABS((C2458-$W$5)/$X$5)&lt;=1.96,"NO ATÍPICO")</f>
        <v>NO ATÍPICO</v>
      </c>
      <c r="K2458" t="str" cm="1">
        <f t="array" ref="K2458">_xlfn.IFS(ISBLANK(I2458),"FALTANTE",ABS((I2458-$W$8)/$X$8)&gt;1.92,"ATÍPICO",ABS((I2458-$W$8)/$X$8)&lt;=1.92,"NO ATÍPICO")</f>
        <v>NO ATÍPICO</v>
      </c>
      <c r="L2458">
        <f t="shared" si="169"/>
        <v>937593</v>
      </c>
      <c r="M2458" t="str">
        <f t="shared" si="169"/>
        <v>ASALARIADO</v>
      </c>
      <c r="N2458">
        <f t="shared" si="170"/>
        <v>56</v>
      </c>
      <c r="O2458" s="19" t="str">
        <f t="shared" si="171"/>
        <v>900k–1200k</v>
      </c>
      <c r="P2458" s="19" t="str">
        <f t="shared" si="172"/>
        <v>56+</v>
      </c>
    </row>
    <row r="2459" spans="1:16" x14ac:dyDescent="0.25">
      <c r="A2459">
        <v>2458</v>
      </c>
      <c r="B2459" t="s">
        <v>15</v>
      </c>
      <c r="C2459">
        <v>697616.29</v>
      </c>
      <c r="D2459" t="s">
        <v>10</v>
      </c>
      <c r="E2459" t="s">
        <v>16</v>
      </c>
      <c r="F2459" t="s">
        <v>12</v>
      </c>
      <c r="G2459" t="s">
        <v>13</v>
      </c>
      <c r="H2459" t="s">
        <v>13</v>
      </c>
      <c r="I2459">
        <v>34</v>
      </c>
      <c r="J2459" t="str" cm="1">
        <f t="array" ref="J2459">_xlfn.IFS(ISBLANK(C2459),"FALTANTE",ABS((C2459-$W$5)/$X$5)&gt;1.96,"ATÍPICO",ABS((C2459-$W$5)/$X$5)&lt;=1.96,"NO ATÍPICO")</f>
        <v>NO ATÍPICO</v>
      </c>
      <c r="K2459" t="str" cm="1">
        <f t="array" ref="K2459">_xlfn.IFS(ISBLANK(I2459),"FALTANTE",ABS((I2459-$W$8)/$X$8)&gt;1.92,"ATÍPICO",ABS((I2459-$W$8)/$X$8)&lt;=1.92,"NO ATÍPICO")</f>
        <v>NO ATÍPICO</v>
      </c>
      <c r="L2459">
        <f t="shared" si="169"/>
        <v>697616.29</v>
      </c>
      <c r="M2459" t="str">
        <f t="shared" si="169"/>
        <v>ASALARIADO</v>
      </c>
      <c r="N2459">
        <f t="shared" si="170"/>
        <v>34</v>
      </c>
      <c r="O2459" s="19" t="str">
        <f t="shared" si="171"/>
        <v>600k–900k</v>
      </c>
      <c r="P2459" s="19" t="str">
        <f t="shared" si="172"/>
        <v>26-35</v>
      </c>
    </row>
    <row r="2460" spans="1:16" x14ac:dyDescent="0.25">
      <c r="A2460">
        <v>2459</v>
      </c>
      <c r="B2460" t="s">
        <v>9</v>
      </c>
      <c r="C2460">
        <v>620581</v>
      </c>
      <c r="D2460" t="s">
        <v>10</v>
      </c>
      <c r="E2460" t="s">
        <v>11</v>
      </c>
      <c r="F2460" t="s">
        <v>12</v>
      </c>
      <c r="G2460" t="s">
        <v>13</v>
      </c>
      <c r="H2460" t="s">
        <v>13</v>
      </c>
      <c r="I2460">
        <v>24</v>
      </c>
      <c r="J2460" t="str" cm="1">
        <f t="array" ref="J2460">_xlfn.IFS(ISBLANK(C2460),"FALTANTE",ABS((C2460-$W$5)/$X$5)&gt;1.96,"ATÍPICO",ABS((C2460-$W$5)/$X$5)&lt;=1.96,"NO ATÍPICO")</f>
        <v>NO ATÍPICO</v>
      </c>
      <c r="K2460" t="str" cm="1">
        <f t="array" ref="K2460">_xlfn.IFS(ISBLANK(I2460),"FALTANTE",ABS((I2460-$W$8)/$X$8)&gt;1.92,"ATÍPICO",ABS((I2460-$W$8)/$X$8)&lt;=1.92,"NO ATÍPICO")</f>
        <v>NO ATÍPICO</v>
      </c>
      <c r="L2460">
        <f t="shared" si="169"/>
        <v>620581</v>
      </c>
      <c r="M2460" t="str">
        <f t="shared" si="169"/>
        <v>ASALARIADO</v>
      </c>
      <c r="N2460">
        <f t="shared" si="170"/>
        <v>24</v>
      </c>
      <c r="O2460" s="19" t="str">
        <f t="shared" si="171"/>
        <v>600k–900k</v>
      </c>
      <c r="P2460" s="19" t="str">
        <f t="shared" si="172"/>
        <v>18-25</v>
      </c>
    </row>
    <row r="2461" spans="1:16" x14ac:dyDescent="0.25">
      <c r="A2461">
        <v>2460</v>
      </c>
      <c r="B2461" t="s">
        <v>15</v>
      </c>
      <c r="C2461">
        <v>297045</v>
      </c>
      <c r="D2461" t="s">
        <v>17</v>
      </c>
      <c r="E2461" t="s">
        <v>16</v>
      </c>
      <c r="F2461" t="s">
        <v>12</v>
      </c>
      <c r="G2461" t="s">
        <v>13</v>
      </c>
      <c r="H2461" t="s">
        <v>13</v>
      </c>
      <c r="I2461">
        <v>62</v>
      </c>
      <c r="J2461" t="str" cm="1">
        <f t="array" ref="J2461">_xlfn.IFS(ISBLANK(C2461),"FALTANTE",ABS((C2461-$W$5)/$X$5)&gt;1.96,"ATÍPICO",ABS((C2461-$W$5)/$X$5)&lt;=1.96,"NO ATÍPICO")</f>
        <v>NO ATÍPICO</v>
      </c>
      <c r="K2461" t="str" cm="1">
        <f t="array" ref="K2461">_xlfn.IFS(ISBLANK(I2461),"FALTANTE",ABS((I2461-$W$8)/$X$8)&gt;1.92,"ATÍPICO",ABS((I2461-$W$8)/$X$8)&lt;=1.92,"NO ATÍPICO")</f>
        <v>NO ATÍPICO</v>
      </c>
      <c r="L2461">
        <f t="shared" si="169"/>
        <v>297045</v>
      </c>
      <c r="M2461" t="str">
        <f t="shared" si="169"/>
        <v>ASEGURADO VOLUNTARIO</v>
      </c>
      <c r="N2461">
        <f t="shared" si="170"/>
        <v>62</v>
      </c>
      <c r="O2461" s="19" t="str">
        <f t="shared" si="171"/>
        <v>0–300k</v>
      </c>
      <c r="P2461" s="19" t="str">
        <f t="shared" si="172"/>
        <v>56+</v>
      </c>
    </row>
    <row r="2462" spans="1:16" x14ac:dyDescent="0.25">
      <c r="A2462">
        <v>2461</v>
      </c>
      <c r="B2462" t="s">
        <v>9</v>
      </c>
      <c r="C2462">
        <v>299647</v>
      </c>
      <c r="D2462" t="s">
        <v>17</v>
      </c>
      <c r="E2462" t="s">
        <v>16</v>
      </c>
      <c r="F2462" t="s">
        <v>12</v>
      </c>
      <c r="G2462" t="s">
        <v>13</v>
      </c>
      <c r="H2462" t="s">
        <v>13</v>
      </c>
      <c r="I2462">
        <v>54</v>
      </c>
      <c r="J2462" t="str" cm="1">
        <f t="array" ref="J2462">_xlfn.IFS(ISBLANK(C2462),"FALTANTE",ABS((C2462-$W$5)/$X$5)&gt;1.96,"ATÍPICO",ABS((C2462-$W$5)/$X$5)&lt;=1.96,"NO ATÍPICO")</f>
        <v>NO ATÍPICO</v>
      </c>
      <c r="K2462" t="str" cm="1">
        <f t="array" ref="K2462">_xlfn.IFS(ISBLANK(I2462),"FALTANTE",ABS((I2462-$W$8)/$X$8)&gt;1.92,"ATÍPICO",ABS((I2462-$W$8)/$X$8)&lt;=1.92,"NO ATÍPICO")</f>
        <v>NO ATÍPICO</v>
      </c>
      <c r="L2462">
        <f t="shared" si="169"/>
        <v>299647</v>
      </c>
      <c r="M2462" t="str">
        <f t="shared" si="169"/>
        <v>ASEGURADO VOLUNTARIO</v>
      </c>
      <c r="N2462">
        <f t="shared" si="170"/>
        <v>54</v>
      </c>
      <c r="O2462" s="19" t="str">
        <f t="shared" si="171"/>
        <v>0–300k</v>
      </c>
      <c r="P2462" s="19" t="str">
        <f t="shared" si="172"/>
        <v>46-55</v>
      </c>
    </row>
    <row r="2463" spans="1:16" x14ac:dyDescent="0.25">
      <c r="A2463">
        <v>2462</v>
      </c>
      <c r="B2463" t="s">
        <v>9</v>
      </c>
      <c r="C2463">
        <v>458490</v>
      </c>
      <c r="D2463" t="s">
        <v>10</v>
      </c>
      <c r="E2463" t="s">
        <v>16</v>
      </c>
      <c r="F2463" t="s">
        <v>12</v>
      </c>
      <c r="G2463" t="s">
        <v>13</v>
      </c>
      <c r="H2463" t="s">
        <v>13</v>
      </c>
      <c r="I2463">
        <v>27</v>
      </c>
      <c r="J2463" t="str" cm="1">
        <f t="array" ref="J2463">_xlfn.IFS(ISBLANK(C2463),"FALTANTE",ABS((C2463-$W$5)/$X$5)&gt;1.96,"ATÍPICO",ABS((C2463-$W$5)/$X$5)&lt;=1.96,"NO ATÍPICO")</f>
        <v>NO ATÍPICO</v>
      </c>
      <c r="K2463" t="str" cm="1">
        <f t="array" ref="K2463">_xlfn.IFS(ISBLANK(I2463),"FALTANTE",ABS((I2463-$W$8)/$X$8)&gt;1.92,"ATÍPICO",ABS((I2463-$W$8)/$X$8)&lt;=1.92,"NO ATÍPICO")</f>
        <v>NO ATÍPICO</v>
      </c>
      <c r="L2463">
        <f t="shared" si="169"/>
        <v>458490</v>
      </c>
      <c r="M2463" t="str">
        <f t="shared" si="169"/>
        <v>ASALARIADO</v>
      </c>
      <c r="N2463">
        <f t="shared" si="170"/>
        <v>27</v>
      </c>
      <c r="O2463" s="19" t="str">
        <f t="shared" si="171"/>
        <v>300k–600k</v>
      </c>
      <c r="P2463" s="19" t="str">
        <f t="shared" si="172"/>
        <v>26-35</v>
      </c>
    </row>
    <row r="2464" spans="1:16" x14ac:dyDescent="0.25">
      <c r="A2464">
        <v>2463</v>
      </c>
      <c r="B2464" t="s">
        <v>15</v>
      </c>
      <c r="C2464">
        <v>297044</v>
      </c>
      <c r="D2464" t="s">
        <v>17</v>
      </c>
      <c r="E2464" t="s">
        <v>16</v>
      </c>
      <c r="F2464" t="s">
        <v>12</v>
      </c>
      <c r="G2464" t="s">
        <v>12</v>
      </c>
      <c r="H2464" t="s">
        <v>13</v>
      </c>
      <c r="I2464">
        <v>57</v>
      </c>
      <c r="J2464" t="str" cm="1">
        <f t="array" ref="J2464">_xlfn.IFS(ISBLANK(C2464),"FALTANTE",ABS((C2464-$W$5)/$X$5)&gt;1.96,"ATÍPICO",ABS((C2464-$W$5)/$X$5)&lt;=1.96,"NO ATÍPICO")</f>
        <v>NO ATÍPICO</v>
      </c>
      <c r="K2464" t="str" cm="1">
        <f t="array" ref="K2464">_xlfn.IFS(ISBLANK(I2464),"FALTANTE",ABS((I2464-$W$8)/$X$8)&gt;1.92,"ATÍPICO",ABS((I2464-$W$8)/$X$8)&lt;=1.92,"NO ATÍPICO")</f>
        <v>NO ATÍPICO</v>
      </c>
      <c r="L2464">
        <f t="shared" si="169"/>
        <v>297044</v>
      </c>
      <c r="M2464" t="str">
        <f t="shared" si="169"/>
        <v>ASEGURADO VOLUNTARIO</v>
      </c>
      <c r="N2464">
        <f t="shared" si="170"/>
        <v>57</v>
      </c>
      <c r="O2464" s="19" t="str">
        <f t="shared" si="171"/>
        <v>0–300k</v>
      </c>
      <c r="P2464" s="19" t="str">
        <f t="shared" si="172"/>
        <v>56+</v>
      </c>
    </row>
    <row r="2465" spans="1:16" x14ac:dyDescent="0.25">
      <c r="A2465">
        <v>2464</v>
      </c>
      <c r="B2465" t="s">
        <v>9</v>
      </c>
      <c r="C2465">
        <v>639148</v>
      </c>
      <c r="D2465" t="s">
        <v>18</v>
      </c>
      <c r="E2465" t="s">
        <v>16</v>
      </c>
      <c r="F2465" t="s">
        <v>12</v>
      </c>
      <c r="G2465" t="s">
        <v>13</v>
      </c>
      <c r="H2465" t="s">
        <v>13</v>
      </c>
      <c r="I2465">
        <v>42</v>
      </c>
      <c r="J2465" t="str" cm="1">
        <f t="array" ref="J2465">_xlfn.IFS(ISBLANK(C2465),"FALTANTE",ABS((C2465-$W$5)/$X$5)&gt;1.96,"ATÍPICO",ABS((C2465-$W$5)/$X$5)&lt;=1.96,"NO ATÍPICO")</f>
        <v>NO ATÍPICO</v>
      </c>
      <c r="K2465" t="str" cm="1">
        <f t="array" ref="K2465">_xlfn.IFS(ISBLANK(I2465),"FALTANTE",ABS((I2465-$W$8)/$X$8)&gt;1.92,"ATÍPICO",ABS((I2465-$W$8)/$X$8)&lt;=1.92,"NO ATÍPICO")</f>
        <v>NO ATÍPICO</v>
      </c>
      <c r="L2465">
        <f t="shared" si="169"/>
        <v>639148</v>
      </c>
      <c r="M2465" t="str">
        <f t="shared" si="169"/>
        <v>TRABAJADOR INDEPENDIENTE</v>
      </c>
      <c r="N2465">
        <f t="shared" si="170"/>
        <v>42</v>
      </c>
      <c r="O2465" s="19" t="str">
        <f t="shared" si="171"/>
        <v>600k–900k</v>
      </c>
      <c r="P2465" s="19" t="str">
        <f t="shared" si="172"/>
        <v>36-45</v>
      </c>
    </row>
    <row r="2466" spans="1:16" x14ac:dyDescent="0.25">
      <c r="A2466">
        <v>2465</v>
      </c>
      <c r="B2466" t="s">
        <v>15</v>
      </c>
      <c r="C2466">
        <v>700882.78</v>
      </c>
      <c r="D2466" t="s">
        <v>10</v>
      </c>
      <c r="E2466" t="s">
        <v>16</v>
      </c>
      <c r="F2466" t="s">
        <v>12</v>
      </c>
      <c r="G2466" t="s">
        <v>13</v>
      </c>
      <c r="H2466" t="s">
        <v>13</v>
      </c>
      <c r="I2466">
        <v>44</v>
      </c>
      <c r="J2466" t="str" cm="1">
        <f t="array" ref="J2466">_xlfn.IFS(ISBLANK(C2466),"FALTANTE",ABS((C2466-$W$5)/$X$5)&gt;1.96,"ATÍPICO",ABS((C2466-$W$5)/$X$5)&lt;=1.96,"NO ATÍPICO")</f>
        <v>NO ATÍPICO</v>
      </c>
      <c r="K2466" t="str" cm="1">
        <f t="array" ref="K2466">_xlfn.IFS(ISBLANK(I2466),"FALTANTE",ABS((I2466-$W$8)/$X$8)&gt;1.92,"ATÍPICO",ABS((I2466-$W$8)/$X$8)&lt;=1.92,"NO ATÍPICO")</f>
        <v>NO ATÍPICO</v>
      </c>
      <c r="L2466">
        <f t="shared" si="169"/>
        <v>700882.78</v>
      </c>
      <c r="M2466" t="str">
        <f t="shared" si="169"/>
        <v>ASALARIADO</v>
      </c>
      <c r="N2466">
        <f t="shared" si="170"/>
        <v>44</v>
      </c>
      <c r="O2466" s="19" t="str">
        <f t="shared" si="171"/>
        <v>600k–900k</v>
      </c>
      <c r="P2466" s="19" t="str">
        <f t="shared" si="172"/>
        <v>36-45</v>
      </c>
    </row>
    <row r="2467" spans="1:16" x14ac:dyDescent="0.25">
      <c r="A2467">
        <v>2466</v>
      </c>
      <c r="B2467" t="s">
        <v>9</v>
      </c>
      <c r="C2467">
        <v>278030</v>
      </c>
      <c r="D2467" t="s">
        <v>19</v>
      </c>
      <c r="E2467" t="s">
        <v>16</v>
      </c>
      <c r="F2467" t="s">
        <v>12</v>
      </c>
      <c r="G2467" t="s">
        <v>13</v>
      </c>
      <c r="H2467" t="s">
        <v>13</v>
      </c>
      <c r="I2467">
        <v>64</v>
      </c>
      <c r="J2467" t="str" cm="1">
        <f t="array" ref="J2467">_xlfn.IFS(ISBLANK(C2467),"FALTANTE",ABS((C2467-$W$5)/$X$5)&gt;1.96,"ATÍPICO",ABS((C2467-$W$5)/$X$5)&lt;=1.96,"NO ATÍPICO")</f>
        <v>NO ATÍPICO</v>
      </c>
      <c r="K2467" t="str" cm="1">
        <f t="array" ref="K2467">_xlfn.IFS(ISBLANK(I2467),"FALTANTE",ABS((I2467-$W$8)/$X$8)&gt;1.92,"ATÍPICO",ABS((I2467-$W$8)/$X$8)&lt;=1.92,"NO ATÍPICO")</f>
        <v>NO ATÍPICO</v>
      </c>
      <c r="L2467">
        <f t="shared" si="169"/>
        <v>278030</v>
      </c>
      <c r="M2467" t="str">
        <f t="shared" si="169"/>
        <v>CONVENIOS ESPECIALES DE TRABAJADORES INDEPENDIENTES</v>
      </c>
      <c r="N2467">
        <f t="shared" si="170"/>
        <v>64</v>
      </c>
      <c r="O2467" s="19" t="str">
        <f t="shared" si="171"/>
        <v>0–300k</v>
      </c>
      <c r="P2467" s="19" t="str">
        <f t="shared" si="172"/>
        <v>56+</v>
      </c>
    </row>
    <row r="2468" spans="1:16" x14ac:dyDescent="0.25">
      <c r="A2468">
        <v>2467</v>
      </c>
      <c r="B2468" t="s">
        <v>15</v>
      </c>
      <c r="C2468">
        <v>697309.5</v>
      </c>
      <c r="D2468" t="s">
        <v>10</v>
      </c>
      <c r="E2468" t="s">
        <v>11</v>
      </c>
      <c r="F2468" t="s">
        <v>12</v>
      </c>
      <c r="G2468" t="s">
        <v>13</v>
      </c>
      <c r="H2468" t="s">
        <v>13</v>
      </c>
      <c r="I2468">
        <v>55</v>
      </c>
      <c r="J2468" t="str" cm="1">
        <f t="array" ref="J2468">_xlfn.IFS(ISBLANK(C2468),"FALTANTE",ABS((C2468-$W$5)/$X$5)&gt;1.96,"ATÍPICO",ABS((C2468-$W$5)/$X$5)&lt;=1.96,"NO ATÍPICO")</f>
        <v>NO ATÍPICO</v>
      </c>
      <c r="K2468" t="str" cm="1">
        <f t="array" ref="K2468">_xlfn.IFS(ISBLANK(I2468),"FALTANTE",ABS((I2468-$W$8)/$X$8)&gt;1.92,"ATÍPICO",ABS((I2468-$W$8)/$X$8)&lt;=1.92,"NO ATÍPICO")</f>
        <v>NO ATÍPICO</v>
      </c>
      <c r="L2468">
        <f t="shared" si="169"/>
        <v>697309.5</v>
      </c>
      <c r="M2468" t="str">
        <f t="shared" si="169"/>
        <v>ASALARIADO</v>
      </c>
      <c r="N2468">
        <f t="shared" si="170"/>
        <v>55</v>
      </c>
      <c r="O2468" s="19" t="str">
        <f t="shared" si="171"/>
        <v>600k–900k</v>
      </c>
      <c r="P2468" s="19" t="str">
        <f t="shared" si="172"/>
        <v>46-55</v>
      </c>
    </row>
    <row r="2469" spans="1:16" x14ac:dyDescent="0.25">
      <c r="A2469">
        <v>2468</v>
      </c>
      <c r="B2469" t="s">
        <v>15</v>
      </c>
      <c r="C2469">
        <v>278030</v>
      </c>
      <c r="D2469" t="s">
        <v>17</v>
      </c>
      <c r="E2469" t="s">
        <v>16</v>
      </c>
      <c r="F2469" t="s">
        <v>12</v>
      </c>
      <c r="G2469" t="s">
        <v>13</v>
      </c>
      <c r="H2469" t="s">
        <v>13</v>
      </c>
      <c r="I2469">
        <v>40</v>
      </c>
      <c r="J2469" t="str" cm="1">
        <f t="array" ref="J2469">_xlfn.IFS(ISBLANK(C2469),"FALTANTE",ABS((C2469-$W$5)/$X$5)&gt;1.96,"ATÍPICO",ABS((C2469-$W$5)/$X$5)&lt;=1.96,"NO ATÍPICO")</f>
        <v>NO ATÍPICO</v>
      </c>
      <c r="K2469" t="str" cm="1">
        <f t="array" ref="K2469">_xlfn.IFS(ISBLANK(I2469),"FALTANTE",ABS((I2469-$W$8)/$X$8)&gt;1.92,"ATÍPICO",ABS((I2469-$W$8)/$X$8)&lt;=1.92,"NO ATÍPICO")</f>
        <v>NO ATÍPICO</v>
      </c>
      <c r="L2469">
        <f t="shared" si="169"/>
        <v>278030</v>
      </c>
      <c r="M2469" t="str">
        <f t="shared" si="169"/>
        <v>ASEGURADO VOLUNTARIO</v>
      </c>
      <c r="N2469">
        <f t="shared" si="170"/>
        <v>40</v>
      </c>
      <c r="O2469" s="19" t="str">
        <f t="shared" si="171"/>
        <v>0–300k</v>
      </c>
      <c r="P2469" s="19" t="str">
        <f t="shared" si="172"/>
        <v>36-45</v>
      </c>
    </row>
    <row r="2470" spans="1:16" x14ac:dyDescent="0.25">
      <c r="A2470">
        <v>2469</v>
      </c>
      <c r="B2470" t="s">
        <v>15</v>
      </c>
      <c r="C2470">
        <v>888615.5</v>
      </c>
      <c r="D2470" t="s">
        <v>10</v>
      </c>
      <c r="E2470" t="s">
        <v>16</v>
      </c>
      <c r="F2470" t="s">
        <v>12</v>
      </c>
      <c r="G2470" t="s">
        <v>13</v>
      </c>
      <c r="H2470" t="s">
        <v>13</v>
      </c>
      <c r="I2470">
        <v>39</v>
      </c>
      <c r="J2470" t="str" cm="1">
        <f t="array" ref="J2470">_xlfn.IFS(ISBLANK(C2470),"FALTANTE",ABS((C2470-$W$5)/$X$5)&gt;1.96,"ATÍPICO",ABS((C2470-$W$5)/$X$5)&lt;=1.96,"NO ATÍPICO")</f>
        <v>NO ATÍPICO</v>
      </c>
      <c r="K2470" t="str" cm="1">
        <f t="array" ref="K2470">_xlfn.IFS(ISBLANK(I2470),"FALTANTE",ABS((I2470-$W$8)/$X$8)&gt;1.92,"ATÍPICO",ABS((I2470-$W$8)/$X$8)&lt;=1.92,"NO ATÍPICO")</f>
        <v>NO ATÍPICO</v>
      </c>
      <c r="L2470">
        <f t="shared" si="169"/>
        <v>888615.5</v>
      </c>
      <c r="M2470" t="str">
        <f t="shared" si="169"/>
        <v>ASALARIADO</v>
      </c>
      <c r="N2470">
        <f t="shared" si="170"/>
        <v>39</v>
      </c>
      <c r="O2470" s="19" t="str">
        <f t="shared" si="171"/>
        <v>600k–900k</v>
      </c>
      <c r="P2470" s="19" t="str">
        <f t="shared" si="172"/>
        <v>36-45</v>
      </c>
    </row>
    <row r="2471" spans="1:16" x14ac:dyDescent="0.25">
      <c r="A2471">
        <v>2470</v>
      </c>
      <c r="B2471" t="s">
        <v>9</v>
      </c>
      <c r="C2471">
        <v>386161</v>
      </c>
      <c r="D2471" t="s">
        <v>18</v>
      </c>
      <c r="E2471" t="s">
        <v>16</v>
      </c>
      <c r="F2471" t="s">
        <v>12</v>
      </c>
      <c r="G2471" t="s">
        <v>13</v>
      </c>
      <c r="H2471" t="s">
        <v>12</v>
      </c>
      <c r="I2471">
        <v>44</v>
      </c>
      <c r="J2471" t="str" cm="1">
        <f t="array" ref="J2471">_xlfn.IFS(ISBLANK(C2471),"FALTANTE",ABS((C2471-$W$5)/$X$5)&gt;1.96,"ATÍPICO",ABS((C2471-$W$5)/$X$5)&lt;=1.96,"NO ATÍPICO")</f>
        <v>NO ATÍPICO</v>
      </c>
      <c r="K2471" t="str" cm="1">
        <f t="array" ref="K2471">_xlfn.IFS(ISBLANK(I2471),"FALTANTE",ABS((I2471-$W$8)/$X$8)&gt;1.92,"ATÍPICO",ABS((I2471-$W$8)/$X$8)&lt;=1.92,"NO ATÍPICO")</f>
        <v>NO ATÍPICO</v>
      </c>
      <c r="L2471">
        <f t="shared" si="169"/>
        <v>386161</v>
      </c>
      <c r="M2471" t="str">
        <f t="shared" si="169"/>
        <v>TRABAJADOR INDEPENDIENTE</v>
      </c>
      <c r="N2471">
        <f t="shared" si="170"/>
        <v>44</v>
      </c>
      <c r="O2471" s="19" t="str">
        <f t="shared" si="171"/>
        <v>300k–600k</v>
      </c>
      <c r="P2471" s="19" t="str">
        <f t="shared" si="172"/>
        <v>36-45</v>
      </c>
    </row>
    <row r="2472" spans="1:16" x14ac:dyDescent="0.25">
      <c r="A2472">
        <v>2471</v>
      </c>
      <c r="B2472" t="s">
        <v>15</v>
      </c>
      <c r="C2472">
        <v>130000</v>
      </c>
      <c r="D2472" t="s">
        <v>10</v>
      </c>
      <c r="E2472" t="s">
        <v>16</v>
      </c>
      <c r="F2472" t="s">
        <v>12</v>
      </c>
      <c r="G2472" t="s">
        <v>13</v>
      </c>
      <c r="H2472" t="s">
        <v>12</v>
      </c>
      <c r="I2472">
        <v>33</v>
      </c>
      <c r="J2472" t="str" cm="1">
        <f t="array" ref="J2472">_xlfn.IFS(ISBLANK(C2472),"FALTANTE",ABS((C2472-$W$5)/$X$5)&gt;1.96,"ATÍPICO",ABS((C2472-$W$5)/$X$5)&lt;=1.96,"NO ATÍPICO")</f>
        <v>NO ATÍPICO</v>
      </c>
      <c r="K2472" t="str" cm="1">
        <f t="array" ref="K2472">_xlfn.IFS(ISBLANK(I2472),"FALTANTE",ABS((I2472-$W$8)/$X$8)&gt;1.92,"ATÍPICO",ABS((I2472-$W$8)/$X$8)&lt;=1.92,"NO ATÍPICO")</f>
        <v>NO ATÍPICO</v>
      </c>
      <c r="L2472">
        <f t="shared" si="169"/>
        <v>130000</v>
      </c>
      <c r="M2472" t="str">
        <f t="shared" si="169"/>
        <v>ASALARIADO</v>
      </c>
      <c r="N2472">
        <f t="shared" si="170"/>
        <v>33</v>
      </c>
      <c r="O2472" s="19" t="str">
        <f t="shared" si="171"/>
        <v>0–300k</v>
      </c>
      <c r="P2472" s="19" t="str">
        <f t="shared" si="172"/>
        <v>26-35</v>
      </c>
    </row>
    <row r="2473" spans="1:16" x14ac:dyDescent="0.25">
      <c r="A2473">
        <v>2472</v>
      </c>
      <c r="B2473" t="s">
        <v>9</v>
      </c>
      <c r="C2473">
        <v>300056</v>
      </c>
      <c r="D2473" t="s">
        <v>14</v>
      </c>
      <c r="E2473" t="s">
        <v>11</v>
      </c>
      <c r="F2473" t="s">
        <v>12</v>
      </c>
      <c r="G2473" t="s">
        <v>13</v>
      </c>
      <c r="H2473" t="s">
        <v>13</v>
      </c>
      <c r="I2473">
        <v>75</v>
      </c>
      <c r="J2473" t="str" cm="1">
        <f t="array" ref="J2473">_xlfn.IFS(ISBLANK(C2473),"FALTANTE",ABS((C2473-$W$5)/$X$5)&gt;1.96,"ATÍPICO",ABS((C2473-$W$5)/$X$5)&lt;=1.96,"NO ATÍPICO")</f>
        <v>NO ATÍPICO</v>
      </c>
      <c r="K2473" t="str" cm="1">
        <f t="array" ref="K2473">_xlfn.IFS(ISBLANK(I2473),"FALTANTE",ABS((I2473-$W$8)/$X$8)&gt;1.92,"ATÍPICO",ABS((I2473-$W$8)/$X$8)&lt;=1.92,"NO ATÍPICO")</f>
        <v>ATÍPICO</v>
      </c>
      <c r="L2473">
        <f t="shared" si="169"/>
        <v>300056</v>
      </c>
      <c r="M2473" t="str">
        <f t="shared" si="169"/>
        <v>PENSIONADOS EN SU PROPIO SISTEMA</v>
      </c>
      <c r="N2473">
        <f t="shared" si="170"/>
        <v>75</v>
      </c>
      <c r="O2473" s="19" t="str">
        <f t="shared" si="171"/>
        <v>300k–600k</v>
      </c>
      <c r="P2473" s="19" t="str">
        <f t="shared" si="172"/>
        <v>56+</v>
      </c>
    </row>
    <row r="2474" spans="1:16" x14ac:dyDescent="0.25">
      <c r="A2474">
        <v>2473</v>
      </c>
      <c r="B2474" t="s">
        <v>9</v>
      </c>
      <c r="C2474">
        <v>842404.4</v>
      </c>
      <c r="D2474" t="s">
        <v>10</v>
      </c>
      <c r="E2474" t="s">
        <v>11</v>
      </c>
      <c r="F2474" t="s">
        <v>12</v>
      </c>
      <c r="G2474" t="s">
        <v>13</v>
      </c>
      <c r="H2474" t="s">
        <v>13</v>
      </c>
      <c r="I2474">
        <v>57</v>
      </c>
      <c r="J2474" t="str" cm="1">
        <f t="array" ref="J2474">_xlfn.IFS(ISBLANK(C2474),"FALTANTE",ABS((C2474-$W$5)/$X$5)&gt;1.96,"ATÍPICO",ABS((C2474-$W$5)/$X$5)&lt;=1.96,"NO ATÍPICO")</f>
        <v>NO ATÍPICO</v>
      </c>
      <c r="K2474" t="str" cm="1">
        <f t="array" ref="K2474">_xlfn.IFS(ISBLANK(I2474),"FALTANTE",ABS((I2474-$W$8)/$X$8)&gt;1.92,"ATÍPICO",ABS((I2474-$W$8)/$X$8)&lt;=1.92,"NO ATÍPICO")</f>
        <v>NO ATÍPICO</v>
      </c>
      <c r="L2474">
        <f t="shared" si="169"/>
        <v>842404.4</v>
      </c>
      <c r="M2474" t="str">
        <f t="shared" si="169"/>
        <v>ASALARIADO</v>
      </c>
      <c r="N2474">
        <f t="shared" si="170"/>
        <v>57</v>
      </c>
      <c r="O2474" s="19" t="str">
        <f t="shared" si="171"/>
        <v>600k–900k</v>
      </c>
      <c r="P2474" s="19" t="str">
        <f t="shared" si="172"/>
        <v>56+</v>
      </c>
    </row>
    <row r="2475" spans="1:16" x14ac:dyDescent="0.25">
      <c r="A2475">
        <v>2474</v>
      </c>
      <c r="B2475" t="s">
        <v>15</v>
      </c>
      <c r="C2475">
        <v>287616</v>
      </c>
      <c r="D2475" t="s">
        <v>10</v>
      </c>
      <c r="E2475" t="s">
        <v>16</v>
      </c>
      <c r="F2475" t="s">
        <v>12</v>
      </c>
      <c r="G2475" t="s">
        <v>13</v>
      </c>
      <c r="H2475" t="s">
        <v>13</v>
      </c>
      <c r="I2475">
        <v>24</v>
      </c>
      <c r="J2475" t="str" cm="1">
        <f t="array" ref="J2475">_xlfn.IFS(ISBLANK(C2475),"FALTANTE",ABS((C2475-$W$5)/$X$5)&gt;1.96,"ATÍPICO",ABS((C2475-$W$5)/$X$5)&lt;=1.96,"NO ATÍPICO")</f>
        <v>NO ATÍPICO</v>
      </c>
      <c r="K2475" t="str" cm="1">
        <f t="array" ref="K2475">_xlfn.IFS(ISBLANK(I2475),"FALTANTE",ABS((I2475-$W$8)/$X$8)&gt;1.92,"ATÍPICO",ABS((I2475-$W$8)/$X$8)&lt;=1.92,"NO ATÍPICO")</f>
        <v>NO ATÍPICO</v>
      </c>
      <c r="L2475">
        <f t="shared" si="169"/>
        <v>287616</v>
      </c>
      <c r="M2475" t="str">
        <f t="shared" si="169"/>
        <v>ASALARIADO</v>
      </c>
      <c r="N2475">
        <f t="shared" si="170"/>
        <v>24</v>
      </c>
      <c r="O2475" s="19" t="str">
        <f t="shared" si="171"/>
        <v>0–300k</v>
      </c>
      <c r="P2475" s="19" t="str">
        <f t="shared" si="172"/>
        <v>18-25</v>
      </c>
    </row>
    <row r="2476" spans="1:16" x14ac:dyDescent="0.25">
      <c r="A2476">
        <v>2475</v>
      </c>
      <c r="B2476" t="s">
        <v>9</v>
      </c>
      <c r="C2476">
        <v>205612</v>
      </c>
      <c r="D2476" t="s">
        <v>10</v>
      </c>
      <c r="E2476" t="s">
        <v>16</v>
      </c>
      <c r="F2476" t="s">
        <v>12</v>
      </c>
      <c r="G2476" t="s">
        <v>13</v>
      </c>
      <c r="H2476" t="s">
        <v>13</v>
      </c>
      <c r="I2476">
        <v>33</v>
      </c>
      <c r="J2476" t="str" cm="1">
        <f t="array" ref="J2476">_xlfn.IFS(ISBLANK(C2476),"FALTANTE",ABS((C2476-$W$5)/$X$5)&gt;1.96,"ATÍPICO",ABS((C2476-$W$5)/$X$5)&lt;=1.96,"NO ATÍPICO")</f>
        <v>NO ATÍPICO</v>
      </c>
      <c r="K2476" t="str" cm="1">
        <f t="array" ref="K2476">_xlfn.IFS(ISBLANK(I2476),"FALTANTE",ABS((I2476-$W$8)/$X$8)&gt;1.92,"ATÍPICO",ABS((I2476-$W$8)/$X$8)&lt;=1.92,"NO ATÍPICO")</f>
        <v>NO ATÍPICO</v>
      </c>
      <c r="L2476">
        <f t="shared" si="169"/>
        <v>205612</v>
      </c>
      <c r="M2476" t="str">
        <f t="shared" si="169"/>
        <v>ASALARIADO</v>
      </c>
      <c r="N2476">
        <f t="shared" si="170"/>
        <v>33</v>
      </c>
      <c r="O2476" s="19" t="str">
        <f t="shared" si="171"/>
        <v>0–300k</v>
      </c>
      <c r="P2476" s="19" t="str">
        <f t="shared" si="172"/>
        <v>26-35</v>
      </c>
    </row>
    <row r="2477" spans="1:16" x14ac:dyDescent="0.25">
      <c r="A2477">
        <v>2476</v>
      </c>
      <c r="B2477" t="s">
        <v>9</v>
      </c>
      <c r="C2477">
        <v>377729.94</v>
      </c>
      <c r="D2477" t="s">
        <v>10</v>
      </c>
      <c r="E2477" t="s">
        <v>16</v>
      </c>
      <c r="F2477" t="s">
        <v>12</v>
      </c>
      <c r="G2477" t="s">
        <v>13</v>
      </c>
      <c r="H2477" t="s">
        <v>13</v>
      </c>
      <c r="I2477">
        <v>63</v>
      </c>
      <c r="J2477" t="str" cm="1">
        <f t="array" ref="J2477">_xlfn.IFS(ISBLANK(C2477),"FALTANTE",ABS((C2477-$W$5)/$X$5)&gt;1.96,"ATÍPICO",ABS((C2477-$W$5)/$X$5)&lt;=1.96,"NO ATÍPICO")</f>
        <v>NO ATÍPICO</v>
      </c>
      <c r="K2477" t="str" cm="1">
        <f t="array" ref="K2477">_xlfn.IFS(ISBLANK(I2477),"FALTANTE",ABS((I2477-$W$8)/$X$8)&gt;1.92,"ATÍPICO",ABS((I2477-$W$8)/$X$8)&lt;=1.92,"NO ATÍPICO")</f>
        <v>NO ATÍPICO</v>
      </c>
      <c r="L2477">
        <f t="shared" si="169"/>
        <v>377729.94</v>
      </c>
      <c r="M2477" t="str">
        <f t="shared" si="169"/>
        <v>ASALARIADO</v>
      </c>
      <c r="N2477">
        <f t="shared" si="170"/>
        <v>63</v>
      </c>
      <c r="O2477" s="19" t="str">
        <f t="shared" si="171"/>
        <v>300k–600k</v>
      </c>
      <c r="P2477" s="19" t="str">
        <f t="shared" si="172"/>
        <v>56+</v>
      </c>
    </row>
    <row r="2478" spans="1:16" x14ac:dyDescent="0.25">
      <c r="A2478">
        <v>2477</v>
      </c>
      <c r="B2478" t="s">
        <v>15</v>
      </c>
      <c r="C2478">
        <v>212000</v>
      </c>
      <c r="D2478" t="s">
        <v>10</v>
      </c>
      <c r="E2478" t="s">
        <v>16</v>
      </c>
      <c r="F2478" t="s">
        <v>12</v>
      </c>
      <c r="G2478" t="s">
        <v>13</v>
      </c>
      <c r="H2478" t="s">
        <v>13</v>
      </c>
      <c r="I2478">
        <v>55</v>
      </c>
      <c r="J2478" t="str" cm="1">
        <f t="array" ref="J2478">_xlfn.IFS(ISBLANK(C2478),"FALTANTE",ABS((C2478-$W$5)/$X$5)&gt;1.96,"ATÍPICO",ABS((C2478-$W$5)/$X$5)&lt;=1.96,"NO ATÍPICO")</f>
        <v>NO ATÍPICO</v>
      </c>
      <c r="K2478" t="str" cm="1">
        <f t="array" ref="K2478">_xlfn.IFS(ISBLANK(I2478),"FALTANTE",ABS((I2478-$W$8)/$X$8)&gt;1.92,"ATÍPICO",ABS((I2478-$W$8)/$X$8)&lt;=1.92,"NO ATÍPICO")</f>
        <v>NO ATÍPICO</v>
      </c>
      <c r="L2478">
        <f t="shared" si="169"/>
        <v>212000</v>
      </c>
      <c r="M2478" t="str">
        <f t="shared" si="169"/>
        <v>ASALARIADO</v>
      </c>
      <c r="N2478">
        <f t="shared" si="170"/>
        <v>55</v>
      </c>
      <c r="O2478" s="19" t="str">
        <f t="shared" si="171"/>
        <v>0–300k</v>
      </c>
      <c r="P2478" s="19" t="str">
        <f t="shared" si="172"/>
        <v>46-55</v>
      </c>
    </row>
    <row r="2479" spans="1:16" x14ac:dyDescent="0.25">
      <c r="A2479">
        <v>2478</v>
      </c>
      <c r="B2479" t="s">
        <v>9</v>
      </c>
      <c r="C2479">
        <v>356455</v>
      </c>
      <c r="D2479" t="s">
        <v>18</v>
      </c>
      <c r="E2479" t="s">
        <v>16</v>
      </c>
      <c r="F2479" t="s">
        <v>12</v>
      </c>
      <c r="G2479" t="s">
        <v>13</v>
      </c>
      <c r="H2479" t="s">
        <v>12</v>
      </c>
      <c r="I2479">
        <v>57</v>
      </c>
      <c r="J2479" t="str" cm="1">
        <f t="array" ref="J2479">_xlfn.IFS(ISBLANK(C2479),"FALTANTE",ABS((C2479-$W$5)/$X$5)&gt;1.96,"ATÍPICO",ABS((C2479-$W$5)/$X$5)&lt;=1.96,"NO ATÍPICO")</f>
        <v>NO ATÍPICO</v>
      </c>
      <c r="K2479" t="str" cm="1">
        <f t="array" ref="K2479">_xlfn.IFS(ISBLANK(I2479),"FALTANTE",ABS((I2479-$W$8)/$X$8)&gt;1.92,"ATÍPICO",ABS((I2479-$W$8)/$X$8)&lt;=1.92,"NO ATÍPICO")</f>
        <v>NO ATÍPICO</v>
      </c>
      <c r="L2479">
        <f t="shared" si="169"/>
        <v>356455</v>
      </c>
      <c r="M2479" t="str">
        <f t="shared" si="169"/>
        <v>TRABAJADOR INDEPENDIENTE</v>
      </c>
      <c r="N2479">
        <f t="shared" si="170"/>
        <v>57</v>
      </c>
      <c r="O2479" s="19" t="str">
        <f t="shared" si="171"/>
        <v>300k–600k</v>
      </c>
      <c r="P2479" s="19" t="str">
        <f t="shared" si="172"/>
        <v>56+</v>
      </c>
    </row>
    <row r="2480" spans="1:16" x14ac:dyDescent="0.25">
      <c r="A2480">
        <v>2479</v>
      </c>
      <c r="B2480" t="s">
        <v>15</v>
      </c>
      <c r="C2480">
        <v>1298980</v>
      </c>
      <c r="D2480" t="s">
        <v>14</v>
      </c>
      <c r="E2480" t="s">
        <v>11</v>
      </c>
      <c r="F2480" t="s">
        <v>12</v>
      </c>
      <c r="G2480" t="s">
        <v>13</v>
      </c>
      <c r="H2480" t="s">
        <v>13</v>
      </c>
      <c r="I2480">
        <v>59</v>
      </c>
      <c r="J2480" t="str" cm="1">
        <f t="array" ref="J2480">_xlfn.IFS(ISBLANK(C2480),"FALTANTE",ABS((C2480-$W$5)/$X$5)&gt;1.96,"ATÍPICO",ABS((C2480-$W$5)/$X$5)&lt;=1.96,"NO ATÍPICO")</f>
        <v>NO ATÍPICO</v>
      </c>
      <c r="K2480" t="str" cm="1">
        <f t="array" ref="K2480">_xlfn.IFS(ISBLANK(I2480),"FALTANTE",ABS((I2480-$W$8)/$X$8)&gt;1.92,"ATÍPICO",ABS((I2480-$W$8)/$X$8)&lt;=1.92,"NO ATÍPICO")</f>
        <v>NO ATÍPICO</v>
      </c>
      <c r="L2480">
        <f t="shared" si="169"/>
        <v>1298980</v>
      </c>
      <c r="M2480" t="str">
        <f t="shared" si="169"/>
        <v>PENSIONADOS EN SU PROPIO SISTEMA</v>
      </c>
      <c r="N2480">
        <f t="shared" si="170"/>
        <v>59</v>
      </c>
      <c r="O2480" s="19" t="str">
        <f t="shared" si="171"/>
        <v>1200k+</v>
      </c>
      <c r="P2480" s="19" t="str">
        <f t="shared" si="172"/>
        <v>56+</v>
      </c>
    </row>
    <row r="2481" spans="1:16" x14ac:dyDescent="0.25">
      <c r="A2481">
        <v>2480</v>
      </c>
      <c r="B2481" t="s">
        <v>15</v>
      </c>
      <c r="C2481">
        <v>141510.16</v>
      </c>
      <c r="D2481" t="s">
        <v>14</v>
      </c>
      <c r="E2481" t="s">
        <v>11</v>
      </c>
      <c r="F2481" t="s">
        <v>12</v>
      </c>
      <c r="G2481" t="s">
        <v>13</v>
      </c>
      <c r="H2481" t="s">
        <v>13</v>
      </c>
      <c r="I2481">
        <v>85</v>
      </c>
      <c r="J2481" t="str" cm="1">
        <f t="array" ref="J2481">_xlfn.IFS(ISBLANK(C2481),"FALTANTE",ABS((C2481-$W$5)/$X$5)&gt;1.96,"ATÍPICO",ABS((C2481-$W$5)/$X$5)&lt;=1.96,"NO ATÍPICO")</f>
        <v>NO ATÍPICO</v>
      </c>
      <c r="K2481" t="str" cm="1">
        <f t="array" ref="K2481">_xlfn.IFS(ISBLANK(I2481),"FALTANTE",ABS((I2481-$W$8)/$X$8)&gt;1.92,"ATÍPICO",ABS((I2481-$W$8)/$X$8)&lt;=1.92,"NO ATÍPICO")</f>
        <v>ATÍPICO</v>
      </c>
      <c r="L2481">
        <f t="shared" si="169"/>
        <v>141510.16</v>
      </c>
      <c r="M2481" t="str">
        <f t="shared" si="169"/>
        <v>PENSIONADOS EN SU PROPIO SISTEMA</v>
      </c>
      <c r="N2481">
        <f t="shared" si="170"/>
        <v>85</v>
      </c>
      <c r="O2481" s="19" t="str">
        <f t="shared" si="171"/>
        <v>0–300k</v>
      </c>
      <c r="P2481" s="19" t="str">
        <f t="shared" si="172"/>
        <v>56+</v>
      </c>
    </row>
    <row r="2482" spans="1:16" x14ac:dyDescent="0.25">
      <c r="A2482">
        <v>2481</v>
      </c>
      <c r="B2482" t="s">
        <v>9</v>
      </c>
      <c r="C2482">
        <v>278030</v>
      </c>
      <c r="D2482" t="s">
        <v>19</v>
      </c>
      <c r="E2482" t="s">
        <v>16</v>
      </c>
      <c r="F2482" t="s">
        <v>12</v>
      </c>
      <c r="G2482" t="s">
        <v>13</v>
      </c>
      <c r="H2482" t="s">
        <v>13</v>
      </c>
      <c r="I2482">
        <v>22</v>
      </c>
      <c r="J2482" t="str" cm="1">
        <f t="array" ref="J2482">_xlfn.IFS(ISBLANK(C2482),"FALTANTE",ABS((C2482-$W$5)/$X$5)&gt;1.96,"ATÍPICO",ABS((C2482-$W$5)/$X$5)&lt;=1.96,"NO ATÍPICO")</f>
        <v>NO ATÍPICO</v>
      </c>
      <c r="K2482" t="str" cm="1">
        <f t="array" ref="K2482">_xlfn.IFS(ISBLANK(I2482),"FALTANTE",ABS((I2482-$W$8)/$X$8)&gt;1.92,"ATÍPICO",ABS((I2482-$W$8)/$X$8)&lt;=1.92,"NO ATÍPICO")</f>
        <v>NO ATÍPICO</v>
      </c>
      <c r="L2482">
        <f t="shared" si="169"/>
        <v>278030</v>
      </c>
      <c r="M2482" t="str">
        <f t="shared" si="169"/>
        <v>CONVENIOS ESPECIALES DE TRABAJADORES INDEPENDIENTES</v>
      </c>
      <c r="N2482">
        <f t="shared" si="170"/>
        <v>22</v>
      </c>
      <c r="O2482" s="19" t="str">
        <f t="shared" si="171"/>
        <v>0–300k</v>
      </c>
      <c r="P2482" s="19" t="str">
        <f t="shared" si="172"/>
        <v>18-25</v>
      </c>
    </row>
    <row r="2483" spans="1:16" x14ac:dyDescent="0.25">
      <c r="A2483">
        <v>2482</v>
      </c>
      <c r="B2483" t="s">
        <v>9</v>
      </c>
      <c r="C2483">
        <v>347607</v>
      </c>
      <c r="D2483" t="s">
        <v>18</v>
      </c>
      <c r="E2483" t="s">
        <v>16</v>
      </c>
      <c r="F2483" t="s">
        <v>12</v>
      </c>
      <c r="G2483" t="s">
        <v>13</v>
      </c>
      <c r="H2483" t="s">
        <v>12</v>
      </c>
      <c r="I2483">
        <v>57</v>
      </c>
      <c r="J2483" t="str" cm="1">
        <f t="array" ref="J2483">_xlfn.IFS(ISBLANK(C2483),"FALTANTE",ABS((C2483-$W$5)/$X$5)&gt;1.96,"ATÍPICO",ABS((C2483-$W$5)/$X$5)&lt;=1.96,"NO ATÍPICO")</f>
        <v>NO ATÍPICO</v>
      </c>
      <c r="K2483" t="str" cm="1">
        <f t="array" ref="K2483">_xlfn.IFS(ISBLANK(I2483),"FALTANTE",ABS((I2483-$W$8)/$X$8)&gt;1.92,"ATÍPICO",ABS((I2483-$W$8)/$X$8)&lt;=1.92,"NO ATÍPICO")</f>
        <v>NO ATÍPICO</v>
      </c>
      <c r="L2483">
        <f t="shared" si="169"/>
        <v>347607</v>
      </c>
      <c r="M2483" t="str">
        <f t="shared" si="169"/>
        <v>TRABAJADOR INDEPENDIENTE</v>
      </c>
      <c r="N2483">
        <f t="shared" si="170"/>
        <v>57</v>
      </c>
      <c r="O2483" s="19" t="str">
        <f t="shared" si="171"/>
        <v>300k–600k</v>
      </c>
      <c r="P2483" s="19" t="str">
        <f t="shared" si="172"/>
        <v>56+</v>
      </c>
    </row>
    <row r="2484" spans="1:16" x14ac:dyDescent="0.25">
      <c r="A2484">
        <v>2483</v>
      </c>
      <c r="B2484" t="s">
        <v>9</v>
      </c>
      <c r="C2484">
        <v>176400</v>
      </c>
      <c r="D2484" t="s">
        <v>10</v>
      </c>
      <c r="E2484" t="s">
        <v>16</v>
      </c>
      <c r="F2484" t="s">
        <v>12</v>
      </c>
      <c r="G2484" t="s">
        <v>13</v>
      </c>
      <c r="H2484" t="s">
        <v>13</v>
      </c>
      <c r="I2484">
        <v>27</v>
      </c>
      <c r="J2484" t="str" cm="1">
        <f t="array" ref="J2484">_xlfn.IFS(ISBLANK(C2484),"FALTANTE",ABS((C2484-$W$5)/$X$5)&gt;1.96,"ATÍPICO",ABS((C2484-$W$5)/$X$5)&lt;=1.96,"NO ATÍPICO")</f>
        <v>NO ATÍPICO</v>
      </c>
      <c r="K2484" t="str" cm="1">
        <f t="array" ref="K2484">_xlfn.IFS(ISBLANK(I2484),"FALTANTE",ABS((I2484-$W$8)/$X$8)&gt;1.92,"ATÍPICO",ABS((I2484-$W$8)/$X$8)&lt;=1.92,"NO ATÍPICO")</f>
        <v>NO ATÍPICO</v>
      </c>
      <c r="L2484">
        <f t="shared" si="169"/>
        <v>176400</v>
      </c>
      <c r="M2484" t="str">
        <f t="shared" si="169"/>
        <v>ASALARIADO</v>
      </c>
      <c r="N2484">
        <f t="shared" si="170"/>
        <v>27</v>
      </c>
      <c r="O2484" s="19" t="str">
        <f t="shared" si="171"/>
        <v>0–300k</v>
      </c>
      <c r="P2484" s="19" t="str">
        <f t="shared" si="172"/>
        <v>26-35</v>
      </c>
    </row>
    <row r="2485" spans="1:16" x14ac:dyDescent="0.25">
      <c r="A2485">
        <v>2484</v>
      </c>
      <c r="B2485" t="s">
        <v>15</v>
      </c>
      <c r="C2485">
        <v>808947.75</v>
      </c>
      <c r="D2485" t="s">
        <v>10</v>
      </c>
      <c r="E2485" t="s">
        <v>11</v>
      </c>
      <c r="F2485" t="s">
        <v>12</v>
      </c>
      <c r="G2485" t="s">
        <v>13</v>
      </c>
      <c r="H2485" t="s">
        <v>13</v>
      </c>
      <c r="I2485">
        <v>58</v>
      </c>
      <c r="J2485" t="str" cm="1">
        <f t="array" ref="J2485">_xlfn.IFS(ISBLANK(C2485),"FALTANTE",ABS((C2485-$W$5)/$X$5)&gt;1.96,"ATÍPICO",ABS((C2485-$W$5)/$X$5)&lt;=1.96,"NO ATÍPICO")</f>
        <v>NO ATÍPICO</v>
      </c>
      <c r="K2485" t="str" cm="1">
        <f t="array" ref="K2485">_xlfn.IFS(ISBLANK(I2485),"FALTANTE",ABS((I2485-$W$8)/$X$8)&gt;1.92,"ATÍPICO",ABS((I2485-$W$8)/$X$8)&lt;=1.92,"NO ATÍPICO")</f>
        <v>NO ATÍPICO</v>
      </c>
      <c r="L2485">
        <f t="shared" si="169"/>
        <v>808947.75</v>
      </c>
      <c r="M2485" t="str">
        <f t="shared" si="169"/>
        <v>ASALARIADO</v>
      </c>
      <c r="N2485">
        <f t="shared" si="170"/>
        <v>58</v>
      </c>
      <c r="O2485" s="19" t="str">
        <f t="shared" si="171"/>
        <v>600k–900k</v>
      </c>
      <c r="P2485" s="19" t="str">
        <f t="shared" si="172"/>
        <v>56+</v>
      </c>
    </row>
    <row r="2486" spans="1:16" x14ac:dyDescent="0.25">
      <c r="A2486">
        <v>2485</v>
      </c>
      <c r="B2486" t="s">
        <v>15</v>
      </c>
      <c r="C2486">
        <v>413333.5</v>
      </c>
      <c r="D2486" t="s">
        <v>10</v>
      </c>
      <c r="E2486" t="s">
        <v>16</v>
      </c>
      <c r="F2486" t="s">
        <v>12</v>
      </c>
      <c r="G2486" t="s">
        <v>13</v>
      </c>
      <c r="H2486" t="s">
        <v>13</v>
      </c>
      <c r="I2486">
        <v>25</v>
      </c>
      <c r="J2486" t="str" cm="1">
        <f t="array" ref="J2486">_xlfn.IFS(ISBLANK(C2486),"FALTANTE",ABS((C2486-$W$5)/$X$5)&gt;1.96,"ATÍPICO",ABS((C2486-$W$5)/$X$5)&lt;=1.96,"NO ATÍPICO")</f>
        <v>NO ATÍPICO</v>
      </c>
      <c r="K2486" t="str" cm="1">
        <f t="array" ref="K2486">_xlfn.IFS(ISBLANK(I2486),"FALTANTE",ABS((I2486-$W$8)/$X$8)&gt;1.92,"ATÍPICO",ABS((I2486-$W$8)/$X$8)&lt;=1.92,"NO ATÍPICO")</f>
        <v>NO ATÍPICO</v>
      </c>
      <c r="L2486">
        <f t="shared" si="169"/>
        <v>413333.5</v>
      </c>
      <c r="M2486" t="str">
        <f t="shared" si="169"/>
        <v>ASALARIADO</v>
      </c>
      <c r="N2486">
        <f t="shared" si="170"/>
        <v>25</v>
      </c>
      <c r="O2486" s="19" t="str">
        <f t="shared" si="171"/>
        <v>300k–600k</v>
      </c>
      <c r="P2486" s="19" t="str">
        <f t="shared" si="172"/>
        <v>18-25</v>
      </c>
    </row>
    <row r="2487" spans="1:16" x14ac:dyDescent="0.25">
      <c r="A2487">
        <v>2486</v>
      </c>
      <c r="B2487" t="s">
        <v>15</v>
      </c>
      <c r="C2487">
        <v>297046</v>
      </c>
      <c r="D2487" t="s">
        <v>17</v>
      </c>
      <c r="E2487" t="s">
        <v>16</v>
      </c>
      <c r="F2487" t="s">
        <v>12</v>
      </c>
      <c r="G2487" t="s">
        <v>13</v>
      </c>
      <c r="H2487" t="s">
        <v>12</v>
      </c>
      <c r="I2487">
        <v>31</v>
      </c>
      <c r="J2487" t="str" cm="1">
        <f t="array" ref="J2487">_xlfn.IFS(ISBLANK(C2487),"FALTANTE",ABS((C2487-$W$5)/$X$5)&gt;1.96,"ATÍPICO",ABS((C2487-$W$5)/$X$5)&lt;=1.96,"NO ATÍPICO")</f>
        <v>NO ATÍPICO</v>
      </c>
      <c r="K2487" t="str" cm="1">
        <f t="array" ref="K2487">_xlfn.IFS(ISBLANK(I2487),"FALTANTE",ABS((I2487-$W$8)/$X$8)&gt;1.92,"ATÍPICO",ABS((I2487-$W$8)/$X$8)&lt;=1.92,"NO ATÍPICO")</f>
        <v>NO ATÍPICO</v>
      </c>
      <c r="L2487">
        <f t="shared" si="169"/>
        <v>297046</v>
      </c>
      <c r="M2487" t="str">
        <f t="shared" si="169"/>
        <v>ASEGURADO VOLUNTARIO</v>
      </c>
      <c r="N2487">
        <f t="shared" si="170"/>
        <v>31</v>
      </c>
      <c r="O2487" s="19" t="str">
        <f t="shared" si="171"/>
        <v>0–300k</v>
      </c>
      <c r="P2487" s="19" t="str">
        <f t="shared" si="172"/>
        <v>26-35</v>
      </c>
    </row>
    <row r="2488" spans="1:16" x14ac:dyDescent="0.25">
      <c r="A2488">
        <v>2487</v>
      </c>
      <c r="B2488" t="s">
        <v>9</v>
      </c>
      <c r="C2488">
        <v>544001.92000000004</v>
      </c>
      <c r="D2488" t="s">
        <v>10</v>
      </c>
      <c r="E2488" t="s">
        <v>16</v>
      </c>
      <c r="F2488" t="s">
        <v>12</v>
      </c>
      <c r="G2488" t="s">
        <v>13</v>
      </c>
      <c r="H2488" t="s">
        <v>13</v>
      </c>
      <c r="I2488">
        <v>22</v>
      </c>
      <c r="J2488" t="str" cm="1">
        <f t="array" ref="J2488">_xlfn.IFS(ISBLANK(C2488),"FALTANTE",ABS((C2488-$W$5)/$X$5)&gt;1.96,"ATÍPICO",ABS((C2488-$W$5)/$X$5)&lt;=1.96,"NO ATÍPICO")</f>
        <v>NO ATÍPICO</v>
      </c>
      <c r="K2488" t="str" cm="1">
        <f t="array" ref="K2488">_xlfn.IFS(ISBLANK(I2488),"FALTANTE",ABS((I2488-$W$8)/$X$8)&gt;1.92,"ATÍPICO",ABS((I2488-$W$8)/$X$8)&lt;=1.92,"NO ATÍPICO")</f>
        <v>NO ATÍPICO</v>
      </c>
      <c r="L2488">
        <f t="shared" si="169"/>
        <v>544001.92000000004</v>
      </c>
      <c r="M2488" t="str">
        <f t="shared" si="169"/>
        <v>ASALARIADO</v>
      </c>
      <c r="N2488">
        <f t="shared" si="170"/>
        <v>22</v>
      </c>
      <c r="O2488" s="19" t="str">
        <f t="shared" si="171"/>
        <v>300k–600k</v>
      </c>
      <c r="P2488" s="19" t="str">
        <f t="shared" si="172"/>
        <v>18-25</v>
      </c>
    </row>
    <row r="2489" spans="1:16" x14ac:dyDescent="0.25">
      <c r="A2489">
        <v>2488</v>
      </c>
      <c r="B2489" t="s">
        <v>15</v>
      </c>
      <c r="C2489">
        <v>85441.75</v>
      </c>
      <c r="D2489" t="s">
        <v>10</v>
      </c>
      <c r="E2489" t="s">
        <v>16</v>
      </c>
      <c r="F2489" t="s">
        <v>12</v>
      </c>
      <c r="G2489" t="s">
        <v>13</v>
      </c>
      <c r="H2489" t="s">
        <v>13</v>
      </c>
      <c r="I2489">
        <v>26</v>
      </c>
      <c r="J2489" t="str" cm="1">
        <f t="array" ref="J2489">_xlfn.IFS(ISBLANK(C2489),"FALTANTE",ABS((C2489-$W$5)/$X$5)&gt;1.96,"ATÍPICO",ABS((C2489-$W$5)/$X$5)&lt;=1.96,"NO ATÍPICO")</f>
        <v>NO ATÍPICO</v>
      </c>
      <c r="K2489" t="str" cm="1">
        <f t="array" ref="K2489">_xlfn.IFS(ISBLANK(I2489),"FALTANTE",ABS((I2489-$W$8)/$X$8)&gt;1.92,"ATÍPICO",ABS((I2489-$W$8)/$X$8)&lt;=1.92,"NO ATÍPICO")</f>
        <v>NO ATÍPICO</v>
      </c>
      <c r="L2489">
        <f t="shared" si="169"/>
        <v>85441.75</v>
      </c>
      <c r="M2489" t="str">
        <f t="shared" si="169"/>
        <v>ASALARIADO</v>
      </c>
      <c r="N2489">
        <f t="shared" si="170"/>
        <v>26</v>
      </c>
      <c r="O2489" s="19" t="str">
        <f t="shared" si="171"/>
        <v>0–300k</v>
      </c>
      <c r="P2489" s="19" t="str">
        <f t="shared" si="172"/>
        <v>26-35</v>
      </c>
    </row>
    <row r="2490" spans="1:16" x14ac:dyDescent="0.25">
      <c r="A2490">
        <v>2489</v>
      </c>
      <c r="B2490" t="s">
        <v>9</v>
      </c>
      <c r="C2490">
        <v>216000</v>
      </c>
      <c r="D2490" t="s">
        <v>10</v>
      </c>
      <c r="E2490" t="s">
        <v>16</v>
      </c>
      <c r="F2490" t="s">
        <v>12</v>
      </c>
      <c r="G2490" t="s">
        <v>13</v>
      </c>
      <c r="H2490" t="s">
        <v>12</v>
      </c>
      <c r="I2490">
        <v>71</v>
      </c>
      <c r="J2490" t="str" cm="1">
        <f t="array" ref="J2490">_xlfn.IFS(ISBLANK(C2490),"FALTANTE",ABS((C2490-$W$5)/$X$5)&gt;1.96,"ATÍPICO",ABS((C2490-$W$5)/$X$5)&lt;=1.96,"NO ATÍPICO")</f>
        <v>NO ATÍPICO</v>
      </c>
      <c r="K2490" t="str" cm="1">
        <f t="array" ref="K2490">_xlfn.IFS(ISBLANK(I2490),"FALTANTE",ABS((I2490-$W$8)/$X$8)&gt;1.92,"ATÍPICO",ABS((I2490-$W$8)/$X$8)&lt;=1.92,"NO ATÍPICO")</f>
        <v>ATÍPICO</v>
      </c>
      <c r="L2490">
        <f t="shared" si="169"/>
        <v>216000</v>
      </c>
      <c r="M2490" t="str">
        <f t="shared" si="169"/>
        <v>ASALARIADO</v>
      </c>
      <c r="N2490">
        <f t="shared" si="170"/>
        <v>71</v>
      </c>
      <c r="O2490" s="19" t="str">
        <f t="shared" si="171"/>
        <v>0–300k</v>
      </c>
      <c r="P2490" s="19" t="str">
        <f t="shared" si="172"/>
        <v>56+</v>
      </c>
    </row>
    <row r="2491" spans="1:16" x14ac:dyDescent="0.25">
      <c r="A2491">
        <v>2490</v>
      </c>
      <c r="B2491" t="s">
        <v>9</v>
      </c>
      <c r="C2491">
        <v>516897.85</v>
      </c>
      <c r="D2491" t="s">
        <v>10</v>
      </c>
      <c r="E2491" t="s">
        <v>16</v>
      </c>
      <c r="F2491" t="s">
        <v>12</v>
      </c>
      <c r="G2491" t="s">
        <v>13</v>
      </c>
      <c r="H2491" t="s">
        <v>13</v>
      </c>
      <c r="I2491">
        <v>61</v>
      </c>
      <c r="J2491" t="str" cm="1">
        <f t="array" ref="J2491">_xlfn.IFS(ISBLANK(C2491),"FALTANTE",ABS((C2491-$W$5)/$X$5)&gt;1.96,"ATÍPICO",ABS((C2491-$W$5)/$X$5)&lt;=1.96,"NO ATÍPICO")</f>
        <v>NO ATÍPICO</v>
      </c>
      <c r="K2491" t="str" cm="1">
        <f t="array" ref="K2491">_xlfn.IFS(ISBLANK(I2491),"FALTANTE",ABS((I2491-$W$8)/$X$8)&gt;1.92,"ATÍPICO",ABS((I2491-$W$8)/$X$8)&lt;=1.92,"NO ATÍPICO")</f>
        <v>NO ATÍPICO</v>
      </c>
      <c r="L2491">
        <f t="shared" si="169"/>
        <v>516897.85</v>
      </c>
      <c r="M2491" t="str">
        <f t="shared" si="169"/>
        <v>ASALARIADO</v>
      </c>
      <c r="N2491">
        <f t="shared" si="170"/>
        <v>61</v>
      </c>
      <c r="O2491" s="19" t="str">
        <f t="shared" si="171"/>
        <v>300k–600k</v>
      </c>
      <c r="P2491" s="19" t="str">
        <f t="shared" si="172"/>
        <v>56+</v>
      </c>
    </row>
    <row r="2492" spans="1:16" x14ac:dyDescent="0.25">
      <c r="A2492">
        <v>2491</v>
      </c>
      <c r="B2492" t="s">
        <v>9</v>
      </c>
      <c r="C2492">
        <v>761122.15</v>
      </c>
      <c r="D2492" t="s">
        <v>10</v>
      </c>
      <c r="E2492" t="s">
        <v>11</v>
      </c>
      <c r="F2492" t="s">
        <v>12</v>
      </c>
      <c r="G2492" t="s">
        <v>13</v>
      </c>
      <c r="H2492" t="s">
        <v>13</v>
      </c>
      <c r="I2492">
        <v>30</v>
      </c>
      <c r="J2492" t="str" cm="1">
        <f t="array" ref="J2492">_xlfn.IFS(ISBLANK(C2492),"FALTANTE",ABS((C2492-$W$5)/$X$5)&gt;1.96,"ATÍPICO",ABS((C2492-$W$5)/$X$5)&lt;=1.96,"NO ATÍPICO")</f>
        <v>NO ATÍPICO</v>
      </c>
      <c r="K2492" t="str" cm="1">
        <f t="array" ref="K2492">_xlfn.IFS(ISBLANK(I2492),"FALTANTE",ABS((I2492-$W$8)/$X$8)&gt;1.92,"ATÍPICO",ABS((I2492-$W$8)/$X$8)&lt;=1.92,"NO ATÍPICO")</f>
        <v>NO ATÍPICO</v>
      </c>
      <c r="L2492">
        <f t="shared" si="169"/>
        <v>761122.15</v>
      </c>
      <c r="M2492" t="str">
        <f t="shared" si="169"/>
        <v>ASALARIADO</v>
      </c>
      <c r="N2492">
        <f t="shared" si="170"/>
        <v>30</v>
      </c>
      <c r="O2492" s="19" t="str">
        <f t="shared" si="171"/>
        <v>600k–900k</v>
      </c>
      <c r="P2492" s="19" t="str">
        <f t="shared" si="172"/>
        <v>26-35</v>
      </c>
    </row>
    <row r="2493" spans="1:16" x14ac:dyDescent="0.25">
      <c r="A2493">
        <v>2492</v>
      </c>
      <c r="B2493" t="s">
        <v>9</v>
      </c>
      <c r="C2493">
        <v>54621.5</v>
      </c>
      <c r="D2493" t="s">
        <v>10</v>
      </c>
      <c r="E2493" t="s">
        <v>16</v>
      </c>
      <c r="F2493" t="s">
        <v>12</v>
      </c>
      <c r="G2493" t="s">
        <v>13</v>
      </c>
      <c r="H2493" t="s">
        <v>13</v>
      </c>
      <c r="I2493">
        <v>23</v>
      </c>
      <c r="J2493" t="str" cm="1">
        <f t="array" ref="J2493">_xlfn.IFS(ISBLANK(C2493),"FALTANTE",ABS((C2493-$W$5)/$X$5)&gt;1.96,"ATÍPICO",ABS((C2493-$W$5)/$X$5)&lt;=1.96,"NO ATÍPICO")</f>
        <v>NO ATÍPICO</v>
      </c>
      <c r="K2493" t="str" cm="1">
        <f t="array" ref="K2493">_xlfn.IFS(ISBLANK(I2493),"FALTANTE",ABS((I2493-$W$8)/$X$8)&gt;1.92,"ATÍPICO",ABS((I2493-$W$8)/$X$8)&lt;=1.92,"NO ATÍPICO")</f>
        <v>NO ATÍPICO</v>
      </c>
      <c r="L2493">
        <f t="shared" si="169"/>
        <v>54621.5</v>
      </c>
      <c r="M2493" t="str">
        <f t="shared" si="169"/>
        <v>ASALARIADO</v>
      </c>
      <c r="N2493">
        <f t="shared" si="170"/>
        <v>23</v>
      </c>
      <c r="O2493" s="19" t="str">
        <f t="shared" si="171"/>
        <v>0–300k</v>
      </c>
      <c r="P2493" s="19" t="str">
        <f t="shared" si="172"/>
        <v>18-25</v>
      </c>
    </row>
    <row r="2494" spans="1:16" x14ac:dyDescent="0.25">
      <c r="A2494">
        <v>2493</v>
      </c>
      <c r="B2494" t="s">
        <v>15</v>
      </c>
      <c r="C2494">
        <v>1864865.72</v>
      </c>
      <c r="D2494" t="s">
        <v>10</v>
      </c>
      <c r="E2494" t="s">
        <v>11</v>
      </c>
      <c r="F2494" t="s">
        <v>12</v>
      </c>
      <c r="G2494" t="s">
        <v>13</v>
      </c>
      <c r="H2494" t="s">
        <v>13</v>
      </c>
      <c r="I2494">
        <v>34</v>
      </c>
      <c r="J2494" t="str" cm="1">
        <f t="array" ref="J2494">_xlfn.IFS(ISBLANK(C2494),"FALTANTE",ABS((C2494-$W$5)/$X$5)&gt;1.96,"ATÍPICO",ABS((C2494-$W$5)/$X$5)&lt;=1.96,"NO ATÍPICO")</f>
        <v>NO ATÍPICO</v>
      </c>
      <c r="K2494" t="str" cm="1">
        <f t="array" ref="K2494">_xlfn.IFS(ISBLANK(I2494),"FALTANTE",ABS((I2494-$W$8)/$X$8)&gt;1.92,"ATÍPICO",ABS((I2494-$W$8)/$X$8)&lt;=1.92,"NO ATÍPICO")</f>
        <v>NO ATÍPICO</v>
      </c>
      <c r="L2494">
        <f t="shared" si="169"/>
        <v>1864865.72</v>
      </c>
      <c r="M2494" t="str">
        <f t="shared" si="169"/>
        <v>ASALARIADO</v>
      </c>
      <c r="N2494">
        <f t="shared" si="170"/>
        <v>34</v>
      </c>
      <c r="O2494" s="19" t="str">
        <f t="shared" si="171"/>
        <v>1200k+</v>
      </c>
      <c r="P2494" s="19" t="str">
        <f t="shared" si="172"/>
        <v>26-35</v>
      </c>
    </row>
    <row r="2495" spans="1:16" x14ac:dyDescent="0.25">
      <c r="A2495">
        <v>2494</v>
      </c>
      <c r="B2495" t="s">
        <v>9</v>
      </c>
      <c r="C2495">
        <v>60000</v>
      </c>
      <c r="D2495" t="s">
        <v>10</v>
      </c>
      <c r="E2495" t="s">
        <v>16</v>
      </c>
      <c r="F2495" t="s">
        <v>12</v>
      </c>
      <c r="G2495" t="s">
        <v>12</v>
      </c>
      <c r="H2495" t="s">
        <v>13</v>
      </c>
      <c r="I2495">
        <v>38</v>
      </c>
      <c r="J2495" t="str" cm="1">
        <f t="array" ref="J2495">_xlfn.IFS(ISBLANK(C2495),"FALTANTE",ABS((C2495-$W$5)/$X$5)&gt;1.96,"ATÍPICO",ABS((C2495-$W$5)/$X$5)&lt;=1.96,"NO ATÍPICO")</f>
        <v>NO ATÍPICO</v>
      </c>
      <c r="K2495" t="str" cm="1">
        <f t="array" ref="K2495">_xlfn.IFS(ISBLANK(I2495),"FALTANTE",ABS((I2495-$W$8)/$X$8)&gt;1.92,"ATÍPICO",ABS((I2495-$W$8)/$X$8)&lt;=1.92,"NO ATÍPICO")</f>
        <v>NO ATÍPICO</v>
      </c>
      <c r="L2495">
        <f t="shared" si="169"/>
        <v>60000</v>
      </c>
      <c r="M2495" t="str">
        <f t="shared" si="169"/>
        <v>ASALARIADO</v>
      </c>
      <c r="N2495">
        <f t="shared" si="170"/>
        <v>38</v>
      </c>
      <c r="O2495" s="19" t="str">
        <f t="shared" si="171"/>
        <v>0–300k</v>
      </c>
      <c r="P2495" s="19" t="str">
        <f t="shared" si="172"/>
        <v>36-45</v>
      </c>
    </row>
    <row r="2496" spans="1:16" x14ac:dyDescent="0.25">
      <c r="A2496">
        <v>2495</v>
      </c>
      <c r="B2496" t="s">
        <v>9</v>
      </c>
      <c r="C2496">
        <v>385137</v>
      </c>
      <c r="D2496" t="s">
        <v>18</v>
      </c>
      <c r="E2496" t="s">
        <v>16</v>
      </c>
      <c r="F2496" t="s">
        <v>12</v>
      </c>
      <c r="G2496" t="s">
        <v>13</v>
      </c>
      <c r="H2496" t="s">
        <v>13</v>
      </c>
      <c r="I2496">
        <v>36</v>
      </c>
      <c r="J2496" t="str" cm="1">
        <f t="array" ref="J2496">_xlfn.IFS(ISBLANK(C2496),"FALTANTE",ABS((C2496-$W$5)/$X$5)&gt;1.96,"ATÍPICO",ABS((C2496-$W$5)/$X$5)&lt;=1.96,"NO ATÍPICO")</f>
        <v>NO ATÍPICO</v>
      </c>
      <c r="K2496" t="str" cm="1">
        <f t="array" ref="K2496">_xlfn.IFS(ISBLANK(I2496),"FALTANTE",ABS((I2496-$W$8)/$X$8)&gt;1.92,"ATÍPICO",ABS((I2496-$W$8)/$X$8)&lt;=1.92,"NO ATÍPICO")</f>
        <v>NO ATÍPICO</v>
      </c>
      <c r="L2496">
        <f t="shared" si="169"/>
        <v>385137</v>
      </c>
      <c r="M2496" t="str">
        <f t="shared" si="169"/>
        <v>TRABAJADOR INDEPENDIENTE</v>
      </c>
      <c r="N2496">
        <f t="shared" si="170"/>
        <v>36</v>
      </c>
      <c r="O2496" s="19" t="str">
        <f t="shared" si="171"/>
        <v>300k–600k</v>
      </c>
      <c r="P2496" s="19" t="str">
        <f t="shared" si="172"/>
        <v>36-45</v>
      </c>
    </row>
    <row r="2497" spans="1:16" x14ac:dyDescent="0.25">
      <c r="A2497">
        <v>2496</v>
      </c>
      <c r="B2497" t="s">
        <v>15</v>
      </c>
      <c r="C2497">
        <v>3231114.56</v>
      </c>
      <c r="D2497" t="s">
        <v>14</v>
      </c>
      <c r="E2497" t="s">
        <v>11</v>
      </c>
      <c r="F2497" t="s">
        <v>12</v>
      </c>
      <c r="G2497" t="s">
        <v>13</v>
      </c>
      <c r="H2497" t="s">
        <v>13</v>
      </c>
      <c r="I2497">
        <v>75</v>
      </c>
      <c r="J2497" t="str" cm="1">
        <f t="array" ref="J2497">_xlfn.IFS(ISBLANK(C2497),"FALTANTE",ABS((C2497-$W$5)/$X$5)&gt;1.96,"ATÍPICO",ABS((C2497-$W$5)/$X$5)&lt;=1.96,"NO ATÍPICO")</f>
        <v>ATÍPICO</v>
      </c>
      <c r="K2497" t="str" cm="1">
        <f t="array" ref="K2497">_xlfn.IFS(ISBLANK(I2497),"FALTANTE",ABS((I2497-$W$8)/$X$8)&gt;1.92,"ATÍPICO",ABS((I2497-$W$8)/$X$8)&lt;=1.92,"NO ATÍPICO")</f>
        <v>ATÍPICO</v>
      </c>
      <c r="L2497">
        <f t="shared" si="169"/>
        <v>3231114.56</v>
      </c>
      <c r="M2497" t="str">
        <f t="shared" si="169"/>
        <v>PENSIONADOS EN SU PROPIO SISTEMA</v>
      </c>
      <c r="N2497">
        <f t="shared" si="170"/>
        <v>75</v>
      </c>
      <c r="O2497" s="19" t="str">
        <f t="shared" si="171"/>
        <v>1200k+</v>
      </c>
      <c r="P2497" s="19" t="str">
        <f t="shared" si="172"/>
        <v>56+</v>
      </c>
    </row>
    <row r="2498" spans="1:16" x14ac:dyDescent="0.25">
      <c r="A2498">
        <v>2497</v>
      </c>
      <c r="B2498" t="s">
        <v>15</v>
      </c>
      <c r="C2498">
        <v>2755981</v>
      </c>
      <c r="D2498" t="s">
        <v>10</v>
      </c>
      <c r="E2498" t="s">
        <v>16</v>
      </c>
      <c r="F2498" t="s">
        <v>12</v>
      </c>
      <c r="G2498" t="s">
        <v>13</v>
      </c>
      <c r="H2498" t="s">
        <v>13</v>
      </c>
      <c r="I2498">
        <v>52</v>
      </c>
      <c r="J2498" t="str" cm="1">
        <f t="array" ref="J2498">_xlfn.IFS(ISBLANK(C2498),"FALTANTE",ABS((C2498-$W$5)/$X$5)&gt;1.96,"ATÍPICO",ABS((C2498-$W$5)/$X$5)&lt;=1.96,"NO ATÍPICO")</f>
        <v>ATÍPICO</v>
      </c>
      <c r="K2498" t="str" cm="1">
        <f t="array" ref="K2498">_xlfn.IFS(ISBLANK(I2498),"FALTANTE",ABS((I2498-$W$8)/$X$8)&gt;1.92,"ATÍPICO",ABS((I2498-$W$8)/$X$8)&lt;=1.92,"NO ATÍPICO")</f>
        <v>NO ATÍPICO</v>
      </c>
      <c r="L2498">
        <f t="shared" ref="L2498:M2561" si="173">C2498</f>
        <v>2755981</v>
      </c>
      <c r="M2498" t="str">
        <f t="shared" si="173"/>
        <v>ASALARIADO</v>
      </c>
      <c r="N2498">
        <f t="shared" ref="N2498:N2561" si="174">I2498</f>
        <v>52</v>
      </c>
      <c r="O2498" s="19" t="str">
        <f t="shared" ref="O2498:O2561" si="175">IF(L2498&lt;=300000,"0–300k",IF(L2498&lt;=600000,"300k–600k",IF(L2498&lt;=900000,"600k–900k",IF(L2498&lt;=1200000,"900k–1200k","1200k+"))))</f>
        <v>1200k+</v>
      </c>
      <c r="P2498" s="19" t="str">
        <f t="shared" ref="P2498:P2561" si="176">IF(N2498 &lt;=25,"18-25", IF(N2498&lt;=35,"26-35", IF(N2498 &lt;=45,"36-45", IF(N2498&lt;=55,"46-55","56+"))))</f>
        <v>46-55</v>
      </c>
    </row>
    <row r="2499" spans="1:16" x14ac:dyDescent="0.25">
      <c r="A2499">
        <v>2498</v>
      </c>
      <c r="B2499" t="s">
        <v>9</v>
      </c>
      <c r="C2499">
        <v>33865.5</v>
      </c>
      <c r="D2499" t="s">
        <v>10</v>
      </c>
      <c r="E2499" t="s">
        <v>16</v>
      </c>
      <c r="F2499" t="s">
        <v>12</v>
      </c>
      <c r="G2499" t="s">
        <v>13</v>
      </c>
      <c r="H2499" t="s">
        <v>13</v>
      </c>
      <c r="I2499">
        <v>36</v>
      </c>
      <c r="J2499" t="str" cm="1">
        <f t="array" ref="J2499">_xlfn.IFS(ISBLANK(C2499),"FALTANTE",ABS((C2499-$W$5)/$X$5)&gt;1.96,"ATÍPICO",ABS((C2499-$W$5)/$X$5)&lt;=1.96,"NO ATÍPICO")</f>
        <v>NO ATÍPICO</v>
      </c>
      <c r="K2499" t="str" cm="1">
        <f t="array" ref="K2499">_xlfn.IFS(ISBLANK(I2499),"FALTANTE",ABS((I2499-$W$8)/$X$8)&gt;1.92,"ATÍPICO",ABS((I2499-$W$8)/$X$8)&lt;=1.92,"NO ATÍPICO")</f>
        <v>NO ATÍPICO</v>
      </c>
      <c r="L2499">
        <f t="shared" si="173"/>
        <v>33865.5</v>
      </c>
      <c r="M2499" t="str">
        <f t="shared" si="173"/>
        <v>ASALARIADO</v>
      </c>
      <c r="N2499">
        <f t="shared" si="174"/>
        <v>36</v>
      </c>
      <c r="O2499" s="19" t="str">
        <f t="shared" si="175"/>
        <v>0–300k</v>
      </c>
      <c r="P2499" s="19" t="str">
        <f t="shared" si="176"/>
        <v>36-45</v>
      </c>
    </row>
    <row r="2500" spans="1:16" x14ac:dyDescent="0.25">
      <c r="A2500">
        <v>2499</v>
      </c>
      <c r="B2500" t="s">
        <v>9</v>
      </c>
      <c r="C2500">
        <v>297046</v>
      </c>
      <c r="D2500" t="s">
        <v>17</v>
      </c>
      <c r="E2500" t="s">
        <v>16</v>
      </c>
      <c r="F2500" t="s">
        <v>12</v>
      </c>
      <c r="G2500" t="s">
        <v>12</v>
      </c>
      <c r="H2500" t="s">
        <v>12</v>
      </c>
      <c r="I2500">
        <v>52</v>
      </c>
      <c r="J2500" t="str" cm="1">
        <f t="array" ref="J2500">_xlfn.IFS(ISBLANK(C2500),"FALTANTE",ABS((C2500-$W$5)/$X$5)&gt;1.96,"ATÍPICO",ABS((C2500-$W$5)/$X$5)&lt;=1.96,"NO ATÍPICO")</f>
        <v>NO ATÍPICO</v>
      </c>
      <c r="K2500" t="str" cm="1">
        <f t="array" ref="K2500">_xlfn.IFS(ISBLANK(I2500),"FALTANTE",ABS((I2500-$W$8)/$X$8)&gt;1.92,"ATÍPICO",ABS((I2500-$W$8)/$X$8)&lt;=1.92,"NO ATÍPICO")</f>
        <v>NO ATÍPICO</v>
      </c>
      <c r="L2500">
        <f t="shared" si="173"/>
        <v>297046</v>
      </c>
      <c r="M2500" t="str">
        <f t="shared" si="173"/>
        <v>ASEGURADO VOLUNTARIO</v>
      </c>
      <c r="N2500">
        <f t="shared" si="174"/>
        <v>52</v>
      </c>
      <c r="O2500" s="19" t="str">
        <f t="shared" si="175"/>
        <v>0–300k</v>
      </c>
      <c r="P2500" s="19" t="str">
        <f t="shared" si="176"/>
        <v>46-55</v>
      </c>
    </row>
    <row r="2501" spans="1:16" x14ac:dyDescent="0.25">
      <c r="A2501">
        <v>2500</v>
      </c>
      <c r="B2501" t="s">
        <v>9</v>
      </c>
      <c r="C2501">
        <v>258000</v>
      </c>
      <c r="D2501" t="s">
        <v>10</v>
      </c>
      <c r="E2501" t="s">
        <v>16</v>
      </c>
      <c r="F2501" t="s">
        <v>12</v>
      </c>
      <c r="G2501" t="s">
        <v>12</v>
      </c>
      <c r="H2501" t="s">
        <v>12</v>
      </c>
      <c r="I2501">
        <v>41</v>
      </c>
      <c r="J2501" t="str" cm="1">
        <f t="array" ref="J2501">_xlfn.IFS(ISBLANK(C2501),"FALTANTE",ABS((C2501-$W$5)/$X$5)&gt;1.96,"ATÍPICO",ABS((C2501-$W$5)/$X$5)&lt;=1.96,"NO ATÍPICO")</f>
        <v>NO ATÍPICO</v>
      </c>
      <c r="K2501" t="str" cm="1">
        <f t="array" ref="K2501">_xlfn.IFS(ISBLANK(I2501),"FALTANTE",ABS((I2501-$W$8)/$X$8)&gt;1.92,"ATÍPICO",ABS((I2501-$W$8)/$X$8)&lt;=1.92,"NO ATÍPICO")</f>
        <v>NO ATÍPICO</v>
      </c>
      <c r="L2501">
        <f t="shared" si="173"/>
        <v>258000</v>
      </c>
      <c r="M2501" t="str">
        <f t="shared" si="173"/>
        <v>ASALARIADO</v>
      </c>
      <c r="N2501">
        <f t="shared" si="174"/>
        <v>41</v>
      </c>
      <c r="O2501" s="19" t="str">
        <f t="shared" si="175"/>
        <v>0–300k</v>
      </c>
      <c r="P2501" s="19" t="str">
        <f t="shared" si="176"/>
        <v>36-45</v>
      </c>
    </row>
    <row r="2502" spans="1:16" x14ac:dyDescent="0.25">
      <c r="A2502">
        <v>2501</v>
      </c>
      <c r="B2502" t="s">
        <v>9</v>
      </c>
      <c r="C2502">
        <v>428100</v>
      </c>
      <c r="D2502" t="s">
        <v>10</v>
      </c>
      <c r="E2502" t="s">
        <v>11</v>
      </c>
      <c r="F2502" t="s">
        <v>12</v>
      </c>
      <c r="G2502" t="s">
        <v>13</v>
      </c>
      <c r="H2502" t="s">
        <v>13</v>
      </c>
      <c r="I2502">
        <v>36</v>
      </c>
      <c r="J2502" t="str" cm="1">
        <f t="array" ref="J2502">_xlfn.IFS(ISBLANK(C2502),"FALTANTE",ABS((C2502-$W$5)/$X$5)&gt;1.96,"ATÍPICO",ABS((C2502-$W$5)/$X$5)&lt;=1.96,"NO ATÍPICO")</f>
        <v>NO ATÍPICO</v>
      </c>
      <c r="K2502" t="str" cm="1">
        <f t="array" ref="K2502">_xlfn.IFS(ISBLANK(I2502),"FALTANTE",ABS((I2502-$W$8)/$X$8)&gt;1.92,"ATÍPICO",ABS((I2502-$W$8)/$X$8)&lt;=1.92,"NO ATÍPICO")</f>
        <v>NO ATÍPICO</v>
      </c>
      <c r="L2502">
        <f t="shared" si="173"/>
        <v>428100</v>
      </c>
      <c r="M2502" t="str">
        <f t="shared" si="173"/>
        <v>ASALARIADO</v>
      </c>
      <c r="N2502">
        <f t="shared" si="174"/>
        <v>36</v>
      </c>
      <c r="O2502" s="19" t="str">
        <f t="shared" si="175"/>
        <v>300k–600k</v>
      </c>
      <c r="P2502" s="19" t="str">
        <f t="shared" si="176"/>
        <v>36-45</v>
      </c>
    </row>
    <row r="2503" spans="1:16" x14ac:dyDescent="0.25">
      <c r="A2503">
        <v>2502</v>
      </c>
      <c r="B2503" t="s">
        <v>9</v>
      </c>
      <c r="C2503">
        <v>1814153</v>
      </c>
      <c r="D2503" t="s">
        <v>10</v>
      </c>
      <c r="E2503" t="s">
        <v>11</v>
      </c>
      <c r="F2503" t="s">
        <v>12</v>
      </c>
      <c r="G2503" t="s">
        <v>13</v>
      </c>
      <c r="H2503" t="s">
        <v>12</v>
      </c>
      <c r="I2503">
        <v>35</v>
      </c>
      <c r="J2503" t="str" cm="1">
        <f t="array" ref="J2503">_xlfn.IFS(ISBLANK(C2503),"FALTANTE",ABS((C2503-$W$5)/$X$5)&gt;1.96,"ATÍPICO",ABS((C2503-$W$5)/$X$5)&lt;=1.96,"NO ATÍPICO")</f>
        <v>NO ATÍPICO</v>
      </c>
      <c r="K2503" t="str" cm="1">
        <f t="array" ref="K2503">_xlfn.IFS(ISBLANK(I2503),"FALTANTE",ABS((I2503-$W$8)/$X$8)&gt;1.92,"ATÍPICO",ABS((I2503-$W$8)/$X$8)&lt;=1.92,"NO ATÍPICO")</f>
        <v>NO ATÍPICO</v>
      </c>
      <c r="L2503">
        <f t="shared" si="173"/>
        <v>1814153</v>
      </c>
      <c r="M2503" t="str">
        <f t="shared" si="173"/>
        <v>ASALARIADO</v>
      </c>
      <c r="N2503">
        <f t="shared" si="174"/>
        <v>35</v>
      </c>
      <c r="O2503" s="19" t="str">
        <f t="shared" si="175"/>
        <v>1200k+</v>
      </c>
      <c r="P2503" s="19" t="str">
        <f t="shared" si="176"/>
        <v>26-35</v>
      </c>
    </row>
    <row r="2504" spans="1:16" x14ac:dyDescent="0.25">
      <c r="A2504">
        <v>2503</v>
      </c>
      <c r="B2504" t="s">
        <v>15</v>
      </c>
      <c r="C2504">
        <v>599078</v>
      </c>
      <c r="D2504" t="s">
        <v>10</v>
      </c>
      <c r="E2504" t="s">
        <v>11</v>
      </c>
      <c r="F2504" t="s">
        <v>12</v>
      </c>
      <c r="G2504" t="s">
        <v>13</v>
      </c>
      <c r="H2504" t="s">
        <v>13</v>
      </c>
      <c r="I2504">
        <v>63</v>
      </c>
      <c r="J2504" t="str" cm="1">
        <f t="array" ref="J2504">_xlfn.IFS(ISBLANK(C2504),"FALTANTE",ABS((C2504-$W$5)/$X$5)&gt;1.96,"ATÍPICO",ABS((C2504-$W$5)/$X$5)&lt;=1.96,"NO ATÍPICO")</f>
        <v>NO ATÍPICO</v>
      </c>
      <c r="K2504" t="str" cm="1">
        <f t="array" ref="K2504">_xlfn.IFS(ISBLANK(I2504),"FALTANTE",ABS((I2504-$W$8)/$X$8)&gt;1.92,"ATÍPICO",ABS((I2504-$W$8)/$X$8)&lt;=1.92,"NO ATÍPICO")</f>
        <v>NO ATÍPICO</v>
      </c>
      <c r="L2504">
        <f t="shared" si="173"/>
        <v>599078</v>
      </c>
      <c r="M2504" t="str">
        <f t="shared" si="173"/>
        <v>ASALARIADO</v>
      </c>
      <c r="N2504">
        <f t="shared" si="174"/>
        <v>63</v>
      </c>
      <c r="O2504" s="19" t="str">
        <f t="shared" si="175"/>
        <v>300k–600k</v>
      </c>
      <c r="P2504" s="19" t="str">
        <f t="shared" si="176"/>
        <v>56+</v>
      </c>
    </row>
    <row r="2505" spans="1:16" x14ac:dyDescent="0.25">
      <c r="A2505">
        <v>2504</v>
      </c>
      <c r="B2505" t="s">
        <v>9</v>
      </c>
      <c r="C2505">
        <v>2425268.1</v>
      </c>
      <c r="D2505" t="s">
        <v>10</v>
      </c>
      <c r="E2505" t="s">
        <v>11</v>
      </c>
      <c r="F2505" t="s">
        <v>12</v>
      </c>
      <c r="G2505" t="s">
        <v>13</v>
      </c>
      <c r="H2505" t="s">
        <v>13</v>
      </c>
      <c r="I2505">
        <v>60</v>
      </c>
      <c r="J2505" t="str" cm="1">
        <f t="array" ref="J2505">_xlfn.IFS(ISBLANK(C2505),"FALTANTE",ABS((C2505-$W$5)/$X$5)&gt;1.96,"ATÍPICO",ABS((C2505-$W$5)/$X$5)&lt;=1.96,"NO ATÍPICO")</f>
        <v>ATÍPICO</v>
      </c>
      <c r="K2505" t="str" cm="1">
        <f t="array" ref="K2505">_xlfn.IFS(ISBLANK(I2505),"FALTANTE",ABS((I2505-$W$8)/$X$8)&gt;1.92,"ATÍPICO",ABS((I2505-$W$8)/$X$8)&lt;=1.92,"NO ATÍPICO")</f>
        <v>NO ATÍPICO</v>
      </c>
      <c r="L2505">
        <f t="shared" si="173"/>
        <v>2425268.1</v>
      </c>
      <c r="M2505" t="str">
        <f t="shared" si="173"/>
        <v>ASALARIADO</v>
      </c>
      <c r="N2505">
        <f t="shared" si="174"/>
        <v>60</v>
      </c>
      <c r="O2505" s="19" t="str">
        <f t="shared" si="175"/>
        <v>1200k+</v>
      </c>
      <c r="P2505" s="19" t="str">
        <f t="shared" si="176"/>
        <v>56+</v>
      </c>
    </row>
    <row r="2506" spans="1:16" x14ac:dyDescent="0.25">
      <c r="A2506">
        <v>2505</v>
      </c>
      <c r="B2506" t="s">
        <v>9</v>
      </c>
      <c r="C2506">
        <v>1756493.5</v>
      </c>
      <c r="D2506" t="s">
        <v>10</v>
      </c>
      <c r="E2506" t="s">
        <v>11</v>
      </c>
      <c r="F2506" t="s">
        <v>12</v>
      </c>
      <c r="G2506" t="s">
        <v>13</v>
      </c>
      <c r="H2506" t="s">
        <v>13</v>
      </c>
      <c r="I2506">
        <v>31</v>
      </c>
      <c r="J2506" t="str" cm="1">
        <f t="array" ref="J2506">_xlfn.IFS(ISBLANK(C2506),"FALTANTE",ABS((C2506-$W$5)/$X$5)&gt;1.96,"ATÍPICO",ABS((C2506-$W$5)/$X$5)&lt;=1.96,"NO ATÍPICO")</f>
        <v>NO ATÍPICO</v>
      </c>
      <c r="K2506" t="str" cm="1">
        <f t="array" ref="K2506">_xlfn.IFS(ISBLANK(I2506),"FALTANTE",ABS((I2506-$W$8)/$X$8)&gt;1.92,"ATÍPICO",ABS((I2506-$W$8)/$X$8)&lt;=1.92,"NO ATÍPICO")</f>
        <v>NO ATÍPICO</v>
      </c>
      <c r="L2506">
        <f t="shared" si="173"/>
        <v>1756493.5</v>
      </c>
      <c r="M2506" t="str">
        <f t="shared" si="173"/>
        <v>ASALARIADO</v>
      </c>
      <c r="N2506">
        <f t="shared" si="174"/>
        <v>31</v>
      </c>
      <c r="O2506" s="19" t="str">
        <f t="shared" si="175"/>
        <v>1200k+</v>
      </c>
      <c r="P2506" s="19" t="str">
        <f t="shared" si="176"/>
        <v>26-35</v>
      </c>
    </row>
    <row r="2507" spans="1:16" x14ac:dyDescent="0.25">
      <c r="A2507">
        <v>2506</v>
      </c>
      <c r="B2507" t="s">
        <v>15</v>
      </c>
      <c r="C2507">
        <v>1185569</v>
      </c>
      <c r="D2507" t="s">
        <v>10</v>
      </c>
      <c r="E2507" t="s">
        <v>16</v>
      </c>
      <c r="F2507" t="s">
        <v>12</v>
      </c>
      <c r="G2507" t="s">
        <v>13</v>
      </c>
      <c r="H2507" t="s">
        <v>13</v>
      </c>
      <c r="I2507">
        <v>42</v>
      </c>
      <c r="J2507" t="str" cm="1">
        <f t="array" ref="J2507">_xlfn.IFS(ISBLANK(C2507),"FALTANTE",ABS((C2507-$W$5)/$X$5)&gt;1.96,"ATÍPICO",ABS((C2507-$W$5)/$X$5)&lt;=1.96,"NO ATÍPICO")</f>
        <v>NO ATÍPICO</v>
      </c>
      <c r="K2507" t="str" cm="1">
        <f t="array" ref="K2507">_xlfn.IFS(ISBLANK(I2507),"FALTANTE",ABS((I2507-$W$8)/$X$8)&gt;1.92,"ATÍPICO",ABS((I2507-$W$8)/$X$8)&lt;=1.92,"NO ATÍPICO")</f>
        <v>NO ATÍPICO</v>
      </c>
      <c r="L2507">
        <f t="shared" si="173"/>
        <v>1185569</v>
      </c>
      <c r="M2507" t="str">
        <f t="shared" si="173"/>
        <v>ASALARIADO</v>
      </c>
      <c r="N2507">
        <f t="shared" si="174"/>
        <v>42</v>
      </c>
      <c r="O2507" s="19" t="str">
        <f t="shared" si="175"/>
        <v>900k–1200k</v>
      </c>
      <c r="P2507" s="19" t="str">
        <f t="shared" si="176"/>
        <v>36-45</v>
      </c>
    </row>
    <row r="2508" spans="1:16" x14ac:dyDescent="0.25">
      <c r="A2508">
        <v>2507</v>
      </c>
      <c r="B2508" t="s">
        <v>9</v>
      </c>
      <c r="C2508">
        <v>1031332.08</v>
      </c>
      <c r="D2508" t="s">
        <v>10</v>
      </c>
      <c r="E2508" t="s">
        <v>16</v>
      </c>
      <c r="F2508" t="s">
        <v>12</v>
      </c>
      <c r="G2508" t="s">
        <v>13</v>
      </c>
      <c r="H2508" t="s">
        <v>13</v>
      </c>
      <c r="I2508">
        <v>29</v>
      </c>
      <c r="J2508" t="str" cm="1">
        <f t="array" ref="J2508">_xlfn.IFS(ISBLANK(C2508),"FALTANTE",ABS((C2508-$W$5)/$X$5)&gt;1.96,"ATÍPICO",ABS((C2508-$W$5)/$X$5)&lt;=1.96,"NO ATÍPICO")</f>
        <v>NO ATÍPICO</v>
      </c>
      <c r="K2508" t="str" cm="1">
        <f t="array" ref="K2508">_xlfn.IFS(ISBLANK(I2508),"FALTANTE",ABS((I2508-$W$8)/$X$8)&gt;1.92,"ATÍPICO",ABS((I2508-$W$8)/$X$8)&lt;=1.92,"NO ATÍPICO")</f>
        <v>NO ATÍPICO</v>
      </c>
      <c r="L2508">
        <f t="shared" si="173"/>
        <v>1031332.08</v>
      </c>
      <c r="M2508" t="str">
        <f t="shared" si="173"/>
        <v>ASALARIADO</v>
      </c>
      <c r="N2508">
        <f t="shared" si="174"/>
        <v>29</v>
      </c>
      <c r="O2508" s="19" t="str">
        <f t="shared" si="175"/>
        <v>900k–1200k</v>
      </c>
      <c r="P2508" s="19" t="str">
        <f t="shared" si="176"/>
        <v>26-35</v>
      </c>
    </row>
    <row r="2509" spans="1:16" x14ac:dyDescent="0.25">
      <c r="A2509">
        <v>2508</v>
      </c>
      <c r="B2509" t="s">
        <v>9</v>
      </c>
      <c r="C2509">
        <v>276773.19</v>
      </c>
      <c r="D2509" t="s">
        <v>10</v>
      </c>
      <c r="E2509" t="s">
        <v>16</v>
      </c>
      <c r="F2509" t="s">
        <v>12</v>
      </c>
      <c r="G2509" t="s">
        <v>13</v>
      </c>
      <c r="H2509" t="s">
        <v>13</v>
      </c>
      <c r="I2509">
        <v>47</v>
      </c>
      <c r="J2509" t="str" cm="1">
        <f t="array" ref="J2509">_xlfn.IFS(ISBLANK(C2509),"FALTANTE",ABS((C2509-$W$5)/$X$5)&gt;1.96,"ATÍPICO",ABS((C2509-$W$5)/$X$5)&lt;=1.96,"NO ATÍPICO")</f>
        <v>NO ATÍPICO</v>
      </c>
      <c r="K2509" t="str" cm="1">
        <f t="array" ref="K2509">_xlfn.IFS(ISBLANK(I2509),"FALTANTE",ABS((I2509-$W$8)/$X$8)&gt;1.92,"ATÍPICO",ABS((I2509-$W$8)/$X$8)&lt;=1.92,"NO ATÍPICO")</f>
        <v>NO ATÍPICO</v>
      </c>
      <c r="L2509">
        <f t="shared" si="173"/>
        <v>276773.19</v>
      </c>
      <c r="M2509" t="str">
        <f t="shared" si="173"/>
        <v>ASALARIADO</v>
      </c>
      <c r="N2509">
        <f t="shared" si="174"/>
        <v>47</v>
      </c>
      <c r="O2509" s="19" t="str">
        <f t="shared" si="175"/>
        <v>0–300k</v>
      </c>
      <c r="P2509" s="19" t="str">
        <f t="shared" si="176"/>
        <v>46-55</v>
      </c>
    </row>
    <row r="2510" spans="1:16" x14ac:dyDescent="0.25">
      <c r="A2510">
        <v>2509</v>
      </c>
      <c r="B2510" t="s">
        <v>15</v>
      </c>
      <c r="C2510">
        <v>193077.5</v>
      </c>
      <c r="D2510" t="s">
        <v>10</v>
      </c>
      <c r="E2510" t="s">
        <v>16</v>
      </c>
      <c r="F2510" t="s">
        <v>12</v>
      </c>
      <c r="G2510" t="s">
        <v>13</v>
      </c>
      <c r="H2510" t="s">
        <v>13</v>
      </c>
      <c r="I2510">
        <v>52</v>
      </c>
      <c r="J2510" t="str" cm="1">
        <f t="array" ref="J2510">_xlfn.IFS(ISBLANK(C2510),"FALTANTE",ABS((C2510-$W$5)/$X$5)&gt;1.96,"ATÍPICO",ABS((C2510-$W$5)/$X$5)&lt;=1.96,"NO ATÍPICO")</f>
        <v>NO ATÍPICO</v>
      </c>
      <c r="K2510" t="str" cm="1">
        <f t="array" ref="K2510">_xlfn.IFS(ISBLANK(I2510),"FALTANTE",ABS((I2510-$W$8)/$X$8)&gt;1.92,"ATÍPICO",ABS((I2510-$W$8)/$X$8)&lt;=1.92,"NO ATÍPICO")</f>
        <v>NO ATÍPICO</v>
      </c>
      <c r="L2510">
        <f t="shared" si="173"/>
        <v>193077.5</v>
      </c>
      <c r="M2510" t="str">
        <f t="shared" si="173"/>
        <v>ASALARIADO</v>
      </c>
      <c r="N2510">
        <f t="shared" si="174"/>
        <v>52</v>
      </c>
      <c r="O2510" s="19" t="str">
        <f t="shared" si="175"/>
        <v>0–300k</v>
      </c>
      <c r="P2510" s="19" t="str">
        <f t="shared" si="176"/>
        <v>46-55</v>
      </c>
    </row>
    <row r="2511" spans="1:16" x14ac:dyDescent="0.25">
      <c r="A2511">
        <v>2510</v>
      </c>
      <c r="B2511" t="s">
        <v>9</v>
      </c>
      <c r="C2511">
        <v>246175</v>
      </c>
      <c r="D2511" t="s">
        <v>10</v>
      </c>
      <c r="E2511" t="s">
        <v>16</v>
      </c>
      <c r="F2511" t="s">
        <v>12</v>
      </c>
      <c r="G2511" t="s">
        <v>13</v>
      </c>
      <c r="H2511" t="s">
        <v>13</v>
      </c>
      <c r="I2511">
        <v>54</v>
      </c>
      <c r="J2511" t="str" cm="1">
        <f t="array" ref="J2511">_xlfn.IFS(ISBLANK(C2511),"FALTANTE",ABS((C2511-$W$5)/$X$5)&gt;1.96,"ATÍPICO",ABS((C2511-$W$5)/$X$5)&lt;=1.96,"NO ATÍPICO")</f>
        <v>NO ATÍPICO</v>
      </c>
      <c r="K2511" t="str" cm="1">
        <f t="array" ref="K2511">_xlfn.IFS(ISBLANK(I2511),"FALTANTE",ABS((I2511-$W$8)/$X$8)&gt;1.92,"ATÍPICO",ABS((I2511-$W$8)/$X$8)&lt;=1.92,"NO ATÍPICO")</f>
        <v>NO ATÍPICO</v>
      </c>
      <c r="L2511">
        <f t="shared" si="173"/>
        <v>246175</v>
      </c>
      <c r="M2511" t="str">
        <f t="shared" si="173"/>
        <v>ASALARIADO</v>
      </c>
      <c r="N2511">
        <f t="shared" si="174"/>
        <v>54</v>
      </c>
      <c r="O2511" s="19" t="str">
        <f t="shared" si="175"/>
        <v>0–300k</v>
      </c>
      <c r="P2511" s="19" t="str">
        <f t="shared" si="176"/>
        <v>46-55</v>
      </c>
    </row>
    <row r="2512" spans="1:16" x14ac:dyDescent="0.25">
      <c r="A2512">
        <v>2511</v>
      </c>
      <c r="B2512" t="s">
        <v>9</v>
      </c>
      <c r="C2512">
        <v>394755.25</v>
      </c>
      <c r="D2512" t="s">
        <v>10</v>
      </c>
      <c r="E2512" t="s">
        <v>16</v>
      </c>
      <c r="F2512" t="s">
        <v>12</v>
      </c>
      <c r="G2512" t="s">
        <v>13</v>
      </c>
      <c r="H2512" t="s">
        <v>13</v>
      </c>
      <c r="I2512">
        <v>37</v>
      </c>
      <c r="J2512" t="str" cm="1">
        <f t="array" ref="J2512">_xlfn.IFS(ISBLANK(C2512),"FALTANTE",ABS((C2512-$W$5)/$X$5)&gt;1.96,"ATÍPICO",ABS((C2512-$W$5)/$X$5)&lt;=1.96,"NO ATÍPICO")</f>
        <v>NO ATÍPICO</v>
      </c>
      <c r="K2512" t="str" cm="1">
        <f t="array" ref="K2512">_xlfn.IFS(ISBLANK(I2512),"FALTANTE",ABS((I2512-$W$8)/$X$8)&gt;1.92,"ATÍPICO",ABS((I2512-$W$8)/$X$8)&lt;=1.92,"NO ATÍPICO")</f>
        <v>NO ATÍPICO</v>
      </c>
      <c r="L2512">
        <f t="shared" si="173"/>
        <v>394755.25</v>
      </c>
      <c r="M2512" t="str">
        <f t="shared" si="173"/>
        <v>ASALARIADO</v>
      </c>
      <c r="N2512">
        <f t="shared" si="174"/>
        <v>37</v>
      </c>
      <c r="O2512" s="19" t="str">
        <f t="shared" si="175"/>
        <v>300k–600k</v>
      </c>
      <c r="P2512" s="19" t="str">
        <f t="shared" si="176"/>
        <v>36-45</v>
      </c>
    </row>
    <row r="2513" spans="1:16" x14ac:dyDescent="0.25">
      <c r="A2513">
        <v>2512</v>
      </c>
      <c r="B2513" t="s">
        <v>15</v>
      </c>
      <c r="C2513">
        <v>500000</v>
      </c>
      <c r="D2513" t="s">
        <v>10</v>
      </c>
      <c r="E2513" t="s">
        <v>16</v>
      </c>
      <c r="F2513" t="s">
        <v>12</v>
      </c>
      <c r="G2513" t="s">
        <v>13</v>
      </c>
      <c r="H2513" t="s">
        <v>13</v>
      </c>
      <c r="I2513">
        <v>40</v>
      </c>
      <c r="J2513" t="str" cm="1">
        <f t="array" ref="J2513">_xlfn.IFS(ISBLANK(C2513),"FALTANTE",ABS((C2513-$W$5)/$X$5)&gt;1.96,"ATÍPICO",ABS((C2513-$W$5)/$X$5)&lt;=1.96,"NO ATÍPICO")</f>
        <v>NO ATÍPICO</v>
      </c>
      <c r="K2513" t="str" cm="1">
        <f t="array" ref="K2513">_xlfn.IFS(ISBLANK(I2513),"FALTANTE",ABS((I2513-$W$8)/$X$8)&gt;1.92,"ATÍPICO",ABS((I2513-$W$8)/$X$8)&lt;=1.92,"NO ATÍPICO")</f>
        <v>NO ATÍPICO</v>
      </c>
      <c r="L2513">
        <f t="shared" si="173"/>
        <v>500000</v>
      </c>
      <c r="M2513" t="str">
        <f t="shared" si="173"/>
        <v>ASALARIADO</v>
      </c>
      <c r="N2513">
        <f t="shared" si="174"/>
        <v>40</v>
      </c>
      <c r="O2513" s="19" t="str">
        <f t="shared" si="175"/>
        <v>300k–600k</v>
      </c>
      <c r="P2513" s="19" t="str">
        <f t="shared" si="176"/>
        <v>36-45</v>
      </c>
    </row>
    <row r="2514" spans="1:16" x14ac:dyDescent="0.25">
      <c r="A2514">
        <v>2513</v>
      </c>
      <c r="B2514" t="s">
        <v>9</v>
      </c>
      <c r="C2514">
        <v>352881</v>
      </c>
      <c r="D2514" t="s">
        <v>18</v>
      </c>
      <c r="E2514" t="s">
        <v>16</v>
      </c>
      <c r="F2514" t="s">
        <v>12</v>
      </c>
      <c r="G2514" t="s">
        <v>13</v>
      </c>
      <c r="H2514" t="s">
        <v>12</v>
      </c>
      <c r="I2514">
        <v>35</v>
      </c>
      <c r="J2514" t="str" cm="1">
        <f t="array" ref="J2514">_xlfn.IFS(ISBLANK(C2514),"FALTANTE",ABS((C2514-$W$5)/$X$5)&gt;1.96,"ATÍPICO",ABS((C2514-$W$5)/$X$5)&lt;=1.96,"NO ATÍPICO")</f>
        <v>NO ATÍPICO</v>
      </c>
      <c r="K2514" t="str" cm="1">
        <f t="array" ref="K2514">_xlfn.IFS(ISBLANK(I2514),"FALTANTE",ABS((I2514-$W$8)/$X$8)&gt;1.92,"ATÍPICO",ABS((I2514-$W$8)/$X$8)&lt;=1.92,"NO ATÍPICO")</f>
        <v>NO ATÍPICO</v>
      </c>
      <c r="L2514">
        <f t="shared" si="173"/>
        <v>352881</v>
      </c>
      <c r="M2514" t="str">
        <f t="shared" si="173"/>
        <v>TRABAJADOR INDEPENDIENTE</v>
      </c>
      <c r="N2514">
        <f t="shared" si="174"/>
        <v>35</v>
      </c>
      <c r="O2514" s="19" t="str">
        <f t="shared" si="175"/>
        <v>300k–600k</v>
      </c>
      <c r="P2514" s="19" t="str">
        <f t="shared" si="176"/>
        <v>26-35</v>
      </c>
    </row>
    <row r="2515" spans="1:16" x14ac:dyDescent="0.25">
      <c r="A2515">
        <v>2514</v>
      </c>
      <c r="B2515" t="s">
        <v>9</v>
      </c>
      <c r="C2515">
        <v>639148</v>
      </c>
      <c r="D2515" t="s">
        <v>18</v>
      </c>
      <c r="E2515" t="s">
        <v>16</v>
      </c>
      <c r="F2515" t="s">
        <v>12</v>
      </c>
      <c r="G2515" t="s">
        <v>13</v>
      </c>
      <c r="H2515" t="s">
        <v>12</v>
      </c>
      <c r="I2515">
        <v>38</v>
      </c>
      <c r="J2515" t="str" cm="1">
        <f t="array" ref="J2515">_xlfn.IFS(ISBLANK(C2515),"FALTANTE",ABS((C2515-$W$5)/$X$5)&gt;1.96,"ATÍPICO",ABS((C2515-$W$5)/$X$5)&lt;=1.96,"NO ATÍPICO")</f>
        <v>NO ATÍPICO</v>
      </c>
      <c r="K2515" t="str" cm="1">
        <f t="array" ref="K2515">_xlfn.IFS(ISBLANK(I2515),"FALTANTE",ABS((I2515-$W$8)/$X$8)&gt;1.92,"ATÍPICO",ABS((I2515-$W$8)/$X$8)&lt;=1.92,"NO ATÍPICO")</f>
        <v>NO ATÍPICO</v>
      </c>
      <c r="L2515">
        <f t="shared" si="173"/>
        <v>639148</v>
      </c>
      <c r="M2515" t="str">
        <f t="shared" si="173"/>
        <v>TRABAJADOR INDEPENDIENTE</v>
      </c>
      <c r="N2515">
        <f t="shared" si="174"/>
        <v>38</v>
      </c>
      <c r="O2515" s="19" t="str">
        <f t="shared" si="175"/>
        <v>600k–900k</v>
      </c>
      <c r="P2515" s="19" t="str">
        <f t="shared" si="176"/>
        <v>36-45</v>
      </c>
    </row>
    <row r="2516" spans="1:16" x14ac:dyDescent="0.25">
      <c r="A2516">
        <v>2515</v>
      </c>
      <c r="B2516" t="s">
        <v>9</v>
      </c>
      <c r="C2516">
        <v>347135</v>
      </c>
      <c r="D2516" t="s">
        <v>18</v>
      </c>
      <c r="E2516" t="s">
        <v>16</v>
      </c>
      <c r="F2516" t="s">
        <v>12</v>
      </c>
      <c r="G2516" t="s">
        <v>12</v>
      </c>
      <c r="H2516" t="s">
        <v>12</v>
      </c>
      <c r="I2516">
        <v>44</v>
      </c>
      <c r="J2516" t="str" cm="1">
        <f t="array" ref="J2516">_xlfn.IFS(ISBLANK(C2516),"FALTANTE",ABS((C2516-$W$5)/$X$5)&gt;1.96,"ATÍPICO",ABS((C2516-$W$5)/$X$5)&lt;=1.96,"NO ATÍPICO")</f>
        <v>NO ATÍPICO</v>
      </c>
      <c r="K2516" t="str" cm="1">
        <f t="array" ref="K2516">_xlfn.IFS(ISBLANK(I2516),"FALTANTE",ABS((I2516-$W$8)/$X$8)&gt;1.92,"ATÍPICO",ABS((I2516-$W$8)/$X$8)&lt;=1.92,"NO ATÍPICO")</f>
        <v>NO ATÍPICO</v>
      </c>
      <c r="L2516">
        <f t="shared" si="173"/>
        <v>347135</v>
      </c>
      <c r="M2516" t="str">
        <f t="shared" si="173"/>
        <v>TRABAJADOR INDEPENDIENTE</v>
      </c>
      <c r="N2516">
        <f t="shared" si="174"/>
        <v>44</v>
      </c>
      <c r="O2516" s="19" t="str">
        <f t="shared" si="175"/>
        <v>300k–600k</v>
      </c>
      <c r="P2516" s="19" t="str">
        <f t="shared" si="176"/>
        <v>36-45</v>
      </c>
    </row>
    <row r="2517" spans="1:16" x14ac:dyDescent="0.25">
      <c r="A2517">
        <v>2516</v>
      </c>
      <c r="B2517" t="s">
        <v>9</v>
      </c>
      <c r="C2517">
        <v>447789.6</v>
      </c>
      <c r="D2517" t="s">
        <v>10</v>
      </c>
      <c r="E2517" t="s">
        <v>11</v>
      </c>
      <c r="F2517" t="s">
        <v>12</v>
      </c>
      <c r="G2517" t="s">
        <v>13</v>
      </c>
      <c r="H2517" t="s">
        <v>13</v>
      </c>
      <c r="I2517">
        <v>31</v>
      </c>
      <c r="J2517" t="str" cm="1">
        <f t="array" ref="J2517">_xlfn.IFS(ISBLANK(C2517),"FALTANTE",ABS((C2517-$W$5)/$X$5)&gt;1.96,"ATÍPICO",ABS((C2517-$W$5)/$X$5)&lt;=1.96,"NO ATÍPICO")</f>
        <v>NO ATÍPICO</v>
      </c>
      <c r="K2517" t="str" cm="1">
        <f t="array" ref="K2517">_xlfn.IFS(ISBLANK(I2517),"FALTANTE",ABS((I2517-$W$8)/$X$8)&gt;1.92,"ATÍPICO",ABS((I2517-$W$8)/$X$8)&lt;=1.92,"NO ATÍPICO")</f>
        <v>NO ATÍPICO</v>
      </c>
      <c r="L2517">
        <f t="shared" si="173"/>
        <v>447789.6</v>
      </c>
      <c r="M2517" t="str">
        <f t="shared" si="173"/>
        <v>ASALARIADO</v>
      </c>
      <c r="N2517">
        <f t="shared" si="174"/>
        <v>31</v>
      </c>
      <c r="O2517" s="19" t="str">
        <f t="shared" si="175"/>
        <v>300k–600k</v>
      </c>
      <c r="P2517" s="19" t="str">
        <f t="shared" si="176"/>
        <v>26-35</v>
      </c>
    </row>
    <row r="2518" spans="1:16" x14ac:dyDescent="0.25">
      <c r="A2518">
        <v>2517</v>
      </c>
      <c r="B2518" t="s">
        <v>9</v>
      </c>
      <c r="C2518">
        <v>310124</v>
      </c>
      <c r="D2518" t="s">
        <v>18</v>
      </c>
      <c r="E2518" t="s">
        <v>16</v>
      </c>
      <c r="F2518" t="s">
        <v>12</v>
      </c>
      <c r="G2518" t="s">
        <v>12</v>
      </c>
      <c r="H2518" t="s">
        <v>12</v>
      </c>
      <c r="I2518">
        <v>41</v>
      </c>
      <c r="J2518" t="str" cm="1">
        <f t="array" ref="J2518">_xlfn.IFS(ISBLANK(C2518),"FALTANTE",ABS((C2518-$W$5)/$X$5)&gt;1.96,"ATÍPICO",ABS((C2518-$W$5)/$X$5)&lt;=1.96,"NO ATÍPICO")</f>
        <v>NO ATÍPICO</v>
      </c>
      <c r="K2518" t="str" cm="1">
        <f t="array" ref="K2518">_xlfn.IFS(ISBLANK(I2518),"FALTANTE",ABS((I2518-$W$8)/$X$8)&gt;1.92,"ATÍPICO",ABS((I2518-$W$8)/$X$8)&lt;=1.92,"NO ATÍPICO")</f>
        <v>NO ATÍPICO</v>
      </c>
      <c r="L2518">
        <f t="shared" si="173"/>
        <v>310124</v>
      </c>
      <c r="M2518" t="str">
        <f t="shared" si="173"/>
        <v>TRABAJADOR INDEPENDIENTE</v>
      </c>
      <c r="N2518">
        <f t="shared" si="174"/>
        <v>41</v>
      </c>
      <c r="O2518" s="19" t="str">
        <f t="shared" si="175"/>
        <v>300k–600k</v>
      </c>
      <c r="P2518" s="19" t="str">
        <f t="shared" si="176"/>
        <v>36-45</v>
      </c>
    </row>
    <row r="2519" spans="1:16" x14ac:dyDescent="0.25">
      <c r="A2519">
        <v>2518</v>
      </c>
      <c r="B2519" t="s">
        <v>15</v>
      </c>
      <c r="C2519">
        <v>1110079.17</v>
      </c>
      <c r="D2519" t="s">
        <v>10</v>
      </c>
      <c r="E2519" t="s">
        <v>16</v>
      </c>
      <c r="F2519" t="s">
        <v>12</v>
      </c>
      <c r="G2519" t="s">
        <v>13</v>
      </c>
      <c r="H2519" t="s">
        <v>13</v>
      </c>
      <c r="I2519">
        <v>24</v>
      </c>
      <c r="J2519" t="str" cm="1">
        <f t="array" ref="J2519">_xlfn.IFS(ISBLANK(C2519),"FALTANTE",ABS((C2519-$W$5)/$X$5)&gt;1.96,"ATÍPICO",ABS((C2519-$W$5)/$X$5)&lt;=1.96,"NO ATÍPICO")</f>
        <v>NO ATÍPICO</v>
      </c>
      <c r="K2519" t="str" cm="1">
        <f t="array" ref="K2519">_xlfn.IFS(ISBLANK(I2519),"FALTANTE",ABS((I2519-$W$8)/$X$8)&gt;1.92,"ATÍPICO",ABS((I2519-$W$8)/$X$8)&lt;=1.92,"NO ATÍPICO")</f>
        <v>NO ATÍPICO</v>
      </c>
      <c r="L2519">
        <f t="shared" si="173"/>
        <v>1110079.17</v>
      </c>
      <c r="M2519" t="str">
        <f t="shared" si="173"/>
        <v>ASALARIADO</v>
      </c>
      <c r="N2519">
        <f t="shared" si="174"/>
        <v>24</v>
      </c>
      <c r="O2519" s="19" t="str">
        <f t="shared" si="175"/>
        <v>900k–1200k</v>
      </c>
      <c r="P2519" s="19" t="str">
        <f t="shared" si="176"/>
        <v>18-25</v>
      </c>
    </row>
    <row r="2520" spans="1:16" x14ac:dyDescent="0.25">
      <c r="A2520">
        <v>2519</v>
      </c>
      <c r="B2520" t="s">
        <v>9</v>
      </c>
      <c r="C2520">
        <v>347500</v>
      </c>
      <c r="D2520" t="s">
        <v>10</v>
      </c>
      <c r="E2520" t="s">
        <v>16</v>
      </c>
      <c r="F2520" t="s">
        <v>12</v>
      </c>
      <c r="G2520" t="s">
        <v>13</v>
      </c>
      <c r="H2520" t="s">
        <v>13</v>
      </c>
      <c r="I2520">
        <v>42</v>
      </c>
      <c r="J2520" t="str" cm="1">
        <f t="array" ref="J2520">_xlfn.IFS(ISBLANK(C2520),"FALTANTE",ABS((C2520-$W$5)/$X$5)&gt;1.96,"ATÍPICO",ABS((C2520-$W$5)/$X$5)&lt;=1.96,"NO ATÍPICO")</f>
        <v>NO ATÍPICO</v>
      </c>
      <c r="K2520" t="str" cm="1">
        <f t="array" ref="K2520">_xlfn.IFS(ISBLANK(I2520),"FALTANTE",ABS((I2520-$W$8)/$X$8)&gt;1.92,"ATÍPICO",ABS((I2520-$W$8)/$X$8)&lt;=1.92,"NO ATÍPICO")</f>
        <v>NO ATÍPICO</v>
      </c>
      <c r="L2520">
        <f t="shared" si="173"/>
        <v>347500</v>
      </c>
      <c r="M2520" t="str">
        <f t="shared" si="173"/>
        <v>ASALARIADO</v>
      </c>
      <c r="N2520">
        <f t="shared" si="174"/>
        <v>42</v>
      </c>
      <c r="O2520" s="19" t="str">
        <f t="shared" si="175"/>
        <v>300k–600k</v>
      </c>
      <c r="P2520" s="19" t="str">
        <f t="shared" si="176"/>
        <v>36-45</v>
      </c>
    </row>
    <row r="2521" spans="1:16" x14ac:dyDescent="0.25">
      <c r="A2521">
        <v>2520</v>
      </c>
      <c r="B2521" t="s">
        <v>15</v>
      </c>
      <c r="C2521">
        <v>1341415.6399999999</v>
      </c>
      <c r="D2521" t="s">
        <v>10</v>
      </c>
      <c r="E2521" t="s">
        <v>16</v>
      </c>
      <c r="F2521" t="s">
        <v>12</v>
      </c>
      <c r="G2521" t="s">
        <v>13</v>
      </c>
      <c r="H2521" t="s">
        <v>13</v>
      </c>
      <c r="I2521">
        <v>38</v>
      </c>
      <c r="J2521" t="str" cm="1">
        <f t="array" ref="J2521">_xlfn.IFS(ISBLANK(C2521),"FALTANTE",ABS((C2521-$W$5)/$X$5)&gt;1.96,"ATÍPICO",ABS((C2521-$W$5)/$X$5)&lt;=1.96,"NO ATÍPICO")</f>
        <v>NO ATÍPICO</v>
      </c>
      <c r="K2521" t="str" cm="1">
        <f t="array" ref="K2521">_xlfn.IFS(ISBLANK(I2521),"FALTANTE",ABS((I2521-$W$8)/$X$8)&gt;1.92,"ATÍPICO",ABS((I2521-$W$8)/$X$8)&lt;=1.92,"NO ATÍPICO")</f>
        <v>NO ATÍPICO</v>
      </c>
      <c r="L2521">
        <f t="shared" si="173"/>
        <v>1341415.6399999999</v>
      </c>
      <c r="M2521" t="str">
        <f t="shared" si="173"/>
        <v>ASALARIADO</v>
      </c>
      <c r="N2521">
        <f t="shared" si="174"/>
        <v>38</v>
      </c>
      <c r="O2521" s="19" t="str">
        <f t="shared" si="175"/>
        <v>1200k+</v>
      </c>
      <c r="P2521" s="19" t="str">
        <f t="shared" si="176"/>
        <v>36-45</v>
      </c>
    </row>
    <row r="2522" spans="1:16" x14ac:dyDescent="0.25">
      <c r="A2522">
        <v>2521</v>
      </c>
      <c r="B2522" t="s">
        <v>15</v>
      </c>
      <c r="C2522">
        <v>319575.36</v>
      </c>
      <c r="D2522" t="s">
        <v>10</v>
      </c>
      <c r="E2522" t="s">
        <v>16</v>
      </c>
      <c r="F2522" t="s">
        <v>12</v>
      </c>
      <c r="G2522" t="s">
        <v>13</v>
      </c>
      <c r="H2522" t="s">
        <v>13</v>
      </c>
      <c r="I2522">
        <v>64</v>
      </c>
      <c r="J2522" t="str" cm="1">
        <f t="array" ref="J2522">_xlfn.IFS(ISBLANK(C2522),"FALTANTE",ABS((C2522-$W$5)/$X$5)&gt;1.96,"ATÍPICO",ABS((C2522-$W$5)/$X$5)&lt;=1.96,"NO ATÍPICO")</f>
        <v>NO ATÍPICO</v>
      </c>
      <c r="K2522" t="str" cm="1">
        <f t="array" ref="K2522">_xlfn.IFS(ISBLANK(I2522),"FALTANTE",ABS((I2522-$W$8)/$X$8)&gt;1.92,"ATÍPICO",ABS((I2522-$W$8)/$X$8)&lt;=1.92,"NO ATÍPICO")</f>
        <v>NO ATÍPICO</v>
      </c>
      <c r="L2522">
        <f t="shared" si="173"/>
        <v>319575.36</v>
      </c>
      <c r="M2522" t="str">
        <f t="shared" si="173"/>
        <v>ASALARIADO</v>
      </c>
      <c r="N2522">
        <f t="shared" si="174"/>
        <v>64</v>
      </c>
      <c r="O2522" s="19" t="str">
        <f t="shared" si="175"/>
        <v>300k–600k</v>
      </c>
      <c r="P2522" s="19" t="str">
        <f t="shared" si="176"/>
        <v>56+</v>
      </c>
    </row>
    <row r="2523" spans="1:16" x14ac:dyDescent="0.25">
      <c r="A2523">
        <v>2522</v>
      </c>
      <c r="B2523" t="s">
        <v>9</v>
      </c>
      <c r="C2523">
        <v>594092</v>
      </c>
      <c r="D2523" t="s">
        <v>18</v>
      </c>
      <c r="E2523" t="s">
        <v>16</v>
      </c>
      <c r="F2523" t="s">
        <v>12</v>
      </c>
      <c r="G2523" t="s">
        <v>13</v>
      </c>
      <c r="H2523" t="s">
        <v>12</v>
      </c>
      <c r="I2523">
        <v>42</v>
      </c>
      <c r="J2523" t="str" cm="1">
        <f t="array" ref="J2523">_xlfn.IFS(ISBLANK(C2523),"FALTANTE",ABS((C2523-$W$5)/$X$5)&gt;1.96,"ATÍPICO",ABS((C2523-$W$5)/$X$5)&lt;=1.96,"NO ATÍPICO")</f>
        <v>NO ATÍPICO</v>
      </c>
      <c r="K2523" t="str" cm="1">
        <f t="array" ref="K2523">_xlfn.IFS(ISBLANK(I2523),"FALTANTE",ABS((I2523-$W$8)/$X$8)&gt;1.92,"ATÍPICO",ABS((I2523-$W$8)/$X$8)&lt;=1.92,"NO ATÍPICO")</f>
        <v>NO ATÍPICO</v>
      </c>
      <c r="L2523">
        <f t="shared" si="173"/>
        <v>594092</v>
      </c>
      <c r="M2523" t="str">
        <f t="shared" si="173"/>
        <v>TRABAJADOR INDEPENDIENTE</v>
      </c>
      <c r="N2523">
        <f t="shared" si="174"/>
        <v>42</v>
      </c>
      <c r="O2523" s="19" t="str">
        <f t="shared" si="175"/>
        <v>300k–600k</v>
      </c>
      <c r="P2523" s="19" t="str">
        <f t="shared" si="176"/>
        <v>36-45</v>
      </c>
    </row>
    <row r="2524" spans="1:16" x14ac:dyDescent="0.25">
      <c r="A2524">
        <v>2523</v>
      </c>
      <c r="B2524" t="s">
        <v>15</v>
      </c>
      <c r="C2524">
        <v>405000</v>
      </c>
      <c r="D2524" t="s">
        <v>10</v>
      </c>
      <c r="E2524" t="s">
        <v>16</v>
      </c>
      <c r="F2524" t="s">
        <v>12</v>
      </c>
      <c r="G2524" t="s">
        <v>13</v>
      </c>
      <c r="H2524" t="s">
        <v>12</v>
      </c>
      <c r="I2524">
        <v>34</v>
      </c>
      <c r="J2524" t="str" cm="1">
        <f t="array" ref="J2524">_xlfn.IFS(ISBLANK(C2524),"FALTANTE",ABS((C2524-$W$5)/$X$5)&gt;1.96,"ATÍPICO",ABS((C2524-$W$5)/$X$5)&lt;=1.96,"NO ATÍPICO")</f>
        <v>NO ATÍPICO</v>
      </c>
      <c r="K2524" t="str" cm="1">
        <f t="array" ref="K2524">_xlfn.IFS(ISBLANK(I2524),"FALTANTE",ABS((I2524-$W$8)/$X$8)&gt;1.92,"ATÍPICO",ABS((I2524-$W$8)/$X$8)&lt;=1.92,"NO ATÍPICO")</f>
        <v>NO ATÍPICO</v>
      </c>
      <c r="L2524">
        <f t="shared" si="173"/>
        <v>405000</v>
      </c>
      <c r="M2524" t="str">
        <f t="shared" si="173"/>
        <v>ASALARIADO</v>
      </c>
      <c r="N2524">
        <f t="shared" si="174"/>
        <v>34</v>
      </c>
      <c r="O2524" s="19" t="str">
        <f t="shared" si="175"/>
        <v>300k–600k</v>
      </c>
      <c r="P2524" s="19" t="str">
        <f t="shared" si="176"/>
        <v>26-35</v>
      </c>
    </row>
    <row r="2525" spans="1:16" x14ac:dyDescent="0.25">
      <c r="A2525">
        <v>2524</v>
      </c>
      <c r="B2525" t="s">
        <v>15</v>
      </c>
      <c r="C2525">
        <v>298155</v>
      </c>
      <c r="D2525" t="s">
        <v>17</v>
      </c>
      <c r="E2525" t="s">
        <v>16</v>
      </c>
      <c r="F2525" t="s">
        <v>12</v>
      </c>
      <c r="G2525" t="s">
        <v>13</v>
      </c>
      <c r="H2525" t="s">
        <v>13</v>
      </c>
      <c r="I2525">
        <v>30</v>
      </c>
      <c r="J2525" t="str" cm="1">
        <f t="array" ref="J2525">_xlfn.IFS(ISBLANK(C2525),"FALTANTE",ABS((C2525-$W$5)/$X$5)&gt;1.96,"ATÍPICO",ABS((C2525-$W$5)/$X$5)&lt;=1.96,"NO ATÍPICO")</f>
        <v>NO ATÍPICO</v>
      </c>
      <c r="K2525" t="str" cm="1">
        <f t="array" ref="K2525">_xlfn.IFS(ISBLANK(I2525),"FALTANTE",ABS((I2525-$W$8)/$X$8)&gt;1.92,"ATÍPICO",ABS((I2525-$W$8)/$X$8)&lt;=1.92,"NO ATÍPICO")</f>
        <v>NO ATÍPICO</v>
      </c>
      <c r="L2525">
        <f t="shared" si="173"/>
        <v>298155</v>
      </c>
      <c r="M2525" t="str">
        <f t="shared" si="173"/>
        <v>ASEGURADO VOLUNTARIO</v>
      </c>
      <c r="N2525">
        <f t="shared" si="174"/>
        <v>30</v>
      </c>
      <c r="O2525" s="19" t="str">
        <f t="shared" si="175"/>
        <v>0–300k</v>
      </c>
      <c r="P2525" s="19" t="str">
        <f t="shared" si="176"/>
        <v>26-35</v>
      </c>
    </row>
    <row r="2526" spans="1:16" x14ac:dyDescent="0.25">
      <c r="A2526">
        <v>2525</v>
      </c>
      <c r="B2526" t="s">
        <v>15</v>
      </c>
      <c r="C2526">
        <v>301260</v>
      </c>
      <c r="D2526" t="s">
        <v>17</v>
      </c>
      <c r="E2526" t="s">
        <v>16</v>
      </c>
      <c r="F2526" t="s">
        <v>12</v>
      </c>
      <c r="G2526" t="s">
        <v>13</v>
      </c>
      <c r="H2526" t="s">
        <v>13</v>
      </c>
      <c r="I2526">
        <v>38</v>
      </c>
      <c r="J2526" t="str" cm="1">
        <f t="array" ref="J2526">_xlfn.IFS(ISBLANK(C2526),"FALTANTE",ABS((C2526-$W$5)/$X$5)&gt;1.96,"ATÍPICO",ABS((C2526-$W$5)/$X$5)&lt;=1.96,"NO ATÍPICO")</f>
        <v>NO ATÍPICO</v>
      </c>
      <c r="K2526" t="str" cm="1">
        <f t="array" ref="K2526">_xlfn.IFS(ISBLANK(I2526),"FALTANTE",ABS((I2526-$W$8)/$X$8)&gt;1.92,"ATÍPICO",ABS((I2526-$W$8)/$X$8)&lt;=1.92,"NO ATÍPICO")</f>
        <v>NO ATÍPICO</v>
      </c>
      <c r="L2526">
        <f t="shared" si="173"/>
        <v>301260</v>
      </c>
      <c r="M2526" t="str">
        <f t="shared" si="173"/>
        <v>ASEGURADO VOLUNTARIO</v>
      </c>
      <c r="N2526">
        <f t="shared" si="174"/>
        <v>38</v>
      </c>
      <c r="O2526" s="19" t="str">
        <f t="shared" si="175"/>
        <v>300k–600k</v>
      </c>
      <c r="P2526" s="19" t="str">
        <f t="shared" si="176"/>
        <v>36-45</v>
      </c>
    </row>
    <row r="2527" spans="1:16" x14ac:dyDescent="0.25">
      <c r="A2527">
        <v>2526</v>
      </c>
      <c r="B2527" t="s">
        <v>15</v>
      </c>
      <c r="C2527">
        <v>1221155</v>
      </c>
      <c r="D2527" t="s">
        <v>10</v>
      </c>
      <c r="E2527" t="s">
        <v>11</v>
      </c>
      <c r="F2527" t="s">
        <v>12</v>
      </c>
      <c r="G2527" t="s">
        <v>13</v>
      </c>
      <c r="H2527" t="s">
        <v>12</v>
      </c>
      <c r="I2527">
        <v>54</v>
      </c>
      <c r="J2527" t="str" cm="1">
        <f t="array" ref="J2527">_xlfn.IFS(ISBLANK(C2527),"FALTANTE",ABS((C2527-$W$5)/$X$5)&gt;1.96,"ATÍPICO",ABS((C2527-$W$5)/$X$5)&lt;=1.96,"NO ATÍPICO")</f>
        <v>NO ATÍPICO</v>
      </c>
      <c r="K2527" t="str" cm="1">
        <f t="array" ref="K2527">_xlfn.IFS(ISBLANK(I2527),"FALTANTE",ABS((I2527-$W$8)/$X$8)&gt;1.92,"ATÍPICO",ABS((I2527-$W$8)/$X$8)&lt;=1.92,"NO ATÍPICO")</f>
        <v>NO ATÍPICO</v>
      </c>
      <c r="L2527">
        <f t="shared" si="173"/>
        <v>1221155</v>
      </c>
      <c r="M2527" t="str">
        <f t="shared" si="173"/>
        <v>ASALARIADO</v>
      </c>
      <c r="N2527">
        <f t="shared" si="174"/>
        <v>54</v>
      </c>
      <c r="O2527" s="19" t="str">
        <f t="shared" si="175"/>
        <v>1200k+</v>
      </c>
      <c r="P2527" s="19" t="str">
        <f t="shared" si="176"/>
        <v>46-55</v>
      </c>
    </row>
    <row r="2528" spans="1:16" x14ac:dyDescent="0.25">
      <c r="A2528">
        <v>2527</v>
      </c>
      <c r="B2528" t="s">
        <v>9</v>
      </c>
      <c r="C2528">
        <v>297046</v>
      </c>
      <c r="D2528" t="s">
        <v>18</v>
      </c>
      <c r="E2528" t="s">
        <v>16</v>
      </c>
      <c r="F2528" t="s">
        <v>12</v>
      </c>
      <c r="G2528" t="s">
        <v>13</v>
      </c>
      <c r="H2528" t="s">
        <v>13</v>
      </c>
      <c r="I2528">
        <v>43</v>
      </c>
      <c r="J2528" t="str" cm="1">
        <f t="array" ref="J2528">_xlfn.IFS(ISBLANK(C2528),"FALTANTE",ABS((C2528-$W$5)/$X$5)&gt;1.96,"ATÍPICO",ABS((C2528-$W$5)/$X$5)&lt;=1.96,"NO ATÍPICO")</f>
        <v>NO ATÍPICO</v>
      </c>
      <c r="K2528" t="str" cm="1">
        <f t="array" ref="K2528">_xlfn.IFS(ISBLANK(I2528),"FALTANTE",ABS((I2528-$W$8)/$X$8)&gt;1.92,"ATÍPICO",ABS((I2528-$W$8)/$X$8)&lt;=1.92,"NO ATÍPICO")</f>
        <v>NO ATÍPICO</v>
      </c>
      <c r="L2528">
        <f t="shared" si="173"/>
        <v>297046</v>
      </c>
      <c r="M2528" t="str">
        <f t="shared" si="173"/>
        <v>TRABAJADOR INDEPENDIENTE</v>
      </c>
      <c r="N2528">
        <f t="shared" si="174"/>
        <v>43</v>
      </c>
      <c r="O2528" s="19" t="str">
        <f t="shared" si="175"/>
        <v>0–300k</v>
      </c>
      <c r="P2528" s="19" t="str">
        <f t="shared" si="176"/>
        <v>36-45</v>
      </c>
    </row>
    <row r="2529" spans="1:16" x14ac:dyDescent="0.25">
      <c r="A2529">
        <v>2528</v>
      </c>
      <c r="B2529" t="s">
        <v>9</v>
      </c>
      <c r="C2529">
        <v>907355.22</v>
      </c>
      <c r="D2529" t="s">
        <v>10</v>
      </c>
      <c r="E2529" t="s">
        <v>16</v>
      </c>
      <c r="F2529" t="s">
        <v>12</v>
      </c>
      <c r="G2529" t="s">
        <v>13</v>
      </c>
      <c r="H2529" t="s">
        <v>13</v>
      </c>
      <c r="I2529">
        <v>37</v>
      </c>
      <c r="J2529" t="str" cm="1">
        <f t="array" ref="J2529">_xlfn.IFS(ISBLANK(C2529),"FALTANTE",ABS((C2529-$W$5)/$X$5)&gt;1.96,"ATÍPICO",ABS((C2529-$W$5)/$X$5)&lt;=1.96,"NO ATÍPICO")</f>
        <v>NO ATÍPICO</v>
      </c>
      <c r="K2529" t="str" cm="1">
        <f t="array" ref="K2529">_xlfn.IFS(ISBLANK(I2529),"FALTANTE",ABS((I2529-$W$8)/$X$8)&gt;1.92,"ATÍPICO",ABS((I2529-$W$8)/$X$8)&lt;=1.92,"NO ATÍPICO")</f>
        <v>NO ATÍPICO</v>
      </c>
      <c r="L2529">
        <f t="shared" si="173"/>
        <v>907355.22</v>
      </c>
      <c r="M2529" t="str">
        <f t="shared" si="173"/>
        <v>ASALARIADO</v>
      </c>
      <c r="N2529">
        <f t="shared" si="174"/>
        <v>37</v>
      </c>
      <c r="O2529" s="19" t="str">
        <f t="shared" si="175"/>
        <v>900k–1200k</v>
      </c>
      <c r="P2529" s="19" t="str">
        <f t="shared" si="176"/>
        <v>36-45</v>
      </c>
    </row>
    <row r="2530" spans="1:16" x14ac:dyDescent="0.25">
      <c r="A2530">
        <v>2529</v>
      </c>
      <c r="B2530" t="s">
        <v>9</v>
      </c>
      <c r="C2530">
        <v>299744</v>
      </c>
      <c r="D2530" t="s">
        <v>18</v>
      </c>
      <c r="E2530" t="s">
        <v>16</v>
      </c>
      <c r="F2530" t="s">
        <v>12</v>
      </c>
      <c r="G2530" t="s">
        <v>13</v>
      </c>
      <c r="H2530" t="s">
        <v>12</v>
      </c>
      <c r="I2530">
        <v>37</v>
      </c>
      <c r="J2530" t="str" cm="1">
        <f t="array" ref="J2530">_xlfn.IFS(ISBLANK(C2530),"FALTANTE",ABS((C2530-$W$5)/$X$5)&gt;1.96,"ATÍPICO",ABS((C2530-$W$5)/$X$5)&lt;=1.96,"NO ATÍPICO")</f>
        <v>NO ATÍPICO</v>
      </c>
      <c r="K2530" t="str" cm="1">
        <f t="array" ref="K2530">_xlfn.IFS(ISBLANK(I2530),"FALTANTE",ABS((I2530-$W$8)/$X$8)&gt;1.92,"ATÍPICO",ABS((I2530-$W$8)/$X$8)&lt;=1.92,"NO ATÍPICO")</f>
        <v>NO ATÍPICO</v>
      </c>
      <c r="L2530">
        <f t="shared" si="173"/>
        <v>299744</v>
      </c>
      <c r="M2530" t="str">
        <f t="shared" si="173"/>
        <v>TRABAJADOR INDEPENDIENTE</v>
      </c>
      <c r="N2530">
        <f t="shared" si="174"/>
        <v>37</v>
      </c>
      <c r="O2530" s="19" t="str">
        <f t="shared" si="175"/>
        <v>0–300k</v>
      </c>
      <c r="P2530" s="19" t="str">
        <f t="shared" si="176"/>
        <v>36-45</v>
      </c>
    </row>
    <row r="2531" spans="1:16" x14ac:dyDescent="0.25">
      <c r="A2531">
        <v>2530</v>
      </c>
      <c r="B2531" t="s">
        <v>9</v>
      </c>
      <c r="C2531">
        <v>650779.6</v>
      </c>
      <c r="D2531" t="s">
        <v>10</v>
      </c>
      <c r="E2531" t="s">
        <v>16</v>
      </c>
      <c r="F2531" t="s">
        <v>12</v>
      </c>
      <c r="G2531" t="s">
        <v>13</v>
      </c>
      <c r="H2531" t="s">
        <v>13</v>
      </c>
      <c r="I2531">
        <v>38</v>
      </c>
      <c r="J2531" t="str" cm="1">
        <f t="array" ref="J2531">_xlfn.IFS(ISBLANK(C2531),"FALTANTE",ABS((C2531-$W$5)/$X$5)&gt;1.96,"ATÍPICO",ABS((C2531-$W$5)/$X$5)&lt;=1.96,"NO ATÍPICO")</f>
        <v>NO ATÍPICO</v>
      </c>
      <c r="K2531" t="str" cm="1">
        <f t="array" ref="K2531">_xlfn.IFS(ISBLANK(I2531),"FALTANTE",ABS((I2531-$W$8)/$X$8)&gt;1.92,"ATÍPICO",ABS((I2531-$W$8)/$X$8)&lt;=1.92,"NO ATÍPICO")</f>
        <v>NO ATÍPICO</v>
      </c>
      <c r="L2531">
        <f t="shared" si="173"/>
        <v>650779.6</v>
      </c>
      <c r="M2531" t="str">
        <f t="shared" si="173"/>
        <v>ASALARIADO</v>
      </c>
      <c r="N2531">
        <f t="shared" si="174"/>
        <v>38</v>
      </c>
      <c r="O2531" s="19" t="str">
        <f t="shared" si="175"/>
        <v>600k–900k</v>
      </c>
      <c r="P2531" s="19" t="str">
        <f t="shared" si="176"/>
        <v>36-45</v>
      </c>
    </row>
    <row r="2532" spans="1:16" x14ac:dyDescent="0.25">
      <c r="A2532">
        <v>2531</v>
      </c>
      <c r="B2532" t="s">
        <v>9</v>
      </c>
      <c r="C2532">
        <v>3340086.25</v>
      </c>
      <c r="D2532" t="s">
        <v>10</v>
      </c>
      <c r="E2532" t="s">
        <v>11</v>
      </c>
      <c r="F2532" t="s">
        <v>12</v>
      </c>
      <c r="G2532" t="s">
        <v>13</v>
      </c>
      <c r="H2532" t="s">
        <v>13</v>
      </c>
      <c r="I2532">
        <v>42</v>
      </c>
      <c r="J2532" t="str" cm="1">
        <f t="array" ref="J2532">_xlfn.IFS(ISBLANK(C2532),"FALTANTE",ABS((C2532-$W$5)/$X$5)&gt;1.96,"ATÍPICO",ABS((C2532-$W$5)/$X$5)&lt;=1.96,"NO ATÍPICO")</f>
        <v>ATÍPICO</v>
      </c>
      <c r="K2532" t="str" cm="1">
        <f t="array" ref="K2532">_xlfn.IFS(ISBLANK(I2532),"FALTANTE",ABS((I2532-$W$8)/$X$8)&gt;1.92,"ATÍPICO",ABS((I2532-$W$8)/$X$8)&lt;=1.92,"NO ATÍPICO")</f>
        <v>NO ATÍPICO</v>
      </c>
      <c r="L2532">
        <f t="shared" si="173"/>
        <v>3340086.25</v>
      </c>
      <c r="M2532" t="str">
        <f t="shared" si="173"/>
        <v>ASALARIADO</v>
      </c>
      <c r="N2532">
        <f t="shared" si="174"/>
        <v>42</v>
      </c>
      <c r="O2532" s="19" t="str">
        <f t="shared" si="175"/>
        <v>1200k+</v>
      </c>
      <c r="P2532" s="19" t="str">
        <f t="shared" si="176"/>
        <v>36-45</v>
      </c>
    </row>
    <row r="2533" spans="1:16" x14ac:dyDescent="0.25">
      <c r="A2533">
        <v>2532</v>
      </c>
      <c r="B2533" t="s">
        <v>9</v>
      </c>
      <c r="C2533">
        <v>303386</v>
      </c>
      <c r="D2533" t="s">
        <v>10</v>
      </c>
      <c r="E2533" t="s">
        <v>16</v>
      </c>
      <c r="F2533" t="s">
        <v>12</v>
      </c>
      <c r="G2533" t="s">
        <v>12</v>
      </c>
      <c r="H2533" t="s">
        <v>13</v>
      </c>
      <c r="I2533">
        <v>35</v>
      </c>
      <c r="J2533" t="str" cm="1">
        <f t="array" ref="J2533">_xlfn.IFS(ISBLANK(C2533),"FALTANTE",ABS((C2533-$W$5)/$X$5)&gt;1.96,"ATÍPICO",ABS((C2533-$W$5)/$X$5)&lt;=1.96,"NO ATÍPICO")</f>
        <v>NO ATÍPICO</v>
      </c>
      <c r="K2533" t="str" cm="1">
        <f t="array" ref="K2533">_xlfn.IFS(ISBLANK(I2533),"FALTANTE",ABS((I2533-$W$8)/$X$8)&gt;1.92,"ATÍPICO",ABS((I2533-$W$8)/$X$8)&lt;=1.92,"NO ATÍPICO")</f>
        <v>NO ATÍPICO</v>
      </c>
      <c r="L2533">
        <f t="shared" si="173"/>
        <v>303386</v>
      </c>
      <c r="M2533" t="str">
        <f t="shared" si="173"/>
        <v>ASALARIADO</v>
      </c>
      <c r="N2533">
        <f t="shared" si="174"/>
        <v>35</v>
      </c>
      <c r="O2533" s="19" t="str">
        <f t="shared" si="175"/>
        <v>300k–600k</v>
      </c>
      <c r="P2533" s="19" t="str">
        <f t="shared" si="176"/>
        <v>26-35</v>
      </c>
    </row>
    <row r="2534" spans="1:16" x14ac:dyDescent="0.25">
      <c r="A2534">
        <v>2533</v>
      </c>
      <c r="B2534" t="s">
        <v>9</v>
      </c>
      <c r="C2534">
        <v>320000</v>
      </c>
      <c r="D2534" t="s">
        <v>10</v>
      </c>
      <c r="E2534" t="s">
        <v>16</v>
      </c>
      <c r="F2534" t="s">
        <v>12</v>
      </c>
      <c r="G2534" t="s">
        <v>13</v>
      </c>
      <c r="H2534" t="s">
        <v>12</v>
      </c>
      <c r="I2534">
        <v>22</v>
      </c>
      <c r="J2534" t="str" cm="1">
        <f t="array" ref="J2534">_xlfn.IFS(ISBLANK(C2534),"FALTANTE",ABS((C2534-$W$5)/$X$5)&gt;1.96,"ATÍPICO",ABS((C2534-$W$5)/$X$5)&lt;=1.96,"NO ATÍPICO")</f>
        <v>NO ATÍPICO</v>
      </c>
      <c r="K2534" t="str" cm="1">
        <f t="array" ref="K2534">_xlfn.IFS(ISBLANK(I2534),"FALTANTE",ABS((I2534-$W$8)/$X$8)&gt;1.92,"ATÍPICO",ABS((I2534-$W$8)/$X$8)&lt;=1.92,"NO ATÍPICO")</f>
        <v>NO ATÍPICO</v>
      </c>
      <c r="L2534">
        <f t="shared" si="173"/>
        <v>320000</v>
      </c>
      <c r="M2534" t="str">
        <f t="shared" si="173"/>
        <v>ASALARIADO</v>
      </c>
      <c r="N2534">
        <f t="shared" si="174"/>
        <v>22</v>
      </c>
      <c r="O2534" s="19" t="str">
        <f t="shared" si="175"/>
        <v>300k–600k</v>
      </c>
      <c r="P2534" s="19" t="str">
        <f t="shared" si="176"/>
        <v>18-25</v>
      </c>
    </row>
    <row r="2535" spans="1:16" x14ac:dyDescent="0.25">
      <c r="A2535">
        <v>2534</v>
      </c>
      <c r="B2535" t="s">
        <v>9</v>
      </c>
      <c r="C2535">
        <v>297045</v>
      </c>
      <c r="D2535" t="s">
        <v>18</v>
      </c>
      <c r="E2535" t="s">
        <v>16</v>
      </c>
      <c r="F2535" t="s">
        <v>12</v>
      </c>
      <c r="G2535" t="s">
        <v>13</v>
      </c>
      <c r="H2535" t="s">
        <v>13</v>
      </c>
      <c r="I2535">
        <v>56</v>
      </c>
      <c r="J2535" t="str" cm="1">
        <f t="array" ref="J2535">_xlfn.IFS(ISBLANK(C2535),"FALTANTE",ABS((C2535-$W$5)/$X$5)&gt;1.96,"ATÍPICO",ABS((C2535-$W$5)/$X$5)&lt;=1.96,"NO ATÍPICO")</f>
        <v>NO ATÍPICO</v>
      </c>
      <c r="K2535" t="str" cm="1">
        <f t="array" ref="K2535">_xlfn.IFS(ISBLANK(I2535),"FALTANTE",ABS((I2535-$W$8)/$X$8)&gt;1.92,"ATÍPICO",ABS((I2535-$W$8)/$X$8)&lt;=1.92,"NO ATÍPICO")</f>
        <v>NO ATÍPICO</v>
      </c>
      <c r="L2535">
        <f t="shared" si="173"/>
        <v>297045</v>
      </c>
      <c r="M2535" t="str">
        <f t="shared" si="173"/>
        <v>TRABAJADOR INDEPENDIENTE</v>
      </c>
      <c r="N2535">
        <f t="shared" si="174"/>
        <v>56</v>
      </c>
      <c r="O2535" s="19" t="str">
        <f t="shared" si="175"/>
        <v>0–300k</v>
      </c>
      <c r="P2535" s="19" t="str">
        <f t="shared" si="176"/>
        <v>56+</v>
      </c>
    </row>
    <row r="2536" spans="1:16" x14ac:dyDescent="0.25">
      <c r="A2536">
        <v>2535</v>
      </c>
      <c r="B2536" t="s">
        <v>15</v>
      </c>
      <c r="C2536">
        <v>2481900.46</v>
      </c>
      <c r="D2536" t="s">
        <v>10</v>
      </c>
      <c r="E2536" t="s">
        <v>16</v>
      </c>
      <c r="F2536" t="s">
        <v>12</v>
      </c>
      <c r="G2536" t="s">
        <v>13</v>
      </c>
      <c r="H2536" t="s">
        <v>13</v>
      </c>
      <c r="I2536">
        <v>33</v>
      </c>
      <c r="J2536" t="str" cm="1">
        <f t="array" ref="J2536">_xlfn.IFS(ISBLANK(C2536),"FALTANTE",ABS((C2536-$W$5)/$X$5)&gt;1.96,"ATÍPICO",ABS((C2536-$W$5)/$X$5)&lt;=1.96,"NO ATÍPICO")</f>
        <v>ATÍPICO</v>
      </c>
      <c r="K2536" t="str" cm="1">
        <f t="array" ref="K2536">_xlfn.IFS(ISBLANK(I2536),"FALTANTE",ABS((I2536-$W$8)/$X$8)&gt;1.92,"ATÍPICO",ABS((I2536-$W$8)/$X$8)&lt;=1.92,"NO ATÍPICO")</f>
        <v>NO ATÍPICO</v>
      </c>
      <c r="L2536">
        <f t="shared" si="173"/>
        <v>2481900.46</v>
      </c>
      <c r="M2536" t="str">
        <f t="shared" si="173"/>
        <v>ASALARIADO</v>
      </c>
      <c r="N2536">
        <f t="shared" si="174"/>
        <v>33</v>
      </c>
      <c r="O2536" s="19" t="str">
        <f t="shared" si="175"/>
        <v>1200k+</v>
      </c>
      <c r="P2536" s="19" t="str">
        <f t="shared" si="176"/>
        <v>26-35</v>
      </c>
    </row>
    <row r="2537" spans="1:16" x14ac:dyDescent="0.25">
      <c r="A2537">
        <v>2536</v>
      </c>
      <c r="B2537" t="s">
        <v>15</v>
      </c>
      <c r="C2537">
        <v>33658.400000000001</v>
      </c>
      <c r="D2537" t="s">
        <v>10</v>
      </c>
      <c r="E2537" t="s">
        <v>11</v>
      </c>
      <c r="F2537" t="s">
        <v>12</v>
      </c>
      <c r="G2537" t="s">
        <v>13</v>
      </c>
      <c r="H2537" t="s">
        <v>13</v>
      </c>
      <c r="I2537">
        <v>58</v>
      </c>
      <c r="J2537" t="str" cm="1">
        <f t="array" ref="J2537">_xlfn.IFS(ISBLANK(C2537),"FALTANTE",ABS((C2537-$W$5)/$X$5)&gt;1.96,"ATÍPICO",ABS((C2537-$W$5)/$X$5)&lt;=1.96,"NO ATÍPICO")</f>
        <v>NO ATÍPICO</v>
      </c>
      <c r="K2537" t="str" cm="1">
        <f t="array" ref="K2537">_xlfn.IFS(ISBLANK(I2537),"FALTANTE",ABS((I2537-$W$8)/$X$8)&gt;1.92,"ATÍPICO",ABS((I2537-$W$8)/$X$8)&lt;=1.92,"NO ATÍPICO")</f>
        <v>NO ATÍPICO</v>
      </c>
      <c r="L2537">
        <f t="shared" si="173"/>
        <v>33658.400000000001</v>
      </c>
      <c r="M2537" t="str">
        <f t="shared" si="173"/>
        <v>ASALARIADO</v>
      </c>
      <c r="N2537">
        <f t="shared" si="174"/>
        <v>58</v>
      </c>
      <c r="O2537" s="19" t="str">
        <f t="shared" si="175"/>
        <v>0–300k</v>
      </c>
      <c r="P2537" s="19" t="str">
        <f t="shared" si="176"/>
        <v>56+</v>
      </c>
    </row>
    <row r="2538" spans="1:16" x14ac:dyDescent="0.25">
      <c r="A2538">
        <v>2537</v>
      </c>
      <c r="B2538" t="s">
        <v>9</v>
      </c>
      <c r="C2538">
        <v>297046</v>
      </c>
      <c r="D2538" t="s">
        <v>17</v>
      </c>
      <c r="E2538" t="s">
        <v>16</v>
      </c>
      <c r="F2538" t="s">
        <v>12</v>
      </c>
      <c r="G2538" t="s">
        <v>13</v>
      </c>
      <c r="H2538" t="s">
        <v>13</v>
      </c>
      <c r="I2538">
        <v>53</v>
      </c>
      <c r="J2538" t="str" cm="1">
        <f t="array" ref="J2538">_xlfn.IFS(ISBLANK(C2538),"FALTANTE",ABS((C2538-$W$5)/$X$5)&gt;1.96,"ATÍPICO",ABS((C2538-$W$5)/$X$5)&lt;=1.96,"NO ATÍPICO")</f>
        <v>NO ATÍPICO</v>
      </c>
      <c r="K2538" t="str" cm="1">
        <f t="array" ref="K2538">_xlfn.IFS(ISBLANK(I2538),"FALTANTE",ABS((I2538-$W$8)/$X$8)&gt;1.92,"ATÍPICO",ABS((I2538-$W$8)/$X$8)&lt;=1.92,"NO ATÍPICO")</f>
        <v>NO ATÍPICO</v>
      </c>
      <c r="L2538">
        <f t="shared" si="173"/>
        <v>297046</v>
      </c>
      <c r="M2538" t="str">
        <f t="shared" si="173"/>
        <v>ASEGURADO VOLUNTARIO</v>
      </c>
      <c r="N2538">
        <f t="shared" si="174"/>
        <v>53</v>
      </c>
      <c r="O2538" s="19" t="str">
        <f t="shared" si="175"/>
        <v>0–300k</v>
      </c>
      <c r="P2538" s="19" t="str">
        <f t="shared" si="176"/>
        <v>46-55</v>
      </c>
    </row>
    <row r="2539" spans="1:16" x14ac:dyDescent="0.25">
      <c r="A2539">
        <v>2538</v>
      </c>
      <c r="B2539" t="s">
        <v>15</v>
      </c>
      <c r="C2539">
        <v>85500</v>
      </c>
      <c r="D2539" t="s">
        <v>10</v>
      </c>
      <c r="E2539" t="s">
        <v>16</v>
      </c>
      <c r="F2539" t="s">
        <v>12</v>
      </c>
      <c r="G2539" t="s">
        <v>13</v>
      </c>
      <c r="H2539" t="s">
        <v>12</v>
      </c>
      <c r="I2539">
        <v>27</v>
      </c>
      <c r="J2539" t="str" cm="1">
        <f t="array" ref="J2539">_xlfn.IFS(ISBLANK(C2539),"FALTANTE",ABS((C2539-$W$5)/$X$5)&gt;1.96,"ATÍPICO",ABS((C2539-$W$5)/$X$5)&lt;=1.96,"NO ATÍPICO")</f>
        <v>NO ATÍPICO</v>
      </c>
      <c r="K2539" t="str" cm="1">
        <f t="array" ref="K2539">_xlfn.IFS(ISBLANK(I2539),"FALTANTE",ABS((I2539-$W$8)/$X$8)&gt;1.92,"ATÍPICO",ABS((I2539-$W$8)/$X$8)&lt;=1.92,"NO ATÍPICO")</f>
        <v>NO ATÍPICO</v>
      </c>
      <c r="L2539">
        <f t="shared" si="173"/>
        <v>85500</v>
      </c>
      <c r="M2539" t="str">
        <f t="shared" si="173"/>
        <v>ASALARIADO</v>
      </c>
      <c r="N2539">
        <f t="shared" si="174"/>
        <v>27</v>
      </c>
      <c r="O2539" s="19" t="str">
        <f t="shared" si="175"/>
        <v>0–300k</v>
      </c>
      <c r="P2539" s="19" t="str">
        <f t="shared" si="176"/>
        <v>26-35</v>
      </c>
    </row>
    <row r="2540" spans="1:16" x14ac:dyDescent="0.25">
      <c r="A2540">
        <v>2539</v>
      </c>
      <c r="B2540" t="s">
        <v>9</v>
      </c>
      <c r="C2540">
        <v>508656</v>
      </c>
      <c r="D2540" t="s">
        <v>10</v>
      </c>
      <c r="E2540" t="s">
        <v>16</v>
      </c>
      <c r="F2540" t="s">
        <v>12</v>
      </c>
      <c r="G2540" t="s">
        <v>13</v>
      </c>
      <c r="H2540" t="s">
        <v>13</v>
      </c>
      <c r="I2540">
        <v>49</v>
      </c>
      <c r="J2540" t="str" cm="1">
        <f t="array" ref="J2540">_xlfn.IFS(ISBLANK(C2540),"FALTANTE",ABS((C2540-$W$5)/$X$5)&gt;1.96,"ATÍPICO",ABS((C2540-$W$5)/$X$5)&lt;=1.96,"NO ATÍPICO")</f>
        <v>NO ATÍPICO</v>
      </c>
      <c r="K2540" t="str" cm="1">
        <f t="array" ref="K2540">_xlfn.IFS(ISBLANK(I2540),"FALTANTE",ABS((I2540-$W$8)/$X$8)&gt;1.92,"ATÍPICO",ABS((I2540-$W$8)/$X$8)&lt;=1.92,"NO ATÍPICO")</f>
        <v>NO ATÍPICO</v>
      </c>
      <c r="L2540">
        <f t="shared" si="173"/>
        <v>508656</v>
      </c>
      <c r="M2540" t="str">
        <f t="shared" si="173"/>
        <v>ASALARIADO</v>
      </c>
      <c r="N2540">
        <f t="shared" si="174"/>
        <v>49</v>
      </c>
      <c r="O2540" s="19" t="str">
        <f t="shared" si="175"/>
        <v>300k–600k</v>
      </c>
      <c r="P2540" s="19" t="str">
        <f t="shared" si="176"/>
        <v>46-55</v>
      </c>
    </row>
    <row r="2541" spans="1:16" x14ac:dyDescent="0.25">
      <c r="A2541">
        <v>2540</v>
      </c>
      <c r="B2541" t="s">
        <v>15</v>
      </c>
      <c r="C2541">
        <v>402500</v>
      </c>
      <c r="D2541" t="s">
        <v>10</v>
      </c>
      <c r="E2541" t="s">
        <v>16</v>
      </c>
      <c r="F2541" t="s">
        <v>12</v>
      </c>
      <c r="G2541" t="s">
        <v>13</v>
      </c>
      <c r="H2541" t="s">
        <v>12</v>
      </c>
      <c r="I2541">
        <v>41</v>
      </c>
      <c r="J2541" t="str" cm="1">
        <f t="array" ref="J2541">_xlfn.IFS(ISBLANK(C2541),"FALTANTE",ABS((C2541-$W$5)/$X$5)&gt;1.96,"ATÍPICO",ABS((C2541-$W$5)/$X$5)&lt;=1.96,"NO ATÍPICO")</f>
        <v>NO ATÍPICO</v>
      </c>
      <c r="K2541" t="str" cm="1">
        <f t="array" ref="K2541">_xlfn.IFS(ISBLANK(I2541),"FALTANTE",ABS((I2541-$W$8)/$X$8)&gt;1.92,"ATÍPICO",ABS((I2541-$W$8)/$X$8)&lt;=1.92,"NO ATÍPICO")</f>
        <v>NO ATÍPICO</v>
      </c>
      <c r="L2541">
        <f t="shared" si="173"/>
        <v>402500</v>
      </c>
      <c r="M2541" t="str">
        <f t="shared" si="173"/>
        <v>ASALARIADO</v>
      </c>
      <c r="N2541">
        <f t="shared" si="174"/>
        <v>41</v>
      </c>
      <c r="O2541" s="19" t="str">
        <f t="shared" si="175"/>
        <v>300k–600k</v>
      </c>
      <c r="P2541" s="19" t="str">
        <f t="shared" si="176"/>
        <v>36-45</v>
      </c>
    </row>
    <row r="2542" spans="1:16" x14ac:dyDescent="0.25">
      <c r="A2542">
        <v>2541</v>
      </c>
      <c r="B2542" t="s">
        <v>15</v>
      </c>
      <c r="C2542">
        <v>461014</v>
      </c>
      <c r="D2542" t="s">
        <v>10</v>
      </c>
      <c r="E2542" t="s">
        <v>11</v>
      </c>
      <c r="F2542" t="s">
        <v>12</v>
      </c>
      <c r="G2542" t="s">
        <v>13</v>
      </c>
      <c r="H2542" t="s">
        <v>12</v>
      </c>
      <c r="I2542">
        <v>52</v>
      </c>
      <c r="J2542" t="str" cm="1">
        <f t="array" ref="J2542">_xlfn.IFS(ISBLANK(C2542),"FALTANTE",ABS((C2542-$W$5)/$X$5)&gt;1.96,"ATÍPICO",ABS((C2542-$W$5)/$X$5)&lt;=1.96,"NO ATÍPICO")</f>
        <v>NO ATÍPICO</v>
      </c>
      <c r="K2542" t="str" cm="1">
        <f t="array" ref="K2542">_xlfn.IFS(ISBLANK(I2542),"FALTANTE",ABS((I2542-$W$8)/$X$8)&gt;1.92,"ATÍPICO",ABS((I2542-$W$8)/$X$8)&lt;=1.92,"NO ATÍPICO")</f>
        <v>NO ATÍPICO</v>
      </c>
      <c r="L2542">
        <f t="shared" si="173"/>
        <v>461014</v>
      </c>
      <c r="M2542" t="str">
        <f t="shared" si="173"/>
        <v>ASALARIADO</v>
      </c>
      <c r="N2542">
        <f t="shared" si="174"/>
        <v>52</v>
      </c>
      <c r="O2542" s="19" t="str">
        <f t="shared" si="175"/>
        <v>300k–600k</v>
      </c>
      <c r="P2542" s="19" t="str">
        <f t="shared" si="176"/>
        <v>46-55</v>
      </c>
    </row>
    <row r="2543" spans="1:16" x14ac:dyDescent="0.25">
      <c r="A2543">
        <v>2542</v>
      </c>
      <c r="B2543" t="s">
        <v>15</v>
      </c>
      <c r="C2543">
        <v>529279</v>
      </c>
      <c r="D2543" t="s">
        <v>10</v>
      </c>
      <c r="E2543" t="s">
        <v>11</v>
      </c>
      <c r="F2543" t="s">
        <v>12</v>
      </c>
      <c r="G2543" t="s">
        <v>13</v>
      </c>
      <c r="H2543" t="s">
        <v>12</v>
      </c>
      <c r="I2543">
        <v>23</v>
      </c>
      <c r="J2543" t="str" cm="1">
        <f t="array" ref="J2543">_xlfn.IFS(ISBLANK(C2543),"FALTANTE",ABS((C2543-$W$5)/$X$5)&gt;1.96,"ATÍPICO",ABS((C2543-$W$5)/$X$5)&lt;=1.96,"NO ATÍPICO")</f>
        <v>NO ATÍPICO</v>
      </c>
      <c r="K2543" t="str" cm="1">
        <f t="array" ref="K2543">_xlfn.IFS(ISBLANK(I2543),"FALTANTE",ABS((I2543-$W$8)/$X$8)&gt;1.92,"ATÍPICO",ABS((I2543-$W$8)/$X$8)&lt;=1.92,"NO ATÍPICO")</f>
        <v>NO ATÍPICO</v>
      </c>
      <c r="L2543">
        <f t="shared" si="173"/>
        <v>529279</v>
      </c>
      <c r="M2543" t="str">
        <f t="shared" si="173"/>
        <v>ASALARIADO</v>
      </c>
      <c r="N2543">
        <f t="shared" si="174"/>
        <v>23</v>
      </c>
      <c r="O2543" s="19" t="str">
        <f t="shared" si="175"/>
        <v>300k–600k</v>
      </c>
      <c r="P2543" s="19" t="str">
        <f t="shared" si="176"/>
        <v>18-25</v>
      </c>
    </row>
    <row r="2544" spans="1:16" x14ac:dyDescent="0.25">
      <c r="A2544">
        <v>2543</v>
      </c>
      <c r="B2544" t="s">
        <v>15</v>
      </c>
      <c r="C2544">
        <v>759597.67</v>
      </c>
      <c r="D2544" t="s">
        <v>10</v>
      </c>
      <c r="E2544" t="s">
        <v>11</v>
      </c>
      <c r="F2544" t="s">
        <v>12</v>
      </c>
      <c r="G2544" t="s">
        <v>13</v>
      </c>
      <c r="H2544" t="s">
        <v>13</v>
      </c>
      <c r="I2544">
        <v>27</v>
      </c>
      <c r="J2544" t="str" cm="1">
        <f t="array" ref="J2544">_xlfn.IFS(ISBLANK(C2544),"FALTANTE",ABS((C2544-$W$5)/$X$5)&gt;1.96,"ATÍPICO",ABS((C2544-$W$5)/$X$5)&lt;=1.96,"NO ATÍPICO")</f>
        <v>NO ATÍPICO</v>
      </c>
      <c r="K2544" t="str" cm="1">
        <f t="array" ref="K2544">_xlfn.IFS(ISBLANK(I2544),"FALTANTE",ABS((I2544-$W$8)/$X$8)&gt;1.92,"ATÍPICO",ABS((I2544-$W$8)/$X$8)&lt;=1.92,"NO ATÍPICO")</f>
        <v>NO ATÍPICO</v>
      </c>
      <c r="L2544">
        <f t="shared" si="173"/>
        <v>759597.67</v>
      </c>
      <c r="M2544" t="str">
        <f t="shared" si="173"/>
        <v>ASALARIADO</v>
      </c>
      <c r="N2544">
        <f t="shared" si="174"/>
        <v>27</v>
      </c>
      <c r="O2544" s="19" t="str">
        <f t="shared" si="175"/>
        <v>600k–900k</v>
      </c>
      <c r="P2544" s="19" t="str">
        <f t="shared" si="176"/>
        <v>26-35</v>
      </c>
    </row>
    <row r="2545" spans="1:16" x14ac:dyDescent="0.25">
      <c r="A2545">
        <v>2544</v>
      </c>
      <c r="B2545" t="s">
        <v>15</v>
      </c>
      <c r="C2545">
        <v>688085.2</v>
      </c>
      <c r="D2545" t="s">
        <v>10</v>
      </c>
      <c r="E2545" t="s">
        <v>11</v>
      </c>
      <c r="F2545" t="s">
        <v>12</v>
      </c>
      <c r="G2545" t="s">
        <v>13</v>
      </c>
      <c r="H2545" t="s">
        <v>13</v>
      </c>
      <c r="I2545">
        <v>36</v>
      </c>
      <c r="J2545" t="str" cm="1">
        <f t="array" ref="J2545">_xlfn.IFS(ISBLANK(C2545),"FALTANTE",ABS((C2545-$W$5)/$X$5)&gt;1.96,"ATÍPICO",ABS((C2545-$W$5)/$X$5)&lt;=1.96,"NO ATÍPICO")</f>
        <v>NO ATÍPICO</v>
      </c>
      <c r="K2545" t="str" cm="1">
        <f t="array" ref="K2545">_xlfn.IFS(ISBLANK(I2545),"FALTANTE",ABS((I2545-$W$8)/$X$8)&gt;1.92,"ATÍPICO",ABS((I2545-$W$8)/$X$8)&lt;=1.92,"NO ATÍPICO")</f>
        <v>NO ATÍPICO</v>
      </c>
      <c r="L2545">
        <f t="shared" si="173"/>
        <v>688085.2</v>
      </c>
      <c r="M2545" t="str">
        <f t="shared" si="173"/>
        <v>ASALARIADO</v>
      </c>
      <c r="N2545">
        <f t="shared" si="174"/>
        <v>36</v>
      </c>
      <c r="O2545" s="19" t="str">
        <f t="shared" si="175"/>
        <v>600k–900k</v>
      </c>
      <c r="P2545" s="19" t="str">
        <f t="shared" si="176"/>
        <v>36-45</v>
      </c>
    </row>
    <row r="2546" spans="1:16" x14ac:dyDescent="0.25">
      <c r="A2546">
        <v>2545</v>
      </c>
      <c r="B2546" t="s">
        <v>9</v>
      </c>
      <c r="C2546">
        <v>361666.7</v>
      </c>
      <c r="D2546" t="s">
        <v>10</v>
      </c>
      <c r="E2546" t="s">
        <v>16</v>
      </c>
      <c r="F2546" t="s">
        <v>12</v>
      </c>
      <c r="G2546" t="s">
        <v>12</v>
      </c>
      <c r="H2546" t="s">
        <v>13</v>
      </c>
      <c r="I2546">
        <v>37</v>
      </c>
      <c r="J2546" t="str" cm="1">
        <f t="array" ref="J2546">_xlfn.IFS(ISBLANK(C2546),"FALTANTE",ABS((C2546-$W$5)/$X$5)&gt;1.96,"ATÍPICO",ABS((C2546-$W$5)/$X$5)&lt;=1.96,"NO ATÍPICO")</f>
        <v>NO ATÍPICO</v>
      </c>
      <c r="K2546" t="str" cm="1">
        <f t="array" ref="K2546">_xlfn.IFS(ISBLANK(I2546),"FALTANTE",ABS((I2546-$W$8)/$X$8)&gt;1.92,"ATÍPICO",ABS((I2546-$W$8)/$X$8)&lt;=1.92,"NO ATÍPICO")</f>
        <v>NO ATÍPICO</v>
      </c>
      <c r="L2546">
        <f t="shared" si="173"/>
        <v>361666.7</v>
      </c>
      <c r="M2546" t="str">
        <f t="shared" si="173"/>
        <v>ASALARIADO</v>
      </c>
      <c r="N2546">
        <f t="shared" si="174"/>
        <v>37</v>
      </c>
      <c r="O2546" s="19" t="str">
        <f t="shared" si="175"/>
        <v>300k–600k</v>
      </c>
      <c r="P2546" s="19" t="str">
        <f t="shared" si="176"/>
        <v>36-45</v>
      </c>
    </row>
    <row r="2547" spans="1:16" x14ac:dyDescent="0.25">
      <c r="A2547">
        <v>2546</v>
      </c>
      <c r="B2547" t="s">
        <v>15</v>
      </c>
      <c r="C2547">
        <v>297046</v>
      </c>
      <c r="D2547" t="s">
        <v>17</v>
      </c>
      <c r="E2547" t="s">
        <v>16</v>
      </c>
      <c r="F2547" t="s">
        <v>13</v>
      </c>
      <c r="G2547" t="s">
        <v>12</v>
      </c>
      <c r="H2547" t="s">
        <v>13</v>
      </c>
      <c r="I2547">
        <v>50</v>
      </c>
      <c r="J2547" t="str" cm="1">
        <f t="array" ref="J2547">_xlfn.IFS(ISBLANK(C2547),"FALTANTE",ABS((C2547-$W$5)/$X$5)&gt;1.96,"ATÍPICO",ABS((C2547-$W$5)/$X$5)&lt;=1.96,"NO ATÍPICO")</f>
        <v>NO ATÍPICO</v>
      </c>
      <c r="K2547" t="str" cm="1">
        <f t="array" ref="K2547">_xlfn.IFS(ISBLANK(I2547),"FALTANTE",ABS((I2547-$W$8)/$X$8)&gt;1.92,"ATÍPICO",ABS((I2547-$W$8)/$X$8)&lt;=1.92,"NO ATÍPICO")</f>
        <v>NO ATÍPICO</v>
      </c>
      <c r="L2547">
        <f t="shared" si="173"/>
        <v>297046</v>
      </c>
      <c r="M2547" t="str">
        <f t="shared" si="173"/>
        <v>ASEGURADO VOLUNTARIO</v>
      </c>
      <c r="N2547">
        <f t="shared" si="174"/>
        <v>50</v>
      </c>
      <c r="O2547" s="19" t="str">
        <f t="shared" si="175"/>
        <v>0–300k</v>
      </c>
      <c r="P2547" s="19" t="str">
        <f t="shared" si="176"/>
        <v>46-55</v>
      </c>
    </row>
    <row r="2548" spans="1:16" x14ac:dyDescent="0.25">
      <c r="A2548">
        <v>2547</v>
      </c>
      <c r="B2548" t="s">
        <v>15</v>
      </c>
      <c r="C2548">
        <v>309143.36</v>
      </c>
      <c r="D2548" t="s">
        <v>10</v>
      </c>
      <c r="E2548" t="s">
        <v>16</v>
      </c>
      <c r="F2548" t="s">
        <v>12</v>
      </c>
      <c r="G2548" t="s">
        <v>12</v>
      </c>
      <c r="H2548" t="s">
        <v>13</v>
      </c>
      <c r="I2548">
        <v>55</v>
      </c>
      <c r="J2548" t="str" cm="1">
        <f t="array" ref="J2548">_xlfn.IFS(ISBLANK(C2548),"FALTANTE",ABS((C2548-$W$5)/$X$5)&gt;1.96,"ATÍPICO",ABS((C2548-$W$5)/$X$5)&lt;=1.96,"NO ATÍPICO")</f>
        <v>NO ATÍPICO</v>
      </c>
      <c r="K2548" t="str" cm="1">
        <f t="array" ref="K2548">_xlfn.IFS(ISBLANK(I2548),"FALTANTE",ABS((I2548-$W$8)/$X$8)&gt;1.92,"ATÍPICO",ABS((I2548-$W$8)/$X$8)&lt;=1.92,"NO ATÍPICO")</f>
        <v>NO ATÍPICO</v>
      </c>
      <c r="L2548">
        <f t="shared" si="173"/>
        <v>309143.36</v>
      </c>
      <c r="M2548" t="str">
        <f t="shared" si="173"/>
        <v>ASALARIADO</v>
      </c>
      <c r="N2548">
        <f t="shared" si="174"/>
        <v>55</v>
      </c>
      <c r="O2548" s="19" t="str">
        <f t="shared" si="175"/>
        <v>300k–600k</v>
      </c>
      <c r="P2548" s="19" t="str">
        <f t="shared" si="176"/>
        <v>46-55</v>
      </c>
    </row>
    <row r="2549" spans="1:16" x14ac:dyDescent="0.25">
      <c r="A2549">
        <v>2548</v>
      </c>
      <c r="B2549" t="s">
        <v>9</v>
      </c>
      <c r="C2549">
        <v>360000</v>
      </c>
      <c r="D2549" t="s">
        <v>10</v>
      </c>
      <c r="E2549" t="s">
        <v>16</v>
      </c>
      <c r="F2549" t="s">
        <v>12</v>
      </c>
      <c r="G2549" t="s">
        <v>13</v>
      </c>
      <c r="H2549" t="s">
        <v>12</v>
      </c>
      <c r="I2549">
        <v>32</v>
      </c>
      <c r="J2549" t="str" cm="1">
        <f t="array" ref="J2549">_xlfn.IFS(ISBLANK(C2549),"FALTANTE",ABS((C2549-$W$5)/$X$5)&gt;1.96,"ATÍPICO",ABS((C2549-$W$5)/$X$5)&lt;=1.96,"NO ATÍPICO")</f>
        <v>NO ATÍPICO</v>
      </c>
      <c r="K2549" t="str" cm="1">
        <f t="array" ref="K2549">_xlfn.IFS(ISBLANK(I2549),"FALTANTE",ABS((I2549-$W$8)/$X$8)&gt;1.92,"ATÍPICO",ABS((I2549-$W$8)/$X$8)&lt;=1.92,"NO ATÍPICO")</f>
        <v>NO ATÍPICO</v>
      </c>
      <c r="L2549">
        <f t="shared" si="173"/>
        <v>360000</v>
      </c>
      <c r="M2549" t="str">
        <f t="shared" si="173"/>
        <v>ASALARIADO</v>
      </c>
      <c r="N2549">
        <f t="shared" si="174"/>
        <v>32</v>
      </c>
      <c r="O2549" s="19" t="str">
        <f t="shared" si="175"/>
        <v>300k–600k</v>
      </c>
      <c r="P2549" s="19" t="str">
        <f t="shared" si="176"/>
        <v>26-35</v>
      </c>
    </row>
    <row r="2550" spans="1:16" x14ac:dyDescent="0.25">
      <c r="A2550">
        <v>2549</v>
      </c>
      <c r="B2550" t="s">
        <v>9</v>
      </c>
      <c r="C2550">
        <v>600000</v>
      </c>
      <c r="D2550" t="s">
        <v>10</v>
      </c>
      <c r="E2550" t="s">
        <v>16</v>
      </c>
      <c r="F2550" t="s">
        <v>12</v>
      </c>
      <c r="G2550" t="s">
        <v>13</v>
      </c>
      <c r="H2550" t="s">
        <v>12</v>
      </c>
      <c r="I2550">
        <v>50</v>
      </c>
      <c r="J2550" t="str" cm="1">
        <f t="array" ref="J2550">_xlfn.IFS(ISBLANK(C2550),"FALTANTE",ABS((C2550-$W$5)/$X$5)&gt;1.96,"ATÍPICO",ABS((C2550-$W$5)/$X$5)&lt;=1.96,"NO ATÍPICO")</f>
        <v>NO ATÍPICO</v>
      </c>
      <c r="K2550" t="str" cm="1">
        <f t="array" ref="K2550">_xlfn.IFS(ISBLANK(I2550),"FALTANTE",ABS((I2550-$W$8)/$X$8)&gt;1.92,"ATÍPICO",ABS((I2550-$W$8)/$X$8)&lt;=1.92,"NO ATÍPICO")</f>
        <v>NO ATÍPICO</v>
      </c>
      <c r="L2550">
        <f t="shared" si="173"/>
        <v>600000</v>
      </c>
      <c r="M2550" t="str">
        <f t="shared" si="173"/>
        <v>ASALARIADO</v>
      </c>
      <c r="N2550">
        <f t="shared" si="174"/>
        <v>50</v>
      </c>
      <c r="O2550" s="19" t="str">
        <f t="shared" si="175"/>
        <v>300k–600k</v>
      </c>
      <c r="P2550" s="19" t="str">
        <f t="shared" si="176"/>
        <v>46-55</v>
      </c>
    </row>
    <row r="2551" spans="1:16" x14ac:dyDescent="0.25">
      <c r="A2551">
        <v>2550</v>
      </c>
      <c r="B2551" t="s">
        <v>9</v>
      </c>
      <c r="C2551">
        <v>278030</v>
      </c>
      <c r="D2551" t="s">
        <v>19</v>
      </c>
      <c r="E2551" t="s">
        <v>16</v>
      </c>
      <c r="F2551" t="s">
        <v>12</v>
      </c>
      <c r="G2551" t="s">
        <v>13</v>
      </c>
      <c r="H2551" t="s">
        <v>13</v>
      </c>
      <c r="I2551">
        <v>40</v>
      </c>
      <c r="J2551" t="str" cm="1">
        <f t="array" ref="J2551">_xlfn.IFS(ISBLANK(C2551),"FALTANTE",ABS((C2551-$W$5)/$X$5)&gt;1.96,"ATÍPICO",ABS((C2551-$W$5)/$X$5)&lt;=1.96,"NO ATÍPICO")</f>
        <v>NO ATÍPICO</v>
      </c>
      <c r="K2551" t="str" cm="1">
        <f t="array" ref="K2551">_xlfn.IFS(ISBLANK(I2551),"FALTANTE",ABS((I2551-$W$8)/$X$8)&gt;1.92,"ATÍPICO",ABS((I2551-$W$8)/$X$8)&lt;=1.92,"NO ATÍPICO")</f>
        <v>NO ATÍPICO</v>
      </c>
      <c r="L2551">
        <f t="shared" si="173"/>
        <v>278030</v>
      </c>
      <c r="M2551" t="str">
        <f t="shared" si="173"/>
        <v>CONVENIOS ESPECIALES DE TRABAJADORES INDEPENDIENTES</v>
      </c>
      <c r="N2551">
        <f t="shared" si="174"/>
        <v>40</v>
      </c>
      <c r="O2551" s="19" t="str">
        <f t="shared" si="175"/>
        <v>0–300k</v>
      </c>
      <c r="P2551" s="19" t="str">
        <f t="shared" si="176"/>
        <v>36-45</v>
      </c>
    </row>
    <row r="2552" spans="1:16" x14ac:dyDescent="0.25">
      <c r="A2552">
        <v>2551</v>
      </c>
      <c r="B2552" t="s">
        <v>9</v>
      </c>
      <c r="C2552">
        <v>2512306.2999999998</v>
      </c>
      <c r="D2552" t="s">
        <v>10</v>
      </c>
      <c r="E2552" t="s">
        <v>16</v>
      </c>
      <c r="F2552" t="s">
        <v>12</v>
      </c>
      <c r="G2552" t="s">
        <v>13</v>
      </c>
      <c r="H2552" t="s">
        <v>13</v>
      </c>
      <c r="I2552">
        <v>44</v>
      </c>
      <c r="J2552" t="str" cm="1">
        <f t="array" ref="J2552">_xlfn.IFS(ISBLANK(C2552),"FALTANTE",ABS((C2552-$W$5)/$X$5)&gt;1.96,"ATÍPICO",ABS((C2552-$W$5)/$X$5)&lt;=1.96,"NO ATÍPICO")</f>
        <v>ATÍPICO</v>
      </c>
      <c r="K2552" t="str" cm="1">
        <f t="array" ref="K2552">_xlfn.IFS(ISBLANK(I2552),"FALTANTE",ABS((I2552-$W$8)/$X$8)&gt;1.92,"ATÍPICO",ABS((I2552-$W$8)/$X$8)&lt;=1.92,"NO ATÍPICO")</f>
        <v>NO ATÍPICO</v>
      </c>
      <c r="L2552">
        <f t="shared" si="173"/>
        <v>2512306.2999999998</v>
      </c>
      <c r="M2552" t="str">
        <f t="shared" si="173"/>
        <v>ASALARIADO</v>
      </c>
      <c r="N2552">
        <f t="shared" si="174"/>
        <v>44</v>
      </c>
      <c r="O2552" s="19" t="str">
        <f t="shared" si="175"/>
        <v>1200k+</v>
      </c>
      <c r="P2552" s="19" t="str">
        <f t="shared" si="176"/>
        <v>36-45</v>
      </c>
    </row>
    <row r="2553" spans="1:16" x14ac:dyDescent="0.25">
      <c r="A2553">
        <v>2552</v>
      </c>
      <c r="B2553" t="s">
        <v>15</v>
      </c>
      <c r="C2553">
        <v>50000</v>
      </c>
      <c r="D2553" t="s">
        <v>10</v>
      </c>
      <c r="E2553" t="s">
        <v>16</v>
      </c>
      <c r="F2553" t="s">
        <v>12</v>
      </c>
      <c r="G2553" t="s">
        <v>13</v>
      </c>
      <c r="H2553" t="s">
        <v>13</v>
      </c>
      <c r="I2553">
        <v>20</v>
      </c>
      <c r="J2553" t="str" cm="1">
        <f t="array" ref="J2553">_xlfn.IFS(ISBLANK(C2553),"FALTANTE",ABS((C2553-$W$5)/$X$5)&gt;1.96,"ATÍPICO",ABS((C2553-$W$5)/$X$5)&lt;=1.96,"NO ATÍPICO")</f>
        <v>NO ATÍPICO</v>
      </c>
      <c r="K2553" t="str" cm="1">
        <f t="array" ref="K2553">_xlfn.IFS(ISBLANK(I2553),"FALTANTE",ABS((I2553-$W$8)/$X$8)&gt;1.92,"ATÍPICO",ABS((I2553-$W$8)/$X$8)&lt;=1.92,"NO ATÍPICO")</f>
        <v>NO ATÍPICO</v>
      </c>
      <c r="L2553">
        <f t="shared" si="173"/>
        <v>50000</v>
      </c>
      <c r="M2553" t="str">
        <f t="shared" si="173"/>
        <v>ASALARIADO</v>
      </c>
      <c r="N2553">
        <f t="shared" si="174"/>
        <v>20</v>
      </c>
      <c r="O2553" s="19" t="str">
        <f t="shared" si="175"/>
        <v>0–300k</v>
      </c>
      <c r="P2553" s="19" t="str">
        <f t="shared" si="176"/>
        <v>18-25</v>
      </c>
    </row>
    <row r="2554" spans="1:16" x14ac:dyDescent="0.25">
      <c r="A2554">
        <v>2553</v>
      </c>
      <c r="B2554" t="s">
        <v>15</v>
      </c>
      <c r="C2554">
        <v>358500</v>
      </c>
      <c r="D2554" t="s">
        <v>10</v>
      </c>
      <c r="E2554" t="s">
        <v>16</v>
      </c>
      <c r="F2554" t="s">
        <v>12</v>
      </c>
      <c r="G2554" t="s">
        <v>13</v>
      </c>
      <c r="H2554" t="s">
        <v>13</v>
      </c>
      <c r="I2554">
        <v>41</v>
      </c>
      <c r="J2554" t="str" cm="1">
        <f t="array" ref="J2554">_xlfn.IFS(ISBLANK(C2554),"FALTANTE",ABS((C2554-$W$5)/$X$5)&gt;1.96,"ATÍPICO",ABS((C2554-$W$5)/$X$5)&lt;=1.96,"NO ATÍPICO")</f>
        <v>NO ATÍPICO</v>
      </c>
      <c r="K2554" t="str" cm="1">
        <f t="array" ref="K2554">_xlfn.IFS(ISBLANK(I2554),"FALTANTE",ABS((I2554-$W$8)/$X$8)&gt;1.92,"ATÍPICO",ABS((I2554-$W$8)/$X$8)&lt;=1.92,"NO ATÍPICO")</f>
        <v>NO ATÍPICO</v>
      </c>
      <c r="L2554">
        <f t="shared" si="173"/>
        <v>358500</v>
      </c>
      <c r="M2554" t="str">
        <f t="shared" si="173"/>
        <v>ASALARIADO</v>
      </c>
      <c r="N2554">
        <f t="shared" si="174"/>
        <v>41</v>
      </c>
      <c r="O2554" s="19" t="str">
        <f t="shared" si="175"/>
        <v>300k–600k</v>
      </c>
      <c r="P2554" s="19" t="str">
        <f t="shared" si="176"/>
        <v>36-45</v>
      </c>
    </row>
    <row r="2555" spans="1:16" x14ac:dyDescent="0.25">
      <c r="A2555">
        <v>2554</v>
      </c>
      <c r="B2555" t="s">
        <v>9</v>
      </c>
      <c r="C2555">
        <v>456792</v>
      </c>
      <c r="D2555" t="s">
        <v>10</v>
      </c>
      <c r="E2555" t="s">
        <v>16</v>
      </c>
      <c r="F2555" t="s">
        <v>12</v>
      </c>
      <c r="G2555" t="s">
        <v>13</v>
      </c>
      <c r="H2555" t="s">
        <v>13</v>
      </c>
      <c r="I2555">
        <v>41</v>
      </c>
      <c r="J2555" t="str" cm="1">
        <f t="array" ref="J2555">_xlfn.IFS(ISBLANK(C2555),"FALTANTE",ABS((C2555-$W$5)/$X$5)&gt;1.96,"ATÍPICO",ABS((C2555-$W$5)/$X$5)&lt;=1.96,"NO ATÍPICO")</f>
        <v>NO ATÍPICO</v>
      </c>
      <c r="K2555" t="str" cm="1">
        <f t="array" ref="K2555">_xlfn.IFS(ISBLANK(I2555),"FALTANTE",ABS((I2555-$W$8)/$X$8)&gt;1.92,"ATÍPICO",ABS((I2555-$W$8)/$X$8)&lt;=1.92,"NO ATÍPICO")</f>
        <v>NO ATÍPICO</v>
      </c>
      <c r="L2555">
        <f t="shared" si="173"/>
        <v>456792</v>
      </c>
      <c r="M2555" t="str">
        <f t="shared" si="173"/>
        <v>ASALARIADO</v>
      </c>
      <c r="N2555">
        <f t="shared" si="174"/>
        <v>41</v>
      </c>
      <c r="O2555" s="19" t="str">
        <f t="shared" si="175"/>
        <v>300k–600k</v>
      </c>
      <c r="P2555" s="19" t="str">
        <f t="shared" si="176"/>
        <v>36-45</v>
      </c>
    </row>
    <row r="2556" spans="1:16" x14ac:dyDescent="0.25">
      <c r="A2556">
        <v>2555</v>
      </c>
      <c r="B2556" t="s">
        <v>9</v>
      </c>
      <c r="C2556">
        <v>381590</v>
      </c>
      <c r="D2556" t="s">
        <v>10</v>
      </c>
      <c r="E2556" t="s">
        <v>16</v>
      </c>
      <c r="F2556" t="s">
        <v>12</v>
      </c>
      <c r="G2556" t="s">
        <v>13</v>
      </c>
      <c r="H2556" t="s">
        <v>13</v>
      </c>
      <c r="I2556">
        <v>21</v>
      </c>
      <c r="J2556" t="str" cm="1">
        <f t="array" ref="J2556">_xlfn.IFS(ISBLANK(C2556),"FALTANTE",ABS((C2556-$W$5)/$X$5)&gt;1.96,"ATÍPICO",ABS((C2556-$W$5)/$X$5)&lt;=1.96,"NO ATÍPICO")</f>
        <v>NO ATÍPICO</v>
      </c>
      <c r="K2556" t="str" cm="1">
        <f t="array" ref="K2556">_xlfn.IFS(ISBLANK(I2556),"FALTANTE",ABS((I2556-$W$8)/$X$8)&gt;1.92,"ATÍPICO",ABS((I2556-$W$8)/$X$8)&lt;=1.92,"NO ATÍPICO")</f>
        <v>NO ATÍPICO</v>
      </c>
      <c r="L2556">
        <f t="shared" si="173"/>
        <v>381590</v>
      </c>
      <c r="M2556" t="str">
        <f t="shared" si="173"/>
        <v>ASALARIADO</v>
      </c>
      <c r="N2556">
        <f t="shared" si="174"/>
        <v>21</v>
      </c>
      <c r="O2556" s="19" t="str">
        <f t="shared" si="175"/>
        <v>300k–600k</v>
      </c>
      <c r="P2556" s="19" t="str">
        <f t="shared" si="176"/>
        <v>18-25</v>
      </c>
    </row>
    <row r="2557" spans="1:16" x14ac:dyDescent="0.25">
      <c r="A2557">
        <v>2556</v>
      </c>
      <c r="B2557" t="s">
        <v>9</v>
      </c>
      <c r="C2557">
        <v>330000</v>
      </c>
      <c r="D2557" t="s">
        <v>10</v>
      </c>
      <c r="E2557" t="s">
        <v>16</v>
      </c>
      <c r="F2557" t="s">
        <v>12</v>
      </c>
      <c r="G2557" t="s">
        <v>13</v>
      </c>
      <c r="H2557" t="s">
        <v>13</v>
      </c>
      <c r="I2557">
        <v>59</v>
      </c>
      <c r="J2557" t="str" cm="1">
        <f t="array" ref="J2557">_xlfn.IFS(ISBLANK(C2557),"FALTANTE",ABS((C2557-$W$5)/$X$5)&gt;1.96,"ATÍPICO",ABS((C2557-$W$5)/$X$5)&lt;=1.96,"NO ATÍPICO")</f>
        <v>NO ATÍPICO</v>
      </c>
      <c r="K2557" t="str" cm="1">
        <f t="array" ref="K2557">_xlfn.IFS(ISBLANK(I2557),"FALTANTE",ABS((I2557-$W$8)/$X$8)&gt;1.92,"ATÍPICO",ABS((I2557-$W$8)/$X$8)&lt;=1.92,"NO ATÍPICO")</f>
        <v>NO ATÍPICO</v>
      </c>
      <c r="L2557">
        <f t="shared" si="173"/>
        <v>330000</v>
      </c>
      <c r="M2557" t="str">
        <f t="shared" si="173"/>
        <v>ASALARIADO</v>
      </c>
      <c r="N2557">
        <f t="shared" si="174"/>
        <v>59</v>
      </c>
      <c r="O2557" s="19" t="str">
        <f t="shared" si="175"/>
        <v>300k–600k</v>
      </c>
      <c r="P2557" s="19" t="str">
        <f t="shared" si="176"/>
        <v>56+</v>
      </c>
    </row>
    <row r="2558" spans="1:16" x14ac:dyDescent="0.25">
      <c r="A2558">
        <v>2557</v>
      </c>
      <c r="B2558" t="s">
        <v>15</v>
      </c>
      <c r="C2558">
        <v>976390</v>
      </c>
      <c r="D2558" t="s">
        <v>10</v>
      </c>
      <c r="E2558" t="s">
        <v>11</v>
      </c>
      <c r="F2558" t="s">
        <v>12</v>
      </c>
      <c r="G2558" t="s">
        <v>13</v>
      </c>
      <c r="H2558" t="s">
        <v>13</v>
      </c>
      <c r="I2558">
        <v>35</v>
      </c>
      <c r="J2558" t="str" cm="1">
        <f t="array" ref="J2558">_xlfn.IFS(ISBLANK(C2558),"FALTANTE",ABS((C2558-$W$5)/$X$5)&gt;1.96,"ATÍPICO",ABS((C2558-$W$5)/$X$5)&lt;=1.96,"NO ATÍPICO")</f>
        <v>NO ATÍPICO</v>
      </c>
      <c r="K2558" t="str" cm="1">
        <f t="array" ref="K2558">_xlfn.IFS(ISBLANK(I2558),"FALTANTE",ABS((I2558-$W$8)/$X$8)&gt;1.92,"ATÍPICO",ABS((I2558-$W$8)/$X$8)&lt;=1.92,"NO ATÍPICO")</f>
        <v>NO ATÍPICO</v>
      </c>
      <c r="L2558">
        <f t="shared" si="173"/>
        <v>976390</v>
      </c>
      <c r="M2558" t="str">
        <f t="shared" si="173"/>
        <v>ASALARIADO</v>
      </c>
      <c r="N2558">
        <f t="shared" si="174"/>
        <v>35</v>
      </c>
      <c r="O2558" s="19" t="str">
        <f t="shared" si="175"/>
        <v>900k–1200k</v>
      </c>
      <c r="P2558" s="19" t="str">
        <f t="shared" si="176"/>
        <v>26-35</v>
      </c>
    </row>
    <row r="2559" spans="1:16" x14ac:dyDescent="0.25">
      <c r="A2559">
        <v>2558</v>
      </c>
      <c r="B2559" t="s">
        <v>9</v>
      </c>
      <c r="C2559">
        <v>300010</v>
      </c>
      <c r="D2559" t="s">
        <v>17</v>
      </c>
      <c r="E2559" t="s">
        <v>16</v>
      </c>
      <c r="F2559" t="s">
        <v>12</v>
      </c>
      <c r="G2559" t="s">
        <v>13</v>
      </c>
      <c r="H2559" t="s">
        <v>13</v>
      </c>
      <c r="I2559">
        <v>57</v>
      </c>
      <c r="J2559" t="str" cm="1">
        <f t="array" ref="J2559">_xlfn.IFS(ISBLANK(C2559),"FALTANTE",ABS((C2559-$W$5)/$X$5)&gt;1.96,"ATÍPICO",ABS((C2559-$W$5)/$X$5)&lt;=1.96,"NO ATÍPICO")</f>
        <v>NO ATÍPICO</v>
      </c>
      <c r="K2559" t="str" cm="1">
        <f t="array" ref="K2559">_xlfn.IFS(ISBLANK(I2559),"FALTANTE",ABS((I2559-$W$8)/$X$8)&gt;1.92,"ATÍPICO",ABS((I2559-$W$8)/$X$8)&lt;=1.92,"NO ATÍPICO")</f>
        <v>NO ATÍPICO</v>
      </c>
      <c r="L2559">
        <f t="shared" si="173"/>
        <v>300010</v>
      </c>
      <c r="M2559" t="str">
        <f t="shared" si="173"/>
        <v>ASEGURADO VOLUNTARIO</v>
      </c>
      <c r="N2559">
        <f t="shared" si="174"/>
        <v>57</v>
      </c>
      <c r="O2559" s="19" t="str">
        <f t="shared" si="175"/>
        <v>300k–600k</v>
      </c>
      <c r="P2559" s="19" t="str">
        <f t="shared" si="176"/>
        <v>56+</v>
      </c>
    </row>
    <row r="2560" spans="1:16" x14ac:dyDescent="0.25">
      <c r="A2560">
        <v>2559</v>
      </c>
      <c r="B2560" t="s">
        <v>9</v>
      </c>
      <c r="C2560">
        <v>349852.8</v>
      </c>
      <c r="D2560" t="s">
        <v>10</v>
      </c>
      <c r="E2560" t="s">
        <v>16</v>
      </c>
      <c r="F2560" t="s">
        <v>12</v>
      </c>
      <c r="G2560" t="s">
        <v>12</v>
      </c>
      <c r="H2560" t="s">
        <v>13</v>
      </c>
      <c r="I2560">
        <v>40</v>
      </c>
      <c r="J2560" t="str" cm="1">
        <f t="array" ref="J2560">_xlfn.IFS(ISBLANK(C2560),"FALTANTE",ABS((C2560-$W$5)/$X$5)&gt;1.96,"ATÍPICO",ABS((C2560-$W$5)/$X$5)&lt;=1.96,"NO ATÍPICO")</f>
        <v>NO ATÍPICO</v>
      </c>
      <c r="K2560" t="str" cm="1">
        <f t="array" ref="K2560">_xlfn.IFS(ISBLANK(I2560),"FALTANTE",ABS((I2560-$W$8)/$X$8)&gt;1.92,"ATÍPICO",ABS((I2560-$W$8)/$X$8)&lt;=1.92,"NO ATÍPICO")</f>
        <v>NO ATÍPICO</v>
      </c>
      <c r="L2560">
        <f t="shared" si="173"/>
        <v>349852.8</v>
      </c>
      <c r="M2560" t="str">
        <f t="shared" si="173"/>
        <v>ASALARIADO</v>
      </c>
      <c r="N2560">
        <f t="shared" si="174"/>
        <v>40</v>
      </c>
      <c r="O2560" s="19" t="str">
        <f t="shared" si="175"/>
        <v>300k–600k</v>
      </c>
      <c r="P2560" s="19" t="str">
        <f t="shared" si="176"/>
        <v>36-45</v>
      </c>
    </row>
    <row r="2561" spans="1:16" x14ac:dyDescent="0.25">
      <c r="A2561">
        <v>2560</v>
      </c>
      <c r="B2561" t="s">
        <v>15</v>
      </c>
      <c r="C2561">
        <v>278030</v>
      </c>
      <c r="D2561" t="s">
        <v>19</v>
      </c>
      <c r="E2561" t="s">
        <v>16</v>
      </c>
      <c r="F2561" t="s">
        <v>12</v>
      </c>
      <c r="G2561" t="s">
        <v>13</v>
      </c>
      <c r="H2561" t="s">
        <v>12</v>
      </c>
      <c r="I2561">
        <v>28</v>
      </c>
      <c r="J2561" t="str" cm="1">
        <f t="array" ref="J2561">_xlfn.IFS(ISBLANK(C2561),"FALTANTE",ABS((C2561-$W$5)/$X$5)&gt;1.96,"ATÍPICO",ABS((C2561-$W$5)/$X$5)&lt;=1.96,"NO ATÍPICO")</f>
        <v>NO ATÍPICO</v>
      </c>
      <c r="K2561" t="str" cm="1">
        <f t="array" ref="K2561">_xlfn.IFS(ISBLANK(I2561),"FALTANTE",ABS((I2561-$W$8)/$X$8)&gt;1.92,"ATÍPICO",ABS((I2561-$W$8)/$X$8)&lt;=1.92,"NO ATÍPICO")</f>
        <v>NO ATÍPICO</v>
      </c>
      <c r="L2561">
        <f t="shared" si="173"/>
        <v>278030</v>
      </c>
      <c r="M2561" t="str">
        <f t="shared" si="173"/>
        <v>CONVENIOS ESPECIALES DE TRABAJADORES INDEPENDIENTES</v>
      </c>
      <c r="N2561">
        <f t="shared" si="174"/>
        <v>28</v>
      </c>
      <c r="O2561" s="19" t="str">
        <f t="shared" si="175"/>
        <v>0–300k</v>
      </c>
      <c r="P2561" s="19" t="str">
        <f t="shared" si="176"/>
        <v>26-35</v>
      </c>
    </row>
    <row r="2562" spans="1:16" x14ac:dyDescent="0.25">
      <c r="A2562">
        <v>2561</v>
      </c>
      <c r="B2562" t="s">
        <v>9</v>
      </c>
      <c r="C2562">
        <v>486162.3</v>
      </c>
      <c r="D2562" t="s">
        <v>10</v>
      </c>
      <c r="E2562" t="s">
        <v>16</v>
      </c>
      <c r="F2562" t="s">
        <v>12</v>
      </c>
      <c r="G2562" t="s">
        <v>12</v>
      </c>
      <c r="H2562" t="s">
        <v>13</v>
      </c>
      <c r="I2562">
        <v>35</v>
      </c>
      <c r="J2562" t="str" cm="1">
        <f t="array" ref="J2562">_xlfn.IFS(ISBLANK(C2562),"FALTANTE",ABS((C2562-$W$5)/$X$5)&gt;1.96,"ATÍPICO",ABS((C2562-$W$5)/$X$5)&lt;=1.96,"NO ATÍPICO")</f>
        <v>NO ATÍPICO</v>
      </c>
      <c r="K2562" t="str" cm="1">
        <f t="array" ref="K2562">_xlfn.IFS(ISBLANK(I2562),"FALTANTE",ABS((I2562-$W$8)/$X$8)&gt;1.92,"ATÍPICO",ABS((I2562-$W$8)/$X$8)&lt;=1.92,"NO ATÍPICO")</f>
        <v>NO ATÍPICO</v>
      </c>
      <c r="L2562">
        <f t="shared" ref="L2562:M2625" si="177">C2562</f>
        <v>486162.3</v>
      </c>
      <c r="M2562" t="str">
        <f t="shared" si="177"/>
        <v>ASALARIADO</v>
      </c>
      <c r="N2562">
        <f t="shared" ref="N2562:N2625" si="178">I2562</f>
        <v>35</v>
      </c>
      <c r="O2562" s="19" t="str">
        <f t="shared" ref="O2562:O2625" si="179">IF(L2562&lt;=300000,"0–300k",IF(L2562&lt;=600000,"300k–600k",IF(L2562&lt;=900000,"600k–900k",IF(L2562&lt;=1200000,"900k–1200k","1200k+"))))</f>
        <v>300k–600k</v>
      </c>
      <c r="P2562" s="19" t="str">
        <f t="shared" ref="P2562:P2625" si="180">IF(N2562 &lt;=25,"18-25", IF(N2562&lt;=35,"26-35", IF(N2562 &lt;=45,"36-45", IF(N2562&lt;=55,"46-55","56+"))))</f>
        <v>26-35</v>
      </c>
    </row>
    <row r="2563" spans="1:16" x14ac:dyDescent="0.25">
      <c r="A2563">
        <v>2562</v>
      </c>
      <c r="B2563" t="s">
        <v>9</v>
      </c>
      <c r="C2563">
        <v>589097</v>
      </c>
      <c r="D2563" t="s">
        <v>10</v>
      </c>
      <c r="E2563" t="s">
        <v>16</v>
      </c>
      <c r="F2563" t="s">
        <v>12</v>
      </c>
      <c r="G2563" t="s">
        <v>13</v>
      </c>
      <c r="H2563" t="s">
        <v>13</v>
      </c>
      <c r="I2563">
        <v>54</v>
      </c>
      <c r="J2563" t="str" cm="1">
        <f t="array" ref="J2563">_xlfn.IFS(ISBLANK(C2563),"FALTANTE",ABS((C2563-$W$5)/$X$5)&gt;1.96,"ATÍPICO",ABS((C2563-$W$5)/$X$5)&lt;=1.96,"NO ATÍPICO")</f>
        <v>NO ATÍPICO</v>
      </c>
      <c r="K2563" t="str" cm="1">
        <f t="array" ref="K2563">_xlfn.IFS(ISBLANK(I2563),"FALTANTE",ABS((I2563-$W$8)/$X$8)&gt;1.92,"ATÍPICO",ABS((I2563-$W$8)/$X$8)&lt;=1.92,"NO ATÍPICO")</f>
        <v>NO ATÍPICO</v>
      </c>
      <c r="L2563">
        <f t="shared" si="177"/>
        <v>589097</v>
      </c>
      <c r="M2563" t="str">
        <f t="shared" si="177"/>
        <v>ASALARIADO</v>
      </c>
      <c r="N2563">
        <f t="shared" si="178"/>
        <v>54</v>
      </c>
      <c r="O2563" s="19" t="str">
        <f t="shared" si="179"/>
        <v>300k–600k</v>
      </c>
      <c r="P2563" s="19" t="str">
        <f t="shared" si="180"/>
        <v>46-55</v>
      </c>
    </row>
    <row r="2564" spans="1:16" x14ac:dyDescent="0.25">
      <c r="A2564">
        <v>2563</v>
      </c>
      <c r="B2564" t="s">
        <v>9</v>
      </c>
      <c r="C2564">
        <v>446149.5</v>
      </c>
      <c r="D2564" t="s">
        <v>10</v>
      </c>
      <c r="E2564" t="s">
        <v>11</v>
      </c>
      <c r="F2564" t="s">
        <v>12</v>
      </c>
      <c r="G2564" t="s">
        <v>13</v>
      </c>
      <c r="H2564" t="s">
        <v>13</v>
      </c>
      <c r="I2564">
        <v>57</v>
      </c>
      <c r="J2564" t="str" cm="1">
        <f t="array" ref="J2564">_xlfn.IFS(ISBLANK(C2564),"FALTANTE",ABS((C2564-$W$5)/$X$5)&gt;1.96,"ATÍPICO",ABS((C2564-$W$5)/$X$5)&lt;=1.96,"NO ATÍPICO")</f>
        <v>NO ATÍPICO</v>
      </c>
      <c r="K2564" t="str" cm="1">
        <f t="array" ref="K2564">_xlfn.IFS(ISBLANK(I2564),"FALTANTE",ABS((I2564-$W$8)/$X$8)&gt;1.92,"ATÍPICO",ABS((I2564-$W$8)/$X$8)&lt;=1.92,"NO ATÍPICO")</f>
        <v>NO ATÍPICO</v>
      </c>
      <c r="L2564">
        <f t="shared" si="177"/>
        <v>446149.5</v>
      </c>
      <c r="M2564" t="str">
        <f t="shared" si="177"/>
        <v>ASALARIADO</v>
      </c>
      <c r="N2564">
        <f t="shared" si="178"/>
        <v>57</v>
      </c>
      <c r="O2564" s="19" t="str">
        <f t="shared" si="179"/>
        <v>300k–600k</v>
      </c>
      <c r="P2564" s="19" t="str">
        <f t="shared" si="180"/>
        <v>56+</v>
      </c>
    </row>
    <row r="2565" spans="1:16" x14ac:dyDescent="0.25">
      <c r="A2565">
        <v>2564</v>
      </c>
      <c r="B2565" t="s">
        <v>15</v>
      </c>
      <c r="C2565">
        <v>681819</v>
      </c>
      <c r="D2565" t="s">
        <v>10</v>
      </c>
      <c r="E2565" t="s">
        <v>11</v>
      </c>
      <c r="F2565" t="s">
        <v>12</v>
      </c>
      <c r="G2565" t="s">
        <v>13</v>
      </c>
      <c r="H2565" t="s">
        <v>13</v>
      </c>
      <c r="I2565">
        <v>40</v>
      </c>
      <c r="J2565" t="str" cm="1">
        <f t="array" ref="J2565">_xlfn.IFS(ISBLANK(C2565),"FALTANTE",ABS((C2565-$W$5)/$X$5)&gt;1.96,"ATÍPICO",ABS((C2565-$W$5)/$X$5)&lt;=1.96,"NO ATÍPICO")</f>
        <v>NO ATÍPICO</v>
      </c>
      <c r="K2565" t="str" cm="1">
        <f t="array" ref="K2565">_xlfn.IFS(ISBLANK(I2565),"FALTANTE",ABS((I2565-$W$8)/$X$8)&gt;1.92,"ATÍPICO",ABS((I2565-$W$8)/$X$8)&lt;=1.92,"NO ATÍPICO")</f>
        <v>NO ATÍPICO</v>
      </c>
      <c r="L2565">
        <f t="shared" si="177"/>
        <v>681819</v>
      </c>
      <c r="M2565" t="str">
        <f t="shared" si="177"/>
        <v>ASALARIADO</v>
      </c>
      <c r="N2565">
        <f t="shared" si="178"/>
        <v>40</v>
      </c>
      <c r="O2565" s="19" t="str">
        <f t="shared" si="179"/>
        <v>600k–900k</v>
      </c>
      <c r="P2565" s="19" t="str">
        <f t="shared" si="180"/>
        <v>36-45</v>
      </c>
    </row>
    <row r="2566" spans="1:16" x14ac:dyDescent="0.25">
      <c r="A2566">
        <v>2565</v>
      </c>
      <c r="B2566" t="s">
        <v>9</v>
      </c>
      <c r="C2566">
        <v>287609.93</v>
      </c>
      <c r="D2566" t="s">
        <v>10</v>
      </c>
      <c r="E2566" t="s">
        <v>16</v>
      </c>
      <c r="F2566" t="s">
        <v>12</v>
      </c>
      <c r="G2566" t="s">
        <v>13</v>
      </c>
      <c r="H2566" t="s">
        <v>13</v>
      </c>
      <c r="I2566">
        <v>33</v>
      </c>
      <c r="J2566" t="str" cm="1">
        <f t="array" ref="J2566">_xlfn.IFS(ISBLANK(C2566),"FALTANTE",ABS((C2566-$W$5)/$X$5)&gt;1.96,"ATÍPICO",ABS((C2566-$W$5)/$X$5)&lt;=1.96,"NO ATÍPICO")</f>
        <v>NO ATÍPICO</v>
      </c>
      <c r="K2566" t="str" cm="1">
        <f t="array" ref="K2566">_xlfn.IFS(ISBLANK(I2566),"FALTANTE",ABS((I2566-$W$8)/$X$8)&gt;1.92,"ATÍPICO",ABS((I2566-$W$8)/$X$8)&lt;=1.92,"NO ATÍPICO")</f>
        <v>NO ATÍPICO</v>
      </c>
      <c r="L2566">
        <f t="shared" si="177"/>
        <v>287609.93</v>
      </c>
      <c r="M2566" t="str">
        <f t="shared" si="177"/>
        <v>ASALARIADO</v>
      </c>
      <c r="N2566">
        <f t="shared" si="178"/>
        <v>33</v>
      </c>
      <c r="O2566" s="19" t="str">
        <f t="shared" si="179"/>
        <v>0–300k</v>
      </c>
      <c r="P2566" s="19" t="str">
        <f t="shared" si="180"/>
        <v>26-35</v>
      </c>
    </row>
    <row r="2567" spans="1:16" x14ac:dyDescent="0.25">
      <c r="A2567">
        <v>2566</v>
      </c>
      <c r="B2567" t="s">
        <v>9</v>
      </c>
      <c r="C2567">
        <v>711460.6</v>
      </c>
      <c r="D2567" t="s">
        <v>10</v>
      </c>
      <c r="E2567" t="s">
        <v>11</v>
      </c>
      <c r="F2567" t="s">
        <v>12</v>
      </c>
      <c r="G2567" t="s">
        <v>13</v>
      </c>
      <c r="H2567" t="s">
        <v>13</v>
      </c>
      <c r="I2567">
        <v>43</v>
      </c>
      <c r="J2567" t="str" cm="1">
        <f t="array" ref="J2567">_xlfn.IFS(ISBLANK(C2567),"FALTANTE",ABS((C2567-$W$5)/$X$5)&gt;1.96,"ATÍPICO",ABS((C2567-$W$5)/$X$5)&lt;=1.96,"NO ATÍPICO")</f>
        <v>NO ATÍPICO</v>
      </c>
      <c r="K2567" t="str" cm="1">
        <f t="array" ref="K2567">_xlfn.IFS(ISBLANK(I2567),"FALTANTE",ABS((I2567-$W$8)/$X$8)&gt;1.92,"ATÍPICO",ABS((I2567-$W$8)/$X$8)&lt;=1.92,"NO ATÍPICO")</f>
        <v>NO ATÍPICO</v>
      </c>
      <c r="L2567">
        <f t="shared" si="177"/>
        <v>711460.6</v>
      </c>
      <c r="M2567" t="str">
        <f t="shared" si="177"/>
        <v>ASALARIADO</v>
      </c>
      <c r="N2567">
        <f t="shared" si="178"/>
        <v>43</v>
      </c>
      <c r="O2567" s="19" t="str">
        <f t="shared" si="179"/>
        <v>600k–900k</v>
      </c>
      <c r="P2567" s="19" t="str">
        <f t="shared" si="180"/>
        <v>36-45</v>
      </c>
    </row>
    <row r="2568" spans="1:16" x14ac:dyDescent="0.25">
      <c r="A2568">
        <v>2567</v>
      </c>
      <c r="B2568" t="s">
        <v>9</v>
      </c>
      <c r="C2568">
        <v>304357</v>
      </c>
      <c r="D2568" t="s">
        <v>18</v>
      </c>
      <c r="E2568" t="s">
        <v>16</v>
      </c>
      <c r="F2568" t="s">
        <v>12</v>
      </c>
      <c r="G2568" t="s">
        <v>13</v>
      </c>
      <c r="H2568" t="s">
        <v>12</v>
      </c>
      <c r="I2568">
        <v>27</v>
      </c>
      <c r="J2568" t="str" cm="1">
        <f t="array" ref="J2568">_xlfn.IFS(ISBLANK(C2568),"FALTANTE",ABS((C2568-$W$5)/$X$5)&gt;1.96,"ATÍPICO",ABS((C2568-$W$5)/$X$5)&lt;=1.96,"NO ATÍPICO")</f>
        <v>NO ATÍPICO</v>
      </c>
      <c r="K2568" t="str" cm="1">
        <f t="array" ref="K2568">_xlfn.IFS(ISBLANK(I2568),"FALTANTE",ABS((I2568-$W$8)/$X$8)&gt;1.92,"ATÍPICO",ABS((I2568-$W$8)/$X$8)&lt;=1.92,"NO ATÍPICO")</f>
        <v>NO ATÍPICO</v>
      </c>
      <c r="L2568">
        <f t="shared" si="177"/>
        <v>304357</v>
      </c>
      <c r="M2568" t="str">
        <f t="shared" si="177"/>
        <v>TRABAJADOR INDEPENDIENTE</v>
      </c>
      <c r="N2568">
        <f t="shared" si="178"/>
        <v>27</v>
      </c>
      <c r="O2568" s="19" t="str">
        <f t="shared" si="179"/>
        <v>300k–600k</v>
      </c>
      <c r="P2568" s="19" t="str">
        <f t="shared" si="180"/>
        <v>26-35</v>
      </c>
    </row>
    <row r="2569" spans="1:16" x14ac:dyDescent="0.25">
      <c r="A2569">
        <v>2568</v>
      </c>
      <c r="B2569" t="s">
        <v>9</v>
      </c>
      <c r="C2569">
        <v>359544.27</v>
      </c>
      <c r="D2569" t="s">
        <v>21</v>
      </c>
      <c r="E2569" t="s">
        <v>16</v>
      </c>
      <c r="F2569" t="s">
        <v>12</v>
      </c>
      <c r="G2569" t="s">
        <v>12</v>
      </c>
      <c r="H2569" t="s">
        <v>13</v>
      </c>
      <c r="I2569">
        <v>28</v>
      </c>
      <c r="J2569" t="str" cm="1">
        <f t="array" ref="J2569">_xlfn.IFS(ISBLANK(C2569),"FALTANTE",ABS((C2569-$W$5)/$X$5)&gt;1.96,"ATÍPICO",ABS((C2569-$W$5)/$X$5)&lt;=1.96,"NO ATÍPICO")</f>
        <v>NO ATÍPICO</v>
      </c>
      <c r="K2569" t="str" cm="1">
        <f t="array" ref="K2569">_xlfn.IFS(ISBLANK(I2569),"FALTANTE",ABS((I2569-$W$8)/$X$8)&gt;1.92,"ATÍPICO",ABS((I2569-$W$8)/$X$8)&lt;=1.92,"NO ATÍPICO")</f>
        <v>NO ATÍPICO</v>
      </c>
      <c r="L2569">
        <f t="shared" si="177"/>
        <v>359544.27</v>
      </c>
      <c r="M2569" t="str">
        <f t="shared" si="177"/>
        <v>CONVENIOS ESPECIALES DE ASEGURADOS VOLUNTARIOS</v>
      </c>
      <c r="N2569">
        <f t="shared" si="178"/>
        <v>28</v>
      </c>
      <c r="O2569" s="19" t="str">
        <f t="shared" si="179"/>
        <v>300k–600k</v>
      </c>
      <c r="P2569" s="19" t="str">
        <f t="shared" si="180"/>
        <v>26-35</v>
      </c>
    </row>
    <row r="2570" spans="1:16" x14ac:dyDescent="0.25">
      <c r="A2570">
        <v>2569</v>
      </c>
      <c r="B2570" t="s">
        <v>9</v>
      </c>
      <c r="C2570">
        <v>145000</v>
      </c>
      <c r="D2570" t="s">
        <v>10</v>
      </c>
      <c r="E2570" t="s">
        <v>16</v>
      </c>
      <c r="F2570" t="s">
        <v>12</v>
      </c>
      <c r="G2570" t="s">
        <v>13</v>
      </c>
      <c r="H2570" t="s">
        <v>13</v>
      </c>
      <c r="I2570">
        <v>63</v>
      </c>
      <c r="J2570" t="str" cm="1">
        <f t="array" ref="J2570">_xlfn.IFS(ISBLANK(C2570),"FALTANTE",ABS((C2570-$W$5)/$X$5)&gt;1.96,"ATÍPICO",ABS((C2570-$W$5)/$X$5)&lt;=1.96,"NO ATÍPICO")</f>
        <v>NO ATÍPICO</v>
      </c>
      <c r="K2570" t="str" cm="1">
        <f t="array" ref="K2570">_xlfn.IFS(ISBLANK(I2570),"FALTANTE",ABS((I2570-$W$8)/$X$8)&gt;1.92,"ATÍPICO",ABS((I2570-$W$8)/$X$8)&lt;=1.92,"NO ATÍPICO")</f>
        <v>NO ATÍPICO</v>
      </c>
      <c r="L2570">
        <f t="shared" si="177"/>
        <v>145000</v>
      </c>
      <c r="M2570" t="str">
        <f t="shared" si="177"/>
        <v>ASALARIADO</v>
      </c>
      <c r="N2570">
        <f t="shared" si="178"/>
        <v>63</v>
      </c>
      <c r="O2570" s="19" t="str">
        <f t="shared" si="179"/>
        <v>0–300k</v>
      </c>
      <c r="P2570" s="19" t="str">
        <f t="shared" si="180"/>
        <v>56+</v>
      </c>
    </row>
    <row r="2571" spans="1:16" x14ac:dyDescent="0.25">
      <c r="A2571">
        <v>2570</v>
      </c>
      <c r="B2571" t="s">
        <v>9</v>
      </c>
      <c r="C2571">
        <v>634623</v>
      </c>
      <c r="D2571" t="s">
        <v>14</v>
      </c>
      <c r="E2571" t="s">
        <v>11</v>
      </c>
      <c r="F2571" t="s">
        <v>12</v>
      </c>
      <c r="G2571" t="s">
        <v>13</v>
      </c>
      <c r="H2571" t="s">
        <v>13</v>
      </c>
      <c r="I2571">
        <v>56</v>
      </c>
      <c r="J2571" t="str" cm="1">
        <f t="array" ref="J2571">_xlfn.IFS(ISBLANK(C2571),"FALTANTE",ABS((C2571-$W$5)/$X$5)&gt;1.96,"ATÍPICO",ABS((C2571-$W$5)/$X$5)&lt;=1.96,"NO ATÍPICO")</f>
        <v>NO ATÍPICO</v>
      </c>
      <c r="K2571" t="str" cm="1">
        <f t="array" ref="K2571">_xlfn.IFS(ISBLANK(I2571),"FALTANTE",ABS((I2571-$W$8)/$X$8)&gt;1.92,"ATÍPICO",ABS((I2571-$W$8)/$X$8)&lt;=1.92,"NO ATÍPICO")</f>
        <v>NO ATÍPICO</v>
      </c>
      <c r="L2571">
        <f t="shared" si="177"/>
        <v>634623</v>
      </c>
      <c r="M2571" t="str">
        <f t="shared" si="177"/>
        <v>PENSIONADOS EN SU PROPIO SISTEMA</v>
      </c>
      <c r="N2571">
        <f t="shared" si="178"/>
        <v>56</v>
      </c>
      <c r="O2571" s="19" t="str">
        <f t="shared" si="179"/>
        <v>600k–900k</v>
      </c>
      <c r="P2571" s="19" t="str">
        <f t="shared" si="180"/>
        <v>56+</v>
      </c>
    </row>
    <row r="2572" spans="1:16" x14ac:dyDescent="0.25">
      <c r="A2572">
        <v>2571</v>
      </c>
      <c r="B2572" t="s">
        <v>15</v>
      </c>
      <c r="C2572">
        <v>547200</v>
      </c>
      <c r="D2572" t="s">
        <v>10</v>
      </c>
      <c r="E2572" t="s">
        <v>16</v>
      </c>
      <c r="F2572" t="s">
        <v>12</v>
      </c>
      <c r="G2572" t="s">
        <v>13</v>
      </c>
      <c r="H2572" t="s">
        <v>13</v>
      </c>
      <c r="I2572">
        <v>48</v>
      </c>
      <c r="J2572" t="str" cm="1">
        <f t="array" ref="J2572">_xlfn.IFS(ISBLANK(C2572),"FALTANTE",ABS((C2572-$W$5)/$X$5)&gt;1.96,"ATÍPICO",ABS((C2572-$W$5)/$X$5)&lt;=1.96,"NO ATÍPICO")</f>
        <v>NO ATÍPICO</v>
      </c>
      <c r="K2572" t="str" cm="1">
        <f t="array" ref="K2572">_xlfn.IFS(ISBLANK(I2572),"FALTANTE",ABS((I2572-$W$8)/$X$8)&gt;1.92,"ATÍPICO",ABS((I2572-$W$8)/$X$8)&lt;=1.92,"NO ATÍPICO")</f>
        <v>NO ATÍPICO</v>
      </c>
      <c r="L2572">
        <f t="shared" si="177"/>
        <v>547200</v>
      </c>
      <c r="M2572" t="str">
        <f t="shared" si="177"/>
        <v>ASALARIADO</v>
      </c>
      <c r="N2572">
        <f t="shared" si="178"/>
        <v>48</v>
      </c>
      <c r="O2572" s="19" t="str">
        <f t="shared" si="179"/>
        <v>300k–600k</v>
      </c>
      <c r="P2572" s="19" t="str">
        <f t="shared" si="180"/>
        <v>46-55</v>
      </c>
    </row>
    <row r="2573" spans="1:16" x14ac:dyDescent="0.25">
      <c r="A2573">
        <v>2572</v>
      </c>
      <c r="B2573" t="s">
        <v>15</v>
      </c>
      <c r="C2573">
        <v>1044273</v>
      </c>
      <c r="D2573" t="s">
        <v>10</v>
      </c>
      <c r="E2573" t="s">
        <v>11</v>
      </c>
      <c r="F2573" t="s">
        <v>12</v>
      </c>
      <c r="G2573" t="s">
        <v>13</v>
      </c>
      <c r="H2573" t="s">
        <v>12</v>
      </c>
      <c r="I2573">
        <v>33</v>
      </c>
      <c r="J2573" t="str" cm="1">
        <f t="array" ref="J2573">_xlfn.IFS(ISBLANK(C2573),"FALTANTE",ABS((C2573-$W$5)/$X$5)&gt;1.96,"ATÍPICO",ABS((C2573-$W$5)/$X$5)&lt;=1.96,"NO ATÍPICO")</f>
        <v>NO ATÍPICO</v>
      </c>
      <c r="K2573" t="str" cm="1">
        <f t="array" ref="K2573">_xlfn.IFS(ISBLANK(I2573),"FALTANTE",ABS((I2573-$W$8)/$X$8)&gt;1.92,"ATÍPICO",ABS((I2573-$W$8)/$X$8)&lt;=1.92,"NO ATÍPICO")</f>
        <v>NO ATÍPICO</v>
      </c>
      <c r="L2573">
        <f t="shared" si="177"/>
        <v>1044273</v>
      </c>
      <c r="M2573" t="str">
        <f t="shared" si="177"/>
        <v>ASALARIADO</v>
      </c>
      <c r="N2573">
        <f t="shared" si="178"/>
        <v>33</v>
      </c>
      <c r="O2573" s="19" t="str">
        <f t="shared" si="179"/>
        <v>900k–1200k</v>
      </c>
      <c r="P2573" s="19" t="str">
        <f t="shared" si="180"/>
        <v>26-35</v>
      </c>
    </row>
    <row r="2574" spans="1:16" x14ac:dyDescent="0.25">
      <c r="A2574">
        <v>2573</v>
      </c>
      <c r="B2574" t="s">
        <v>9</v>
      </c>
      <c r="C2574">
        <v>329836.81</v>
      </c>
      <c r="D2574" t="s">
        <v>10</v>
      </c>
      <c r="E2574" t="s">
        <v>16</v>
      </c>
      <c r="F2574" t="s">
        <v>12</v>
      </c>
      <c r="G2574" t="s">
        <v>13</v>
      </c>
      <c r="H2574" t="s">
        <v>13</v>
      </c>
      <c r="I2574">
        <v>55</v>
      </c>
      <c r="J2574" t="str" cm="1">
        <f t="array" ref="J2574">_xlfn.IFS(ISBLANK(C2574),"FALTANTE",ABS((C2574-$W$5)/$X$5)&gt;1.96,"ATÍPICO",ABS((C2574-$W$5)/$X$5)&lt;=1.96,"NO ATÍPICO")</f>
        <v>NO ATÍPICO</v>
      </c>
      <c r="K2574" t="str" cm="1">
        <f t="array" ref="K2574">_xlfn.IFS(ISBLANK(I2574),"FALTANTE",ABS((I2574-$W$8)/$X$8)&gt;1.92,"ATÍPICO",ABS((I2574-$W$8)/$X$8)&lt;=1.92,"NO ATÍPICO")</f>
        <v>NO ATÍPICO</v>
      </c>
      <c r="L2574">
        <f t="shared" si="177"/>
        <v>329836.81</v>
      </c>
      <c r="M2574" t="str">
        <f t="shared" si="177"/>
        <v>ASALARIADO</v>
      </c>
      <c r="N2574">
        <f t="shared" si="178"/>
        <v>55</v>
      </c>
      <c r="O2574" s="19" t="str">
        <f t="shared" si="179"/>
        <v>300k–600k</v>
      </c>
      <c r="P2574" s="19" t="str">
        <f t="shared" si="180"/>
        <v>46-55</v>
      </c>
    </row>
    <row r="2575" spans="1:16" x14ac:dyDescent="0.25">
      <c r="A2575">
        <v>2574</v>
      </c>
      <c r="B2575" t="s">
        <v>9</v>
      </c>
      <c r="C2575">
        <v>297046</v>
      </c>
      <c r="D2575" t="s">
        <v>18</v>
      </c>
      <c r="E2575" t="s">
        <v>16</v>
      </c>
      <c r="F2575" t="s">
        <v>12</v>
      </c>
      <c r="G2575" t="s">
        <v>13</v>
      </c>
      <c r="H2575" t="s">
        <v>13</v>
      </c>
      <c r="I2575">
        <v>68</v>
      </c>
      <c r="J2575" t="str" cm="1">
        <f t="array" ref="J2575">_xlfn.IFS(ISBLANK(C2575),"FALTANTE",ABS((C2575-$W$5)/$X$5)&gt;1.96,"ATÍPICO",ABS((C2575-$W$5)/$X$5)&lt;=1.96,"NO ATÍPICO")</f>
        <v>NO ATÍPICO</v>
      </c>
      <c r="K2575" t="str" cm="1">
        <f t="array" ref="K2575">_xlfn.IFS(ISBLANK(I2575),"FALTANTE",ABS((I2575-$W$8)/$X$8)&gt;1.92,"ATÍPICO",ABS((I2575-$W$8)/$X$8)&lt;=1.92,"NO ATÍPICO")</f>
        <v>NO ATÍPICO</v>
      </c>
      <c r="L2575">
        <f t="shared" si="177"/>
        <v>297046</v>
      </c>
      <c r="M2575" t="str">
        <f t="shared" si="177"/>
        <v>TRABAJADOR INDEPENDIENTE</v>
      </c>
      <c r="N2575">
        <f t="shared" si="178"/>
        <v>68</v>
      </c>
      <c r="O2575" s="19" t="str">
        <f t="shared" si="179"/>
        <v>0–300k</v>
      </c>
      <c r="P2575" s="19" t="str">
        <f t="shared" si="180"/>
        <v>56+</v>
      </c>
    </row>
    <row r="2576" spans="1:16" x14ac:dyDescent="0.25">
      <c r="A2576">
        <v>2575</v>
      </c>
      <c r="B2576" t="s">
        <v>9</v>
      </c>
      <c r="C2576">
        <v>470823.31</v>
      </c>
      <c r="D2576" t="s">
        <v>10</v>
      </c>
      <c r="E2576" t="s">
        <v>16</v>
      </c>
      <c r="F2576" t="s">
        <v>12</v>
      </c>
      <c r="G2576" t="s">
        <v>13</v>
      </c>
      <c r="H2576" t="s">
        <v>13</v>
      </c>
      <c r="I2576">
        <v>34</v>
      </c>
      <c r="J2576" t="str" cm="1">
        <f t="array" ref="J2576">_xlfn.IFS(ISBLANK(C2576),"FALTANTE",ABS((C2576-$W$5)/$X$5)&gt;1.96,"ATÍPICO",ABS((C2576-$W$5)/$X$5)&lt;=1.96,"NO ATÍPICO")</f>
        <v>NO ATÍPICO</v>
      </c>
      <c r="K2576" t="str" cm="1">
        <f t="array" ref="K2576">_xlfn.IFS(ISBLANK(I2576),"FALTANTE",ABS((I2576-$W$8)/$X$8)&gt;1.92,"ATÍPICO",ABS((I2576-$W$8)/$X$8)&lt;=1.92,"NO ATÍPICO")</f>
        <v>NO ATÍPICO</v>
      </c>
      <c r="L2576">
        <f t="shared" si="177"/>
        <v>470823.31</v>
      </c>
      <c r="M2576" t="str">
        <f t="shared" si="177"/>
        <v>ASALARIADO</v>
      </c>
      <c r="N2576">
        <f t="shared" si="178"/>
        <v>34</v>
      </c>
      <c r="O2576" s="19" t="str">
        <f t="shared" si="179"/>
        <v>300k–600k</v>
      </c>
      <c r="P2576" s="19" t="str">
        <f t="shared" si="180"/>
        <v>26-35</v>
      </c>
    </row>
    <row r="2577" spans="1:16" x14ac:dyDescent="0.25">
      <c r="A2577">
        <v>2576</v>
      </c>
      <c r="B2577" t="s">
        <v>15</v>
      </c>
      <c r="C2577">
        <v>1002900.02</v>
      </c>
      <c r="D2577" t="s">
        <v>10</v>
      </c>
      <c r="E2577" t="s">
        <v>11</v>
      </c>
      <c r="F2577" t="s">
        <v>12</v>
      </c>
      <c r="G2577" t="s">
        <v>13</v>
      </c>
      <c r="H2577" t="s">
        <v>13</v>
      </c>
      <c r="I2577">
        <v>46</v>
      </c>
      <c r="J2577" t="str" cm="1">
        <f t="array" ref="J2577">_xlfn.IFS(ISBLANK(C2577),"FALTANTE",ABS((C2577-$W$5)/$X$5)&gt;1.96,"ATÍPICO",ABS((C2577-$W$5)/$X$5)&lt;=1.96,"NO ATÍPICO")</f>
        <v>NO ATÍPICO</v>
      </c>
      <c r="K2577" t="str" cm="1">
        <f t="array" ref="K2577">_xlfn.IFS(ISBLANK(I2577),"FALTANTE",ABS((I2577-$W$8)/$X$8)&gt;1.92,"ATÍPICO",ABS((I2577-$W$8)/$X$8)&lt;=1.92,"NO ATÍPICO")</f>
        <v>NO ATÍPICO</v>
      </c>
      <c r="L2577">
        <f t="shared" si="177"/>
        <v>1002900.02</v>
      </c>
      <c r="M2577" t="str">
        <f t="shared" si="177"/>
        <v>ASALARIADO</v>
      </c>
      <c r="N2577">
        <f t="shared" si="178"/>
        <v>46</v>
      </c>
      <c r="O2577" s="19" t="str">
        <f t="shared" si="179"/>
        <v>900k–1200k</v>
      </c>
      <c r="P2577" s="19" t="str">
        <f t="shared" si="180"/>
        <v>46-55</v>
      </c>
    </row>
    <row r="2578" spans="1:16" x14ac:dyDescent="0.25">
      <c r="A2578">
        <v>2577</v>
      </c>
      <c r="B2578" t="s">
        <v>9</v>
      </c>
      <c r="C2578">
        <v>490140.74</v>
      </c>
      <c r="D2578" t="s">
        <v>10</v>
      </c>
      <c r="E2578" t="s">
        <v>16</v>
      </c>
      <c r="F2578" t="s">
        <v>12</v>
      </c>
      <c r="G2578" t="s">
        <v>13</v>
      </c>
      <c r="H2578" t="s">
        <v>13</v>
      </c>
      <c r="I2578">
        <v>22</v>
      </c>
      <c r="J2578" t="str" cm="1">
        <f t="array" ref="J2578">_xlfn.IFS(ISBLANK(C2578),"FALTANTE",ABS((C2578-$W$5)/$X$5)&gt;1.96,"ATÍPICO",ABS((C2578-$W$5)/$X$5)&lt;=1.96,"NO ATÍPICO")</f>
        <v>NO ATÍPICO</v>
      </c>
      <c r="K2578" t="str" cm="1">
        <f t="array" ref="K2578">_xlfn.IFS(ISBLANK(I2578),"FALTANTE",ABS((I2578-$W$8)/$X$8)&gt;1.92,"ATÍPICO",ABS((I2578-$W$8)/$X$8)&lt;=1.92,"NO ATÍPICO")</f>
        <v>NO ATÍPICO</v>
      </c>
      <c r="L2578">
        <f t="shared" si="177"/>
        <v>490140.74</v>
      </c>
      <c r="M2578" t="str">
        <f t="shared" si="177"/>
        <v>ASALARIADO</v>
      </c>
      <c r="N2578">
        <f t="shared" si="178"/>
        <v>22</v>
      </c>
      <c r="O2578" s="19" t="str">
        <f t="shared" si="179"/>
        <v>300k–600k</v>
      </c>
      <c r="P2578" s="19" t="str">
        <f t="shared" si="180"/>
        <v>18-25</v>
      </c>
    </row>
    <row r="2579" spans="1:16" x14ac:dyDescent="0.25">
      <c r="A2579">
        <v>2578</v>
      </c>
      <c r="B2579" t="s">
        <v>9</v>
      </c>
      <c r="C2579">
        <v>386489</v>
      </c>
      <c r="D2579" t="s">
        <v>10</v>
      </c>
      <c r="E2579" t="s">
        <v>16</v>
      </c>
      <c r="F2579" t="s">
        <v>12</v>
      </c>
      <c r="G2579" t="s">
        <v>13</v>
      </c>
      <c r="H2579" t="s">
        <v>13</v>
      </c>
      <c r="I2579">
        <v>23</v>
      </c>
      <c r="J2579" t="str" cm="1">
        <f t="array" ref="J2579">_xlfn.IFS(ISBLANK(C2579),"FALTANTE",ABS((C2579-$W$5)/$X$5)&gt;1.96,"ATÍPICO",ABS((C2579-$W$5)/$X$5)&lt;=1.96,"NO ATÍPICO")</f>
        <v>NO ATÍPICO</v>
      </c>
      <c r="K2579" t="str" cm="1">
        <f t="array" ref="K2579">_xlfn.IFS(ISBLANK(I2579),"FALTANTE",ABS((I2579-$W$8)/$X$8)&gt;1.92,"ATÍPICO",ABS((I2579-$W$8)/$X$8)&lt;=1.92,"NO ATÍPICO")</f>
        <v>NO ATÍPICO</v>
      </c>
      <c r="L2579">
        <f t="shared" si="177"/>
        <v>386489</v>
      </c>
      <c r="M2579" t="str">
        <f t="shared" si="177"/>
        <v>ASALARIADO</v>
      </c>
      <c r="N2579">
        <f t="shared" si="178"/>
        <v>23</v>
      </c>
      <c r="O2579" s="19" t="str">
        <f t="shared" si="179"/>
        <v>300k–600k</v>
      </c>
      <c r="P2579" s="19" t="str">
        <f t="shared" si="180"/>
        <v>18-25</v>
      </c>
    </row>
    <row r="2580" spans="1:16" x14ac:dyDescent="0.25">
      <c r="A2580">
        <v>2579</v>
      </c>
      <c r="B2580" t="s">
        <v>15</v>
      </c>
      <c r="C2580">
        <v>159787.23000000001</v>
      </c>
      <c r="D2580" t="s">
        <v>10</v>
      </c>
      <c r="E2580" t="s">
        <v>16</v>
      </c>
      <c r="F2580" t="s">
        <v>12</v>
      </c>
      <c r="G2580" t="s">
        <v>13</v>
      </c>
      <c r="H2580" t="s">
        <v>13</v>
      </c>
      <c r="I2580">
        <v>44</v>
      </c>
      <c r="J2580" t="str" cm="1">
        <f t="array" ref="J2580">_xlfn.IFS(ISBLANK(C2580),"FALTANTE",ABS((C2580-$W$5)/$X$5)&gt;1.96,"ATÍPICO",ABS((C2580-$W$5)/$X$5)&lt;=1.96,"NO ATÍPICO")</f>
        <v>NO ATÍPICO</v>
      </c>
      <c r="K2580" t="str" cm="1">
        <f t="array" ref="K2580">_xlfn.IFS(ISBLANK(I2580),"FALTANTE",ABS((I2580-$W$8)/$X$8)&gt;1.92,"ATÍPICO",ABS((I2580-$W$8)/$X$8)&lt;=1.92,"NO ATÍPICO")</f>
        <v>NO ATÍPICO</v>
      </c>
      <c r="L2580">
        <f t="shared" si="177"/>
        <v>159787.23000000001</v>
      </c>
      <c r="M2580" t="str">
        <f t="shared" si="177"/>
        <v>ASALARIADO</v>
      </c>
      <c r="N2580">
        <f t="shared" si="178"/>
        <v>44</v>
      </c>
      <c r="O2580" s="19" t="str">
        <f t="shared" si="179"/>
        <v>0–300k</v>
      </c>
      <c r="P2580" s="19" t="str">
        <f t="shared" si="180"/>
        <v>36-45</v>
      </c>
    </row>
    <row r="2581" spans="1:16" x14ac:dyDescent="0.25">
      <c r="A2581">
        <v>2580</v>
      </c>
      <c r="B2581" t="s">
        <v>9</v>
      </c>
      <c r="C2581">
        <v>297046</v>
      </c>
      <c r="D2581" t="s">
        <v>17</v>
      </c>
      <c r="E2581" t="s">
        <v>16</v>
      </c>
      <c r="F2581" t="s">
        <v>12</v>
      </c>
      <c r="G2581" t="s">
        <v>13</v>
      </c>
      <c r="H2581" t="s">
        <v>13</v>
      </c>
      <c r="I2581">
        <v>40</v>
      </c>
      <c r="J2581" t="str" cm="1">
        <f t="array" ref="J2581">_xlfn.IFS(ISBLANK(C2581),"FALTANTE",ABS((C2581-$W$5)/$X$5)&gt;1.96,"ATÍPICO",ABS((C2581-$W$5)/$X$5)&lt;=1.96,"NO ATÍPICO")</f>
        <v>NO ATÍPICO</v>
      </c>
      <c r="K2581" t="str" cm="1">
        <f t="array" ref="K2581">_xlfn.IFS(ISBLANK(I2581),"FALTANTE",ABS((I2581-$W$8)/$X$8)&gt;1.92,"ATÍPICO",ABS((I2581-$W$8)/$X$8)&lt;=1.92,"NO ATÍPICO")</f>
        <v>NO ATÍPICO</v>
      </c>
      <c r="L2581">
        <f t="shared" si="177"/>
        <v>297046</v>
      </c>
      <c r="M2581" t="str">
        <f t="shared" si="177"/>
        <v>ASEGURADO VOLUNTARIO</v>
      </c>
      <c r="N2581">
        <f t="shared" si="178"/>
        <v>40</v>
      </c>
      <c r="O2581" s="19" t="str">
        <f t="shared" si="179"/>
        <v>0–300k</v>
      </c>
      <c r="P2581" s="19" t="str">
        <f t="shared" si="180"/>
        <v>36-45</v>
      </c>
    </row>
    <row r="2582" spans="1:16" x14ac:dyDescent="0.25">
      <c r="A2582">
        <v>2581</v>
      </c>
      <c r="B2582" t="s">
        <v>15</v>
      </c>
      <c r="C2582">
        <v>661866.11</v>
      </c>
      <c r="D2582" t="s">
        <v>10</v>
      </c>
      <c r="E2582" t="s">
        <v>16</v>
      </c>
      <c r="F2582" t="s">
        <v>12</v>
      </c>
      <c r="G2582" t="s">
        <v>13</v>
      </c>
      <c r="H2582" t="s">
        <v>13</v>
      </c>
      <c r="I2582">
        <v>28</v>
      </c>
      <c r="J2582" t="str" cm="1">
        <f t="array" ref="J2582">_xlfn.IFS(ISBLANK(C2582),"FALTANTE",ABS((C2582-$W$5)/$X$5)&gt;1.96,"ATÍPICO",ABS((C2582-$W$5)/$X$5)&lt;=1.96,"NO ATÍPICO")</f>
        <v>NO ATÍPICO</v>
      </c>
      <c r="K2582" t="str" cm="1">
        <f t="array" ref="K2582">_xlfn.IFS(ISBLANK(I2582),"FALTANTE",ABS((I2582-$W$8)/$X$8)&gt;1.92,"ATÍPICO",ABS((I2582-$W$8)/$X$8)&lt;=1.92,"NO ATÍPICO")</f>
        <v>NO ATÍPICO</v>
      </c>
      <c r="L2582">
        <f t="shared" si="177"/>
        <v>661866.11</v>
      </c>
      <c r="M2582" t="str">
        <f t="shared" si="177"/>
        <v>ASALARIADO</v>
      </c>
      <c r="N2582">
        <f t="shared" si="178"/>
        <v>28</v>
      </c>
      <c r="O2582" s="19" t="str">
        <f t="shared" si="179"/>
        <v>600k–900k</v>
      </c>
      <c r="P2582" s="19" t="str">
        <f t="shared" si="180"/>
        <v>26-35</v>
      </c>
    </row>
    <row r="2583" spans="1:16" x14ac:dyDescent="0.25">
      <c r="A2583">
        <v>2582</v>
      </c>
      <c r="B2583" t="s">
        <v>15</v>
      </c>
      <c r="C2583">
        <v>300611</v>
      </c>
      <c r="D2583" t="s">
        <v>18</v>
      </c>
      <c r="E2583" t="s">
        <v>16</v>
      </c>
      <c r="F2583" t="s">
        <v>12</v>
      </c>
      <c r="G2583" t="s">
        <v>13</v>
      </c>
      <c r="H2583" t="s">
        <v>13</v>
      </c>
      <c r="I2583">
        <v>51</v>
      </c>
      <c r="J2583" t="str" cm="1">
        <f t="array" ref="J2583">_xlfn.IFS(ISBLANK(C2583),"FALTANTE",ABS((C2583-$W$5)/$X$5)&gt;1.96,"ATÍPICO",ABS((C2583-$W$5)/$X$5)&lt;=1.96,"NO ATÍPICO")</f>
        <v>NO ATÍPICO</v>
      </c>
      <c r="K2583" t="str" cm="1">
        <f t="array" ref="K2583">_xlfn.IFS(ISBLANK(I2583),"FALTANTE",ABS((I2583-$W$8)/$X$8)&gt;1.92,"ATÍPICO",ABS((I2583-$W$8)/$X$8)&lt;=1.92,"NO ATÍPICO")</f>
        <v>NO ATÍPICO</v>
      </c>
      <c r="L2583">
        <f t="shared" si="177"/>
        <v>300611</v>
      </c>
      <c r="M2583" t="str">
        <f t="shared" si="177"/>
        <v>TRABAJADOR INDEPENDIENTE</v>
      </c>
      <c r="N2583">
        <f t="shared" si="178"/>
        <v>51</v>
      </c>
      <c r="O2583" s="19" t="str">
        <f t="shared" si="179"/>
        <v>300k–600k</v>
      </c>
      <c r="P2583" s="19" t="str">
        <f t="shared" si="180"/>
        <v>46-55</v>
      </c>
    </row>
    <row r="2584" spans="1:16" x14ac:dyDescent="0.25">
      <c r="A2584">
        <v>2583</v>
      </c>
      <c r="B2584" t="s">
        <v>9</v>
      </c>
      <c r="C2584">
        <v>278030</v>
      </c>
      <c r="D2584" t="s">
        <v>17</v>
      </c>
      <c r="E2584" t="s">
        <v>16</v>
      </c>
      <c r="F2584" t="s">
        <v>12</v>
      </c>
      <c r="G2584" t="s">
        <v>12</v>
      </c>
      <c r="H2584" t="s">
        <v>12</v>
      </c>
      <c r="I2584">
        <v>34</v>
      </c>
      <c r="J2584" t="str" cm="1">
        <f t="array" ref="J2584">_xlfn.IFS(ISBLANK(C2584),"FALTANTE",ABS((C2584-$W$5)/$X$5)&gt;1.96,"ATÍPICO",ABS((C2584-$W$5)/$X$5)&lt;=1.96,"NO ATÍPICO")</f>
        <v>NO ATÍPICO</v>
      </c>
      <c r="K2584" t="str" cm="1">
        <f t="array" ref="K2584">_xlfn.IFS(ISBLANK(I2584),"FALTANTE",ABS((I2584-$W$8)/$X$8)&gt;1.92,"ATÍPICO",ABS((I2584-$W$8)/$X$8)&lt;=1.92,"NO ATÍPICO")</f>
        <v>NO ATÍPICO</v>
      </c>
      <c r="L2584">
        <f t="shared" si="177"/>
        <v>278030</v>
      </c>
      <c r="M2584" t="str">
        <f t="shared" si="177"/>
        <v>ASEGURADO VOLUNTARIO</v>
      </c>
      <c r="N2584">
        <f t="shared" si="178"/>
        <v>34</v>
      </c>
      <c r="O2584" s="19" t="str">
        <f t="shared" si="179"/>
        <v>0–300k</v>
      </c>
      <c r="P2584" s="19" t="str">
        <f t="shared" si="180"/>
        <v>26-35</v>
      </c>
    </row>
    <row r="2585" spans="1:16" x14ac:dyDescent="0.25">
      <c r="A2585">
        <v>2584</v>
      </c>
      <c r="B2585" t="s">
        <v>15</v>
      </c>
      <c r="C2585">
        <v>1172054</v>
      </c>
      <c r="D2585" t="s">
        <v>14</v>
      </c>
      <c r="E2585" t="s">
        <v>11</v>
      </c>
      <c r="F2585" t="s">
        <v>12</v>
      </c>
      <c r="G2585" t="s">
        <v>13</v>
      </c>
      <c r="H2585" t="s">
        <v>13</v>
      </c>
      <c r="I2585">
        <v>64</v>
      </c>
      <c r="J2585" t="str" cm="1">
        <f t="array" ref="J2585">_xlfn.IFS(ISBLANK(C2585),"FALTANTE",ABS((C2585-$W$5)/$X$5)&gt;1.96,"ATÍPICO",ABS((C2585-$W$5)/$X$5)&lt;=1.96,"NO ATÍPICO")</f>
        <v>NO ATÍPICO</v>
      </c>
      <c r="K2585" t="str" cm="1">
        <f t="array" ref="K2585">_xlfn.IFS(ISBLANK(I2585),"FALTANTE",ABS((I2585-$W$8)/$X$8)&gt;1.92,"ATÍPICO",ABS((I2585-$W$8)/$X$8)&lt;=1.92,"NO ATÍPICO")</f>
        <v>NO ATÍPICO</v>
      </c>
      <c r="L2585">
        <f t="shared" si="177"/>
        <v>1172054</v>
      </c>
      <c r="M2585" t="str">
        <f t="shared" si="177"/>
        <v>PENSIONADOS EN SU PROPIO SISTEMA</v>
      </c>
      <c r="N2585">
        <f t="shared" si="178"/>
        <v>64</v>
      </c>
      <c r="O2585" s="19" t="str">
        <f t="shared" si="179"/>
        <v>900k–1200k</v>
      </c>
      <c r="P2585" s="19" t="str">
        <f t="shared" si="180"/>
        <v>56+</v>
      </c>
    </row>
    <row r="2586" spans="1:16" x14ac:dyDescent="0.25">
      <c r="A2586">
        <v>2585</v>
      </c>
      <c r="B2586" t="s">
        <v>9</v>
      </c>
      <c r="C2586">
        <v>912169</v>
      </c>
      <c r="D2586" t="s">
        <v>10</v>
      </c>
      <c r="E2586" t="s">
        <v>11</v>
      </c>
      <c r="F2586" t="s">
        <v>12</v>
      </c>
      <c r="G2586" t="s">
        <v>13</v>
      </c>
      <c r="H2586" t="s">
        <v>12</v>
      </c>
      <c r="I2586">
        <v>36</v>
      </c>
      <c r="J2586" t="str" cm="1">
        <f t="array" ref="J2586">_xlfn.IFS(ISBLANK(C2586),"FALTANTE",ABS((C2586-$W$5)/$X$5)&gt;1.96,"ATÍPICO",ABS((C2586-$W$5)/$X$5)&lt;=1.96,"NO ATÍPICO")</f>
        <v>NO ATÍPICO</v>
      </c>
      <c r="K2586" t="str" cm="1">
        <f t="array" ref="K2586">_xlfn.IFS(ISBLANK(I2586),"FALTANTE",ABS((I2586-$W$8)/$X$8)&gt;1.92,"ATÍPICO",ABS((I2586-$W$8)/$X$8)&lt;=1.92,"NO ATÍPICO")</f>
        <v>NO ATÍPICO</v>
      </c>
      <c r="L2586">
        <f t="shared" si="177"/>
        <v>912169</v>
      </c>
      <c r="M2586" t="str">
        <f t="shared" si="177"/>
        <v>ASALARIADO</v>
      </c>
      <c r="N2586">
        <f t="shared" si="178"/>
        <v>36</v>
      </c>
      <c r="O2586" s="19" t="str">
        <f t="shared" si="179"/>
        <v>900k–1200k</v>
      </c>
      <c r="P2586" s="19" t="str">
        <f t="shared" si="180"/>
        <v>36-45</v>
      </c>
    </row>
    <row r="2587" spans="1:16" x14ac:dyDescent="0.25">
      <c r="A2587">
        <v>2586</v>
      </c>
      <c r="B2587" t="s">
        <v>9</v>
      </c>
      <c r="C2587">
        <v>93363.8</v>
      </c>
      <c r="D2587" t="s">
        <v>10</v>
      </c>
      <c r="E2587" t="s">
        <v>16</v>
      </c>
      <c r="F2587" t="s">
        <v>12</v>
      </c>
      <c r="G2587" t="s">
        <v>13</v>
      </c>
      <c r="H2587" t="s">
        <v>13</v>
      </c>
      <c r="I2587">
        <v>46</v>
      </c>
      <c r="J2587" t="str" cm="1">
        <f t="array" ref="J2587">_xlfn.IFS(ISBLANK(C2587),"FALTANTE",ABS((C2587-$W$5)/$X$5)&gt;1.96,"ATÍPICO",ABS((C2587-$W$5)/$X$5)&lt;=1.96,"NO ATÍPICO")</f>
        <v>NO ATÍPICO</v>
      </c>
      <c r="K2587" t="str" cm="1">
        <f t="array" ref="K2587">_xlfn.IFS(ISBLANK(I2587),"FALTANTE",ABS((I2587-$W$8)/$X$8)&gt;1.92,"ATÍPICO",ABS((I2587-$W$8)/$X$8)&lt;=1.92,"NO ATÍPICO")</f>
        <v>NO ATÍPICO</v>
      </c>
      <c r="L2587">
        <f t="shared" si="177"/>
        <v>93363.8</v>
      </c>
      <c r="M2587" t="str">
        <f t="shared" si="177"/>
        <v>ASALARIADO</v>
      </c>
      <c r="N2587">
        <f t="shared" si="178"/>
        <v>46</v>
      </c>
      <c r="O2587" s="19" t="str">
        <f t="shared" si="179"/>
        <v>0–300k</v>
      </c>
      <c r="P2587" s="19" t="str">
        <f t="shared" si="180"/>
        <v>46-55</v>
      </c>
    </row>
    <row r="2588" spans="1:16" x14ac:dyDescent="0.25">
      <c r="A2588">
        <v>2587</v>
      </c>
      <c r="B2588" t="s">
        <v>9</v>
      </c>
      <c r="C2588">
        <v>762828</v>
      </c>
      <c r="D2588" t="s">
        <v>10</v>
      </c>
      <c r="E2588" t="s">
        <v>11</v>
      </c>
      <c r="F2588" t="s">
        <v>12</v>
      </c>
      <c r="G2588" t="s">
        <v>13</v>
      </c>
      <c r="H2588" t="s">
        <v>12</v>
      </c>
      <c r="I2588">
        <v>60</v>
      </c>
      <c r="J2588" t="str" cm="1">
        <f t="array" ref="J2588">_xlfn.IFS(ISBLANK(C2588),"FALTANTE",ABS((C2588-$W$5)/$X$5)&gt;1.96,"ATÍPICO",ABS((C2588-$W$5)/$X$5)&lt;=1.96,"NO ATÍPICO")</f>
        <v>NO ATÍPICO</v>
      </c>
      <c r="K2588" t="str" cm="1">
        <f t="array" ref="K2588">_xlfn.IFS(ISBLANK(I2588),"FALTANTE",ABS((I2588-$W$8)/$X$8)&gt;1.92,"ATÍPICO",ABS((I2588-$W$8)/$X$8)&lt;=1.92,"NO ATÍPICO")</f>
        <v>NO ATÍPICO</v>
      </c>
      <c r="L2588">
        <f t="shared" si="177"/>
        <v>762828</v>
      </c>
      <c r="M2588" t="str">
        <f t="shared" si="177"/>
        <v>ASALARIADO</v>
      </c>
      <c r="N2588">
        <f t="shared" si="178"/>
        <v>60</v>
      </c>
      <c r="O2588" s="19" t="str">
        <f t="shared" si="179"/>
        <v>600k–900k</v>
      </c>
      <c r="P2588" s="19" t="str">
        <f t="shared" si="180"/>
        <v>56+</v>
      </c>
    </row>
    <row r="2589" spans="1:16" x14ac:dyDescent="0.25">
      <c r="A2589">
        <v>2588</v>
      </c>
      <c r="B2589" t="s">
        <v>9</v>
      </c>
      <c r="C2589">
        <v>847871</v>
      </c>
      <c r="D2589" t="s">
        <v>18</v>
      </c>
      <c r="E2589" t="s">
        <v>16</v>
      </c>
      <c r="F2589" t="s">
        <v>12</v>
      </c>
      <c r="G2589" t="s">
        <v>13</v>
      </c>
      <c r="H2589" t="s">
        <v>13</v>
      </c>
      <c r="I2589">
        <v>51</v>
      </c>
      <c r="J2589" t="str" cm="1">
        <f t="array" ref="J2589">_xlfn.IFS(ISBLANK(C2589),"FALTANTE",ABS((C2589-$W$5)/$X$5)&gt;1.96,"ATÍPICO",ABS((C2589-$W$5)/$X$5)&lt;=1.96,"NO ATÍPICO")</f>
        <v>NO ATÍPICO</v>
      </c>
      <c r="K2589" t="str" cm="1">
        <f t="array" ref="K2589">_xlfn.IFS(ISBLANK(I2589),"FALTANTE",ABS((I2589-$W$8)/$X$8)&gt;1.92,"ATÍPICO",ABS((I2589-$W$8)/$X$8)&lt;=1.92,"NO ATÍPICO")</f>
        <v>NO ATÍPICO</v>
      </c>
      <c r="L2589">
        <f t="shared" si="177"/>
        <v>847871</v>
      </c>
      <c r="M2589" t="str">
        <f t="shared" si="177"/>
        <v>TRABAJADOR INDEPENDIENTE</v>
      </c>
      <c r="N2589">
        <f t="shared" si="178"/>
        <v>51</v>
      </c>
      <c r="O2589" s="19" t="str">
        <f t="shared" si="179"/>
        <v>600k–900k</v>
      </c>
      <c r="P2589" s="19" t="str">
        <f t="shared" si="180"/>
        <v>46-55</v>
      </c>
    </row>
    <row r="2590" spans="1:16" x14ac:dyDescent="0.25">
      <c r="A2590">
        <v>2589</v>
      </c>
      <c r="B2590" t="s">
        <v>15</v>
      </c>
      <c r="C2590">
        <v>388987.92</v>
      </c>
      <c r="D2590" t="s">
        <v>10</v>
      </c>
      <c r="E2590" t="s">
        <v>11</v>
      </c>
      <c r="F2590" t="s">
        <v>12</v>
      </c>
      <c r="G2590" t="s">
        <v>13</v>
      </c>
      <c r="H2590" t="s">
        <v>13</v>
      </c>
      <c r="I2590">
        <v>25</v>
      </c>
      <c r="J2590" t="str" cm="1">
        <f t="array" ref="J2590">_xlfn.IFS(ISBLANK(C2590),"FALTANTE",ABS((C2590-$W$5)/$X$5)&gt;1.96,"ATÍPICO",ABS((C2590-$W$5)/$X$5)&lt;=1.96,"NO ATÍPICO")</f>
        <v>NO ATÍPICO</v>
      </c>
      <c r="K2590" t="str" cm="1">
        <f t="array" ref="K2590">_xlfn.IFS(ISBLANK(I2590),"FALTANTE",ABS((I2590-$W$8)/$X$8)&gt;1.92,"ATÍPICO",ABS((I2590-$W$8)/$X$8)&lt;=1.92,"NO ATÍPICO")</f>
        <v>NO ATÍPICO</v>
      </c>
      <c r="L2590">
        <f t="shared" si="177"/>
        <v>388987.92</v>
      </c>
      <c r="M2590" t="str">
        <f t="shared" si="177"/>
        <v>ASALARIADO</v>
      </c>
      <c r="N2590">
        <f t="shared" si="178"/>
        <v>25</v>
      </c>
      <c r="O2590" s="19" t="str">
        <f t="shared" si="179"/>
        <v>300k–600k</v>
      </c>
      <c r="P2590" s="19" t="str">
        <f t="shared" si="180"/>
        <v>18-25</v>
      </c>
    </row>
    <row r="2591" spans="1:16" x14ac:dyDescent="0.25">
      <c r="A2591">
        <v>2590</v>
      </c>
      <c r="B2591" t="s">
        <v>9</v>
      </c>
      <c r="C2591">
        <v>348650</v>
      </c>
      <c r="D2591" t="s">
        <v>10</v>
      </c>
      <c r="E2591" t="s">
        <v>16</v>
      </c>
      <c r="F2591" t="s">
        <v>12</v>
      </c>
      <c r="G2591" t="s">
        <v>12</v>
      </c>
      <c r="H2591" t="s">
        <v>13</v>
      </c>
      <c r="I2591">
        <v>52</v>
      </c>
      <c r="J2591" t="str" cm="1">
        <f t="array" ref="J2591">_xlfn.IFS(ISBLANK(C2591),"FALTANTE",ABS((C2591-$W$5)/$X$5)&gt;1.96,"ATÍPICO",ABS((C2591-$W$5)/$X$5)&lt;=1.96,"NO ATÍPICO")</f>
        <v>NO ATÍPICO</v>
      </c>
      <c r="K2591" t="str" cm="1">
        <f t="array" ref="K2591">_xlfn.IFS(ISBLANK(I2591),"FALTANTE",ABS((I2591-$W$8)/$X$8)&gt;1.92,"ATÍPICO",ABS((I2591-$W$8)/$X$8)&lt;=1.92,"NO ATÍPICO")</f>
        <v>NO ATÍPICO</v>
      </c>
      <c r="L2591">
        <f t="shared" si="177"/>
        <v>348650</v>
      </c>
      <c r="M2591" t="str">
        <f t="shared" si="177"/>
        <v>ASALARIADO</v>
      </c>
      <c r="N2591">
        <f t="shared" si="178"/>
        <v>52</v>
      </c>
      <c r="O2591" s="19" t="str">
        <f t="shared" si="179"/>
        <v>300k–600k</v>
      </c>
      <c r="P2591" s="19" t="str">
        <f t="shared" si="180"/>
        <v>46-55</v>
      </c>
    </row>
    <row r="2592" spans="1:16" x14ac:dyDescent="0.25">
      <c r="A2592">
        <v>2591</v>
      </c>
      <c r="B2592" t="s">
        <v>9</v>
      </c>
      <c r="C2592">
        <v>520560</v>
      </c>
      <c r="D2592" t="s">
        <v>10</v>
      </c>
      <c r="E2592" t="s">
        <v>16</v>
      </c>
      <c r="F2592" t="s">
        <v>12</v>
      </c>
      <c r="G2592" t="s">
        <v>13</v>
      </c>
      <c r="H2592" t="s">
        <v>13</v>
      </c>
      <c r="I2592">
        <v>40</v>
      </c>
      <c r="J2592" t="str" cm="1">
        <f t="array" ref="J2592">_xlfn.IFS(ISBLANK(C2592),"FALTANTE",ABS((C2592-$W$5)/$X$5)&gt;1.96,"ATÍPICO",ABS((C2592-$W$5)/$X$5)&lt;=1.96,"NO ATÍPICO")</f>
        <v>NO ATÍPICO</v>
      </c>
      <c r="K2592" t="str" cm="1">
        <f t="array" ref="K2592">_xlfn.IFS(ISBLANK(I2592),"FALTANTE",ABS((I2592-$W$8)/$X$8)&gt;1.92,"ATÍPICO",ABS((I2592-$W$8)/$X$8)&lt;=1.92,"NO ATÍPICO")</f>
        <v>NO ATÍPICO</v>
      </c>
      <c r="L2592">
        <f t="shared" si="177"/>
        <v>520560</v>
      </c>
      <c r="M2592" t="str">
        <f t="shared" si="177"/>
        <v>ASALARIADO</v>
      </c>
      <c r="N2592">
        <f t="shared" si="178"/>
        <v>40</v>
      </c>
      <c r="O2592" s="19" t="str">
        <f t="shared" si="179"/>
        <v>300k–600k</v>
      </c>
      <c r="P2592" s="19" t="str">
        <f t="shared" si="180"/>
        <v>36-45</v>
      </c>
    </row>
    <row r="2593" spans="1:16" x14ac:dyDescent="0.25">
      <c r="A2593">
        <v>2592</v>
      </c>
      <c r="B2593" t="s">
        <v>9</v>
      </c>
      <c r="C2593">
        <v>369500</v>
      </c>
      <c r="D2593" t="s">
        <v>10</v>
      </c>
      <c r="E2593" t="s">
        <v>16</v>
      </c>
      <c r="F2593" t="s">
        <v>12</v>
      </c>
      <c r="G2593" t="s">
        <v>13</v>
      </c>
      <c r="H2593" t="s">
        <v>13</v>
      </c>
      <c r="I2593">
        <v>43</v>
      </c>
      <c r="J2593" t="str" cm="1">
        <f t="array" ref="J2593">_xlfn.IFS(ISBLANK(C2593),"FALTANTE",ABS((C2593-$W$5)/$X$5)&gt;1.96,"ATÍPICO",ABS((C2593-$W$5)/$X$5)&lt;=1.96,"NO ATÍPICO")</f>
        <v>NO ATÍPICO</v>
      </c>
      <c r="K2593" t="str" cm="1">
        <f t="array" ref="K2593">_xlfn.IFS(ISBLANK(I2593),"FALTANTE",ABS((I2593-$W$8)/$X$8)&gt;1.92,"ATÍPICO",ABS((I2593-$W$8)/$X$8)&lt;=1.92,"NO ATÍPICO")</f>
        <v>NO ATÍPICO</v>
      </c>
      <c r="L2593">
        <f t="shared" si="177"/>
        <v>369500</v>
      </c>
      <c r="M2593" t="str">
        <f t="shared" si="177"/>
        <v>ASALARIADO</v>
      </c>
      <c r="N2593">
        <f t="shared" si="178"/>
        <v>43</v>
      </c>
      <c r="O2593" s="19" t="str">
        <f t="shared" si="179"/>
        <v>300k–600k</v>
      </c>
      <c r="P2593" s="19" t="str">
        <f t="shared" si="180"/>
        <v>36-45</v>
      </c>
    </row>
    <row r="2594" spans="1:16" x14ac:dyDescent="0.25">
      <c r="A2594">
        <v>2593</v>
      </c>
      <c r="B2594" t="s">
        <v>9</v>
      </c>
      <c r="C2594">
        <v>101351.8</v>
      </c>
      <c r="D2594" t="s">
        <v>10</v>
      </c>
      <c r="E2594" t="s">
        <v>16</v>
      </c>
      <c r="F2594" t="s">
        <v>12</v>
      </c>
      <c r="G2594" t="s">
        <v>13</v>
      </c>
      <c r="H2594" t="s">
        <v>13</v>
      </c>
      <c r="I2594">
        <v>25</v>
      </c>
      <c r="J2594" t="str" cm="1">
        <f t="array" ref="J2594">_xlfn.IFS(ISBLANK(C2594),"FALTANTE",ABS((C2594-$W$5)/$X$5)&gt;1.96,"ATÍPICO",ABS((C2594-$W$5)/$X$5)&lt;=1.96,"NO ATÍPICO")</f>
        <v>NO ATÍPICO</v>
      </c>
      <c r="K2594" t="str" cm="1">
        <f t="array" ref="K2594">_xlfn.IFS(ISBLANK(I2594),"FALTANTE",ABS((I2594-$W$8)/$X$8)&gt;1.92,"ATÍPICO",ABS((I2594-$W$8)/$X$8)&lt;=1.92,"NO ATÍPICO")</f>
        <v>NO ATÍPICO</v>
      </c>
      <c r="L2594">
        <f t="shared" si="177"/>
        <v>101351.8</v>
      </c>
      <c r="M2594" t="str">
        <f t="shared" si="177"/>
        <v>ASALARIADO</v>
      </c>
      <c r="N2594">
        <f t="shared" si="178"/>
        <v>25</v>
      </c>
      <c r="O2594" s="19" t="str">
        <f t="shared" si="179"/>
        <v>0–300k</v>
      </c>
      <c r="P2594" s="19" t="str">
        <f t="shared" si="180"/>
        <v>18-25</v>
      </c>
    </row>
    <row r="2595" spans="1:16" x14ac:dyDescent="0.25">
      <c r="A2595">
        <v>2594</v>
      </c>
      <c r="B2595" t="s">
        <v>9</v>
      </c>
      <c r="C2595">
        <v>3080767.52</v>
      </c>
      <c r="D2595" t="s">
        <v>10</v>
      </c>
      <c r="E2595" t="s">
        <v>11</v>
      </c>
      <c r="F2595" t="s">
        <v>12</v>
      </c>
      <c r="G2595" t="s">
        <v>13</v>
      </c>
      <c r="H2595" t="s">
        <v>13</v>
      </c>
      <c r="I2595">
        <v>42</v>
      </c>
      <c r="J2595" t="str" cm="1">
        <f t="array" ref="J2595">_xlfn.IFS(ISBLANK(C2595),"FALTANTE",ABS((C2595-$W$5)/$X$5)&gt;1.96,"ATÍPICO",ABS((C2595-$W$5)/$X$5)&lt;=1.96,"NO ATÍPICO")</f>
        <v>ATÍPICO</v>
      </c>
      <c r="K2595" t="str" cm="1">
        <f t="array" ref="K2595">_xlfn.IFS(ISBLANK(I2595),"FALTANTE",ABS((I2595-$W$8)/$X$8)&gt;1.92,"ATÍPICO",ABS((I2595-$W$8)/$X$8)&lt;=1.92,"NO ATÍPICO")</f>
        <v>NO ATÍPICO</v>
      </c>
      <c r="L2595">
        <f t="shared" si="177"/>
        <v>3080767.52</v>
      </c>
      <c r="M2595" t="str">
        <f t="shared" si="177"/>
        <v>ASALARIADO</v>
      </c>
      <c r="N2595">
        <f t="shared" si="178"/>
        <v>42</v>
      </c>
      <c r="O2595" s="19" t="str">
        <f t="shared" si="179"/>
        <v>1200k+</v>
      </c>
      <c r="P2595" s="19" t="str">
        <f t="shared" si="180"/>
        <v>36-45</v>
      </c>
    </row>
    <row r="2596" spans="1:16" x14ac:dyDescent="0.25">
      <c r="A2596">
        <v>2595</v>
      </c>
      <c r="B2596" t="s">
        <v>9</v>
      </c>
      <c r="C2596">
        <v>380217</v>
      </c>
      <c r="D2596" t="s">
        <v>18</v>
      </c>
      <c r="E2596" t="s">
        <v>16</v>
      </c>
      <c r="F2596" t="s">
        <v>12</v>
      </c>
      <c r="G2596" t="s">
        <v>13</v>
      </c>
      <c r="H2596" t="s">
        <v>12</v>
      </c>
      <c r="I2596">
        <v>46</v>
      </c>
      <c r="J2596" t="str" cm="1">
        <f t="array" ref="J2596">_xlfn.IFS(ISBLANK(C2596),"FALTANTE",ABS((C2596-$W$5)/$X$5)&gt;1.96,"ATÍPICO",ABS((C2596-$W$5)/$X$5)&lt;=1.96,"NO ATÍPICO")</f>
        <v>NO ATÍPICO</v>
      </c>
      <c r="K2596" t="str" cm="1">
        <f t="array" ref="K2596">_xlfn.IFS(ISBLANK(I2596),"FALTANTE",ABS((I2596-$W$8)/$X$8)&gt;1.92,"ATÍPICO",ABS((I2596-$W$8)/$X$8)&lt;=1.92,"NO ATÍPICO")</f>
        <v>NO ATÍPICO</v>
      </c>
      <c r="L2596">
        <f t="shared" si="177"/>
        <v>380217</v>
      </c>
      <c r="M2596" t="str">
        <f t="shared" si="177"/>
        <v>TRABAJADOR INDEPENDIENTE</v>
      </c>
      <c r="N2596">
        <f t="shared" si="178"/>
        <v>46</v>
      </c>
      <c r="O2596" s="19" t="str">
        <f t="shared" si="179"/>
        <v>300k–600k</v>
      </c>
      <c r="P2596" s="19" t="str">
        <f t="shared" si="180"/>
        <v>46-55</v>
      </c>
    </row>
    <row r="2597" spans="1:16" x14ac:dyDescent="0.25">
      <c r="A2597">
        <v>2596</v>
      </c>
      <c r="B2597" t="s">
        <v>15</v>
      </c>
      <c r="C2597">
        <v>285000</v>
      </c>
      <c r="D2597" t="s">
        <v>10</v>
      </c>
      <c r="E2597" t="s">
        <v>16</v>
      </c>
      <c r="F2597" t="s">
        <v>12</v>
      </c>
      <c r="G2597" t="s">
        <v>13</v>
      </c>
      <c r="H2597" t="s">
        <v>13</v>
      </c>
      <c r="I2597">
        <v>42</v>
      </c>
      <c r="J2597" t="str" cm="1">
        <f t="array" ref="J2597">_xlfn.IFS(ISBLANK(C2597),"FALTANTE",ABS((C2597-$W$5)/$X$5)&gt;1.96,"ATÍPICO",ABS((C2597-$W$5)/$X$5)&lt;=1.96,"NO ATÍPICO")</f>
        <v>NO ATÍPICO</v>
      </c>
      <c r="K2597" t="str" cm="1">
        <f t="array" ref="K2597">_xlfn.IFS(ISBLANK(I2597),"FALTANTE",ABS((I2597-$W$8)/$X$8)&gt;1.92,"ATÍPICO",ABS((I2597-$W$8)/$X$8)&lt;=1.92,"NO ATÍPICO")</f>
        <v>NO ATÍPICO</v>
      </c>
      <c r="L2597">
        <f t="shared" si="177"/>
        <v>285000</v>
      </c>
      <c r="M2597" t="str">
        <f t="shared" si="177"/>
        <v>ASALARIADO</v>
      </c>
      <c r="N2597">
        <f t="shared" si="178"/>
        <v>42</v>
      </c>
      <c r="O2597" s="19" t="str">
        <f t="shared" si="179"/>
        <v>0–300k</v>
      </c>
      <c r="P2597" s="19" t="str">
        <f t="shared" si="180"/>
        <v>36-45</v>
      </c>
    </row>
    <row r="2598" spans="1:16" x14ac:dyDescent="0.25">
      <c r="A2598">
        <v>2597</v>
      </c>
      <c r="B2598" t="s">
        <v>9</v>
      </c>
      <c r="C2598">
        <v>169374</v>
      </c>
      <c r="D2598" t="s">
        <v>10</v>
      </c>
      <c r="E2598" t="s">
        <v>16</v>
      </c>
      <c r="F2598" t="s">
        <v>12</v>
      </c>
      <c r="G2598" t="s">
        <v>12</v>
      </c>
      <c r="H2598" t="s">
        <v>12</v>
      </c>
      <c r="I2598">
        <v>44</v>
      </c>
      <c r="J2598" t="str" cm="1">
        <f t="array" ref="J2598">_xlfn.IFS(ISBLANK(C2598),"FALTANTE",ABS((C2598-$W$5)/$X$5)&gt;1.96,"ATÍPICO",ABS((C2598-$W$5)/$X$5)&lt;=1.96,"NO ATÍPICO")</f>
        <v>NO ATÍPICO</v>
      </c>
      <c r="K2598" t="str" cm="1">
        <f t="array" ref="K2598">_xlfn.IFS(ISBLANK(I2598),"FALTANTE",ABS((I2598-$W$8)/$X$8)&gt;1.92,"ATÍPICO",ABS((I2598-$W$8)/$X$8)&lt;=1.92,"NO ATÍPICO")</f>
        <v>NO ATÍPICO</v>
      </c>
      <c r="L2598">
        <f t="shared" si="177"/>
        <v>169374</v>
      </c>
      <c r="M2598" t="str">
        <f t="shared" si="177"/>
        <v>ASALARIADO</v>
      </c>
      <c r="N2598">
        <f t="shared" si="178"/>
        <v>44</v>
      </c>
      <c r="O2598" s="19" t="str">
        <f t="shared" si="179"/>
        <v>0–300k</v>
      </c>
      <c r="P2598" s="19" t="str">
        <f t="shared" si="180"/>
        <v>36-45</v>
      </c>
    </row>
    <row r="2599" spans="1:16" x14ac:dyDescent="0.25">
      <c r="A2599">
        <v>2598</v>
      </c>
      <c r="B2599" t="s">
        <v>9</v>
      </c>
      <c r="C2599">
        <v>359250</v>
      </c>
      <c r="D2599" t="s">
        <v>10</v>
      </c>
      <c r="E2599" t="s">
        <v>16</v>
      </c>
      <c r="F2599" t="s">
        <v>12</v>
      </c>
      <c r="G2599" t="s">
        <v>13</v>
      </c>
      <c r="H2599" t="s">
        <v>13</v>
      </c>
      <c r="I2599">
        <v>24</v>
      </c>
      <c r="J2599" t="str" cm="1">
        <f t="array" ref="J2599">_xlfn.IFS(ISBLANK(C2599),"FALTANTE",ABS((C2599-$W$5)/$X$5)&gt;1.96,"ATÍPICO",ABS((C2599-$W$5)/$X$5)&lt;=1.96,"NO ATÍPICO")</f>
        <v>NO ATÍPICO</v>
      </c>
      <c r="K2599" t="str" cm="1">
        <f t="array" ref="K2599">_xlfn.IFS(ISBLANK(I2599),"FALTANTE",ABS((I2599-$W$8)/$X$8)&gt;1.92,"ATÍPICO",ABS((I2599-$W$8)/$X$8)&lt;=1.92,"NO ATÍPICO")</f>
        <v>NO ATÍPICO</v>
      </c>
      <c r="L2599">
        <f t="shared" si="177"/>
        <v>359250</v>
      </c>
      <c r="M2599" t="str">
        <f t="shared" si="177"/>
        <v>ASALARIADO</v>
      </c>
      <c r="N2599">
        <f t="shared" si="178"/>
        <v>24</v>
      </c>
      <c r="O2599" s="19" t="str">
        <f t="shared" si="179"/>
        <v>300k–600k</v>
      </c>
      <c r="P2599" s="19" t="str">
        <f t="shared" si="180"/>
        <v>18-25</v>
      </c>
    </row>
    <row r="2600" spans="1:16" x14ac:dyDescent="0.25">
      <c r="A2600">
        <v>2599</v>
      </c>
      <c r="B2600" t="s">
        <v>15</v>
      </c>
      <c r="C2600">
        <v>278030</v>
      </c>
      <c r="D2600" t="s">
        <v>21</v>
      </c>
      <c r="E2600" t="s">
        <v>16</v>
      </c>
      <c r="F2600" t="s">
        <v>12</v>
      </c>
      <c r="G2600" t="s">
        <v>13</v>
      </c>
      <c r="H2600" t="s">
        <v>13</v>
      </c>
      <c r="I2600">
        <v>25</v>
      </c>
      <c r="J2600" t="str" cm="1">
        <f t="array" ref="J2600">_xlfn.IFS(ISBLANK(C2600),"FALTANTE",ABS((C2600-$W$5)/$X$5)&gt;1.96,"ATÍPICO",ABS((C2600-$W$5)/$X$5)&lt;=1.96,"NO ATÍPICO")</f>
        <v>NO ATÍPICO</v>
      </c>
      <c r="K2600" t="str" cm="1">
        <f t="array" ref="K2600">_xlfn.IFS(ISBLANK(I2600),"FALTANTE",ABS((I2600-$W$8)/$X$8)&gt;1.92,"ATÍPICO",ABS((I2600-$W$8)/$X$8)&lt;=1.92,"NO ATÍPICO")</f>
        <v>NO ATÍPICO</v>
      </c>
      <c r="L2600">
        <f t="shared" si="177"/>
        <v>278030</v>
      </c>
      <c r="M2600" t="str">
        <f t="shared" si="177"/>
        <v>CONVENIOS ESPECIALES DE ASEGURADOS VOLUNTARIOS</v>
      </c>
      <c r="N2600">
        <f t="shared" si="178"/>
        <v>25</v>
      </c>
      <c r="O2600" s="19" t="str">
        <f t="shared" si="179"/>
        <v>0–300k</v>
      </c>
      <c r="P2600" s="19" t="str">
        <f t="shared" si="180"/>
        <v>18-25</v>
      </c>
    </row>
    <row r="2601" spans="1:16" x14ac:dyDescent="0.25">
      <c r="A2601">
        <v>2600</v>
      </c>
      <c r="B2601" t="s">
        <v>9</v>
      </c>
      <c r="C2601">
        <v>517494</v>
      </c>
      <c r="D2601" t="s">
        <v>18</v>
      </c>
      <c r="E2601" t="s">
        <v>16</v>
      </c>
      <c r="F2601" t="s">
        <v>12</v>
      </c>
      <c r="G2601" t="s">
        <v>13</v>
      </c>
      <c r="H2601" t="s">
        <v>12</v>
      </c>
      <c r="I2601">
        <v>38</v>
      </c>
      <c r="J2601" t="str" cm="1">
        <f t="array" ref="J2601">_xlfn.IFS(ISBLANK(C2601),"FALTANTE",ABS((C2601-$W$5)/$X$5)&gt;1.96,"ATÍPICO",ABS((C2601-$W$5)/$X$5)&lt;=1.96,"NO ATÍPICO")</f>
        <v>NO ATÍPICO</v>
      </c>
      <c r="K2601" t="str" cm="1">
        <f t="array" ref="K2601">_xlfn.IFS(ISBLANK(I2601),"FALTANTE",ABS((I2601-$W$8)/$X$8)&gt;1.92,"ATÍPICO",ABS((I2601-$W$8)/$X$8)&lt;=1.92,"NO ATÍPICO")</f>
        <v>NO ATÍPICO</v>
      </c>
      <c r="L2601">
        <f t="shared" si="177"/>
        <v>517494</v>
      </c>
      <c r="M2601" t="str">
        <f t="shared" si="177"/>
        <v>TRABAJADOR INDEPENDIENTE</v>
      </c>
      <c r="N2601">
        <f t="shared" si="178"/>
        <v>38</v>
      </c>
      <c r="O2601" s="19" t="str">
        <f t="shared" si="179"/>
        <v>300k–600k</v>
      </c>
      <c r="P2601" s="19" t="str">
        <f t="shared" si="180"/>
        <v>36-45</v>
      </c>
    </row>
    <row r="2602" spans="1:16" x14ac:dyDescent="0.25">
      <c r="A2602">
        <v>2601</v>
      </c>
      <c r="B2602" t="s">
        <v>9</v>
      </c>
      <c r="C2602">
        <v>300366</v>
      </c>
      <c r="D2602" t="s">
        <v>10</v>
      </c>
      <c r="E2602" t="s">
        <v>16</v>
      </c>
      <c r="F2602" t="s">
        <v>12</v>
      </c>
      <c r="G2602" t="s">
        <v>12</v>
      </c>
      <c r="H2602" t="s">
        <v>13</v>
      </c>
      <c r="I2602">
        <v>25</v>
      </c>
      <c r="J2602" t="str" cm="1">
        <f t="array" ref="J2602">_xlfn.IFS(ISBLANK(C2602),"FALTANTE",ABS((C2602-$W$5)/$X$5)&gt;1.96,"ATÍPICO",ABS((C2602-$W$5)/$X$5)&lt;=1.96,"NO ATÍPICO")</f>
        <v>NO ATÍPICO</v>
      </c>
      <c r="K2602" t="str" cm="1">
        <f t="array" ref="K2602">_xlfn.IFS(ISBLANK(I2602),"FALTANTE",ABS((I2602-$W$8)/$X$8)&gt;1.92,"ATÍPICO",ABS((I2602-$W$8)/$X$8)&lt;=1.92,"NO ATÍPICO")</f>
        <v>NO ATÍPICO</v>
      </c>
      <c r="L2602">
        <f t="shared" si="177"/>
        <v>300366</v>
      </c>
      <c r="M2602" t="str">
        <f t="shared" si="177"/>
        <v>ASALARIADO</v>
      </c>
      <c r="N2602">
        <f t="shared" si="178"/>
        <v>25</v>
      </c>
      <c r="O2602" s="19" t="str">
        <f t="shared" si="179"/>
        <v>300k–600k</v>
      </c>
      <c r="P2602" s="19" t="str">
        <f t="shared" si="180"/>
        <v>18-25</v>
      </c>
    </row>
    <row r="2603" spans="1:16" x14ac:dyDescent="0.25">
      <c r="A2603">
        <v>2602</v>
      </c>
      <c r="B2603" t="s">
        <v>9</v>
      </c>
      <c r="C2603">
        <v>297045</v>
      </c>
      <c r="D2603" t="s">
        <v>18</v>
      </c>
      <c r="E2603" t="s">
        <v>16</v>
      </c>
      <c r="F2603" t="s">
        <v>12</v>
      </c>
      <c r="G2603" t="s">
        <v>13</v>
      </c>
      <c r="H2603" t="s">
        <v>13</v>
      </c>
      <c r="I2603">
        <v>22</v>
      </c>
      <c r="J2603" t="str" cm="1">
        <f t="array" ref="J2603">_xlfn.IFS(ISBLANK(C2603),"FALTANTE",ABS((C2603-$W$5)/$X$5)&gt;1.96,"ATÍPICO",ABS((C2603-$W$5)/$X$5)&lt;=1.96,"NO ATÍPICO")</f>
        <v>NO ATÍPICO</v>
      </c>
      <c r="K2603" t="str" cm="1">
        <f t="array" ref="K2603">_xlfn.IFS(ISBLANK(I2603),"FALTANTE",ABS((I2603-$W$8)/$X$8)&gt;1.92,"ATÍPICO",ABS((I2603-$W$8)/$X$8)&lt;=1.92,"NO ATÍPICO")</f>
        <v>NO ATÍPICO</v>
      </c>
      <c r="L2603">
        <f t="shared" si="177"/>
        <v>297045</v>
      </c>
      <c r="M2603" t="str">
        <f t="shared" si="177"/>
        <v>TRABAJADOR INDEPENDIENTE</v>
      </c>
      <c r="N2603">
        <f t="shared" si="178"/>
        <v>22</v>
      </c>
      <c r="O2603" s="19" t="str">
        <f t="shared" si="179"/>
        <v>0–300k</v>
      </c>
      <c r="P2603" s="19" t="str">
        <f t="shared" si="180"/>
        <v>18-25</v>
      </c>
    </row>
    <row r="2604" spans="1:16" x14ac:dyDescent="0.25">
      <c r="A2604">
        <v>2603</v>
      </c>
      <c r="B2604" t="s">
        <v>15</v>
      </c>
      <c r="C2604">
        <v>1214327</v>
      </c>
      <c r="D2604" t="s">
        <v>10</v>
      </c>
      <c r="E2604" t="s">
        <v>11</v>
      </c>
      <c r="F2604" t="s">
        <v>12</v>
      </c>
      <c r="G2604" t="s">
        <v>13</v>
      </c>
      <c r="H2604" t="s">
        <v>13</v>
      </c>
      <c r="I2604">
        <v>56</v>
      </c>
      <c r="J2604" t="str" cm="1">
        <f t="array" ref="J2604">_xlfn.IFS(ISBLANK(C2604),"FALTANTE",ABS((C2604-$W$5)/$X$5)&gt;1.96,"ATÍPICO",ABS((C2604-$W$5)/$X$5)&lt;=1.96,"NO ATÍPICO")</f>
        <v>NO ATÍPICO</v>
      </c>
      <c r="K2604" t="str" cm="1">
        <f t="array" ref="K2604">_xlfn.IFS(ISBLANK(I2604),"FALTANTE",ABS((I2604-$W$8)/$X$8)&gt;1.92,"ATÍPICO",ABS((I2604-$W$8)/$X$8)&lt;=1.92,"NO ATÍPICO")</f>
        <v>NO ATÍPICO</v>
      </c>
      <c r="L2604">
        <f t="shared" si="177"/>
        <v>1214327</v>
      </c>
      <c r="M2604" t="str">
        <f t="shared" si="177"/>
        <v>ASALARIADO</v>
      </c>
      <c r="N2604">
        <f t="shared" si="178"/>
        <v>56</v>
      </c>
      <c r="O2604" s="19" t="str">
        <f t="shared" si="179"/>
        <v>1200k+</v>
      </c>
      <c r="P2604" s="19" t="str">
        <f t="shared" si="180"/>
        <v>56+</v>
      </c>
    </row>
    <row r="2605" spans="1:16" x14ac:dyDescent="0.25">
      <c r="A2605">
        <v>2604</v>
      </c>
      <c r="B2605" t="s">
        <v>15</v>
      </c>
      <c r="C2605">
        <v>353400</v>
      </c>
      <c r="D2605" t="s">
        <v>10</v>
      </c>
      <c r="E2605" t="s">
        <v>16</v>
      </c>
      <c r="F2605" t="s">
        <v>12</v>
      </c>
      <c r="G2605" t="s">
        <v>12</v>
      </c>
      <c r="H2605" t="s">
        <v>13</v>
      </c>
      <c r="I2605">
        <v>47</v>
      </c>
      <c r="J2605" t="str" cm="1">
        <f t="array" ref="J2605">_xlfn.IFS(ISBLANK(C2605),"FALTANTE",ABS((C2605-$W$5)/$X$5)&gt;1.96,"ATÍPICO",ABS((C2605-$W$5)/$X$5)&lt;=1.96,"NO ATÍPICO")</f>
        <v>NO ATÍPICO</v>
      </c>
      <c r="K2605" t="str" cm="1">
        <f t="array" ref="K2605">_xlfn.IFS(ISBLANK(I2605),"FALTANTE",ABS((I2605-$W$8)/$X$8)&gt;1.92,"ATÍPICO",ABS((I2605-$W$8)/$X$8)&lt;=1.92,"NO ATÍPICO")</f>
        <v>NO ATÍPICO</v>
      </c>
      <c r="L2605">
        <f t="shared" si="177"/>
        <v>353400</v>
      </c>
      <c r="M2605" t="str">
        <f t="shared" si="177"/>
        <v>ASALARIADO</v>
      </c>
      <c r="N2605">
        <f t="shared" si="178"/>
        <v>47</v>
      </c>
      <c r="O2605" s="19" t="str">
        <f t="shared" si="179"/>
        <v>300k–600k</v>
      </c>
      <c r="P2605" s="19" t="str">
        <f t="shared" si="180"/>
        <v>46-55</v>
      </c>
    </row>
    <row r="2606" spans="1:16" x14ac:dyDescent="0.25">
      <c r="A2606">
        <v>2605</v>
      </c>
      <c r="B2606" t="s">
        <v>9</v>
      </c>
      <c r="C2606">
        <v>1614177</v>
      </c>
      <c r="D2606" t="s">
        <v>14</v>
      </c>
      <c r="E2606" t="s">
        <v>11</v>
      </c>
      <c r="F2606" t="s">
        <v>12</v>
      </c>
      <c r="G2606" t="s">
        <v>13</v>
      </c>
      <c r="H2606" t="s">
        <v>13</v>
      </c>
      <c r="I2606">
        <v>56</v>
      </c>
      <c r="J2606" t="str" cm="1">
        <f t="array" ref="J2606">_xlfn.IFS(ISBLANK(C2606),"FALTANTE",ABS((C2606-$W$5)/$X$5)&gt;1.96,"ATÍPICO",ABS((C2606-$W$5)/$X$5)&lt;=1.96,"NO ATÍPICO")</f>
        <v>NO ATÍPICO</v>
      </c>
      <c r="K2606" t="str" cm="1">
        <f t="array" ref="K2606">_xlfn.IFS(ISBLANK(I2606),"FALTANTE",ABS((I2606-$W$8)/$X$8)&gt;1.92,"ATÍPICO",ABS((I2606-$W$8)/$X$8)&lt;=1.92,"NO ATÍPICO")</f>
        <v>NO ATÍPICO</v>
      </c>
      <c r="L2606">
        <f t="shared" si="177"/>
        <v>1614177</v>
      </c>
      <c r="M2606" t="str">
        <f t="shared" si="177"/>
        <v>PENSIONADOS EN SU PROPIO SISTEMA</v>
      </c>
      <c r="N2606">
        <f t="shared" si="178"/>
        <v>56</v>
      </c>
      <c r="O2606" s="19" t="str">
        <f t="shared" si="179"/>
        <v>1200k+</v>
      </c>
      <c r="P2606" s="19" t="str">
        <f t="shared" si="180"/>
        <v>56+</v>
      </c>
    </row>
    <row r="2607" spans="1:16" x14ac:dyDescent="0.25">
      <c r="A2607">
        <v>2606</v>
      </c>
      <c r="B2607" t="s">
        <v>15</v>
      </c>
      <c r="C2607">
        <v>1488158</v>
      </c>
      <c r="D2607" t="s">
        <v>10</v>
      </c>
      <c r="E2607" t="s">
        <v>11</v>
      </c>
      <c r="F2607" t="s">
        <v>12</v>
      </c>
      <c r="G2607" t="s">
        <v>13</v>
      </c>
      <c r="H2607" t="s">
        <v>12</v>
      </c>
      <c r="I2607">
        <v>41</v>
      </c>
      <c r="J2607" t="str" cm="1">
        <f t="array" ref="J2607">_xlfn.IFS(ISBLANK(C2607),"FALTANTE",ABS((C2607-$W$5)/$X$5)&gt;1.96,"ATÍPICO",ABS((C2607-$W$5)/$X$5)&lt;=1.96,"NO ATÍPICO")</f>
        <v>NO ATÍPICO</v>
      </c>
      <c r="K2607" t="str" cm="1">
        <f t="array" ref="K2607">_xlfn.IFS(ISBLANK(I2607),"FALTANTE",ABS((I2607-$W$8)/$X$8)&gt;1.92,"ATÍPICO",ABS((I2607-$W$8)/$X$8)&lt;=1.92,"NO ATÍPICO")</f>
        <v>NO ATÍPICO</v>
      </c>
      <c r="L2607">
        <f t="shared" si="177"/>
        <v>1488158</v>
      </c>
      <c r="M2607" t="str">
        <f t="shared" si="177"/>
        <v>ASALARIADO</v>
      </c>
      <c r="N2607">
        <f t="shared" si="178"/>
        <v>41</v>
      </c>
      <c r="O2607" s="19" t="str">
        <f t="shared" si="179"/>
        <v>1200k+</v>
      </c>
      <c r="P2607" s="19" t="str">
        <f t="shared" si="180"/>
        <v>36-45</v>
      </c>
    </row>
    <row r="2608" spans="1:16" x14ac:dyDescent="0.25">
      <c r="A2608">
        <v>2607</v>
      </c>
      <c r="B2608" t="s">
        <v>15</v>
      </c>
      <c r="C2608">
        <v>353418</v>
      </c>
      <c r="D2608" t="s">
        <v>17</v>
      </c>
      <c r="E2608" t="s">
        <v>16</v>
      </c>
      <c r="F2608" t="s">
        <v>12</v>
      </c>
      <c r="G2608" t="s">
        <v>12</v>
      </c>
      <c r="H2608" t="s">
        <v>13</v>
      </c>
      <c r="I2608">
        <v>56</v>
      </c>
      <c r="J2608" t="str" cm="1">
        <f t="array" ref="J2608">_xlfn.IFS(ISBLANK(C2608),"FALTANTE",ABS((C2608-$W$5)/$X$5)&gt;1.96,"ATÍPICO",ABS((C2608-$W$5)/$X$5)&lt;=1.96,"NO ATÍPICO")</f>
        <v>NO ATÍPICO</v>
      </c>
      <c r="K2608" t="str" cm="1">
        <f t="array" ref="K2608">_xlfn.IFS(ISBLANK(I2608),"FALTANTE",ABS((I2608-$W$8)/$X$8)&gt;1.92,"ATÍPICO",ABS((I2608-$W$8)/$X$8)&lt;=1.92,"NO ATÍPICO")</f>
        <v>NO ATÍPICO</v>
      </c>
      <c r="L2608">
        <f t="shared" si="177"/>
        <v>353418</v>
      </c>
      <c r="M2608" t="str">
        <f t="shared" si="177"/>
        <v>ASEGURADO VOLUNTARIO</v>
      </c>
      <c r="N2608">
        <f t="shared" si="178"/>
        <v>56</v>
      </c>
      <c r="O2608" s="19" t="str">
        <f t="shared" si="179"/>
        <v>300k–600k</v>
      </c>
      <c r="P2608" s="19" t="str">
        <f t="shared" si="180"/>
        <v>56+</v>
      </c>
    </row>
    <row r="2609" spans="1:16" x14ac:dyDescent="0.25">
      <c r="A2609">
        <v>2608</v>
      </c>
      <c r="B2609" t="s">
        <v>9</v>
      </c>
      <c r="C2609">
        <v>819375</v>
      </c>
      <c r="D2609" t="s">
        <v>10</v>
      </c>
      <c r="E2609" t="s">
        <v>16</v>
      </c>
      <c r="F2609" t="s">
        <v>12</v>
      </c>
      <c r="G2609" t="s">
        <v>13</v>
      </c>
      <c r="H2609" t="s">
        <v>13</v>
      </c>
      <c r="I2609">
        <v>41</v>
      </c>
      <c r="J2609" t="str" cm="1">
        <f t="array" ref="J2609">_xlfn.IFS(ISBLANK(C2609),"FALTANTE",ABS((C2609-$W$5)/$X$5)&gt;1.96,"ATÍPICO",ABS((C2609-$W$5)/$X$5)&lt;=1.96,"NO ATÍPICO")</f>
        <v>NO ATÍPICO</v>
      </c>
      <c r="K2609" t="str" cm="1">
        <f t="array" ref="K2609">_xlfn.IFS(ISBLANK(I2609),"FALTANTE",ABS((I2609-$W$8)/$X$8)&gt;1.92,"ATÍPICO",ABS((I2609-$W$8)/$X$8)&lt;=1.92,"NO ATÍPICO")</f>
        <v>NO ATÍPICO</v>
      </c>
      <c r="L2609">
        <f t="shared" si="177"/>
        <v>819375</v>
      </c>
      <c r="M2609" t="str">
        <f t="shared" si="177"/>
        <v>ASALARIADO</v>
      </c>
      <c r="N2609">
        <f t="shared" si="178"/>
        <v>41</v>
      </c>
      <c r="O2609" s="19" t="str">
        <f t="shared" si="179"/>
        <v>600k–900k</v>
      </c>
      <c r="P2609" s="19" t="str">
        <f t="shared" si="180"/>
        <v>36-45</v>
      </c>
    </row>
    <row r="2610" spans="1:16" x14ac:dyDescent="0.25">
      <c r="A2610">
        <v>2609</v>
      </c>
      <c r="B2610" t="s">
        <v>15</v>
      </c>
      <c r="C2610">
        <v>1389523</v>
      </c>
      <c r="D2610" t="s">
        <v>10</v>
      </c>
      <c r="E2610" t="s">
        <v>11</v>
      </c>
      <c r="F2610" t="s">
        <v>12</v>
      </c>
      <c r="G2610" t="s">
        <v>13</v>
      </c>
      <c r="H2610" t="s">
        <v>12</v>
      </c>
      <c r="I2610">
        <v>48</v>
      </c>
      <c r="J2610" t="str" cm="1">
        <f t="array" ref="J2610">_xlfn.IFS(ISBLANK(C2610),"FALTANTE",ABS((C2610-$W$5)/$X$5)&gt;1.96,"ATÍPICO",ABS((C2610-$W$5)/$X$5)&lt;=1.96,"NO ATÍPICO")</f>
        <v>NO ATÍPICO</v>
      </c>
      <c r="K2610" t="str" cm="1">
        <f t="array" ref="K2610">_xlfn.IFS(ISBLANK(I2610),"FALTANTE",ABS((I2610-$W$8)/$X$8)&gt;1.92,"ATÍPICO",ABS((I2610-$W$8)/$X$8)&lt;=1.92,"NO ATÍPICO")</f>
        <v>NO ATÍPICO</v>
      </c>
      <c r="L2610">
        <f t="shared" si="177"/>
        <v>1389523</v>
      </c>
      <c r="M2610" t="str">
        <f t="shared" si="177"/>
        <v>ASALARIADO</v>
      </c>
      <c r="N2610">
        <f t="shared" si="178"/>
        <v>48</v>
      </c>
      <c r="O2610" s="19" t="str">
        <f t="shared" si="179"/>
        <v>1200k+</v>
      </c>
      <c r="P2610" s="19" t="str">
        <f t="shared" si="180"/>
        <v>46-55</v>
      </c>
    </row>
    <row r="2611" spans="1:16" x14ac:dyDescent="0.25">
      <c r="A2611">
        <v>2610</v>
      </c>
      <c r="B2611" t="s">
        <v>9</v>
      </c>
      <c r="C2611">
        <v>284326</v>
      </c>
      <c r="D2611" t="s">
        <v>10</v>
      </c>
      <c r="E2611" t="s">
        <v>16</v>
      </c>
      <c r="F2611" t="s">
        <v>12</v>
      </c>
      <c r="G2611" t="s">
        <v>13</v>
      </c>
      <c r="H2611" t="s">
        <v>13</v>
      </c>
      <c r="I2611">
        <v>28</v>
      </c>
      <c r="J2611" t="str" cm="1">
        <f t="array" ref="J2611">_xlfn.IFS(ISBLANK(C2611),"FALTANTE",ABS((C2611-$W$5)/$X$5)&gt;1.96,"ATÍPICO",ABS((C2611-$W$5)/$X$5)&lt;=1.96,"NO ATÍPICO")</f>
        <v>NO ATÍPICO</v>
      </c>
      <c r="K2611" t="str" cm="1">
        <f t="array" ref="K2611">_xlfn.IFS(ISBLANK(I2611),"FALTANTE",ABS((I2611-$W$8)/$X$8)&gt;1.92,"ATÍPICO",ABS((I2611-$W$8)/$X$8)&lt;=1.92,"NO ATÍPICO")</f>
        <v>NO ATÍPICO</v>
      </c>
      <c r="L2611">
        <f t="shared" si="177"/>
        <v>284326</v>
      </c>
      <c r="M2611" t="str">
        <f t="shared" si="177"/>
        <v>ASALARIADO</v>
      </c>
      <c r="N2611">
        <f t="shared" si="178"/>
        <v>28</v>
      </c>
      <c r="O2611" s="19" t="str">
        <f t="shared" si="179"/>
        <v>0–300k</v>
      </c>
      <c r="P2611" s="19" t="str">
        <f t="shared" si="180"/>
        <v>26-35</v>
      </c>
    </row>
    <row r="2612" spans="1:16" x14ac:dyDescent="0.25">
      <c r="A2612">
        <v>2611</v>
      </c>
      <c r="B2612" t="s">
        <v>9</v>
      </c>
      <c r="C2612">
        <v>1333022.48</v>
      </c>
      <c r="D2612" t="s">
        <v>10</v>
      </c>
      <c r="E2612" t="s">
        <v>11</v>
      </c>
      <c r="F2612" t="s">
        <v>12</v>
      </c>
      <c r="G2612" t="s">
        <v>13</v>
      </c>
      <c r="H2612" t="s">
        <v>13</v>
      </c>
      <c r="I2612">
        <v>40</v>
      </c>
      <c r="J2612" t="str" cm="1">
        <f t="array" ref="J2612">_xlfn.IFS(ISBLANK(C2612),"FALTANTE",ABS((C2612-$W$5)/$X$5)&gt;1.96,"ATÍPICO",ABS((C2612-$W$5)/$X$5)&lt;=1.96,"NO ATÍPICO")</f>
        <v>NO ATÍPICO</v>
      </c>
      <c r="K2612" t="str" cm="1">
        <f t="array" ref="K2612">_xlfn.IFS(ISBLANK(I2612),"FALTANTE",ABS((I2612-$W$8)/$X$8)&gt;1.92,"ATÍPICO",ABS((I2612-$W$8)/$X$8)&lt;=1.92,"NO ATÍPICO")</f>
        <v>NO ATÍPICO</v>
      </c>
      <c r="L2612">
        <f t="shared" si="177"/>
        <v>1333022.48</v>
      </c>
      <c r="M2612" t="str">
        <f t="shared" si="177"/>
        <v>ASALARIADO</v>
      </c>
      <c r="N2612">
        <f t="shared" si="178"/>
        <v>40</v>
      </c>
      <c r="O2612" s="19" t="str">
        <f t="shared" si="179"/>
        <v>1200k+</v>
      </c>
      <c r="P2612" s="19" t="str">
        <f t="shared" si="180"/>
        <v>36-45</v>
      </c>
    </row>
    <row r="2613" spans="1:16" x14ac:dyDescent="0.25">
      <c r="A2613">
        <v>2612</v>
      </c>
      <c r="B2613" t="s">
        <v>9</v>
      </c>
      <c r="C2613">
        <v>215720.6</v>
      </c>
      <c r="D2613" t="s">
        <v>10</v>
      </c>
      <c r="E2613" t="s">
        <v>16</v>
      </c>
      <c r="F2613" t="s">
        <v>12</v>
      </c>
      <c r="G2613" t="s">
        <v>13</v>
      </c>
      <c r="H2613" t="s">
        <v>13</v>
      </c>
      <c r="I2613">
        <v>30</v>
      </c>
      <c r="J2613" t="str" cm="1">
        <f t="array" ref="J2613">_xlfn.IFS(ISBLANK(C2613),"FALTANTE",ABS((C2613-$W$5)/$X$5)&gt;1.96,"ATÍPICO",ABS((C2613-$W$5)/$X$5)&lt;=1.96,"NO ATÍPICO")</f>
        <v>NO ATÍPICO</v>
      </c>
      <c r="K2613" t="str" cm="1">
        <f t="array" ref="K2613">_xlfn.IFS(ISBLANK(I2613),"FALTANTE",ABS((I2613-$W$8)/$X$8)&gt;1.92,"ATÍPICO",ABS((I2613-$W$8)/$X$8)&lt;=1.92,"NO ATÍPICO")</f>
        <v>NO ATÍPICO</v>
      </c>
      <c r="L2613">
        <f t="shared" si="177"/>
        <v>215720.6</v>
      </c>
      <c r="M2613" t="str">
        <f t="shared" si="177"/>
        <v>ASALARIADO</v>
      </c>
      <c r="N2613">
        <f t="shared" si="178"/>
        <v>30</v>
      </c>
      <c r="O2613" s="19" t="str">
        <f t="shared" si="179"/>
        <v>0–300k</v>
      </c>
      <c r="P2613" s="19" t="str">
        <f t="shared" si="180"/>
        <v>26-35</v>
      </c>
    </row>
    <row r="2614" spans="1:16" x14ac:dyDescent="0.25">
      <c r="A2614">
        <v>2613</v>
      </c>
      <c r="B2614" t="s">
        <v>9</v>
      </c>
      <c r="C2614">
        <v>327709.14</v>
      </c>
      <c r="D2614" t="s">
        <v>10</v>
      </c>
      <c r="E2614" t="s">
        <v>16</v>
      </c>
      <c r="F2614" t="s">
        <v>12</v>
      </c>
      <c r="G2614" t="s">
        <v>13</v>
      </c>
      <c r="H2614" t="s">
        <v>13</v>
      </c>
      <c r="I2614">
        <v>21</v>
      </c>
      <c r="J2614" t="str" cm="1">
        <f t="array" ref="J2614">_xlfn.IFS(ISBLANK(C2614),"FALTANTE",ABS((C2614-$W$5)/$X$5)&gt;1.96,"ATÍPICO",ABS((C2614-$W$5)/$X$5)&lt;=1.96,"NO ATÍPICO")</f>
        <v>NO ATÍPICO</v>
      </c>
      <c r="K2614" t="str" cm="1">
        <f t="array" ref="K2614">_xlfn.IFS(ISBLANK(I2614),"FALTANTE",ABS((I2614-$W$8)/$X$8)&gt;1.92,"ATÍPICO",ABS((I2614-$W$8)/$X$8)&lt;=1.92,"NO ATÍPICO")</f>
        <v>NO ATÍPICO</v>
      </c>
      <c r="L2614">
        <f t="shared" si="177"/>
        <v>327709.14</v>
      </c>
      <c r="M2614" t="str">
        <f t="shared" si="177"/>
        <v>ASALARIADO</v>
      </c>
      <c r="N2614">
        <f t="shared" si="178"/>
        <v>21</v>
      </c>
      <c r="O2614" s="19" t="str">
        <f t="shared" si="179"/>
        <v>300k–600k</v>
      </c>
      <c r="P2614" s="19" t="str">
        <f t="shared" si="180"/>
        <v>18-25</v>
      </c>
    </row>
    <row r="2615" spans="1:16" x14ac:dyDescent="0.25">
      <c r="A2615">
        <v>2614</v>
      </c>
      <c r="B2615" t="s">
        <v>9</v>
      </c>
      <c r="C2615">
        <v>342027</v>
      </c>
      <c r="D2615" t="s">
        <v>10</v>
      </c>
      <c r="E2615" t="s">
        <v>16</v>
      </c>
      <c r="F2615" t="s">
        <v>12</v>
      </c>
      <c r="G2615" t="s">
        <v>13</v>
      </c>
      <c r="H2615" t="s">
        <v>13</v>
      </c>
      <c r="I2615">
        <v>37</v>
      </c>
      <c r="J2615" t="str" cm="1">
        <f t="array" ref="J2615">_xlfn.IFS(ISBLANK(C2615),"FALTANTE",ABS((C2615-$W$5)/$X$5)&gt;1.96,"ATÍPICO",ABS((C2615-$W$5)/$X$5)&lt;=1.96,"NO ATÍPICO")</f>
        <v>NO ATÍPICO</v>
      </c>
      <c r="K2615" t="str" cm="1">
        <f t="array" ref="K2615">_xlfn.IFS(ISBLANK(I2615),"FALTANTE",ABS((I2615-$W$8)/$X$8)&gt;1.92,"ATÍPICO",ABS((I2615-$W$8)/$X$8)&lt;=1.92,"NO ATÍPICO")</f>
        <v>NO ATÍPICO</v>
      </c>
      <c r="L2615">
        <f t="shared" si="177"/>
        <v>342027</v>
      </c>
      <c r="M2615" t="str">
        <f t="shared" si="177"/>
        <v>ASALARIADO</v>
      </c>
      <c r="N2615">
        <f t="shared" si="178"/>
        <v>37</v>
      </c>
      <c r="O2615" s="19" t="str">
        <f t="shared" si="179"/>
        <v>300k–600k</v>
      </c>
      <c r="P2615" s="19" t="str">
        <f t="shared" si="180"/>
        <v>36-45</v>
      </c>
    </row>
    <row r="2616" spans="1:16" x14ac:dyDescent="0.25">
      <c r="A2616">
        <v>2615</v>
      </c>
      <c r="B2616" t="s">
        <v>15</v>
      </c>
      <c r="C2616">
        <v>1688298</v>
      </c>
      <c r="D2616" t="s">
        <v>10</v>
      </c>
      <c r="E2616" t="s">
        <v>11</v>
      </c>
      <c r="F2616" t="s">
        <v>12</v>
      </c>
      <c r="G2616" t="s">
        <v>13</v>
      </c>
      <c r="H2616" t="s">
        <v>13</v>
      </c>
      <c r="I2616">
        <v>48</v>
      </c>
      <c r="J2616" t="str" cm="1">
        <f t="array" ref="J2616">_xlfn.IFS(ISBLANK(C2616),"FALTANTE",ABS((C2616-$W$5)/$X$5)&gt;1.96,"ATÍPICO",ABS((C2616-$W$5)/$X$5)&lt;=1.96,"NO ATÍPICO")</f>
        <v>NO ATÍPICO</v>
      </c>
      <c r="K2616" t="str" cm="1">
        <f t="array" ref="K2616">_xlfn.IFS(ISBLANK(I2616),"FALTANTE",ABS((I2616-$W$8)/$X$8)&gt;1.92,"ATÍPICO",ABS((I2616-$W$8)/$X$8)&lt;=1.92,"NO ATÍPICO")</f>
        <v>NO ATÍPICO</v>
      </c>
      <c r="L2616">
        <f t="shared" si="177"/>
        <v>1688298</v>
      </c>
      <c r="M2616" t="str">
        <f t="shared" si="177"/>
        <v>ASALARIADO</v>
      </c>
      <c r="N2616">
        <f t="shared" si="178"/>
        <v>48</v>
      </c>
      <c r="O2616" s="19" t="str">
        <f t="shared" si="179"/>
        <v>1200k+</v>
      </c>
      <c r="P2616" s="19" t="str">
        <f t="shared" si="180"/>
        <v>46-55</v>
      </c>
    </row>
    <row r="2617" spans="1:16" x14ac:dyDescent="0.25">
      <c r="A2617">
        <v>2616</v>
      </c>
      <c r="B2617" t="s">
        <v>9</v>
      </c>
      <c r="C2617">
        <v>1000000</v>
      </c>
      <c r="D2617" t="s">
        <v>10</v>
      </c>
      <c r="E2617" t="s">
        <v>16</v>
      </c>
      <c r="F2617" t="s">
        <v>12</v>
      </c>
      <c r="G2617" t="s">
        <v>13</v>
      </c>
      <c r="H2617" t="s">
        <v>13</v>
      </c>
      <c r="I2617">
        <v>29</v>
      </c>
      <c r="J2617" t="str" cm="1">
        <f t="array" ref="J2617">_xlfn.IFS(ISBLANK(C2617),"FALTANTE",ABS((C2617-$W$5)/$X$5)&gt;1.96,"ATÍPICO",ABS((C2617-$W$5)/$X$5)&lt;=1.96,"NO ATÍPICO")</f>
        <v>NO ATÍPICO</v>
      </c>
      <c r="K2617" t="str" cm="1">
        <f t="array" ref="K2617">_xlfn.IFS(ISBLANK(I2617),"FALTANTE",ABS((I2617-$W$8)/$X$8)&gt;1.92,"ATÍPICO",ABS((I2617-$W$8)/$X$8)&lt;=1.92,"NO ATÍPICO")</f>
        <v>NO ATÍPICO</v>
      </c>
      <c r="L2617">
        <f t="shared" si="177"/>
        <v>1000000</v>
      </c>
      <c r="M2617" t="str">
        <f t="shared" si="177"/>
        <v>ASALARIADO</v>
      </c>
      <c r="N2617">
        <f t="shared" si="178"/>
        <v>29</v>
      </c>
      <c r="O2617" s="19" t="str">
        <f t="shared" si="179"/>
        <v>900k–1200k</v>
      </c>
      <c r="P2617" s="19" t="str">
        <f t="shared" si="180"/>
        <v>26-35</v>
      </c>
    </row>
    <row r="2618" spans="1:16" x14ac:dyDescent="0.25">
      <c r="A2618">
        <v>2617</v>
      </c>
      <c r="B2618" t="s">
        <v>15</v>
      </c>
      <c r="C2618">
        <v>280000</v>
      </c>
      <c r="D2618" t="s">
        <v>10</v>
      </c>
      <c r="E2618" t="s">
        <v>16</v>
      </c>
      <c r="F2618" t="s">
        <v>12</v>
      </c>
      <c r="G2618" t="s">
        <v>12</v>
      </c>
      <c r="H2618" t="s">
        <v>13</v>
      </c>
      <c r="I2618">
        <v>25</v>
      </c>
      <c r="J2618" t="str" cm="1">
        <f t="array" ref="J2618">_xlfn.IFS(ISBLANK(C2618),"FALTANTE",ABS((C2618-$W$5)/$X$5)&gt;1.96,"ATÍPICO",ABS((C2618-$W$5)/$X$5)&lt;=1.96,"NO ATÍPICO")</f>
        <v>NO ATÍPICO</v>
      </c>
      <c r="K2618" t="str" cm="1">
        <f t="array" ref="K2618">_xlfn.IFS(ISBLANK(I2618),"FALTANTE",ABS((I2618-$W$8)/$X$8)&gt;1.92,"ATÍPICO",ABS((I2618-$W$8)/$X$8)&lt;=1.92,"NO ATÍPICO")</f>
        <v>NO ATÍPICO</v>
      </c>
      <c r="L2618">
        <f t="shared" si="177"/>
        <v>280000</v>
      </c>
      <c r="M2618" t="str">
        <f t="shared" si="177"/>
        <v>ASALARIADO</v>
      </c>
      <c r="N2618">
        <f t="shared" si="178"/>
        <v>25</v>
      </c>
      <c r="O2618" s="19" t="str">
        <f t="shared" si="179"/>
        <v>0–300k</v>
      </c>
      <c r="P2618" s="19" t="str">
        <f t="shared" si="180"/>
        <v>18-25</v>
      </c>
    </row>
    <row r="2619" spans="1:16" x14ac:dyDescent="0.25">
      <c r="A2619">
        <v>2618</v>
      </c>
      <c r="B2619" t="s">
        <v>9</v>
      </c>
      <c r="C2619">
        <v>246504.81</v>
      </c>
      <c r="D2619" t="s">
        <v>10</v>
      </c>
      <c r="E2619" t="s">
        <v>16</v>
      </c>
      <c r="F2619" t="s">
        <v>12</v>
      </c>
      <c r="G2619" t="s">
        <v>13</v>
      </c>
      <c r="H2619" t="s">
        <v>13</v>
      </c>
      <c r="I2619">
        <v>19</v>
      </c>
      <c r="J2619" t="str" cm="1">
        <f t="array" ref="J2619">_xlfn.IFS(ISBLANK(C2619),"FALTANTE",ABS((C2619-$W$5)/$X$5)&gt;1.96,"ATÍPICO",ABS((C2619-$W$5)/$X$5)&lt;=1.96,"NO ATÍPICO")</f>
        <v>NO ATÍPICO</v>
      </c>
      <c r="K2619" t="str" cm="1">
        <f t="array" ref="K2619">_xlfn.IFS(ISBLANK(I2619),"FALTANTE",ABS((I2619-$W$8)/$X$8)&gt;1.92,"ATÍPICO",ABS((I2619-$W$8)/$X$8)&lt;=1.92,"NO ATÍPICO")</f>
        <v>NO ATÍPICO</v>
      </c>
      <c r="L2619">
        <f t="shared" si="177"/>
        <v>246504.81</v>
      </c>
      <c r="M2619" t="str">
        <f t="shared" si="177"/>
        <v>ASALARIADO</v>
      </c>
      <c r="N2619">
        <f t="shared" si="178"/>
        <v>19</v>
      </c>
      <c r="O2619" s="19" t="str">
        <f t="shared" si="179"/>
        <v>0–300k</v>
      </c>
      <c r="P2619" s="19" t="str">
        <f t="shared" si="180"/>
        <v>18-25</v>
      </c>
    </row>
    <row r="2620" spans="1:16" x14ac:dyDescent="0.25">
      <c r="A2620">
        <v>2619</v>
      </c>
      <c r="B2620" t="s">
        <v>15</v>
      </c>
      <c r="C2620">
        <v>2128000</v>
      </c>
      <c r="D2620" t="s">
        <v>10</v>
      </c>
      <c r="E2620" t="s">
        <v>16</v>
      </c>
      <c r="F2620" t="s">
        <v>12</v>
      </c>
      <c r="G2620" t="s">
        <v>13</v>
      </c>
      <c r="H2620" t="s">
        <v>13</v>
      </c>
      <c r="I2620">
        <v>37</v>
      </c>
      <c r="J2620" t="str" cm="1">
        <f t="array" ref="J2620">_xlfn.IFS(ISBLANK(C2620),"FALTANTE",ABS((C2620-$W$5)/$X$5)&gt;1.96,"ATÍPICO",ABS((C2620-$W$5)/$X$5)&lt;=1.96,"NO ATÍPICO")</f>
        <v>NO ATÍPICO</v>
      </c>
      <c r="K2620" t="str" cm="1">
        <f t="array" ref="K2620">_xlfn.IFS(ISBLANK(I2620),"FALTANTE",ABS((I2620-$W$8)/$X$8)&gt;1.92,"ATÍPICO",ABS((I2620-$W$8)/$X$8)&lt;=1.92,"NO ATÍPICO")</f>
        <v>NO ATÍPICO</v>
      </c>
      <c r="L2620">
        <f t="shared" si="177"/>
        <v>2128000</v>
      </c>
      <c r="M2620" t="str">
        <f t="shared" si="177"/>
        <v>ASALARIADO</v>
      </c>
      <c r="N2620">
        <f t="shared" si="178"/>
        <v>37</v>
      </c>
      <c r="O2620" s="19" t="str">
        <f t="shared" si="179"/>
        <v>1200k+</v>
      </c>
      <c r="P2620" s="19" t="str">
        <f t="shared" si="180"/>
        <v>36-45</v>
      </c>
    </row>
    <row r="2621" spans="1:16" x14ac:dyDescent="0.25">
      <c r="A2621">
        <v>2620</v>
      </c>
      <c r="B2621" t="s">
        <v>9</v>
      </c>
      <c r="C2621">
        <v>608414.30000000005</v>
      </c>
      <c r="D2621" t="s">
        <v>10</v>
      </c>
      <c r="E2621" t="s">
        <v>11</v>
      </c>
      <c r="F2621" t="s">
        <v>12</v>
      </c>
      <c r="G2621" t="s">
        <v>13</v>
      </c>
      <c r="H2621" t="s">
        <v>13</v>
      </c>
      <c r="I2621">
        <v>38</v>
      </c>
      <c r="J2621" t="str" cm="1">
        <f t="array" ref="J2621">_xlfn.IFS(ISBLANK(C2621),"FALTANTE",ABS((C2621-$W$5)/$X$5)&gt;1.96,"ATÍPICO",ABS((C2621-$W$5)/$X$5)&lt;=1.96,"NO ATÍPICO")</f>
        <v>NO ATÍPICO</v>
      </c>
      <c r="K2621" t="str" cm="1">
        <f t="array" ref="K2621">_xlfn.IFS(ISBLANK(I2621),"FALTANTE",ABS((I2621-$W$8)/$X$8)&gt;1.92,"ATÍPICO",ABS((I2621-$W$8)/$X$8)&lt;=1.92,"NO ATÍPICO")</f>
        <v>NO ATÍPICO</v>
      </c>
      <c r="L2621">
        <f t="shared" si="177"/>
        <v>608414.30000000005</v>
      </c>
      <c r="M2621" t="str">
        <f t="shared" si="177"/>
        <v>ASALARIADO</v>
      </c>
      <c r="N2621">
        <f t="shared" si="178"/>
        <v>38</v>
      </c>
      <c r="O2621" s="19" t="str">
        <f t="shared" si="179"/>
        <v>600k–900k</v>
      </c>
      <c r="P2621" s="19" t="str">
        <f t="shared" si="180"/>
        <v>36-45</v>
      </c>
    </row>
    <row r="2622" spans="1:16" x14ac:dyDescent="0.25">
      <c r="A2622">
        <v>2621</v>
      </c>
      <c r="B2622" t="s">
        <v>9</v>
      </c>
      <c r="C2622">
        <v>297046</v>
      </c>
      <c r="D2622" t="s">
        <v>18</v>
      </c>
      <c r="E2622" t="s">
        <v>16</v>
      </c>
      <c r="F2622" t="s">
        <v>12</v>
      </c>
      <c r="G2622" t="s">
        <v>13</v>
      </c>
      <c r="H2622" t="s">
        <v>12</v>
      </c>
      <c r="I2622">
        <v>33</v>
      </c>
      <c r="J2622" t="str" cm="1">
        <f t="array" ref="J2622">_xlfn.IFS(ISBLANK(C2622),"FALTANTE",ABS((C2622-$W$5)/$X$5)&gt;1.96,"ATÍPICO",ABS((C2622-$W$5)/$X$5)&lt;=1.96,"NO ATÍPICO")</f>
        <v>NO ATÍPICO</v>
      </c>
      <c r="K2622" t="str" cm="1">
        <f t="array" ref="K2622">_xlfn.IFS(ISBLANK(I2622),"FALTANTE",ABS((I2622-$W$8)/$X$8)&gt;1.92,"ATÍPICO",ABS((I2622-$W$8)/$X$8)&lt;=1.92,"NO ATÍPICO")</f>
        <v>NO ATÍPICO</v>
      </c>
      <c r="L2622">
        <f t="shared" si="177"/>
        <v>297046</v>
      </c>
      <c r="M2622" t="str">
        <f t="shared" si="177"/>
        <v>TRABAJADOR INDEPENDIENTE</v>
      </c>
      <c r="N2622">
        <f t="shared" si="178"/>
        <v>33</v>
      </c>
      <c r="O2622" s="19" t="str">
        <f t="shared" si="179"/>
        <v>0–300k</v>
      </c>
      <c r="P2622" s="19" t="str">
        <f t="shared" si="180"/>
        <v>26-35</v>
      </c>
    </row>
    <row r="2623" spans="1:16" x14ac:dyDescent="0.25">
      <c r="A2623">
        <v>2622</v>
      </c>
      <c r="B2623" t="s">
        <v>9</v>
      </c>
      <c r="C2623">
        <v>297056</v>
      </c>
      <c r="D2623" t="s">
        <v>18</v>
      </c>
      <c r="E2623" t="s">
        <v>16</v>
      </c>
      <c r="F2623" t="s">
        <v>12</v>
      </c>
      <c r="G2623" t="s">
        <v>13</v>
      </c>
      <c r="H2623" t="s">
        <v>13</v>
      </c>
      <c r="I2623">
        <v>76</v>
      </c>
      <c r="J2623" t="str" cm="1">
        <f t="array" ref="J2623">_xlfn.IFS(ISBLANK(C2623),"FALTANTE",ABS((C2623-$W$5)/$X$5)&gt;1.96,"ATÍPICO",ABS((C2623-$W$5)/$X$5)&lt;=1.96,"NO ATÍPICO")</f>
        <v>NO ATÍPICO</v>
      </c>
      <c r="K2623" t="str" cm="1">
        <f t="array" ref="K2623">_xlfn.IFS(ISBLANK(I2623),"FALTANTE",ABS((I2623-$W$8)/$X$8)&gt;1.92,"ATÍPICO",ABS((I2623-$W$8)/$X$8)&lt;=1.92,"NO ATÍPICO")</f>
        <v>ATÍPICO</v>
      </c>
      <c r="L2623">
        <f t="shared" si="177"/>
        <v>297056</v>
      </c>
      <c r="M2623" t="str">
        <f t="shared" si="177"/>
        <v>TRABAJADOR INDEPENDIENTE</v>
      </c>
      <c r="N2623">
        <f t="shared" si="178"/>
        <v>76</v>
      </c>
      <c r="O2623" s="19" t="str">
        <f t="shared" si="179"/>
        <v>0–300k</v>
      </c>
      <c r="P2623" s="19" t="str">
        <f t="shared" si="180"/>
        <v>56+</v>
      </c>
    </row>
    <row r="2624" spans="1:16" x14ac:dyDescent="0.25">
      <c r="A2624">
        <v>2623</v>
      </c>
      <c r="B2624" t="s">
        <v>15</v>
      </c>
      <c r="C2624">
        <v>60000</v>
      </c>
      <c r="D2624" t="s">
        <v>10</v>
      </c>
      <c r="E2624" t="s">
        <v>16</v>
      </c>
      <c r="F2624" t="s">
        <v>12</v>
      </c>
      <c r="G2624" t="s">
        <v>12</v>
      </c>
      <c r="H2624" t="s">
        <v>13</v>
      </c>
      <c r="I2624">
        <v>35</v>
      </c>
      <c r="J2624" t="str" cm="1">
        <f t="array" ref="J2624">_xlfn.IFS(ISBLANK(C2624),"FALTANTE",ABS((C2624-$W$5)/$X$5)&gt;1.96,"ATÍPICO",ABS((C2624-$W$5)/$X$5)&lt;=1.96,"NO ATÍPICO")</f>
        <v>NO ATÍPICO</v>
      </c>
      <c r="K2624" t="str" cm="1">
        <f t="array" ref="K2624">_xlfn.IFS(ISBLANK(I2624),"FALTANTE",ABS((I2624-$W$8)/$X$8)&gt;1.92,"ATÍPICO",ABS((I2624-$W$8)/$X$8)&lt;=1.92,"NO ATÍPICO")</f>
        <v>NO ATÍPICO</v>
      </c>
      <c r="L2624">
        <f t="shared" si="177"/>
        <v>60000</v>
      </c>
      <c r="M2624" t="str">
        <f t="shared" si="177"/>
        <v>ASALARIADO</v>
      </c>
      <c r="N2624">
        <f t="shared" si="178"/>
        <v>35</v>
      </c>
      <c r="O2624" s="19" t="str">
        <f t="shared" si="179"/>
        <v>0–300k</v>
      </c>
      <c r="P2624" s="19" t="str">
        <f t="shared" si="180"/>
        <v>26-35</v>
      </c>
    </row>
    <row r="2625" spans="1:16" x14ac:dyDescent="0.25">
      <c r="A2625">
        <v>2624</v>
      </c>
      <c r="B2625" t="s">
        <v>9</v>
      </c>
      <c r="C2625">
        <v>512234.88</v>
      </c>
      <c r="D2625" t="s">
        <v>10</v>
      </c>
      <c r="E2625" t="s">
        <v>16</v>
      </c>
      <c r="F2625" t="s">
        <v>12</v>
      </c>
      <c r="G2625" t="s">
        <v>13</v>
      </c>
      <c r="H2625" t="s">
        <v>13</v>
      </c>
      <c r="I2625">
        <v>28</v>
      </c>
      <c r="J2625" t="str" cm="1">
        <f t="array" ref="J2625">_xlfn.IFS(ISBLANK(C2625),"FALTANTE",ABS((C2625-$W$5)/$X$5)&gt;1.96,"ATÍPICO",ABS((C2625-$W$5)/$X$5)&lt;=1.96,"NO ATÍPICO")</f>
        <v>NO ATÍPICO</v>
      </c>
      <c r="K2625" t="str" cm="1">
        <f t="array" ref="K2625">_xlfn.IFS(ISBLANK(I2625),"FALTANTE",ABS((I2625-$W$8)/$X$8)&gt;1.92,"ATÍPICO",ABS((I2625-$W$8)/$X$8)&lt;=1.92,"NO ATÍPICO")</f>
        <v>NO ATÍPICO</v>
      </c>
      <c r="L2625">
        <f t="shared" si="177"/>
        <v>512234.88</v>
      </c>
      <c r="M2625" t="str">
        <f t="shared" si="177"/>
        <v>ASALARIADO</v>
      </c>
      <c r="N2625">
        <f t="shared" si="178"/>
        <v>28</v>
      </c>
      <c r="O2625" s="19" t="str">
        <f t="shared" si="179"/>
        <v>300k–600k</v>
      </c>
      <c r="P2625" s="19" t="str">
        <f t="shared" si="180"/>
        <v>26-35</v>
      </c>
    </row>
    <row r="2626" spans="1:16" x14ac:dyDescent="0.25">
      <c r="A2626">
        <v>2625</v>
      </c>
      <c r="B2626" t="s">
        <v>9</v>
      </c>
      <c r="C2626">
        <v>842310.04</v>
      </c>
      <c r="D2626" t="s">
        <v>10</v>
      </c>
      <c r="E2626" t="s">
        <v>16</v>
      </c>
      <c r="F2626" t="s">
        <v>12</v>
      </c>
      <c r="G2626" t="s">
        <v>13</v>
      </c>
      <c r="H2626" t="s">
        <v>13</v>
      </c>
      <c r="I2626">
        <v>43</v>
      </c>
      <c r="J2626" t="str" cm="1">
        <f t="array" ref="J2626">_xlfn.IFS(ISBLANK(C2626),"FALTANTE",ABS((C2626-$W$5)/$X$5)&gt;1.96,"ATÍPICO",ABS((C2626-$W$5)/$X$5)&lt;=1.96,"NO ATÍPICO")</f>
        <v>NO ATÍPICO</v>
      </c>
      <c r="K2626" t="str" cm="1">
        <f t="array" ref="K2626">_xlfn.IFS(ISBLANK(I2626),"FALTANTE",ABS((I2626-$W$8)/$X$8)&gt;1.92,"ATÍPICO",ABS((I2626-$W$8)/$X$8)&lt;=1.92,"NO ATÍPICO")</f>
        <v>NO ATÍPICO</v>
      </c>
      <c r="L2626">
        <f t="shared" ref="L2626:M2689" si="181">C2626</f>
        <v>842310.04</v>
      </c>
      <c r="M2626" t="str">
        <f t="shared" si="181"/>
        <v>ASALARIADO</v>
      </c>
      <c r="N2626">
        <f t="shared" ref="N2626:N2689" si="182">I2626</f>
        <v>43</v>
      </c>
      <c r="O2626" s="19" t="str">
        <f t="shared" ref="O2626:O2689" si="183">IF(L2626&lt;=300000,"0–300k",IF(L2626&lt;=600000,"300k–600k",IF(L2626&lt;=900000,"600k–900k",IF(L2626&lt;=1200000,"900k–1200k","1200k+"))))</f>
        <v>600k–900k</v>
      </c>
      <c r="P2626" s="19" t="str">
        <f t="shared" ref="P2626:P2689" si="184">IF(N2626 &lt;=25,"18-25", IF(N2626&lt;=35,"26-35", IF(N2626 &lt;=45,"36-45", IF(N2626&lt;=55,"46-55","56+"))))</f>
        <v>36-45</v>
      </c>
    </row>
    <row r="2627" spans="1:16" x14ac:dyDescent="0.25">
      <c r="A2627">
        <v>2626</v>
      </c>
      <c r="B2627" t="s">
        <v>15</v>
      </c>
      <c r="C2627">
        <v>378558</v>
      </c>
      <c r="D2627" t="s">
        <v>10</v>
      </c>
      <c r="E2627" t="s">
        <v>11</v>
      </c>
      <c r="F2627" t="s">
        <v>12</v>
      </c>
      <c r="G2627" t="s">
        <v>13</v>
      </c>
      <c r="H2627" t="s">
        <v>12</v>
      </c>
      <c r="I2627">
        <v>34</v>
      </c>
      <c r="J2627" t="str" cm="1">
        <f t="array" ref="J2627">_xlfn.IFS(ISBLANK(C2627),"FALTANTE",ABS((C2627-$W$5)/$X$5)&gt;1.96,"ATÍPICO",ABS((C2627-$W$5)/$X$5)&lt;=1.96,"NO ATÍPICO")</f>
        <v>NO ATÍPICO</v>
      </c>
      <c r="K2627" t="str" cm="1">
        <f t="array" ref="K2627">_xlfn.IFS(ISBLANK(I2627),"FALTANTE",ABS((I2627-$W$8)/$X$8)&gt;1.92,"ATÍPICO",ABS((I2627-$W$8)/$X$8)&lt;=1.92,"NO ATÍPICO")</f>
        <v>NO ATÍPICO</v>
      </c>
      <c r="L2627">
        <f t="shared" si="181"/>
        <v>378558</v>
      </c>
      <c r="M2627" t="str">
        <f t="shared" si="181"/>
        <v>ASALARIADO</v>
      </c>
      <c r="N2627">
        <f t="shared" si="182"/>
        <v>34</v>
      </c>
      <c r="O2627" s="19" t="str">
        <f t="shared" si="183"/>
        <v>300k–600k</v>
      </c>
      <c r="P2627" s="19" t="str">
        <f t="shared" si="184"/>
        <v>26-35</v>
      </c>
    </row>
    <row r="2628" spans="1:16" x14ac:dyDescent="0.25">
      <c r="A2628">
        <v>2627</v>
      </c>
      <c r="B2628" t="s">
        <v>9</v>
      </c>
      <c r="C2628">
        <v>290000</v>
      </c>
      <c r="D2628" t="s">
        <v>10</v>
      </c>
      <c r="E2628" t="s">
        <v>16</v>
      </c>
      <c r="F2628" t="s">
        <v>12</v>
      </c>
      <c r="G2628" t="s">
        <v>13</v>
      </c>
      <c r="H2628" t="s">
        <v>13</v>
      </c>
      <c r="I2628">
        <v>38</v>
      </c>
      <c r="J2628" t="str" cm="1">
        <f t="array" ref="J2628">_xlfn.IFS(ISBLANK(C2628),"FALTANTE",ABS((C2628-$W$5)/$X$5)&gt;1.96,"ATÍPICO",ABS((C2628-$W$5)/$X$5)&lt;=1.96,"NO ATÍPICO")</f>
        <v>NO ATÍPICO</v>
      </c>
      <c r="K2628" t="str" cm="1">
        <f t="array" ref="K2628">_xlfn.IFS(ISBLANK(I2628),"FALTANTE",ABS((I2628-$W$8)/$X$8)&gt;1.92,"ATÍPICO",ABS((I2628-$W$8)/$X$8)&lt;=1.92,"NO ATÍPICO")</f>
        <v>NO ATÍPICO</v>
      </c>
      <c r="L2628">
        <f t="shared" si="181"/>
        <v>290000</v>
      </c>
      <c r="M2628" t="str">
        <f t="shared" si="181"/>
        <v>ASALARIADO</v>
      </c>
      <c r="N2628">
        <f t="shared" si="182"/>
        <v>38</v>
      </c>
      <c r="O2628" s="19" t="str">
        <f t="shared" si="183"/>
        <v>0–300k</v>
      </c>
      <c r="P2628" s="19" t="str">
        <f t="shared" si="184"/>
        <v>36-45</v>
      </c>
    </row>
    <row r="2629" spans="1:16" x14ac:dyDescent="0.25">
      <c r="A2629">
        <v>2628</v>
      </c>
      <c r="B2629" t="s">
        <v>9</v>
      </c>
      <c r="C2629">
        <v>278030</v>
      </c>
      <c r="D2629" t="s">
        <v>19</v>
      </c>
      <c r="E2629" t="s">
        <v>16</v>
      </c>
      <c r="F2629" t="s">
        <v>12</v>
      </c>
      <c r="G2629" t="s">
        <v>13</v>
      </c>
      <c r="H2629" t="s">
        <v>13</v>
      </c>
      <c r="I2629">
        <v>43</v>
      </c>
      <c r="J2629" t="str" cm="1">
        <f t="array" ref="J2629">_xlfn.IFS(ISBLANK(C2629),"FALTANTE",ABS((C2629-$W$5)/$X$5)&gt;1.96,"ATÍPICO",ABS((C2629-$W$5)/$X$5)&lt;=1.96,"NO ATÍPICO")</f>
        <v>NO ATÍPICO</v>
      </c>
      <c r="K2629" t="str" cm="1">
        <f t="array" ref="K2629">_xlfn.IFS(ISBLANK(I2629),"FALTANTE",ABS((I2629-$W$8)/$X$8)&gt;1.92,"ATÍPICO",ABS((I2629-$W$8)/$X$8)&lt;=1.92,"NO ATÍPICO")</f>
        <v>NO ATÍPICO</v>
      </c>
      <c r="L2629">
        <f t="shared" si="181"/>
        <v>278030</v>
      </c>
      <c r="M2629" t="str">
        <f t="shared" si="181"/>
        <v>CONVENIOS ESPECIALES DE TRABAJADORES INDEPENDIENTES</v>
      </c>
      <c r="N2629">
        <f t="shared" si="182"/>
        <v>43</v>
      </c>
      <c r="O2629" s="19" t="str">
        <f t="shared" si="183"/>
        <v>0–300k</v>
      </c>
      <c r="P2629" s="19" t="str">
        <f t="shared" si="184"/>
        <v>36-45</v>
      </c>
    </row>
    <row r="2630" spans="1:16" x14ac:dyDescent="0.25">
      <c r="A2630">
        <v>2629</v>
      </c>
      <c r="B2630" t="s">
        <v>9</v>
      </c>
      <c r="C2630">
        <v>634725</v>
      </c>
      <c r="D2630" t="s">
        <v>10</v>
      </c>
      <c r="E2630" t="s">
        <v>16</v>
      </c>
      <c r="F2630" t="s">
        <v>12</v>
      </c>
      <c r="G2630" t="s">
        <v>13</v>
      </c>
      <c r="H2630" t="s">
        <v>13</v>
      </c>
      <c r="I2630">
        <v>34</v>
      </c>
      <c r="J2630" t="str" cm="1">
        <f t="array" ref="J2630">_xlfn.IFS(ISBLANK(C2630),"FALTANTE",ABS((C2630-$W$5)/$X$5)&gt;1.96,"ATÍPICO",ABS((C2630-$W$5)/$X$5)&lt;=1.96,"NO ATÍPICO")</f>
        <v>NO ATÍPICO</v>
      </c>
      <c r="K2630" t="str" cm="1">
        <f t="array" ref="K2630">_xlfn.IFS(ISBLANK(I2630),"FALTANTE",ABS((I2630-$W$8)/$X$8)&gt;1.92,"ATÍPICO",ABS((I2630-$W$8)/$X$8)&lt;=1.92,"NO ATÍPICO")</f>
        <v>NO ATÍPICO</v>
      </c>
      <c r="L2630">
        <f t="shared" si="181"/>
        <v>634725</v>
      </c>
      <c r="M2630" t="str">
        <f t="shared" si="181"/>
        <v>ASALARIADO</v>
      </c>
      <c r="N2630">
        <f t="shared" si="182"/>
        <v>34</v>
      </c>
      <c r="O2630" s="19" t="str">
        <f t="shared" si="183"/>
        <v>600k–900k</v>
      </c>
      <c r="P2630" s="19" t="str">
        <f t="shared" si="184"/>
        <v>26-35</v>
      </c>
    </row>
    <row r="2631" spans="1:16" x14ac:dyDescent="0.25">
      <c r="A2631">
        <v>2630</v>
      </c>
      <c r="B2631" t="s">
        <v>9</v>
      </c>
      <c r="C2631">
        <v>470974.5</v>
      </c>
      <c r="D2631" t="s">
        <v>10</v>
      </c>
      <c r="E2631" t="s">
        <v>16</v>
      </c>
      <c r="F2631" t="s">
        <v>12</v>
      </c>
      <c r="G2631" t="s">
        <v>13</v>
      </c>
      <c r="H2631" t="s">
        <v>13</v>
      </c>
      <c r="I2631">
        <v>36</v>
      </c>
      <c r="J2631" t="str" cm="1">
        <f t="array" ref="J2631">_xlfn.IFS(ISBLANK(C2631),"FALTANTE",ABS((C2631-$W$5)/$X$5)&gt;1.96,"ATÍPICO",ABS((C2631-$W$5)/$X$5)&lt;=1.96,"NO ATÍPICO")</f>
        <v>NO ATÍPICO</v>
      </c>
      <c r="K2631" t="str" cm="1">
        <f t="array" ref="K2631">_xlfn.IFS(ISBLANK(I2631),"FALTANTE",ABS((I2631-$W$8)/$X$8)&gt;1.92,"ATÍPICO",ABS((I2631-$W$8)/$X$8)&lt;=1.92,"NO ATÍPICO")</f>
        <v>NO ATÍPICO</v>
      </c>
      <c r="L2631">
        <f t="shared" si="181"/>
        <v>470974.5</v>
      </c>
      <c r="M2631" t="str">
        <f t="shared" si="181"/>
        <v>ASALARIADO</v>
      </c>
      <c r="N2631">
        <f t="shared" si="182"/>
        <v>36</v>
      </c>
      <c r="O2631" s="19" t="str">
        <f t="shared" si="183"/>
        <v>300k–600k</v>
      </c>
      <c r="P2631" s="19" t="str">
        <f t="shared" si="184"/>
        <v>36-45</v>
      </c>
    </row>
    <row r="2632" spans="1:16" x14ac:dyDescent="0.25">
      <c r="A2632">
        <v>2631</v>
      </c>
      <c r="B2632" t="s">
        <v>9</v>
      </c>
      <c r="C2632">
        <v>550590.5</v>
      </c>
      <c r="D2632" t="s">
        <v>10</v>
      </c>
      <c r="E2632" t="s">
        <v>11</v>
      </c>
      <c r="F2632" t="s">
        <v>12</v>
      </c>
      <c r="G2632" t="s">
        <v>13</v>
      </c>
      <c r="H2632" t="s">
        <v>13</v>
      </c>
      <c r="I2632">
        <v>24</v>
      </c>
      <c r="J2632" t="str" cm="1">
        <f t="array" ref="J2632">_xlfn.IFS(ISBLANK(C2632),"FALTANTE",ABS((C2632-$W$5)/$X$5)&gt;1.96,"ATÍPICO",ABS((C2632-$W$5)/$X$5)&lt;=1.96,"NO ATÍPICO")</f>
        <v>NO ATÍPICO</v>
      </c>
      <c r="K2632" t="str" cm="1">
        <f t="array" ref="K2632">_xlfn.IFS(ISBLANK(I2632),"FALTANTE",ABS((I2632-$W$8)/$X$8)&gt;1.92,"ATÍPICO",ABS((I2632-$W$8)/$X$8)&lt;=1.92,"NO ATÍPICO")</f>
        <v>NO ATÍPICO</v>
      </c>
      <c r="L2632">
        <f t="shared" si="181"/>
        <v>550590.5</v>
      </c>
      <c r="M2632" t="str">
        <f t="shared" si="181"/>
        <v>ASALARIADO</v>
      </c>
      <c r="N2632">
        <f t="shared" si="182"/>
        <v>24</v>
      </c>
      <c r="O2632" s="19" t="str">
        <f t="shared" si="183"/>
        <v>300k–600k</v>
      </c>
      <c r="P2632" s="19" t="str">
        <f t="shared" si="184"/>
        <v>18-25</v>
      </c>
    </row>
    <row r="2633" spans="1:16" x14ac:dyDescent="0.25">
      <c r="A2633">
        <v>2632</v>
      </c>
      <c r="B2633" t="s">
        <v>9</v>
      </c>
      <c r="C2633">
        <v>278030</v>
      </c>
      <c r="D2633" t="s">
        <v>19</v>
      </c>
      <c r="E2633" t="s">
        <v>16</v>
      </c>
      <c r="F2633" t="s">
        <v>12</v>
      </c>
      <c r="G2633" t="s">
        <v>13</v>
      </c>
      <c r="H2633" t="s">
        <v>13</v>
      </c>
      <c r="I2633">
        <v>37</v>
      </c>
      <c r="J2633" t="str" cm="1">
        <f t="array" ref="J2633">_xlfn.IFS(ISBLANK(C2633),"FALTANTE",ABS((C2633-$W$5)/$X$5)&gt;1.96,"ATÍPICO",ABS((C2633-$W$5)/$X$5)&lt;=1.96,"NO ATÍPICO")</f>
        <v>NO ATÍPICO</v>
      </c>
      <c r="K2633" t="str" cm="1">
        <f t="array" ref="K2633">_xlfn.IFS(ISBLANK(I2633),"FALTANTE",ABS((I2633-$W$8)/$X$8)&gt;1.92,"ATÍPICO",ABS((I2633-$W$8)/$X$8)&lt;=1.92,"NO ATÍPICO")</f>
        <v>NO ATÍPICO</v>
      </c>
      <c r="L2633">
        <f t="shared" si="181"/>
        <v>278030</v>
      </c>
      <c r="M2633" t="str">
        <f t="shared" si="181"/>
        <v>CONVENIOS ESPECIALES DE TRABAJADORES INDEPENDIENTES</v>
      </c>
      <c r="N2633">
        <f t="shared" si="182"/>
        <v>37</v>
      </c>
      <c r="O2633" s="19" t="str">
        <f t="shared" si="183"/>
        <v>0–300k</v>
      </c>
      <c r="P2633" s="19" t="str">
        <f t="shared" si="184"/>
        <v>36-45</v>
      </c>
    </row>
    <row r="2634" spans="1:16" x14ac:dyDescent="0.25">
      <c r="A2634">
        <v>2633</v>
      </c>
      <c r="B2634" t="s">
        <v>15</v>
      </c>
      <c r="C2634">
        <v>278030</v>
      </c>
      <c r="D2634" t="s">
        <v>17</v>
      </c>
      <c r="E2634" t="s">
        <v>16</v>
      </c>
      <c r="F2634" t="s">
        <v>12</v>
      </c>
      <c r="G2634" t="s">
        <v>12</v>
      </c>
      <c r="H2634" t="s">
        <v>13</v>
      </c>
      <c r="I2634">
        <v>25</v>
      </c>
      <c r="J2634" t="str" cm="1">
        <f t="array" ref="J2634">_xlfn.IFS(ISBLANK(C2634),"FALTANTE",ABS((C2634-$W$5)/$X$5)&gt;1.96,"ATÍPICO",ABS((C2634-$W$5)/$X$5)&lt;=1.96,"NO ATÍPICO")</f>
        <v>NO ATÍPICO</v>
      </c>
      <c r="K2634" t="str" cm="1">
        <f t="array" ref="K2634">_xlfn.IFS(ISBLANK(I2634),"FALTANTE",ABS((I2634-$W$8)/$X$8)&gt;1.92,"ATÍPICO",ABS((I2634-$W$8)/$X$8)&lt;=1.92,"NO ATÍPICO")</f>
        <v>NO ATÍPICO</v>
      </c>
      <c r="L2634">
        <f t="shared" si="181"/>
        <v>278030</v>
      </c>
      <c r="M2634" t="str">
        <f t="shared" si="181"/>
        <v>ASEGURADO VOLUNTARIO</v>
      </c>
      <c r="N2634">
        <f t="shared" si="182"/>
        <v>25</v>
      </c>
      <c r="O2634" s="19" t="str">
        <f t="shared" si="183"/>
        <v>0–300k</v>
      </c>
      <c r="P2634" s="19" t="str">
        <f t="shared" si="184"/>
        <v>18-25</v>
      </c>
    </row>
    <row r="2635" spans="1:16" x14ac:dyDescent="0.25">
      <c r="A2635">
        <v>2634</v>
      </c>
      <c r="B2635" t="s">
        <v>9</v>
      </c>
      <c r="C2635">
        <v>369875</v>
      </c>
      <c r="D2635" t="s">
        <v>10</v>
      </c>
      <c r="E2635" t="s">
        <v>16</v>
      </c>
      <c r="F2635" t="s">
        <v>12</v>
      </c>
      <c r="G2635" t="s">
        <v>13</v>
      </c>
      <c r="H2635" t="s">
        <v>13</v>
      </c>
      <c r="I2635">
        <v>28</v>
      </c>
      <c r="J2635" t="str" cm="1">
        <f t="array" ref="J2635">_xlfn.IFS(ISBLANK(C2635),"FALTANTE",ABS((C2635-$W$5)/$X$5)&gt;1.96,"ATÍPICO",ABS((C2635-$W$5)/$X$5)&lt;=1.96,"NO ATÍPICO")</f>
        <v>NO ATÍPICO</v>
      </c>
      <c r="K2635" t="str" cm="1">
        <f t="array" ref="K2635">_xlfn.IFS(ISBLANK(I2635),"FALTANTE",ABS((I2635-$W$8)/$X$8)&gt;1.92,"ATÍPICO",ABS((I2635-$W$8)/$X$8)&lt;=1.92,"NO ATÍPICO")</f>
        <v>NO ATÍPICO</v>
      </c>
      <c r="L2635">
        <f t="shared" si="181"/>
        <v>369875</v>
      </c>
      <c r="M2635" t="str">
        <f t="shared" si="181"/>
        <v>ASALARIADO</v>
      </c>
      <c r="N2635">
        <f t="shared" si="182"/>
        <v>28</v>
      </c>
      <c r="O2635" s="19" t="str">
        <f t="shared" si="183"/>
        <v>300k–600k</v>
      </c>
      <c r="P2635" s="19" t="str">
        <f t="shared" si="184"/>
        <v>26-35</v>
      </c>
    </row>
    <row r="2636" spans="1:16" x14ac:dyDescent="0.25">
      <c r="A2636">
        <v>2635</v>
      </c>
      <c r="B2636" t="s">
        <v>15</v>
      </c>
      <c r="C2636">
        <v>386020</v>
      </c>
      <c r="D2636" t="s">
        <v>10</v>
      </c>
      <c r="E2636" t="s">
        <v>16</v>
      </c>
      <c r="F2636" t="s">
        <v>12</v>
      </c>
      <c r="G2636" t="s">
        <v>13</v>
      </c>
      <c r="H2636" t="s">
        <v>13</v>
      </c>
      <c r="I2636">
        <v>59</v>
      </c>
      <c r="J2636" t="str" cm="1">
        <f t="array" ref="J2636">_xlfn.IFS(ISBLANK(C2636),"FALTANTE",ABS((C2636-$W$5)/$X$5)&gt;1.96,"ATÍPICO",ABS((C2636-$W$5)/$X$5)&lt;=1.96,"NO ATÍPICO")</f>
        <v>NO ATÍPICO</v>
      </c>
      <c r="K2636" t="str" cm="1">
        <f t="array" ref="K2636">_xlfn.IFS(ISBLANK(I2636),"FALTANTE",ABS((I2636-$W$8)/$X$8)&gt;1.92,"ATÍPICO",ABS((I2636-$W$8)/$X$8)&lt;=1.92,"NO ATÍPICO")</f>
        <v>NO ATÍPICO</v>
      </c>
      <c r="L2636">
        <f t="shared" si="181"/>
        <v>386020</v>
      </c>
      <c r="M2636" t="str">
        <f t="shared" si="181"/>
        <v>ASALARIADO</v>
      </c>
      <c r="N2636">
        <f t="shared" si="182"/>
        <v>59</v>
      </c>
      <c r="O2636" s="19" t="str">
        <f t="shared" si="183"/>
        <v>300k–600k</v>
      </c>
      <c r="P2636" s="19" t="str">
        <f t="shared" si="184"/>
        <v>56+</v>
      </c>
    </row>
    <row r="2637" spans="1:16" x14ac:dyDescent="0.25">
      <c r="A2637">
        <v>2636</v>
      </c>
      <c r="B2637" t="s">
        <v>15</v>
      </c>
      <c r="C2637">
        <v>539036</v>
      </c>
      <c r="D2637" t="s">
        <v>10</v>
      </c>
      <c r="E2637" t="s">
        <v>11</v>
      </c>
      <c r="F2637" t="s">
        <v>12</v>
      </c>
      <c r="G2637" t="s">
        <v>13</v>
      </c>
      <c r="H2637" t="s">
        <v>13</v>
      </c>
      <c r="I2637">
        <v>32</v>
      </c>
      <c r="J2637" t="str" cm="1">
        <f t="array" ref="J2637">_xlfn.IFS(ISBLANK(C2637),"FALTANTE",ABS((C2637-$W$5)/$X$5)&gt;1.96,"ATÍPICO",ABS((C2637-$W$5)/$X$5)&lt;=1.96,"NO ATÍPICO")</f>
        <v>NO ATÍPICO</v>
      </c>
      <c r="K2637" t="str" cm="1">
        <f t="array" ref="K2637">_xlfn.IFS(ISBLANK(I2637),"FALTANTE",ABS((I2637-$W$8)/$X$8)&gt;1.92,"ATÍPICO",ABS((I2637-$W$8)/$X$8)&lt;=1.92,"NO ATÍPICO")</f>
        <v>NO ATÍPICO</v>
      </c>
      <c r="L2637">
        <f t="shared" si="181"/>
        <v>539036</v>
      </c>
      <c r="M2637" t="str">
        <f t="shared" si="181"/>
        <v>ASALARIADO</v>
      </c>
      <c r="N2637">
        <f t="shared" si="182"/>
        <v>32</v>
      </c>
      <c r="O2637" s="19" t="str">
        <f t="shared" si="183"/>
        <v>300k–600k</v>
      </c>
      <c r="P2637" s="19" t="str">
        <f t="shared" si="184"/>
        <v>26-35</v>
      </c>
    </row>
    <row r="2638" spans="1:16" x14ac:dyDescent="0.25">
      <c r="A2638">
        <v>2637</v>
      </c>
      <c r="B2638" t="s">
        <v>9</v>
      </c>
      <c r="C2638">
        <v>623700</v>
      </c>
      <c r="D2638" t="s">
        <v>10</v>
      </c>
      <c r="E2638" t="s">
        <v>16</v>
      </c>
      <c r="F2638" t="s">
        <v>12</v>
      </c>
      <c r="G2638" t="s">
        <v>13</v>
      </c>
      <c r="H2638" t="s">
        <v>13</v>
      </c>
      <c r="I2638">
        <v>35</v>
      </c>
      <c r="J2638" t="str" cm="1">
        <f t="array" ref="J2638">_xlfn.IFS(ISBLANK(C2638),"FALTANTE",ABS((C2638-$W$5)/$X$5)&gt;1.96,"ATÍPICO",ABS((C2638-$W$5)/$X$5)&lt;=1.96,"NO ATÍPICO")</f>
        <v>NO ATÍPICO</v>
      </c>
      <c r="K2638" t="str" cm="1">
        <f t="array" ref="K2638">_xlfn.IFS(ISBLANK(I2638),"FALTANTE",ABS((I2638-$W$8)/$X$8)&gt;1.92,"ATÍPICO",ABS((I2638-$W$8)/$X$8)&lt;=1.92,"NO ATÍPICO")</f>
        <v>NO ATÍPICO</v>
      </c>
      <c r="L2638">
        <f t="shared" si="181"/>
        <v>623700</v>
      </c>
      <c r="M2638" t="str">
        <f t="shared" si="181"/>
        <v>ASALARIADO</v>
      </c>
      <c r="N2638">
        <f t="shared" si="182"/>
        <v>35</v>
      </c>
      <c r="O2638" s="19" t="str">
        <f t="shared" si="183"/>
        <v>600k–900k</v>
      </c>
      <c r="P2638" s="19" t="str">
        <f t="shared" si="184"/>
        <v>26-35</v>
      </c>
    </row>
    <row r="2639" spans="1:16" x14ac:dyDescent="0.25">
      <c r="A2639">
        <v>2638</v>
      </c>
      <c r="B2639" t="s">
        <v>9</v>
      </c>
      <c r="C2639">
        <v>302470</v>
      </c>
      <c r="D2639" t="s">
        <v>17</v>
      </c>
      <c r="E2639" t="s">
        <v>16</v>
      </c>
      <c r="F2639" t="s">
        <v>12</v>
      </c>
      <c r="G2639" t="s">
        <v>13</v>
      </c>
      <c r="H2639" t="s">
        <v>13</v>
      </c>
      <c r="I2639">
        <v>29</v>
      </c>
      <c r="J2639" t="str" cm="1">
        <f t="array" ref="J2639">_xlfn.IFS(ISBLANK(C2639),"FALTANTE",ABS((C2639-$W$5)/$X$5)&gt;1.96,"ATÍPICO",ABS((C2639-$W$5)/$X$5)&lt;=1.96,"NO ATÍPICO")</f>
        <v>NO ATÍPICO</v>
      </c>
      <c r="K2639" t="str" cm="1">
        <f t="array" ref="K2639">_xlfn.IFS(ISBLANK(I2639),"FALTANTE",ABS((I2639-$W$8)/$X$8)&gt;1.92,"ATÍPICO",ABS((I2639-$W$8)/$X$8)&lt;=1.92,"NO ATÍPICO")</f>
        <v>NO ATÍPICO</v>
      </c>
      <c r="L2639">
        <f t="shared" si="181"/>
        <v>302470</v>
      </c>
      <c r="M2639" t="str">
        <f t="shared" si="181"/>
        <v>ASEGURADO VOLUNTARIO</v>
      </c>
      <c r="N2639">
        <f t="shared" si="182"/>
        <v>29</v>
      </c>
      <c r="O2639" s="19" t="str">
        <f t="shared" si="183"/>
        <v>300k–600k</v>
      </c>
      <c r="P2639" s="19" t="str">
        <f t="shared" si="184"/>
        <v>26-35</v>
      </c>
    </row>
    <row r="2640" spans="1:16" x14ac:dyDescent="0.25">
      <c r="A2640">
        <v>2639</v>
      </c>
      <c r="B2640" t="s">
        <v>15</v>
      </c>
      <c r="C2640">
        <v>81757.47</v>
      </c>
      <c r="D2640" t="s">
        <v>10</v>
      </c>
      <c r="E2640" t="s">
        <v>16</v>
      </c>
      <c r="F2640" t="s">
        <v>12</v>
      </c>
      <c r="G2640" t="s">
        <v>13</v>
      </c>
      <c r="H2640" t="s">
        <v>13</v>
      </c>
      <c r="I2640">
        <v>22</v>
      </c>
      <c r="J2640" t="str" cm="1">
        <f t="array" ref="J2640">_xlfn.IFS(ISBLANK(C2640),"FALTANTE",ABS((C2640-$W$5)/$X$5)&gt;1.96,"ATÍPICO",ABS((C2640-$W$5)/$X$5)&lt;=1.96,"NO ATÍPICO")</f>
        <v>NO ATÍPICO</v>
      </c>
      <c r="K2640" t="str" cm="1">
        <f t="array" ref="K2640">_xlfn.IFS(ISBLANK(I2640),"FALTANTE",ABS((I2640-$W$8)/$X$8)&gt;1.92,"ATÍPICO",ABS((I2640-$W$8)/$X$8)&lt;=1.92,"NO ATÍPICO")</f>
        <v>NO ATÍPICO</v>
      </c>
      <c r="L2640">
        <f t="shared" si="181"/>
        <v>81757.47</v>
      </c>
      <c r="M2640" t="str">
        <f t="shared" si="181"/>
        <v>ASALARIADO</v>
      </c>
      <c r="N2640">
        <f t="shared" si="182"/>
        <v>22</v>
      </c>
      <c r="O2640" s="19" t="str">
        <f t="shared" si="183"/>
        <v>0–300k</v>
      </c>
      <c r="P2640" s="19" t="str">
        <f t="shared" si="184"/>
        <v>18-25</v>
      </c>
    </row>
    <row r="2641" spans="1:16" x14ac:dyDescent="0.25">
      <c r="A2641">
        <v>2640</v>
      </c>
      <c r="B2641" t="s">
        <v>9</v>
      </c>
      <c r="C2641">
        <v>703766.13</v>
      </c>
      <c r="D2641" t="s">
        <v>10</v>
      </c>
      <c r="E2641" t="s">
        <v>16</v>
      </c>
      <c r="F2641" t="s">
        <v>12</v>
      </c>
      <c r="G2641" t="s">
        <v>13</v>
      </c>
      <c r="H2641" t="s">
        <v>13</v>
      </c>
      <c r="I2641">
        <v>45</v>
      </c>
      <c r="J2641" t="str" cm="1">
        <f t="array" ref="J2641">_xlfn.IFS(ISBLANK(C2641),"FALTANTE",ABS((C2641-$W$5)/$X$5)&gt;1.96,"ATÍPICO",ABS((C2641-$W$5)/$X$5)&lt;=1.96,"NO ATÍPICO")</f>
        <v>NO ATÍPICO</v>
      </c>
      <c r="K2641" t="str" cm="1">
        <f t="array" ref="K2641">_xlfn.IFS(ISBLANK(I2641),"FALTANTE",ABS((I2641-$W$8)/$X$8)&gt;1.92,"ATÍPICO",ABS((I2641-$W$8)/$X$8)&lt;=1.92,"NO ATÍPICO")</f>
        <v>NO ATÍPICO</v>
      </c>
      <c r="L2641">
        <f t="shared" si="181"/>
        <v>703766.13</v>
      </c>
      <c r="M2641" t="str">
        <f t="shared" si="181"/>
        <v>ASALARIADO</v>
      </c>
      <c r="N2641">
        <f t="shared" si="182"/>
        <v>45</v>
      </c>
      <c r="O2641" s="19" t="str">
        <f t="shared" si="183"/>
        <v>600k–900k</v>
      </c>
      <c r="P2641" s="19" t="str">
        <f t="shared" si="184"/>
        <v>36-45</v>
      </c>
    </row>
    <row r="2642" spans="1:16" x14ac:dyDescent="0.25">
      <c r="A2642">
        <v>2641</v>
      </c>
      <c r="B2642" t="s">
        <v>9</v>
      </c>
      <c r="C2642">
        <v>361421</v>
      </c>
      <c r="D2642" t="s">
        <v>18</v>
      </c>
      <c r="E2642" t="s">
        <v>16</v>
      </c>
      <c r="F2642" t="s">
        <v>12</v>
      </c>
      <c r="G2642" t="s">
        <v>13</v>
      </c>
      <c r="H2642" t="s">
        <v>13</v>
      </c>
      <c r="I2642">
        <v>51</v>
      </c>
      <c r="J2642" t="str" cm="1">
        <f t="array" ref="J2642">_xlfn.IFS(ISBLANK(C2642),"FALTANTE",ABS((C2642-$W$5)/$X$5)&gt;1.96,"ATÍPICO",ABS((C2642-$W$5)/$X$5)&lt;=1.96,"NO ATÍPICO")</f>
        <v>NO ATÍPICO</v>
      </c>
      <c r="K2642" t="str" cm="1">
        <f t="array" ref="K2642">_xlfn.IFS(ISBLANK(I2642),"FALTANTE",ABS((I2642-$W$8)/$X$8)&gt;1.92,"ATÍPICO",ABS((I2642-$W$8)/$X$8)&lt;=1.92,"NO ATÍPICO")</f>
        <v>NO ATÍPICO</v>
      </c>
      <c r="L2642">
        <f t="shared" si="181"/>
        <v>361421</v>
      </c>
      <c r="M2642" t="str">
        <f t="shared" si="181"/>
        <v>TRABAJADOR INDEPENDIENTE</v>
      </c>
      <c r="N2642">
        <f t="shared" si="182"/>
        <v>51</v>
      </c>
      <c r="O2642" s="19" t="str">
        <f t="shared" si="183"/>
        <v>300k–600k</v>
      </c>
      <c r="P2642" s="19" t="str">
        <f t="shared" si="184"/>
        <v>46-55</v>
      </c>
    </row>
    <row r="2643" spans="1:16" x14ac:dyDescent="0.25">
      <c r="A2643">
        <v>2642</v>
      </c>
      <c r="B2643" t="s">
        <v>15</v>
      </c>
      <c r="C2643">
        <v>330722.57</v>
      </c>
      <c r="D2643" t="s">
        <v>10</v>
      </c>
      <c r="E2643" t="s">
        <v>16</v>
      </c>
      <c r="F2643" t="s">
        <v>12</v>
      </c>
      <c r="G2643" t="s">
        <v>13</v>
      </c>
      <c r="H2643" t="s">
        <v>13</v>
      </c>
      <c r="I2643">
        <v>37</v>
      </c>
      <c r="J2643" t="str" cm="1">
        <f t="array" ref="J2643">_xlfn.IFS(ISBLANK(C2643),"FALTANTE",ABS((C2643-$W$5)/$X$5)&gt;1.96,"ATÍPICO",ABS((C2643-$W$5)/$X$5)&lt;=1.96,"NO ATÍPICO")</f>
        <v>NO ATÍPICO</v>
      </c>
      <c r="K2643" t="str" cm="1">
        <f t="array" ref="K2643">_xlfn.IFS(ISBLANK(I2643),"FALTANTE",ABS((I2643-$W$8)/$X$8)&gt;1.92,"ATÍPICO",ABS((I2643-$W$8)/$X$8)&lt;=1.92,"NO ATÍPICO")</f>
        <v>NO ATÍPICO</v>
      </c>
      <c r="L2643">
        <f t="shared" si="181"/>
        <v>330722.57</v>
      </c>
      <c r="M2643" t="str">
        <f t="shared" si="181"/>
        <v>ASALARIADO</v>
      </c>
      <c r="N2643">
        <f t="shared" si="182"/>
        <v>37</v>
      </c>
      <c r="O2643" s="19" t="str">
        <f t="shared" si="183"/>
        <v>300k–600k</v>
      </c>
      <c r="P2643" s="19" t="str">
        <f t="shared" si="184"/>
        <v>36-45</v>
      </c>
    </row>
    <row r="2644" spans="1:16" x14ac:dyDescent="0.25">
      <c r="A2644">
        <v>2643</v>
      </c>
      <c r="B2644" t="s">
        <v>9</v>
      </c>
      <c r="C2644">
        <v>291514</v>
      </c>
      <c r="D2644" t="s">
        <v>18</v>
      </c>
      <c r="E2644" t="s">
        <v>16</v>
      </c>
      <c r="F2644" t="s">
        <v>12</v>
      </c>
      <c r="G2644" t="s">
        <v>13</v>
      </c>
      <c r="H2644" t="s">
        <v>12</v>
      </c>
      <c r="I2644">
        <v>28</v>
      </c>
      <c r="J2644" t="str" cm="1">
        <f t="array" ref="J2644">_xlfn.IFS(ISBLANK(C2644),"FALTANTE",ABS((C2644-$W$5)/$X$5)&gt;1.96,"ATÍPICO",ABS((C2644-$W$5)/$X$5)&lt;=1.96,"NO ATÍPICO")</f>
        <v>NO ATÍPICO</v>
      </c>
      <c r="K2644" t="str" cm="1">
        <f t="array" ref="K2644">_xlfn.IFS(ISBLANK(I2644),"FALTANTE",ABS((I2644-$W$8)/$X$8)&gt;1.92,"ATÍPICO",ABS((I2644-$W$8)/$X$8)&lt;=1.92,"NO ATÍPICO")</f>
        <v>NO ATÍPICO</v>
      </c>
      <c r="L2644">
        <f t="shared" si="181"/>
        <v>291514</v>
      </c>
      <c r="M2644" t="str">
        <f t="shared" si="181"/>
        <v>TRABAJADOR INDEPENDIENTE</v>
      </c>
      <c r="N2644">
        <f t="shared" si="182"/>
        <v>28</v>
      </c>
      <c r="O2644" s="19" t="str">
        <f t="shared" si="183"/>
        <v>0–300k</v>
      </c>
      <c r="P2644" s="19" t="str">
        <f t="shared" si="184"/>
        <v>26-35</v>
      </c>
    </row>
    <row r="2645" spans="1:16" x14ac:dyDescent="0.25">
      <c r="A2645">
        <v>2644</v>
      </c>
      <c r="B2645" t="s">
        <v>15</v>
      </c>
      <c r="C2645">
        <v>199067</v>
      </c>
      <c r="D2645" t="s">
        <v>10</v>
      </c>
      <c r="E2645" t="s">
        <v>11</v>
      </c>
      <c r="F2645" t="s">
        <v>12</v>
      </c>
      <c r="G2645" t="s">
        <v>13</v>
      </c>
      <c r="H2645" t="s">
        <v>12</v>
      </c>
      <c r="I2645">
        <v>25</v>
      </c>
      <c r="J2645" t="str" cm="1">
        <f t="array" ref="J2645">_xlfn.IFS(ISBLANK(C2645),"FALTANTE",ABS((C2645-$W$5)/$X$5)&gt;1.96,"ATÍPICO",ABS((C2645-$W$5)/$X$5)&lt;=1.96,"NO ATÍPICO")</f>
        <v>NO ATÍPICO</v>
      </c>
      <c r="K2645" t="str" cm="1">
        <f t="array" ref="K2645">_xlfn.IFS(ISBLANK(I2645),"FALTANTE",ABS((I2645-$W$8)/$X$8)&gt;1.92,"ATÍPICO",ABS((I2645-$W$8)/$X$8)&lt;=1.92,"NO ATÍPICO")</f>
        <v>NO ATÍPICO</v>
      </c>
      <c r="L2645">
        <f t="shared" si="181"/>
        <v>199067</v>
      </c>
      <c r="M2645" t="str">
        <f t="shared" si="181"/>
        <v>ASALARIADO</v>
      </c>
      <c r="N2645">
        <f t="shared" si="182"/>
        <v>25</v>
      </c>
      <c r="O2645" s="19" t="str">
        <f t="shared" si="183"/>
        <v>0–300k</v>
      </c>
      <c r="P2645" s="19" t="str">
        <f t="shared" si="184"/>
        <v>18-25</v>
      </c>
    </row>
    <row r="2646" spans="1:16" x14ac:dyDescent="0.25">
      <c r="A2646">
        <v>2645</v>
      </c>
      <c r="B2646" t="s">
        <v>9</v>
      </c>
      <c r="C2646">
        <v>1461505.5</v>
      </c>
      <c r="D2646" t="s">
        <v>10</v>
      </c>
      <c r="E2646" t="s">
        <v>16</v>
      </c>
      <c r="F2646" t="s">
        <v>12</v>
      </c>
      <c r="G2646" t="s">
        <v>13</v>
      </c>
      <c r="H2646" t="s">
        <v>13</v>
      </c>
      <c r="I2646">
        <v>46</v>
      </c>
      <c r="J2646" t="str" cm="1">
        <f t="array" ref="J2646">_xlfn.IFS(ISBLANK(C2646),"FALTANTE",ABS((C2646-$W$5)/$X$5)&gt;1.96,"ATÍPICO",ABS((C2646-$W$5)/$X$5)&lt;=1.96,"NO ATÍPICO")</f>
        <v>NO ATÍPICO</v>
      </c>
      <c r="K2646" t="str" cm="1">
        <f t="array" ref="K2646">_xlfn.IFS(ISBLANK(I2646),"FALTANTE",ABS((I2646-$W$8)/$X$8)&gt;1.92,"ATÍPICO",ABS((I2646-$W$8)/$X$8)&lt;=1.92,"NO ATÍPICO")</f>
        <v>NO ATÍPICO</v>
      </c>
      <c r="L2646">
        <f t="shared" si="181"/>
        <v>1461505.5</v>
      </c>
      <c r="M2646" t="str">
        <f t="shared" si="181"/>
        <v>ASALARIADO</v>
      </c>
      <c r="N2646">
        <f t="shared" si="182"/>
        <v>46</v>
      </c>
      <c r="O2646" s="19" t="str">
        <f t="shared" si="183"/>
        <v>1200k+</v>
      </c>
      <c r="P2646" s="19" t="str">
        <f t="shared" si="184"/>
        <v>46-55</v>
      </c>
    </row>
    <row r="2647" spans="1:16" x14ac:dyDescent="0.25">
      <c r="A2647">
        <v>2646</v>
      </c>
      <c r="B2647" t="s">
        <v>9</v>
      </c>
      <c r="C2647">
        <v>745392.94</v>
      </c>
      <c r="D2647" t="s">
        <v>10</v>
      </c>
      <c r="E2647" t="s">
        <v>16</v>
      </c>
      <c r="F2647" t="s">
        <v>12</v>
      </c>
      <c r="G2647" t="s">
        <v>13</v>
      </c>
      <c r="H2647" t="s">
        <v>13</v>
      </c>
      <c r="I2647">
        <v>56</v>
      </c>
      <c r="J2647" t="str" cm="1">
        <f t="array" ref="J2647">_xlfn.IFS(ISBLANK(C2647),"FALTANTE",ABS((C2647-$W$5)/$X$5)&gt;1.96,"ATÍPICO",ABS((C2647-$W$5)/$X$5)&lt;=1.96,"NO ATÍPICO")</f>
        <v>NO ATÍPICO</v>
      </c>
      <c r="K2647" t="str" cm="1">
        <f t="array" ref="K2647">_xlfn.IFS(ISBLANK(I2647),"FALTANTE",ABS((I2647-$W$8)/$X$8)&gt;1.92,"ATÍPICO",ABS((I2647-$W$8)/$X$8)&lt;=1.92,"NO ATÍPICO")</f>
        <v>NO ATÍPICO</v>
      </c>
      <c r="L2647">
        <f t="shared" si="181"/>
        <v>745392.94</v>
      </c>
      <c r="M2647" t="str">
        <f t="shared" si="181"/>
        <v>ASALARIADO</v>
      </c>
      <c r="N2647">
        <f t="shared" si="182"/>
        <v>56</v>
      </c>
      <c r="O2647" s="19" t="str">
        <f t="shared" si="183"/>
        <v>600k–900k</v>
      </c>
      <c r="P2647" s="19" t="str">
        <f t="shared" si="184"/>
        <v>56+</v>
      </c>
    </row>
    <row r="2648" spans="1:16" x14ac:dyDescent="0.25">
      <c r="A2648">
        <v>2647</v>
      </c>
      <c r="B2648" t="s">
        <v>9</v>
      </c>
      <c r="C2648">
        <v>297046</v>
      </c>
      <c r="D2648" t="s">
        <v>18</v>
      </c>
      <c r="E2648" t="s">
        <v>16</v>
      </c>
      <c r="F2648" t="s">
        <v>13</v>
      </c>
      <c r="G2648" t="s">
        <v>13</v>
      </c>
      <c r="H2648" t="s">
        <v>13</v>
      </c>
      <c r="I2648">
        <v>58</v>
      </c>
      <c r="J2648" t="str" cm="1">
        <f t="array" ref="J2648">_xlfn.IFS(ISBLANK(C2648),"FALTANTE",ABS((C2648-$W$5)/$X$5)&gt;1.96,"ATÍPICO",ABS((C2648-$W$5)/$X$5)&lt;=1.96,"NO ATÍPICO")</f>
        <v>NO ATÍPICO</v>
      </c>
      <c r="K2648" t="str" cm="1">
        <f t="array" ref="K2648">_xlfn.IFS(ISBLANK(I2648),"FALTANTE",ABS((I2648-$W$8)/$X$8)&gt;1.92,"ATÍPICO",ABS((I2648-$W$8)/$X$8)&lt;=1.92,"NO ATÍPICO")</f>
        <v>NO ATÍPICO</v>
      </c>
      <c r="L2648">
        <f t="shared" si="181"/>
        <v>297046</v>
      </c>
      <c r="M2648" t="str">
        <f t="shared" si="181"/>
        <v>TRABAJADOR INDEPENDIENTE</v>
      </c>
      <c r="N2648">
        <f t="shared" si="182"/>
        <v>58</v>
      </c>
      <c r="O2648" s="19" t="str">
        <f t="shared" si="183"/>
        <v>0–300k</v>
      </c>
      <c r="P2648" s="19" t="str">
        <f t="shared" si="184"/>
        <v>56+</v>
      </c>
    </row>
    <row r="2649" spans="1:16" x14ac:dyDescent="0.25">
      <c r="A2649">
        <v>2648</v>
      </c>
      <c r="B2649" t="s">
        <v>15</v>
      </c>
      <c r="C2649">
        <v>2029604</v>
      </c>
      <c r="D2649" t="s">
        <v>14</v>
      </c>
      <c r="E2649" t="s">
        <v>11</v>
      </c>
      <c r="F2649" t="s">
        <v>12</v>
      </c>
      <c r="G2649" t="s">
        <v>13</v>
      </c>
      <c r="H2649" t="s">
        <v>13</v>
      </c>
      <c r="I2649">
        <v>72</v>
      </c>
      <c r="J2649" t="str" cm="1">
        <f t="array" ref="J2649">_xlfn.IFS(ISBLANK(C2649),"FALTANTE",ABS((C2649-$W$5)/$X$5)&gt;1.96,"ATÍPICO",ABS((C2649-$W$5)/$X$5)&lt;=1.96,"NO ATÍPICO")</f>
        <v>NO ATÍPICO</v>
      </c>
      <c r="K2649" t="str" cm="1">
        <f t="array" ref="K2649">_xlfn.IFS(ISBLANK(I2649),"FALTANTE",ABS((I2649-$W$8)/$X$8)&gt;1.92,"ATÍPICO",ABS((I2649-$W$8)/$X$8)&lt;=1.92,"NO ATÍPICO")</f>
        <v>ATÍPICO</v>
      </c>
      <c r="L2649">
        <f t="shared" si="181"/>
        <v>2029604</v>
      </c>
      <c r="M2649" t="str">
        <f t="shared" si="181"/>
        <v>PENSIONADOS EN SU PROPIO SISTEMA</v>
      </c>
      <c r="N2649">
        <f t="shared" si="182"/>
        <v>72</v>
      </c>
      <c r="O2649" s="19" t="str">
        <f t="shared" si="183"/>
        <v>1200k+</v>
      </c>
      <c r="P2649" s="19" t="str">
        <f t="shared" si="184"/>
        <v>56+</v>
      </c>
    </row>
    <row r="2650" spans="1:16" x14ac:dyDescent="0.25">
      <c r="A2650">
        <v>2649</v>
      </c>
      <c r="B2650" t="s">
        <v>15</v>
      </c>
      <c r="C2650">
        <v>360000</v>
      </c>
      <c r="D2650" t="s">
        <v>10</v>
      </c>
      <c r="E2650" t="s">
        <v>16</v>
      </c>
      <c r="F2650" t="s">
        <v>12</v>
      </c>
      <c r="G2650" t="s">
        <v>13</v>
      </c>
      <c r="H2650" t="s">
        <v>13</v>
      </c>
      <c r="I2650">
        <v>30</v>
      </c>
      <c r="J2650" t="str" cm="1">
        <f t="array" ref="J2650">_xlfn.IFS(ISBLANK(C2650),"FALTANTE",ABS((C2650-$W$5)/$X$5)&gt;1.96,"ATÍPICO",ABS((C2650-$W$5)/$X$5)&lt;=1.96,"NO ATÍPICO")</f>
        <v>NO ATÍPICO</v>
      </c>
      <c r="K2650" t="str" cm="1">
        <f t="array" ref="K2650">_xlfn.IFS(ISBLANK(I2650),"FALTANTE",ABS((I2650-$W$8)/$X$8)&gt;1.92,"ATÍPICO",ABS((I2650-$W$8)/$X$8)&lt;=1.92,"NO ATÍPICO")</f>
        <v>NO ATÍPICO</v>
      </c>
      <c r="L2650">
        <f t="shared" si="181"/>
        <v>360000</v>
      </c>
      <c r="M2650" t="str">
        <f t="shared" si="181"/>
        <v>ASALARIADO</v>
      </c>
      <c r="N2650">
        <f t="shared" si="182"/>
        <v>30</v>
      </c>
      <c r="O2650" s="19" t="str">
        <f t="shared" si="183"/>
        <v>300k–600k</v>
      </c>
      <c r="P2650" s="19" t="str">
        <f t="shared" si="184"/>
        <v>26-35</v>
      </c>
    </row>
    <row r="2651" spans="1:16" x14ac:dyDescent="0.25">
      <c r="A2651">
        <v>2650</v>
      </c>
      <c r="B2651" t="s">
        <v>9</v>
      </c>
      <c r="C2651">
        <v>300018</v>
      </c>
      <c r="D2651" t="s">
        <v>18</v>
      </c>
      <c r="E2651" t="s">
        <v>16</v>
      </c>
      <c r="F2651" t="s">
        <v>12</v>
      </c>
      <c r="G2651" t="s">
        <v>13</v>
      </c>
      <c r="H2651" t="s">
        <v>12</v>
      </c>
      <c r="I2651">
        <v>62</v>
      </c>
      <c r="J2651" t="str" cm="1">
        <f t="array" ref="J2651">_xlfn.IFS(ISBLANK(C2651),"FALTANTE",ABS((C2651-$W$5)/$X$5)&gt;1.96,"ATÍPICO",ABS((C2651-$W$5)/$X$5)&lt;=1.96,"NO ATÍPICO")</f>
        <v>NO ATÍPICO</v>
      </c>
      <c r="K2651" t="str" cm="1">
        <f t="array" ref="K2651">_xlfn.IFS(ISBLANK(I2651),"FALTANTE",ABS((I2651-$W$8)/$X$8)&gt;1.92,"ATÍPICO",ABS((I2651-$W$8)/$X$8)&lt;=1.92,"NO ATÍPICO")</f>
        <v>NO ATÍPICO</v>
      </c>
      <c r="L2651">
        <f t="shared" si="181"/>
        <v>300018</v>
      </c>
      <c r="M2651" t="str">
        <f t="shared" si="181"/>
        <v>TRABAJADOR INDEPENDIENTE</v>
      </c>
      <c r="N2651">
        <f t="shared" si="182"/>
        <v>62</v>
      </c>
      <c r="O2651" s="19" t="str">
        <f t="shared" si="183"/>
        <v>300k–600k</v>
      </c>
      <c r="P2651" s="19" t="str">
        <f t="shared" si="184"/>
        <v>56+</v>
      </c>
    </row>
    <row r="2652" spans="1:16" x14ac:dyDescent="0.25">
      <c r="A2652">
        <v>2651</v>
      </c>
      <c r="B2652" t="s">
        <v>15</v>
      </c>
      <c r="C2652">
        <v>200000</v>
      </c>
      <c r="D2652" t="s">
        <v>10</v>
      </c>
      <c r="E2652" t="s">
        <v>16</v>
      </c>
      <c r="F2652" t="s">
        <v>12</v>
      </c>
      <c r="G2652" t="s">
        <v>12</v>
      </c>
      <c r="H2652" t="s">
        <v>12</v>
      </c>
      <c r="I2652">
        <v>42</v>
      </c>
      <c r="J2652" t="str" cm="1">
        <f t="array" ref="J2652">_xlfn.IFS(ISBLANK(C2652),"FALTANTE",ABS((C2652-$W$5)/$X$5)&gt;1.96,"ATÍPICO",ABS((C2652-$W$5)/$X$5)&lt;=1.96,"NO ATÍPICO")</f>
        <v>NO ATÍPICO</v>
      </c>
      <c r="K2652" t="str" cm="1">
        <f t="array" ref="K2652">_xlfn.IFS(ISBLANK(I2652),"FALTANTE",ABS((I2652-$W$8)/$X$8)&gt;1.92,"ATÍPICO",ABS((I2652-$W$8)/$X$8)&lt;=1.92,"NO ATÍPICO")</f>
        <v>NO ATÍPICO</v>
      </c>
      <c r="L2652">
        <f t="shared" si="181"/>
        <v>200000</v>
      </c>
      <c r="M2652" t="str">
        <f t="shared" si="181"/>
        <v>ASALARIADO</v>
      </c>
      <c r="N2652">
        <f t="shared" si="182"/>
        <v>42</v>
      </c>
      <c r="O2652" s="19" t="str">
        <f t="shared" si="183"/>
        <v>0–300k</v>
      </c>
      <c r="P2652" s="19" t="str">
        <f t="shared" si="184"/>
        <v>36-45</v>
      </c>
    </row>
    <row r="2653" spans="1:16" x14ac:dyDescent="0.25">
      <c r="A2653">
        <v>2652</v>
      </c>
      <c r="B2653" t="s">
        <v>15</v>
      </c>
      <c r="C2653">
        <v>799000</v>
      </c>
      <c r="D2653" t="s">
        <v>10</v>
      </c>
      <c r="E2653" t="s">
        <v>16</v>
      </c>
      <c r="F2653" t="s">
        <v>12</v>
      </c>
      <c r="G2653" t="s">
        <v>13</v>
      </c>
      <c r="H2653" t="s">
        <v>12</v>
      </c>
      <c r="I2653">
        <v>24</v>
      </c>
      <c r="J2653" t="str" cm="1">
        <f t="array" ref="J2653">_xlfn.IFS(ISBLANK(C2653),"FALTANTE",ABS((C2653-$W$5)/$X$5)&gt;1.96,"ATÍPICO",ABS((C2653-$W$5)/$X$5)&lt;=1.96,"NO ATÍPICO")</f>
        <v>NO ATÍPICO</v>
      </c>
      <c r="K2653" t="str" cm="1">
        <f t="array" ref="K2653">_xlfn.IFS(ISBLANK(I2653),"FALTANTE",ABS((I2653-$W$8)/$X$8)&gt;1.92,"ATÍPICO",ABS((I2653-$W$8)/$X$8)&lt;=1.92,"NO ATÍPICO")</f>
        <v>NO ATÍPICO</v>
      </c>
      <c r="L2653">
        <f t="shared" si="181"/>
        <v>799000</v>
      </c>
      <c r="M2653" t="str">
        <f t="shared" si="181"/>
        <v>ASALARIADO</v>
      </c>
      <c r="N2653">
        <f t="shared" si="182"/>
        <v>24</v>
      </c>
      <c r="O2653" s="19" t="str">
        <f t="shared" si="183"/>
        <v>600k–900k</v>
      </c>
      <c r="P2653" s="19" t="str">
        <f t="shared" si="184"/>
        <v>18-25</v>
      </c>
    </row>
    <row r="2654" spans="1:16" x14ac:dyDescent="0.25">
      <c r="A2654">
        <v>2653</v>
      </c>
      <c r="B2654" t="s">
        <v>15</v>
      </c>
      <c r="C2654">
        <v>397504.45</v>
      </c>
      <c r="D2654" t="s">
        <v>10</v>
      </c>
      <c r="E2654" t="s">
        <v>16</v>
      </c>
      <c r="F2654" t="s">
        <v>12</v>
      </c>
      <c r="G2654" t="s">
        <v>13</v>
      </c>
      <c r="H2654" t="s">
        <v>13</v>
      </c>
      <c r="I2654">
        <v>22</v>
      </c>
      <c r="J2654" t="str" cm="1">
        <f t="array" ref="J2654">_xlfn.IFS(ISBLANK(C2654),"FALTANTE",ABS((C2654-$W$5)/$X$5)&gt;1.96,"ATÍPICO",ABS((C2654-$W$5)/$X$5)&lt;=1.96,"NO ATÍPICO")</f>
        <v>NO ATÍPICO</v>
      </c>
      <c r="K2654" t="str" cm="1">
        <f t="array" ref="K2654">_xlfn.IFS(ISBLANK(I2654),"FALTANTE",ABS((I2654-$W$8)/$X$8)&gt;1.92,"ATÍPICO",ABS((I2654-$W$8)/$X$8)&lt;=1.92,"NO ATÍPICO")</f>
        <v>NO ATÍPICO</v>
      </c>
      <c r="L2654">
        <f t="shared" si="181"/>
        <v>397504.45</v>
      </c>
      <c r="M2654" t="str">
        <f t="shared" si="181"/>
        <v>ASALARIADO</v>
      </c>
      <c r="N2654">
        <f t="shared" si="182"/>
        <v>22</v>
      </c>
      <c r="O2654" s="19" t="str">
        <f t="shared" si="183"/>
        <v>300k–600k</v>
      </c>
      <c r="P2654" s="19" t="str">
        <f t="shared" si="184"/>
        <v>18-25</v>
      </c>
    </row>
    <row r="2655" spans="1:16" x14ac:dyDescent="0.25">
      <c r="A2655">
        <v>2654</v>
      </c>
      <c r="B2655" t="s">
        <v>15</v>
      </c>
      <c r="C2655">
        <v>636889</v>
      </c>
      <c r="D2655" t="s">
        <v>18</v>
      </c>
      <c r="E2655" t="s">
        <v>16</v>
      </c>
      <c r="F2655" t="s">
        <v>12</v>
      </c>
      <c r="G2655" t="s">
        <v>13</v>
      </c>
      <c r="H2655" t="s">
        <v>13</v>
      </c>
      <c r="I2655">
        <v>50</v>
      </c>
      <c r="J2655" t="str" cm="1">
        <f t="array" ref="J2655">_xlfn.IFS(ISBLANK(C2655),"FALTANTE",ABS((C2655-$W$5)/$X$5)&gt;1.96,"ATÍPICO",ABS((C2655-$W$5)/$X$5)&lt;=1.96,"NO ATÍPICO")</f>
        <v>NO ATÍPICO</v>
      </c>
      <c r="K2655" t="str" cm="1">
        <f t="array" ref="K2655">_xlfn.IFS(ISBLANK(I2655),"FALTANTE",ABS((I2655-$W$8)/$X$8)&gt;1.92,"ATÍPICO",ABS((I2655-$W$8)/$X$8)&lt;=1.92,"NO ATÍPICO")</f>
        <v>NO ATÍPICO</v>
      </c>
      <c r="L2655">
        <f t="shared" si="181"/>
        <v>636889</v>
      </c>
      <c r="M2655" t="str">
        <f t="shared" si="181"/>
        <v>TRABAJADOR INDEPENDIENTE</v>
      </c>
      <c r="N2655">
        <f t="shared" si="182"/>
        <v>50</v>
      </c>
      <c r="O2655" s="19" t="str">
        <f t="shared" si="183"/>
        <v>600k–900k</v>
      </c>
      <c r="P2655" s="19" t="str">
        <f t="shared" si="184"/>
        <v>46-55</v>
      </c>
    </row>
    <row r="2656" spans="1:16" x14ac:dyDescent="0.25">
      <c r="A2656">
        <v>2655</v>
      </c>
      <c r="B2656" t="s">
        <v>9</v>
      </c>
      <c r="C2656">
        <v>360585</v>
      </c>
      <c r="D2656" t="s">
        <v>10</v>
      </c>
      <c r="E2656" t="s">
        <v>16</v>
      </c>
      <c r="F2656" t="s">
        <v>12</v>
      </c>
      <c r="G2656" t="s">
        <v>13</v>
      </c>
      <c r="H2656" t="s">
        <v>13</v>
      </c>
      <c r="I2656">
        <v>48</v>
      </c>
      <c r="J2656" t="str" cm="1">
        <f t="array" ref="J2656">_xlfn.IFS(ISBLANK(C2656),"FALTANTE",ABS((C2656-$W$5)/$X$5)&gt;1.96,"ATÍPICO",ABS((C2656-$W$5)/$X$5)&lt;=1.96,"NO ATÍPICO")</f>
        <v>NO ATÍPICO</v>
      </c>
      <c r="K2656" t="str" cm="1">
        <f t="array" ref="K2656">_xlfn.IFS(ISBLANK(I2656),"FALTANTE",ABS((I2656-$W$8)/$X$8)&gt;1.92,"ATÍPICO",ABS((I2656-$W$8)/$X$8)&lt;=1.92,"NO ATÍPICO")</f>
        <v>NO ATÍPICO</v>
      </c>
      <c r="L2656">
        <f t="shared" si="181"/>
        <v>360585</v>
      </c>
      <c r="M2656" t="str">
        <f t="shared" si="181"/>
        <v>ASALARIADO</v>
      </c>
      <c r="N2656">
        <f t="shared" si="182"/>
        <v>48</v>
      </c>
      <c r="O2656" s="19" t="str">
        <f t="shared" si="183"/>
        <v>300k–600k</v>
      </c>
      <c r="P2656" s="19" t="str">
        <f t="shared" si="184"/>
        <v>46-55</v>
      </c>
    </row>
    <row r="2657" spans="1:16" x14ac:dyDescent="0.25">
      <c r="A2657">
        <v>2656</v>
      </c>
      <c r="B2657" t="s">
        <v>9</v>
      </c>
      <c r="C2657">
        <v>639605</v>
      </c>
      <c r="D2657" t="s">
        <v>10</v>
      </c>
      <c r="E2657" t="s">
        <v>11</v>
      </c>
      <c r="F2657" t="s">
        <v>12</v>
      </c>
      <c r="G2657" t="s">
        <v>13</v>
      </c>
      <c r="H2657" t="s">
        <v>13</v>
      </c>
      <c r="I2657">
        <v>45</v>
      </c>
      <c r="J2657" t="str" cm="1">
        <f t="array" ref="J2657">_xlfn.IFS(ISBLANK(C2657),"FALTANTE",ABS((C2657-$W$5)/$X$5)&gt;1.96,"ATÍPICO",ABS((C2657-$W$5)/$X$5)&lt;=1.96,"NO ATÍPICO")</f>
        <v>NO ATÍPICO</v>
      </c>
      <c r="K2657" t="str" cm="1">
        <f t="array" ref="K2657">_xlfn.IFS(ISBLANK(I2657),"FALTANTE",ABS((I2657-$W$8)/$X$8)&gt;1.92,"ATÍPICO",ABS((I2657-$W$8)/$X$8)&lt;=1.92,"NO ATÍPICO")</f>
        <v>NO ATÍPICO</v>
      </c>
      <c r="L2657">
        <f t="shared" si="181"/>
        <v>639605</v>
      </c>
      <c r="M2657" t="str">
        <f t="shared" si="181"/>
        <v>ASALARIADO</v>
      </c>
      <c r="N2657">
        <f t="shared" si="182"/>
        <v>45</v>
      </c>
      <c r="O2657" s="19" t="str">
        <f t="shared" si="183"/>
        <v>600k–900k</v>
      </c>
      <c r="P2657" s="19" t="str">
        <f t="shared" si="184"/>
        <v>36-45</v>
      </c>
    </row>
    <row r="2658" spans="1:16" x14ac:dyDescent="0.25">
      <c r="A2658">
        <v>2657</v>
      </c>
      <c r="B2658" t="s">
        <v>15</v>
      </c>
      <c r="C2658">
        <v>1644679</v>
      </c>
      <c r="D2658" t="s">
        <v>10</v>
      </c>
      <c r="E2658" t="s">
        <v>11</v>
      </c>
      <c r="F2658" t="s">
        <v>12</v>
      </c>
      <c r="G2658" t="s">
        <v>13</v>
      </c>
      <c r="H2658" t="s">
        <v>12</v>
      </c>
      <c r="I2658">
        <v>36</v>
      </c>
      <c r="J2658" t="str" cm="1">
        <f t="array" ref="J2658">_xlfn.IFS(ISBLANK(C2658),"FALTANTE",ABS((C2658-$W$5)/$X$5)&gt;1.96,"ATÍPICO",ABS((C2658-$W$5)/$X$5)&lt;=1.96,"NO ATÍPICO")</f>
        <v>NO ATÍPICO</v>
      </c>
      <c r="K2658" t="str" cm="1">
        <f t="array" ref="K2658">_xlfn.IFS(ISBLANK(I2658),"FALTANTE",ABS((I2658-$W$8)/$X$8)&gt;1.92,"ATÍPICO",ABS((I2658-$W$8)/$X$8)&lt;=1.92,"NO ATÍPICO")</f>
        <v>NO ATÍPICO</v>
      </c>
      <c r="L2658">
        <f t="shared" si="181"/>
        <v>1644679</v>
      </c>
      <c r="M2658" t="str">
        <f t="shared" si="181"/>
        <v>ASALARIADO</v>
      </c>
      <c r="N2658">
        <f t="shared" si="182"/>
        <v>36</v>
      </c>
      <c r="O2658" s="19" t="str">
        <f t="shared" si="183"/>
        <v>1200k+</v>
      </c>
      <c r="P2658" s="19" t="str">
        <f t="shared" si="184"/>
        <v>36-45</v>
      </c>
    </row>
    <row r="2659" spans="1:16" x14ac:dyDescent="0.25">
      <c r="A2659">
        <v>2658</v>
      </c>
      <c r="B2659" t="s">
        <v>9</v>
      </c>
      <c r="C2659">
        <v>421650.26</v>
      </c>
      <c r="D2659" t="s">
        <v>10</v>
      </c>
      <c r="E2659" t="s">
        <v>16</v>
      </c>
      <c r="F2659" t="s">
        <v>12</v>
      </c>
      <c r="G2659" t="s">
        <v>13</v>
      </c>
      <c r="H2659" t="s">
        <v>13</v>
      </c>
      <c r="I2659">
        <v>37</v>
      </c>
      <c r="J2659" t="str" cm="1">
        <f t="array" ref="J2659">_xlfn.IFS(ISBLANK(C2659),"FALTANTE",ABS((C2659-$W$5)/$X$5)&gt;1.96,"ATÍPICO",ABS((C2659-$W$5)/$X$5)&lt;=1.96,"NO ATÍPICO")</f>
        <v>NO ATÍPICO</v>
      </c>
      <c r="K2659" t="str" cm="1">
        <f t="array" ref="K2659">_xlfn.IFS(ISBLANK(I2659),"FALTANTE",ABS((I2659-$W$8)/$X$8)&gt;1.92,"ATÍPICO",ABS((I2659-$W$8)/$X$8)&lt;=1.92,"NO ATÍPICO")</f>
        <v>NO ATÍPICO</v>
      </c>
      <c r="L2659">
        <f t="shared" si="181"/>
        <v>421650.26</v>
      </c>
      <c r="M2659" t="str">
        <f t="shared" si="181"/>
        <v>ASALARIADO</v>
      </c>
      <c r="N2659">
        <f t="shared" si="182"/>
        <v>37</v>
      </c>
      <c r="O2659" s="19" t="str">
        <f t="shared" si="183"/>
        <v>300k–600k</v>
      </c>
      <c r="P2659" s="19" t="str">
        <f t="shared" si="184"/>
        <v>36-45</v>
      </c>
    </row>
    <row r="2660" spans="1:16" x14ac:dyDescent="0.25">
      <c r="A2660">
        <v>2659</v>
      </c>
      <c r="B2660" t="s">
        <v>9</v>
      </c>
      <c r="C2660">
        <v>678531.4</v>
      </c>
      <c r="D2660" t="s">
        <v>10</v>
      </c>
      <c r="E2660" t="s">
        <v>11</v>
      </c>
      <c r="F2660" t="s">
        <v>12</v>
      </c>
      <c r="G2660" t="s">
        <v>13</v>
      </c>
      <c r="H2660" t="s">
        <v>13</v>
      </c>
      <c r="I2660">
        <v>48</v>
      </c>
      <c r="J2660" t="str" cm="1">
        <f t="array" ref="J2660">_xlfn.IFS(ISBLANK(C2660),"FALTANTE",ABS((C2660-$W$5)/$X$5)&gt;1.96,"ATÍPICO",ABS((C2660-$W$5)/$X$5)&lt;=1.96,"NO ATÍPICO")</f>
        <v>NO ATÍPICO</v>
      </c>
      <c r="K2660" t="str" cm="1">
        <f t="array" ref="K2660">_xlfn.IFS(ISBLANK(I2660),"FALTANTE",ABS((I2660-$W$8)/$X$8)&gt;1.92,"ATÍPICO",ABS((I2660-$W$8)/$X$8)&lt;=1.92,"NO ATÍPICO")</f>
        <v>NO ATÍPICO</v>
      </c>
      <c r="L2660">
        <f t="shared" si="181"/>
        <v>678531.4</v>
      </c>
      <c r="M2660" t="str">
        <f t="shared" si="181"/>
        <v>ASALARIADO</v>
      </c>
      <c r="N2660">
        <f t="shared" si="182"/>
        <v>48</v>
      </c>
      <c r="O2660" s="19" t="str">
        <f t="shared" si="183"/>
        <v>600k–900k</v>
      </c>
      <c r="P2660" s="19" t="str">
        <f t="shared" si="184"/>
        <v>46-55</v>
      </c>
    </row>
    <row r="2661" spans="1:16" x14ac:dyDescent="0.25">
      <c r="A2661">
        <v>2660</v>
      </c>
      <c r="B2661" t="s">
        <v>9</v>
      </c>
      <c r="C2661">
        <v>175367.76</v>
      </c>
      <c r="D2661" t="s">
        <v>10</v>
      </c>
      <c r="E2661" t="s">
        <v>16</v>
      </c>
      <c r="F2661" t="s">
        <v>12</v>
      </c>
      <c r="G2661" t="s">
        <v>13</v>
      </c>
      <c r="H2661" t="s">
        <v>13</v>
      </c>
      <c r="I2661">
        <v>36</v>
      </c>
      <c r="J2661" t="str" cm="1">
        <f t="array" ref="J2661">_xlfn.IFS(ISBLANK(C2661),"FALTANTE",ABS((C2661-$W$5)/$X$5)&gt;1.96,"ATÍPICO",ABS((C2661-$W$5)/$X$5)&lt;=1.96,"NO ATÍPICO")</f>
        <v>NO ATÍPICO</v>
      </c>
      <c r="K2661" t="str" cm="1">
        <f t="array" ref="K2661">_xlfn.IFS(ISBLANK(I2661),"FALTANTE",ABS((I2661-$W$8)/$X$8)&gt;1.92,"ATÍPICO",ABS((I2661-$W$8)/$X$8)&lt;=1.92,"NO ATÍPICO")</f>
        <v>NO ATÍPICO</v>
      </c>
      <c r="L2661">
        <f t="shared" si="181"/>
        <v>175367.76</v>
      </c>
      <c r="M2661" t="str">
        <f t="shared" si="181"/>
        <v>ASALARIADO</v>
      </c>
      <c r="N2661">
        <f t="shared" si="182"/>
        <v>36</v>
      </c>
      <c r="O2661" s="19" t="str">
        <f t="shared" si="183"/>
        <v>0–300k</v>
      </c>
      <c r="P2661" s="19" t="str">
        <f t="shared" si="184"/>
        <v>36-45</v>
      </c>
    </row>
    <row r="2662" spans="1:16" x14ac:dyDescent="0.25">
      <c r="A2662">
        <v>2661</v>
      </c>
      <c r="B2662" t="s">
        <v>15</v>
      </c>
      <c r="C2662">
        <v>522906.95</v>
      </c>
      <c r="D2662" t="s">
        <v>10</v>
      </c>
      <c r="E2662" t="s">
        <v>16</v>
      </c>
      <c r="F2662" t="s">
        <v>12</v>
      </c>
      <c r="G2662" t="s">
        <v>12</v>
      </c>
      <c r="H2662" t="s">
        <v>13</v>
      </c>
      <c r="I2662">
        <v>37</v>
      </c>
      <c r="J2662" t="str" cm="1">
        <f t="array" ref="J2662">_xlfn.IFS(ISBLANK(C2662),"FALTANTE",ABS((C2662-$W$5)/$X$5)&gt;1.96,"ATÍPICO",ABS((C2662-$W$5)/$X$5)&lt;=1.96,"NO ATÍPICO")</f>
        <v>NO ATÍPICO</v>
      </c>
      <c r="K2662" t="str" cm="1">
        <f t="array" ref="K2662">_xlfn.IFS(ISBLANK(I2662),"FALTANTE",ABS((I2662-$W$8)/$X$8)&gt;1.92,"ATÍPICO",ABS((I2662-$W$8)/$X$8)&lt;=1.92,"NO ATÍPICO")</f>
        <v>NO ATÍPICO</v>
      </c>
      <c r="L2662">
        <f t="shared" si="181"/>
        <v>522906.95</v>
      </c>
      <c r="M2662" t="str">
        <f t="shared" si="181"/>
        <v>ASALARIADO</v>
      </c>
      <c r="N2662">
        <f t="shared" si="182"/>
        <v>37</v>
      </c>
      <c r="O2662" s="19" t="str">
        <f t="shared" si="183"/>
        <v>300k–600k</v>
      </c>
      <c r="P2662" s="19" t="str">
        <f t="shared" si="184"/>
        <v>36-45</v>
      </c>
    </row>
    <row r="2663" spans="1:16" x14ac:dyDescent="0.25">
      <c r="A2663">
        <v>2662</v>
      </c>
      <c r="B2663" t="s">
        <v>9</v>
      </c>
      <c r="C2663">
        <v>699251.07</v>
      </c>
      <c r="D2663" t="s">
        <v>10</v>
      </c>
      <c r="E2663" t="s">
        <v>16</v>
      </c>
      <c r="F2663" t="s">
        <v>12</v>
      </c>
      <c r="G2663" t="s">
        <v>13</v>
      </c>
      <c r="H2663" t="s">
        <v>13</v>
      </c>
      <c r="I2663">
        <v>24</v>
      </c>
      <c r="J2663" t="str" cm="1">
        <f t="array" ref="J2663">_xlfn.IFS(ISBLANK(C2663),"FALTANTE",ABS((C2663-$W$5)/$X$5)&gt;1.96,"ATÍPICO",ABS((C2663-$W$5)/$X$5)&lt;=1.96,"NO ATÍPICO")</f>
        <v>NO ATÍPICO</v>
      </c>
      <c r="K2663" t="str" cm="1">
        <f t="array" ref="K2663">_xlfn.IFS(ISBLANK(I2663),"FALTANTE",ABS((I2663-$W$8)/$X$8)&gt;1.92,"ATÍPICO",ABS((I2663-$W$8)/$X$8)&lt;=1.92,"NO ATÍPICO")</f>
        <v>NO ATÍPICO</v>
      </c>
      <c r="L2663">
        <f t="shared" si="181"/>
        <v>699251.07</v>
      </c>
      <c r="M2663" t="str">
        <f t="shared" si="181"/>
        <v>ASALARIADO</v>
      </c>
      <c r="N2663">
        <f t="shared" si="182"/>
        <v>24</v>
      </c>
      <c r="O2663" s="19" t="str">
        <f t="shared" si="183"/>
        <v>600k–900k</v>
      </c>
      <c r="P2663" s="19" t="str">
        <f t="shared" si="184"/>
        <v>18-25</v>
      </c>
    </row>
    <row r="2664" spans="1:16" x14ac:dyDescent="0.25">
      <c r="A2664">
        <v>2663</v>
      </c>
      <c r="B2664" t="s">
        <v>15</v>
      </c>
      <c r="C2664">
        <v>233842.77</v>
      </c>
      <c r="D2664" t="s">
        <v>10</v>
      </c>
      <c r="E2664" t="s">
        <v>16</v>
      </c>
      <c r="F2664" t="s">
        <v>12</v>
      </c>
      <c r="G2664" t="s">
        <v>13</v>
      </c>
      <c r="H2664" t="s">
        <v>13</v>
      </c>
      <c r="I2664">
        <v>22</v>
      </c>
      <c r="J2664" t="str" cm="1">
        <f t="array" ref="J2664">_xlfn.IFS(ISBLANK(C2664),"FALTANTE",ABS((C2664-$W$5)/$X$5)&gt;1.96,"ATÍPICO",ABS((C2664-$W$5)/$X$5)&lt;=1.96,"NO ATÍPICO")</f>
        <v>NO ATÍPICO</v>
      </c>
      <c r="K2664" t="str" cm="1">
        <f t="array" ref="K2664">_xlfn.IFS(ISBLANK(I2664),"FALTANTE",ABS((I2664-$W$8)/$X$8)&gt;1.92,"ATÍPICO",ABS((I2664-$W$8)/$X$8)&lt;=1.92,"NO ATÍPICO")</f>
        <v>NO ATÍPICO</v>
      </c>
      <c r="L2664">
        <f t="shared" si="181"/>
        <v>233842.77</v>
      </c>
      <c r="M2664" t="str">
        <f t="shared" si="181"/>
        <v>ASALARIADO</v>
      </c>
      <c r="N2664">
        <f t="shared" si="182"/>
        <v>22</v>
      </c>
      <c r="O2664" s="19" t="str">
        <f t="shared" si="183"/>
        <v>0–300k</v>
      </c>
      <c r="P2664" s="19" t="str">
        <f t="shared" si="184"/>
        <v>18-25</v>
      </c>
    </row>
    <row r="2665" spans="1:16" x14ac:dyDescent="0.25">
      <c r="A2665">
        <v>2664</v>
      </c>
      <c r="B2665" t="s">
        <v>15</v>
      </c>
      <c r="C2665">
        <v>297045</v>
      </c>
      <c r="D2665" t="s">
        <v>17</v>
      </c>
      <c r="E2665" t="s">
        <v>16</v>
      </c>
      <c r="F2665" t="s">
        <v>12</v>
      </c>
      <c r="G2665" t="s">
        <v>12</v>
      </c>
      <c r="H2665" t="s">
        <v>13</v>
      </c>
      <c r="I2665">
        <v>52</v>
      </c>
      <c r="J2665" t="str" cm="1">
        <f t="array" ref="J2665">_xlfn.IFS(ISBLANK(C2665),"FALTANTE",ABS((C2665-$W$5)/$X$5)&gt;1.96,"ATÍPICO",ABS((C2665-$W$5)/$X$5)&lt;=1.96,"NO ATÍPICO")</f>
        <v>NO ATÍPICO</v>
      </c>
      <c r="K2665" t="str" cm="1">
        <f t="array" ref="K2665">_xlfn.IFS(ISBLANK(I2665),"FALTANTE",ABS((I2665-$W$8)/$X$8)&gt;1.92,"ATÍPICO",ABS((I2665-$W$8)/$X$8)&lt;=1.92,"NO ATÍPICO")</f>
        <v>NO ATÍPICO</v>
      </c>
      <c r="L2665">
        <f t="shared" si="181"/>
        <v>297045</v>
      </c>
      <c r="M2665" t="str">
        <f t="shared" si="181"/>
        <v>ASEGURADO VOLUNTARIO</v>
      </c>
      <c r="N2665">
        <f t="shared" si="182"/>
        <v>52</v>
      </c>
      <c r="O2665" s="19" t="str">
        <f t="shared" si="183"/>
        <v>0–300k</v>
      </c>
      <c r="P2665" s="19" t="str">
        <f t="shared" si="184"/>
        <v>46-55</v>
      </c>
    </row>
    <row r="2666" spans="1:16" x14ac:dyDescent="0.25">
      <c r="A2666">
        <v>2665</v>
      </c>
      <c r="B2666" t="s">
        <v>9</v>
      </c>
      <c r="C2666">
        <v>385165</v>
      </c>
      <c r="D2666" t="s">
        <v>18</v>
      </c>
      <c r="E2666" t="s">
        <v>16</v>
      </c>
      <c r="F2666" t="s">
        <v>12</v>
      </c>
      <c r="G2666" t="s">
        <v>13</v>
      </c>
      <c r="H2666" t="s">
        <v>12</v>
      </c>
      <c r="I2666">
        <v>71</v>
      </c>
      <c r="J2666" t="str" cm="1">
        <f t="array" ref="J2666">_xlfn.IFS(ISBLANK(C2666),"FALTANTE",ABS((C2666-$W$5)/$X$5)&gt;1.96,"ATÍPICO",ABS((C2666-$W$5)/$X$5)&lt;=1.96,"NO ATÍPICO")</f>
        <v>NO ATÍPICO</v>
      </c>
      <c r="K2666" t="str" cm="1">
        <f t="array" ref="K2666">_xlfn.IFS(ISBLANK(I2666),"FALTANTE",ABS((I2666-$W$8)/$X$8)&gt;1.92,"ATÍPICO",ABS((I2666-$W$8)/$X$8)&lt;=1.92,"NO ATÍPICO")</f>
        <v>ATÍPICO</v>
      </c>
      <c r="L2666">
        <f t="shared" si="181"/>
        <v>385165</v>
      </c>
      <c r="M2666" t="str">
        <f t="shared" si="181"/>
        <v>TRABAJADOR INDEPENDIENTE</v>
      </c>
      <c r="N2666">
        <f t="shared" si="182"/>
        <v>71</v>
      </c>
      <c r="O2666" s="19" t="str">
        <f t="shared" si="183"/>
        <v>300k–600k</v>
      </c>
      <c r="P2666" s="19" t="str">
        <f t="shared" si="184"/>
        <v>56+</v>
      </c>
    </row>
    <row r="2667" spans="1:16" x14ac:dyDescent="0.25">
      <c r="A2667">
        <v>2666</v>
      </c>
      <c r="B2667" t="s">
        <v>9</v>
      </c>
      <c r="C2667">
        <v>405573.35</v>
      </c>
      <c r="D2667" t="s">
        <v>10</v>
      </c>
      <c r="E2667" t="s">
        <v>16</v>
      </c>
      <c r="F2667" t="s">
        <v>12</v>
      </c>
      <c r="G2667" t="s">
        <v>13</v>
      </c>
      <c r="H2667" t="s">
        <v>13</v>
      </c>
      <c r="I2667">
        <v>24</v>
      </c>
      <c r="J2667" t="str" cm="1">
        <f t="array" ref="J2667">_xlfn.IFS(ISBLANK(C2667),"FALTANTE",ABS((C2667-$W$5)/$X$5)&gt;1.96,"ATÍPICO",ABS((C2667-$W$5)/$X$5)&lt;=1.96,"NO ATÍPICO")</f>
        <v>NO ATÍPICO</v>
      </c>
      <c r="K2667" t="str" cm="1">
        <f t="array" ref="K2667">_xlfn.IFS(ISBLANK(I2667),"FALTANTE",ABS((I2667-$W$8)/$X$8)&gt;1.92,"ATÍPICO",ABS((I2667-$W$8)/$X$8)&lt;=1.92,"NO ATÍPICO")</f>
        <v>NO ATÍPICO</v>
      </c>
      <c r="L2667">
        <f t="shared" si="181"/>
        <v>405573.35</v>
      </c>
      <c r="M2667" t="str">
        <f t="shared" si="181"/>
        <v>ASALARIADO</v>
      </c>
      <c r="N2667">
        <f t="shared" si="182"/>
        <v>24</v>
      </c>
      <c r="O2667" s="19" t="str">
        <f t="shared" si="183"/>
        <v>300k–600k</v>
      </c>
      <c r="P2667" s="19" t="str">
        <f t="shared" si="184"/>
        <v>18-25</v>
      </c>
    </row>
    <row r="2668" spans="1:16" x14ac:dyDescent="0.25">
      <c r="A2668">
        <v>2667</v>
      </c>
      <c r="B2668" t="s">
        <v>9</v>
      </c>
      <c r="C2668">
        <v>299441</v>
      </c>
      <c r="D2668" t="s">
        <v>18</v>
      </c>
      <c r="E2668" t="s">
        <v>16</v>
      </c>
      <c r="F2668" t="s">
        <v>12</v>
      </c>
      <c r="G2668" t="s">
        <v>13</v>
      </c>
      <c r="H2668" t="s">
        <v>13</v>
      </c>
      <c r="I2668">
        <v>61</v>
      </c>
      <c r="J2668" t="str" cm="1">
        <f t="array" ref="J2668">_xlfn.IFS(ISBLANK(C2668),"FALTANTE",ABS((C2668-$W$5)/$X$5)&gt;1.96,"ATÍPICO",ABS((C2668-$W$5)/$X$5)&lt;=1.96,"NO ATÍPICO")</f>
        <v>NO ATÍPICO</v>
      </c>
      <c r="K2668" t="str" cm="1">
        <f t="array" ref="K2668">_xlfn.IFS(ISBLANK(I2668),"FALTANTE",ABS((I2668-$W$8)/$X$8)&gt;1.92,"ATÍPICO",ABS((I2668-$W$8)/$X$8)&lt;=1.92,"NO ATÍPICO")</f>
        <v>NO ATÍPICO</v>
      </c>
      <c r="L2668">
        <f t="shared" si="181"/>
        <v>299441</v>
      </c>
      <c r="M2668" t="str">
        <f t="shared" si="181"/>
        <v>TRABAJADOR INDEPENDIENTE</v>
      </c>
      <c r="N2668">
        <f t="shared" si="182"/>
        <v>61</v>
      </c>
      <c r="O2668" s="19" t="str">
        <f t="shared" si="183"/>
        <v>0–300k</v>
      </c>
      <c r="P2668" s="19" t="str">
        <f t="shared" si="184"/>
        <v>56+</v>
      </c>
    </row>
    <row r="2669" spans="1:16" x14ac:dyDescent="0.25">
      <c r="A2669">
        <v>2668</v>
      </c>
      <c r="B2669" t="s">
        <v>9</v>
      </c>
      <c r="C2669">
        <v>410402</v>
      </c>
      <c r="D2669" t="s">
        <v>10</v>
      </c>
      <c r="E2669" t="s">
        <v>16</v>
      </c>
      <c r="F2669" t="s">
        <v>12</v>
      </c>
      <c r="G2669" t="s">
        <v>13</v>
      </c>
      <c r="H2669" t="s">
        <v>13</v>
      </c>
      <c r="I2669">
        <v>45</v>
      </c>
      <c r="J2669" t="str" cm="1">
        <f t="array" ref="J2669">_xlfn.IFS(ISBLANK(C2669),"FALTANTE",ABS((C2669-$W$5)/$X$5)&gt;1.96,"ATÍPICO",ABS((C2669-$W$5)/$X$5)&lt;=1.96,"NO ATÍPICO")</f>
        <v>NO ATÍPICO</v>
      </c>
      <c r="K2669" t="str" cm="1">
        <f t="array" ref="K2669">_xlfn.IFS(ISBLANK(I2669),"FALTANTE",ABS((I2669-$W$8)/$X$8)&gt;1.92,"ATÍPICO",ABS((I2669-$W$8)/$X$8)&lt;=1.92,"NO ATÍPICO")</f>
        <v>NO ATÍPICO</v>
      </c>
      <c r="L2669">
        <f t="shared" si="181"/>
        <v>410402</v>
      </c>
      <c r="M2669" t="str">
        <f t="shared" si="181"/>
        <v>ASALARIADO</v>
      </c>
      <c r="N2669">
        <f t="shared" si="182"/>
        <v>45</v>
      </c>
      <c r="O2669" s="19" t="str">
        <f t="shared" si="183"/>
        <v>300k–600k</v>
      </c>
      <c r="P2669" s="19" t="str">
        <f t="shared" si="184"/>
        <v>36-45</v>
      </c>
    </row>
    <row r="2670" spans="1:16" x14ac:dyDescent="0.25">
      <c r="A2670">
        <v>2669</v>
      </c>
      <c r="B2670" t="s">
        <v>9</v>
      </c>
      <c r="C2670">
        <v>516112.73</v>
      </c>
      <c r="D2670" t="s">
        <v>10</v>
      </c>
      <c r="E2670" t="s">
        <v>16</v>
      </c>
      <c r="F2670" t="s">
        <v>12</v>
      </c>
      <c r="G2670" t="s">
        <v>13</v>
      </c>
      <c r="H2670" t="s">
        <v>13</v>
      </c>
      <c r="I2670">
        <v>27</v>
      </c>
      <c r="J2670" t="str" cm="1">
        <f t="array" ref="J2670">_xlfn.IFS(ISBLANK(C2670),"FALTANTE",ABS((C2670-$W$5)/$X$5)&gt;1.96,"ATÍPICO",ABS((C2670-$W$5)/$X$5)&lt;=1.96,"NO ATÍPICO")</f>
        <v>NO ATÍPICO</v>
      </c>
      <c r="K2670" t="str" cm="1">
        <f t="array" ref="K2670">_xlfn.IFS(ISBLANK(I2670),"FALTANTE",ABS((I2670-$W$8)/$X$8)&gt;1.92,"ATÍPICO",ABS((I2670-$W$8)/$X$8)&lt;=1.92,"NO ATÍPICO")</f>
        <v>NO ATÍPICO</v>
      </c>
      <c r="L2670">
        <f t="shared" si="181"/>
        <v>516112.73</v>
      </c>
      <c r="M2670" t="str">
        <f t="shared" si="181"/>
        <v>ASALARIADO</v>
      </c>
      <c r="N2670">
        <f t="shared" si="182"/>
        <v>27</v>
      </c>
      <c r="O2670" s="19" t="str">
        <f t="shared" si="183"/>
        <v>300k–600k</v>
      </c>
      <c r="P2670" s="19" t="str">
        <f t="shared" si="184"/>
        <v>26-35</v>
      </c>
    </row>
    <row r="2671" spans="1:16" x14ac:dyDescent="0.25">
      <c r="A2671">
        <v>2670</v>
      </c>
      <c r="B2671" t="s">
        <v>9</v>
      </c>
      <c r="C2671">
        <v>356686.25</v>
      </c>
      <c r="D2671" t="s">
        <v>10</v>
      </c>
      <c r="E2671" t="s">
        <v>16</v>
      </c>
      <c r="F2671" t="s">
        <v>12</v>
      </c>
      <c r="G2671" t="s">
        <v>13</v>
      </c>
      <c r="H2671" t="s">
        <v>13</v>
      </c>
      <c r="I2671">
        <v>38</v>
      </c>
      <c r="J2671" t="str" cm="1">
        <f t="array" ref="J2671">_xlfn.IFS(ISBLANK(C2671),"FALTANTE",ABS((C2671-$W$5)/$X$5)&gt;1.96,"ATÍPICO",ABS((C2671-$W$5)/$X$5)&lt;=1.96,"NO ATÍPICO")</f>
        <v>NO ATÍPICO</v>
      </c>
      <c r="K2671" t="str" cm="1">
        <f t="array" ref="K2671">_xlfn.IFS(ISBLANK(I2671),"FALTANTE",ABS((I2671-$W$8)/$X$8)&gt;1.92,"ATÍPICO",ABS((I2671-$W$8)/$X$8)&lt;=1.92,"NO ATÍPICO")</f>
        <v>NO ATÍPICO</v>
      </c>
      <c r="L2671">
        <f t="shared" si="181"/>
        <v>356686.25</v>
      </c>
      <c r="M2671" t="str">
        <f t="shared" si="181"/>
        <v>ASALARIADO</v>
      </c>
      <c r="N2671">
        <f t="shared" si="182"/>
        <v>38</v>
      </c>
      <c r="O2671" s="19" t="str">
        <f t="shared" si="183"/>
        <v>300k–600k</v>
      </c>
      <c r="P2671" s="19" t="str">
        <f t="shared" si="184"/>
        <v>36-45</v>
      </c>
    </row>
    <row r="2672" spans="1:16" x14ac:dyDescent="0.25">
      <c r="A2672">
        <v>2671</v>
      </c>
      <c r="B2672" t="s">
        <v>15</v>
      </c>
      <c r="C2672">
        <v>1794936</v>
      </c>
      <c r="D2672" t="s">
        <v>10</v>
      </c>
      <c r="E2672" t="s">
        <v>16</v>
      </c>
      <c r="F2672" t="s">
        <v>12</v>
      </c>
      <c r="G2672" t="s">
        <v>13</v>
      </c>
      <c r="H2672" t="s">
        <v>13</v>
      </c>
      <c r="I2672">
        <v>29</v>
      </c>
      <c r="J2672" t="str" cm="1">
        <f t="array" ref="J2672">_xlfn.IFS(ISBLANK(C2672),"FALTANTE",ABS((C2672-$W$5)/$X$5)&gt;1.96,"ATÍPICO",ABS((C2672-$W$5)/$X$5)&lt;=1.96,"NO ATÍPICO")</f>
        <v>NO ATÍPICO</v>
      </c>
      <c r="K2672" t="str" cm="1">
        <f t="array" ref="K2672">_xlfn.IFS(ISBLANK(I2672),"FALTANTE",ABS((I2672-$W$8)/$X$8)&gt;1.92,"ATÍPICO",ABS((I2672-$W$8)/$X$8)&lt;=1.92,"NO ATÍPICO")</f>
        <v>NO ATÍPICO</v>
      </c>
      <c r="L2672">
        <f t="shared" si="181"/>
        <v>1794936</v>
      </c>
      <c r="M2672" t="str">
        <f t="shared" si="181"/>
        <v>ASALARIADO</v>
      </c>
      <c r="N2672">
        <f t="shared" si="182"/>
        <v>29</v>
      </c>
      <c r="O2672" s="19" t="str">
        <f t="shared" si="183"/>
        <v>1200k+</v>
      </c>
      <c r="P2672" s="19" t="str">
        <f t="shared" si="184"/>
        <v>26-35</v>
      </c>
    </row>
    <row r="2673" spans="1:16" x14ac:dyDescent="0.25">
      <c r="A2673">
        <v>2672</v>
      </c>
      <c r="B2673" t="s">
        <v>9</v>
      </c>
      <c r="C2673">
        <v>68371.649999999994</v>
      </c>
      <c r="D2673" t="s">
        <v>10</v>
      </c>
      <c r="E2673" t="s">
        <v>11</v>
      </c>
      <c r="F2673" t="s">
        <v>12</v>
      </c>
      <c r="G2673" t="s">
        <v>13</v>
      </c>
      <c r="H2673" t="s">
        <v>13</v>
      </c>
      <c r="I2673">
        <v>42</v>
      </c>
      <c r="J2673" t="str" cm="1">
        <f t="array" ref="J2673">_xlfn.IFS(ISBLANK(C2673),"FALTANTE",ABS((C2673-$W$5)/$X$5)&gt;1.96,"ATÍPICO",ABS((C2673-$W$5)/$X$5)&lt;=1.96,"NO ATÍPICO")</f>
        <v>NO ATÍPICO</v>
      </c>
      <c r="K2673" t="str" cm="1">
        <f t="array" ref="K2673">_xlfn.IFS(ISBLANK(I2673),"FALTANTE",ABS((I2673-$W$8)/$X$8)&gt;1.92,"ATÍPICO",ABS((I2673-$W$8)/$X$8)&lt;=1.92,"NO ATÍPICO")</f>
        <v>NO ATÍPICO</v>
      </c>
      <c r="L2673">
        <f t="shared" si="181"/>
        <v>68371.649999999994</v>
      </c>
      <c r="M2673" t="str">
        <f t="shared" si="181"/>
        <v>ASALARIADO</v>
      </c>
      <c r="N2673">
        <f t="shared" si="182"/>
        <v>42</v>
      </c>
      <c r="O2673" s="19" t="str">
        <f t="shared" si="183"/>
        <v>0–300k</v>
      </c>
      <c r="P2673" s="19" t="str">
        <f t="shared" si="184"/>
        <v>36-45</v>
      </c>
    </row>
    <row r="2674" spans="1:16" x14ac:dyDescent="0.25">
      <c r="A2674">
        <v>2673</v>
      </c>
      <c r="B2674" t="s">
        <v>9</v>
      </c>
      <c r="C2674">
        <v>186718</v>
      </c>
      <c r="D2674" t="s">
        <v>10</v>
      </c>
      <c r="E2674" t="s">
        <v>16</v>
      </c>
      <c r="F2674" t="s">
        <v>12</v>
      </c>
      <c r="G2674" t="s">
        <v>13</v>
      </c>
      <c r="H2674" t="s">
        <v>13</v>
      </c>
      <c r="I2674">
        <v>31</v>
      </c>
      <c r="J2674" t="str" cm="1">
        <f t="array" ref="J2674">_xlfn.IFS(ISBLANK(C2674),"FALTANTE",ABS((C2674-$W$5)/$X$5)&gt;1.96,"ATÍPICO",ABS((C2674-$W$5)/$X$5)&lt;=1.96,"NO ATÍPICO")</f>
        <v>NO ATÍPICO</v>
      </c>
      <c r="K2674" t="str" cm="1">
        <f t="array" ref="K2674">_xlfn.IFS(ISBLANK(I2674),"FALTANTE",ABS((I2674-$W$8)/$X$8)&gt;1.92,"ATÍPICO",ABS((I2674-$W$8)/$X$8)&lt;=1.92,"NO ATÍPICO")</f>
        <v>NO ATÍPICO</v>
      </c>
      <c r="L2674">
        <f t="shared" si="181"/>
        <v>186718</v>
      </c>
      <c r="M2674" t="str">
        <f t="shared" si="181"/>
        <v>ASALARIADO</v>
      </c>
      <c r="N2674">
        <f t="shared" si="182"/>
        <v>31</v>
      </c>
      <c r="O2674" s="19" t="str">
        <f t="shared" si="183"/>
        <v>0–300k</v>
      </c>
      <c r="P2674" s="19" t="str">
        <f t="shared" si="184"/>
        <v>26-35</v>
      </c>
    </row>
    <row r="2675" spans="1:16" x14ac:dyDescent="0.25">
      <c r="A2675">
        <v>2674</v>
      </c>
      <c r="B2675" t="s">
        <v>9</v>
      </c>
      <c r="C2675">
        <v>399603.16</v>
      </c>
      <c r="D2675" t="s">
        <v>10</v>
      </c>
      <c r="E2675" t="s">
        <v>16</v>
      </c>
      <c r="F2675" t="s">
        <v>12</v>
      </c>
      <c r="G2675" t="s">
        <v>13</v>
      </c>
      <c r="H2675" t="s">
        <v>13</v>
      </c>
      <c r="I2675">
        <v>43</v>
      </c>
      <c r="J2675" t="str" cm="1">
        <f t="array" ref="J2675">_xlfn.IFS(ISBLANK(C2675),"FALTANTE",ABS((C2675-$W$5)/$X$5)&gt;1.96,"ATÍPICO",ABS((C2675-$W$5)/$X$5)&lt;=1.96,"NO ATÍPICO")</f>
        <v>NO ATÍPICO</v>
      </c>
      <c r="K2675" t="str" cm="1">
        <f t="array" ref="K2675">_xlfn.IFS(ISBLANK(I2675),"FALTANTE",ABS((I2675-$W$8)/$X$8)&gt;1.92,"ATÍPICO",ABS((I2675-$W$8)/$X$8)&lt;=1.92,"NO ATÍPICO")</f>
        <v>NO ATÍPICO</v>
      </c>
      <c r="L2675">
        <f t="shared" si="181"/>
        <v>399603.16</v>
      </c>
      <c r="M2675" t="str">
        <f t="shared" si="181"/>
        <v>ASALARIADO</v>
      </c>
      <c r="N2675">
        <f t="shared" si="182"/>
        <v>43</v>
      </c>
      <c r="O2675" s="19" t="str">
        <f t="shared" si="183"/>
        <v>300k–600k</v>
      </c>
      <c r="P2675" s="19" t="str">
        <f t="shared" si="184"/>
        <v>36-45</v>
      </c>
    </row>
    <row r="2676" spans="1:16" x14ac:dyDescent="0.25">
      <c r="A2676">
        <v>2675</v>
      </c>
      <c r="B2676" t="s">
        <v>15</v>
      </c>
      <c r="C2676">
        <v>354822.98</v>
      </c>
      <c r="D2676" t="s">
        <v>14</v>
      </c>
      <c r="E2676" t="s">
        <v>11</v>
      </c>
      <c r="F2676" t="s">
        <v>12</v>
      </c>
      <c r="G2676" t="s">
        <v>13</v>
      </c>
      <c r="H2676" t="s">
        <v>13</v>
      </c>
      <c r="I2676">
        <v>75</v>
      </c>
      <c r="J2676" t="str" cm="1">
        <f t="array" ref="J2676">_xlfn.IFS(ISBLANK(C2676),"FALTANTE",ABS((C2676-$W$5)/$X$5)&gt;1.96,"ATÍPICO",ABS((C2676-$W$5)/$X$5)&lt;=1.96,"NO ATÍPICO")</f>
        <v>NO ATÍPICO</v>
      </c>
      <c r="K2676" t="str" cm="1">
        <f t="array" ref="K2676">_xlfn.IFS(ISBLANK(I2676),"FALTANTE",ABS((I2676-$W$8)/$X$8)&gt;1.92,"ATÍPICO",ABS((I2676-$W$8)/$X$8)&lt;=1.92,"NO ATÍPICO")</f>
        <v>ATÍPICO</v>
      </c>
      <c r="L2676">
        <f t="shared" si="181"/>
        <v>354822.98</v>
      </c>
      <c r="M2676" t="str">
        <f t="shared" si="181"/>
        <v>PENSIONADOS EN SU PROPIO SISTEMA</v>
      </c>
      <c r="N2676">
        <f t="shared" si="182"/>
        <v>75</v>
      </c>
      <c r="O2676" s="19" t="str">
        <f t="shared" si="183"/>
        <v>300k–600k</v>
      </c>
      <c r="P2676" s="19" t="str">
        <f t="shared" si="184"/>
        <v>56+</v>
      </c>
    </row>
    <row r="2677" spans="1:16" x14ac:dyDescent="0.25">
      <c r="A2677">
        <v>2676</v>
      </c>
      <c r="B2677" t="s">
        <v>15</v>
      </c>
      <c r="C2677">
        <v>425829.6</v>
      </c>
      <c r="D2677" t="s">
        <v>10</v>
      </c>
      <c r="E2677" t="s">
        <v>16</v>
      </c>
      <c r="F2677" t="s">
        <v>12</v>
      </c>
      <c r="G2677" t="s">
        <v>13</v>
      </c>
      <c r="H2677" t="s">
        <v>13</v>
      </c>
      <c r="I2677">
        <v>19</v>
      </c>
      <c r="J2677" t="str" cm="1">
        <f t="array" ref="J2677">_xlfn.IFS(ISBLANK(C2677),"FALTANTE",ABS((C2677-$W$5)/$X$5)&gt;1.96,"ATÍPICO",ABS((C2677-$W$5)/$X$5)&lt;=1.96,"NO ATÍPICO")</f>
        <v>NO ATÍPICO</v>
      </c>
      <c r="K2677" t="str" cm="1">
        <f t="array" ref="K2677">_xlfn.IFS(ISBLANK(I2677),"FALTANTE",ABS((I2677-$W$8)/$X$8)&gt;1.92,"ATÍPICO",ABS((I2677-$W$8)/$X$8)&lt;=1.92,"NO ATÍPICO")</f>
        <v>NO ATÍPICO</v>
      </c>
      <c r="L2677">
        <f t="shared" si="181"/>
        <v>425829.6</v>
      </c>
      <c r="M2677" t="str">
        <f t="shared" si="181"/>
        <v>ASALARIADO</v>
      </c>
      <c r="N2677">
        <f t="shared" si="182"/>
        <v>19</v>
      </c>
      <c r="O2677" s="19" t="str">
        <f t="shared" si="183"/>
        <v>300k–600k</v>
      </c>
      <c r="P2677" s="19" t="str">
        <f t="shared" si="184"/>
        <v>18-25</v>
      </c>
    </row>
    <row r="2678" spans="1:16" x14ac:dyDescent="0.25">
      <c r="A2678">
        <v>2677</v>
      </c>
      <c r="B2678" t="s">
        <v>9</v>
      </c>
      <c r="C2678">
        <v>452229</v>
      </c>
      <c r="D2678" t="s">
        <v>18</v>
      </c>
      <c r="E2678" t="s">
        <v>16</v>
      </c>
      <c r="F2678" t="s">
        <v>12</v>
      </c>
      <c r="G2678" t="s">
        <v>13</v>
      </c>
      <c r="H2678" t="s">
        <v>13</v>
      </c>
      <c r="I2678">
        <v>34</v>
      </c>
      <c r="J2678" t="str" cm="1">
        <f t="array" ref="J2678">_xlfn.IFS(ISBLANK(C2678),"FALTANTE",ABS((C2678-$W$5)/$X$5)&gt;1.96,"ATÍPICO",ABS((C2678-$W$5)/$X$5)&lt;=1.96,"NO ATÍPICO")</f>
        <v>NO ATÍPICO</v>
      </c>
      <c r="K2678" t="str" cm="1">
        <f t="array" ref="K2678">_xlfn.IFS(ISBLANK(I2678),"FALTANTE",ABS((I2678-$W$8)/$X$8)&gt;1.92,"ATÍPICO",ABS((I2678-$W$8)/$X$8)&lt;=1.92,"NO ATÍPICO")</f>
        <v>NO ATÍPICO</v>
      </c>
      <c r="L2678">
        <f t="shared" si="181"/>
        <v>452229</v>
      </c>
      <c r="M2678" t="str">
        <f t="shared" si="181"/>
        <v>TRABAJADOR INDEPENDIENTE</v>
      </c>
      <c r="N2678">
        <f t="shared" si="182"/>
        <v>34</v>
      </c>
      <c r="O2678" s="19" t="str">
        <f t="shared" si="183"/>
        <v>300k–600k</v>
      </c>
      <c r="P2678" s="19" t="str">
        <f t="shared" si="184"/>
        <v>26-35</v>
      </c>
    </row>
    <row r="2679" spans="1:16" x14ac:dyDescent="0.25">
      <c r="A2679">
        <v>2678</v>
      </c>
      <c r="B2679" t="s">
        <v>9</v>
      </c>
      <c r="C2679">
        <v>315605</v>
      </c>
      <c r="D2679" t="s">
        <v>17</v>
      </c>
      <c r="E2679" t="s">
        <v>16</v>
      </c>
      <c r="F2679" t="s">
        <v>12</v>
      </c>
      <c r="G2679" t="s">
        <v>13</v>
      </c>
      <c r="H2679" t="s">
        <v>13</v>
      </c>
      <c r="I2679">
        <v>58</v>
      </c>
      <c r="J2679" t="str" cm="1">
        <f t="array" ref="J2679">_xlfn.IFS(ISBLANK(C2679),"FALTANTE",ABS((C2679-$W$5)/$X$5)&gt;1.96,"ATÍPICO",ABS((C2679-$W$5)/$X$5)&lt;=1.96,"NO ATÍPICO")</f>
        <v>NO ATÍPICO</v>
      </c>
      <c r="K2679" t="str" cm="1">
        <f t="array" ref="K2679">_xlfn.IFS(ISBLANK(I2679),"FALTANTE",ABS((I2679-$W$8)/$X$8)&gt;1.92,"ATÍPICO",ABS((I2679-$W$8)/$X$8)&lt;=1.92,"NO ATÍPICO")</f>
        <v>NO ATÍPICO</v>
      </c>
      <c r="L2679">
        <f t="shared" si="181"/>
        <v>315605</v>
      </c>
      <c r="M2679" t="str">
        <f t="shared" si="181"/>
        <v>ASEGURADO VOLUNTARIO</v>
      </c>
      <c r="N2679">
        <f t="shared" si="182"/>
        <v>58</v>
      </c>
      <c r="O2679" s="19" t="str">
        <f t="shared" si="183"/>
        <v>300k–600k</v>
      </c>
      <c r="P2679" s="19" t="str">
        <f t="shared" si="184"/>
        <v>56+</v>
      </c>
    </row>
    <row r="2680" spans="1:16" x14ac:dyDescent="0.25">
      <c r="A2680">
        <v>2679</v>
      </c>
      <c r="B2680" t="s">
        <v>15</v>
      </c>
      <c r="C2680">
        <v>749235.3</v>
      </c>
      <c r="D2680" t="s">
        <v>10</v>
      </c>
      <c r="E2680" t="s">
        <v>16</v>
      </c>
      <c r="F2680" t="s">
        <v>12</v>
      </c>
      <c r="G2680" t="s">
        <v>13</v>
      </c>
      <c r="H2680" t="s">
        <v>13</v>
      </c>
      <c r="I2680">
        <v>40</v>
      </c>
      <c r="J2680" t="str" cm="1">
        <f t="array" ref="J2680">_xlfn.IFS(ISBLANK(C2680),"FALTANTE",ABS((C2680-$W$5)/$X$5)&gt;1.96,"ATÍPICO",ABS((C2680-$W$5)/$X$5)&lt;=1.96,"NO ATÍPICO")</f>
        <v>NO ATÍPICO</v>
      </c>
      <c r="K2680" t="str" cm="1">
        <f t="array" ref="K2680">_xlfn.IFS(ISBLANK(I2680),"FALTANTE",ABS((I2680-$W$8)/$X$8)&gt;1.92,"ATÍPICO",ABS((I2680-$W$8)/$X$8)&lt;=1.92,"NO ATÍPICO")</f>
        <v>NO ATÍPICO</v>
      </c>
      <c r="L2680">
        <f t="shared" si="181"/>
        <v>749235.3</v>
      </c>
      <c r="M2680" t="str">
        <f t="shared" si="181"/>
        <v>ASALARIADO</v>
      </c>
      <c r="N2680">
        <f t="shared" si="182"/>
        <v>40</v>
      </c>
      <c r="O2680" s="19" t="str">
        <f t="shared" si="183"/>
        <v>600k–900k</v>
      </c>
      <c r="P2680" s="19" t="str">
        <f t="shared" si="184"/>
        <v>36-45</v>
      </c>
    </row>
    <row r="2681" spans="1:16" x14ac:dyDescent="0.25">
      <c r="A2681">
        <v>2680</v>
      </c>
      <c r="B2681" t="s">
        <v>9</v>
      </c>
      <c r="C2681">
        <v>366495.32</v>
      </c>
      <c r="D2681" t="s">
        <v>10</v>
      </c>
      <c r="E2681" t="s">
        <v>16</v>
      </c>
      <c r="F2681" t="s">
        <v>12</v>
      </c>
      <c r="G2681" t="s">
        <v>13</v>
      </c>
      <c r="H2681" t="s">
        <v>13</v>
      </c>
      <c r="I2681">
        <v>22</v>
      </c>
      <c r="J2681" t="str" cm="1">
        <f t="array" ref="J2681">_xlfn.IFS(ISBLANK(C2681),"FALTANTE",ABS((C2681-$W$5)/$X$5)&gt;1.96,"ATÍPICO",ABS((C2681-$W$5)/$X$5)&lt;=1.96,"NO ATÍPICO")</f>
        <v>NO ATÍPICO</v>
      </c>
      <c r="K2681" t="str" cm="1">
        <f t="array" ref="K2681">_xlfn.IFS(ISBLANK(I2681),"FALTANTE",ABS((I2681-$W$8)/$X$8)&gt;1.92,"ATÍPICO",ABS((I2681-$W$8)/$X$8)&lt;=1.92,"NO ATÍPICO")</f>
        <v>NO ATÍPICO</v>
      </c>
      <c r="L2681">
        <f t="shared" si="181"/>
        <v>366495.32</v>
      </c>
      <c r="M2681" t="str">
        <f t="shared" si="181"/>
        <v>ASALARIADO</v>
      </c>
      <c r="N2681">
        <f t="shared" si="182"/>
        <v>22</v>
      </c>
      <c r="O2681" s="19" t="str">
        <f t="shared" si="183"/>
        <v>300k–600k</v>
      </c>
      <c r="P2681" s="19" t="str">
        <f t="shared" si="184"/>
        <v>18-25</v>
      </c>
    </row>
    <row r="2682" spans="1:16" x14ac:dyDescent="0.25">
      <c r="A2682">
        <v>2681</v>
      </c>
      <c r="B2682" t="s">
        <v>9</v>
      </c>
      <c r="C2682">
        <v>80000</v>
      </c>
      <c r="D2682" t="s">
        <v>10</v>
      </c>
      <c r="E2682" t="s">
        <v>16</v>
      </c>
      <c r="F2682" t="s">
        <v>12</v>
      </c>
      <c r="G2682" t="s">
        <v>12</v>
      </c>
      <c r="H2682" t="s">
        <v>13</v>
      </c>
      <c r="I2682">
        <v>21</v>
      </c>
      <c r="J2682" t="str" cm="1">
        <f t="array" ref="J2682">_xlfn.IFS(ISBLANK(C2682),"FALTANTE",ABS((C2682-$W$5)/$X$5)&gt;1.96,"ATÍPICO",ABS((C2682-$W$5)/$X$5)&lt;=1.96,"NO ATÍPICO")</f>
        <v>NO ATÍPICO</v>
      </c>
      <c r="K2682" t="str" cm="1">
        <f t="array" ref="K2682">_xlfn.IFS(ISBLANK(I2682),"FALTANTE",ABS((I2682-$W$8)/$X$8)&gt;1.92,"ATÍPICO",ABS((I2682-$W$8)/$X$8)&lt;=1.92,"NO ATÍPICO")</f>
        <v>NO ATÍPICO</v>
      </c>
      <c r="L2682">
        <f t="shared" si="181"/>
        <v>80000</v>
      </c>
      <c r="M2682" t="str">
        <f t="shared" si="181"/>
        <v>ASALARIADO</v>
      </c>
      <c r="N2682">
        <f t="shared" si="182"/>
        <v>21</v>
      </c>
      <c r="O2682" s="19" t="str">
        <f t="shared" si="183"/>
        <v>0–300k</v>
      </c>
      <c r="P2682" s="19" t="str">
        <f t="shared" si="184"/>
        <v>18-25</v>
      </c>
    </row>
    <row r="2683" spans="1:16" x14ac:dyDescent="0.25">
      <c r="A2683">
        <v>2682</v>
      </c>
      <c r="B2683" t="s">
        <v>9</v>
      </c>
      <c r="C2683">
        <v>316964.69</v>
      </c>
      <c r="D2683" t="s">
        <v>10</v>
      </c>
      <c r="E2683" t="s">
        <v>16</v>
      </c>
      <c r="F2683" t="s">
        <v>12</v>
      </c>
      <c r="G2683" t="s">
        <v>13</v>
      </c>
      <c r="H2683" t="s">
        <v>13</v>
      </c>
      <c r="I2683">
        <v>20</v>
      </c>
      <c r="J2683" t="str" cm="1">
        <f t="array" ref="J2683">_xlfn.IFS(ISBLANK(C2683),"FALTANTE",ABS((C2683-$W$5)/$X$5)&gt;1.96,"ATÍPICO",ABS((C2683-$W$5)/$X$5)&lt;=1.96,"NO ATÍPICO")</f>
        <v>NO ATÍPICO</v>
      </c>
      <c r="K2683" t="str" cm="1">
        <f t="array" ref="K2683">_xlfn.IFS(ISBLANK(I2683),"FALTANTE",ABS((I2683-$W$8)/$X$8)&gt;1.92,"ATÍPICO",ABS((I2683-$W$8)/$X$8)&lt;=1.92,"NO ATÍPICO")</f>
        <v>NO ATÍPICO</v>
      </c>
      <c r="L2683">
        <f t="shared" si="181"/>
        <v>316964.69</v>
      </c>
      <c r="M2683" t="str">
        <f t="shared" si="181"/>
        <v>ASALARIADO</v>
      </c>
      <c r="N2683">
        <f t="shared" si="182"/>
        <v>20</v>
      </c>
      <c r="O2683" s="19" t="str">
        <f t="shared" si="183"/>
        <v>300k–600k</v>
      </c>
      <c r="P2683" s="19" t="str">
        <f t="shared" si="184"/>
        <v>18-25</v>
      </c>
    </row>
    <row r="2684" spans="1:16" x14ac:dyDescent="0.25">
      <c r="A2684">
        <v>2683</v>
      </c>
      <c r="B2684" t="s">
        <v>15</v>
      </c>
      <c r="C2684">
        <v>370500</v>
      </c>
      <c r="D2684" t="s">
        <v>10</v>
      </c>
      <c r="E2684" t="s">
        <v>16</v>
      </c>
      <c r="F2684" t="s">
        <v>12</v>
      </c>
      <c r="G2684" t="s">
        <v>13</v>
      </c>
      <c r="H2684" t="s">
        <v>13</v>
      </c>
      <c r="I2684">
        <v>28</v>
      </c>
      <c r="J2684" t="str" cm="1">
        <f t="array" ref="J2684">_xlfn.IFS(ISBLANK(C2684),"FALTANTE",ABS((C2684-$W$5)/$X$5)&gt;1.96,"ATÍPICO",ABS((C2684-$W$5)/$X$5)&lt;=1.96,"NO ATÍPICO")</f>
        <v>NO ATÍPICO</v>
      </c>
      <c r="K2684" t="str" cm="1">
        <f t="array" ref="K2684">_xlfn.IFS(ISBLANK(I2684),"FALTANTE",ABS((I2684-$W$8)/$X$8)&gt;1.92,"ATÍPICO",ABS((I2684-$W$8)/$X$8)&lt;=1.92,"NO ATÍPICO")</f>
        <v>NO ATÍPICO</v>
      </c>
      <c r="L2684">
        <f t="shared" si="181"/>
        <v>370500</v>
      </c>
      <c r="M2684" t="str">
        <f t="shared" si="181"/>
        <v>ASALARIADO</v>
      </c>
      <c r="N2684">
        <f t="shared" si="182"/>
        <v>28</v>
      </c>
      <c r="O2684" s="19" t="str">
        <f t="shared" si="183"/>
        <v>300k–600k</v>
      </c>
      <c r="P2684" s="19" t="str">
        <f t="shared" si="184"/>
        <v>26-35</v>
      </c>
    </row>
    <row r="2685" spans="1:16" x14ac:dyDescent="0.25">
      <c r="A2685">
        <v>2684</v>
      </c>
      <c r="B2685" t="s">
        <v>9</v>
      </c>
      <c r="C2685">
        <v>1081709.6000000001</v>
      </c>
      <c r="D2685" t="s">
        <v>10</v>
      </c>
      <c r="E2685" t="s">
        <v>11</v>
      </c>
      <c r="F2685" t="s">
        <v>12</v>
      </c>
      <c r="G2685" t="s">
        <v>13</v>
      </c>
      <c r="H2685" t="s">
        <v>13</v>
      </c>
      <c r="I2685">
        <v>59</v>
      </c>
      <c r="J2685" t="str" cm="1">
        <f t="array" ref="J2685">_xlfn.IFS(ISBLANK(C2685),"FALTANTE",ABS((C2685-$W$5)/$X$5)&gt;1.96,"ATÍPICO",ABS((C2685-$W$5)/$X$5)&lt;=1.96,"NO ATÍPICO")</f>
        <v>NO ATÍPICO</v>
      </c>
      <c r="K2685" t="str" cm="1">
        <f t="array" ref="K2685">_xlfn.IFS(ISBLANK(I2685),"FALTANTE",ABS((I2685-$W$8)/$X$8)&gt;1.92,"ATÍPICO",ABS((I2685-$W$8)/$X$8)&lt;=1.92,"NO ATÍPICO")</f>
        <v>NO ATÍPICO</v>
      </c>
      <c r="L2685">
        <f t="shared" si="181"/>
        <v>1081709.6000000001</v>
      </c>
      <c r="M2685" t="str">
        <f t="shared" si="181"/>
        <v>ASALARIADO</v>
      </c>
      <c r="N2685">
        <f t="shared" si="182"/>
        <v>59</v>
      </c>
      <c r="O2685" s="19" t="str">
        <f t="shared" si="183"/>
        <v>900k–1200k</v>
      </c>
      <c r="P2685" s="19" t="str">
        <f t="shared" si="184"/>
        <v>56+</v>
      </c>
    </row>
    <row r="2686" spans="1:16" x14ac:dyDescent="0.25">
      <c r="A2686">
        <v>2685</v>
      </c>
      <c r="B2686" t="s">
        <v>15</v>
      </c>
      <c r="C2686">
        <v>698426.7</v>
      </c>
      <c r="D2686" t="s">
        <v>10</v>
      </c>
      <c r="E2686" t="s">
        <v>11</v>
      </c>
      <c r="F2686" t="s">
        <v>12</v>
      </c>
      <c r="G2686" t="s">
        <v>13</v>
      </c>
      <c r="H2686" t="s">
        <v>13</v>
      </c>
      <c r="I2686">
        <v>35</v>
      </c>
      <c r="J2686" t="str" cm="1">
        <f t="array" ref="J2686">_xlfn.IFS(ISBLANK(C2686),"FALTANTE",ABS((C2686-$W$5)/$X$5)&gt;1.96,"ATÍPICO",ABS((C2686-$W$5)/$X$5)&lt;=1.96,"NO ATÍPICO")</f>
        <v>NO ATÍPICO</v>
      </c>
      <c r="K2686" t="str" cm="1">
        <f t="array" ref="K2686">_xlfn.IFS(ISBLANK(I2686),"FALTANTE",ABS((I2686-$W$8)/$X$8)&gt;1.92,"ATÍPICO",ABS((I2686-$W$8)/$X$8)&lt;=1.92,"NO ATÍPICO")</f>
        <v>NO ATÍPICO</v>
      </c>
      <c r="L2686">
        <f t="shared" si="181"/>
        <v>698426.7</v>
      </c>
      <c r="M2686" t="str">
        <f t="shared" si="181"/>
        <v>ASALARIADO</v>
      </c>
      <c r="N2686">
        <f t="shared" si="182"/>
        <v>35</v>
      </c>
      <c r="O2686" s="19" t="str">
        <f t="shared" si="183"/>
        <v>600k–900k</v>
      </c>
      <c r="P2686" s="19" t="str">
        <f t="shared" si="184"/>
        <v>26-35</v>
      </c>
    </row>
    <row r="2687" spans="1:16" x14ac:dyDescent="0.25">
      <c r="A2687">
        <v>2686</v>
      </c>
      <c r="B2687" t="s">
        <v>9</v>
      </c>
      <c r="C2687">
        <v>431290</v>
      </c>
      <c r="D2687" t="s">
        <v>10</v>
      </c>
      <c r="E2687" t="s">
        <v>16</v>
      </c>
      <c r="F2687" t="s">
        <v>12</v>
      </c>
      <c r="G2687" t="s">
        <v>13</v>
      </c>
      <c r="H2687" t="s">
        <v>13</v>
      </c>
      <c r="I2687">
        <v>60</v>
      </c>
      <c r="J2687" t="str" cm="1">
        <f t="array" ref="J2687">_xlfn.IFS(ISBLANK(C2687),"FALTANTE",ABS((C2687-$W$5)/$X$5)&gt;1.96,"ATÍPICO",ABS((C2687-$W$5)/$X$5)&lt;=1.96,"NO ATÍPICO")</f>
        <v>NO ATÍPICO</v>
      </c>
      <c r="K2687" t="str" cm="1">
        <f t="array" ref="K2687">_xlfn.IFS(ISBLANK(I2687),"FALTANTE",ABS((I2687-$W$8)/$X$8)&gt;1.92,"ATÍPICO",ABS((I2687-$W$8)/$X$8)&lt;=1.92,"NO ATÍPICO")</f>
        <v>NO ATÍPICO</v>
      </c>
      <c r="L2687">
        <f t="shared" si="181"/>
        <v>431290</v>
      </c>
      <c r="M2687" t="str">
        <f t="shared" si="181"/>
        <v>ASALARIADO</v>
      </c>
      <c r="N2687">
        <f t="shared" si="182"/>
        <v>60</v>
      </c>
      <c r="O2687" s="19" t="str">
        <f t="shared" si="183"/>
        <v>300k–600k</v>
      </c>
      <c r="P2687" s="19" t="str">
        <f t="shared" si="184"/>
        <v>56+</v>
      </c>
    </row>
    <row r="2688" spans="1:16" x14ac:dyDescent="0.25">
      <c r="A2688">
        <v>2687</v>
      </c>
      <c r="B2688" t="s">
        <v>9</v>
      </c>
      <c r="C2688">
        <v>297045</v>
      </c>
      <c r="D2688" t="s">
        <v>17</v>
      </c>
      <c r="E2688" t="s">
        <v>16</v>
      </c>
      <c r="F2688" t="s">
        <v>12</v>
      </c>
      <c r="G2688" t="s">
        <v>13</v>
      </c>
      <c r="H2688" t="s">
        <v>13</v>
      </c>
      <c r="I2688">
        <v>51</v>
      </c>
      <c r="J2688" t="str" cm="1">
        <f t="array" ref="J2688">_xlfn.IFS(ISBLANK(C2688),"FALTANTE",ABS((C2688-$W$5)/$X$5)&gt;1.96,"ATÍPICO",ABS((C2688-$W$5)/$X$5)&lt;=1.96,"NO ATÍPICO")</f>
        <v>NO ATÍPICO</v>
      </c>
      <c r="K2688" t="str" cm="1">
        <f t="array" ref="K2688">_xlfn.IFS(ISBLANK(I2688),"FALTANTE",ABS((I2688-$W$8)/$X$8)&gt;1.92,"ATÍPICO",ABS((I2688-$W$8)/$X$8)&lt;=1.92,"NO ATÍPICO")</f>
        <v>NO ATÍPICO</v>
      </c>
      <c r="L2688">
        <f t="shared" si="181"/>
        <v>297045</v>
      </c>
      <c r="M2688" t="str">
        <f t="shared" si="181"/>
        <v>ASEGURADO VOLUNTARIO</v>
      </c>
      <c r="N2688">
        <f t="shared" si="182"/>
        <v>51</v>
      </c>
      <c r="O2688" s="19" t="str">
        <f t="shared" si="183"/>
        <v>0–300k</v>
      </c>
      <c r="P2688" s="19" t="str">
        <f t="shared" si="184"/>
        <v>46-55</v>
      </c>
    </row>
    <row r="2689" spans="1:16" x14ac:dyDescent="0.25">
      <c r="A2689">
        <v>2688</v>
      </c>
      <c r="B2689" t="s">
        <v>9</v>
      </c>
      <c r="C2689">
        <v>610312</v>
      </c>
      <c r="D2689" t="s">
        <v>10</v>
      </c>
      <c r="E2689" t="s">
        <v>16</v>
      </c>
      <c r="F2689" t="s">
        <v>12</v>
      </c>
      <c r="G2689" t="s">
        <v>13</v>
      </c>
      <c r="H2689" t="s">
        <v>13</v>
      </c>
      <c r="I2689">
        <v>33</v>
      </c>
      <c r="J2689" t="str" cm="1">
        <f t="array" ref="J2689">_xlfn.IFS(ISBLANK(C2689),"FALTANTE",ABS((C2689-$W$5)/$X$5)&gt;1.96,"ATÍPICO",ABS((C2689-$W$5)/$X$5)&lt;=1.96,"NO ATÍPICO")</f>
        <v>NO ATÍPICO</v>
      </c>
      <c r="K2689" t="str" cm="1">
        <f t="array" ref="K2689">_xlfn.IFS(ISBLANK(I2689),"FALTANTE",ABS((I2689-$W$8)/$X$8)&gt;1.92,"ATÍPICO",ABS((I2689-$W$8)/$X$8)&lt;=1.92,"NO ATÍPICO")</f>
        <v>NO ATÍPICO</v>
      </c>
      <c r="L2689">
        <f t="shared" si="181"/>
        <v>610312</v>
      </c>
      <c r="M2689" t="str">
        <f t="shared" si="181"/>
        <v>ASALARIADO</v>
      </c>
      <c r="N2689">
        <f t="shared" si="182"/>
        <v>33</v>
      </c>
      <c r="O2689" s="19" t="str">
        <f t="shared" si="183"/>
        <v>600k–900k</v>
      </c>
      <c r="P2689" s="19" t="str">
        <f t="shared" si="184"/>
        <v>26-35</v>
      </c>
    </row>
    <row r="2690" spans="1:16" x14ac:dyDescent="0.25">
      <c r="A2690">
        <v>2689</v>
      </c>
      <c r="B2690" t="s">
        <v>15</v>
      </c>
      <c r="C2690">
        <v>550022</v>
      </c>
      <c r="D2690" t="s">
        <v>10</v>
      </c>
      <c r="E2690" t="s">
        <v>16</v>
      </c>
      <c r="F2690" t="s">
        <v>12</v>
      </c>
      <c r="G2690" t="s">
        <v>12</v>
      </c>
      <c r="H2690" t="s">
        <v>13</v>
      </c>
      <c r="I2690">
        <v>29</v>
      </c>
      <c r="J2690" t="str" cm="1">
        <f t="array" ref="J2690">_xlfn.IFS(ISBLANK(C2690),"FALTANTE",ABS((C2690-$W$5)/$X$5)&gt;1.96,"ATÍPICO",ABS((C2690-$W$5)/$X$5)&lt;=1.96,"NO ATÍPICO")</f>
        <v>NO ATÍPICO</v>
      </c>
      <c r="K2690" t="str" cm="1">
        <f t="array" ref="K2690">_xlfn.IFS(ISBLANK(I2690),"FALTANTE",ABS((I2690-$W$8)/$X$8)&gt;1.92,"ATÍPICO",ABS((I2690-$W$8)/$X$8)&lt;=1.92,"NO ATÍPICO")</f>
        <v>NO ATÍPICO</v>
      </c>
      <c r="L2690">
        <f t="shared" ref="L2690:M2753" si="185">C2690</f>
        <v>550022</v>
      </c>
      <c r="M2690" t="str">
        <f t="shared" si="185"/>
        <v>ASALARIADO</v>
      </c>
      <c r="N2690">
        <f t="shared" ref="N2690:N2753" si="186">I2690</f>
        <v>29</v>
      </c>
      <c r="O2690" s="19" t="str">
        <f t="shared" ref="O2690:O2753" si="187">IF(L2690&lt;=300000,"0–300k",IF(L2690&lt;=600000,"300k–600k",IF(L2690&lt;=900000,"600k–900k",IF(L2690&lt;=1200000,"900k–1200k","1200k+"))))</f>
        <v>300k–600k</v>
      </c>
      <c r="P2690" s="19" t="str">
        <f t="shared" ref="P2690:P2753" si="188">IF(N2690 &lt;=25,"18-25", IF(N2690&lt;=35,"26-35", IF(N2690 &lt;=45,"36-45", IF(N2690&lt;=55,"46-55","56+"))))</f>
        <v>26-35</v>
      </c>
    </row>
    <row r="2691" spans="1:16" x14ac:dyDescent="0.25">
      <c r="A2691">
        <v>2690</v>
      </c>
      <c r="B2691" t="s">
        <v>15</v>
      </c>
      <c r="C2691">
        <v>1264065</v>
      </c>
      <c r="D2691" t="s">
        <v>10</v>
      </c>
      <c r="E2691" t="s">
        <v>11</v>
      </c>
      <c r="F2691" t="s">
        <v>12</v>
      </c>
      <c r="G2691" t="s">
        <v>13</v>
      </c>
      <c r="H2691" t="s">
        <v>13</v>
      </c>
      <c r="I2691">
        <v>49</v>
      </c>
      <c r="J2691" t="str" cm="1">
        <f t="array" ref="J2691">_xlfn.IFS(ISBLANK(C2691),"FALTANTE",ABS((C2691-$W$5)/$X$5)&gt;1.96,"ATÍPICO",ABS((C2691-$W$5)/$X$5)&lt;=1.96,"NO ATÍPICO")</f>
        <v>NO ATÍPICO</v>
      </c>
      <c r="K2691" t="str" cm="1">
        <f t="array" ref="K2691">_xlfn.IFS(ISBLANK(I2691),"FALTANTE",ABS((I2691-$W$8)/$X$8)&gt;1.92,"ATÍPICO",ABS((I2691-$W$8)/$X$8)&lt;=1.92,"NO ATÍPICO")</f>
        <v>NO ATÍPICO</v>
      </c>
      <c r="L2691">
        <f t="shared" si="185"/>
        <v>1264065</v>
      </c>
      <c r="M2691" t="str">
        <f t="shared" si="185"/>
        <v>ASALARIADO</v>
      </c>
      <c r="N2691">
        <f t="shared" si="186"/>
        <v>49</v>
      </c>
      <c r="O2691" s="19" t="str">
        <f t="shared" si="187"/>
        <v>1200k+</v>
      </c>
      <c r="P2691" s="19" t="str">
        <f t="shared" si="188"/>
        <v>46-55</v>
      </c>
    </row>
    <row r="2692" spans="1:16" x14ac:dyDescent="0.25">
      <c r="A2692">
        <v>2691</v>
      </c>
      <c r="B2692" t="s">
        <v>15</v>
      </c>
      <c r="C2692">
        <v>911982.5</v>
      </c>
      <c r="D2692" t="s">
        <v>10</v>
      </c>
      <c r="E2692" t="s">
        <v>11</v>
      </c>
      <c r="F2692" t="s">
        <v>12</v>
      </c>
      <c r="G2692" t="s">
        <v>13</v>
      </c>
      <c r="H2692" t="s">
        <v>13</v>
      </c>
      <c r="I2692">
        <v>29</v>
      </c>
      <c r="J2692" t="str" cm="1">
        <f t="array" ref="J2692">_xlfn.IFS(ISBLANK(C2692),"FALTANTE",ABS((C2692-$W$5)/$X$5)&gt;1.96,"ATÍPICO",ABS((C2692-$W$5)/$X$5)&lt;=1.96,"NO ATÍPICO")</f>
        <v>NO ATÍPICO</v>
      </c>
      <c r="K2692" t="str" cm="1">
        <f t="array" ref="K2692">_xlfn.IFS(ISBLANK(I2692),"FALTANTE",ABS((I2692-$W$8)/$X$8)&gt;1.92,"ATÍPICO",ABS((I2692-$W$8)/$X$8)&lt;=1.92,"NO ATÍPICO")</f>
        <v>NO ATÍPICO</v>
      </c>
      <c r="L2692">
        <f t="shared" si="185"/>
        <v>911982.5</v>
      </c>
      <c r="M2692" t="str">
        <f t="shared" si="185"/>
        <v>ASALARIADO</v>
      </c>
      <c r="N2692">
        <f t="shared" si="186"/>
        <v>29</v>
      </c>
      <c r="O2692" s="19" t="str">
        <f t="shared" si="187"/>
        <v>900k–1200k</v>
      </c>
      <c r="P2692" s="19" t="str">
        <f t="shared" si="188"/>
        <v>26-35</v>
      </c>
    </row>
    <row r="2693" spans="1:16" x14ac:dyDescent="0.25">
      <c r="A2693">
        <v>2692</v>
      </c>
      <c r="B2693" t="s">
        <v>9</v>
      </c>
      <c r="C2693">
        <v>40800</v>
      </c>
      <c r="D2693" t="s">
        <v>10</v>
      </c>
      <c r="E2693" t="s">
        <v>16</v>
      </c>
      <c r="F2693" t="s">
        <v>12</v>
      </c>
      <c r="G2693" t="s">
        <v>13</v>
      </c>
      <c r="H2693" t="s">
        <v>13</v>
      </c>
      <c r="I2693">
        <v>25</v>
      </c>
      <c r="J2693" t="str" cm="1">
        <f t="array" ref="J2693">_xlfn.IFS(ISBLANK(C2693),"FALTANTE",ABS((C2693-$W$5)/$X$5)&gt;1.96,"ATÍPICO",ABS((C2693-$W$5)/$X$5)&lt;=1.96,"NO ATÍPICO")</f>
        <v>NO ATÍPICO</v>
      </c>
      <c r="K2693" t="str" cm="1">
        <f t="array" ref="K2693">_xlfn.IFS(ISBLANK(I2693),"FALTANTE",ABS((I2693-$W$8)/$X$8)&gt;1.92,"ATÍPICO",ABS((I2693-$W$8)/$X$8)&lt;=1.92,"NO ATÍPICO")</f>
        <v>NO ATÍPICO</v>
      </c>
      <c r="L2693">
        <f t="shared" si="185"/>
        <v>40800</v>
      </c>
      <c r="M2693" t="str">
        <f t="shared" si="185"/>
        <v>ASALARIADO</v>
      </c>
      <c r="N2693">
        <f t="shared" si="186"/>
        <v>25</v>
      </c>
      <c r="O2693" s="19" t="str">
        <f t="shared" si="187"/>
        <v>0–300k</v>
      </c>
      <c r="P2693" s="19" t="str">
        <f t="shared" si="188"/>
        <v>18-25</v>
      </c>
    </row>
    <row r="2694" spans="1:16" x14ac:dyDescent="0.25">
      <c r="A2694">
        <v>2693</v>
      </c>
      <c r="B2694" t="s">
        <v>9</v>
      </c>
      <c r="C2694">
        <v>278030</v>
      </c>
      <c r="D2694" t="s">
        <v>19</v>
      </c>
      <c r="E2694" t="s">
        <v>16</v>
      </c>
      <c r="F2694" t="s">
        <v>12</v>
      </c>
      <c r="G2694" t="s">
        <v>13</v>
      </c>
      <c r="H2694" t="s">
        <v>13</v>
      </c>
      <c r="I2694">
        <v>35</v>
      </c>
      <c r="J2694" t="str" cm="1">
        <f t="array" ref="J2694">_xlfn.IFS(ISBLANK(C2694),"FALTANTE",ABS((C2694-$W$5)/$X$5)&gt;1.96,"ATÍPICO",ABS((C2694-$W$5)/$X$5)&lt;=1.96,"NO ATÍPICO")</f>
        <v>NO ATÍPICO</v>
      </c>
      <c r="K2694" t="str" cm="1">
        <f t="array" ref="K2694">_xlfn.IFS(ISBLANK(I2694),"FALTANTE",ABS((I2694-$W$8)/$X$8)&gt;1.92,"ATÍPICO",ABS((I2694-$W$8)/$X$8)&lt;=1.92,"NO ATÍPICO")</f>
        <v>NO ATÍPICO</v>
      </c>
      <c r="L2694">
        <f t="shared" si="185"/>
        <v>278030</v>
      </c>
      <c r="M2694" t="str">
        <f t="shared" si="185"/>
        <v>CONVENIOS ESPECIALES DE TRABAJADORES INDEPENDIENTES</v>
      </c>
      <c r="N2694">
        <f t="shared" si="186"/>
        <v>35</v>
      </c>
      <c r="O2694" s="19" t="str">
        <f t="shared" si="187"/>
        <v>0–300k</v>
      </c>
      <c r="P2694" s="19" t="str">
        <f t="shared" si="188"/>
        <v>26-35</v>
      </c>
    </row>
    <row r="2695" spans="1:16" x14ac:dyDescent="0.25">
      <c r="A2695">
        <v>2694</v>
      </c>
      <c r="B2695" t="s">
        <v>15</v>
      </c>
      <c r="C2695">
        <v>439474</v>
      </c>
      <c r="D2695" t="s">
        <v>10</v>
      </c>
      <c r="E2695" t="s">
        <v>11</v>
      </c>
      <c r="F2695" t="s">
        <v>12</v>
      </c>
      <c r="G2695" t="s">
        <v>13</v>
      </c>
      <c r="H2695" t="s">
        <v>12</v>
      </c>
      <c r="I2695">
        <v>57</v>
      </c>
      <c r="J2695" t="str" cm="1">
        <f t="array" ref="J2695">_xlfn.IFS(ISBLANK(C2695),"FALTANTE",ABS((C2695-$W$5)/$X$5)&gt;1.96,"ATÍPICO",ABS((C2695-$W$5)/$X$5)&lt;=1.96,"NO ATÍPICO")</f>
        <v>NO ATÍPICO</v>
      </c>
      <c r="K2695" t="str" cm="1">
        <f t="array" ref="K2695">_xlfn.IFS(ISBLANK(I2695),"FALTANTE",ABS((I2695-$W$8)/$X$8)&gt;1.92,"ATÍPICO",ABS((I2695-$W$8)/$X$8)&lt;=1.92,"NO ATÍPICO")</f>
        <v>NO ATÍPICO</v>
      </c>
      <c r="L2695">
        <f t="shared" si="185"/>
        <v>439474</v>
      </c>
      <c r="M2695" t="str">
        <f t="shared" si="185"/>
        <v>ASALARIADO</v>
      </c>
      <c r="N2695">
        <f t="shared" si="186"/>
        <v>57</v>
      </c>
      <c r="O2695" s="19" t="str">
        <f t="shared" si="187"/>
        <v>300k–600k</v>
      </c>
      <c r="P2695" s="19" t="str">
        <f t="shared" si="188"/>
        <v>56+</v>
      </c>
    </row>
    <row r="2696" spans="1:16" x14ac:dyDescent="0.25">
      <c r="A2696">
        <v>2695</v>
      </c>
      <c r="B2696" t="s">
        <v>9</v>
      </c>
      <c r="C2696">
        <v>3500000</v>
      </c>
      <c r="D2696" t="s">
        <v>10</v>
      </c>
      <c r="E2696" t="s">
        <v>16</v>
      </c>
      <c r="F2696" t="s">
        <v>12</v>
      </c>
      <c r="G2696" t="s">
        <v>13</v>
      </c>
      <c r="H2696" t="s">
        <v>13</v>
      </c>
      <c r="I2696">
        <v>60</v>
      </c>
      <c r="J2696" t="str" cm="1">
        <f t="array" ref="J2696">_xlfn.IFS(ISBLANK(C2696),"FALTANTE",ABS((C2696-$W$5)/$X$5)&gt;1.96,"ATÍPICO",ABS((C2696-$W$5)/$X$5)&lt;=1.96,"NO ATÍPICO")</f>
        <v>ATÍPICO</v>
      </c>
      <c r="K2696" t="str" cm="1">
        <f t="array" ref="K2696">_xlfn.IFS(ISBLANK(I2696),"FALTANTE",ABS((I2696-$W$8)/$X$8)&gt;1.92,"ATÍPICO",ABS((I2696-$W$8)/$X$8)&lt;=1.92,"NO ATÍPICO")</f>
        <v>NO ATÍPICO</v>
      </c>
      <c r="L2696">
        <f t="shared" si="185"/>
        <v>3500000</v>
      </c>
      <c r="M2696" t="str">
        <f t="shared" si="185"/>
        <v>ASALARIADO</v>
      </c>
      <c r="N2696">
        <f t="shared" si="186"/>
        <v>60</v>
      </c>
      <c r="O2696" s="19" t="str">
        <f t="shared" si="187"/>
        <v>1200k+</v>
      </c>
      <c r="P2696" s="19" t="str">
        <f t="shared" si="188"/>
        <v>56+</v>
      </c>
    </row>
    <row r="2697" spans="1:16" x14ac:dyDescent="0.25">
      <c r="A2697">
        <v>2696</v>
      </c>
      <c r="B2697" t="s">
        <v>9</v>
      </c>
      <c r="C2697">
        <v>517500</v>
      </c>
      <c r="D2697" t="s">
        <v>10</v>
      </c>
      <c r="E2697" t="s">
        <v>16</v>
      </c>
      <c r="F2697" t="s">
        <v>12</v>
      </c>
      <c r="G2697" t="s">
        <v>13</v>
      </c>
      <c r="H2697" t="s">
        <v>13</v>
      </c>
      <c r="I2697">
        <v>31</v>
      </c>
      <c r="J2697" t="str" cm="1">
        <f t="array" ref="J2697">_xlfn.IFS(ISBLANK(C2697),"FALTANTE",ABS((C2697-$W$5)/$X$5)&gt;1.96,"ATÍPICO",ABS((C2697-$W$5)/$X$5)&lt;=1.96,"NO ATÍPICO")</f>
        <v>NO ATÍPICO</v>
      </c>
      <c r="K2697" t="str" cm="1">
        <f t="array" ref="K2697">_xlfn.IFS(ISBLANK(I2697),"FALTANTE",ABS((I2697-$W$8)/$X$8)&gt;1.92,"ATÍPICO",ABS((I2697-$W$8)/$X$8)&lt;=1.92,"NO ATÍPICO")</f>
        <v>NO ATÍPICO</v>
      </c>
      <c r="L2697">
        <f t="shared" si="185"/>
        <v>517500</v>
      </c>
      <c r="M2697" t="str">
        <f t="shared" si="185"/>
        <v>ASALARIADO</v>
      </c>
      <c r="N2697">
        <f t="shared" si="186"/>
        <v>31</v>
      </c>
      <c r="O2697" s="19" t="str">
        <f t="shared" si="187"/>
        <v>300k–600k</v>
      </c>
      <c r="P2697" s="19" t="str">
        <f t="shared" si="188"/>
        <v>26-35</v>
      </c>
    </row>
    <row r="2698" spans="1:16" x14ac:dyDescent="0.25">
      <c r="A2698">
        <v>2697</v>
      </c>
      <c r="B2698" t="s">
        <v>15</v>
      </c>
      <c r="C2698">
        <v>376000</v>
      </c>
      <c r="D2698" t="s">
        <v>10</v>
      </c>
      <c r="E2698" t="s">
        <v>16</v>
      </c>
      <c r="F2698" t="s">
        <v>12</v>
      </c>
      <c r="G2698" t="s">
        <v>13</v>
      </c>
      <c r="H2698" t="s">
        <v>13</v>
      </c>
      <c r="I2698">
        <v>32</v>
      </c>
      <c r="J2698" t="str" cm="1">
        <f t="array" ref="J2698">_xlfn.IFS(ISBLANK(C2698),"FALTANTE",ABS((C2698-$W$5)/$X$5)&gt;1.96,"ATÍPICO",ABS((C2698-$W$5)/$X$5)&lt;=1.96,"NO ATÍPICO")</f>
        <v>NO ATÍPICO</v>
      </c>
      <c r="K2698" t="str" cm="1">
        <f t="array" ref="K2698">_xlfn.IFS(ISBLANK(I2698),"FALTANTE",ABS((I2698-$W$8)/$X$8)&gt;1.92,"ATÍPICO",ABS((I2698-$W$8)/$X$8)&lt;=1.92,"NO ATÍPICO")</f>
        <v>NO ATÍPICO</v>
      </c>
      <c r="L2698">
        <f t="shared" si="185"/>
        <v>376000</v>
      </c>
      <c r="M2698" t="str">
        <f t="shared" si="185"/>
        <v>ASALARIADO</v>
      </c>
      <c r="N2698">
        <f t="shared" si="186"/>
        <v>32</v>
      </c>
      <c r="O2698" s="19" t="str">
        <f t="shared" si="187"/>
        <v>300k–600k</v>
      </c>
      <c r="P2698" s="19" t="str">
        <f t="shared" si="188"/>
        <v>26-35</v>
      </c>
    </row>
    <row r="2699" spans="1:16" x14ac:dyDescent="0.25">
      <c r="A2699">
        <v>2698</v>
      </c>
      <c r="B2699" t="s">
        <v>9</v>
      </c>
      <c r="C2699">
        <v>297230</v>
      </c>
      <c r="D2699" t="s">
        <v>10</v>
      </c>
      <c r="E2699" t="s">
        <v>16</v>
      </c>
      <c r="F2699" t="s">
        <v>12</v>
      </c>
      <c r="G2699" t="s">
        <v>13</v>
      </c>
      <c r="H2699" t="s">
        <v>13</v>
      </c>
      <c r="I2699">
        <v>24</v>
      </c>
      <c r="J2699" t="str" cm="1">
        <f t="array" ref="J2699">_xlfn.IFS(ISBLANK(C2699),"FALTANTE",ABS((C2699-$W$5)/$X$5)&gt;1.96,"ATÍPICO",ABS((C2699-$W$5)/$X$5)&lt;=1.96,"NO ATÍPICO")</f>
        <v>NO ATÍPICO</v>
      </c>
      <c r="K2699" t="str" cm="1">
        <f t="array" ref="K2699">_xlfn.IFS(ISBLANK(I2699),"FALTANTE",ABS((I2699-$W$8)/$X$8)&gt;1.92,"ATÍPICO",ABS((I2699-$W$8)/$X$8)&lt;=1.92,"NO ATÍPICO")</f>
        <v>NO ATÍPICO</v>
      </c>
      <c r="L2699">
        <f t="shared" si="185"/>
        <v>297230</v>
      </c>
      <c r="M2699" t="str">
        <f t="shared" si="185"/>
        <v>ASALARIADO</v>
      </c>
      <c r="N2699">
        <f t="shared" si="186"/>
        <v>24</v>
      </c>
      <c r="O2699" s="19" t="str">
        <f t="shared" si="187"/>
        <v>0–300k</v>
      </c>
      <c r="P2699" s="19" t="str">
        <f t="shared" si="188"/>
        <v>18-25</v>
      </c>
    </row>
    <row r="2700" spans="1:16" x14ac:dyDescent="0.25">
      <c r="A2700">
        <v>2699</v>
      </c>
      <c r="B2700" t="s">
        <v>15</v>
      </c>
      <c r="C2700">
        <v>300000</v>
      </c>
      <c r="D2700" t="s">
        <v>10</v>
      </c>
      <c r="E2700" t="s">
        <v>16</v>
      </c>
      <c r="F2700" t="s">
        <v>12</v>
      </c>
      <c r="G2700" t="s">
        <v>13</v>
      </c>
      <c r="H2700" t="s">
        <v>13</v>
      </c>
      <c r="I2700">
        <v>32</v>
      </c>
      <c r="J2700" t="str" cm="1">
        <f t="array" ref="J2700">_xlfn.IFS(ISBLANK(C2700),"FALTANTE",ABS((C2700-$W$5)/$X$5)&gt;1.96,"ATÍPICO",ABS((C2700-$W$5)/$X$5)&lt;=1.96,"NO ATÍPICO")</f>
        <v>NO ATÍPICO</v>
      </c>
      <c r="K2700" t="str" cm="1">
        <f t="array" ref="K2700">_xlfn.IFS(ISBLANK(I2700),"FALTANTE",ABS((I2700-$W$8)/$X$8)&gt;1.92,"ATÍPICO",ABS((I2700-$W$8)/$X$8)&lt;=1.92,"NO ATÍPICO")</f>
        <v>NO ATÍPICO</v>
      </c>
      <c r="L2700">
        <f t="shared" si="185"/>
        <v>300000</v>
      </c>
      <c r="M2700" t="str">
        <f t="shared" si="185"/>
        <v>ASALARIADO</v>
      </c>
      <c r="N2700">
        <f t="shared" si="186"/>
        <v>32</v>
      </c>
      <c r="O2700" s="19" t="str">
        <f t="shared" si="187"/>
        <v>0–300k</v>
      </c>
      <c r="P2700" s="19" t="str">
        <f t="shared" si="188"/>
        <v>26-35</v>
      </c>
    </row>
    <row r="2701" spans="1:16" x14ac:dyDescent="0.25">
      <c r="A2701">
        <v>2700</v>
      </c>
      <c r="B2701" t="s">
        <v>15</v>
      </c>
      <c r="C2701">
        <v>430103.9</v>
      </c>
      <c r="D2701" t="s">
        <v>10</v>
      </c>
      <c r="E2701" t="s">
        <v>16</v>
      </c>
      <c r="F2701" t="s">
        <v>12</v>
      </c>
      <c r="G2701" t="s">
        <v>13</v>
      </c>
      <c r="H2701" t="s">
        <v>13</v>
      </c>
      <c r="I2701">
        <v>22</v>
      </c>
      <c r="J2701" t="str" cm="1">
        <f t="array" ref="J2701">_xlfn.IFS(ISBLANK(C2701),"FALTANTE",ABS((C2701-$W$5)/$X$5)&gt;1.96,"ATÍPICO",ABS((C2701-$W$5)/$X$5)&lt;=1.96,"NO ATÍPICO")</f>
        <v>NO ATÍPICO</v>
      </c>
      <c r="K2701" t="str" cm="1">
        <f t="array" ref="K2701">_xlfn.IFS(ISBLANK(I2701),"FALTANTE",ABS((I2701-$W$8)/$X$8)&gt;1.92,"ATÍPICO",ABS((I2701-$W$8)/$X$8)&lt;=1.92,"NO ATÍPICO")</f>
        <v>NO ATÍPICO</v>
      </c>
      <c r="L2701">
        <f t="shared" si="185"/>
        <v>430103.9</v>
      </c>
      <c r="M2701" t="str">
        <f t="shared" si="185"/>
        <v>ASALARIADO</v>
      </c>
      <c r="N2701">
        <f t="shared" si="186"/>
        <v>22</v>
      </c>
      <c r="O2701" s="19" t="str">
        <f t="shared" si="187"/>
        <v>300k–600k</v>
      </c>
      <c r="P2701" s="19" t="str">
        <f t="shared" si="188"/>
        <v>18-25</v>
      </c>
    </row>
    <row r="2702" spans="1:16" x14ac:dyDescent="0.25">
      <c r="A2702">
        <v>2701</v>
      </c>
      <c r="B2702" t="s">
        <v>9</v>
      </c>
      <c r="C2702">
        <v>858401</v>
      </c>
      <c r="D2702" t="s">
        <v>10</v>
      </c>
      <c r="E2702" t="s">
        <v>16</v>
      </c>
      <c r="F2702" t="s">
        <v>12</v>
      </c>
      <c r="G2702" t="s">
        <v>13</v>
      </c>
      <c r="H2702" t="s">
        <v>13</v>
      </c>
      <c r="I2702">
        <v>32</v>
      </c>
      <c r="J2702" t="str" cm="1">
        <f t="array" ref="J2702">_xlfn.IFS(ISBLANK(C2702),"FALTANTE",ABS((C2702-$W$5)/$X$5)&gt;1.96,"ATÍPICO",ABS((C2702-$W$5)/$X$5)&lt;=1.96,"NO ATÍPICO")</f>
        <v>NO ATÍPICO</v>
      </c>
      <c r="K2702" t="str" cm="1">
        <f t="array" ref="K2702">_xlfn.IFS(ISBLANK(I2702),"FALTANTE",ABS((I2702-$W$8)/$X$8)&gt;1.92,"ATÍPICO",ABS((I2702-$W$8)/$X$8)&lt;=1.92,"NO ATÍPICO")</f>
        <v>NO ATÍPICO</v>
      </c>
      <c r="L2702">
        <f t="shared" si="185"/>
        <v>858401</v>
      </c>
      <c r="M2702" t="str">
        <f t="shared" si="185"/>
        <v>ASALARIADO</v>
      </c>
      <c r="N2702">
        <f t="shared" si="186"/>
        <v>32</v>
      </c>
      <c r="O2702" s="19" t="str">
        <f t="shared" si="187"/>
        <v>600k–900k</v>
      </c>
      <c r="P2702" s="19" t="str">
        <f t="shared" si="188"/>
        <v>26-35</v>
      </c>
    </row>
    <row r="2703" spans="1:16" x14ac:dyDescent="0.25">
      <c r="A2703">
        <v>2702</v>
      </c>
      <c r="B2703" t="s">
        <v>15</v>
      </c>
      <c r="C2703">
        <v>1452304</v>
      </c>
      <c r="D2703" t="s">
        <v>14</v>
      </c>
      <c r="E2703" t="s">
        <v>11</v>
      </c>
      <c r="F2703" t="s">
        <v>12</v>
      </c>
      <c r="G2703" t="s">
        <v>13</v>
      </c>
      <c r="H2703" t="s">
        <v>13</v>
      </c>
      <c r="I2703">
        <v>60</v>
      </c>
      <c r="J2703" t="str" cm="1">
        <f t="array" ref="J2703">_xlfn.IFS(ISBLANK(C2703),"FALTANTE",ABS((C2703-$W$5)/$X$5)&gt;1.96,"ATÍPICO",ABS((C2703-$W$5)/$X$5)&lt;=1.96,"NO ATÍPICO")</f>
        <v>NO ATÍPICO</v>
      </c>
      <c r="K2703" t="str" cm="1">
        <f t="array" ref="K2703">_xlfn.IFS(ISBLANK(I2703),"FALTANTE",ABS((I2703-$W$8)/$X$8)&gt;1.92,"ATÍPICO",ABS((I2703-$W$8)/$X$8)&lt;=1.92,"NO ATÍPICO")</f>
        <v>NO ATÍPICO</v>
      </c>
      <c r="L2703">
        <f t="shared" si="185"/>
        <v>1452304</v>
      </c>
      <c r="M2703" t="str">
        <f t="shared" si="185"/>
        <v>PENSIONADOS EN SU PROPIO SISTEMA</v>
      </c>
      <c r="N2703">
        <f t="shared" si="186"/>
        <v>60</v>
      </c>
      <c r="O2703" s="19" t="str">
        <f t="shared" si="187"/>
        <v>1200k+</v>
      </c>
      <c r="P2703" s="19" t="str">
        <f t="shared" si="188"/>
        <v>56+</v>
      </c>
    </row>
    <row r="2704" spans="1:16" x14ac:dyDescent="0.25">
      <c r="A2704">
        <v>2703</v>
      </c>
      <c r="B2704" t="s">
        <v>15</v>
      </c>
      <c r="C2704">
        <v>358838</v>
      </c>
      <c r="D2704" t="s">
        <v>10</v>
      </c>
      <c r="E2704" t="s">
        <v>11</v>
      </c>
      <c r="F2704" t="s">
        <v>12</v>
      </c>
      <c r="G2704" t="s">
        <v>13</v>
      </c>
      <c r="H2704" t="s">
        <v>13</v>
      </c>
      <c r="I2704">
        <v>38</v>
      </c>
      <c r="J2704" t="str" cm="1">
        <f t="array" ref="J2704">_xlfn.IFS(ISBLANK(C2704),"FALTANTE",ABS((C2704-$W$5)/$X$5)&gt;1.96,"ATÍPICO",ABS((C2704-$W$5)/$X$5)&lt;=1.96,"NO ATÍPICO")</f>
        <v>NO ATÍPICO</v>
      </c>
      <c r="K2704" t="str" cm="1">
        <f t="array" ref="K2704">_xlfn.IFS(ISBLANK(I2704),"FALTANTE",ABS((I2704-$W$8)/$X$8)&gt;1.92,"ATÍPICO",ABS((I2704-$W$8)/$X$8)&lt;=1.92,"NO ATÍPICO")</f>
        <v>NO ATÍPICO</v>
      </c>
      <c r="L2704">
        <f t="shared" si="185"/>
        <v>358838</v>
      </c>
      <c r="M2704" t="str">
        <f t="shared" si="185"/>
        <v>ASALARIADO</v>
      </c>
      <c r="N2704">
        <f t="shared" si="186"/>
        <v>38</v>
      </c>
      <c r="O2704" s="19" t="str">
        <f t="shared" si="187"/>
        <v>300k–600k</v>
      </c>
      <c r="P2704" s="19" t="str">
        <f t="shared" si="188"/>
        <v>36-45</v>
      </c>
    </row>
    <row r="2705" spans="1:16" x14ac:dyDescent="0.25">
      <c r="A2705">
        <v>2704</v>
      </c>
      <c r="B2705" t="s">
        <v>9</v>
      </c>
      <c r="C2705">
        <v>356903.47</v>
      </c>
      <c r="D2705" t="s">
        <v>10</v>
      </c>
      <c r="E2705" t="s">
        <v>16</v>
      </c>
      <c r="F2705" t="s">
        <v>12</v>
      </c>
      <c r="G2705" t="s">
        <v>13</v>
      </c>
      <c r="H2705" t="s">
        <v>13</v>
      </c>
      <c r="I2705">
        <v>49</v>
      </c>
      <c r="J2705" t="str" cm="1">
        <f t="array" ref="J2705">_xlfn.IFS(ISBLANK(C2705),"FALTANTE",ABS((C2705-$W$5)/$X$5)&gt;1.96,"ATÍPICO",ABS((C2705-$W$5)/$X$5)&lt;=1.96,"NO ATÍPICO")</f>
        <v>NO ATÍPICO</v>
      </c>
      <c r="K2705" t="str" cm="1">
        <f t="array" ref="K2705">_xlfn.IFS(ISBLANK(I2705),"FALTANTE",ABS((I2705-$W$8)/$X$8)&gt;1.92,"ATÍPICO",ABS((I2705-$W$8)/$X$8)&lt;=1.92,"NO ATÍPICO")</f>
        <v>NO ATÍPICO</v>
      </c>
      <c r="L2705">
        <f t="shared" si="185"/>
        <v>356903.47</v>
      </c>
      <c r="M2705" t="str">
        <f t="shared" si="185"/>
        <v>ASALARIADO</v>
      </c>
      <c r="N2705">
        <f t="shared" si="186"/>
        <v>49</v>
      </c>
      <c r="O2705" s="19" t="str">
        <f t="shared" si="187"/>
        <v>300k–600k</v>
      </c>
      <c r="P2705" s="19" t="str">
        <f t="shared" si="188"/>
        <v>46-55</v>
      </c>
    </row>
    <row r="2706" spans="1:16" x14ac:dyDescent="0.25">
      <c r="A2706">
        <v>2705</v>
      </c>
      <c r="B2706" t="s">
        <v>9</v>
      </c>
      <c r="C2706">
        <v>300018</v>
      </c>
      <c r="D2706" t="s">
        <v>18</v>
      </c>
      <c r="E2706" t="s">
        <v>16</v>
      </c>
      <c r="F2706" t="s">
        <v>12</v>
      </c>
      <c r="G2706" t="s">
        <v>13</v>
      </c>
      <c r="H2706" t="s">
        <v>13</v>
      </c>
      <c r="I2706">
        <v>39</v>
      </c>
      <c r="J2706" t="str" cm="1">
        <f t="array" ref="J2706">_xlfn.IFS(ISBLANK(C2706),"FALTANTE",ABS((C2706-$W$5)/$X$5)&gt;1.96,"ATÍPICO",ABS((C2706-$W$5)/$X$5)&lt;=1.96,"NO ATÍPICO")</f>
        <v>NO ATÍPICO</v>
      </c>
      <c r="K2706" t="str" cm="1">
        <f t="array" ref="K2706">_xlfn.IFS(ISBLANK(I2706),"FALTANTE",ABS((I2706-$W$8)/$X$8)&gt;1.92,"ATÍPICO",ABS((I2706-$W$8)/$X$8)&lt;=1.92,"NO ATÍPICO")</f>
        <v>NO ATÍPICO</v>
      </c>
      <c r="L2706">
        <f t="shared" si="185"/>
        <v>300018</v>
      </c>
      <c r="M2706" t="str">
        <f t="shared" si="185"/>
        <v>TRABAJADOR INDEPENDIENTE</v>
      </c>
      <c r="N2706">
        <f t="shared" si="186"/>
        <v>39</v>
      </c>
      <c r="O2706" s="19" t="str">
        <f t="shared" si="187"/>
        <v>300k–600k</v>
      </c>
      <c r="P2706" s="19" t="str">
        <f t="shared" si="188"/>
        <v>36-45</v>
      </c>
    </row>
    <row r="2707" spans="1:16" x14ac:dyDescent="0.25">
      <c r="A2707">
        <v>2706</v>
      </c>
      <c r="B2707" t="s">
        <v>15</v>
      </c>
      <c r="C2707">
        <v>1061946.5</v>
      </c>
      <c r="D2707" t="s">
        <v>10</v>
      </c>
      <c r="E2707" t="s">
        <v>11</v>
      </c>
      <c r="F2707" t="s">
        <v>12</v>
      </c>
      <c r="G2707" t="s">
        <v>13</v>
      </c>
      <c r="H2707" t="s">
        <v>13</v>
      </c>
      <c r="I2707">
        <v>29</v>
      </c>
      <c r="J2707" t="str" cm="1">
        <f t="array" ref="J2707">_xlfn.IFS(ISBLANK(C2707),"FALTANTE",ABS((C2707-$W$5)/$X$5)&gt;1.96,"ATÍPICO",ABS((C2707-$W$5)/$X$5)&lt;=1.96,"NO ATÍPICO")</f>
        <v>NO ATÍPICO</v>
      </c>
      <c r="K2707" t="str" cm="1">
        <f t="array" ref="K2707">_xlfn.IFS(ISBLANK(I2707),"FALTANTE",ABS((I2707-$W$8)/$X$8)&gt;1.92,"ATÍPICO",ABS((I2707-$W$8)/$X$8)&lt;=1.92,"NO ATÍPICO")</f>
        <v>NO ATÍPICO</v>
      </c>
      <c r="L2707">
        <f t="shared" si="185"/>
        <v>1061946.5</v>
      </c>
      <c r="M2707" t="str">
        <f t="shared" si="185"/>
        <v>ASALARIADO</v>
      </c>
      <c r="N2707">
        <f t="shared" si="186"/>
        <v>29</v>
      </c>
      <c r="O2707" s="19" t="str">
        <f t="shared" si="187"/>
        <v>900k–1200k</v>
      </c>
      <c r="P2707" s="19" t="str">
        <f t="shared" si="188"/>
        <v>26-35</v>
      </c>
    </row>
    <row r="2708" spans="1:16" x14ac:dyDescent="0.25">
      <c r="A2708">
        <v>2707</v>
      </c>
      <c r="B2708" t="s">
        <v>9</v>
      </c>
      <c r="C2708">
        <v>795975.32</v>
      </c>
      <c r="D2708" t="s">
        <v>10</v>
      </c>
      <c r="E2708" t="s">
        <v>11</v>
      </c>
      <c r="F2708" t="s">
        <v>12</v>
      </c>
      <c r="G2708" t="s">
        <v>13</v>
      </c>
      <c r="H2708" t="s">
        <v>13</v>
      </c>
      <c r="I2708">
        <v>38</v>
      </c>
      <c r="J2708" t="str" cm="1">
        <f t="array" ref="J2708">_xlfn.IFS(ISBLANK(C2708),"FALTANTE",ABS((C2708-$W$5)/$X$5)&gt;1.96,"ATÍPICO",ABS((C2708-$W$5)/$X$5)&lt;=1.96,"NO ATÍPICO")</f>
        <v>NO ATÍPICO</v>
      </c>
      <c r="K2708" t="str" cm="1">
        <f t="array" ref="K2708">_xlfn.IFS(ISBLANK(I2708),"FALTANTE",ABS((I2708-$W$8)/$X$8)&gt;1.92,"ATÍPICO",ABS((I2708-$W$8)/$X$8)&lt;=1.92,"NO ATÍPICO")</f>
        <v>NO ATÍPICO</v>
      </c>
      <c r="L2708">
        <f t="shared" si="185"/>
        <v>795975.32</v>
      </c>
      <c r="M2708" t="str">
        <f t="shared" si="185"/>
        <v>ASALARIADO</v>
      </c>
      <c r="N2708">
        <f t="shared" si="186"/>
        <v>38</v>
      </c>
      <c r="O2708" s="19" t="str">
        <f t="shared" si="187"/>
        <v>600k–900k</v>
      </c>
      <c r="P2708" s="19" t="str">
        <f t="shared" si="188"/>
        <v>36-45</v>
      </c>
    </row>
    <row r="2709" spans="1:16" x14ac:dyDescent="0.25">
      <c r="A2709">
        <v>2708</v>
      </c>
      <c r="B2709" t="s">
        <v>9</v>
      </c>
      <c r="C2709">
        <v>385200.2</v>
      </c>
      <c r="D2709" t="s">
        <v>10</v>
      </c>
      <c r="E2709" t="s">
        <v>16</v>
      </c>
      <c r="F2709" t="s">
        <v>12</v>
      </c>
      <c r="G2709" t="s">
        <v>13</v>
      </c>
      <c r="H2709" t="s">
        <v>13</v>
      </c>
      <c r="I2709">
        <v>27</v>
      </c>
      <c r="J2709" t="str" cm="1">
        <f t="array" ref="J2709">_xlfn.IFS(ISBLANK(C2709),"FALTANTE",ABS((C2709-$W$5)/$X$5)&gt;1.96,"ATÍPICO",ABS((C2709-$W$5)/$X$5)&lt;=1.96,"NO ATÍPICO")</f>
        <v>NO ATÍPICO</v>
      </c>
      <c r="K2709" t="str" cm="1">
        <f t="array" ref="K2709">_xlfn.IFS(ISBLANK(I2709),"FALTANTE",ABS((I2709-$W$8)/$X$8)&gt;1.92,"ATÍPICO",ABS((I2709-$W$8)/$X$8)&lt;=1.92,"NO ATÍPICO")</f>
        <v>NO ATÍPICO</v>
      </c>
      <c r="L2709">
        <f t="shared" si="185"/>
        <v>385200.2</v>
      </c>
      <c r="M2709" t="str">
        <f t="shared" si="185"/>
        <v>ASALARIADO</v>
      </c>
      <c r="N2709">
        <f t="shared" si="186"/>
        <v>27</v>
      </c>
      <c r="O2709" s="19" t="str">
        <f t="shared" si="187"/>
        <v>300k–600k</v>
      </c>
      <c r="P2709" s="19" t="str">
        <f t="shared" si="188"/>
        <v>26-35</v>
      </c>
    </row>
    <row r="2710" spans="1:16" x14ac:dyDescent="0.25">
      <c r="A2710">
        <v>2709</v>
      </c>
      <c r="B2710" t="s">
        <v>9</v>
      </c>
      <c r="C2710">
        <v>507944</v>
      </c>
      <c r="D2710" t="s">
        <v>18</v>
      </c>
      <c r="E2710" t="s">
        <v>16</v>
      </c>
      <c r="F2710" t="s">
        <v>12</v>
      </c>
      <c r="G2710" t="s">
        <v>12</v>
      </c>
      <c r="H2710" t="s">
        <v>12</v>
      </c>
      <c r="I2710">
        <v>54</v>
      </c>
      <c r="J2710" t="str" cm="1">
        <f t="array" ref="J2710">_xlfn.IFS(ISBLANK(C2710),"FALTANTE",ABS((C2710-$W$5)/$X$5)&gt;1.96,"ATÍPICO",ABS((C2710-$W$5)/$X$5)&lt;=1.96,"NO ATÍPICO")</f>
        <v>NO ATÍPICO</v>
      </c>
      <c r="K2710" t="str" cm="1">
        <f t="array" ref="K2710">_xlfn.IFS(ISBLANK(I2710),"FALTANTE",ABS((I2710-$W$8)/$X$8)&gt;1.92,"ATÍPICO",ABS((I2710-$W$8)/$X$8)&lt;=1.92,"NO ATÍPICO")</f>
        <v>NO ATÍPICO</v>
      </c>
      <c r="L2710">
        <f t="shared" si="185"/>
        <v>507944</v>
      </c>
      <c r="M2710" t="str">
        <f t="shared" si="185"/>
        <v>TRABAJADOR INDEPENDIENTE</v>
      </c>
      <c r="N2710">
        <f t="shared" si="186"/>
        <v>54</v>
      </c>
      <c r="O2710" s="19" t="str">
        <f t="shared" si="187"/>
        <v>300k–600k</v>
      </c>
      <c r="P2710" s="19" t="str">
        <f t="shared" si="188"/>
        <v>46-55</v>
      </c>
    </row>
    <row r="2711" spans="1:16" x14ac:dyDescent="0.25">
      <c r="A2711">
        <v>2710</v>
      </c>
      <c r="B2711" t="s">
        <v>9</v>
      </c>
      <c r="C2711">
        <v>1196608</v>
      </c>
      <c r="D2711" t="s">
        <v>10</v>
      </c>
      <c r="E2711" t="s">
        <v>16</v>
      </c>
      <c r="F2711" t="s">
        <v>12</v>
      </c>
      <c r="G2711" t="s">
        <v>13</v>
      </c>
      <c r="H2711" t="s">
        <v>13</v>
      </c>
      <c r="I2711">
        <v>33</v>
      </c>
      <c r="J2711" t="str" cm="1">
        <f t="array" ref="J2711">_xlfn.IFS(ISBLANK(C2711),"FALTANTE",ABS((C2711-$W$5)/$X$5)&gt;1.96,"ATÍPICO",ABS((C2711-$W$5)/$X$5)&lt;=1.96,"NO ATÍPICO")</f>
        <v>NO ATÍPICO</v>
      </c>
      <c r="K2711" t="str" cm="1">
        <f t="array" ref="K2711">_xlfn.IFS(ISBLANK(I2711),"FALTANTE",ABS((I2711-$W$8)/$X$8)&gt;1.92,"ATÍPICO",ABS((I2711-$W$8)/$X$8)&lt;=1.92,"NO ATÍPICO")</f>
        <v>NO ATÍPICO</v>
      </c>
      <c r="L2711">
        <f t="shared" si="185"/>
        <v>1196608</v>
      </c>
      <c r="M2711" t="str">
        <f t="shared" si="185"/>
        <v>ASALARIADO</v>
      </c>
      <c r="N2711">
        <f t="shared" si="186"/>
        <v>33</v>
      </c>
      <c r="O2711" s="19" t="str">
        <f t="shared" si="187"/>
        <v>900k–1200k</v>
      </c>
      <c r="P2711" s="19" t="str">
        <f t="shared" si="188"/>
        <v>26-35</v>
      </c>
    </row>
    <row r="2712" spans="1:16" x14ac:dyDescent="0.25">
      <c r="A2712">
        <v>2711</v>
      </c>
      <c r="B2712" t="s">
        <v>9</v>
      </c>
      <c r="C2712">
        <v>388315.75</v>
      </c>
      <c r="D2712" t="s">
        <v>10</v>
      </c>
      <c r="E2712" t="s">
        <v>16</v>
      </c>
      <c r="F2712" t="s">
        <v>12</v>
      </c>
      <c r="G2712" t="s">
        <v>13</v>
      </c>
      <c r="H2712" t="s">
        <v>13</v>
      </c>
      <c r="I2712">
        <v>59</v>
      </c>
      <c r="J2712" t="str" cm="1">
        <f t="array" ref="J2712">_xlfn.IFS(ISBLANK(C2712),"FALTANTE",ABS((C2712-$W$5)/$X$5)&gt;1.96,"ATÍPICO",ABS((C2712-$W$5)/$X$5)&lt;=1.96,"NO ATÍPICO")</f>
        <v>NO ATÍPICO</v>
      </c>
      <c r="K2712" t="str" cm="1">
        <f t="array" ref="K2712">_xlfn.IFS(ISBLANK(I2712),"FALTANTE",ABS((I2712-$W$8)/$X$8)&gt;1.92,"ATÍPICO",ABS((I2712-$W$8)/$X$8)&lt;=1.92,"NO ATÍPICO")</f>
        <v>NO ATÍPICO</v>
      </c>
      <c r="L2712">
        <f t="shared" si="185"/>
        <v>388315.75</v>
      </c>
      <c r="M2712" t="str">
        <f t="shared" si="185"/>
        <v>ASALARIADO</v>
      </c>
      <c r="N2712">
        <f t="shared" si="186"/>
        <v>59</v>
      </c>
      <c r="O2712" s="19" t="str">
        <f t="shared" si="187"/>
        <v>300k–600k</v>
      </c>
      <c r="P2712" s="19" t="str">
        <f t="shared" si="188"/>
        <v>56+</v>
      </c>
    </row>
    <row r="2713" spans="1:16" x14ac:dyDescent="0.25">
      <c r="A2713">
        <v>2712</v>
      </c>
      <c r="B2713" t="s">
        <v>15</v>
      </c>
      <c r="C2713">
        <v>2109522.85</v>
      </c>
      <c r="D2713" t="s">
        <v>10</v>
      </c>
      <c r="E2713" t="s">
        <v>11</v>
      </c>
      <c r="F2713" t="s">
        <v>12</v>
      </c>
      <c r="G2713" t="s">
        <v>13</v>
      </c>
      <c r="H2713" t="s">
        <v>13</v>
      </c>
      <c r="I2713">
        <v>45</v>
      </c>
      <c r="J2713" t="str" cm="1">
        <f t="array" ref="J2713">_xlfn.IFS(ISBLANK(C2713),"FALTANTE",ABS((C2713-$W$5)/$X$5)&gt;1.96,"ATÍPICO",ABS((C2713-$W$5)/$X$5)&lt;=1.96,"NO ATÍPICO")</f>
        <v>NO ATÍPICO</v>
      </c>
      <c r="K2713" t="str" cm="1">
        <f t="array" ref="K2713">_xlfn.IFS(ISBLANK(I2713),"FALTANTE",ABS((I2713-$W$8)/$X$8)&gt;1.92,"ATÍPICO",ABS((I2713-$W$8)/$X$8)&lt;=1.92,"NO ATÍPICO")</f>
        <v>NO ATÍPICO</v>
      </c>
      <c r="L2713">
        <f t="shared" si="185"/>
        <v>2109522.85</v>
      </c>
      <c r="M2713" t="str">
        <f t="shared" si="185"/>
        <v>ASALARIADO</v>
      </c>
      <c r="N2713">
        <f t="shared" si="186"/>
        <v>45</v>
      </c>
      <c r="O2713" s="19" t="str">
        <f t="shared" si="187"/>
        <v>1200k+</v>
      </c>
      <c r="P2713" s="19" t="str">
        <f t="shared" si="188"/>
        <v>36-45</v>
      </c>
    </row>
    <row r="2714" spans="1:16" x14ac:dyDescent="0.25">
      <c r="A2714">
        <v>2713</v>
      </c>
      <c r="B2714" t="s">
        <v>9</v>
      </c>
      <c r="C2714">
        <v>297046</v>
      </c>
      <c r="D2714" t="s">
        <v>17</v>
      </c>
      <c r="E2714" t="s">
        <v>16</v>
      </c>
      <c r="F2714" t="s">
        <v>12</v>
      </c>
      <c r="G2714" t="s">
        <v>12</v>
      </c>
      <c r="H2714" t="s">
        <v>12</v>
      </c>
      <c r="I2714">
        <v>46</v>
      </c>
      <c r="J2714" t="str" cm="1">
        <f t="array" ref="J2714">_xlfn.IFS(ISBLANK(C2714),"FALTANTE",ABS((C2714-$W$5)/$X$5)&gt;1.96,"ATÍPICO",ABS((C2714-$W$5)/$X$5)&lt;=1.96,"NO ATÍPICO")</f>
        <v>NO ATÍPICO</v>
      </c>
      <c r="K2714" t="str" cm="1">
        <f t="array" ref="K2714">_xlfn.IFS(ISBLANK(I2714),"FALTANTE",ABS((I2714-$W$8)/$X$8)&gt;1.92,"ATÍPICO",ABS((I2714-$W$8)/$X$8)&lt;=1.92,"NO ATÍPICO")</f>
        <v>NO ATÍPICO</v>
      </c>
      <c r="L2714">
        <f t="shared" si="185"/>
        <v>297046</v>
      </c>
      <c r="M2714" t="str">
        <f t="shared" si="185"/>
        <v>ASEGURADO VOLUNTARIO</v>
      </c>
      <c r="N2714">
        <f t="shared" si="186"/>
        <v>46</v>
      </c>
      <c r="O2714" s="19" t="str">
        <f t="shared" si="187"/>
        <v>0–300k</v>
      </c>
      <c r="P2714" s="19" t="str">
        <f t="shared" si="188"/>
        <v>46-55</v>
      </c>
    </row>
    <row r="2715" spans="1:16" x14ac:dyDescent="0.25">
      <c r="A2715">
        <v>2714</v>
      </c>
      <c r="B2715" t="s">
        <v>9</v>
      </c>
      <c r="C2715">
        <v>389232</v>
      </c>
      <c r="D2715" t="s">
        <v>10</v>
      </c>
      <c r="E2715" t="s">
        <v>16</v>
      </c>
      <c r="F2715" t="s">
        <v>12</v>
      </c>
      <c r="G2715" t="s">
        <v>13</v>
      </c>
      <c r="H2715" t="s">
        <v>13</v>
      </c>
      <c r="I2715">
        <v>39</v>
      </c>
      <c r="J2715" t="str" cm="1">
        <f t="array" ref="J2715">_xlfn.IFS(ISBLANK(C2715),"FALTANTE",ABS((C2715-$W$5)/$X$5)&gt;1.96,"ATÍPICO",ABS((C2715-$W$5)/$X$5)&lt;=1.96,"NO ATÍPICO")</f>
        <v>NO ATÍPICO</v>
      </c>
      <c r="K2715" t="str" cm="1">
        <f t="array" ref="K2715">_xlfn.IFS(ISBLANK(I2715),"FALTANTE",ABS((I2715-$W$8)/$X$8)&gt;1.92,"ATÍPICO",ABS((I2715-$W$8)/$X$8)&lt;=1.92,"NO ATÍPICO")</f>
        <v>NO ATÍPICO</v>
      </c>
      <c r="L2715">
        <f t="shared" si="185"/>
        <v>389232</v>
      </c>
      <c r="M2715" t="str">
        <f t="shared" si="185"/>
        <v>ASALARIADO</v>
      </c>
      <c r="N2715">
        <f t="shared" si="186"/>
        <v>39</v>
      </c>
      <c r="O2715" s="19" t="str">
        <f t="shared" si="187"/>
        <v>300k–600k</v>
      </c>
      <c r="P2715" s="19" t="str">
        <f t="shared" si="188"/>
        <v>36-45</v>
      </c>
    </row>
    <row r="2716" spans="1:16" x14ac:dyDescent="0.25">
      <c r="A2716">
        <v>2715</v>
      </c>
      <c r="B2716" t="s">
        <v>15</v>
      </c>
      <c r="C2716">
        <v>746903</v>
      </c>
      <c r="D2716" t="s">
        <v>10</v>
      </c>
      <c r="E2716" t="s">
        <v>11</v>
      </c>
      <c r="F2716" t="s">
        <v>12</v>
      </c>
      <c r="G2716" t="s">
        <v>13</v>
      </c>
      <c r="H2716" t="s">
        <v>12</v>
      </c>
      <c r="I2716">
        <v>31</v>
      </c>
      <c r="J2716" t="str" cm="1">
        <f t="array" ref="J2716">_xlfn.IFS(ISBLANK(C2716),"FALTANTE",ABS((C2716-$W$5)/$X$5)&gt;1.96,"ATÍPICO",ABS((C2716-$W$5)/$X$5)&lt;=1.96,"NO ATÍPICO")</f>
        <v>NO ATÍPICO</v>
      </c>
      <c r="K2716" t="str" cm="1">
        <f t="array" ref="K2716">_xlfn.IFS(ISBLANK(I2716),"FALTANTE",ABS((I2716-$W$8)/$X$8)&gt;1.92,"ATÍPICO",ABS((I2716-$W$8)/$X$8)&lt;=1.92,"NO ATÍPICO")</f>
        <v>NO ATÍPICO</v>
      </c>
      <c r="L2716">
        <f t="shared" si="185"/>
        <v>746903</v>
      </c>
      <c r="M2716" t="str">
        <f t="shared" si="185"/>
        <v>ASALARIADO</v>
      </c>
      <c r="N2716">
        <f t="shared" si="186"/>
        <v>31</v>
      </c>
      <c r="O2716" s="19" t="str">
        <f t="shared" si="187"/>
        <v>600k–900k</v>
      </c>
      <c r="P2716" s="19" t="str">
        <f t="shared" si="188"/>
        <v>26-35</v>
      </c>
    </row>
    <row r="2717" spans="1:16" x14ac:dyDescent="0.25">
      <c r="A2717">
        <v>2716</v>
      </c>
      <c r="B2717" t="s">
        <v>9</v>
      </c>
      <c r="C2717">
        <v>362250</v>
      </c>
      <c r="D2717" t="s">
        <v>10</v>
      </c>
      <c r="E2717" t="s">
        <v>16</v>
      </c>
      <c r="F2717" t="s">
        <v>12</v>
      </c>
      <c r="G2717" t="s">
        <v>13</v>
      </c>
      <c r="H2717" t="s">
        <v>13</v>
      </c>
      <c r="I2717">
        <v>44</v>
      </c>
      <c r="J2717" t="str" cm="1">
        <f t="array" ref="J2717">_xlfn.IFS(ISBLANK(C2717),"FALTANTE",ABS((C2717-$W$5)/$X$5)&gt;1.96,"ATÍPICO",ABS((C2717-$W$5)/$X$5)&lt;=1.96,"NO ATÍPICO")</f>
        <v>NO ATÍPICO</v>
      </c>
      <c r="K2717" t="str" cm="1">
        <f t="array" ref="K2717">_xlfn.IFS(ISBLANK(I2717),"FALTANTE",ABS((I2717-$W$8)/$X$8)&gt;1.92,"ATÍPICO",ABS((I2717-$W$8)/$X$8)&lt;=1.92,"NO ATÍPICO")</f>
        <v>NO ATÍPICO</v>
      </c>
      <c r="L2717">
        <f t="shared" si="185"/>
        <v>362250</v>
      </c>
      <c r="M2717" t="str">
        <f t="shared" si="185"/>
        <v>ASALARIADO</v>
      </c>
      <c r="N2717">
        <f t="shared" si="186"/>
        <v>44</v>
      </c>
      <c r="O2717" s="19" t="str">
        <f t="shared" si="187"/>
        <v>300k–600k</v>
      </c>
      <c r="P2717" s="19" t="str">
        <f t="shared" si="188"/>
        <v>36-45</v>
      </c>
    </row>
    <row r="2718" spans="1:16" x14ac:dyDescent="0.25">
      <c r="A2718">
        <v>2717</v>
      </c>
      <c r="B2718" t="s">
        <v>9</v>
      </c>
      <c r="C2718">
        <v>278030</v>
      </c>
      <c r="D2718" t="s">
        <v>19</v>
      </c>
      <c r="E2718" t="s">
        <v>16</v>
      </c>
      <c r="F2718" t="s">
        <v>12</v>
      </c>
      <c r="G2718" t="s">
        <v>13</v>
      </c>
      <c r="H2718" t="s">
        <v>13</v>
      </c>
      <c r="I2718">
        <v>30</v>
      </c>
      <c r="J2718" t="str" cm="1">
        <f t="array" ref="J2718">_xlfn.IFS(ISBLANK(C2718),"FALTANTE",ABS((C2718-$W$5)/$X$5)&gt;1.96,"ATÍPICO",ABS((C2718-$W$5)/$X$5)&lt;=1.96,"NO ATÍPICO")</f>
        <v>NO ATÍPICO</v>
      </c>
      <c r="K2718" t="str" cm="1">
        <f t="array" ref="K2718">_xlfn.IFS(ISBLANK(I2718),"FALTANTE",ABS((I2718-$W$8)/$X$8)&gt;1.92,"ATÍPICO",ABS((I2718-$W$8)/$X$8)&lt;=1.92,"NO ATÍPICO")</f>
        <v>NO ATÍPICO</v>
      </c>
      <c r="L2718">
        <f t="shared" si="185"/>
        <v>278030</v>
      </c>
      <c r="M2718" t="str">
        <f t="shared" si="185"/>
        <v>CONVENIOS ESPECIALES DE TRABAJADORES INDEPENDIENTES</v>
      </c>
      <c r="N2718">
        <f t="shared" si="186"/>
        <v>30</v>
      </c>
      <c r="O2718" s="19" t="str">
        <f t="shared" si="187"/>
        <v>0–300k</v>
      </c>
      <c r="P2718" s="19" t="str">
        <f t="shared" si="188"/>
        <v>26-35</v>
      </c>
    </row>
    <row r="2719" spans="1:16" x14ac:dyDescent="0.25">
      <c r="A2719">
        <v>2718</v>
      </c>
      <c r="B2719" t="s">
        <v>15</v>
      </c>
      <c r="C2719">
        <v>250000</v>
      </c>
      <c r="D2719" t="s">
        <v>10</v>
      </c>
      <c r="E2719" t="s">
        <v>16</v>
      </c>
      <c r="F2719" t="s">
        <v>12</v>
      </c>
      <c r="G2719" t="s">
        <v>12</v>
      </c>
      <c r="H2719" t="s">
        <v>12</v>
      </c>
      <c r="I2719">
        <v>54</v>
      </c>
      <c r="J2719" t="str" cm="1">
        <f t="array" ref="J2719">_xlfn.IFS(ISBLANK(C2719),"FALTANTE",ABS((C2719-$W$5)/$X$5)&gt;1.96,"ATÍPICO",ABS((C2719-$W$5)/$X$5)&lt;=1.96,"NO ATÍPICO")</f>
        <v>NO ATÍPICO</v>
      </c>
      <c r="K2719" t="str" cm="1">
        <f t="array" ref="K2719">_xlfn.IFS(ISBLANK(I2719),"FALTANTE",ABS((I2719-$W$8)/$X$8)&gt;1.92,"ATÍPICO",ABS((I2719-$W$8)/$X$8)&lt;=1.92,"NO ATÍPICO")</f>
        <v>NO ATÍPICO</v>
      </c>
      <c r="L2719">
        <f t="shared" si="185"/>
        <v>250000</v>
      </c>
      <c r="M2719" t="str">
        <f t="shared" si="185"/>
        <v>ASALARIADO</v>
      </c>
      <c r="N2719">
        <f t="shared" si="186"/>
        <v>54</v>
      </c>
      <c r="O2719" s="19" t="str">
        <f t="shared" si="187"/>
        <v>0–300k</v>
      </c>
      <c r="P2719" s="19" t="str">
        <f t="shared" si="188"/>
        <v>46-55</v>
      </c>
    </row>
    <row r="2720" spans="1:16" x14ac:dyDescent="0.25">
      <c r="A2720">
        <v>2719</v>
      </c>
      <c r="B2720" t="s">
        <v>15</v>
      </c>
      <c r="C2720">
        <v>297046</v>
      </c>
      <c r="D2720" t="s">
        <v>17</v>
      </c>
      <c r="E2720" t="s">
        <v>16</v>
      </c>
      <c r="F2720" t="s">
        <v>12</v>
      </c>
      <c r="G2720" t="s">
        <v>12</v>
      </c>
      <c r="H2720" t="s">
        <v>13</v>
      </c>
      <c r="I2720">
        <v>44</v>
      </c>
      <c r="J2720" t="str" cm="1">
        <f t="array" ref="J2720">_xlfn.IFS(ISBLANK(C2720),"FALTANTE",ABS((C2720-$W$5)/$X$5)&gt;1.96,"ATÍPICO",ABS((C2720-$W$5)/$X$5)&lt;=1.96,"NO ATÍPICO")</f>
        <v>NO ATÍPICO</v>
      </c>
      <c r="K2720" t="str" cm="1">
        <f t="array" ref="K2720">_xlfn.IFS(ISBLANK(I2720),"FALTANTE",ABS((I2720-$W$8)/$X$8)&gt;1.92,"ATÍPICO",ABS((I2720-$W$8)/$X$8)&lt;=1.92,"NO ATÍPICO")</f>
        <v>NO ATÍPICO</v>
      </c>
      <c r="L2720">
        <f t="shared" si="185"/>
        <v>297046</v>
      </c>
      <c r="M2720" t="str">
        <f t="shared" si="185"/>
        <v>ASEGURADO VOLUNTARIO</v>
      </c>
      <c r="N2720">
        <f t="shared" si="186"/>
        <v>44</v>
      </c>
      <c r="O2720" s="19" t="str">
        <f t="shared" si="187"/>
        <v>0–300k</v>
      </c>
      <c r="P2720" s="19" t="str">
        <f t="shared" si="188"/>
        <v>36-45</v>
      </c>
    </row>
    <row r="2721" spans="1:16" x14ac:dyDescent="0.25">
      <c r="A2721">
        <v>2720</v>
      </c>
      <c r="B2721" t="s">
        <v>15</v>
      </c>
      <c r="C2721">
        <v>120000</v>
      </c>
      <c r="D2721" t="s">
        <v>10</v>
      </c>
      <c r="E2721" t="s">
        <v>16</v>
      </c>
      <c r="F2721" t="s">
        <v>12</v>
      </c>
      <c r="G2721" t="s">
        <v>13</v>
      </c>
      <c r="H2721" t="s">
        <v>12</v>
      </c>
      <c r="I2721">
        <v>55</v>
      </c>
      <c r="J2721" t="str" cm="1">
        <f t="array" ref="J2721">_xlfn.IFS(ISBLANK(C2721),"FALTANTE",ABS((C2721-$W$5)/$X$5)&gt;1.96,"ATÍPICO",ABS((C2721-$W$5)/$X$5)&lt;=1.96,"NO ATÍPICO")</f>
        <v>NO ATÍPICO</v>
      </c>
      <c r="K2721" t="str" cm="1">
        <f t="array" ref="K2721">_xlfn.IFS(ISBLANK(I2721),"FALTANTE",ABS((I2721-$W$8)/$X$8)&gt;1.92,"ATÍPICO",ABS((I2721-$W$8)/$X$8)&lt;=1.92,"NO ATÍPICO")</f>
        <v>NO ATÍPICO</v>
      </c>
      <c r="L2721">
        <f t="shared" si="185"/>
        <v>120000</v>
      </c>
      <c r="M2721" t="str">
        <f t="shared" si="185"/>
        <v>ASALARIADO</v>
      </c>
      <c r="N2721">
        <f t="shared" si="186"/>
        <v>55</v>
      </c>
      <c r="O2721" s="19" t="str">
        <f t="shared" si="187"/>
        <v>0–300k</v>
      </c>
      <c r="P2721" s="19" t="str">
        <f t="shared" si="188"/>
        <v>46-55</v>
      </c>
    </row>
    <row r="2722" spans="1:16" x14ac:dyDescent="0.25">
      <c r="A2722">
        <v>2721</v>
      </c>
      <c r="B2722" t="s">
        <v>15</v>
      </c>
      <c r="C2722">
        <v>315617</v>
      </c>
      <c r="D2722" t="s">
        <v>17</v>
      </c>
      <c r="E2722" t="s">
        <v>16</v>
      </c>
      <c r="F2722" t="s">
        <v>12</v>
      </c>
      <c r="G2722" t="s">
        <v>13</v>
      </c>
      <c r="H2722" t="s">
        <v>13</v>
      </c>
      <c r="I2722">
        <v>65</v>
      </c>
      <c r="J2722" t="str" cm="1">
        <f t="array" ref="J2722">_xlfn.IFS(ISBLANK(C2722),"FALTANTE",ABS((C2722-$W$5)/$X$5)&gt;1.96,"ATÍPICO",ABS((C2722-$W$5)/$X$5)&lt;=1.96,"NO ATÍPICO")</f>
        <v>NO ATÍPICO</v>
      </c>
      <c r="K2722" t="str" cm="1">
        <f t="array" ref="K2722">_xlfn.IFS(ISBLANK(I2722),"FALTANTE",ABS((I2722-$W$8)/$X$8)&gt;1.92,"ATÍPICO",ABS((I2722-$W$8)/$X$8)&lt;=1.92,"NO ATÍPICO")</f>
        <v>NO ATÍPICO</v>
      </c>
      <c r="L2722">
        <f t="shared" si="185"/>
        <v>315617</v>
      </c>
      <c r="M2722" t="str">
        <f t="shared" si="185"/>
        <v>ASEGURADO VOLUNTARIO</v>
      </c>
      <c r="N2722">
        <f t="shared" si="186"/>
        <v>65</v>
      </c>
      <c r="O2722" s="19" t="str">
        <f t="shared" si="187"/>
        <v>300k–600k</v>
      </c>
      <c r="P2722" s="19" t="str">
        <f t="shared" si="188"/>
        <v>56+</v>
      </c>
    </row>
    <row r="2723" spans="1:16" x14ac:dyDescent="0.25">
      <c r="A2723">
        <v>2722</v>
      </c>
      <c r="B2723" t="s">
        <v>9</v>
      </c>
      <c r="C2723">
        <v>1034183.15</v>
      </c>
      <c r="D2723" t="s">
        <v>10</v>
      </c>
      <c r="E2723" t="s">
        <v>16</v>
      </c>
      <c r="F2723" t="s">
        <v>12</v>
      </c>
      <c r="G2723" t="s">
        <v>13</v>
      </c>
      <c r="H2723" t="s">
        <v>13</v>
      </c>
      <c r="I2723">
        <v>28</v>
      </c>
      <c r="J2723" t="str" cm="1">
        <f t="array" ref="J2723">_xlfn.IFS(ISBLANK(C2723),"FALTANTE",ABS((C2723-$W$5)/$X$5)&gt;1.96,"ATÍPICO",ABS((C2723-$W$5)/$X$5)&lt;=1.96,"NO ATÍPICO")</f>
        <v>NO ATÍPICO</v>
      </c>
      <c r="K2723" t="str" cm="1">
        <f t="array" ref="K2723">_xlfn.IFS(ISBLANK(I2723),"FALTANTE",ABS((I2723-$W$8)/$X$8)&gt;1.92,"ATÍPICO",ABS((I2723-$W$8)/$X$8)&lt;=1.92,"NO ATÍPICO")</f>
        <v>NO ATÍPICO</v>
      </c>
      <c r="L2723">
        <f t="shared" si="185"/>
        <v>1034183.15</v>
      </c>
      <c r="M2723" t="str">
        <f t="shared" si="185"/>
        <v>ASALARIADO</v>
      </c>
      <c r="N2723">
        <f t="shared" si="186"/>
        <v>28</v>
      </c>
      <c r="O2723" s="19" t="str">
        <f t="shared" si="187"/>
        <v>900k–1200k</v>
      </c>
      <c r="P2723" s="19" t="str">
        <f t="shared" si="188"/>
        <v>26-35</v>
      </c>
    </row>
    <row r="2724" spans="1:16" x14ac:dyDescent="0.25">
      <c r="A2724">
        <v>2723</v>
      </c>
      <c r="B2724" t="s">
        <v>9</v>
      </c>
      <c r="C2724">
        <v>484022.45</v>
      </c>
      <c r="D2724" t="s">
        <v>10</v>
      </c>
      <c r="E2724" t="s">
        <v>16</v>
      </c>
      <c r="F2724" t="s">
        <v>12</v>
      </c>
      <c r="G2724" t="s">
        <v>13</v>
      </c>
      <c r="H2724" t="s">
        <v>13</v>
      </c>
      <c r="I2724">
        <v>42</v>
      </c>
      <c r="J2724" t="str" cm="1">
        <f t="array" ref="J2724">_xlfn.IFS(ISBLANK(C2724),"FALTANTE",ABS((C2724-$W$5)/$X$5)&gt;1.96,"ATÍPICO",ABS((C2724-$W$5)/$X$5)&lt;=1.96,"NO ATÍPICO")</f>
        <v>NO ATÍPICO</v>
      </c>
      <c r="K2724" t="str" cm="1">
        <f t="array" ref="K2724">_xlfn.IFS(ISBLANK(I2724),"FALTANTE",ABS((I2724-$W$8)/$X$8)&gt;1.92,"ATÍPICO",ABS((I2724-$W$8)/$X$8)&lt;=1.92,"NO ATÍPICO")</f>
        <v>NO ATÍPICO</v>
      </c>
      <c r="L2724">
        <f t="shared" si="185"/>
        <v>484022.45</v>
      </c>
      <c r="M2724" t="str">
        <f t="shared" si="185"/>
        <v>ASALARIADO</v>
      </c>
      <c r="N2724">
        <f t="shared" si="186"/>
        <v>42</v>
      </c>
      <c r="O2724" s="19" t="str">
        <f t="shared" si="187"/>
        <v>300k–600k</v>
      </c>
      <c r="P2724" s="19" t="str">
        <f t="shared" si="188"/>
        <v>36-45</v>
      </c>
    </row>
    <row r="2725" spans="1:16" x14ac:dyDescent="0.25">
      <c r="A2725">
        <v>2724</v>
      </c>
      <c r="B2725" t="s">
        <v>15</v>
      </c>
      <c r="C2725">
        <v>200000</v>
      </c>
      <c r="D2725" t="s">
        <v>10</v>
      </c>
      <c r="E2725" t="s">
        <v>16</v>
      </c>
      <c r="F2725" t="s">
        <v>12</v>
      </c>
      <c r="G2725" t="s">
        <v>12</v>
      </c>
      <c r="H2725" t="s">
        <v>13</v>
      </c>
      <c r="I2725">
        <v>53</v>
      </c>
      <c r="J2725" t="str" cm="1">
        <f t="array" ref="J2725">_xlfn.IFS(ISBLANK(C2725),"FALTANTE",ABS((C2725-$W$5)/$X$5)&gt;1.96,"ATÍPICO",ABS((C2725-$W$5)/$X$5)&lt;=1.96,"NO ATÍPICO")</f>
        <v>NO ATÍPICO</v>
      </c>
      <c r="K2725" t="str" cm="1">
        <f t="array" ref="K2725">_xlfn.IFS(ISBLANK(I2725),"FALTANTE",ABS((I2725-$W$8)/$X$8)&gt;1.92,"ATÍPICO",ABS((I2725-$W$8)/$X$8)&lt;=1.92,"NO ATÍPICO")</f>
        <v>NO ATÍPICO</v>
      </c>
      <c r="L2725">
        <f t="shared" si="185"/>
        <v>200000</v>
      </c>
      <c r="M2725" t="str">
        <f t="shared" si="185"/>
        <v>ASALARIADO</v>
      </c>
      <c r="N2725">
        <f t="shared" si="186"/>
        <v>53</v>
      </c>
      <c r="O2725" s="19" t="str">
        <f t="shared" si="187"/>
        <v>0–300k</v>
      </c>
      <c r="P2725" s="19" t="str">
        <f t="shared" si="188"/>
        <v>46-55</v>
      </c>
    </row>
    <row r="2726" spans="1:16" x14ac:dyDescent="0.25">
      <c r="A2726">
        <v>2725</v>
      </c>
      <c r="B2726" t="s">
        <v>9</v>
      </c>
      <c r="C2726">
        <v>594092</v>
      </c>
      <c r="D2726" t="s">
        <v>18</v>
      </c>
      <c r="E2726" t="s">
        <v>16</v>
      </c>
      <c r="F2726" t="s">
        <v>12</v>
      </c>
      <c r="G2726" t="s">
        <v>13</v>
      </c>
      <c r="H2726" t="s">
        <v>12</v>
      </c>
      <c r="I2726">
        <v>67</v>
      </c>
      <c r="J2726" t="str" cm="1">
        <f t="array" ref="J2726">_xlfn.IFS(ISBLANK(C2726),"FALTANTE",ABS((C2726-$W$5)/$X$5)&gt;1.96,"ATÍPICO",ABS((C2726-$W$5)/$X$5)&lt;=1.96,"NO ATÍPICO")</f>
        <v>NO ATÍPICO</v>
      </c>
      <c r="K2726" t="str" cm="1">
        <f t="array" ref="K2726">_xlfn.IFS(ISBLANK(I2726),"FALTANTE",ABS((I2726-$W$8)/$X$8)&gt;1.92,"ATÍPICO",ABS((I2726-$W$8)/$X$8)&lt;=1.92,"NO ATÍPICO")</f>
        <v>NO ATÍPICO</v>
      </c>
      <c r="L2726">
        <f t="shared" si="185"/>
        <v>594092</v>
      </c>
      <c r="M2726" t="str">
        <f t="shared" si="185"/>
        <v>TRABAJADOR INDEPENDIENTE</v>
      </c>
      <c r="N2726">
        <f t="shared" si="186"/>
        <v>67</v>
      </c>
      <c r="O2726" s="19" t="str">
        <f t="shared" si="187"/>
        <v>300k–600k</v>
      </c>
      <c r="P2726" s="19" t="str">
        <f t="shared" si="188"/>
        <v>56+</v>
      </c>
    </row>
    <row r="2727" spans="1:16" x14ac:dyDescent="0.25">
      <c r="A2727">
        <v>2726</v>
      </c>
      <c r="B2727" t="s">
        <v>9</v>
      </c>
      <c r="C2727">
        <v>501950.24</v>
      </c>
      <c r="D2727" t="s">
        <v>10</v>
      </c>
      <c r="E2727" t="s">
        <v>16</v>
      </c>
      <c r="F2727" t="s">
        <v>12</v>
      </c>
      <c r="G2727" t="s">
        <v>13</v>
      </c>
      <c r="H2727" t="s">
        <v>13</v>
      </c>
      <c r="I2727">
        <v>46</v>
      </c>
      <c r="J2727" t="str" cm="1">
        <f t="array" ref="J2727">_xlfn.IFS(ISBLANK(C2727),"FALTANTE",ABS((C2727-$W$5)/$X$5)&gt;1.96,"ATÍPICO",ABS((C2727-$W$5)/$X$5)&lt;=1.96,"NO ATÍPICO")</f>
        <v>NO ATÍPICO</v>
      </c>
      <c r="K2727" t="str" cm="1">
        <f t="array" ref="K2727">_xlfn.IFS(ISBLANK(I2727),"FALTANTE",ABS((I2727-$W$8)/$X$8)&gt;1.92,"ATÍPICO",ABS((I2727-$W$8)/$X$8)&lt;=1.92,"NO ATÍPICO")</f>
        <v>NO ATÍPICO</v>
      </c>
      <c r="L2727">
        <f t="shared" si="185"/>
        <v>501950.24</v>
      </c>
      <c r="M2727" t="str">
        <f t="shared" si="185"/>
        <v>ASALARIADO</v>
      </c>
      <c r="N2727">
        <f t="shared" si="186"/>
        <v>46</v>
      </c>
      <c r="O2727" s="19" t="str">
        <f t="shared" si="187"/>
        <v>300k–600k</v>
      </c>
      <c r="P2727" s="19" t="str">
        <f t="shared" si="188"/>
        <v>46-55</v>
      </c>
    </row>
    <row r="2728" spans="1:16" x14ac:dyDescent="0.25">
      <c r="A2728">
        <v>2727</v>
      </c>
      <c r="B2728" t="s">
        <v>9</v>
      </c>
      <c r="C2728">
        <v>297046</v>
      </c>
      <c r="D2728" t="s">
        <v>17</v>
      </c>
      <c r="E2728" t="s">
        <v>16</v>
      </c>
      <c r="F2728" t="s">
        <v>12</v>
      </c>
      <c r="G2728" t="s">
        <v>13</v>
      </c>
      <c r="H2728" t="s">
        <v>13</v>
      </c>
      <c r="I2728">
        <v>46</v>
      </c>
      <c r="J2728" t="str" cm="1">
        <f t="array" ref="J2728">_xlfn.IFS(ISBLANK(C2728),"FALTANTE",ABS((C2728-$W$5)/$X$5)&gt;1.96,"ATÍPICO",ABS((C2728-$W$5)/$X$5)&lt;=1.96,"NO ATÍPICO")</f>
        <v>NO ATÍPICO</v>
      </c>
      <c r="K2728" t="str" cm="1">
        <f t="array" ref="K2728">_xlfn.IFS(ISBLANK(I2728),"FALTANTE",ABS((I2728-$W$8)/$X$8)&gt;1.92,"ATÍPICO",ABS((I2728-$W$8)/$X$8)&lt;=1.92,"NO ATÍPICO")</f>
        <v>NO ATÍPICO</v>
      </c>
      <c r="L2728">
        <f t="shared" si="185"/>
        <v>297046</v>
      </c>
      <c r="M2728" t="str">
        <f t="shared" si="185"/>
        <v>ASEGURADO VOLUNTARIO</v>
      </c>
      <c r="N2728">
        <f t="shared" si="186"/>
        <v>46</v>
      </c>
      <c r="O2728" s="19" t="str">
        <f t="shared" si="187"/>
        <v>0–300k</v>
      </c>
      <c r="P2728" s="19" t="str">
        <f t="shared" si="188"/>
        <v>46-55</v>
      </c>
    </row>
    <row r="2729" spans="1:16" x14ac:dyDescent="0.25">
      <c r="A2729">
        <v>2728</v>
      </c>
      <c r="B2729" t="s">
        <v>9</v>
      </c>
      <c r="C2729">
        <v>360061</v>
      </c>
      <c r="D2729" t="s">
        <v>10</v>
      </c>
      <c r="E2729" t="s">
        <v>16</v>
      </c>
      <c r="F2729" t="s">
        <v>12</v>
      </c>
      <c r="G2729" t="s">
        <v>13</v>
      </c>
      <c r="H2729" t="s">
        <v>13</v>
      </c>
      <c r="I2729">
        <v>32</v>
      </c>
      <c r="J2729" t="str" cm="1">
        <f t="array" ref="J2729">_xlfn.IFS(ISBLANK(C2729),"FALTANTE",ABS((C2729-$W$5)/$X$5)&gt;1.96,"ATÍPICO",ABS((C2729-$W$5)/$X$5)&lt;=1.96,"NO ATÍPICO")</f>
        <v>NO ATÍPICO</v>
      </c>
      <c r="K2729" t="str" cm="1">
        <f t="array" ref="K2729">_xlfn.IFS(ISBLANK(I2729),"FALTANTE",ABS((I2729-$W$8)/$X$8)&gt;1.92,"ATÍPICO",ABS((I2729-$W$8)/$X$8)&lt;=1.92,"NO ATÍPICO")</f>
        <v>NO ATÍPICO</v>
      </c>
      <c r="L2729">
        <f t="shared" si="185"/>
        <v>360061</v>
      </c>
      <c r="M2729" t="str">
        <f t="shared" si="185"/>
        <v>ASALARIADO</v>
      </c>
      <c r="N2729">
        <f t="shared" si="186"/>
        <v>32</v>
      </c>
      <c r="O2729" s="19" t="str">
        <f t="shared" si="187"/>
        <v>300k–600k</v>
      </c>
      <c r="P2729" s="19" t="str">
        <f t="shared" si="188"/>
        <v>26-35</v>
      </c>
    </row>
    <row r="2730" spans="1:16" x14ac:dyDescent="0.25">
      <c r="A2730">
        <v>2729</v>
      </c>
      <c r="B2730" t="s">
        <v>15</v>
      </c>
      <c r="C2730">
        <v>350325</v>
      </c>
      <c r="D2730" t="s">
        <v>10</v>
      </c>
      <c r="E2730" t="s">
        <v>16</v>
      </c>
      <c r="F2730" t="s">
        <v>12</v>
      </c>
      <c r="G2730" t="s">
        <v>13</v>
      </c>
      <c r="H2730" t="s">
        <v>13</v>
      </c>
      <c r="I2730">
        <v>27</v>
      </c>
      <c r="J2730" t="str" cm="1">
        <f t="array" ref="J2730">_xlfn.IFS(ISBLANK(C2730),"FALTANTE",ABS((C2730-$W$5)/$X$5)&gt;1.96,"ATÍPICO",ABS((C2730-$W$5)/$X$5)&lt;=1.96,"NO ATÍPICO")</f>
        <v>NO ATÍPICO</v>
      </c>
      <c r="K2730" t="str" cm="1">
        <f t="array" ref="K2730">_xlfn.IFS(ISBLANK(I2730),"FALTANTE",ABS((I2730-$W$8)/$X$8)&gt;1.92,"ATÍPICO",ABS((I2730-$W$8)/$X$8)&lt;=1.92,"NO ATÍPICO")</f>
        <v>NO ATÍPICO</v>
      </c>
      <c r="L2730">
        <f t="shared" si="185"/>
        <v>350325</v>
      </c>
      <c r="M2730" t="str">
        <f t="shared" si="185"/>
        <v>ASALARIADO</v>
      </c>
      <c r="N2730">
        <f t="shared" si="186"/>
        <v>27</v>
      </c>
      <c r="O2730" s="19" t="str">
        <f t="shared" si="187"/>
        <v>300k–600k</v>
      </c>
      <c r="P2730" s="19" t="str">
        <f t="shared" si="188"/>
        <v>26-35</v>
      </c>
    </row>
    <row r="2731" spans="1:16" x14ac:dyDescent="0.25">
      <c r="A2731">
        <v>2730</v>
      </c>
      <c r="B2731" t="s">
        <v>9</v>
      </c>
      <c r="C2731">
        <v>687802.61</v>
      </c>
      <c r="D2731" t="s">
        <v>10</v>
      </c>
      <c r="E2731" t="s">
        <v>16</v>
      </c>
      <c r="F2731" t="s">
        <v>12</v>
      </c>
      <c r="G2731" t="s">
        <v>12</v>
      </c>
      <c r="H2731" t="s">
        <v>13</v>
      </c>
      <c r="I2731">
        <v>47</v>
      </c>
      <c r="J2731" t="str" cm="1">
        <f t="array" ref="J2731">_xlfn.IFS(ISBLANK(C2731),"FALTANTE",ABS((C2731-$W$5)/$X$5)&gt;1.96,"ATÍPICO",ABS((C2731-$W$5)/$X$5)&lt;=1.96,"NO ATÍPICO")</f>
        <v>NO ATÍPICO</v>
      </c>
      <c r="K2731" t="str" cm="1">
        <f t="array" ref="K2731">_xlfn.IFS(ISBLANK(I2731),"FALTANTE",ABS((I2731-$W$8)/$X$8)&gt;1.92,"ATÍPICO",ABS((I2731-$W$8)/$X$8)&lt;=1.92,"NO ATÍPICO")</f>
        <v>NO ATÍPICO</v>
      </c>
      <c r="L2731">
        <f t="shared" si="185"/>
        <v>687802.61</v>
      </c>
      <c r="M2731" t="str">
        <f t="shared" si="185"/>
        <v>ASALARIADO</v>
      </c>
      <c r="N2731">
        <f t="shared" si="186"/>
        <v>47</v>
      </c>
      <c r="O2731" s="19" t="str">
        <f t="shared" si="187"/>
        <v>600k–900k</v>
      </c>
      <c r="P2731" s="19" t="str">
        <f t="shared" si="188"/>
        <v>46-55</v>
      </c>
    </row>
    <row r="2732" spans="1:16" x14ac:dyDescent="0.25">
      <c r="A2732">
        <v>2731</v>
      </c>
      <c r="B2732" t="s">
        <v>15</v>
      </c>
      <c r="C2732">
        <v>300000</v>
      </c>
      <c r="D2732" t="s">
        <v>10</v>
      </c>
      <c r="E2732" t="s">
        <v>16</v>
      </c>
      <c r="F2732" t="s">
        <v>12</v>
      </c>
      <c r="G2732" t="s">
        <v>13</v>
      </c>
      <c r="H2732" t="s">
        <v>13</v>
      </c>
      <c r="I2732">
        <v>43</v>
      </c>
      <c r="J2732" t="str" cm="1">
        <f t="array" ref="J2732">_xlfn.IFS(ISBLANK(C2732),"FALTANTE",ABS((C2732-$W$5)/$X$5)&gt;1.96,"ATÍPICO",ABS((C2732-$W$5)/$X$5)&lt;=1.96,"NO ATÍPICO")</f>
        <v>NO ATÍPICO</v>
      </c>
      <c r="K2732" t="str" cm="1">
        <f t="array" ref="K2732">_xlfn.IFS(ISBLANK(I2732),"FALTANTE",ABS((I2732-$W$8)/$X$8)&gt;1.92,"ATÍPICO",ABS((I2732-$W$8)/$X$8)&lt;=1.92,"NO ATÍPICO")</f>
        <v>NO ATÍPICO</v>
      </c>
      <c r="L2732">
        <f t="shared" si="185"/>
        <v>300000</v>
      </c>
      <c r="M2732" t="str">
        <f t="shared" si="185"/>
        <v>ASALARIADO</v>
      </c>
      <c r="N2732">
        <f t="shared" si="186"/>
        <v>43</v>
      </c>
      <c r="O2732" s="19" t="str">
        <f t="shared" si="187"/>
        <v>0–300k</v>
      </c>
      <c r="P2732" s="19" t="str">
        <f t="shared" si="188"/>
        <v>36-45</v>
      </c>
    </row>
    <row r="2733" spans="1:16" x14ac:dyDescent="0.25">
      <c r="A2733">
        <v>2732</v>
      </c>
      <c r="B2733" t="s">
        <v>9</v>
      </c>
      <c r="C2733">
        <v>473527.9</v>
      </c>
      <c r="D2733" t="s">
        <v>10</v>
      </c>
      <c r="E2733" t="s">
        <v>16</v>
      </c>
      <c r="F2733" t="s">
        <v>12</v>
      </c>
      <c r="G2733" t="s">
        <v>13</v>
      </c>
      <c r="H2733" t="s">
        <v>13</v>
      </c>
      <c r="I2733">
        <v>29</v>
      </c>
      <c r="J2733" t="str" cm="1">
        <f t="array" ref="J2733">_xlfn.IFS(ISBLANK(C2733),"FALTANTE",ABS((C2733-$W$5)/$X$5)&gt;1.96,"ATÍPICO",ABS((C2733-$W$5)/$X$5)&lt;=1.96,"NO ATÍPICO")</f>
        <v>NO ATÍPICO</v>
      </c>
      <c r="K2733" t="str" cm="1">
        <f t="array" ref="K2733">_xlfn.IFS(ISBLANK(I2733),"FALTANTE",ABS((I2733-$W$8)/$X$8)&gt;1.92,"ATÍPICO",ABS((I2733-$W$8)/$X$8)&lt;=1.92,"NO ATÍPICO")</f>
        <v>NO ATÍPICO</v>
      </c>
      <c r="L2733">
        <f t="shared" si="185"/>
        <v>473527.9</v>
      </c>
      <c r="M2733" t="str">
        <f t="shared" si="185"/>
        <v>ASALARIADO</v>
      </c>
      <c r="N2733">
        <f t="shared" si="186"/>
        <v>29</v>
      </c>
      <c r="O2733" s="19" t="str">
        <f t="shared" si="187"/>
        <v>300k–600k</v>
      </c>
      <c r="P2733" s="19" t="str">
        <f t="shared" si="188"/>
        <v>26-35</v>
      </c>
    </row>
    <row r="2734" spans="1:16" x14ac:dyDescent="0.25">
      <c r="A2734">
        <v>2733</v>
      </c>
      <c r="B2734" t="s">
        <v>9</v>
      </c>
      <c r="C2734">
        <v>404467</v>
      </c>
      <c r="D2734" t="s">
        <v>17</v>
      </c>
      <c r="E2734" t="s">
        <v>16</v>
      </c>
      <c r="F2734" t="s">
        <v>12</v>
      </c>
      <c r="G2734" t="s">
        <v>13</v>
      </c>
      <c r="H2734" t="s">
        <v>13</v>
      </c>
      <c r="I2734">
        <v>62</v>
      </c>
      <c r="J2734" t="str" cm="1">
        <f t="array" ref="J2734">_xlfn.IFS(ISBLANK(C2734),"FALTANTE",ABS((C2734-$W$5)/$X$5)&gt;1.96,"ATÍPICO",ABS((C2734-$W$5)/$X$5)&lt;=1.96,"NO ATÍPICO")</f>
        <v>NO ATÍPICO</v>
      </c>
      <c r="K2734" t="str" cm="1">
        <f t="array" ref="K2734">_xlfn.IFS(ISBLANK(I2734),"FALTANTE",ABS((I2734-$W$8)/$X$8)&gt;1.92,"ATÍPICO",ABS((I2734-$W$8)/$X$8)&lt;=1.92,"NO ATÍPICO")</f>
        <v>NO ATÍPICO</v>
      </c>
      <c r="L2734">
        <f t="shared" si="185"/>
        <v>404467</v>
      </c>
      <c r="M2734" t="str">
        <f t="shared" si="185"/>
        <v>ASEGURADO VOLUNTARIO</v>
      </c>
      <c r="N2734">
        <f t="shared" si="186"/>
        <v>62</v>
      </c>
      <c r="O2734" s="19" t="str">
        <f t="shared" si="187"/>
        <v>300k–600k</v>
      </c>
      <c r="P2734" s="19" t="str">
        <f t="shared" si="188"/>
        <v>56+</v>
      </c>
    </row>
    <row r="2735" spans="1:16" x14ac:dyDescent="0.25">
      <c r="A2735">
        <v>2734</v>
      </c>
      <c r="B2735" t="s">
        <v>15</v>
      </c>
      <c r="C2735">
        <v>681958.86</v>
      </c>
      <c r="D2735" t="s">
        <v>10</v>
      </c>
      <c r="E2735" t="s">
        <v>16</v>
      </c>
      <c r="F2735" t="s">
        <v>12</v>
      </c>
      <c r="G2735" t="s">
        <v>13</v>
      </c>
      <c r="H2735" t="s">
        <v>13</v>
      </c>
      <c r="I2735">
        <v>28</v>
      </c>
      <c r="J2735" t="str" cm="1">
        <f t="array" ref="J2735">_xlfn.IFS(ISBLANK(C2735),"FALTANTE",ABS((C2735-$W$5)/$X$5)&gt;1.96,"ATÍPICO",ABS((C2735-$W$5)/$X$5)&lt;=1.96,"NO ATÍPICO")</f>
        <v>NO ATÍPICO</v>
      </c>
      <c r="K2735" t="str" cm="1">
        <f t="array" ref="K2735">_xlfn.IFS(ISBLANK(I2735),"FALTANTE",ABS((I2735-$W$8)/$X$8)&gt;1.92,"ATÍPICO",ABS((I2735-$W$8)/$X$8)&lt;=1.92,"NO ATÍPICO")</f>
        <v>NO ATÍPICO</v>
      </c>
      <c r="L2735">
        <f t="shared" si="185"/>
        <v>681958.86</v>
      </c>
      <c r="M2735" t="str">
        <f t="shared" si="185"/>
        <v>ASALARIADO</v>
      </c>
      <c r="N2735">
        <f t="shared" si="186"/>
        <v>28</v>
      </c>
      <c r="O2735" s="19" t="str">
        <f t="shared" si="187"/>
        <v>600k–900k</v>
      </c>
      <c r="P2735" s="19" t="str">
        <f t="shared" si="188"/>
        <v>26-35</v>
      </c>
    </row>
    <row r="2736" spans="1:16" x14ac:dyDescent="0.25">
      <c r="A2736">
        <v>2735</v>
      </c>
      <c r="B2736" t="s">
        <v>9</v>
      </c>
      <c r="C2736">
        <v>1109112</v>
      </c>
      <c r="D2736" t="s">
        <v>10</v>
      </c>
      <c r="E2736" t="s">
        <v>11</v>
      </c>
      <c r="F2736" t="s">
        <v>12</v>
      </c>
      <c r="G2736" t="s">
        <v>13</v>
      </c>
      <c r="H2736" t="s">
        <v>13</v>
      </c>
      <c r="I2736">
        <v>32</v>
      </c>
      <c r="J2736" t="str" cm="1">
        <f t="array" ref="J2736">_xlfn.IFS(ISBLANK(C2736),"FALTANTE",ABS((C2736-$W$5)/$X$5)&gt;1.96,"ATÍPICO",ABS((C2736-$W$5)/$X$5)&lt;=1.96,"NO ATÍPICO")</f>
        <v>NO ATÍPICO</v>
      </c>
      <c r="K2736" t="str" cm="1">
        <f t="array" ref="K2736">_xlfn.IFS(ISBLANK(I2736),"FALTANTE",ABS((I2736-$W$8)/$X$8)&gt;1.92,"ATÍPICO",ABS((I2736-$W$8)/$X$8)&lt;=1.92,"NO ATÍPICO")</f>
        <v>NO ATÍPICO</v>
      </c>
      <c r="L2736">
        <f t="shared" si="185"/>
        <v>1109112</v>
      </c>
      <c r="M2736" t="str">
        <f t="shared" si="185"/>
        <v>ASALARIADO</v>
      </c>
      <c r="N2736">
        <f t="shared" si="186"/>
        <v>32</v>
      </c>
      <c r="O2736" s="19" t="str">
        <f t="shared" si="187"/>
        <v>900k–1200k</v>
      </c>
      <c r="P2736" s="19" t="str">
        <f t="shared" si="188"/>
        <v>26-35</v>
      </c>
    </row>
    <row r="2737" spans="1:16" x14ac:dyDescent="0.25">
      <c r="A2737">
        <v>2736</v>
      </c>
      <c r="B2737" t="s">
        <v>9</v>
      </c>
      <c r="C2737">
        <v>356025</v>
      </c>
      <c r="D2737" t="s">
        <v>10</v>
      </c>
      <c r="E2737" t="s">
        <v>16</v>
      </c>
      <c r="F2737" t="s">
        <v>12</v>
      </c>
      <c r="G2737" t="s">
        <v>13</v>
      </c>
      <c r="H2737" t="s">
        <v>13</v>
      </c>
      <c r="I2737">
        <v>22</v>
      </c>
      <c r="J2737" t="str" cm="1">
        <f t="array" ref="J2737">_xlfn.IFS(ISBLANK(C2737),"FALTANTE",ABS((C2737-$W$5)/$X$5)&gt;1.96,"ATÍPICO",ABS((C2737-$W$5)/$X$5)&lt;=1.96,"NO ATÍPICO")</f>
        <v>NO ATÍPICO</v>
      </c>
      <c r="K2737" t="str" cm="1">
        <f t="array" ref="K2737">_xlfn.IFS(ISBLANK(I2737),"FALTANTE",ABS((I2737-$W$8)/$X$8)&gt;1.92,"ATÍPICO",ABS((I2737-$W$8)/$X$8)&lt;=1.92,"NO ATÍPICO")</f>
        <v>NO ATÍPICO</v>
      </c>
      <c r="L2737">
        <f t="shared" si="185"/>
        <v>356025</v>
      </c>
      <c r="M2737" t="str">
        <f t="shared" si="185"/>
        <v>ASALARIADO</v>
      </c>
      <c r="N2737">
        <f t="shared" si="186"/>
        <v>22</v>
      </c>
      <c r="O2737" s="19" t="str">
        <f t="shared" si="187"/>
        <v>300k–600k</v>
      </c>
      <c r="P2737" s="19" t="str">
        <f t="shared" si="188"/>
        <v>18-25</v>
      </c>
    </row>
    <row r="2738" spans="1:16" x14ac:dyDescent="0.25">
      <c r="A2738">
        <v>2737</v>
      </c>
      <c r="B2738" t="s">
        <v>9</v>
      </c>
      <c r="C2738">
        <v>513238.95</v>
      </c>
      <c r="D2738" t="s">
        <v>10</v>
      </c>
      <c r="E2738" t="s">
        <v>16</v>
      </c>
      <c r="F2738" t="s">
        <v>12</v>
      </c>
      <c r="G2738" t="s">
        <v>13</v>
      </c>
      <c r="H2738" t="s">
        <v>13</v>
      </c>
      <c r="I2738">
        <v>34</v>
      </c>
      <c r="J2738" t="str" cm="1">
        <f t="array" ref="J2738">_xlfn.IFS(ISBLANK(C2738),"FALTANTE",ABS((C2738-$W$5)/$X$5)&gt;1.96,"ATÍPICO",ABS((C2738-$W$5)/$X$5)&lt;=1.96,"NO ATÍPICO")</f>
        <v>NO ATÍPICO</v>
      </c>
      <c r="K2738" t="str" cm="1">
        <f t="array" ref="K2738">_xlfn.IFS(ISBLANK(I2738),"FALTANTE",ABS((I2738-$W$8)/$X$8)&gt;1.92,"ATÍPICO",ABS((I2738-$W$8)/$X$8)&lt;=1.92,"NO ATÍPICO")</f>
        <v>NO ATÍPICO</v>
      </c>
      <c r="L2738">
        <f t="shared" si="185"/>
        <v>513238.95</v>
      </c>
      <c r="M2738" t="str">
        <f t="shared" si="185"/>
        <v>ASALARIADO</v>
      </c>
      <c r="N2738">
        <f t="shared" si="186"/>
        <v>34</v>
      </c>
      <c r="O2738" s="19" t="str">
        <f t="shared" si="187"/>
        <v>300k–600k</v>
      </c>
      <c r="P2738" s="19" t="str">
        <f t="shared" si="188"/>
        <v>26-35</v>
      </c>
    </row>
    <row r="2739" spans="1:16" x14ac:dyDescent="0.25">
      <c r="A2739">
        <v>2738</v>
      </c>
      <c r="B2739" t="s">
        <v>9</v>
      </c>
      <c r="C2739">
        <v>278030</v>
      </c>
      <c r="D2739" t="s">
        <v>21</v>
      </c>
      <c r="E2739" t="s">
        <v>16</v>
      </c>
      <c r="F2739" t="s">
        <v>12</v>
      </c>
      <c r="G2739" t="s">
        <v>12</v>
      </c>
      <c r="H2739" t="s">
        <v>13</v>
      </c>
      <c r="I2739">
        <v>27</v>
      </c>
      <c r="J2739" t="str" cm="1">
        <f t="array" ref="J2739">_xlfn.IFS(ISBLANK(C2739),"FALTANTE",ABS((C2739-$W$5)/$X$5)&gt;1.96,"ATÍPICO",ABS((C2739-$W$5)/$X$5)&lt;=1.96,"NO ATÍPICO")</f>
        <v>NO ATÍPICO</v>
      </c>
      <c r="K2739" t="str" cm="1">
        <f t="array" ref="K2739">_xlfn.IFS(ISBLANK(I2739),"FALTANTE",ABS((I2739-$W$8)/$X$8)&gt;1.92,"ATÍPICO",ABS((I2739-$W$8)/$X$8)&lt;=1.92,"NO ATÍPICO")</f>
        <v>NO ATÍPICO</v>
      </c>
      <c r="L2739">
        <f t="shared" si="185"/>
        <v>278030</v>
      </c>
      <c r="M2739" t="str">
        <f t="shared" si="185"/>
        <v>CONVENIOS ESPECIALES DE ASEGURADOS VOLUNTARIOS</v>
      </c>
      <c r="N2739">
        <f t="shared" si="186"/>
        <v>27</v>
      </c>
      <c r="O2739" s="19" t="str">
        <f t="shared" si="187"/>
        <v>0–300k</v>
      </c>
      <c r="P2739" s="19" t="str">
        <f t="shared" si="188"/>
        <v>26-35</v>
      </c>
    </row>
    <row r="2740" spans="1:16" x14ac:dyDescent="0.25">
      <c r="A2740">
        <v>2739</v>
      </c>
      <c r="B2740" t="s">
        <v>15</v>
      </c>
      <c r="C2740">
        <v>141510.17000000001</v>
      </c>
      <c r="D2740" t="s">
        <v>14</v>
      </c>
      <c r="E2740" t="s">
        <v>11</v>
      </c>
      <c r="F2740" t="s">
        <v>12</v>
      </c>
      <c r="G2740" t="s">
        <v>13</v>
      </c>
      <c r="H2740" t="s">
        <v>13</v>
      </c>
      <c r="I2740">
        <v>85</v>
      </c>
      <c r="J2740" t="str" cm="1">
        <f t="array" ref="J2740">_xlfn.IFS(ISBLANK(C2740),"FALTANTE",ABS((C2740-$W$5)/$X$5)&gt;1.96,"ATÍPICO",ABS((C2740-$W$5)/$X$5)&lt;=1.96,"NO ATÍPICO")</f>
        <v>NO ATÍPICO</v>
      </c>
      <c r="K2740" t="str" cm="1">
        <f t="array" ref="K2740">_xlfn.IFS(ISBLANK(I2740),"FALTANTE",ABS((I2740-$W$8)/$X$8)&gt;1.92,"ATÍPICO",ABS((I2740-$W$8)/$X$8)&lt;=1.92,"NO ATÍPICO")</f>
        <v>ATÍPICO</v>
      </c>
      <c r="L2740">
        <f t="shared" si="185"/>
        <v>141510.17000000001</v>
      </c>
      <c r="M2740" t="str">
        <f t="shared" si="185"/>
        <v>PENSIONADOS EN SU PROPIO SISTEMA</v>
      </c>
      <c r="N2740">
        <f t="shared" si="186"/>
        <v>85</v>
      </c>
      <c r="O2740" s="19" t="str">
        <f t="shared" si="187"/>
        <v>0–300k</v>
      </c>
      <c r="P2740" s="19" t="str">
        <f t="shared" si="188"/>
        <v>56+</v>
      </c>
    </row>
    <row r="2741" spans="1:16" x14ac:dyDescent="0.25">
      <c r="A2741">
        <v>2740</v>
      </c>
      <c r="B2741" t="s">
        <v>15</v>
      </c>
      <c r="C2741">
        <v>135000</v>
      </c>
      <c r="D2741" t="s">
        <v>10</v>
      </c>
      <c r="E2741" t="s">
        <v>16</v>
      </c>
      <c r="F2741" t="s">
        <v>12</v>
      </c>
      <c r="G2741" t="s">
        <v>13</v>
      </c>
      <c r="H2741" t="s">
        <v>12</v>
      </c>
      <c r="I2741">
        <v>37</v>
      </c>
      <c r="J2741" t="str" cm="1">
        <f t="array" ref="J2741">_xlfn.IFS(ISBLANK(C2741),"FALTANTE",ABS((C2741-$W$5)/$X$5)&gt;1.96,"ATÍPICO",ABS((C2741-$W$5)/$X$5)&lt;=1.96,"NO ATÍPICO")</f>
        <v>NO ATÍPICO</v>
      </c>
      <c r="K2741" t="str" cm="1">
        <f t="array" ref="K2741">_xlfn.IFS(ISBLANK(I2741),"FALTANTE",ABS((I2741-$W$8)/$X$8)&gt;1.92,"ATÍPICO",ABS((I2741-$W$8)/$X$8)&lt;=1.92,"NO ATÍPICO")</f>
        <v>NO ATÍPICO</v>
      </c>
      <c r="L2741">
        <f t="shared" si="185"/>
        <v>135000</v>
      </c>
      <c r="M2741" t="str">
        <f t="shared" si="185"/>
        <v>ASALARIADO</v>
      </c>
      <c r="N2741">
        <f t="shared" si="186"/>
        <v>37</v>
      </c>
      <c r="O2741" s="19" t="str">
        <f t="shared" si="187"/>
        <v>0–300k</v>
      </c>
      <c r="P2741" s="19" t="str">
        <f t="shared" si="188"/>
        <v>36-45</v>
      </c>
    </row>
    <row r="2742" spans="1:16" x14ac:dyDescent="0.25">
      <c r="A2742">
        <v>2741</v>
      </c>
      <c r="B2742" t="s">
        <v>9</v>
      </c>
      <c r="C2742">
        <v>6787104.5199999996</v>
      </c>
      <c r="D2742" t="s">
        <v>10</v>
      </c>
      <c r="E2742" t="s">
        <v>11</v>
      </c>
      <c r="F2742" t="s">
        <v>12</v>
      </c>
      <c r="G2742" t="s">
        <v>13</v>
      </c>
      <c r="H2742" t="s">
        <v>13</v>
      </c>
      <c r="I2742">
        <v>56</v>
      </c>
      <c r="J2742" t="str" cm="1">
        <f t="array" ref="J2742">_xlfn.IFS(ISBLANK(C2742),"FALTANTE",ABS((C2742-$W$5)/$X$5)&gt;1.96,"ATÍPICO",ABS((C2742-$W$5)/$X$5)&lt;=1.96,"NO ATÍPICO")</f>
        <v>ATÍPICO</v>
      </c>
      <c r="K2742" t="str" cm="1">
        <f t="array" ref="K2742">_xlfn.IFS(ISBLANK(I2742),"FALTANTE",ABS((I2742-$W$8)/$X$8)&gt;1.92,"ATÍPICO",ABS((I2742-$W$8)/$X$8)&lt;=1.92,"NO ATÍPICO")</f>
        <v>NO ATÍPICO</v>
      </c>
      <c r="L2742">
        <f t="shared" si="185"/>
        <v>6787104.5199999996</v>
      </c>
      <c r="M2742" t="str">
        <f t="shared" si="185"/>
        <v>ASALARIADO</v>
      </c>
      <c r="N2742">
        <f t="shared" si="186"/>
        <v>56</v>
      </c>
      <c r="O2742" s="19" t="str">
        <f t="shared" si="187"/>
        <v>1200k+</v>
      </c>
      <c r="P2742" s="19" t="str">
        <f t="shared" si="188"/>
        <v>56+</v>
      </c>
    </row>
    <row r="2743" spans="1:16" x14ac:dyDescent="0.25">
      <c r="A2743">
        <v>2742</v>
      </c>
      <c r="B2743" t="s">
        <v>15</v>
      </c>
      <c r="C2743">
        <v>777494.45</v>
      </c>
      <c r="D2743" t="s">
        <v>10</v>
      </c>
      <c r="E2743" t="s">
        <v>11</v>
      </c>
      <c r="F2743" t="s">
        <v>12</v>
      </c>
      <c r="G2743" t="s">
        <v>13</v>
      </c>
      <c r="H2743" t="s">
        <v>13</v>
      </c>
      <c r="I2743">
        <v>32</v>
      </c>
      <c r="J2743" t="str" cm="1">
        <f t="array" ref="J2743">_xlfn.IFS(ISBLANK(C2743),"FALTANTE",ABS((C2743-$W$5)/$X$5)&gt;1.96,"ATÍPICO",ABS((C2743-$W$5)/$X$5)&lt;=1.96,"NO ATÍPICO")</f>
        <v>NO ATÍPICO</v>
      </c>
      <c r="K2743" t="str" cm="1">
        <f t="array" ref="K2743">_xlfn.IFS(ISBLANK(I2743),"FALTANTE",ABS((I2743-$W$8)/$X$8)&gt;1.92,"ATÍPICO",ABS((I2743-$W$8)/$X$8)&lt;=1.92,"NO ATÍPICO")</f>
        <v>NO ATÍPICO</v>
      </c>
      <c r="L2743">
        <f t="shared" si="185"/>
        <v>777494.45</v>
      </c>
      <c r="M2743" t="str">
        <f t="shared" si="185"/>
        <v>ASALARIADO</v>
      </c>
      <c r="N2743">
        <f t="shared" si="186"/>
        <v>32</v>
      </c>
      <c r="O2743" s="19" t="str">
        <f t="shared" si="187"/>
        <v>600k–900k</v>
      </c>
      <c r="P2743" s="19" t="str">
        <f t="shared" si="188"/>
        <v>26-35</v>
      </c>
    </row>
    <row r="2744" spans="1:16" x14ac:dyDescent="0.25">
      <c r="A2744">
        <v>2743</v>
      </c>
      <c r="B2744" t="s">
        <v>9</v>
      </c>
      <c r="C2744">
        <v>550491</v>
      </c>
      <c r="D2744" t="s">
        <v>10</v>
      </c>
      <c r="E2744" t="s">
        <v>16</v>
      </c>
      <c r="F2744" t="s">
        <v>12</v>
      </c>
      <c r="G2744" t="s">
        <v>13</v>
      </c>
      <c r="H2744" t="s">
        <v>13</v>
      </c>
      <c r="I2744">
        <v>45</v>
      </c>
      <c r="J2744" t="str" cm="1">
        <f t="array" ref="J2744">_xlfn.IFS(ISBLANK(C2744),"FALTANTE",ABS((C2744-$W$5)/$X$5)&gt;1.96,"ATÍPICO",ABS((C2744-$W$5)/$X$5)&lt;=1.96,"NO ATÍPICO")</f>
        <v>NO ATÍPICO</v>
      </c>
      <c r="K2744" t="str" cm="1">
        <f t="array" ref="K2744">_xlfn.IFS(ISBLANK(I2744),"FALTANTE",ABS((I2744-$W$8)/$X$8)&gt;1.92,"ATÍPICO",ABS((I2744-$W$8)/$X$8)&lt;=1.92,"NO ATÍPICO")</f>
        <v>NO ATÍPICO</v>
      </c>
      <c r="L2744">
        <f t="shared" si="185"/>
        <v>550491</v>
      </c>
      <c r="M2744" t="str">
        <f t="shared" si="185"/>
        <v>ASALARIADO</v>
      </c>
      <c r="N2744">
        <f t="shared" si="186"/>
        <v>45</v>
      </c>
      <c r="O2744" s="19" t="str">
        <f t="shared" si="187"/>
        <v>300k–600k</v>
      </c>
      <c r="P2744" s="19" t="str">
        <f t="shared" si="188"/>
        <v>36-45</v>
      </c>
    </row>
    <row r="2745" spans="1:16" x14ac:dyDescent="0.25">
      <c r="A2745">
        <v>2744</v>
      </c>
      <c r="B2745" t="s">
        <v>15</v>
      </c>
      <c r="C2745">
        <v>298018</v>
      </c>
      <c r="D2745" t="s">
        <v>17</v>
      </c>
      <c r="E2745" t="s">
        <v>16</v>
      </c>
      <c r="F2745" t="s">
        <v>12</v>
      </c>
      <c r="G2745" t="s">
        <v>12</v>
      </c>
      <c r="H2745" t="s">
        <v>13</v>
      </c>
      <c r="I2745">
        <v>51</v>
      </c>
      <c r="J2745" t="str" cm="1">
        <f t="array" ref="J2745">_xlfn.IFS(ISBLANK(C2745),"FALTANTE",ABS((C2745-$W$5)/$X$5)&gt;1.96,"ATÍPICO",ABS((C2745-$W$5)/$X$5)&lt;=1.96,"NO ATÍPICO")</f>
        <v>NO ATÍPICO</v>
      </c>
      <c r="K2745" t="str" cm="1">
        <f t="array" ref="K2745">_xlfn.IFS(ISBLANK(I2745),"FALTANTE",ABS((I2745-$W$8)/$X$8)&gt;1.92,"ATÍPICO",ABS((I2745-$W$8)/$X$8)&lt;=1.92,"NO ATÍPICO")</f>
        <v>NO ATÍPICO</v>
      </c>
      <c r="L2745">
        <f t="shared" si="185"/>
        <v>298018</v>
      </c>
      <c r="M2745" t="str">
        <f t="shared" si="185"/>
        <v>ASEGURADO VOLUNTARIO</v>
      </c>
      <c r="N2745">
        <f t="shared" si="186"/>
        <v>51</v>
      </c>
      <c r="O2745" s="19" t="str">
        <f t="shared" si="187"/>
        <v>0–300k</v>
      </c>
      <c r="P2745" s="19" t="str">
        <f t="shared" si="188"/>
        <v>46-55</v>
      </c>
    </row>
    <row r="2746" spans="1:16" x14ac:dyDescent="0.25">
      <c r="A2746">
        <v>2745</v>
      </c>
      <c r="B2746" t="s">
        <v>9</v>
      </c>
      <c r="C2746">
        <v>802400</v>
      </c>
      <c r="D2746" t="s">
        <v>10</v>
      </c>
      <c r="E2746" t="s">
        <v>16</v>
      </c>
      <c r="F2746" t="s">
        <v>12</v>
      </c>
      <c r="G2746" t="s">
        <v>13</v>
      </c>
      <c r="H2746" t="s">
        <v>13</v>
      </c>
      <c r="I2746">
        <v>39</v>
      </c>
      <c r="J2746" t="str" cm="1">
        <f t="array" ref="J2746">_xlfn.IFS(ISBLANK(C2746),"FALTANTE",ABS((C2746-$W$5)/$X$5)&gt;1.96,"ATÍPICO",ABS((C2746-$W$5)/$X$5)&lt;=1.96,"NO ATÍPICO")</f>
        <v>NO ATÍPICO</v>
      </c>
      <c r="K2746" t="str" cm="1">
        <f t="array" ref="K2746">_xlfn.IFS(ISBLANK(I2746),"FALTANTE",ABS((I2746-$W$8)/$X$8)&gt;1.92,"ATÍPICO",ABS((I2746-$W$8)/$X$8)&lt;=1.92,"NO ATÍPICO")</f>
        <v>NO ATÍPICO</v>
      </c>
      <c r="L2746">
        <f t="shared" si="185"/>
        <v>802400</v>
      </c>
      <c r="M2746" t="str">
        <f t="shared" si="185"/>
        <v>ASALARIADO</v>
      </c>
      <c r="N2746">
        <f t="shared" si="186"/>
        <v>39</v>
      </c>
      <c r="O2746" s="19" t="str">
        <f t="shared" si="187"/>
        <v>600k–900k</v>
      </c>
      <c r="P2746" s="19" t="str">
        <f t="shared" si="188"/>
        <v>36-45</v>
      </c>
    </row>
    <row r="2747" spans="1:16" x14ac:dyDescent="0.25">
      <c r="A2747">
        <v>2746</v>
      </c>
      <c r="B2747" t="s">
        <v>15</v>
      </c>
      <c r="C2747">
        <v>270000</v>
      </c>
      <c r="D2747" t="s">
        <v>10</v>
      </c>
      <c r="E2747" t="s">
        <v>16</v>
      </c>
      <c r="F2747" t="s">
        <v>12</v>
      </c>
      <c r="G2747" t="s">
        <v>12</v>
      </c>
      <c r="H2747" t="s">
        <v>13</v>
      </c>
      <c r="I2747">
        <v>28</v>
      </c>
      <c r="J2747" t="str" cm="1">
        <f t="array" ref="J2747">_xlfn.IFS(ISBLANK(C2747),"FALTANTE",ABS((C2747-$W$5)/$X$5)&gt;1.96,"ATÍPICO",ABS((C2747-$W$5)/$X$5)&lt;=1.96,"NO ATÍPICO")</f>
        <v>NO ATÍPICO</v>
      </c>
      <c r="K2747" t="str" cm="1">
        <f t="array" ref="K2747">_xlfn.IFS(ISBLANK(I2747),"FALTANTE",ABS((I2747-$W$8)/$X$8)&gt;1.92,"ATÍPICO",ABS((I2747-$W$8)/$X$8)&lt;=1.92,"NO ATÍPICO")</f>
        <v>NO ATÍPICO</v>
      </c>
      <c r="L2747">
        <f t="shared" si="185"/>
        <v>270000</v>
      </c>
      <c r="M2747" t="str">
        <f t="shared" si="185"/>
        <v>ASALARIADO</v>
      </c>
      <c r="N2747">
        <f t="shared" si="186"/>
        <v>28</v>
      </c>
      <c r="O2747" s="19" t="str">
        <f t="shared" si="187"/>
        <v>0–300k</v>
      </c>
      <c r="P2747" s="19" t="str">
        <f t="shared" si="188"/>
        <v>26-35</v>
      </c>
    </row>
    <row r="2748" spans="1:16" x14ac:dyDescent="0.25">
      <c r="A2748">
        <v>2747</v>
      </c>
      <c r="B2748" t="s">
        <v>9</v>
      </c>
      <c r="C2748">
        <v>296700</v>
      </c>
      <c r="D2748" t="s">
        <v>10</v>
      </c>
      <c r="E2748" t="s">
        <v>16</v>
      </c>
      <c r="F2748" t="s">
        <v>12</v>
      </c>
      <c r="G2748" t="s">
        <v>13</v>
      </c>
      <c r="H2748" t="s">
        <v>13</v>
      </c>
      <c r="I2748">
        <v>31</v>
      </c>
      <c r="J2748" t="str" cm="1">
        <f t="array" ref="J2748">_xlfn.IFS(ISBLANK(C2748),"FALTANTE",ABS((C2748-$W$5)/$X$5)&gt;1.96,"ATÍPICO",ABS((C2748-$W$5)/$X$5)&lt;=1.96,"NO ATÍPICO")</f>
        <v>NO ATÍPICO</v>
      </c>
      <c r="K2748" t="str" cm="1">
        <f t="array" ref="K2748">_xlfn.IFS(ISBLANK(I2748),"FALTANTE",ABS((I2748-$W$8)/$X$8)&gt;1.92,"ATÍPICO",ABS((I2748-$W$8)/$X$8)&lt;=1.92,"NO ATÍPICO")</f>
        <v>NO ATÍPICO</v>
      </c>
      <c r="L2748">
        <f t="shared" si="185"/>
        <v>296700</v>
      </c>
      <c r="M2748" t="str">
        <f t="shared" si="185"/>
        <v>ASALARIADO</v>
      </c>
      <c r="N2748">
        <f t="shared" si="186"/>
        <v>31</v>
      </c>
      <c r="O2748" s="19" t="str">
        <f t="shared" si="187"/>
        <v>0–300k</v>
      </c>
      <c r="P2748" s="19" t="str">
        <f t="shared" si="188"/>
        <v>26-35</v>
      </c>
    </row>
    <row r="2749" spans="1:16" x14ac:dyDescent="0.25">
      <c r="A2749">
        <v>2748</v>
      </c>
      <c r="B2749" t="s">
        <v>15</v>
      </c>
      <c r="C2749">
        <v>1332247</v>
      </c>
      <c r="D2749" t="s">
        <v>10</v>
      </c>
      <c r="E2749" t="s">
        <v>11</v>
      </c>
      <c r="F2749" t="s">
        <v>12</v>
      </c>
      <c r="G2749" t="s">
        <v>13</v>
      </c>
      <c r="H2749" t="s">
        <v>13</v>
      </c>
      <c r="I2749">
        <v>33</v>
      </c>
      <c r="J2749" t="str" cm="1">
        <f t="array" ref="J2749">_xlfn.IFS(ISBLANK(C2749),"FALTANTE",ABS((C2749-$W$5)/$X$5)&gt;1.96,"ATÍPICO",ABS((C2749-$W$5)/$X$5)&lt;=1.96,"NO ATÍPICO")</f>
        <v>NO ATÍPICO</v>
      </c>
      <c r="K2749" t="str" cm="1">
        <f t="array" ref="K2749">_xlfn.IFS(ISBLANK(I2749),"FALTANTE",ABS((I2749-$W$8)/$X$8)&gt;1.92,"ATÍPICO",ABS((I2749-$W$8)/$X$8)&lt;=1.92,"NO ATÍPICO")</f>
        <v>NO ATÍPICO</v>
      </c>
      <c r="L2749">
        <f t="shared" si="185"/>
        <v>1332247</v>
      </c>
      <c r="M2749" t="str">
        <f t="shared" si="185"/>
        <v>ASALARIADO</v>
      </c>
      <c r="N2749">
        <f t="shared" si="186"/>
        <v>33</v>
      </c>
      <c r="O2749" s="19" t="str">
        <f t="shared" si="187"/>
        <v>1200k+</v>
      </c>
      <c r="P2749" s="19" t="str">
        <f t="shared" si="188"/>
        <v>26-35</v>
      </c>
    </row>
    <row r="2750" spans="1:16" x14ac:dyDescent="0.25">
      <c r="A2750">
        <v>2749</v>
      </c>
      <c r="B2750" t="s">
        <v>15</v>
      </c>
      <c r="C2750">
        <v>327400</v>
      </c>
      <c r="D2750" t="s">
        <v>10</v>
      </c>
      <c r="E2750" t="s">
        <v>16</v>
      </c>
      <c r="F2750" t="s">
        <v>12</v>
      </c>
      <c r="G2750" t="s">
        <v>13</v>
      </c>
      <c r="H2750" t="s">
        <v>13</v>
      </c>
      <c r="I2750">
        <v>35</v>
      </c>
      <c r="J2750" t="str" cm="1">
        <f t="array" ref="J2750">_xlfn.IFS(ISBLANK(C2750),"FALTANTE",ABS((C2750-$W$5)/$X$5)&gt;1.96,"ATÍPICO",ABS((C2750-$W$5)/$X$5)&lt;=1.96,"NO ATÍPICO")</f>
        <v>NO ATÍPICO</v>
      </c>
      <c r="K2750" t="str" cm="1">
        <f t="array" ref="K2750">_xlfn.IFS(ISBLANK(I2750),"FALTANTE",ABS((I2750-$W$8)/$X$8)&gt;1.92,"ATÍPICO",ABS((I2750-$W$8)/$X$8)&lt;=1.92,"NO ATÍPICO")</f>
        <v>NO ATÍPICO</v>
      </c>
      <c r="L2750">
        <f t="shared" si="185"/>
        <v>327400</v>
      </c>
      <c r="M2750" t="str">
        <f t="shared" si="185"/>
        <v>ASALARIADO</v>
      </c>
      <c r="N2750">
        <f t="shared" si="186"/>
        <v>35</v>
      </c>
      <c r="O2750" s="19" t="str">
        <f t="shared" si="187"/>
        <v>300k–600k</v>
      </c>
      <c r="P2750" s="19" t="str">
        <f t="shared" si="188"/>
        <v>26-35</v>
      </c>
    </row>
    <row r="2751" spans="1:16" x14ac:dyDescent="0.25">
      <c r="A2751">
        <v>2750</v>
      </c>
      <c r="B2751" t="s">
        <v>9</v>
      </c>
      <c r="C2751">
        <v>454803</v>
      </c>
      <c r="D2751" t="s">
        <v>10</v>
      </c>
      <c r="E2751" t="s">
        <v>16</v>
      </c>
      <c r="F2751" t="s">
        <v>12</v>
      </c>
      <c r="G2751" t="s">
        <v>13</v>
      </c>
      <c r="H2751" t="s">
        <v>13</v>
      </c>
      <c r="I2751">
        <v>26</v>
      </c>
      <c r="J2751" t="str" cm="1">
        <f t="array" ref="J2751">_xlfn.IFS(ISBLANK(C2751),"FALTANTE",ABS((C2751-$W$5)/$X$5)&gt;1.96,"ATÍPICO",ABS((C2751-$W$5)/$X$5)&lt;=1.96,"NO ATÍPICO")</f>
        <v>NO ATÍPICO</v>
      </c>
      <c r="K2751" t="str" cm="1">
        <f t="array" ref="K2751">_xlfn.IFS(ISBLANK(I2751),"FALTANTE",ABS((I2751-$W$8)/$X$8)&gt;1.92,"ATÍPICO",ABS((I2751-$W$8)/$X$8)&lt;=1.92,"NO ATÍPICO")</f>
        <v>NO ATÍPICO</v>
      </c>
      <c r="L2751">
        <f t="shared" si="185"/>
        <v>454803</v>
      </c>
      <c r="M2751" t="str">
        <f t="shared" si="185"/>
        <v>ASALARIADO</v>
      </c>
      <c r="N2751">
        <f t="shared" si="186"/>
        <v>26</v>
      </c>
      <c r="O2751" s="19" t="str">
        <f t="shared" si="187"/>
        <v>300k–600k</v>
      </c>
      <c r="P2751" s="19" t="str">
        <f t="shared" si="188"/>
        <v>26-35</v>
      </c>
    </row>
    <row r="2752" spans="1:16" x14ac:dyDescent="0.25">
      <c r="A2752">
        <v>2751</v>
      </c>
      <c r="B2752" t="s">
        <v>15</v>
      </c>
      <c r="C2752">
        <v>297045</v>
      </c>
      <c r="D2752" t="s">
        <v>18</v>
      </c>
      <c r="E2752" t="s">
        <v>16</v>
      </c>
      <c r="F2752" t="s">
        <v>12</v>
      </c>
      <c r="G2752" t="s">
        <v>13</v>
      </c>
      <c r="H2752" t="s">
        <v>13</v>
      </c>
      <c r="I2752">
        <v>53</v>
      </c>
      <c r="J2752" t="str" cm="1">
        <f t="array" ref="J2752">_xlfn.IFS(ISBLANK(C2752),"FALTANTE",ABS((C2752-$W$5)/$X$5)&gt;1.96,"ATÍPICO",ABS((C2752-$W$5)/$X$5)&lt;=1.96,"NO ATÍPICO")</f>
        <v>NO ATÍPICO</v>
      </c>
      <c r="K2752" t="str" cm="1">
        <f t="array" ref="K2752">_xlfn.IFS(ISBLANK(I2752),"FALTANTE",ABS((I2752-$W$8)/$X$8)&gt;1.92,"ATÍPICO",ABS((I2752-$W$8)/$X$8)&lt;=1.92,"NO ATÍPICO")</f>
        <v>NO ATÍPICO</v>
      </c>
      <c r="L2752">
        <f t="shared" si="185"/>
        <v>297045</v>
      </c>
      <c r="M2752" t="str">
        <f t="shared" si="185"/>
        <v>TRABAJADOR INDEPENDIENTE</v>
      </c>
      <c r="N2752">
        <f t="shared" si="186"/>
        <v>53</v>
      </c>
      <c r="O2752" s="19" t="str">
        <f t="shared" si="187"/>
        <v>0–300k</v>
      </c>
      <c r="P2752" s="19" t="str">
        <f t="shared" si="188"/>
        <v>46-55</v>
      </c>
    </row>
    <row r="2753" spans="1:16" x14ac:dyDescent="0.25">
      <c r="A2753">
        <v>2752</v>
      </c>
      <c r="B2753" t="s">
        <v>9</v>
      </c>
      <c r="C2753">
        <v>310544</v>
      </c>
      <c r="D2753" t="s">
        <v>18</v>
      </c>
      <c r="E2753" t="s">
        <v>16</v>
      </c>
      <c r="F2753" t="s">
        <v>12</v>
      </c>
      <c r="G2753" t="s">
        <v>13</v>
      </c>
      <c r="H2753" t="s">
        <v>12</v>
      </c>
      <c r="I2753">
        <v>42</v>
      </c>
      <c r="J2753" t="str" cm="1">
        <f t="array" ref="J2753">_xlfn.IFS(ISBLANK(C2753),"FALTANTE",ABS((C2753-$W$5)/$X$5)&gt;1.96,"ATÍPICO",ABS((C2753-$W$5)/$X$5)&lt;=1.96,"NO ATÍPICO")</f>
        <v>NO ATÍPICO</v>
      </c>
      <c r="K2753" t="str" cm="1">
        <f t="array" ref="K2753">_xlfn.IFS(ISBLANK(I2753),"FALTANTE",ABS((I2753-$W$8)/$X$8)&gt;1.92,"ATÍPICO",ABS((I2753-$W$8)/$X$8)&lt;=1.92,"NO ATÍPICO")</f>
        <v>NO ATÍPICO</v>
      </c>
      <c r="L2753">
        <f t="shared" si="185"/>
        <v>310544</v>
      </c>
      <c r="M2753" t="str">
        <f t="shared" si="185"/>
        <v>TRABAJADOR INDEPENDIENTE</v>
      </c>
      <c r="N2753">
        <f t="shared" si="186"/>
        <v>42</v>
      </c>
      <c r="O2753" s="19" t="str">
        <f t="shared" si="187"/>
        <v>300k–600k</v>
      </c>
      <c r="P2753" s="19" t="str">
        <f t="shared" si="188"/>
        <v>36-45</v>
      </c>
    </row>
    <row r="2754" spans="1:16" x14ac:dyDescent="0.25">
      <c r="A2754">
        <v>2753</v>
      </c>
      <c r="B2754" t="s">
        <v>15</v>
      </c>
      <c r="C2754">
        <v>1402150.95</v>
      </c>
      <c r="D2754" t="s">
        <v>10</v>
      </c>
      <c r="E2754" t="s">
        <v>16</v>
      </c>
      <c r="F2754" t="s">
        <v>12</v>
      </c>
      <c r="G2754" t="s">
        <v>13</v>
      </c>
      <c r="H2754" t="s">
        <v>13</v>
      </c>
      <c r="I2754">
        <v>32</v>
      </c>
      <c r="J2754" t="str" cm="1">
        <f t="array" ref="J2754">_xlfn.IFS(ISBLANK(C2754),"FALTANTE",ABS((C2754-$W$5)/$X$5)&gt;1.96,"ATÍPICO",ABS((C2754-$W$5)/$X$5)&lt;=1.96,"NO ATÍPICO")</f>
        <v>NO ATÍPICO</v>
      </c>
      <c r="K2754" t="str" cm="1">
        <f t="array" ref="K2754">_xlfn.IFS(ISBLANK(I2754),"FALTANTE",ABS((I2754-$W$8)/$X$8)&gt;1.92,"ATÍPICO",ABS((I2754-$W$8)/$X$8)&lt;=1.92,"NO ATÍPICO")</f>
        <v>NO ATÍPICO</v>
      </c>
      <c r="L2754">
        <f t="shared" ref="L2754:M2817" si="189">C2754</f>
        <v>1402150.95</v>
      </c>
      <c r="M2754" t="str">
        <f t="shared" si="189"/>
        <v>ASALARIADO</v>
      </c>
      <c r="N2754">
        <f t="shared" ref="N2754:N2817" si="190">I2754</f>
        <v>32</v>
      </c>
      <c r="O2754" s="19" t="str">
        <f t="shared" ref="O2754:O2817" si="191">IF(L2754&lt;=300000,"0–300k",IF(L2754&lt;=600000,"300k–600k",IF(L2754&lt;=900000,"600k–900k",IF(L2754&lt;=1200000,"900k–1200k","1200k+"))))</f>
        <v>1200k+</v>
      </c>
      <c r="P2754" s="19" t="str">
        <f t="shared" ref="P2754:P2817" si="192">IF(N2754 &lt;=25,"18-25", IF(N2754&lt;=35,"26-35", IF(N2754 &lt;=45,"36-45", IF(N2754&lt;=55,"46-55","56+"))))</f>
        <v>26-35</v>
      </c>
    </row>
    <row r="2755" spans="1:16" x14ac:dyDescent="0.25">
      <c r="A2755">
        <v>2754</v>
      </c>
      <c r="B2755" t="s">
        <v>15</v>
      </c>
      <c r="C2755">
        <v>812430</v>
      </c>
      <c r="D2755" t="s">
        <v>10</v>
      </c>
      <c r="E2755" t="s">
        <v>16</v>
      </c>
      <c r="F2755" t="s">
        <v>12</v>
      </c>
      <c r="G2755" t="s">
        <v>13</v>
      </c>
      <c r="H2755" t="s">
        <v>13</v>
      </c>
      <c r="I2755">
        <v>27</v>
      </c>
      <c r="J2755" t="str" cm="1">
        <f t="array" ref="J2755">_xlfn.IFS(ISBLANK(C2755),"FALTANTE",ABS((C2755-$W$5)/$X$5)&gt;1.96,"ATÍPICO",ABS((C2755-$W$5)/$X$5)&lt;=1.96,"NO ATÍPICO")</f>
        <v>NO ATÍPICO</v>
      </c>
      <c r="K2755" t="str" cm="1">
        <f t="array" ref="K2755">_xlfn.IFS(ISBLANK(I2755),"FALTANTE",ABS((I2755-$W$8)/$X$8)&gt;1.92,"ATÍPICO",ABS((I2755-$W$8)/$X$8)&lt;=1.92,"NO ATÍPICO")</f>
        <v>NO ATÍPICO</v>
      </c>
      <c r="L2755">
        <f t="shared" si="189"/>
        <v>812430</v>
      </c>
      <c r="M2755" t="str">
        <f t="shared" si="189"/>
        <v>ASALARIADO</v>
      </c>
      <c r="N2755">
        <f t="shared" si="190"/>
        <v>27</v>
      </c>
      <c r="O2755" s="19" t="str">
        <f t="shared" si="191"/>
        <v>600k–900k</v>
      </c>
      <c r="P2755" s="19" t="str">
        <f t="shared" si="192"/>
        <v>26-35</v>
      </c>
    </row>
    <row r="2756" spans="1:16" x14ac:dyDescent="0.25">
      <c r="A2756">
        <v>2755</v>
      </c>
      <c r="B2756" t="s">
        <v>9</v>
      </c>
      <c r="C2756">
        <v>610243.4</v>
      </c>
      <c r="D2756" t="s">
        <v>10</v>
      </c>
      <c r="E2756" t="s">
        <v>16</v>
      </c>
      <c r="F2756" t="s">
        <v>12</v>
      </c>
      <c r="G2756" t="s">
        <v>13</v>
      </c>
      <c r="H2756" t="s">
        <v>13</v>
      </c>
      <c r="I2756">
        <v>52</v>
      </c>
      <c r="J2756" t="str" cm="1">
        <f t="array" ref="J2756">_xlfn.IFS(ISBLANK(C2756),"FALTANTE",ABS((C2756-$W$5)/$X$5)&gt;1.96,"ATÍPICO",ABS((C2756-$W$5)/$X$5)&lt;=1.96,"NO ATÍPICO")</f>
        <v>NO ATÍPICO</v>
      </c>
      <c r="K2756" t="str" cm="1">
        <f t="array" ref="K2756">_xlfn.IFS(ISBLANK(I2756),"FALTANTE",ABS((I2756-$W$8)/$X$8)&gt;1.92,"ATÍPICO",ABS((I2756-$W$8)/$X$8)&lt;=1.92,"NO ATÍPICO")</f>
        <v>NO ATÍPICO</v>
      </c>
      <c r="L2756">
        <f t="shared" si="189"/>
        <v>610243.4</v>
      </c>
      <c r="M2756" t="str">
        <f t="shared" si="189"/>
        <v>ASALARIADO</v>
      </c>
      <c r="N2756">
        <f t="shared" si="190"/>
        <v>52</v>
      </c>
      <c r="O2756" s="19" t="str">
        <f t="shared" si="191"/>
        <v>600k–900k</v>
      </c>
      <c r="P2756" s="19" t="str">
        <f t="shared" si="192"/>
        <v>46-55</v>
      </c>
    </row>
    <row r="2757" spans="1:16" x14ac:dyDescent="0.25">
      <c r="A2757">
        <v>2756</v>
      </c>
      <c r="B2757" t="s">
        <v>9</v>
      </c>
      <c r="C2757">
        <v>129133.33</v>
      </c>
      <c r="D2757" t="s">
        <v>10</v>
      </c>
      <c r="E2757" t="s">
        <v>16</v>
      </c>
      <c r="F2757" t="s">
        <v>12</v>
      </c>
      <c r="G2757" t="s">
        <v>13</v>
      </c>
      <c r="H2757" t="s">
        <v>13</v>
      </c>
      <c r="I2757">
        <v>35</v>
      </c>
      <c r="J2757" t="str" cm="1">
        <f t="array" ref="J2757">_xlfn.IFS(ISBLANK(C2757),"FALTANTE",ABS((C2757-$W$5)/$X$5)&gt;1.96,"ATÍPICO",ABS((C2757-$W$5)/$X$5)&lt;=1.96,"NO ATÍPICO")</f>
        <v>NO ATÍPICO</v>
      </c>
      <c r="K2757" t="str" cm="1">
        <f t="array" ref="K2757">_xlfn.IFS(ISBLANK(I2757),"FALTANTE",ABS((I2757-$W$8)/$X$8)&gt;1.92,"ATÍPICO",ABS((I2757-$W$8)/$X$8)&lt;=1.92,"NO ATÍPICO")</f>
        <v>NO ATÍPICO</v>
      </c>
      <c r="L2757">
        <f t="shared" si="189"/>
        <v>129133.33</v>
      </c>
      <c r="M2757" t="str">
        <f t="shared" si="189"/>
        <v>ASALARIADO</v>
      </c>
      <c r="N2757">
        <f t="shared" si="190"/>
        <v>35</v>
      </c>
      <c r="O2757" s="19" t="str">
        <f t="shared" si="191"/>
        <v>0–300k</v>
      </c>
      <c r="P2757" s="19" t="str">
        <f t="shared" si="192"/>
        <v>26-35</v>
      </c>
    </row>
    <row r="2758" spans="1:16" x14ac:dyDescent="0.25">
      <c r="A2758">
        <v>2757</v>
      </c>
      <c r="B2758" t="s">
        <v>9</v>
      </c>
      <c r="C2758">
        <v>1119534</v>
      </c>
      <c r="D2758" t="s">
        <v>18</v>
      </c>
      <c r="E2758" t="s">
        <v>16</v>
      </c>
      <c r="F2758" t="s">
        <v>12</v>
      </c>
      <c r="G2758" t="s">
        <v>12</v>
      </c>
      <c r="H2758" t="s">
        <v>12</v>
      </c>
      <c r="I2758">
        <v>53</v>
      </c>
      <c r="J2758" t="str" cm="1">
        <f t="array" ref="J2758">_xlfn.IFS(ISBLANK(C2758),"FALTANTE",ABS((C2758-$W$5)/$X$5)&gt;1.96,"ATÍPICO",ABS((C2758-$W$5)/$X$5)&lt;=1.96,"NO ATÍPICO")</f>
        <v>NO ATÍPICO</v>
      </c>
      <c r="K2758" t="str" cm="1">
        <f t="array" ref="K2758">_xlfn.IFS(ISBLANK(I2758),"FALTANTE",ABS((I2758-$W$8)/$X$8)&gt;1.92,"ATÍPICO",ABS((I2758-$W$8)/$X$8)&lt;=1.92,"NO ATÍPICO")</f>
        <v>NO ATÍPICO</v>
      </c>
      <c r="L2758">
        <f t="shared" si="189"/>
        <v>1119534</v>
      </c>
      <c r="M2758" t="str">
        <f t="shared" si="189"/>
        <v>TRABAJADOR INDEPENDIENTE</v>
      </c>
      <c r="N2758">
        <f t="shared" si="190"/>
        <v>53</v>
      </c>
      <c r="O2758" s="19" t="str">
        <f t="shared" si="191"/>
        <v>900k–1200k</v>
      </c>
      <c r="P2758" s="19" t="str">
        <f t="shared" si="192"/>
        <v>46-55</v>
      </c>
    </row>
    <row r="2759" spans="1:16" x14ac:dyDescent="0.25">
      <c r="A2759">
        <v>2758</v>
      </c>
      <c r="B2759" t="s">
        <v>15</v>
      </c>
      <c r="C2759">
        <v>302010</v>
      </c>
      <c r="D2759" t="s">
        <v>18</v>
      </c>
      <c r="E2759" t="s">
        <v>16</v>
      </c>
      <c r="F2759" t="s">
        <v>12</v>
      </c>
      <c r="G2759" t="s">
        <v>13</v>
      </c>
      <c r="H2759" t="s">
        <v>13</v>
      </c>
      <c r="I2759">
        <v>24</v>
      </c>
      <c r="J2759" t="str" cm="1">
        <f t="array" ref="J2759">_xlfn.IFS(ISBLANK(C2759),"FALTANTE",ABS((C2759-$W$5)/$X$5)&gt;1.96,"ATÍPICO",ABS((C2759-$W$5)/$X$5)&lt;=1.96,"NO ATÍPICO")</f>
        <v>NO ATÍPICO</v>
      </c>
      <c r="K2759" t="str" cm="1">
        <f t="array" ref="K2759">_xlfn.IFS(ISBLANK(I2759),"FALTANTE",ABS((I2759-$W$8)/$X$8)&gt;1.92,"ATÍPICO",ABS((I2759-$W$8)/$X$8)&lt;=1.92,"NO ATÍPICO")</f>
        <v>NO ATÍPICO</v>
      </c>
      <c r="L2759">
        <f t="shared" si="189"/>
        <v>302010</v>
      </c>
      <c r="M2759" t="str">
        <f t="shared" si="189"/>
        <v>TRABAJADOR INDEPENDIENTE</v>
      </c>
      <c r="N2759">
        <f t="shared" si="190"/>
        <v>24</v>
      </c>
      <c r="O2759" s="19" t="str">
        <f t="shared" si="191"/>
        <v>300k–600k</v>
      </c>
      <c r="P2759" s="19" t="str">
        <f t="shared" si="192"/>
        <v>18-25</v>
      </c>
    </row>
    <row r="2760" spans="1:16" x14ac:dyDescent="0.25">
      <c r="A2760">
        <v>2759</v>
      </c>
      <c r="B2760" t="s">
        <v>15</v>
      </c>
      <c r="C2760">
        <v>325000</v>
      </c>
      <c r="D2760" t="s">
        <v>10</v>
      </c>
      <c r="E2760" t="s">
        <v>16</v>
      </c>
      <c r="F2760" t="s">
        <v>12</v>
      </c>
      <c r="G2760" t="s">
        <v>12</v>
      </c>
      <c r="H2760" t="s">
        <v>13</v>
      </c>
      <c r="I2760">
        <v>24</v>
      </c>
      <c r="J2760" t="str" cm="1">
        <f t="array" ref="J2760">_xlfn.IFS(ISBLANK(C2760),"FALTANTE",ABS((C2760-$W$5)/$X$5)&gt;1.96,"ATÍPICO",ABS((C2760-$W$5)/$X$5)&lt;=1.96,"NO ATÍPICO")</f>
        <v>NO ATÍPICO</v>
      </c>
      <c r="K2760" t="str" cm="1">
        <f t="array" ref="K2760">_xlfn.IFS(ISBLANK(I2760),"FALTANTE",ABS((I2760-$W$8)/$X$8)&gt;1.92,"ATÍPICO",ABS((I2760-$W$8)/$X$8)&lt;=1.92,"NO ATÍPICO")</f>
        <v>NO ATÍPICO</v>
      </c>
      <c r="L2760">
        <f t="shared" si="189"/>
        <v>325000</v>
      </c>
      <c r="M2760" t="str">
        <f t="shared" si="189"/>
        <v>ASALARIADO</v>
      </c>
      <c r="N2760">
        <f t="shared" si="190"/>
        <v>24</v>
      </c>
      <c r="O2760" s="19" t="str">
        <f t="shared" si="191"/>
        <v>300k–600k</v>
      </c>
      <c r="P2760" s="19" t="str">
        <f t="shared" si="192"/>
        <v>18-25</v>
      </c>
    </row>
    <row r="2761" spans="1:16" x14ac:dyDescent="0.25">
      <c r="A2761">
        <v>2760</v>
      </c>
      <c r="B2761" t="s">
        <v>9</v>
      </c>
      <c r="C2761">
        <v>278030</v>
      </c>
      <c r="D2761" t="s">
        <v>19</v>
      </c>
      <c r="E2761" t="s">
        <v>16</v>
      </c>
      <c r="F2761" t="s">
        <v>12</v>
      </c>
      <c r="G2761" t="s">
        <v>13</v>
      </c>
      <c r="H2761" t="s">
        <v>13</v>
      </c>
      <c r="I2761">
        <v>24</v>
      </c>
      <c r="J2761" t="str" cm="1">
        <f t="array" ref="J2761">_xlfn.IFS(ISBLANK(C2761),"FALTANTE",ABS((C2761-$W$5)/$X$5)&gt;1.96,"ATÍPICO",ABS((C2761-$W$5)/$X$5)&lt;=1.96,"NO ATÍPICO")</f>
        <v>NO ATÍPICO</v>
      </c>
      <c r="K2761" t="str" cm="1">
        <f t="array" ref="K2761">_xlfn.IFS(ISBLANK(I2761),"FALTANTE",ABS((I2761-$W$8)/$X$8)&gt;1.92,"ATÍPICO",ABS((I2761-$W$8)/$X$8)&lt;=1.92,"NO ATÍPICO")</f>
        <v>NO ATÍPICO</v>
      </c>
      <c r="L2761">
        <f t="shared" si="189"/>
        <v>278030</v>
      </c>
      <c r="M2761" t="str">
        <f t="shared" si="189"/>
        <v>CONVENIOS ESPECIALES DE TRABAJADORES INDEPENDIENTES</v>
      </c>
      <c r="N2761">
        <f t="shared" si="190"/>
        <v>24</v>
      </c>
      <c r="O2761" s="19" t="str">
        <f t="shared" si="191"/>
        <v>0–300k</v>
      </c>
      <c r="P2761" s="19" t="str">
        <f t="shared" si="192"/>
        <v>18-25</v>
      </c>
    </row>
    <row r="2762" spans="1:16" x14ac:dyDescent="0.25">
      <c r="A2762">
        <v>2761</v>
      </c>
      <c r="B2762" t="s">
        <v>15</v>
      </c>
      <c r="C2762">
        <v>359544.27</v>
      </c>
      <c r="D2762" t="s">
        <v>21</v>
      </c>
      <c r="E2762" t="s">
        <v>16</v>
      </c>
      <c r="F2762" t="s">
        <v>12</v>
      </c>
      <c r="G2762" t="s">
        <v>12</v>
      </c>
      <c r="H2762" t="s">
        <v>13</v>
      </c>
      <c r="I2762">
        <v>66</v>
      </c>
      <c r="J2762" t="str" cm="1">
        <f t="array" ref="J2762">_xlfn.IFS(ISBLANK(C2762),"FALTANTE",ABS((C2762-$W$5)/$X$5)&gt;1.96,"ATÍPICO",ABS((C2762-$W$5)/$X$5)&lt;=1.96,"NO ATÍPICO")</f>
        <v>NO ATÍPICO</v>
      </c>
      <c r="K2762" t="str" cm="1">
        <f t="array" ref="K2762">_xlfn.IFS(ISBLANK(I2762),"FALTANTE",ABS((I2762-$W$8)/$X$8)&gt;1.92,"ATÍPICO",ABS((I2762-$W$8)/$X$8)&lt;=1.92,"NO ATÍPICO")</f>
        <v>NO ATÍPICO</v>
      </c>
      <c r="L2762">
        <f t="shared" si="189"/>
        <v>359544.27</v>
      </c>
      <c r="M2762" t="str">
        <f t="shared" si="189"/>
        <v>CONVENIOS ESPECIALES DE ASEGURADOS VOLUNTARIOS</v>
      </c>
      <c r="N2762">
        <f t="shared" si="190"/>
        <v>66</v>
      </c>
      <c r="O2762" s="19" t="str">
        <f t="shared" si="191"/>
        <v>300k–600k</v>
      </c>
      <c r="P2762" s="19" t="str">
        <f t="shared" si="192"/>
        <v>56+</v>
      </c>
    </row>
    <row r="2763" spans="1:16" x14ac:dyDescent="0.25">
      <c r="A2763">
        <v>2762</v>
      </c>
      <c r="B2763" t="s">
        <v>9</v>
      </c>
      <c r="C2763">
        <v>680000</v>
      </c>
      <c r="D2763" t="s">
        <v>10</v>
      </c>
      <c r="E2763" t="s">
        <v>16</v>
      </c>
      <c r="F2763" t="s">
        <v>12</v>
      </c>
      <c r="G2763" t="s">
        <v>13</v>
      </c>
      <c r="H2763" t="s">
        <v>13</v>
      </c>
      <c r="I2763">
        <v>33</v>
      </c>
      <c r="J2763" t="str" cm="1">
        <f t="array" ref="J2763">_xlfn.IFS(ISBLANK(C2763),"FALTANTE",ABS((C2763-$W$5)/$X$5)&gt;1.96,"ATÍPICO",ABS((C2763-$W$5)/$X$5)&lt;=1.96,"NO ATÍPICO")</f>
        <v>NO ATÍPICO</v>
      </c>
      <c r="K2763" t="str" cm="1">
        <f t="array" ref="K2763">_xlfn.IFS(ISBLANK(I2763),"FALTANTE",ABS((I2763-$W$8)/$X$8)&gt;1.92,"ATÍPICO",ABS((I2763-$W$8)/$X$8)&lt;=1.92,"NO ATÍPICO")</f>
        <v>NO ATÍPICO</v>
      </c>
      <c r="L2763">
        <f t="shared" si="189"/>
        <v>680000</v>
      </c>
      <c r="M2763" t="str">
        <f t="shared" si="189"/>
        <v>ASALARIADO</v>
      </c>
      <c r="N2763">
        <f t="shared" si="190"/>
        <v>33</v>
      </c>
      <c r="O2763" s="19" t="str">
        <f t="shared" si="191"/>
        <v>600k–900k</v>
      </c>
      <c r="P2763" s="19" t="str">
        <f t="shared" si="192"/>
        <v>26-35</v>
      </c>
    </row>
    <row r="2764" spans="1:16" x14ac:dyDescent="0.25">
      <c r="A2764">
        <v>2763</v>
      </c>
      <c r="B2764" t="s">
        <v>15</v>
      </c>
      <c r="C2764">
        <v>610000</v>
      </c>
      <c r="D2764" t="s">
        <v>10</v>
      </c>
      <c r="E2764" t="s">
        <v>16</v>
      </c>
      <c r="F2764" t="s">
        <v>12</v>
      </c>
      <c r="G2764" t="s">
        <v>13</v>
      </c>
      <c r="H2764" t="s">
        <v>13</v>
      </c>
      <c r="I2764">
        <v>30</v>
      </c>
      <c r="J2764" t="str" cm="1">
        <f t="array" ref="J2764">_xlfn.IFS(ISBLANK(C2764),"FALTANTE",ABS((C2764-$W$5)/$X$5)&gt;1.96,"ATÍPICO",ABS((C2764-$W$5)/$X$5)&lt;=1.96,"NO ATÍPICO")</f>
        <v>NO ATÍPICO</v>
      </c>
      <c r="K2764" t="str" cm="1">
        <f t="array" ref="K2764">_xlfn.IFS(ISBLANK(I2764),"FALTANTE",ABS((I2764-$W$8)/$X$8)&gt;1.92,"ATÍPICO",ABS((I2764-$W$8)/$X$8)&lt;=1.92,"NO ATÍPICO")</f>
        <v>NO ATÍPICO</v>
      </c>
      <c r="L2764">
        <f t="shared" si="189"/>
        <v>610000</v>
      </c>
      <c r="M2764" t="str">
        <f t="shared" si="189"/>
        <v>ASALARIADO</v>
      </c>
      <c r="N2764">
        <f t="shared" si="190"/>
        <v>30</v>
      </c>
      <c r="O2764" s="19" t="str">
        <f t="shared" si="191"/>
        <v>600k–900k</v>
      </c>
      <c r="P2764" s="19" t="str">
        <f t="shared" si="192"/>
        <v>26-35</v>
      </c>
    </row>
    <row r="2765" spans="1:16" x14ac:dyDescent="0.25">
      <c r="A2765">
        <v>2764</v>
      </c>
      <c r="B2765" t="s">
        <v>9</v>
      </c>
      <c r="C2765">
        <v>477307.36</v>
      </c>
      <c r="D2765" t="s">
        <v>10</v>
      </c>
      <c r="E2765" t="s">
        <v>16</v>
      </c>
      <c r="F2765" t="s">
        <v>12</v>
      </c>
      <c r="G2765" t="s">
        <v>13</v>
      </c>
      <c r="H2765" t="s">
        <v>13</v>
      </c>
      <c r="I2765">
        <v>63</v>
      </c>
      <c r="J2765" t="str" cm="1">
        <f t="array" ref="J2765">_xlfn.IFS(ISBLANK(C2765),"FALTANTE",ABS((C2765-$W$5)/$X$5)&gt;1.96,"ATÍPICO",ABS((C2765-$W$5)/$X$5)&lt;=1.96,"NO ATÍPICO")</f>
        <v>NO ATÍPICO</v>
      </c>
      <c r="K2765" t="str" cm="1">
        <f t="array" ref="K2765">_xlfn.IFS(ISBLANK(I2765),"FALTANTE",ABS((I2765-$W$8)/$X$8)&gt;1.92,"ATÍPICO",ABS((I2765-$W$8)/$X$8)&lt;=1.92,"NO ATÍPICO")</f>
        <v>NO ATÍPICO</v>
      </c>
      <c r="L2765">
        <f t="shared" si="189"/>
        <v>477307.36</v>
      </c>
      <c r="M2765" t="str">
        <f t="shared" si="189"/>
        <v>ASALARIADO</v>
      </c>
      <c r="N2765">
        <f t="shared" si="190"/>
        <v>63</v>
      </c>
      <c r="O2765" s="19" t="str">
        <f t="shared" si="191"/>
        <v>300k–600k</v>
      </c>
      <c r="P2765" s="19" t="str">
        <f t="shared" si="192"/>
        <v>56+</v>
      </c>
    </row>
    <row r="2766" spans="1:16" x14ac:dyDescent="0.25">
      <c r="A2766">
        <v>2765</v>
      </c>
      <c r="B2766" t="s">
        <v>9</v>
      </c>
      <c r="C2766">
        <v>385938</v>
      </c>
      <c r="D2766" t="s">
        <v>10</v>
      </c>
      <c r="E2766" t="s">
        <v>16</v>
      </c>
      <c r="F2766" t="s">
        <v>12</v>
      </c>
      <c r="G2766" t="s">
        <v>13</v>
      </c>
      <c r="H2766" t="s">
        <v>12</v>
      </c>
      <c r="I2766">
        <v>51</v>
      </c>
      <c r="J2766" t="str" cm="1">
        <f t="array" ref="J2766">_xlfn.IFS(ISBLANK(C2766),"FALTANTE",ABS((C2766-$W$5)/$X$5)&gt;1.96,"ATÍPICO",ABS((C2766-$W$5)/$X$5)&lt;=1.96,"NO ATÍPICO")</f>
        <v>NO ATÍPICO</v>
      </c>
      <c r="K2766" t="str" cm="1">
        <f t="array" ref="K2766">_xlfn.IFS(ISBLANK(I2766),"FALTANTE",ABS((I2766-$W$8)/$X$8)&gt;1.92,"ATÍPICO",ABS((I2766-$W$8)/$X$8)&lt;=1.92,"NO ATÍPICO")</f>
        <v>NO ATÍPICO</v>
      </c>
      <c r="L2766">
        <f t="shared" si="189"/>
        <v>385938</v>
      </c>
      <c r="M2766" t="str">
        <f t="shared" si="189"/>
        <v>ASALARIADO</v>
      </c>
      <c r="N2766">
        <f t="shared" si="190"/>
        <v>51</v>
      </c>
      <c r="O2766" s="19" t="str">
        <f t="shared" si="191"/>
        <v>300k–600k</v>
      </c>
      <c r="P2766" s="19" t="str">
        <f t="shared" si="192"/>
        <v>46-55</v>
      </c>
    </row>
    <row r="2767" spans="1:16" x14ac:dyDescent="0.25">
      <c r="A2767">
        <v>2766</v>
      </c>
      <c r="B2767" t="s">
        <v>15</v>
      </c>
      <c r="C2767">
        <v>450000</v>
      </c>
      <c r="D2767" t="s">
        <v>10</v>
      </c>
      <c r="E2767" t="s">
        <v>16</v>
      </c>
      <c r="F2767" t="s">
        <v>12</v>
      </c>
      <c r="G2767" t="s">
        <v>12</v>
      </c>
      <c r="H2767" t="s">
        <v>13</v>
      </c>
      <c r="I2767">
        <v>29</v>
      </c>
      <c r="J2767" t="str" cm="1">
        <f t="array" ref="J2767">_xlfn.IFS(ISBLANK(C2767),"FALTANTE",ABS((C2767-$W$5)/$X$5)&gt;1.96,"ATÍPICO",ABS((C2767-$W$5)/$X$5)&lt;=1.96,"NO ATÍPICO")</f>
        <v>NO ATÍPICO</v>
      </c>
      <c r="K2767" t="str" cm="1">
        <f t="array" ref="K2767">_xlfn.IFS(ISBLANK(I2767),"FALTANTE",ABS((I2767-$W$8)/$X$8)&gt;1.92,"ATÍPICO",ABS((I2767-$W$8)/$X$8)&lt;=1.92,"NO ATÍPICO")</f>
        <v>NO ATÍPICO</v>
      </c>
      <c r="L2767">
        <f t="shared" si="189"/>
        <v>450000</v>
      </c>
      <c r="M2767" t="str">
        <f t="shared" si="189"/>
        <v>ASALARIADO</v>
      </c>
      <c r="N2767">
        <f t="shared" si="190"/>
        <v>29</v>
      </c>
      <c r="O2767" s="19" t="str">
        <f t="shared" si="191"/>
        <v>300k–600k</v>
      </c>
      <c r="P2767" s="19" t="str">
        <f t="shared" si="192"/>
        <v>26-35</v>
      </c>
    </row>
    <row r="2768" spans="1:16" x14ac:dyDescent="0.25">
      <c r="A2768">
        <v>2767</v>
      </c>
      <c r="B2768" t="s">
        <v>9</v>
      </c>
      <c r="C2768">
        <v>359544.27</v>
      </c>
      <c r="D2768" t="s">
        <v>21</v>
      </c>
      <c r="E2768" t="s">
        <v>16</v>
      </c>
      <c r="F2768" t="s">
        <v>12</v>
      </c>
      <c r="G2768" t="s">
        <v>12</v>
      </c>
      <c r="H2768" t="s">
        <v>13</v>
      </c>
      <c r="I2768">
        <v>59</v>
      </c>
      <c r="J2768" t="str" cm="1">
        <f t="array" ref="J2768">_xlfn.IFS(ISBLANK(C2768),"FALTANTE",ABS((C2768-$W$5)/$X$5)&gt;1.96,"ATÍPICO",ABS((C2768-$W$5)/$X$5)&lt;=1.96,"NO ATÍPICO")</f>
        <v>NO ATÍPICO</v>
      </c>
      <c r="K2768" t="str" cm="1">
        <f t="array" ref="K2768">_xlfn.IFS(ISBLANK(I2768),"FALTANTE",ABS((I2768-$W$8)/$X$8)&gt;1.92,"ATÍPICO",ABS((I2768-$W$8)/$X$8)&lt;=1.92,"NO ATÍPICO")</f>
        <v>NO ATÍPICO</v>
      </c>
      <c r="L2768">
        <f t="shared" si="189"/>
        <v>359544.27</v>
      </c>
      <c r="M2768" t="str">
        <f t="shared" si="189"/>
        <v>CONVENIOS ESPECIALES DE ASEGURADOS VOLUNTARIOS</v>
      </c>
      <c r="N2768">
        <f t="shared" si="190"/>
        <v>59</v>
      </c>
      <c r="O2768" s="19" t="str">
        <f t="shared" si="191"/>
        <v>300k–600k</v>
      </c>
      <c r="P2768" s="19" t="str">
        <f t="shared" si="192"/>
        <v>56+</v>
      </c>
    </row>
    <row r="2769" spans="1:16" x14ac:dyDescent="0.25">
      <c r="A2769">
        <v>2768</v>
      </c>
      <c r="B2769" t="s">
        <v>9</v>
      </c>
      <c r="C2769">
        <v>759569.6</v>
      </c>
      <c r="D2769" t="s">
        <v>10</v>
      </c>
      <c r="E2769" t="s">
        <v>11</v>
      </c>
      <c r="F2769" t="s">
        <v>12</v>
      </c>
      <c r="G2769" t="s">
        <v>13</v>
      </c>
      <c r="H2769" t="s">
        <v>13</v>
      </c>
      <c r="I2769">
        <v>34</v>
      </c>
      <c r="J2769" t="str" cm="1">
        <f t="array" ref="J2769">_xlfn.IFS(ISBLANK(C2769),"FALTANTE",ABS((C2769-$W$5)/$X$5)&gt;1.96,"ATÍPICO",ABS((C2769-$W$5)/$X$5)&lt;=1.96,"NO ATÍPICO")</f>
        <v>NO ATÍPICO</v>
      </c>
      <c r="K2769" t="str" cm="1">
        <f t="array" ref="K2769">_xlfn.IFS(ISBLANK(I2769),"FALTANTE",ABS((I2769-$W$8)/$X$8)&gt;1.92,"ATÍPICO",ABS((I2769-$W$8)/$X$8)&lt;=1.92,"NO ATÍPICO")</f>
        <v>NO ATÍPICO</v>
      </c>
      <c r="L2769">
        <f t="shared" si="189"/>
        <v>759569.6</v>
      </c>
      <c r="M2769" t="str">
        <f t="shared" si="189"/>
        <v>ASALARIADO</v>
      </c>
      <c r="N2769">
        <f t="shared" si="190"/>
        <v>34</v>
      </c>
      <c r="O2769" s="19" t="str">
        <f t="shared" si="191"/>
        <v>600k–900k</v>
      </c>
      <c r="P2769" s="19" t="str">
        <f t="shared" si="192"/>
        <v>26-35</v>
      </c>
    </row>
    <row r="2770" spans="1:16" x14ac:dyDescent="0.25">
      <c r="A2770">
        <v>2769</v>
      </c>
      <c r="B2770" t="s">
        <v>15</v>
      </c>
      <c r="C2770">
        <v>894532</v>
      </c>
      <c r="D2770" t="s">
        <v>10</v>
      </c>
      <c r="E2770" t="s">
        <v>11</v>
      </c>
      <c r="F2770" t="s">
        <v>12</v>
      </c>
      <c r="G2770" t="s">
        <v>13</v>
      </c>
      <c r="H2770" t="s">
        <v>12</v>
      </c>
      <c r="I2770">
        <v>44</v>
      </c>
      <c r="J2770" t="str" cm="1">
        <f t="array" ref="J2770">_xlfn.IFS(ISBLANK(C2770),"FALTANTE",ABS((C2770-$W$5)/$X$5)&gt;1.96,"ATÍPICO",ABS((C2770-$W$5)/$X$5)&lt;=1.96,"NO ATÍPICO")</f>
        <v>NO ATÍPICO</v>
      </c>
      <c r="K2770" t="str" cm="1">
        <f t="array" ref="K2770">_xlfn.IFS(ISBLANK(I2770),"FALTANTE",ABS((I2770-$W$8)/$X$8)&gt;1.92,"ATÍPICO",ABS((I2770-$W$8)/$X$8)&lt;=1.92,"NO ATÍPICO")</f>
        <v>NO ATÍPICO</v>
      </c>
      <c r="L2770">
        <f t="shared" si="189"/>
        <v>894532</v>
      </c>
      <c r="M2770" t="str">
        <f t="shared" si="189"/>
        <v>ASALARIADO</v>
      </c>
      <c r="N2770">
        <f t="shared" si="190"/>
        <v>44</v>
      </c>
      <c r="O2770" s="19" t="str">
        <f t="shared" si="191"/>
        <v>600k–900k</v>
      </c>
      <c r="P2770" s="19" t="str">
        <f t="shared" si="192"/>
        <v>36-45</v>
      </c>
    </row>
    <row r="2771" spans="1:16" x14ac:dyDescent="0.25">
      <c r="A2771">
        <v>2770</v>
      </c>
      <c r="B2771" t="s">
        <v>9</v>
      </c>
      <c r="C2771">
        <v>117186.67</v>
      </c>
      <c r="D2771" t="s">
        <v>10</v>
      </c>
      <c r="E2771" t="s">
        <v>16</v>
      </c>
      <c r="F2771" t="s">
        <v>12</v>
      </c>
      <c r="G2771" t="s">
        <v>13</v>
      </c>
      <c r="H2771" t="s">
        <v>13</v>
      </c>
      <c r="I2771">
        <v>25</v>
      </c>
      <c r="J2771" t="str" cm="1">
        <f t="array" ref="J2771">_xlfn.IFS(ISBLANK(C2771),"FALTANTE",ABS((C2771-$W$5)/$X$5)&gt;1.96,"ATÍPICO",ABS((C2771-$W$5)/$X$5)&lt;=1.96,"NO ATÍPICO")</f>
        <v>NO ATÍPICO</v>
      </c>
      <c r="K2771" t="str" cm="1">
        <f t="array" ref="K2771">_xlfn.IFS(ISBLANK(I2771),"FALTANTE",ABS((I2771-$W$8)/$X$8)&gt;1.92,"ATÍPICO",ABS((I2771-$W$8)/$X$8)&lt;=1.92,"NO ATÍPICO")</f>
        <v>NO ATÍPICO</v>
      </c>
      <c r="L2771">
        <f t="shared" si="189"/>
        <v>117186.67</v>
      </c>
      <c r="M2771" t="str">
        <f t="shared" si="189"/>
        <v>ASALARIADO</v>
      </c>
      <c r="N2771">
        <f t="shared" si="190"/>
        <v>25</v>
      </c>
      <c r="O2771" s="19" t="str">
        <f t="shared" si="191"/>
        <v>0–300k</v>
      </c>
      <c r="P2771" s="19" t="str">
        <f t="shared" si="192"/>
        <v>18-25</v>
      </c>
    </row>
    <row r="2772" spans="1:16" x14ac:dyDescent="0.25">
      <c r="A2772">
        <v>2771</v>
      </c>
      <c r="B2772" t="s">
        <v>15</v>
      </c>
      <c r="C2772">
        <v>1314609</v>
      </c>
      <c r="D2772" t="s">
        <v>10</v>
      </c>
      <c r="E2772" t="s">
        <v>11</v>
      </c>
      <c r="F2772" t="s">
        <v>12</v>
      </c>
      <c r="G2772" t="s">
        <v>13</v>
      </c>
      <c r="H2772" t="s">
        <v>13</v>
      </c>
      <c r="I2772">
        <v>48</v>
      </c>
      <c r="J2772" t="str" cm="1">
        <f t="array" ref="J2772">_xlfn.IFS(ISBLANK(C2772),"FALTANTE",ABS((C2772-$W$5)/$X$5)&gt;1.96,"ATÍPICO",ABS((C2772-$W$5)/$X$5)&lt;=1.96,"NO ATÍPICO")</f>
        <v>NO ATÍPICO</v>
      </c>
      <c r="K2772" t="str" cm="1">
        <f t="array" ref="K2772">_xlfn.IFS(ISBLANK(I2772),"FALTANTE",ABS((I2772-$W$8)/$X$8)&gt;1.92,"ATÍPICO",ABS((I2772-$W$8)/$X$8)&lt;=1.92,"NO ATÍPICO")</f>
        <v>NO ATÍPICO</v>
      </c>
      <c r="L2772">
        <f t="shared" si="189"/>
        <v>1314609</v>
      </c>
      <c r="M2772" t="str">
        <f t="shared" si="189"/>
        <v>ASALARIADO</v>
      </c>
      <c r="N2772">
        <f t="shared" si="190"/>
        <v>48</v>
      </c>
      <c r="O2772" s="19" t="str">
        <f t="shared" si="191"/>
        <v>1200k+</v>
      </c>
      <c r="P2772" s="19" t="str">
        <f t="shared" si="192"/>
        <v>46-55</v>
      </c>
    </row>
    <row r="2773" spans="1:16" x14ac:dyDescent="0.25">
      <c r="A2773">
        <v>2772</v>
      </c>
      <c r="B2773" t="s">
        <v>15</v>
      </c>
      <c r="C2773">
        <v>298925</v>
      </c>
      <c r="D2773" t="s">
        <v>18</v>
      </c>
      <c r="E2773" t="s">
        <v>16</v>
      </c>
      <c r="F2773" t="s">
        <v>12</v>
      </c>
      <c r="G2773" t="s">
        <v>12</v>
      </c>
      <c r="H2773" t="s">
        <v>12</v>
      </c>
      <c r="I2773">
        <v>28</v>
      </c>
      <c r="J2773" t="str" cm="1">
        <f t="array" ref="J2773">_xlfn.IFS(ISBLANK(C2773),"FALTANTE",ABS((C2773-$W$5)/$X$5)&gt;1.96,"ATÍPICO",ABS((C2773-$W$5)/$X$5)&lt;=1.96,"NO ATÍPICO")</f>
        <v>NO ATÍPICO</v>
      </c>
      <c r="K2773" t="str" cm="1">
        <f t="array" ref="K2773">_xlfn.IFS(ISBLANK(I2773),"FALTANTE",ABS((I2773-$W$8)/$X$8)&gt;1.92,"ATÍPICO",ABS((I2773-$W$8)/$X$8)&lt;=1.92,"NO ATÍPICO")</f>
        <v>NO ATÍPICO</v>
      </c>
      <c r="L2773">
        <f t="shared" si="189"/>
        <v>298925</v>
      </c>
      <c r="M2773" t="str">
        <f t="shared" si="189"/>
        <v>TRABAJADOR INDEPENDIENTE</v>
      </c>
      <c r="N2773">
        <f t="shared" si="190"/>
        <v>28</v>
      </c>
      <c r="O2773" s="19" t="str">
        <f t="shared" si="191"/>
        <v>0–300k</v>
      </c>
      <c r="P2773" s="19" t="str">
        <f t="shared" si="192"/>
        <v>26-35</v>
      </c>
    </row>
    <row r="2774" spans="1:16" x14ac:dyDescent="0.25">
      <c r="A2774">
        <v>2773</v>
      </c>
      <c r="B2774" t="s">
        <v>9</v>
      </c>
      <c r="C2774">
        <v>410982</v>
      </c>
      <c r="D2774" t="s">
        <v>10</v>
      </c>
      <c r="E2774" t="s">
        <v>16</v>
      </c>
      <c r="F2774" t="s">
        <v>12</v>
      </c>
      <c r="G2774" t="s">
        <v>13</v>
      </c>
      <c r="H2774" t="s">
        <v>13</v>
      </c>
      <c r="I2774">
        <v>30</v>
      </c>
      <c r="J2774" t="str" cm="1">
        <f t="array" ref="J2774">_xlfn.IFS(ISBLANK(C2774),"FALTANTE",ABS((C2774-$W$5)/$X$5)&gt;1.96,"ATÍPICO",ABS((C2774-$W$5)/$X$5)&lt;=1.96,"NO ATÍPICO")</f>
        <v>NO ATÍPICO</v>
      </c>
      <c r="K2774" t="str" cm="1">
        <f t="array" ref="K2774">_xlfn.IFS(ISBLANK(I2774),"FALTANTE",ABS((I2774-$W$8)/$X$8)&gt;1.92,"ATÍPICO",ABS((I2774-$W$8)/$X$8)&lt;=1.92,"NO ATÍPICO")</f>
        <v>NO ATÍPICO</v>
      </c>
      <c r="L2774">
        <f t="shared" si="189"/>
        <v>410982</v>
      </c>
      <c r="M2774" t="str">
        <f t="shared" si="189"/>
        <v>ASALARIADO</v>
      </c>
      <c r="N2774">
        <f t="shared" si="190"/>
        <v>30</v>
      </c>
      <c r="O2774" s="19" t="str">
        <f t="shared" si="191"/>
        <v>300k–600k</v>
      </c>
      <c r="P2774" s="19" t="str">
        <f t="shared" si="192"/>
        <v>26-35</v>
      </c>
    </row>
    <row r="2775" spans="1:16" x14ac:dyDescent="0.25">
      <c r="A2775">
        <v>2774</v>
      </c>
      <c r="B2775" t="s">
        <v>15</v>
      </c>
      <c r="C2775">
        <v>1511127</v>
      </c>
      <c r="D2775" t="s">
        <v>10</v>
      </c>
      <c r="E2775" t="s">
        <v>11</v>
      </c>
      <c r="F2775" t="s">
        <v>12</v>
      </c>
      <c r="G2775" t="s">
        <v>13</v>
      </c>
      <c r="H2775" t="s">
        <v>13</v>
      </c>
      <c r="I2775">
        <v>36</v>
      </c>
      <c r="J2775" t="str" cm="1">
        <f t="array" ref="J2775">_xlfn.IFS(ISBLANK(C2775),"FALTANTE",ABS((C2775-$W$5)/$X$5)&gt;1.96,"ATÍPICO",ABS((C2775-$W$5)/$X$5)&lt;=1.96,"NO ATÍPICO")</f>
        <v>NO ATÍPICO</v>
      </c>
      <c r="K2775" t="str" cm="1">
        <f t="array" ref="K2775">_xlfn.IFS(ISBLANK(I2775),"FALTANTE",ABS((I2775-$W$8)/$X$8)&gt;1.92,"ATÍPICO",ABS((I2775-$W$8)/$X$8)&lt;=1.92,"NO ATÍPICO")</f>
        <v>NO ATÍPICO</v>
      </c>
      <c r="L2775">
        <f t="shared" si="189"/>
        <v>1511127</v>
      </c>
      <c r="M2775" t="str">
        <f t="shared" si="189"/>
        <v>ASALARIADO</v>
      </c>
      <c r="N2775">
        <f t="shared" si="190"/>
        <v>36</v>
      </c>
      <c r="O2775" s="19" t="str">
        <f t="shared" si="191"/>
        <v>1200k+</v>
      </c>
      <c r="P2775" s="19" t="str">
        <f t="shared" si="192"/>
        <v>36-45</v>
      </c>
    </row>
    <row r="2776" spans="1:16" x14ac:dyDescent="0.25">
      <c r="A2776">
        <v>2775</v>
      </c>
      <c r="B2776" t="s">
        <v>15</v>
      </c>
      <c r="C2776">
        <v>361080</v>
      </c>
      <c r="D2776" t="s">
        <v>10</v>
      </c>
      <c r="E2776" t="s">
        <v>16</v>
      </c>
      <c r="F2776" t="s">
        <v>12</v>
      </c>
      <c r="G2776" t="s">
        <v>13</v>
      </c>
      <c r="H2776" t="s">
        <v>13</v>
      </c>
      <c r="I2776">
        <v>29</v>
      </c>
      <c r="J2776" t="str" cm="1">
        <f t="array" ref="J2776">_xlfn.IFS(ISBLANK(C2776),"FALTANTE",ABS((C2776-$W$5)/$X$5)&gt;1.96,"ATÍPICO",ABS((C2776-$W$5)/$X$5)&lt;=1.96,"NO ATÍPICO")</f>
        <v>NO ATÍPICO</v>
      </c>
      <c r="K2776" t="str" cm="1">
        <f t="array" ref="K2776">_xlfn.IFS(ISBLANK(I2776),"FALTANTE",ABS((I2776-$W$8)/$X$8)&gt;1.92,"ATÍPICO",ABS((I2776-$W$8)/$X$8)&lt;=1.92,"NO ATÍPICO")</f>
        <v>NO ATÍPICO</v>
      </c>
      <c r="L2776">
        <f t="shared" si="189"/>
        <v>361080</v>
      </c>
      <c r="M2776" t="str">
        <f t="shared" si="189"/>
        <v>ASALARIADO</v>
      </c>
      <c r="N2776">
        <f t="shared" si="190"/>
        <v>29</v>
      </c>
      <c r="O2776" s="19" t="str">
        <f t="shared" si="191"/>
        <v>300k–600k</v>
      </c>
      <c r="P2776" s="19" t="str">
        <f t="shared" si="192"/>
        <v>26-35</v>
      </c>
    </row>
    <row r="2777" spans="1:16" x14ac:dyDescent="0.25">
      <c r="A2777">
        <v>2776</v>
      </c>
      <c r="B2777" t="s">
        <v>9</v>
      </c>
      <c r="C2777">
        <v>2676486.65</v>
      </c>
      <c r="D2777" t="s">
        <v>10</v>
      </c>
      <c r="E2777" t="s">
        <v>16</v>
      </c>
      <c r="F2777" t="s">
        <v>12</v>
      </c>
      <c r="G2777" t="s">
        <v>13</v>
      </c>
      <c r="H2777" t="s">
        <v>13</v>
      </c>
      <c r="I2777">
        <v>26</v>
      </c>
      <c r="J2777" t="str" cm="1">
        <f t="array" ref="J2777">_xlfn.IFS(ISBLANK(C2777),"FALTANTE",ABS((C2777-$W$5)/$X$5)&gt;1.96,"ATÍPICO",ABS((C2777-$W$5)/$X$5)&lt;=1.96,"NO ATÍPICO")</f>
        <v>ATÍPICO</v>
      </c>
      <c r="K2777" t="str" cm="1">
        <f t="array" ref="K2777">_xlfn.IFS(ISBLANK(I2777),"FALTANTE",ABS((I2777-$W$8)/$X$8)&gt;1.92,"ATÍPICO",ABS((I2777-$W$8)/$X$8)&lt;=1.92,"NO ATÍPICO")</f>
        <v>NO ATÍPICO</v>
      </c>
      <c r="L2777">
        <f t="shared" si="189"/>
        <v>2676486.65</v>
      </c>
      <c r="M2777" t="str">
        <f t="shared" si="189"/>
        <v>ASALARIADO</v>
      </c>
      <c r="N2777">
        <f t="shared" si="190"/>
        <v>26</v>
      </c>
      <c r="O2777" s="19" t="str">
        <f t="shared" si="191"/>
        <v>1200k+</v>
      </c>
      <c r="P2777" s="19" t="str">
        <f t="shared" si="192"/>
        <v>26-35</v>
      </c>
    </row>
    <row r="2778" spans="1:16" x14ac:dyDescent="0.25">
      <c r="A2778">
        <v>2777</v>
      </c>
      <c r="B2778" t="s">
        <v>15</v>
      </c>
      <c r="C2778">
        <v>298482</v>
      </c>
      <c r="D2778" t="s">
        <v>18</v>
      </c>
      <c r="E2778" t="s">
        <v>16</v>
      </c>
      <c r="F2778" t="s">
        <v>12</v>
      </c>
      <c r="G2778" t="s">
        <v>13</v>
      </c>
      <c r="H2778" t="s">
        <v>13</v>
      </c>
      <c r="I2778">
        <v>47</v>
      </c>
      <c r="J2778" t="str" cm="1">
        <f t="array" ref="J2778">_xlfn.IFS(ISBLANK(C2778),"FALTANTE",ABS((C2778-$W$5)/$X$5)&gt;1.96,"ATÍPICO",ABS((C2778-$W$5)/$X$5)&lt;=1.96,"NO ATÍPICO")</f>
        <v>NO ATÍPICO</v>
      </c>
      <c r="K2778" t="str" cm="1">
        <f t="array" ref="K2778">_xlfn.IFS(ISBLANK(I2778),"FALTANTE",ABS((I2778-$W$8)/$X$8)&gt;1.92,"ATÍPICO",ABS((I2778-$W$8)/$X$8)&lt;=1.92,"NO ATÍPICO")</f>
        <v>NO ATÍPICO</v>
      </c>
      <c r="L2778">
        <f t="shared" si="189"/>
        <v>298482</v>
      </c>
      <c r="M2778" t="str">
        <f t="shared" si="189"/>
        <v>TRABAJADOR INDEPENDIENTE</v>
      </c>
      <c r="N2778">
        <f t="shared" si="190"/>
        <v>47</v>
      </c>
      <c r="O2778" s="19" t="str">
        <f t="shared" si="191"/>
        <v>0–300k</v>
      </c>
      <c r="P2778" s="19" t="str">
        <f t="shared" si="192"/>
        <v>46-55</v>
      </c>
    </row>
    <row r="2779" spans="1:16" x14ac:dyDescent="0.25">
      <c r="A2779">
        <v>2778</v>
      </c>
      <c r="B2779" t="s">
        <v>9</v>
      </c>
      <c r="C2779">
        <v>1603638.49</v>
      </c>
      <c r="D2779" t="s">
        <v>10</v>
      </c>
      <c r="E2779" t="s">
        <v>16</v>
      </c>
      <c r="F2779" t="s">
        <v>12</v>
      </c>
      <c r="G2779" t="s">
        <v>13</v>
      </c>
      <c r="H2779" t="s">
        <v>13</v>
      </c>
      <c r="I2779">
        <v>43</v>
      </c>
      <c r="J2779" t="str" cm="1">
        <f t="array" ref="J2779">_xlfn.IFS(ISBLANK(C2779),"FALTANTE",ABS((C2779-$W$5)/$X$5)&gt;1.96,"ATÍPICO",ABS((C2779-$W$5)/$X$5)&lt;=1.96,"NO ATÍPICO")</f>
        <v>NO ATÍPICO</v>
      </c>
      <c r="K2779" t="str" cm="1">
        <f t="array" ref="K2779">_xlfn.IFS(ISBLANK(I2779),"FALTANTE",ABS((I2779-$W$8)/$X$8)&gt;1.92,"ATÍPICO",ABS((I2779-$W$8)/$X$8)&lt;=1.92,"NO ATÍPICO")</f>
        <v>NO ATÍPICO</v>
      </c>
      <c r="L2779">
        <f t="shared" si="189"/>
        <v>1603638.49</v>
      </c>
      <c r="M2779" t="str">
        <f t="shared" si="189"/>
        <v>ASALARIADO</v>
      </c>
      <c r="N2779">
        <f t="shared" si="190"/>
        <v>43</v>
      </c>
      <c r="O2779" s="19" t="str">
        <f t="shared" si="191"/>
        <v>1200k+</v>
      </c>
      <c r="P2779" s="19" t="str">
        <f t="shared" si="192"/>
        <v>36-45</v>
      </c>
    </row>
    <row r="2780" spans="1:16" x14ac:dyDescent="0.25">
      <c r="A2780">
        <v>2779</v>
      </c>
      <c r="B2780" t="s">
        <v>9</v>
      </c>
      <c r="C2780">
        <v>757822.41</v>
      </c>
      <c r="D2780" t="s">
        <v>10</v>
      </c>
      <c r="E2780" t="s">
        <v>16</v>
      </c>
      <c r="F2780" t="s">
        <v>12</v>
      </c>
      <c r="G2780" t="s">
        <v>13</v>
      </c>
      <c r="H2780" t="s">
        <v>13</v>
      </c>
      <c r="I2780">
        <v>31</v>
      </c>
      <c r="J2780" t="str" cm="1">
        <f t="array" ref="J2780">_xlfn.IFS(ISBLANK(C2780),"FALTANTE",ABS((C2780-$W$5)/$X$5)&gt;1.96,"ATÍPICO",ABS((C2780-$W$5)/$X$5)&lt;=1.96,"NO ATÍPICO")</f>
        <v>NO ATÍPICO</v>
      </c>
      <c r="K2780" t="str" cm="1">
        <f t="array" ref="K2780">_xlfn.IFS(ISBLANK(I2780),"FALTANTE",ABS((I2780-$W$8)/$X$8)&gt;1.92,"ATÍPICO",ABS((I2780-$W$8)/$X$8)&lt;=1.92,"NO ATÍPICO")</f>
        <v>NO ATÍPICO</v>
      </c>
      <c r="L2780">
        <f t="shared" si="189"/>
        <v>757822.41</v>
      </c>
      <c r="M2780" t="str">
        <f t="shared" si="189"/>
        <v>ASALARIADO</v>
      </c>
      <c r="N2780">
        <f t="shared" si="190"/>
        <v>31</v>
      </c>
      <c r="O2780" s="19" t="str">
        <f t="shared" si="191"/>
        <v>600k–900k</v>
      </c>
      <c r="P2780" s="19" t="str">
        <f t="shared" si="192"/>
        <v>26-35</v>
      </c>
    </row>
    <row r="2781" spans="1:16" x14ac:dyDescent="0.25">
      <c r="A2781">
        <v>2780</v>
      </c>
      <c r="B2781" t="s">
        <v>15</v>
      </c>
      <c r="C2781">
        <v>298000</v>
      </c>
      <c r="D2781" t="s">
        <v>18</v>
      </c>
      <c r="E2781" t="s">
        <v>16</v>
      </c>
      <c r="F2781" t="s">
        <v>12</v>
      </c>
      <c r="G2781" t="s">
        <v>13</v>
      </c>
      <c r="H2781" t="s">
        <v>13</v>
      </c>
      <c r="I2781">
        <v>23</v>
      </c>
      <c r="J2781" t="str" cm="1">
        <f t="array" ref="J2781">_xlfn.IFS(ISBLANK(C2781),"FALTANTE",ABS((C2781-$W$5)/$X$5)&gt;1.96,"ATÍPICO",ABS((C2781-$W$5)/$X$5)&lt;=1.96,"NO ATÍPICO")</f>
        <v>NO ATÍPICO</v>
      </c>
      <c r="K2781" t="str" cm="1">
        <f t="array" ref="K2781">_xlfn.IFS(ISBLANK(I2781),"FALTANTE",ABS((I2781-$W$8)/$X$8)&gt;1.92,"ATÍPICO",ABS((I2781-$W$8)/$X$8)&lt;=1.92,"NO ATÍPICO")</f>
        <v>NO ATÍPICO</v>
      </c>
      <c r="L2781">
        <f t="shared" si="189"/>
        <v>298000</v>
      </c>
      <c r="M2781" t="str">
        <f t="shared" si="189"/>
        <v>TRABAJADOR INDEPENDIENTE</v>
      </c>
      <c r="N2781">
        <f t="shared" si="190"/>
        <v>23</v>
      </c>
      <c r="O2781" s="19" t="str">
        <f t="shared" si="191"/>
        <v>0–300k</v>
      </c>
      <c r="P2781" s="19" t="str">
        <f t="shared" si="192"/>
        <v>18-25</v>
      </c>
    </row>
    <row r="2782" spans="1:16" x14ac:dyDescent="0.25">
      <c r="A2782">
        <v>2781</v>
      </c>
      <c r="B2782" t="s">
        <v>15</v>
      </c>
      <c r="C2782">
        <v>300018</v>
      </c>
      <c r="D2782" t="s">
        <v>18</v>
      </c>
      <c r="E2782" t="s">
        <v>16</v>
      </c>
      <c r="F2782" t="s">
        <v>12</v>
      </c>
      <c r="G2782" t="s">
        <v>12</v>
      </c>
      <c r="H2782" t="s">
        <v>12</v>
      </c>
      <c r="I2782">
        <v>49</v>
      </c>
      <c r="J2782" t="str" cm="1">
        <f t="array" ref="J2782">_xlfn.IFS(ISBLANK(C2782),"FALTANTE",ABS((C2782-$W$5)/$X$5)&gt;1.96,"ATÍPICO",ABS((C2782-$W$5)/$X$5)&lt;=1.96,"NO ATÍPICO")</f>
        <v>NO ATÍPICO</v>
      </c>
      <c r="K2782" t="str" cm="1">
        <f t="array" ref="K2782">_xlfn.IFS(ISBLANK(I2782),"FALTANTE",ABS((I2782-$W$8)/$X$8)&gt;1.92,"ATÍPICO",ABS((I2782-$W$8)/$X$8)&lt;=1.92,"NO ATÍPICO")</f>
        <v>NO ATÍPICO</v>
      </c>
      <c r="L2782">
        <f t="shared" si="189"/>
        <v>300018</v>
      </c>
      <c r="M2782" t="str">
        <f t="shared" si="189"/>
        <v>TRABAJADOR INDEPENDIENTE</v>
      </c>
      <c r="N2782">
        <f t="shared" si="190"/>
        <v>49</v>
      </c>
      <c r="O2782" s="19" t="str">
        <f t="shared" si="191"/>
        <v>300k–600k</v>
      </c>
      <c r="P2782" s="19" t="str">
        <f t="shared" si="192"/>
        <v>46-55</v>
      </c>
    </row>
    <row r="2783" spans="1:16" x14ac:dyDescent="0.25">
      <c r="A2783">
        <v>2782</v>
      </c>
      <c r="B2783" t="s">
        <v>9</v>
      </c>
      <c r="C2783">
        <v>651569.96</v>
      </c>
      <c r="D2783" t="s">
        <v>10</v>
      </c>
      <c r="E2783" t="s">
        <v>16</v>
      </c>
      <c r="F2783" t="s">
        <v>12</v>
      </c>
      <c r="G2783" t="s">
        <v>13</v>
      </c>
      <c r="H2783" t="s">
        <v>13</v>
      </c>
      <c r="I2783">
        <v>33</v>
      </c>
      <c r="J2783" t="str" cm="1">
        <f t="array" ref="J2783">_xlfn.IFS(ISBLANK(C2783),"FALTANTE",ABS((C2783-$W$5)/$X$5)&gt;1.96,"ATÍPICO",ABS((C2783-$W$5)/$X$5)&lt;=1.96,"NO ATÍPICO")</f>
        <v>NO ATÍPICO</v>
      </c>
      <c r="K2783" t="str" cm="1">
        <f t="array" ref="K2783">_xlfn.IFS(ISBLANK(I2783),"FALTANTE",ABS((I2783-$W$8)/$X$8)&gt;1.92,"ATÍPICO",ABS((I2783-$W$8)/$X$8)&lt;=1.92,"NO ATÍPICO")</f>
        <v>NO ATÍPICO</v>
      </c>
      <c r="L2783">
        <f t="shared" si="189"/>
        <v>651569.96</v>
      </c>
      <c r="M2783" t="str">
        <f t="shared" si="189"/>
        <v>ASALARIADO</v>
      </c>
      <c r="N2783">
        <f t="shared" si="190"/>
        <v>33</v>
      </c>
      <c r="O2783" s="19" t="str">
        <f t="shared" si="191"/>
        <v>600k–900k</v>
      </c>
      <c r="P2783" s="19" t="str">
        <f t="shared" si="192"/>
        <v>26-35</v>
      </c>
    </row>
    <row r="2784" spans="1:16" x14ac:dyDescent="0.25">
      <c r="A2784">
        <v>2783</v>
      </c>
      <c r="B2784" t="s">
        <v>15</v>
      </c>
      <c r="C2784">
        <v>359544.27</v>
      </c>
      <c r="D2784" t="s">
        <v>21</v>
      </c>
      <c r="E2784" t="s">
        <v>16</v>
      </c>
      <c r="F2784" t="s">
        <v>12</v>
      </c>
      <c r="G2784" t="s">
        <v>12</v>
      </c>
      <c r="H2784" t="s">
        <v>13</v>
      </c>
      <c r="I2784">
        <v>47</v>
      </c>
      <c r="J2784" t="str" cm="1">
        <f t="array" ref="J2784">_xlfn.IFS(ISBLANK(C2784),"FALTANTE",ABS((C2784-$W$5)/$X$5)&gt;1.96,"ATÍPICO",ABS((C2784-$W$5)/$X$5)&lt;=1.96,"NO ATÍPICO")</f>
        <v>NO ATÍPICO</v>
      </c>
      <c r="K2784" t="str" cm="1">
        <f t="array" ref="K2784">_xlfn.IFS(ISBLANK(I2784),"FALTANTE",ABS((I2784-$W$8)/$X$8)&gt;1.92,"ATÍPICO",ABS((I2784-$W$8)/$X$8)&lt;=1.92,"NO ATÍPICO")</f>
        <v>NO ATÍPICO</v>
      </c>
      <c r="L2784">
        <f t="shared" si="189"/>
        <v>359544.27</v>
      </c>
      <c r="M2784" t="str">
        <f t="shared" si="189"/>
        <v>CONVENIOS ESPECIALES DE ASEGURADOS VOLUNTARIOS</v>
      </c>
      <c r="N2784">
        <f t="shared" si="190"/>
        <v>47</v>
      </c>
      <c r="O2784" s="19" t="str">
        <f t="shared" si="191"/>
        <v>300k–600k</v>
      </c>
      <c r="P2784" s="19" t="str">
        <f t="shared" si="192"/>
        <v>46-55</v>
      </c>
    </row>
    <row r="2785" spans="1:16" x14ac:dyDescent="0.25">
      <c r="A2785">
        <v>2784</v>
      </c>
      <c r="B2785" t="s">
        <v>15</v>
      </c>
      <c r="C2785">
        <v>554128</v>
      </c>
      <c r="D2785" t="s">
        <v>10</v>
      </c>
      <c r="E2785" t="s">
        <v>11</v>
      </c>
      <c r="F2785" t="s">
        <v>12</v>
      </c>
      <c r="G2785" t="s">
        <v>13</v>
      </c>
      <c r="H2785" t="s">
        <v>13</v>
      </c>
      <c r="I2785">
        <v>26</v>
      </c>
      <c r="J2785" t="str" cm="1">
        <f t="array" ref="J2785">_xlfn.IFS(ISBLANK(C2785),"FALTANTE",ABS((C2785-$W$5)/$X$5)&gt;1.96,"ATÍPICO",ABS((C2785-$W$5)/$X$5)&lt;=1.96,"NO ATÍPICO")</f>
        <v>NO ATÍPICO</v>
      </c>
      <c r="K2785" t="str" cm="1">
        <f t="array" ref="K2785">_xlfn.IFS(ISBLANK(I2785),"FALTANTE",ABS((I2785-$W$8)/$X$8)&gt;1.92,"ATÍPICO",ABS((I2785-$W$8)/$X$8)&lt;=1.92,"NO ATÍPICO")</f>
        <v>NO ATÍPICO</v>
      </c>
      <c r="L2785">
        <f t="shared" si="189"/>
        <v>554128</v>
      </c>
      <c r="M2785" t="str">
        <f t="shared" si="189"/>
        <v>ASALARIADO</v>
      </c>
      <c r="N2785">
        <f t="shared" si="190"/>
        <v>26</v>
      </c>
      <c r="O2785" s="19" t="str">
        <f t="shared" si="191"/>
        <v>300k–600k</v>
      </c>
      <c r="P2785" s="19" t="str">
        <f t="shared" si="192"/>
        <v>26-35</v>
      </c>
    </row>
    <row r="2786" spans="1:16" x14ac:dyDescent="0.25">
      <c r="A2786">
        <v>2785</v>
      </c>
      <c r="B2786" t="s">
        <v>9</v>
      </c>
      <c r="C2786">
        <v>493352.64</v>
      </c>
      <c r="D2786" t="s">
        <v>10</v>
      </c>
      <c r="E2786" t="s">
        <v>16</v>
      </c>
      <c r="F2786" t="s">
        <v>12</v>
      </c>
      <c r="G2786" t="s">
        <v>13</v>
      </c>
      <c r="H2786" t="s">
        <v>13</v>
      </c>
      <c r="I2786">
        <v>25</v>
      </c>
      <c r="J2786" t="str" cm="1">
        <f t="array" ref="J2786">_xlfn.IFS(ISBLANK(C2786),"FALTANTE",ABS((C2786-$W$5)/$X$5)&gt;1.96,"ATÍPICO",ABS((C2786-$W$5)/$X$5)&lt;=1.96,"NO ATÍPICO")</f>
        <v>NO ATÍPICO</v>
      </c>
      <c r="K2786" t="str" cm="1">
        <f t="array" ref="K2786">_xlfn.IFS(ISBLANK(I2786),"FALTANTE",ABS((I2786-$W$8)/$X$8)&gt;1.92,"ATÍPICO",ABS((I2786-$W$8)/$X$8)&lt;=1.92,"NO ATÍPICO")</f>
        <v>NO ATÍPICO</v>
      </c>
      <c r="L2786">
        <f t="shared" si="189"/>
        <v>493352.64</v>
      </c>
      <c r="M2786" t="str">
        <f t="shared" si="189"/>
        <v>ASALARIADO</v>
      </c>
      <c r="N2786">
        <f t="shared" si="190"/>
        <v>25</v>
      </c>
      <c r="O2786" s="19" t="str">
        <f t="shared" si="191"/>
        <v>300k–600k</v>
      </c>
      <c r="P2786" s="19" t="str">
        <f t="shared" si="192"/>
        <v>18-25</v>
      </c>
    </row>
    <row r="2787" spans="1:16" x14ac:dyDescent="0.25">
      <c r="A2787">
        <v>2786</v>
      </c>
      <c r="B2787" t="s">
        <v>9</v>
      </c>
      <c r="C2787">
        <v>264600</v>
      </c>
      <c r="D2787" t="s">
        <v>10</v>
      </c>
      <c r="E2787" t="s">
        <v>16</v>
      </c>
      <c r="F2787" t="s">
        <v>12</v>
      </c>
      <c r="G2787" t="s">
        <v>13</v>
      </c>
      <c r="H2787" t="s">
        <v>13</v>
      </c>
      <c r="I2787">
        <v>30</v>
      </c>
      <c r="J2787" t="str" cm="1">
        <f t="array" ref="J2787">_xlfn.IFS(ISBLANK(C2787),"FALTANTE",ABS((C2787-$W$5)/$X$5)&gt;1.96,"ATÍPICO",ABS((C2787-$W$5)/$X$5)&lt;=1.96,"NO ATÍPICO")</f>
        <v>NO ATÍPICO</v>
      </c>
      <c r="K2787" t="str" cm="1">
        <f t="array" ref="K2787">_xlfn.IFS(ISBLANK(I2787),"FALTANTE",ABS((I2787-$W$8)/$X$8)&gt;1.92,"ATÍPICO",ABS((I2787-$W$8)/$X$8)&lt;=1.92,"NO ATÍPICO")</f>
        <v>NO ATÍPICO</v>
      </c>
      <c r="L2787">
        <f t="shared" si="189"/>
        <v>264600</v>
      </c>
      <c r="M2787" t="str">
        <f t="shared" si="189"/>
        <v>ASALARIADO</v>
      </c>
      <c r="N2787">
        <f t="shared" si="190"/>
        <v>30</v>
      </c>
      <c r="O2787" s="19" t="str">
        <f t="shared" si="191"/>
        <v>0–300k</v>
      </c>
      <c r="P2787" s="19" t="str">
        <f t="shared" si="192"/>
        <v>26-35</v>
      </c>
    </row>
    <row r="2788" spans="1:16" x14ac:dyDescent="0.25">
      <c r="A2788">
        <v>2787</v>
      </c>
      <c r="B2788" t="s">
        <v>15</v>
      </c>
      <c r="C2788">
        <v>681931.83</v>
      </c>
      <c r="D2788" t="s">
        <v>10</v>
      </c>
      <c r="E2788" t="s">
        <v>16</v>
      </c>
      <c r="F2788" t="s">
        <v>12</v>
      </c>
      <c r="G2788" t="s">
        <v>13</v>
      </c>
      <c r="H2788" t="s">
        <v>13</v>
      </c>
      <c r="I2788">
        <v>34</v>
      </c>
      <c r="J2788" t="str" cm="1">
        <f t="array" ref="J2788">_xlfn.IFS(ISBLANK(C2788),"FALTANTE",ABS((C2788-$W$5)/$X$5)&gt;1.96,"ATÍPICO",ABS((C2788-$W$5)/$X$5)&lt;=1.96,"NO ATÍPICO")</f>
        <v>NO ATÍPICO</v>
      </c>
      <c r="K2788" t="str" cm="1">
        <f t="array" ref="K2788">_xlfn.IFS(ISBLANK(I2788),"FALTANTE",ABS((I2788-$W$8)/$X$8)&gt;1.92,"ATÍPICO",ABS((I2788-$W$8)/$X$8)&lt;=1.92,"NO ATÍPICO")</f>
        <v>NO ATÍPICO</v>
      </c>
      <c r="L2788">
        <f t="shared" si="189"/>
        <v>681931.83</v>
      </c>
      <c r="M2788" t="str">
        <f t="shared" si="189"/>
        <v>ASALARIADO</v>
      </c>
      <c r="N2788">
        <f t="shared" si="190"/>
        <v>34</v>
      </c>
      <c r="O2788" s="19" t="str">
        <f t="shared" si="191"/>
        <v>600k–900k</v>
      </c>
      <c r="P2788" s="19" t="str">
        <f t="shared" si="192"/>
        <v>26-35</v>
      </c>
    </row>
    <row r="2789" spans="1:16" x14ac:dyDescent="0.25">
      <c r="A2789">
        <v>2788</v>
      </c>
      <c r="B2789" t="s">
        <v>15</v>
      </c>
      <c r="C2789">
        <v>278030</v>
      </c>
      <c r="D2789" t="s">
        <v>19</v>
      </c>
      <c r="E2789" t="s">
        <v>16</v>
      </c>
      <c r="F2789" t="s">
        <v>12</v>
      </c>
      <c r="G2789" t="s">
        <v>13</v>
      </c>
      <c r="H2789" t="s">
        <v>13</v>
      </c>
      <c r="I2789">
        <v>25</v>
      </c>
      <c r="J2789" t="str" cm="1">
        <f t="array" ref="J2789">_xlfn.IFS(ISBLANK(C2789),"FALTANTE",ABS((C2789-$W$5)/$X$5)&gt;1.96,"ATÍPICO",ABS((C2789-$W$5)/$X$5)&lt;=1.96,"NO ATÍPICO")</f>
        <v>NO ATÍPICO</v>
      </c>
      <c r="K2789" t="str" cm="1">
        <f t="array" ref="K2789">_xlfn.IFS(ISBLANK(I2789),"FALTANTE",ABS((I2789-$W$8)/$X$8)&gt;1.92,"ATÍPICO",ABS((I2789-$W$8)/$X$8)&lt;=1.92,"NO ATÍPICO")</f>
        <v>NO ATÍPICO</v>
      </c>
      <c r="L2789">
        <f t="shared" si="189"/>
        <v>278030</v>
      </c>
      <c r="M2789" t="str">
        <f t="shared" si="189"/>
        <v>CONVENIOS ESPECIALES DE TRABAJADORES INDEPENDIENTES</v>
      </c>
      <c r="N2789">
        <f t="shared" si="190"/>
        <v>25</v>
      </c>
      <c r="O2789" s="19" t="str">
        <f t="shared" si="191"/>
        <v>0–300k</v>
      </c>
      <c r="P2789" s="19" t="str">
        <f t="shared" si="192"/>
        <v>18-25</v>
      </c>
    </row>
    <row r="2790" spans="1:16" x14ac:dyDescent="0.25">
      <c r="A2790">
        <v>2789</v>
      </c>
      <c r="B2790" t="s">
        <v>15</v>
      </c>
      <c r="C2790">
        <v>1725833</v>
      </c>
      <c r="D2790" t="s">
        <v>10</v>
      </c>
      <c r="E2790" t="s">
        <v>11</v>
      </c>
      <c r="F2790" t="s">
        <v>12</v>
      </c>
      <c r="G2790" t="s">
        <v>13</v>
      </c>
      <c r="H2790" t="s">
        <v>13</v>
      </c>
      <c r="I2790">
        <v>54</v>
      </c>
      <c r="J2790" t="str" cm="1">
        <f t="array" ref="J2790">_xlfn.IFS(ISBLANK(C2790),"FALTANTE",ABS((C2790-$W$5)/$X$5)&gt;1.96,"ATÍPICO",ABS((C2790-$W$5)/$X$5)&lt;=1.96,"NO ATÍPICO")</f>
        <v>NO ATÍPICO</v>
      </c>
      <c r="K2790" t="str" cm="1">
        <f t="array" ref="K2790">_xlfn.IFS(ISBLANK(I2790),"FALTANTE",ABS((I2790-$W$8)/$X$8)&gt;1.92,"ATÍPICO",ABS((I2790-$W$8)/$X$8)&lt;=1.92,"NO ATÍPICO")</f>
        <v>NO ATÍPICO</v>
      </c>
      <c r="L2790">
        <f t="shared" si="189"/>
        <v>1725833</v>
      </c>
      <c r="M2790" t="str">
        <f t="shared" si="189"/>
        <v>ASALARIADO</v>
      </c>
      <c r="N2790">
        <f t="shared" si="190"/>
        <v>54</v>
      </c>
      <c r="O2790" s="19" t="str">
        <f t="shared" si="191"/>
        <v>1200k+</v>
      </c>
      <c r="P2790" s="19" t="str">
        <f t="shared" si="192"/>
        <v>46-55</v>
      </c>
    </row>
    <row r="2791" spans="1:16" x14ac:dyDescent="0.25">
      <c r="A2791">
        <v>2790</v>
      </c>
      <c r="B2791" t="s">
        <v>9</v>
      </c>
      <c r="C2791">
        <v>1213114.5</v>
      </c>
      <c r="D2791" t="s">
        <v>10</v>
      </c>
      <c r="E2791" t="s">
        <v>11</v>
      </c>
      <c r="F2791" t="s">
        <v>12</v>
      </c>
      <c r="G2791" t="s">
        <v>13</v>
      </c>
      <c r="H2791" t="s">
        <v>13</v>
      </c>
      <c r="I2791">
        <v>39</v>
      </c>
      <c r="J2791" t="str" cm="1">
        <f t="array" ref="J2791">_xlfn.IFS(ISBLANK(C2791),"FALTANTE",ABS((C2791-$W$5)/$X$5)&gt;1.96,"ATÍPICO",ABS((C2791-$W$5)/$X$5)&lt;=1.96,"NO ATÍPICO")</f>
        <v>NO ATÍPICO</v>
      </c>
      <c r="K2791" t="str" cm="1">
        <f t="array" ref="K2791">_xlfn.IFS(ISBLANK(I2791),"FALTANTE",ABS((I2791-$W$8)/$X$8)&gt;1.92,"ATÍPICO",ABS((I2791-$W$8)/$X$8)&lt;=1.92,"NO ATÍPICO")</f>
        <v>NO ATÍPICO</v>
      </c>
      <c r="L2791">
        <f t="shared" si="189"/>
        <v>1213114.5</v>
      </c>
      <c r="M2791" t="str">
        <f t="shared" si="189"/>
        <v>ASALARIADO</v>
      </c>
      <c r="N2791">
        <f t="shared" si="190"/>
        <v>39</v>
      </c>
      <c r="O2791" s="19" t="str">
        <f t="shared" si="191"/>
        <v>1200k+</v>
      </c>
      <c r="P2791" s="19" t="str">
        <f t="shared" si="192"/>
        <v>36-45</v>
      </c>
    </row>
    <row r="2792" spans="1:16" x14ac:dyDescent="0.25">
      <c r="A2792">
        <v>2791</v>
      </c>
      <c r="B2792" t="s">
        <v>15</v>
      </c>
      <c r="C2792">
        <v>335772</v>
      </c>
      <c r="D2792" t="s">
        <v>10</v>
      </c>
      <c r="E2792" t="s">
        <v>11</v>
      </c>
      <c r="F2792" t="s">
        <v>12</v>
      </c>
      <c r="G2792" t="s">
        <v>13</v>
      </c>
      <c r="H2792" t="s">
        <v>12</v>
      </c>
      <c r="I2792">
        <v>51</v>
      </c>
      <c r="J2792" t="str" cm="1">
        <f t="array" ref="J2792">_xlfn.IFS(ISBLANK(C2792),"FALTANTE",ABS((C2792-$W$5)/$X$5)&gt;1.96,"ATÍPICO",ABS((C2792-$W$5)/$X$5)&lt;=1.96,"NO ATÍPICO")</f>
        <v>NO ATÍPICO</v>
      </c>
      <c r="K2792" t="str" cm="1">
        <f t="array" ref="K2792">_xlfn.IFS(ISBLANK(I2792),"FALTANTE",ABS((I2792-$W$8)/$X$8)&gt;1.92,"ATÍPICO",ABS((I2792-$W$8)/$X$8)&lt;=1.92,"NO ATÍPICO")</f>
        <v>NO ATÍPICO</v>
      </c>
      <c r="L2792">
        <f t="shared" si="189"/>
        <v>335772</v>
      </c>
      <c r="M2792" t="str">
        <f t="shared" si="189"/>
        <v>ASALARIADO</v>
      </c>
      <c r="N2792">
        <f t="shared" si="190"/>
        <v>51</v>
      </c>
      <c r="O2792" s="19" t="str">
        <f t="shared" si="191"/>
        <v>300k–600k</v>
      </c>
      <c r="P2792" s="19" t="str">
        <f t="shared" si="192"/>
        <v>46-55</v>
      </c>
    </row>
    <row r="2793" spans="1:16" x14ac:dyDescent="0.25">
      <c r="A2793">
        <v>2792</v>
      </c>
      <c r="B2793" t="s">
        <v>15</v>
      </c>
      <c r="C2793">
        <v>497847.64</v>
      </c>
      <c r="D2793" t="s">
        <v>10</v>
      </c>
      <c r="E2793" t="s">
        <v>16</v>
      </c>
      <c r="F2793" t="s">
        <v>12</v>
      </c>
      <c r="G2793" t="s">
        <v>13</v>
      </c>
      <c r="H2793" t="s">
        <v>13</v>
      </c>
      <c r="I2793">
        <v>45</v>
      </c>
      <c r="J2793" t="str" cm="1">
        <f t="array" ref="J2793">_xlfn.IFS(ISBLANK(C2793),"FALTANTE",ABS((C2793-$W$5)/$X$5)&gt;1.96,"ATÍPICO",ABS((C2793-$W$5)/$X$5)&lt;=1.96,"NO ATÍPICO")</f>
        <v>NO ATÍPICO</v>
      </c>
      <c r="K2793" t="str" cm="1">
        <f t="array" ref="K2793">_xlfn.IFS(ISBLANK(I2793),"FALTANTE",ABS((I2793-$W$8)/$X$8)&gt;1.92,"ATÍPICO",ABS((I2793-$W$8)/$X$8)&lt;=1.92,"NO ATÍPICO")</f>
        <v>NO ATÍPICO</v>
      </c>
      <c r="L2793">
        <f t="shared" si="189"/>
        <v>497847.64</v>
      </c>
      <c r="M2793" t="str">
        <f t="shared" si="189"/>
        <v>ASALARIADO</v>
      </c>
      <c r="N2793">
        <f t="shared" si="190"/>
        <v>45</v>
      </c>
      <c r="O2793" s="19" t="str">
        <f t="shared" si="191"/>
        <v>300k–600k</v>
      </c>
      <c r="P2793" s="19" t="str">
        <f t="shared" si="192"/>
        <v>36-45</v>
      </c>
    </row>
    <row r="2794" spans="1:16" x14ac:dyDescent="0.25">
      <c r="A2794">
        <v>2793</v>
      </c>
      <c r="B2794" t="s">
        <v>9</v>
      </c>
      <c r="C2794">
        <v>480488</v>
      </c>
      <c r="D2794" t="s">
        <v>10</v>
      </c>
      <c r="E2794" t="s">
        <v>16</v>
      </c>
      <c r="F2794" t="s">
        <v>12</v>
      </c>
      <c r="G2794" t="s">
        <v>12</v>
      </c>
      <c r="H2794" t="s">
        <v>13</v>
      </c>
      <c r="I2794">
        <v>23</v>
      </c>
      <c r="J2794" t="str" cm="1">
        <f t="array" ref="J2794">_xlfn.IFS(ISBLANK(C2794),"FALTANTE",ABS((C2794-$W$5)/$X$5)&gt;1.96,"ATÍPICO",ABS((C2794-$W$5)/$X$5)&lt;=1.96,"NO ATÍPICO")</f>
        <v>NO ATÍPICO</v>
      </c>
      <c r="K2794" t="str" cm="1">
        <f t="array" ref="K2794">_xlfn.IFS(ISBLANK(I2794),"FALTANTE",ABS((I2794-$W$8)/$X$8)&gt;1.92,"ATÍPICO",ABS((I2794-$W$8)/$X$8)&lt;=1.92,"NO ATÍPICO")</f>
        <v>NO ATÍPICO</v>
      </c>
      <c r="L2794">
        <f t="shared" si="189"/>
        <v>480488</v>
      </c>
      <c r="M2794" t="str">
        <f t="shared" si="189"/>
        <v>ASALARIADO</v>
      </c>
      <c r="N2794">
        <f t="shared" si="190"/>
        <v>23</v>
      </c>
      <c r="O2794" s="19" t="str">
        <f t="shared" si="191"/>
        <v>300k–600k</v>
      </c>
      <c r="P2794" s="19" t="str">
        <f t="shared" si="192"/>
        <v>18-25</v>
      </c>
    </row>
    <row r="2795" spans="1:16" x14ac:dyDescent="0.25">
      <c r="A2795">
        <v>2794</v>
      </c>
      <c r="B2795" t="s">
        <v>9</v>
      </c>
      <c r="C2795">
        <v>359544.27</v>
      </c>
      <c r="D2795" t="s">
        <v>21</v>
      </c>
      <c r="E2795" t="s">
        <v>16</v>
      </c>
      <c r="F2795" t="s">
        <v>12</v>
      </c>
      <c r="G2795" t="s">
        <v>12</v>
      </c>
      <c r="H2795" t="s">
        <v>13</v>
      </c>
      <c r="I2795">
        <v>61</v>
      </c>
      <c r="J2795" t="str" cm="1">
        <f t="array" ref="J2795">_xlfn.IFS(ISBLANK(C2795),"FALTANTE",ABS((C2795-$W$5)/$X$5)&gt;1.96,"ATÍPICO",ABS((C2795-$W$5)/$X$5)&lt;=1.96,"NO ATÍPICO")</f>
        <v>NO ATÍPICO</v>
      </c>
      <c r="K2795" t="str" cm="1">
        <f t="array" ref="K2795">_xlfn.IFS(ISBLANK(I2795),"FALTANTE",ABS((I2795-$W$8)/$X$8)&gt;1.92,"ATÍPICO",ABS((I2795-$W$8)/$X$8)&lt;=1.92,"NO ATÍPICO")</f>
        <v>NO ATÍPICO</v>
      </c>
      <c r="L2795">
        <f t="shared" si="189"/>
        <v>359544.27</v>
      </c>
      <c r="M2795" t="str">
        <f t="shared" si="189"/>
        <v>CONVENIOS ESPECIALES DE ASEGURADOS VOLUNTARIOS</v>
      </c>
      <c r="N2795">
        <f t="shared" si="190"/>
        <v>61</v>
      </c>
      <c r="O2795" s="19" t="str">
        <f t="shared" si="191"/>
        <v>300k–600k</v>
      </c>
      <c r="P2795" s="19" t="str">
        <f t="shared" si="192"/>
        <v>56+</v>
      </c>
    </row>
    <row r="2796" spans="1:16" x14ac:dyDescent="0.25">
      <c r="A2796">
        <v>2795</v>
      </c>
      <c r="B2796" t="s">
        <v>15</v>
      </c>
      <c r="C2796">
        <v>602634</v>
      </c>
      <c r="D2796" t="s">
        <v>10</v>
      </c>
      <c r="E2796" t="s">
        <v>11</v>
      </c>
      <c r="F2796" t="s">
        <v>12</v>
      </c>
      <c r="G2796" t="s">
        <v>13</v>
      </c>
      <c r="H2796" t="s">
        <v>13</v>
      </c>
      <c r="I2796">
        <v>35</v>
      </c>
      <c r="J2796" t="str" cm="1">
        <f t="array" ref="J2796">_xlfn.IFS(ISBLANK(C2796),"FALTANTE",ABS((C2796-$W$5)/$X$5)&gt;1.96,"ATÍPICO",ABS((C2796-$W$5)/$X$5)&lt;=1.96,"NO ATÍPICO")</f>
        <v>NO ATÍPICO</v>
      </c>
      <c r="K2796" t="str" cm="1">
        <f t="array" ref="K2796">_xlfn.IFS(ISBLANK(I2796),"FALTANTE",ABS((I2796-$W$8)/$X$8)&gt;1.92,"ATÍPICO",ABS((I2796-$W$8)/$X$8)&lt;=1.92,"NO ATÍPICO")</f>
        <v>NO ATÍPICO</v>
      </c>
      <c r="L2796">
        <f t="shared" si="189"/>
        <v>602634</v>
      </c>
      <c r="M2796" t="str">
        <f t="shared" si="189"/>
        <v>ASALARIADO</v>
      </c>
      <c r="N2796">
        <f t="shared" si="190"/>
        <v>35</v>
      </c>
      <c r="O2796" s="19" t="str">
        <f t="shared" si="191"/>
        <v>600k–900k</v>
      </c>
      <c r="P2796" s="19" t="str">
        <f t="shared" si="192"/>
        <v>26-35</v>
      </c>
    </row>
    <row r="2797" spans="1:16" x14ac:dyDescent="0.25">
      <c r="A2797">
        <v>2796</v>
      </c>
      <c r="B2797" t="s">
        <v>15</v>
      </c>
      <c r="C2797">
        <v>297046</v>
      </c>
      <c r="D2797" t="s">
        <v>18</v>
      </c>
      <c r="E2797" t="s">
        <v>16</v>
      </c>
      <c r="F2797" t="s">
        <v>12</v>
      </c>
      <c r="G2797" t="s">
        <v>13</v>
      </c>
      <c r="H2797" t="s">
        <v>13</v>
      </c>
      <c r="I2797">
        <v>43</v>
      </c>
      <c r="J2797" t="str" cm="1">
        <f t="array" ref="J2797">_xlfn.IFS(ISBLANK(C2797),"FALTANTE",ABS((C2797-$W$5)/$X$5)&gt;1.96,"ATÍPICO",ABS((C2797-$W$5)/$X$5)&lt;=1.96,"NO ATÍPICO")</f>
        <v>NO ATÍPICO</v>
      </c>
      <c r="K2797" t="str" cm="1">
        <f t="array" ref="K2797">_xlfn.IFS(ISBLANK(I2797),"FALTANTE",ABS((I2797-$W$8)/$X$8)&gt;1.92,"ATÍPICO",ABS((I2797-$W$8)/$X$8)&lt;=1.92,"NO ATÍPICO")</f>
        <v>NO ATÍPICO</v>
      </c>
      <c r="L2797">
        <f t="shared" si="189"/>
        <v>297046</v>
      </c>
      <c r="M2797" t="str">
        <f t="shared" si="189"/>
        <v>TRABAJADOR INDEPENDIENTE</v>
      </c>
      <c r="N2797">
        <f t="shared" si="190"/>
        <v>43</v>
      </c>
      <c r="O2797" s="19" t="str">
        <f t="shared" si="191"/>
        <v>0–300k</v>
      </c>
      <c r="P2797" s="19" t="str">
        <f t="shared" si="192"/>
        <v>36-45</v>
      </c>
    </row>
    <row r="2798" spans="1:16" x14ac:dyDescent="0.25">
      <c r="A2798">
        <v>2797</v>
      </c>
      <c r="B2798" t="s">
        <v>15</v>
      </c>
      <c r="C2798">
        <v>1840146.75</v>
      </c>
      <c r="D2798" t="s">
        <v>10</v>
      </c>
      <c r="E2798" t="s">
        <v>11</v>
      </c>
      <c r="F2798" t="s">
        <v>12</v>
      </c>
      <c r="G2798" t="s">
        <v>13</v>
      </c>
      <c r="H2798" t="s">
        <v>13</v>
      </c>
      <c r="I2798">
        <v>49</v>
      </c>
      <c r="J2798" t="str" cm="1">
        <f t="array" ref="J2798">_xlfn.IFS(ISBLANK(C2798),"FALTANTE",ABS((C2798-$W$5)/$X$5)&gt;1.96,"ATÍPICO",ABS((C2798-$W$5)/$X$5)&lt;=1.96,"NO ATÍPICO")</f>
        <v>NO ATÍPICO</v>
      </c>
      <c r="K2798" t="str" cm="1">
        <f t="array" ref="K2798">_xlfn.IFS(ISBLANK(I2798),"FALTANTE",ABS((I2798-$W$8)/$X$8)&gt;1.92,"ATÍPICO",ABS((I2798-$W$8)/$X$8)&lt;=1.92,"NO ATÍPICO")</f>
        <v>NO ATÍPICO</v>
      </c>
      <c r="L2798">
        <f t="shared" si="189"/>
        <v>1840146.75</v>
      </c>
      <c r="M2798" t="str">
        <f t="shared" si="189"/>
        <v>ASALARIADO</v>
      </c>
      <c r="N2798">
        <f t="shared" si="190"/>
        <v>49</v>
      </c>
      <c r="O2798" s="19" t="str">
        <f t="shared" si="191"/>
        <v>1200k+</v>
      </c>
      <c r="P2798" s="19" t="str">
        <f t="shared" si="192"/>
        <v>46-55</v>
      </c>
    </row>
    <row r="2799" spans="1:16" x14ac:dyDescent="0.25">
      <c r="A2799">
        <v>2798</v>
      </c>
      <c r="B2799" t="s">
        <v>15</v>
      </c>
      <c r="C2799">
        <v>297046</v>
      </c>
      <c r="D2799" t="s">
        <v>17</v>
      </c>
      <c r="E2799" t="s">
        <v>16</v>
      </c>
      <c r="F2799" t="s">
        <v>12</v>
      </c>
      <c r="G2799" t="s">
        <v>13</v>
      </c>
      <c r="H2799" t="s">
        <v>13</v>
      </c>
      <c r="I2799">
        <v>62</v>
      </c>
      <c r="J2799" t="str" cm="1">
        <f t="array" ref="J2799">_xlfn.IFS(ISBLANK(C2799),"FALTANTE",ABS((C2799-$W$5)/$X$5)&gt;1.96,"ATÍPICO",ABS((C2799-$W$5)/$X$5)&lt;=1.96,"NO ATÍPICO")</f>
        <v>NO ATÍPICO</v>
      </c>
      <c r="K2799" t="str" cm="1">
        <f t="array" ref="K2799">_xlfn.IFS(ISBLANK(I2799),"FALTANTE",ABS((I2799-$W$8)/$X$8)&gt;1.92,"ATÍPICO",ABS((I2799-$W$8)/$X$8)&lt;=1.92,"NO ATÍPICO")</f>
        <v>NO ATÍPICO</v>
      </c>
      <c r="L2799">
        <f t="shared" si="189"/>
        <v>297046</v>
      </c>
      <c r="M2799" t="str">
        <f t="shared" si="189"/>
        <v>ASEGURADO VOLUNTARIO</v>
      </c>
      <c r="N2799">
        <f t="shared" si="190"/>
        <v>62</v>
      </c>
      <c r="O2799" s="19" t="str">
        <f t="shared" si="191"/>
        <v>0–300k</v>
      </c>
      <c r="P2799" s="19" t="str">
        <f t="shared" si="192"/>
        <v>56+</v>
      </c>
    </row>
    <row r="2800" spans="1:16" x14ac:dyDescent="0.25">
      <c r="A2800">
        <v>2799</v>
      </c>
      <c r="B2800" t="s">
        <v>15</v>
      </c>
      <c r="C2800">
        <v>358000</v>
      </c>
      <c r="D2800" t="s">
        <v>10</v>
      </c>
      <c r="E2800" t="s">
        <v>16</v>
      </c>
      <c r="F2800" t="s">
        <v>12</v>
      </c>
      <c r="G2800" t="s">
        <v>12</v>
      </c>
      <c r="H2800" t="s">
        <v>13</v>
      </c>
      <c r="I2800">
        <v>29</v>
      </c>
      <c r="J2800" t="str" cm="1">
        <f t="array" ref="J2800">_xlfn.IFS(ISBLANK(C2800),"FALTANTE",ABS((C2800-$W$5)/$X$5)&gt;1.96,"ATÍPICO",ABS((C2800-$W$5)/$X$5)&lt;=1.96,"NO ATÍPICO")</f>
        <v>NO ATÍPICO</v>
      </c>
      <c r="K2800" t="str" cm="1">
        <f t="array" ref="K2800">_xlfn.IFS(ISBLANK(I2800),"FALTANTE",ABS((I2800-$W$8)/$X$8)&gt;1.92,"ATÍPICO",ABS((I2800-$W$8)/$X$8)&lt;=1.92,"NO ATÍPICO")</f>
        <v>NO ATÍPICO</v>
      </c>
      <c r="L2800">
        <f t="shared" si="189"/>
        <v>358000</v>
      </c>
      <c r="M2800" t="str">
        <f t="shared" si="189"/>
        <v>ASALARIADO</v>
      </c>
      <c r="N2800">
        <f t="shared" si="190"/>
        <v>29</v>
      </c>
      <c r="O2800" s="19" t="str">
        <f t="shared" si="191"/>
        <v>300k–600k</v>
      </c>
      <c r="P2800" s="19" t="str">
        <f t="shared" si="192"/>
        <v>26-35</v>
      </c>
    </row>
    <row r="2801" spans="1:16" x14ac:dyDescent="0.25">
      <c r="A2801">
        <v>2800</v>
      </c>
      <c r="B2801" t="s">
        <v>9</v>
      </c>
      <c r="C2801">
        <v>436134</v>
      </c>
      <c r="D2801" t="s">
        <v>10</v>
      </c>
      <c r="E2801" t="s">
        <v>16</v>
      </c>
      <c r="F2801" t="s">
        <v>12</v>
      </c>
      <c r="G2801" t="s">
        <v>13</v>
      </c>
      <c r="H2801" t="s">
        <v>13</v>
      </c>
      <c r="I2801">
        <v>23</v>
      </c>
      <c r="J2801" t="str" cm="1">
        <f t="array" ref="J2801">_xlfn.IFS(ISBLANK(C2801),"FALTANTE",ABS((C2801-$W$5)/$X$5)&gt;1.96,"ATÍPICO",ABS((C2801-$W$5)/$X$5)&lt;=1.96,"NO ATÍPICO")</f>
        <v>NO ATÍPICO</v>
      </c>
      <c r="K2801" t="str" cm="1">
        <f t="array" ref="K2801">_xlfn.IFS(ISBLANK(I2801),"FALTANTE",ABS((I2801-$W$8)/$X$8)&gt;1.92,"ATÍPICO",ABS((I2801-$W$8)/$X$8)&lt;=1.92,"NO ATÍPICO")</f>
        <v>NO ATÍPICO</v>
      </c>
      <c r="L2801">
        <f t="shared" si="189"/>
        <v>436134</v>
      </c>
      <c r="M2801" t="str">
        <f t="shared" si="189"/>
        <v>ASALARIADO</v>
      </c>
      <c r="N2801">
        <f t="shared" si="190"/>
        <v>23</v>
      </c>
      <c r="O2801" s="19" t="str">
        <f t="shared" si="191"/>
        <v>300k–600k</v>
      </c>
      <c r="P2801" s="19" t="str">
        <f t="shared" si="192"/>
        <v>18-25</v>
      </c>
    </row>
    <row r="2802" spans="1:16" x14ac:dyDescent="0.25">
      <c r="A2802">
        <v>2801</v>
      </c>
      <c r="B2802" t="s">
        <v>9</v>
      </c>
      <c r="C2802">
        <v>375277</v>
      </c>
      <c r="D2802" t="s">
        <v>10</v>
      </c>
      <c r="E2802" t="s">
        <v>11</v>
      </c>
      <c r="F2802" t="s">
        <v>12</v>
      </c>
      <c r="G2802" t="s">
        <v>13</v>
      </c>
      <c r="H2802" t="s">
        <v>12</v>
      </c>
      <c r="I2802">
        <v>54</v>
      </c>
      <c r="J2802" t="str" cm="1">
        <f t="array" ref="J2802">_xlfn.IFS(ISBLANK(C2802),"FALTANTE",ABS((C2802-$W$5)/$X$5)&gt;1.96,"ATÍPICO",ABS((C2802-$W$5)/$X$5)&lt;=1.96,"NO ATÍPICO")</f>
        <v>NO ATÍPICO</v>
      </c>
      <c r="K2802" t="str" cm="1">
        <f t="array" ref="K2802">_xlfn.IFS(ISBLANK(I2802),"FALTANTE",ABS((I2802-$W$8)/$X$8)&gt;1.92,"ATÍPICO",ABS((I2802-$W$8)/$X$8)&lt;=1.92,"NO ATÍPICO")</f>
        <v>NO ATÍPICO</v>
      </c>
      <c r="L2802">
        <f t="shared" si="189"/>
        <v>375277</v>
      </c>
      <c r="M2802" t="str">
        <f t="shared" si="189"/>
        <v>ASALARIADO</v>
      </c>
      <c r="N2802">
        <f t="shared" si="190"/>
        <v>54</v>
      </c>
      <c r="O2802" s="19" t="str">
        <f t="shared" si="191"/>
        <v>300k–600k</v>
      </c>
      <c r="P2802" s="19" t="str">
        <f t="shared" si="192"/>
        <v>46-55</v>
      </c>
    </row>
    <row r="2803" spans="1:16" x14ac:dyDescent="0.25">
      <c r="A2803">
        <v>2802</v>
      </c>
      <c r="B2803" t="s">
        <v>9</v>
      </c>
      <c r="C2803">
        <v>1037264</v>
      </c>
      <c r="D2803" t="s">
        <v>10</v>
      </c>
      <c r="E2803" t="s">
        <v>16</v>
      </c>
      <c r="F2803" t="s">
        <v>12</v>
      </c>
      <c r="G2803" t="s">
        <v>13</v>
      </c>
      <c r="H2803" t="s">
        <v>13</v>
      </c>
      <c r="I2803">
        <v>36</v>
      </c>
      <c r="J2803" t="str" cm="1">
        <f t="array" ref="J2803">_xlfn.IFS(ISBLANK(C2803),"FALTANTE",ABS((C2803-$W$5)/$X$5)&gt;1.96,"ATÍPICO",ABS((C2803-$W$5)/$X$5)&lt;=1.96,"NO ATÍPICO")</f>
        <v>NO ATÍPICO</v>
      </c>
      <c r="K2803" t="str" cm="1">
        <f t="array" ref="K2803">_xlfn.IFS(ISBLANK(I2803),"FALTANTE",ABS((I2803-$W$8)/$X$8)&gt;1.92,"ATÍPICO",ABS((I2803-$W$8)/$X$8)&lt;=1.92,"NO ATÍPICO")</f>
        <v>NO ATÍPICO</v>
      </c>
      <c r="L2803">
        <f t="shared" si="189"/>
        <v>1037264</v>
      </c>
      <c r="M2803" t="str">
        <f t="shared" si="189"/>
        <v>ASALARIADO</v>
      </c>
      <c r="N2803">
        <f t="shared" si="190"/>
        <v>36</v>
      </c>
      <c r="O2803" s="19" t="str">
        <f t="shared" si="191"/>
        <v>900k–1200k</v>
      </c>
      <c r="P2803" s="19" t="str">
        <f t="shared" si="192"/>
        <v>36-45</v>
      </c>
    </row>
    <row r="2804" spans="1:16" x14ac:dyDescent="0.25">
      <c r="A2804">
        <v>2803</v>
      </c>
      <c r="B2804" t="s">
        <v>9</v>
      </c>
      <c r="C2804">
        <v>70000</v>
      </c>
      <c r="D2804" t="s">
        <v>10</v>
      </c>
      <c r="E2804" t="s">
        <v>16</v>
      </c>
      <c r="F2804" t="s">
        <v>12</v>
      </c>
      <c r="G2804" t="s">
        <v>13</v>
      </c>
      <c r="H2804" t="s">
        <v>13</v>
      </c>
      <c r="I2804">
        <v>47</v>
      </c>
      <c r="J2804" t="str" cm="1">
        <f t="array" ref="J2804">_xlfn.IFS(ISBLANK(C2804),"FALTANTE",ABS((C2804-$W$5)/$X$5)&gt;1.96,"ATÍPICO",ABS((C2804-$W$5)/$X$5)&lt;=1.96,"NO ATÍPICO")</f>
        <v>NO ATÍPICO</v>
      </c>
      <c r="K2804" t="str" cm="1">
        <f t="array" ref="K2804">_xlfn.IFS(ISBLANK(I2804),"FALTANTE",ABS((I2804-$W$8)/$X$8)&gt;1.92,"ATÍPICO",ABS((I2804-$W$8)/$X$8)&lt;=1.92,"NO ATÍPICO")</f>
        <v>NO ATÍPICO</v>
      </c>
      <c r="L2804">
        <f t="shared" si="189"/>
        <v>70000</v>
      </c>
      <c r="M2804" t="str">
        <f t="shared" si="189"/>
        <v>ASALARIADO</v>
      </c>
      <c r="N2804">
        <f t="shared" si="190"/>
        <v>47</v>
      </c>
      <c r="O2804" s="19" t="str">
        <f t="shared" si="191"/>
        <v>0–300k</v>
      </c>
      <c r="P2804" s="19" t="str">
        <f t="shared" si="192"/>
        <v>46-55</v>
      </c>
    </row>
    <row r="2805" spans="1:16" x14ac:dyDescent="0.25">
      <c r="A2805">
        <v>2804</v>
      </c>
      <c r="B2805" t="s">
        <v>9</v>
      </c>
      <c r="C2805">
        <v>383265.76</v>
      </c>
      <c r="D2805" t="s">
        <v>10</v>
      </c>
      <c r="E2805" t="s">
        <v>16</v>
      </c>
      <c r="F2805" t="s">
        <v>12</v>
      </c>
      <c r="G2805" t="s">
        <v>13</v>
      </c>
      <c r="H2805" t="s">
        <v>13</v>
      </c>
      <c r="I2805">
        <v>56</v>
      </c>
      <c r="J2805" t="str" cm="1">
        <f t="array" ref="J2805">_xlfn.IFS(ISBLANK(C2805),"FALTANTE",ABS((C2805-$W$5)/$X$5)&gt;1.96,"ATÍPICO",ABS((C2805-$W$5)/$X$5)&lt;=1.96,"NO ATÍPICO")</f>
        <v>NO ATÍPICO</v>
      </c>
      <c r="K2805" t="str" cm="1">
        <f t="array" ref="K2805">_xlfn.IFS(ISBLANK(I2805),"FALTANTE",ABS((I2805-$W$8)/$X$8)&gt;1.92,"ATÍPICO",ABS((I2805-$W$8)/$X$8)&lt;=1.92,"NO ATÍPICO")</f>
        <v>NO ATÍPICO</v>
      </c>
      <c r="L2805">
        <f t="shared" si="189"/>
        <v>383265.76</v>
      </c>
      <c r="M2805" t="str">
        <f t="shared" si="189"/>
        <v>ASALARIADO</v>
      </c>
      <c r="N2805">
        <f t="shared" si="190"/>
        <v>56</v>
      </c>
      <c r="O2805" s="19" t="str">
        <f t="shared" si="191"/>
        <v>300k–600k</v>
      </c>
      <c r="P2805" s="19" t="str">
        <f t="shared" si="192"/>
        <v>56+</v>
      </c>
    </row>
    <row r="2806" spans="1:16" x14ac:dyDescent="0.25">
      <c r="A2806">
        <v>2805</v>
      </c>
      <c r="B2806" t="s">
        <v>9</v>
      </c>
      <c r="C2806">
        <v>1302821</v>
      </c>
      <c r="D2806" t="s">
        <v>10</v>
      </c>
      <c r="E2806" t="s">
        <v>11</v>
      </c>
      <c r="F2806" t="s">
        <v>12</v>
      </c>
      <c r="G2806" t="s">
        <v>13</v>
      </c>
      <c r="H2806" t="s">
        <v>13</v>
      </c>
      <c r="I2806">
        <v>42</v>
      </c>
      <c r="J2806" t="str" cm="1">
        <f t="array" ref="J2806">_xlfn.IFS(ISBLANK(C2806),"FALTANTE",ABS((C2806-$W$5)/$X$5)&gt;1.96,"ATÍPICO",ABS((C2806-$W$5)/$X$5)&lt;=1.96,"NO ATÍPICO")</f>
        <v>NO ATÍPICO</v>
      </c>
      <c r="K2806" t="str" cm="1">
        <f t="array" ref="K2806">_xlfn.IFS(ISBLANK(I2806),"FALTANTE",ABS((I2806-$W$8)/$X$8)&gt;1.92,"ATÍPICO",ABS((I2806-$W$8)/$X$8)&lt;=1.92,"NO ATÍPICO")</f>
        <v>NO ATÍPICO</v>
      </c>
      <c r="L2806">
        <f t="shared" si="189"/>
        <v>1302821</v>
      </c>
      <c r="M2806" t="str">
        <f t="shared" si="189"/>
        <v>ASALARIADO</v>
      </c>
      <c r="N2806">
        <f t="shared" si="190"/>
        <v>42</v>
      </c>
      <c r="O2806" s="19" t="str">
        <f t="shared" si="191"/>
        <v>1200k+</v>
      </c>
      <c r="P2806" s="19" t="str">
        <f t="shared" si="192"/>
        <v>36-45</v>
      </c>
    </row>
    <row r="2807" spans="1:16" x14ac:dyDescent="0.25">
      <c r="A2807">
        <v>2806</v>
      </c>
      <c r="B2807" t="s">
        <v>15</v>
      </c>
      <c r="C2807">
        <v>385886</v>
      </c>
      <c r="D2807" t="s">
        <v>14</v>
      </c>
      <c r="E2807" t="s">
        <v>11</v>
      </c>
      <c r="F2807" t="s">
        <v>12</v>
      </c>
      <c r="G2807" t="s">
        <v>13</v>
      </c>
      <c r="H2807" t="s">
        <v>13</v>
      </c>
      <c r="I2807">
        <v>73</v>
      </c>
      <c r="J2807" t="str" cm="1">
        <f t="array" ref="J2807">_xlfn.IFS(ISBLANK(C2807),"FALTANTE",ABS((C2807-$W$5)/$X$5)&gt;1.96,"ATÍPICO",ABS((C2807-$W$5)/$X$5)&lt;=1.96,"NO ATÍPICO")</f>
        <v>NO ATÍPICO</v>
      </c>
      <c r="K2807" t="str" cm="1">
        <f t="array" ref="K2807">_xlfn.IFS(ISBLANK(I2807),"FALTANTE",ABS((I2807-$W$8)/$X$8)&gt;1.92,"ATÍPICO",ABS((I2807-$W$8)/$X$8)&lt;=1.92,"NO ATÍPICO")</f>
        <v>ATÍPICO</v>
      </c>
      <c r="L2807">
        <f t="shared" si="189"/>
        <v>385886</v>
      </c>
      <c r="M2807" t="str">
        <f t="shared" si="189"/>
        <v>PENSIONADOS EN SU PROPIO SISTEMA</v>
      </c>
      <c r="N2807">
        <f t="shared" si="190"/>
        <v>73</v>
      </c>
      <c r="O2807" s="19" t="str">
        <f t="shared" si="191"/>
        <v>300k–600k</v>
      </c>
      <c r="P2807" s="19" t="str">
        <f t="shared" si="192"/>
        <v>56+</v>
      </c>
    </row>
    <row r="2808" spans="1:16" x14ac:dyDescent="0.25">
      <c r="A2808">
        <v>2807</v>
      </c>
      <c r="B2808" t="s">
        <v>9</v>
      </c>
      <c r="C2808">
        <v>297046</v>
      </c>
      <c r="D2808" t="s">
        <v>18</v>
      </c>
      <c r="E2808" t="s">
        <v>16</v>
      </c>
      <c r="F2808" t="s">
        <v>12</v>
      </c>
      <c r="G2808" t="s">
        <v>13</v>
      </c>
      <c r="H2808" t="s">
        <v>12</v>
      </c>
      <c r="I2808">
        <v>39</v>
      </c>
      <c r="J2808" t="str" cm="1">
        <f t="array" ref="J2808">_xlfn.IFS(ISBLANK(C2808),"FALTANTE",ABS((C2808-$W$5)/$X$5)&gt;1.96,"ATÍPICO",ABS((C2808-$W$5)/$X$5)&lt;=1.96,"NO ATÍPICO")</f>
        <v>NO ATÍPICO</v>
      </c>
      <c r="K2808" t="str" cm="1">
        <f t="array" ref="K2808">_xlfn.IFS(ISBLANK(I2808),"FALTANTE",ABS((I2808-$W$8)/$X$8)&gt;1.92,"ATÍPICO",ABS((I2808-$W$8)/$X$8)&lt;=1.92,"NO ATÍPICO")</f>
        <v>NO ATÍPICO</v>
      </c>
      <c r="L2808">
        <f t="shared" si="189"/>
        <v>297046</v>
      </c>
      <c r="M2808" t="str">
        <f t="shared" si="189"/>
        <v>TRABAJADOR INDEPENDIENTE</v>
      </c>
      <c r="N2808">
        <f t="shared" si="190"/>
        <v>39</v>
      </c>
      <c r="O2808" s="19" t="str">
        <f t="shared" si="191"/>
        <v>0–300k</v>
      </c>
      <c r="P2808" s="19" t="str">
        <f t="shared" si="192"/>
        <v>36-45</v>
      </c>
    </row>
    <row r="2809" spans="1:16" x14ac:dyDescent="0.25">
      <c r="A2809">
        <v>2808</v>
      </c>
      <c r="B2809" t="s">
        <v>9</v>
      </c>
      <c r="C2809">
        <v>500936</v>
      </c>
      <c r="D2809" t="s">
        <v>10</v>
      </c>
      <c r="E2809" t="s">
        <v>11</v>
      </c>
      <c r="F2809" t="s">
        <v>12</v>
      </c>
      <c r="G2809" t="s">
        <v>13</v>
      </c>
      <c r="H2809" t="s">
        <v>13</v>
      </c>
      <c r="I2809">
        <v>32</v>
      </c>
      <c r="J2809" t="str" cm="1">
        <f t="array" ref="J2809">_xlfn.IFS(ISBLANK(C2809),"FALTANTE",ABS((C2809-$W$5)/$X$5)&gt;1.96,"ATÍPICO",ABS((C2809-$W$5)/$X$5)&lt;=1.96,"NO ATÍPICO")</f>
        <v>NO ATÍPICO</v>
      </c>
      <c r="K2809" t="str" cm="1">
        <f t="array" ref="K2809">_xlfn.IFS(ISBLANK(I2809),"FALTANTE",ABS((I2809-$W$8)/$X$8)&gt;1.92,"ATÍPICO",ABS((I2809-$W$8)/$X$8)&lt;=1.92,"NO ATÍPICO")</f>
        <v>NO ATÍPICO</v>
      </c>
      <c r="L2809">
        <f t="shared" si="189"/>
        <v>500936</v>
      </c>
      <c r="M2809" t="str">
        <f t="shared" si="189"/>
        <v>ASALARIADO</v>
      </c>
      <c r="N2809">
        <f t="shared" si="190"/>
        <v>32</v>
      </c>
      <c r="O2809" s="19" t="str">
        <f t="shared" si="191"/>
        <v>300k–600k</v>
      </c>
      <c r="P2809" s="19" t="str">
        <f t="shared" si="192"/>
        <v>26-35</v>
      </c>
    </row>
    <row r="2810" spans="1:16" x14ac:dyDescent="0.25">
      <c r="A2810">
        <v>2809</v>
      </c>
      <c r="B2810" t="s">
        <v>15</v>
      </c>
      <c r="C2810">
        <v>860036.5</v>
      </c>
      <c r="D2810" t="s">
        <v>10</v>
      </c>
      <c r="E2810" t="s">
        <v>11</v>
      </c>
      <c r="F2810" t="s">
        <v>12</v>
      </c>
      <c r="G2810" t="s">
        <v>13</v>
      </c>
      <c r="H2810" t="s">
        <v>13</v>
      </c>
      <c r="I2810">
        <v>49</v>
      </c>
      <c r="J2810" t="str" cm="1">
        <f t="array" ref="J2810">_xlfn.IFS(ISBLANK(C2810),"FALTANTE",ABS((C2810-$W$5)/$X$5)&gt;1.96,"ATÍPICO",ABS((C2810-$W$5)/$X$5)&lt;=1.96,"NO ATÍPICO")</f>
        <v>NO ATÍPICO</v>
      </c>
      <c r="K2810" t="str" cm="1">
        <f t="array" ref="K2810">_xlfn.IFS(ISBLANK(I2810),"FALTANTE",ABS((I2810-$W$8)/$X$8)&gt;1.92,"ATÍPICO",ABS((I2810-$W$8)/$X$8)&lt;=1.92,"NO ATÍPICO")</f>
        <v>NO ATÍPICO</v>
      </c>
      <c r="L2810">
        <f t="shared" si="189"/>
        <v>860036.5</v>
      </c>
      <c r="M2810" t="str">
        <f t="shared" si="189"/>
        <v>ASALARIADO</v>
      </c>
      <c r="N2810">
        <f t="shared" si="190"/>
        <v>49</v>
      </c>
      <c r="O2810" s="19" t="str">
        <f t="shared" si="191"/>
        <v>600k–900k</v>
      </c>
      <c r="P2810" s="19" t="str">
        <f t="shared" si="192"/>
        <v>46-55</v>
      </c>
    </row>
    <row r="2811" spans="1:16" x14ac:dyDescent="0.25">
      <c r="A2811">
        <v>2810</v>
      </c>
      <c r="B2811" t="s">
        <v>9</v>
      </c>
      <c r="C2811">
        <v>273450.7</v>
      </c>
      <c r="D2811" t="s">
        <v>10</v>
      </c>
      <c r="E2811" t="s">
        <v>16</v>
      </c>
      <c r="F2811" t="s">
        <v>12</v>
      </c>
      <c r="G2811" t="s">
        <v>13</v>
      </c>
      <c r="H2811" t="s">
        <v>13</v>
      </c>
      <c r="I2811">
        <v>18</v>
      </c>
      <c r="J2811" t="str" cm="1">
        <f t="array" ref="J2811">_xlfn.IFS(ISBLANK(C2811),"FALTANTE",ABS((C2811-$W$5)/$X$5)&gt;1.96,"ATÍPICO",ABS((C2811-$W$5)/$X$5)&lt;=1.96,"NO ATÍPICO")</f>
        <v>NO ATÍPICO</v>
      </c>
      <c r="K2811" t="str" cm="1">
        <f t="array" ref="K2811">_xlfn.IFS(ISBLANK(I2811),"FALTANTE",ABS((I2811-$W$8)/$X$8)&gt;1.92,"ATÍPICO",ABS((I2811-$W$8)/$X$8)&lt;=1.92,"NO ATÍPICO")</f>
        <v>NO ATÍPICO</v>
      </c>
      <c r="L2811">
        <f t="shared" si="189"/>
        <v>273450.7</v>
      </c>
      <c r="M2811" t="str">
        <f t="shared" si="189"/>
        <v>ASALARIADO</v>
      </c>
      <c r="N2811">
        <f t="shared" si="190"/>
        <v>18</v>
      </c>
      <c r="O2811" s="19" t="str">
        <f t="shared" si="191"/>
        <v>0–300k</v>
      </c>
      <c r="P2811" s="19" t="str">
        <f t="shared" si="192"/>
        <v>18-25</v>
      </c>
    </row>
    <row r="2812" spans="1:16" x14ac:dyDescent="0.25">
      <c r="A2812">
        <v>2811</v>
      </c>
      <c r="B2812" t="s">
        <v>15</v>
      </c>
      <c r="C2812">
        <v>320000</v>
      </c>
      <c r="D2812" t="s">
        <v>10</v>
      </c>
      <c r="E2812" t="s">
        <v>16</v>
      </c>
      <c r="F2812" t="s">
        <v>12</v>
      </c>
      <c r="G2812" t="s">
        <v>13</v>
      </c>
      <c r="H2812" t="s">
        <v>12</v>
      </c>
      <c r="I2812">
        <v>61</v>
      </c>
      <c r="J2812" t="str" cm="1">
        <f t="array" ref="J2812">_xlfn.IFS(ISBLANK(C2812),"FALTANTE",ABS((C2812-$W$5)/$X$5)&gt;1.96,"ATÍPICO",ABS((C2812-$W$5)/$X$5)&lt;=1.96,"NO ATÍPICO")</f>
        <v>NO ATÍPICO</v>
      </c>
      <c r="K2812" t="str" cm="1">
        <f t="array" ref="K2812">_xlfn.IFS(ISBLANK(I2812),"FALTANTE",ABS((I2812-$W$8)/$X$8)&gt;1.92,"ATÍPICO",ABS((I2812-$W$8)/$X$8)&lt;=1.92,"NO ATÍPICO")</f>
        <v>NO ATÍPICO</v>
      </c>
      <c r="L2812">
        <f t="shared" si="189"/>
        <v>320000</v>
      </c>
      <c r="M2812" t="str">
        <f t="shared" si="189"/>
        <v>ASALARIADO</v>
      </c>
      <c r="N2812">
        <f t="shared" si="190"/>
        <v>61</v>
      </c>
      <c r="O2812" s="19" t="str">
        <f t="shared" si="191"/>
        <v>300k–600k</v>
      </c>
      <c r="P2812" s="19" t="str">
        <f t="shared" si="192"/>
        <v>56+</v>
      </c>
    </row>
    <row r="2813" spans="1:16" x14ac:dyDescent="0.25">
      <c r="A2813">
        <v>2812</v>
      </c>
      <c r="B2813" t="s">
        <v>9</v>
      </c>
      <c r="C2813">
        <v>297046</v>
      </c>
      <c r="D2813" t="s">
        <v>17</v>
      </c>
      <c r="E2813" t="s">
        <v>16</v>
      </c>
      <c r="F2813" t="s">
        <v>12</v>
      </c>
      <c r="G2813" t="s">
        <v>13</v>
      </c>
      <c r="H2813" t="s">
        <v>13</v>
      </c>
      <c r="I2813">
        <v>55</v>
      </c>
      <c r="J2813" t="str" cm="1">
        <f t="array" ref="J2813">_xlfn.IFS(ISBLANK(C2813),"FALTANTE",ABS((C2813-$W$5)/$X$5)&gt;1.96,"ATÍPICO",ABS((C2813-$W$5)/$X$5)&lt;=1.96,"NO ATÍPICO")</f>
        <v>NO ATÍPICO</v>
      </c>
      <c r="K2813" t="str" cm="1">
        <f t="array" ref="K2813">_xlfn.IFS(ISBLANK(I2813),"FALTANTE",ABS((I2813-$W$8)/$X$8)&gt;1.92,"ATÍPICO",ABS((I2813-$W$8)/$X$8)&lt;=1.92,"NO ATÍPICO")</f>
        <v>NO ATÍPICO</v>
      </c>
      <c r="L2813">
        <f t="shared" si="189"/>
        <v>297046</v>
      </c>
      <c r="M2813" t="str">
        <f t="shared" si="189"/>
        <v>ASEGURADO VOLUNTARIO</v>
      </c>
      <c r="N2813">
        <f t="shared" si="190"/>
        <v>55</v>
      </c>
      <c r="O2813" s="19" t="str">
        <f t="shared" si="191"/>
        <v>0–300k</v>
      </c>
      <c r="P2813" s="19" t="str">
        <f t="shared" si="192"/>
        <v>46-55</v>
      </c>
    </row>
    <row r="2814" spans="1:16" x14ac:dyDescent="0.25">
      <c r="A2814">
        <v>2813</v>
      </c>
      <c r="B2814" t="s">
        <v>15</v>
      </c>
      <c r="C2814">
        <v>2083266.59</v>
      </c>
      <c r="D2814" t="s">
        <v>10</v>
      </c>
      <c r="E2814" t="s">
        <v>11</v>
      </c>
      <c r="F2814" t="s">
        <v>12</v>
      </c>
      <c r="G2814" t="s">
        <v>13</v>
      </c>
      <c r="H2814" t="s">
        <v>13</v>
      </c>
      <c r="I2814">
        <v>43</v>
      </c>
      <c r="J2814" t="str" cm="1">
        <f t="array" ref="J2814">_xlfn.IFS(ISBLANK(C2814),"FALTANTE",ABS((C2814-$W$5)/$X$5)&gt;1.96,"ATÍPICO",ABS((C2814-$W$5)/$X$5)&lt;=1.96,"NO ATÍPICO")</f>
        <v>NO ATÍPICO</v>
      </c>
      <c r="K2814" t="str" cm="1">
        <f t="array" ref="K2814">_xlfn.IFS(ISBLANK(I2814),"FALTANTE",ABS((I2814-$W$8)/$X$8)&gt;1.92,"ATÍPICO",ABS((I2814-$W$8)/$X$8)&lt;=1.92,"NO ATÍPICO")</f>
        <v>NO ATÍPICO</v>
      </c>
      <c r="L2814">
        <f t="shared" si="189"/>
        <v>2083266.59</v>
      </c>
      <c r="M2814" t="str">
        <f t="shared" si="189"/>
        <v>ASALARIADO</v>
      </c>
      <c r="N2814">
        <f t="shared" si="190"/>
        <v>43</v>
      </c>
      <c r="O2814" s="19" t="str">
        <f t="shared" si="191"/>
        <v>1200k+</v>
      </c>
      <c r="P2814" s="19" t="str">
        <f t="shared" si="192"/>
        <v>36-45</v>
      </c>
    </row>
    <row r="2815" spans="1:16" x14ac:dyDescent="0.25">
      <c r="A2815">
        <v>2814</v>
      </c>
      <c r="B2815" t="s">
        <v>9</v>
      </c>
      <c r="C2815">
        <v>349790</v>
      </c>
      <c r="D2815" t="s">
        <v>10</v>
      </c>
      <c r="E2815" t="s">
        <v>16</v>
      </c>
      <c r="F2815" t="s">
        <v>12</v>
      </c>
      <c r="G2815" t="s">
        <v>12</v>
      </c>
      <c r="H2815" t="s">
        <v>13</v>
      </c>
      <c r="I2815">
        <v>20</v>
      </c>
      <c r="J2815" t="str" cm="1">
        <f t="array" ref="J2815">_xlfn.IFS(ISBLANK(C2815),"FALTANTE",ABS((C2815-$W$5)/$X$5)&gt;1.96,"ATÍPICO",ABS((C2815-$W$5)/$X$5)&lt;=1.96,"NO ATÍPICO")</f>
        <v>NO ATÍPICO</v>
      </c>
      <c r="K2815" t="str" cm="1">
        <f t="array" ref="K2815">_xlfn.IFS(ISBLANK(I2815),"FALTANTE",ABS((I2815-$W$8)/$X$8)&gt;1.92,"ATÍPICO",ABS((I2815-$W$8)/$X$8)&lt;=1.92,"NO ATÍPICO")</f>
        <v>NO ATÍPICO</v>
      </c>
      <c r="L2815">
        <f t="shared" si="189"/>
        <v>349790</v>
      </c>
      <c r="M2815" t="str">
        <f t="shared" si="189"/>
        <v>ASALARIADO</v>
      </c>
      <c r="N2815">
        <f t="shared" si="190"/>
        <v>20</v>
      </c>
      <c r="O2815" s="19" t="str">
        <f t="shared" si="191"/>
        <v>300k–600k</v>
      </c>
      <c r="P2815" s="19" t="str">
        <f t="shared" si="192"/>
        <v>18-25</v>
      </c>
    </row>
    <row r="2816" spans="1:16" x14ac:dyDescent="0.25">
      <c r="A2816">
        <v>2815</v>
      </c>
      <c r="B2816" t="s">
        <v>15</v>
      </c>
      <c r="C2816">
        <v>682608</v>
      </c>
      <c r="D2816" t="s">
        <v>10</v>
      </c>
      <c r="E2816" t="s">
        <v>16</v>
      </c>
      <c r="F2816" t="s">
        <v>12</v>
      </c>
      <c r="G2816" t="s">
        <v>13</v>
      </c>
      <c r="H2816" t="s">
        <v>13</v>
      </c>
      <c r="I2816">
        <v>29</v>
      </c>
      <c r="J2816" t="str" cm="1">
        <f t="array" ref="J2816">_xlfn.IFS(ISBLANK(C2816),"FALTANTE",ABS((C2816-$W$5)/$X$5)&gt;1.96,"ATÍPICO",ABS((C2816-$W$5)/$X$5)&lt;=1.96,"NO ATÍPICO")</f>
        <v>NO ATÍPICO</v>
      </c>
      <c r="K2816" t="str" cm="1">
        <f t="array" ref="K2816">_xlfn.IFS(ISBLANK(I2816),"FALTANTE",ABS((I2816-$W$8)/$X$8)&gt;1.92,"ATÍPICO",ABS((I2816-$W$8)/$X$8)&lt;=1.92,"NO ATÍPICO")</f>
        <v>NO ATÍPICO</v>
      </c>
      <c r="L2816">
        <f t="shared" si="189"/>
        <v>682608</v>
      </c>
      <c r="M2816" t="str">
        <f t="shared" si="189"/>
        <v>ASALARIADO</v>
      </c>
      <c r="N2816">
        <f t="shared" si="190"/>
        <v>29</v>
      </c>
      <c r="O2816" s="19" t="str">
        <f t="shared" si="191"/>
        <v>600k–900k</v>
      </c>
      <c r="P2816" s="19" t="str">
        <f t="shared" si="192"/>
        <v>26-35</v>
      </c>
    </row>
    <row r="2817" spans="1:16" x14ac:dyDescent="0.25">
      <c r="A2817">
        <v>2816</v>
      </c>
      <c r="B2817" t="s">
        <v>9</v>
      </c>
      <c r="C2817">
        <v>1203600</v>
      </c>
      <c r="D2817" t="s">
        <v>10</v>
      </c>
      <c r="E2817" t="s">
        <v>16</v>
      </c>
      <c r="F2817" t="s">
        <v>12</v>
      </c>
      <c r="G2817" t="s">
        <v>13</v>
      </c>
      <c r="H2817" t="s">
        <v>13</v>
      </c>
      <c r="I2817">
        <v>41</v>
      </c>
      <c r="J2817" t="str" cm="1">
        <f t="array" ref="J2817">_xlfn.IFS(ISBLANK(C2817),"FALTANTE",ABS((C2817-$W$5)/$X$5)&gt;1.96,"ATÍPICO",ABS((C2817-$W$5)/$X$5)&lt;=1.96,"NO ATÍPICO")</f>
        <v>NO ATÍPICO</v>
      </c>
      <c r="K2817" t="str" cm="1">
        <f t="array" ref="K2817">_xlfn.IFS(ISBLANK(I2817),"FALTANTE",ABS((I2817-$W$8)/$X$8)&gt;1.92,"ATÍPICO",ABS((I2817-$W$8)/$X$8)&lt;=1.92,"NO ATÍPICO")</f>
        <v>NO ATÍPICO</v>
      </c>
      <c r="L2817">
        <f t="shared" si="189"/>
        <v>1203600</v>
      </c>
      <c r="M2817" t="str">
        <f t="shared" si="189"/>
        <v>ASALARIADO</v>
      </c>
      <c r="N2817">
        <f t="shared" si="190"/>
        <v>41</v>
      </c>
      <c r="O2817" s="19" t="str">
        <f t="shared" si="191"/>
        <v>1200k+</v>
      </c>
      <c r="P2817" s="19" t="str">
        <f t="shared" si="192"/>
        <v>36-45</v>
      </c>
    </row>
    <row r="2818" spans="1:16" x14ac:dyDescent="0.25">
      <c r="A2818">
        <v>2817</v>
      </c>
      <c r="B2818" t="s">
        <v>15</v>
      </c>
      <c r="C2818">
        <v>728114.38</v>
      </c>
      <c r="D2818" t="s">
        <v>10</v>
      </c>
      <c r="E2818" t="s">
        <v>16</v>
      </c>
      <c r="F2818" t="s">
        <v>12</v>
      </c>
      <c r="G2818" t="s">
        <v>13</v>
      </c>
      <c r="H2818" t="s">
        <v>13</v>
      </c>
      <c r="I2818">
        <v>46</v>
      </c>
      <c r="J2818" t="str" cm="1">
        <f t="array" ref="J2818">_xlfn.IFS(ISBLANK(C2818),"FALTANTE",ABS((C2818-$W$5)/$X$5)&gt;1.96,"ATÍPICO",ABS((C2818-$W$5)/$X$5)&lt;=1.96,"NO ATÍPICO")</f>
        <v>NO ATÍPICO</v>
      </c>
      <c r="K2818" t="str" cm="1">
        <f t="array" ref="K2818">_xlfn.IFS(ISBLANK(I2818),"FALTANTE",ABS((I2818-$W$8)/$X$8)&gt;1.92,"ATÍPICO",ABS((I2818-$W$8)/$X$8)&lt;=1.92,"NO ATÍPICO")</f>
        <v>NO ATÍPICO</v>
      </c>
      <c r="L2818">
        <f t="shared" ref="L2818:M2881" si="193">C2818</f>
        <v>728114.38</v>
      </c>
      <c r="M2818" t="str">
        <f t="shared" si="193"/>
        <v>ASALARIADO</v>
      </c>
      <c r="N2818">
        <f t="shared" ref="N2818:N2881" si="194">I2818</f>
        <v>46</v>
      </c>
      <c r="O2818" s="19" t="str">
        <f t="shared" ref="O2818:O2881" si="195">IF(L2818&lt;=300000,"0–300k",IF(L2818&lt;=600000,"300k–600k",IF(L2818&lt;=900000,"600k–900k",IF(L2818&lt;=1200000,"900k–1200k","1200k+"))))</f>
        <v>600k–900k</v>
      </c>
      <c r="P2818" s="19" t="str">
        <f t="shared" ref="P2818:P2881" si="196">IF(N2818 &lt;=25,"18-25", IF(N2818&lt;=35,"26-35", IF(N2818 &lt;=45,"36-45", IF(N2818&lt;=55,"46-55","56+"))))</f>
        <v>46-55</v>
      </c>
    </row>
    <row r="2819" spans="1:16" x14ac:dyDescent="0.25">
      <c r="A2819">
        <v>2818</v>
      </c>
      <c r="B2819" t="s">
        <v>9</v>
      </c>
      <c r="C2819">
        <v>568333.32999999996</v>
      </c>
      <c r="D2819" t="s">
        <v>10</v>
      </c>
      <c r="E2819" t="s">
        <v>16</v>
      </c>
      <c r="F2819" t="s">
        <v>12</v>
      </c>
      <c r="G2819" t="s">
        <v>13</v>
      </c>
      <c r="H2819" t="s">
        <v>13</v>
      </c>
      <c r="I2819">
        <v>20</v>
      </c>
      <c r="J2819" t="str" cm="1">
        <f t="array" ref="J2819">_xlfn.IFS(ISBLANK(C2819),"FALTANTE",ABS((C2819-$W$5)/$X$5)&gt;1.96,"ATÍPICO",ABS((C2819-$W$5)/$X$5)&lt;=1.96,"NO ATÍPICO")</f>
        <v>NO ATÍPICO</v>
      </c>
      <c r="K2819" t="str" cm="1">
        <f t="array" ref="K2819">_xlfn.IFS(ISBLANK(I2819),"FALTANTE",ABS((I2819-$W$8)/$X$8)&gt;1.92,"ATÍPICO",ABS((I2819-$W$8)/$X$8)&lt;=1.92,"NO ATÍPICO")</f>
        <v>NO ATÍPICO</v>
      </c>
      <c r="L2819">
        <f t="shared" si="193"/>
        <v>568333.32999999996</v>
      </c>
      <c r="M2819" t="str">
        <f t="shared" si="193"/>
        <v>ASALARIADO</v>
      </c>
      <c r="N2819">
        <f t="shared" si="194"/>
        <v>20</v>
      </c>
      <c r="O2819" s="19" t="str">
        <f t="shared" si="195"/>
        <v>300k–600k</v>
      </c>
      <c r="P2819" s="19" t="str">
        <f t="shared" si="196"/>
        <v>18-25</v>
      </c>
    </row>
    <row r="2820" spans="1:16" x14ac:dyDescent="0.25">
      <c r="A2820">
        <v>2819</v>
      </c>
      <c r="B2820" t="s">
        <v>15</v>
      </c>
      <c r="C2820">
        <v>340654</v>
      </c>
      <c r="D2820" t="s">
        <v>10</v>
      </c>
      <c r="E2820" t="s">
        <v>16</v>
      </c>
      <c r="F2820" t="s">
        <v>12</v>
      </c>
      <c r="G2820" t="s">
        <v>13</v>
      </c>
      <c r="H2820" t="s">
        <v>13</v>
      </c>
      <c r="I2820">
        <v>45</v>
      </c>
      <c r="J2820" t="str" cm="1">
        <f t="array" ref="J2820">_xlfn.IFS(ISBLANK(C2820),"FALTANTE",ABS((C2820-$W$5)/$X$5)&gt;1.96,"ATÍPICO",ABS((C2820-$W$5)/$X$5)&lt;=1.96,"NO ATÍPICO")</f>
        <v>NO ATÍPICO</v>
      </c>
      <c r="K2820" t="str" cm="1">
        <f t="array" ref="K2820">_xlfn.IFS(ISBLANK(I2820),"FALTANTE",ABS((I2820-$W$8)/$X$8)&gt;1.92,"ATÍPICO",ABS((I2820-$W$8)/$X$8)&lt;=1.92,"NO ATÍPICO")</f>
        <v>NO ATÍPICO</v>
      </c>
      <c r="L2820">
        <f t="shared" si="193"/>
        <v>340654</v>
      </c>
      <c r="M2820" t="str">
        <f t="shared" si="193"/>
        <v>ASALARIADO</v>
      </c>
      <c r="N2820">
        <f t="shared" si="194"/>
        <v>45</v>
      </c>
      <c r="O2820" s="19" t="str">
        <f t="shared" si="195"/>
        <v>300k–600k</v>
      </c>
      <c r="P2820" s="19" t="str">
        <f t="shared" si="196"/>
        <v>36-45</v>
      </c>
    </row>
    <row r="2821" spans="1:16" x14ac:dyDescent="0.25">
      <c r="A2821">
        <v>2820</v>
      </c>
      <c r="B2821" t="s">
        <v>15</v>
      </c>
      <c r="C2821">
        <v>188120.81</v>
      </c>
      <c r="D2821" t="s">
        <v>14</v>
      </c>
      <c r="E2821" t="s">
        <v>11</v>
      </c>
      <c r="F2821" t="s">
        <v>12</v>
      </c>
      <c r="G2821" t="s">
        <v>13</v>
      </c>
      <c r="H2821" t="s">
        <v>13</v>
      </c>
      <c r="I2821">
        <v>75</v>
      </c>
      <c r="J2821" t="str" cm="1">
        <f t="array" ref="J2821">_xlfn.IFS(ISBLANK(C2821),"FALTANTE",ABS((C2821-$W$5)/$X$5)&gt;1.96,"ATÍPICO",ABS((C2821-$W$5)/$X$5)&lt;=1.96,"NO ATÍPICO")</f>
        <v>NO ATÍPICO</v>
      </c>
      <c r="K2821" t="str" cm="1">
        <f t="array" ref="K2821">_xlfn.IFS(ISBLANK(I2821),"FALTANTE",ABS((I2821-$W$8)/$X$8)&gt;1.92,"ATÍPICO",ABS((I2821-$W$8)/$X$8)&lt;=1.92,"NO ATÍPICO")</f>
        <v>ATÍPICO</v>
      </c>
      <c r="L2821">
        <f t="shared" si="193"/>
        <v>188120.81</v>
      </c>
      <c r="M2821" t="str">
        <f t="shared" si="193"/>
        <v>PENSIONADOS EN SU PROPIO SISTEMA</v>
      </c>
      <c r="N2821">
        <f t="shared" si="194"/>
        <v>75</v>
      </c>
      <c r="O2821" s="19" t="str">
        <f t="shared" si="195"/>
        <v>0–300k</v>
      </c>
      <c r="P2821" s="19" t="str">
        <f t="shared" si="196"/>
        <v>56+</v>
      </c>
    </row>
    <row r="2822" spans="1:16" x14ac:dyDescent="0.25">
      <c r="A2822">
        <v>2821</v>
      </c>
      <c r="B2822" t="s">
        <v>9</v>
      </c>
      <c r="C2822">
        <v>639148</v>
      </c>
      <c r="D2822" t="s">
        <v>18</v>
      </c>
      <c r="E2822" t="s">
        <v>16</v>
      </c>
      <c r="F2822" t="s">
        <v>12</v>
      </c>
      <c r="G2822" t="s">
        <v>13</v>
      </c>
      <c r="H2822" t="s">
        <v>12</v>
      </c>
      <c r="I2822">
        <v>67</v>
      </c>
      <c r="J2822" t="str" cm="1">
        <f t="array" ref="J2822">_xlfn.IFS(ISBLANK(C2822),"FALTANTE",ABS((C2822-$W$5)/$X$5)&gt;1.96,"ATÍPICO",ABS((C2822-$W$5)/$X$5)&lt;=1.96,"NO ATÍPICO")</f>
        <v>NO ATÍPICO</v>
      </c>
      <c r="K2822" t="str" cm="1">
        <f t="array" ref="K2822">_xlfn.IFS(ISBLANK(I2822),"FALTANTE",ABS((I2822-$W$8)/$X$8)&gt;1.92,"ATÍPICO",ABS((I2822-$W$8)/$X$8)&lt;=1.92,"NO ATÍPICO")</f>
        <v>NO ATÍPICO</v>
      </c>
      <c r="L2822">
        <f t="shared" si="193"/>
        <v>639148</v>
      </c>
      <c r="M2822" t="str">
        <f t="shared" si="193"/>
        <v>TRABAJADOR INDEPENDIENTE</v>
      </c>
      <c r="N2822">
        <f t="shared" si="194"/>
        <v>67</v>
      </c>
      <c r="O2822" s="19" t="str">
        <f t="shared" si="195"/>
        <v>600k–900k</v>
      </c>
      <c r="P2822" s="19" t="str">
        <f t="shared" si="196"/>
        <v>56+</v>
      </c>
    </row>
    <row r="2823" spans="1:16" x14ac:dyDescent="0.25">
      <c r="A2823">
        <v>2822</v>
      </c>
      <c r="B2823" t="s">
        <v>9</v>
      </c>
      <c r="C2823">
        <v>768846.82</v>
      </c>
      <c r="D2823" t="s">
        <v>10</v>
      </c>
      <c r="E2823" t="s">
        <v>16</v>
      </c>
      <c r="F2823" t="s">
        <v>12</v>
      </c>
      <c r="G2823" t="s">
        <v>13</v>
      </c>
      <c r="H2823" t="s">
        <v>13</v>
      </c>
      <c r="I2823">
        <v>32</v>
      </c>
      <c r="J2823" t="str" cm="1">
        <f t="array" ref="J2823">_xlfn.IFS(ISBLANK(C2823),"FALTANTE",ABS((C2823-$W$5)/$X$5)&gt;1.96,"ATÍPICO",ABS((C2823-$W$5)/$X$5)&lt;=1.96,"NO ATÍPICO")</f>
        <v>NO ATÍPICO</v>
      </c>
      <c r="K2823" t="str" cm="1">
        <f t="array" ref="K2823">_xlfn.IFS(ISBLANK(I2823),"FALTANTE",ABS((I2823-$W$8)/$X$8)&gt;1.92,"ATÍPICO",ABS((I2823-$W$8)/$X$8)&lt;=1.92,"NO ATÍPICO")</f>
        <v>NO ATÍPICO</v>
      </c>
      <c r="L2823">
        <f t="shared" si="193"/>
        <v>768846.82</v>
      </c>
      <c r="M2823" t="str">
        <f t="shared" si="193"/>
        <v>ASALARIADO</v>
      </c>
      <c r="N2823">
        <f t="shared" si="194"/>
        <v>32</v>
      </c>
      <c r="O2823" s="19" t="str">
        <f t="shared" si="195"/>
        <v>600k–900k</v>
      </c>
      <c r="P2823" s="19" t="str">
        <f t="shared" si="196"/>
        <v>26-35</v>
      </c>
    </row>
    <row r="2824" spans="1:16" x14ac:dyDescent="0.25">
      <c r="A2824">
        <v>2823</v>
      </c>
      <c r="B2824" t="s">
        <v>15</v>
      </c>
      <c r="C2824">
        <v>1292336</v>
      </c>
      <c r="D2824" t="s">
        <v>10</v>
      </c>
      <c r="E2824" t="s">
        <v>11</v>
      </c>
      <c r="F2824" t="s">
        <v>12</v>
      </c>
      <c r="G2824" t="s">
        <v>13</v>
      </c>
      <c r="H2824" t="s">
        <v>13</v>
      </c>
      <c r="I2824">
        <v>36</v>
      </c>
      <c r="J2824" t="str" cm="1">
        <f t="array" ref="J2824">_xlfn.IFS(ISBLANK(C2824),"FALTANTE",ABS((C2824-$W$5)/$X$5)&gt;1.96,"ATÍPICO",ABS((C2824-$W$5)/$X$5)&lt;=1.96,"NO ATÍPICO")</f>
        <v>NO ATÍPICO</v>
      </c>
      <c r="K2824" t="str" cm="1">
        <f t="array" ref="K2824">_xlfn.IFS(ISBLANK(I2824),"FALTANTE",ABS((I2824-$W$8)/$X$8)&gt;1.92,"ATÍPICO",ABS((I2824-$W$8)/$X$8)&lt;=1.92,"NO ATÍPICO")</f>
        <v>NO ATÍPICO</v>
      </c>
      <c r="L2824">
        <f t="shared" si="193"/>
        <v>1292336</v>
      </c>
      <c r="M2824" t="str">
        <f t="shared" si="193"/>
        <v>ASALARIADO</v>
      </c>
      <c r="N2824">
        <f t="shared" si="194"/>
        <v>36</v>
      </c>
      <c r="O2824" s="19" t="str">
        <f t="shared" si="195"/>
        <v>1200k+</v>
      </c>
      <c r="P2824" s="19" t="str">
        <f t="shared" si="196"/>
        <v>36-45</v>
      </c>
    </row>
    <row r="2825" spans="1:16" x14ac:dyDescent="0.25">
      <c r="A2825">
        <v>2824</v>
      </c>
      <c r="B2825" t="s">
        <v>9</v>
      </c>
      <c r="C2825">
        <v>813799</v>
      </c>
      <c r="D2825" t="s">
        <v>10</v>
      </c>
      <c r="E2825" t="s">
        <v>11</v>
      </c>
      <c r="F2825" t="s">
        <v>12</v>
      </c>
      <c r="G2825" t="s">
        <v>13</v>
      </c>
      <c r="H2825" t="s">
        <v>13</v>
      </c>
      <c r="I2825">
        <v>43</v>
      </c>
      <c r="J2825" t="str" cm="1">
        <f t="array" ref="J2825">_xlfn.IFS(ISBLANK(C2825),"FALTANTE",ABS((C2825-$W$5)/$X$5)&gt;1.96,"ATÍPICO",ABS((C2825-$W$5)/$X$5)&lt;=1.96,"NO ATÍPICO")</f>
        <v>NO ATÍPICO</v>
      </c>
      <c r="K2825" t="str" cm="1">
        <f t="array" ref="K2825">_xlfn.IFS(ISBLANK(I2825),"FALTANTE",ABS((I2825-$W$8)/$X$8)&gt;1.92,"ATÍPICO",ABS((I2825-$W$8)/$X$8)&lt;=1.92,"NO ATÍPICO")</f>
        <v>NO ATÍPICO</v>
      </c>
      <c r="L2825">
        <f t="shared" si="193"/>
        <v>813799</v>
      </c>
      <c r="M2825" t="str">
        <f t="shared" si="193"/>
        <v>ASALARIADO</v>
      </c>
      <c r="N2825">
        <f t="shared" si="194"/>
        <v>43</v>
      </c>
      <c r="O2825" s="19" t="str">
        <f t="shared" si="195"/>
        <v>600k–900k</v>
      </c>
      <c r="P2825" s="19" t="str">
        <f t="shared" si="196"/>
        <v>36-45</v>
      </c>
    </row>
    <row r="2826" spans="1:16" x14ac:dyDescent="0.25">
      <c r="A2826">
        <v>2825</v>
      </c>
      <c r="B2826" t="s">
        <v>9</v>
      </c>
      <c r="C2826">
        <v>1507112</v>
      </c>
      <c r="D2826" t="s">
        <v>10</v>
      </c>
      <c r="E2826" t="s">
        <v>11</v>
      </c>
      <c r="F2826" t="s">
        <v>12</v>
      </c>
      <c r="G2826" t="s">
        <v>13</v>
      </c>
      <c r="H2826" t="s">
        <v>12</v>
      </c>
      <c r="I2826">
        <v>50</v>
      </c>
      <c r="J2826" t="str" cm="1">
        <f t="array" ref="J2826">_xlfn.IFS(ISBLANK(C2826),"FALTANTE",ABS((C2826-$W$5)/$X$5)&gt;1.96,"ATÍPICO",ABS((C2826-$W$5)/$X$5)&lt;=1.96,"NO ATÍPICO")</f>
        <v>NO ATÍPICO</v>
      </c>
      <c r="K2826" t="str" cm="1">
        <f t="array" ref="K2826">_xlfn.IFS(ISBLANK(I2826),"FALTANTE",ABS((I2826-$W$8)/$X$8)&gt;1.92,"ATÍPICO",ABS((I2826-$W$8)/$X$8)&lt;=1.92,"NO ATÍPICO")</f>
        <v>NO ATÍPICO</v>
      </c>
      <c r="L2826">
        <f t="shared" si="193"/>
        <v>1507112</v>
      </c>
      <c r="M2826" t="str">
        <f t="shared" si="193"/>
        <v>ASALARIADO</v>
      </c>
      <c r="N2826">
        <f t="shared" si="194"/>
        <v>50</v>
      </c>
      <c r="O2826" s="19" t="str">
        <f t="shared" si="195"/>
        <v>1200k+</v>
      </c>
      <c r="P2826" s="19" t="str">
        <f t="shared" si="196"/>
        <v>46-55</v>
      </c>
    </row>
    <row r="2827" spans="1:16" x14ac:dyDescent="0.25">
      <c r="A2827">
        <v>2826</v>
      </c>
      <c r="B2827" t="s">
        <v>9</v>
      </c>
      <c r="C2827">
        <v>1158776.94</v>
      </c>
      <c r="D2827" t="s">
        <v>10</v>
      </c>
      <c r="E2827" t="s">
        <v>16</v>
      </c>
      <c r="F2827" t="s">
        <v>12</v>
      </c>
      <c r="G2827" t="s">
        <v>13</v>
      </c>
      <c r="H2827" t="s">
        <v>13</v>
      </c>
      <c r="I2827">
        <v>22</v>
      </c>
      <c r="J2827" t="str" cm="1">
        <f t="array" ref="J2827">_xlfn.IFS(ISBLANK(C2827),"FALTANTE",ABS((C2827-$W$5)/$X$5)&gt;1.96,"ATÍPICO",ABS((C2827-$W$5)/$X$5)&lt;=1.96,"NO ATÍPICO")</f>
        <v>NO ATÍPICO</v>
      </c>
      <c r="K2827" t="str" cm="1">
        <f t="array" ref="K2827">_xlfn.IFS(ISBLANK(I2827),"FALTANTE",ABS((I2827-$W$8)/$X$8)&gt;1.92,"ATÍPICO",ABS((I2827-$W$8)/$X$8)&lt;=1.92,"NO ATÍPICO")</f>
        <v>NO ATÍPICO</v>
      </c>
      <c r="L2827">
        <f t="shared" si="193"/>
        <v>1158776.94</v>
      </c>
      <c r="M2827" t="str">
        <f t="shared" si="193"/>
        <v>ASALARIADO</v>
      </c>
      <c r="N2827">
        <f t="shared" si="194"/>
        <v>22</v>
      </c>
      <c r="O2827" s="19" t="str">
        <f t="shared" si="195"/>
        <v>900k–1200k</v>
      </c>
      <c r="P2827" s="19" t="str">
        <f t="shared" si="196"/>
        <v>18-25</v>
      </c>
    </row>
    <row r="2828" spans="1:16" x14ac:dyDescent="0.25">
      <c r="A2828">
        <v>2827</v>
      </c>
      <c r="B2828" t="s">
        <v>9</v>
      </c>
      <c r="C2828">
        <v>504705.31</v>
      </c>
      <c r="D2828" t="s">
        <v>10</v>
      </c>
      <c r="E2828" t="s">
        <v>16</v>
      </c>
      <c r="F2828" t="s">
        <v>12</v>
      </c>
      <c r="G2828" t="s">
        <v>13</v>
      </c>
      <c r="H2828" t="s">
        <v>13</v>
      </c>
      <c r="I2828">
        <v>35</v>
      </c>
      <c r="J2828" t="str" cm="1">
        <f t="array" ref="J2828">_xlfn.IFS(ISBLANK(C2828),"FALTANTE",ABS((C2828-$W$5)/$X$5)&gt;1.96,"ATÍPICO",ABS((C2828-$W$5)/$X$5)&lt;=1.96,"NO ATÍPICO")</f>
        <v>NO ATÍPICO</v>
      </c>
      <c r="K2828" t="str" cm="1">
        <f t="array" ref="K2828">_xlfn.IFS(ISBLANK(I2828),"FALTANTE",ABS((I2828-$W$8)/$X$8)&gt;1.92,"ATÍPICO",ABS((I2828-$W$8)/$X$8)&lt;=1.92,"NO ATÍPICO")</f>
        <v>NO ATÍPICO</v>
      </c>
      <c r="L2828">
        <f t="shared" si="193"/>
        <v>504705.31</v>
      </c>
      <c r="M2828" t="str">
        <f t="shared" si="193"/>
        <v>ASALARIADO</v>
      </c>
      <c r="N2828">
        <f t="shared" si="194"/>
        <v>35</v>
      </c>
      <c r="O2828" s="19" t="str">
        <f t="shared" si="195"/>
        <v>300k–600k</v>
      </c>
      <c r="P2828" s="19" t="str">
        <f t="shared" si="196"/>
        <v>26-35</v>
      </c>
    </row>
    <row r="2829" spans="1:16" x14ac:dyDescent="0.25">
      <c r="A2829">
        <v>2828</v>
      </c>
      <c r="B2829" t="s">
        <v>9</v>
      </c>
      <c r="C2829">
        <v>714074</v>
      </c>
      <c r="D2829" t="s">
        <v>10</v>
      </c>
      <c r="E2829" t="s">
        <v>16</v>
      </c>
      <c r="F2829" t="s">
        <v>12</v>
      </c>
      <c r="G2829" t="s">
        <v>13</v>
      </c>
      <c r="H2829" t="s">
        <v>13</v>
      </c>
      <c r="I2829">
        <v>37</v>
      </c>
      <c r="J2829" t="str" cm="1">
        <f t="array" ref="J2829">_xlfn.IFS(ISBLANK(C2829),"FALTANTE",ABS((C2829-$W$5)/$X$5)&gt;1.96,"ATÍPICO",ABS((C2829-$W$5)/$X$5)&lt;=1.96,"NO ATÍPICO")</f>
        <v>NO ATÍPICO</v>
      </c>
      <c r="K2829" t="str" cm="1">
        <f t="array" ref="K2829">_xlfn.IFS(ISBLANK(I2829),"FALTANTE",ABS((I2829-$W$8)/$X$8)&gt;1.92,"ATÍPICO",ABS((I2829-$W$8)/$X$8)&lt;=1.92,"NO ATÍPICO")</f>
        <v>NO ATÍPICO</v>
      </c>
      <c r="L2829">
        <f t="shared" si="193"/>
        <v>714074</v>
      </c>
      <c r="M2829" t="str">
        <f t="shared" si="193"/>
        <v>ASALARIADO</v>
      </c>
      <c r="N2829">
        <f t="shared" si="194"/>
        <v>37</v>
      </c>
      <c r="O2829" s="19" t="str">
        <f t="shared" si="195"/>
        <v>600k–900k</v>
      </c>
      <c r="P2829" s="19" t="str">
        <f t="shared" si="196"/>
        <v>36-45</v>
      </c>
    </row>
    <row r="2830" spans="1:16" x14ac:dyDescent="0.25">
      <c r="A2830">
        <v>2829</v>
      </c>
      <c r="B2830" t="s">
        <v>9</v>
      </c>
      <c r="C2830">
        <v>283181.96000000002</v>
      </c>
      <c r="D2830" t="s">
        <v>10</v>
      </c>
      <c r="E2830" t="s">
        <v>16</v>
      </c>
      <c r="F2830" t="s">
        <v>12</v>
      </c>
      <c r="G2830" t="s">
        <v>13</v>
      </c>
      <c r="H2830" t="s">
        <v>13</v>
      </c>
      <c r="I2830">
        <v>50</v>
      </c>
      <c r="J2830" t="str" cm="1">
        <f t="array" ref="J2830">_xlfn.IFS(ISBLANK(C2830),"FALTANTE",ABS((C2830-$W$5)/$X$5)&gt;1.96,"ATÍPICO",ABS((C2830-$W$5)/$X$5)&lt;=1.96,"NO ATÍPICO")</f>
        <v>NO ATÍPICO</v>
      </c>
      <c r="K2830" t="str" cm="1">
        <f t="array" ref="K2830">_xlfn.IFS(ISBLANK(I2830),"FALTANTE",ABS((I2830-$W$8)/$X$8)&gt;1.92,"ATÍPICO",ABS((I2830-$W$8)/$X$8)&lt;=1.92,"NO ATÍPICO")</f>
        <v>NO ATÍPICO</v>
      </c>
      <c r="L2830">
        <f t="shared" si="193"/>
        <v>283181.96000000002</v>
      </c>
      <c r="M2830" t="str">
        <f t="shared" si="193"/>
        <v>ASALARIADO</v>
      </c>
      <c r="N2830">
        <f t="shared" si="194"/>
        <v>50</v>
      </c>
      <c r="O2830" s="19" t="str">
        <f t="shared" si="195"/>
        <v>0–300k</v>
      </c>
      <c r="P2830" s="19" t="str">
        <f t="shared" si="196"/>
        <v>46-55</v>
      </c>
    </row>
    <row r="2831" spans="1:16" x14ac:dyDescent="0.25">
      <c r="A2831">
        <v>2830</v>
      </c>
      <c r="B2831" t="s">
        <v>9</v>
      </c>
      <c r="C2831">
        <v>528970.51</v>
      </c>
      <c r="D2831" t="s">
        <v>10</v>
      </c>
      <c r="E2831" t="s">
        <v>16</v>
      </c>
      <c r="F2831" t="s">
        <v>12</v>
      </c>
      <c r="G2831" t="s">
        <v>13</v>
      </c>
      <c r="H2831" t="s">
        <v>13</v>
      </c>
      <c r="I2831">
        <v>59</v>
      </c>
      <c r="J2831" t="str" cm="1">
        <f t="array" ref="J2831">_xlfn.IFS(ISBLANK(C2831),"FALTANTE",ABS((C2831-$W$5)/$X$5)&gt;1.96,"ATÍPICO",ABS((C2831-$W$5)/$X$5)&lt;=1.96,"NO ATÍPICO")</f>
        <v>NO ATÍPICO</v>
      </c>
      <c r="K2831" t="str" cm="1">
        <f t="array" ref="K2831">_xlfn.IFS(ISBLANK(I2831),"FALTANTE",ABS((I2831-$W$8)/$X$8)&gt;1.92,"ATÍPICO",ABS((I2831-$W$8)/$X$8)&lt;=1.92,"NO ATÍPICO")</f>
        <v>NO ATÍPICO</v>
      </c>
      <c r="L2831">
        <f t="shared" si="193"/>
        <v>528970.51</v>
      </c>
      <c r="M2831" t="str">
        <f t="shared" si="193"/>
        <v>ASALARIADO</v>
      </c>
      <c r="N2831">
        <f t="shared" si="194"/>
        <v>59</v>
      </c>
      <c r="O2831" s="19" t="str">
        <f t="shared" si="195"/>
        <v>300k–600k</v>
      </c>
      <c r="P2831" s="19" t="str">
        <f t="shared" si="196"/>
        <v>56+</v>
      </c>
    </row>
    <row r="2832" spans="1:16" x14ac:dyDescent="0.25">
      <c r="A2832">
        <v>2831</v>
      </c>
      <c r="B2832" t="s">
        <v>9</v>
      </c>
      <c r="C2832">
        <v>310124</v>
      </c>
      <c r="D2832" t="s">
        <v>18</v>
      </c>
      <c r="E2832" t="s">
        <v>16</v>
      </c>
      <c r="F2832" t="s">
        <v>12</v>
      </c>
      <c r="G2832" t="s">
        <v>13</v>
      </c>
      <c r="H2832" t="s">
        <v>12</v>
      </c>
      <c r="I2832">
        <v>29</v>
      </c>
      <c r="J2832" t="str" cm="1">
        <f t="array" ref="J2832">_xlfn.IFS(ISBLANK(C2832),"FALTANTE",ABS((C2832-$W$5)/$X$5)&gt;1.96,"ATÍPICO",ABS((C2832-$W$5)/$X$5)&lt;=1.96,"NO ATÍPICO")</f>
        <v>NO ATÍPICO</v>
      </c>
      <c r="K2832" t="str" cm="1">
        <f t="array" ref="K2832">_xlfn.IFS(ISBLANK(I2832),"FALTANTE",ABS((I2832-$W$8)/$X$8)&gt;1.92,"ATÍPICO",ABS((I2832-$W$8)/$X$8)&lt;=1.92,"NO ATÍPICO")</f>
        <v>NO ATÍPICO</v>
      </c>
      <c r="L2832">
        <f t="shared" si="193"/>
        <v>310124</v>
      </c>
      <c r="M2832" t="str">
        <f t="shared" si="193"/>
        <v>TRABAJADOR INDEPENDIENTE</v>
      </c>
      <c r="N2832">
        <f t="shared" si="194"/>
        <v>29</v>
      </c>
      <c r="O2832" s="19" t="str">
        <f t="shared" si="195"/>
        <v>300k–600k</v>
      </c>
      <c r="P2832" s="19" t="str">
        <f t="shared" si="196"/>
        <v>26-35</v>
      </c>
    </row>
    <row r="2833" spans="1:16" x14ac:dyDescent="0.25">
      <c r="A2833">
        <v>2832</v>
      </c>
      <c r="B2833" t="s">
        <v>15</v>
      </c>
      <c r="C2833">
        <v>371911</v>
      </c>
      <c r="D2833" t="s">
        <v>10</v>
      </c>
      <c r="E2833" t="s">
        <v>11</v>
      </c>
      <c r="F2833" t="s">
        <v>12</v>
      </c>
      <c r="G2833" t="s">
        <v>13</v>
      </c>
      <c r="H2833" t="s">
        <v>13</v>
      </c>
      <c r="I2833">
        <v>33</v>
      </c>
      <c r="J2833" t="str" cm="1">
        <f t="array" ref="J2833">_xlfn.IFS(ISBLANK(C2833),"FALTANTE",ABS((C2833-$W$5)/$X$5)&gt;1.96,"ATÍPICO",ABS((C2833-$W$5)/$X$5)&lt;=1.96,"NO ATÍPICO")</f>
        <v>NO ATÍPICO</v>
      </c>
      <c r="K2833" t="str" cm="1">
        <f t="array" ref="K2833">_xlfn.IFS(ISBLANK(I2833),"FALTANTE",ABS((I2833-$W$8)/$X$8)&gt;1.92,"ATÍPICO",ABS((I2833-$W$8)/$X$8)&lt;=1.92,"NO ATÍPICO")</f>
        <v>NO ATÍPICO</v>
      </c>
      <c r="L2833">
        <f t="shared" si="193"/>
        <v>371911</v>
      </c>
      <c r="M2833" t="str">
        <f t="shared" si="193"/>
        <v>ASALARIADO</v>
      </c>
      <c r="N2833">
        <f t="shared" si="194"/>
        <v>33</v>
      </c>
      <c r="O2833" s="19" t="str">
        <f t="shared" si="195"/>
        <v>300k–600k</v>
      </c>
      <c r="P2833" s="19" t="str">
        <f t="shared" si="196"/>
        <v>26-35</v>
      </c>
    </row>
    <row r="2834" spans="1:16" x14ac:dyDescent="0.25">
      <c r="A2834">
        <v>2833</v>
      </c>
      <c r="B2834" t="s">
        <v>9</v>
      </c>
      <c r="C2834">
        <v>220575</v>
      </c>
      <c r="D2834" t="s">
        <v>10</v>
      </c>
      <c r="E2834" t="s">
        <v>16</v>
      </c>
      <c r="F2834" t="s">
        <v>12</v>
      </c>
      <c r="G2834" t="s">
        <v>12</v>
      </c>
      <c r="H2834" t="s">
        <v>13</v>
      </c>
      <c r="I2834">
        <v>48</v>
      </c>
      <c r="J2834" t="str" cm="1">
        <f t="array" ref="J2834">_xlfn.IFS(ISBLANK(C2834),"FALTANTE",ABS((C2834-$W$5)/$X$5)&gt;1.96,"ATÍPICO",ABS((C2834-$W$5)/$X$5)&lt;=1.96,"NO ATÍPICO")</f>
        <v>NO ATÍPICO</v>
      </c>
      <c r="K2834" t="str" cm="1">
        <f t="array" ref="K2834">_xlfn.IFS(ISBLANK(I2834),"FALTANTE",ABS((I2834-$W$8)/$X$8)&gt;1.92,"ATÍPICO",ABS((I2834-$W$8)/$X$8)&lt;=1.92,"NO ATÍPICO")</f>
        <v>NO ATÍPICO</v>
      </c>
      <c r="L2834">
        <f t="shared" si="193"/>
        <v>220575</v>
      </c>
      <c r="M2834" t="str">
        <f t="shared" si="193"/>
        <v>ASALARIADO</v>
      </c>
      <c r="N2834">
        <f t="shared" si="194"/>
        <v>48</v>
      </c>
      <c r="O2834" s="19" t="str">
        <f t="shared" si="195"/>
        <v>0–300k</v>
      </c>
      <c r="P2834" s="19" t="str">
        <f t="shared" si="196"/>
        <v>46-55</v>
      </c>
    </row>
    <row r="2835" spans="1:16" x14ac:dyDescent="0.25">
      <c r="A2835">
        <v>2834</v>
      </c>
      <c r="B2835" t="s">
        <v>9</v>
      </c>
      <c r="C2835">
        <v>233662</v>
      </c>
      <c r="D2835" t="s">
        <v>10</v>
      </c>
      <c r="E2835" t="s">
        <v>16</v>
      </c>
      <c r="F2835" t="s">
        <v>12</v>
      </c>
      <c r="G2835" t="s">
        <v>13</v>
      </c>
      <c r="H2835" t="s">
        <v>12</v>
      </c>
      <c r="I2835">
        <v>32</v>
      </c>
      <c r="J2835" t="str" cm="1">
        <f t="array" ref="J2835">_xlfn.IFS(ISBLANK(C2835),"FALTANTE",ABS((C2835-$W$5)/$X$5)&gt;1.96,"ATÍPICO",ABS((C2835-$W$5)/$X$5)&lt;=1.96,"NO ATÍPICO")</f>
        <v>NO ATÍPICO</v>
      </c>
      <c r="K2835" t="str" cm="1">
        <f t="array" ref="K2835">_xlfn.IFS(ISBLANK(I2835),"FALTANTE",ABS((I2835-$W$8)/$X$8)&gt;1.92,"ATÍPICO",ABS((I2835-$W$8)/$X$8)&lt;=1.92,"NO ATÍPICO")</f>
        <v>NO ATÍPICO</v>
      </c>
      <c r="L2835">
        <f t="shared" si="193"/>
        <v>233662</v>
      </c>
      <c r="M2835" t="str">
        <f t="shared" si="193"/>
        <v>ASALARIADO</v>
      </c>
      <c r="N2835">
        <f t="shared" si="194"/>
        <v>32</v>
      </c>
      <c r="O2835" s="19" t="str">
        <f t="shared" si="195"/>
        <v>0–300k</v>
      </c>
      <c r="P2835" s="19" t="str">
        <f t="shared" si="196"/>
        <v>26-35</v>
      </c>
    </row>
    <row r="2836" spans="1:16" x14ac:dyDescent="0.25">
      <c r="A2836">
        <v>2835</v>
      </c>
      <c r="B2836" t="s">
        <v>9</v>
      </c>
      <c r="C2836">
        <v>448447</v>
      </c>
      <c r="D2836" t="s">
        <v>10</v>
      </c>
      <c r="E2836" t="s">
        <v>16</v>
      </c>
      <c r="F2836" t="s">
        <v>12</v>
      </c>
      <c r="G2836" t="s">
        <v>13</v>
      </c>
      <c r="H2836" t="s">
        <v>13</v>
      </c>
      <c r="I2836">
        <v>41</v>
      </c>
      <c r="J2836" t="str" cm="1">
        <f t="array" ref="J2836">_xlfn.IFS(ISBLANK(C2836),"FALTANTE",ABS((C2836-$W$5)/$X$5)&gt;1.96,"ATÍPICO",ABS((C2836-$W$5)/$X$5)&lt;=1.96,"NO ATÍPICO")</f>
        <v>NO ATÍPICO</v>
      </c>
      <c r="K2836" t="str" cm="1">
        <f t="array" ref="K2836">_xlfn.IFS(ISBLANK(I2836),"FALTANTE",ABS((I2836-$W$8)/$X$8)&gt;1.92,"ATÍPICO",ABS((I2836-$W$8)/$X$8)&lt;=1.92,"NO ATÍPICO")</f>
        <v>NO ATÍPICO</v>
      </c>
      <c r="L2836">
        <f t="shared" si="193"/>
        <v>448447</v>
      </c>
      <c r="M2836" t="str">
        <f t="shared" si="193"/>
        <v>ASALARIADO</v>
      </c>
      <c r="N2836">
        <f t="shared" si="194"/>
        <v>41</v>
      </c>
      <c r="O2836" s="19" t="str">
        <f t="shared" si="195"/>
        <v>300k–600k</v>
      </c>
      <c r="P2836" s="19" t="str">
        <f t="shared" si="196"/>
        <v>36-45</v>
      </c>
    </row>
    <row r="2837" spans="1:16" x14ac:dyDescent="0.25">
      <c r="A2837">
        <v>2836</v>
      </c>
      <c r="B2837" t="s">
        <v>15</v>
      </c>
      <c r="C2837">
        <v>847616</v>
      </c>
      <c r="D2837" t="s">
        <v>10</v>
      </c>
      <c r="E2837" t="s">
        <v>11</v>
      </c>
      <c r="F2837" t="s">
        <v>12</v>
      </c>
      <c r="G2837" t="s">
        <v>13</v>
      </c>
      <c r="H2837" t="s">
        <v>13</v>
      </c>
      <c r="I2837">
        <v>31</v>
      </c>
      <c r="J2837" t="str" cm="1">
        <f t="array" ref="J2837">_xlfn.IFS(ISBLANK(C2837),"FALTANTE",ABS((C2837-$W$5)/$X$5)&gt;1.96,"ATÍPICO",ABS((C2837-$W$5)/$X$5)&lt;=1.96,"NO ATÍPICO")</f>
        <v>NO ATÍPICO</v>
      </c>
      <c r="K2837" t="str" cm="1">
        <f t="array" ref="K2837">_xlfn.IFS(ISBLANK(I2837),"FALTANTE",ABS((I2837-$W$8)/$X$8)&gt;1.92,"ATÍPICO",ABS((I2837-$W$8)/$X$8)&lt;=1.92,"NO ATÍPICO")</f>
        <v>NO ATÍPICO</v>
      </c>
      <c r="L2837">
        <f t="shared" si="193"/>
        <v>847616</v>
      </c>
      <c r="M2837" t="str">
        <f t="shared" si="193"/>
        <v>ASALARIADO</v>
      </c>
      <c r="N2837">
        <f t="shared" si="194"/>
        <v>31</v>
      </c>
      <c r="O2837" s="19" t="str">
        <f t="shared" si="195"/>
        <v>600k–900k</v>
      </c>
      <c r="P2837" s="19" t="str">
        <f t="shared" si="196"/>
        <v>26-35</v>
      </c>
    </row>
    <row r="2838" spans="1:16" x14ac:dyDescent="0.25">
      <c r="A2838">
        <v>2837</v>
      </c>
      <c r="B2838" t="s">
        <v>9</v>
      </c>
      <c r="C2838">
        <v>300056</v>
      </c>
      <c r="D2838" t="s">
        <v>14</v>
      </c>
      <c r="E2838" t="s">
        <v>11</v>
      </c>
      <c r="F2838" t="s">
        <v>12</v>
      </c>
      <c r="G2838" t="s">
        <v>13</v>
      </c>
      <c r="H2838" t="s">
        <v>13</v>
      </c>
      <c r="I2838">
        <v>61</v>
      </c>
      <c r="J2838" t="str" cm="1">
        <f t="array" ref="J2838">_xlfn.IFS(ISBLANK(C2838),"FALTANTE",ABS((C2838-$W$5)/$X$5)&gt;1.96,"ATÍPICO",ABS((C2838-$W$5)/$X$5)&lt;=1.96,"NO ATÍPICO")</f>
        <v>NO ATÍPICO</v>
      </c>
      <c r="K2838" t="str" cm="1">
        <f t="array" ref="K2838">_xlfn.IFS(ISBLANK(I2838),"FALTANTE",ABS((I2838-$W$8)/$X$8)&gt;1.92,"ATÍPICO",ABS((I2838-$W$8)/$X$8)&lt;=1.92,"NO ATÍPICO")</f>
        <v>NO ATÍPICO</v>
      </c>
      <c r="L2838">
        <f t="shared" si="193"/>
        <v>300056</v>
      </c>
      <c r="M2838" t="str">
        <f t="shared" si="193"/>
        <v>PENSIONADOS EN SU PROPIO SISTEMA</v>
      </c>
      <c r="N2838">
        <f t="shared" si="194"/>
        <v>61</v>
      </c>
      <c r="O2838" s="19" t="str">
        <f t="shared" si="195"/>
        <v>300k–600k</v>
      </c>
      <c r="P2838" s="19" t="str">
        <f t="shared" si="196"/>
        <v>56+</v>
      </c>
    </row>
    <row r="2839" spans="1:16" x14ac:dyDescent="0.25">
      <c r="A2839">
        <v>2838</v>
      </c>
      <c r="B2839" t="s">
        <v>15</v>
      </c>
      <c r="C2839">
        <v>278030</v>
      </c>
      <c r="D2839" t="s">
        <v>19</v>
      </c>
      <c r="E2839" t="s">
        <v>16</v>
      </c>
      <c r="F2839" t="s">
        <v>12</v>
      </c>
      <c r="G2839" t="s">
        <v>13</v>
      </c>
      <c r="H2839" t="s">
        <v>13</v>
      </c>
      <c r="I2839">
        <v>23</v>
      </c>
      <c r="J2839" t="str" cm="1">
        <f t="array" ref="J2839">_xlfn.IFS(ISBLANK(C2839),"FALTANTE",ABS((C2839-$W$5)/$X$5)&gt;1.96,"ATÍPICO",ABS((C2839-$W$5)/$X$5)&lt;=1.96,"NO ATÍPICO")</f>
        <v>NO ATÍPICO</v>
      </c>
      <c r="K2839" t="str" cm="1">
        <f t="array" ref="K2839">_xlfn.IFS(ISBLANK(I2839),"FALTANTE",ABS((I2839-$W$8)/$X$8)&gt;1.92,"ATÍPICO",ABS((I2839-$W$8)/$X$8)&lt;=1.92,"NO ATÍPICO")</f>
        <v>NO ATÍPICO</v>
      </c>
      <c r="L2839">
        <f t="shared" si="193"/>
        <v>278030</v>
      </c>
      <c r="M2839" t="str">
        <f t="shared" si="193"/>
        <v>CONVENIOS ESPECIALES DE TRABAJADORES INDEPENDIENTES</v>
      </c>
      <c r="N2839">
        <f t="shared" si="194"/>
        <v>23</v>
      </c>
      <c r="O2839" s="19" t="str">
        <f t="shared" si="195"/>
        <v>0–300k</v>
      </c>
      <c r="P2839" s="19" t="str">
        <f t="shared" si="196"/>
        <v>18-25</v>
      </c>
    </row>
    <row r="2840" spans="1:16" x14ac:dyDescent="0.25">
      <c r="A2840">
        <v>2839</v>
      </c>
      <c r="B2840" t="s">
        <v>9</v>
      </c>
      <c r="C2840">
        <v>956230</v>
      </c>
      <c r="D2840" t="s">
        <v>10</v>
      </c>
      <c r="E2840" t="s">
        <v>11</v>
      </c>
      <c r="F2840" t="s">
        <v>12</v>
      </c>
      <c r="G2840" t="s">
        <v>13</v>
      </c>
      <c r="H2840" t="s">
        <v>12</v>
      </c>
      <c r="I2840">
        <v>60</v>
      </c>
      <c r="J2840" t="str" cm="1">
        <f t="array" ref="J2840">_xlfn.IFS(ISBLANK(C2840),"FALTANTE",ABS((C2840-$W$5)/$X$5)&gt;1.96,"ATÍPICO",ABS((C2840-$W$5)/$X$5)&lt;=1.96,"NO ATÍPICO")</f>
        <v>NO ATÍPICO</v>
      </c>
      <c r="K2840" t="str" cm="1">
        <f t="array" ref="K2840">_xlfn.IFS(ISBLANK(I2840),"FALTANTE",ABS((I2840-$W$8)/$X$8)&gt;1.92,"ATÍPICO",ABS((I2840-$W$8)/$X$8)&lt;=1.92,"NO ATÍPICO")</f>
        <v>NO ATÍPICO</v>
      </c>
      <c r="L2840">
        <f t="shared" si="193"/>
        <v>956230</v>
      </c>
      <c r="M2840" t="str">
        <f t="shared" si="193"/>
        <v>ASALARIADO</v>
      </c>
      <c r="N2840">
        <f t="shared" si="194"/>
        <v>60</v>
      </c>
      <c r="O2840" s="19" t="str">
        <f t="shared" si="195"/>
        <v>900k–1200k</v>
      </c>
      <c r="P2840" s="19" t="str">
        <f t="shared" si="196"/>
        <v>56+</v>
      </c>
    </row>
    <row r="2841" spans="1:16" x14ac:dyDescent="0.25">
      <c r="A2841">
        <v>2840</v>
      </c>
      <c r="B2841" t="s">
        <v>15</v>
      </c>
      <c r="C2841">
        <v>410738.26</v>
      </c>
      <c r="D2841" t="s">
        <v>10</v>
      </c>
      <c r="E2841" t="s">
        <v>16</v>
      </c>
      <c r="F2841" t="s">
        <v>12</v>
      </c>
      <c r="G2841" t="s">
        <v>13</v>
      </c>
      <c r="H2841" t="s">
        <v>13</v>
      </c>
      <c r="I2841">
        <v>30</v>
      </c>
      <c r="J2841" t="str" cm="1">
        <f t="array" ref="J2841">_xlfn.IFS(ISBLANK(C2841),"FALTANTE",ABS((C2841-$W$5)/$X$5)&gt;1.96,"ATÍPICO",ABS((C2841-$W$5)/$X$5)&lt;=1.96,"NO ATÍPICO")</f>
        <v>NO ATÍPICO</v>
      </c>
      <c r="K2841" t="str" cm="1">
        <f t="array" ref="K2841">_xlfn.IFS(ISBLANK(I2841),"FALTANTE",ABS((I2841-$W$8)/$X$8)&gt;1.92,"ATÍPICO",ABS((I2841-$W$8)/$X$8)&lt;=1.92,"NO ATÍPICO")</f>
        <v>NO ATÍPICO</v>
      </c>
      <c r="L2841">
        <f t="shared" si="193"/>
        <v>410738.26</v>
      </c>
      <c r="M2841" t="str">
        <f t="shared" si="193"/>
        <v>ASALARIADO</v>
      </c>
      <c r="N2841">
        <f t="shared" si="194"/>
        <v>30</v>
      </c>
      <c r="O2841" s="19" t="str">
        <f t="shared" si="195"/>
        <v>300k–600k</v>
      </c>
      <c r="P2841" s="19" t="str">
        <f t="shared" si="196"/>
        <v>26-35</v>
      </c>
    </row>
    <row r="2842" spans="1:16" x14ac:dyDescent="0.25">
      <c r="A2842">
        <v>2841</v>
      </c>
      <c r="B2842" t="s">
        <v>9</v>
      </c>
      <c r="C2842">
        <v>451015</v>
      </c>
      <c r="D2842" t="s">
        <v>10</v>
      </c>
      <c r="E2842" t="s">
        <v>16</v>
      </c>
      <c r="F2842" t="s">
        <v>12</v>
      </c>
      <c r="G2842" t="s">
        <v>13</v>
      </c>
      <c r="H2842" t="s">
        <v>13</v>
      </c>
      <c r="I2842">
        <v>28</v>
      </c>
      <c r="J2842" t="str" cm="1">
        <f t="array" ref="J2842">_xlfn.IFS(ISBLANK(C2842),"FALTANTE",ABS((C2842-$W$5)/$X$5)&gt;1.96,"ATÍPICO",ABS((C2842-$W$5)/$X$5)&lt;=1.96,"NO ATÍPICO")</f>
        <v>NO ATÍPICO</v>
      </c>
      <c r="K2842" t="str" cm="1">
        <f t="array" ref="K2842">_xlfn.IFS(ISBLANK(I2842),"FALTANTE",ABS((I2842-$W$8)/$X$8)&gt;1.92,"ATÍPICO",ABS((I2842-$W$8)/$X$8)&lt;=1.92,"NO ATÍPICO")</f>
        <v>NO ATÍPICO</v>
      </c>
      <c r="L2842">
        <f t="shared" si="193"/>
        <v>451015</v>
      </c>
      <c r="M2842" t="str">
        <f t="shared" si="193"/>
        <v>ASALARIADO</v>
      </c>
      <c r="N2842">
        <f t="shared" si="194"/>
        <v>28</v>
      </c>
      <c r="O2842" s="19" t="str">
        <f t="shared" si="195"/>
        <v>300k–600k</v>
      </c>
      <c r="P2842" s="19" t="str">
        <f t="shared" si="196"/>
        <v>26-35</v>
      </c>
    </row>
    <row r="2843" spans="1:16" x14ac:dyDescent="0.25">
      <c r="A2843">
        <v>2842</v>
      </c>
      <c r="B2843" t="s">
        <v>9</v>
      </c>
      <c r="C2843">
        <v>370000</v>
      </c>
      <c r="D2843" t="s">
        <v>10</v>
      </c>
      <c r="E2843" t="s">
        <v>16</v>
      </c>
      <c r="F2843" t="s">
        <v>12</v>
      </c>
      <c r="G2843" t="s">
        <v>13</v>
      </c>
      <c r="H2843" t="s">
        <v>13</v>
      </c>
      <c r="I2843">
        <v>45</v>
      </c>
      <c r="J2843" t="str" cm="1">
        <f t="array" ref="J2843">_xlfn.IFS(ISBLANK(C2843),"FALTANTE",ABS((C2843-$W$5)/$X$5)&gt;1.96,"ATÍPICO",ABS((C2843-$W$5)/$X$5)&lt;=1.96,"NO ATÍPICO")</f>
        <v>NO ATÍPICO</v>
      </c>
      <c r="K2843" t="str" cm="1">
        <f t="array" ref="K2843">_xlfn.IFS(ISBLANK(I2843),"FALTANTE",ABS((I2843-$W$8)/$X$8)&gt;1.92,"ATÍPICO",ABS((I2843-$W$8)/$X$8)&lt;=1.92,"NO ATÍPICO")</f>
        <v>NO ATÍPICO</v>
      </c>
      <c r="L2843">
        <f t="shared" si="193"/>
        <v>370000</v>
      </c>
      <c r="M2843" t="str">
        <f t="shared" si="193"/>
        <v>ASALARIADO</v>
      </c>
      <c r="N2843">
        <f t="shared" si="194"/>
        <v>45</v>
      </c>
      <c r="O2843" s="19" t="str">
        <f t="shared" si="195"/>
        <v>300k–600k</v>
      </c>
      <c r="P2843" s="19" t="str">
        <f t="shared" si="196"/>
        <v>36-45</v>
      </c>
    </row>
    <row r="2844" spans="1:16" x14ac:dyDescent="0.25">
      <c r="A2844">
        <v>2843</v>
      </c>
      <c r="B2844" t="s">
        <v>15</v>
      </c>
      <c r="C2844">
        <v>297046</v>
      </c>
      <c r="D2844" t="s">
        <v>17</v>
      </c>
      <c r="E2844" t="s">
        <v>16</v>
      </c>
      <c r="F2844" t="s">
        <v>13</v>
      </c>
      <c r="G2844" t="s">
        <v>13</v>
      </c>
      <c r="H2844" t="s">
        <v>12</v>
      </c>
      <c r="I2844">
        <v>19</v>
      </c>
      <c r="J2844" t="str" cm="1">
        <f t="array" ref="J2844">_xlfn.IFS(ISBLANK(C2844),"FALTANTE",ABS((C2844-$W$5)/$X$5)&gt;1.96,"ATÍPICO",ABS((C2844-$W$5)/$X$5)&lt;=1.96,"NO ATÍPICO")</f>
        <v>NO ATÍPICO</v>
      </c>
      <c r="K2844" t="str" cm="1">
        <f t="array" ref="K2844">_xlfn.IFS(ISBLANK(I2844),"FALTANTE",ABS((I2844-$W$8)/$X$8)&gt;1.92,"ATÍPICO",ABS((I2844-$W$8)/$X$8)&lt;=1.92,"NO ATÍPICO")</f>
        <v>NO ATÍPICO</v>
      </c>
      <c r="L2844">
        <f t="shared" si="193"/>
        <v>297046</v>
      </c>
      <c r="M2844" t="str">
        <f t="shared" si="193"/>
        <v>ASEGURADO VOLUNTARIO</v>
      </c>
      <c r="N2844">
        <f t="shared" si="194"/>
        <v>19</v>
      </c>
      <c r="O2844" s="19" t="str">
        <f t="shared" si="195"/>
        <v>0–300k</v>
      </c>
      <c r="P2844" s="19" t="str">
        <f t="shared" si="196"/>
        <v>18-25</v>
      </c>
    </row>
    <row r="2845" spans="1:16" x14ac:dyDescent="0.25">
      <c r="A2845">
        <v>2844</v>
      </c>
      <c r="B2845" t="s">
        <v>9</v>
      </c>
      <c r="C2845">
        <v>519483.5</v>
      </c>
      <c r="D2845" t="s">
        <v>10</v>
      </c>
      <c r="E2845" t="s">
        <v>16</v>
      </c>
      <c r="F2845" t="s">
        <v>12</v>
      </c>
      <c r="G2845" t="s">
        <v>12</v>
      </c>
      <c r="H2845" t="s">
        <v>12</v>
      </c>
      <c r="I2845">
        <v>37</v>
      </c>
      <c r="J2845" t="str" cm="1">
        <f t="array" ref="J2845">_xlfn.IFS(ISBLANK(C2845),"FALTANTE",ABS((C2845-$W$5)/$X$5)&gt;1.96,"ATÍPICO",ABS((C2845-$W$5)/$X$5)&lt;=1.96,"NO ATÍPICO")</f>
        <v>NO ATÍPICO</v>
      </c>
      <c r="K2845" t="str" cm="1">
        <f t="array" ref="K2845">_xlfn.IFS(ISBLANK(I2845),"FALTANTE",ABS((I2845-$W$8)/$X$8)&gt;1.92,"ATÍPICO",ABS((I2845-$W$8)/$X$8)&lt;=1.92,"NO ATÍPICO")</f>
        <v>NO ATÍPICO</v>
      </c>
      <c r="L2845">
        <f t="shared" si="193"/>
        <v>519483.5</v>
      </c>
      <c r="M2845" t="str">
        <f t="shared" si="193"/>
        <v>ASALARIADO</v>
      </c>
      <c r="N2845">
        <f t="shared" si="194"/>
        <v>37</v>
      </c>
      <c r="O2845" s="19" t="str">
        <f t="shared" si="195"/>
        <v>300k–600k</v>
      </c>
      <c r="P2845" s="19" t="str">
        <f t="shared" si="196"/>
        <v>36-45</v>
      </c>
    </row>
    <row r="2846" spans="1:16" x14ac:dyDescent="0.25">
      <c r="A2846">
        <v>2845</v>
      </c>
      <c r="B2846" t="s">
        <v>15</v>
      </c>
      <c r="C2846">
        <v>2216750.36</v>
      </c>
      <c r="D2846" t="s">
        <v>10</v>
      </c>
      <c r="E2846" t="s">
        <v>16</v>
      </c>
      <c r="F2846" t="s">
        <v>12</v>
      </c>
      <c r="G2846" t="s">
        <v>12</v>
      </c>
      <c r="H2846" t="s">
        <v>13</v>
      </c>
      <c r="I2846">
        <v>30</v>
      </c>
      <c r="J2846" t="str" cm="1">
        <f t="array" ref="J2846">_xlfn.IFS(ISBLANK(C2846),"FALTANTE",ABS((C2846-$W$5)/$X$5)&gt;1.96,"ATÍPICO",ABS((C2846-$W$5)/$X$5)&lt;=1.96,"NO ATÍPICO")</f>
        <v>NO ATÍPICO</v>
      </c>
      <c r="K2846" t="str" cm="1">
        <f t="array" ref="K2846">_xlfn.IFS(ISBLANK(I2846),"FALTANTE",ABS((I2846-$W$8)/$X$8)&gt;1.92,"ATÍPICO",ABS((I2846-$W$8)/$X$8)&lt;=1.92,"NO ATÍPICO")</f>
        <v>NO ATÍPICO</v>
      </c>
      <c r="L2846">
        <f t="shared" si="193"/>
        <v>2216750.36</v>
      </c>
      <c r="M2846" t="str">
        <f t="shared" si="193"/>
        <v>ASALARIADO</v>
      </c>
      <c r="N2846">
        <f t="shared" si="194"/>
        <v>30</v>
      </c>
      <c r="O2846" s="19" t="str">
        <f t="shared" si="195"/>
        <v>1200k+</v>
      </c>
      <c r="P2846" s="19" t="str">
        <f t="shared" si="196"/>
        <v>26-35</v>
      </c>
    </row>
    <row r="2847" spans="1:16" x14ac:dyDescent="0.25">
      <c r="A2847">
        <v>2846</v>
      </c>
      <c r="B2847" t="s">
        <v>9</v>
      </c>
      <c r="C2847">
        <v>241999</v>
      </c>
      <c r="D2847" t="s">
        <v>10</v>
      </c>
      <c r="E2847" t="s">
        <v>16</v>
      </c>
      <c r="F2847" t="s">
        <v>12</v>
      </c>
      <c r="G2847" t="s">
        <v>13</v>
      </c>
      <c r="H2847" t="s">
        <v>12</v>
      </c>
      <c r="I2847">
        <v>45</v>
      </c>
      <c r="J2847" t="str" cm="1">
        <f t="array" ref="J2847">_xlfn.IFS(ISBLANK(C2847),"FALTANTE",ABS((C2847-$W$5)/$X$5)&gt;1.96,"ATÍPICO",ABS((C2847-$W$5)/$X$5)&lt;=1.96,"NO ATÍPICO")</f>
        <v>NO ATÍPICO</v>
      </c>
      <c r="K2847" t="str" cm="1">
        <f t="array" ref="K2847">_xlfn.IFS(ISBLANK(I2847),"FALTANTE",ABS((I2847-$W$8)/$X$8)&gt;1.92,"ATÍPICO",ABS((I2847-$W$8)/$X$8)&lt;=1.92,"NO ATÍPICO")</f>
        <v>NO ATÍPICO</v>
      </c>
      <c r="L2847">
        <f t="shared" si="193"/>
        <v>241999</v>
      </c>
      <c r="M2847" t="str">
        <f t="shared" si="193"/>
        <v>ASALARIADO</v>
      </c>
      <c r="N2847">
        <f t="shared" si="194"/>
        <v>45</v>
      </c>
      <c r="O2847" s="19" t="str">
        <f t="shared" si="195"/>
        <v>0–300k</v>
      </c>
      <c r="P2847" s="19" t="str">
        <f t="shared" si="196"/>
        <v>36-45</v>
      </c>
    </row>
    <row r="2848" spans="1:16" x14ac:dyDescent="0.25">
      <c r="A2848">
        <v>2847</v>
      </c>
      <c r="B2848" t="s">
        <v>15</v>
      </c>
      <c r="C2848">
        <v>300018</v>
      </c>
      <c r="D2848" t="s">
        <v>17</v>
      </c>
      <c r="E2848" t="s">
        <v>16</v>
      </c>
      <c r="F2848" t="s">
        <v>12</v>
      </c>
      <c r="G2848" t="s">
        <v>13</v>
      </c>
      <c r="H2848" t="s">
        <v>13</v>
      </c>
      <c r="I2848">
        <v>59</v>
      </c>
      <c r="J2848" t="str" cm="1">
        <f t="array" ref="J2848">_xlfn.IFS(ISBLANK(C2848),"FALTANTE",ABS((C2848-$W$5)/$X$5)&gt;1.96,"ATÍPICO",ABS((C2848-$W$5)/$X$5)&lt;=1.96,"NO ATÍPICO")</f>
        <v>NO ATÍPICO</v>
      </c>
      <c r="K2848" t="str" cm="1">
        <f t="array" ref="K2848">_xlfn.IFS(ISBLANK(I2848),"FALTANTE",ABS((I2848-$W$8)/$X$8)&gt;1.92,"ATÍPICO",ABS((I2848-$W$8)/$X$8)&lt;=1.92,"NO ATÍPICO")</f>
        <v>NO ATÍPICO</v>
      </c>
      <c r="L2848">
        <f t="shared" si="193"/>
        <v>300018</v>
      </c>
      <c r="M2848" t="str">
        <f t="shared" si="193"/>
        <v>ASEGURADO VOLUNTARIO</v>
      </c>
      <c r="N2848">
        <f t="shared" si="194"/>
        <v>59</v>
      </c>
      <c r="O2848" s="19" t="str">
        <f t="shared" si="195"/>
        <v>300k–600k</v>
      </c>
      <c r="P2848" s="19" t="str">
        <f t="shared" si="196"/>
        <v>56+</v>
      </c>
    </row>
    <row r="2849" spans="1:16" x14ac:dyDescent="0.25">
      <c r="A2849">
        <v>2848</v>
      </c>
      <c r="B2849" t="s">
        <v>9</v>
      </c>
      <c r="C2849">
        <v>309288</v>
      </c>
      <c r="D2849" t="s">
        <v>10</v>
      </c>
      <c r="E2849" t="s">
        <v>16</v>
      </c>
      <c r="F2849" t="s">
        <v>12</v>
      </c>
      <c r="G2849" t="s">
        <v>13</v>
      </c>
      <c r="H2849" t="s">
        <v>13</v>
      </c>
      <c r="I2849">
        <v>39</v>
      </c>
      <c r="J2849" t="str" cm="1">
        <f t="array" ref="J2849">_xlfn.IFS(ISBLANK(C2849),"FALTANTE",ABS((C2849-$W$5)/$X$5)&gt;1.96,"ATÍPICO",ABS((C2849-$W$5)/$X$5)&lt;=1.96,"NO ATÍPICO")</f>
        <v>NO ATÍPICO</v>
      </c>
      <c r="K2849" t="str" cm="1">
        <f t="array" ref="K2849">_xlfn.IFS(ISBLANK(I2849),"FALTANTE",ABS((I2849-$W$8)/$X$8)&gt;1.92,"ATÍPICO",ABS((I2849-$W$8)/$X$8)&lt;=1.92,"NO ATÍPICO")</f>
        <v>NO ATÍPICO</v>
      </c>
      <c r="L2849">
        <f t="shared" si="193"/>
        <v>309288</v>
      </c>
      <c r="M2849" t="str">
        <f t="shared" si="193"/>
        <v>ASALARIADO</v>
      </c>
      <c r="N2849">
        <f t="shared" si="194"/>
        <v>39</v>
      </c>
      <c r="O2849" s="19" t="str">
        <f t="shared" si="195"/>
        <v>300k–600k</v>
      </c>
      <c r="P2849" s="19" t="str">
        <f t="shared" si="196"/>
        <v>36-45</v>
      </c>
    </row>
    <row r="2850" spans="1:16" x14ac:dyDescent="0.25">
      <c r="A2850">
        <v>2849</v>
      </c>
      <c r="B2850" t="s">
        <v>15</v>
      </c>
      <c r="C2850">
        <v>250750</v>
      </c>
      <c r="D2850" t="s">
        <v>10</v>
      </c>
      <c r="E2850" t="s">
        <v>16</v>
      </c>
      <c r="F2850" t="s">
        <v>12</v>
      </c>
      <c r="G2850" t="s">
        <v>13</v>
      </c>
      <c r="H2850" t="s">
        <v>13</v>
      </c>
      <c r="I2850">
        <v>31</v>
      </c>
      <c r="J2850" t="str" cm="1">
        <f t="array" ref="J2850">_xlfn.IFS(ISBLANK(C2850),"FALTANTE",ABS((C2850-$W$5)/$X$5)&gt;1.96,"ATÍPICO",ABS((C2850-$W$5)/$X$5)&lt;=1.96,"NO ATÍPICO")</f>
        <v>NO ATÍPICO</v>
      </c>
      <c r="K2850" t="str" cm="1">
        <f t="array" ref="K2850">_xlfn.IFS(ISBLANK(I2850),"FALTANTE",ABS((I2850-$W$8)/$X$8)&gt;1.92,"ATÍPICO",ABS((I2850-$W$8)/$X$8)&lt;=1.92,"NO ATÍPICO")</f>
        <v>NO ATÍPICO</v>
      </c>
      <c r="L2850">
        <f t="shared" si="193"/>
        <v>250750</v>
      </c>
      <c r="M2850" t="str">
        <f t="shared" si="193"/>
        <v>ASALARIADO</v>
      </c>
      <c r="N2850">
        <f t="shared" si="194"/>
        <v>31</v>
      </c>
      <c r="O2850" s="19" t="str">
        <f t="shared" si="195"/>
        <v>0–300k</v>
      </c>
      <c r="P2850" s="19" t="str">
        <f t="shared" si="196"/>
        <v>26-35</v>
      </c>
    </row>
    <row r="2851" spans="1:16" x14ac:dyDescent="0.25">
      <c r="A2851">
        <v>2850</v>
      </c>
      <c r="B2851" t="s">
        <v>15</v>
      </c>
      <c r="C2851">
        <v>155636</v>
      </c>
      <c r="D2851" t="s">
        <v>10</v>
      </c>
      <c r="E2851" t="s">
        <v>16</v>
      </c>
      <c r="F2851" t="s">
        <v>12</v>
      </c>
      <c r="G2851" t="s">
        <v>13</v>
      </c>
      <c r="H2851" t="s">
        <v>13</v>
      </c>
      <c r="I2851">
        <v>61</v>
      </c>
      <c r="J2851" t="str" cm="1">
        <f t="array" ref="J2851">_xlfn.IFS(ISBLANK(C2851),"FALTANTE",ABS((C2851-$W$5)/$X$5)&gt;1.96,"ATÍPICO",ABS((C2851-$W$5)/$X$5)&lt;=1.96,"NO ATÍPICO")</f>
        <v>NO ATÍPICO</v>
      </c>
      <c r="K2851" t="str" cm="1">
        <f t="array" ref="K2851">_xlfn.IFS(ISBLANK(I2851),"FALTANTE",ABS((I2851-$W$8)/$X$8)&gt;1.92,"ATÍPICO",ABS((I2851-$W$8)/$X$8)&lt;=1.92,"NO ATÍPICO")</f>
        <v>NO ATÍPICO</v>
      </c>
      <c r="L2851">
        <f t="shared" si="193"/>
        <v>155636</v>
      </c>
      <c r="M2851" t="str">
        <f t="shared" si="193"/>
        <v>ASALARIADO</v>
      </c>
      <c r="N2851">
        <f t="shared" si="194"/>
        <v>61</v>
      </c>
      <c r="O2851" s="19" t="str">
        <f t="shared" si="195"/>
        <v>0–300k</v>
      </c>
      <c r="P2851" s="19" t="str">
        <f t="shared" si="196"/>
        <v>56+</v>
      </c>
    </row>
    <row r="2852" spans="1:16" x14ac:dyDescent="0.25">
      <c r="A2852">
        <v>2851</v>
      </c>
      <c r="B2852" t="s">
        <v>9</v>
      </c>
      <c r="C2852">
        <v>617586</v>
      </c>
      <c r="D2852" t="s">
        <v>10</v>
      </c>
      <c r="E2852" t="s">
        <v>16</v>
      </c>
      <c r="F2852" t="s">
        <v>12</v>
      </c>
      <c r="G2852" t="s">
        <v>13</v>
      </c>
      <c r="H2852" t="s">
        <v>12</v>
      </c>
      <c r="I2852">
        <v>36</v>
      </c>
      <c r="J2852" t="str" cm="1">
        <f t="array" ref="J2852">_xlfn.IFS(ISBLANK(C2852),"FALTANTE",ABS((C2852-$W$5)/$X$5)&gt;1.96,"ATÍPICO",ABS((C2852-$W$5)/$X$5)&lt;=1.96,"NO ATÍPICO")</f>
        <v>NO ATÍPICO</v>
      </c>
      <c r="K2852" t="str" cm="1">
        <f t="array" ref="K2852">_xlfn.IFS(ISBLANK(I2852),"FALTANTE",ABS((I2852-$W$8)/$X$8)&gt;1.92,"ATÍPICO",ABS((I2852-$W$8)/$X$8)&lt;=1.92,"NO ATÍPICO")</f>
        <v>NO ATÍPICO</v>
      </c>
      <c r="L2852">
        <f t="shared" si="193"/>
        <v>617586</v>
      </c>
      <c r="M2852" t="str">
        <f t="shared" si="193"/>
        <v>ASALARIADO</v>
      </c>
      <c r="N2852">
        <f t="shared" si="194"/>
        <v>36</v>
      </c>
      <c r="O2852" s="19" t="str">
        <f t="shared" si="195"/>
        <v>600k–900k</v>
      </c>
      <c r="P2852" s="19" t="str">
        <f t="shared" si="196"/>
        <v>36-45</v>
      </c>
    </row>
    <row r="2853" spans="1:16" x14ac:dyDescent="0.25">
      <c r="A2853">
        <v>2852</v>
      </c>
      <c r="B2853" t="s">
        <v>9</v>
      </c>
      <c r="C2853">
        <v>450886</v>
      </c>
      <c r="D2853" t="s">
        <v>18</v>
      </c>
      <c r="E2853" t="s">
        <v>16</v>
      </c>
      <c r="F2853" t="s">
        <v>12</v>
      </c>
      <c r="G2853" t="s">
        <v>13</v>
      </c>
      <c r="H2853" t="s">
        <v>13</v>
      </c>
      <c r="I2853">
        <v>49</v>
      </c>
      <c r="J2853" t="str" cm="1">
        <f t="array" ref="J2853">_xlfn.IFS(ISBLANK(C2853),"FALTANTE",ABS((C2853-$W$5)/$X$5)&gt;1.96,"ATÍPICO",ABS((C2853-$W$5)/$X$5)&lt;=1.96,"NO ATÍPICO")</f>
        <v>NO ATÍPICO</v>
      </c>
      <c r="K2853" t="str" cm="1">
        <f t="array" ref="K2853">_xlfn.IFS(ISBLANK(I2853),"FALTANTE",ABS((I2853-$W$8)/$X$8)&gt;1.92,"ATÍPICO",ABS((I2853-$W$8)/$X$8)&lt;=1.92,"NO ATÍPICO")</f>
        <v>NO ATÍPICO</v>
      </c>
      <c r="L2853">
        <f t="shared" si="193"/>
        <v>450886</v>
      </c>
      <c r="M2853" t="str">
        <f t="shared" si="193"/>
        <v>TRABAJADOR INDEPENDIENTE</v>
      </c>
      <c r="N2853">
        <f t="shared" si="194"/>
        <v>49</v>
      </c>
      <c r="O2853" s="19" t="str">
        <f t="shared" si="195"/>
        <v>300k–600k</v>
      </c>
      <c r="P2853" s="19" t="str">
        <f t="shared" si="196"/>
        <v>46-55</v>
      </c>
    </row>
    <row r="2854" spans="1:16" x14ac:dyDescent="0.25">
      <c r="A2854">
        <v>2853</v>
      </c>
      <c r="B2854" t="s">
        <v>15</v>
      </c>
      <c r="C2854">
        <v>297046</v>
      </c>
      <c r="D2854" t="s">
        <v>17</v>
      </c>
      <c r="E2854" t="s">
        <v>16</v>
      </c>
      <c r="F2854" t="s">
        <v>12</v>
      </c>
      <c r="G2854" t="s">
        <v>13</v>
      </c>
      <c r="H2854" t="s">
        <v>13</v>
      </c>
      <c r="I2854">
        <v>61</v>
      </c>
      <c r="J2854" t="str" cm="1">
        <f t="array" ref="J2854">_xlfn.IFS(ISBLANK(C2854),"FALTANTE",ABS((C2854-$W$5)/$X$5)&gt;1.96,"ATÍPICO",ABS((C2854-$W$5)/$X$5)&lt;=1.96,"NO ATÍPICO")</f>
        <v>NO ATÍPICO</v>
      </c>
      <c r="K2854" t="str" cm="1">
        <f t="array" ref="K2854">_xlfn.IFS(ISBLANK(I2854),"FALTANTE",ABS((I2854-$W$8)/$X$8)&gt;1.92,"ATÍPICO",ABS((I2854-$W$8)/$X$8)&lt;=1.92,"NO ATÍPICO")</f>
        <v>NO ATÍPICO</v>
      </c>
      <c r="L2854">
        <f t="shared" si="193"/>
        <v>297046</v>
      </c>
      <c r="M2854" t="str">
        <f t="shared" si="193"/>
        <v>ASEGURADO VOLUNTARIO</v>
      </c>
      <c r="N2854">
        <f t="shared" si="194"/>
        <v>61</v>
      </c>
      <c r="O2854" s="19" t="str">
        <f t="shared" si="195"/>
        <v>0–300k</v>
      </c>
      <c r="P2854" s="19" t="str">
        <f t="shared" si="196"/>
        <v>56+</v>
      </c>
    </row>
    <row r="2855" spans="1:16" x14ac:dyDescent="0.25">
      <c r="A2855">
        <v>2854</v>
      </c>
      <c r="B2855" t="s">
        <v>9</v>
      </c>
      <c r="C2855">
        <v>446000</v>
      </c>
      <c r="D2855" t="s">
        <v>10</v>
      </c>
      <c r="E2855" t="s">
        <v>16</v>
      </c>
      <c r="F2855" t="s">
        <v>12</v>
      </c>
      <c r="G2855" t="s">
        <v>13</v>
      </c>
      <c r="H2855" t="s">
        <v>13</v>
      </c>
      <c r="I2855">
        <v>28</v>
      </c>
      <c r="J2855" t="str" cm="1">
        <f t="array" ref="J2855">_xlfn.IFS(ISBLANK(C2855),"FALTANTE",ABS((C2855-$W$5)/$X$5)&gt;1.96,"ATÍPICO",ABS((C2855-$W$5)/$X$5)&lt;=1.96,"NO ATÍPICO")</f>
        <v>NO ATÍPICO</v>
      </c>
      <c r="K2855" t="str" cm="1">
        <f t="array" ref="K2855">_xlfn.IFS(ISBLANK(I2855),"FALTANTE",ABS((I2855-$W$8)/$X$8)&gt;1.92,"ATÍPICO",ABS((I2855-$W$8)/$X$8)&lt;=1.92,"NO ATÍPICO")</f>
        <v>NO ATÍPICO</v>
      </c>
      <c r="L2855">
        <f t="shared" si="193"/>
        <v>446000</v>
      </c>
      <c r="M2855" t="str">
        <f t="shared" si="193"/>
        <v>ASALARIADO</v>
      </c>
      <c r="N2855">
        <f t="shared" si="194"/>
        <v>28</v>
      </c>
      <c r="O2855" s="19" t="str">
        <f t="shared" si="195"/>
        <v>300k–600k</v>
      </c>
      <c r="P2855" s="19" t="str">
        <f t="shared" si="196"/>
        <v>26-35</v>
      </c>
    </row>
    <row r="2856" spans="1:16" x14ac:dyDescent="0.25">
      <c r="A2856">
        <v>2855</v>
      </c>
      <c r="B2856" t="s">
        <v>9</v>
      </c>
      <c r="C2856">
        <v>509509</v>
      </c>
      <c r="D2856" t="s">
        <v>18</v>
      </c>
      <c r="E2856" t="s">
        <v>16</v>
      </c>
      <c r="F2856" t="s">
        <v>12</v>
      </c>
      <c r="G2856" t="s">
        <v>13</v>
      </c>
      <c r="H2856" t="s">
        <v>12</v>
      </c>
      <c r="I2856">
        <v>37</v>
      </c>
      <c r="J2856" t="str" cm="1">
        <f t="array" ref="J2856">_xlfn.IFS(ISBLANK(C2856),"FALTANTE",ABS((C2856-$W$5)/$X$5)&gt;1.96,"ATÍPICO",ABS((C2856-$W$5)/$X$5)&lt;=1.96,"NO ATÍPICO")</f>
        <v>NO ATÍPICO</v>
      </c>
      <c r="K2856" t="str" cm="1">
        <f t="array" ref="K2856">_xlfn.IFS(ISBLANK(I2856),"FALTANTE",ABS((I2856-$W$8)/$X$8)&gt;1.92,"ATÍPICO",ABS((I2856-$W$8)/$X$8)&lt;=1.92,"NO ATÍPICO")</f>
        <v>NO ATÍPICO</v>
      </c>
      <c r="L2856">
        <f t="shared" si="193"/>
        <v>509509</v>
      </c>
      <c r="M2856" t="str">
        <f t="shared" si="193"/>
        <v>TRABAJADOR INDEPENDIENTE</v>
      </c>
      <c r="N2856">
        <f t="shared" si="194"/>
        <v>37</v>
      </c>
      <c r="O2856" s="19" t="str">
        <f t="shared" si="195"/>
        <v>300k–600k</v>
      </c>
      <c r="P2856" s="19" t="str">
        <f t="shared" si="196"/>
        <v>36-45</v>
      </c>
    </row>
    <row r="2857" spans="1:16" x14ac:dyDescent="0.25">
      <c r="A2857">
        <v>2856</v>
      </c>
      <c r="B2857" t="s">
        <v>9</v>
      </c>
      <c r="C2857">
        <v>799571.5</v>
      </c>
      <c r="D2857" t="s">
        <v>10</v>
      </c>
      <c r="E2857" t="s">
        <v>16</v>
      </c>
      <c r="F2857" t="s">
        <v>12</v>
      </c>
      <c r="G2857" t="s">
        <v>13</v>
      </c>
      <c r="H2857" t="s">
        <v>13</v>
      </c>
      <c r="I2857">
        <v>22</v>
      </c>
      <c r="J2857" t="str" cm="1">
        <f t="array" ref="J2857">_xlfn.IFS(ISBLANK(C2857),"FALTANTE",ABS((C2857-$W$5)/$X$5)&gt;1.96,"ATÍPICO",ABS((C2857-$W$5)/$X$5)&lt;=1.96,"NO ATÍPICO")</f>
        <v>NO ATÍPICO</v>
      </c>
      <c r="K2857" t="str" cm="1">
        <f t="array" ref="K2857">_xlfn.IFS(ISBLANK(I2857),"FALTANTE",ABS((I2857-$W$8)/$X$8)&gt;1.92,"ATÍPICO",ABS((I2857-$W$8)/$X$8)&lt;=1.92,"NO ATÍPICO")</f>
        <v>NO ATÍPICO</v>
      </c>
      <c r="L2857">
        <f t="shared" si="193"/>
        <v>799571.5</v>
      </c>
      <c r="M2857" t="str">
        <f t="shared" si="193"/>
        <v>ASALARIADO</v>
      </c>
      <c r="N2857">
        <f t="shared" si="194"/>
        <v>22</v>
      </c>
      <c r="O2857" s="19" t="str">
        <f t="shared" si="195"/>
        <v>600k–900k</v>
      </c>
      <c r="P2857" s="19" t="str">
        <f t="shared" si="196"/>
        <v>18-25</v>
      </c>
    </row>
    <row r="2858" spans="1:16" x14ac:dyDescent="0.25">
      <c r="A2858">
        <v>2857</v>
      </c>
      <c r="B2858" t="s">
        <v>9</v>
      </c>
      <c r="C2858">
        <v>297046</v>
      </c>
      <c r="D2858" t="s">
        <v>17</v>
      </c>
      <c r="E2858" t="s">
        <v>16</v>
      </c>
      <c r="F2858" t="s">
        <v>12</v>
      </c>
      <c r="G2858" t="s">
        <v>12</v>
      </c>
      <c r="H2858" t="s">
        <v>12</v>
      </c>
      <c r="I2858">
        <v>57</v>
      </c>
      <c r="J2858" t="str" cm="1">
        <f t="array" ref="J2858">_xlfn.IFS(ISBLANK(C2858),"FALTANTE",ABS((C2858-$W$5)/$X$5)&gt;1.96,"ATÍPICO",ABS((C2858-$W$5)/$X$5)&lt;=1.96,"NO ATÍPICO")</f>
        <v>NO ATÍPICO</v>
      </c>
      <c r="K2858" t="str" cm="1">
        <f t="array" ref="K2858">_xlfn.IFS(ISBLANK(I2858),"FALTANTE",ABS((I2858-$W$8)/$X$8)&gt;1.92,"ATÍPICO",ABS((I2858-$W$8)/$X$8)&lt;=1.92,"NO ATÍPICO")</f>
        <v>NO ATÍPICO</v>
      </c>
      <c r="L2858">
        <f t="shared" si="193"/>
        <v>297046</v>
      </c>
      <c r="M2858" t="str">
        <f t="shared" si="193"/>
        <v>ASEGURADO VOLUNTARIO</v>
      </c>
      <c r="N2858">
        <f t="shared" si="194"/>
        <v>57</v>
      </c>
      <c r="O2858" s="19" t="str">
        <f t="shared" si="195"/>
        <v>0–300k</v>
      </c>
      <c r="P2858" s="19" t="str">
        <f t="shared" si="196"/>
        <v>56+</v>
      </c>
    </row>
    <row r="2859" spans="1:16" x14ac:dyDescent="0.25">
      <c r="A2859">
        <v>2858</v>
      </c>
      <c r="B2859" t="s">
        <v>15</v>
      </c>
      <c r="C2859">
        <v>130000</v>
      </c>
      <c r="D2859" t="s">
        <v>10</v>
      </c>
      <c r="E2859" t="s">
        <v>16</v>
      </c>
      <c r="F2859" t="s">
        <v>12</v>
      </c>
      <c r="G2859" t="s">
        <v>13</v>
      </c>
      <c r="H2859" t="s">
        <v>13</v>
      </c>
      <c r="I2859">
        <v>51</v>
      </c>
      <c r="J2859" t="str" cm="1">
        <f t="array" ref="J2859">_xlfn.IFS(ISBLANK(C2859),"FALTANTE",ABS((C2859-$W$5)/$X$5)&gt;1.96,"ATÍPICO",ABS((C2859-$W$5)/$X$5)&lt;=1.96,"NO ATÍPICO")</f>
        <v>NO ATÍPICO</v>
      </c>
      <c r="K2859" t="str" cm="1">
        <f t="array" ref="K2859">_xlfn.IFS(ISBLANK(I2859),"FALTANTE",ABS((I2859-$W$8)/$X$8)&gt;1.92,"ATÍPICO",ABS((I2859-$W$8)/$X$8)&lt;=1.92,"NO ATÍPICO")</f>
        <v>NO ATÍPICO</v>
      </c>
      <c r="L2859">
        <f t="shared" si="193"/>
        <v>130000</v>
      </c>
      <c r="M2859" t="str">
        <f t="shared" si="193"/>
        <v>ASALARIADO</v>
      </c>
      <c r="N2859">
        <f t="shared" si="194"/>
        <v>51</v>
      </c>
      <c r="O2859" s="19" t="str">
        <f t="shared" si="195"/>
        <v>0–300k</v>
      </c>
      <c r="P2859" s="19" t="str">
        <f t="shared" si="196"/>
        <v>46-55</v>
      </c>
    </row>
    <row r="2860" spans="1:16" x14ac:dyDescent="0.25">
      <c r="A2860">
        <v>2859</v>
      </c>
      <c r="B2860" t="s">
        <v>9</v>
      </c>
      <c r="C2860">
        <v>429740</v>
      </c>
      <c r="D2860" t="s">
        <v>10</v>
      </c>
      <c r="E2860" t="s">
        <v>16</v>
      </c>
      <c r="F2860" t="s">
        <v>12</v>
      </c>
      <c r="G2860" t="s">
        <v>13</v>
      </c>
      <c r="H2860" t="s">
        <v>13</v>
      </c>
      <c r="I2860">
        <v>27</v>
      </c>
      <c r="J2860" t="str" cm="1">
        <f t="array" ref="J2860">_xlfn.IFS(ISBLANK(C2860),"FALTANTE",ABS((C2860-$W$5)/$X$5)&gt;1.96,"ATÍPICO",ABS((C2860-$W$5)/$X$5)&lt;=1.96,"NO ATÍPICO")</f>
        <v>NO ATÍPICO</v>
      </c>
      <c r="K2860" t="str" cm="1">
        <f t="array" ref="K2860">_xlfn.IFS(ISBLANK(I2860),"FALTANTE",ABS((I2860-$W$8)/$X$8)&gt;1.92,"ATÍPICO",ABS((I2860-$W$8)/$X$8)&lt;=1.92,"NO ATÍPICO")</f>
        <v>NO ATÍPICO</v>
      </c>
      <c r="L2860">
        <f t="shared" si="193"/>
        <v>429740</v>
      </c>
      <c r="M2860" t="str">
        <f t="shared" si="193"/>
        <v>ASALARIADO</v>
      </c>
      <c r="N2860">
        <f t="shared" si="194"/>
        <v>27</v>
      </c>
      <c r="O2860" s="19" t="str">
        <f t="shared" si="195"/>
        <v>300k–600k</v>
      </c>
      <c r="P2860" s="19" t="str">
        <f t="shared" si="196"/>
        <v>26-35</v>
      </c>
    </row>
    <row r="2861" spans="1:16" x14ac:dyDescent="0.25">
      <c r="A2861">
        <v>2860</v>
      </c>
      <c r="B2861" t="s">
        <v>9</v>
      </c>
      <c r="C2861">
        <v>356858</v>
      </c>
      <c r="D2861" t="s">
        <v>18</v>
      </c>
      <c r="E2861" t="s">
        <v>16</v>
      </c>
      <c r="F2861" t="s">
        <v>12</v>
      </c>
      <c r="G2861" t="s">
        <v>12</v>
      </c>
      <c r="H2861" t="s">
        <v>12</v>
      </c>
      <c r="I2861">
        <v>25</v>
      </c>
      <c r="J2861" t="str" cm="1">
        <f t="array" ref="J2861">_xlfn.IFS(ISBLANK(C2861),"FALTANTE",ABS((C2861-$W$5)/$X$5)&gt;1.96,"ATÍPICO",ABS((C2861-$W$5)/$X$5)&lt;=1.96,"NO ATÍPICO")</f>
        <v>NO ATÍPICO</v>
      </c>
      <c r="K2861" t="str" cm="1">
        <f t="array" ref="K2861">_xlfn.IFS(ISBLANK(I2861),"FALTANTE",ABS((I2861-$W$8)/$X$8)&gt;1.92,"ATÍPICO",ABS((I2861-$W$8)/$X$8)&lt;=1.92,"NO ATÍPICO")</f>
        <v>NO ATÍPICO</v>
      </c>
      <c r="L2861">
        <f t="shared" si="193"/>
        <v>356858</v>
      </c>
      <c r="M2861" t="str">
        <f t="shared" si="193"/>
        <v>TRABAJADOR INDEPENDIENTE</v>
      </c>
      <c r="N2861">
        <f t="shared" si="194"/>
        <v>25</v>
      </c>
      <c r="O2861" s="19" t="str">
        <f t="shared" si="195"/>
        <v>300k–600k</v>
      </c>
      <c r="P2861" s="19" t="str">
        <f t="shared" si="196"/>
        <v>18-25</v>
      </c>
    </row>
    <row r="2862" spans="1:16" x14ac:dyDescent="0.25">
      <c r="A2862">
        <v>2861</v>
      </c>
      <c r="B2862" t="s">
        <v>15</v>
      </c>
      <c r="C2862">
        <v>375000</v>
      </c>
      <c r="D2862" t="s">
        <v>10</v>
      </c>
      <c r="E2862" t="s">
        <v>16</v>
      </c>
      <c r="F2862" t="s">
        <v>12</v>
      </c>
      <c r="G2862" t="s">
        <v>13</v>
      </c>
      <c r="H2862" t="s">
        <v>13</v>
      </c>
      <c r="I2862">
        <v>42</v>
      </c>
      <c r="J2862" t="str" cm="1">
        <f t="array" ref="J2862">_xlfn.IFS(ISBLANK(C2862),"FALTANTE",ABS((C2862-$W$5)/$X$5)&gt;1.96,"ATÍPICO",ABS((C2862-$W$5)/$X$5)&lt;=1.96,"NO ATÍPICO")</f>
        <v>NO ATÍPICO</v>
      </c>
      <c r="K2862" t="str" cm="1">
        <f t="array" ref="K2862">_xlfn.IFS(ISBLANK(I2862),"FALTANTE",ABS((I2862-$W$8)/$X$8)&gt;1.92,"ATÍPICO",ABS((I2862-$W$8)/$X$8)&lt;=1.92,"NO ATÍPICO")</f>
        <v>NO ATÍPICO</v>
      </c>
      <c r="L2862">
        <f t="shared" si="193"/>
        <v>375000</v>
      </c>
      <c r="M2862" t="str">
        <f t="shared" si="193"/>
        <v>ASALARIADO</v>
      </c>
      <c r="N2862">
        <f t="shared" si="194"/>
        <v>42</v>
      </c>
      <c r="O2862" s="19" t="str">
        <f t="shared" si="195"/>
        <v>300k–600k</v>
      </c>
      <c r="P2862" s="19" t="str">
        <f t="shared" si="196"/>
        <v>36-45</v>
      </c>
    </row>
    <row r="2863" spans="1:16" x14ac:dyDescent="0.25">
      <c r="A2863">
        <v>2862</v>
      </c>
      <c r="B2863" t="s">
        <v>15</v>
      </c>
      <c r="C2863">
        <v>384500</v>
      </c>
      <c r="D2863" t="s">
        <v>10</v>
      </c>
      <c r="E2863" t="s">
        <v>16</v>
      </c>
      <c r="F2863" t="s">
        <v>12</v>
      </c>
      <c r="G2863" t="s">
        <v>13</v>
      </c>
      <c r="H2863" t="s">
        <v>13</v>
      </c>
      <c r="I2863">
        <v>33</v>
      </c>
      <c r="J2863" t="str" cm="1">
        <f t="array" ref="J2863">_xlfn.IFS(ISBLANK(C2863),"FALTANTE",ABS((C2863-$W$5)/$X$5)&gt;1.96,"ATÍPICO",ABS((C2863-$W$5)/$X$5)&lt;=1.96,"NO ATÍPICO")</f>
        <v>NO ATÍPICO</v>
      </c>
      <c r="K2863" t="str" cm="1">
        <f t="array" ref="K2863">_xlfn.IFS(ISBLANK(I2863),"FALTANTE",ABS((I2863-$W$8)/$X$8)&gt;1.92,"ATÍPICO",ABS((I2863-$W$8)/$X$8)&lt;=1.92,"NO ATÍPICO")</f>
        <v>NO ATÍPICO</v>
      </c>
      <c r="L2863">
        <f t="shared" si="193"/>
        <v>384500</v>
      </c>
      <c r="M2863" t="str">
        <f t="shared" si="193"/>
        <v>ASALARIADO</v>
      </c>
      <c r="N2863">
        <f t="shared" si="194"/>
        <v>33</v>
      </c>
      <c r="O2863" s="19" t="str">
        <f t="shared" si="195"/>
        <v>300k–600k</v>
      </c>
      <c r="P2863" s="19" t="str">
        <f t="shared" si="196"/>
        <v>26-35</v>
      </c>
    </row>
    <row r="2864" spans="1:16" x14ac:dyDescent="0.25">
      <c r="A2864">
        <v>2863</v>
      </c>
      <c r="B2864" t="s">
        <v>9</v>
      </c>
      <c r="C2864">
        <v>368127</v>
      </c>
      <c r="D2864" t="s">
        <v>18</v>
      </c>
      <c r="E2864" t="s">
        <v>16</v>
      </c>
      <c r="F2864" t="s">
        <v>12</v>
      </c>
      <c r="G2864" t="s">
        <v>13</v>
      </c>
      <c r="H2864" t="s">
        <v>12</v>
      </c>
      <c r="I2864">
        <v>35</v>
      </c>
      <c r="J2864" t="str" cm="1">
        <f t="array" ref="J2864">_xlfn.IFS(ISBLANK(C2864),"FALTANTE",ABS((C2864-$W$5)/$X$5)&gt;1.96,"ATÍPICO",ABS((C2864-$W$5)/$X$5)&lt;=1.96,"NO ATÍPICO")</f>
        <v>NO ATÍPICO</v>
      </c>
      <c r="K2864" t="str" cm="1">
        <f t="array" ref="K2864">_xlfn.IFS(ISBLANK(I2864),"FALTANTE",ABS((I2864-$W$8)/$X$8)&gt;1.92,"ATÍPICO",ABS((I2864-$W$8)/$X$8)&lt;=1.92,"NO ATÍPICO")</f>
        <v>NO ATÍPICO</v>
      </c>
      <c r="L2864">
        <f t="shared" si="193"/>
        <v>368127</v>
      </c>
      <c r="M2864" t="str">
        <f t="shared" si="193"/>
        <v>TRABAJADOR INDEPENDIENTE</v>
      </c>
      <c r="N2864">
        <f t="shared" si="194"/>
        <v>35</v>
      </c>
      <c r="O2864" s="19" t="str">
        <f t="shared" si="195"/>
        <v>300k–600k</v>
      </c>
      <c r="P2864" s="19" t="str">
        <f t="shared" si="196"/>
        <v>26-35</v>
      </c>
    </row>
    <row r="2865" spans="1:16" x14ac:dyDescent="0.25">
      <c r="A2865">
        <v>2864</v>
      </c>
      <c r="B2865" t="s">
        <v>9</v>
      </c>
      <c r="C2865">
        <v>258000</v>
      </c>
      <c r="D2865" t="s">
        <v>10</v>
      </c>
      <c r="E2865" t="s">
        <v>16</v>
      </c>
      <c r="F2865" t="s">
        <v>12</v>
      </c>
      <c r="G2865" t="s">
        <v>13</v>
      </c>
      <c r="H2865" t="s">
        <v>13</v>
      </c>
      <c r="I2865">
        <v>50</v>
      </c>
      <c r="J2865" t="str" cm="1">
        <f t="array" ref="J2865">_xlfn.IFS(ISBLANK(C2865),"FALTANTE",ABS((C2865-$W$5)/$X$5)&gt;1.96,"ATÍPICO",ABS((C2865-$W$5)/$X$5)&lt;=1.96,"NO ATÍPICO")</f>
        <v>NO ATÍPICO</v>
      </c>
      <c r="K2865" t="str" cm="1">
        <f t="array" ref="K2865">_xlfn.IFS(ISBLANK(I2865),"FALTANTE",ABS((I2865-$W$8)/$X$8)&gt;1.92,"ATÍPICO",ABS((I2865-$W$8)/$X$8)&lt;=1.92,"NO ATÍPICO")</f>
        <v>NO ATÍPICO</v>
      </c>
      <c r="L2865">
        <f t="shared" si="193"/>
        <v>258000</v>
      </c>
      <c r="M2865" t="str">
        <f t="shared" si="193"/>
        <v>ASALARIADO</v>
      </c>
      <c r="N2865">
        <f t="shared" si="194"/>
        <v>50</v>
      </c>
      <c r="O2865" s="19" t="str">
        <f t="shared" si="195"/>
        <v>0–300k</v>
      </c>
      <c r="P2865" s="19" t="str">
        <f t="shared" si="196"/>
        <v>46-55</v>
      </c>
    </row>
    <row r="2866" spans="1:16" x14ac:dyDescent="0.25">
      <c r="A2866">
        <v>2865</v>
      </c>
      <c r="B2866" t="s">
        <v>9</v>
      </c>
      <c r="C2866">
        <v>2396657.2000000002</v>
      </c>
      <c r="D2866" t="s">
        <v>10</v>
      </c>
      <c r="E2866" t="s">
        <v>16</v>
      </c>
      <c r="F2866" t="s">
        <v>12</v>
      </c>
      <c r="G2866" t="s">
        <v>13</v>
      </c>
      <c r="H2866" t="s">
        <v>13</v>
      </c>
      <c r="I2866">
        <v>34</v>
      </c>
      <c r="J2866" t="str" cm="1">
        <f t="array" ref="J2866">_xlfn.IFS(ISBLANK(C2866),"FALTANTE",ABS((C2866-$W$5)/$X$5)&gt;1.96,"ATÍPICO",ABS((C2866-$W$5)/$X$5)&lt;=1.96,"NO ATÍPICO")</f>
        <v>ATÍPICO</v>
      </c>
      <c r="K2866" t="str" cm="1">
        <f t="array" ref="K2866">_xlfn.IFS(ISBLANK(I2866),"FALTANTE",ABS((I2866-$W$8)/$X$8)&gt;1.92,"ATÍPICO",ABS((I2866-$W$8)/$X$8)&lt;=1.92,"NO ATÍPICO")</f>
        <v>NO ATÍPICO</v>
      </c>
      <c r="L2866">
        <f t="shared" si="193"/>
        <v>2396657.2000000002</v>
      </c>
      <c r="M2866" t="str">
        <f t="shared" si="193"/>
        <v>ASALARIADO</v>
      </c>
      <c r="N2866">
        <f t="shared" si="194"/>
        <v>34</v>
      </c>
      <c r="O2866" s="19" t="str">
        <f t="shared" si="195"/>
        <v>1200k+</v>
      </c>
      <c r="P2866" s="19" t="str">
        <f t="shared" si="196"/>
        <v>26-35</v>
      </c>
    </row>
    <row r="2867" spans="1:16" x14ac:dyDescent="0.25">
      <c r="A2867">
        <v>2866</v>
      </c>
      <c r="B2867" t="s">
        <v>15</v>
      </c>
      <c r="C2867">
        <v>297046</v>
      </c>
      <c r="D2867" t="s">
        <v>17</v>
      </c>
      <c r="E2867" t="s">
        <v>16</v>
      </c>
      <c r="F2867" t="s">
        <v>12</v>
      </c>
      <c r="G2867" t="s">
        <v>13</v>
      </c>
      <c r="H2867" t="s">
        <v>13</v>
      </c>
      <c r="I2867">
        <v>29</v>
      </c>
      <c r="J2867" t="str" cm="1">
        <f t="array" ref="J2867">_xlfn.IFS(ISBLANK(C2867),"FALTANTE",ABS((C2867-$W$5)/$X$5)&gt;1.96,"ATÍPICO",ABS((C2867-$W$5)/$X$5)&lt;=1.96,"NO ATÍPICO")</f>
        <v>NO ATÍPICO</v>
      </c>
      <c r="K2867" t="str" cm="1">
        <f t="array" ref="K2867">_xlfn.IFS(ISBLANK(I2867),"FALTANTE",ABS((I2867-$W$8)/$X$8)&gt;1.92,"ATÍPICO",ABS((I2867-$W$8)/$X$8)&lt;=1.92,"NO ATÍPICO")</f>
        <v>NO ATÍPICO</v>
      </c>
      <c r="L2867">
        <f t="shared" si="193"/>
        <v>297046</v>
      </c>
      <c r="M2867" t="str">
        <f t="shared" si="193"/>
        <v>ASEGURADO VOLUNTARIO</v>
      </c>
      <c r="N2867">
        <f t="shared" si="194"/>
        <v>29</v>
      </c>
      <c r="O2867" s="19" t="str">
        <f t="shared" si="195"/>
        <v>0–300k</v>
      </c>
      <c r="P2867" s="19" t="str">
        <f t="shared" si="196"/>
        <v>26-35</v>
      </c>
    </row>
    <row r="2868" spans="1:16" x14ac:dyDescent="0.25">
      <c r="A2868">
        <v>2867</v>
      </c>
      <c r="B2868" t="s">
        <v>9</v>
      </c>
      <c r="C2868">
        <v>335930</v>
      </c>
      <c r="D2868" t="s">
        <v>10</v>
      </c>
      <c r="E2868" t="s">
        <v>16</v>
      </c>
      <c r="F2868" t="s">
        <v>12</v>
      </c>
      <c r="G2868" t="s">
        <v>13</v>
      </c>
      <c r="H2868" t="s">
        <v>13</v>
      </c>
      <c r="I2868">
        <v>49</v>
      </c>
      <c r="J2868" t="str" cm="1">
        <f t="array" ref="J2868">_xlfn.IFS(ISBLANK(C2868),"FALTANTE",ABS((C2868-$W$5)/$X$5)&gt;1.96,"ATÍPICO",ABS((C2868-$W$5)/$X$5)&lt;=1.96,"NO ATÍPICO")</f>
        <v>NO ATÍPICO</v>
      </c>
      <c r="K2868" t="str" cm="1">
        <f t="array" ref="K2868">_xlfn.IFS(ISBLANK(I2868),"FALTANTE",ABS((I2868-$W$8)/$X$8)&gt;1.92,"ATÍPICO",ABS((I2868-$W$8)/$X$8)&lt;=1.92,"NO ATÍPICO")</f>
        <v>NO ATÍPICO</v>
      </c>
      <c r="L2868">
        <f t="shared" si="193"/>
        <v>335930</v>
      </c>
      <c r="M2868" t="str">
        <f t="shared" si="193"/>
        <v>ASALARIADO</v>
      </c>
      <c r="N2868">
        <f t="shared" si="194"/>
        <v>49</v>
      </c>
      <c r="O2868" s="19" t="str">
        <f t="shared" si="195"/>
        <v>300k–600k</v>
      </c>
      <c r="P2868" s="19" t="str">
        <f t="shared" si="196"/>
        <v>46-55</v>
      </c>
    </row>
    <row r="2869" spans="1:16" x14ac:dyDescent="0.25">
      <c r="A2869">
        <v>2868</v>
      </c>
      <c r="B2869" t="s">
        <v>15</v>
      </c>
      <c r="C2869">
        <v>278030</v>
      </c>
      <c r="D2869" t="s">
        <v>19</v>
      </c>
      <c r="E2869" t="s">
        <v>16</v>
      </c>
      <c r="F2869" t="s">
        <v>12</v>
      </c>
      <c r="G2869" t="s">
        <v>13</v>
      </c>
      <c r="H2869" t="s">
        <v>13</v>
      </c>
      <c r="I2869">
        <v>40</v>
      </c>
      <c r="J2869" t="str" cm="1">
        <f t="array" ref="J2869">_xlfn.IFS(ISBLANK(C2869),"FALTANTE",ABS((C2869-$W$5)/$X$5)&gt;1.96,"ATÍPICO",ABS((C2869-$W$5)/$X$5)&lt;=1.96,"NO ATÍPICO")</f>
        <v>NO ATÍPICO</v>
      </c>
      <c r="K2869" t="str" cm="1">
        <f t="array" ref="K2869">_xlfn.IFS(ISBLANK(I2869),"FALTANTE",ABS((I2869-$W$8)/$X$8)&gt;1.92,"ATÍPICO",ABS((I2869-$W$8)/$X$8)&lt;=1.92,"NO ATÍPICO")</f>
        <v>NO ATÍPICO</v>
      </c>
      <c r="L2869">
        <f t="shared" si="193"/>
        <v>278030</v>
      </c>
      <c r="M2869" t="str">
        <f t="shared" si="193"/>
        <v>CONVENIOS ESPECIALES DE TRABAJADORES INDEPENDIENTES</v>
      </c>
      <c r="N2869">
        <f t="shared" si="194"/>
        <v>40</v>
      </c>
      <c r="O2869" s="19" t="str">
        <f t="shared" si="195"/>
        <v>0–300k</v>
      </c>
      <c r="P2869" s="19" t="str">
        <f t="shared" si="196"/>
        <v>36-45</v>
      </c>
    </row>
    <row r="2870" spans="1:16" x14ac:dyDescent="0.25">
      <c r="A2870">
        <v>2869</v>
      </c>
      <c r="B2870" t="s">
        <v>9</v>
      </c>
      <c r="C2870">
        <v>1739925</v>
      </c>
      <c r="D2870" t="s">
        <v>10</v>
      </c>
      <c r="E2870" t="s">
        <v>16</v>
      </c>
      <c r="F2870" t="s">
        <v>12</v>
      </c>
      <c r="G2870" t="s">
        <v>13</v>
      </c>
      <c r="H2870" t="s">
        <v>13</v>
      </c>
      <c r="I2870">
        <v>43</v>
      </c>
      <c r="J2870" t="str" cm="1">
        <f t="array" ref="J2870">_xlfn.IFS(ISBLANK(C2870),"FALTANTE",ABS((C2870-$W$5)/$X$5)&gt;1.96,"ATÍPICO",ABS((C2870-$W$5)/$X$5)&lt;=1.96,"NO ATÍPICO")</f>
        <v>NO ATÍPICO</v>
      </c>
      <c r="K2870" t="str" cm="1">
        <f t="array" ref="K2870">_xlfn.IFS(ISBLANK(I2870),"FALTANTE",ABS((I2870-$W$8)/$X$8)&gt;1.92,"ATÍPICO",ABS((I2870-$W$8)/$X$8)&lt;=1.92,"NO ATÍPICO")</f>
        <v>NO ATÍPICO</v>
      </c>
      <c r="L2870">
        <f t="shared" si="193"/>
        <v>1739925</v>
      </c>
      <c r="M2870" t="str">
        <f t="shared" si="193"/>
        <v>ASALARIADO</v>
      </c>
      <c r="N2870">
        <f t="shared" si="194"/>
        <v>43</v>
      </c>
      <c r="O2870" s="19" t="str">
        <f t="shared" si="195"/>
        <v>1200k+</v>
      </c>
      <c r="P2870" s="19" t="str">
        <f t="shared" si="196"/>
        <v>36-45</v>
      </c>
    </row>
    <row r="2871" spans="1:16" x14ac:dyDescent="0.25">
      <c r="A2871">
        <v>2870</v>
      </c>
      <c r="B2871" t="s">
        <v>15</v>
      </c>
      <c r="C2871">
        <v>2688750</v>
      </c>
      <c r="D2871" t="s">
        <v>14</v>
      </c>
      <c r="E2871" t="s">
        <v>11</v>
      </c>
      <c r="F2871" t="s">
        <v>12</v>
      </c>
      <c r="G2871" t="s">
        <v>13</v>
      </c>
      <c r="H2871" t="s">
        <v>13</v>
      </c>
      <c r="I2871">
        <v>80</v>
      </c>
      <c r="J2871" t="str" cm="1">
        <f t="array" ref="J2871">_xlfn.IFS(ISBLANK(C2871),"FALTANTE",ABS((C2871-$W$5)/$X$5)&gt;1.96,"ATÍPICO",ABS((C2871-$W$5)/$X$5)&lt;=1.96,"NO ATÍPICO")</f>
        <v>ATÍPICO</v>
      </c>
      <c r="K2871" t="str" cm="1">
        <f t="array" ref="K2871">_xlfn.IFS(ISBLANK(I2871),"FALTANTE",ABS((I2871-$W$8)/$X$8)&gt;1.92,"ATÍPICO",ABS((I2871-$W$8)/$X$8)&lt;=1.92,"NO ATÍPICO")</f>
        <v>ATÍPICO</v>
      </c>
      <c r="L2871">
        <f t="shared" si="193"/>
        <v>2688750</v>
      </c>
      <c r="M2871" t="str">
        <f t="shared" si="193"/>
        <v>PENSIONADOS EN SU PROPIO SISTEMA</v>
      </c>
      <c r="N2871">
        <f t="shared" si="194"/>
        <v>80</v>
      </c>
      <c r="O2871" s="19" t="str">
        <f t="shared" si="195"/>
        <v>1200k+</v>
      </c>
      <c r="P2871" s="19" t="str">
        <f t="shared" si="196"/>
        <v>56+</v>
      </c>
    </row>
    <row r="2872" spans="1:16" x14ac:dyDescent="0.25">
      <c r="A2872">
        <v>2871</v>
      </c>
      <c r="B2872" t="s">
        <v>9</v>
      </c>
      <c r="C2872">
        <v>539969</v>
      </c>
      <c r="D2872" t="s">
        <v>10</v>
      </c>
      <c r="E2872" t="s">
        <v>16</v>
      </c>
      <c r="F2872" t="s">
        <v>12</v>
      </c>
      <c r="G2872" t="s">
        <v>13</v>
      </c>
      <c r="H2872" t="s">
        <v>13</v>
      </c>
      <c r="I2872">
        <v>47</v>
      </c>
      <c r="J2872" t="str" cm="1">
        <f t="array" ref="J2872">_xlfn.IFS(ISBLANK(C2872),"FALTANTE",ABS((C2872-$W$5)/$X$5)&gt;1.96,"ATÍPICO",ABS((C2872-$W$5)/$X$5)&lt;=1.96,"NO ATÍPICO")</f>
        <v>NO ATÍPICO</v>
      </c>
      <c r="K2872" t="str" cm="1">
        <f t="array" ref="K2872">_xlfn.IFS(ISBLANK(I2872),"FALTANTE",ABS((I2872-$W$8)/$X$8)&gt;1.92,"ATÍPICO",ABS((I2872-$W$8)/$X$8)&lt;=1.92,"NO ATÍPICO")</f>
        <v>NO ATÍPICO</v>
      </c>
      <c r="L2872">
        <f t="shared" si="193"/>
        <v>539969</v>
      </c>
      <c r="M2872" t="str">
        <f t="shared" si="193"/>
        <v>ASALARIADO</v>
      </c>
      <c r="N2872">
        <f t="shared" si="194"/>
        <v>47</v>
      </c>
      <c r="O2872" s="19" t="str">
        <f t="shared" si="195"/>
        <v>300k–600k</v>
      </c>
      <c r="P2872" s="19" t="str">
        <f t="shared" si="196"/>
        <v>46-55</v>
      </c>
    </row>
    <row r="2873" spans="1:16" x14ac:dyDescent="0.25">
      <c r="A2873">
        <v>2872</v>
      </c>
      <c r="B2873" t="s">
        <v>9</v>
      </c>
      <c r="C2873">
        <v>297045</v>
      </c>
      <c r="D2873" t="s">
        <v>18</v>
      </c>
      <c r="E2873" t="s">
        <v>16</v>
      </c>
      <c r="F2873" t="s">
        <v>12</v>
      </c>
      <c r="G2873" t="s">
        <v>13</v>
      </c>
      <c r="H2873" t="s">
        <v>13</v>
      </c>
      <c r="I2873">
        <v>54</v>
      </c>
      <c r="J2873" t="str" cm="1">
        <f t="array" ref="J2873">_xlfn.IFS(ISBLANK(C2873),"FALTANTE",ABS((C2873-$W$5)/$X$5)&gt;1.96,"ATÍPICO",ABS((C2873-$W$5)/$X$5)&lt;=1.96,"NO ATÍPICO")</f>
        <v>NO ATÍPICO</v>
      </c>
      <c r="K2873" t="str" cm="1">
        <f t="array" ref="K2873">_xlfn.IFS(ISBLANK(I2873),"FALTANTE",ABS((I2873-$W$8)/$X$8)&gt;1.92,"ATÍPICO",ABS((I2873-$W$8)/$X$8)&lt;=1.92,"NO ATÍPICO")</f>
        <v>NO ATÍPICO</v>
      </c>
      <c r="L2873">
        <f t="shared" si="193"/>
        <v>297045</v>
      </c>
      <c r="M2873" t="str">
        <f t="shared" si="193"/>
        <v>TRABAJADOR INDEPENDIENTE</v>
      </c>
      <c r="N2873">
        <f t="shared" si="194"/>
        <v>54</v>
      </c>
      <c r="O2873" s="19" t="str">
        <f t="shared" si="195"/>
        <v>0–300k</v>
      </c>
      <c r="P2873" s="19" t="str">
        <f t="shared" si="196"/>
        <v>46-55</v>
      </c>
    </row>
    <row r="2874" spans="1:16" x14ac:dyDescent="0.25">
      <c r="A2874">
        <v>2873</v>
      </c>
      <c r="B2874" t="s">
        <v>9</v>
      </c>
      <c r="C2874">
        <v>747205</v>
      </c>
      <c r="D2874" t="s">
        <v>10</v>
      </c>
      <c r="E2874" t="s">
        <v>16</v>
      </c>
      <c r="F2874" t="s">
        <v>12</v>
      </c>
      <c r="G2874" t="s">
        <v>12</v>
      </c>
      <c r="H2874" t="s">
        <v>13</v>
      </c>
      <c r="I2874">
        <v>31</v>
      </c>
      <c r="J2874" t="str" cm="1">
        <f t="array" ref="J2874">_xlfn.IFS(ISBLANK(C2874),"FALTANTE",ABS((C2874-$W$5)/$X$5)&gt;1.96,"ATÍPICO",ABS((C2874-$W$5)/$X$5)&lt;=1.96,"NO ATÍPICO")</f>
        <v>NO ATÍPICO</v>
      </c>
      <c r="K2874" t="str" cm="1">
        <f t="array" ref="K2874">_xlfn.IFS(ISBLANK(I2874),"FALTANTE",ABS((I2874-$W$8)/$X$8)&gt;1.92,"ATÍPICO",ABS((I2874-$W$8)/$X$8)&lt;=1.92,"NO ATÍPICO")</f>
        <v>NO ATÍPICO</v>
      </c>
      <c r="L2874">
        <f t="shared" si="193"/>
        <v>747205</v>
      </c>
      <c r="M2874" t="str">
        <f t="shared" si="193"/>
        <v>ASALARIADO</v>
      </c>
      <c r="N2874">
        <f t="shared" si="194"/>
        <v>31</v>
      </c>
      <c r="O2874" s="19" t="str">
        <f t="shared" si="195"/>
        <v>600k–900k</v>
      </c>
      <c r="P2874" s="19" t="str">
        <f t="shared" si="196"/>
        <v>26-35</v>
      </c>
    </row>
    <row r="2875" spans="1:16" x14ac:dyDescent="0.25">
      <c r="A2875">
        <v>2874</v>
      </c>
      <c r="B2875" t="s">
        <v>15</v>
      </c>
      <c r="C2875">
        <v>390136.8</v>
      </c>
      <c r="D2875" t="s">
        <v>10</v>
      </c>
      <c r="E2875" t="s">
        <v>16</v>
      </c>
      <c r="F2875" t="s">
        <v>12</v>
      </c>
      <c r="G2875" t="s">
        <v>13</v>
      </c>
      <c r="H2875" t="s">
        <v>13</v>
      </c>
      <c r="I2875">
        <v>25</v>
      </c>
      <c r="J2875" t="str" cm="1">
        <f t="array" ref="J2875">_xlfn.IFS(ISBLANK(C2875),"FALTANTE",ABS((C2875-$W$5)/$X$5)&gt;1.96,"ATÍPICO",ABS((C2875-$W$5)/$X$5)&lt;=1.96,"NO ATÍPICO")</f>
        <v>NO ATÍPICO</v>
      </c>
      <c r="K2875" t="str" cm="1">
        <f t="array" ref="K2875">_xlfn.IFS(ISBLANK(I2875),"FALTANTE",ABS((I2875-$W$8)/$X$8)&gt;1.92,"ATÍPICO",ABS((I2875-$W$8)/$X$8)&lt;=1.92,"NO ATÍPICO")</f>
        <v>NO ATÍPICO</v>
      </c>
      <c r="L2875">
        <f t="shared" si="193"/>
        <v>390136.8</v>
      </c>
      <c r="M2875" t="str">
        <f t="shared" si="193"/>
        <v>ASALARIADO</v>
      </c>
      <c r="N2875">
        <f t="shared" si="194"/>
        <v>25</v>
      </c>
      <c r="O2875" s="19" t="str">
        <f t="shared" si="195"/>
        <v>300k–600k</v>
      </c>
      <c r="P2875" s="19" t="str">
        <f t="shared" si="196"/>
        <v>18-25</v>
      </c>
    </row>
    <row r="2876" spans="1:16" x14ac:dyDescent="0.25">
      <c r="A2876">
        <v>2875</v>
      </c>
      <c r="B2876" t="s">
        <v>15</v>
      </c>
      <c r="C2876">
        <v>338192</v>
      </c>
      <c r="D2876" t="s">
        <v>10</v>
      </c>
      <c r="E2876" t="s">
        <v>11</v>
      </c>
      <c r="F2876" t="s">
        <v>12</v>
      </c>
      <c r="G2876" t="s">
        <v>13</v>
      </c>
      <c r="H2876" t="s">
        <v>13</v>
      </c>
      <c r="I2876">
        <v>51</v>
      </c>
      <c r="J2876" t="str" cm="1">
        <f t="array" ref="J2876">_xlfn.IFS(ISBLANK(C2876),"FALTANTE",ABS((C2876-$W$5)/$X$5)&gt;1.96,"ATÍPICO",ABS((C2876-$W$5)/$X$5)&lt;=1.96,"NO ATÍPICO")</f>
        <v>NO ATÍPICO</v>
      </c>
      <c r="K2876" t="str" cm="1">
        <f t="array" ref="K2876">_xlfn.IFS(ISBLANK(I2876),"FALTANTE",ABS((I2876-$W$8)/$X$8)&gt;1.92,"ATÍPICO",ABS((I2876-$W$8)/$X$8)&lt;=1.92,"NO ATÍPICO")</f>
        <v>NO ATÍPICO</v>
      </c>
      <c r="L2876">
        <f t="shared" si="193"/>
        <v>338192</v>
      </c>
      <c r="M2876" t="str">
        <f t="shared" si="193"/>
        <v>ASALARIADO</v>
      </c>
      <c r="N2876">
        <f t="shared" si="194"/>
        <v>51</v>
      </c>
      <c r="O2876" s="19" t="str">
        <f t="shared" si="195"/>
        <v>300k–600k</v>
      </c>
      <c r="P2876" s="19" t="str">
        <f t="shared" si="196"/>
        <v>46-55</v>
      </c>
    </row>
    <row r="2877" spans="1:16" x14ac:dyDescent="0.25">
      <c r="A2877">
        <v>2876</v>
      </c>
      <c r="B2877" t="s">
        <v>15</v>
      </c>
      <c r="C2877">
        <v>1350000</v>
      </c>
      <c r="D2877" t="s">
        <v>10</v>
      </c>
      <c r="E2877" t="s">
        <v>16</v>
      </c>
      <c r="F2877" t="s">
        <v>12</v>
      </c>
      <c r="G2877" t="s">
        <v>13</v>
      </c>
      <c r="H2877" t="s">
        <v>13</v>
      </c>
      <c r="I2877">
        <v>57</v>
      </c>
      <c r="J2877" t="str" cm="1">
        <f t="array" ref="J2877">_xlfn.IFS(ISBLANK(C2877),"FALTANTE",ABS((C2877-$W$5)/$X$5)&gt;1.96,"ATÍPICO",ABS((C2877-$W$5)/$X$5)&lt;=1.96,"NO ATÍPICO")</f>
        <v>NO ATÍPICO</v>
      </c>
      <c r="K2877" t="str" cm="1">
        <f t="array" ref="K2877">_xlfn.IFS(ISBLANK(I2877),"FALTANTE",ABS((I2877-$W$8)/$X$8)&gt;1.92,"ATÍPICO",ABS((I2877-$W$8)/$X$8)&lt;=1.92,"NO ATÍPICO")</f>
        <v>NO ATÍPICO</v>
      </c>
      <c r="L2877">
        <f t="shared" si="193"/>
        <v>1350000</v>
      </c>
      <c r="M2877" t="str">
        <f t="shared" si="193"/>
        <v>ASALARIADO</v>
      </c>
      <c r="N2877">
        <f t="shared" si="194"/>
        <v>57</v>
      </c>
      <c r="O2877" s="19" t="str">
        <f t="shared" si="195"/>
        <v>1200k+</v>
      </c>
      <c r="P2877" s="19" t="str">
        <f t="shared" si="196"/>
        <v>56+</v>
      </c>
    </row>
    <row r="2878" spans="1:16" x14ac:dyDescent="0.25">
      <c r="A2878">
        <v>2877</v>
      </c>
      <c r="B2878" t="s">
        <v>15</v>
      </c>
      <c r="C2878">
        <v>3609554.14</v>
      </c>
      <c r="D2878" t="s">
        <v>10</v>
      </c>
      <c r="E2878" t="s">
        <v>11</v>
      </c>
      <c r="F2878" t="s">
        <v>12</v>
      </c>
      <c r="G2878" t="s">
        <v>13</v>
      </c>
      <c r="H2878" t="s">
        <v>13</v>
      </c>
      <c r="I2878">
        <v>55</v>
      </c>
      <c r="J2878" t="str" cm="1">
        <f t="array" ref="J2878">_xlfn.IFS(ISBLANK(C2878),"FALTANTE",ABS((C2878-$W$5)/$X$5)&gt;1.96,"ATÍPICO",ABS((C2878-$W$5)/$X$5)&lt;=1.96,"NO ATÍPICO")</f>
        <v>ATÍPICO</v>
      </c>
      <c r="K2878" t="str" cm="1">
        <f t="array" ref="K2878">_xlfn.IFS(ISBLANK(I2878),"FALTANTE",ABS((I2878-$W$8)/$X$8)&gt;1.92,"ATÍPICO",ABS((I2878-$W$8)/$X$8)&lt;=1.92,"NO ATÍPICO")</f>
        <v>NO ATÍPICO</v>
      </c>
      <c r="L2878">
        <f t="shared" si="193"/>
        <v>3609554.14</v>
      </c>
      <c r="M2878" t="str">
        <f t="shared" si="193"/>
        <v>ASALARIADO</v>
      </c>
      <c r="N2878">
        <f t="shared" si="194"/>
        <v>55</v>
      </c>
      <c r="O2878" s="19" t="str">
        <f t="shared" si="195"/>
        <v>1200k+</v>
      </c>
      <c r="P2878" s="19" t="str">
        <f t="shared" si="196"/>
        <v>46-55</v>
      </c>
    </row>
    <row r="2879" spans="1:16" x14ac:dyDescent="0.25">
      <c r="A2879">
        <v>2878</v>
      </c>
      <c r="B2879" t="s">
        <v>9</v>
      </c>
      <c r="C2879">
        <v>1220413.97</v>
      </c>
      <c r="D2879" t="s">
        <v>10</v>
      </c>
      <c r="E2879" t="s">
        <v>16</v>
      </c>
      <c r="F2879" t="s">
        <v>12</v>
      </c>
      <c r="G2879" t="s">
        <v>13</v>
      </c>
      <c r="H2879" t="s">
        <v>13</v>
      </c>
      <c r="I2879">
        <v>27</v>
      </c>
      <c r="J2879" t="str" cm="1">
        <f t="array" ref="J2879">_xlfn.IFS(ISBLANK(C2879),"FALTANTE",ABS((C2879-$W$5)/$X$5)&gt;1.96,"ATÍPICO",ABS((C2879-$W$5)/$X$5)&lt;=1.96,"NO ATÍPICO")</f>
        <v>NO ATÍPICO</v>
      </c>
      <c r="K2879" t="str" cm="1">
        <f t="array" ref="K2879">_xlfn.IFS(ISBLANK(I2879),"FALTANTE",ABS((I2879-$W$8)/$X$8)&gt;1.92,"ATÍPICO",ABS((I2879-$W$8)/$X$8)&lt;=1.92,"NO ATÍPICO")</f>
        <v>NO ATÍPICO</v>
      </c>
      <c r="L2879">
        <f t="shared" si="193"/>
        <v>1220413.97</v>
      </c>
      <c r="M2879" t="str">
        <f t="shared" si="193"/>
        <v>ASALARIADO</v>
      </c>
      <c r="N2879">
        <f t="shared" si="194"/>
        <v>27</v>
      </c>
      <c r="O2879" s="19" t="str">
        <f t="shared" si="195"/>
        <v>1200k+</v>
      </c>
      <c r="P2879" s="19" t="str">
        <f t="shared" si="196"/>
        <v>26-35</v>
      </c>
    </row>
    <row r="2880" spans="1:16" x14ac:dyDescent="0.25">
      <c r="A2880">
        <v>2879</v>
      </c>
      <c r="B2880" t="s">
        <v>9</v>
      </c>
      <c r="C2880">
        <v>278030</v>
      </c>
      <c r="D2880" t="s">
        <v>19</v>
      </c>
      <c r="E2880" t="s">
        <v>16</v>
      </c>
      <c r="F2880" t="s">
        <v>12</v>
      </c>
      <c r="G2880" t="s">
        <v>13</v>
      </c>
      <c r="H2880" t="s">
        <v>13</v>
      </c>
      <c r="I2880">
        <v>32</v>
      </c>
      <c r="J2880" t="str" cm="1">
        <f t="array" ref="J2880">_xlfn.IFS(ISBLANK(C2880),"FALTANTE",ABS((C2880-$W$5)/$X$5)&gt;1.96,"ATÍPICO",ABS((C2880-$W$5)/$X$5)&lt;=1.96,"NO ATÍPICO")</f>
        <v>NO ATÍPICO</v>
      </c>
      <c r="K2880" t="str" cm="1">
        <f t="array" ref="K2880">_xlfn.IFS(ISBLANK(I2880),"FALTANTE",ABS((I2880-$W$8)/$X$8)&gt;1.92,"ATÍPICO",ABS((I2880-$W$8)/$X$8)&lt;=1.92,"NO ATÍPICO")</f>
        <v>NO ATÍPICO</v>
      </c>
      <c r="L2880">
        <f t="shared" si="193"/>
        <v>278030</v>
      </c>
      <c r="M2880" t="str">
        <f t="shared" si="193"/>
        <v>CONVENIOS ESPECIALES DE TRABAJADORES INDEPENDIENTES</v>
      </c>
      <c r="N2880">
        <f t="shared" si="194"/>
        <v>32</v>
      </c>
      <c r="O2880" s="19" t="str">
        <f t="shared" si="195"/>
        <v>0–300k</v>
      </c>
      <c r="P2880" s="19" t="str">
        <f t="shared" si="196"/>
        <v>26-35</v>
      </c>
    </row>
    <row r="2881" spans="1:16" x14ac:dyDescent="0.25">
      <c r="A2881">
        <v>2880</v>
      </c>
      <c r="B2881" t="s">
        <v>9</v>
      </c>
      <c r="C2881">
        <v>762796.88</v>
      </c>
      <c r="D2881" t="s">
        <v>10</v>
      </c>
      <c r="E2881" t="s">
        <v>16</v>
      </c>
      <c r="F2881" t="s">
        <v>12</v>
      </c>
      <c r="G2881" t="s">
        <v>13</v>
      </c>
      <c r="H2881" t="s">
        <v>13</v>
      </c>
      <c r="I2881">
        <v>26</v>
      </c>
      <c r="J2881" t="str" cm="1">
        <f t="array" ref="J2881">_xlfn.IFS(ISBLANK(C2881),"FALTANTE",ABS((C2881-$W$5)/$X$5)&gt;1.96,"ATÍPICO",ABS((C2881-$W$5)/$X$5)&lt;=1.96,"NO ATÍPICO")</f>
        <v>NO ATÍPICO</v>
      </c>
      <c r="K2881" t="str" cm="1">
        <f t="array" ref="K2881">_xlfn.IFS(ISBLANK(I2881),"FALTANTE",ABS((I2881-$W$8)/$X$8)&gt;1.92,"ATÍPICO",ABS((I2881-$W$8)/$X$8)&lt;=1.92,"NO ATÍPICO")</f>
        <v>NO ATÍPICO</v>
      </c>
      <c r="L2881">
        <f t="shared" si="193"/>
        <v>762796.88</v>
      </c>
      <c r="M2881" t="str">
        <f t="shared" si="193"/>
        <v>ASALARIADO</v>
      </c>
      <c r="N2881">
        <f t="shared" si="194"/>
        <v>26</v>
      </c>
      <c r="O2881" s="19" t="str">
        <f t="shared" si="195"/>
        <v>600k–900k</v>
      </c>
      <c r="P2881" s="19" t="str">
        <f t="shared" si="196"/>
        <v>26-35</v>
      </c>
    </row>
    <row r="2882" spans="1:16" x14ac:dyDescent="0.25">
      <c r="A2882">
        <v>2881</v>
      </c>
      <c r="B2882" t="s">
        <v>9</v>
      </c>
      <c r="C2882">
        <v>413751.05</v>
      </c>
      <c r="D2882" t="s">
        <v>10</v>
      </c>
      <c r="E2882" t="s">
        <v>16</v>
      </c>
      <c r="F2882" t="s">
        <v>12</v>
      </c>
      <c r="G2882" t="s">
        <v>13</v>
      </c>
      <c r="H2882" t="s">
        <v>13</v>
      </c>
      <c r="I2882">
        <v>28</v>
      </c>
      <c r="J2882" t="str" cm="1">
        <f t="array" ref="J2882">_xlfn.IFS(ISBLANK(C2882),"FALTANTE",ABS((C2882-$W$5)/$X$5)&gt;1.96,"ATÍPICO",ABS((C2882-$W$5)/$X$5)&lt;=1.96,"NO ATÍPICO")</f>
        <v>NO ATÍPICO</v>
      </c>
      <c r="K2882" t="str" cm="1">
        <f t="array" ref="K2882">_xlfn.IFS(ISBLANK(I2882),"FALTANTE",ABS((I2882-$W$8)/$X$8)&gt;1.92,"ATÍPICO",ABS((I2882-$W$8)/$X$8)&lt;=1.92,"NO ATÍPICO")</f>
        <v>NO ATÍPICO</v>
      </c>
      <c r="L2882">
        <f t="shared" ref="L2882:M2945" si="197">C2882</f>
        <v>413751.05</v>
      </c>
      <c r="M2882" t="str">
        <f t="shared" si="197"/>
        <v>ASALARIADO</v>
      </c>
      <c r="N2882">
        <f t="shared" ref="N2882:N2945" si="198">I2882</f>
        <v>28</v>
      </c>
      <c r="O2882" s="19" t="str">
        <f t="shared" ref="O2882:O2945" si="199">IF(L2882&lt;=300000,"0–300k",IF(L2882&lt;=600000,"300k–600k",IF(L2882&lt;=900000,"600k–900k",IF(L2882&lt;=1200000,"900k–1200k","1200k+"))))</f>
        <v>300k–600k</v>
      </c>
      <c r="P2882" s="19" t="str">
        <f t="shared" ref="P2882:P2945" si="200">IF(N2882 &lt;=25,"18-25", IF(N2882&lt;=35,"26-35", IF(N2882 &lt;=45,"36-45", IF(N2882&lt;=55,"46-55","56+"))))</f>
        <v>26-35</v>
      </c>
    </row>
    <row r="2883" spans="1:16" x14ac:dyDescent="0.25">
      <c r="A2883">
        <v>2882</v>
      </c>
      <c r="B2883" t="s">
        <v>9</v>
      </c>
      <c r="C2883">
        <v>362000</v>
      </c>
      <c r="D2883" t="s">
        <v>17</v>
      </c>
      <c r="E2883" t="s">
        <v>16</v>
      </c>
      <c r="F2883" t="s">
        <v>12</v>
      </c>
      <c r="G2883" t="s">
        <v>13</v>
      </c>
      <c r="H2883" t="s">
        <v>13</v>
      </c>
      <c r="I2883">
        <v>35</v>
      </c>
      <c r="J2883" t="str" cm="1">
        <f t="array" ref="J2883">_xlfn.IFS(ISBLANK(C2883),"FALTANTE",ABS((C2883-$W$5)/$X$5)&gt;1.96,"ATÍPICO",ABS((C2883-$W$5)/$X$5)&lt;=1.96,"NO ATÍPICO")</f>
        <v>NO ATÍPICO</v>
      </c>
      <c r="K2883" t="str" cm="1">
        <f t="array" ref="K2883">_xlfn.IFS(ISBLANK(I2883),"FALTANTE",ABS((I2883-$W$8)/$X$8)&gt;1.92,"ATÍPICO",ABS((I2883-$W$8)/$X$8)&lt;=1.92,"NO ATÍPICO")</f>
        <v>NO ATÍPICO</v>
      </c>
      <c r="L2883">
        <f t="shared" si="197"/>
        <v>362000</v>
      </c>
      <c r="M2883" t="str">
        <f t="shared" si="197"/>
        <v>ASEGURADO VOLUNTARIO</v>
      </c>
      <c r="N2883">
        <f t="shared" si="198"/>
        <v>35</v>
      </c>
      <c r="O2883" s="19" t="str">
        <f t="shared" si="199"/>
        <v>300k–600k</v>
      </c>
      <c r="P2883" s="19" t="str">
        <f t="shared" si="200"/>
        <v>26-35</v>
      </c>
    </row>
    <row r="2884" spans="1:16" x14ac:dyDescent="0.25">
      <c r="A2884">
        <v>2883</v>
      </c>
      <c r="B2884" t="s">
        <v>15</v>
      </c>
      <c r="C2884">
        <v>297044</v>
      </c>
      <c r="D2884" t="s">
        <v>10</v>
      </c>
      <c r="E2884" t="s">
        <v>16</v>
      </c>
      <c r="F2884" t="s">
        <v>12</v>
      </c>
      <c r="G2884" t="s">
        <v>13</v>
      </c>
      <c r="H2884" t="s">
        <v>13</v>
      </c>
      <c r="I2884">
        <v>58</v>
      </c>
      <c r="J2884" t="str" cm="1">
        <f t="array" ref="J2884">_xlfn.IFS(ISBLANK(C2884),"FALTANTE",ABS((C2884-$W$5)/$X$5)&gt;1.96,"ATÍPICO",ABS((C2884-$W$5)/$X$5)&lt;=1.96,"NO ATÍPICO")</f>
        <v>NO ATÍPICO</v>
      </c>
      <c r="K2884" t="str" cm="1">
        <f t="array" ref="K2884">_xlfn.IFS(ISBLANK(I2884),"FALTANTE",ABS((I2884-$W$8)/$X$8)&gt;1.92,"ATÍPICO",ABS((I2884-$W$8)/$X$8)&lt;=1.92,"NO ATÍPICO")</f>
        <v>NO ATÍPICO</v>
      </c>
      <c r="L2884">
        <f t="shared" si="197"/>
        <v>297044</v>
      </c>
      <c r="M2884" t="str">
        <f t="shared" si="197"/>
        <v>ASALARIADO</v>
      </c>
      <c r="N2884">
        <f t="shared" si="198"/>
        <v>58</v>
      </c>
      <c r="O2884" s="19" t="str">
        <f t="shared" si="199"/>
        <v>0–300k</v>
      </c>
      <c r="P2884" s="19" t="str">
        <f t="shared" si="200"/>
        <v>56+</v>
      </c>
    </row>
    <row r="2885" spans="1:16" x14ac:dyDescent="0.25">
      <c r="A2885">
        <v>2884</v>
      </c>
      <c r="B2885" t="s">
        <v>9</v>
      </c>
      <c r="C2885">
        <v>2414456</v>
      </c>
      <c r="D2885" t="s">
        <v>10</v>
      </c>
      <c r="E2885" t="s">
        <v>16</v>
      </c>
      <c r="F2885" t="s">
        <v>12</v>
      </c>
      <c r="G2885" t="s">
        <v>13</v>
      </c>
      <c r="H2885" t="s">
        <v>13</v>
      </c>
      <c r="I2885">
        <v>36</v>
      </c>
      <c r="J2885" t="str" cm="1">
        <f t="array" ref="J2885">_xlfn.IFS(ISBLANK(C2885),"FALTANTE",ABS((C2885-$W$5)/$X$5)&gt;1.96,"ATÍPICO",ABS((C2885-$W$5)/$X$5)&lt;=1.96,"NO ATÍPICO")</f>
        <v>ATÍPICO</v>
      </c>
      <c r="K2885" t="str" cm="1">
        <f t="array" ref="K2885">_xlfn.IFS(ISBLANK(I2885),"FALTANTE",ABS((I2885-$W$8)/$X$8)&gt;1.92,"ATÍPICO",ABS((I2885-$W$8)/$X$8)&lt;=1.92,"NO ATÍPICO")</f>
        <v>NO ATÍPICO</v>
      </c>
      <c r="L2885">
        <f t="shared" si="197"/>
        <v>2414456</v>
      </c>
      <c r="M2885" t="str">
        <f t="shared" si="197"/>
        <v>ASALARIADO</v>
      </c>
      <c r="N2885">
        <f t="shared" si="198"/>
        <v>36</v>
      </c>
      <c r="O2885" s="19" t="str">
        <f t="shared" si="199"/>
        <v>1200k+</v>
      </c>
      <c r="P2885" s="19" t="str">
        <f t="shared" si="200"/>
        <v>36-45</v>
      </c>
    </row>
    <row r="2886" spans="1:16" x14ac:dyDescent="0.25">
      <c r="A2886">
        <v>2885</v>
      </c>
      <c r="B2886" t="s">
        <v>9</v>
      </c>
      <c r="C2886">
        <v>406659.45</v>
      </c>
      <c r="D2886" t="s">
        <v>10</v>
      </c>
      <c r="E2886" t="s">
        <v>11</v>
      </c>
      <c r="F2886" t="s">
        <v>12</v>
      </c>
      <c r="G2886" t="s">
        <v>13</v>
      </c>
      <c r="H2886" t="s">
        <v>13</v>
      </c>
      <c r="I2886">
        <v>27</v>
      </c>
      <c r="J2886" t="str" cm="1">
        <f t="array" ref="J2886">_xlfn.IFS(ISBLANK(C2886),"FALTANTE",ABS((C2886-$W$5)/$X$5)&gt;1.96,"ATÍPICO",ABS((C2886-$W$5)/$X$5)&lt;=1.96,"NO ATÍPICO")</f>
        <v>NO ATÍPICO</v>
      </c>
      <c r="K2886" t="str" cm="1">
        <f t="array" ref="K2886">_xlfn.IFS(ISBLANK(I2886),"FALTANTE",ABS((I2886-$W$8)/$X$8)&gt;1.92,"ATÍPICO",ABS((I2886-$W$8)/$X$8)&lt;=1.92,"NO ATÍPICO")</f>
        <v>NO ATÍPICO</v>
      </c>
      <c r="L2886">
        <f t="shared" si="197"/>
        <v>406659.45</v>
      </c>
      <c r="M2886" t="str">
        <f t="shared" si="197"/>
        <v>ASALARIADO</v>
      </c>
      <c r="N2886">
        <f t="shared" si="198"/>
        <v>27</v>
      </c>
      <c r="O2886" s="19" t="str">
        <f t="shared" si="199"/>
        <v>300k–600k</v>
      </c>
      <c r="P2886" s="19" t="str">
        <f t="shared" si="200"/>
        <v>26-35</v>
      </c>
    </row>
    <row r="2887" spans="1:16" x14ac:dyDescent="0.25">
      <c r="A2887">
        <v>2886</v>
      </c>
      <c r="B2887" t="s">
        <v>9</v>
      </c>
      <c r="C2887">
        <v>514435.14</v>
      </c>
      <c r="D2887" t="s">
        <v>10</v>
      </c>
      <c r="E2887" t="s">
        <v>16</v>
      </c>
      <c r="F2887" t="s">
        <v>12</v>
      </c>
      <c r="G2887" t="s">
        <v>13</v>
      </c>
      <c r="H2887" t="s">
        <v>13</v>
      </c>
      <c r="I2887">
        <v>48</v>
      </c>
      <c r="J2887" t="str" cm="1">
        <f t="array" ref="J2887">_xlfn.IFS(ISBLANK(C2887),"FALTANTE",ABS((C2887-$W$5)/$X$5)&gt;1.96,"ATÍPICO",ABS((C2887-$W$5)/$X$5)&lt;=1.96,"NO ATÍPICO")</f>
        <v>NO ATÍPICO</v>
      </c>
      <c r="K2887" t="str" cm="1">
        <f t="array" ref="K2887">_xlfn.IFS(ISBLANK(I2887),"FALTANTE",ABS((I2887-$W$8)/$X$8)&gt;1.92,"ATÍPICO",ABS((I2887-$W$8)/$X$8)&lt;=1.92,"NO ATÍPICO")</f>
        <v>NO ATÍPICO</v>
      </c>
      <c r="L2887">
        <f t="shared" si="197"/>
        <v>514435.14</v>
      </c>
      <c r="M2887" t="str">
        <f t="shared" si="197"/>
        <v>ASALARIADO</v>
      </c>
      <c r="N2887">
        <f t="shared" si="198"/>
        <v>48</v>
      </c>
      <c r="O2887" s="19" t="str">
        <f t="shared" si="199"/>
        <v>300k–600k</v>
      </c>
      <c r="P2887" s="19" t="str">
        <f t="shared" si="200"/>
        <v>46-55</v>
      </c>
    </row>
    <row r="2888" spans="1:16" x14ac:dyDescent="0.25">
      <c r="A2888">
        <v>2887</v>
      </c>
      <c r="B2888" t="s">
        <v>15</v>
      </c>
      <c r="C2888">
        <v>705807.13</v>
      </c>
      <c r="D2888" t="s">
        <v>10</v>
      </c>
      <c r="E2888" t="s">
        <v>11</v>
      </c>
      <c r="F2888" t="s">
        <v>12</v>
      </c>
      <c r="G2888" t="s">
        <v>13</v>
      </c>
      <c r="H2888" t="s">
        <v>13</v>
      </c>
      <c r="I2888">
        <v>34</v>
      </c>
      <c r="J2888" t="str" cm="1">
        <f t="array" ref="J2888">_xlfn.IFS(ISBLANK(C2888),"FALTANTE",ABS((C2888-$W$5)/$X$5)&gt;1.96,"ATÍPICO",ABS((C2888-$W$5)/$X$5)&lt;=1.96,"NO ATÍPICO")</f>
        <v>NO ATÍPICO</v>
      </c>
      <c r="K2888" t="str" cm="1">
        <f t="array" ref="K2888">_xlfn.IFS(ISBLANK(I2888),"FALTANTE",ABS((I2888-$W$8)/$X$8)&gt;1.92,"ATÍPICO",ABS((I2888-$W$8)/$X$8)&lt;=1.92,"NO ATÍPICO")</f>
        <v>NO ATÍPICO</v>
      </c>
      <c r="L2888">
        <f t="shared" si="197"/>
        <v>705807.13</v>
      </c>
      <c r="M2888" t="str">
        <f t="shared" si="197"/>
        <v>ASALARIADO</v>
      </c>
      <c r="N2888">
        <f t="shared" si="198"/>
        <v>34</v>
      </c>
      <c r="O2888" s="19" t="str">
        <f t="shared" si="199"/>
        <v>600k–900k</v>
      </c>
      <c r="P2888" s="19" t="str">
        <f t="shared" si="200"/>
        <v>26-35</v>
      </c>
    </row>
    <row r="2889" spans="1:16" x14ac:dyDescent="0.25">
      <c r="A2889">
        <v>2888</v>
      </c>
      <c r="B2889" t="s">
        <v>15</v>
      </c>
      <c r="C2889">
        <v>462569.85</v>
      </c>
      <c r="D2889" t="s">
        <v>10</v>
      </c>
      <c r="E2889" t="s">
        <v>16</v>
      </c>
      <c r="F2889" t="s">
        <v>12</v>
      </c>
      <c r="G2889" t="s">
        <v>13</v>
      </c>
      <c r="H2889" t="s">
        <v>13</v>
      </c>
      <c r="I2889">
        <v>27</v>
      </c>
      <c r="J2889" t="str" cm="1">
        <f t="array" ref="J2889">_xlfn.IFS(ISBLANK(C2889),"FALTANTE",ABS((C2889-$W$5)/$X$5)&gt;1.96,"ATÍPICO",ABS((C2889-$W$5)/$X$5)&lt;=1.96,"NO ATÍPICO")</f>
        <v>NO ATÍPICO</v>
      </c>
      <c r="K2889" t="str" cm="1">
        <f t="array" ref="K2889">_xlfn.IFS(ISBLANK(I2889),"FALTANTE",ABS((I2889-$W$8)/$X$8)&gt;1.92,"ATÍPICO",ABS((I2889-$W$8)/$X$8)&lt;=1.92,"NO ATÍPICO")</f>
        <v>NO ATÍPICO</v>
      </c>
      <c r="L2889">
        <f t="shared" si="197"/>
        <v>462569.85</v>
      </c>
      <c r="M2889" t="str">
        <f t="shared" si="197"/>
        <v>ASALARIADO</v>
      </c>
      <c r="N2889">
        <f t="shared" si="198"/>
        <v>27</v>
      </c>
      <c r="O2889" s="19" t="str">
        <f t="shared" si="199"/>
        <v>300k–600k</v>
      </c>
      <c r="P2889" s="19" t="str">
        <f t="shared" si="200"/>
        <v>26-35</v>
      </c>
    </row>
    <row r="2890" spans="1:16" x14ac:dyDescent="0.25">
      <c r="A2890">
        <v>2889</v>
      </c>
      <c r="B2890" t="s">
        <v>9</v>
      </c>
      <c r="C2890">
        <v>100000</v>
      </c>
      <c r="D2890" t="s">
        <v>10</v>
      </c>
      <c r="E2890" t="s">
        <v>16</v>
      </c>
      <c r="F2890" t="s">
        <v>12</v>
      </c>
      <c r="G2890" t="s">
        <v>13</v>
      </c>
      <c r="H2890" t="s">
        <v>13</v>
      </c>
      <c r="I2890">
        <v>24</v>
      </c>
      <c r="J2890" t="str" cm="1">
        <f t="array" ref="J2890">_xlfn.IFS(ISBLANK(C2890),"FALTANTE",ABS((C2890-$W$5)/$X$5)&gt;1.96,"ATÍPICO",ABS((C2890-$W$5)/$X$5)&lt;=1.96,"NO ATÍPICO")</f>
        <v>NO ATÍPICO</v>
      </c>
      <c r="K2890" t="str" cm="1">
        <f t="array" ref="K2890">_xlfn.IFS(ISBLANK(I2890),"FALTANTE",ABS((I2890-$W$8)/$X$8)&gt;1.92,"ATÍPICO",ABS((I2890-$W$8)/$X$8)&lt;=1.92,"NO ATÍPICO")</f>
        <v>NO ATÍPICO</v>
      </c>
      <c r="L2890">
        <f t="shared" si="197"/>
        <v>100000</v>
      </c>
      <c r="M2890" t="str">
        <f t="shared" si="197"/>
        <v>ASALARIADO</v>
      </c>
      <c r="N2890">
        <f t="shared" si="198"/>
        <v>24</v>
      </c>
      <c r="O2890" s="19" t="str">
        <f t="shared" si="199"/>
        <v>0–300k</v>
      </c>
      <c r="P2890" s="19" t="str">
        <f t="shared" si="200"/>
        <v>18-25</v>
      </c>
    </row>
    <row r="2891" spans="1:16" x14ac:dyDescent="0.25">
      <c r="A2891">
        <v>2890</v>
      </c>
      <c r="B2891" t="s">
        <v>9</v>
      </c>
      <c r="C2891">
        <v>337811</v>
      </c>
      <c r="D2891" t="s">
        <v>14</v>
      </c>
      <c r="E2891" t="s">
        <v>11</v>
      </c>
      <c r="F2891" t="s">
        <v>12</v>
      </c>
      <c r="G2891" t="s">
        <v>13</v>
      </c>
      <c r="H2891" t="s">
        <v>13</v>
      </c>
      <c r="I2891">
        <v>81</v>
      </c>
      <c r="J2891" t="str" cm="1">
        <f t="array" ref="J2891">_xlfn.IFS(ISBLANK(C2891),"FALTANTE",ABS((C2891-$W$5)/$X$5)&gt;1.96,"ATÍPICO",ABS((C2891-$W$5)/$X$5)&lt;=1.96,"NO ATÍPICO")</f>
        <v>NO ATÍPICO</v>
      </c>
      <c r="K2891" t="str" cm="1">
        <f t="array" ref="K2891">_xlfn.IFS(ISBLANK(I2891),"FALTANTE",ABS((I2891-$W$8)/$X$8)&gt;1.92,"ATÍPICO",ABS((I2891-$W$8)/$X$8)&lt;=1.92,"NO ATÍPICO")</f>
        <v>ATÍPICO</v>
      </c>
      <c r="L2891">
        <f t="shared" si="197"/>
        <v>337811</v>
      </c>
      <c r="M2891" t="str">
        <f t="shared" si="197"/>
        <v>PENSIONADOS EN SU PROPIO SISTEMA</v>
      </c>
      <c r="N2891">
        <f t="shared" si="198"/>
        <v>81</v>
      </c>
      <c r="O2891" s="19" t="str">
        <f t="shared" si="199"/>
        <v>300k–600k</v>
      </c>
      <c r="P2891" s="19" t="str">
        <f t="shared" si="200"/>
        <v>56+</v>
      </c>
    </row>
    <row r="2892" spans="1:16" x14ac:dyDescent="0.25">
      <c r="A2892">
        <v>2891</v>
      </c>
      <c r="B2892" t="s">
        <v>15</v>
      </c>
      <c r="C2892">
        <v>359544.27</v>
      </c>
      <c r="D2892" t="s">
        <v>21</v>
      </c>
      <c r="E2892" t="s">
        <v>16</v>
      </c>
      <c r="F2892" t="s">
        <v>12</v>
      </c>
      <c r="G2892" t="s">
        <v>12</v>
      </c>
      <c r="H2892" t="s">
        <v>13</v>
      </c>
      <c r="I2892">
        <v>38</v>
      </c>
      <c r="J2892" t="str" cm="1">
        <f t="array" ref="J2892">_xlfn.IFS(ISBLANK(C2892),"FALTANTE",ABS((C2892-$W$5)/$X$5)&gt;1.96,"ATÍPICO",ABS((C2892-$W$5)/$X$5)&lt;=1.96,"NO ATÍPICO")</f>
        <v>NO ATÍPICO</v>
      </c>
      <c r="K2892" t="str" cm="1">
        <f t="array" ref="K2892">_xlfn.IFS(ISBLANK(I2892),"FALTANTE",ABS((I2892-$W$8)/$X$8)&gt;1.92,"ATÍPICO",ABS((I2892-$W$8)/$X$8)&lt;=1.92,"NO ATÍPICO")</f>
        <v>NO ATÍPICO</v>
      </c>
      <c r="L2892">
        <f t="shared" si="197"/>
        <v>359544.27</v>
      </c>
      <c r="M2892" t="str">
        <f t="shared" si="197"/>
        <v>CONVENIOS ESPECIALES DE ASEGURADOS VOLUNTARIOS</v>
      </c>
      <c r="N2892">
        <f t="shared" si="198"/>
        <v>38</v>
      </c>
      <c r="O2892" s="19" t="str">
        <f t="shared" si="199"/>
        <v>300k–600k</v>
      </c>
      <c r="P2892" s="19" t="str">
        <f t="shared" si="200"/>
        <v>36-45</v>
      </c>
    </row>
    <row r="2893" spans="1:16" x14ac:dyDescent="0.25">
      <c r="A2893">
        <v>2892</v>
      </c>
      <c r="B2893" t="s">
        <v>9</v>
      </c>
      <c r="C2893">
        <v>444389.01</v>
      </c>
      <c r="D2893" t="s">
        <v>10</v>
      </c>
      <c r="E2893" t="s">
        <v>11</v>
      </c>
      <c r="F2893" t="s">
        <v>12</v>
      </c>
      <c r="G2893" t="s">
        <v>13</v>
      </c>
      <c r="H2893" t="s">
        <v>13</v>
      </c>
      <c r="I2893">
        <v>60</v>
      </c>
      <c r="J2893" t="str" cm="1">
        <f t="array" ref="J2893">_xlfn.IFS(ISBLANK(C2893),"FALTANTE",ABS((C2893-$W$5)/$X$5)&gt;1.96,"ATÍPICO",ABS((C2893-$W$5)/$X$5)&lt;=1.96,"NO ATÍPICO")</f>
        <v>NO ATÍPICO</v>
      </c>
      <c r="K2893" t="str" cm="1">
        <f t="array" ref="K2893">_xlfn.IFS(ISBLANK(I2893),"FALTANTE",ABS((I2893-$W$8)/$X$8)&gt;1.92,"ATÍPICO",ABS((I2893-$W$8)/$X$8)&lt;=1.92,"NO ATÍPICO")</f>
        <v>NO ATÍPICO</v>
      </c>
      <c r="L2893">
        <f t="shared" si="197"/>
        <v>444389.01</v>
      </c>
      <c r="M2893" t="str">
        <f t="shared" si="197"/>
        <v>ASALARIADO</v>
      </c>
      <c r="N2893">
        <f t="shared" si="198"/>
        <v>60</v>
      </c>
      <c r="O2893" s="19" t="str">
        <f t="shared" si="199"/>
        <v>300k–600k</v>
      </c>
      <c r="P2893" s="19" t="str">
        <f t="shared" si="200"/>
        <v>56+</v>
      </c>
    </row>
    <row r="2894" spans="1:16" x14ac:dyDescent="0.25">
      <c r="A2894">
        <v>2893</v>
      </c>
      <c r="B2894" t="s">
        <v>9</v>
      </c>
      <c r="C2894">
        <v>299046</v>
      </c>
      <c r="D2894" t="s">
        <v>17</v>
      </c>
      <c r="E2894" t="s">
        <v>16</v>
      </c>
      <c r="F2894" t="s">
        <v>12</v>
      </c>
      <c r="G2894" t="s">
        <v>13</v>
      </c>
      <c r="H2894" t="s">
        <v>13</v>
      </c>
      <c r="I2894">
        <v>31</v>
      </c>
      <c r="J2894" t="str" cm="1">
        <f t="array" ref="J2894">_xlfn.IFS(ISBLANK(C2894),"FALTANTE",ABS((C2894-$W$5)/$X$5)&gt;1.96,"ATÍPICO",ABS((C2894-$W$5)/$X$5)&lt;=1.96,"NO ATÍPICO")</f>
        <v>NO ATÍPICO</v>
      </c>
      <c r="K2894" t="str" cm="1">
        <f t="array" ref="K2894">_xlfn.IFS(ISBLANK(I2894),"FALTANTE",ABS((I2894-$W$8)/$X$8)&gt;1.92,"ATÍPICO",ABS((I2894-$W$8)/$X$8)&lt;=1.92,"NO ATÍPICO")</f>
        <v>NO ATÍPICO</v>
      </c>
      <c r="L2894">
        <f t="shared" si="197"/>
        <v>299046</v>
      </c>
      <c r="M2894" t="str">
        <f t="shared" si="197"/>
        <v>ASEGURADO VOLUNTARIO</v>
      </c>
      <c r="N2894">
        <f t="shared" si="198"/>
        <v>31</v>
      </c>
      <c r="O2894" s="19" t="str">
        <f t="shared" si="199"/>
        <v>0–300k</v>
      </c>
      <c r="P2894" s="19" t="str">
        <f t="shared" si="200"/>
        <v>26-35</v>
      </c>
    </row>
    <row r="2895" spans="1:16" x14ac:dyDescent="0.25">
      <c r="A2895">
        <v>2894</v>
      </c>
      <c r="B2895" t="s">
        <v>9</v>
      </c>
      <c r="C2895">
        <v>1270596.6499999999</v>
      </c>
      <c r="D2895" t="s">
        <v>10</v>
      </c>
      <c r="E2895" t="s">
        <v>11</v>
      </c>
      <c r="F2895" t="s">
        <v>12</v>
      </c>
      <c r="G2895" t="s">
        <v>13</v>
      </c>
      <c r="H2895" t="s">
        <v>13</v>
      </c>
      <c r="I2895">
        <v>44</v>
      </c>
      <c r="J2895" t="str" cm="1">
        <f t="array" ref="J2895">_xlfn.IFS(ISBLANK(C2895),"FALTANTE",ABS((C2895-$W$5)/$X$5)&gt;1.96,"ATÍPICO",ABS((C2895-$W$5)/$X$5)&lt;=1.96,"NO ATÍPICO")</f>
        <v>NO ATÍPICO</v>
      </c>
      <c r="K2895" t="str" cm="1">
        <f t="array" ref="K2895">_xlfn.IFS(ISBLANK(I2895),"FALTANTE",ABS((I2895-$W$8)/$X$8)&gt;1.92,"ATÍPICO",ABS((I2895-$W$8)/$X$8)&lt;=1.92,"NO ATÍPICO")</f>
        <v>NO ATÍPICO</v>
      </c>
      <c r="L2895">
        <f t="shared" si="197"/>
        <v>1270596.6499999999</v>
      </c>
      <c r="M2895" t="str">
        <f t="shared" si="197"/>
        <v>ASALARIADO</v>
      </c>
      <c r="N2895">
        <f t="shared" si="198"/>
        <v>44</v>
      </c>
      <c r="O2895" s="19" t="str">
        <f t="shared" si="199"/>
        <v>1200k+</v>
      </c>
      <c r="P2895" s="19" t="str">
        <f t="shared" si="200"/>
        <v>36-45</v>
      </c>
    </row>
    <row r="2896" spans="1:16" x14ac:dyDescent="0.25">
      <c r="A2896">
        <v>2895</v>
      </c>
      <c r="B2896" t="s">
        <v>9</v>
      </c>
      <c r="C2896">
        <v>922788.75</v>
      </c>
      <c r="D2896" t="s">
        <v>10</v>
      </c>
      <c r="E2896" t="s">
        <v>16</v>
      </c>
      <c r="F2896" t="s">
        <v>12</v>
      </c>
      <c r="G2896" t="s">
        <v>13</v>
      </c>
      <c r="H2896" t="s">
        <v>13</v>
      </c>
      <c r="I2896">
        <v>25</v>
      </c>
      <c r="J2896" t="str" cm="1">
        <f t="array" ref="J2896">_xlfn.IFS(ISBLANK(C2896),"FALTANTE",ABS((C2896-$W$5)/$X$5)&gt;1.96,"ATÍPICO",ABS((C2896-$W$5)/$X$5)&lt;=1.96,"NO ATÍPICO")</f>
        <v>NO ATÍPICO</v>
      </c>
      <c r="K2896" t="str" cm="1">
        <f t="array" ref="K2896">_xlfn.IFS(ISBLANK(I2896),"FALTANTE",ABS((I2896-$W$8)/$X$8)&gt;1.92,"ATÍPICO",ABS((I2896-$W$8)/$X$8)&lt;=1.92,"NO ATÍPICO")</f>
        <v>NO ATÍPICO</v>
      </c>
      <c r="L2896">
        <f t="shared" si="197"/>
        <v>922788.75</v>
      </c>
      <c r="M2896" t="str">
        <f t="shared" si="197"/>
        <v>ASALARIADO</v>
      </c>
      <c r="N2896">
        <f t="shared" si="198"/>
        <v>25</v>
      </c>
      <c r="O2896" s="19" t="str">
        <f t="shared" si="199"/>
        <v>900k–1200k</v>
      </c>
      <c r="P2896" s="19" t="str">
        <f t="shared" si="200"/>
        <v>18-25</v>
      </c>
    </row>
    <row r="2897" spans="1:16" x14ac:dyDescent="0.25">
      <c r="A2897">
        <v>2896</v>
      </c>
      <c r="B2897" t="s">
        <v>9</v>
      </c>
      <c r="C2897">
        <v>297045</v>
      </c>
      <c r="D2897" t="s">
        <v>18</v>
      </c>
      <c r="E2897" t="s">
        <v>16</v>
      </c>
      <c r="F2897" t="s">
        <v>12</v>
      </c>
      <c r="G2897" t="s">
        <v>13</v>
      </c>
      <c r="H2897" t="s">
        <v>13</v>
      </c>
      <c r="I2897">
        <v>49</v>
      </c>
      <c r="J2897" t="str" cm="1">
        <f t="array" ref="J2897">_xlfn.IFS(ISBLANK(C2897),"FALTANTE",ABS((C2897-$W$5)/$X$5)&gt;1.96,"ATÍPICO",ABS((C2897-$W$5)/$X$5)&lt;=1.96,"NO ATÍPICO")</f>
        <v>NO ATÍPICO</v>
      </c>
      <c r="K2897" t="str" cm="1">
        <f t="array" ref="K2897">_xlfn.IFS(ISBLANK(I2897),"FALTANTE",ABS((I2897-$W$8)/$X$8)&gt;1.92,"ATÍPICO",ABS((I2897-$W$8)/$X$8)&lt;=1.92,"NO ATÍPICO")</f>
        <v>NO ATÍPICO</v>
      </c>
      <c r="L2897">
        <f t="shared" si="197"/>
        <v>297045</v>
      </c>
      <c r="M2897" t="str">
        <f t="shared" si="197"/>
        <v>TRABAJADOR INDEPENDIENTE</v>
      </c>
      <c r="N2897">
        <f t="shared" si="198"/>
        <v>49</v>
      </c>
      <c r="O2897" s="19" t="str">
        <f t="shared" si="199"/>
        <v>0–300k</v>
      </c>
      <c r="P2897" s="19" t="str">
        <f t="shared" si="200"/>
        <v>46-55</v>
      </c>
    </row>
    <row r="2898" spans="1:16" x14ac:dyDescent="0.25">
      <c r="A2898">
        <v>2897</v>
      </c>
      <c r="B2898" t="s">
        <v>15</v>
      </c>
      <c r="C2898">
        <v>1055938.04</v>
      </c>
      <c r="D2898" t="s">
        <v>10</v>
      </c>
      <c r="E2898" t="s">
        <v>11</v>
      </c>
      <c r="F2898" t="s">
        <v>12</v>
      </c>
      <c r="G2898" t="s">
        <v>13</v>
      </c>
      <c r="H2898" t="s">
        <v>13</v>
      </c>
      <c r="I2898">
        <v>30</v>
      </c>
      <c r="J2898" t="str" cm="1">
        <f t="array" ref="J2898">_xlfn.IFS(ISBLANK(C2898),"FALTANTE",ABS((C2898-$W$5)/$X$5)&gt;1.96,"ATÍPICO",ABS((C2898-$W$5)/$X$5)&lt;=1.96,"NO ATÍPICO")</f>
        <v>NO ATÍPICO</v>
      </c>
      <c r="K2898" t="str" cm="1">
        <f t="array" ref="K2898">_xlfn.IFS(ISBLANK(I2898),"FALTANTE",ABS((I2898-$W$8)/$X$8)&gt;1.92,"ATÍPICO",ABS((I2898-$W$8)/$X$8)&lt;=1.92,"NO ATÍPICO")</f>
        <v>NO ATÍPICO</v>
      </c>
      <c r="L2898">
        <f t="shared" si="197"/>
        <v>1055938.04</v>
      </c>
      <c r="M2898" t="str">
        <f t="shared" si="197"/>
        <v>ASALARIADO</v>
      </c>
      <c r="N2898">
        <f t="shared" si="198"/>
        <v>30</v>
      </c>
      <c r="O2898" s="19" t="str">
        <f t="shared" si="199"/>
        <v>900k–1200k</v>
      </c>
      <c r="P2898" s="19" t="str">
        <f t="shared" si="200"/>
        <v>26-35</v>
      </c>
    </row>
    <row r="2899" spans="1:16" x14ac:dyDescent="0.25">
      <c r="A2899">
        <v>2898</v>
      </c>
      <c r="B2899" t="s">
        <v>15</v>
      </c>
      <c r="C2899">
        <v>639148</v>
      </c>
      <c r="D2899" t="s">
        <v>17</v>
      </c>
      <c r="E2899" t="s">
        <v>16</v>
      </c>
      <c r="F2899" t="s">
        <v>12</v>
      </c>
      <c r="G2899" t="s">
        <v>13</v>
      </c>
      <c r="H2899" t="s">
        <v>13</v>
      </c>
      <c r="I2899">
        <v>75</v>
      </c>
      <c r="J2899" t="str" cm="1">
        <f t="array" ref="J2899">_xlfn.IFS(ISBLANK(C2899),"FALTANTE",ABS((C2899-$W$5)/$X$5)&gt;1.96,"ATÍPICO",ABS((C2899-$W$5)/$X$5)&lt;=1.96,"NO ATÍPICO")</f>
        <v>NO ATÍPICO</v>
      </c>
      <c r="K2899" t="str" cm="1">
        <f t="array" ref="K2899">_xlfn.IFS(ISBLANK(I2899),"FALTANTE",ABS((I2899-$W$8)/$X$8)&gt;1.92,"ATÍPICO",ABS((I2899-$W$8)/$X$8)&lt;=1.92,"NO ATÍPICO")</f>
        <v>ATÍPICO</v>
      </c>
      <c r="L2899">
        <f t="shared" si="197"/>
        <v>639148</v>
      </c>
      <c r="M2899" t="str">
        <f t="shared" si="197"/>
        <v>ASEGURADO VOLUNTARIO</v>
      </c>
      <c r="N2899">
        <f t="shared" si="198"/>
        <v>75</v>
      </c>
      <c r="O2899" s="19" t="str">
        <f t="shared" si="199"/>
        <v>600k–900k</v>
      </c>
      <c r="P2899" s="19" t="str">
        <f t="shared" si="200"/>
        <v>56+</v>
      </c>
    </row>
    <row r="2900" spans="1:16" x14ac:dyDescent="0.25">
      <c r="A2900">
        <v>2899</v>
      </c>
      <c r="B2900" t="s">
        <v>9</v>
      </c>
      <c r="C2900">
        <v>385093.62</v>
      </c>
      <c r="D2900" t="s">
        <v>10</v>
      </c>
      <c r="E2900" t="s">
        <v>16</v>
      </c>
      <c r="F2900" t="s">
        <v>12</v>
      </c>
      <c r="G2900" t="s">
        <v>13</v>
      </c>
      <c r="H2900" t="s">
        <v>13</v>
      </c>
      <c r="I2900">
        <v>44</v>
      </c>
      <c r="J2900" t="str" cm="1">
        <f t="array" ref="J2900">_xlfn.IFS(ISBLANK(C2900),"FALTANTE",ABS((C2900-$W$5)/$X$5)&gt;1.96,"ATÍPICO",ABS((C2900-$W$5)/$X$5)&lt;=1.96,"NO ATÍPICO")</f>
        <v>NO ATÍPICO</v>
      </c>
      <c r="K2900" t="str" cm="1">
        <f t="array" ref="K2900">_xlfn.IFS(ISBLANK(I2900),"FALTANTE",ABS((I2900-$W$8)/$X$8)&gt;1.92,"ATÍPICO",ABS((I2900-$W$8)/$X$8)&lt;=1.92,"NO ATÍPICO")</f>
        <v>NO ATÍPICO</v>
      </c>
      <c r="L2900">
        <f t="shared" si="197"/>
        <v>385093.62</v>
      </c>
      <c r="M2900" t="str">
        <f t="shared" si="197"/>
        <v>ASALARIADO</v>
      </c>
      <c r="N2900">
        <f t="shared" si="198"/>
        <v>44</v>
      </c>
      <c r="O2900" s="19" t="str">
        <f t="shared" si="199"/>
        <v>300k–600k</v>
      </c>
      <c r="P2900" s="19" t="str">
        <f t="shared" si="200"/>
        <v>36-45</v>
      </c>
    </row>
    <row r="2901" spans="1:16" x14ac:dyDescent="0.25">
      <c r="A2901">
        <v>2900</v>
      </c>
      <c r="B2901" t="s">
        <v>9</v>
      </c>
      <c r="C2901">
        <v>646251.66</v>
      </c>
      <c r="D2901" t="s">
        <v>10</v>
      </c>
      <c r="E2901" t="s">
        <v>16</v>
      </c>
      <c r="F2901" t="s">
        <v>12</v>
      </c>
      <c r="G2901" t="s">
        <v>13</v>
      </c>
      <c r="H2901" t="s">
        <v>13</v>
      </c>
      <c r="I2901">
        <v>27</v>
      </c>
      <c r="J2901" t="str" cm="1">
        <f t="array" ref="J2901">_xlfn.IFS(ISBLANK(C2901),"FALTANTE",ABS((C2901-$W$5)/$X$5)&gt;1.96,"ATÍPICO",ABS((C2901-$W$5)/$X$5)&lt;=1.96,"NO ATÍPICO")</f>
        <v>NO ATÍPICO</v>
      </c>
      <c r="K2901" t="str" cm="1">
        <f t="array" ref="K2901">_xlfn.IFS(ISBLANK(I2901),"FALTANTE",ABS((I2901-$W$8)/$X$8)&gt;1.92,"ATÍPICO",ABS((I2901-$W$8)/$X$8)&lt;=1.92,"NO ATÍPICO")</f>
        <v>NO ATÍPICO</v>
      </c>
      <c r="L2901">
        <f t="shared" si="197"/>
        <v>646251.66</v>
      </c>
      <c r="M2901" t="str">
        <f t="shared" si="197"/>
        <v>ASALARIADO</v>
      </c>
      <c r="N2901">
        <f t="shared" si="198"/>
        <v>27</v>
      </c>
      <c r="O2901" s="19" t="str">
        <f t="shared" si="199"/>
        <v>600k–900k</v>
      </c>
      <c r="P2901" s="19" t="str">
        <f t="shared" si="200"/>
        <v>26-35</v>
      </c>
    </row>
    <row r="2902" spans="1:16" x14ac:dyDescent="0.25">
      <c r="A2902">
        <v>2901</v>
      </c>
      <c r="B2902" t="s">
        <v>9</v>
      </c>
      <c r="C2902">
        <v>330000</v>
      </c>
      <c r="D2902" t="s">
        <v>10</v>
      </c>
      <c r="E2902" t="s">
        <v>16</v>
      </c>
      <c r="F2902" t="s">
        <v>12</v>
      </c>
      <c r="G2902" t="s">
        <v>12</v>
      </c>
      <c r="H2902" t="s">
        <v>13</v>
      </c>
      <c r="I2902">
        <v>47</v>
      </c>
      <c r="J2902" t="str" cm="1">
        <f t="array" ref="J2902">_xlfn.IFS(ISBLANK(C2902),"FALTANTE",ABS((C2902-$W$5)/$X$5)&gt;1.96,"ATÍPICO",ABS((C2902-$W$5)/$X$5)&lt;=1.96,"NO ATÍPICO")</f>
        <v>NO ATÍPICO</v>
      </c>
      <c r="K2902" t="str" cm="1">
        <f t="array" ref="K2902">_xlfn.IFS(ISBLANK(I2902),"FALTANTE",ABS((I2902-$W$8)/$X$8)&gt;1.92,"ATÍPICO",ABS((I2902-$W$8)/$X$8)&lt;=1.92,"NO ATÍPICO")</f>
        <v>NO ATÍPICO</v>
      </c>
      <c r="L2902">
        <f t="shared" si="197"/>
        <v>330000</v>
      </c>
      <c r="M2902" t="str">
        <f t="shared" si="197"/>
        <v>ASALARIADO</v>
      </c>
      <c r="N2902">
        <f t="shared" si="198"/>
        <v>47</v>
      </c>
      <c r="O2902" s="19" t="str">
        <f t="shared" si="199"/>
        <v>300k–600k</v>
      </c>
      <c r="P2902" s="19" t="str">
        <f t="shared" si="200"/>
        <v>46-55</v>
      </c>
    </row>
    <row r="2903" spans="1:16" x14ac:dyDescent="0.25">
      <c r="A2903">
        <v>2902</v>
      </c>
      <c r="B2903" t="s">
        <v>9</v>
      </c>
      <c r="C2903">
        <v>297046</v>
      </c>
      <c r="D2903" t="s">
        <v>18</v>
      </c>
      <c r="E2903" t="s">
        <v>16</v>
      </c>
      <c r="F2903" t="s">
        <v>12</v>
      </c>
      <c r="G2903" t="s">
        <v>13</v>
      </c>
      <c r="H2903" t="s">
        <v>13</v>
      </c>
      <c r="I2903">
        <v>63</v>
      </c>
      <c r="J2903" t="str" cm="1">
        <f t="array" ref="J2903">_xlfn.IFS(ISBLANK(C2903),"FALTANTE",ABS((C2903-$W$5)/$X$5)&gt;1.96,"ATÍPICO",ABS((C2903-$W$5)/$X$5)&lt;=1.96,"NO ATÍPICO")</f>
        <v>NO ATÍPICO</v>
      </c>
      <c r="K2903" t="str" cm="1">
        <f t="array" ref="K2903">_xlfn.IFS(ISBLANK(I2903),"FALTANTE",ABS((I2903-$W$8)/$X$8)&gt;1.92,"ATÍPICO",ABS((I2903-$W$8)/$X$8)&lt;=1.92,"NO ATÍPICO")</f>
        <v>NO ATÍPICO</v>
      </c>
      <c r="L2903">
        <f t="shared" si="197"/>
        <v>297046</v>
      </c>
      <c r="M2903" t="str">
        <f t="shared" si="197"/>
        <v>TRABAJADOR INDEPENDIENTE</v>
      </c>
      <c r="N2903">
        <f t="shared" si="198"/>
        <v>63</v>
      </c>
      <c r="O2903" s="19" t="str">
        <f t="shared" si="199"/>
        <v>0–300k</v>
      </c>
      <c r="P2903" s="19" t="str">
        <f t="shared" si="200"/>
        <v>56+</v>
      </c>
    </row>
    <row r="2904" spans="1:16" x14ac:dyDescent="0.25">
      <c r="A2904">
        <v>2903</v>
      </c>
      <c r="B2904" t="s">
        <v>15</v>
      </c>
      <c r="C2904">
        <v>622394.65</v>
      </c>
      <c r="D2904" t="s">
        <v>10</v>
      </c>
      <c r="E2904" t="s">
        <v>16</v>
      </c>
      <c r="F2904" t="s">
        <v>12</v>
      </c>
      <c r="G2904" t="s">
        <v>13</v>
      </c>
      <c r="H2904" t="s">
        <v>12</v>
      </c>
      <c r="I2904">
        <v>23</v>
      </c>
      <c r="J2904" t="str" cm="1">
        <f t="array" ref="J2904">_xlfn.IFS(ISBLANK(C2904),"FALTANTE",ABS((C2904-$W$5)/$X$5)&gt;1.96,"ATÍPICO",ABS((C2904-$W$5)/$X$5)&lt;=1.96,"NO ATÍPICO")</f>
        <v>NO ATÍPICO</v>
      </c>
      <c r="K2904" t="str" cm="1">
        <f t="array" ref="K2904">_xlfn.IFS(ISBLANK(I2904),"FALTANTE",ABS((I2904-$W$8)/$X$8)&gt;1.92,"ATÍPICO",ABS((I2904-$W$8)/$X$8)&lt;=1.92,"NO ATÍPICO")</f>
        <v>NO ATÍPICO</v>
      </c>
      <c r="L2904">
        <f t="shared" si="197"/>
        <v>622394.65</v>
      </c>
      <c r="M2904" t="str">
        <f t="shared" si="197"/>
        <v>ASALARIADO</v>
      </c>
      <c r="N2904">
        <f t="shared" si="198"/>
        <v>23</v>
      </c>
      <c r="O2904" s="19" t="str">
        <f t="shared" si="199"/>
        <v>600k–900k</v>
      </c>
      <c r="P2904" s="19" t="str">
        <f t="shared" si="200"/>
        <v>18-25</v>
      </c>
    </row>
    <row r="2905" spans="1:16" x14ac:dyDescent="0.25">
      <c r="A2905">
        <v>2904</v>
      </c>
      <c r="B2905" t="s">
        <v>9</v>
      </c>
      <c r="C2905">
        <v>171000</v>
      </c>
      <c r="D2905" t="s">
        <v>10</v>
      </c>
      <c r="E2905" t="s">
        <v>16</v>
      </c>
      <c r="F2905" t="s">
        <v>12</v>
      </c>
      <c r="G2905" t="s">
        <v>13</v>
      </c>
      <c r="H2905" t="s">
        <v>13</v>
      </c>
      <c r="I2905">
        <v>56</v>
      </c>
      <c r="J2905" t="str" cm="1">
        <f t="array" ref="J2905">_xlfn.IFS(ISBLANK(C2905),"FALTANTE",ABS((C2905-$W$5)/$X$5)&gt;1.96,"ATÍPICO",ABS((C2905-$W$5)/$X$5)&lt;=1.96,"NO ATÍPICO")</f>
        <v>NO ATÍPICO</v>
      </c>
      <c r="K2905" t="str" cm="1">
        <f t="array" ref="K2905">_xlfn.IFS(ISBLANK(I2905),"FALTANTE",ABS((I2905-$W$8)/$X$8)&gt;1.92,"ATÍPICO",ABS((I2905-$W$8)/$X$8)&lt;=1.92,"NO ATÍPICO")</f>
        <v>NO ATÍPICO</v>
      </c>
      <c r="L2905">
        <f t="shared" si="197"/>
        <v>171000</v>
      </c>
      <c r="M2905" t="str">
        <f t="shared" si="197"/>
        <v>ASALARIADO</v>
      </c>
      <c r="N2905">
        <f t="shared" si="198"/>
        <v>56</v>
      </c>
      <c r="O2905" s="19" t="str">
        <f t="shared" si="199"/>
        <v>0–300k</v>
      </c>
      <c r="P2905" s="19" t="str">
        <f t="shared" si="200"/>
        <v>56+</v>
      </c>
    </row>
    <row r="2906" spans="1:16" x14ac:dyDescent="0.25">
      <c r="A2906">
        <v>2905</v>
      </c>
      <c r="B2906" t="s">
        <v>15</v>
      </c>
      <c r="C2906">
        <v>385400.61</v>
      </c>
      <c r="D2906" t="s">
        <v>10</v>
      </c>
      <c r="E2906" t="s">
        <v>16</v>
      </c>
      <c r="F2906" t="s">
        <v>12</v>
      </c>
      <c r="G2906" t="s">
        <v>12</v>
      </c>
      <c r="H2906" t="s">
        <v>13</v>
      </c>
      <c r="I2906">
        <v>30</v>
      </c>
      <c r="J2906" t="str" cm="1">
        <f t="array" ref="J2906">_xlfn.IFS(ISBLANK(C2906),"FALTANTE",ABS((C2906-$W$5)/$X$5)&gt;1.96,"ATÍPICO",ABS((C2906-$W$5)/$X$5)&lt;=1.96,"NO ATÍPICO")</f>
        <v>NO ATÍPICO</v>
      </c>
      <c r="K2906" t="str" cm="1">
        <f t="array" ref="K2906">_xlfn.IFS(ISBLANK(I2906),"FALTANTE",ABS((I2906-$W$8)/$X$8)&gt;1.92,"ATÍPICO",ABS((I2906-$W$8)/$X$8)&lt;=1.92,"NO ATÍPICO")</f>
        <v>NO ATÍPICO</v>
      </c>
      <c r="L2906">
        <f t="shared" si="197"/>
        <v>385400.61</v>
      </c>
      <c r="M2906" t="str">
        <f t="shared" si="197"/>
        <v>ASALARIADO</v>
      </c>
      <c r="N2906">
        <f t="shared" si="198"/>
        <v>30</v>
      </c>
      <c r="O2906" s="19" t="str">
        <f t="shared" si="199"/>
        <v>300k–600k</v>
      </c>
      <c r="P2906" s="19" t="str">
        <f t="shared" si="200"/>
        <v>26-35</v>
      </c>
    </row>
    <row r="2907" spans="1:16" x14ac:dyDescent="0.25">
      <c r="A2907">
        <v>2906</v>
      </c>
      <c r="B2907" t="s">
        <v>15</v>
      </c>
      <c r="C2907">
        <v>1619313.26</v>
      </c>
      <c r="D2907" t="s">
        <v>10</v>
      </c>
      <c r="E2907" t="s">
        <v>16</v>
      </c>
      <c r="F2907" t="s">
        <v>12</v>
      </c>
      <c r="G2907" t="s">
        <v>13</v>
      </c>
      <c r="H2907" t="s">
        <v>13</v>
      </c>
      <c r="I2907">
        <v>33</v>
      </c>
      <c r="J2907" t="str" cm="1">
        <f t="array" ref="J2907">_xlfn.IFS(ISBLANK(C2907),"FALTANTE",ABS((C2907-$W$5)/$X$5)&gt;1.96,"ATÍPICO",ABS((C2907-$W$5)/$X$5)&lt;=1.96,"NO ATÍPICO")</f>
        <v>NO ATÍPICO</v>
      </c>
      <c r="K2907" t="str" cm="1">
        <f t="array" ref="K2907">_xlfn.IFS(ISBLANK(I2907),"FALTANTE",ABS((I2907-$W$8)/$X$8)&gt;1.92,"ATÍPICO",ABS((I2907-$W$8)/$X$8)&lt;=1.92,"NO ATÍPICO")</f>
        <v>NO ATÍPICO</v>
      </c>
      <c r="L2907">
        <f t="shared" si="197"/>
        <v>1619313.26</v>
      </c>
      <c r="M2907" t="str">
        <f t="shared" si="197"/>
        <v>ASALARIADO</v>
      </c>
      <c r="N2907">
        <f t="shared" si="198"/>
        <v>33</v>
      </c>
      <c r="O2907" s="19" t="str">
        <f t="shared" si="199"/>
        <v>1200k+</v>
      </c>
      <c r="P2907" s="19" t="str">
        <f t="shared" si="200"/>
        <v>26-35</v>
      </c>
    </row>
    <row r="2908" spans="1:16" x14ac:dyDescent="0.25">
      <c r="A2908">
        <v>2907</v>
      </c>
      <c r="B2908" t="s">
        <v>9</v>
      </c>
      <c r="C2908">
        <v>403541.67</v>
      </c>
      <c r="D2908" t="s">
        <v>10</v>
      </c>
      <c r="E2908" t="s">
        <v>16</v>
      </c>
      <c r="F2908" t="s">
        <v>12</v>
      </c>
      <c r="G2908" t="s">
        <v>13</v>
      </c>
      <c r="H2908" t="s">
        <v>13</v>
      </c>
      <c r="I2908">
        <v>43</v>
      </c>
      <c r="J2908" t="str" cm="1">
        <f t="array" ref="J2908">_xlfn.IFS(ISBLANK(C2908),"FALTANTE",ABS((C2908-$W$5)/$X$5)&gt;1.96,"ATÍPICO",ABS((C2908-$W$5)/$X$5)&lt;=1.96,"NO ATÍPICO")</f>
        <v>NO ATÍPICO</v>
      </c>
      <c r="K2908" t="str" cm="1">
        <f t="array" ref="K2908">_xlfn.IFS(ISBLANK(I2908),"FALTANTE",ABS((I2908-$W$8)/$X$8)&gt;1.92,"ATÍPICO",ABS((I2908-$W$8)/$X$8)&lt;=1.92,"NO ATÍPICO")</f>
        <v>NO ATÍPICO</v>
      </c>
      <c r="L2908">
        <f t="shared" si="197"/>
        <v>403541.67</v>
      </c>
      <c r="M2908" t="str">
        <f t="shared" si="197"/>
        <v>ASALARIADO</v>
      </c>
      <c r="N2908">
        <f t="shared" si="198"/>
        <v>43</v>
      </c>
      <c r="O2908" s="19" t="str">
        <f t="shared" si="199"/>
        <v>300k–600k</v>
      </c>
      <c r="P2908" s="19" t="str">
        <f t="shared" si="200"/>
        <v>36-45</v>
      </c>
    </row>
    <row r="2909" spans="1:16" x14ac:dyDescent="0.25">
      <c r="A2909">
        <v>2908</v>
      </c>
      <c r="B2909" t="s">
        <v>9</v>
      </c>
      <c r="C2909">
        <v>600000</v>
      </c>
      <c r="D2909" t="s">
        <v>10</v>
      </c>
      <c r="E2909" t="s">
        <v>16</v>
      </c>
      <c r="F2909" t="s">
        <v>12</v>
      </c>
      <c r="G2909" t="s">
        <v>13</v>
      </c>
      <c r="H2909" t="s">
        <v>13</v>
      </c>
      <c r="I2909">
        <v>24</v>
      </c>
      <c r="J2909" t="str" cm="1">
        <f t="array" ref="J2909">_xlfn.IFS(ISBLANK(C2909),"FALTANTE",ABS((C2909-$W$5)/$X$5)&gt;1.96,"ATÍPICO",ABS((C2909-$W$5)/$X$5)&lt;=1.96,"NO ATÍPICO")</f>
        <v>NO ATÍPICO</v>
      </c>
      <c r="K2909" t="str" cm="1">
        <f t="array" ref="K2909">_xlfn.IFS(ISBLANK(I2909),"FALTANTE",ABS((I2909-$W$8)/$X$8)&gt;1.92,"ATÍPICO",ABS((I2909-$W$8)/$X$8)&lt;=1.92,"NO ATÍPICO")</f>
        <v>NO ATÍPICO</v>
      </c>
      <c r="L2909">
        <f t="shared" si="197"/>
        <v>600000</v>
      </c>
      <c r="M2909" t="str">
        <f t="shared" si="197"/>
        <v>ASALARIADO</v>
      </c>
      <c r="N2909">
        <f t="shared" si="198"/>
        <v>24</v>
      </c>
      <c r="O2909" s="19" t="str">
        <f t="shared" si="199"/>
        <v>300k–600k</v>
      </c>
      <c r="P2909" s="19" t="str">
        <f t="shared" si="200"/>
        <v>18-25</v>
      </c>
    </row>
    <row r="2910" spans="1:16" x14ac:dyDescent="0.25">
      <c r="A2910">
        <v>2909</v>
      </c>
      <c r="B2910" t="s">
        <v>9</v>
      </c>
      <c r="C2910">
        <v>319300</v>
      </c>
      <c r="D2910" t="s">
        <v>10</v>
      </c>
      <c r="E2910" t="s">
        <v>16</v>
      </c>
      <c r="F2910" t="s">
        <v>12</v>
      </c>
      <c r="G2910" t="s">
        <v>13</v>
      </c>
      <c r="H2910" t="s">
        <v>13</v>
      </c>
      <c r="I2910">
        <v>69</v>
      </c>
      <c r="J2910" t="str" cm="1">
        <f t="array" ref="J2910">_xlfn.IFS(ISBLANK(C2910),"FALTANTE",ABS((C2910-$W$5)/$X$5)&gt;1.96,"ATÍPICO",ABS((C2910-$W$5)/$X$5)&lt;=1.96,"NO ATÍPICO")</f>
        <v>NO ATÍPICO</v>
      </c>
      <c r="K2910" t="str" cm="1">
        <f t="array" ref="K2910">_xlfn.IFS(ISBLANK(I2910),"FALTANTE",ABS((I2910-$W$8)/$X$8)&gt;1.92,"ATÍPICO",ABS((I2910-$W$8)/$X$8)&lt;=1.92,"NO ATÍPICO")</f>
        <v>NO ATÍPICO</v>
      </c>
      <c r="L2910">
        <f t="shared" si="197"/>
        <v>319300</v>
      </c>
      <c r="M2910" t="str">
        <f t="shared" si="197"/>
        <v>ASALARIADO</v>
      </c>
      <c r="N2910">
        <f t="shared" si="198"/>
        <v>69</v>
      </c>
      <c r="O2910" s="19" t="str">
        <f t="shared" si="199"/>
        <v>300k–600k</v>
      </c>
      <c r="P2910" s="19" t="str">
        <f t="shared" si="200"/>
        <v>56+</v>
      </c>
    </row>
    <row r="2911" spans="1:16" x14ac:dyDescent="0.25">
      <c r="A2911">
        <v>2910</v>
      </c>
      <c r="B2911" t="s">
        <v>9</v>
      </c>
      <c r="C2911">
        <v>445567</v>
      </c>
      <c r="D2911" t="s">
        <v>18</v>
      </c>
      <c r="E2911" t="s">
        <v>16</v>
      </c>
      <c r="F2911" t="s">
        <v>12</v>
      </c>
      <c r="G2911" t="s">
        <v>13</v>
      </c>
      <c r="H2911" t="s">
        <v>12</v>
      </c>
      <c r="I2911">
        <v>35</v>
      </c>
      <c r="J2911" t="str" cm="1">
        <f t="array" ref="J2911">_xlfn.IFS(ISBLANK(C2911),"FALTANTE",ABS((C2911-$W$5)/$X$5)&gt;1.96,"ATÍPICO",ABS((C2911-$W$5)/$X$5)&lt;=1.96,"NO ATÍPICO")</f>
        <v>NO ATÍPICO</v>
      </c>
      <c r="K2911" t="str" cm="1">
        <f t="array" ref="K2911">_xlfn.IFS(ISBLANK(I2911),"FALTANTE",ABS((I2911-$W$8)/$X$8)&gt;1.92,"ATÍPICO",ABS((I2911-$W$8)/$X$8)&lt;=1.92,"NO ATÍPICO")</f>
        <v>NO ATÍPICO</v>
      </c>
      <c r="L2911">
        <f t="shared" si="197"/>
        <v>445567</v>
      </c>
      <c r="M2911" t="str">
        <f t="shared" si="197"/>
        <v>TRABAJADOR INDEPENDIENTE</v>
      </c>
      <c r="N2911">
        <f t="shared" si="198"/>
        <v>35</v>
      </c>
      <c r="O2911" s="19" t="str">
        <f t="shared" si="199"/>
        <v>300k–600k</v>
      </c>
      <c r="P2911" s="19" t="str">
        <f t="shared" si="200"/>
        <v>26-35</v>
      </c>
    </row>
    <row r="2912" spans="1:16" x14ac:dyDescent="0.25">
      <c r="A2912">
        <v>2911</v>
      </c>
      <c r="B2912" t="s">
        <v>9</v>
      </c>
      <c r="C2912">
        <v>314396</v>
      </c>
      <c r="D2912" t="s">
        <v>10</v>
      </c>
      <c r="E2912" t="s">
        <v>11</v>
      </c>
      <c r="F2912" t="s">
        <v>12</v>
      </c>
      <c r="G2912" t="s">
        <v>13</v>
      </c>
      <c r="H2912" t="s">
        <v>12</v>
      </c>
      <c r="I2912">
        <v>53</v>
      </c>
      <c r="J2912" t="str" cm="1">
        <f t="array" ref="J2912">_xlfn.IFS(ISBLANK(C2912),"FALTANTE",ABS((C2912-$W$5)/$X$5)&gt;1.96,"ATÍPICO",ABS((C2912-$W$5)/$X$5)&lt;=1.96,"NO ATÍPICO")</f>
        <v>NO ATÍPICO</v>
      </c>
      <c r="K2912" t="str" cm="1">
        <f t="array" ref="K2912">_xlfn.IFS(ISBLANK(I2912),"FALTANTE",ABS((I2912-$W$8)/$X$8)&gt;1.92,"ATÍPICO",ABS((I2912-$W$8)/$X$8)&lt;=1.92,"NO ATÍPICO")</f>
        <v>NO ATÍPICO</v>
      </c>
      <c r="L2912">
        <f t="shared" si="197"/>
        <v>314396</v>
      </c>
      <c r="M2912" t="str">
        <f t="shared" si="197"/>
        <v>ASALARIADO</v>
      </c>
      <c r="N2912">
        <f t="shared" si="198"/>
        <v>53</v>
      </c>
      <c r="O2912" s="19" t="str">
        <f t="shared" si="199"/>
        <v>300k–600k</v>
      </c>
      <c r="P2912" s="19" t="str">
        <f t="shared" si="200"/>
        <v>46-55</v>
      </c>
    </row>
    <row r="2913" spans="1:16" x14ac:dyDescent="0.25">
      <c r="A2913">
        <v>2912</v>
      </c>
      <c r="B2913" t="s">
        <v>15</v>
      </c>
      <c r="C2913">
        <v>1165110</v>
      </c>
      <c r="D2913" t="s">
        <v>10</v>
      </c>
      <c r="E2913" t="s">
        <v>11</v>
      </c>
      <c r="F2913" t="s">
        <v>12</v>
      </c>
      <c r="G2913" t="s">
        <v>13</v>
      </c>
      <c r="H2913" t="s">
        <v>12</v>
      </c>
      <c r="I2913">
        <v>38</v>
      </c>
      <c r="J2913" t="str" cm="1">
        <f t="array" ref="J2913">_xlfn.IFS(ISBLANK(C2913),"FALTANTE",ABS((C2913-$W$5)/$X$5)&gt;1.96,"ATÍPICO",ABS((C2913-$W$5)/$X$5)&lt;=1.96,"NO ATÍPICO")</f>
        <v>NO ATÍPICO</v>
      </c>
      <c r="K2913" t="str" cm="1">
        <f t="array" ref="K2913">_xlfn.IFS(ISBLANK(I2913),"FALTANTE",ABS((I2913-$W$8)/$X$8)&gt;1.92,"ATÍPICO",ABS((I2913-$W$8)/$X$8)&lt;=1.92,"NO ATÍPICO")</f>
        <v>NO ATÍPICO</v>
      </c>
      <c r="L2913">
        <f t="shared" si="197"/>
        <v>1165110</v>
      </c>
      <c r="M2913" t="str">
        <f t="shared" si="197"/>
        <v>ASALARIADO</v>
      </c>
      <c r="N2913">
        <f t="shared" si="198"/>
        <v>38</v>
      </c>
      <c r="O2913" s="19" t="str">
        <f t="shared" si="199"/>
        <v>900k–1200k</v>
      </c>
      <c r="P2913" s="19" t="str">
        <f t="shared" si="200"/>
        <v>36-45</v>
      </c>
    </row>
    <row r="2914" spans="1:16" x14ac:dyDescent="0.25">
      <c r="A2914">
        <v>2913</v>
      </c>
      <c r="B2914" t="s">
        <v>9</v>
      </c>
      <c r="C2914">
        <v>639148</v>
      </c>
      <c r="D2914" t="s">
        <v>18</v>
      </c>
      <c r="E2914" t="s">
        <v>16</v>
      </c>
      <c r="F2914" t="s">
        <v>12</v>
      </c>
      <c r="G2914" t="s">
        <v>13</v>
      </c>
      <c r="H2914" t="s">
        <v>12</v>
      </c>
      <c r="I2914">
        <v>69</v>
      </c>
      <c r="J2914" t="str" cm="1">
        <f t="array" ref="J2914">_xlfn.IFS(ISBLANK(C2914),"FALTANTE",ABS((C2914-$W$5)/$X$5)&gt;1.96,"ATÍPICO",ABS((C2914-$W$5)/$X$5)&lt;=1.96,"NO ATÍPICO")</f>
        <v>NO ATÍPICO</v>
      </c>
      <c r="K2914" t="str" cm="1">
        <f t="array" ref="K2914">_xlfn.IFS(ISBLANK(I2914),"FALTANTE",ABS((I2914-$W$8)/$X$8)&gt;1.92,"ATÍPICO",ABS((I2914-$W$8)/$X$8)&lt;=1.92,"NO ATÍPICO")</f>
        <v>NO ATÍPICO</v>
      </c>
      <c r="L2914">
        <f t="shared" si="197"/>
        <v>639148</v>
      </c>
      <c r="M2914" t="str">
        <f t="shared" si="197"/>
        <v>TRABAJADOR INDEPENDIENTE</v>
      </c>
      <c r="N2914">
        <f t="shared" si="198"/>
        <v>69</v>
      </c>
      <c r="O2914" s="19" t="str">
        <f t="shared" si="199"/>
        <v>600k–900k</v>
      </c>
      <c r="P2914" s="19" t="str">
        <f t="shared" si="200"/>
        <v>56+</v>
      </c>
    </row>
    <row r="2915" spans="1:16" x14ac:dyDescent="0.25">
      <c r="A2915">
        <v>2914</v>
      </c>
      <c r="B2915" t="s">
        <v>15</v>
      </c>
      <c r="C2915">
        <v>659819.65</v>
      </c>
      <c r="D2915" t="s">
        <v>10</v>
      </c>
      <c r="E2915" t="s">
        <v>11</v>
      </c>
      <c r="F2915" t="s">
        <v>12</v>
      </c>
      <c r="G2915" t="s">
        <v>13</v>
      </c>
      <c r="H2915" t="s">
        <v>13</v>
      </c>
      <c r="I2915">
        <v>26</v>
      </c>
      <c r="J2915" t="str" cm="1">
        <f t="array" ref="J2915">_xlfn.IFS(ISBLANK(C2915),"FALTANTE",ABS((C2915-$W$5)/$X$5)&gt;1.96,"ATÍPICO",ABS((C2915-$W$5)/$X$5)&lt;=1.96,"NO ATÍPICO")</f>
        <v>NO ATÍPICO</v>
      </c>
      <c r="K2915" t="str" cm="1">
        <f t="array" ref="K2915">_xlfn.IFS(ISBLANK(I2915),"FALTANTE",ABS((I2915-$W$8)/$X$8)&gt;1.92,"ATÍPICO",ABS((I2915-$W$8)/$X$8)&lt;=1.92,"NO ATÍPICO")</f>
        <v>NO ATÍPICO</v>
      </c>
      <c r="L2915">
        <f t="shared" si="197"/>
        <v>659819.65</v>
      </c>
      <c r="M2915" t="str">
        <f t="shared" si="197"/>
        <v>ASALARIADO</v>
      </c>
      <c r="N2915">
        <f t="shared" si="198"/>
        <v>26</v>
      </c>
      <c r="O2915" s="19" t="str">
        <f t="shared" si="199"/>
        <v>600k–900k</v>
      </c>
      <c r="P2915" s="19" t="str">
        <f t="shared" si="200"/>
        <v>26-35</v>
      </c>
    </row>
    <row r="2916" spans="1:16" x14ac:dyDescent="0.25">
      <c r="A2916">
        <v>2915</v>
      </c>
      <c r="B2916" t="s">
        <v>15</v>
      </c>
      <c r="C2916">
        <v>297500</v>
      </c>
      <c r="D2916" t="s">
        <v>17</v>
      </c>
      <c r="E2916" t="s">
        <v>16</v>
      </c>
      <c r="F2916" t="s">
        <v>12</v>
      </c>
      <c r="G2916" t="s">
        <v>12</v>
      </c>
      <c r="H2916" t="s">
        <v>13</v>
      </c>
      <c r="I2916">
        <v>29</v>
      </c>
      <c r="J2916" t="str" cm="1">
        <f t="array" ref="J2916">_xlfn.IFS(ISBLANK(C2916),"FALTANTE",ABS((C2916-$W$5)/$X$5)&gt;1.96,"ATÍPICO",ABS((C2916-$W$5)/$X$5)&lt;=1.96,"NO ATÍPICO")</f>
        <v>NO ATÍPICO</v>
      </c>
      <c r="K2916" t="str" cm="1">
        <f t="array" ref="K2916">_xlfn.IFS(ISBLANK(I2916),"FALTANTE",ABS((I2916-$W$8)/$X$8)&gt;1.92,"ATÍPICO",ABS((I2916-$W$8)/$X$8)&lt;=1.92,"NO ATÍPICO")</f>
        <v>NO ATÍPICO</v>
      </c>
      <c r="L2916">
        <f t="shared" si="197"/>
        <v>297500</v>
      </c>
      <c r="M2916" t="str">
        <f t="shared" si="197"/>
        <v>ASEGURADO VOLUNTARIO</v>
      </c>
      <c r="N2916">
        <f t="shared" si="198"/>
        <v>29</v>
      </c>
      <c r="O2916" s="19" t="str">
        <f t="shared" si="199"/>
        <v>0–300k</v>
      </c>
      <c r="P2916" s="19" t="str">
        <f t="shared" si="200"/>
        <v>26-35</v>
      </c>
    </row>
    <row r="2917" spans="1:16" x14ac:dyDescent="0.25">
      <c r="A2917">
        <v>2916</v>
      </c>
      <c r="B2917" t="s">
        <v>9</v>
      </c>
      <c r="C2917">
        <v>756084.19</v>
      </c>
      <c r="D2917" t="s">
        <v>10</v>
      </c>
      <c r="E2917" t="s">
        <v>16</v>
      </c>
      <c r="F2917" t="s">
        <v>12</v>
      </c>
      <c r="G2917" t="s">
        <v>13</v>
      </c>
      <c r="H2917" t="s">
        <v>13</v>
      </c>
      <c r="I2917">
        <v>21</v>
      </c>
      <c r="J2917" t="str" cm="1">
        <f t="array" ref="J2917">_xlfn.IFS(ISBLANK(C2917),"FALTANTE",ABS((C2917-$W$5)/$X$5)&gt;1.96,"ATÍPICO",ABS((C2917-$W$5)/$X$5)&lt;=1.96,"NO ATÍPICO")</f>
        <v>NO ATÍPICO</v>
      </c>
      <c r="K2917" t="str" cm="1">
        <f t="array" ref="K2917">_xlfn.IFS(ISBLANK(I2917),"FALTANTE",ABS((I2917-$W$8)/$X$8)&gt;1.92,"ATÍPICO",ABS((I2917-$W$8)/$X$8)&lt;=1.92,"NO ATÍPICO")</f>
        <v>NO ATÍPICO</v>
      </c>
      <c r="L2917">
        <f t="shared" si="197"/>
        <v>756084.19</v>
      </c>
      <c r="M2917" t="str">
        <f t="shared" si="197"/>
        <v>ASALARIADO</v>
      </c>
      <c r="N2917">
        <f t="shared" si="198"/>
        <v>21</v>
      </c>
      <c r="O2917" s="19" t="str">
        <f t="shared" si="199"/>
        <v>600k–900k</v>
      </c>
      <c r="P2917" s="19" t="str">
        <f t="shared" si="200"/>
        <v>18-25</v>
      </c>
    </row>
    <row r="2918" spans="1:16" x14ac:dyDescent="0.25">
      <c r="A2918">
        <v>2917</v>
      </c>
      <c r="B2918" t="s">
        <v>15</v>
      </c>
      <c r="C2918">
        <v>379237.5</v>
      </c>
      <c r="D2918" t="s">
        <v>10</v>
      </c>
      <c r="E2918" t="s">
        <v>11</v>
      </c>
      <c r="F2918" t="s">
        <v>12</v>
      </c>
      <c r="G2918" t="s">
        <v>13</v>
      </c>
      <c r="H2918" t="s">
        <v>13</v>
      </c>
      <c r="I2918">
        <v>25</v>
      </c>
      <c r="J2918" t="str" cm="1">
        <f t="array" ref="J2918">_xlfn.IFS(ISBLANK(C2918),"FALTANTE",ABS((C2918-$W$5)/$X$5)&gt;1.96,"ATÍPICO",ABS((C2918-$W$5)/$X$5)&lt;=1.96,"NO ATÍPICO")</f>
        <v>NO ATÍPICO</v>
      </c>
      <c r="K2918" t="str" cm="1">
        <f t="array" ref="K2918">_xlfn.IFS(ISBLANK(I2918),"FALTANTE",ABS((I2918-$W$8)/$X$8)&gt;1.92,"ATÍPICO",ABS((I2918-$W$8)/$X$8)&lt;=1.92,"NO ATÍPICO")</f>
        <v>NO ATÍPICO</v>
      </c>
      <c r="L2918">
        <f t="shared" si="197"/>
        <v>379237.5</v>
      </c>
      <c r="M2918" t="str">
        <f t="shared" si="197"/>
        <v>ASALARIADO</v>
      </c>
      <c r="N2918">
        <f t="shared" si="198"/>
        <v>25</v>
      </c>
      <c r="O2918" s="19" t="str">
        <f t="shared" si="199"/>
        <v>300k–600k</v>
      </c>
      <c r="P2918" s="19" t="str">
        <f t="shared" si="200"/>
        <v>18-25</v>
      </c>
    </row>
    <row r="2919" spans="1:16" x14ac:dyDescent="0.25">
      <c r="A2919">
        <v>2918</v>
      </c>
      <c r="B2919" t="s">
        <v>9</v>
      </c>
      <c r="C2919">
        <v>311585.03999999998</v>
      </c>
      <c r="D2919" t="s">
        <v>10</v>
      </c>
      <c r="E2919" t="s">
        <v>16</v>
      </c>
      <c r="F2919" t="s">
        <v>12</v>
      </c>
      <c r="G2919" t="s">
        <v>13</v>
      </c>
      <c r="H2919" t="s">
        <v>13</v>
      </c>
      <c r="I2919">
        <v>26</v>
      </c>
      <c r="J2919" t="str" cm="1">
        <f t="array" ref="J2919">_xlfn.IFS(ISBLANK(C2919),"FALTANTE",ABS((C2919-$W$5)/$X$5)&gt;1.96,"ATÍPICO",ABS((C2919-$W$5)/$X$5)&lt;=1.96,"NO ATÍPICO")</f>
        <v>NO ATÍPICO</v>
      </c>
      <c r="K2919" t="str" cm="1">
        <f t="array" ref="K2919">_xlfn.IFS(ISBLANK(I2919),"FALTANTE",ABS((I2919-$W$8)/$X$8)&gt;1.92,"ATÍPICO",ABS((I2919-$W$8)/$X$8)&lt;=1.92,"NO ATÍPICO")</f>
        <v>NO ATÍPICO</v>
      </c>
      <c r="L2919">
        <f t="shared" si="197"/>
        <v>311585.03999999998</v>
      </c>
      <c r="M2919" t="str">
        <f t="shared" si="197"/>
        <v>ASALARIADO</v>
      </c>
      <c r="N2919">
        <f t="shared" si="198"/>
        <v>26</v>
      </c>
      <c r="O2919" s="19" t="str">
        <f t="shared" si="199"/>
        <v>300k–600k</v>
      </c>
      <c r="P2919" s="19" t="str">
        <f t="shared" si="200"/>
        <v>26-35</v>
      </c>
    </row>
    <row r="2920" spans="1:16" x14ac:dyDescent="0.25">
      <c r="A2920">
        <v>2919</v>
      </c>
      <c r="B2920" t="s">
        <v>15</v>
      </c>
      <c r="C2920">
        <v>1983460.5</v>
      </c>
      <c r="D2920" t="s">
        <v>10</v>
      </c>
      <c r="E2920" t="s">
        <v>11</v>
      </c>
      <c r="F2920" t="s">
        <v>12</v>
      </c>
      <c r="G2920" t="s">
        <v>13</v>
      </c>
      <c r="H2920" t="s">
        <v>13</v>
      </c>
      <c r="I2920">
        <v>61</v>
      </c>
      <c r="J2920" t="str" cm="1">
        <f t="array" ref="J2920">_xlfn.IFS(ISBLANK(C2920),"FALTANTE",ABS((C2920-$W$5)/$X$5)&gt;1.96,"ATÍPICO",ABS((C2920-$W$5)/$X$5)&lt;=1.96,"NO ATÍPICO")</f>
        <v>NO ATÍPICO</v>
      </c>
      <c r="K2920" t="str" cm="1">
        <f t="array" ref="K2920">_xlfn.IFS(ISBLANK(I2920),"FALTANTE",ABS((I2920-$W$8)/$X$8)&gt;1.92,"ATÍPICO",ABS((I2920-$W$8)/$X$8)&lt;=1.92,"NO ATÍPICO")</f>
        <v>NO ATÍPICO</v>
      </c>
      <c r="L2920">
        <f t="shared" si="197"/>
        <v>1983460.5</v>
      </c>
      <c r="M2920" t="str">
        <f t="shared" si="197"/>
        <v>ASALARIADO</v>
      </c>
      <c r="N2920">
        <f t="shared" si="198"/>
        <v>61</v>
      </c>
      <c r="O2920" s="19" t="str">
        <f t="shared" si="199"/>
        <v>1200k+</v>
      </c>
      <c r="P2920" s="19" t="str">
        <f t="shared" si="200"/>
        <v>56+</v>
      </c>
    </row>
    <row r="2921" spans="1:16" x14ac:dyDescent="0.25">
      <c r="A2921">
        <v>2920</v>
      </c>
      <c r="B2921" t="s">
        <v>9</v>
      </c>
      <c r="C2921">
        <v>723495</v>
      </c>
      <c r="D2921" t="s">
        <v>10</v>
      </c>
      <c r="E2921" t="s">
        <v>11</v>
      </c>
      <c r="F2921" t="s">
        <v>12</v>
      </c>
      <c r="G2921" t="s">
        <v>13</v>
      </c>
      <c r="H2921" t="s">
        <v>13</v>
      </c>
      <c r="I2921">
        <v>37</v>
      </c>
      <c r="J2921" t="str" cm="1">
        <f t="array" ref="J2921">_xlfn.IFS(ISBLANK(C2921),"FALTANTE",ABS((C2921-$W$5)/$X$5)&gt;1.96,"ATÍPICO",ABS((C2921-$W$5)/$X$5)&lt;=1.96,"NO ATÍPICO")</f>
        <v>NO ATÍPICO</v>
      </c>
      <c r="K2921" t="str" cm="1">
        <f t="array" ref="K2921">_xlfn.IFS(ISBLANK(I2921),"FALTANTE",ABS((I2921-$W$8)/$X$8)&gt;1.92,"ATÍPICO",ABS((I2921-$W$8)/$X$8)&lt;=1.92,"NO ATÍPICO")</f>
        <v>NO ATÍPICO</v>
      </c>
      <c r="L2921">
        <f t="shared" si="197"/>
        <v>723495</v>
      </c>
      <c r="M2921" t="str">
        <f t="shared" si="197"/>
        <v>ASALARIADO</v>
      </c>
      <c r="N2921">
        <f t="shared" si="198"/>
        <v>37</v>
      </c>
      <c r="O2921" s="19" t="str">
        <f t="shared" si="199"/>
        <v>600k–900k</v>
      </c>
      <c r="P2921" s="19" t="str">
        <f t="shared" si="200"/>
        <v>36-45</v>
      </c>
    </row>
    <row r="2922" spans="1:16" x14ac:dyDescent="0.25">
      <c r="A2922">
        <v>2921</v>
      </c>
      <c r="B2922" t="s">
        <v>9</v>
      </c>
      <c r="C2922">
        <v>426977.82</v>
      </c>
      <c r="D2922" t="s">
        <v>10</v>
      </c>
      <c r="E2922" t="s">
        <v>16</v>
      </c>
      <c r="F2922" t="s">
        <v>12</v>
      </c>
      <c r="G2922" t="s">
        <v>12</v>
      </c>
      <c r="H2922" t="s">
        <v>13</v>
      </c>
      <c r="I2922">
        <v>53</v>
      </c>
      <c r="J2922" t="str" cm="1">
        <f t="array" ref="J2922">_xlfn.IFS(ISBLANK(C2922),"FALTANTE",ABS((C2922-$W$5)/$X$5)&gt;1.96,"ATÍPICO",ABS((C2922-$W$5)/$X$5)&lt;=1.96,"NO ATÍPICO")</f>
        <v>NO ATÍPICO</v>
      </c>
      <c r="K2922" t="str" cm="1">
        <f t="array" ref="K2922">_xlfn.IFS(ISBLANK(I2922),"FALTANTE",ABS((I2922-$W$8)/$X$8)&gt;1.92,"ATÍPICO",ABS((I2922-$W$8)/$X$8)&lt;=1.92,"NO ATÍPICO")</f>
        <v>NO ATÍPICO</v>
      </c>
      <c r="L2922">
        <f t="shared" si="197"/>
        <v>426977.82</v>
      </c>
      <c r="M2922" t="str">
        <f t="shared" si="197"/>
        <v>ASALARIADO</v>
      </c>
      <c r="N2922">
        <f t="shared" si="198"/>
        <v>53</v>
      </c>
      <c r="O2922" s="19" t="str">
        <f t="shared" si="199"/>
        <v>300k–600k</v>
      </c>
      <c r="P2922" s="19" t="str">
        <f t="shared" si="200"/>
        <v>46-55</v>
      </c>
    </row>
    <row r="2923" spans="1:16" x14ac:dyDescent="0.25">
      <c r="A2923">
        <v>2922</v>
      </c>
      <c r="B2923" t="s">
        <v>15</v>
      </c>
      <c r="C2923">
        <v>1459586</v>
      </c>
      <c r="D2923" t="s">
        <v>10</v>
      </c>
      <c r="E2923" t="s">
        <v>11</v>
      </c>
      <c r="F2923" t="s">
        <v>12</v>
      </c>
      <c r="G2923" t="s">
        <v>13</v>
      </c>
      <c r="H2923" t="s">
        <v>13</v>
      </c>
      <c r="I2923">
        <v>47</v>
      </c>
      <c r="J2923" t="str" cm="1">
        <f t="array" ref="J2923">_xlfn.IFS(ISBLANK(C2923),"FALTANTE",ABS((C2923-$W$5)/$X$5)&gt;1.96,"ATÍPICO",ABS((C2923-$W$5)/$X$5)&lt;=1.96,"NO ATÍPICO")</f>
        <v>NO ATÍPICO</v>
      </c>
      <c r="K2923" t="str" cm="1">
        <f t="array" ref="K2923">_xlfn.IFS(ISBLANK(I2923),"FALTANTE",ABS((I2923-$W$8)/$X$8)&gt;1.92,"ATÍPICO",ABS((I2923-$W$8)/$X$8)&lt;=1.92,"NO ATÍPICO")</f>
        <v>NO ATÍPICO</v>
      </c>
      <c r="L2923">
        <f t="shared" si="197"/>
        <v>1459586</v>
      </c>
      <c r="M2923" t="str">
        <f t="shared" si="197"/>
        <v>ASALARIADO</v>
      </c>
      <c r="N2923">
        <f t="shared" si="198"/>
        <v>47</v>
      </c>
      <c r="O2923" s="19" t="str">
        <f t="shared" si="199"/>
        <v>1200k+</v>
      </c>
      <c r="P2923" s="19" t="str">
        <f t="shared" si="200"/>
        <v>46-55</v>
      </c>
    </row>
    <row r="2924" spans="1:16" x14ac:dyDescent="0.25">
      <c r="A2924">
        <v>2923</v>
      </c>
      <c r="B2924" t="s">
        <v>9</v>
      </c>
      <c r="C2924">
        <v>447825.78</v>
      </c>
      <c r="D2924" t="s">
        <v>10</v>
      </c>
      <c r="E2924" t="s">
        <v>16</v>
      </c>
      <c r="F2924" t="s">
        <v>12</v>
      </c>
      <c r="G2924" t="s">
        <v>13</v>
      </c>
      <c r="H2924" t="s">
        <v>13</v>
      </c>
      <c r="I2924">
        <v>53</v>
      </c>
      <c r="J2924" t="str" cm="1">
        <f t="array" ref="J2924">_xlfn.IFS(ISBLANK(C2924),"FALTANTE",ABS((C2924-$W$5)/$X$5)&gt;1.96,"ATÍPICO",ABS((C2924-$W$5)/$X$5)&lt;=1.96,"NO ATÍPICO")</f>
        <v>NO ATÍPICO</v>
      </c>
      <c r="K2924" t="str" cm="1">
        <f t="array" ref="K2924">_xlfn.IFS(ISBLANK(I2924),"FALTANTE",ABS((I2924-$W$8)/$X$8)&gt;1.92,"ATÍPICO",ABS((I2924-$W$8)/$X$8)&lt;=1.92,"NO ATÍPICO")</f>
        <v>NO ATÍPICO</v>
      </c>
      <c r="L2924">
        <f t="shared" si="197"/>
        <v>447825.78</v>
      </c>
      <c r="M2924" t="str">
        <f t="shared" si="197"/>
        <v>ASALARIADO</v>
      </c>
      <c r="N2924">
        <f t="shared" si="198"/>
        <v>53</v>
      </c>
      <c r="O2924" s="19" t="str">
        <f t="shared" si="199"/>
        <v>300k–600k</v>
      </c>
      <c r="P2924" s="19" t="str">
        <f t="shared" si="200"/>
        <v>46-55</v>
      </c>
    </row>
    <row r="2925" spans="1:16" x14ac:dyDescent="0.25">
      <c r="A2925">
        <v>2924</v>
      </c>
      <c r="B2925" t="s">
        <v>15</v>
      </c>
      <c r="C2925">
        <v>297865</v>
      </c>
      <c r="D2925" t="s">
        <v>18</v>
      </c>
      <c r="E2925" t="s">
        <v>16</v>
      </c>
      <c r="F2925" t="s">
        <v>12</v>
      </c>
      <c r="G2925" t="s">
        <v>13</v>
      </c>
      <c r="H2925" t="s">
        <v>13</v>
      </c>
      <c r="I2925">
        <v>41</v>
      </c>
      <c r="J2925" t="str" cm="1">
        <f t="array" ref="J2925">_xlfn.IFS(ISBLANK(C2925),"FALTANTE",ABS((C2925-$W$5)/$X$5)&gt;1.96,"ATÍPICO",ABS((C2925-$W$5)/$X$5)&lt;=1.96,"NO ATÍPICO")</f>
        <v>NO ATÍPICO</v>
      </c>
      <c r="K2925" t="str" cm="1">
        <f t="array" ref="K2925">_xlfn.IFS(ISBLANK(I2925),"FALTANTE",ABS((I2925-$W$8)/$X$8)&gt;1.92,"ATÍPICO",ABS((I2925-$W$8)/$X$8)&lt;=1.92,"NO ATÍPICO")</f>
        <v>NO ATÍPICO</v>
      </c>
      <c r="L2925">
        <f t="shared" si="197"/>
        <v>297865</v>
      </c>
      <c r="M2925" t="str">
        <f t="shared" si="197"/>
        <v>TRABAJADOR INDEPENDIENTE</v>
      </c>
      <c r="N2925">
        <f t="shared" si="198"/>
        <v>41</v>
      </c>
      <c r="O2925" s="19" t="str">
        <f t="shared" si="199"/>
        <v>0–300k</v>
      </c>
      <c r="P2925" s="19" t="str">
        <f t="shared" si="200"/>
        <v>36-45</v>
      </c>
    </row>
    <row r="2926" spans="1:16" x14ac:dyDescent="0.25">
      <c r="A2926">
        <v>2925</v>
      </c>
      <c r="B2926" t="s">
        <v>9</v>
      </c>
      <c r="C2926">
        <v>416406.24</v>
      </c>
      <c r="D2926" t="s">
        <v>10</v>
      </c>
      <c r="E2926" t="s">
        <v>16</v>
      </c>
      <c r="F2926" t="s">
        <v>12</v>
      </c>
      <c r="G2926" t="s">
        <v>13</v>
      </c>
      <c r="H2926" t="s">
        <v>13</v>
      </c>
      <c r="I2926">
        <v>35</v>
      </c>
      <c r="J2926" t="str" cm="1">
        <f t="array" ref="J2926">_xlfn.IFS(ISBLANK(C2926),"FALTANTE",ABS((C2926-$W$5)/$X$5)&gt;1.96,"ATÍPICO",ABS((C2926-$W$5)/$X$5)&lt;=1.96,"NO ATÍPICO")</f>
        <v>NO ATÍPICO</v>
      </c>
      <c r="K2926" t="str" cm="1">
        <f t="array" ref="K2926">_xlfn.IFS(ISBLANK(I2926),"FALTANTE",ABS((I2926-$W$8)/$X$8)&gt;1.92,"ATÍPICO",ABS((I2926-$W$8)/$X$8)&lt;=1.92,"NO ATÍPICO")</f>
        <v>NO ATÍPICO</v>
      </c>
      <c r="L2926">
        <f t="shared" si="197"/>
        <v>416406.24</v>
      </c>
      <c r="M2926" t="str">
        <f t="shared" si="197"/>
        <v>ASALARIADO</v>
      </c>
      <c r="N2926">
        <f t="shared" si="198"/>
        <v>35</v>
      </c>
      <c r="O2926" s="19" t="str">
        <f t="shared" si="199"/>
        <v>300k–600k</v>
      </c>
      <c r="P2926" s="19" t="str">
        <f t="shared" si="200"/>
        <v>26-35</v>
      </c>
    </row>
    <row r="2927" spans="1:16" x14ac:dyDescent="0.25">
      <c r="A2927">
        <v>2926</v>
      </c>
      <c r="B2927" t="s">
        <v>9</v>
      </c>
      <c r="C2927">
        <v>548611.75</v>
      </c>
      <c r="D2927" t="s">
        <v>10</v>
      </c>
      <c r="E2927" t="s">
        <v>16</v>
      </c>
      <c r="F2927" t="s">
        <v>12</v>
      </c>
      <c r="G2927" t="s">
        <v>13</v>
      </c>
      <c r="H2927" t="s">
        <v>13</v>
      </c>
      <c r="I2927">
        <v>27</v>
      </c>
      <c r="J2927" t="str" cm="1">
        <f t="array" ref="J2927">_xlfn.IFS(ISBLANK(C2927),"FALTANTE",ABS((C2927-$W$5)/$X$5)&gt;1.96,"ATÍPICO",ABS((C2927-$W$5)/$X$5)&lt;=1.96,"NO ATÍPICO")</f>
        <v>NO ATÍPICO</v>
      </c>
      <c r="K2927" t="str" cm="1">
        <f t="array" ref="K2927">_xlfn.IFS(ISBLANK(I2927),"FALTANTE",ABS((I2927-$W$8)/$X$8)&gt;1.92,"ATÍPICO",ABS((I2927-$W$8)/$X$8)&lt;=1.92,"NO ATÍPICO")</f>
        <v>NO ATÍPICO</v>
      </c>
      <c r="L2927">
        <f t="shared" si="197"/>
        <v>548611.75</v>
      </c>
      <c r="M2927" t="str">
        <f t="shared" si="197"/>
        <v>ASALARIADO</v>
      </c>
      <c r="N2927">
        <f t="shared" si="198"/>
        <v>27</v>
      </c>
      <c r="O2927" s="19" t="str">
        <f t="shared" si="199"/>
        <v>300k–600k</v>
      </c>
      <c r="P2927" s="19" t="str">
        <f t="shared" si="200"/>
        <v>26-35</v>
      </c>
    </row>
    <row r="2928" spans="1:16" x14ac:dyDescent="0.25">
      <c r="A2928">
        <v>2927</v>
      </c>
      <c r="B2928" t="s">
        <v>9</v>
      </c>
      <c r="C2928">
        <v>445567</v>
      </c>
      <c r="D2928" t="s">
        <v>18</v>
      </c>
      <c r="E2928" t="s">
        <v>16</v>
      </c>
      <c r="F2928" t="s">
        <v>12</v>
      </c>
      <c r="G2928" t="s">
        <v>13</v>
      </c>
      <c r="H2928" t="s">
        <v>12</v>
      </c>
      <c r="I2928">
        <v>52</v>
      </c>
      <c r="J2928" t="str" cm="1">
        <f t="array" ref="J2928">_xlfn.IFS(ISBLANK(C2928),"FALTANTE",ABS((C2928-$W$5)/$X$5)&gt;1.96,"ATÍPICO",ABS((C2928-$W$5)/$X$5)&lt;=1.96,"NO ATÍPICO")</f>
        <v>NO ATÍPICO</v>
      </c>
      <c r="K2928" t="str" cm="1">
        <f t="array" ref="K2928">_xlfn.IFS(ISBLANK(I2928),"FALTANTE",ABS((I2928-$W$8)/$X$8)&gt;1.92,"ATÍPICO",ABS((I2928-$W$8)/$X$8)&lt;=1.92,"NO ATÍPICO")</f>
        <v>NO ATÍPICO</v>
      </c>
      <c r="L2928">
        <f t="shared" si="197"/>
        <v>445567</v>
      </c>
      <c r="M2928" t="str">
        <f t="shared" si="197"/>
        <v>TRABAJADOR INDEPENDIENTE</v>
      </c>
      <c r="N2928">
        <f t="shared" si="198"/>
        <v>52</v>
      </c>
      <c r="O2928" s="19" t="str">
        <f t="shared" si="199"/>
        <v>300k–600k</v>
      </c>
      <c r="P2928" s="19" t="str">
        <f t="shared" si="200"/>
        <v>46-55</v>
      </c>
    </row>
    <row r="2929" spans="1:16" x14ac:dyDescent="0.25">
      <c r="A2929">
        <v>2928</v>
      </c>
      <c r="B2929" t="s">
        <v>15</v>
      </c>
      <c r="C2929">
        <v>918531</v>
      </c>
      <c r="D2929" t="s">
        <v>10</v>
      </c>
      <c r="E2929" t="s">
        <v>16</v>
      </c>
      <c r="F2929" t="s">
        <v>12</v>
      </c>
      <c r="G2929" t="s">
        <v>13</v>
      </c>
      <c r="H2929" t="s">
        <v>13</v>
      </c>
      <c r="I2929">
        <v>33</v>
      </c>
      <c r="J2929" t="str" cm="1">
        <f t="array" ref="J2929">_xlfn.IFS(ISBLANK(C2929),"FALTANTE",ABS((C2929-$W$5)/$X$5)&gt;1.96,"ATÍPICO",ABS((C2929-$W$5)/$X$5)&lt;=1.96,"NO ATÍPICO")</f>
        <v>NO ATÍPICO</v>
      </c>
      <c r="K2929" t="str" cm="1">
        <f t="array" ref="K2929">_xlfn.IFS(ISBLANK(I2929),"FALTANTE",ABS((I2929-$W$8)/$X$8)&gt;1.92,"ATÍPICO",ABS((I2929-$W$8)/$X$8)&lt;=1.92,"NO ATÍPICO")</f>
        <v>NO ATÍPICO</v>
      </c>
      <c r="L2929">
        <f t="shared" si="197"/>
        <v>918531</v>
      </c>
      <c r="M2929" t="str">
        <f t="shared" si="197"/>
        <v>ASALARIADO</v>
      </c>
      <c r="N2929">
        <f t="shared" si="198"/>
        <v>33</v>
      </c>
      <c r="O2929" s="19" t="str">
        <f t="shared" si="199"/>
        <v>900k–1200k</v>
      </c>
      <c r="P2929" s="19" t="str">
        <f t="shared" si="200"/>
        <v>26-35</v>
      </c>
    </row>
    <row r="2930" spans="1:16" x14ac:dyDescent="0.25">
      <c r="A2930">
        <v>2929</v>
      </c>
      <c r="B2930" t="s">
        <v>9</v>
      </c>
      <c r="C2930">
        <v>484083</v>
      </c>
      <c r="D2930" t="s">
        <v>10</v>
      </c>
      <c r="E2930" t="s">
        <v>16</v>
      </c>
      <c r="F2930" t="s">
        <v>12</v>
      </c>
      <c r="G2930" t="s">
        <v>13</v>
      </c>
      <c r="H2930" t="s">
        <v>13</v>
      </c>
      <c r="I2930">
        <v>33</v>
      </c>
      <c r="J2930" t="str" cm="1">
        <f t="array" ref="J2930">_xlfn.IFS(ISBLANK(C2930),"FALTANTE",ABS((C2930-$W$5)/$X$5)&gt;1.96,"ATÍPICO",ABS((C2930-$W$5)/$X$5)&lt;=1.96,"NO ATÍPICO")</f>
        <v>NO ATÍPICO</v>
      </c>
      <c r="K2930" t="str" cm="1">
        <f t="array" ref="K2930">_xlfn.IFS(ISBLANK(I2930),"FALTANTE",ABS((I2930-$W$8)/$X$8)&gt;1.92,"ATÍPICO",ABS((I2930-$W$8)/$X$8)&lt;=1.92,"NO ATÍPICO")</f>
        <v>NO ATÍPICO</v>
      </c>
      <c r="L2930">
        <f t="shared" si="197"/>
        <v>484083</v>
      </c>
      <c r="M2930" t="str">
        <f t="shared" si="197"/>
        <v>ASALARIADO</v>
      </c>
      <c r="N2930">
        <f t="shared" si="198"/>
        <v>33</v>
      </c>
      <c r="O2930" s="19" t="str">
        <f t="shared" si="199"/>
        <v>300k–600k</v>
      </c>
      <c r="P2930" s="19" t="str">
        <f t="shared" si="200"/>
        <v>26-35</v>
      </c>
    </row>
    <row r="2931" spans="1:16" x14ac:dyDescent="0.25">
      <c r="A2931">
        <v>2930</v>
      </c>
      <c r="B2931" t="s">
        <v>9</v>
      </c>
      <c r="C2931">
        <v>437310</v>
      </c>
      <c r="D2931" t="s">
        <v>10</v>
      </c>
      <c r="E2931" t="s">
        <v>16</v>
      </c>
      <c r="F2931" t="s">
        <v>12</v>
      </c>
      <c r="G2931" t="s">
        <v>13</v>
      </c>
      <c r="H2931" t="s">
        <v>13</v>
      </c>
      <c r="I2931">
        <v>31</v>
      </c>
      <c r="J2931" t="str" cm="1">
        <f t="array" ref="J2931">_xlfn.IFS(ISBLANK(C2931),"FALTANTE",ABS((C2931-$W$5)/$X$5)&gt;1.96,"ATÍPICO",ABS((C2931-$W$5)/$X$5)&lt;=1.96,"NO ATÍPICO")</f>
        <v>NO ATÍPICO</v>
      </c>
      <c r="K2931" t="str" cm="1">
        <f t="array" ref="K2931">_xlfn.IFS(ISBLANK(I2931),"FALTANTE",ABS((I2931-$W$8)/$X$8)&gt;1.92,"ATÍPICO",ABS((I2931-$W$8)/$X$8)&lt;=1.92,"NO ATÍPICO")</f>
        <v>NO ATÍPICO</v>
      </c>
      <c r="L2931">
        <f t="shared" si="197"/>
        <v>437310</v>
      </c>
      <c r="M2931" t="str">
        <f t="shared" si="197"/>
        <v>ASALARIADO</v>
      </c>
      <c r="N2931">
        <f t="shared" si="198"/>
        <v>31</v>
      </c>
      <c r="O2931" s="19" t="str">
        <f t="shared" si="199"/>
        <v>300k–600k</v>
      </c>
      <c r="P2931" s="19" t="str">
        <f t="shared" si="200"/>
        <v>26-35</v>
      </c>
    </row>
    <row r="2932" spans="1:16" x14ac:dyDescent="0.25">
      <c r="A2932">
        <v>2931</v>
      </c>
      <c r="B2932" t="s">
        <v>9</v>
      </c>
      <c r="C2932">
        <v>330226.88</v>
      </c>
      <c r="D2932" t="s">
        <v>10</v>
      </c>
      <c r="E2932" t="s">
        <v>16</v>
      </c>
      <c r="F2932" t="s">
        <v>12</v>
      </c>
      <c r="G2932" t="s">
        <v>12</v>
      </c>
      <c r="H2932" t="s">
        <v>13</v>
      </c>
      <c r="I2932">
        <v>49</v>
      </c>
      <c r="J2932" t="str" cm="1">
        <f t="array" ref="J2932">_xlfn.IFS(ISBLANK(C2932),"FALTANTE",ABS((C2932-$W$5)/$X$5)&gt;1.96,"ATÍPICO",ABS((C2932-$W$5)/$X$5)&lt;=1.96,"NO ATÍPICO")</f>
        <v>NO ATÍPICO</v>
      </c>
      <c r="K2932" t="str" cm="1">
        <f t="array" ref="K2932">_xlfn.IFS(ISBLANK(I2932),"FALTANTE",ABS((I2932-$W$8)/$X$8)&gt;1.92,"ATÍPICO",ABS((I2932-$W$8)/$X$8)&lt;=1.92,"NO ATÍPICO")</f>
        <v>NO ATÍPICO</v>
      </c>
      <c r="L2932">
        <f t="shared" si="197"/>
        <v>330226.88</v>
      </c>
      <c r="M2932" t="str">
        <f t="shared" si="197"/>
        <v>ASALARIADO</v>
      </c>
      <c r="N2932">
        <f t="shared" si="198"/>
        <v>49</v>
      </c>
      <c r="O2932" s="19" t="str">
        <f t="shared" si="199"/>
        <v>300k–600k</v>
      </c>
      <c r="P2932" s="19" t="str">
        <f t="shared" si="200"/>
        <v>46-55</v>
      </c>
    </row>
    <row r="2933" spans="1:16" x14ac:dyDescent="0.25">
      <c r="A2933">
        <v>2932</v>
      </c>
      <c r="B2933" t="s">
        <v>9</v>
      </c>
      <c r="C2933">
        <v>3217274</v>
      </c>
      <c r="D2933" t="s">
        <v>14</v>
      </c>
      <c r="E2933" t="s">
        <v>11</v>
      </c>
      <c r="F2933" t="s">
        <v>12</v>
      </c>
      <c r="G2933" t="s">
        <v>13</v>
      </c>
      <c r="H2933" t="s">
        <v>13</v>
      </c>
      <c r="I2933">
        <v>80</v>
      </c>
      <c r="J2933" t="str" cm="1">
        <f t="array" ref="J2933">_xlfn.IFS(ISBLANK(C2933),"FALTANTE",ABS((C2933-$W$5)/$X$5)&gt;1.96,"ATÍPICO",ABS((C2933-$W$5)/$X$5)&lt;=1.96,"NO ATÍPICO")</f>
        <v>ATÍPICO</v>
      </c>
      <c r="K2933" t="str" cm="1">
        <f t="array" ref="K2933">_xlfn.IFS(ISBLANK(I2933),"FALTANTE",ABS((I2933-$W$8)/$X$8)&gt;1.92,"ATÍPICO",ABS((I2933-$W$8)/$X$8)&lt;=1.92,"NO ATÍPICO")</f>
        <v>ATÍPICO</v>
      </c>
      <c r="L2933">
        <f t="shared" si="197"/>
        <v>3217274</v>
      </c>
      <c r="M2933" t="str">
        <f t="shared" si="197"/>
        <v>PENSIONADOS EN SU PROPIO SISTEMA</v>
      </c>
      <c r="N2933">
        <f t="shared" si="198"/>
        <v>80</v>
      </c>
      <c r="O2933" s="19" t="str">
        <f t="shared" si="199"/>
        <v>1200k+</v>
      </c>
      <c r="P2933" s="19" t="str">
        <f t="shared" si="200"/>
        <v>56+</v>
      </c>
    </row>
    <row r="2934" spans="1:16" x14ac:dyDescent="0.25">
      <c r="A2934">
        <v>2933</v>
      </c>
      <c r="B2934" t="s">
        <v>15</v>
      </c>
      <c r="C2934">
        <v>250000</v>
      </c>
      <c r="D2934" t="s">
        <v>10</v>
      </c>
      <c r="E2934" t="s">
        <v>16</v>
      </c>
      <c r="F2934" t="s">
        <v>12</v>
      </c>
      <c r="G2934" t="s">
        <v>12</v>
      </c>
      <c r="H2934" t="s">
        <v>13</v>
      </c>
      <c r="I2934">
        <v>53</v>
      </c>
      <c r="J2934" t="str" cm="1">
        <f t="array" ref="J2934">_xlfn.IFS(ISBLANK(C2934),"FALTANTE",ABS((C2934-$W$5)/$X$5)&gt;1.96,"ATÍPICO",ABS((C2934-$W$5)/$X$5)&lt;=1.96,"NO ATÍPICO")</f>
        <v>NO ATÍPICO</v>
      </c>
      <c r="K2934" t="str" cm="1">
        <f t="array" ref="K2934">_xlfn.IFS(ISBLANK(I2934),"FALTANTE",ABS((I2934-$W$8)/$X$8)&gt;1.92,"ATÍPICO",ABS((I2934-$W$8)/$X$8)&lt;=1.92,"NO ATÍPICO")</f>
        <v>NO ATÍPICO</v>
      </c>
      <c r="L2934">
        <f t="shared" si="197"/>
        <v>250000</v>
      </c>
      <c r="M2934" t="str">
        <f t="shared" si="197"/>
        <v>ASALARIADO</v>
      </c>
      <c r="N2934">
        <f t="shared" si="198"/>
        <v>53</v>
      </c>
      <c r="O2934" s="19" t="str">
        <f t="shared" si="199"/>
        <v>0–300k</v>
      </c>
      <c r="P2934" s="19" t="str">
        <f t="shared" si="200"/>
        <v>46-55</v>
      </c>
    </row>
    <row r="2935" spans="1:16" x14ac:dyDescent="0.25">
      <c r="A2935">
        <v>2934</v>
      </c>
      <c r="B2935" t="s">
        <v>15</v>
      </c>
      <c r="C2935">
        <v>297046</v>
      </c>
      <c r="D2935" t="s">
        <v>17</v>
      </c>
      <c r="E2935" t="s">
        <v>16</v>
      </c>
      <c r="F2935" t="s">
        <v>12</v>
      </c>
      <c r="G2935" t="s">
        <v>13</v>
      </c>
      <c r="H2935" t="s">
        <v>13</v>
      </c>
      <c r="I2935">
        <v>55</v>
      </c>
      <c r="J2935" t="str" cm="1">
        <f t="array" ref="J2935">_xlfn.IFS(ISBLANK(C2935),"FALTANTE",ABS((C2935-$W$5)/$X$5)&gt;1.96,"ATÍPICO",ABS((C2935-$W$5)/$X$5)&lt;=1.96,"NO ATÍPICO")</f>
        <v>NO ATÍPICO</v>
      </c>
      <c r="K2935" t="str" cm="1">
        <f t="array" ref="K2935">_xlfn.IFS(ISBLANK(I2935),"FALTANTE",ABS((I2935-$W$8)/$X$8)&gt;1.92,"ATÍPICO",ABS((I2935-$W$8)/$X$8)&lt;=1.92,"NO ATÍPICO")</f>
        <v>NO ATÍPICO</v>
      </c>
      <c r="L2935">
        <f t="shared" si="197"/>
        <v>297046</v>
      </c>
      <c r="M2935" t="str">
        <f t="shared" si="197"/>
        <v>ASEGURADO VOLUNTARIO</v>
      </c>
      <c r="N2935">
        <f t="shared" si="198"/>
        <v>55</v>
      </c>
      <c r="O2935" s="19" t="str">
        <f t="shared" si="199"/>
        <v>0–300k</v>
      </c>
      <c r="P2935" s="19" t="str">
        <f t="shared" si="200"/>
        <v>46-55</v>
      </c>
    </row>
    <row r="2936" spans="1:16" x14ac:dyDescent="0.25">
      <c r="A2936">
        <v>2935</v>
      </c>
      <c r="B2936" t="s">
        <v>9</v>
      </c>
      <c r="C2936">
        <v>359544.27</v>
      </c>
      <c r="D2936" t="s">
        <v>21</v>
      </c>
      <c r="E2936" t="s">
        <v>16</v>
      </c>
      <c r="F2936" t="s">
        <v>12</v>
      </c>
      <c r="G2936" t="s">
        <v>12</v>
      </c>
      <c r="H2936" t="s">
        <v>13</v>
      </c>
      <c r="I2936">
        <v>66</v>
      </c>
      <c r="J2936" t="str" cm="1">
        <f t="array" ref="J2936">_xlfn.IFS(ISBLANK(C2936),"FALTANTE",ABS((C2936-$W$5)/$X$5)&gt;1.96,"ATÍPICO",ABS((C2936-$W$5)/$X$5)&lt;=1.96,"NO ATÍPICO")</f>
        <v>NO ATÍPICO</v>
      </c>
      <c r="K2936" t="str" cm="1">
        <f t="array" ref="K2936">_xlfn.IFS(ISBLANK(I2936),"FALTANTE",ABS((I2936-$W$8)/$X$8)&gt;1.92,"ATÍPICO",ABS((I2936-$W$8)/$X$8)&lt;=1.92,"NO ATÍPICO")</f>
        <v>NO ATÍPICO</v>
      </c>
      <c r="L2936">
        <f t="shared" si="197"/>
        <v>359544.27</v>
      </c>
      <c r="M2936" t="str">
        <f t="shared" si="197"/>
        <v>CONVENIOS ESPECIALES DE ASEGURADOS VOLUNTARIOS</v>
      </c>
      <c r="N2936">
        <f t="shared" si="198"/>
        <v>66</v>
      </c>
      <c r="O2936" s="19" t="str">
        <f t="shared" si="199"/>
        <v>300k–600k</v>
      </c>
      <c r="P2936" s="19" t="str">
        <f t="shared" si="200"/>
        <v>56+</v>
      </c>
    </row>
    <row r="2937" spans="1:16" x14ac:dyDescent="0.25">
      <c r="A2937">
        <v>2936</v>
      </c>
      <c r="B2937" t="s">
        <v>9</v>
      </c>
      <c r="C2937">
        <v>924999.9</v>
      </c>
      <c r="D2937" t="s">
        <v>10</v>
      </c>
      <c r="E2937" t="s">
        <v>16</v>
      </c>
      <c r="F2937" t="s">
        <v>12</v>
      </c>
      <c r="G2937" t="s">
        <v>13</v>
      </c>
      <c r="H2937" t="s">
        <v>13</v>
      </c>
      <c r="I2937">
        <v>27</v>
      </c>
      <c r="J2937" t="str" cm="1">
        <f t="array" ref="J2937">_xlfn.IFS(ISBLANK(C2937),"FALTANTE",ABS((C2937-$W$5)/$X$5)&gt;1.96,"ATÍPICO",ABS((C2937-$W$5)/$X$5)&lt;=1.96,"NO ATÍPICO")</f>
        <v>NO ATÍPICO</v>
      </c>
      <c r="K2937" t="str" cm="1">
        <f t="array" ref="K2937">_xlfn.IFS(ISBLANK(I2937),"FALTANTE",ABS((I2937-$W$8)/$X$8)&gt;1.92,"ATÍPICO",ABS((I2937-$W$8)/$X$8)&lt;=1.92,"NO ATÍPICO")</f>
        <v>NO ATÍPICO</v>
      </c>
      <c r="L2937">
        <f t="shared" si="197"/>
        <v>924999.9</v>
      </c>
      <c r="M2937" t="str">
        <f t="shared" si="197"/>
        <v>ASALARIADO</v>
      </c>
      <c r="N2937">
        <f t="shared" si="198"/>
        <v>27</v>
      </c>
      <c r="O2937" s="19" t="str">
        <f t="shared" si="199"/>
        <v>900k–1200k</v>
      </c>
      <c r="P2937" s="19" t="str">
        <f t="shared" si="200"/>
        <v>26-35</v>
      </c>
    </row>
    <row r="2938" spans="1:16" x14ac:dyDescent="0.25">
      <c r="A2938">
        <v>2937</v>
      </c>
      <c r="B2938" t="s">
        <v>15</v>
      </c>
      <c r="C2938">
        <v>323296</v>
      </c>
      <c r="D2938" t="s">
        <v>17</v>
      </c>
      <c r="E2938" t="s">
        <v>16</v>
      </c>
      <c r="F2938" t="s">
        <v>12</v>
      </c>
      <c r="G2938" t="s">
        <v>12</v>
      </c>
      <c r="H2938" t="s">
        <v>13</v>
      </c>
      <c r="I2938">
        <v>38</v>
      </c>
      <c r="J2938" t="str" cm="1">
        <f t="array" ref="J2938">_xlfn.IFS(ISBLANK(C2938),"FALTANTE",ABS((C2938-$W$5)/$X$5)&gt;1.96,"ATÍPICO",ABS((C2938-$W$5)/$X$5)&lt;=1.96,"NO ATÍPICO")</f>
        <v>NO ATÍPICO</v>
      </c>
      <c r="K2938" t="str" cm="1">
        <f t="array" ref="K2938">_xlfn.IFS(ISBLANK(I2938),"FALTANTE",ABS((I2938-$W$8)/$X$8)&gt;1.92,"ATÍPICO",ABS((I2938-$W$8)/$X$8)&lt;=1.92,"NO ATÍPICO")</f>
        <v>NO ATÍPICO</v>
      </c>
      <c r="L2938">
        <f t="shared" si="197"/>
        <v>323296</v>
      </c>
      <c r="M2938" t="str">
        <f t="shared" si="197"/>
        <v>ASEGURADO VOLUNTARIO</v>
      </c>
      <c r="N2938">
        <f t="shared" si="198"/>
        <v>38</v>
      </c>
      <c r="O2938" s="19" t="str">
        <f t="shared" si="199"/>
        <v>300k–600k</v>
      </c>
      <c r="P2938" s="19" t="str">
        <f t="shared" si="200"/>
        <v>36-45</v>
      </c>
    </row>
    <row r="2939" spans="1:16" x14ac:dyDescent="0.25">
      <c r="A2939">
        <v>2938</v>
      </c>
      <c r="B2939" t="s">
        <v>9</v>
      </c>
      <c r="C2939">
        <v>348000</v>
      </c>
      <c r="D2939" t="s">
        <v>10</v>
      </c>
      <c r="E2939" t="s">
        <v>16</v>
      </c>
      <c r="F2939" t="s">
        <v>12</v>
      </c>
      <c r="G2939" t="s">
        <v>13</v>
      </c>
      <c r="H2939" t="s">
        <v>12</v>
      </c>
      <c r="I2939">
        <v>19</v>
      </c>
      <c r="J2939" t="str" cm="1">
        <f t="array" ref="J2939">_xlfn.IFS(ISBLANK(C2939),"FALTANTE",ABS((C2939-$W$5)/$X$5)&gt;1.96,"ATÍPICO",ABS((C2939-$W$5)/$X$5)&lt;=1.96,"NO ATÍPICO")</f>
        <v>NO ATÍPICO</v>
      </c>
      <c r="K2939" t="str" cm="1">
        <f t="array" ref="K2939">_xlfn.IFS(ISBLANK(I2939),"FALTANTE",ABS((I2939-$W$8)/$X$8)&gt;1.92,"ATÍPICO",ABS((I2939-$W$8)/$X$8)&lt;=1.92,"NO ATÍPICO")</f>
        <v>NO ATÍPICO</v>
      </c>
      <c r="L2939">
        <f t="shared" si="197"/>
        <v>348000</v>
      </c>
      <c r="M2939" t="str">
        <f t="shared" si="197"/>
        <v>ASALARIADO</v>
      </c>
      <c r="N2939">
        <f t="shared" si="198"/>
        <v>19</v>
      </c>
      <c r="O2939" s="19" t="str">
        <f t="shared" si="199"/>
        <v>300k–600k</v>
      </c>
      <c r="P2939" s="19" t="str">
        <f t="shared" si="200"/>
        <v>18-25</v>
      </c>
    </row>
    <row r="2940" spans="1:16" x14ac:dyDescent="0.25">
      <c r="A2940">
        <v>2939</v>
      </c>
      <c r="B2940" t="s">
        <v>15</v>
      </c>
      <c r="C2940">
        <v>295000</v>
      </c>
      <c r="D2940" t="s">
        <v>17</v>
      </c>
      <c r="E2940" t="s">
        <v>16</v>
      </c>
      <c r="F2940" t="s">
        <v>12</v>
      </c>
      <c r="G2940" t="s">
        <v>12</v>
      </c>
      <c r="H2940" t="s">
        <v>13</v>
      </c>
      <c r="I2940">
        <v>33</v>
      </c>
      <c r="J2940" t="str" cm="1">
        <f t="array" ref="J2940">_xlfn.IFS(ISBLANK(C2940),"FALTANTE",ABS((C2940-$W$5)/$X$5)&gt;1.96,"ATÍPICO",ABS((C2940-$W$5)/$X$5)&lt;=1.96,"NO ATÍPICO")</f>
        <v>NO ATÍPICO</v>
      </c>
      <c r="K2940" t="str" cm="1">
        <f t="array" ref="K2940">_xlfn.IFS(ISBLANK(I2940),"FALTANTE",ABS((I2940-$W$8)/$X$8)&gt;1.92,"ATÍPICO",ABS((I2940-$W$8)/$X$8)&lt;=1.92,"NO ATÍPICO")</f>
        <v>NO ATÍPICO</v>
      </c>
      <c r="L2940">
        <f t="shared" si="197"/>
        <v>295000</v>
      </c>
      <c r="M2940" t="str">
        <f t="shared" si="197"/>
        <v>ASEGURADO VOLUNTARIO</v>
      </c>
      <c r="N2940">
        <f t="shared" si="198"/>
        <v>33</v>
      </c>
      <c r="O2940" s="19" t="str">
        <f t="shared" si="199"/>
        <v>0–300k</v>
      </c>
      <c r="P2940" s="19" t="str">
        <f t="shared" si="200"/>
        <v>26-35</v>
      </c>
    </row>
    <row r="2941" spans="1:16" x14ac:dyDescent="0.25">
      <c r="A2941">
        <v>2940</v>
      </c>
      <c r="B2941" t="s">
        <v>9</v>
      </c>
      <c r="C2941">
        <v>297045</v>
      </c>
      <c r="D2941" t="s">
        <v>18</v>
      </c>
      <c r="E2941" t="s">
        <v>16</v>
      </c>
      <c r="F2941" t="s">
        <v>12</v>
      </c>
      <c r="G2941" t="s">
        <v>13</v>
      </c>
      <c r="H2941" t="s">
        <v>13</v>
      </c>
      <c r="I2941">
        <v>49</v>
      </c>
      <c r="J2941" t="str" cm="1">
        <f t="array" ref="J2941">_xlfn.IFS(ISBLANK(C2941),"FALTANTE",ABS((C2941-$W$5)/$X$5)&gt;1.96,"ATÍPICO",ABS((C2941-$W$5)/$X$5)&lt;=1.96,"NO ATÍPICO")</f>
        <v>NO ATÍPICO</v>
      </c>
      <c r="K2941" t="str" cm="1">
        <f t="array" ref="K2941">_xlfn.IFS(ISBLANK(I2941),"FALTANTE",ABS((I2941-$W$8)/$X$8)&gt;1.92,"ATÍPICO",ABS((I2941-$W$8)/$X$8)&lt;=1.92,"NO ATÍPICO")</f>
        <v>NO ATÍPICO</v>
      </c>
      <c r="L2941">
        <f t="shared" si="197"/>
        <v>297045</v>
      </c>
      <c r="M2941" t="str">
        <f t="shared" si="197"/>
        <v>TRABAJADOR INDEPENDIENTE</v>
      </c>
      <c r="N2941">
        <f t="shared" si="198"/>
        <v>49</v>
      </c>
      <c r="O2941" s="19" t="str">
        <f t="shared" si="199"/>
        <v>0–300k</v>
      </c>
      <c r="P2941" s="19" t="str">
        <f t="shared" si="200"/>
        <v>46-55</v>
      </c>
    </row>
    <row r="2942" spans="1:16" x14ac:dyDescent="0.25">
      <c r="A2942">
        <v>2941</v>
      </c>
      <c r="B2942" t="s">
        <v>9</v>
      </c>
      <c r="C2942">
        <v>1889038</v>
      </c>
      <c r="D2942" t="s">
        <v>14</v>
      </c>
      <c r="E2942" t="s">
        <v>11</v>
      </c>
      <c r="F2942" t="s">
        <v>12</v>
      </c>
      <c r="G2942" t="s">
        <v>13</v>
      </c>
      <c r="H2942" t="s">
        <v>13</v>
      </c>
      <c r="I2942">
        <v>67</v>
      </c>
      <c r="J2942" t="str" cm="1">
        <f t="array" ref="J2942">_xlfn.IFS(ISBLANK(C2942),"FALTANTE",ABS((C2942-$W$5)/$X$5)&gt;1.96,"ATÍPICO",ABS((C2942-$W$5)/$X$5)&lt;=1.96,"NO ATÍPICO")</f>
        <v>NO ATÍPICO</v>
      </c>
      <c r="K2942" t="str" cm="1">
        <f t="array" ref="K2942">_xlfn.IFS(ISBLANK(I2942),"FALTANTE",ABS((I2942-$W$8)/$X$8)&gt;1.92,"ATÍPICO",ABS((I2942-$W$8)/$X$8)&lt;=1.92,"NO ATÍPICO")</f>
        <v>NO ATÍPICO</v>
      </c>
      <c r="L2942">
        <f t="shared" si="197"/>
        <v>1889038</v>
      </c>
      <c r="M2942" t="str">
        <f t="shared" si="197"/>
        <v>PENSIONADOS EN SU PROPIO SISTEMA</v>
      </c>
      <c r="N2942">
        <f t="shared" si="198"/>
        <v>67</v>
      </c>
      <c r="O2942" s="19" t="str">
        <f t="shared" si="199"/>
        <v>1200k+</v>
      </c>
      <c r="P2942" s="19" t="str">
        <f t="shared" si="200"/>
        <v>56+</v>
      </c>
    </row>
    <row r="2943" spans="1:16" x14ac:dyDescent="0.25">
      <c r="A2943">
        <v>2942</v>
      </c>
      <c r="B2943" t="s">
        <v>15</v>
      </c>
      <c r="C2943">
        <v>1675853</v>
      </c>
      <c r="D2943" t="s">
        <v>14</v>
      </c>
      <c r="E2943" t="s">
        <v>11</v>
      </c>
      <c r="F2943" t="s">
        <v>12</v>
      </c>
      <c r="G2943" t="s">
        <v>13</v>
      </c>
      <c r="H2943" t="s">
        <v>13</v>
      </c>
      <c r="I2943">
        <v>55</v>
      </c>
      <c r="J2943" t="str" cm="1">
        <f t="array" ref="J2943">_xlfn.IFS(ISBLANK(C2943),"FALTANTE",ABS((C2943-$W$5)/$X$5)&gt;1.96,"ATÍPICO",ABS((C2943-$W$5)/$X$5)&lt;=1.96,"NO ATÍPICO")</f>
        <v>NO ATÍPICO</v>
      </c>
      <c r="K2943" t="str" cm="1">
        <f t="array" ref="K2943">_xlfn.IFS(ISBLANK(I2943),"FALTANTE",ABS((I2943-$W$8)/$X$8)&gt;1.92,"ATÍPICO",ABS((I2943-$W$8)/$X$8)&lt;=1.92,"NO ATÍPICO")</f>
        <v>NO ATÍPICO</v>
      </c>
      <c r="L2943">
        <f t="shared" si="197"/>
        <v>1675853</v>
      </c>
      <c r="M2943" t="str">
        <f t="shared" si="197"/>
        <v>PENSIONADOS EN SU PROPIO SISTEMA</v>
      </c>
      <c r="N2943">
        <f t="shared" si="198"/>
        <v>55</v>
      </c>
      <c r="O2943" s="19" t="str">
        <f t="shared" si="199"/>
        <v>1200k+</v>
      </c>
      <c r="P2943" s="19" t="str">
        <f t="shared" si="200"/>
        <v>46-55</v>
      </c>
    </row>
    <row r="2944" spans="1:16" x14ac:dyDescent="0.25">
      <c r="A2944">
        <v>2943</v>
      </c>
      <c r="B2944" t="s">
        <v>9</v>
      </c>
      <c r="C2944">
        <v>25000</v>
      </c>
      <c r="D2944" t="s">
        <v>10</v>
      </c>
      <c r="E2944" t="s">
        <v>16</v>
      </c>
      <c r="F2944" t="s">
        <v>12</v>
      </c>
      <c r="G2944" t="s">
        <v>13</v>
      </c>
      <c r="H2944" t="s">
        <v>13</v>
      </c>
      <c r="I2944">
        <v>18</v>
      </c>
      <c r="J2944" t="str" cm="1">
        <f t="array" ref="J2944">_xlfn.IFS(ISBLANK(C2944),"FALTANTE",ABS((C2944-$W$5)/$X$5)&gt;1.96,"ATÍPICO",ABS((C2944-$W$5)/$X$5)&lt;=1.96,"NO ATÍPICO")</f>
        <v>NO ATÍPICO</v>
      </c>
      <c r="K2944" t="str" cm="1">
        <f t="array" ref="K2944">_xlfn.IFS(ISBLANK(I2944),"FALTANTE",ABS((I2944-$W$8)/$X$8)&gt;1.92,"ATÍPICO",ABS((I2944-$W$8)/$X$8)&lt;=1.92,"NO ATÍPICO")</f>
        <v>NO ATÍPICO</v>
      </c>
      <c r="L2944">
        <f t="shared" si="197"/>
        <v>25000</v>
      </c>
      <c r="M2944" t="str">
        <f t="shared" si="197"/>
        <v>ASALARIADO</v>
      </c>
      <c r="N2944">
        <f t="shared" si="198"/>
        <v>18</v>
      </c>
      <c r="O2944" s="19" t="str">
        <f t="shared" si="199"/>
        <v>0–300k</v>
      </c>
      <c r="P2944" s="19" t="str">
        <f t="shared" si="200"/>
        <v>18-25</v>
      </c>
    </row>
    <row r="2945" spans="1:16" x14ac:dyDescent="0.25">
      <c r="A2945">
        <v>2944</v>
      </c>
      <c r="B2945" t="s">
        <v>9</v>
      </c>
      <c r="C2945">
        <v>377730.1</v>
      </c>
      <c r="D2945" t="s">
        <v>10</v>
      </c>
      <c r="E2945" t="s">
        <v>16</v>
      </c>
      <c r="F2945" t="s">
        <v>12</v>
      </c>
      <c r="G2945" t="s">
        <v>13</v>
      </c>
      <c r="H2945" t="s">
        <v>13</v>
      </c>
      <c r="I2945">
        <v>46</v>
      </c>
      <c r="J2945" t="str" cm="1">
        <f t="array" ref="J2945">_xlfn.IFS(ISBLANK(C2945),"FALTANTE",ABS((C2945-$W$5)/$X$5)&gt;1.96,"ATÍPICO",ABS((C2945-$W$5)/$X$5)&lt;=1.96,"NO ATÍPICO")</f>
        <v>NO ATÍPICO</v>
      </c>
      <c r="K2945" t="str" cm="1">
        <f t="array" ref="K2945">_xlfn.IFS(ISBLANK(I2945),"FALTANTE",ABS((I2945-$W$8)/$X$8)&gt;1.92,"ATÍPICO",ABS((I2945-$W$8)/$X$8)&lt;=1.92,"NO ATÍPICO")</f>
        <v>NO ATÍPICO</v>
      </c>
      <c r="L2945">
        <f t="shared" si="197"/>
        <v>377730.1</v>
      </c>
      <c r="M2945" t="str">
        <f t="shared" si="197"/>
        <v>ASALARIADO</v>
      </c>
      <c r="N2945">
        <f t="shared" si="198"/>
        <v>46</v>
      </c>
      <c r="O2945" s="19" t="str">
        <f t="shared" si="199"/>
        <v>300k–600k</v>
      </c>
      <c r="P2945" s="19" t="str">
        <f t="shared" si="200"/>
        <v>46-55</v>
      </c>
    </row>
    <row r="2946" spans="1:16" x14ac:dyDescent="0.25">
      <c r="A2946">
        <v>2945</v>
      </c>
      <c r="B2946" t="s">
        <v>9</v>
      </c>
      <c r="C2946">
        <v>385411.82</v>
      </c>
      <c r="D2946" t="s">
        <v>10</v>
      </c>
      <c r="E2946" t="s">
        <v>16</v>
      </c>
      <c r="F2946" t="s">
        <v>12</v>
      </c>
      <c r="G2946" t="s">
        <v>13</v>
      </c>
      <c r="H2946" t="s">
        <v>13</v>
      </c>
      <c r="I2946">
        <v>24</v>
      </c>
      <c r="J2946" t="str" cm="1">
        <f t="array" ref="J2946">_xlfn.IFS(ISBLANK(C2946),"FALTANTE",ABS((C2946-$W$5)/$X$5)&gt;1.96,"ATÍPICO",ABS((C2946-$W$5)/$X$5)&lt;=1.96,"NO ATÍPICO")</f>
        <v>NO ATÍPICO</v>
      </c>
      <c r="K2946" t="str" cm="1">
        <f t="array" ref="K2946">_xlfn.IFS(ISBLANK(I2946),"FALTANTE",ABS((I2946-$W$8)/$X$8)&gt;1.92,"ATÍPICO",ABS((I2946-$W$8)/$X$8)&lt;=1.92,"NO ATÍPICO")</f>
        <v>NO ATÍPICO</v>
      </c>
      <c r="L2946">
        <f t="shared" ref="L2946:M3009" si="201">C2946</f>
        <v>385411.82</v>
      </c>
      <c r="M2946" t="str">
        <f t="shared" si="201"/>
        <v>ASALARIADO</v>
      </c>
      <c r="N2946">
        <f t="shared" ref="N2946:N3009" si="202">I2946</f>
        <v>24</v>
      </c>
      <c r="O2946" s="19" t="str">
        <f t="shared" ref="O2946:O3009" si="203">IF(L2946&lt;=300000,"0–300k",IF(L2946&lt;=600000,"300k–600k",IF(L2946&lt;=900000,"600k–900k",IF(L2946&lt;=1200000,"900k–1200k","1200k+"))))</f>
        <v>300k–600k</v>
      </c>
      <c r="P2946" s="19" t="str">
        <f t="shared" ref="P2946:P3009" si="204">IF(N2946 &lt;=25,"18-25", IF(N2946&lt;=35,"26-35", IF(N2946 &lt;=45,"36-45", IF(N2946&lt;=55,"46-55","56+"))))</f>
        <v>18-25</v>
      </c>
    </row>
    <row r="2947" spans="1:16" x14ac:dyDescent="0.25">
      <c r="A2947">
        <v>2946</v>
      </c>
      <c r="B2947" t="s">
        <v>15</v>
      </c>
      <c r="C2947">
        <v>1621195</v>
      </c>
      <c r="D2947" t="s">
        <v>10</v>
      </c>
      <c r="E2947" t="s">
        <v>11</v>
      </c>
      <c r="F2947" t="s">
        <v>12</v>
      </c>
      <c r="G2947" t="s">
        <v>13</v>
      </c>
      <c r="H2947" t="s">
        <v>13</v>
      </c>
      <c r="I2947">
        <v>31</v>
      </c>
      <c r="J2947" t="str" cm="1">
        <f t="array" ref="J2947">_xlfn.IFS(ISBLANK(C2947),"FALTANTE",ABS((C2947-$W$5)/$X$5)&gt;1.96,"ATÍPICO",ABS((C2947-$W$5)/$X$5)&lt;=1.96,"NO ATÍPICO")</f>
        <v>NO ATÍPICO</v>
      </c>
      <c r="K2947" t="str" cm="1">
        <f t="array" ref="K2947">_xlfn.IFS(ISBLANK(I2947),"FALTANTE",ABS((I2947-$W$8)/$X$8)&gt;1.92,"ATÍPICO",ABS((I2947-$W$8)/$X$8)&lt;=1.92,"NO ATÍPICO")</f>
        <v>NO ATÍPICO</v>
      </c>
      <c r="L2947">
        <f t="shared" si="201"/>
        <v>1621195</v>
      </c>
      <c r="M2947" t="str">
        <f t="shared" si="201"/>
        <v>ASALARIADO</v>
      </c>
      <c r="N2947">
        <f t="shared" si="202"/>
        <v>31</v>
      </c>
      <c r="O2947" s="19" t="str">
        <f t="shared" si="203"/>
        <v>1200k+</v>
      </c>
      <c r="P2947" s="19" t="str">
        <f t="shared" si="204"/>
        <v>26-35</v>
      </c>
    </row>
    <row r="2948" spans="1:16" x14ac:dyDescent="0.25">
      <c r="A2948">
        <v>2947</v>
      </c>
      <c r="B2948" t="s">
        <v>15</v>
      </c>
      <c r="C2948">
        <v>782500</v>
      </c>
      <c r="D2948" t="s">
        <v>10</v>
      </c>
      <c r="E2948" t="s">
        <v>11</v>
      </c>
      <c r="F2948" t="s">
        <v>12</v>
      </c>
      <c r="G2948" t="s">
        <v>13</v>
      </c>
      <c r="H2948" t="s">
        <v>13</v>
      </c>
      <c r="I2948">
        <v>28</v>
      </c>
      <c r="J2948" t="str" cm="1">
        <f t="array" ref="J2948">_xlfn.IFS(ISBLANK(C2948),"FALTANTE",ABS((C2948-$W$5)/$X$5)&gt;1.96,"ATÍPICO",ABS((C2948-$W$5)/$X$5)&lt;=1.96,"NO ATÍPICO")</f>
        <v>NO ATÍPICO</v>
      </c>
      <c r="K2948" t="str" cm="1">
        <f t="array" ref="K2948">_xlfn.IFS(ISBLANK(I2948),"FALTANTE",ABS((I2948-$W$8)/$X$8)&gt;1.92,"ATÍPICO",ABS((I2948-$W$8)/$X$8)&lt;=1.92,"NO ATÍPICO")</f>
        <v>NO ATÍPICO</v>
      </c>
      <c r="L2948">
        <f t="shared" si="201"/>
        <v>782500</v>
      </c>
      <c r="M2948" t="str">
        <f t="shared" si="201"/>
        <v>ASALARIADO</v>
      </c>
      <c r="N2948">
        <f t="shared" si="202"/>
        <v>28</v>
      </c>
      <c r="O2948" s="19" t="str">
        <f t="shared" si="203"/>
        <v>600k–900k</v>
      </c>
      <c r="P2948" s="19" t="str">
        <f t="shared" si="204"/>
        <v>26-35</v>
      </c>
    </row>
    <row r="2949" spans="1:16" x14ac:dyDescent="0.25">
      <c r="A2949">
        <v>2948</v>
      </c>
      <c r="B2949" t="s">
        <v>9</v>
      </c>
      <c r="C2949">
        <v>467011</v>
      </c>
      <c r="D2949" t="s">
        <v>10</v>
      </c>
      <c r="E2949" t="s">
        <v>16</v>
      </c>
      <c r="F2949" t="s">
        <v>12</v>
      </c>
      <c r="G2949" t="s">
        <v>13</v>
      </c>
      <c r="H2949" t="s">
        <v>13</v>
      </c>
      <c r="I2949">
        <v>57</v>
      </c>
      <c r="J2949" t="str" cm="1">
        <f t="array" ref="J2949">_xlfn.IFS(ISBLANK(C2949),"FALTANTE",ABS((C2949-$W$5)/$X$5)&gt;1.96,"ATÍPICO",ABS((C2949-$W$5)/$X$5)&lt;=1.96,"NO ATÍPICO")</f>
        <v>NO ATÍPICO</v>
      </c>
      <c r="K2949" t="str" cm="1">
        <f t="array" ref="K2949">_xlfn.IFS(ISBLANK(I2949),"FALTANTE",ABS((I2949-$W$8)/$X$8)&gt;1.92,"ATÍPICO",ABS((I2949-$W$8)/$X$8)&lt;=1.92,"NO ATÍPICO")</f>
        <v>NO ATÍPICO</v>
      </c>
      <c r="L2949">
        <f t="shared" si="201"/>
        <v>467011</v>
      </c>
      <c r="M2949" t="str">
        <f t="shared" si="201"/>
        <v>ASALARIADO</v>
      </c>
      <c r="N2949">
        <f t="shared" si="202"/>
        <v>57</v>
      </c>
      <c r="O2949" s="19" t="str">
        <f t="shared" si="203"/>
        <v>300k–600k</v>
      </c>
      <c r="P2949" s="19" t="str">
        <f t="shared" si="204"/>
        <v>56+</v>
      </c>
    </row>
    <row r="2950" spans="1:16" x14ac:dyDescent="0.25">
      <c r="A2950">
        <v>2949</v>
      </c>
      <c r="B2950" t="s">
        <v>15</v>
      </c>
      <c r="C2950">
        <v>240000</v>
      </c>
      <c r="D2950" t="s">
        <v>10</v>
      </c>
      <c r="E2950" t="s">
        <v>16</v>
      </c>
      <c r="F2950" t="s">
        <v>12</v>
      </c>
      <c r="G2950" t="s">
        <v>13</v>
      </c>
      <c r="H2950" t="s">
        <v>13</v>
      </c>
      <c r="I2950">
        <v>41</v>
      </c>
      <c r="J2950" t="str" cm="1">
        <f t="array" ref="J2950">_xlfn.IFS(ISBLANK(C2950),"FALTANTE",ABS((C2950-$W$5)/$X$5)&gt;1.96,"ATÍPICO",ABS((C2950-$W$5)/$X$5)&lt;=1.96,"NO ATÍPICO")</f>
        <v>NO ATÍPICO</v>
      </c>
      <c r="K2950" t="str" cm="1">
        <f t="array" ref="K2950">_xlfn.IFS(ISBLANK(I2950),"FALTANTE",ABS((I2950-$W$8)/$X$8)&gt;1.92,"ATÍPICO",ABS((I2950-$W$8)/$X$8)&lt;=1.92,"NO ATÍPICO")</f>
        <v>NO ATÍPICO</v>
      </c>
      <c r="L2950">
        <f t="shared" si="201"/>
        <v>240000</v>
      </c>
      <c r="M2950" t="str">
        <f t="shared" si="201"/>
        <v>ASALARIADO</v>
      </c>
      <c r="N2950">
        <f t="shared" si="202"/>
        <v>41</v>
      </c>
      <c r="O2950" s="19" t="str">
        <f t="shared" si="203"/>
        <v>0–300k</v>
      </c>
      <c r="P2950" s="19" t="str">
        <f t="shared" si="204"/>
        <v>36-45</v>
      </c>
    </row>
    <row r="2951" spans="1:16" x14ac:dyDescent="0.25">
      <c r="A2951">
        <v>2950</v>
      </c>
      <c r="B2951" t="s">
        <v>15</v>
      </c>
      <c r="C2951">
        <v>806421.08</v>
      </c>
      <c r="D2951" t="s">
        <v>10</v>
      </c>
      <c r="E2951" t="s">
        <v>16</v>
      </c>
      <c r="F2951" t="s">
        <v>12</v>
      </c>
      <c r="G2951" t="s">
        <v>13</v>
      </c>
      <c r="H2951" t="s">
        <v>13</v>
      </c>
      <c r="I2951">
        <v>58</v>
      </c>
      <c r="J2951" t="str" cm="1">
        <f t="array" ref="J2951">_xlfn.IFS(ISBLANK(C2951),"FALTANTE",ABS((C2951-$W$5)/$X$5)&gt;1.96,"ATÍPICO",ABS((C2951-$W$5)/$X$5)&lt;=1.96,"NO ATÍPICO")</f>
        <v>NO ATÍPICO</v>
      </c>
      <c r="K2951" t="str" cm="1">
        <f t="array" ref="K2951">_xlfn.IFS(ISBLANK(I2951),"FALTANTE",ABS((I2951-$W$8)/$X$8)&gt;1.92,"ATÍPICO",ABS((I2951-$W$8)/$X$8)&lt;=1.92,"NO ATÍPICO")</f>
        <v>NO ATÍPICO</v>
      </c>
      <c r="L2951">
        <f t="shared" si="201"/>
        <v>806421.08</v>
      </c>
      <c r="M2951" t="str">
        <f t="shared" si="201"/>
        <v>ASALARIADO</v>
      </c>
      <c r="N2951">
        <f t="shared" si="202"/>
        <v>58</v>
      </c>
      <c r="O2951" s="19" t="str">
        <f t="shared" si="203"/>
        <v>600k–900k</v>
      </c>
      <c r="P2951" s="19" t="str">
        <f t="shared" si="204"/>
        <v>56+</v>
      </c>
    </row>
    <row r="2952" spans="1:16" x14ac:dyDescent="0.25">
      <c r="A2952">
        <v>2951</v>
      </c>
      <c r="B2952" t="s">
        <v>15</v>
      </c>
      <c r="C2952">
        <v>400000</v>
      </c>
      <c r="D2952" t="s">
        <v>10</v>
      </c>
      <c r="E2952" t="s">
        <v>16</v>
      </c>
      <c r="F2952" t="s">
        <v>12</v>
      </c>
      <c r="G2952" t="s">
        <v>13</v>
      </c>
      <c r="H2952" t="s">
        <v>13</v>
      </c>
      <c r="I2952">
        <v>25</v>
      </c>
      <c r="J2952" t="str" cm="1">
        <f t="array" ref="J2952">_xlfn.IFS(ISBLANK(C2952),"FALTANTE",ABS((C2952-$W$5)/$X$5)&gt;1.96,"ATÍPICO",ABS((C2952-$W$5)/$X$5)&lt;=1.96,"NO ATÍPICO")</f>
        <v>NO ATÍPICO</v>
      </c>
      <c r="K2952" t="str" cm="1">
        <f t="array" ref="K2952">_xlfn.IFS(ISBLANK(I2952),"FALTANTE",ABS((I2952-$W$8)/$X$8)&gt;1.92,"ATÍPICO",ABS((I2952-$W$8)/$X$8)&lt;=1.92,"NO ATÍPICO")</f>
        <v>NO ATÍPICO</v>
      </c>
      <c r="L2952">
        <f t="shared" si="201"/>
        <v>400000</v>
      </c>
      <c r="M2952" t="str">
        <f t="shared" si="201"/>
        <v>ASALARIADO</v>
      </c>
      <c r="N2952">
        <f t="shared" si="202"/>
        <v>25</v>
      </c>
      <c r="O2952" s="19" t="str">
        <f t="shared" si="203"/>
        <v>300k–600k</v>
      </c>
      <c r="P2952" s="19" t="str">
        <f t="shared" si="204"/>
        <v>18-25</v>
      </c>
    </row>
    <row r="2953" spans="1:16" x14ac:dyDescent="0.25">
      <c r="A2953">
        <v>2952</v>
      </c>
      <c r="B2953" t="s">
        <v>9</v>
      </c>
      <c r="C2953">
        <v>299441</v>
      </c>
      <c r="D2953" t="s">
        <v>18</v>
      </c>
      <c r="E2953" t="s">
        <v>16</v>
      </c>
      <c r="F2953" t="s">
        <v>12</v>
      </c>
      <c r="G2953" t="s">
        <v>12</v>
      </c>
      <c r="H2953" t="s">
        <v>12</v>
      </c>
      <c r="I2953">
        <v>53</v>
      </c>
      <c r="J2953" t="str" cm="1">
        <f t="array" ref="J2953">_xlfn.IFS(ISBLANK(C2953),"FALTANTE",ABS((C2953-$W$5)/$X$5)&gt;1.96,"ATÍPICO",ABS((C2953-$W$5)/$X$5)&lt;=1.96,"NO ATÍPICO")</f>
        <v>NO ATÍPICO</v>
      </c>
      <c r="K2953" t="str" cm="1">
        <f t="array" ref="K2953">_xlfn.IFS(ISBLANK(I2953),"FALTANTE",ABS((I2953-$W$8)/$X$8)&gt;1.92,"ATÍPICO",ABS((I2953-$W$8)/$X$8)&lt;=1.92,"NO ATÍPICO")</f>
        <v>NO ATÍPICO</v>
      </c>
      <c r="L2953">
        <f t="shared" si="201"/>
        <v>299441</v>
      </c>
      <c r="M2953" t="str">
        <f t="shared" si="201"/>
        <v>TRABAJADOR INDEPENDIENTE</v>
      </c>
      <c r="N2953">
        <f t="shared" si="202"/>
        <v>53</v>
      </c>
      <c r="O2953" s="19" t="str">
        <f t="shared" si="203"/>
        <v>0–300k</v>
      </c>
      <c r="P2953" s="19" t="str">
        <f t="shared" si="204"/>
        <v>46-55</v>
      </c>
    </row>
    <row r="2954" spans="1:16" x14ac:dyDescent="0.25">
      <c r="A2954">
        <v>2953</v>
      </c>
      <c r="B2954" t="s">
        <v>9</v>
      </c>
      <c r="C2954">
        <v>377164.37</v>
      </c>
      <c r="D2954" t="s">
        <v>10</v>
      </c>
      <c r="E2954" t="s">
        <v>16</v>
      </c>
      <c r="F2954" t="s">
        <v>12</v>
      </c>
      <c r="G2954" t="s">
        <v>13</v>
      </c>
      <c r="H2954" t="s">
        <v>13</v>
      </c>
      <c r="I2954">
        <v>39</v>
      </c>
      <c r="J2954" t="str" cm="1">
        <f t="array" ref="J2954">_xlfn.IFS(ISBLANK(C2954),"FALTANTE",ABS((C2954-$W$5)/$X$5)&gt;1.96,"ATÍPICO",ABS((C2954-$W$5)/$X$5)&lt;=1.96,"NO ATÍPICO")</f>
        <v>NO ATÍPICO</v>
      </c>
      <c r="K2954" t="str" cm="1">
        <f t="array" ref="K2954">_xlfn.IFS(ISBLANK(I2954),"FALTANTE",ABS((I2954-$W$8)/$X$8)&gt;1.92,"ATÍPICO",ABS((I2954-$W$8)/$X$8)&lt;=1.92,"NO ATÍPICO")</f>
        <v>NO ATÍPICO</v>
      </c>
      <c r="L2954">
        <f t="shared" si="201"/>
        <v>377164.37</v>
      </c>
      <c r="M2954" t="str">
        <f t="shared" si="201"/>
        <v>ASALARIADO</v>
      </c>
      <c r="N2954">
        <f t="shared" si="202"/>
        <v>39</v>
      </c>
      <c r="O2954" s="19" t="str">
        <f t="shared" si="203"/>
        <v>300k–600k</v>
      </c>
      <c r="P2954" s="19" t="str">
        <f t="shared" si="204"/>
        <v>36-45</v>
      </c>
    </row>
    <row r="2955" spans="1:16" x14ac:dyDescent="0.25">
      <c r="A2955">
        <v>2954</v>
      </c>
      <c r="B2955" t="s">
        <v>15</v>
      </c>
      <c r="C2955">
        <v>523392</v>
      </c>
      <c r="D2955" t="s">
        <v>10</v>
      </c>
      <c r="E2955" t="s">
        <v>16</v>
      </c>
      <c r="F2955" t="s">
        <v>12</v>
      </c>
      <c r="G2955" t="s">
        <v>13</v>
      </c>
      <c r="H2955" t="s">
        <v>13</v>
      </c>
      <c r="I2955">
        <v>21</v>
      </c>
      <c r="J2955" t="str" cm="1">
        <f t="array" ref="J2955">_xlfn.IFS(ISBLANK(C2955),"FALTANTE",ABS((C2955-$W$5)/$X$5)&gt;1.96,"ATÍPICO",ABS((C2955-$W$5)/$X$5)&lt;=1.96,"NO ATÍPICO")</f>
        <v>NO ATÍPICO</v>
      </c>
      <c r="K2955" t="str" cm="1">
        <f t="array" ref="K2955">_xlfn.IFS(ISBLANK(I2955),"FALTANTE",ABS((I2955-$W$8)/$X$8)&gt;1.92,"ATÍPICO",ABS((I2955-$W$8)/$X$8)&lt;=1.92,"NO ATÍPICO")</f>
        <v>NO ATÍPICO</v>
      </c>
      <c r="L2955">
        <f t="shared" si="201"/>
        <v>523392</v>
      </c>
      <c r="M2955" t="str">
        <f t="shared" si="201"/>
        <v>ASALARIADO</v>
      </c>
      <c r="N2955">
        <f t="shared" si="202"/>
        <v>21</v>
      </c>
      <c r="O2955" s="19" t="str">
        <f t="shared" si="203"/>
        <v>300k–600k</v>
      </c>
      <c r="P2955" s="19" t="str">
        <f t="shared" si="204"/>
        <v>18-25</v>
      </c>
    </row>
    <row r="2956" spans="1:16" x14ac:dyDescent="0.25">
      <c r="A2956">
        <v>2955</v>
      </c>
      <c r="B2956" t="s">
        <v>9</v>
      </c>
      <c r="C2956">
        <v>297046</v>
      </c>
      <c r="D2956" t="s">
        <v>18</v>
      </c>
      <c r="E2956" t="s">
        <v>16</v>
      </c>
      <c r="F2956" t="s">
        <v>13</v>
      </c>
      <c r="G2956" t="s">
        <v>13</v>
      </c>
      <c r="H2956" t="s">
        <v>12</v>
      </c>
      <c r="I2956">
        <v>69</v>
      </c>
      <c r="J2956" t="str" cm="1">
        <f t="array" ref="J2956">_xlfn.IFS(ISBLANK(C2956),"FALTANTE",ABS((C2956-$W$5)/$X$5)&gt;1.96,"ATÍPICO",ABS((C2956-$W$5)/$X$5)&lt;=1.96,"NO ATÍPICO")</f>
        <v>NO ATÍPICO</v>
      </c>
      <c r="K2956" t="str" cm="1">
        <f t="array" ref="K2956">_xlfn.IFS(ISBLANK(I2956),"FALTANTE",ABS((I2956-$W$8)/$X$8)&gt;1.92,"ATÍPICO",ABS((I2956-$W$8)/$X$8)&lt;=1.92,"NO ATÍPICO")</f>
        <v>NO ATÍPICO</v>
      </c>
      <c r="L2956">
        <f t="shared" si="201"/>
        <v>297046</v>
      </c>
      <c r="M2956" t="str">
        <f t="shared" si="201"/>
        <v>TRABAJADOR INDEPENDIENTE</v>
      </c>
      <c r="N2956">
        <f t="shared" si="202"/>
        <v>69</v>
      </c>
      <c r="O2956" s="19" t="str">
        <f t="shared" si="203"/>
        <v>0–300k</v>
      </c>
      <c r="P2956" s="19" t="str">
        <f t="shared" si="204"/>
        <v>56+</v>
      </c>
    </row>
    <row r="2957" spans="1:16" x14ac:dyDescent="0.25">
      <c r="A2957">
        <v>2956</v>
      </c>
      <c r="B2957" t="s">
        <v>15</v>
      </c>
      <c r="C2957">
        <v>397559.9</v>
      </c>
      <c r="D2957" t="s">
        <v>10</v>
      </c>
      <c r="E2957" t="s">
        <v>16</v>
      </c>
      <c r="F2957" t="s">
        <v>12</v>
      </c>
      <c r="G2957" t="s">
        <v>12</v>
      </c>
      <c r="H2957" t="s">
        <v>13</v>
      </c>
      <c r="I2957">
        <v>26</v>
      </c>
      <c r="J2957" t="str" cm="1">
        <f t="array" ref="J2957">_xlfn.IFS(ISBLANK(C2957),"FALTANTE",ABS((C2957-$W$5)/$X$5)&gt;1.96,"ATÍPICO",ABS((C2957-$W$5)/$X$5)&lt;=1.96,"NO ATÍPICO")</f>
        <v>NO ATÍPICO</v>
      </c>
      <c r="K2957" t="str" cm="1">
        <f t="array" ref="K2957">_xlfn.IFS(ISBLANK(I2957),"FALTANTE",ABS((I2957-$W$8)/$X$8)&gt;1.92,"ATÍPICO",ABS((I2957-$W$8)/$X$8)&lt;=1.92,"NO ATÍPICO")</f>
        <v>NO ATÍPICO</v>
      </c>
      <c r="L2957">
        <f t="shared" si="201"/>
        <v>397559.9</v>
      </c>
      <c r="M2957" t="str">
        <f t="shared" si="201"/>
        <v>ASALARIADO</v>
      </c>
      <c r="N2957">
        <f t="shared" si="202"/>
        <v>26</v>
      </c>
      <c r="O2957" s="19" t="str">
        <f t="shared" si="203"/>
        <v>300k–600k</v>
      </c>
      <c r="P2957" s="19" t="str">
        <f t="shared" si="204"/>
        <v>26-35</v>
      </c>
    </row>
    <row r="2958" spans="1:16" x14ac:dyDescent="0.25">
      <c r="A2958">
        <v>2957</v>
      </c>
      <c r="B2958" t="s">
        <v>9</v>
      </c>
      <c r="C2958">
        <v>566795.41</v>
      </c>
      <c r="D2958" t="s">
        <v>10</v>
      </c>
      <c r="E2958" t="s">
        <v>11</v>
      </c>
      <c r="F2958" t="s">
        <v>12</v>
      </c>
      <c r="G2958" t="s">
        <v>13</v>
      </c>
      <c r="H2958" t="s">
        <v>13</v>
      </c>
      <c r="I2958">
        <v>45</v>
      </c>
      <c r="J2958" t="str" cm="1">
        <f t="array" ref="J2958">_xlfn.IFS(ISBLANK(C2958),"FALTANTE",ABS((C2958-$W$5)/$X$5)&gt;1.96,"ATÍPICO",ABS((C2958-$W$5)/$X$5)&lt;=1.96,"NO ATÍPICO")</f>
        <v>NO ATÍPICO</v>
      </c>
      <c r="K2958" t="str" cm="1">
        <f t="array" ref="K2958">_xlfn.IFS(ISBLANK(I2958),"FALTANTE",ABS((I2958-$W$8)/$X$8)&gt;1.92,"ATÍPICO",ABS((I2958-$W$8)/$X$8)&lt;=1.92,"NO ATÍPICO")</f>
        <v>NO ATÍPICO</v>
      </c>
      <c r="L2958">
        <f t="shared" si="201"/>
        <v>566795.41</v>
      </c>
      <c r="M2958" t="str">
        <f t="shared" si="201"/>
        <v>ASALARIADO</v>
      </c>
      <c r="N2958">
        <f t="shared" si="202"/>
        <v>45</v>
      </c>
      <c r="O2958" s="19" t="str">
        <f t="shared" si="203"/>
        <v>300k–600k</v>
      </c>
      <c r="P2958" s="19" t="str">
        <f t="shared" si="204"/>
        <v>36-45</v>
      </c>
    </row>
    <row r="2959" spans="1:16" x14ac:dyDescent="0.25">
      <c r="A2959">
        <v>2958</v>
      </c>
      <c r="B2959" t="s">
        <v>9</v>
      </c>
      <c r="C2959">
        <v>590421.69999999995</v>
      </c>
      <c r="D2959" t="s">
        <v>10</v>
      </c>
      <c r="E2959" t="s">
        <v>11</v>
      </c>
      <c r="F2959" t="s">
        <v>12</v>
      </c>
      <c r="G2959" t="s">
        <v>13</v>
      </c>
      <c r="H2959" t="s">
        <v>13</v>
      </c>
      <c r="I2959">
        <v>34</v>
      </c>
      <c r="J2959" t="str" cm="1">
        <f t="array" ref="J2959">_xlfn.IFS(ISBLANK(C2959),"FALTANTE",ABS((C2959-$W$5)/$X$5)&gt;1.96,"ATÍPICO",ABS((C2959-$W$5)/$X$5)&lt;=1.96,"NO ATÍPICO")</f>
        <v>NO ATÍPICO</v>
      </c>
      <c r="K2959" t="str" cm="1">
        <f t="array" ref="K2959">_xlfn.IFS(ISBLANK(I2959),"FALTANTE",ABS((I2959-$W$8)/$X$8)&gt;1.92,"ATÍPICO",ABS((I2959-$W$8)/$X$8)&lt;=1.92,"NO ATÍPICO")</f>
        <v>NO ATÍPICO</v>
      </c>
      <c r="L2959">
        <f t="shared" si="201"/>
        <v>590421.69999999995</v>
      </c>
      <c r="M2959" t="str">
        <f t="shared" si="201"/>
        <v>ASALARIADO</v>
      </c>
      <c r="N2959">
        <f t="shared" si="202"/>
        <v>34</v>
      </c>
      <c r="O2959" s="19" t="str">
        <f t="shared" si="203"/>
        <v>300k–600k</v>
      </c>
      <c r="P2959" s="19" t="str">
        <f t="shared" si="204"/>
        <v>26-35</v>
      </c>
    </row>
    <row r="2960" spans="1:16" x14ac:dyDescent="0.25">
      <c r="A2960">
        <v>2959</v>
      </c>
      <c r="B2960" t="s">
        <v>9</v>
      </c>
      <c r="C2960">
        <v>363833.34</v>
      </c>
      <c r="D2960" t="s">
        <v>10</v>
      </c>
      <c r="E2960" t="s">
        <v>16</v>
      </c>
      <c r="F2960" t="s">
        <v>12</v>
      </c>
      <c r="G2960" t="s">
        <v>13</v>
      </c>
      <c r="H2960" t="s">
        <v>13</v>
      </c>
      <c r="I2960">
        <v>33</v>
      </c>
      <c r="J2960" t="str" cm="1">
        <f t="array" ref="J2960">_xlfn.IFS(ISBLANK(C2960),"FALTANTE",ABS((C2960-$W$5)/$X$5)&gt;1.96,"ATÍPICO",ABS((C2960-$W$5)/$X$5)&lt;=1.96,"NO ATÍPICO")</f>
        <v>NO ATÍPICO</v>
      </c>
      <c r="K2960" t="str" cm="1">
        <f t="array" ref="K2960">_xlfn.IFS(ISBLANK(I2960),"FALTANTE",ABS((I2960-$W$8)/$X$8)&gt;1.92,"ATÍPICO",ABS((I2960-$W$8)/$X$8)&lt;=1.92,"NO ATÍPICO")</f>
        <v>NO ATÍPICO</v>
      </c>
      <c r="L2960">
        <f t="shared" si="201"/>
        <v>363833.34</v>
      </c>
      <c r="M2960" t="str">
        <f t="shared" si="201"/>
        <v>ASALARIADO</v>
      </c>
      <c r="N2960">
        <f t="shared" si="202"/>
        <v>33</v>
      </c>
      <c r="O2960" s="19" t="str">
        <f t="shared" si="203"/>
        <v>300k–600k</v>
      </c>
      <c r="P2960" s="19" t="str">
        <f t="shared" si="204"/>
        <v>26-35</v>
      </c>
    </row>
    <row r="2961" spans="1:16" x14ac:dyDescent="0.25">
      <c r="A2961">
        <v>2960</v>
      </c>
      <c r="B2961" t="s">
        <v>9</v>
      </c>
      <c r="C2961">
        <v>297046</v>
      </c>
      <c r="D2961" t="s">
        <v>18</v>
      </c>
      <c r="E2961" t="s">
        <v>16</v>
      </c>
      <c r="F2961" t="s">
        <v>12</v>
      </c>
      <c r="G2961" t="s">
        <v>12</v>
      </c>
      <c r="H2961" t="s">
        <v>12</v>
      </c>
      <c r="I2961">
        <v>36</v>
      </c>
      <c r="J2961" t="str" cm="1">
        <f t="array" ref="J2961">_xlfn.IFS(ISBLANK(C2961),"FALTANTE",ABS((C2961-$W$5)/$X$5)&gt;1.96,"ATÍPICO",ABS((C2961-$W$5)/$X$5)&lt;=1.96,"NO ATÍPICO")</f>
        <v>NO ATÍPICO</v>
      </c>
      <c r="K2961" t="str" cm="1">
        <f t="array" ref="K2961">_xlfn.IFS(ISBLANK(I2961),"FALTANTE",ABS((I2961-$W$8)/$X$8)&gt;1.92,"ATÍPICO",ABS((I2961-$W$8)/$X$8)&lt;=1.92,"NO ATÍPICO")</f>
        <v>NO ATÍPICO</v>
      </c>
      <c r="L2961">
        <f t="shared" si="201"/>
        <v>297046</v>
      </c>
      <c r="M2961" t="str">
        <f t="shared" si="201"/>
        <v>TRABAJADOR INDEPENDIENTE</v>
      </c>
      <c r="N2961">
        <f t="shared" si="202"/>
        <v>36</v>
      </c>
      <c r="O2961" s="19" t="str">
        <f t="shared" si="203"/>
        <v>0–300k</v>
      </c>
      <c r="P2961" s="19" t="str">
        <f t="shared" si="204"/>
        <v>36-45</v>
      </c>
    </row>
    <row r="2962" spans="1:16" x14ac:dyDescent="0.25">
      <c r="A2962">
        <v>2961</v>
      </c>
      <c r="B2962" t="s">
        <v>9</v>
      </c>
      <c r="C2962">
        <v>225000</v>
      </c>
      <c r="D2962" t="s">
        <v>10</v>
      </c>
      <c r="E2962" t="s">
        <v>16</v>
      </c>
      <c r="F2962" t="s">
        <v>12</v>
      </c>
      <c r="G2962" t="s">
        <v>12</v>
      </c>
      <c r="H2962" t="s">
        <v>12</v>
      </c>
      <c r="I2962">
        <v>47</v>
      </c>
      <c r="J2962" t="str" cm="1">
        <f t="array" ref="J2962">_xlfn.IFS(ISBLANK(C2962),"FALTANTE",ABS((C2962-$W$5)/$X$5)&gt;1.96,"ATÍPICO",ABS((C2962-$W$5)/$X$5)&lt;=1.96,"NO ATÍPICO")</f>
        <v>NO ATÍPICO</v>
      </c>
      <c r="K2962" t="str" cm="1">
        <f t="array" ref="K2962">_xlfn.IFS(ISBLANK(I2962),"FALTANTE",ABS((I2962-$W$8)/$X$8)&gt;1.92,"ATÍPICO",ABS((I2962-$W$8)/$X$8)&lt;=1.92,"NO ATÍPICO")</f>
        <v>NO ATÍPICO</v>
      </c>
      <c r="L2962">
        <f t="shared" si="201"/>
        <v>225000</v>
      </c>
      <c r="M2962" t="str">
        <f t="shared" si="201"/>
        <v>ASALARIADO</v>
      </c>
      <c r="N2962">
        <f t="shared" si="202"/>
        <v>47</v>
      </c>
      <c r="O2962" s="19" t="str">
        <f t="shared" si="203"/>
        <v>0–300k</v>
      </c>
      <c r="P2962" s="19" t="str">
        <f t="shared" si="204"/>
        <v>46-55</v>
      </c>
    </row>
    <row r="2963" spans="1:16" x14ac:dyDescent="0.25">
      <c r="A2963">
        <v>2962</v>
      </c>
      <c r="B2963" t="s">
        <v>9</v>
      </c>
      <c r="C2963">
        <v>1054914.8899999999</v>
      </c>
      <c r="D2963" t="s">
        <v>10</v>
      </c>
      <c r="E2963" t="s">
        <v>11</v>
      </c>
      <c r="F2963" t="s">
        <v>12</v>
      </c>
      <c r="G2963" t="s">
        <v>13</v>
      </c>
      <c r="H2963" t="s">
        <v>13</v>
      </c>
      <c r="I2963">
        <v>50</v>
      </c>
      <c r="J2963" t="str" cm="1">
        <f t="array" ref="J2963">_xlfn.IFS(ISBLANK(C2963),"FALTANTE",ABS((C2963-$W$5)/$X$5)&gt;1.96,"ATÍPICO",ABS((C2963-$W$5)/$X$5)&lt;=1.96,"NO ATÍPICO")</f>
        <v>NO ATÍPICO</v>
      </c>
      <c r="K2963" t="str" cm="1">
        <f t="array" ref="K2963">_xlfn.IFS(ISBLANK(I2963),"FALTANTE",ABS((I2963-$W$8)/$X$8)&gt;1.92,"ATÍPICO",ABS((I2963-$W$8)/$X$8)&lt;=1.92,"NO ATÍPICO")</f>
        <v>NO ATÍPICO</v>
      </c>
      <c r="L2963">
        <f t="shared" si="201"/>
        <v>1054914.8899999999</v>
      </c>
      <c r="M2963" t="str">
        <f t="shared" si="201"/>
        <v>ASALARIADO</v>
      </c>
      <c r="N2963">
        <f t="shared" si="202"/>
        <v>50</v>
      </c>
      <c r="O2963" s="19" t="str">
        <f t="shared" si="203"/>
        <v>900k–1200k</v>
      </c>
      <c r="P2963" s="19" t="str">
        <f t="shared" si="204"/>
        <v>46-55</v>
      </c>
    </row>
    <row r="2964" spans="1:16" x14ac:dyDescent="0.25">
      <c r="A2964">
        <v>2963</v>
      </c>
      <c r="B2964" t="s">
        <v>9</v>
      </c>
      <c r="C2964">
        <v>229028</v>
      </c>
      <c r="D2964" t="s">
        <v>10</v>
      </c>
      <c r="E2964" t="s">
        <v>16</v>
      </c>
      <c r="F2964" t="s">
        <v>12</v>
      </c>
      <c r="G2964" t="s">
        <v>13</v>
      </c>
      <c r="H2964" t="s">
        <v>13</v>
      </c>
      <c r="I2964">
        <v>20</v>
      </c>
      <c r="J2964" t="str" cm="1">
        <f t="array" ref="J2964">_xlfn.IFS(ISBLANK(C2964),"FALTANTE",ABS((C2964-$W$5)/$X$5)&gt;1.96,"ATÍPICO",ABS((C2964-$W$5)/$X$5)&lt;=1.96,"NO ATÍPICO")</f>
        <v>NO ATÍPICO</v>
      </c>
      <c r="K2964" t="str" cm="1">
        <f t="array" ref="K2964">_xlfn.IFS(ISBLANK(I2964),"FALTANTE",ABS((I2964-$W$8)/$X$8)&gt;1.92,"ATÍPICO",ABS((I2964-$W$8)/$X$8)&lt;=1.92,"NO ATÍPICO")</f>
        <v>NO ATÍPICO</v>
      </c>
      <c r="L2964">
        <f t="shared" si="201"/>
        <v>229028</v>
      </c>
      <c r="M2964" t="str">
        <f t="shared" si="201"/>
        <v>ASALARIADO</v>
      </c>
      <c r="N2964">
        <f t="shared" si="202"/>
        <v>20</v>
      </c>
      <c r="O2964" s="19" t="str">
        <f t="shared" si="203"/>
        <v>0–300k</v>
      </c>
      <c r="P2964" s="19" t="str">
        <f t="shared" si="204"/>
        <v>18-25</v>
      </c>
    </row>
    <row r="2965" spans="1:16" x14ac:dyDescent="0.25">
      <c r="A2965">
        <v>2964</v>
      </c>
      <c r="B2965" t="s">
        <v>9</v>
      </c>
      <c r="C2965">
        <v>836076</v>
      </c>
      <c r="D2965" t="s">
        <v>10</v>
      </c>
      <c r="E2965" t="s">
        <v>11</v>
      </c>
      <c r="F2965" t="s">
        <v>12</v>
      </c>
      <c r="G2965" t="s">
        <v>13</v>
      </c>
      <c r="H2965" t="s">
        <v>13</v>
      </c>
      <c r="I2965">
        <v>32</v>
      </c>
      <c r="J2965" t="str" cm="1">
        <f t="array" ref="J2965">_xlfn.IFS(ISBLANK(C2965),"FALTANTE",ABS((C2965-$W$5)/$X$5)&gt;1.96,"ATÍPICO",ABS((C2965-$W$5)/$X$5)&lt;=1.96,"NO ATÍPICO")</f>
        <v>NO ATÍPICO</v>
      </c>
      <c r="K2965" t="str" cm="1">
        <f t="array" ref="K2965">_xlfn.IFS(ISBLANK(I2965),"FALTANTE",ABS((I2965-$W$8)/$X$8)&gt;1.92,"ATÍPICO",ABS((I2965-$W$8)/$X$8)&lt;=1.92,"NO ATÍPICO")</f>
        <v>NO ATÍPICO</v>
      </c>
      <c r="L2965">
        <f t="shared" si="201"/>
        <v>836076</v>
      </c>
      <c r="M2965" t="str">
        <f t="shared" si="201"/>
        <v>ASALARIADO</v>
      </c>
      <c r="N2965">
        <f t="shared" si="202"/>
        <v>32</v>
      </c>
      <c r="O2965" s="19" t="str">
        <f t="shared" si="203"/>
        <v>600k–900k</v>
      </c>
      <c r="P2965" s="19" t="str">
        <f t="shared" si="204"/>
        <v>26-35</v>
      </c>
    </row>
    <row r="2966" spans="1:16" x14ac:dyDescent="0.25">
      <c r="A2966">
        <v>2965</v>
      </c>
      <c r="B2966" t="s">
        <v>15</v>
      </c>
      <c r="C2966">
        <v>297046</v>
      </c>
      <c r="D2966" t="s">
        <v>18</v>
      </c>
      <c r="E2966" t="s">
        <v>16</v>
      </c>
      <c r="F2966" t="s">
        <v>12</v>
      </c>
      <c r="G2966" t="s">
        <v>13</v>
      </c>
      <c r="H2966" t="s">
        <v>12</v>
      </c>
      <c r="I2966">
        <v>38</v>
      </c>
      <c r="J2966" t="str" cm="1">
        <f t="array" ref="J2966">_xlfn.IFS(ISBLANK(C2966),"FALTANTE",ABS((C2966-$W$5)/$X$5)&gt;1.96,"ATÍPICO",ABS((C2966-$W$5)/$X$5)&lt;=1.96,"NO ATÍPICO")</f>
        <v>NO ATÍPICO</v>
      </c>
      <c r="K2966" t="str" cm="1">
        <f t="array" ref="K2966">_xlfn.IFS(ISBLANK(I2966),"FALTANTE",ABS((I2966-$W$8)/$X$8)&gt;1.92,"ATÍPICO",ABS((I2966-$W$8)/$X$8)&lt;=1.92,"NO ATÍPICO")</f>
        <v>NO ATÍPICO</v>
      </c>
      <c r="L2966">
        <f t="shared" si="201"/>
        <v>297046</v>
      </c>
      <c r="M2966" t="str">
        <f t="shared" si="201"/>
        <v>TRABAJADOR INDEPENDIENTE</v>
      </c>
      <c r="N2966">
        <f t="shared" si="202"/>
        <v>38</v>
      </c>
      <c r="O2966" s="19" t="str">
        <f t="shared" si="203"/>
        <v>0–300k</v>
      </c>
      <c r="P2966" s="19" t="str">
        <f t="shared" si="204"/>
        <v>36-45</v>
      </c>
    </row>
    <row r="2967" spans="1:16" x14ac:dyDescent="0.25">
      <c r="A2967">
        <v>2966</v>
      </c>
      <c r="B2967" t="s">
        <v>15</v>
      </c>
      <c r="C2967">
        <v>660259.69999999995</v>
      </c>
      <c r="D2967" t="s">
        <v>10</v>
      </c>
      <c r="E2967" t="s">
        <v>11</v>
      </c>
      <c r="F2967" t="s">
        <v>12</v>
      </c>
      <c r="G2967" t="s">
        <v>13</v>
      </c>
      <c r="H2967" t="s">
        <v>13</v>
      </c>
      <c r="I2967">
        <v>24</v>
      </c>
      <c r="J2967" t="str" cm="1">
        <f t="array" ref="J2967">_xlfn.IFS(ISBLANK(C2967),"FALTANTE",ABS((C2967-$W$5)/$X$5)&gt;1.96,"ATÍPICO",ABS((C2967-$W$5)/$X$5)&lt;=1.96,"NO ATÍPICO")</f>
        <v>NO ATÍPICO</v>
      </c>
      <c r="K2967" t="str" cm="1">
        <f t="array" ref="K2967">_xlfn.IFS(ISBLANK(I2967),"FALTANTE",ABS((I2967-$W$8)/$X$8)&gt;1.92,"ATÍPICO",ABS((I2967-$W$8)/$X$8)&lt;=1.92,"NO ATÍPICO")</f>
        <v>NO ATÍPICO</v>
      </c>
      <c r="L2967">
        <f t="shared" si="201"/>
        <v>660259.69999999995</v>
      </c>
      <c r="M2967" t="str">
        <f t="shared" si="201"/>
        <v>ASALARIADO</v>
      </c>
      <c r="N2967">
        <f t="shared" si="202"/>
        <v>24</v>
      </c>
      <c r="O2967" s="19" t="str">
        <f t="shared" si="203"/>
        <v>600k–900k</v>
      </c>
      <c r="P2967" s="19" t="str">
        <f t="shared" si="204"/>
        <v>18-25</v>
      </c>
    </row>
    <row r="2968" spans="1:16" x14ac:dyDescent="0.25">
      <c r="A2968">
        <v>2967</v>
      </c>
      <c r="B2968" t="s">
        <v>15</v>
      </c>
      <c r="C2968">
        <v>297139</v>
      </c>
      <c r="D2968" t="s">
        <v>17</v>
      </c>
      <c r="E2968" t="s">
        <v>16</v>
      </c>
      <c r="F2968" t="s">
        <v>12</v>
      </c>
      <c r="G2968" t="s">
        <v>13</v>
      </c>
      <c r="H2968" t="s">
        <v>13</v>
      </c>
      <c r="I2968">
        <v>56</v>
      </c>
      <c r="J2968" t="str" cm="1">
        <f t="array" ref="J2968">_xlfn.IFS(ISBLANK(C2968),"FALTANTE",ABS((C2968-$W$5)/$X$5)&gt;1.96,"ATÍPICO",ABS((C2968-$W$5)/$X$5)&lt;=1.96,"NO ATÍPICO")</f>
        <v>NO ATÍPICO</v>
      </c>
      <c r="K2968" t="str" cm="1">
        <f t="array" ref="K2968">_xlfn.IFS(ISBLANK(I2968),"FALTANTE",ABS((I2968-$W$8)/$X$8)&gt;1.92,"ATÍPICO",ABS((I2968-$W$8)/$X$8)&lt;=1.92,"NO ATÍPICO")</f>
        <v>NO ATÍPICO</v>
      </c>
      <c r="L2968">
        <f t="shared" si="201"/>
        <v>297139</v>
      </c>
      <c r="M2968" t="str">
        <f t="shared" si="201"/>
        <v>ASEGURADO VOLUNTARIO</v>
      </c>
      <c r="N2968">
        <f t="shared" si="202"/>
        <v>56</v>
      </c>
      <c r="O2968" s="19" t="str">
        <f t="shared" si="203"/>
        <v>0–300k</v>
      </c>
      <c r="P2968" s="19" t="str">
        <f t="shared" si="204"/>
        <v>56+</v>
      </c>
    </row>
    <row r="2969" spans="1:16" x14ac:dyDescent="0.25">
      <c r="A2969">
        <v>2968</v>
      </c>
      <c r="B2969" t="s">
        <v>15</v>
      </c>
      <c r="C2969">
        <v>1253343.1200000001</v>
      </c>
      <c r="D2969" t="s">
        <v>10</v>
      </c>
      <c r="E2969" t="s">
        <v>16</v>
      </c>
      <c r="F2969" t="s">
        <v>12</v>
      </c>
      <c r="G2969" t="s">
        <v>13</v>
      </c>
      <c r="H2969" t="s">
        <v>13</v>
      </c>
      <c r="I2969">
        <v>35</v>
      </c>
      <c r="J2969" t="str" cm="1">
        <f t="array" ref="J2969">_xlfn.IFS(ISBLANK(C2969),"FALTANTE",ABS((C2969-$W$5)/$X$5)&gt;1.96,"ATÍPICO",ABS((C2969-$W$5)/$X$5)&lt;=1.96,"NO ATÍPICO")</f>
        <v>NO ATÍPICO</v>
      </c>
      <c r="K2969" t="str" cm="1">
        <f t="array" ref="K2969">_xlfn.IFS(ISBLANK(I2969),"FALTANTE",ABS((I2969-$W$8)/$X$8)&gt;1.92,"ATÍPICO",ABS((I2969-$W$8)/$X$8)&lt;=1.92,"NO ATÍPICO")</f>
        <v>NO ATÍPICO</v>
      </c>
      <c r="L2969">
        <f t="shared" si="201"/>
        <v>1253343.1200000001</v>
      </c>
      <c r="M2969" t="str">
        <f t="shared" si="201"/>
        <v>ASALARIADO</v>
      </c>
      <c r="N2969">
        <f t="shared" si="202"/>
        <v>35</v>
      </c>
      <c r="O2969" s="19" t="str">
        <f t="shared" si="203"/>
        <v>1200k+</v>
      </c>
      <c r="P2969" s="19" t="str">
        <f t="shared" si="204"/>
        <v>26-35</v>
      </c>
    </row>
    <row r="2970" spans="1:16" x14ac:dyDescent="0.25">
      <c r="A2970">
        <v>2969</v>
      </c>
      <c r="B2970" t="s">
        <v>9</v>
      </c>
      <c r="C2970">
        <v>297046</v>
      </c>
      <c r="D2970" t="s">
        <v>18</v>
      </c>
      <c r="E2970" t="s">
        <v>16</v>
      </c>
      <c r="F2970" t="s">
        <v>12</v>
      </c>
      <c r="G2970" t="s">
        <v>13</v>
      </c>
      <c r="H2970" t="s">
        <v>13</v>
      </c>
      <c r="I2970">
        <v>59</v>
      </c>
      <c r="J2970" t="str" cm="1">
        <f t="array" ref="J2970">_xlfn.IFS(ISBLANK(C2970),"FALTANTE",ABS((C2970-$W$5)/$X$5)&gt;1.96,"ATÍPICO",ABS((C2970-$W$5)/$X$5)&lt;=1.96,"NO ATÍPICO")</f>
        <v>NO ATÍPICO</v>
      </c>
      <c r="K2970" t="str" cm="1">
        <f t="array" ref="K2970">_xlfn.IFS(ISBLANK(I2970),"FALTANTE",ABS((I2970-$W$8)/$X$8)&gt;1.92,"ATÍPICO",ABS((I2970-$W$8)/$X$8)&lt;=1.92,"NO ATÍPICO")</f>
        <v>NO ATÍPICO</v>
      </c>
      <c r="L2970">
        <f t="shared" si="201"/>
        <v>297046</v>
      </c>
      <c r="M2970" t="str">
        <f t="shared" si="201"/>
        <v>TRABAJADOR INDEPENDIENTE</v>
      </c>
      <c r="N2970">
        <f t="shared" si="202"/>
        <v>59</v>
      </c>
      <c r="O2970" s="19" t="str">
        <f t="shared" si="203"/>
        <v>0–300k</v>
      </c>
      <c r="P2970" s="19" t="str">
        <f t="shared" si="204"/>
        <v>56+</v>
      </c>
    </row>
    <row r="2971" spans="1:16" x14ac:dyDescent="0.25">
      <c r="A2971">
        <v>2970</v>
      </c>
      <c r="B2971" t="s">
        <v>9</v>
      </c>
      <c r="C2971">
        <v>392675</v>
      </c>
      <c r="D2971" t="s">
        <v>18</v>
      </c>
      <c r="E2971" t="s">
        <v>16</v>
      </c>
      <c r="F2971" t="s">
        <v>12</v>
      </c>
      <c r="G2971" t="s">
        <v>13</v>
      </c>
      <c r="H2971" t="s">
        <v>13</v>
      </c>
      <c r="I2971">
        <v>44</v>
      </c>
      <c r="J2971" t="str" cm="1">
        <f t="array" ref="J2971">_xlfn.IFS(ISBLANK(C2971),"FALTANTE",ABS((C2971-$W$5)/$X$5)&gt;1.96,"ATÍPICO",ABS((C2971-$W$5)/$X$5)&lt;=1.96,"NO ATÍPICO")</f>
        <v>NO ATÍPICO</v>
      </c>
      <c r="K2971" t="str" cm="1">
        <f t="array" ref="K2971">_xlfn.IFS(ISBLANK(I2971),"FALTANTE",ABS((I2971-$W$8)/$X$8)&gt;1.92,"ATÍPICO",ABS((I2971-$W$8)/$X$8)&lt;=1.92,"NO ATÍPICO")</f>
        <v>NO ATÍPICO</v>
      </c>
      <c r="L2971">
        <f t="shared" si="201"/>
        <v>392675</v>
      </c>
      <c r="M2971" t="str">
        <f t="shared" si="201"/>
        <v>TRABAJADOR INDEPENDIENTE</v>
      </c>
      <c r="N2971">
        <f t="shared" si="202"/>
        <v>44</v>
      </c>
      <c r="O2971" s="19" t="str">
        <f t="shared" si="203"/>
        <v>300k–600k</v>
      </c>
      <c r="P2971" s="19" t="str">
        <f t="shared" si="204"/>
        <v>36-45</v>
      </c>
    </row>
    <row r="2972" spans="1:16" x14ac:dyDescent="0.25">
      <c r="A2972">
        <v>2971</v>
      </c>
      <c r="B2972" t="s">
        <v>15</v>
      </c>
      <c r="C2972">
        <v>300018</v>
      </c>
      <c r="D2972" t="s">
        <v>17</v>
      </c>
      <c r="E2972" t="s">
        <v>16</v>
      </c>
      <c r="F2972" t="s">
        <v>12</v>
      </c>
      <c r="G2972" t="s">
        <v>13</v>
      </c>
      <c r="H2972" t="s">
        <v>13</v>
      </c>
      <c r="I2972">
        <v>58</v>
      </c>
      <c r="J2972" t="str" cm="1">
        <f t="array" ref="J2972">_xlfn.IFS(ISBLANK(C2972),"FALTANTE",ABS((C2972-$W$5)/$X$5)&gt;1.96,"ATÍPICO",ABS((C2972-$W$5)/$X$5)&lt;=1.96,"NO ATÍPICO")</f>
        <v>NO ATÍPICO</v>
      </c>
      <c r="K2972" t="str" cm="1">
        <f t="array" ref="K2972">_xlfn.IFS(ISBLANK(I2972),"FALTANTE",ABS((I2972-$W$8)/$X$8)&gt;1.92,"ATÍPICO",ABS((I2972-$W$8)/$X$8)&lt;=1.92,"NO ATÍPICO")</f>
        <v>NO ATÍPICO</v>
      </c>
      <c r="L2972">
        <f t="shared" si="201"/>
        <v>300018</v>
      </c>
      <c r="M2972" t="str">
        <f t="shared" si="201"/>
        <v>ASEGURADO VOLUNTARIO</v>
      </c>
      <c r="N2972">
        <f t="shared" si="202"/>
        <v>58</v>
      </c>
      <c r="O2972" s="19" t="str">
        <f t="shared" si="203"/>
        <v>300k–600k</v>
      </c>
      <c r="P2972" s="19" t="str">
        <f t="shared" si="204"/>
        <v>56+</v>
      </c>
    </row>
    <row r="2973" spans="1:16" x14ac:dyDescent="0.25">
      <c r="A2973">
        <v>2972</v>
      </c>
      <c r="B2973" t="s">
        <v>15</v>
      </c>
      <c r="C2973">
        <v>127500</v>
      </c>
      <c r="D2973" t="s">
        <v>10</v>
      </c>
      <c r="E2973" t="s">
        <v>16</v>
      </c>
      <c r="F2973" t="s">
        <v>12</v>
      </c>
      <c r="G2973" t="s">
        <v>13</v>
      </c>
      <c r="H2973" t="s">
        <v>12</v>
      </c>
      <c r="I2973">
        <v>52</v>
      </c>
      <c r="J2973" t="str" cm="1">
        <f t="array" ref="J2973">_xlfn.IFS(ISBLANK(C2973),"FALTANTE",ABS((C2973-$W$5)/$X$5)&gt;1.96,"ATÍPICO",ABS((C2973-$W$5)/$X$5)&lt;=1.96,"NO ATÍPICO")</f>
        <v>NO ATÍPICO</v>
      </c>
      <c r="K2973" t="str" cm="1">
        <f t="array" ref="K2973">_xlfn.IFS(ISBLANK(I2973),"FALTANTE",ABS((I2973-$W$8)/$X$8)&gt;1.92,"ATÍPICO",ABS((I2973-$W$8)/$X$8)&lt;=1.92,"NO ATÍPICO")</f>
        <v>NO ATÍPICO</v>
      </c>
      <c r="L2973">
        <f t="shared" si="201"/>
        <v>127500</v>
      </c>
      <c r="M2973" t="str">
        <f t="shared" si="201"/>
        <v>ASALARIADO</v>
      </c>
      <c r="N2973">
        <f t="shared" si="202"/>
        <v>52</v>
      </c>
      <c r="O2973" s="19" t="str">
        <f t="shared" si="203"/>
        <v>0–300k</v>
      </c>
      <c r="P2973" s="19" t="str">
        <f t="shared" si="204"/>
        <v>46-55</v>
      </c>
    </row>
    <row r="2974" spans="1:16" x14ac:dyDescent="0.25">
      <c r="A2974">
        <v>2973</v>
      </c>
      <c r="B2974" t="s">
        <v>15</v>
      </c>
      <c r="C2974">
        <v>296000</v>
      </c>
      <c r="D2974" t="s">
        <v>10</v>
      </c>
      <c r="E2974" t="s">
        <v>16</v>
      </c>
      <c r="F2974" t="s">
        <v>12</v>
      </c>
      <c r="G2974" t="s">
        <v>13</v>
      </c>
      <c r="H2974" t="s">
        <v>13</v>
      </c>
      <c r="I2974">
        <v>57</v>
      </c>
      <c r="J2974" t="str" cm="1">
        <f t="array" ref="J2974">_xlfn.IFS(ISBLANK(C2974),"FALTANTE",ABS((C2974-$W$5)/$X$5)&gt;1.96,"ATÍPICO",ABS((C2974-$W$5)/$X$5)&lt;=1.96,"NO ATÍPICO")</f>
        <v>NO ATÍPICO</v>
      </c>
      <c r="K2974" t="str" cm="1">
        <f t="array" ref="K2974">_xlfn.IFS(ISBLANK(I2974),"FALTANTE",ABS((I2974-$W$8)/$X$8)&gt;1.92,"ATÍPICO",ABS((I2974-$W$8)/$X$8)&lt;=1.92,"NO ATÍPICO")</f>
        <v>NO ATÍPICO</v>
      </c>
      <c r="L2974">
        <f t="shared" si="201"/>
        <v>296000</v>
      </c>
      <c r="M2974" t="str">
        <f t="shared" si="201"/>
        <v>ASALARIADO</v>
      </c>
      <c r="N2974">
        <f t="shared" si="202"/>
        <v>57</v>
      </c>
      <c r="O2974" s="19" t="str">
        <f t="shared" si="203"/>
        <v>0–300k</v>
      </c>
      <c r="P2974" s="19" t="str">
        <f t="shared" si="204"/>
        <v>56+</v>
      </c>
    </row>
    <row r="2975" spans="1:16" x14ac:dyDescent="0.25">
      <c r="A2975">
        <v>2974</v>
      </c>
      <c r="B2975" t="s">
        <v>15</v>
      </c>
      <c r="C2975">
        <v>64851.19</v>
      </c>
      <c r="D2975" t="s">
        <v>10</v>
      </c>
      <c r="E2975" t="s">
        <v>16</v>
      </c>
      <c r="F2975" t="s">
        <v>12</v>
      </c>
      <c r="G2975" t="s">
        <v>13</v>
      </c>
      <c r="H2975" t="s">
        <v>13</v>
      </c>
      <c r="I2975">
        <v>25</v>
      </c>
      <c r="J2975" t="str" cm="1">
        <f t="array" ref="J2975">_xlfn.IFS(ISBLANK(C2975),"FALTANTE",ABS((C2975-$W$5)/$X$5)&gt;1.96,"ATÍPICO",ABS((C2975-$W$5)/$X$5)&lt;=1.96,"NO ATÍPICO")</f>
        <v>NO ATÍPICO</v>
      </c>
      <c r="K2975" t="str" cm="1">
        <f t="array" ref="K2975">_xlfn.IFS(ISBLANK(I2975),"FALTANTE",ABS((I2975-$W$8)/$X$8)&gt;1.92,"ATÍPICO",ABS((I2975-$W$8)/$X$8)&lt;=1.92,"NO ATÍPICO")</f>
        <v>NO ATÍPICO</v>
      </c>
      <c r="L2975">
        <f t="shared" si="201"/>
        <v>64851.19</v>
      </c>
      <c r="M2975" t="str">
        <f t="shared" si="201"/>
        <v>ASALARIADO</v>
      </c>
      <c r="N2975">
        <f t="shared" si="202"/>
        <v>25</v>
      </c>
      <c r="O2975" s="19" t="str">
        <f t="shared" si="203"/>
        <v>0–300k</v>
      </c>
      <c r="P2975" s="19" t="str">
        <f t="shared" si="204"/>
        <v>18-25</v>
      </c>
    </row>
    <row r="2976" spans="1:16" x14ac:dyDescent="0.25">
      <c r="A2976">
        <v>2975</v>
      </c>
      <c r="B2976" t="s">
        <v>15</v>
      </c>
      <c r="C2976">
        <v>10</v>
      </c>
      <c r="D2976" t="s">
        <v>10</v>
      </c>
      <c r="E2976" t="s">
        <v>11</v>
      </c>
      <c r="F2976" t="s">
        <v>12</v>
      </c>
      <c r="G2976" t="s">
        <v>13</v>
      </c>
      <c r="H2976" t="s">
        <v>13</v>
      </c>
      <c r="I2976">
        <v>51</v>
      </c>
      <c r="J2976" t="str" cm="1">
        <f t="array" ref="J2976">_xlfn.IFS(ISBLANK(C2976),"FALTANTE",ABS((C2976-$W$5)/$X$5)&gt;1.96,"ATÍPICO",ABS((C2976-$W$5)/$X$5)&lt;=1.96,"NO ATÍPICO")</f>
        <v>NO ATÍPICO</v>
      </c>
      <c r="K2976" t="str" cm="1">
        <f t="array" ref="K2976">_xlfn.IFS(ISBLANK(I2976),"FALTANTE",ABS((I2976-$W$8)/$X$8)&gt;1.92,"ATÍPICO",ABS((I2976-$W$8)/$X$8)&lt;=1.92,"NO ATÍPICO")</f>
        <v>NO ATÍPICO</v>
      </c>
      <c r="L2976">
        <f t="shared" si="201"/>
        <v>10</v>
      </c>
      <c r="M2976" t="str">
        <f t="shared" si="201"/>
        <v>ASALARIADO</v>
      </c>
      <c r="N2976">
        <f t="shared" si="202"/>
        <v>51</v>
      </c>
      <c r="O2976" s="19" t="str">
        <f t="shared" si="203"/>
        <v>0–300k</v>
      </c>
      <c r="P2976" s="19" t="str">
        <f t="shared" si="204"/>
        <v>46-55</v>
      </c>
    </row>
    <row r="2977" spans="1:16" x14ac:dyDescent="0.25">
      <c r="A2977">
        <v>2976</v>
      </c>
      <c r="B2977" t="s">
        <v>15</v>
      </c>
      <c r="C2977">
        <v>976868.32</v>
      </c>
      <c r="D2977" t="s">
        <v>10</v>
      </c>
      <c r="E2977" t="s">
        <v>16</v>
      </c>
      <c r="F2977" t="s">
        <v>12</v>
      </c>
      <c r="G2977" t="s">
        <v>13</v>
      </c>
      <c r="H2977" t="s">
        <v>13</v>
      </c>
      <c r="I2977">
        <v>37</v>
      </c>
      <c r="J2977" t="str" cm="1">
        <f t="array" ref="J2977">_xlfn.IFS(ISBLANK(C2977),"FALTANTE",ABS((C2977-$W$5)/$X$5)&gt;1.96,"ATÍPICO",ABS((C2977-$W$5)/$X$5)&lt;=1.96,"NO ATÍPICO")</f>
        <v>NO ATÍPICO</v>
      </c>
      <c r="K2977" t="str" cm="1">
        <f t="array" ref="K2977">_xlfn.IFS(ISBLANK(I2977),"FALTANTE",ABS((I2977-$W$8)/$X$8)&gt;1.92,"ATÍPICO",ABS((I2977-$W$8)/$X$8)&lt;=1.92,"NO ATÍPICO")</f>
        <v>NO ATÍPICO</v>
      </c>
      <c r="L2977">
        <f t="shared" si="201"/>
        <v>976868.32</v>
      </c>
      <c r="M2977" t="str">
        <f t="shared" si="201"/>
        <v>ASALARIADO</v>
      </c>
      <c r="N2977">
        <f t="shared" si="202"/>
        <v>37</v>
      </c>
      <c r="O2977" s="19" t="str">
        <f t="shared" si="203"/>
        <v>900k–1200k</v>
      </c>
      <c r="P2977" s="19" t="str">
        <f t="shared" si="204"/>
        <v>36-45</v>
      </c>
    </row>
    <row r="2978" spans="1:16" x14ac:dyDescent="0.25">
      <c r="A2978">
        <v>2977</v>
      </c>
      <c r="B2978" t="s">
        <v>9</v>
      </c>
      <c r="C2978">
        <v>301783</v>
      </c>
      <c r="D2978" t="s">
        <v>10</v>
      </c>
      <c r="E2978" t="s">
        <v>16</v>
      </c>
      <c r="F2978" t="s">
        <v>12</v>
      </c>
      <c r="G2978" t="s">
        <v>13</v>
      </c>
      <c r="H2978" t="s">
        <v>12</v>
      </c>
      <c r="I2978">
        <v>36</v>
      </c>
      <c r="J2978" t="str" cm="1">
        <f t="array" ref="J2978">_xlfn.IFS(ISBLANK(C2978),"FALTANTE",ABS((C2978-$W$5)/$X$5)&gt;1.96,"ATÍPICO",ABS((C2978-$W$5)/$X$5)&lt;=1.96,"NO ATÍPICO")</f>
        <v>NO ATÍPICO</v>
      </c>
      <c r="K2978" t="str" cm="1">
        <f t="array" ref="K2978">_xlfn.IFS(ISBLANK(I2978),"FALTANTE",ABS((I2978-$W$8)/$X$8)&gt;1.92,"ATÍPICO",ABS((I2978-$W$8)/$X$8)&lt;=1.92,"NO ATÍPICO")</f>
        <v>NO ATÍPICO</v>
      </c>
      <c r="L2978">
        <f t="shared" si="201"/>
        <v>301783</v>
      </c>
      <c r="M2978" t="str">
        <f t="shared" si="201"/>
        <v>ASALARIADO</v>
      </c>
      <c r="N2978">
        <f t="shared" si="202"/>
        <v>36</v>
      </c>
      <c r="O2978" s="19" t="str">
        <f t="shared" si="203"/>
        <v>300k–600k</v>
      </c>
      <c r="P2978" s="19" t="str">
        <f t="shared" si="204"/>
        <v>36-45</v>
      </c>
    </row>
    <row r="2979" spans="1:16" x14ac:dyDescent="0.25">
      <c r="A2979">
        <v>2978</v>
      </c>
      <c r="B2979" t="s">
        <v>9</v>
      </c>
      <c r="C2979">
        <v>299647</v>
      </c>
      <c r="D2979" t="s">
        <v>17</v>
      </c>
      <c r="E2979" t="s">
        <v>16</v>
      </c>
      <c r="F2979" t="s">
        <v>12</v>
      </c>
      <c r="G2979" t="s">
        <v>13</v>
      </c>
      <c r="H2979" t="s">
        <v>13</v>
      </c>
      <c r="I2979">
        <v>62</v>
      </c>
      <c r="J2979" t="str" cm="1">
        <f t="array" ref="J2979">_xlfn.IFS(ISBLANK(C2979),"FALTANTE",ABS((C2979-$W$5)/$X$5)&gt;1.96,"ATÍPICO",ABS((C2979-$W$5)/$X$5)&lt;=1.96,"NO ATÍPICO")</f>
        <v>NO ATÍPICO</v>
      </c>
      <c r="K2979" t="str" cm="1">
        <f t="array" ref="K2979">_xlfn.IFS(ISBLANK(I2979),"FALTANTE",ABS((I2979-$W$8)/$X$8)&gt;1.92,"ATÍPICO",ABS((I2979-$W$8)/$X$8)&lt;=1.92,"NO ATÍPICO")</f>
        <v>NO ATÍPICO</v>
      </c>
      <c r="L2979">
        <f t="shared" si="201"/>
        <v>299647</v>
      </c>
      <c r="M2979" t="str">
        <f t="shared" si="201"/>
        <v>ASEGURADO VOLUNTARIO</v>
      </c>
      <c r="N2979">
        <f t="shared" si="202"/>
        <v>62</v>
      </c>
      <c r="O2979" s="19" t="str">
        <f t="shared" si="203"/>
        <v>0–300k</v>
      </c>
      <c r="P2979" s="19" t="str">
        <f t="shared" si="204"/>
        <v>56+</v>
      </c>
    </row>
    <row r="2980" spans="1:16" x14ac:dyDescent="0.25">
      <c r="A2980">
        <v>2979</v>
      </c>
      <c r="B2980" t="s">
        <v>15</v>
      </c>
      <c r="C2980">
        <v>1893569.1</v>
      </c>
      <c r="D2980" t="s">
        <v>10</v>
      </c>
      <c r="E2980" t="s">
        <v>11</v>
      </c>
      <c r="F2980" t="s">
        <v>12</v>
      </c>
      <c r="G2980" t="s">
        <v>13</v>
      </c>
      <c r="H2980" t="s">
        <v>13</v>
      </c>
      <c r="I2980">
        <v>54</v>
      </c>
      <c r="J2980" t="str" cm="1">
        <f t="array" ref="J2980">_xlfn.IFS(ISBLANK(C2980),"FALTANTE",ABS((C2980-$W$5)/$X$5)&gt;1.96,"ATÍPICO",ABS((C2980-$W$5)/$X$5)&lt;=1.96,"NO ATÍPICO")</f>
        <v>NO ATÍPICO</v>
      </c>
      <c r="K2980" t="str" cm="1">
        <f t="array" ref="K2980">_xlfn.IFS(ISBLANK(I2980),"FALTANTE",ABS((I2980-$W$8)/$X$8)&gt;1.92,"ATÍPICO",ABS((I2980-$W$8)/$X$8)&lt;=1.92,"NO ATÍPICO")</f>
        <v>NO ATÍPICO</v>
      </c>
      <c r="L2980">
        <f t="shared" si="201"/>
        <v>1893569.1</v>
      </c>
      <c r="M2980" t="str">
        <f t="shared" si="201"/>
        <v>ASALARIADO</v>
      </c>
      <c r="N2980">
        <f t="shared" si="202"/>
        <v>54</v>
      </c>
      <c r="O2980" s="19" t="str">
        <f t="shared" si="203"/>
        <v>1200k+</v>
      </c>
      <c r="P2980" s="19" t="str">
        <f t="shared" si="204"/>
        <v>46-55</v>
      </c>
    </row>
    <row r="2981" spans="1:16" x14ac:dyDescent="0.25">
      <c r="A2981">
        <v>2980</v>
      </c>
      <c r="B2981" t="s">
        <v>9</v>
      </c>
      <c r="C2981">
        <v>173700</v>
      </c>
      <c r="D2981" t="s">
        <v>10</v>
      </c>
      <c r="E2981" t="s">
        <v>16</v>
      </c>
      <c r="F2981" t="s">
        <v>12</v>
      </c>
      <c r="G2981" t="s">
        <v>13</v>
      </c>
      <c r="H2981" t="s">
        <v>13</v>
      </c>
      <c r="I2981">
        <v>51</v>
      </c>
      <c r="J2981" t="str" cm="1">
        <f t="array" ref="J2981">_xlfn.IFS(ISBLANK(C2981),"FALTANTE",ABS((C2981-$W$5)/$X$5)&gt;1.96,"ATÍPICO",ABS((C2981-$W$5)/$X$5)&lt;=1.96,"NO ATÍPICO")</f>
        <v>NO ATÍPICO</v>
      </c>
      <c r="K2981" t="str" cm="1">
        <f t="array" ref="K2981">_xlfn.IFS(ISBLANK(I2981),"FALTANTE",ABS((I2981-$W$8)/$X$8)&gt;1.92,"ATÍPICO",ABS((I2981-$W$8)/$X$8)&lt;=1.92,"NO ATÍPICO")</f>
        <v>NO ATÍPICO</v>
      </c>
      <c r="L2981">
        <f t="shared" si="201"/>
        <v>173700</v>
      </c>
      <c r="M2981" t="str">
        <f t="shared" si="201"/>
        <v>ASALARIADO</v>
      </c>
      <c r="N2981">
        <f t="shared" si="202"/>
        <v>51</v>
      </c>
      <c r="O2981" s="19" t="str">
        <f t="shared" si="203"/>
        <v>0–300k</v>
      </c>
      <c r="P2981" s="19" t="str">
        <f t="shared" si="204"/>
        <v>46-55</v>
      </c>
    </row>
    <row r="2982" spans="1:16" x14ac:dyDescent="0.25">
      <c r="A2982">
        <v>2981</v>
      </c>
      <c r="B2982" t="s">
        <v>15</v>
      </c>
      <c r="C2982">
        <v>766774</v>
      </c>
      <c r="D2982" t="s">
        <v>10</v>
      </c>
      <c r="E2982" t="s">
        <v>16</v>
      </c>
      <c r="F2982" t="s">
        <v>12</v>
      </c>
      <c r="G2982" t="s">
        <v>12</v>
      </c>
      <c r="H2982" t="s">
        <v>13</v>
      </c>
      <c r="I2982">
        <v>52</v>
      </c>
      <c r="J2982" t="str" cm="1">
        <f t="array" ref="J2982">_xlfn.IFS(ISBLANK(C2982),"FALTANTE",ABS((C2982-$W$5)/$X$5)&gt;1.96,"ATÍPICO",ABS((C2982-$W$5)/$X$5)&lt;=1.96,"NO ATÍPICO")</f>
        <v>NO ATÍPICO</v>
      </c>
      <c r="K2982" t="str" cm="1">
        <f t="array" ref="K2982">_xlfn.IFS(ISBLANK(I2982),"FALTANTE",ABS((I2982-$W$8)/$X$8)&gt;1.92,"ATÍPICO",ABS((I2982-$W$8)/$X$8)&lt;=1.92,"NO ATÍPICO")</f>
        <v>NO ATÍPICO</v>
      </c>
      <c r="L2982">
        <f t="shared" si="201"/>
        <v>766774</v>
      </c>
      <c r="M2982" t="str">
        <f t="shared" si="201"/>
        <v>ASALARIADO</v>
      </c>
      <c r="N2982">
        <f t="shared" si="202"/>
        <v>52</v>
      </c>
      <c r="O2982" s="19" t="str">
        <f t="shared" si="203"/>
        <v>600k–900k</v>
      </c>
      <c r="P2982" s="19" t="str">
        <f t="shared" si="204"/>
        <v>46-55</v>
      </c>
    </row>
    <row r="2983" spans="1:16" x14ac:dyDescent="0.25">
      <c r="A2983">
        <v>2982</v>
      </c>
      <c r="B2983" t="s">
        <v>9</v>
      </c>
      <c r="C2983">
        <v>291514</v>
      </c>
      <c r="D2983" t="s">
        <v>17</v>
      </c>
      <c r="E2983" t="s">
        <v>16</v>
      </c>
      <c r="F2983" t="s">
        <v>12</v>
      </c>
      <c r="G2983" t="s">
        <v>13</v>
      </c>
      <c r="H2983" t="s">
        <v>13</v>
      </c>
      <c r="I2983">
        <v>51</v>
      </c>
      <c r="J2983" t="str" cm="1">
        <f t="array" ref="J2983">_xlfn.IFS(ISBLANK(C2983),"FALTANTE",ABS((C2983-$W$5)/$X$5)&gt;1.96,"ATÍPICO",ABS((C2983-$W$5)/$X$5)&lt;=1.96,"NO ATÍPICO")</f>
        <v>NO ATÍPICO</v>
      </c>
      <c r="K2983" t="str" cm="1">
        <f t="array" ref="K2983">_xlfn.IFS(ISBLANK(I2983),"FALTANTE",ABS((I2983-$W$8)/$X$8)&gt;1.92,"ATÍPICO",ABS((I2983-$W$8)/$X$8)&lt;=1.92,"NO ATÍPICO")</f>
        <v>NO ATÍPICO</v>
      </c>
      <c r="L2983">
        <f t="shared" si="201"/>
        <v>291514</v>
      </c>
      <c r="M2983" t="str">
        <f t="shared" si="201"/>
        <v>ASEGURADO VOLUNTARIO</v>
      </c>
      <c r="N2983">
        <f t="shared" si="202"/>
        <v>51</v>
      </c>
      <c r="O2983" s="19" t="str">
        <f t="shared" si="203"/>
        <v>0–300k</v>
      </c>
      <c r="P2983" s="19" t="str">
        <f t="shared" si="204"/>
        <v>46-55</v>
      </c>
    </row>
    <row r="2984" spans="1:16" x14ac:dyDescent="0.25">
      <c r="A2984">
        <v>2983</v>
      </c>
      <c r="B2984" t="s">
        <v>9</v>
      </c>
      <c r="C2984">
        <v>490122</v>
      </c>
      <c r="D2984" t="s">
        <v>18</v>
      </c>
      <c r="E2984" t="s">
        <v>16</v>
      </c>
      <c r="F2984" t="s">
        <v>12</v>
      </c>
      <c r="G2984" t="s">
        <v>13</v>
      </c>
      <c r="H2984" t="s">
        <v>13</v>
      </c>
      <c r="I2984">
        <v>63</v>
      </c>
      <c r="J2984" t="str" cm="1">
        <f t="array" ref="J2984">_xlfn.IFS(ISBLANK(C2984),"FALTANTE",ABS((C2984-$W$5)/$X$5)&gt;1.96,"ATÍPICO",ABS((C2984-$W$5)/$X$5)&lt;=1.96,"NO ATÍPICO")</f>
        <v>NO ATÍPICO</v>
      </c>
      <c r="K2984" t="str" cm="1">
        <f t="array" ref="K2984">_xlfn.IFS(ISBLANK(I2984),"FALTANTE",ABS((I2984-$W$8)/$X$8)&gt;1.92,"ATÍPICO",ABS((I2984-$W$8)/$X$8)&lt;=1.92,"NO ATÍPICO")</f>
        <v>NO ATÍPICO</v>
      </c>
      <c r="L2984">
        <f t="shared" si="201"/>
        <v>490122</v>
      </c>
      <c r="M2984" t="str">
        <f t="shared" si="201"/>
        <v>TRABAJADOR INDEPENDIENTE</v>
      </c>
      <c r="N2984">
        <f t="shared" si="202"/>
        <v>63</v>
      </c>
      <c r="O2984" s="19" t="str">
        <f t="shared" si="203"/>
        <v>300k–600k</v>
      </c>
      <c r="P2984" s="19" t="str">
        <f t="shared" si="204"/>
        <v>56+</v>
      </c>
    </row>
    <row r="2985" spans="1:16" x14ac:dyDescent="0.25">
      <c r="A2985">
        <v>2984</v>
      </c>
      <c r="B2985" t="s">
        <v>15</v>
      </c>
      <c r="C2985">
        <v>299647</v>
      </c>
      <c r="D2985" t="s">
        <v>17</v>
      </c>
      <c r="E2985" t="s">
        <v>16</v>
      </c>
      <c r="F2985" t="s">
        <v>12</v>
      </c>
      <c r="G2985" t="s">
        <v>12</v>
      </c>
      <c r="H2985" t="s">
        <v>13</v>
      </c>
      <c r="I2985">
        <v>69</v>
      </c>
      <c r="J2985" t="str" cm="1">
        <f t="array" ref="J2985">_xlfn.IFS(ISBLANK(C2985),"FALTANTE",ABS((C2985-$W$5)/$X$5)&gt;1.96,"ATÍPICO",ABS((C2985-$W$5)/$X$5)&lt;=1.96,"NO ATÍPICO")</f>
        <v>NO ATÍPICO</v>
      </c>
      <c r="K2985" t="str" cm="1">
        <f t="array" ref="K2985">_xlfn.IFS(ISBLANK(I2985),"FALTANTE",ABS((I2985-$W$8)/$X$8)&gt;1.92,"ATÍPICO",ABS((I2985-$W$8)/$X$8)&lt;=1.92,"NO ATÍPICO")</f>
        <v>NO ATÍPICO</v>
      </c>
      <c r="L2985">
        <f t="shared" si="201"/>
        <v>299647</v>
      </c>
      <c r="M2985" t="str">
        <f t="shared" si="201"/>
        <v>ASEGURADO VOLUNTARIO</v>
      </c>
      <c r="N2985">
        <f t="shared" si="202"/>
        <v>69</v>
      </c>
      <c r="O2985" s="19" t="str">
        <f t="shared" si="203"/>
        <v>0–300k</v>
      </c>
      <c r="P2985" s="19" t="str">
        <f t="shared" si="204"/>
        <v>56+</v>
      </c>
    </row>
    <row r="2986" spans="1:16" x14ac:dyDescent="0.25">
      <c r="A2986">
        <v>2985</v>
      </c>
      <c r="B2986" t="s">
        <v>9</v>
      </c>
      <c r="C2986">
        <v>297046</v>
      </c>
      <c r="D2986" t="s">
        <v>18</v>
      </c>
      <c r="E2986" t="s">
        <v>16</v>
      </c>
      <c r="F2986" t="s">
        <v>13</v>
      </c>
      <c r="G2986" t="s">
        <v>13</v>
      </c>
      <c r="H2986" t="s">
        <v>12</v>
      </c>
      <c r="I2986">
        <v>55</v>
      </c>
      <c r="J2986" t="str" cm="1">
        <f t="array" ref="J2986">_xlfn.IFS(ISBLANK(C2986),"FALTANTE",ABS((C2986-$W$5)/$X$5)&gt;1.96,"ATÍPICO",ABS((C2986-$W$5)/$X$5)&lt;=1.96,"NO ATÍPICO")</f>
        <v>NO ATÍPICO</v>
      </c>
      <c r="K2986" t="str" cm="1">
        <f t="array" ref="K2986">_xlfn.IFS(ISBLANK(I2986),"FALTANTE",ABS((I2986-$W$8)/$X$8)&gt;1.92,"ATÍPICO",ABS((I2986-$W$8)/$X$8)&lt;=1.92,"NO ATÍPICO")</f>
        <v>NO ATÍPICO</v>
      </c>
      <c r="L2986">
        <f t="shared" si="201"/>
        <v>297046</v>
      </c>
      <c r="M2986" t="str">
        <f t="shared" si="201"/>
        <v>TRABAJADOR INDEPENDIENTE</v>
      </c>
      <c r="N2986">
        <f t="shared" si="202"/>
        <v>55</v>
      </c>
      <c r="O2986" s="19" t="str">
        <f t="shared" si="203"/>
        <v>0–300k</v>
      </c>
      <c r="P2986" s="19" t="str">
        <f t="shared" si="204"/>
        <v>46-55</v>
      </c>
    </row>
    <row r="2987" spans="1:16" x14ac:dyDescent="0.25">
      <c r="A2987">
        <v>2986</v>
      </c>
      <c r="B2987" t="s">
        <v>15</v>
      </c>
      <c r="C2987">
        <v>300018</v>
      </c>
      <c r="D2987" t="s">
        <v>17</v>
      </c>
      <c r="E2987" t="s">
        <v>16</v>
      </c>
      <c r="F2987" t="s">
        <v>12</v>
      </c>
      <c r="G2987" t="s">
        <v>13</v>
      </c>
      <c r="H2987" t="s">
        <v>13</v>
      </c>
      <c r="I2987">
        <v>53</v>
      </c>
      <c r="J2987" t="str" cm="1">
        <f t="array" ref="J2987">_xlfn.IFS(ISBLANK(C2987),"FALTANTE",ABS((C2987-$W$5)/$X$5)&gt;1.96,"ATÍPICO",ABS((C2987-$W$5)/$X$5)&lt;=1.96,"NO ATÍPICO")</f>
        <v>NO ATÍPICO</v>
      </c>
      <c r="K2987" t="str" cm="1">
        <f t="array" ref="K2987">_xlfn.IFS(ISBLANK(I2987),"FALTANTE",ABS((I2987-$W$8)/$X$8)&gt;1.92,"ATÍPICO",ABS((I2987-$W$8)/$X$8)&lt;=1.92,"NO ATÍPICO")</f>
        <v>NO ATÍPICO</v>
      </c>
      <c r="L2987">
        <f t="shared" si="201"/>
        <v>300018</v>
      </c>
      <c r="M2987" t="str">
        <f t="shared" si="201"/>
        <v>ASEGURADO VOLUNTARIO</v>
      </c>
      <c r="N2987">
        <f t="shared" si="202"/>
        <v>53</v>
      </c>
      <c r="O2987" s="19" t="str">
        <f t="shared" si="203"/>
        <v>300k–600k</v>
      </c>
      <c r="P2987" s="19" t="str">
        <f t="shared" si="204"/>
        <v>46-55</v>
      </c>
    </row>
    <row r="2988" spans="1:16" x14ac:dyDescent="0.25">
      <c r="A2988">
        <v>2987</v>
      </c>
      <c r="B2988" t="s">
        <v>9</v>
      </c>
      <c r="C2988">
        <v>321550</v>
      </c>
      <c r="D2988" t="s">
        <v>18</v>
      </c>
      <c r="E2988" t="s">
        <v>16</v>
      </c>
      <c r="F2988" t="s">
        <v>12</v>
      </c>
      <c r="G2988" t="s">
        <v>13</v>
      </c>
      <c r="H2988" t="s">
        <v>12</v>
      </c>
      <c r="I2988">
        <v>51</v>
      </c>
      <c r="J2988" t="str" cm="1">
        <f t="array" ref="J2988">_xlfn.IFS(ISBLANK(C2988),"FALTANTE",ABS((C2988-$W$5)/$X$5)&gt;1.96,"ATÍPICO",ABS((C2988-$W$5)/$X$5)&lt;=1.96,"NO ATÍPICO")</f>
        <v>NO ATÍPICO</v>
      </c>
      <c r="K2988" t="str" cm="1">
        <f t="array" ref="K2988">_xlfn.IFS(ISBLANK(I2988),"FALTANTE",ABS((I2988-$W$8)/$X$8)&gt;1.92,"ATÍPICO",ABS((I2988-$W$8)/$X$8)&lt;=1.92,"NO ATÍPICO")</f>
        <v>NO ATÍPICO</v>
      </c>
      <c r="L2988">
        <f t="shared" si="201"/>
        <v>321550</v>
      </c>
      <c r="M2988" t="str">
        <f t="shared" si="201"/>
        <v>TRABAJADOR INDEPENDIENTE</v>
      </c>
      <c r="N2988">
        <f t="shared" si="202"/>
        <v>51</v>
      </c>
      <c r="O2988" s="19" t="str">
        <f t="shared" si="203"/>
        <v>300k–600k</v>
      </c>
      <c r="P2988" s="19" t="str">
        <f t="shared" si="204"/>
        <v>46-55</v>
      </c>
    </row>
    <row r="2989" spans="1:16" x14ac:dyDescent="0.25">
      <c r="A2989">
        <v>2988</v>
      </c>
      <c r="B2989" t="s">
        <v>9</v>
      </c>
      <c r="C2989">
        <v>422424</v>
      </c>
      <c r="D2989" t="s">
        <v>10</v>
      </c>
      <c r="E2989" t="s">
        <v>16</v>
      </c>
      <c r="F2989" t="s">
        <v>12</v>
      </c>
      <c r="G2989" t="s">
        <v>13</v>
      </c>
      <c r="H2989" t="s">
        <v>13</v>
      </c>
      <c r="I2989">
        <v>27</v>
      </c>
      <c r="J2989" t="str" cm="1">
        <f t="array" ref="J2989">_xlfn.IFS(ISBLANK(C2989),"FALTANTE",ABS((C2989-$W$5)/$X$5)&gt;1.96,"ATÍPICO",ABS((C2989-$W$5)/$X$5)&lt;=1.96,"NO ATÍPICO")</f>
        <v>NO ATÍPICO</v>
      </c>
      <c r="K2989" t="str" cm="1">
        <f t="array" ref="K2989">_xlfn.IFS(ISBLANK(I2989),"FALTANTE",ABS((I2989-$W$8)/$X$8)&gt;1.92,"ATÍPICO",ABS((I2989-$W$8)/$X$8)&lt;=1.92,"NO ATÍPICO")</f>
        <v>NO ATÍPICO</v>
      </c>
      <c r="L2989">
        <f t="shared" si="201"/>
        <v>422424</v>
      </c>
      <c r="M2989" t="str">
        <f t="shared" si="201"/>
        <v>ASALARIADO</v>
      </c>
      <c r="N2989">
        <f t="shared" si="202"/>
        <v>27</v>
      </c>
      <c r="O2989" s="19" t="str">
        <f t="shared" si="203"/>
        <v>300k–600k</v>
      </c>
      <c r="P2989" s="19" t="str">
        <f t="shared" si="204"/>
        <v>26-35</v>
      </c>
    </row>
    <row r="2990" spans="1:16" x14ac:dyDescent="0.25">
      <c r="A2990">
        <v>2989</v>
      </c>
      <c r="B2990" t="s">
        <v>15</v>
      </c>
      <c r="C2990">
        <v>351531.84</v>
      </c>
      <c r="D2990" t="s">
        <v>10</v>
      </c>
      <c r="E2990" t="s">
        <v>16</v>
      </c>
      <c r="F2990" t="s">
        <v>12</v>
      </c>
      <c r="G2990" t="s">
        <v>13</v>
      </c>
      <c r="H2990" t="s">
        <v>13</v>
      </c>
      <c r="I2990">
        <v>38</v>
      </c>
      <c r="J2990" t="str" cm="1">
        <f t="array" ref="J2990">_xlfn.IFS(ISBLANK(C2990),"FALTANTE",ABS((C2990-$W$5)/$X$5)&gt;1.96,"ATÍPICO",ABS((C2990-$W$5)/$X$5)&lt;=1.96,"NO ATÍPICO")</f>
        <v>NO ATÍPICO</v>
      </c>
      <c r="K2990" t="str" cm="1">
        <f t="array" ref="K2990">_xlfn.IFS(ISBLANK(I2990),"FALTANTE",ABS((I2990-$W$8)/$X$8)&gt;1.92,"ATÍPICO",ABS((I2990-$W$8)/$X$8)&lt;=1.92,"NO ATÍPICO")</f>
        <v>NO ATÍPICO</v>
      </c>
      <c r="L2990">
        <f t="shared" si="201"/>
        <v>351531.84</v>
      </c>
      <c r="M2990" t="str">
        <f t="shared" si="201"/>
        <v>ASALARIADO</v>
      </c>
      <c r="N2990">
        <f t="shared" si="202"/>
        <v>38</v>
      </c>
      <c r="O2990" s="19" t="str">
        <f t="shared" si="203"/>
        <v>300k–600k</v>
      </c>
      <c r="P2990" s="19" t="str">
        <f t="shared" si="204"/>
        <v>36-45</v>
      </c>
    </row>
    <row r="2991" spans="1:16" x14ac:dyDescent="0.25">
      <c r="A2991">
        <v>2990</v>
      </c>
      <c r="B2991" t="s">
        <v>9</v>
      </c>
      <c r="C2991">
        <v>356000</v>
      </c>
      <c r="D2991" t="s">
        <v>10</v>
      </c>
      <c r="E2991" t="s">
        <v>16</v>
      </c>
      <c r="F2991" t="s">
        <v>12</v>
      </c>
      <c r="G2991" t="s">
        <v>13</v>
      </c>
      <c r="H2991" t="s">
        <v>13</v>
      </c>
      <c r="I2991">
        <v>57</v>
      </c>
      <c r="J2991" t="str" cm="1">
        <f t="array" ref="J2991">_xlfn.IFS(ISBLANK(C2991),"FALTANTE",ABS((C2991-$W$5)/$X$5)&gt;1.96,"ATÍPICO",ABS((C2991-$W$5)/$X$5)&lt;=1.96,"NO ATÍPICO")</f>
        <v>NO ATÍPICO</v>
      </c>
      <c r="K2991" t="str" cm="1">
        <f t="array" ref="K2991">_xlfn.IFS(ISBLANK(I2991),"FALTANTE",ABS((I2991-$W$8)/$X$8)&gt;1.92,"ATÍPICO",ABS((I2991-$W$8)/$X$8)&lt;=1.92,"NO ATÍPICO")</f>
        <v>NO ATÍPICO</v>
      </c>
      <c r="L2991">
        <f t="shared" si="201"/>
        <v>356000</v>
      </c>
      <c r="M2991" t="str">
        <f t="shared" si="201"/>
        <v>ASALARIADO</v>
      </c>
      <c r="N2991">
        <f t="shared" si="202"/>
        <v>57</v>
      </c>
      <c r="O2991" s="19" t="str">
        <f t="shared" si="203"/>
        <v>300k–600k</v>
      </c>
      <c r="P2991" s="19" t="str">
        <f t="shared" si="204"/>
        <v>56+</v>
      </c>
    </row>
    <row r="2992" spans="1:16" x14ac:dyDescent="0.25">
      <c r="A2992">
        <v>2991</v>
      </c>
      <c r="B2992" t="s">
        <v>15</v>
      </c>
      <c r="C2992">
        <v>278031</v>
      </c>
      <c r="D2992" t="s">
        <v>17</v>
      </c>
      <c r="E2992" t="s">
        <v>16</v>
      </c>
      <c r="F2992" t="s">
        <v>12</v>
      </c>
      <c r="G2992" t="s">
        <v>13</v>
      </c>
      <c r="H2992" t="s">
        <v>13</v>
      </c>
      <c r="I2992">
        <v>39</v>
      </c>
      <c r="J2992" t="str" cm="1">
        <f t="array" ref="J2992">_xlfn.IFS(ISBLANK(C2992),"FALTANTE",ABS((C2992-$W$5)/$X$5)&gt;1.96,"ATÍPICO",ABS((C2992-$W$5)/$X$5)&lt;=1.96,"NO ATÍPICO")</f>
        <v>NO ATÍPICO</v>
      </c>
      <c r="K2992" t="str" cm="1">
        <f t="array" ref="K2992">_xlfn.IFS(ISBLANK(I2992),"FALTANTE",ABS((I2992-$W$8)/$X$8)&gt;1.92,"ATÍPICO",ABS((I2992-$W$8)/$X$8)&lt;=1.92,"NO ATÍPICO")</f>
        <v>NO ATÍPICO</v>
      </c>
      <c r="L2992">
        <f t="shared" si="201"/>
        <v>278031</v>
      </c>
      <c r="M2992" t="str">
        <f t="shared" si="201"/>
        <v>ASEGURADO VOLUNTARIO</v>
      </c>
      <c r="N2992">
        <f t="shared" si="202"/>
        <v>39</v>
      </c>
      <c r="O2992" s="19" t="str">
        <f t="shared" si="203"/>
        <v>0–300k</v>
      </c>
      <c r="P2992" s="19" t="str">
        <f t="shared" si="204"/>
        <v>36-45</v>
      </c>
    </row>
    <row r="2993" spans="1:16" x14ac:dyDescent="0.25">
      <c r="A2993">
        <v>2992</v>
      </c>
      <c r="B2993" t="s">
        <v>9</v>
      </c>
      <c r="C2993">
        <v>2247500</v>
      </c>
      <c r="D2993" t="s">
        <v>10</v>
      </c>
      <c r="E2993" t="s">
        <v>16</v>
      </c>
      <c r="F2993" t="s">
        <v>12</v>
      </c>
      <c r="G2993" t="s">
        <v>13</v>
      </c>
      <c r="H2993" t="s">
        <v>13</v>
      </c>
      <c r="I2993">
        <v>45</v>
      </c>
      <c r="J2993" t="str" cm="1">
        <f t="array" ref="J2993">_xlfn.IFS(ISBLANK(C2993),"FALTANTE",ABS((C2993-$W$5)/$X$5)&gt;1.96,"ATÍPICO",ABS((C2993-$W$5)/$X$5)&lt;=1.96,"NO ATÍPICO")</f>
        <v>ATÍPICO</v>
      </c>
      <c r="K2993" t="str" cm="1">
        <f t="array" ref="K2993">_xlfn.IFS(ISBLANK(I2993),"FALTANTE",ABS((I2993-$W$8)/$X$8)&gt;1.92,"ATÍPICO",ABS((I2993-$W$8)/$X$8)&lt;=1.92,"NO ATÍPICO")</f>
        <v>NO ATÍPICO</v>
      </c>
      <c r="L2993">
        <f t="shared" si="201"/>
        <v>2247500</v>
      </c>
      <c r="M2993" t="str">
        <f t="shared" si="201"/>
        <v>ASALARIADO</v>
      </c>
      <c r="N2993">
        <f t="shared" si="202"/>
        <v>45</v>
      </c>
      <c r="O2993" s="19" t="str">
        <f t="shared" si="203"/>
        <v>1200k+</v>
      </c>
      <c r="P2993" s="19" t="str">
        <f t="shared" si="204"/>
        <v>36-45</v>
      </c>
    </row>
    <row r="2994" spans="1:16" x14ac:dyDescent="0.25">
      <c r="A2994">
        <v>2993</v>
      </c>
      <c r="B2994" t="s">
        <v>9</v>
      </c>
      <c r="C2994">
        <v>340000</v>
      </c>
      <c r="D2994" t="s">
        <v>10</v>
      </c>
      <c r="E2994" t="s">
        <v>16</v>
      </c>
      <c r="F2994" t="s">
        <v>12</v>
      </c>
      <c r="G2994" t="s">
        <v>13</v>
      </c>
      <c r="H2994" t="s">
        <v>13</v>
      </c>
      <c r="I2994">
        <v>34</v>
      </c>
      <c r="J2994" t="str" cm="1">
        <f t="array" ref="J2994">_xlfn.IFS(ISBLANK(C2994),"FALTANTE",ABS((C2994-$W$5)/$X$5)&gt;1.96,"ATÍPICO",ABS((C2994-$W$5)/$X$5)&lt;=1.96,"NO ATÍPICO")</f>
        <v>NO ATÍPICO</v>
      </c>
      <c r="K2994" t="str" cm="1">
        <f t="array" ref="K2994">_xlfn.IFS(ISBLANK(I2994),"FALTANTE",ABS((I2994-$W$8)/$X$8)&gt;1.92,"ATÍPICO",ABS((I2994-$W$8)/$X$8)&lt;=1.92,"NO ATÍPICO")</f>
        <v>NO ATÍPICO</v>
      </c>
      <c r="L2994">
        <f t="shared" si="201"/>
        <v>340000</v>
      </c>
      <c r="M2994" t="str">
        <f t="shared" si="201"/>
        <v>ASALARIADO</v>
      </c>
      <c r="N2994">
        <f t="shared" si="202"/>
        <v>34</v>
      </c>
      <c r="O2994" s="19" t="str">
        <f t="shared" si="203"/>
        <v>300k–600k</v>
      </c>
      <c r="P2994" s="19" t="str">
        <f t="shared" si="204"/>
        <v>26-35</v>
      </c>
    </row>
    <row r="2995" spans="1:16" x14ac:dyDescent="0.25">
      <c r="A2995">
        <v>2994</v>
      </c>
      <c r="B2995" t="s">
        <v>9</v>
      </c>
      <c r="C2995">
        <v>50000</v>
      </c>
      <c r="D2995" t="s">
        <v>10</v>
      </c>
      <c r="E2995" t="s">
        <v>16</v>
      </c>
      <c r="F2995" t="s">
        <v>12</v>
      </c>
      <c r="G2995" t="s">
        <v>12</v>
      </c>
      <c r="H2995" t="s">
        <v>12</v>
      </c>
      <c r="I2995">
        <v>53</v>
      </c>
      <c r="J2995" t="str" cm="1">
        <f t="array" ref="J2995">_xlfn.IFS(ISBLANK(C2995),"FALTANTE",ABS((C2995-$W$5)/$X$5)&gt;1.96,"ATÍPICO",ABS((C2995-$W$5)/$X$5)&lt;=1.96,"NO ATÍPICO")</f>
        <v>NO ATÍPICO</v>
      </c>
      <c r="K2995" t="str" cm="1">
        <f t="array" ref="K2995">_xlfn.IFS(ISBLANK(I2995),"FALTANTE",ABS((I2995-$W$8)/$X$8)&gt;1.92,"ATÍPICO",ABS((I2995-$W$8)/$X$8)&lt;=1.92,"NO ATÍPICO")</f>
        <v>NO ATÍPICO</v>
      </c>
      <c r="L2995">
        <f t="shared" si="201"/>
        <v>50000</v>
      </c>
      <c r="M2995" t="str">
        <f t="shared" si="201"/>
        <v>ASALARIADO</v>
      </c>
      <c r="N2995">
        <f t="shared" si="202"/>
        <v>53</v>
      </c>
      <c r="O2995" s="19" t="str">
        <f t="shared" si="203"/>
        <v>0–300k</v>
      </c>
      <c r="P2995" s="19" t="str">
        <f t="shared" si="204"/>
        <v>46-55</v>
      </c>
    </row>
    <row r="2996" spans="1:16" x14ac:dyDescent="0.25">
      <c r="A2996">
        <v>2995</v>
      </c>
      <c r="B2996" t="s">
        <v>9</v>
      </c>
      <c r="C2996">
        <v>389718</v>
      </c>
      <c r="D2996" t="s">
        <v>10</v>
      </c>
      <c r="E2996" t="s">
        <v>16</v>
      </c>
      <c r="F2996" t="s">
        <v>12</v>
      </c>
      <c r="G2996" t="s">
        <v>13</v>
      </c>
      <c r="H2996" t="s">
        <v>13</v>
      </c>
      <c r="I2996">
        <v>41</v>
      </c>
      <c r="J2996" t="str" cm="1">
        <f t="array" ref="J2996">_xlfn.IFS(ISBLANK(C2996),"FALTANTE",ABS((C2996-$W$5)/$X$5)&gt;1.96,"ATÍPICO",ABS((C2996-$W$5)/$X$5)&lt;=1.96,"NO ATÍPICO")</f>
        <v>NO ATÍPICO</v>
      </c>
      <c r="K2996" t="str" cm="1">
        <f t="array" ref="K2996">_xlfn.IFS(ISBLANK(I2996),"FALTANTE",ABS((I2996-$W$8)/$X$8)&gt;1.92,"ATÍPICO",ABS((I2996-$W$8)/$X$8)&lt;=1.92,"NO ATÍPICO")</f>
        <v>NO ATÍPICO</v>
      </c>
      <c r="L2996">
        <f t="shared" si="201"/>
        <v>389718</v>
      </c>
      <c r="M2996" t="str">
        <f t="shared" si="201"/>
        <v>ASALARIADO</v>
      </c>
      <c r="N2996">
        <f t="shared" si="202"/>
        <v>41</v>
      </c>
      <c r="O2996" s="19" t="str">
        <f t="shared" si="203"/>
        <v>300k–600k</v>
      </c>
      <c r="P2996" s="19" t="str">
        <f t="shared" si="204"/>
        <v>36-45</v>
      </c>
    </row>
    <row r="2997" spans="1:16" x14ac:dyDescent="0.25">
      <c r="A2997">
        <v>2996</v>
      </c>
      <c r="B2997" t="s">
        <v>15</v>
      </c>
      <c r="C2997">
        <v>2032262.93</v>
      </c>
      <c r="D2997" t="s">
        <v>10</v>
      </c>
      <c r="E2997" t="s">
        <v>16</v>
      </c>
      <c r="F2997" t="s">
        <v>12</v>
      </c>
      <c r="G2997" t="s">
        <v>13</v>
      </c>
      <c r="H2997" t="s">
        <v>13</v>
      </c>
      <c r="I2997">
        <v>54</v>
      </c>
      <c r="J2997" t="str" cm="1">
        <f t="array" ref="J2997">_xlfn.IFS(ISBLANK(C2997),"FALTANTE",ABS((C2997-$W$5)/$X$5)&gt;1.96,"ATÍPICO",ABS((C2997-$W$5)/$X$5)&lt;=1.96,"NO ATÍPICO")</f>
        <v>NO ATÍPICO</v>
      </c>
      <c r="K2997" t="str" cm="1">
        <f t="array" ref="K2997">_xlfn.IFS(ISBLANK(I2997),"FALTANTE",ABS((I2997-$W$8)/$X$8)&gt;1.92,"ATÍPICO",ABS((I2997-$W$8)/$X$8)&lt;=1.92,"NO ATÍPICO")</f>
        <v>NO ATÍPICO</v>
      </c>
      <c r="L2997">
        <f t="shared" si="201"/>
        <v>2032262.93</v>
      </c>
      <c r="M2997" t="str">
        <f t="shared" si="201"/>
        <v>ASALARIADO</v>
      </c>
      <c r="N2997">
        <f t="shared" si="202"/>
        <v>54</v>
      </c>
      <c r="O2997" s="19" t="str">
        <f t="shared" si="203"/>
        <v>1200k+</v>
      </c>
      <c r="P2997" s="19" t="str">
        <f t="shared" si="204"/>
        <v>46-55</v>
      </c>
    </row>
    <row r="2998" spans="1:16" x14ac:dyDescent="0.25">
      <c r="A2998">
        <v>2997</v>
      </c>
      <c r="B2998" t="s">
        <v>15</v>
      </c>
      <c r="C2998">
        <v>89567</v>
      </c>
      <c r="D2998" t="s">
        <v>10</v>
      </c>
      <c r="E2998" t="s">
        <v>11</v>
      </c>
      <c r="F2998" t="s">
        <v>12</v>
      </c>
      <c r="G2998" t="s">
        <v>13</v>
      </c>
      <c r="H2998" t="s">
        <v>13</v>
      </c>
      <c r="I2998">
        <v>34</v>
      </c>
      <c r="J2998" t="str" cm="1">
        <f t="array" ref="J2998">_xlfn.IFS(ISBLANK(C2998),"FALTANTE",ABS((C2998-$W$5)/$X$5)&gt;1.96,"ATÍPICO",ABS((C2998-$W$5)/$X$5)&lt;=1.96,"NO ATÍPICO")</f>
        <v>NO ATÍPICO</v>
      </c>
      <c r="K2998" t="str" cm="1">
        <f t="array" ref="K2998">_xlfn.IFS(ISBLANK(I2998),"FALTANTE",ABS((I2998-$W$8)/$X$8)&gt;1.92,"ATÍPICO",ABS((I2998-$W$8)/$X$8)&lt;=1.92,"NO ATÍPICO")</f>
        <v>NO ATÍPICO</v>
      </c>
      <c r="L2998">
        <f t="shared" si="201"/>
        <v>89567</v>
      </c>
      <c r="M2998" t="str">
        <f t="shared" si="201"/>
        <v>ASALARIADO</v>
      </c>
      <c r="N2998">
        <f t="shared" si="202"/>
        <v>34</v>
      </c>
      <c r="O2998" s="19" t="str">
        <f t="shared" si="203"/>
        <v>0–300k</v>
      </c>
      <c r="P2998" s="19" t="str">
        <f t="shared" si="204"/>
        <v>26-35</v>
      </c>
    </row>
    <row r="2999" spans="1:16" x14ac:dyDescent="0.25">
      <c r="A2999">
        <v>2998</v>
      </c>
      <c r="B2999" t="s">
        <v>9</v>
      </c>
      <c r="C2999">
        <v>316965</v>
      </c>
      <c r="D2999" t="s">
        <v>10</v>
      </c>
      <c r="E2999" t="s">
        <v>16</v>
      </c>
      <c r="F2999" t="s">
        <v>12</v>
      </c>
      <c r="G2999" t="s">
        <v>13</v>
      </c>
      <c r="H2999" t="s">
        <v>13</v>
      </c>
      <c r="I2999">
        <v>25</v>
      </c>
      <c r="J2999" t="str" cm="1">
        <f t="array" ref="J2999">_xlfn.IFS(ISBLANK(C2999),"FALTANTE",ABS((C2999-$W$5)/$X$5)&gt;1.96,"ATÍPICO",ABS((C2999-$W$5)/$X$5)&lt;=1.96,"NO ATÍPICO")</f>
        <v>NO ATÍPICO</v>
      </c>
      <c r="K2999" t="str" cm="1">
        <f t="array" ref="K2999">_xlfn.IFS(ISBLANK(I2999),"FALTANTE",ABS((I2999-$W$8)/$X$8)&gt;1.92,"ATÍPICO",ABS((I2999-$W$8)/$X$8)&lt;=1.92,"NO ATÍPICO")</f>
        <v>NO ATÍPICO</v>
      </c>
      <c r="L2999">
        <f t="shared" si="201"/>
        <v>316965</v>
      </c>
      <c r="M2999" t="str">
        <f t="shared" si="201"/>
        <v>ASALARIADO</v>
      </c>
      <c r="N2999">
        <f t="shared" si="202"/>
        <v>25</v>
      </c>
      <c r="O2999" s="19" t="str">
        <f t="shared" si="203"/>
        <v>300k–600k</v>
      </c>
      <c r="P2999" s="19" t="str">
        <f t="shared" si="204"/>
        <v>18-25</v>
      </c>
    </row>
    <row r="3000" spans="1:16" x14ac:dyDescent="0.25">
      <c r="A3000">
        <v>2999</v>
      </c>
      <c r="B3000" t="s">
        <v>15</v>
      </c>
      <c r="C3000">
        <v>347135</v>
      </c>
      <c r="D3000" t="s">
        <v>17</v>
      </c>
      <c r="E3000" t="s">
        <v>16</v>
      </c>
      <c r="F3000" t="s">
        <v>12</v>
      </c>
      <c r="G3000" t="s">
        <v>12</v>
      </c>
      <c r="H3000" t="s">
        <v>13</v>
      </c>
      <c r="I3000">
        <v>63</v>
      </c>
      <c r="J3000" t="str" cm="1">
        <f t="array" ref="J3000">_xlfn.IFS(ISBLANK(C3000),"FALTANTE",ABS((C3000-$W$5)/$X$5)&gt;1.96,"ATÍPICO",ABS((C3000-$W$5)/$X$5)&lt;=1.96,"NO ATÍPICO")</f>
        <v>NO ATÍPICO</v>
      </c>
      <c r="K3000" t="str" cm="1">
        <f t="array" ref="K3000">_xlfn.IFS(ISBLANK(I3000),"FALTANTE",ABS((I3000-$W$8)/$X$8)&gt;1.92,"ATÍPICO",ABS((I3000-$W$8)/$X$8)&lt;=1.92,"NO ATÍPICO")</f>
        <v>NO ATÍPICO</v>
      </c>
      <c r="L3000">
        <f t="shared" si="201"/>
        <v>347135</v>
      </c>
      <c r="M3000" t="str">
        <f t="shared" si="201"/>
        <v>ASEGURADO VOLUNTARIO</v>
      </c>
      <c r="N3000">
        <f t="shared" si="202"/>
        <v>63</v>
      </c>
      <c r="O3000" s="19" t="str">
        <f t="shared" si="203"/>
        <v>300k–600k</v>
      </c>
      <c r="P3000" s="19" t="str">
        <f t="shared" si="204"/>
        <v>56+</v>
      </c>
    </row>
    <row r="3001" spans="1:16" x14ac:dyDescent="0.25">
      <c r="A3001">
        <v>3000</v>
      </c>
      <c r="B3001" t="s">
        <v>15</v>
      </c>
      <c r="C3001">
        <v>1501649.3</v>
      </c>
      <c r="D3001" t="s">
        <v>10</v>
      </c>
      <c r="E3001" t="s">
        <v>16</v>
      </c>
      <c r="F3001" t="s">
        <v>12</v>
      </c>
      <c r="G3001" t="s">
        <v>12</v>
      </c>
      <c r="H3001" t="s">
        <v>13</v>
      </c>
      <c r="I3001">
        <v>35</v>
      </c>
      <c r="J3001" t="str" cm="1">
        <f t="array" ref="J3001">_xlfn.IFS(ISBLANK(C3001),"FALTANTE",ABS((C3001-$W$5)/$X$5)&gt;1.96,"ATÍPICO",ABS((C3001-$W$5)/$X$5)&lt;=1.96,"NO ATÍPICO")</f>
        <v>NO ATÍPICO</v>
      </c>
      <c r="K3001" t="str" cm="1">
        <f t="array" ref="K3001">_xlfn.IFS(ISBLANK(I3001),"FALTANTE",ABS((I3001-$W$8)/$X$8)&gt;1.92,"ATÍPICO",ABS((I3001-$W$8)/$X$8)&lt;=1.92,"NO ATÍPICO")</f>
        <v>NO ATÍPICO</v>
      </c>
      <c r="L3001">
        <f t="shared" si="201"/>
        <v>1501649.3</v>
      </c>
      <c r="M3001" t="str">
        <f t="shared" si="201"/>
        <v>ASALARIADO</v>
      </c>
      <c r="N3001">
        <f t="shared" si="202"/>
        <v>35</v>
      </c>
      <c r="O3001" s="19" t="str">
        <f t="shared" si="203"/>
        <v>1200k+</v>
      </c>
      <c r="P3001" s="19" t="str">
        <f t="shared" si="204"/>
        <v>26-35</v>
      </c>
    </row>
    <row r="3002" spans="1:16" x14ac:dyDescent="0.25">
      <c r="A3002">
        <v>3001</v>
      </c>
      <c r="B3002" t="s">
        <v>9</v>
      </c>
      <c r="C3002">
        <v>302470</v>
      </c>
      <c r="D3002" t="s">
        <v>18</v>
      </c>
      <c r="E3002" t="s">
        <v>16</v>
      </c>
      <c r="F3002" t="s">
        <v>12</v>
      </c>
      <c r="G3002" t="s">
        <v>13</v>
      </c>
      <c r="H3002" t="s">
        <v>13</v>
      </c>
      <c r="I3002">
        <v>61</v>
      </c>
      <c r="J3002" t="str" cm="1">
        <f t="array" ref="J3002">_xlfn.IFS(ISBLANK(C3002),"FALTANTE",ABS((C3002-$W$5)/$X$5)&gt;1.96,"ATÍPICO",ABS((C3002-$W$5)/$X$5)&lt;=1.96,"NO ATÍPICO")</f>
        <v>NO ATÍPICO</v>
      </c>
      <c r="K3002" t="str" cm="1">
        <f t="array" ref="K3002">_xlfn.IFS(ISBLANK(I3002),"FALTANTE",ABS((I3002-$W$8)/$X$8)&gt;1.92,"ATÍPICO",ABS((I3002-$W$8)/$X$8)&lt;=1.92,"NO ATÍPICO")</f>
        <v>NO ATÍPICO</v>
      </c>
      <c r="L3002">
        <f t="shared" si="201"/>
        <v>302470</v>
      </c>
      <c r="M3002" t="str">
        <f t="shared" si="201"/>
        <v>TRABAJADOR INDEPENDIENTE</v>
      </c>
      <c r="N3002">
        <f t="shared" si="202"/>
        <v>61</v>
      </c>
      <c r="O3002" s="19" t="str">
        <f t="shared" si="203"/>
        <v>300k–600k</v>
      </c>
      <c r="P3002" s="19" t="str">
        <f t="shared" si="204"/>
        <v>56+</v>
      </c>
    </row>
    <row r="3003" spans="1:16" x14ac:dyDescent="0.25">
      <c r="A3003">
        <v>3002</v>
      </c>
      <c r="B3003" t="s">
        <v>15</v>
      </c>
      <c r="C3003">
        <v>477140</v>
      </c>
      <c r="D3003" t="s">
        <v>10</v>
      </c>
      <c r="E3003" t="s">
        <v>11</v>
      </c>
      <c r="F3003" t="s">
        <v>12</v>
      </c>
      <c r="G3003" t="s">
        <v>13</v>
      </c>
      <c r="H3003" t="s">
        <v>13</v>
      </c>
      <c r="I3003">
        <v>48</v>
      </c>
      <c r="J3003" t="str" cm="1">
        <f t="array" ref="J3003">_xlfn.IFS(ISBLANK(C3003),"FALTANTE",ABS((C3003-$W$5)/$X$5)&gt;1.96,"ATÍPICO",ABS((C3003-$W$5)/$X$5)&lt;=1.96,"NO ATÍPICO")</f>
        <v>NO ATÍPICO</v>
      </c>
      <c r="K3003" t="str" cm="1">
        <f t="array" ref="K3003">_xlfn.IFS(ISBLANK(I3003),"FALTANTE",ABS((I3003-$W$8)/$X$8)&gt;1.92,"ATÍPICO",ABS((I3003-$W$8)/$X$8)&lt;=1.92,"NO ATÍPICO")</f>
        <v>NO ATÍPICO</v>
      </c>
      <c r="L3003">
        <f t="shared" si="201"/>
        <v>477140</v>
      </c>
      <c r="M3003" t="str">
        <f t="shared" si="201"/>
        <v>ASALARIADO</v>
      </c>
      <c r="N3003">
        <f t="shared" si="202"/>
        <v>48</v>
      </c>
      <c r="O3003" s="19" t="str">
        <f t="shared" si="203"/>
        <v>300k–600k</v>
      </c>
      <c r="P3003" s="19" t="str">
        <f t="shared" si="204"/>
        <v>46-55</v>
      </c>
    </row>
    <row r="3004" spans="1:16" x14ac:dyDescent="0.25">
      <c r="A3004">
        <v>3003</v>
      </c>
      <c r="B3004" t="s">
        <v>9</v>
      </c>
      <c r="C3004">
        <v>1194392</v>
      </c>
      <c r="D3004" t="s">
        <v>10</v>
      </c>
      <c r="E3004" t="s">
        <v>16</v>
      </c>
      <c r="F3004" t="s">
        <v>12</v>
      </c>
      <c r="G3004" t="s">
        <v>13</v>
      </c>
      <c r="H3004" t="s">
        <v>13</v>
      </c>
      <c r="I3004">
        <v>28</v>
      </c>
      <c r="J3004" t="str" cm="1">
        <f t="array" ref="J3004">_xlfn.IFS(ISBLANK(C3004),"FALTANTE",ABS((C3004-$W$5)/$X$5)&gt;1.96,"ATÍPICO",ABS((C3004-$W$5)/$X$5)&lt;=1.96,"NO ATÍPICO")</f>
        <v>NO ATÍPICO</v>
      </c>
      <c r="K3004" t="str" cm="1">
        <f t="array" ref="K3004">_xlfn.IFS(ISBLANK(I3004),"FALTANTE",ABS((I3004-$W$8)/$X$8)&gt;1.92,"ATÍPICO",ABS((I3004-$W$8)/$X$8)&lt;=1.92,"NO ATÍPICO")</f>
        <v>NO ATÍPICO</v>
      </c>
      <c r="L3004">
        <f t="shared" si="201"/>
        <v>1194392</v>
      </c>
      <c r="M3004" t="str">
        <f t="shared" si="201"/>
        <v>ASALARIADO</v>
      </c>
      <c r="N3004">
        <f t="shared" si="202"/>
        <v>28</v>
      </c>
      <c r="O3004" s="19" t="str">
        <f t="shared" si="203"/>
        <v>900k–1200k</v>
      </c>
      <c r="P3004" s="19" t="str">
        <f t="shared" si="204"/>
        <v>26-35</v>
      </c>
    </row>
    <row r="3005" spans="1:16" x14ac:dyDescent="0.25">
      <c r="A3005">
        <v>3004</v>
      </c>
      <c r="B3005" t="s">
        <v>15</v>
      </c>
      <c r="C3005">
        <v>1876023.5</v>
      </c>
      <c r="D3005" t="s">
        <v>10</v>
      </c>
      <c r="E3005" t="s">
        <v>11</v>
      </c>
      <c r="F3005" t="s">
        <v>12</v>
      </c>
      <c r="G3005" t="s">
        <v>13</v>
      </c>
      <c r="H3005" t="s">
        <v>13</v>
      </c>
      <c r="I3005">
        <v>46</v>
      </c>
      <c r="J3005" t="str" cm="1">
        <f t="array" ref="J3005">_xlfn.IFS(ISBLANK(C3005),"FALTANTE",ABS((C3005-$W$5)/$X$5)&gt;1.96,"ATÍPICO",ABS((C3005-$W$5)/$X$5)&lt;=1.96,"NO ATÍPICO")</f>
        <v>NO ATÍPICO</v>
      </c>
      <c r="K3005" t="str" cm="1">
        <f t="array" ref="K3005">_xlfn.IFS(ISBLANK(I3005),"FALTANTE",ABS((I3005-$W$8)/$X$8)&gt;1.92,"ATÍPICO",ABS((I3005-$W$8)/$X$8)&lt;=1.92,"NO ATÍPICO")</f>
        <v>NO ATÍPICO</v>
      </c>
      <c r="L3005">
        <f t="shared" si="201"/>
        <v>1876023.5</v>
      </c>
      <c r="M3005" t="str">
        <f t="shared" si="201"/>
        <v>ASALARIADO</v>
      </c>
      <c r="N3005">
        <f t="shared" si="202"/>
        <v>46</v>
      </c>
      <c r="O3005" s="19" t="str">
        <f t="shared" si="203"/>
        <v>1200k+</v>
      </c>
      <c r="P3005" s="19" t="str">
        <f t="shared" si="204"/>
        <v>46-55</v>
      </c>
    </row>
    <row r="3006" spans="1:16" x14ac:dyDescent="0.25">
      <c r="A3006">
        <v>3005</v>
      </c>
      <c r="B3006" t="s">
        <v>15</v>
      </c>
      <c r="C3006">
        <v>582000</v>
      </c>
      <c r="D3006" t="s">
        <v>10</v>
      </c>
      <c r="E3006" t="s">
        <v>16</v>
      </c>
      <c r="F3006" t="s">
        <v>12</v>
      </c>
      <c r="G3006" t="s">
        <v>13</v>
      </c>
      <c r="H3006" t="s">
        <v>13</v>
      </c>
      <c r="I3006">
        <v>23</v>
      </c>
      <c r="J3006" t="str" cm="1">
        <f t="array" ref="J3006">_xlfn.IFS(ISBLANK(C3006),"FALTANTE",ABS((C3006-$W$5)/$X$5)&gt;1.96,"ATÍPICO",ABS((C3006-$W$5)/$X$5)&lt;=1.96,"NO ATÍPICO")</f>
        <v>NO ATÍPICO</v>
      </c>
      <c r="K3006" t="str" cm="1">
        <f t="array" ref="K3006">_xlfn.IFS(ISBLANK(I3006),"FALTANTE",ABS((I3006-$W$8)/$X$8)&gt;1.92,"ATÍPICO",ABS((I3006-$W$8)/$X$8)&lt;=1.92,"NO ATÍPICO")</f>
        <v>NO ATÍPICO</v>
      </c>
      <c r="L3006">
        <f t="shared" si="201"/>
        <v>582000</v>
      </c>
      <c r="M3006" t="str">
        <f t="shared" si="201"/>
        <v>ASALARIADO</v>
      </c>
      <c r="N3006">
        <f t="shared" si="202"/>
        <v>23</v>
      </c>
      <c r="O3006" s="19" t="str">
        <f t="shared" si="203"/>
        <v>300k–600k</v>
      </c>
      <c r="P3006" s="19" t="str">
        <f t="shared" si="204"/>
        <v>18-25</v>
      </c>
    </row>
    <row r="3007" spans="1:16" x14ac:dyDescent="0.25">
      <c r="A3007">
        <v>3006</v>
      </c>
      <c r="B3007" t="s">
        <v>15</v>
      </c>
      <c r="C3007">
        <v>627691</v>
      </c>
      <c r="D3007" t="s">
        <v>10</v>
      </c>
      <c r="E3007" t="s">
        <v>11</v>
      </c>
      <c r="F3007" t="s">
        <v>12</v>
      </c>
      <c r="G3007" t="s">
        <v>13</v>
      </c>
      <c r="H3007" t="s">
        <v>13</v>
      </c>
      <c r="I3007">
        <v>41</v>
      </c>
      <c r="J3007" t="str" cm="1">
        <f t="array" ref="J3007">_xlfn.IFS(ISBLANK(C3007),"FALTANTE",ABS((C3007-$W$5)/$X$5)&gt;1.96,"ATÍPICO",ABS((C3007-$W$5)/$X$5)&lt;=1.96,"NO ATÍPICO")</f>
        <v>NO ATÍPICO</v>
      </c>
      <c r="K3007" t="str" cm="1">
        <f t="array" ref="K3007">_xlfn.IFS(ISBLANK(I3007),"FALTANTE",ABS((I3007-$W$8)/$X$8)&gt;1.92,"ATÍPICO",ABS((I3007-$W$8)/$X$8)&lt;=1.92,"NO ATÍPICO")</f>
        <v>NO ATÍPICO</v>
      </c>
      <c r="L3007">
        <f t="shared" si="201"/>
        <v>627691</v>
      </c>
      <c r="M3007" t="str">
        <f t="shared" si="201"/>
        <v>ASALARIADO</v>
      </c>
      <c r="N3007">
        <f t="shared" si="202"/>
        <v>41</v>
      </c>
      <c r="O3007" s="19" t="str">
        <f t="shared" si="203"/>
        <v>600k–900k</v>
      </c>
      <c r="P3007" s="19" t="str">
        <f t="shared" si="204"/>
        <v>36-45</v>
      </c>
    </row>
    <row r="3008" spans="1:16" x14ac:dyDescent="0.25">
      <c r="A3008">
        <v>3007</v>
      </c>
      <c r="B3008" t="s">
        <v>9</v>
      </c>
      <c r="C3008">
        <v>297046</v>
      </c>
      <c r="D3008" t="s">
        <v>17</v>
      </c>
      <c r="E3008" t="s">
        <v>16</v>
      </c>
      <c r="F3008" t="s">
        <v>12</v>
      </c>
      <c r="G3008" t="s">
        <v>13</v>
      </c>
      <c r="H3008" t="s">
        <v>13</v>
      </c>
      <c r="I3008">
        <v>59</v>
      </c>
      <c r="J3008" t="str" cm="1">
        <f t="array" ref="J3008">_xlfn.IFS(ISBLANK(C3008),"FALTANTE",ABS((C3008-$W$5)/$X$5)&gt;1.96,"ATÍPICO",ABS((C3008-$W$5)/$X$5)&lt;=1.96,"NO ATÍPICO")</f>
        <v>NO ATÍPICO</v>
      </c>
      <c r="K3008" t="str" cm="1">
        <f t="array" ref="K3008">_xlfn.IFS(ISBLANK(I3008),"FALTANTE",ABS((I3008-$W$8)/$X$8)&gt;1.92,"ATÍPICO",ABS((I3008-$W$8)/$X$8)&lt;=1.92,"NO ATÍPICO")</f>
        <v>NO ATÍPICO</v>
      </c>
      <c r="L3008">
        <f t="shared" si="201"/>
        <v>297046</v>
      </c>
      <c r="M3008" t="str">
        <f t="shared" si="201"/>
        <v>ASEGURADO VOLUNTARIO</v>
      </c>
      <c r="N3008">
        <f t="shared" si="202"/>
        <v>59</v>
      </c>
      <c r="O3008" s="19" t="str">
        <f t="shared" si="203"/>
        <v>0–300k</v>
      </c>
      <c r="P3008" s="19" t="str">
        <f t="shared" si="204"/>
        <v>56+</v>
      </c>
    </row>
    <row r="3009" spans="1:16" x14ac:dyDescent="0.25">
      <c r="A3009">
        <v>3008</v>
      </c>
      <c r="B3009" t="s">
        <v>15</v>
      </c>
      <c r="C3009">
        <v>944226</v>
      </c>
      <c r="D3009" t="s">
        <v>10</v>
      </c>
      <c r="E3009" t="s">
        <v>11</v>
      </c>
      <c r="F3009" t="s">
        <v>12</v>
      </c>
      <c r="G3009" t="s">
        <v>13</v>
      </c>
      <c r="H3009" t="s">
        <v>12</v>
      </c>
      <c r="I3009">
        <v>40</v>
      </c>
      <c r="J3009" t="str" cm="1">
        <f t="array" ref="J3009">_xlfn.IFS(ISBLANK(C3009),"FALTANTE",ABS((C3009-$W$5)/$X$5)&gt;1.96,"ATÍPICO",ABS((C3009-$W$5)/$X$5)&lt;=1.96,"NO ATÍPICO")</f>
        <v>NO ATÍPICO</v>
      </c>
      <c r="K3009" t="str" cm="1">
        <f t="array" ref="K3009">_xlfn.IFS(ISBLANK(I3009),"FALTANTE",ABS((I3009-$W$8)/$X$8)&gt;1.92,"ATÍPICO",ABS((I3009-$W$8)/$X$8)&lt;=1.92,"NO ATÍPICO")</f>
        <v>NO ATÍPICO</v>
      </c>
      <c r="L3009">
        <f t="shared" si="201"/>
        <v>944226</v>
      </c>
      <c r="M3009" t="str">
        <f t="shared" si="201"/>
        <v>ASALARIADO</v>
      </c>
      <c r="N3009">
        <f t="shared" si="202"/>
        <v>40</v>
      </c>
      <c r="O3009" s="19" t="str">
        <f t="shared" si="203"/>
        <v>900k–1200k</v>
      </c>
      <c r="P3009" s="19" t="str">
        <f t="shared" si="204"/>
        <v>36-45</v>
      </c>
    </row>
    <row r="3010" spans="1:16" x14ac:dyDescent="0.25">
      <c r="A3010">
        <v>3009</v>
      </c>
      <c r="B3010" t="s">
        <v>15</v>
      </c>
      <c r="C3010">
        <v>5249730</v>
      </c>
      <c r="D3010" t="s">
        <v>10</v>
      </c>
      <c r="E3010" t="s">
        <v>11</v>
      </c>
      <c r="F3010" t="s">
        <v>12</v>
      </c>
      <c r="G3010" t="s">
        <v>13</v>
      </c>
      <c r="H3010" t="s">
        <v>13</v>
      </c>
      <c r="I3010">
        <v>63</v>
      </c>
      <c r="J3010" t="str" cm="1">
        <f t="array" ref="J3010">_xlfn.IFS(ISBLANK(C3010),"FALTANTE",ABS((C3010-$W$5)/$X$5)&gt;1.96,"ATÍPICO",ABS((C3010-$W$5)/$X$5)&lt;=1.96,"NO ATÍPICO")</f>
        <v>ATÍPICO</v>
      </c>
      <c r="K3010" t="str" cm="1">
        <f t="array" ref="K3010">_xlfn.IFS(ISBLANK(I3010),"FALTANTE",ABS((I3010-$W$8)/$X$8)&gt;1.92,"ATÍPICO",ABS((I3010-$W$8)/$X$8)&lt;=1.92,"NO ATÍPICO")</f>
        <v>NO ATÍPICO</v>
      </c>
      <c r="L3010">
        <f t="shared" ref="L3010:M3073" si="205">C3010</f>
        <v>5249730</v>
      </c>
      <c r="M3010" t="str">
        <f t="shared" si="205"/>
        <v>ASALARIADO</v>
      </c>
      <c r="N3010">
        <f t="shared" ref="N3010:N3073" si="206">I3010</f>
        <v>63</v>
      </c>
      <c r="O3010" s="19" t="str">
        <f t="shared" ref="O3010:O3073" si="207">IF(L3010&lt;=300000,"0–300k",IF(L3010&lt;=600000,"300k–600k",IF(L3010&lt;=900000,"600k–900k",IF(L3010&lt;=1200000,"900k–1200k","1200k+"))))</f>
        <v>1200k+</v>
      </c>
      <c r="P3010" s="19" t="str">
        <f t="shared" ref="P3010:P3073" si="208">IF(N3010 &lt;=25,"18-25", IF(N3010&lt;=35,"26-35", IF(N3010 &lt;=45,"36-45", IF(N3010&lt;=55,"46-55","56+"))))</f>
        <v>56+</v>
      </c>
    </row>
    <row r="3011" spans="1:16" x14ac:dyDescent="0.25">
      <c r="A3011">
        <v>3010</v>
      </c>
      <c r="B3011" t="s">
        <v>15</v>
      </c>
      <c r="C3011">
        <v>737925</v>
      </c>
      <c r="D3011" t="s">
        <v>10</v>
      </c>
      <c r="E3011" t="s">
        <v>16</v>
      </c>
      <c r="F3011" t="s">
        <v>12</v>
      </c>
      <c r="G3011" t="s">
        <v>13</v>
      </c>
      <c r="H3011" t="s">
        <v>13</v>
      </c>
      <c r="I3011">
        <v>51</v>
      </c>
      <c r="J3011" t="str" cm="1">
        <f t="array" ref="J3011">_xlfn.IFS(ISBLANK(C3011),"FALTANTE",ABS((C3011-$W$5)/$X$5)&gt;1.96,"ATÍPICO",ABS((C3011-$W$5)/$X$5)&lt;=1.96,"NO ATÍPICO")</f>
        <v>NO ATÍPICO</v>
      </c>
      <c r="K3011" t="str" cm="1">
        <f t="array" ref="K3011">_xlfn.IFS(ISBLANK(I3011),"FALTANTE",ABS((I3011-$W$8)/$X$8)&gt;1.92,"ATÍPICO",ABS((I3011-$W$8)/$X$8)&lt;=1.92,"NO ATÍPICO")</f>
        <v>NO ATÍPICO</v>
      </c>
      <c r="L3011">
        <f t="shared" si="205"/>
        <v>737925</v>
      </c>
      <c r="M3011" t="str">
        <f t="shared" si="205"/>
        <v>ASALARIADO</v>
      </c>
      <c r="N3011">
        <f t="shared" si="206"/>
        <v>51</v>
      </c>
      <c r="O3011" s="19" t="str">
        <f t="shared" si="207"/>
        <v>600k–900k</v>
      </c>
      <c r="P3011" s="19" t="str">
        <f t="shared" si="208"/>
        <v>46-55</v>
      </c>
    </row>
    <row r="3012" spans="1:16" x14ac:dyDescent="0.25">
      <c r="A3012">
        <v>3011</v>
      </c>
      <c r="B3012" t="s">
        <v>15</v>
      </c>
      <c r="C3012">
        <v>700000</v>
      </c>
      <c r="D3012" t="s">
        <v>10</v>
      </c>
      <c r="E3012" t="s">
        <v>16</v>
      </c>
      <c r="F3012" t="s">
        <v>12</v>
      </c>
      <c r="G3012" t="s">
        <v>13</v>
      </c>
      <c r="H3012" t="s">
        <v>13</v>
      </c>
      <c r="I3012">
        <v>27</v>
      </c>
      <c r="J3012" t="str" cm="1">
        <f t="array" ref="J3012">_xlfn.IFS(ISBLANK(C3012),"FALTANTE",ABS((C3012-$W$5)/$X$5)&gt;1.96,"ATÍPICO",ABS((C3012-$W$5)/$X$5)&lt;=1.96,"NO ATÍPICO")</f>
        <v>NO ATÍPICO</v>
      </c>
      <c r="K3012" t="str" cm="1">
        <f t="array" ref="K3012">_xlfn.IFS(ISBLANK(I3012),"FALTANTE",ABS((I3012-$W$8)/$X$8)&gt;1.92,"ATÍPICO",ABS((I3012-$W$8)/$X$8)&lt;=1.92,"NO ATÍPICO")</f>
        <v>NO ATÍPICO</v>
      </c>
      <c r="L3012">
        <f t="shared" si="205"/>
        <v>700000</v>
      </c>
      <c r="M3012" t="str">
        <f t="shared" si="205"/>
        <v>ASALARIADO</v>
      </c>
      <c r="N3012">
        <f t="shared" si="206"/>
        <v>27</v>
      </c>
      <c r="O3012" s="19" t="str">
        <f t="shared" si="207"/>
        <v>600k–900k</v>
      </c>
      <c r="P3012" s="19" t="str">
        <f t="shared" si="208"/>
        <v>26-35</v>
      </c>
    </row>
    <row r="3013" spans="1:16" x14ac:dyDescent="0.25">
      <c r="A3013">
        <v>3012</v>
      </c>
      <c r="B3013" t="s">
        <v>9</v>
      </c>
      <c r="C3013">
        <v>278030</v>
      </c>
      <c r="D3013" t="s">
        <v>19</v>
      </c>
      <c r="E3013" t="s">
        <v>16</v>
      </c>
      <c r="F3013" t="s">
        <v>12</v>
      </c>
      <c r="G3013" t="s">
        <v>13</v>
      </c>
      <c r="H3013" t="s">
        <v>13</v>
      </c>
      <c r="I3013">
        <v>42</v>
      </c>
      <c r="J3013" t="str" cm="1">
        <f t="array" ref="J3013">_xlfn.IFS(ISBLANK(C3013),"FALTANTE",ABS((C3013-$W$5)/$X$5)&gt;1.96,"ATÍPICO",ABS((C3013-$W$5)/$X$5)&lt;=1.96,"NO ATÍPICO")</f>
        <v>NO ATÍPICO</v>
      </c>
      <c r="K3013" t="str" cm="1">
        <f t="array" ref="K3013">_xlfn.IFS(ISBLANK(I3013),"FALTANTE",ABS((I3013-$W$8)/$X$8)&gt;1.92,"ATÍPICO",ABS((I3013-$W$8)/$X$8)&lt;=1.92,"NO ATÍPICO")</f>
        <v>NO ATÍPICO</v>
      </c>
      <c r="L3013">
        <f t="shared" si="205"/>
        <v>278030</v>
      </c>
      <c r="M3013" t="str">
        <f t="shared" si="205"/>
        <v>CONVENIOS ESPECIALES DE TRABAJADORES INDEPENDIENTES</v>
      </c>
      <c r="N3013">
        <f t="shared" si="206"/>
        <v>42</v>
      </c>
      <c r="O3013" s="19" t="str">
        <f t="shared" si="207"/>
        <v>0–300k</v>
      </c>
      <c r="P3013" s="19" t="str">
        <f t="shared" si="208"/>
        <v>36-45</v>
      </c>
    </row>
    <row r="3014" spans="1:16" x14ac:dyDescent="0.25">
      <c r="A3014">
        <v>3013</v>
      </c>
      <c r="B3014" t="s">
        <v>9</v>
      </c>
      <c r="C3014">
        <v>398401.34</v>
      </c>
      <c r="D3014" t="s">
        <v>10</v>
      </c>
      <c r="E3014" t="s">
        <v>16</v>
      </c>
      <c r="F3014" t="s">
        <v>12</v>
      </c>
      <c r="G3014" t="s">
        <v>13</v>
      </c>
      <c r="H3014" t="s">
        <v>13</v>
      </c>
      <c r="I3014">
        <v>38</v>
      </c>
      <c r="J3014" t="str" cm="1">
        <f t="array" ref="J3014">_xlfn.IFS(ISBLANK(C3014),"FALTANTE",ABS((C3014-$W$5)/$X$5)&gt;1.96,"ATÍPICO",ABS((C3014-$W$5)/$X$5)&lt;=1.96,"NO ATÍPICO")</f>
        <v>NO ATÍPICO</v>
      </c>
      <c r="K3014" t="str" cm="1">
        <f t="array" ref="K3014">_xlfn.IFS(ISBLANK(I3014),"FALTANTE",ABS((I3014-$W$8)/$X$8)&gt;1.92,"ATÍPICO",ABS((I3014-$W$8)/$X$8)&lt;=1.92,"NO ATÍPICO")</f>
        <v>NO ATÍPICO</v>
      </c>
      <c r="L3014">
        <f t="shared" si="205"/>
        <v>398401.34</v>
      </c>
      <c r="M3014" t="str">
        <f t="shared" si="205"/>
        <v>ASALARIADO</v>
      </c>
      <c r="N3014">
        <f t="shared" si="206"/>
        <v>38</v>
      </c>
      <c r="O3014" s="19" t="str">
        <f t="shared" si="207"/>
        <v>300k–600k</v>
      </c>
      <c r="P3014" s="19" t="str">
        <f t="shared" si="208"/>
        <v>36-45</v>
      </c>
    </row>
    <row r="3015" spans="1:16" x14ac:dyDescent="0.25">
      <c r="A3015">
        <v>3014</v>
      </c>
      <c r="B3015" t="s">
        <v>9</v>
      </c>
      <c r="C3015">
        <v>361529.4</v>
      </c>
      <c r="D3015" t="s">
        <v>10</v>
      </c>
      <c r="E3015" t="s">
        <v>16</v>
      </c>
      <c r="F3015" t="s">
        <v>12</v>
      </c>
      <c r="G3015" t="s">
        <v>13</v>
      </c>
      <c r="H3015" t="s">
        <v>13</v>
      </c>
      <c r="I3015">
        <v>32</v>
      </c>
      <c r="J3015" t="str" cm="1">
        <f t="array" ref="J3015">_xlfn.IFS(ISBLANK(C3015),"FALTANTE",ABS((C3015-$W$5)/$X$5)&gt;1.96,"ATÍPICO",ABS((C3015-$W$5)/$X$5)&lt;=1.96,"NO ATÍPICO")</f>
        <v>NO ATÍPICO</v>
      </c>
      <c r="K3015" t="str" cm="1">
        <f t="array" ref="K3015">_xlfn.IFS(ISBLANK(I3015),"FALTANTE",ABS((I3015-$W$8)/$X$8)&gt;1.92,"ATÍPICO",ABS((I3015-$W$8)/$X$8)&lt;=1.92,"NO ATÍPICO")</f>
        <v>NO ATÍPICO</v>
      </c>
      <c r="L3015">
        <f t="shared" si="205"/>
        <v>361529.4</v>
      </c>
      <c r="M3015" t="str">
        <f t="shared" si="205"/>
        <v>ASALARIADO</v>
      </c>
      <c r="N3015">
        <f t="shared" si="206"/>
        <v>32</v>
      </c>
      <c r="O3015" s="19" t="str">
        <f t="shared" si="207"/>
        <v>300k–600k</v>
      </c>
      <c r="P3015" s="19" t="str">
        <f t="shared" si="208"/>
        <v>26-35</v>
      </c>
    </row>
    <row r="3016" spans="1:16" x14ac:dyDescent="0.25">
      <c r="A3016">
        <v>3015</v>
      </c>
      <c r="B3016" t="s">
        <v>9</v>
      </c>
      <c r="C3016">
        <v>2399594.0699999998</v>
      </c>
      <c r="D3016" t="s">
        <v>10</v>
      </c>
      <c r="E3016" t="s">
        <v>16</v>
      </c>
      <c r="F3016" t="s">
        <v>12</v>
      </c>
      <c r="G3016" t="s">
        <v>13</v>
      </c>
      <c r="H3016" t="s">
        <v>13</v>
      </c>
      <c r="I3016">
        <v>44</v>
      </c>
      <c r="J3016" t="str" cm="1">
        <f t="array" ref="J3016">_xlfn.IFS(ISBLANK(C3016),"FALTANTE",ABS((C3016-$W$5)/$X$5)&gt;1.96,"ATÍPICO",ABS((C3016-$W$5)/$X$5)&lt;=1.96,"NO ATÍPICO")</f>
        <v>ATÍPICO</v>
      </c>
      <c r="K3016" t="str" cm="1">
        <f t="array" ref="K3016">_xlfn.IFS(ISBLANK(I3016),"FALTANTE",ABS((I3016-$W$8)/$X$8)&gt;1.92,"ATÍPICO",ABS((I3016-$W$8)/$X$8)&lt;=1.92,"NO ATÍPICO")</f>
        <v>NO ATÍPICO</v>
      </c>
      <c r="L3016">
        <f t="shared" si="205"/>
        <v>2399594.0699999998</v>
      </c>
      <c r="M3016" t="str">
        <f t="shared" si="205"/>
        <v>ASALARIADO</v>
      </c>
      <c r="N3016">
        <f t="shared" si="206"/>
        <v>44</v>
      </c>
      <c r="O3016" s="19" t="str">
        <f t="shared" si="207"/>
        <v>1200k+</v>
      </c>
      <c r="P3016" s="19" t="str">
        <f t="shared" si="208"/>
        <v>36-45</v>
      </c>
    </row>
    <row r="3017" spans="1:16" x14ac:dyDescent="0.25">
      <c r="A3017">
        <v>3016</v>
      </c>
      <c r="B3017" t="s">
        <v>15</v>
      </c>
      <c r="C3017">
        <v>610142</v>
      </c>
      <c r="D3017" t="s">
        <v>18</v>
      </c>
      <c r="E3017" t="s">
        <v>16</v>
      </c>
      <c r="F3017" t="s">
        <v>12</v>
      </c>
      <c r="G3017" t="s">
        <v>13</v>
      </c>
      <c r="H3017" t="s">
        <v>13</v>
      </c>
      <c r="I3017">
        <v>46</v>
      </c>
      <c r="J3017" t="str" cm="1">
        <f t="array" ref="J3017">_xlfn.IFS(ISBLANK(C3017),"FALTANTE",ABS((C3017-$W$5)/$X$5)&gt;1.96,"ATÍPICO",ABS((C3017-$W$5)/$X$5)&lt;=1.96,"NO ATÍPICO")</f>
        <v>NO ATÍPICO</v>
      </c>
      <c r="K3017" t="str" cm="1">
        <f t="array" ref="K3017">_xlfn.IFS(ISBLANK(I3017),"FALTANTE",ABS((I3017-$W$8)/$X$8)&gt;1.92,"ATÍPICO",ABS((I3017-$W$8)/$X$8)&lt;=1.92,"NO ATÍPICO")</f>
        <v>NO ATÍPICO</v>
      </c>
      <c r="L3017">
        <f t="shared" si="205"/>
        <v>610142</v>
      </c>
      <c r="M3017" t="str">
        <f t="shared" si="205"/>
        <v>TRABAJADOR INDEPENDIENTE</v>
      </c>
      <c r="N3017">
        <f t="shared" si="206"/>
        <v>46</v>
      </c>
      <c r="O3017" s="19" t="str">
        <f t="shared" si="207"/>
        <v>600k–900k</v>
      </c>
      <c r="P3017" s="19" t="str">
        <f t="shared" si="208"/>
        <v>46-55</v>
      </c>
    </row>
    <row r="3018" spans="1:16" x14ac:dyDescent="0.25">
      <c r="A3018">
        <v>3017</v>
      </c>
      <c r="B3018" t="s">
        <v>9</v>
      </c>
      <c r="C3018">
        <v>1465627.44</v>
      </c>
      <c r="D3018" t="s">
        <v>14</v>
      </c>
      <c r="E3018" t="s">
        <v>11</v>
      </c>
      <c r="F3018" t="s">
        <v>12</v>
      </c>
      <c r="G3018" t="s">
        <v>13</v>
      </c>
      <c r="H3018" t="s">
        <v>13</v>
      </c>
      <c r="I3018">
        <v>61</v>
      </c>
      <c r="J3018" t="str" cm="1">
        <f t="array" ref="J3018">_xlfn.IFS(ISBLANK(C3018),"FALTANTE",ABS((C3018-$W$5)/$X$5)&gt;1.96,"ATÍPICO",ABS((C3018-$W$5)/$X$5)&lt;=1.96,"NO ATÍPICO")</f>
        <v>NO ATÍPICO</v>
      </c>
      <c r="K3018" t="str" cm="1">
        <f t="array" ref="K3018">_xlfn.IFS(ISBLANK(I3018),"FALTANTE",ABS((I3018-$W$8)/$X$8)&gt;1.92,"ATÍPICO",ABS((I3018-$W$8)/$X$8)&lt;=1.92,"NO ATÍPICO")</f>
        <v>NO ATÍPICO</v>
      </c>
      <c r="L3018">
        <f t="shared" si="205"/>
        <v>1465627.44</v>
      </c>
      <c r="M3018" t="str">
        <f t="shared" si="205"/>
        <v>PENSIONADOS EN SU PROPIO SISTEMA</v>
      </c>
      <c r="N3018">
        <f t="shared" si="206"/>
        <v>61</v>
      </c>
      <c r="O3018" s="19" t="str">
        <f t="shared" si="207"/>
        <v>1200k+</v>
      </c>
      <c r="P3018" s="19" t="str">
        <f t="shared" si="208"/>
        <v>56+</v>
      </c>
    </row>
    <row r="3019" spans="1:16" x14ac:dyDescent="0.25">
      <c r="A3019">
        <v>3018</v>
      </c>
      <c r="B3019" t="s">
        <v>9</v>
      </c>
      <c r="C3019">
        <v>298500</v>
      </c>
      <c r="D3019" t="s">
        <v>17</v>
      </c>
      <c r="E3019" t="s">
        <v>16</v>
      </c>
      <c r="F3019" t="s">
        <v>12</v>
      </c>
      <c r="G3019" t="s">
        <v>12</v>
      </c>
      <c r="H3019" t="s">
        <v>13</v>
      </c>
      <c r="I3019">
        <v>27</v>
      </c>
      <c r="J3019" t="str" cm="1">
        <f t="array" ref="J3019">_xlfn.IFS(ISBLANK(C3019),"FALTANTE",ABS((C3019-$W$5)/$X$5)&gt;1.96,"ATÍPICO",ABS((C3019-$W$5)/$X$5)&lt;=1.96,"NO ATÍPICO")</f>
        <v>NO ATÍPICO</v>
      </c>
      <c r="K3019" t="str" cm="1">
        <f t="array" ref="K3019">_xlfn.IFS(ISBLANK(I3019),"FALTANTE",ABS((I3019-$W$8)/$X$8)&gt;1.92,"ATÍPICO",ABS((I3019-$W$8)/$X$8)&lt;=1.92,"NO ATÍPICO")</f>
        <v>NO ATÍPICO</v>
      </c>
      <c r="L3019">
        <f t="shared" si="205"/>
        <v>298500</v>
      </c>
      <c r="M3019" t="str">
        <f t="shared" si="205"/>
        <v>ASEGURADO VOLUNTARIO</v>
      </c>
      <c r="N3019">
        <f t="shared" si="206"/>
        <v>27</v>
      </c>
      <c r="O3019" s="19" t="str">
        <f t="shared" si="207"/>
        <v>0–300k</v>
      </c>
      <c r="P3019" s="19" t="str">
        <f t="shared" si="208"/>
        <v>26-35</v>
      </c>
    </row>
    <row r="3020" spans="1:16" x14ac:dyDescent="0.25">
      <c r="A3020">
        <v>3019</v>
      </c>
      <c r="B3020" t="s">
        <v>9</v>
      </c>
      <c r="C3020">
        <v>278030</v>
      </c>
      <c r="D3020" t="s">
        <v>19</v>
      </c>
      <c r="E3020" t="s">
        <v>16</v>
      </c>
      <c r="F3020" t="s">
        <v>12</v>
      </c>
      <c r="G3020" t="s">
        <v>13</v>
      </c>
      <c r="H3020" t="s">
        <v>13</v>
      </c>
      <c r="I3020">
        <v>50</v>
      </c>
      <c r="J3020" t="str" cm="1">
        <f t="array" ref="J3020">_xlfn.IFS(ISBLANK(C3020),"FALTANTE",ABS((C3020-$W$5)/$X$5)&gt;1.96,"ATÍPICO",ABS((C3020-$W$5)/$X$5)&lt;=1.96,"NO ATÍPICO")</f>
        <v>NO ATÍPICO</v>
      </c>
      <c r="K3020" t="str" cm="1">
        <f t="array" ref="K3020">_xlfn.IFS(ISBLANK(I3020),"FALTANTE",ABS((I3020-$W$8)/$X$8)&gt;1.92,"ATÍPICO",ABS((I3020-$W$8)/$X$8)&lt;=1.92,"NO ATÍPICO")</f>
        <v>NO ATÍPICO</v>
      </c>
      <c r="L3020">
        <f t="shared" si="205"/>
        <v>278030</v>
      </c>
      <c r="M3020" t="str">
        <f t="shared" si="205"/>
        <v>CONVENIOS ESPECIALES DE TRABAJADORES INDEPENDIENTES</v>
      </c>
      <c r="N3020">
        <f t="shared" si="206"/>
        <v>50</v>
      </c>
      <c r="O3020" s="19" t="str">
        <f t="shared" si="207"/>
        <v>0–300k</v>
      </c>
      <c r="P3020" s="19" t="str">
        <f t="shared" si="208"/>
        <v>46-55</v>
      </c>
    </row>
    <row r="3021" spans="1:16" x14ac:dyDescent="0.25">
      <c r="A3021">
        <v>3020</v>
      </c>
      <c r="B3021" t="s">
        <v>15</v>
      </c>
      <c r="C3021">
        <v>1921928.32</v>
      </c>
      <c r="D3021" t="s">
        <v>10</v>
      </c>
      <c r="E3021" t="s">
        <v>11</v>
      </c>
      <c r="F3021" t="s">
        <v>12</v>
      </c>
      <c r="G3021" t="s">
        <v>13</v>
      </c>
      <c r="H3021" t="s">
        <v>13</v>
      </c>
      <c r="I3021">
        <v>51</v>
      </c>
      <c r="J3021" t="str" cm="1">
        <f t="array" ref="J3021">_xlfn.IFS(ISBLANK(C3021),"FALTANTE",ABS((C3021-$W$5)/$X$5)&gt;1.96,"ATÍPICO",ABS((C3021-$W$5)/$X$5)&lt;=1.96,"NO ATÍPICO")</f>
        <v>NO ATÍPICO</v>
      </c>
      <c r="K3021" t="str" cm="1">
        <f t="array" ref="K3021">_xlfn.IFS(ISBLANK(I3021),"FALTANTE",ABS((I3021-$W$8)/$X$8)&gt;1.92,"ATÍPICO",ABS((I3021-$W$8)/$X$8)&lt;=1.92,"NO ATÍPICO")</f>
        <v>NO ATÍPICO</v>
      </c>
      <c r="L3021">
        <f t="shared" si="205"/>
        <v>1921928.32</v>
      </c>
      <c r="M3021" t="str">
        <f t="shared" si="205"/>
        <v>ASALARIADO</v>
      </c>
      <c r="N3021">
        <f t="shared" si="206"/>
        <v>51</v>
      </c>
      <c r="O3021" s="19" t="str">
        <f t="shared" si="207"/>
        <v>1200k+</v>
      </c>
      <c r="P3021" s="19" t="str">
        <f t="shared" si="208"/>
        <v>46-55</v>
      </c>
    </row>
    <row r="3022" spans="1:16" x14ac:dyDescent="0.25">
      <c r="A3022">
        <v>3021</v>
      </c>
      <c r="B3022" t="s">
        <v>9</v>
      </c>
      <c r="C3022">
        <v>639148</v>
      </c>
      <c r="D3022" t="s">
        <v>17</v>
      </c>
      <c r="E3022" t="s">
        <v>16</v>
      </c>
      <c r="F3022" t="s">
        <v>12</v>
      </c>
      <c r="G3022" t="s">
        <v>12</v>
      </c>
      <c r="H3022" t="s">
        <v>13</v>
      </c>
      <c r="I3022">
        <v>79</v>
      </c>
      <c r="J3022" t="str" cm="1">
        <f t="array" ref="J3022">_xlfn.IFS(ISBLANK(C3022),"FALTANTE",ABS((C3022-$W$5)/$X$5)&gt;1.96,"ATÍPICO",ABS((C3022-$W$5)/$X$5)&lt;=1.96,"NO ATÍPICO")</f>
        <v>NO ATÍPICO</v>
      </c>
      <c r="K3022" t="str" cm="1">
        <f t="array" ref="K3022">_xlfn.IFS(ISBLANK(I3022),"FALTANTE",ABS((I3022-$W$8)/$X$8)&gt;1.92,"ATÍPICO",ABS((I3022-$W$8)/$X$8)&lt;=1.92,"NO ATÍPICO")</f>
        <v>ATÍPICO</v>
      </c>
      <c r="L3022">
        <f t="shared" si="205"/>
        <v>639148</v>
      </c>
      <c r="M3022" t="str">
        <f t="shared" si="205"/>
        <v>ASEGURADO VOLUNTARIO</v>
      </c>
      <c r="N3022">
        <f t="shared" si="206"/>
        <v>79</v>
      </c>
      <c r="O3022" s="19" t="str">
        <f t="shared" si="207"/>
        <v>600k–900k</v>
      </c>
      <c r="P3022" s="19" t="str">
        <f t="shared" si="208"/>
        <v>56+</v>
      </c>
    </row>
    <row r="3023" spans="1:16" x14ac:dyDescent="0.25">
      <c r="A3023">
        <v>3022</v>
      </c>
      <c r="B3023" t="s">
        <v>15</v>
      </c>
      <c r="C3023">
        <v>322866</v>
      </c>
      <c r="D3023" t="s">
        <v>10</v>
      </c>
      <c r="E3023" t="s">
        <v>16</v>
      </c>
      <c r="F3023" t="s">
        <v>12</v>
      </c>
      <c r="G3023" t="s">
        <v>13</v>
      </c>
      <c r="H3023" t="s">
        <v>13</v>
      </c>
      <c r="I3023">
        <v>19</v>
      </c>
      <c r="J3023" t="str" cm="1">
        <f t="array" ref="J3023">_xlfn.IFS(ISBLANK(C3023),"FALTANTE",ABS((C3023-$W$5)/$X$5)&gt;1.96,"ATÍPICO",ABS((C3023-$W$5)/$X$5)&lt;=1.96,"NO ATÍPICO")</f>
        <v>NO ATÍPICO</v>
      </c>
      <c r="K3023" t="str" cm="1">
        <f t="array" ref="K3023">_xlfn.IFS(ISBLANK(I3023),"FALTANTE",ABS((I3023-$W$8)/$X$8)&gt;1.92,"ATÍPICO",ABS((I3023-$W$8)/$X$8)&lt;=1.92,"NO ATÍPICO")</f>
        <v>NO ATÍPICO</v>
      </c>
      <c r="L3023">
        <f t="shared" si="205"/>
        <v>322866</v>
      </c>
      <c r="M3023" t="str">
        <f t="shared" si="205"/>
        <v>ASALARIADO</v>
      </c>
      <c r="N3023">
        <f t="shared" si="206"/>
        <v>19</v>
      </c>
      <c r="O3023" s="19" t="str">
        <f t="shared" si="207"/>
        <v>300k–600k</v>
      </c>
      <c r="P3023" s="19" t="str">
        <f t="shared" si="208"/>
        <v>18-25</v>
      </c>
    </row>
    <row r="3024" spans="1:16" x14ac:dyDescent="0.25">
      <c r="A3024">
        <v>3023</v>
      </c>
      <c r="B3024" t="s">
        <v>9</v>
      </c>
      <c r="C3024">
        <v>405002.33</v>
      </c>
      <c r="D3024" t="s">
        <v>10</v>
      </c>
      <c r="E3024" t="s">
        <v>11</v>
      </c>
      <c r="F3024" t="s">
        <v>12</v>
      </c>
      <c r="G3024" t="s">
        <v>13</v>
      </c>
      <c r="H3024" t="s">
        <v>13</v>
      </c>
      <c r="I3024">
        <v>47</v>
      </c>
      <c r="J3024" t="str" cm="1">
        <f t="array" ref="J3024">_xlfn.IFS(ISBLANK(C3024),"FALTANTE",ABS((C3024-$W$5)/$X$5)&gt;1.96,"ATÍPICO",ABS((C3024-$W$5)/$X$5)&lt;=1.96,"NO ATÍPICO")</f>
        <v>NO ATÍPICO</v>
      </c>
      <c r="K3024" t="str" cm="1">
        <f t="array" ref="K3024">_xlfn.IFS(ISBLANK(I3024),"FALTANTE",ABS((I3024-$W$8)/$X$8)&gt;1.92,"ATÍPICO",ABS((I3024-$W$8)/$X$8)&lt;=1.92,"NO ATÍPICO")</f>
        <v>NO ATÍPICO</v>
      </c>
      <c r="L3024">
        <f t="shared" si="205"/>
        <v>405002.33</v>
      </c>
      <c r="M3024" t="str">
        <f t="shared" si="205"/>
        <v>ASALARIADO</v>
      </c>
      <c r="N3024">
        <f t="shared" si="206"/>
        <v>47</v>
      </c>
      <c r="O3024" s="19" t="str">
        <f t="shared" si="207"/>
        <v>300k–600k</v>
      </c>
      <c r="P3024" s="19" t="str">
        <f t="shared" si="208"/>
        <v>46-55</v>
      </c>
    </row>
    <row r="3025" spans="1:16" x14ac:dyDescent="0.25">
      <c r="A3025">
        <v>3024</v>
      </c>
      <c r="B3025" t="s">
        <v>9</v>
      </c>
      <c r="C3025">
        <v>297046</v>
      </c>
      <c r="D3025" t="s">
        <v>17</v>
      </c>
      <c r="E3025" t="s">
        <v>16</v>
      </c>
      <c r="F3025" t="s">
        <v>12</v>
      </c>
      <c r="G3025" t="s">
        <v>13</v>
      </c>
      <c r="H3025" t="s">
        <v>13</v>
      </c>
      <c r="I3025">
        <v>64</v>
      </c>
      <c r="J3025" t="str" cm="1">
        <f t="array" ref="J3025">_xlfn.IFS(ISBLANK(C3025),"FALTANTE",ABS((C3025-$W$5)/$X$5)&gt;1.96,"ATÍPICO",ABS((C3025-$W$5)/$X$5)&lt;=1.96,"NO ATÍPICO")</f>
        <v>NO ATÍPICO</v>
      </c>
      <c r="K3025" t="str" cm="1">
        <f t="array" ref="K3025">_xlfn.IFS(ISBLANK(I3025),"FALTANTE",ABS((I3025-$W$8)/$X$8)&gt;1.92,"ATÍPICO",ABS((I3025-$W$8)/$X$8)&lt;=1.92,"NO ATÍPICO")</f>
        <v>NO ATÍPICO</v>
      </c>
      <c r="L3025">
        <f t="shared" si="205"/>
        <v>297046</v>
      </c>
      <c r="M3025" t="str">
        <f t="shared" si="205"/>
        <v>ASEGURADO VOLUNTARIO</v>
      </c>
      <c r="N3025">
        <f t="shared" si="206"/>
        <v>64</v>
      </c>
      <c r="O3025" s="19" t="str">
        <f t="shared" si="207"/>
        <v>0–300k</v>
      </c>
      <c r="P3025" s="19" t="str">
        <f t="shared" si="208"/>
        <v>56+</v>
      </c>
    </row>
    <row r="3026" spans="1:16" x14ac:dyDescent="0.25">
      <c r="A3026">
        <v>3025</v>
      </c>
      <c r="B3026" t="s">
        <v>15</v>
      </c>
      <c r="C3026">
        <v>651333.19999999995</v>
      </c>
      <c r="D3026" t="s">
        <v>10</v>
      </c>
      <c r="E3026" t="s">
        <v>11</v>
      </c>
      <c r="F3026" t="s">
        <v>12</v>
      </c>
      <c r="G3026" t="s">
        <v>13</v>
      </c>
      <c r="H3026" t="s">
        <v>13</v>
      </c>
      <c r="I3026">
        <v>36</v>
      </c>
      <c r="J3026" t="str" cm="1">
        <f t="array" ref="J3026">_xlfn.IFS(ISBLANK(C3026),"FALTANTE",ABS((C3026-$W$5)/$X$5)&gt;1.96,"ATÍPICO",ABS((C3026-$W$5)/$X$5)&lt;=1.96,"NO ATÍPICO")</f>
        <v>NO ATÍPICO</v>
      </c>
      <c r="K3026" t="str" cm="1">
        <f t="array" ref="K3026">_xlfn.IFS(ISBLANK(I3026),"FALTANTE",ABS((I3026-$W$8)/$X$8)&gt;1.92,"ATÍPICO",ABS((I3026-$W$8)/$X$8)&lt;=1.92,"NO ATÍPICO")</f>
        <v>NO ATÍPICO</v>
      </c>
      <c r="L3026">
        <f t="shared" si="205"/>
        <v>651333.19999999995</v>
      </c>
      <c r="M3026" t="str">
        <f t="shared" si="205"/>
        <v>ASALARIADO</v>
      </c>
      <c r="N3026">
        <f t="shared" si="206"/>
        <v>36</v>
      </c>
      <c r="O3026" s="19" t="str">
        <f t="shared" si="207"/>
        <v>600k–900k</v>
      </c>
      <c r="P3026" s="19" t="str">
        <f t="shared" si="208"/>
        <v>36-45</v>
      </c>
    </row>
    <row r="3027" spans="1:16" x14ac:dyDescent="0.25">
      <c r="A3027">
        <v>3026</v>
      </c>
      <c r="B3027" t="s">
        <v>9</v>
      </c>
      <c r="C3027">
        <v>577384</v>
      </c>
      <c r="D3027" t="s">
        <v>10</v>
      </c>
      <c r="E3027" t="s">
        <v>16</v>
      </c>
      <c r="F3027" t="s">
        <v>12</v>
      </c>
      <c r="G3027" t="s">
        <v>13</v>
      </c>
      <c r="H3027" t="s">
        <v>13</v>
      </c>
      <c r="I3027">
        <v>41</v>
      </c>
      <c r="J3027" t="str" cm="1">
        <f t="array" ref="J3027">_xlfn.IFS(ISBLANK(C3027),"FALTANTE",ABS((C3027-$W$5)/$X$5)&gt;1.96,"ATÍPICO",ABS((C3027-$W$5)/$X$5)&lt;=1.96,"NO ATÍPICO")</f>
        <v>NO ATÍPICO</v>
      </c>
      <c r="K3027" t="str" cm="1">
        <f t="array" ref="K3027">_xlfn.IFS(ISBLANK(I3027),"FALTANTE",ABS((I3027-$W$8)/$X$8)&gt;1.92,"ATÍPICO",ABS((I3027-$W$8)/$X$8)&lt;=1.92,"NO ATÍPICO")</f>
        <v>NO ATÍPICO</v>
      </c>
      <c r="L3027">
        <f t="shared" si="205"/>
        <v>577384</v>
      </c>
      <c r="M3027" t="str">
        <f t="shared" si="205"/>
        <v>ASALARIADO</v>
      </c>
      <c r="N3027">
        <f t="shared" si="206"/>
        <v>41</v>
      </c>
      <c r="O3027" s="19" t="str">
        <f t="shared" si="207"/>
        <v>300k–600k</v>
      </c>
      <c r="P3027" s="19" t="str">
        <f t="shared" si="208"/>
        <v>36-45</v>
      </c>
    </row>
    <row r="3028" spans="1:16" x14ac:dyDescent="0.25">
      <c r="A3028">
        <v>3027</v>
      </c>
      <c r="B3028" t="s">
        <v>15</v>
      </c>
      <c r="C3028">
        <v>1207004.3999999999</v>
      </c>
      <c r="D3028" t="s">
        <v>10</v>
      </c>
      <c r="E3028" t="s">
        <v>11</v>
      </c>
      <c r="F3028" t="s">
        <v>12</v>
      </c>
      <c r="G3028" t="s">
        <v>13</v>
      </c>
      <c r="H3028" t="s">
        <v>13</v>
      </c>
      <c r="I3028">
        <v>45</v>
      </c>
      <c r="J3028" t="str" cm="1">
        <f t="array" ref="J3028">_xlfn.IFS(ISBLANK(C3028),"FALTANTE",ABS((C3028-$W$5)/$X$5)&gt;1.96,"ATÍPICO",ABS((C3028-$W$5)/$X$5)&lt;=1.96,"NO ATÍPICO")</f>
        <v>NO ATÍPICO</v>
      </c>
      <c r="K3028" t="str" cm="1">
        <f t="array" ref="K3028">_xlfn.IFS(ISBLANK(I3028),"FALTANTE",ABS((I3028-$W$8)/$X$8)&gt;1.92,"ATÍPICO",ABS((I3028-$W$8)/$X$8)&lt;=1.92,"NO ATÍPICO")</f>
        <v>NO ATÍPICO</v>
      </c>
      <c r="L3028">
        <f t="shared" si="205"/>
        <v>1207004.3999999999</v>
      </c>
      <c r="M3028" t="str">
        <f t="shared" si="205"/>
        <v>ASALARIADO</v>
      </c>
      <c r="N3028">
        <f t="shared" si="206"/>
        <v>45</v>
      </c>
      <c r="O3028" s="19" t="str">
        <f t="shared" si="207"/>
        <v>1200k+</v>
      </c>
      <c r="P3028" s="19" t="str">
        <f t="shared" si="208"/>
        <v>36-45</v>
      </c>
    </row>
    <row r="3029" spans="1:16" x14ac:dyDescent="0.25">
      <c r="A3029">
        <v>3028</v>
      </c>
      <c r="B3029" t="s">
        <v>9</v>
      </c>
      <c r="C3029">
        <v>355880</v>
      </c>
      <c r="D3029" t="s">
        <v>10</v>
      </c>
      <c r="E3029" t="s">
        <v>16</v>
      </c>
      <c r="F3029" t="s">
        <v>12</v>
      </c>
      <c r="G3029" t="s">
        <v>13</v>
      </c>
      <c r="H3029" t="s">
        <v>13</v>
      </c>
      <c r="I3029">
        <v>41</v>
      </c>
      <c r="J3029" t="str" cm="1">
        <f t="array" ref="J3029">_xlfn.IFS(ISBLANK(C3029),"FALTANTE",ABS((C3029-$W$5)/$X$5)&gt;1.96,"ATÍPICO",ABS((C3029-$W$5)/$X$5)&lt;=1.96,"NO ATÍPICO")</f>
        <v>NO ATÍPICO</v>
      </c>
      <c r="K3029" t="str" cm="1">
        <f t="array" ref="K3029">_xlfn.IFS(ISBLANK(I3029),"FALTANTE",ABS((I3029-$W$8)/$X$8)&gt;1.92,"ATÍPICO",ABS((I3029-$W$8)/$X$8)&lt;=1.92,"NO ATÍPICO")</f>
        <v>NO ATÍPICO</v>
      </c>
      <c r="L3029">
        <f t="shared" si="205"/>
        <v>355880</v>
      </c>
      <c r="M3029" t="str">
        <f t="shared" si="205"/>
        <v>ASALARIADO</v>
      </c>
      <c r="N3029">
        <f t="shared" si="206"/>
        <v>41</v>
      </c>
      <c r="O3029" s="19" t="str">
        <f t="shared" si="207"/>
        <v>300k–600k</v>
      </c>
      <c r="P3029" s="19" t="str">
        <f t="shared" si="208"/>
        <v>36-45</v>
      </c>
    </row>
    <row r="3030" spans="1:16" x14ac:dyDescent="0.25">
      <c r="A3030">
        <v>3029</v>
      </c>
      <c r="B3030" t="s">
        <v>15</v>
      </c>
      <c r="C3030">
        <v>278030</v>
      </c>
      <c r="D3030" t="s">
        <v>19</v>
      </c>
      <c r="E3030" t="s">
        <v>16</v>
      </c>
      <c r="F3030" t="s">
        <v>12</v>
      </c>
      <c r="G3030" t="s">
        <v>13</v>
      </c>
      <c r="H3030" t="s">
        <v>13</v>
      </c>
      <c r="I3030">
        <v>40</v>
      </c>
      <c r="J3030" t="str" cm="1">
        <f t="array" ref="J3030">_xlfn.IFS(ISBLANK(C3030),"FALTANTE",ABS((C3030-$W$5)/$X$5)&gt;1.96,"ATÍPICO",ABS((C3030-$W$5)/$X$5)&lt;=1.96,"NO ATÍPICO")</f>
        <v>NO ATÍPICO</v>
      </c>
      <c r="K3030" t="str" cm="1">
        <f t="array" ref="K3030">_xlfn.IFS(ISBLANK(I3030),"FALTANTE",ABS((I3030-$W$8)/$X$8)&gt;1.92,"ATÍPICO",ABS((I3030-$W$8)/$X$8)&lt;=1.92,"NO ATÍPICO")</f>
        <v>NO ATÍPICO</v>
      </c>
      <c r="L3030">
        <f t="shared" si="205"/>
        <v>278030</v>
      </c>
      <c r="M3030" t="str">
        <f t="shared" si="205"/>
        <v>CONVENIOS ESPECIALES DE TRABAJADORES INDEPENDIENTES</v>
      </c>
      <c r="N3030">
        <f t="shared" si="206"/>
        <v>40</v>
      </c>
      <c r="O3030" s="19" t="str">
        <f t="shared" si="207"/>
        <v>0–300k</v>
      </c>
      <c r="P3030" s="19" t="str">
        <f t="shared" si="208"/>
        <v>36-45</v>
      </c>
    </row>
    <row r="3031" spans="1:16" x14ac:dyDescent="0.25">
      <c r="A3031">
        <v>3030</v>
      </c>
      <c r="B3031" t="s">
        <v>9</v>
      </c>
      <c r="C3031">
        <v>156631.5</v>
      </c>
      <c r="D3031" t="s">
        <v>14</v>
      </c>
      <c r="E3031" t="s">
        <v>11</v>
      </c>
      <c r="F3031" t="s">
        <v>12</v>
      </c>
      <c r="G3031" t="s">
        <v>13</v>
      </c>
      <c r="H3031" t="s">
        <v>13</v>
      </c>
      <c r="I3031">
        <v>91</v>
      </c>
      <c r="J3031" t="str" cm="1">
        <f t="array" ref="J3031">_xlfn.IFS(ISBLANK(C3031),"FALTANTE",ABS((C3031-$W$5)/$X$5)&gt;1.96,"ATÍPICO",ABS((C3031-$W$5)/$X$5)&lt;=1.96,"NO ATÍPICO")</f>
        <v>NO ATÍPICO</v>
      </c>
      <c r="K3031" t="str" cm="1">
        <f t="array" ref="K3031">_xlfn.IFS(ISBLANK(I3031),"FALTANTE",ABS((I3031-$W$8)/$X$8)&gt;1.92,"ATÍPICO",ABS((I3031-$W$8)/$X$8)&lt;=1.92,"NO ATÍPICO")</f>
        <v>ATÍPICO</v>
      </c>
      <c r="L3031">
        <f t="shared" si="205"/>
        <v>156631.5</v>
      </c>
      <c r="M3031" t="str">
        <f t="shared" si="205"/>
        <v>PENSIONADOS EN SU PROPIO SISTEMA</v>
      </c>
      <c r="N3031">
        <f t="shared" si="206"/>
        <v>91</v>
      </c>
      <c r="O3031" s="19" t="str">
        <f t="shared" si="207"/>
        <v>0–300k</v>
      </c>
      <c r="P3031" s="19" t="str">
        <f t="shared" si="208"/>
        <v>56+</v>
      </c>
    </row>
    <row r="3032" spans="1:16" x14ac:dyDescent="0.25">
      <c r="A3032">
        <v>3031</v>
      </c>
      <c r="B3032" t="s">
        <v>9</v>
      </c>
      <c r="C3032">
        <v>341207</v>
      </c>
      <c r="D3032" t="s">
        <v>10</v>
      </c>
      <c r="E3032" t="s">
        <v>16</v>
      </c>
      <c r="F3032" t="s">
        <v>12</v>
      </c>
      <c r="G3032" t="s">
        <v>13</v>
      </c>
      <c r="H3032" t="s">
        <v>12</v>
      </c>
      <c r="I3032">
        <v>38</v>
      </c>
      <c r="J3032" t="str" cm="1">
        <f t="array" ref="J3032">_xlfn.IFS(ISBLANK(C3032),"FALTANTE",ABS((C3032-$W$5)/$X$5)&gt;1.96,"ATÍPICO",ABS((C3032-$W$5)/$X$5)&lt;=1.96,"NO ATÍPICO")</f>
        <v>NO ATÍPICO</v>
      </c>
      <c r="K3032" t="str" cm="1">
        <f t="array" ref="K3032">_xlfn.IFS(ISBLANK(I3032),"FALTANTE",ABS((I3032-$W$8)/$X$8)&gt;1.92,"ATÍPICO",ABS((I3032-$W$8)/$X$8)&lt;=1.92,"NO ATÍPICO")</f>
        <v>NO ATÍPICO</v>
      </c>
      <c r="L3032">
        <f t="shared" si="205"/>
        <v>341207</v>
      </c>
      <c r="M3032" t="str">
        <f t="shared" si="205"/>
        <v>ASALARIADO</v>
      </c>
      <c r="N3032">
        <f t="shared" si="206"/>
        <v>38</v>
      </c>
      <c r="O3032" s="19" t="str">
        <f t="shared" si="207"/>
        <v>300k–600k</v>
      </c>
      <c r="P3032" s="19" t="str">
        <f t="shared" si="208"/>
        <v>36-45</v>
      </c>
    </row>
    <row r="3033" spans="1:16" x14ac:dyDescent="0.25">
      <c r="A3033">
        <v>3032</v>
      </c>
      <c r="B3033" t="s">
        <v>15</v>
      </c>
      <c r="C3033">
        <v>1517417.52</v>
      </c>
      <c r="D3033" t="s">
        <v>10</v>
      </c>
      <c r="E3033" t="s">
        <v>11</v>
      </c>
      <c r="F3033" t="s">
        <v>12</v>
      </c>
      <c r="G3033" t="s">
        <v>13</v>
      </c>
      <c r="H3033" t="s">
        <v>13</v>
      </c>
      <c r="I3033">
        <v>42</v>
      </c>
      <c r="J3033" t="str" cm="1">
        <f t="array" ref="J3033">_xlfn.IFS(ISBLANK(C3033),"FALTANTE",ABS((C3033-$W$5)/$X$5)&gt;1.96,"ATÍPICO",ABS((C3033-$W$5)/$X$5)&lt;=1.96,"NO ATÍPICO")</f>
        <v>NO ATÍPICO</v>
      </c>
      <c r="K3033" t="str" cm="1">
        <f t="array" ref="K3033">_xlfn.IFS(ISBLANK(I3033),"FALTANTE",ABS((I3033-$W$8)/$X$8)&gt;1.92,"ATÍPICO",ABS((I3033-$W$8)/$X$8)&lt;=1.92,"NO ATÍPICO")</f>
        <v>NO ATÍPICO</v>
      </c>
      <c r="L3033">
        <f t="shared" si="205"/>
        <v>1517417.52</v>
      </c>
      <c r="M3033" t="str">
        <f t="shared" si="205"/>
        <v>ASALARIADO</v>
      </c>
      <c r="N3033">
        <f t="shared" si="206"/>
        <v>42</v>
      </c>
      <c r="O3033" s="19" t="str">
        <f t="shared" si="207"/>
        <v>1200k+</v>
      </c>
      <c r="P3033" s="19" t="str">
        <f t="shared" si="208"/>
        <v>36-45</v>
      </c>
    </row>
    <row r="3034" spans="1:16" x14ac:dyDescent="0.25">
      <c r="A3034">
        <v>3033</v>
      </c>
      <c r="B3034" t="s">
        <v>9</v>
      </c>
      <c r="C3034">
        <v>292945.2</v>
      </c>
      <c r="D3034" t="s">
        <v>10</v>
      </c>
      <c r="E3034" t="s">
        <v>16</v>
      </c>
      <c r="F3034" t="s">
        <v>12</v>
      </c>
      <c r="G3034" t="s">
        <v>13</v>
      </c>
      <c r="H3034" t="s">
        <v>13</v>
      </c>
      <c r="I3034">
        <v>47</v>
      </c>
      <c r="J3034" t="str" cm="1">
        <f t="array" ref="J3034">_xlfn.IFS(ISBLANK(C3034),"FALTANTE",ABS((C3034-$W$5)/$X$5)&gt;1.96,"ATÍPICO",ABS((C3034-$W$5)/$X$5)&lt;=1.96,"NO ATÍPICO")</f>
        <v>NO ATÍPICO</v>
      </c>
      <c r="K3034" t="str" cm="1">
        <f t="array" ref="K3034">_xlfn.IFS(ISBLANK(I3034),"FALTANTE",ABS((I3034-$W$8)/$X$8)&gt;1.92,"ATÍPICO",ABS((I3034-$W$8)/$X$8)&lt;=1.92,"NO ATÍPICO")</f>
        <v>NO ATÍPICO</v>
      </c>
      <c r="L3034">
        <f t="shared" si="205"/>
        <v>292945.2</v>
      </c>
      <c r="M3034" t="str">
        <f t="shared" si="205"/>
        <v>ASALARIADO</v>
      </c>
      <c r="N3034">
        <f t="shared" si="206"/>
        <v>47</v>
      </c>
      <c r="O3034" s="19" t="str">
        <f t="shared" si="207"/>
        <v>0–300k</v>
      </c>
      <c r="P3034" s="19" t="str">
        <f t="shared" si="208"/>
        <v>46-55</v>
      </c>
    </row>
    <row r="3035" spans="1:16" x14ac:dyDescent="0.25">
      <c r="A3035">
        <v>3034</v>
      </c>
      <c r="B3035" t="s">
        <v>9</v>
      </c>
      <c r="C3035">
        <v>514062</v>
      </c>
      <c r="D3035" t="s">
        <v>18</v>
      </c>
      <c r="E3035" t="s">
        <v>16</v>
      </c>
      <c r="F3035" t="s">
        <v>12</v>
      </c>
      <c r="G3035" t="s">
        <v>13</v>
      </c>
      <c r="H3035" t="s">
        <v>12</v>
      </c>
      <c r="I3035">
        <v>45</v>
      </c>
      <c r="J3035" t="str" cm="1">
        <f t="array" ref="J3035">_xlfn.IFS(ISBLANK(C3035),"FALTANTE",ABS((C3035-$W$5)/$X$5)&gt;1.96,"ATÍPICO",ABS((C3035-$W$5)/$X$5)&lt;=1.96,"NO ATÍPICO")</f>
        <v>NO ATÍPICO</v>
      </c>
      <c r="K3035" t="str" cm="1">
        <f t="array" ref="K3035">_xlfn.IFS(ISBLANK(I3035),"FALTANTE",ABS((I3035-$W$8)/$X$8)&gt;1.92,"ATÍPICO",ABS((I3035-$W$8)/$X$8)&lt;=1.92,"NO ATÍPICO")</f>
        <v>NO ATÍPICO</v>
      </c>
      <c r="L3035">
        <f t="shared" si="205"/>
        <v>514062</v>
      </c>
      <c r="M3035" t="str">
        <f t="shared" si="205"/>
        <v>TRABAJADOR INDEPENDIENTE</v>
      </c>
      <c r="N3035">
        <f t="shared" si="206"/>
        <v>45</v>
      </c>
      <c r="O3035" s="19" t="str">
        <f t="shared" si="207"/>
        <v>300k–600k</v>
      </c>
      <c r="P3035" s="19" t="str">
        <f t="shared" si="208"/>
        <v>36-45</v>
      </c>
    </row>
    <row r="3036" spans="1:16" x14ac:dyDescent="0.25">
      <c r="A3036">
        <v>3035</v>
      </c>
      <c r="B3036" t="s">
        <v>15</v>
      </c>
      <c r="C3036">
        <v>192657.4</v>
      </c>
      <c r="D3036" t="s">
        <v>10</v>
      </c>
      <c r="E3036" t="s">
        <v>11</v>
      </c>
      <c r="F3036" t="s">
        <v>12</v>
      </c>
      <c r="G3036" t="s">
        <v>13</v>
      </c>
      <c r="H3036" t="s">
        <v>13</v>
      </c>
      <c r="I3036">
        <v>36</v>
      </c>
      <c r="J3036" t="str" cm="1">
        <f t="array" ref="J3036">_xlfn.IFS(ISBLANK(C3036),"FALTANTE",ABS((C3036-$W$5)/$X$5)&gt;1.96,"ATÍPICO",ABS((C3036-$W$5)/$X$5)&lt;=1.96,"NO ATÍPICO")</f>
        <v>NO ATÍPICO</v>
      </c>
      <c r="K3036" t="str" cm="1">
        <f t="array" ref="K3036">_xlfn.IFS(ISBLANK(I3036),"FALTANTE",ABS((I3036-$W$8)/$X$8)&gt;1.92,"ATÍPICO",ABS((I3036-$W$8)/$X$8)&lt;=1.92,"NO ATÍPICO")</f>
        <v>NO ATÍPICO</v>
      </c>
      <c r="L3036">
        <f t="shared" si="205"/>
        <v>192657.4</v>
      </c>
      <c r="M3036" t="str">
        <f t="shared" si="205"/>
        <v>ASALARIADO</v>
      </c>
      <c r="N3036">
        <f t="shared" si="206"/>
        <v>36</v>
      </c>
      <c r="O3036" s="19" t="str">
        <f t="shared" si="207"/>
        <v>0–300k</v>
      </c>
      <c r="P3036" s="19" t="str">
        <f t="shared" si="208"/>
        <v>36-45</v>
      </c>
    </row>
    <row r="3037" spans="1:16" x14ac:dyDescent="0.25">
      <c r="A3037">
        <v>3036</v>
      </c>
      <c r="B3037" t="s">
        <v>9</v>
      </c>
      <c r="C3037">
        <v>331181</v>
      </c>
      <c r="D3037" t="s">
        <v>17</v>
      </c>
      <c r="E3037" t="s">
        <v>16</v>
      </c>
      <c r="F3037" t="s">
        <v>12</v>
      </c>
      <c r="G3037" t="s">
        <v>13</v>
      </c>
      <c r="H3037" t="s">
        <v>13</v>
      </c>
      <c r="I3037">
        <v>41</v>
      </c>
      <c r="J3037" t="str" cm="1">
        <f t="array" ref="J3037">_xlfn.IFS(ISBLANK(C3037),"FALTANTE",ABS((C3037-$W$5)/$X$5)&gt;1.96,"ATÍPICO",ABS((C3037-$W$5)/$X$5)&lt;=1.96,"NO ATÍPICO")</f>
        <v>NO ATÍPICO</v>
      </c>
      <c r="K3037" t="str" cm="1">
        <f t="array" ref="K3037">_xlfn.IFS(ISBLANK(I3037),"FALTANTE",ABS((I3037-$W$8)/$X$8)&gt;1.92,"ATÍPICO",ABS((I3037-$W$8)/$X$8)&lt;=1.92,"NO ATÍPICO")</f>
        <v>NO ATÍPICO</v>
      </c>
      <c r="L3037">
        <f t="shared" si="205"/>
        <v>331181</v>
      </c>
      <c r="M3037" t="str">
        <f t="shared" si="205"/>
        <v>ASEGURADO VOLUNTARIO</v>
      </c>
      <c r="N3037">
        <f t="shared" si="206"/>
        <v>41</v>
      </c>
      <c r="O3037" s="19" t="str">
        <f t="shared" si="207"/>
        <v>300k–600k</v>
      </c>
      <c r="P3037" s="19" t="str">
        <f t="shared" si="208"/>
        <v>36-45</v>
      </c>
    </row>
    <row r="3038" spans="1:16" x14ac:dyDescent="0.25">
      <c r="A3038">
        <v>3037</v>
      </c>
      <c r="B3038" t="s">
        <v>9</v>
      </c>
      <c r="C3038">
        <v>1346208.75</v>
      </c>
      <c r="D3038" t="s">
        <v>10</v>
      </c>
      <c r="E3038" t="s">
        <v>16</v>
      </c>
      <c r="F3038" t="s">
        <v>12</v>
      </c>
      <c r="G3038" t="s">
        <v>13</v>
      </c>
      <c r="H3038" t="s">
        <v>13</v>
      </c>
      <c r="I3038">
        <v>38</v>
      </c>
      <c r="J3038" t="str" cm="1">
        <f t="array" ref="J3038">_xlfn.IFS(ISBLANK(C3038),"FALTANTE",ABS((C3038-$W$5)/$X$5)&gt;1.96,"ATÍPICO",ABS((C3038-$W$5)/$X$5)&lt;=1.96,"NO ATÍPICO")</f>
        <v>NO ATÍPICO</v>
      </c>
      <c r="K3038" t="str" cm="1">
        <f t="array" ref="K3038">_xlfn.IFS(ISBLANK(I3038),"FALTANTE",ABS((I3038-$W$8)/$X$8)&gt;1.92,"ATÍPICO",ABS((I3038-$W$8)/$X$8)&lt;=1.92,"NO ATÍPICO")</f>
        <v>NO ATÍPICO</v>
      </c>
      <c r="L3038">
        <f t="shared" si="205"/>
        <v>1346208.75</v>
      </c>
      <c r="M3038" t="str">
        <f t="shared" si="205"/>
        <v>ASALARIADO</v>
      </c>
      <c r="N3038">
        <f t="shared" si="206"/>
        <v>38</v>
      </c>
      <c r="O3038" s="19" t="str">
        <f t="shared" si="207"/>
        <v>1200k+</v>
      </c>
      <c r="P3038" s="19" t="str">
        <f t="shared" si="208"/>
        <v>36-45</v>
      </c>
    </row>
    <row r="3039" spans="1:16" x14ac:dyDescent="0.25">
      <c r="A3039">
        <v>3038</v>
      </c>
      <c r="B3039" t="s">
        <v>9</v>
      </c>
      <c r="C3039">
        <v>639143</v>
      </c>
      <c r="D3039" t="s">
        <v>21</v>
      </c>
      <c r="E3039" t="s">
        <v>16</v>
      </c>
      <c r="F3039" t="s">
        <v>12</v>
      </c>
      <c r="G3039" t="s">
        <v>12</v>
      </c>
      <c r="H3039" t="s">
        <v>13</v>
      </c>
      <c r="I3039">
        <v>75</v>
      </c>
      <c r="J3039" t="str" cm="1">
        <f t="array" ref="J3039">_xlfn.IFS(ISBLANK(C3039),"FALTANTE",ABS((C3039-$W$5)/$X$5)&gt;1.96,"ATÍPICO",ABS((C3039-$W$5)/$X$5)&lt;=1.96,"NO ATÍPICO")</f>
        <v>NO ATÍPICO</v>
      </c>
      <c r="K3039" t="str" cm="1">
        <f t="array" ref="K3039">_xlfn.IFS(ISBLANK(I3039),"FALTANTE",ABS((I3039-$W$8)/$X$8)&gt;1.92,"ATÍPICO",ABS((I3039-$W$8)/$X$8)&lt;=1.92,"NO ATÍPICO")</f>
        <v>ATÍPICO</v>
      </c>
      <c r="L3039">
        <f t="shared" si="205"/>
        <v>639143</v>
      </c>
      <c r="M3039" t="str">
        <f t="shared" si="205"/>
        <v>CONVENIOS ESPECIALES DE ASEGURADOS VOLUNTARIOS</v>
      </c>
      <c r="N3039">
        <f t="shared" si="206"/>
        <v>75</v>
      </c>
      <c r="O3039" s="19" t="str">
        <f t="shared" si="207"/>
        <v>600k–900k</v>
      </c>
      <c r="P3039" s="19" t="str">
        <f t="shared" si="208"/>
        <v>56+</v>
      </c>
    </row>
    <row r="3040" spans="1:16" x14ac:dyDescent="0.25">
      <c r="A3040">
        <v>3039</v>
      </c>
      <c r="B3040" t="s">
        <v>15</v>
      </c>
      <c r="C3040">
        <v>545338.75</v>
      </c>
      <c r="D3040" t="s">
        <v>10</v>
      </c>
      <c r="E3040" t="s">
        <v>11</v>
      </c>
      <c r="F3040" t="s">
        <v>12</v>
      </c>
      <c r="G3040" t="s">
        <v>13</v>
      </c>
      <c r="H3040" t="s">
        <v>13</v>
      </c>
      <c r="I3040">
        <v>27</v>
      </c>
      <c r="J3040" t="str" cm="1">
        <f t="array" ref="J3040">_xlfn.IFS(ISBLANK(C3040),"FALTANTE",ABS((C3040-$W$5)/$X$5)&gt;1.96,"ATÍPICO",ABS((C3040-$W$5)/$X$5)&lt;=1.96,"NO ATÍPICO")</f>
        <v>NO ATÍPICO</v>
      </c>
      <c r="K3040" t="str" cm="1">
        <f t="array" ref="K3040">_xlfn.IFS(ISBLANK(I3040),"FALTANTE",ABS((I3040-$W$8)/$X$8)&gt;1.92,"ATÍPICO",ABS((I3040-$W$8)/$X$8)&lt;=1.92,"NO ATÍPICO")</f>
        <v>NO ATÍPICO</v>
      </c>
      <c r="L3040">
        <f t="shared" si="205"/>
        <v>545338.75</v>
      </c>
      <c r="M3040" t="str">
        <f t="shared" si="205"/>
        <v>ASALARIADO</v>
      </c>
      <c r="N3040">
        <f t="shared" si="206"/>
        <v>27</v>
      </c>
      <c r="O3040" s="19" t="str">
        <f t="shared" si="207"/>
        <v>300k–600k</v>
      </c>
      <c r="P3040" s="19" t="str">
        <f t="shared" si="208"/>
        <v>26-35</v>
      </c>
    </row>
    <row r="3041" spans="1:16" x14ac:dyDescent="0.25">
      <c r="A3041">
        <v>3040</v>
      </c>
      <c r="B3041" t="s">
        <v>9</v>
      </c>
      <c r="C3041">
        <v>396543.85</v>
      </c>
      <c r="D3041" t="s">
        <v>10</v>
      </c>
      <c r="E3041" t="s">
        <v>16</v>
      </c>
      <c r="F3041" t="s">
        <v>12</v>
      </c>
      <c r="G3041" t="s">
        <v>13</v>
      </c>
      <c r="H3041" t="s">
        <v>13</v>
      </c>
      <c r="I3041">
        <v>27</v>
      </c>
      <c r="J3041" t="str" cm="1">
        <f t="array" ref="J3041">_xlfn.IFS(ISBLANK(C3041),"FALTANTE",ABS((C3041-$W$5)/$X$5)&gt;1.96,"ATÍPICO",ABS((C3041-$W$5)/$X$5)&lt;=1.96,"NO ATÍPICO")</f>
        <v>NO ATÍPICO</v>
      </c>
      <c r="K3041" t="str" cm="1">
        <f t="array" ref="K3041">_xlfn.IFS(ISBLANK(I3041),"FALTANTE",ABS((I3041-$W$8)/$X$8)&gt;1.92,"ATÍPICO",ABS((I3041-$W$8)/$X$8)&lt;=1.92,"NO ATÍPICO")</f>
        <v>NO ATÍPICO</v>
      </c>
      <c r="L3041">
        <f t="shared" si="205"/>
        <v>396543.85</v>
      </c>
      <c r="M3041" t="str">
        <f t="shared" si="205"/>
        <v>ASALARIADO</v>
      </c>
      <c r="N3041">
        <f t="shared" si="206"/>
        <v>27</v>
      </c>
      <c r="O3041" s="19" t="str">
        <f t="shared" si="207"/>
        <v>300k–600k</v>
      </c>
      <c r="P3041" s="19" t="str">
        <f t="shared" si="208"/>
        <v>26-35</v>
      </c>
    </row>
    <row r="3042" spans="1:16" x14ac:dyDescent="0.25">
      <c r="A3042">
        <v>3041</v>
      </c>
      <c r="B3042" t="s">
        <v>15</v>
      </c>
      <c r="C3042">
        <v>941448</v>
      </c>
      <c r="D3042" t="s">
        <v>10</v>
      </c>
      <c r="E3042" t="s">
        <v>11</v>
      </c>
      <c r="F3042" t="s">
        <v>12</v>
      </c>
      <c r="G3042" t="s">
        <v>13</v>
      </c>
      <c r="H3042" t="s">
        <v>13</v>
      </c>
      <c r="I3042">
        <v>27</v>
      </c>
      <c r="J3042" t="str" cm="1">
        <f t="array" ref="J3042">_xlfn.IFS(ISBLANK(C3042),"FALTANTE",ABS((C3042-$W$5)/$X$5)&gt;1.96,"ATÍPICO",ABS((C3042-$W$5)/$X$5)&lt;=1.96,"NO ATÍPICO")</f>
        <v>NO ATÍPICO</v>
      </c>
      <c r="K3042" t="str" cm="1">
        <f t="array" ref="K3042">_xlfn.IFS(ISBLANK(I3042),"FALTANTE",ABS((I3042-$W$8)/$X$8)&gt;1.92,"ATÍPICO",ABS((I3042-$W$8)/$X$8)&lt;=1.92,"NO ATÍPICO")</f>
        <v>NO ATÍPICO</v>
      </c>
      <c r="L3042">
        <f t="shared" si="205"/>
        <v>941448</v>
      </c>
      <c r="M3042" t="str">
        <f t="shared" si="205"/>
        <v>ASALARIADO</v>
      </c>
      <c r="N3042">
        <f t="shared" si="206"/>
        <v>27</v>
      </c>
      <c r="O3042" s="19" t="str">
        <f t="shared" si="207"/>
        <v>900k–1200k</v>
      </c>
      <c r="P3042" s="19" t="str">
        <f t="shared" si="208"/>
        <v>26-35</v>
      </c>
    </row>
    <row r="3043" spans="1:16" x14ac:dyDescent="0.25">
      <c r="A3043">
        <v>3042</v>
      </c>
      <c r="B3043" t="s">
        <v>15</v>
      </c>
      <c r="C3043">
        <v>929129</v>
      </c>
      <c r="D3043" t="s">
        <v>10</v>
      </c>
      <c r="E3043" t="s">
        <v>11</v>
      </c>
      <c r="F3043" t="s">
        <v>12</v>
      </c>
      <c r="G3043" t="s">
        <v>13</v>
      </c>
      <c r="H3043" t="s">
        <v>13</v>
      </c>
      <c r="I3043">
        <v>38</v>
      </c>
      <c r="J3043" t="str" cm="1">
        <f t="array" ref="J3043">_xlfn.IFS(ISBLANK(C3043),"FALTANTE",ABS((C3043-$W$5)/$X$5)&gt;1.96,"ATÍPICO",ABS((C3043-$W$5)/$X$5)&lt;=1.96,"NO ATÍPICO")</f>
        <v>NO ATÍPICO</v>
      </c>
      <c r="K3043" t="str" cm="1">
        <f t="array" ref="K3043">_xlfn.IFS(ISBLANK(I3043),"FALTANTE",ABS((I3043-$W$8)/$X$8)&gt;1.92,"ATÍPICO",ABS((I3043-$W$8)/$X$8)&lt;=1.92,"NO ATÍPICO")</f>
        <v>NO ATÍPICO</v>
      </c>
      <c r="L3043">
        <f t="shared" si="205"/>
        <v>929129</v>
      </c>
      <c r="M3043" t="str">
        <f t="shared" si="205"/>
        <v>ASALARIADO</v>
      </c>
      <c r="N3043">
        <f t="shared" si="206"/>
        <v>38</v>
      </c>
      <c r="O3043" s="19" t="str">
        <f t="shared" si="207"/>
        <v>900k–1200k</v>
      </c>
      <c r="P3043" s="19" t="str">
        <f t="shared" si="208"/>
        <v>36-45</v>
      </c>
    </row>
    <row r="3044" spans="1:16" x14ac:dyDescent="0.25">
      <c r="A3044">
        <v>3043</v>
      </c>
      <c r="B3044" t="s">
        <v>9</v>
      </c>
      <c r="C3044">
        <v>352881</v>
      </c>
      <c r="D3044" t="s">
        <v>17</v>
      </c>
      <c r="E3044" t="s">
        <v>16</v>
      </c>
      <c r="F3044" t="s">
        <v>12</v>
      </c>
      <c r="G3044" t="s">
        <v>12</v>
      </c>
      <c r="H3044" t="s">
        <v>13</v>
      </c>
      <c r="I3044">
        <v>57</v>
      </c>
      <c r="J3044" t="str" cm="1">
        <f t="array" ref="J3044">_xlfn.IFS(ISBLANK(C3044),"FALTANTE",ABS((C3044-$W$5)/$X$5)&gt;1.96,"ATÍPICO",ABS((C3044-$W$5)/$X$5)&lt;=1.96,"NO ATÍPICO")</f>
        <v>NO ATÍPICO</v>
      </c>
      <c r="K3044" t="str" cm="1">
        <f t="array" ref="K3044">_xlfn.IFS(ISBLANK(I3044),"FALTANTE",ABS((I3044-$W$8)/$X$8)&gt;1.92,"ATÍPICO",ABS((I3044-$W$8)/$X$8)&lt;=1.92,"NO ATÍPICO")</f>
        <v>NO ATÍPICO</v>
      </c>
      <c r="L3044">
        <f t="shared" si="205"/>
        <v>352881</v>
      </c>
      <c r="M3044" t="str">
        <f t="shared" si="205"/>
        <v>ASEGURADO VOLUNTARIO</v>
      </c>
      <c r="N3044">
        <f t="shared" si="206"/>
        <v>57</v>
      </c>
      <c r="O3044" s="19" t="str">
        <f t="shared" si="207"/>
        <v>300k–600k</v>
      </c>
      <c r="P3044" s="19" t="str">
        <f t="shared" si="208"/>
        <v>56+</v>
      </c>
    </row>
    <row r="3045" spans="1:16" x14ac:dyDescent="0.25">
      <c r="A3045">
        <v>3044</v>
      </c>
      <c r="B3045" t="s">
        <v>9</v>
      </c>
      <c r="C3045">
        <v>340369.08</v>
      </c>
      <c r="D3045" t="s">
        <v>10</v>
      </c>
      <c r="E3045" t="s">
        <v>16</v>
      </c>
      <c r="F3045" t="s">
        <v>12</v>
      </c>
      <c r="G3045" t="s">
        <v>13</v>
      </c>
      <c r="H3045" t="s">
        <v>13</v>
      </c>
      <c r="I3045">
        <v>29</v>
      </c>
      <c r="J3045" t="str" cm="1">
        <f t="array" ref="J3045">_xlfn.IFS(ISBLANK(C3045),"FALTANTE",ABS((C3045-$W$5)/$X$5)&gt;1.96,"ATÍPICO",ABS((C3045-$W$5)/$X$5)&lt;=1.96,"NO ATÍPICO")</f>
        <v>NO ATÍPICO</v>
      </c>
      <c r="K3045" t="str" cm="1">
        <f t="array" ref="K3045">_xlfn.IFS(ISBLANK(I3045),"FALTANTE",ABS((I3045-$W$8)/$X$8)&gt;1.92,"ATÍPICO",ABS((I3045-$W$8)/$X$8)&lt;=1.92,"NO ATÍPICO")</f>
        <v>NO ATÍPICO</v>
      </c>
      <c r="L3045">
        <f t="shared" si="205"/>
        <v>340369.08</v>
      </c>
      <c r="M3045" t="str">
        <f t="shared" si="205"/>
        <v>ASALARIADO</v>
      </c>
      <c r="N3045">
        <f t="shared" si="206"/>
        <v>29</v>
      </c>
      <c r="O3045" s="19" t="str">
        <f t="shared" si="207"/>
        <v>300k–600k</v>
      </c>
      <c r="P3045" s="19" t="str">
        <f t="shared" si="208"/>
        <v>26-35</v>
      </c>
    </row>
    <row r="3046" spans="1:16" x14ac:dyDescent="0.25">
      <c r="A3046">
        <v>3045</v>
      </c>
      <c r="B3046" t="s">
        <v>9</v>
      </c>
      <c r="C3046">
        <v>358468</v>
      </c>
      <c r="D3046" t="s">
        <v>10</v>
      </c>
      <c r="E3046" t="s">
        <v>16</v>
      </c>
      <c r="F3046" t="s">
        <v>12</v>
      </c>
      <c r="G3046" t="s">
        <v>13</v>
      </c>
      <c r="H3046" t="s">
        <v>13</v>
      </c>
      <c r="I3046">
        <v>42</v>
      </c>
      <c r="J3046" t="str" cm="1">
        <f t="array" ref="J3046">_xlfn.IFS(ISBLANK(C3046),"FALTANTE",ABS((C3046-$W$5)/$X$5)&gt;1.96,"ATÍPICO",ABS((C3046-$W$5)/$X$5)&lt;=1.96,"NO ATÍPICO")</f>
        <v>NO ATÍPICO</v>
      </c>
      <c r="K3046" t="str" cm="1">
        <f t="array" ref="K3046">_xlfn.IFS(ISBLANK(I3046),"FALTANTE",ABS((I3046-$W$8)/$X$8)&gt;1.92,"ATÍPICO",ABS((I3046-$W$8)/$X$8)&lt;=1.92,"NO ATÍPICO")</f>
        <v>NO ATÍPICO</v>
      </c>
      <c r="L3046">
        <f t="shared" si="205"/>
        <v>358468</v>
      </c>
      <c r="M3046" t="str">
        <f t="shared" si="205"/>
        <v>ASALARIADO</v>
      </c>
      <c r="N3046">
        <f t="shared" si="206"/>
        <v>42</v>
      </c>
      <c r="O3046" s="19" t="str">
        <f t="shared" si="207"/>
        <v>300k–600k</v>
      </c>
      <c r="P3046" s="19" t="str">
        <f t="shared" si="208"/>
        <v>36-45</v>
      </c>
    </row>
    <row r="3047" spans="1:16" x14ac:dyDescent="0.25">
      <c r="A3047">
        <v>3046</v>
      </c>
      <c r="B3047" t="s">
        <v>9</v>
      </c>
      <c r="C3047">
        <v>814688</v>
      </c>
      <c r="D3047" t="s">
        <v>10</v>
      </c>
      <c r="E3047" t="s">
        <v>16</v>
      </c>
      <c r="F3047" t="s">
        <v>12</v>
      </c>
      <c r="G3047" t="s">
        <v>13</v>
      </c>
      <c r="H3047" t="s">
        <v>13</v>
      </c>
      <c r="I3047">
        <v>36</v>
      </c>
      <c r="J3047" t="str" cm="1">
        <f t="array" ref="J3047">_xlfn.IFS(ISBLANK(C3047),"FALTANTE",ABS((C3047-$W$5)/$X$5)&gt;1.96,"ATÍPICO",ABS((C3047-$W$5)/$X$5)&lt;=1.96,"NO ATÍPICO")</f>
        <v>NO ATÍPICO</v>
      </c>
      <c r="K3047" t="str" cm="1">
        <f t="array" ref="K3047">_xlfn.IFS(ISBLANK(I3047),"FALTANTE",ABS((I3047-$W$8)/$X$8)&gt;1.92,"ATÍPICO",ABS((I3047-$W$8)/$X$8)&lt;=1.92,"NO ATÍPICO")</f>
        <v>NO ATÍPICO</v>
      </c>
      <c r="L3047">
        <f t="shared" si="205"/>
        <v>814688</v>
      </c>
      <c r="M3047" t="str">
        <f t="shared" si="205"/>
        <v>ASALARIADO</v>
      </c>
      <c r="N3047">
        <f t="shared" si="206"/>
        <v>36</v>
      </c>
      <c r="O3047" s="19" t="str">
        <f t="shared" si="207"/>
        <v>600k–900k</v>
      </c>
      <c r="P3047" s="19" t="str">
        <f t="shared" si="208"/>
        <v>36-45</v>
      </c>
    </row>
    <row r="3048" spans="1:16" x14ac:dyDescent="0.25">
      <c r="A3048">
        <v>3047</v>
      </c>
      <c r="B3048" t="s">
        <v>15</v>
      </c>
      <c r="C3048">
        <v>358640</v>
      </c>
      <c r="D3048" t="s">
        <v>17</v>
      </c>
      <c r="E3048" t="s">
        <v>16</v>
      </c>
      <c r="F3048" t="s">
        <v>12</v>
      </c>
      <c r="G3048" t="s">
        <v>12</v>
      </c>
      <c r="H3048" t="s">
        <v>13</v>
      </c>
      <c r="I3048">
        <v>67</v>
      </c>
      <c r="J3048" t="str" cm="1">
        <f t="array" ref="J3048">_xlfn.IFS(ISBLANK(C3048),"FALTANTE",ABS((C3048-$W$5)/$X$5)&gt;1.96,"ATÍPICO",ABS((C3048-$W$5)/$X$5)&lt;=1.96,"NO ATÍPICO")</f>
        <v>NO ATÍPICO</v>
      </c>
      <c r="K3048" t="str" cm="1">
        <f t="array" ref="K3048">_xlfn.IFS(ISBLANK(I3048),"FALTANTE",ABS((I3048-$W$8)/$X$8)&gt;1.92,"ATÍPICO",ABS((I3048-$W$8)/$X$8)&lt;=1.92,"NO ATÍPICO")</f>
        <v>NO ATÍPICO</v>
      </c>
      <c r="L3048">
        <f t="shared" si="205"/>
        <v>358640</v>
      </c>
      <c r="M3048" t="str">
        <f t="shared" si="205"/>
        <v>ASEGURADO VOLUNTARIO</v>
      </c>
      <c r="N3048">
        <f t="shared" si="206"/>
        <v>67</v>
      </c>
      <c r="O3048" s="19" t="str">
        <f t="shared" si="207"/>
        <v>300k–600k</v>
      </c>
      <c r="P3048" s="19" t="str">
        <f t="shared" si="208"/>
        <v>56+</v>
      </c>
    </row>
    <row r="3049" spans="1:16" x14ac:dyDescent="0.25">
      <c r="A3049">
        <v>3048</v>
      </c>
      <c r="B3049" t="s">
        <v>15</v>
      </c>
      <c r="C3049">
        <v>1324052</v>
      </c>
      <c r="D3049" t="s">
        <v>10</v>
      </c>
      <c r="E3049" t="s">
        <v>11</v>
      </c>
      <c r="F3049" t="s">
        <v>12</v>
      </c>
      <c r="G3049" t="s">
        <v>13</v>
      </c>
      <c r="H3049" t="s">
        <v>12</v>
      </c>
      <c r="I3049">
        <v>43</v>
      </c>
      <c r="J3049" t="str" cm="1">
        <f t="array" ref="J3049">_xlfn.IFS(ISBLANK(C3049),"FALTANTE",ABS((C3049-$W$5)/$X$5)&gt;1.96,"ATÍPICO",ABS((C3049-$W$5)/$X$5)&lt;=1.96,"NO ATÍPICO")</f>
        <v>NO ATÍPICO</v>
      </c>
      <c r="K3049" t="str" cm="1">
        <f t="array" ref="K3049">_xlfn.IFS(ISBLANK(I3049),"FALTANTE",ABS((I3049-$W$8)/$X$8)&gt;1.92,"ATÍPICO",ABS((I3049-$W$8)/$X$8)&lt;=1.92,"NO ATÍPICO")</f>
        <v>NO ATÍPICO</v>
      </c>
      <c r="L3049">
        <f t="shared" si="205"/>
        <v>1324052</v>
      </c>
      <c r="M3049" t="str">
        <f t="shared" si="205"/>
        <v>ASALARIADO</v>
      </c>
      <c r="N3049">
        <f t="shared" si="206"/>
        <v>43</v>
      </c>
      <c r="O3049" s="19" t="str">
        <f t="shared" si="207"/>
        <v>1200k+</v>
      </c>
      <c r="P3049" s="19" t="str">
        <f t="shared" si="208"/>
        <v>36-45</v>
      </c>
    </row>
    <row r="3050" spans="1:16" x14ac:dyDescent="0.25">
      <c r="A3050">
        <v>3049</v>
      </c>
      <c r="B3050" t="s">
        <v>9</v>
      </c>
      <c r="C3050">
        <v>298018</v>
      </c>
      <c r="D3050" t="s">
        <v>17</v>
      </c>
      <c r="E3050" t="s">
        <v>16</v>
      </c>
      <c r="F3050" t="s">
        <v>12</v>
      </c>
      <c r="G3050" t="s">
        <v>13</v>
      </c>
      <c r="H3050" t="s">
        <v>13</v>
      </c>
      <c r="I3050">
        <v>29</v>
      </c>
      <c r="J3050" t="str" cm="1">
        <f t="array" ref="J3050">_xlfn.IFS(ISBLANK(C3050),"FALTANTE",ABS((C3050-$W$5)/$X$5)&gt;1.96,"ATÍPICO",ABS((C3050-$W$5)/$X$5)&lt;=1.96,"NO ATÍPICO")</f>
        <v>NO ATÍPICO</v>
      </c>
      <c r="K3050" t="str" cm="1">
        <f t="array" ref="K3050">_xlfn.IFS(ISBLANK(I3050),"FALTANTE",ABS((I3050-$W$8)/$X$8)&gt;1.92,"ATÍPICO",ABS((I3050-$W$8)/$X$8)&lt;=1.92,"NO ATÍPICO")</f>
        <v>NO ATÍPICO</v>
      </c>
      <c r="L3050">
        <f t="shared" si="205"/>
        <v>298018</v>
      </c>
      <c r="M3050" t="str">
        <f t="shared" si="205"/>
        <v>ASEGURADO VOLUNTARIO</v>
      </c>
      <c r="N3050">
        <f t="shared" si="206"/>
        <v>29</v>
      </c>
      <c r="O3050" s="19" t="str">
        <f t="shared" si="207"/>
        <v>0–300k</v>
      </c>
      <c r="P3050" s="19" t="str">
        <f t="shared" si="208"/>
        <v>26-35</v>
      </c>
    </row>
    <row r="3051" spans="1:16" x14ac:dyDescent="0.25">
      <c r="A3051">
        <v>3050</v>
      </c>
      <c r="B3051" t="s">
        <v>9</v>
      </c>
      <c r="C3051">
        <v>316030</v>
      </c>
      <c r="D3051" t="s">
        <v>10</v>
      </c>
      <c r="E3051" t="s">
        <v>16</v>
      </c>
      <c r="F3051" t="s">
        <v>12</v>
      </c>
      <c r="G3051" t="s">
        <v>13</v>
      </c>
      <c r="H3051" t="s">
        <v>13</v>
      </c>
      <c r="I3051">
        <v>52</v>
      </c>
      <c r="J3051" t="str" cm="1">
        <f t="array" ref="J3051">_xlfn.IFS(ISBLANK(C3051),"FALTANTE",ABS((C3051-$W$5)/$X$5)&gt;1.96,"ATÍPICO",ABS((C3051-$W$5)/$X$5)&lt;=1.96,"NO ATÍPICO")</f>
        <v>NO ATÍPICO</v>
      </c>
      <c r="K3051" t="str" cm="1">
        <f t="array" ref="K3051">_xlfn.IFS(ISBLANK(I3051),"FALTANTE",ABS((I3051-$W$8)/$X$8)&gt;1.92,"ATÍPICO",ABS((I3051-$W$8)/$X$8)&lt;=1.92,"NO ATÍPICO")</f>
        <v>NO ATÍPICO</v>
      </c>
      <c r="L3051">
        <f t="shared" si="205"/>
        <v>316030</v>
      </c>
      <c r="M3051" t="str">
        <f t="shared" si="205"/>
        <v>ASALARIADO</v>
      </c>
      <c r="N3051">
        <f t="shared" si="206"/>
        <v>52</v>
      </c>
      <c r="O3051" s="19" t="str">
        <f t="shared" si="207"/>
        <v>300k–600k</v>
      </c>
      <c r="P3051" s="19" t="str">
        <f t="shared" si="208"/>
        <v>46-55</v>
      </c>
    </row>
    <row r="3052" spans="1:16" x14ac:dyDescent="0.25">
      <c r="A3052">
        <v>3051</v>
      </c>
      <c r="B3052" t="s">
        <v>9</v>
      </c>
      <c r="C3052">
        <v>304299.8</v>
      </c>
      <c r="D3052" t="s">
        <v>14</v>
      </c>
      <c r="E3052" t="s">
        <v>11</v>
      </c>
      <c r="F3052" t="s">
        <v>12</v>
      </c>
      <c r="G3052" t="s">
        <v>13</v>
      </c>
      <c r="H3052" t="s">
        <v>13</v>
      </c>
      <c r="I3052">
        <v>55</v>
      </c>
      <c r="J3052" t="str" cm="1">
        <f t="array" ref="J3052">_xlfn.IFS(ISBLANK(C3052),"FALTANTE",ABS((C3052-$W$5)/$X$5)&gt;1.96,"ATÍPICO",ABS((C3052-$W$5)/$X$5)&lt;=1.96,"NO ATÍPICO")</f>
        <v>NO ATÍPICO</v>
      </c>
      <c r="K3052" t="str" cm="1">
        <f t="array" ref="K3052">_xlfn.IFS(ISBLANK(I3052),"FALTANTE",ABS((I3052-$W$8)/$X$8)&gt;1.92,"ATÍPICO",ABS((I3052-$W$8)/$X$8)&lt;=1.92,"NO ATÍPICO")</f>
        <v>NO ATÍPICO</v>
      </c>
      <c r="L3052">
        <f t="shared" si="205"/>
        <v>304299.8</v>
      </c>
      <c r="M3052" t="str">
        <f t="shared" si="205"/>
        <v>PENSIONADOS EN SU PROPIO SISTEMA</v>
      </c>
      <c r="N3052">
        <f t="shared" si="206"/>
        <v>55</v>
      </c>
      <c r="O3052" s="19" t="str">
        <f t="shared" si="207"/>
        <v>300k–600k</v>
      </c>
      <c r="P3052" s="19" t="str">
        <f t="shared" si="208"/>
        <v>46-55</v>
      </c>
    </row>
    <row r="3053" spans="1:16" x14ac:dyDescent="0.25">
      <c r="A3053">
        <v>3052</v>
      </c>
      <c r="B3053" t="s">
        <v>15</v>
      </c>
      <c r="C3053">
        <v>297046</v>
      </c>
      <c r="D3053" t="s">
        <v>17</v>
      </c>
      <c r="E3053" t="s">
        <v>16</v>
      </c>
      <c r="F3053" t="s">
        <v>12</v>
      </c>
      <c r="G3053" t="s">
        <v>13</v>
      </c>
      <c r="H3053" t="s">
        <v>12</v>
      </c>
      <c r="I3053">
        <v>36</v>
      </c>
      <c r="J3053" t="str" cm="1">
        <f t="array" ref="J3053">_xlfn.IFS(ISBLANK(C3053),"FALTANTE",ABS((C3053-$W$5)/$X$5)&gt;1.96,"ATÍPICO",ABS((C3053-$W$5)/$X$5)&lt;=1.96,"NO ATÍPICO")</f>
        <v>NO ATÍPICO</v>
      </c>
      <c r="K3053" t="str" cm="1">
        <f t="array" ref="K3053">_xlfn.IFS(ISBLANK(I3053),"FALTANTE",ABS((I3053-$W$8)/$X$8)&gt;1.92,"ATÍPICO",ABS((I3053-$W$8)/$X$8)&lt;=1.92,"NO ATÍPICO")</f>
        <v>NO ATÍPICO</v>
      </c>
      <c r="L3053">
        <f t="shared" si="205"/>
        <v>297046</v>
      </c>
      <c r="M3053" t="str">
        <f t="shared" si="205"/>
        <v>ASEGURADO VOLUNTARIO</v>
      </c>
      <c r="N3053">
        <f t="shared" si="206"/>
        <v>36</v>
      </c>
      <c r="O3053" s="19" t="str">
        <f t="shared" si="207"/>
        <v>0–300k</v>
      </c>
      <c r="P3053" s="19" t="str">
        <f t="shared" si="208"/>
        <v>36-45</v>
      </c>
    </row>
    <row r="3054" spans="1:16" x14ac:dyDescent="0.25">
      <c r="A3054">
        <v>3053</v>
      </c>
      <c r="B3054" t="s">
        <v>9</v>
      </c>
      <c r="C3054">
        <v>106560</v>
      </c>
      <c r="D3054" t="s">
        <v>10</v>
      </c>
      <c r="E3054" t="s">
        <v>16</v>
      </c>
      <c r="F3054" t="s">
        <v>12</v>
      </c>
      <c r="G3054" t="s">
        <v>13</v>
      </c>
      <c r="H3054" t="s">
        <v>13</v>
      </c>
      <c r="I3054">
        <v>47</v>
      </c>
      <c r="J3054" t="str" cm="1">
        <f t="array" ref="J3054">_xlfn.IFS(ISBLANK(C3054),"FALTANTE",ABS((C3054-$W$5)/$X$5)&gt;1.96,"ATÍPICO",ABS((C3054-$W$5)/$X$5)&lt;=1.96,"NO ATÍPICO")</f>
        <v>NO ATÍPICO</v>
      </c>
      <c r="K3054" t="str" cm="1">
        <f t="array" ref="K3054">_xlfn.IFS(ISBLANK(I3054),"FALTANTE",ABS((I3054-$W$8)/$X$8)&gt;1.92,"ATÍPICO",ABS((I3054-$W$8)/$X$8)&lt;=1.92,"NO ATÍPICO")</f>
        <v>NO ATÍPICO</v>
      </c>
      <c r="L3054">
        <f t="shared" si="205"/>
        <v>106560</v>
      </c>
      <c r="M3054" t="str">
        <f t="shared" si="205"/>
        <v>ASALARIADO</v>
      </c>
      <c r="N3054">
        <f t="shared" si="206"/>
        <v>47</v>
      </c>
      <c r="O3054" s="19" t="str">
        <f t="shared" si="207"/>
        <v>0–300k</v>
      </c>
      <c r="P3054" s="19" t="str">
        <f t="shared" si="208"/>
        <v>46-55</v>
      </c>
    </row>
    <row r="3055" spans="1:16" x14ac:dyDescent="0.25">
      <c r="A3055">
        <v>3054</v>
      </c>
      <c r="B3055" t="s">
        <v>15</v>
      </c>
      <c r="C3055">
        <v>407609</v>
      </c>
      <c r="D3055" t="s">
        <v>18</v>
      </c>
      <c r="E3055" t="s">
        <v>16</v>
      </c>
      <c r="F3055" t="s">
        <v>12</v>
      </c>
      <c r="G3055" t="s">
        <v>13</v>
      </c>
      <c r="H3055" t="s">
        <v>13</v>
      </c>
      <c r="I3055">
        <v>59</v>
      </c>
      <c r="J3055" t="str" cm="1">
        <f t="array" ref="J3055">_xlfn.IFS(ISBLANK(C3055),"FALTANTE",ABS((C3055-$W$5)/$X$5)&gt;1.96,"ATÍPICO",ABS((C3055-$W$5)/$X$5)&lt;=1.96,"NO ATÍPICO")</f>
        <v>NO ATÍPICO</v>
      </c>
      <c r="K3055" t="str" cm="1">
        <f t="array" ref="K3055">_xlfn.IFS(ISBLANK(I3055),"FALTANTE",ABS((I3055-$W$8)/$X$8)&gt;1.92,"ATÍPICO",ABS((I3055-$W$8)/$X$8)&lt;=1.92,"NO ATÍPICO")</f>
        <v>NO ATÍPICO</v>
      </c>
      <c r="L3055">
        <f t="shared" si="205"/>
        <v>407609</v>
      </c>
      <c r="M3055" t="str">
        <f t="shared" si="205"/>
        <v>TRABAJADOR INDEPENDIENTE</v>
      </c>
      <c r="N3055">
        <f t="shared" si="206"/>
        <v>59</v>
      </c>
      <c r="O3055" s="19" t="str">
        <f t="shared" si="207"/>
        <v>300k–600k</v>
      </c>
      <c r="P3055" s="19" t="str">
        <f t="shared" si="208"/>
        <v>56+</v>
      </c>
    </row>
    <row r="3056" spans="1:16" x14ac:dyDescent="0.25">
      <c r="A3056">
        <v>3055</v>
      </c>
      <c r="B3056" t="s">
        <v>9</v>
      </c>
      <c r="C3056">
        <v>639148</v>
      </c>
      <c r="D3056" t="s">
        <v>18</v>
      </c>
      <c r="E3056" t="s">
        <v>16</v>
      </c>
      <c r="F3056" t="s">
        <v>12</v>
      </c>
      <c r="G3056" t="s">
        <v>13</v>
      </c>
      <c r="H3056" t="s">
        <v>13</v>
      </c>
      <c r="I3056">
        <v>53</v>
      </c>
      <c r="J3056" t="str" cm="1">
        <f t="array" ref="J3056">_xlfn.IFS(ISBLANK(C3056),"FALTANTE",ABS((C3056-$W$5)/$X$5)&gt;1.96,"ATÍPICO",ABS((C3056-$W$5)/$X$5)&lt;=1.96,"NO ATÍPICO")</f>
        <v>NO ATÍPICO</v>
      </c>
      <c r="K3056" t="str" cm="1">
        <f t="array" ref="K3056">_xlfn.IFS(ISBLANK(I3056),"FALTANTE",ABS((I3056-$W$8)/$X$8)&gt;1.92,"ATÍPICO",ABS((I3056-$W$8)/$X$8)&lt;=1.92,"NO ATÍPICO")</f>
        <v>NO ATÍPICO</v>
      </c>
      <c r="L3056">
        <f t="shared" si="205"/>
        <v>639148</v>
      </c>
      <c r="M3056" t="str">
        <f t="shared" si="205"/>
        <v>TRABAJADOR INDEPENDIENTE</v>
      </c>
      <c r="N3056">
        <f t="shared" si="206"/>
        <v>53</v>
      </c>
      <c r="O3056" s="19" t="str">
        <f t="shared" si="207"/>
        <v>600k–900k</v>
      </c>
      <c r="P3056" s="19" t="str">
        <f t="shared" si="208"/>
        <v>46-55</v>
      </c>
    </row>
    <row r="3057" spans="1:16" x14ac:dyDescent="0.25">
      <c r="A3057">
        <v>3056</v>
      </c>
      <c r="B3057" t="s">
        <v>9</v>
      </c>
      <c r="C3057">
        <v>405063</v>
      </c>
      <c r="D3057" t="s">
        <v>18</v>
      </c>
      <c r="E3057" t="s">
        <v>16</v>
      </c>
      <c r="F3057" t="s">
        <v>12</v>
      </c>
      <c r="G3057" t="s">
        <v>13</v>
      </c>
      <c r="H3057" t="s">
        <v>12</v>
      </c>
      <c r="I3057">
        <v>42</v>
      </c>
      <c r="J3057" t="str" cm="1">
        <f t="array" ref="J3057">_xlfn.IFS(ISBLANK(C3057),"FALTANTE",ABS((C3057-$W$5)/$X$5)&gt;1.96,"ATÍPICO",ABS((C3057-$W$5)/$X$5)&lt;=1.96,"NO ATÍPICO")</f>
        <v>NO ATÍPICO</v>
      </c>
      <c r="K3057" t="str" cm="1">
        <f t="array" ref="K3057">_xlfn.IFS(ISBLANK(I3057),"FALTANTE",ABS((I3057-$W$8)/$X$8)&gt;1.92,"ATÍPICO",ABS((I3057-$W$8)/$X$8)&lt;=1.92,"NO ATÍPICO")</f>
        <v>NO ATÍPICO</v>
      </c>
      <c r="L3057">
        <f t="shared" si="205"/>
        <v>405063</v>
      </c>
      <c r="M3057" t="str">
        <f t="shared" si="205"/>
        <v>TRABAJADOR INDEPENDIENTE</v>
      </c>
      <c r="N3057">
        <f t="shared" si="206"/>
        <v>42</v>
      </c>
      <c r="O3057" s="19" t="str">
        <f t="shared" si="207"/>
        <v>300k–600k</v>
      </c>
      <c r="P3057" s="19" t="str">
        <f t="shared" si="208"/>
        <v>36-45</v>
      </c>
    </row>
    <row r="3058" spans="1:16" x14ac:dyDescent="0.25">
      <c r="A3058">
        <v>3057</v>
      </c>
      <c r="B3058" t="s">
        <v>15</v>
      </c>
      <c r="C3058">
        <v>1828114.74</v>
      </c>
      <c r="D3058" t="s">
        <v>10</v>
      </c>
      <c r="E3058" t="s">
        <v>11</v>
      </c>
      <c r="F3058" t="s">
        <v>12</v>
      </c>
      <c r="G3058" t="s">
        <v>13</v>
      </c>
      <c r="H3058" t="s">
        <v>13</v>
      </c>
      <c r="I3058">
        <v>33</v>
      </c>
      <c r="J3058" t="str" cm="1">
        <f t="array" ref="J3058">_xlfn.IFS(ISBLANK(C3058),"FALTANTE",ABS((C3058-$W$5)/$X$5)&gt;1.96,"ATÍPICO",ABS((C3058-$W$5)/$X$5)&lt;=1.96,"NO ATÍPICO")</f>
        <v>NO ATÍPICO</v>
      </c>
      <c r="K3058" t="str" cm="1">
        <f t="array" ref="K3058">_xlfn.IFS(ISBLANK(I3058),"FALTANTE",ABS((I3058-$W$8)/$X$8)&gt;1.92,"ATÍPICO",ABS((I3058-$W$8)/$X$8)&lt;=1.92,"NO ATÍPICO")</f>
        <v>NO ATÍPICO</v>
      </c>
      <c r="L3058">
        <f t="shared" si="205"/>
        <v>1828114.74</v>
      </c>
      <c r="M3058" t="str">
        <f t="shared" si="205"/>
        <v>ASALARIADO</v>
      </c>
      <c r="N3058">
        <f t="shared" si="206"/>
        <v>33</v>
      </c>
      <c r="O3058" s="19" t="str">
        <f t="shared" si="207"/>
        <v>1200k+</v>
      </c>
      <c r="P3058" s="19" t="str">
        <f t="shared" si="208"/>
        <v>26-35</v>
      </c>
    </row>
    <row r="3059" spans="1:16" x14ac:dyDescent="0.25">
      <c r="A3059">
        <v>3058</v>
      </c>
      <c r="B3059" t="s">
        <v>15</v>
      </c>
      <c r="C3059">
        <v>383625</v>
      </c>
      <c r="D3059" t="s">
        <v>10</v>
      </c>
      <c r="E3059" t="s">
        <v>16</v>
      </c>
      <c r="F3059" t="s">
        <v>12</v>
      </c>
      <c r="G3059" t="s">
        <v>13</v>
      </c>
      <c r="H3059" t="s">
        <v>13</v>
      </c>
      <c r="I3059">
        <v>26</v>
      </c>
      <c r="J3059" t="str" cm="1">
        <f t="array" ref="J3059">_xlfn.IFS(ISBLANK(C3059),"FALTANTE",ABS((C3059-$W$5)/$X$5)&gt;1.96,"ATÍPICO",ABS((C3059-$W$5)/$X$5)&lt;=1.96,"NO ATÍPICO")</f>
        <v>NO ATÍPICO</v>
      </c>
      <c r="K3059" t="str" cm="1">
        <f t="array" ref="K3059">_xlfn.IFS(ISBLANK(I3059),"FALTANTE",ABS((I3059-$W$8)/$X$8)&gt;1.92,"ATÍPICO",ABS((I3059-$W$8)/$X$8)&lt;=1.92,"NO ATÍPICO")</f>
        <v>NO ATÍPICO</v>
      </c>
      <c r="L3059">
        <f t="shared" si="205"/>
        <v>383625</v>
      </c>
      <c r="M3059" t="str">
        <f t="shared" si="205"/>
        <v>ASALARIADO</v>
      </c>
      <c r="N3059">
        <f t="shared" si="206"/>
        <v>26</v>
      </c>
      <c r="O3059" s="19" t="str">
        <f t="shared" si="207"/>
        <v>300k–600k</v>
      </c>
      <c r="P3059" s="19" t="str">
        <f t="shared" si="208"/>
        <v>26-35</v>
      </c>
    </row>
    <row r="3060" spans="1:16" x14ac:dyDescent="0.25">
      <c r="A3060">
        <v>3059</v>
      </c>
      <c r="B3060" t="s">
        <v>9</v>
      </c>
      <c r="C3060">
        <v>278030</v>
      </c>
      <c r="D3060" t="s">
        <v>19</v>
      </c>
      <c r="E3060" t="s">
        <v>16</v>
      </c>
      <c r="F3060" t="s">
        <v>12</v>
      </c>
      <c r="G3060" t="s">
        <v>13</v>
      </c>
      <c r="H3060" t="s">
        <v>13</v>
      </c>
      <c r="I3060">
        <v>26</v>
      </c>
      <c r="J3060" t="str" cm="1">
        <f t="array" ref="J3060">_xlfn.IFS(ISBLANK(C3060),"FALTANTE",ABS((C3060-$W$5)/$X$5)&gt;1.96,"ATÍPICO",ABS((C3060-$W$5)/$X$5)&lt;=1.96,"NO ATÍPICO")</f>
        <v>NO ATÍPICO</v>
      </c>
      <c r="K3060" t="str" cm="1">
        <f t="array" ref="K3060">_xlfn.IFS(ISBLANK(I3060),"FALTANTE",ABS((I3060-$W$8)/$X$8)&gt;1.92,"ATÍPICO",ABS((I3060-$W$8)/$X$8)&lt;=1.92,"NO ATÍPICO")</f>
        <v>NO ATÍPICO</v>
      </c>
      <c r="L3060">
        <f t="shared" si="205"/>
        <v>278030</v>
      </c>
      <c r="M3060" t="str">
        <f t="shared" si="205"/>
        <v>CONVENIOS ESPECIALES DE TRABAJADORES INDEPENDIENTES</v>
      </c>
      <c r="N3060">
        <f t="shared" si="206"/>
        <v>26</v>
      </c>
      <c r="O3060" s="19" t="str">
        <f t="shared" si="207"/>
        <v>0–300k</v>
      </c>
      <c r="P3060" s="19" t="str">
        <f t="shared" si="208"/>
        <v>26-35</v>
      </c>
    </row>
    <row r="3061" spans="1:16" x14ac:dyDescent="0.25">
      <c r="A3061">
        <v>3060</v>
      </c>
      <c r="B3061" t="s">
        <v>15</v>
      </c>
      <c r="C3061">
        <v>381783.6</v>
      </c>
      <c r="D3061" t="s">
        <v>10</v>
      </c>
      <c r="E3061" t="s">
        <v>16</v>
      </c>
      <c r="F3061" t="s">
        <v>12</v>
      </c>
      <c r="G3061" t="s">
        <v>13</v>
      </c>
      <c r="H3061" t="s">
        <v>13</v>
      </c>
      <c r="I3061">
        <v>31</v>
      </c>
      <c r="J3061" t="str" cm="1">
        <f t="array" ref="J3061">_xlfn.IFS(ISBLANK(C3061),"FALTANTE",ABS((C3061-$W$5)/$X$5)&gt;1.96,"ATÍPICO",ABS((C3061-$W$5)/$X$5)&lt;=1.96,"NO ATÍPICO")</f>
        <v>NO ATÍPICO</v>
      </c>
      <c r="K3061" t="str" cm="1">
        <f t="array" ref="K3061">_xlfn.IFS(ISBLANK(I3061),"FALTANTE",ABS((I3061-$W$8)/$X$8)&gt;1.92,"ATÍPICO",ABS((I3061-$W$8)/$X$8)&lt;=1.92,"NO ATÍPICO")</f>
        <v>NO ATÍPICO</v>
      </c>
      <c r="L3061">
        <f t="shared" si="205"/>
        <v>381783.6</v>
      </c>
      <c r="M3061" t="str">
        <f t="shared" si="205"/>
        <v>ASALARIADO</v>
      </c>
      <c r="N3061">
        <f t="shared" si="206"/>
        <v>31</v>
      </c>
      <c r="O3061" s="19" t="str">
        <f t="shared" si="207"/>
        <v>300k–600k</v>
      </c>
      <c r="P3061" s="19" t="str">
        <f t="shared" si="208"/>
        <v>26-35</v>
      </c>
    </row>
    <row r="3062" spans="1:16" x14ac:dyDescent="0.25">
      <c r="A3062">
        <v>3061</v>
      </c>
      <c r="B3062" t="s">
        <v>15</v>
      </c>
      <c r="C3062">
        <v>485000</v>
      </c>
      <c r="D3062" t="s">
        <v>10</v>
      </c>
      <c r="E3062" t="s">
        <v>16</v>
      </c>
      <c r="F3062" t="s">
        <v>12</v>
      </c>
      <c r="G3062" t="s">
        <v>13</v>
      </c>
      <c r="H3062" t="s">
        <v>13</v>
      </c>
      <c r="I3062">
        <v>39</v>
      </c>
      <c r="J3062" t="str" cm="1">
        <f t="array" ref="J3062">_xlfn.IFS(ISBLANK(C3062),"FALTANTE",ABS((C3062-$W$5)/$X$5)&gt;1.96,"ATÍPICO",ABS((C3062-$W$5)/$X$5)&lt;=1.96,"NO ATÍPICO")</f>
        <v>NO ATÍPICO</v>
      </c>
      <c r="K3062" t="str" cm="1">
        <f t="array" ref="K3062">_xlfn.IFS(ISBLANK(I3062),"FALTANTE",ABS((I3062-$W$8)/$X$8)&gt;1.92,"ATÍPICO",ABS((I3062-$W$8)/$X$8)&lt;=1.92,"NO ATÍPICO")</f>
        <v>NO ATÍPICO</v>
      </c>
      <c r="L3062">
        <f t="shared" si="205"/>
        <v>485000</v>
      </c>
      <c r="M3062" t="str">
        <f t="shared" si="205"/>
        <v>ASALARIADO</v>
      </c>
      <c r="N3062">
        <f t="shared" si="206"/>
        <v>39</v>
      </c>
      <c r="O3062" s="19" t="str">
        <f t="shared" si="207"/>
        <v>300k–600k</v>
      </c>
      <c r="P3062" s="19" t="str">
        <f t="shared" si="208"/>
        <v>36-45</v>
      </c>
    </row>
    <row r="3063" spans="1:16" x14ac:dyDescent="0.25">
      <c r="A3063">
        <v>3062</v>
      </c>
      <c r="B3063" t="s">
        <v>9</v>
      </c>
      <c r="C3063">
        <v>301566</v>
      </c>
      <c r="D3063" t="s">
        <v>18</v>
      </c>
      <c r="E3063" t="s">
        <v>16</v>
      </c>
      <c r="F3063" t="s">
        <v>12</v>
      </c>
      <c r="G3063" t="s">
        <v>13</v>
      </c>
      <c r="H3063" t="s">
        <v>12</v>
      </c>
      <c r="I3063">
        <v>28</v>
      </c>
      <c r="J3063" t="str" cm="1">
        <f t="array" ref="J3063">_xlfn.IFS(ISBLANK(C3063),"FALTANTE",ABS((C3063-$W$5)/$X$5)&gt;1.96,"ATÍPICO",ABS((C3063-$W$5)/$X$5)&lt;=1.96,"NO ATÍPICO")</f>
        <v>NO ATÍPICO</v>
      </c>
      <c r="K3063" t="str" cm="1">
        <f t="array" ref="K3063">_xlfn.IFS(ISBLANK(I3063),"FALTANTE",ABS((I3063-$W$8)/$X$8)&gt;1.92,"ATÍPICO",ABS((I3063-$W$8)/$X$8)&lt;=1.92,"NO ATÍPICO")</f>
        <v>NO ATÍPICO</v>
      </c>
      <c r="L3063">
        <f t="shared" si="205"/>
        <v>301566</v>
      </c>
      <c r="M3063" t="str">
        <f t="shared" si="205"/>
        <v>TRABAJADOR INDEPENDIENTE</v>
      </c>
      <c r="N3063">
        <f t="shared" si="206"/>
        <v>28</v>
      </c>
      <c r="O3063" s="19" t="str">
        <f t="shared" si="207"/>
        <v>300k–600k</v>
      </c>
      <c r="P3063" s="19" t="str">
        <f t="shared" si="208"/>
        <v>26-35</v>
      </c>
    </row>
    <row r="3064" spans="1:16" x14ac:dyDescent="0.25">
      <c r="A3064">
        <v>3063</v>
      </c>
      <c r="B3064" t="s">
        <v>9</v>
      </c>
      <c r="C3064">
        <v>1492800.6</v>
      </c>
      <c r="D3064" t="s">
        <v>10</v>
      </c>
      <c r="E3064" t="s">
        <v>11</v>
      </c>
      <c r="F3064" t="s">
        <v>12</v>
      </c>
      <c r="G3064" t="s">
        <v>13</v>
      </c>
      <c r="H3064" t="s">
        <v>13</v>
      </c>
      <c r="I3064">
        <v>37</v>
      </c>
      <c r="J3064" t="str" cm="1">
        <f t="array" ref="J3064">_xlfn.IFS(ISBLANK(C3064),"FALTANTE",ABS((C3064-$W$5)/$X$5)&gt;1.96,"ATÍPICO",ABS((C3064-$W$5)/$X$5)&lt;=1.96,"NO ATÍPICO")</f>
        <v>NO ATÍPICO</v>
      </c>
      <c r="K3064" t="str" cm="1">
        <f t="array" ref="K3064">_xlfn.IFS(ISBLANK(I3064),"FALTANTE",ABS((I3064-$W$8)/$X$8)&gt;1.92,"ATÍPICO",ABS((I3064-$W$8)/$X$8)&lt;=1.92,"NO ATÍPICO")</f>
        <v>NO ATÍPICO</v>
      </c>
      <c r="L3064">
        <f t="shared" si="205"/>
        <v>1492800.6</v>
      </c>
      <c r="M3064" t="str">
        <f t="shared" si="205"/>
        <v>ASALARIADO</v>
      </c>
      <c r="N3064">
        <f t="shared" si="206"/>
        <v>37</v>
      </c>
      <c r="O3064" s="19" t="str">
        <f t="shared" si="207"/>
        <v>1200k+</v>
      </c>
      <c r="P3064" s="19" t="str">
        <f t="shared" si="208"/>
        <v>36-45</v>
      </c>
    </row>
    <row r="3065" spans="1:16" x14ac:dyDescent="0.25">
      <c r="A3065">
        <v>3064</v>
      </c>
      <c r="B3065" t="s">
        <v>15</v>
      </c>
      <c r="C3065">
        <v>749840</v>
      </c>
      <c r="D3065" t="s">
        <v>10</v>
      </c>
      <c r="E3065" t="s">
        <v>16</v>
      </c>
      <c r="F3065" t="s">
        <v>12</v>
      </c>
      <c r="G3065" t="s">
        <v>13</v>
      </c>
      <c r="H3065" t="s">
        <v>13</v>
      </c>
      <c r="I3065">
        <v>23</v>
      </c>
      <c r="J3065" t="str" cm="1">
        <f t="array" ref="J3065">_xlfn.IFS(ISBLANK(C3065),"FALTANTE",ABS((C3065-$W$5)/$X$5)&gt;1.96,"ATÍPICO",ABS((C3065-$W$5)/$X$5)&lt;=1.96,"NO ATÍPICO")</f>
        <v>NO ATÍPICO</v>
      </c>
      <c r="K3065" t="str" cm="1">
        <f t="array" ref="K3065">_xlfn.IFS(ISBLANK(I3065),"FALTANTE",ABS((I3065-$W$8)/$X$8)&gt;1.92,"ATÍPICO",ABS((I3065-$W$8)/$X$8)&lt;=1.92,"NO ATÍPICO")</f>
        <v>NO ATÍPICO</v>
      </c>
      <c r="L3065">
        <f t="shared" si="205"/>
        <v>749840</v>
      </c>
      <c r="M3065" t="str">
        <f t="shared" si="205"/>
        <v>ASALARIADO</v>
      </c>
      <c r="N3065">
        <f t="shared" si="206"/>
        <v>23</v>
      </c>
      <c r="O3065" s="19" t="str">
        <f t="shared" si="207"/>
        <v>600k–900k</v>
      </c>
      <c r="P3065" s="19" t="str">
        <f t="shared" si="208"/>
        <v>18-25</v>
      </c>
    </row>
    <row r="3066" spans="1:16" x14ac:dyDescent="0.25">
      <c r="A3066">
        <v>3065</v>
      </c>
      <c r="B3066" t="s">
        <v>15</v>
      </c>
      <c r="C3066">
        <v>371527</v>
      </c>
      <c r="D3066" t="s">
        <v>10</v>
      </c>
      <c r="E3066" t="s">
        <v>16</v>
      </c>
      <c r="F3066" t="s">
        <v>12</v>
      </c>
      <c r="G3066" t="s">
        <v>13</v>
      </c>
      <c r="H3066" t="s">
        <v>13</v>
      </c>
      <c r="I3066">
        <v>35</v>
      </c>
      <c r="J3066" t="str" cm="1">
        <f t="array" ref="J3066">_xlfn.IFS(ISBLANK(C3066),"FALTANTE",ABS((C3066-$W$5)/$X$5)&gt;1.96,"ATÍPICO",ABS((C3066-$W$5)/$X$5)&lt;=1.96,"NO ATÍPICO")</f>
        <v>NO ATÍPICO</v>
      </c>
      <c r="K3066" t="str" cm="1">
        <f t="array" ref="K3066">_xlfn.IFS(ISBLANK(I3066),"FALTANTE",ABS((I3066-$W$8)/$X$8)&gt;1.92,"ATÍPICO",ABS((I3066-$W$8)/$X$8)&lt;=1.92,"NO ATÍPICO")</f>
        <v>NO ATÍPICO</v>
      </c>
      <c r="L3066">
        <f t="shared" si="205"/>
        <v>371527</v>
      </c>
      <c r="M3066" t="str">
        <f t="shared" si="205"/>
        <v>ASALARIADO</v>
      </c>
      <c r="N3066">
        <f t="shared" si="206"/>
        <v>35</v>
      </c>
      <c r="O3066" s="19" t="str">
        <f t="shared" si="207"/>
        <v>300k–600k</v>
      </c>
      <c r="P3066" s="19" t="str">
        <f t="shared" si="208"/>
        <v>26-35</v>
      </c>
    </row>
    <row r="3067" spans="1:16" x14ac:dyDescent="0.25">
      <c r="A3067">
        <v>3066</v>
      </c>
      <c r="B3067" t="s">
        <v>15</v>
      </c>
      <c r="C3067">
        <v>297044</v>
      </c>
      <c r="D3067" t="s">
        <v>17</v>
      </c>
      <c r="E3067" t="s">
        <v>16</v>
      </c>
      <c r="F3067" t="s">
        <v>12</v>
      </c>
      <c r="G3067" t="s">
        <v>12</v>
      </c>
      <c r="H3067" t="s">
        <v>12</v>
      </c>
      <c r="I3067">
        <v>33</v>
      </c>
      <c r="J3067" t="str" cm="1">
        <f t="array" ref="J3067">_xlfn.IFS(ISBLANK(C3067),"FALTANTE",ABS((C3067-$W$5)/$X$5)&gt;1.96,"ATÍPICO",ABS((C3067-$W$5)/$X$5)&lt;=1.96,"NO ATÍPICO")</f>
        <v>NO ATÍPICO</v>
      </c>
      <c r="K3067" t="str" cm="1">
        <f t="array" ref="K3067">_xlfn.IFS(ISBLANK(I3067),"FALTANTE",ABS((I3067-$W$8)/$X$8)&gt;1.92,"ATÍPICO",ABS((I3067-$W$8)/$X$8)&lt;=1.92,"NO ATÍPICO")</f>
        <v>NO ATÍPICO</v>
      </c>
      <c r="L3067">
        <f t="shared" si="205"/>
        <v>297044</v>
      </c>
      <c r="M3067" t="str">
        <f t="shared" si="205"/>
        <v>ASEGURADO VOLUNTARIO</v>
      </c>
      <c r="N3067">
        <f t="shared" si="206"/>
        <v>33</v>
      </c>
      <c r="O3067" s="19" t="str">
        <f t="shared" si="207"/>
        <v>0–300k</v>
      </c>
      <c r="P3067" s="19" t="str">
        <f t="shared" si="208"/>
        <v>26-35</v>
      </c>
    </row>
    <row r="3068" spans="1:16" x14ac:dyDescent="0.25">
      <c r="A3068">
        <v>3067</v>
      </c>
      <c r="B3068" t="s">
        <v>15</v>
      </c>
      <c r="C3068">
        <v>1498971</v>
      </c>
      <c r="D3068" t="s">
        <v>10</v>
      </c>
      <c r="E3068" t="s">
        <v>11</v>
      </c>
      <c r="F3068" t="s">
        <v>12</v>
      </c>
      <c r="G3068" t="s">
        <v>13</v>
      </c>
      <c r="H3068" t="s">
        <v>12</v>
      </c>
      <c r="I3068">
        <v>42</v>
      </c>
      <c r="J3068" t="str" cm="1">
        <f t="array" ref="J3068">_xlfn.IFS(ISBLANK(C3068),"FALTANTE",ABS((C3068-$W$5)/$X$5)&gt;1.96,"ATÍPICO",ABS((C3068-$W$5)/$X$5)&lt;=1.96,"NO ATÍPICO")</f>
        <v>NO ATÍPICO</v>
      </c>
      <c r="K3068" t="str" cm="1">
        <f t="array" ref="K3068">_xlfn.IFS(ISBLANK(I3068),"FALTANTE",ABS((I3068-$W$8)/$X$8)&gt;1.92,"ATÍPICO",ABS((I3068-$W$8)/$X$8)&lt;=1.92,"NO ATÍPICO")</f>
        <v>NO ATÍPICO</v>
      </c>
      <c r="L3068">
        <f t="shared" si="205"/>
        <v>1498971</v>
      </c>
      <c r="M3068" t="str">
        <f t="shared" si="205"/>
        <v>ASALARIADO</v>
      </c>
      <c r="N3068">
        <f t="shared" si="206"/>
        <v>42</v>
      </c>
      <c r="O3068" s="19" t="str">
        <f t="shared" si="207"/>
        <v>1200k+</v>
      </c>
      <c r="P3068" s="19" t="str">
        <f t="shared" si="208"/>
        <v>36-45</v>
      </c>
    </row>
    <row r="3069" spans="1:16" x14ac:dyDescent="0.25">
      <c r="A3069">
        <v>3068</v>
      </c>
      <c r="B3069" t="s">
        <v>9</v>
      </c>
      <c r="C3069">
        <v>611409</v>
      </c>
      <c r="D3069" t="s">
        <v>18</v>
      </c>
      <c r="E3069" t="s">
        <v>16</v>
      </c>
      <c r="F3069" t="s">
        <v>12</v>
      </c>
      <c r="G3069" t="s">
        <v>13</v>
      </c>
      <c r="H3069" t="s">
        <v>13</v>
      </c>
      <c r="I3069">
        <v>45</v>
      </c>
      <c r="J3069" t="str" cm="1">
        <f t="array" ref="J3069">_xlfn.IFS(ISBLANK(C3069),"FALTANTE",ABS((C3069-$W$5)/$X$5)&gt;1.96,"ATÍPICO",ABS((C3069-$W$5)/$X$5)&lt;=1.96,"NO ATÍPICO")</f>
        <v>NO ATÍPICO</v>
      </c>
      <c r="K3069" t="str" cm="1">
        <f t="array" ref="K3069">_xlfn.IFS(ISBLANK(I3069),"FALTANTE",ABS((I3069-$W$8)/$X$8)&gt;1.92,"ATÍPICO",ABS((I3069-$W$8)/$X$8)&lt;=1.92,"NO ATÍPICO")</f>
        <v>NO ATÍPICO</v>
      </c>
      <c r="L3069">
        <f t="shared" si="205"/>
        <v>611409</v>
      </c>
      <c r="M3069" t="str">
        <f t="shared" si="205"/>
        <v>TRABAJADOR INDEPENDIENTE</v>
      </c>
      <c r="N3069">
        <f t="shared" si="206"/>
        <v>45</v>
      </c>
      <c r="O3069" s="19" t="str">
        <f t="shared" si="207"/>
        <v>600k–900k</v>
      </c>
      <c r="P3069" s="19" t="str">
        <f t="shared" si="208"/>
        <v>36-45</v>
      </c>
    </row>
    <row r="3070" spans="1:16" x14ac:dyDescent="0.25">
      <c r="A3070">
        <v>3069</v>
      </c>
      <c r="B3070" t="s">
        <v>15</v>
      </c>
      <c r="C3070">
        <v>390655</v>
      </c>
      <c r="D3070" t="s">
        <v>14</v>
      </c>
      <c r="E3070" t="s">
        <v>11</v>
      </c>
      <c r="F3070" t="s">
        <v>12</v>
      </c>
      <c r="G3070" t="s">
        <v>13</v>
      </c>
      <c r="H3070" t="s">
        <v>13</v>
      </c>
      <c r="I3070">
        <v>57</v>
      </c>
      <c r="J3070" t="str" cm="1">
        <f t="array" ref="J3070">_xlfn.IFS(ISBLANK(C3070),"FALTANTE",ABS((C3070-$W$5)/$X$5)&gt;1.96,"ATÍPICO",ABS((C3070-$W$5)/$X$5)&lt;=1.96,"NO ATÍPICO")</f>
        <v>NO ATÍPICO</v>
      </c>
      <c r="K3070" t="str" cm="1">
        <f t="array" ref="K3070">_xlfn.IFS(ISBLANK(I3070),"FALTANTE",ABS((I3070-$W$8)/$X$8)&gt;1.92,"ATÍPICO",ABS((I3070-$W$8)/$X$8)&lt;=1.92,"NO ATÍPICO")</f>
        <v>NO ATÍPICO</v>
      </c>
      <c r="L3070">
        <f t="shared" si="205"/>
        <v>390655</v>
      </c>
      <c r="M3070" t="str">
        <f t="shared" si="205"/>
        <v>PENSIONADOS EN SU PROPIO SISTEMA</v>
      </c>
      <c r="N3070">
        <f t="shared" si="206"/>
        <v>57</v>
      </c>
      <c r="O3070" s="19" t="str">
        <f t="shared" si="207"/>
        <v>300k–600k</v>
      </c>
      <c r="P3070" s="19" t="str">
        <f t="shared" si="208"/>
        <v>56+</v>
      </c>
    </row>
    <row r="3071" spans="1:16" x14ac:dyDescent="0.25">
      <c r="A3071">
        <v>3070</v>
      </c>
      <c r="B3071" t="s">
        <v>9</v>
      </c>
      <c r="C3071">
        <v>406358</v>
      </c>
      <c r="D3071" t="s">
        <v>18</v>
      </c>
      <c r="E3071" t="s">
        <v>16</v>
      </c>
      <c r="F3071" t="s">
        <v>12</v>
      </c>
      <c r="G3071" t="s">
        <v>12</v>
      </c>
      <c r="H3071" t="s">
        <v>12</v>
      </c>
      <c r="I3071">
        <v>71</v>
      </c>
      <c r="J3071" t="str" cm="1">
        <f t="array" ref="J3071">_xlfn.IFS(ISBLANK(C3071),"FALTANTE",ABS((C3071-$W$5)/$X$5)&gt;1.96,"ATÍPICO",ABS((C3071-$W$5)/$X$5)&lt;=1.96,"NO ATÍPICO")</f>
        <v>NO ATÍPICO</v>
      </c>
      <c r="K3071" t="str" cm="1">
        <f t="array" ref="K3071">_xlfn.IFS(ISBLANK(I3071),"FALTANTE",ABS((I3071-$W$8)/$X$8)&gt;1.92,"ATÍPICO",ABS((I3071-$W$8)/$X$8)&lt;=1.92,"NO ATÍPICO")</f>
        <v>ATÍPICO</v>
      </c>
      <c r="L3071">
        <f t="shared" si="205"/>
        <v>406358</v>
      </c>
      <c r="M3071" t="str">
        <f t="shared" si="205"/>
        <v>TRABAJADOR INDEPENDIENTE</v>
      </c>
      <c r="N3071">
        <f t="shared" si="206"/>
        <v>71</v>
      </c>
      <c r="O3071" s="19" t="str">
        <f t="shared" si="207"/>
        <v>300k–600k</v>
      </c>
      <c r="P3071" s="19" t="str">
        <f t="shared" si="208"/>
        <v>56+</v>
      </c>
    </row>
    <row r="3072" spans="1:16" x14ac:dyDescent="0.25">
      <c r="A3072">
        <v>3071</v>
      </c>
      <c r="B3072" t="s">
        <v>15</v>
      </c>
      <c r="C3072">
        <v>148986.9</v>
      </c>
      <c r="D3072" t="s">
        <v>10</v>
      </c>
      <c r="E3072" t="s">
        <v>11</v>
      </c>
      <c r="F3072" t="s">
        <v>12</v>
      </c>
      <c r="G3072" t="s">
        <v>13</v>
      </c>
      <c r="H3072" t="s">
        <v>13</v>
      </c>
      <c r="I3072">
        <v>28</v>
      </c>
      <c r="J3072" t="str" cm="1">
        <f t="array" ref="J3072">_xlfn.IFS(ISBLANK(C3072),"FALTANTE",ABS((C3072-$W$5)/$X$5)&gt;1.96,"ATÍPICO",ABS((C3072-$W$5)/$X$5)&lt;=1.96,"NO ATÍPICO")</f>
        <v>NO ATÍPICO</v>
      </c>
      <c r="K3072" t="str" cm="1">
        <f t="array" ref="K3072">_xlfn.IFS(ISBLANK(I3072),"FALTANTE",ABS((I3072-$W$8)/$X$8)&gt;1.92,"ATÍPICO",ABS((I3072-$W$8)/$X$8)&lt;=1.92,"NO ATÍPICO")</f>
        <v>NO ATÍPICO</v>
      </c>
      <c r="L3072">
        <f t="shared" si="205"/>
        <v>148986.9</v>
      </c>
      <c r="M3072" t="str">
        <f t="shared" si="205"/>
        <v>ASALARIADO</v>
      </c>
      <c r="N3072">
        <f t="shared" si="206"/>
        <v>28</v>
      </c>
      <c r="O3072" s="19" t="str">
        <f t="shared" si="207"/>
        <v>0–300k</v>
      </c>
      <c r="P3072" s="19" t="str">
        <f t="shared" si="208"/>
        <v>26-35</v>
      </c>
    </row>
    <row r="3073" spans="1:16" x14ac:dyDescent="0.25">
      <c r="A3073">
        <v>3072</v>
      </c>
      <c r="B3073" t="s">
        <v>15</v>
      </c>
      <c r="C3073">
        <v>1044634.5</v>
      </c>
      <c r="D3073" t="s">
        <v>10</v>
      </c>
      <c r="E3073" t="s">
        <v>11</v>
      </c>
      <c r="F3073" t="s">
        <v>12</v>
      </c>
      <c r="G3073" t="s">
        <v>13</v>
      </c>
      <c r="H3073" t="s">
        <v>13</v>
      </c>
      <c r="I3073">
        <v>37</v>
      </c>
      <c r="J3073" t="str" cm="1">
        <f t="array" ref="J3073">_xlfn.IFS(ISBLANK(C3073),"FALTANTE",ABS((C3073-$W$5)/$X$5)&gt;1.96,"ATÍPICO",ABS((C3073-$W$5)/$X$5)&lt;=1.96,"NO ATÍPICO")</f>
        <v>NO ATÍPICO</v>
      </c>
      <c r="K3073" t="str" cm="1">
        <f t="array" ref="K3073">_xlfn.IFS(ISBLANK(I3073),"FALTANTE",ABS((I3073-$W$8)/$X$8)&gt;1.92,"ATÍPICO",ABS((I3073-$W$8)/$X$8)&lt;=1.92,"NO ATÍPICO")</f>
        <v>NO ATÍPICO</v>
      </c>
      <c r="L3073">
        <f t="shared" si="205"/>
        <v>1044634.5</v>
      </c>
      <c r="M3073" t="str">
        <f t="shared" si="205"/>
        <v>ASALARIADO</v>
      </c>
      <c r="N3073">
        <f t="shared" si="206"/>
        <v>37</v>
      </c>
      <c r="O3073" s="19" t="str">
        <f t="shared" si="207"/>
        <v>900k–1200k</v>
      </c>
      <c r="P3073" s="19" t="str">
        <f t="shared" si="208"/>
        <v>36-45</v>
      </c>
    </row>
    <row r="3074" spans="1:16" x14ac:dyDescent="0.25">
      <c r="A3074">
        <v>3073</v>
      </c>
      <c r="B3074" t="s">
        <v>15</v>
      </c>
      <c r="C3074">
        <v>377729.94</v>
      </c>
      <c r="D3074" t="s">
        <v>10</v>
      </c>
      <c r="E3074" t="s">
        <v>16</v>
      </c>
      <c r="F3074" t="s">
        <v>12</v>
      </c>
      <c r="G3074" t="s">
        <v>13</v>
      </c>
      <c r="H3074" t="s">
        <v>13</v>
      </c>
      <c r="I3074">
        <v>40</v>
      </c>
      <c r="J3074" t="str" cm="1">
        <f t="array" ref="J3074">_xlfn.IFS(ISBLANK(C3074),"FALTANTE",ABS((C3074-$W$5)/$X$5)&gt;1.96,"ATÍPICO",ABS((C3074-$W$5)/$X$5)&lt;=1.96,"NO ATÍPICO")</f>
        <v>NO ATÍPICO</v>
      </c>
      <c r="K3074" t="str" cm="1">
        <f t="array" ref="K3074">_xlfn.IFS(ISBLANK(I3074),"FALTANTE",ABS((I3074-$W$8)/$X$8)&gt;1.92,"ATÍPICO",ABS((I3074-$W$8)/$X$8)&lt;=1.92,"NO ATÍPICO")</f>
        <v>NO ATÍPICO</v>
      </c>
      <c r="L3074">
        <f t="shared" ref="L3074:M3137" si="209">C3074</f>
        <v>377729.94</v>
      </c>
      <c r="M3074" t="str">
        <f t="shared" si="209"/>
        <v>ASALARIADO</v>
      </c>
      <c r="N3074">
        <f t="shared" ref="N3074:N3137" si="210">I3074</f>
        <v>40</v>
      </c>
      <c r="O3074" s="19" t="str">
        <f t="shared" ref="O3074:O3137" si="211">IF(L3074&lt;=300000,"0–300k",IF(L3074&lt;=600000,"300k–600k",IF(L3074&lt;=900000,"600k–900k",IF(L3074&lt;=1200000,"900k–1200k","1200k+"))))</f>
        <v>300k–600k</v>
      </c>
      <c r="P3074" s="19" t="str">
        <f t="shared" ref="P3074:P3137" si="212">IF(N3074 &lt;=25,"18-25", IF(N3074&lt;=35,"26-35", IF(N3074 &lt;=45,"36-45", IF(N3074&lt;=55,"46-55","56+"))))</f>
        <v>36-45</v>
      </c>
    </row>
    <row r="3075" spans="1:16" x14ac:dyDescent="0.25">
      <c r="A3075">
        <v>3074</v>
      </c>
      <c r="B3075" t="s">
        <v>9</v>
      </c>
      <c r="C3075">
        <v>75000</v>
      </c>
      <c r="D3075" t="s">
        <v>10</v>
      </c>
      <c r="E3075" t="s">
        <v>16</v>
      </c>
      <c r="F3075" t="s">
        <v>12</v>
      </c>
      <c r="G3075" t="s">
        <v>13</v>
      </c>
      <c r="H3075" t="s">
        <v>13</v>
      </c>
      <c r="I3075">
        <v>29</v>
      </c>
      <c r="J3075" t="str" cm="1">
        <f t="array" ref="J3075">_xlfn.IFS(ISBLANK(C3075),"FALTANTE",ABS((C3075-$W$5)/$X$5)&gt;1.96,"ATÍPICO",ABS((C3075-$W$5)/$X$5)&lt;=1.96,"NO ATÍPICO")</f>
        <v>NO ATÍPICO</v>
      </c>
      <c r="K3075" t="str" cm="1">
        <f t="array" ref="K3075">_xlfn.IFS(ISBLANK(I3075),"FALTANTE",ABS((I3075-$W$8)/$X$8)&gt;1.92,"ATÍPICO",ABS((I3075-$W$8)/$X$8)&lt;=1.92,"NO ATÍPICO")</f>
        <v>NO ATÍPICO</v>
      </c>
      <c r="L3075">
        <f t="shared" si="209"/>
        <v>75000</v>
      </c>
      <c r="M3075" t="str">
        <f t="shared" si="209"/>
        <v>ASALARIADO</v>
      </c>
      <c r="N3075">
        <f t="shared" si="210"/>
        <v>29</v>
      </c>
      <c r="O3075" s="19" t="str">
        <f t="shared" si="211"/>
        <v>0–300k</v>
      </c>
      <c r="P3075" s="19" t="str">
        <f t="shared" si="212"/>
        <v>26-35</v>
      </c>
    </row>
    <row r="3076" spans="1:16" x14ac:dyDescent="0.25">
      <c r="A3076">
        <v>3075</v>
      </c>
      <c r="B3076" t="s">
        <v>15</v>
      </c>
      <c r="C3076">
        <v>341091</v>
      </c>
      <c r="D3076" t="s">
        <v>10</v>
      </c>
      <c r="E3076" t="s">
        <v>16</v>
      </c>
      <c r="F3076" t="s">
        <v>12</v>
      </c>
      <c r="G3076" t="s">
        <v>13</v>
      </c>
      <c r="H3076" t="s">
        <v>13</v>
      </c>
      <c r="I3076">
        <v>43</v>
      </c>
      <c r="J3076" t="str" cm="1">
        <f t="array" ref="J3076">_xlfn.IFS(ISBLANK(C3076),"FALTANTE",ABS((C3076-$W$5)/$X$5)&gt;1.96,"ATÍPICO",ABS((C3076-$W$5)/$X$5)&lt;=1.96,"NO ATÍPICO")</f>
        <v>NO ATÍPICO</v>
      </c>
      <c r="K3076" t="str" cm="1">
        <f t="array" ref="K3076">_xlfn.IFS(ISBLANK(I3076),"FALTANTE",ABS((I3076-$W$8)/$X$8)&gt;1.92,"ATÍPICO",ABS((I3076-$W$8)/$X$8)&lt;=1.92,"NO ATÍPICO")</f>
        <v>NO ATÍPICO</v>
      </c>
      <c r="L3076">
        <f t="shared" si="209"/>
        <v>341091</v>
      </c>
      <c r="M3076" t="str">
        <f t="shared" si="209"/>
        <v>ASALARIADO</v>
      </c>
      <c r="N3076">
        <f t="shared" si="210"/>
        <v>43</v>
      </c>
      <c r="O3076" s="19" t="str">
        <f t="shared" si="211"/>
        <v>300k–600k</v>
      </c>
      <c r="P3076" s="19" t="str">
        <f t="shared" si="212"/>
        <v>36-45</v>
      </c>
    </row>
    <row r="3077" spans="1:16" x14ac:dyDescent="0.25">
      <c r="A3077">
        <v>3076</v>
      </c>
      <c r="B3077" t="s">
        <v>15</v>
      </c>
      <c r="C3077">
        <v>297045</v>
      </c>
      <c r="D3077" t="s">
        <v>17</v>
      </c>
      <c r="E3077" t="s">
        <v>16</v>
      </c>
      <c r="F3077" t="s">
        <v>12</v>
      </c>
      <c r="G3077" t="s">
        <v>13</v>
      </c>
      <c r="H3077" t="s">
        <v>13</v>
      </c>
      <c r="I3077">
        <v>54</v>
      </c>
      <c r="J3077" t="str" cm="1">
        <f t="array" ref="J3077">_xlfn.IFS(ISBLANK(C3077),"FALTANTE",ABS((C3077-$W$5)/$X$5)&gt;1.96,"ATÍPICO",ABS((C3077-$W$5)/$X$5)&lt;=1.96,"NO ATÍPICO")</f>
        <v>NO ATÍPICO</v>
      </c>
      <c r="K3077" t="str" cm="1">
        <f t="array" ref="K3077">_xlfn.IFS(ISBLANK(I3077),"FALTANTE",ABS((I3077-$W$8)/$X$8)&gt;1.92,"ATÍPICO",ABS((I3077-$W$8)/$X$8)&lt;=1.92,"NO ATÍPICO")</f>
        <v>NO ATÍPICO</v>
      </c>
      <c r="L3077">
        <f t="shared" si="209"/>
        <v>297045</v>
      </c>
      <c r="M3077" t="str">
        <f t="shared" si="209"/>
        <v>ASEGURADO VOLUNTARIO</v>
      </c>
      <c r="N3077">
        <f t="shared" si="210"/>
        <v>54</v>
      </c>
      <c r="O3077" s="19" t="str">
        <f t="shared" si="211"/>
        <v>0–300k</v>
      </c>
      <c r="P3077" s="19" t="str">
        <f t="shared" si="212"/>
        <v>46-55</v>
      </c>
    </row>
    <row r="3078" spans="1:16" x14ac:dyDescent="0.25">
      <c r="A3078">
        <v>3077</v>
      </c>
      <c r="B3078" t="s">
        <v>9</v>
      </c>
      <c r="C3078">
        <v>300000</v>
      </c>
      <c r="D3078" t="s">
        <v>10</v>
      </c>
      <c r="E3078" t="s">
        <v>16</v>
      </c>
      <c r="F3078" t="s">
        <v>12</v>
      </c>
      <c r="G3078" t="s">
        <v>12</v>
      </c>
      <c r="H3078" t="s">
        <v>13</v>
      </c>
      <c r="I3078">
        <v>33</v>
      </c>
      <c r="J3078" t="str" cm="1">
        <f t="array" ref="J3078">_xlfn.IFS(ISBLANK(C3078),"FALTANTE",ABS((C3078-$W$5)/$X$5)&gt;1.96,"ATÍPICO",ABS((C3078-$W$5)/$X$5)&lt;=1.96,"NO ATÍPICO")</f>
        <v>NO ATÍPICO</v>
      </c>
      <c r="K3078" t="str" cm="1">
        <f t="array" ref="K3078">_xlfn.IFS(ISBLANK(I3078),"FALTANTE",ABS((I3078-$W$8)/$X$8)&gt;1.92,"ATÍPICO",ABS((I3078-$W$8)/$X$8)&lt;=1.92,"NO ATÍPICO")</f>
        <v>NO ATÍPICO</v>
      </c>
      <c r="L3078">
        <f t="shared" si="209"/>
        <v>300000</v>
      </c>
      <c r="M3078" t="str">
        <f t="shared" si="209"/>
        <v>ASALARIADO</v>
      </c>
      <c r="N3078">
        <f t="shared" si="210"/>
        <v>33</v>
      </c>
      <c r="O3078" s="19" t="str">
        <f t="shared" si="211"/>
        <v>0–300k</v>
      </c>
      <c r="P3078" s="19" t="str">
        <f t="shared" si="212"/>
        <v>26-35</v>
      </c>
    </row>
    <row r="3079" spans="1:16" x14ac:dyDescent="0.25">
      <c r="A3079">
        <v>3078</v>
      </c>
      <c r="B3079" t="s">
        <v>9</v>
      </c>
      <c r="C3079">
        <v>488266.33</v>
      </c>
      <c r="D3079" t="s">
        <v>10</v>
      </c>
      <c r="E3079" t="s">
        <v>16</v>
      </c>
      <c r="F3079" t="s">
        <v>12</v>
      </c>
      <c r="G3079" t="s">
        <v>13</v>
      </c>
      <c r="H3079" t="s">
        <v>13</v>
      </c>
      <c r="I3079">
        <v>31</v>
      </c>
      <c r="J3079" t="str" cm="1">
        <f t="array" ref="J3079">_xlfn.IFS(ISBLANK(C3079),"FALTANTE",ABS((C3079-$W$5)/$X$5)&gt;1.96,"ATÍPICO",ABS((C3079-$W$5)/$X$5)&lt;=1.96,"NO ATÍPICO")</f>
        <v>NO ATÍPICO</v>
      </c>
      <c r="K3079" t="str" cm="1">
        <f t="array" ref="K3079">_xlfn.IFS(ISBLANK(I3079),"FALTANTE",ABS((I3079-$W$8)/$X$8)&gt;1.92,"ATÍPICO",ABS((I3079-$W$8)/$X$8)&lt;=1.92,"NO ATÍPICO")</f>
        <v>NO ATÍPICO</v>
      </c>
      <c r="L3079">
        <f t="shared" si="209"/>
        <v>488266.33</v>
      </c>
      <c r="M3079" t="str">
        <f t="shared" si="209"/>
        <v>ASALARIADO</v>
      </c>
      <c r="N3079">
        <f t="shared" si="210"/>
        <v>31</v>
      </c>
      <c r="O3079" s="19" t="str">
        <f t="shared" si="211"/>
        <v>300k–600k</v>
      </c>
      <c r="P3079" s="19" t="str">
        <f t="shared" si="212"/>
        <v>26-35</v>
      </c>
    </row>
    <row r="3080" spans="1:16" x14ac:dyDescent="0.25">
      <c r="A3080">
        <v>3079</v>
      </c>
      <c r="B3080" t="s">
        <v>9</v>
      </c>
      <c r="C3080">
        <v>278031</v>
      </c>
      <c r="D3080" t="s">
        <v>17</v>
      </c>
      <c r="E3080" t="s">
        <v>16</v>
      </c>
      <c r="F3080" t="s">
        <v>13</v>
      </c>
      <c r="G3080" t="s">
        <v>13</v>
      </c>
      <c r="H3080" t="s">
        <v>12</v>
      </c>
      <c r="I3080">
        <v>47</v>
      </c>
      <c r="J3080" t="str" cm="1">
        <f t="array" ref="J3080">_xlfn.IFS(ISBLANK(C3080),"FALTANTE",ABS((C3080-$W$5)/$X$5)&gt;1.96,"ATÍPICO",ABS((C3080-$W$5)/$X$5)&lt;=1.96,"NO ATÍPICO")</f>
        <v>NO ATÍPICO</v>
      </c>
      <c r="K3080" t="str" cm="1">
        <f t="array" ref="K3080">_xlfn.IFS(ISBLANK(I3080),"FALTANTE",ABS((I3080-$W$8)/$X$8)&gt;1.92,"ATÍPICO",ABS((I3080-$W$8)/$X$8)&lt;=1.92,"NO ATÍPICO")</f>
        <v>NO ATÍPICO</v>
      </c>
      <c r="L3080">
        <f t="shared" si="209"/>
        <v>278031</v>
      </c>
      <c r="M3080" t="str">
        <f t="shared" si="209"/>
        <v>ASEGURADO VOLUNTARIO</v>
      </c>
      <c r="N3080">
        <f t="shared" si="210"/>
        <v>47</v>
      </c>
      <c r="O3080" s="19" t="str">
        <f t="shared" si="211"/>
        <v>0–300k</v>
      </c>
      <c r="P3080" s="19" t="str">
        <f t="shared" si="212"/>
        <v>46-55</v>
      </c>
    </row>
    <row r="3081" spans="1:16" x14ac:dyDescent="0.25">
      <c r="A3081">
        <v>3080</v>
      </c>
      <c r="B3081" t="s">
        <v>9</v>
      </c>
      <c r="C3081">
        <v>705577.5</v>
      </c>
      <c r="D3081" t="s">
        <v>10</v>
      </c>
      <c r="E3081" t="s">
        <v>16</v>
      </c>
      <c r="F3081" t="s">
        <v>12</v>
      </c>
      <c r="G3081" t="s">
        <v>13</v>
      </c>
      <c r="H3081" t="s">
        <v>13</v>
      </c>
      <c r="I3081">
        <v>53</v>
      </c>
      <c r="J3081" t="str" cm="1">
        <f t="array" ref="J3081">_xlfn.IFS(ISBLANK(C3081),"FALTANTE",ABS((C3081-$W$5)/$X$5)&gt;1.96,"ATÍPICO",ABS((C3081-$W$5)/$X$5)&lt;=1.96,"NO ATÍPICO")</f>
        <v>NO ATÍPICO</v>
      </c>
      <c r="K3081" t="str" cm="1">
        <f t="array" ref="K3081">_xlfn.IFS(ISBLANK(I3081),"FALTANTE",ABS((I3081-$W$8)/$X$8)&gt;1.92,"ATÍPICO",ABS((I3081-$W$8)/$X$8)&lt;=1.92,"NO ATÍPICO")</f>
        <v>NO ATÍPICO</v>
      </c>
      <c r="L3081">
        <f t="shared" si="209"/>
        <v>705577.5</v>
      </c>
      <c r="M3081" t="str">
        <f t="shared" si="209"/>
        <v>ASALARIADO</v>
      </c>
      <c r="N3081">
        <f t="shared" si="210"/>
        <v>53</v>
      </c>
      <c r="O3081" s="19" t="str">
        <f t="shared" si="211"/>
        <v>600k–900k</v>
      </c>
      <c r="P3081" s="19" t="str">
        <f t="shared" si="212"/>
        <v>46-55</v>
      </c>
    </row>
    <row r="3082" spans="1:16" x14ac:dyDescent="0.25">
      <c r="A3082">
        <v>3081</v>
      </c>
      <c r="B3082" t="s">
        <v>9</v>
      </c>
      <c r="C3082">
        <v>1291732</v>
      </c>
      <c r="D3082" t="s">
        <v>10</v>
      </c>
      <c r="E3082" t="s">
        <v>11</v>
      </c>
      <c r="F3082" t="s">
        <v>12</v>
      </c>
      <c r="G3082" t="s">
        <v>13</v>
      </c>
      <c r="H3082" t="s">
        <v>13</v>
      </c>
      <c r="I3082">
        <v>49</v>
      </c>
      <c r="J3082" t="str" cm="1">
        <f t="array" ref="J3082">_xlfn.IFS(ISBLANK(C3082),"FALTANTE",ABS((C3082-$W$5)/$X$5)&gt;1.96,"ATÍPICO",ABS((C3082-$W$5)/$X$5)&lt;=1.96,"NO ATÍPICO")</f>
        <v>NO ATÍPICO</v>
      </c>
      <c r="K3082" t="str" cm="1">
        <f t="array" ref="K3082">_xlfn.IFS(ISBLANK(I3082),"FALTANTE",ABS((I3082-$W$8)/$X$8)&gt;1.92,"ATÍPICO",ABS((I3082-$W$8)/$X$8)&lt;=1.92,"NO ATÍPICO")</f>
        <v>NO ATÍPICO</v>
      </c>
      <c r="L3082">
        <f t="shared" si="209"/>
        <v>1291732</v>
      </c>
      <c r="M3082" t="str">
        <f t="shared" si="209"/>
        <v>ASALARIADO</v>
      </c>
      <c r="N3082">
        <f t="shared" si="210"/>
        <v>49</v>
      </c>
      <c r="O3082" s="19" t="str">
        <f t="shared" si="211"/>
        <v>1200k+</v>
      </c>
      <c r="P3082" s="19" t="str">
        <f t="shared" si="212"/>
        <v>46-55</v>
      </c>
    </row>
    <row r="3083" spans="1:16" x14ac:dyDescent="0.25">
      <c r="A3083">
        <v>3082</v>
      </c>
      <c r="B3083" t="s">
        <v>9</v>
      </c>
      <c r="C3083">
        <v>786256.75</v>
      </c>
      <c r="D3083" t="s">
        <v>10</v>
      </c>
      <c r="E3083" t="s">
        <v>11</v>
      </c>
      <c r="F3083" t="s">
        <v>12</v>
      </c>
      <c r="G3083" t="s">
        <v>13</v>
      </c>
      <c r="H3083" t="s">
        <v>13</v>
      </c>
      <c r="I3083">
        <v>26</v>
      </c>
      <c r="J3083" t="str" cm="1">
        <f t="array" ref="J3083">_xlfn.IFS(ISBLANK(C3083),"FALTANTE",ABS((C3083-$W$5)/$X$5)&gt;1.96,"ATÍPICO",ABS((C3083-$W$5)/$X$5)&lt;=1.96,"NO ATÍPICO")</f>
        <v>NO ATÍPICO</v>
      </c>
      <c r="K3083" t="str" cm="1">
        <f t="array" ref="K3083">_xlfn.IFS(ISBLANK(I3083),"FALTANTE",ABS((I3083-$W$8)/$X$8)&gt;1.92,"ATÍPICO",ABS((I3083-$W$8)/$X$8)&lt;=1.92,"NO ATÍPICO")</f>
        <v>NO ATÍPICO</v>
      </c>
      <c r="L3083">
        <f t="shared" si="209"/>
        <v>786256.75</v>
      </c>
      <c r="M3083" t="str">
        <f t="shared" si="209"/>
        <v>ASALARIADO</v>
      </c>
      <c r="N3083">
        <f t="shared" si="210"/>
        <v>26</v>
      </c>
      <c r="O3083" s="19" t="str">
        <f t="shared" si="211"/>
        <v>600k–900k</v>
      </c>
      <c r="P3083" s="19" t="str">
        <f t="shared" si="212"/>
        <v>26-35</v>
      </c>
    </row>
    <row r="3084" spans="1:16" x14ac:dyDescent="0.25">
      <c r="A3084">
        <v>3083</v>
      </c>
      <c r="B3084" t="s">
        <v>15</v>
      </c>
      <c r="C3084">
        <v>385548</v>
      </c>
      <c r="D3084" t="s">
        <v>18</v>
      </c>
      <c r="E3084" t="s">
        <v>16</v>
      </c>
      <c r="F3084" t="s">
        <v>12</v>
      </c>
      <c r="G3084" t="s">
        <v>13</v>
      </c>
      <c r="H3084" t="s">
        <v>12</v>
      </c>
      <c r="I3084">
        <v>37</v>
      </c>
      <c r="J3084" t="str" cm="1">
        <f t="array" ref="J3084">_xlfn.IFS(ISBLANK(C3084),"FALTANTE",ABS((C3084-$W$5)/$X$5)&gt;1.96,"ATÍPICO",ABS((C3084-$W$5)/$X$5)&lt;=1.96,"NO ATÍPICO")</f>
        <v>NO ATÍPICO</v>
      </c>
      <c r="K3084" t="str" cm="1">
        <f t="array" ref="K3084">_xlfn.IFS(ISBLANK(I3084),"FALTANTE",ABS((I3084-$W$8)/$X$8)&gt;1.92,"ATÍPICO",ABS((I3084-$W$8)/$X$8)&lt;=1.92,"NO ATÍPICO")</f>
        <v>NO ATÍPICO</v>
      </c>
      <c r="L3084">
        <f t="shared" si="209"/>
        <v>385548</v>
      </c>
      <c r="M3084" t="str">
        <f t="shared" si="209"/>
        <v>TRABAJADOR INDEPENDIENTE</v>
      </c>
      <c r="N3084">
        <f t="shared" si="210"/>
        <v>37</v>
      </c>
      <c r="O3084" s="19" t="str">
        <f t="shared" si="211"/>
        <v>300k–600k</v>
      </c>
      <c r="P3084" s="19" t="str">
        <f t="shared" si="212"/>
        <v>36-45</v>
      </c>
    </row>
    <row r="3085" spans="1:16" x14ac:dyDescent="0.25">
      <c r="A3085">
        <v>3084</v>
      </c>
      <c r="B3085" t="s">
        <v>9</v>
      </c>
      <c r="C3085">
        <v>793190.96</v>
      </c>
      <c r="D3085" t="s">
        <v>10</v>
      </c>
      <c r="E3085" t="s">
        <v>16</v>
      </c>
      <c r="F3085" t="s">
        <v>12</v>
      </c>
      <c r="G3085" t="s">
        <v>13</v>
      </c>
      <c r="H3085" t="s">
        <v>13</v>
      </c>
      <c r="I3085">
        <v>59</v>
      </c>
      <c r="J3085" t="str" cm="1">
        <f t="array" ref="J3085">_xlfn.IFS(ISBLANK(C3085),"FALTANTE",ABS((C3085-$W$5)/$X$5)&gt;1.96,"ATÍPICO",ABS((C3085-$W$5)/$X$5)&lt;=1.96,"NO ATÍPICO")</f>
        <v>NO ATÍPICO</v>
      </c>
      <c r="K3085" t="str" cm="1">
        <f t="array" ref="K3085">_xlfn.IFS(ISBLANK(I3085),"FALTANTE",ABS((I3085-$W$8)/$X$8)&gt;1.92,"ATÍPICO",ABS((I3085-$W$8)/$X$8)&lt;=1.92,"NO ATÍPICO")</f>
        <v>NO ATÍPICO</v>
      </c>
      <c r="L3085">
        <f t="shared" si="209"/>
        <v>793190.96</v>
      </c>
      <c r="M3085" t="str">
        <f t="shared" si="209"/>
        <v>ASALARIADO</v>
      </c>
      <c r="N3085">
        <f t="shared" si="210"/>
        <v>59</v>
      </c>
      <c r="O3085" s="19" t="str">
        <f t="shared" si="211"/>
        <v>600k–900k</v>
      </c>
      <c r="P3085" s="19" t="str">
        <f t="shared" si="212"/>
        <v>56+</v>
      </c>
    </row>
    <row r="3086" spans="1:16" x14ac:dyDescent="0.25">
      <c r="A3086">
        <v>3085</v>
      </c>
      <c r="B3086" t="s">
        <v>9</v>
      </c>
      <c r="C3086">
        <v>297046</v>
      </c>
      <c r="D3086" t="s">
        <v>18</v>
      </c>
      <c r="E3086" t="s">
        <v>16</v>
      </c>
      <c r="F3086" t="s">
        <v>12</v>
      </c>
      <c r="G3086" t="s">
        <v>13</v>
      </c>
      <c r="H3086" t="s">
        <v>13</v>
      </c>
      <c r="I3086">
        <v>60</v>
      </c>
      <c r="J3086" t="str" cm="1">
        <f t="array" ref="J3086">_xlfn.IFS(ISBLANK(C3086),"FALTANTE",ABS((C3086-$W$5)/$X$5)&gt;1.96,"ATÍPICO",ABS((C3086-$W$5)/$X$5)&lt;=1.96,"NO ATÍPICO")</f>
        <v>NO ATÍPICO</v>
      </c>
      <c r="K3086" t="str" cm="1">
        <f t="array" ref="K3086">_xlfn.IFS(ISBLANK(I3086),"FALTANTE",ABS((I3086-$W$8)/$X$8)&gt;1.92,"ATÍPICO",ABS((I3086-$W$8)/$X$8)&lt;=1.92,"NO ATÍPICO")</f>
        <v>NO ATÍPICO</v>
      </c>
      <c r="L3086">
        <f t="shared" si="209"/>
        <v>297046</v>
      </c>
      <c r="M3086" t="str">
        <f t="shared" si="209"/>
        <v>TRABAJADOR INDEPENDIENTE</v>
      </c>
      <c r="N3086">
        <f t="shared" si="210"/>
        <v>60</v>
      </c>
      <c r="O3086" s="19" t="str">
        <f t="shared" si="211"/>
        <v>0–300k</v>
      </c>
      <c r="P3086" s="19" t="str">
        <f t="shared" si="212"/>
        <v>56+</v>
      </c>
    </row>
    <row r="3087" spans="1:16" x14ac:dyDescent="0.25">
      <c r="A3087">
        <v>3086</v>
      </c>
      <c r="B3087" t="s">
        <v>15</v>
      </c>
      <c r="C3087">
        <v>1762215.6</v>
      </c>
      <c r="D3087" t="s">
        <v>10</v>
      </c>
      <c r="E3087" t="s">
        <v>11</v>
      </c>
      <c r="F3087" t="s">
        <v>12</v>
      </c>
      <c r="G3087" t="s">
        <v>13</v>
      </c>
      <c r="H3087" t="s">
        <v>13</v>
      </c>
      <c r="I3087">
        <v>57</v>
      </c>
      <c r="J3087" t="str" cm="1">
        <f t="array" ref="J3087">_xlfn.IFS(ISBLANK(C3087),"FALTANTE",ABS((C3087-$W$5)/$X$5)&gt;1.96,"ATÍPICO",ABS((C3087-$W$5)/$X$5)&lt;=1.96,"NO ATÍPICO")</f>
        <v>NO ATÍPICO</v>
      </c>
      <c r="K3087" t="str" cm="1">
        <f t="array" ref="K3087">_xlfn.IFS(ISBLANK(I3087),"FALTANTE",ABS((I3087-$W$8)/$X$8)&gt;1.92,"ATÍPICO",ABS((I3087-$W$8)/$X$8)&lt;=1.92,"NO ATÍPICO")</f>
        <v>NO ATÍPICO</v>
      </c>
      <c r="L3087">
        <f t="shared" si="209"/>
        <v>1762215.6</v>
      </c>
      <c r="M3087" t="str">
        <f t="shared" si="209"/>
        <v>ASALARIADO</v>
      </c>
      <c r="N3087">
        <f t="shared" si="210"/>
        <v>57</v>
      </c>
      <c r="O3087" s="19" t="str">
        <f t="shared" si="211"/>
        <v>1200k+</v>
      </c>
      <c r="P3087" s="19" t="str">
        <f t="shared" si="212"/>
        <v>56+</v>
      </c>
    </row>
    <row r="3088" spans="1:16" x14ac:dyDescent="0.25">
      <c r="A3088">
        <v>3087</v>
      </c>
      <c r="B3088" t="s">
        <v>15</v>
      </c>
      <c r="C3088">
        <v>615850.17000000004</v>
      </c>
      <c r="D3088" t="s">
        <v>10</v>
      </c>
      <c r="E3088" t="s">
        <v>16</v>
      </c>
      <c r="F3088" t="s">
        <v>12</v>
      </c>
      <c r="G3088" t="s">
        <v>13</v>
      </c>
      <c r="H3088" t="s">
        <v>13</v>
      </c>
      <c r="I3088">
        <v>53</v>
      </c>
      <c r="J3088" t="str" cm="1">
        <f t="array" ref="J3088">_xlfn.IFS(ISBLANK(C3088),"FALTANTE",ABS((C3088-$W$5)/$X$5)&gt;1.96,"ATÍPICO",ABS((C3088-$W$5)/$X$5)&lt;=1.96,"NO ATÍPICO")</f>
        <v>NO ATÍPICO</v>
      </c>
      <c r="K3088" t="str" cm="1">
        <f t="array" ref="K3088">_xlfn.IFS(ISBLANK(I3088),"FALTANTE",ABS((I3088-$W$8)/$X$8)&gt;1.92,"ATÍPICO",ABS((I3088-$W$8)/$X$8)&lt;=1.92,"NO ATÍPICO")</f>
        <v>NO ATÍPICO</v>
      </c>
      <c r="L3088">
        <f t="shared" si="209"/>
        <v>615850.17000000004</v>
      </c>
      <c r="M3088" t="str">
        <f t="shared" si="209"/>
        <v>ASALARIADO</v>
      </c>
      <c r="N3088">
        <f t="shared" si="210"/>
        <v>53</v>
      </c>
      <c r="O3088" s="19" t="str">
        <f t="shared" si="211"/>
        <v>600k–900k</v>
      </c>
      <c r="P3088" s="19" t="str">
        <f t="shared" si="212"/>
        <v>46-55</v>
      </c>
    </row>
    <row r="3089" spans="1:16" x14ac:dyDescent="0.25">
      <c r="A3089">
        <v>3088</v>
      </c>
      <c r="B3089" t="s">
        <v>9</v>
      </c>
      <c r="C3089">
        <v>299647</v>
      </c>
      <c r="D3089" t="s">
        <v>17</v>
      </c>
      <c r="E3089" t="s">
        <v>16</v>
      </c>
      <c r="F3089" t="s">
        <v>12</v>
      </c>
      <c r="G3089" t="s">
        <v>13</v>
      </c>
      <c r="H3089" t="s">
        <v>12</v>
      </c>
      <c r="I3089">
        <v>46</v>
      </c>
      <c r="J3089" t="str" cm="1">
        <f t="array" ref="J3089">_xlfn.IFS(ISBLANK(C3089),"FALTANTE",ABS((C3089-$W$5)/$X$5)&gt;1.96,"ATÍPICO",ABS((C3089-$W$5)/$X$5)&lt;=1.96,"NO ATÍPICO")</f>
        <v>NO ATÍPICO</v>
      </c>
      <c r="K3089" t="str" cm="1">
        <f t="array" ref="K3089">_xlfn.IFS(ISBLANK(I3089),"FALTANTE",ABS((I3089-$W$8)/$X$8)&gt;1.92,"ATÍPICO",ABS((I3089-$W$8)/$X$8)&lt;=1.92,"NO ATÍPICO")</f>
        <v>NO ATÍPICO</v>
      </c>
      <c r="L3089">
        <f t="shared" si="209"/>
        <v>299647</v>
      </c>
      <c r="M3089" t="str">
        <f t="shared" si="209"/>
        <v>ASEGURADO VOLUNTARIO</v>
      </c>
      <c r="N3089">
        <f t="shared" si="210"/>
        <v>46</v>
      </c>
      <c r="O3089" s="19" t="str">
        <f t="shared" si="211"/>
        <v>0–300k</v>
      </c>
      <c r="P3089" s="19" t="str">
        <f t="shared" si="212"/>
        <v>46-55</v>
      </c>
    </row>
    <row r="3090" spans="1:16" x14ac:dyDescent="0.25">
      <c r="A3090">
        <v>3089</v>
      </c>
      <c r="B3090" t="s">
        <v>9</v>
      </c>
      <c r="C3090">
        <v>1400000</v>
      </c>
      <c r="D3090" t="s">
        <v>10</v>
      </c>
      <c r="E3090" t="s">
        <v>16</v>
      </c>
      <c r="F3090" t="s">
        <v>12</v>
      </c>
      <c r="G3090" t="s">
        <v>13</v>
      </c>
      <c r="H3090" t="s">
        <v>13</v>
      </c>
      <c r="I3090">
        <v>68</v>
      </c>
      <c r="J3090" t="str" cm="1">
        <f t="array" ref="J3090">_xlfn.IFS(ISBLANK(C3090),"FALTANTE",ABS((C3090-$W$5)/$X$5)&gt;1.96,"ATÍPICO",ABS((C3090-$W$5)/$X$5)&lt;=1.96,"NO ATÍPICO")</f>
        <v>NO ATÍPICO</v>
      </c>
      <c r="K3090" t="str" cm="1">
        <f t="array" ref="K3090">_xlfn.IFS(ISBLANK(I3090),"FALTANTE",ABS((I3090-$W$8)/$X$8)&gt;1.92,"ATÍPICO",ABS((I3090-$W$8)/$X$8)&lt;=1.92,"NO ATÍPICO")</f>
        <v>NO ATÍPICO</v>
      </c>
      <c r="L3090">
        <f t="shared" si="209"/>
        <v>1400000</v>
      </c>
      <c r="M3090" t="str">
        <f t="shared" si="209"/>
        <v>ASALARIADO</v>
      </c>
      <c r="N3090">
        <f t="shared" si="210"/>
        <v>68</v>
      </c>
      <c r="O3090" s="19" t="str">
        <f t="shared" si="211"/>
        <v>1200k+</v>
      </c>
      <c r="P3090" s="19" t="str">
        <f t="shared" si="212"/>
        <v>56+</v>
      </c>
    </row>
    <row r="3091" spans="1:16" x14ac:dyDescent="0.25">
      <c r="A3091">
        <v>3090</v>
      </c>
      <c r="B3091" t="s">
        <v>15</v>
      </c>
      <c r="C3091">
        <v>370682.66</v>
      </c>
      <c r="D3091" t="s">
        <v>10</v>
      </c>
      <c r="E3091" t="s">
        <v>16</v>
      </c>
      <c r="F3091" t="s">
        <v>12</v>
      </c>
      <c r="G3091" t="s">
        <v>13</v>
      </c>
      <c r="H3091" t="s">
        <v>12</v>
      </c>
      <c r="I3091">
        <v>50</v>
      </c>
      <c r="J3091" t="str" cm="1">
        <f t="array" ref="J3091">_xlfn.IFS(ISBLANK(C3091),"FALTANTE",ABS((C3091-$W$5)/$X$5)&gt;1.96,"ATÍPICO",ABS((C3091-$W$5)/$X$5)&lt;=1.96,"NO ATÍPICO")</f>
        <v>NO ATÍPICO</v>
      </c>
      <c r="K3091" t="str" cm="1">
        <f t="array" ref="K3091">_xlfn.IFS(ISBLANK(I3091),"FALTANTE",ABS((I3091-$W$8)/$X$8)&gt;1.92,"ATÍPICO",ABS((I3091-$W$8)/$X$8)&lt;=1.92,"NO ATÍPICO")</f>
        <v>NO ATÍPICO</v>
      </c>
      <c r="L3091">
        <f t="shared" si="209"/>
        <v>370682.66</v>
      </c>
      <c r="M3091" t="str">
        <f t="shared" si="209"/>
        <v>ASALARIADO</v>
      </c>
      <c r="N3091">
        <f t="shared" si="210"/>
        <v>50</v>
      </c>
      <c r="O3091" s="19" t="str">
        <f t="shared" si="211"/>
        <v>300k–600k</v>
      </c>
      <c r="P3091" s="19" t="str">
        <f t="shared" si="212"/>
        <v>46-55</v>
      </c>
    </row>
    <row r="3092" spans="1:16" x14ac:dyDescent="0.25">
      <c r="A3092">
        <v>3091</v>
      </c>
      <c r="B3092" t="s">
        <v>9</v>
      </c>
      <c r="C3092">
        <v>299441</v>
      </c>
      <c r="D3092" t="s">
        <v>18</v>
      </c>
      <c r="E3092" t="s">
        <v>16</v>
      </c>
      <c r="F3092" t="s">
        <v>12</v>
      </c>
      <c r="G3092" t="s">
        <v>12</v>
      </c>
      <c r="H3092" t="s">
        <v>12</v>
      </c>
      <c r="I3092">
        <v>40</v>
      </c>
      <c r="J3092" t="str" cm="1">
        <f t="array" ref="J3092">_xlfn.IFS(ISBLANK(C3092),"FALTANTE",ABS((C3092-$W$5)/$X$5)&gt;1.96,"ATÍPICO",ABS((C3092-$W$5)/$X$5)&lt;=1.96,"NO ATÍPICO")</f>
        <v>NO ATÍPICO</v>
      </c>
      <c r="K3092" t="str" cm="1">
        <f t="array" ref="K3092">_xlfn.IFS(ISBLANK(I3092),"FALTANTE",ABS((I3092-$W$8)/$X$8)&gt;1.92,"ATÍPICO",ABS((I3092-$W$8)/$X$8)&lt;=1.92,"NO ATÍPICO")</f>
        <v>NO ATÍPICO</v>
      </c>
      <c r="L3092">
        <f t="shared" si="209"/>
        <v>299441</v>
      </c>
      <c r="M3092" t="str">
        <f t="shared" si="209"/>
        <v>TRABAJADOR INDEPENDIENTE</v>
      </c>
      <c r="N3092">
        <f t="shared" si="210"/>
        <v>40</v>
      </c>
      <c r="O3092" s="19" t="str">
        <f t="shared" si="211"/>
        <v>0–300k</v>
      </c>
      <c r="P3092" s="19" t="str">
        <f t="shared" si="212"/>
        <v>36-45</v>
      </c>
    </row>
    <row r="3093" spans="1:16" x14ac:dyDescent="0.25">
      <c r="A3093">
        <v>3092</v>
      </c>
      <c r="B3093" t="s">
        <v>15</v>
      </c>
      <c r="C3093">
        <v>1095319</v>
      </c>
      <c r="D3093" t="s">
        <v>10</v>
      </c>
      <c r="E3093" t="s">
        <v>11</v>
      </c>
      <c r="F3093" t="s">
        <v>12</v>
      </c>
      <c r="G3093" t="s">
        <v>13</v>
      </c>
      <c r="H3093" t="s">
        <v>12</v>
      </c>
      <c r="I3093">
        <v>28</v>
      </c>
      <c r="J3093" t="str" cm="1">
        <f t="array" ref="J3093">_xlfn.IFS(ISBLANK(C3093),"FALTANTE",ABS((C3093-$W$5)/$X$5)&gt;1.96,"ATÍPICO",ABS((C3093-$W$5)/$X$5)&lt;=1.96,"NO ATÍPICO")</f>
        <v>NO ATÍPICO</v>
      </c>
      <c r="K3093" t="str" cm="1">
        <f t="array" ref="K3093">_xlfn.IFS(ISBLANK(I3093),"FALTANTE",ABS((I3093-$W$8)/$X$8)&gt;1.92,"ATÍPICO",ABS((I3093-$W$8)/$X$8)&lt;=1.92,"NO ATÍPICO")</f>
        <v>NO ATÍPICO</v>
      </c>
      <c r="L3093">
        <f t="shared" si="209"/>
        <v>1095319</v>
      </c>
      <c r="M3093" t="str">
        <f t="shared" si="209"/>
        <v>ASALARIADO</v>
      </c>
      <c r="N3093">
        <f t="shared" si="210"/>
        <v>28</v>
      </c>
      <c r="O3093" s="19" t="str">
        <f t="shared" si="211"/>
        <v>900k–1200k</v>
      </c>
      <c r="P3093" s="19" t="str">
        <f t="shared" si="212"/>
        <v>26-35</v>
      </c>
    </row>
    <row r="3094" spans="1:16" x14ac:dyDescent="0.25">
      <c r="A3094">
        <v>3093</v>
      </c>
      <c r="B3094" t="s">
        <v>9</v>
      </c>
      <c r="C3094">
        <v>298698</v>
      </c>
      <c r="D3094" t="s">
        <v>10</v>
      </c>
      <c r="E3094" t="s">
        <v>16</v>
      </c>
      <c r="F3094" t="s">
        <v>12</v>
      </c>
      <c r="G3094" t="s">
        <v>12</v>
      </c>
      <c r="H3094" t="s">
        <v>13</v>
      </c>
      <c r="I3094">
        <v>49</v>
      </c>
      <c r="J3094" t="str" cm="1">
        <f t="array" ref="J3094">_xlfn.IFS(ISBLANK(C3094),"FALTANTE",ABS((C3094-$W$5)/$X$5)&gt;1.96,"ATÍPICO",ABS((C3094-$W$5)/$X$5)&lt;=1.96,"NO ATÍPICO")</f>
        <v>NO ATÍPICO</v>
      </c>
      <c r="K3094" t="str" cm="1">
        <f t="array" ref="K3094">_xlfn.IFS(ISBLANK(I3094),"FALTANTE",ABS((I3094-$W$8)/$X$8)&gt;1.92,"ATÍPICO",ABS((I3094-$W$8)/$X$8)&lt;=1.92,"NO ATÍPICO")</f>
        <v>NO ATÍPICO</v>
      </c>
      <c r="L3094">
        <f t="shared" si="209"/>
        <v>298698</v>
      </c>
      <c r="M3094" t="str">
        <f t="shared" si="209"/>
        <v>ASALARIADO</v>
      </c>
      <c r="N3094">
        <f t="shared" si="210"/>
        <v>49</v>
      </c>
      <c r="O3094" s="19" t="str">
        <f t="shared" si="211"/>
        <v>0–300k</v>
      </c>
      <c r="P3094" s="19" t="str">
        <f t="shared" si="212"/>
        <v>46-55</v>
      </c>
    </row>
    <row r="3095" spans="1:16" x14ac:dyDescent="0.25">
      <c r="A3095">
        <v>3094</v>
      </c>
      <c r="B3095" t="s">
        <v>15</v>
      </c>
      <c r="C3095">
        <v>1248224.55</v>
      </c>
      <c r="D3095" t="s">
        <v>10</v>
      </c>
      <c r="E3095" t="s">
        <v>16</v>
      </c>
      <c r="F3095" t="s">
        <v>12</v>
      </c>
      <c r="G3095" t="s">
        <v>13</v>
      </c>
      <c r="H3095" t="s">
        <v>13</v>
      </c>
      <c r="I3095">
        <v>35</v>
      </c>
      <c r="J3095" t="str" cm="1">
        <f t="array" ref="J3095">_xlfn.IFS(ISBLANK(C3095),"FALTANTE",ABS((C3095-$W$5)/$X$5)&gt;1.96,"ATÍPICO",ABS((C3095-$W$5)/$X$5)&lt;=1.96,"NO ATÍPICO")</f>
        <v>NO ATÍPICO</v>
      </c>
      <c r="K3095" t="str" cm="1">
        <f t="array" ref="K3095">_xlfn.IFS(ISBLANK(I3095),"FALTANTE",ABS((I3095-$W$8)/$X$8)&gt;1.92,"ATÍPICO",ABS((I3095-$W$8)/$X$8)&lt;=1.92,"NO ATÍPICO")</f>
        <v>NO ATÍPICO</v>
      </c>
      <c r="L3095">
        <f t="shared" si="209"/>
        <v>1248224.55</v>
      </c>
      <c r="M3095" t="str">
        <f t="shared" si="209"/>
        <v>ASALARIADO</v>
      </c>
      <c r="N3095">
        <f t="shared" si="210"/>
        <v>35</v>
      </c>
      <c r="O3095" s="19" t="str">
        <f t="shared" si="211"/>
        <v>1200k+</v>
      </c>
      <c r="P3095" s="19" t="str">
        <f t="shared" si="212"/>
        <v>26-35</v>
      </c>
    </row>
    <row r="3096" spans="1:16" x14ac:dyDescent="0.25">
      <c r="A3096">
        <v>3095</v>
      </c>
      <c r="B3096" t="s">
        <v>15</v>
      </c>
      <c r="C3096">
        <v>329333.44</v>
      </c>
      <c r="D3096" t="s">
        <v>10</v>
      </c>
      <c r="E3096" t="s">
        <v>16</v>
      </c>
      <c r="F3096" t="s">
        <v>12</v>
      </c>
      <c r="G3096" t="s">
        <v>13</v>
      </c>
      <c r="H3096" t="s">
        <v>13</v>
      </c>
      <c r="I3096">
        <v>43</v>
      </c>
      <c r="J3096" t="str" cm="1">
        <f t="array" ref="J3096">_xlfn.IFS(ISBLANK(C3096),"FALTANTE",ABS((C3096-$W$5)/$X$5)&gt;1.96,"ATÍPICO",ABS((C3096-$W$5)/$X$5)&lt;=1.96,"NO ATÍPICO")</f>
        <v>NO ATÍPICO</v>
      </c>
      <c r="K3096" t="str" cm="1">
        <f t="array" ref="K3096">_xlfn.IFS(ISBLANK(I3096),"FALTANTE",ABS((I3096-$W$8)/$X$8)&gt;1.92,"ATÍPICO",ABS((I3096-$W$8)/$X$8)&lt;=1.92,"NO ATÍPICO")</f>
        <v>NO ATÍPICO</v>
      </c>
      <c r="L3096">
        <f t="shared" si="209"/>
        <v>329333.44</v>
      </c>
      <c r="M3096" t="str">
        <f t="shared" si="209"/>
        <v>ASALARIADO</v>
      </c>
      <c r="N3096">
        <f t="shared" si="210"/>
        <v>43</v>
      </c>
      <c r="O3096" s="19" t="str">
        <f t="shared" si="211"/>
        <v>300k–600k</v>
      </c>
      <c r="P3096" s="19" t="str">
        <f t="shared" si="212"/>
        <v>36-45</v>
      </c>
    </row>
    <row r="3097" spans="1:16" x14ac:dyDescent="0.25">
      <c r="A3097">
        <v>3096</v>
      </c>
      <c r="B3097" t="s">
        <v>9</v>
      </c>
      <c r="C3097">
        <v>465084.15999999997</v>
      </c>
      <c r="D3097" t="s">
        <v>10</v>
      </c>
      <c r="E3097" t="s">
        <v>16</v>
      </c>
      <c r="F3097" t="s">
        <v>12</v>
      </c>
      <c r="G3097" t="s">
        <v>13</v>
      </c>
      <c r="H3097" t="s">
        <v>13</v>
      </c>
      <c r="I3097">
        <v>27</v>
      </c>
      <c r="J3097" t="str" cm="1">
        <f t="array" ref="J3097">_xlfn.IFS(ISBLANK(C3097),"FALTANTE",ABS((C3097-$W$5)/$X$5)&gt;1.96,"ATÍPICO",ABS((C3097-$W$5)/$X$5)&lt;=1.96,"NO ATÍPICO")</f>
        <v>NO ATÍPICO</v>
      </c>
      <c r="K3097" t="str" cm="1">
        <f t="array" ref="K3097">_xlfn.IFS(ISBLANK(I3097),"FALTANTE",ABS((I3097-$W$8)/$X$8)&gt;1.92,"ATÍPICO",ABS((I3097-$W$8)/$X$8)&lt;=1.92,"NO ATÍPICO")</f>
        <v>NO ATÍPICO</v>
      </c>
      <c r="L3097">
        <f t="shared" si="209"/>
        <v>465084.15999999997</v>
      </c>
      <c r="M3097" t="str">
        <f t="shared" si="209"/>
        <v>ASALARIADO</v>
      </c>
      <c r="N3097">
        <f t="shared" si="210"/>
        <v>27</v>
      </c>
      <c r="O3097" s="19" t="str">
        <f t="shared" si="211"/>
        <v>300k–600k</v>
      </c>
      <c r="P3097" s="19" t="str">
        <f t="shared" si="212"/>
        <v>26-35</v>
      </c>
    </row>
    <row r="3098" spans="1:16" x14ac:dyDescent="0.25">
      <c r="A3098">
        <v>3097</v>
      </c>
      <c r="B3098" t="s">
        <v>15</v>
      </c>
      <c r="C3098">
        <v>446160</v>
      </c>
      <c r="D3098" t="s">
        <v>10</v>
      </c>
      <c r="E3098" t="s">
        <v>16</v>
      </c>
      <c r="F3098" t="s">
        <v>12</v>
      </c>
      <c r="G3098" t="s">
        <v>12</v>
      </c>
      <c r="H3098" t="s">
        <v>13</v>
      </c>
      <c r="I3098">
        <v>29</v>
      </c>
      <c r="J3098" t="str" cm="1">
        <f t="array" ref="J3098">_xlfn.IFS(ISBLANK(C3098),"FALTANTE",ABS((C3098-$W$5)/$X$5)&gt;1.96,"ATÍPICO",ABS((C3098-$W$5)/$X$5)&lt;=1.96,"NO ATÍPICO")</f>
        <v>NO ATÍPICO</v>
      </c>
      <c r="K3098" t="str" cm="1">
        <f t="array" ref="K3098">_xlfn.IFS(ISBLANK(I3098),"FALTANTE",ABS((I3098-$W$8)/$X$8)&gt;1.92,"ATÍPICO",ABS((I3098-$W$8)/$X$8)&lt;=1.92,"NO ATÍPICO")</f>
        <v>NO ATÍPICO</v>
      </c>
      <c r="L3098">
        <f t="shared" si="209"/>
        <v>446160</v>
      </c>
      <c r="M3098" t="str">
        <f t="shared" si="209"/>
        <v>ASALARIADO</v>
      </c>
      <c r="N3098">
        <f t="shared" si="210"/>
        <v>29</v>
      </c>
      <c r="O3098" s="19" t="str">
        <f t="shared" si="211"/>
        <v>300k–600k</v>
      </c>
      <c r="P3098" s="19" t="str">
        <f t="shared" si="212"/>
        <v>26-35</v>
      </c>
    </row>
    <row r="3099" spans="1:16" x14ac:dyDescent="0.25">
      <c r="A3099">
        <v>3098</v>
      </c>
      <c r="B3099" t="s">
        <v>9</v>
      </c>
      <c r="C3099">
        <v>1484376</v>
      </c>
      <c r="D3099" t="s">
        <v>10</v>
      </c>
      <c r="E3099" t="s">
        <v>16</v>
      </c>
      <c r="F3099" t="s">
        <v>12</v>
      </c>
      <c r="G3099" t="s">
        <v>13</v>
      </c>
      <c r="H3099" t="s">
        <v>13</v>
      </c>
      <c r="I3099">
        <v>55</v>
      </c>
      <c r="J3099" t="str" cm="1">
        <f t="array" ref="J3099">_xlfn.IFS(ISBLANK(C3099),"FALTANTE",ABS((C3099-$W$5)/$X$5)&gt;1.96,"ATÍPICO",ABS((C3099-$W$5)/$X$5)&lt;=1.96,"NO ATÍPICO")</f>
        <v>NO ATÍPICO</v>
      </c>
      <c r="K3099" t="str" cm="1">
        <f t="array" ref="K3099">_xlfn.IFS(ISBLANK(I3099),"FALTANTE",ABS((I3099-$W$8)/$X$8)&gt;1.92,"ATÍPICO",ABS((I3099-$W$8)/$X$8)&lt;=1.92,"NO ATÍPICO")</f>
        <v>NO ATÍPICO</v>
      </c>
      <c r="L3099">
        <f t="shared" si="209"/>
        <v>1484376</v>
      </c>
      <c r="M3099" t="str">
        <f t="shared" si="209"/>
        <v>ASALARIADO</v>
      </c>
      <c r="N3099">
        <f t="shared" si="210"/>
        <v>55</v>
      </c>
      <c r="O3099" s="19" t="str">
        <f t="shared" si="211"/>
        <v>1200k+</v>
      </c>
      <c r="P3099" s="19" t="str">
        <f t="shared" si="212"/>
        <v>46-55</v>
      </c>
    </row>
    <row r="3100" spans="1:16" x14ac:dyDescent="0.25">
      <c r="A3100">
        <v>3099</v>
      </c>
      <c r="B3100" t="s">
        <v>9</v>
      </c>
      <c r="C3100">
        <v>604899.99</v>
      </c>
      <c r="D3100" t="s">
        <v>10</v>
      </c>
      <c r="E3100" t="s">
        <v>16</v>
      </c>
      <c r="F3100" t="s">
        <v>12</v>
      </c>
      <c r="G3100" t="s">
        <v>13</v>
      </c>
      <c r="H3100" t="s">
        <v>13</v>
      </c>
      <c r="I3100">
        <v>22</v>
      </c>
      <c r="J3100" t="str" cm="1">
        <f t="array" ref="J3100">_xlfn.IFS(ISBLANK(C3100),"FALTANTE",ABS((C3100-$W$5)/$X$5)&gt;1.96,"ATÍPICO",ABS((C3100-$W$5)/$X$5)&lt;=1.96,"NO ATÍPICO")</f>
        <v>NO ATÍPICO</v>
      </c>
      <c r="K3100" t="str" cm="1">
        <f t="array" ref="K3100">_xlfn.IFS(ISBLANK(I3100),"FALTANTE",ABS((I3100-$W$8)/$X$8)&gt;1.92,"ATÍPICO",ABS((I3100-$W$8)/$X$8)&lt;=1.92,"NO ATÍPICO")</f>
        <v>NO ATÍPICO</v>
      </c>
      <c r="L3100">
        <f t="shared" si="209"/>
        <v>604899.99</v>
      </c>
      <c r="M3100" t="str">
        <f t="shared" si="209"/>
        <v>ASALARIADO</v>
      </c>
      <c r="N3100">
        <f t="shared" si="210"/>
        <v>22</v>
      </c>
      <c r="O3100" s="19" t="str">
        <f t="shared" si="211"/>
        <v>600k–900k</v>
      </c>
      <c r="P3100" s="19" t="str">
        <f t="shared" si="212"/>
        <v>18-25</v>
      </c>
    </row>
    <row r="3101" spans="1:16" x14ac:dyDescent="0.25">
      <c r="A3101">
        <v>3100</v>
      </c>
      <c r="B3101" t="s">
        <v>9</v>
      </c>
      <c r="C3101">
        <v>758002.24</v>
      </c>
      <c r="D3101" t="s">
        <v>10</v>
      </c>
      <c r="E3101" t="s">
        <v>16</v>
      </c>
      <c r="F3101" t="s">
        <v>12</v>
      </c>
      <c r="G3101" t="s">
        <v>13</v>
      </c>
      <c r="H3101" t="s">
        <v>13</v>
      </c>
      <c r="I3101">
        <v>32</v>
      </c>
      <c r="J3101" t="str" cm="1">
        <f t="array" ref="J3101">_xlfn.IFS(ISBLANK(C3101),"FALTANTE",ABS((C3101-$W$5)/$X$5)&gt;1.96,"ATÍPICO",ABS((C3101-$W$5)/$X$5)&lt;=1.96,"NO ATÍPICO")</f>
        <v>NO ATÍPICO</v>
      </c>
      <c r="K3101" t="str" cm="1">
        <f t="array" ref="K3101">_xlfn.IFS(ISBLANK(I3101),"FALTANTE",ABS((I3101-$W$8)/$X$8)&gt;1.92,"ATÍPICO",ABS((I3101-$W$8)/$X$8)&lt;=1.92,"NO ATÍPICO")</f>
        <v>NO ATÍPICO</v>
      </c>
      <c r="L3101">
        <f t="shared" si="209"/>
        <v>758002.24</v>
      </c>
      <c r="M3101" t="str">
        <f t="shared" si="209"/>
        <v>ASALARIADO</v>
      </c>
      <c r="N3101">
        <f t="shared" si="210"/>
        <v>32</v>
      </c>
      <c r="O3101" s="19" t="str">
        <f t="shared" si="211"/>
        <v>600k–900k</v>
      </c>
      <c r="P3101" s="19" t="str">
        <f t="shared" si="212"/>
        <v>26-35</v>
      </c>
    </row>
    <row r="3102" spans="1:16" x14ac:dyDescent="0.25">
      <c r="A3102">
        <v>3101</v>
      </c>
      <c r="B3102" t="s">
        <v>15</v>
      </c>
      <c r="C3102">
        <v>146988</v>
      </c>
      <c r="D3102" t="s">
        <v>10</v>
      </c>
      <c r="E3102" t="s">
        <v>16</v>
      </c>
      <c r="F3102" t="s">
        <v>12</v>
      </c>
      <c r="G3102" t="s">
        <v>13</v>
      </c>
      <c r="H3102" t="s">
        <v>13</v>
      </c>
      <c r="I3102">
        <v>36</v>
      </c>
      <c r="J3102" t="str" cm="1">
        <f t="array" ref="J3102">_xlfn.IFS(ISBLANK(C3102),"FALTANTE",ABS((C3102-$W$5)/$X$5)&gt;1.96,"ATÍPICO",ABS((C3102-$W$5)/$X$5)&lt;=1.96,"NO ATÍPICO")</f>
        <v>NO ATÍPICO</v>
      </c>
      <c r="K3102" t="str" cm="1">
        <f t="array" ref="K3102">_xlfn.IFS(ISBLANK(I3102),"FALTANTE",ABS((I3102-$W$8)/$X$8)&gt;1.92,"ATÍPICO",ABS((I3102-$W$8)/$X$8)&lt;=1.92,"NO ATÍPICO")</f>
        <v>NO ATÍPICO</v>
      </c>
      <c r="L3102">
        <f t="shared" si="209"/>
        <v>146988</v>
      </c>
      <c r="M3102" t="str">
        <f t="shared" si="209"/>
        <v>ASALARIADO</v>
      </c>
      <c r="N3102">
        <f t="shared" si="210"/>
        <v>36</v>
      </c>
      <c r="O3102" s="19" t="str">
        <f t="shared" si="211"/>
        <v>0–300k</v>
      </c>
      <c r="P3102" s="19" t="str">
        <f t="shared" si="212"/>
        <v>36-45</v>
      </c>
    </row>
    <row r="3103" spans="1:16" x14ac:dyDescent="0.25">
      <c r="A3103">
        <v>3102</v>
      </c>
      <c r="B3103" t="s">
        <v>9</v>
      </c>
      <c r="C3103">
        <v>278031</v>
      </c>
      <c r="D3103" t="s">
        <v>17</v>
      </c>
      <c r="E3103" t="s">
        <v>16</v>
      </c>
      <c r="F3103" t="s">
        <v>13</v>
      </c>
      <c r="G3103" t="s">
        <v>13</v>
      </c>
      <c r="H3103" t="s">
        <v>13</v>
      </c>
      <c r="I3103">
        <v>34</v>
      </c>
      <c r="J3103" t="str" cm="1">
        <f t="array" ref="J3103">_xlfn.IFS(ISBLANK(C3103),"FALTANTE",ABS((C3103-$W$5)/$X$5)&gt;1.96,"ATÍPICO",ABS((C3103-$W$5)/$X$5)&lt;=1.96,"NO ATÍPICO")</f>
        <v>NO ATÍPICO</v>
      </c>
      <c r="K3103" t="str" cm="1">
        <f t="array" ref="K3103">_xlfn.IFS(ISBLANK(I3103),"FALTANTE",ABS((I3103-$W$8)/$X$8)&gt;1.92,"ATÍPICO",ABS((I3103-$W$8)/$X$8)&lt;=1.92,"NO ATÍPICO")</f>
        <v>NO ATÍPICO</v>
      </c>
      <c r="L3103">
        <f t="shared" si="209"/>
        <v>278031</v>
      </c>
      <c r="M3103" t="str">
        <f t="shared" si="209"/>
        <v>ASEGURADO VOLUNTARIO</v>
      </c>
      <c r="N3103">
        <f t="shared" si="210"/>
        <v>34</v>
      </c>
      <c r="O3103" s="19" t="str">
        <f t="shared" si="211"/>
        <v>0–300k</v>
      </c>
      <c r="P3103" s="19" t="str">
        <f t="shared" si="212"/>
        <v>26-35</v>
      </c>
    </row>
    <row r="3104" spans="1:16" x14ac:dyDescent="0.25">
      <c r="A3104">
        <v>3103</v>
      </c>
      <c r="B3104" t="s">
        <v>15</v>
      </c>
      <c r="C3104">
        <v>477903</v>
      </c>
      <c r="D3104" t="s">
        <v>18</v>
      </c>
      <c r="E3104" t="s">
        <v>16</v>
      </c>
      <c r="F3104" t="s">
        <v>12</v>
      </c>
      <c r="G3104" t="s">
        <v>13</v>
      </c>
      <c r="H3104" t="s">
        <v>13</v>
      </c>
      <c r="I3104">
        <v>51</v>
      </c>
      <c r="J3104" t="str" cm="1">
        <f t="array" ref="J3104">_xlfn.IFS(ISBLANK(C3104),"FALTANTE",ABS((C3104-$W$5)/$X$5)&gt;1.96,"ATÍPICO",ABS((C3104-$W$5)/$X$5)&lt;=1.96,"NO ATÍPICO")</f>
        <v>NO ATÍPICO</v>
      </c>
      <c r="K3104" t="str" cm="1">
        <f t="array" ref="K3104">_xlfn.IFS(ISBLANK(I3104),"FALTANTE",ABS((I3104-$W$8)/$X$8)&gt;1.92,"ATÍPICO",ABS((I3104-$W$8)/$X$8)&lt;=1.92,"NO ATÍPICO")</f>
        <v>NO ATÍPICO</v>
      </c>
      <c r="L3104">
        <f t="shared" si="209"/>
        <v>477903</v>
      </c>
      <c r="M3104" t="str">
        <f t="shared" si="209"/>
        <v>TRABAJADOR INDEPENDIENTE</v>
      </c>
      <c r="N3104">
        <f t="shared" si="210"/>
        <v>51</v>
      </c>
      <c r="O3104" s="19" t="str">
        <f t="shared" si="211"/>
        <v>300k–600k</v>
      </c>
      <c r="P3104" s="19" t="str">
        <f t="shared" si="212"/>
        <v>46-55</v>
      </c>
    </row>
    <row r="3105" spans="1:16" x14ac:dyDescent="0.25">
      <c r="A3105">
        <v>3104</v>
      </c>
      <c r="B3105" t="s">
        <v>9</v>
      </c>
      <c r="C3105">
        <v>744238</v>
      </c>
      <c r="D3105" t="s">
        <v>14</v>
      </c>
      <c r="E3105" t="s">
        <v>11</v>
      </c>
      <c r="F3105" t="s">
        <v>12</v>
      </c>
      <c r="G3105" t="s">
        <v>13</v>
      </c>
      <c r="H3105" t="s">
        <v>13</v>
      </c>
      <c r="I3105">
        <v>56</v>
      </c>
      <c r="J3105" t="str" cm="1">
        <f t="array" ref="J3105">_xlfn.IFS(ISBLANK(C3105),"FALTANTE",ABS((C3105-$W$5)/$X$5)&gt;1.96,"ATÍPICO",ABS((C3105-$W$5)/$X$5)&lt;=1.96,"NO ATÍPICO")</f>
        <v>NO ATÍPICO</v>
      </c>
      <c r="K3105" t="str" cm="1">
        <f t="array" ref="K3105">_xlfn.IFS(ISBLANK(I3105),"FALTANTE",ABS((I3105-$W$8)/$X$8)&gt;1.92,"ATÍPICO",ABS((I3105-$W$8)/$X$8)&lt;=1.92,"NO ATÍPICO")</f>
        <v>NO ATÍPICO</v>
      </c>
      <c r="L3105">
        <f t="shared" si="209"/>
        <v>744238</v>
      </c>
      <c r="M3105" t="str">
        <f t="shared" si="209"/>
        <v>PENSIONADOS EN SU PROPIO SISTEMA</v>
      </c>
      <c r="N3105">
        <f t="shared" si="210"/>
        <v>56</v>
      </c>
      <c r="O3105" s="19" t="str">
        <f t="shared" si="211"/>
        <v>600k–900k</v>
      </c>
      <c r="P3105" s="19" t="str">
        <f t="shared" si="212"/>
        <v>56+</v>
      </c>
    </row>
    <row r="3106" spans="1:16" x14ac:dyDescent="0.25">
      <c r="A3106">
        <v>3105</v>
      </c>
      <c r="B3106" t="s">
        <v>15</v>
      </c>
      <c r="C3106">
        <v>297046</v>
      </c>
      <c r="D3106" t="s">
        <v>17</v>
      </c>
      <c r="E3106" t="s">
        <v>16</v>
      </c>
      <c r="F3106" t="s">
        <v>12</v>
      </c>
      <c r="G3106" t="s">
        <v>13</v>
      </c>
      <c r="H3106" t="s">
        <v>13</v>
      </c>
      <c r="I3106">
        <v>60</v>
      </c>
      <c r="J3106" t="str" cm="1">
        <f t="array" ref="J3106">_xlfn.IFS(ISBLANK(C3106),"FALTANTE",ABS((C3106-$W$5)/$X$5)&gt;1.96,"ATÍPICO",ABS((C3106-$W$5)/$X$5)&lt;=1.96,"NO ATÍPICO")</f>
        <v>NO ATÍPICO</v>
      </c>
      <c r="K3106" t="str" cm="1">
        <f t="array" ref="K3106">_xlfn.IFS(ISBLANK(I3106),"FALTANTE",ABS((I3106-$W$8)/$X$8)&gt;1.92,"ATÍPICO",ABS((I3106-$W$8)/$X$8)&lt;=1.92,"NO ATÍPICO")</f>
        <v>NO ATÍPICO</v>
      </c>
      <c r="L3106">
        <f t="shared" si="209"/>
        <v>297046</v>
      </c>
      <c r="M3106" t="str">
        <f t="shared" si="209"/>
        <v>ASEGURADO VOLUNTARIO</v>
      </c>
      <c r="N3106">
        <f t="shared" si="210"/>
        <v>60</v>
      </c>
      <c r="O3106" s="19" t="str">
        <f t="shared" si="211"/>
        <v>0–300k</v>
      </c>
      <c r="P3106" s="19" t="str">
        <f t="shared" si="212"/>
        <v>56+</v>
      </c>
    </row>
    <row r="3107" spans="1:16" x14ac:dyDescent="0.25">
      <c r="A3107">
        <v>3106</v>
      </c>
      <c r="B3107" t="s">
        <v>9</v>
      </c>
      <c r="C3107">
        <v>1353797</v>
      </c>
      <c r="D3107" t="s">
        <v>10</v>
      </c>
      <c r="E3107" t="s">
        <v>11</v>
      </c>
      <c r="F3107" t="s">
        <v>12</v>
      </c>
      <c r="G3107" t="s">
        <v>13</v>
      </c>
      <c r="H3107" t="s">
        <v>12</v>
      </c>
      <c r="I3107">
        <v>44</v>
      </c>
      <c r="J3107" t="str" cm="1">
        <f t="array" ref="J3107">_xlfn.IFS(ISBLANK(C3107),"FALTANTE",ABS((C3107-$W$5)/$X$5)&gt;1.96,"ATÍPICO",ABS((C3107-$W$5)/$X$5)&lt;=1.96,"NO ATÍPICO")</f>
        <v>NO ATÍPICO</v>
      </c>
      <c r="K3107" t="str" cm="1">
        <f t="array" ref="K3107">_xlfn.IFS(ISBLANK(I3107),"FALTANTE",ABS((I3107-$W$8)/$X$8)&gt;1.92,"ATÍPICO",ABS((I3107-$W$8)/$X$8)&lt;=1.92,"NO ATÍPICO")</f>
        <v>NO ATÍPICO</v>
      </c>
      <c r="L3107">
        <f t="shared" si="209"/>
        <v>1353797</v>
      </c>
      <c r="M3107" t="str">
        <f t="shared" si="209"/>
        <v>ASALARIADO</v>
      </c>
      <c r="N3107">
        <f t="shared" si="210"/>
        <v>44</v>
      </c>
      <c r="O3107" s="19" t="str">
        <f t="shared" si="211"/>
        <v>1200k+</v>
      </c>
      <c r="P3107" s="19" t="str">
        <f t="shared" si="212"/>
        <v>36-45</v>
      </c>
    </row>
    <row r="3108" spans="1:16" x14ac:dyDescent="0.25">
      <c r="A3108">
        <v>3107</v>
      </c>
      <c r="B3108" t="s">
        <v>15</v>
      </c>
      <c r="C3108">
        <v>486013</v>
      </c>
      <c r="D3108" t="s">
        <v>18</v>
      </c>
      <c r="E3108" t="s">
        <v>16</v>
      </c>
      <c r="F3108" t="s">
        <v>12</v>
      </c>
      <c r="G3108" t="s">
        <v>13</v>
      </c>
      <c r="H3108" t="s">
        <v>13</v>
      </c>
      <c r="I3108">
        <v>63</v>
      </c>
      <c r="J3108" t="str" cm="1">
        <f t="array" ref="J3108">_xlfn.IFS(ISBLANK(C3108),"FALTANTE",ABS((C3108-$W$5)/$X$5)&gt;1.96,"ATÍPICO",ABS((C3108-$W$5)/$X$5)&lt;=1.96,"NO ATÍPICO")</f>
        <v>NO ATÍPICO</v>
      </c>
      <c r="K3108" t="str" cm="1">
        <f t="array" ref="K3108">_xlfn.IFS(ISBLANK(I3108),"FALTANTE",ABS((I3108-$W$8)/$X$8)&gt;1.92,"ATÍPICO",ABS((I3108-$W$8)/$X$8)&lt;=1.92,"NO ATÍPICO")</f>
        <v>NO ATÍPICO</v>
      </c>
      <c r="L3108">
        <f t="shared" si="209"/>
        <v>486013</v>
      </c>
      <c r="M3108" t="str">
        <f t="shared" si="209"/>
        <v>TRABAJADOR INDEPENDIENTE</v>
      </c>
      <c r="N3108">
        <f t="shared" si="210"/>
        <v>63</v>
      </c>
      <c r="O3108" s="19" t="str">
        <f t="shared" si="211"/>
        <v>300k–600k</v>
      </c>
      <c r="P3108" s="19" t="str">
        <f t="shared" si="212"/>
        <v>56+</v>
      </c>
    </row>
    <row r="3109" spans="1:16" x14ac:dyDescent="0.25">
      <c r="A3109">
        <v>3108</v>
      </c>
      <c r="B3109" t="s">
        <v>9</v>
      </c>
      <c r="C3109">
        <v>278030</v>
      </c>
      <c r="D3109" t="s">
        <v>19</v>
      </c>
      <c r="E3109" t="s">
        <v>16</v>
      </c>
      <c r="F3109" t="s">
        <v>12</v>
      </c>
      <c r="G3109" t="s">
        <v>13</v>
      </c>
      <c r="H3109" t="s">
        <v>13</v>
      </c>
      <c r="I3109">
        <v>33</v>
      </c>
      <c r="J3109" t="str" cm="1">
        <f t="array" ref="J3109">_xlfn.IFS(ISBLANK(C3109),"FALTANTE",ABS((C3109-$W$5)/$X$5)&gt;1.96,"ATÍPICO",ABS((C3109-$W$5)/$X$5)&lt;=1.96,"NO ATÍPICO")</f>
        <v>NO ATÍPICO</v>
      </c>
      <c r="K3109" t="str" cm="1">
        <f t="array" ref="K3109">_xlfn.IFS(ISBLANK(I3109),"FALTANTE",ABS((I3109-$W$8)/$X$8)&gt;1.92,"ATÍPICO",ABS((I3109-$W$8)/$X$8)&lt;=1.92,"NO ATÍPICO")</f>
        <v>NO ATÍPICO</v>
      </c>
      <c r="L3109">
        <f t="shared" si="209"/>
        <v>278030</v>
      </c>
      <c r="M3109" t="str">
        <f t="shared" si="209"/>
        <v>CONVENIOS ESPECIALES DE TRABAJADORES INDEPENDIENTES</v>
      </c>
      <c r="N3109">
        <f t="shared" si="210"/>
        <v>33</v>
      </c>
      <c r="O3109" s="19" t="str">
        <f t="shared" si="211"/>
        <v>0–300k</v>
      </c>
      <c r="P3109" s="19" t="str">
        <f t="shared" si="212"/>
        <v>26-35</v>
      </c>
    </row>
    <row r="3110" spans="1:16" x14ac:dyDescent="0.25">
      <c r="A3110">
        <v>3109</v>
      </c>
      <c r="B3110" t="s">
        <v>15</v>
      </c>
      <c r="C3110">
        <v>278030</v>
      </c>
      <c r="D3110" t="s">
        <v>19</v>
      </c>
      <c r="E3110" t="s">
        <v>16</v>
      </c>
      <c r="F3110" t="s">
        <v>12</v>
      </c>
      <c r="G3110" t="s">
        <v>13</v>
      </c>
      <c r="H3110" t="s">
        <v>13</v>
      </c>
      <c r="I3110">
        <v>40</v>
      </c>
      <c r="J3110" t="str" cm="1">
        <f t="array" ref="J3110">_xlfn.IFS(ISBLANK(C3110),"FALTANTE",ABS((C3110-$W$5)/$X$5)&gt;1.96,"ATÍPICO",ABS((C3110-$W$5)/$X$5)&lt;=1.96,"NO ATÍPICO")</f>
        <v>NO ATÍPICO</v>
      </c>
      <c r="K3110" t="str" cm="1">
        <f t="array" ref="K3110">_xlfn.IFS(ISBLANK(I3110),"FALTANTE",ABS((I3110-$W$8)/$X$8)&gt;1.92,"ATÍPICO",ABS((I3110-$W$8)/$X$8)&lt;=1.92,"NO ATÍPICO")</f>
        <v>NO ATÍPICO</v>
      </c>
      <c r="L3110">
        <f t="shared" si="209"/>
        <v>278030</v>
      </c>
      <c r="M3110" t="str">
        <f t="shared" si="209"/>
        <v>CONVENIOS ESPECIALES DE TRABAJADORES INDEPENDIENTES</v>
      </c>
      <c r="N3110">
        <f t="shared" si="210"/>
        <v>40</v>
      </c>
      <c r="O3110" s="19" t="str">
        <f t="shared" si="211"/>
        <v>0–300k</v>
      </c>
      <c r="P3110" s="19" t="str">
        <f t="shared" si="212"/>
        <v>36-45</v>
      </c>
    </row>
    <row r="3111" spans="1:16" x14ac:dyDescent="0.25">
      <c r="A3111">
        <v>3110</v>
      </c>
      <c r="B3111" t="s">
        <v>9</v>
      </c>
      <c r="C3111">
        <v>255744</v>
      </c>
      <c r="D3111" t="s">
        <v>10</v>
      </c>
      <c r="E3111" t="s">
        <v>16</v>
      </c>
      <c r="F3111" t="s">
        <v>12</v>
      </c>
      <c r="G3111" t="s">
        <v>13</v>
      </c>
      <c r="H3111" t="s">
        <v>12</v>
      </c>
      <c r="I3111">
        <v>26</v>
      </c>
      <c r="J3111" t="str" cm="1">
        <f t="array" ref="J3111">_xlfn.IFS(ISBLANK(C3111),"FALTANTE",ABS((C3111-$W$5)/$X$5)&gt;1.96,"ATÍPICO",ABS((C3111-$W$5)/$X$5)&lt;=1.96,"NO ATÍPICO")</f>
        <v>NO ATÍPICO</v>
      </c>
      <c r="K3111" t="str" cm="1">
        <f t="array" ref="K3111">_xlfn.IFS(ISBLANK(I3111),"FALTANTE",ABS((I3111-$W$8)/$X$8)&gt;1.92,"ATÍPICO",ABS((I3111-$W$8)/$X$8)&lt;=1.92,"NO ATÍPICO")</f>
        <v>NO ATÍPICO</v>
      </c>
      <c r="L3111">
        <f t="shared" si="209"/>
        <v>255744</v>
      </c>
      <c r="M3111" t="str">
        <f t="shared" si="209"/>
        <v>ASALARIADO</v>
      </c>
      <c r="N3111">
        <f t="shared" si="210"/>
        <v>26</v>
      </c>
      <c r="O3111" s="19" t="str">
        <f t="shared" si="211"/>
        <v>0–300k</v>
      </c>
      <c r="P3111" s="19" t="str">
        <f t="shared" si="212"/>
        <v>26-35</v>
      </c>
    </row>
    <row r="3112" spans="1:16" x14ac:dyDescent="0.25">
      <c r="A3112">
        <v>3111</v>
      </c>
      <c r="B3112" t="s">
        <v>9</v>
      </c>
      <c r="C3112">
        <v>1602326.3</v>
      </c>
      <c r="D3112" t="s">
        <v>10</v>
      </c>
      <c r="E3112" t="s">
        <v>11</v>
      </c>
      <c r="F3112" t="s">
        <v>12</v>
      </c>
      <c r="G3112" t="s">
        <v>13</v>
      </c>
      <c r="H3112" t="s">
        <v>13</v>
      </c>
      <c r="I3112">
        <v>62</v>
      </c>
      <c r="J3112" t="str" cm="1">
        <f t="array" ref="J3112">_xlfn.IFS(ISBLANK(C3112),"FALTANTE",ABS((C3112-$W$5)/$X$5)&gt;1.96,"ATÍPICO",ABS((C3112-$W$5)/$X$5)&lt;=1.96,"NO ATÍPICO")</f>
        <v>NO ATÍPICO</v>
      </c>
      <c r="K3112" t="str" cm="1">
        <f t="array" ref="K3112">_xlfn.IFS(ISBLANK(I3112),"FALTANTE",ABS((I3112-$W$8)/$X$8)&gt;1.92,"ATÍPICO",ABS((I3112-$W$8)/$X$8)&lt;=1.92,"NO ATÍPICO")</f>
        <v>NO ATÍPICO</v>
      </c>
      <c r="L3112">
        <f t="shared" si="209"/>
        <v>1602326.3</v>
      </c>
      <c r="M3112" t="str">
        <f t="shared" si="209"/>
        <v>ASALARIADO</v>
      </c>
      <c r="N3112">
        <f t="shared" si="210"/>
        <v>62</v>
      </c>
      <c r="O3112" s="19" t="str">
        <f t="shared" si="211"/>
        <v>1200k+</v>
      </c>
      <c r="P3112" s="19" t="str">
        <f t="shared" si="212"/>
        <v>56+</v>
      </c>
    </row>
    <row r="3113" spans="1:16" x14ac:dyDescent="0.25">
      <c r="A3113">
        <v>3112</v>
      </c>
      <c r="B3113" t="s">
        <v>9</v>
      </c>
      <c r="C3113">
        <v>356455</v>
      </c>
      <c r="D3113" t="s">
        <v>18</v>
      </c>
      <c r="E3113" t="s">
        <v>16</v>
      </c>
      <c r="F3113" t="s">
        <v>12</v>
      </c>
      <c r="G3113" t="s">
        <v>13</v>
      </c>
      <c r="H3113" t="s">
        <v>12</v>
      </c>
      <c r="I3113">
        <v>41</v>
      </c>
      <c r="J3113" t="str" cm="1">
        <f t="array" ref="J3113">_xlfn.IFS(ISBLANK(C3113),"FALTANTE",ABS((C3113-$W$5)/$X$5)&gt;1.96,"ATÍPICO",ABS((C3113-$W$5)/$X$5)&lt;=1.96,"NO ATÍPICO")</f>
        <v>NO ATÍPICO</v>
      </c>
      <c r="K3113" t="str" cm="1">
        <f t="array" ref="K3113">_xlfn.IFS(ISBLANK(I3113),"FALTANTE",ABS((I3113-$W$8)/$X$8)&gt;1.92,"ATÍPICO",ABS((I3113-$W$8)/$X$8)&lt;=1.92,"NO ATÍPICO")</f>
        <v>NO ATÍPICO</v>
      </c>
      <c r="L3113">
        <f t="shared" si="209"/>
        <v>356455</v>
      </c>
      <c r="M3113" t="str">
        <f t="shared" si="209"/>
        <v>TRABAJADOR INDEPENDIENTE</v>
      </c>
      <c r="N3113">
        <f t="shared" si="210"/>
        <v>41</v>
      </c>
      <c r="O3113" s="19" t="str">
        <f t="shared" si="211"/>
        <v>300k–600k</v>
      </c>
      <c r="P3113" s="19" t="str">
        <f t="shared" si="212"/>
        <v>36-45</v>
      </c>
    </row>
    <row r="3114" spans="1:16" x14ac:dyDescent="0.25">
      <c r="A3114">
        <v>3113</v>
      </c>
      <c r="B3114" t="s">
        <v>9</v>
      </c>
      <c r="C3114">
        <v>389940</v>
      </c>
      <c r="D3114" t="s">
        <v>18</v>
      </c>
      <c r="E3114" t="s">
        <v>16</v>
      </c>
      <c r="F3114" t="s">
        <v>12</v>
      </c>
      <c r="G3114" t="s">
        <v>13</v>
      </c>
      <c r="H3114" t="s">
        <v>12</v>
      </c>
      <c r="I3114">
        <v>47</v>
      </c>
      <c r="J3114" t="str" cm="1">
        <f t="array" ref="J3114">_xlfn.IFS(ISBLANK(C3114),"FALTANTE",ABS((C3114-$W$5)/$X$5)&gt;1.96,"ATÍPICO",ABS((C3114-$W$5)/$X$5)&lt;=1.96,"NO ATÍPICO")</f>
        <v>NO ATÍPICO</v>
      </c>
      <c r="K3114" t="str" cm="1">
        <f t="array" ref="K3114">_xlfn.IFS(ISBLANK(I3114),"FALTANTE",ABS((I3114-$W$8)/$X$8)&gt;1.92,"ATÍPICO",ABS((I3114-$W$8)/$X$8)&lt;=1.92,"NO ATÍPICO")</f>
        <v>NO ATÍPICO</v>
      </c>
      <c r="L3114">
        <f t="shared" si="209"/>
        <v>389940</v>
      </c>
      <c r="M3114" t="str">
        <f t="shared" si="209"/>
        <v>TRABAJADOR INDEPENDIENTE</v>
      </c>
      <c r="N3114">
        <f t="shared" si="210"/>
        <v>47</v>
      </c>
      <c r="O3114" s="19" t="str">
        <f t="shared" si="211"/>
        <v>300k–600k</v>
      </c>
      <c r="P3114" s="19" t="str">
        <f t="shared" si="212"/>
        <v>46-55</v>
      </c>
    </row>
    <row r="3115" spans="1:16" x14ac:dyDescent="0.25">
      <c r="A3115">
        <v>3114</v>
      </c>
      <c r="B3115" t="s">
        <v>15</v>
      </c>
      <c r="C3115">
        <v>300018</v>
      </c>
      <c r="D3115" t="s">
        <v>17</v>
      </c>
      <c r="E3115" t="s">
        <v>16</v>
      </c>
      <c r="F3115" t="s">
        <v>12</v>
      </c>
      <c r="G3115" t="s">
        <v>13</v>
      </c>
      <c r="H3115" t="s">
        <v>13</v>
      </c>
      <c r="I3115">
        <v>43</v>
      </c>
      <c r="J3115" t="str" cm="1">
        <f t="array" ref="J3115">_xlfn.IFS(ISBLANK(C3115),"FALTANTE",ABS((C3115-$W$5)/$X$5)&gt;1.96,"ATÍPICO",ABS((C3115-$W$5)/$X$5)&lt;=1.96,"NO ATÍPICO")</f>
        <v>NO ATÍPICO</v>
      </c>
      <c r="K3115" t="str" cm="1">
        <f t="array" ref="K3115">_xlfn.IFS(ISBLANK(I3115),"FALTANTE",ABS((I3115-$W$8)/$X$8)&gt;1.92,"ATÍPICO",ABS((I3115-$W$8)/$X$8)&lt;=1.92,"NO ATÍPICO")</f>
        <v>NO ATÍPICO</v>
      </c>
      <c r="L3115">
        <f t="shared" si="209"/>
        <v>300018</v>
      </c>
      <c r="M3115" t="str">
        <f t="shared" si="209"/>
        <v>ASEGURADO VOLUNTARIO</v>
      </c>
      <c r="N3115">
        <f t="shared" si="210"/>
        <v>43</v>
      </c>
      <c r="O3115" s="19" t="str">
        <f t="shared" si="211"/>
        <v>300k–600k</v>
      </c>
      <c r="P3115" s="19" t="str">
        <f t="shared" si="212"/>
        <v>36-45</v>
      </c>
    </row>
    <row r="3116" spans="1:16" x14ac:dyDescent="0.25">
      <c r="A3116">
        <v>3115</v>
      </c>
      <c r="B3116" t="s">
        <v>15</v>
      </c>
      <c r="C3116">
        <v>110300</v>
      </c>
      <c r="D3116" t="s">
        <v>10</v>
      </c>
      <c r="E3116" t="s">
        <v>16</v>
      </c>
      <c r="F3116" t="s">
        <v>12</v>
      </c>
      <c r="G3116" t="s">
        <v>13</v>
      </c>
      <c r="H3116" t="s">
        <v>13</v>
      </c>
      <c r="I3116">
        <v>53</v>
      </c>
      <c r="J3116" t="str" cm="1">
        <f t="array" ref="J3116">_xlfn.IFS(ISBLANK(C3116),"FALTANTE",ABS((C3116-$W$5)/$X$5)&gt;1.96,"ATÍPICO",ABS((C3116-$W$5)/$X$5)&lt;=1.96,"NO ATÍPICO")</f>
        <v>NO ATÍPICO</v>
      </c>
      <c r="K3116" t="str" cm="1">
        <f t="array" ref="K3116">_xlfn.IFS(ISBLANK(I3116),"FALTANTE",ABS((I3116-$W$8)/$X$8)&gt;1.92,"ATÍPICO",ABS((I3116-$W$8)/$X$8)&lt;=1.92,"NO ATÍPICO")</f>
        <v>NO ATÍPICO</v>
      </c>
      <c r="L3116">
        <f t="shared" si="209"/>
        <v>110300</v>
      </c>
      <c r="M3116" t="str">
        <f t="shared" si="209"/>
        <v>ASALARIADO</v>
      </c>
      <c r="N3116">
        <f t="shared" si="210"/>
        <v>53</v>
      </c>
      <c r="O3116" s="19" t="str">
        <f t="shared" si="211"/>
        <v>0–300k</v>
      </c>
      <c r="P3116" s="19" t="str">
        <f t="shared" si="212"/>
        <v>46-55</v>
      </c>
    </row>
    <row r="3117" spans="1:16" x14ac:dyDescent="0.25">
      <c r="A3117">
        <v>3116</v>
      </c>
      <c r="B3117" t="s">
        <v>9</v>
      </c>
      <c r="C3117">
        <v>247406.29</v>
      </c>
      <c r="D3117" t="s">
        <v>10</v>
      </c>
      <c r="E3117" t="s">
        <v>16</v>
      </c>
      <c r="F3117" t="s">
        <v>12</v>
      </c>
      <c r="G3117" t="s">
        <v>13</v>
      </c>
      <c r="H3117" t="s">
        <v>13</v>
      </c>
      <c r="I3117">
        <v>33</v>
      </c>
      <c r="J3117" t="str" cm="1">
        <f t="array" ref="J3117">_xlfn.IFS(ISBLANK(C3117),"FALTANTE",ABS((C3117-$W$5)/$X$5)&gt;1.96,"ATÍPICO",ABS((C3117-$W$5)/$X$5)&lt;=1.96,"NO ATÍPICO")</f>
        <v>NO ATÍPICO</v>
      </c>
      <c r="K3117" t="str" cm="1">
        <f t="array" ref="K3117">_xlfn.IFS(ISBLANK(I3117),"FALTANTE",ABS((I3117-$W$8)/$X$8)&gt;1.92,"ATÍPICO",ABS((I3117-$W$8)/$X$8)&lt;=1.92,"NO ATÍPICO")</f>
        <v>NO ATÍPICO</v>
      </c>
      <c r="L3117">
        <f t="shared" si="209"/>
        <v>247406.29</v>
      </c>
      <c r="M3117" t="str">
        <f t="shared" si="209"/>
        <v>ASALARIADO</v>
      </c>
      <c r="N3117">
        <f t="shared" si="210"/>
        <v>33</v>
      </c>
      <c r="O3117" s="19" t="str">
        <f t="shared" si="211"/>
        <v>0–300k</v>
      </c>
      <c r="P3117" s="19" t="str">
        <f t="shared" si="212"/>
        <v>26-35</v>
      </c>
    </row>
    <row r="3118" spans="1:16" x14ac:dyDescent="0.25">
      <c r="A3118">
        <v>3117</v>
      </c>
      <c r="B3118" t="s">
        <v>9</v>
      </c>
      <c r="C3118">
        <v>594092</v>
      </c>
      <c r="D3118" t="s">
        <v>18</v>
      </c>
      <c r="E3118" t="s">
        <v>16</v>
      </c>
      <c r="F3118" t="s">
        <v>12</v>
      </c>
      <c r="G3118" t="s">
        <v>13</v>
      </c>
      <c r="H3118" t="s">
        <v>12</v>
      </c>
      <c r="I3118">
        <v>62</v>
      </c>
      <c r="J3118" t="str" cm="1">
        <f t="array" ref="J3118">_xlfn.IFS(ISBLANK(C3118),"FALTANTE",ABS((C3118-$W$5)/$X$5)&gt;1.96,"ATÍPICO",ABS((C3118-$W$5)/$X$5)&lt;=1.96,"NO ATÍPICO")</f>
        <v>NO ATÍPICO</v>
      </c>
      <c r="K3118" t="str" cm="1">
        <f t="array" ref="K3118">_xlfn.IFS(ISBLANK(I3118),"FALTANTE",ABS((I3118-$W$8)/$X$8)&gt;1.92,"ATÍPICO",ABS((I3118-$W$8)/$X$8)&lt;=1.92,"NO ATÍPICO")</f>
        <v>NO ATÍPICO</v>
      </c>
      <c r="L3118">
        <f t="shared" si="209"/>
        <v>594092</v>
      </c>
      <c r="M3118" t="str">
        <f t="shared" si="209"/>
        <v>TRABAJADOR INDEPENDIENTE</v>
      </c>
      <c r="N3118">
        <f t="shared" si="210"/>
        <v>62</v>
      </c>
      <c r="O3118" s="19" t="str">
        <f t="shared" si="211"/>
        <v>300k–600k</v>
      </c>
      <c r="P3118" s="19" t="str">
        <f t="shared" si="212"/>
        <v>56+</v>
      </c>
    </row>
    <row r="3119" spans="1:16" x14ac:dyDescent="0.25">
      <c r="A3119">
        <v>3118</v>
      </c>
      <c r="B3119" t="s">
        <v>15</v>
      </c>
      <c r="C3119">
        <v>297046</v>
      </c>
      <c r="D3119" t="s">
        <v>18</v>
      </c>
      <c r="E3119" t="s">
        <v>16</v>
      </c>
      <c r="F3119" t="s">
        <v>12</v>
      </c>
      <c r="G3119" t="s">
        <v>13</v>
      </c>
      <c r="H3119" t="s">
        <v>12</v>
      </c>
      <c r="I3119">
        <v>40</v>
      </c>
      <c r="J3119" t="str" cm="1">
        <f t="array" ref="J3119">_xlfn.IFS(ISBLANK(C3119),"FALTANTE",ABS((C3119-$W$5)/$X$5)&gt;1.96,"ATÍPICO",ABS((C3119-$W$5)/$X$5)&lt;=1.96,"NO ATÍPICO")</f>
        <v>NO ATÍPICO</v>
      </c>
      <c r="K3119" t="str" cm="1">
        <f t="array" ref="K3119">_xlfn.IFS(ISBLANK(I3119),"FALTANTE",ABS((I3119-$W$8)/$X$8)&gt;1.92,"ATÍPICO",ABS((I3119-$W$8)/$X$8)&lt;=1.92,"NO ATÍPICO")</f>
        <v>NO ATÍPICO</v>
      </c>
      <c r="L3119">
        <f t="shared" si="209"/>
        <v>297046</v>
      </c>
      <c r="M3119" t="str">
        <f t="shared" si="209"/>
        <v>TRABAJADOR INDEPENDIENTE</v>
      </c>
      <c r="N3119">
        <f t="shared" si="210"/>
        <v>40</v>
      </c>
      <c r="O3119" s="19" t="str">
        <f t="shared" si="211"/>
        <v>0–300k</v>
      </c>
      <c r="P3119" s="19" t="str">
        <f t="shared" si="212"/>
        <v>36-45</v>
      </c>
    </row>
    <row r="3120" spans="1:16" x14ac:dyDescent="0.25">
      <c r="A3120">
        <v>3119</v>
      </c>
      <c r="B3120" t="s">
        <v>9</v>
      </c>
      <c r="C3120">
        <v>546000</v>
      </c>
      <c r="D3120" t="s">
        <v>10</v>
      </c>
      <c r="E3120" t="s">
        <v>16</v>
      </c>
      <c r="F3120" t="s">
        <v>12</v>
      </c>
      <c r="G3120" t="s">
        <v>13</v>
      </c>
      <c r="H3120" t="s">
        <v>13</v>
      </c>
      <c r="I3120">
        <v>54</v>
      </c>
      <c r="J3120" t="str" cm="1">
        <f t="array" ref="J3120">_xlfn.IFS(ISBLANK(C3120),"FALTANTE",ABS((C3120-$W$5)/$X$5)&gt;1.96,"ATÍPICO",ABS((C3120-$W$5)/$X$5)&lt;=1.96,"NO ATÍPICO")</f>
        <v>NO ATÍPICO</v>
      </c>
      <c r="K3120" t="str" cm="1">
        <f t="array" ref="K3120">_xlfn.IFS(ISBLANK(I3120),"FALTANTE",ABS((I3120-$W$8)/$X$8)&gt;1.92,"ATÍPICO",ABS((I3120-$W$8)/$X$8)&lt;=1.92,"NO ATÍPICO")</f>
        <v>NO ATÍPICO</v>
      </c>
      <c r="L3120">
        <f t="shared" si="209"/>
        <v>546000</v>
      </c>
      <c r="M3120" t="str">
        <f t="shared" si="209"/>
        <v>ASALARIADO</v>
      </c>
      <c r="N3120">
        <f t="shared" si="210"/>
        <v>54</v>
      </c>
      <c r="O3120" s="19" t="str">
        <f t="shared" si="211"/>
        <v>300k–600k</v>
      </c>
      <c r="P3120" s="19" t="str">
        <f t="shared" si="212"/>
        <v>46-55</v>
      </c>
    </row>
    <row r="3121" spans="1:16" x14ac:dyDescent="0.25">
      <c r="A3121">
        <v>3120</v>
      </c>
      <c r="B3121" t="s">
        <v>9</v>
      </c>
      <c r="C3121">
        <v>3446699</v>
      </c>
      <c r="D3121" t="s">
        <v>10</v>
      </c>
      <c r="E3121" t="s">
        <v>11</v>
      </c>
      <c r="F3121" t="s">
        <v>12</v>
      </c>
      <c r="G3121" t="s">
        <v>13</v>
      </c>
      <c r="H3121" t="s">
        <v>13</v>
      </c>
      <c r="I3121">
        <v>57</v>
      </c>
      <c r="J3121" t="str" cm="1">
        <f t="array" ref="J3121">_xlfn.IFS(ISBLANK(C3121),"FALTANTE",ABS((C3121-$W$5)/$X$5)&gt;1.96,"ATÍPICO",ABS((C3121-$W$5)/$X$5)&lt;=1.96,"NO ATÍPICO")</f>
        <v>ATÍPICO</v>
      </c>
      <c r="K3121" t="str" cm="1">
        <f t="array" ref="K3121">_xlfn.IFS(ISBLANK(I3121),"FALTANTE",ABS((I3121-$W$8)/$X$8)&gt;1.92,"ATÍPICO",ABS((I3121-$W$8)/$X$8)&lt;=1.92,"NO ATÍPICO")</f>
        <v>NO ATÍPICO</v>
      </c>
      <c r="L3121">
        <f t="shared" si="209"/>
        <v>3446699</v>
      </c>
      <c r="M3121" t="str">
        <f t="shared" si="209"/>
        <v>ASALARIADO</v>
      </c>
      <c r="N3121">
        <f t="shared" si="210"/>
        <v>57</v>
      </c>
      <c r="O3121" s="19" t="str">
        <f t="shared" si="211"/>
        <v>1200k+</v>
      </c>
      <c r="P3121" s="19" t="str">
        <f t="shared" si="212"/>
        <v>56+</v>
      </c>
    </row>
    <row r="3122" spans="1:16" x14ac:dyDescent="0.25">
      <c r="A3122">
        <v>3121</v>
      </c>
      <c r="B3122" t="s">
        <v>9</v>
      </c>
      <c r="C3122">
        <v>442605.85</v>
      </c>
      <c r="D3122" t="s">
        <v>10</v>
      </c>
      <c r="E3122" t="s">
        <v>16</v>
      </c>
      <c r="F3122" t="s">
        <v>12</v>
      </c>
      <c r="G3122" t="s">
        <v>13</v>
      </c>
      <c r="H3122" t="s">
        <v>13</v>
      </c>
      <c r="I3122">
        <v>22</v>
      </c>
      <c r="J3122" t="str" cm="1">
        <f t="array" ref="J3122">_xlfn.IFS(ISBLANK(C3122),"FALTANTE",ABS((C3122-$W$5)/$X$5)&gt;1.96,"ATÍPICO",ABS((C3122-$W$5)/$X$5)&lt;=1.96,"NO ATÍPICO")</f>
        <v>NO ATÍPICO</v>
      </c>
      <c r="K3122" t="str" cm="1">
        <f t="array" ref="K3122">_xlfn.IFS(ISBLANK(I3122),"FALTANTE",ABS((I3122-$W$8)/$X$8)&gt;1.92,"ATÍPICO",ABS((I3122-$W$8)/$X$8)&lt;=1.92,"NO ATÍPICO")</f>
        <v>NO ATÍPICO</v>
      </c>
      <c r="L3122">
        <f t="shared" si="209"/>
        <v>442605.85</v>
      </c>
      <c r="M3122" t="str">
        <f t="shared" si="209"/>
        <v>ASALARIADO</v>
      </c>
      <c r="N3122">
        <f t="shared" si="210"/>
        <v>22</v>
      </c>
      <c r="O3122" s="19" t="str">
        <f t="shared" si="211"/>
        <v>300k–600k</v>
      </c>
      <c r="P3122" s="19" t="str">
        <f t="shared" si="212"/>
        <v>18-25</v>
      </c>
    </row>
    <row r="3123" spans="1:16" x14ac:dyDescent="0.25">
      <c r="A3123">
        <v>3122</v>
      </c>
      <c r="B3123" t="s">
        <v>9</v>
      </c>
      <c r="C3123">
        <v>1326601</v>
      </c>
      <c r="D3123" t="s">
        <v>14</v>
      </c>
      <c r="E3123" t="s">
        <v>11</v>
      </c>
      <c r="F3123" t="s">
        <v>12</v>
      </c>
      <c r="G3123" t="s">
        <v>13</v>
      </c>
      <c r="H3123" t="s">
        <v>13</v>
      </c>
      <c r="I3123">
        <v>72</v>
      </c>
      <c r="J3123" t="str" cm="1">
        <f t="array" ref="J3123">_xlfn.IFS(ISBLANK(C3123),"FALTANTE",ABS((C3123-$W$5)/$X$5)&gt;1.96,"ATÍPICO",ABS((C3123-$W$5)/$X$5)&lt;=1.96,"NO ATÍPICO")</f>
        <v>NO ATÍPICO</v>
      </c>
      <c r="K3123" t="str" cm="1">
        <f t="array" ref="K3123">_xlfn.IFS(ISBLANK(I3123),"FALTANTE",ABS((I3123-$W$8)/$X$8)&gt;1.92,"ATÍPICO",ABS((I3123-$W$8)/$X$8)&lt;=1.92,"NO ATÍPICO")</f>
        <v>ATÍPICO</v>
      </c>
      <c r="L3123">
        <f t="shared" si="209"/>
        <v>1326601</v>
      </c>
      <c r="M3123" t="str">
        <f t="shared" si="209"/>
        <v>PENSIONADOS EN SU PROPIO SISTEMA</v>
      </c>
      <c r="N3123">
        <f t="shared" si="210"/>
        <v>72</v>
      </c>
      <c r="O3123" s="19" t="str">
        <f t="shared" si="211"/>
        <v>1200k+</v>
      </c>
      <c r="P3123" s="19" t="str">
        <f t="shared" si="212"/>
        <v>56+</v>
      </c>
    </row>
    <row r="3124" spans="1:16" x14ac:dyDescent="0.25">
      <c r="A3124">
        <v>3123</v>
      </c>
      <c r="B3124" t="s">
        <v>9</v>
      </c>
      <c r="C3124">
        <v>300018</v>
      </c>
      <c r="D3124" t="s">
        <v>18</v>
      </c>
      <c r="E3124" t="s">
        <v>16</v>
      </c>
      <c r="F3124" t="s">
        <v>12</v>
      </c>
      <c r="G3124" t="s">
        <v>12</v>
      </c>
      <c r="H3124" t="s">
        <v>12</v>
      </c>
      <c r="I3124">
        <v>45</v>
      </c>
      <c r="J3124" t="str" cm="1">
        <f t="array" ref="J3124">_xlfn.IFS(ISBLANK(C3124),"FALTANTE",ABS((C3124-$W$5)/$X$5)&gt;1.96,"ATÍPICO",ABS((C3124-$W$5)/$X$5)&lt;=1.96,"NO ATÍPICO")</f>
        <v>NO ATÍPICO</v>
      </c>
      <c r="K3124" t="str" cm="1">
        <f t="array" ref="K3124">_xlfn.IFS(ISBLANK(I3124),"FALTANTE",ABS((I3124-$W$8)/$X$8)&gt;1.92,"ATÍPICO",ABS((I3124-$W$8)/$X$8)&lt;=1.92,"NO ATÍPICO")</f>
        <v>NO ATÍPICO</v>
      </c>
      <c r="L3124">
        <f t="shared" si="209"/>
        <v>300018</v>
      </c>
      <c r="M3124" t="str">
        <f t="shared" si="209"/>
        <v>TRABAJADOR INDEPENDIENTE</v>
      </c>
      <c r="N3124">
        <f t="shared" si="210"/>
        <v>45</v>
      </c>
      <c r="O3124" s="19" t="str">
        <f t="shared" si="211"/>
        <v>300k–600k</v>
      </c>
      <c r="P3124" s="19" t="str">
        <f t="shared" si="212"/>
        <v>36-45</v>
      </c>
    </row>
    <row r="3125" spans="1:16" x14ac:dyDescent="0.25">
      <c r="A3125">
        <v>3124</v>
      </c>
      <c r="B3125" t="s">
        <v>15</v>
      </c>
      <c r="C3125">
        <v>299000</v>
      </c>
      <c r="D3125" t="s">
        <v>18</v>
      </c>
      <c r="E3125" t="s">
        <v>16</v>
      </c>
      <c r="F3125" t="s">
        <v>12</v>
      </c>
      <c r="G3125" t="s">
        <v>13</v>
      </c>
      <c r="H3125" t="s">
        <v>13</v>
      </c>
      <c r="I3125">
        <v>28</v>
      </c>
      <c r="J3125" t="str" cm="1">
        <f t="array" ref="J3125">_xlfn.IFS(ISBLANK(C3125),"FALTANTE",ABS((C3125-$W$5)/$X$5)&gt;1.96,"ATÍPICO",ABS((C3125-$W$5)/$X$5)&lt;=1.96,"NO ATÍPICO")</f>
        <v>NO ATÍPICO</v>
      </c>
      <c r="K3125" t="str" cm="1">
        <f t="array" ref="K3125">_xlfn.IFS(ISBLANK(I3125),"FALTANTE",ABS((I3125-$W$8)/$X$8)&gt;1.92,"ATÍPICO",ABS((I3125-$W$8)/$X$8)&lt;=1.92,"NO ATÍPICO")</f>
        <v>NO ATÍPICO</v>
      </c>
      <c r="L3125">
        <f t="shared" si="209"/>
        <v>299000</v>
      </c>
      <c r="M3125" t="str">
        <f t="shared" si="209"/>
        <v>TRABAJADOR INDEPENDIENTE</v>
      </c>
      <c r="N3125">
        <f t="shared" si="210"/>
        <v>28</v>
      </c>
      <c r="O3125" s="19" t="str">
        <f t="shared" si="211"/>
        <v>0–300k</v>
      </c>
      <c r="P3125" s="19" t="str">
        <f t="shared" si="212"/>
        <v>26-35</v>
      </c>
    </row>
    <row r="3126" spans="1:16" x14ac:dyDescent="0.25">
      <c r="A3126">
        <v>3125</v>
      </c>
      <c r="B3126" t="s">
        <v>9</v>
      </c>
      <c r="C3126">
        <v>296540</v>
      </c>
      <c r="D3126" t="s">
        <v>18</v>
      </c>
      <c r="E3126" t="s">
        <v>16</v>
      </c>
      <c r="F3126" t="s">
        <v>12</v>
      </c>
      <c r="G3126" t="s">
        <v>13</v>
      </c>
      <c r="H3126" t="s">
        <v>12</v>
      </c>
      <c r="I3126">
        <v>44</v>
      </c>
      <c r="J3126" t="str" cm="1">
        <f t="array" ref="J3126">_xlfn.IFS(ISBLANK(C3126),"FALTANTE",ABS((C3126-$W$5)/$X$5)&gt;1.96,"ATÍPICO",ABS((C3126-$W$5)/$X$5)&lt;=1.96,"NO ATÍPICO")</f>
        <v>NO ATÍPICO</v>
      </c>
      <c r="K3126" t="str" cm="1">
        <f t="array" ref="K3126">_xlfn.IFS(ISBLANK(I3126),"FALTANTE",ABS((I3126-$W$8)/$X$8)&gt;1.92,"ATÍPICO",ABS((I3126-$W$8)/$X$8)&lt;=1.92,"NO ATÍPICO")</f>
        <v>NO ATÍPICO</v>
      </c>
      <c r="L3126">
        <f t="shared" si="209"/>
        <v>296540</v>
      </c>
      <c r="M3126" t="str">
        <f t="shared" si="209"/>
        <v>TRABAJADOR INDEPENDIENTE</v>
      </c>
      <c r="N3126">
        <f t="shared" si="210"/>
        <v>44</v>
      </c>
      <c r="O3126" s="19" t="str">
        <f t="shared" si="211"/>
        <v>0–300k</v>
      </c>
      <c r="P3126" s="19" t="str">
        <f t="shared" si="212"/>
        <v>36-45</v>
      </c>
    </row>
    <row r="3127" spans="1:16" x14ac:dyDescent="0.25">
      <c r="A3127">
        <v>3126</v>
      </c>
      <c r="B3127" t="s">
        <v>9</v>
      </c>
      <c r="C3127">
        <v>639148</v>
      </c>
      <c r="D3127" t="s">
        <v>17</v>
      </c>
      <c r="E3127" t="s">
        <v>16</v>
      </c>
      <c r="F3127" t="s">
        <v>12</v>
      </c>
      <c r="G3127" t="s">
        <v>12</v>
      </c>
      <c r="H3127" t="s">
        <v>13</v>
      </c>
      <c r="I3127">
        <v>76</v>
      </c>
      <c r="J3127" t="str" cm="1">
        <f t="array" ref="J3127">_xlfn.IFS(ISBLANK(C3127),"FALTANTE",ABS((C3127-$W$5)/$X$5)&gt;1.96,"ATÍPICO",ABS((C3127-$W$5)/$X$5)&lt;=1.96,"NO ATÍPICO")</f>
        <v>NO ATÍPICO</v>
      </c>
      <c r="K3127" t="str" cm="1">
        <f t="array" ref="K3127">_xlfn.IFS(ISBLANK(I3127),"FALTANTE",ABS((I3127-$W$8)/$X$8)&gt;1.92,"ATÍPICO",ABS((I3127-$W$8)/$X$8)&lt;=1.92,"NO ATÍPICO")</f>
        <v>ATÍPICO</v>
      </c>
      <c r="L3127">
        <f t="shared" si="209"/>
        <v>639148</v>
      </c>
      <c r="M3127" t="str">
        <f t="shared" si="209"/>
        <v>ASEGURADO VOLUNTARIO</v>
      </c>
      <c r="N3127">
        <f t="shared" si="210"/>
        <v>76</v>
      </c>
      <c r="O3127" s="19" t="str">
        <f t="shared" si="211"/>
        <v>600k–900k</v>
      </c>
      <c r="P3127" s="19" t="str">
        <f t="shared" si="212"/>
        <v>56+</v>
      </c>
    </row>
    <row r="3128" spans="1:16" x14ac:dyDescent="0.25">
      <c r="A3128">
        <v>3127</v>
      </c>
      <c r="B3128" t="s">
        <v>9</v>
      </c>
      <c r="C3128">
        <v>616500</v>
      </c>
      <c r="D3128" t="s">
        <v>10</v>
      </c>
      <c r="E3128" t="s">
        <v>16</v>
      </c>
      <c r="F3128" t="s">
        <v>12</v>
      </c>
      <c r="G3128" t="s">
        <v>13</v>
      </c>
      <c r="H3128" t="s">
        <v>13</v>
      </c>
      <c r="I3128">
        <v>21</v>
      </c>
      <c r="J3128" t="str" cm="1">
        <f t="array" ref="J3128">_xlfn.IFS(ISBLANK(C3128),"FALTANTE",ABS((C3128-$W$5)/$X$5)&gt;1.96,"ATÍPICO",ABS((C3128-$W$5)/$X$5)&lt;=1.96,"NO ATÍPICO")</f>
        <v>NO ATÍPICO</v>
      </c>
      <c r="K3128" t="str" cm="1">
        <f t="array" ref="K3128">_xlfn.IFS(ISBLANK(I3128),"FALTANTE",ABS((I3128-$W$8)/$X$8)&gt;1.92,"ATÍPICO",ABS((I3128-$W$8)/$X$8)&lt;=1.92,"NO ATÍPICO")</f>
        <v>NO ATÍPICO</v>
      </c>
      <c r="L3128">
        <f t="shared" si="209"/>
        <v>616500</v>
      </c>
      <c r="M3128" t="str">
        <f t="shared" si="209"/>
        <v>ASALARIADO</v>
      </c>
      <c r="N3128">
        <f t="shared" si="210"/>
        <v>21</v>
      </c>
      <c r="O3128" s="19" t="str">
        <f t="shared" si="211"/>
        <v>600k–900k</v>
      </c>
      <c r="P3128" s="19" t="str">
        <f t="shared" si="212"/>
        <v>18-25</v>
      </c>
    </row>
    <row r="3129" spans="1:16" x14ac:dyDescent="0.25">
      <c r="A3129">
        <v>3128</v>
      </c>
      <c r="B3129" t="s">
        <v>15</v>
      </c>
      <c r="C3129">
        <v>557959.78</v>
      </c>
      <c r="D3129" t="s">
        <v>10</v>
      </c>
      <c r="E3129" t="s">
        <v>11</v>
      </c>
      <c r="F3129" t="s">
        <v>12</v>
      </c>
      <c r="G3129" t="s">
        <v>13</v>
      </c>
      <c r="H3129" t="s">
        <v>13</v>
      </c>
      <c r="I3129">
        <v>30</v>
      </c>
      <c r="J3129" t="str" cm="1">
        <f t="array" ref="J3129">_xlfn.IFS(ISBLANK(C3129),"FALTANTE",ABS((C3129-$W$5)/$X$5)&gt;1.96,"ATÍPICO",ABS((C3129-$W$5)/$X$5)&lt;=1.96,"NO ATÍPICO")</f>
        <v>NO ATÍPICO</v>
      </c>
      <c r="K3129" t="str" cm="1">
        <f t="array" ref="K3129">_xlfn.IFS(ISBLANK(I3129),"FALTANTE",ABS((I3129-$W$8)/$X$8)&gt;1.92,"ATÍPICO",ABS((I3129-$W$8)/$X$8)&lt;=1.92,"NO ATÍPICO")</f>
        <v>NO ATÍPICO</v>
      </c>
      <c r="L3129">
        <f t="shared" si="209"/>
        <v>557959.78</v>
      </c>
      <c r="M3129" t="str">
        <f t="shared" si="209"/>
        <v>ASALARIADO</v>
      </c>
      <c r="N3129">
        <f t="shared" si="210"/>
        <v>30</v>
      </c>
      <c r="O3129" s="19" t="str">
        <f t="shared" si="211"/>
        <v>300k–600k</v>
      </c>
      <c r="P3129" s="19" t="str">
        <f t="shared" si="212"/>
        <v>26-35</v>
      </c>
    </row>
    <row r="3130" spans="1:16" x14ac:dyDescent="0.25">
      <c r="A3130">
        <v>3129</v>
      </c>
      <c r="B3130" t="s">
        <v>9</v>
      </c>
      <c r="C3130">
        <v>594267.31999999995</v>
      </c>
      <c r="D3130" t="s">
        <v>10</v>
      </c>
      <c r="E3130" t="s">
        <v>16</v>
      </c>
      <c r="F3130" t="s">
        <v>12</v>
      </c>
      <c r="G3130" t="s">
        <v>13</v>
      </c>
      <c r="H3130" t="s">
        <v>13</v>
      </c>
      <c r="I3130">
        <v>34</v>
      </c>
      <c r="J3130" t="str" cm="1">
        <f t="array" ref="J3130">_xlfn.IFS(ISBLANK(C3130),"FALTANTE",ABS((C3130-$W$5)/$X$5)&gt;1.96,"ATÍPICO",ABS((C3130-$W$5)/$X$5)&lt;=1.96,"NO ATÍPICO")</f>
        <v>NO ATÍPICO</v>
      </c>
      <c r="K3130" t="str" cm="1">
        <f t="array" ref="K3130">_xlfn.IFS(ISBLANK(I3130),"FALTANTE",ABS((I3130-$W$8)/$X$8)&gt;1.92,"ATÍPICO",ABS((I3130-$W$8)/$X$8)&lt;=1.92,"NO ATÍPICO")</f>
        <v>NO ATÍPICO</v>
      </c>
      <c r="L3130">
        <f t="shared" si="209"/>
        <v>594267.31999999995</v>
      </c>
      <c r="M3130" t="str">
        <f t="shared" si="209"/>
        <v>ASALARIADO</v>
      </c>
      <c r="N3130">
        <f t="shared" si="210"/>
        <v>34</v>
      </c>
      <c r="O3130" s="19" t="str">
        <f t="shared" si="211"/>
        <v>300k–600k</v>
      </c>
      <c r="P3130" s="19" t="str">
        <f t="shared" si="212"/>
        <v>26-35</v>
      </c>
    </row>
    <row r="3131" spans="1:16" x14ac:dyDescent="0.25">
      <c r="A3131">
        <v>3130</v>
      </c>
      <c r="B3131" t="s">
        <v>9</v>
      </c>
      <c r="C3131">
        <v>375277</v>
      </c>
      <c r="D3131" t="s">
        <v>10</v>
      </c>
      <c r="E3131" t="s">
        <v>11</v>
      </c>
      <c r="F3131" t="s">
        <v>12</v>
      </c>
      <c r="G3131" t="s">
        <v>13</v>
      </c>
      <c r="H3131" t="s">
        <v>13</v>
      </c>
      <c r="I3131">
        <v>63</v>
      </c>
      <c r="J3131" t="str" cm="1">
        <f t="array" ref="J3131">_xlfn.IFS(ISBLANK(C3131),"FALTANTE",ABS((C3131-$W$5)/$X$5)&gt;1.96,"ATÍPICO",ABS((C3131-$W$5)/$X$5)&lt;=1.96,"NO ATÍPICO")</f>
        <v>NO ATÍPICO</v>
      </c>
      <c r="K3131" t="str" cm="1">
        <f t="array" ref="K3131">_xlfn.IFS(ISBLANK(I3131),"FALTANTE",ABS((I3131-$W$8)/$X$8)&gt;1.92,"ATÍPICO",ABS((I3131-$W$8)/$X$8)&lt;=1.92,"NO ATÍPICO")</f>
        <v>NO ATÍPICO</v>
      </c>
      <c r="L3131">
        <f t="shared" si="209"/>
        <v>375277</v>
      </c>
      <c r="M3131" t="str">
        <f t="shared" si="209"/>
        <v>ASALARIADO</v>
      </c>
      <c r="N3131">
        <f t="shared" si="210"/>
        <v>63</v>
      </c>
      <c r="O3131" s="19" t="str">
        <f t="shared" si="211"/>
        <v>300k–600k</v>
      </c>
      <c r="P3131" s="19" t="str">
        <f t="shared" si="212"/>
        <v>56+</v>
      </c>
    </row>
    <row r="3132" spans="1:16" x14ac:dyDescent="0.25">
      <c r="A3132">
        <v>3131</v>
      </c>
      <c r="B3132" t="s">
        <v>9</v>
      </c>
      <c r="C3132">
        <v>153968</v>
      </c>
      <c r="D3132" t="s">
        <v>10</v>
      </c>
      <c r="E3132" t="s">
        <v>16</v>
      </c>
      <c r="F3132" t="s">
        <v>12</v>
      </c>
      <c r="G3132" t="s">
        <v>13</v>
      </c>
      <c r="H3132" t="s">
        <v>13</v>
      </c>
      <c r="I3132">
        <v>42</v>
      </c>
      <c r="J3132" t="str" cm="1">
        <f t="array" ref="J3132">_xlfn.IFS(ISBLANK(C3132),"FALTANTE",ABS((C3132-$W$5)/$X$5)&gt;1.96,"ATÍPICO",ABS((C3132-$W$5)/$X$5)&lt;=1.96,"NO ATÍPICO")</f>
        <v>NO ATÍPICO</v>
      </c>
      <c r="K3132" t="str" cm="1">
        <f t="array" ref="K3132">_xlfn.IFS(ISBLANK(I3132),"FALTANTE",ABS((I3132-$W$8)/$X$8)&gt;1.92,"ATÍPICO",ABS((I3132-$W$8)/$X$8)&lt;=1.92,"NO ATÍPICO")</f>
        <v>NO ATÍPICO</v>
      </c>
      <c r="L3132">
        <f t="shared" si="209"/>
        <v>153968</v>
      </c>
      <c r="M3132" t="str">
        <f t="shared" si="209"/>
        <v>ASALARIADO</v>
      </c>
      <c r="N3132">
        <f t="shared" si="210"/>
        <v>42</v>
      </c>
      <c r="O3132" s="19" t="str">
        <f t="shared" si="211"/>
        <v>0–300k</v>
      </c>
      <c r="P3132" s="19" t="str">
        <f t="shared" si="212"/>
        <v>36-45</v>
      </c>
    </row>
    <row r="3133" spans="1:16" x14ac:dyDescent="0.25">
      <c r="A3133">
        <v>3132</v>
      </c>
      <c r="B3133" t="s">
        <v>9</v>
      </c>
      <c r="C3133">
        <v>352314</v>
      </c>
      <c r="D3133" t="s">
        <v>18</v>
      </c>
      <c r="E3133" t="s">
        <v>16</v>
      </c>
      <c r="F3133" t="s">
        <v>12</v>
      </c>
      <c r="G3133" t="s">
        <v>13</v>
      </c>
      <c r="H3133" t="s">
        <v>12</v>
      </c>
      <c r="I3133">
        <v>37</v>
      </c>
      <c r="J3133" t="str" cm="1">
        <f t="array" ref="J3133">_xlfn.IFS(ISBLANK(C3133),"FALTANTE",ABS((C3133-$W$5)/$X$5)&gt;1.96,"ATÍPICO",ABS((C3133-$W$5)/$X$5)&lt;=1.96,"NO ATÍPICO")</f>
        <v>NO ATÍPICO</v>
      </c>
      <c r="K3133" t="str" cm="1">
        <f t="array" ref="K3133">_xlfn.IFS(ISBLANK(I3133),"FALTANTE",ABS((I3133-$W$8)/$X$8)&gt;1.92,"ATÍPICO",ABS((I3133-$W$8)/$X$8)&lt;=1.92,"NO ATÍPICO")</f>
        <v>NO ATÍPICO</v>
      </c>
      <c r="L3133">
        <f t="shared" si="209"/>
        <v>352314</v>
      </c>
      <c r="M3133" t="str">
        <f t="shared" si="209"/>
        <v>TRABAJADOR INDEPENDIENTE</v>
      </c>
      <c r="N3133">
        <f t="shared" si="210"/>
        <v>37</v>
      </c>
      <c r="O3133" s="19" t="str">
        <f t="shared" si="211"/>
        <v>300k–600k</v>
      </c>
      <c r="P3133" s="19" t="str">
        <f t="shared" si="212"/>
        <v>36-45</v>
      </c>
    </row>
    <row r="3134" spans="1:16" x14ac:dyDescent="0.25">
      <c r="A3134">
        <v>3133</v>
      </c>
      <c r="B3134" t="s">
        <v>9</v>
      </c>
      <c r="C3134">
        <v>1389242.41</v>
      </c>
      <c r="D3134" t="s">
        <v>10</v>
      </c>
      <c r="E3134" t="s">
        <v>16</v>
      </c>
      <c r="F3134" t="s">
        <v>12</v>
      </c>
      <c r="G3134" t="s">
        <v>13</v>
      </c>
      <c r="H3134" t="s">
        <v>13</v>
      </c>
      <c r="I3134">
        <v>45</v>
      </c>
      <c r="J3134" t="str" cm="1">
        <f t="array" ref="J3134">_xlfn.IFS(ISBLANK(C3134),"FALTANTE",ABS((C3134-$W$5)/$X$5)&gt;1.96,"ATÍPICO",ABS((C3134-$W$5)/$X$5)&lt;=1.96,"NO ATÍPICO")</f>
        <v>NO ATÍPICO</v>
      </c>
      <c r="K3134" t="str" cm="1">
        <f t="array" ref="K3134">_xlfn.IFS(ISBLANK(I3134),"FALTANTE",ABS((I3134-$W$8)/$X$8)&gt;1.92,"ATÍPICO",ABS((I3134-$W$8)/$X$8)&lt;=1.92,"NO ATÍPICO")</f>
        <v>NO ATÍPICO</v>
      </c>
      <c r="L3134">
        <f t="shared" si="209"/>
        <v>1389242.41</v>
      </c>
      <c r="M3134" t="str">
        <f t="shared" si="209"/>
        <v>ASALARIADO</v>
      </c>
      <c r="N3134">
        <f t="shared" si="210"/>
        <v>45</v>
      </c>
      <c r="O3134" s="19" t="str">
        <f t="shared" si="211"/>
        <v>1200k+</v>
      </c>
      <c r="P3134" s="19" t="str">
        <f t="shared" si="212"/>
        <v>36-45</v>
      </c>
    </row>
    <row r="3135" spans="1:16" x14ac:dyDescent="0.25">
      <c r="A3135">
        <v>3134</v>
      </c>
      <c r="B3135" t="s">
        <v>9</v>
      </c>
      <c r="C3135">
        <v>376977.2</v>
      </c>
      <c r="D3135" t="s">
        <v>10</v>
      </c>
      <c r="E3135" t="s">
        <v>11</v>
      </c>
      <c r="F3135" t="s">
        <v>12</v>
      </c>
      <c r="G3135" t="s">
        <v>13</v>
      </c>
      <c r="H3135" t="s">
        <v>13</v>
      </c>
      <c r="I3135">
        <v>47</v>
      </c>
      <c r="J3135" t="str" cm="1">
        <f t="array" ref="J3135">_xlfn.IFS(ISBLANK(C3135),"FALTANTE",ABS((C3135-$W$5)/$X$5)&gt;1.96,"ATÍPICO",ABS((C3135-$W$5)/$X$5)&lt;=1.96,"NO ATÍPICO")</f>
        <v>NO ATÍPICO</v>
      </c>
      <c r="K3135" t="str" cm="1">
        <f t="array" ref="K3135">_xlfn.IFS(ISBLANK(I3135),"FALTANTE",ABS((I3135-$W$8)/$X$8)&gt;1.92,"ATÍPICO",ABS((I3135-$W$8)/$X$8)&lt;=1.92,"NO ATÍPICO")</f>
        <v>NO ATÍPICO</v>
      </c>
      <c r="L3135">
        <f t="shared" si="209"/>
        <v>376977.2</v>
      </c>
      <c r="M3135" t="str">
        <f t="shared" si="209"/>
        <v>ASALARIADO</v>
      </c>
      <c r="N3135">
        <f t="shared" si="210"/>
        <v>47</v>
      </c>
      <c r="O3135" s="19" t="str">
        <f t="shared" si="211"/>
        <v>300k–600k</v>
      </c>
      <c r="P3135" s="19" t="str">
        <f t="shared" si="212"/>
        <v>46-55</v>
      </c>
    </row>
    <row r="3136" spans="1:16" x14ac:dyDescent="0.25">
      <c r="A3136">
        <v>3135</v>
      </c>
      <c r="B3136" t="s">
        <v>9</v>
      </c>
      <c r="C3136">
        <v>350955</v>
      </c>
      <c r="D3136" t="s">
        <v>10</v>
      </c>
      <c r="E3136" t="s">
        <v>16</v>
      </c>
      <c r="F3136" t="s">
        <v>12</v>
      </c>
      <c r="G3136" t="s">
        <v>13</v>
      </c>
      <c r="H3136" t="s">
        <v>13</v>
      </c>
      <c r="I3136">
        <v>41</v>
      </c>
      <c r="J3136" t="str" cm="1">
        <f t="array" ref="J3136">_xlfn.IFS(ISBLANK(C3136),"FALTANTE",ABS((C3136-$W$5)/$X$5)&gt;1.96,"ATÍPICO",ABS((C3136-$W$5)/$X$5)&lt;=1.96,"NO ATÍPICO")</f>
        <v>NO ATÍPICO</v>
      </c>
      <c r="K3136" t="str" cm="1">
        <f t="array" ref="K3136">_xlfn.IFS(ISBLANK(I3136),"FALTANTE",ABS((I3136-$W$8)/$X$8)&gt;1.92,"ATÍPICO",ABS((I3136-$W$8)/$X$8)&lt;=1.92,"NO ATÍPICO")</f>
        <v>NO ATÍPICO</v>
      </c>
      <c r="L3136">
        <f t="shared" si="209"/>
        <v>350955</v>
      </c>
      <c r="M3136" t="str">
        <f t="shared" si="209"/>
        <v>ASALARIADO</v>
      </c>
      <c r="N3136">
        <f t="shared" si="210"/>
        <v>41</v>
      </c>
      <c r="O3136" s="19" t="str">
        <f t="shared" si="211"/>
        <v>300k–600k</v>
      </c>
      <c r="P3136" s="19" t="str">
        <f t="shared" si="212"/>
        <v>36-45</v>
      </c>
    </row>
    <row r="3137" spans="1:16" x14ac:dyDescent="0.25">
      <c r="A3137">
        <v>3136</v>
      </c>
      <c r="B3137" t="s">
        <v>15</v>
      </c>
      <c r="C3137">
        <v>1275143</v>
      </c>
      <c r="D3137" t="s">
        <v>10</v>
      </c>
      <c r="E3137" t="s">
        <v>16</v>
      </c>
      <c r="F3137" t="s">
        <v>12</v>
      </c>
      <c r="G3137" t="s">
        <v>13</v>
      </c>
      <c r="H3137" t="s">
        <v>13</v>
      </c>
      <c r="I3137">
        <v>53</v>
      </c>
      <c r="J3137" t="str" cm="1">
        <f t="array" ref="J3137">_xlfn.IFS(ISBLANK(C3137),"FALTANTE",ABS((C3137-$W$5)/$X$5)&gt;1.96,"ATÍPICO",ABS((C3137-$W$5)/$X$5)&lt;=1.96,"NO ATÍPICO")</f>
        <v>NO ATÍPICO</v>
      </c>
      <c r="K3137" t="str" cm="1">
        <f t="array" ref="K3137">_xlfn.IFS(ISBLANK(I3137),"FALTANTE",ABS((I3137-$W$8)/$X$8)&gt;1.92,"ATÍPICO",ABS((I3137-$W$8)/$X$8)&lt;=1.92,"NO ATÍPICO")</f>
        <v>NO ATÍPICO</v>
      </c>
      <c r="L3137">
        <f t="shared" si="209"/>
        <v>1275143</v>
      </c>
      <c r="M3137" t="str">
        <f t="shared" si="209"/>
        <v>ASALARIADO</v>
      </c>
      <c r="N3137">
        <f t="shared" si="210"/>
        <v>53</v>
      </c>
      <c r="O3137" s="19" t="str">
        <f t="shared" si="211"/>
        <v>1200k+</v>
      </c>
      <c r="P3137" s="19" t="str">
        <f t="shared" si="212"/>
        <v>46-55</v>
      </c>
    </row>
    <row r="3138" spans="1:16" x14ac:dyDescent="0.25">
      <c r="A3138">
        <v>3137</v>
      </c>
      <c r="B3138" t="s">
        <v>15</v>
      </c>
      <c r="C3138">
        <v>666437.5</v>
      </c>
      <c r="D3138" t="s">
        <v>10</v>
      </c>
      <c r="E3138" t="s">
        <v>11</v>
      </c>
      <c r="F3138" t="s">
        <v>12</v>
      </c>
      <c r="G3138" t="s">
        <v>13</v>
      </c>
      <c r="H3138" t="s">
        <v>13</v>
      </c>
      <c r="I3138">
        <v>26</v>
      </c>
      <c r="J3138" t="str" cm="1">
        <f t="array" ref="J3138">_xlfn.IFS(ISBLANK(C3138),"FALTANTE",ABS((C3138-$W$5)/$X$5)&gt;1.96,"ATÍPICO",ABS((C3138-$W$5)/$X$5)&lt;=1.96,"NO ATÍPICO")</f>
        <v>NO ATÍPICO</v>
      </c>
      <c r="K3138" t="str" cm="1">
        <f t="array" ref="K3138">_xlfn.IFS(ISBLANK(I3138),"FALTANTE",ABS((I3138-$W$8)/$X$8)&gt;1.92,"ATÍPICO",ABS((I3138-$W$8)/$X$8)&lt;=1.92,"NO ATÍPICO")</f>
        <v>NO ATÍPICO</v>
      </c>
      <c r="L3138">
        <f t="shared" ref="L3138:M3201" si="213">C3138</f>
        <v>666437.5</v>
      </c>
      <c r="M3138" t="str">
        <f t="shared" si="213"/>
        <v>ASALARIADO</v>
      </c>
      <c r="N3138">
        <f t="shared" ref="N3138:N3201" si="214">I3138</f>
        <v>26</v>
      </c>
      <c r="O3138" s="19" t="str">
        <f t="shared" ref="O3138:O3201" si="215">IF(L3138&lt;=300000,"0–300k",IF(L3138&lt;=600000,"300k–600k",IF(L3138&lt;=900000,"600k–900k",IF(L3138&lt;=1200000,"900k–1200k","1200k+"))))</f>
        <v>600k–900k</v>
      </c>
      <c r="P3138" s="19" t="str">
        <f t="shared" ref="P3138:P3201" si="216">IF(N3138 &lt;=25,"18-25", IF(N3138&lt;=35,"26-35", IF(N3138 &lt;=45,"36-45", IF(N3138&lt;=55,"46-55","56+"))))</f>
        <v>26-35</v>
      </c>
    </row>
    <row r="3139" spans="1:16" x14ac:dyDescent="0.25">
      <c r="A3139">
        <v>3138</v>
      </c>
      <c r="B3139" t="s">
        <v>9</v>
      </c>
      <c r="C3139">
        <v>10652</v>
      </c>
      <c r="D3139" t="s">
        <v>10</v>
      </c>
      <c r="E3139" t="s">
        <v>16</v>
      </c>
      <c r="F3139" t="s">
        <v>12</v>
      </c>
      <c r="G3139" t="s">
        <v>12</v>
      </c>
      <c r="H3139" t="s">
        <v>13</v>
      </c>
      <c r="I3139">
        <v>23</v>
      </c>
      <c r="J3139" t="str" cm="1">
        <f t="array" ref="J3139">_xlfn.IFS(ISBLANK(C3139),"FALTANTE",ABS((C3139-$W$5)/$X$5)&gt;1.96,"ATÍPICO",ABS((C3139-$W$5)/$X$5)&lt;=1.96,"NO ATÍPICO")</f>
        <v>NO ATÍPICO</v>
      </c>
      <c r="K3139" t="str" cm="1">
        <f t="array" ref="K3139">_xlfn.IFS(ISBLANK(I3139),"FALTANTE",ABS((I3139-$W$8)/$X$8)&gt;1.92,"ATÍPICO",ABS((I3139-$W$8)/$X$8)&lt;=1.92,"NO ATÍPICO")</f>
        <v>NO ATÍPICO</v>
      </c>
      <c r="L3139">
        <f t="shared" si="213"/>
        <v>10652</v>
      </c>
      <c r="M3139" t="str">
        <f t="shared" si="213"/>
        <v>ASALARIADO</v>
      </c>
      <c r="N3139">
        <f t="shared" si="214"/>
        <v>23</v>
      </c>
      <c r="O3139" s="19" t="str">
        <f t="shared" si="215"/>
        <v>0–300k</v>
      </c>
      <c r="P3139" s="19" t="str">
        <f t="shared" si="216"/>
        <v>18-25</v>
      </c>
    </row>
    <row r="3140" spans="1:16" x14ac:dyDescent="0.25">
      <c r="A3140">
        <v>3139</v>
      </c>
      <c r="B3140" t="s">
        <v>9</v>
      </c>
      <c r="C3140">
        <v>698559.5</v>
      </c>
      <c r="D3140" t="s">
        <v>10</v>
      </c>
      <c r="E3140" t="s">
        <v>11</v>
      </c>
      <c r="F3140" t="s">
        <v>12</v>
      </c>
      <c r="G3140" t="s">
        <v>13</v>
      </c>
      <c r="H3140" t="s">
        <v>13</v>
      </c>
      <c r="I3140">
        <v>31</v>
      </c>
      <c r="J3140" t="str" cm="1">
        <f t="array" ref="J3140">_xlfn.IFS(ISBLANK(C3140),"FALTANTE",ABS((C3140-$W$5)/$X$5)&gt;1.96,"ATÍPICO",ABS((C3140-$W$5)/$X$5)&lt;=1.96,"NO ATÍPICO")</f>
        <v>NO ATÍPICO</v>
      </c>
      <c r="K3140" t="str" cm="1">
        <f t="array" ref="K3140">_xlfn.IFS(ISBLANK(I3140),"FALTANTE",ABS((I3140-$W$8)/$X$8)&gt;1.92,"ATÍPICO",ABS((I3140-$W$8)/$X$8)&lt;=1.92,"NO ATÍPICO")</f>
        <v>NO ATÍPICO</v>
      </c>
      <c r="L3140">
        <f t="shared" si="213"/>
        <v>698559.5</v>
      </c>
      <c r="M3140" t="str">
        <f t="shared" si="213"/>
        <v>ASALARIADO</v>
      </c>
      <c r="N3140">
        <f t="shared" si="214"/>
        <v>31</v>
      </c>
      <c r="O3140" s="19" t="str">
        <f t="shared" si="215"/>
        <v>600k–900k</v>
      </c>
      <c r="P3140" s="19" t="str">
        <f t="shared" si="216"/>
        <v>26-35</v>
      </c>
    </row>
    <row r="3141" spans="1:16" x14ac:dyDescent="0.25">
      <c r="A3141">
        <v>3140</v>
      </c>
      <c r="B3141" t="s">
        <v>15</v>
      </c>
      <c r="C3141">
        <v>150000</v>
      </c>
      <c r="D3141" t="s">
        <v>10</v>
      </c>
      <c r="E3141" t="s">
        <v>16</v>
      </c>
      <c r="F3141" t="s">
        <v>12</v>
      </c>
      <c r="G3141" t="s">
        <v>13</v>
      </c>
      <c r="H3141" t="s">
        <v>13</v>
      </c>
      <c r="I3141">
        <v>21</v>
      </c>
      <c r="J3141" t="str" cm="1">
        <f t="array" ref="J3141">_xlfn.IFS(ISBLANK(C3141),"FALTANTE",ABS((C3141-$W$5)/$X$5)&gt;1.96,"ATÍPICO",ABS((C3141-$W$5)/$X$5)&lt;=1.96,"NO ATÍPICO")</f>
        <v>NO ATÍPICO</v>
      </c>
      <c r="K3141" t="str" cm="1">
        <f t="array" ref="K3141">_xlfn.IFS(ISBLANK(I3141),"FALTANTE",ABS((I3141-$W$8)/$X$8)&gt;1.92,"ATÍPICO",ABS((I3141-$W$8)/$X$8)&lt;=1.92,"NO ATÍPICO")</f>
        <v>NO ATÍPICO</v>
      </c>
      <c r="L3141">
        <f t="shared" si="213"/>
        <v>150000</v>
      </c>
      <c r="M3141" t="str">
        <f t="shared" si="213"/>
        <v>ASALARIADO</v>
      </c>
      <c r="N3141">
        <f t="shared" si="214"/>
        <v>21</v>
      </c>
      <c r="O3141" s="19" t="str">
        <f t="shared" si="215"/>
        <v>0–300k</v>
      </c>
      <c r="P3141" s="19" t="str">
        <f t="shared" si="216"/>
        <v>18-25</v>
      </c>
    </row>
    <row r="3142" spans="1:16" x14ac:dyDescent="0.25">
      <c r="A3142">
        <v>3141</v>
      </c>
      <c r="B3142" t="s">
        <v>15</v>
      </c>
      <c r="C3142">
        <v>406159.28</v>
      </c>
      <c r="D3142" t="s">
        <v>10</v>
      </c>
      <c r="E3142" t="s">
        <v>16</v>
      </c>
      <c r="F3142" t="s">
        <v>12</v>
      </c>
      <c r="G3142" t="s">
        <v>13</v>
      </c>
      <c r="H3142" t="s">
        <v>13</v>
      </c>
      <c r="I3142">
        <v>25</v>
      </c>
      <c r="J3142" t="str" cm="1">
        <f t="array" ref="J3142">_xlfn.IFS(ISBLANK(C3142),"FALTANTE",ABS((C3142-$W$5)/$X$5)&gt;1.96,"ATÍPICO",ABS((C3142-$W$5)/$X$5)&lt;=1.96,"NO ATÍPICO")</f>
        <v>NO ATÍPICO</v>
      </c>
      <c r="K3142" t="str" cm="1">
        <f t="array" ref="K3142">_xlfn.IFS(ISBLANK(I3142),"FALTANTE",ABS((I3142-$W$8)/$X$8)&gt;1.92,"ATÍPICO",ABS((I3142-$W$8)/$X$8)&lt;=1.92,"NO ATÍPICO")</f>
        <v>NO ATÍPICO</v>
      </c>
      <c r="L3142">
        <f t="shared" si="213"/>
        <v>406159.28</v>
      </c>
      <c r="M3142" t="str">
        <f t="shared" si="213"/>
        <v>ASALARIADO</v>
      </c>
      <c r="N3142">
        <f t="shared" si="214"/>
        <v>25</v>
      </c>
      <c r="O3142" s="19" t="str">
        <f t="shared" si="215"/>
        <v>300k–600k</v>
      </c>
      <c r="P3142" s="19" t="str">
        <f t="shared" si="216"/>
        <v>18-25</v>
      </c>
    </row>
    <row r="3143" spans="1:16" x14ac:dyDescent="0.25">
      <c r="A3143">
        <v>3142</v>
      </c>
      <c r="B3143" t="s">
        <v>15</v>
      </c>
      <c r="C3143">
        <v>801190.2</v>
      </c>
      <c r="D3143" t="s">
        <v>10</v>
      </c>
      <c r="E3143" t="s">
        <v>16</v>
      </c>
      <c r="F3143" t="s">
        <v>12</v>
      </c>
      <c r="G3143" t="s">
        <v>13</v>
      </c>
      <c r="H3143" t="s">
        <v>13</v>
      </c>
      <c r="I3143">
        <v>43</v>
      </c>
      <c r="J3143" t="str" cm="1">
        <f t="array" ref="J3143">_xlfn.IFS(ISBLANK(C3143),"FALTANTE",ABS((C3143-$W$5)/$X$5)&gt;1.96,"ATÍPICO",ABS((C3143-$W$5)/$X$5)&lt;=1.96,"NO ATÍPICO")</f>
        <v>NO ATÍPICO</v>
      </c>
      <c r="K3143" t="str" cm="1">
        <f t="array" ref="K3143">_xlfn.IFS(ISBLANK(I3143),"FALTANTE",ABS((I3143-$W$8)/$X$8)&gt;1.92,"ATÍPICO",ABS((I3143-$W$8)/$X$8)&lt;=1.92,"NO ATÍPICO")</f>
        <v>NO ATÍPICO</v>
      </c>
      <c r="L3143">
        <f t="shared" si="213"/>
        <v>801190.2</v>
      </c>
      <c r="M3143" t="str">
        <f t="shared" si="213"/>
        <v>ASALARIADO</v>
      </c>
      <c r="N3143">
        <f t="shared" si="214"/>
        <v>43</v>
      </c>
      <c r="O3143" s="19" t="str">
        <f t="shared" si="215"/>
        <v>600k–900k</v>
      </c>
      <c r="P3143" s="19" t="str">
        <f t="shared" si="216"/>
        <v>36-45</v>
      </c>
    </row>
    <row r="3144" spans="1:16" x14ac:dyDescent="0.25">
      <c r="A3144">
        <v>3143</v>
      </c>
      <c r="B3144" t="s">
        <v>9</v>
      </c>
      <c r="C3144">
        <v>980353.5</v>
      </c>
      <c r="D3144" t="s">
        <v>10</v>
      </c>
      <c r="E3144" t="s">
        <v>11</v>
      </c>
      <c r="F3144" t="s">
        <v>12</v>
      </c>
      <c r="G3144" t="s">
        <v>13</v>
      </c>
      <c r="H3144" t="s">
        <v>13</v>
      </c>
      <c r="I3144">
        <v>34</v>
      </c>
      <c r="J3144" t="str" cm="1">
        <f t="array" ref="J3144">_xlfn.IFS(ISBLANK(C3144),"FALTANTE",ABS((C3144-$W$5)/$X$5)&gt;1.96,"ATÍPICO",ABS((C3144-$W$5)/$X$5)&lt;=1.96,"NO ATÍPICO")</f>
        <v>NO ATÍPICO</v>
      </c>
      <c r="K3144" t="str" cm="1">
        <f t="array" ref="K3144">_xlfn.IFS(ISBLANK(I3144),"FALTANTE",ABS((I3144-$W$8)/$X$8)&gt;1.92,"ATÍPICO",ABS((I3144-$W$8)/$X$8)&lt;=1.92,"NO ATÍPICO")</f>
        <v>NO ATÍPICO</v>
      </c>
      <c r="L3144">
        <f t="shared" si="213"/>
        <v>980353.5</v>
      </c>
      <c r="M3144" t="str">
        <f t="shared" si="213"/>
        <v>ASALARIADO</v>
      </c>
      <c r="N3144">
        <f t="shared" si="214"/>
        <v>34</v>
      </c>
      <c r="O3144" s="19" t="str">
        <f t="shared" si="215"/>
        <v>900k–1200k</v>
      </c>
      <c r="P3144" s="19" t="str">
        <f t="shared" si="216"/>
        <v>26-35</v>
      </c>
    </row>
    <row r="3145" spans="1:16" x14ac:dyDescent="0.25">
      <c r="A3145">
        <v>3144</v>
      </c>
      <c r="B3145" t="s">
        <v>9</v>
      </c>
      <c r="C3145">
        <v>847403.34</v>
      </c>
      <c r="D3145" t="s">
        <v>10</v>
      </c>
      <c r="E3145" t="s">
        <v>16</v>
      </c>
      <c r="F3145" t="s">
        <v>12</v>
      </c>
      <c r="G3145" t="s">
        <v>13</v>
      </c>
      <c r="H3145" t="s">
        <v>13</v>
      </c>
      <c r="I3145">
        <v>45</v>
      </c>
      <c r="J3145" t="str" cm="1">
        <f t="array" ref="J3145">_xlfn.IFS(ISBLANK(C3145),"FALTANTE",ABS((C3145-$W$5)/$X$5)&gt;1.96,"ATÍPICO",ABS((C3145-$W$5)/$X$5)&lt;=1.96,"NO ATÍPICO")</f>
        <v>NO ATÍPICO</v>
      </c>
      <c r="K3145" t="str" cm="1">
        <f t="array" ref="K3145">_xlfn.IFS(ISBLANK(I3145),"FALTANTE",ABS((I3145-$W$8)/$X$8)&gt;1.92,"ATÍPICO",ABS((I3145-$W$8)/$X$8)&lt;=1.92,"NO ATÍPICO")</f>
        <v>NO ATÍPICO</v>
      </c>
      <c r="L3145">
        <f t="shared" si="213"/>
        <v>847403.34</v>
      </c>
      <c r="M3145" t="str">
        <f t="shared" si="213"/>
        <v>ASALARIADO</v>
      </c>
      <c r="N3145">
        <f t="shared" si="214"/>
        <v>45</v>
      </c>
      <c r="O3145" s="19" t="str">
        <f t="shared" si="215"/>
        <v>600k–900k</v>
      </c>
      <c r="P3145" s="19" t="str">
        <f t="shared" si="216"/>
        <v>36-45</v>
      </c>
    </row>
    <row r="3146" spans="1:16" x14ac:dyDescent="0.25">
      <c r="A3146">
        <v>3145</v>
      </c>
      <c r="B3146" t="s">
        <v>9</v>
      </c>
      <c r="C3146">
        <v>295505</v>
      </c>
      <c r="D3146" t="s">
        <v>10</v>
      </c>
      <c r="E3146" t="s">
        <v>16</v>
      </c>
      <c r="F3146" t="s">
        <v>12</v>
      </c>
      <c r="G3146" t="s">
        <v>13</v>
      </c>
      <c r="H3146" t="s">
        <v>13</v>
      </c>
      <c r="I3146">
        <v>36</v>
      </c>
      <c r="J3146" t="str" cm="1">
        <f t="array" ref="J3146">_xlfn.IFS(ISBLANK(C3146),"FALTANTE",ABS((C3146-$W$5)/$X$5)&gt;1.96,"ATÍPICO",ABS((C3146-$W$5)/$X$5)&lt;=1.96,"NO ATÍPICO")</f>
        <v>NO ATÍPICO</v>
      </c>
      <c r="K3146" t="str" cm="1">
        <f t="array" ref="K3146">_xlfn.IFS(ISBLANK(I3146),"FALTANTE",ABS((I3146-$W$8)/$X$8)&gt;1.92,"ATÍPICO",ABS((I3146-$W$8)/$X$8)&lt;=1.92,"NO ATÍPICO")</f>
        <v>NO ATÍPICO</v>
      </c>
      <c r="L3146">
        <f t="shared" si="213"/>
        <v>295505</v>
      </c>
      <c r="M3146" t="str">
        <f t="shared" si="213"/>
        <v>ASALARIADO</v>
      </c>
      <c r="N3146">
        <f t="shared" si="214"/>
        <v>36</v>
      </c>
      <c r="O3146" s="19" t="str">
        <f t="shared" si="215"/>
        <v>0–300k</v>
      </c>
      <c r="P3146" s="19" t="str">
        <f t="shared" si="216"/>
        <v>36-45</v>
      </c>
    </row>
    <row r="3147" spans="1:16" x14ac:dyDescent="0.25">
      <c r="A3147">
        <v>3146</v>
      </c>
      <c r="B3147" t="s">
        <v>9</v>
      </c>
      <c r="C3147">
        <v>297046</v>
      </c>
      <c r="D3147" t="s">
        <v>17</v>
      </c>
      <c r="E3147" t="s">
        <v>16</v>
      </c>
      <c r="F3147" t="s">
        <v>12</v>
      </c>
      <c r="G3147" t="s">
        <v>13</v>
      </c>
      <c r="H3147" t="s">
        <v>13</v>
      </c>
      <c r="I3147">
        <v>25</v>
      </c>
      <c r="J3147" t="str" cm="1">
        <f t="array" ref="J3147">_xlfn.IFS(ISBLANK(C3147),"FALTANTE",ABS((C3147-$W$5)/$X$5)&gt;1.96,"ATÍPICO",ABS((C3147-$W$5)/$X$5)&lt;=1.96,"NO ATÍPICO")</f>
        <v>NO ATÍPICO</v>
      </c>
      <c r="K3147" t="str" cm="1">
        <f t="array" ref="K3147">_xlfn.IFS(ISBLANK(I3147),"FALTANTE",ABS((I3147-$W$8)/$X$8)&gt;1.92,"ATÍPICO",ABS((I3147-$W$8)/$X$8)&lt;=1.92,"NO ATÍPICO")</f>
        <v>NO ATÍPICO</v>
      </c>
      <c r="L3147">
        <f t="shared" si="213"/>
        <v>297046</v>
      </c>
      <c r="M3147" t="str">
        <f t="shared" si="213"/>
        <v>ASEGURADO VOLUNTARIO</v>
      </c>
      <c r="N3147">
        <f t="shared" si="214"/>
        <v>25</v>
      </c>
      <c r="O3147" s="19" t="str">
        <f t="shared" si="215"/>
        <v>0–300k</v>
      </c>
      <c r="P3147" s="19" t="str">
        <f t="shared" si="216"/>
        <v>18-25</v>
      </c>
    </row>
    <row r="3148" spans="1:16" x14ac:dyDescent="0.25">
      <c r="A3148">
        <v>3147</v>
      </c>
      <c r="B3148" t="s">
        <v>15</v>
      </c>
      <c r="C3148">
        <v>457220</v>
      </c>
      <c r="D3148" t="s">
        <v>10</v>
      </c>
      <c r="E3148" t="s">
        <v>11</v>
      </c>
      <c r="F3148" t="s">
        <v>12</v>
      </c>
      <c r="G3148" t="s">
        <v>13</v>
      </c>
      <c r="H3148" t="s">
        <v>13</v>
      </c>
      <c r="I3148">
        <v>25</v>
      </c>
      <c r="J3148" t="str" cm="1">
        <f t="array" ref="J3148">_xlfn.IFS(ISBLANK(C3148),"FALTANTE",ABS((C3148-$W$5)/$X$5)&gt;1.96,"ATÍPICO",ABS((C3148-$W$5)/$X$5)&lt;=1.96,"NO ATÍPICO")</f>
        <v>NO ATÍPICO</v>
      </c>
      <c r="K3148" t="str" cm="1">
        <f t="array" ref="K3148">_xlfn.IFS(ISBLANK(I3148),"FALTANTE",ABS((I3148-$W$8)/$X$8)&gt;1.92,"ATÍPICO",ABS((I3148-$W$8)/$X$8)&lt;=1.92,"NO ATÍPICO")</f>
        <v>NO ATÍPICO</v>
      </c>
      <c r="L3148">
        <f t="shared" si="213"/>
        <v>457220</v>
      </c>
      <c r="M3148" t="str">
        <f t="shared" si="213"/>
        <v>ASALARIADO</v>
      </c>
      <c r="N3148">
        <f t="shared" si="214"/>
        <v>25</v>
      </c>
      <c r="O3148" s="19" t="str">
        <f t="shared" si="215"/>
        <v>300k–600k</v>
      </c>
      <c r="P3148" s="19" t="str">
        <f t="shared" si="216"/>
        <v>18-25</v>
      </c>
    </row>
    <row r="3149" spans="1:16" x14ac:dyDescent="0.25">
      <c r="A3149">
        <v>3148</v>
      </c>
      <c r="B3149" t="s">
        <v>9</v>
      </c>
      <c r="C3149">
        <v>458557</v>
      </c>
      <c r="D3149" t="s">
        <v>18</v>
      </c>
      <c r="E3149" t="s">
        <v>16</v>
      </c>
      <c r="F3149" t="s">
        <v>12</v>
      </c>
      <c r="G3149" t="s">
        <v>13</v>
      </c>
      <c r="H3149" t="s">
        <v>12</v>
      </c>
      <c r="I3149">
        <v>33</v>
      </c>
      <c r="J3149" t="str" cm="1">
        <f t="array" ref="J3149">_xlfn.IFS(ISBLANK(C3149),"FALTANTE",ABS((C3149-$W$5)/$X$5)&gt;1.96,"ATÍPICO",ABS((C3149-$W$5)/$X$5)&lt;=1.96,"NO ATÍPICO")</f>
        <v>NO ATÍPICO</v>
      </c>
      <c r="K3149" t="str" cm="1">
        <f t="array" ref="K3149">_xlfn.IFS(ISBLANK(I3149),"FALTANTE",ABS((I3149-$W$8)/$X$8)&gt;1.92,"ATÍPICO",ABS((I3149-$W$8)/$X$8)&lt;=1.92,"NO ATÍPICO")</f>
        <v>NO ATÍPICO</v>
      </c>
      <c r="L3149">
        <f t="shared" si="213"/>
        <v>458557</v>
      </c>
      <c r="M3149" t="str">
        <f t="shared" si="213"/>
        <v>TRABAJADOR INDEPENDIENTE</v>
      </c>
      <c r="N3149">
        <f t="shared" si="214"/>
        <v>33</v>
      </c>
      <c r="O3149" s="19" t="str">
        <f t="shared" si="215"/>
        <v>300k–600k</v>
      </c>
      <c r="P3149" s="19" t="str">
        <f t="shared" si="216"/>
        <v>26-35</v>
      </c>
    </row>
    <row r="3150" spans="1:16" x14ac:dyDescent="0.25">
      <c r="A3150">
        <v>3149</v>
      </c>
      <c r="B3150" t="s">
        <v>15</v>
      </c>
      <c r="C3150">
        <v>308439</v>
      </c>
      <c r="D3150" t="s">
        <v>18</v>
      </c>
      <c r="E3150" t="s">
        <v>16</v>
      </c>
      <c r="F3150" t="s">
        <v>12</v>
      </c>
      <c r="G3150" t="s">
        <v>13</v>
      </c>
      <c r="H3150" t="s">
        <v>12</v>
      </c>
      <c r="I3150">
        <v>31</v>
      </c>
      <c r="J3150" t="str" cm="1">
        <f t="array" ref="J3150">_xlfn.IFS(ISBLANK(C3150),"FALTANTE",ABS((C3150-$W$5)/$X$5)&gt;1.96,"ATÍPICO",ABS((C3150-$W$5)/$X$5)&lt;=1.96,"NO ATÍPICO")</f>
        <v>NO ATÍPICO</v>
      </c>
      <c r="K3150" t="str" cm="1">
        <f t="array" ref="K3150">_xlfn.IFS(ISBLANK(I3150),"FALTANTE",ABS((I3150-$W$8)/$X$8)&gt;1.92,"ATÍPICO",ABS((I3150-$W$8)/$X$8)&lt;=1.92,"NO ATÍPICO")</f>
        <v>NO ATÍPICO</v>
      </c>
      <c r="L3150">
        <f t="shared" si="213"/>
        <v>308439</v>
      </c>
      <c r="M3150" t="str">
        <f t="shared" si="213"/>
        <v>TRABAJADOR INDEPENDIENTE</v>
      </c>
      <c r="N3150">
        <f t="shared" si="214"/>
        <v>31</v>
      </c>
      <c r="O3150" s="19" t="str">
        <f t="shared" si="215"/>
        <v>300k–600k</v>
      </c>
      <c r="P3150" s="19" t="str">
        <f t="shared" si="216"/>
        <v>26-35</v>
      </c>
    </row>
    <row r="3151" spans="1:16" x14ac:dyDescent="0.25">
      <c r="A3151">
        <v>3150</v>
      </c>
      <c r="B3151" t="s">
        <v>15</v>
      </c>
      <c r="C3151">
        <v>456605</v>
      </c>
      <c r="D3151" t="s">
        <v>14</v>
      </c>
      <c r="E3151" t="s">
        <v>11</v>
      </c>
      <c r="F3151" t="s">
        <v>12</v>
      </c>
      <c r="G3151" t="s">
        <v>13</v>
      </c>
      <c r="H3151" t="s">
        <v>13</v>
      </c>
      <c r="I3151">
        <v>67</v>
      </c>
      <c r="J3151" t="str" cm="1">
        <f t="array" ref="J3151">_xlfn.IFS(ISBLANK(C3151),"FALTANTE",ABS((C3151-$W$5)/$X$5)&gt;1.96,"ATÍPICO",ABS((C3151-$W$5)/$X$5)&lt;=1.96,"NO ATÍPICO")</f>
        <v>NO ATÍPICO</v>
      </c>
      <c r="K3151" t="str" cm="1">
        <f t="array" ref="K3151">_xlfn.IFS(ISBLANK(I3151),"FALTANTE",ABS((I3151-$W$8)/$X$8)&gt;1.92,"ATÍPICO",ABS((I3151-$W$8)/$X$8)&lt;=1.92,"NO ATÍPICO")</f>
        <v>NO ATÍPICO</v>
      </c>
      <c r="L3151">
        <f t="shared" si="213"/>
        <v>456605</v>
      </c>
      <c r="M3151" t="str">
        <f t="shared" si="213"/>
        <v>PENSIONADOS EN SU PROPIO SISTEMA</v>
      </c>
      <c r="N3151">
        <f t="shared" si="214"/>
        <v>67</v>
      </c>
      <c r="O3151" s="19" t="str">
        <f t="shared" si="215"/>
        <v>300k–600k</v>
      </c>
      <c r="P3151" s="19" t="str">
        <f t="shared" si="216"/>
        <v>56+</v>
      </c>
    </row>
    <row r="3152" spans="1:16" x14ac:dyDescent="0.25">
      <c r="A3152">
        <v>3151</v>
      </c>
      <c r="B3152" t="s">
        <v>15</v>
      </c>
      <c r="C3152">
        <v>1542959.58</v>
      </c>
      <c r="D3152" t="s">
        <v>10</v>
      </c>
      <c r="E3152" t="s">
        <v>16</v>
      </c>
      <c r="F3152" t="s">
        <v>12</v>
      </c>
      <c r="G3152" t="s">
        <v>13</v>
      </c>
      <c r="H3152" t="s">
        <v>13</v>
      </c>
      <c r="I3152">
        <v>58</v>
      </c>
      <c r="J3152" t="str" cm="1">
        <f t="array" ref="J3152">_xlfn.IFS(ISBLANK(C3152),"FALTANTE",ABS((C3152-$W$5)/$X$5)&gt;1.96,"ATÍPICO",ABS((C3152-$W$5)/$X$5)&lt;=1.96,"NO ATÍPICO")</f>
        <v>NO ATÍPICO</v>
      </c>
      <c r="K3152" t="str" cm="1">
        <f t="array" ref="K3152">_xlfn.IFS(ISBLANK(I3152),"FALTANTE",ABS((I3152-$W$8)/$X$8)&gt;1.92,"ATÍPICO",ABS((I3152-$W$8)/$X$8)&lt;=1.92,"NO ATÍPICO")</f>
        <v>NO ATÍPICO</v>
      </c>
      <c r="L3152">
        <f t="shared" si="213"/>
        <v>1542959.58</v>
      </c>
      <c r="M3152" t="str">
        <f t="shared" si="213"/>
        <v>ASALARIADO</v>
      </c>
      <c r="N3152">
        <f t="shared" si="214"/>
        <v>58</v>
      </c>
      <c r="O3152" s="19" t="str">
        <f t="shared" si="215"/>
        <v>1200k+</v>
      </c>
      <c r="P3152" s="19" t="str">
        <f t="shared" si="216"/>
        <v>56+</v>
      </c>
    </row>
    <row r="3153" spans="1:16" x14ac:dyDescent="0.25">
      <c r="A3153">
        <v>3152</v>
      </c>
      <c r="B3153" t="s">
        <v>9</v>
      </c>
      <c r="C3153">
        <v>297046</v>
      </c>
      <c r="D3153" t="s">
        <v>18</v>
      </c>
      <c r="E3153" t="s">
        <v>16</v>
      </c>
      <c r="F3153" t="s">
        <v>12</v>
      </c>
      <c r="G3153" t="s">
        <v>13</v>
      </c>
      <c r="H3153" t="s">
        <v>13</v>
      </c>
      <c r="I3153">
        <v>52</v>
      </c>
      <c r="J3153" t="str" cm="1">
        <f t="array" ref="J3153">_xlfn.IFS(ISBLANK(C3153),"FALTANTE",ABS((C3153-$W$5)/$X$5)&gt;1.96,"ATÍPICO",ABS((C3153-$W$5)/$X$5)&lt;=1.96,"NO ATÍPICO")</f>
        <v>NO ATÍPICO</v>
      </c>
      <c r="K3153" t="str" cm="1">
        <f t="array" ref="K3153">_xlfn.IFS(ISBLANK(I3153),"FALTANTE",ABS((I3153-$W$8)/$X$8)&gt;1.92,"ATÍPICO",ABS((I3153-$W$8)/$X$8)&lt;=1.92,"NO ATÍPICO")</f>
        <v>NO ATÍPICO</v>
      </c>
      <c r="L3153">
        <f t="shared" si="213"/>
        <v>297046</v>
      </c>
      <c r="M3153" t="str">
        <f t="shared" si="213"/>
        <v>TRABAJADOR INDEPENDIENTE</v>
      </c>
      <c r="N3153">
        <f t="shared" si="214"/>
        <v>52</v>
      </c>
      <c r="O3153" s="19" t="str">
        <f t="shared" si="215"/>
        <v>0–300k</v>
      </c>
      <c r="P3153" s="19" t="str">
        <f t="shared" si="216"/>
        <v>46-55</v>
      </c>
    </row>
    <row r="3154" spans="1:16" x14ac:dyDescent="0.25">
      <c r="A3154">
        <v>3153</v>
      </c>
      <c r="B3154" t="s">
        <v>9</v>
      </c>
      <c r="C3154">
        <v>433254</v>
      </c>
      <c r="D3154" t="s">
        <v>18</v>
      </c>
      <c r="E3154" t="s">
        <v>16</v>
      </c>
      <c r="F3154" t="s">
        <v>12</v>
      </c>
      <c r="G3154" t="s">
        <v>13</v>
      </c>
      <c r="H3154" t="s">
        <v>12</v>
      </c>
      <c r="I3154">
        <v>59</v>
      </c>
      <c r="J3154" t="str" cm="1">
        <f t="array" ref="J3154">_xlfn.IFS(ISBLANK(C3154),"FALTANTE",ABS((C3154-$W$5)/$X$5)&gt;1.96,"ATÍPICO",ABS((C3154-$W$5)/$X$5)&lt;=1.96,"NO ATÍPICO")</f>
        <v>NO ATÍPICO</v>
      </c>
      <c r="K3154" t="str" cm="1">
        <f t="array" ref="K3154">_xlfn.IFS(ISBLANK(I3154),"FALTANTE",ABS((I3154-$W$8)/$X$8)&gt;1.92,"ATÍPICO",ABS((I3154-$W$8)/$X$8)&lt;=1.92,"NO ATÍPICO")</f>
        <v>NO ATÍPICO</v>
      </c>
      <c r="L3154">
        <f t="shared" si="213"/>
        <v>433254</v>
      </c>
      <c r="M3154" t="str">
        <f t="shared" si="213"/>
        <v>TRABAJADOR INDEPENDIENTE</v>
      </c>
      <c r="N3154">
        <f t="shared" si="214"/>
        <v>59</v>
      </c>
      <c r="O3154" s="19" t="str">
        <f t="shared" si="215"/>
        <v>300k–600k</v>
      </c>
      <c r="P3154" s="19" t="str">
        <f t="shared" si="216"/>
        <v>56+</v>
      </c>
    </row>
    <row r="3155" spans="1:16" x14ac:dyDescent="0.25">
      <c r="A3155">
        <v>3154</v>
      </c>
      <c r="B3155" t="s">
        <v>9</v>
      </c>
      <c r="C3155">
        <v>471223.1</v>
      </c>
      <c r="D3155" t="s">
        <v>10</v>
      </c>
      <c r="E3155" t="s">
        <v>16</v>
      </c>
      <c r="F3155" t="s">
        <v>12</v>
      </c>
      <c r="G3155" t="s">
        <v>13</v>
      </c>
      <c r="H3155" t="s">
        <v>13</v>
      </c>
      <c r="I3155">
        <v>23</v>
      </c>
      <c r="J3155" t="str" cm="1">
        <f t="array" ref="J3155">_xlfn.IFS(ISBLANK(C3155),"FALTANTE",ABS((C3155-$W$5)/$X$5)&gt;1.96,"ATÍPICO",ABS((C3155-$W$5)/$X$5)&lt;=1.96,"NO ATÍPICO")</f>
        <v>NO ATÍPICO</v>
      </c>
      <c r="K3155" t="str" cm="1">
        <f t="array" ref="K3155">_xlfn.IFS(ISBLANK(I3155),"FALTANTE",ABS((I3155-$W$8)/$X$8)&gt;1.92,"ATÍPICO",ABS((I3155-$W$8)/$X$8)&lt;=1.92,"NO ATÍPICO")</f>
        <v>NO ATÍPICO</v>
      </c>
      <c r="L3155">
        <f t="shared" si="213"/>
        <v>471223.1</v>
      </c>
      <c r="M3155" t="str">
        <f t="shared" si="213"/>
        <v>ASALARIADO</v>
      </c>
      <c r="N3155">
        <f t="shared" si="214"/>
        <v>23</v>
      </c>
      <c r="O3155" s="19" t="str">
        <f t="shared" si="215"/>
        <v>300k–600k</v>
      </c>
      <c r="P3155" s="19" t="str">
        <f t="shared" si="216"/>
        <v>18-25</v>
      </c>
    </row>
    <row r="3156" spans="1:16" x14ac:dyDescent="0.25">
      <c r="A3156">
        <v>3155</v>
      </c>
      <c r="B3156" t="s">
        <v>15</v>
      </c>
      <c r="C3156">
        <v>532710.84</v>
      </c>
      <c r="D3156" t="s">
        <v>10</v>
      </c>
      <c r="E3156" t="s">
        <v>11</v>
      </c>
      <c r="F3156" t="s">
        <v>12</v>
      </c>
      <c r="G3156" t="s">
        <v>13</v>
      </c>
      <c r="H3156" t="s">
        <v>13</v>
      </c>
      <c r="I3156">
        <v>44</v>
      </c>
      <c r="J3156" t="str" cm="1">
        <f t="array" ref="J3156">_xlfn.IFS(ISBLANK(C3156),"FALTANTE",ABS((C3156-$W$5)/$X$5)&gt;1.96,"ATÍPICO",ABS((C3156-$W$5)/$X$5)&lt;=1.96,"NO ATÍPICO")</f>
        <v>NO ATÍPICO</v>
      </c>
      <c r="K3156" t="str" cm="1">
        <f t="array" ref="K3156">_xlfn.IFS(ISBLANK(I3156),"FALTANTE",ABS((I3156-$W$8)/$X$8)&gt;1.92,"ATÍPICO",ABS((I3156-$W$8)/$X$8)&lt;=1.92,"NO ATÍPICO")</f>
        <v>NO ATÍPICO</v>
      </c>
      <c r="L3156">
        <f t="shared" si="213"/>
        <v>532710.84</v>
      </c>
      <c r="M3156" t="str">
        <f t="shared" si="213"/>
        <v>ASALARIADO</v>
      </c>
      <c r="N3156">
        <f t="shared" si="214"/>
        <v>44</v>
      </c>
      <c r="O3156" s="19" t="str">
        <f t="shared" si="215"/>
        <v>300k–600k</v>
      </c>
      <c r="P3156" s="19" t="str">
        <f t="shared" si="216"/>
        <v>36-45</v>
      </c>
    </row>
    <row r="3157" spans="1:16" x14ac:dyDescent="0.25">
      <c r="A3157">
        <v>3156</v>
      </c>
      <c r="B3157" t="s">
        <v>9</v>
      </c>
      <c r="C3157">
        <v>800000</v>
      </c>
      <c r="D3157" t="s">
        <v>10</v>
      </c>
      <c r="E3157" t="s">
        <v>16</v>
      </c>
      <c r="F3157" t="s">
        <v>12</v>
      </c>
      <c r="G3157" t="s">
        <v>13</v>
      </c>
      <c r="H3157" t="s">
        <v>13</v>
      </c>
      <c r="I3157">
        <v>35</v>
      </c>
      <c r="J3157" t="str" cm="1">
        <f t="array" ref="J3157">_xlfn.IFS(ISBLANK(C3157),"FALTANTE",ABS((C3157-$W$5)/$X$5)&gt;1.96,"ATÍPICO",ABS((C3157-$W$5)/$X$5)&lt;=1.96,"NO ATÍPICO")</f>
        <v>NO ATÍPICO</v>
      </c>
      <c r="K3157" t="str" cm="1">
        <f t="array" ref="K3157">_xlfn.IFS(ISBLANK(I3157),"FALTANTE",ABS((I3157-$W$8)/$X$8)&gt;1.92,"ATÍPICO",ABS((I3157-$W$8)/$X$8)&lt;=1.92,"NO ATÍPICO")</f>
        <v>NO ATÍPICO</v>
      </c>
      <c r="L3157">
        <f t="shared" si="213"/>
        <v>800000</v>
      </c>
      <c r="M3157" t="str">
        <f t="shared" si="213"/>
        <v>ASALARIADO</v>
      </c>
      <c r="N3157">
        <f t="shared" si="214"/>
        <v>35</v>
      </c>
      <c r="O3157" s="19" t="str">
        <f t="shared" si="215"/>
        <v>600k–900k</v>
      </c>
      <c r="P3157" s="19" t="str">
        <f t="shared" si="216"/>
        <v>26-35</v>
      </c>
    </row>
    <row r="3158" spans="1:16" x14ac:dyDescent="0.25">
      <c r="A3158">
        <v>3157</v>
      </c>
      <c r="B3158" t="s">
        <v>15</v>
      </c>
      <c r="C3158">
        <v>2467875.73</v>
      </c>
      <c r="D3158" t="s">
        <v>10</v>
      </c>
      <c r="E3158" t="s">
        <v>11</v>
      </c>
      <c r="F3158" t="s">
        <v>12</v>
      </c>
      <c r="G3158" t="s">
        <v>13</v>
      </c>
      <c r="H3158" t="s">
        <v>13</v>
      </c>
      <c r="I3158">
        <v>31</v>
      </c>
      <c r="J3158" t="str" cm="1">
        <f t="array" ref="J3158">_xlfn.IFS(ISBLANK(C3158),"FALTANTE",ABS((C3158-$W$5)/$X$5)&gt;1.96,"ATÍPICO",ABS((C3158-$W$5)/$X$5)&lt;=1.96,"NO ATÍPICO")</f>
        <v>ATÍPICO</v>
      </c>
      <c r="K3158" t="str" cm="1">
        <f t="array" ref="K3158">_xlfn.IFS(ISBLANK(I3158),"FALTANTE",ABS((I3158-$W$8)/$X$8)&gt;1.92,"ATÍPICO",ABS((I3158-$W$8)/$X$8)&lt;=1.92,"NO ATÍPICO")</f>
        <v>NO ATÍPICO</v>
      </c>
      <c r="L3158">
        <f t="shared" si="213"/>
        <v>2467875.73</v>
      </c>
      <c r="M3158" t="str">
        <f t="shared" si="213"/>
        <v>ASALARIADO</v>
      </c>
      <c r="N3158">
        <f t="shared" si="214"/>
        <v>31</v>
      </c>
      <c r="O3158" s="19" t="str">
        <f t="shared" si="215"/>
        <v>1200k+</v>
      </c>
      <c r="P3158" s="19" t="str">
        <f t="shared" si="216"/>
        <v>26-35</v>
      </c>
    </row>
    <row r="3159" spans="1:16" x14ac:dyDescent="0.25">
      <c r="A3159">
        <v>3158</v>
      </c>
      <c r="B3159" t="s">
        <v>15</v>
      </c>
      <c r="C3159">
        <v>384515.19</v>
      </c>
      <c r="D3159" t="s">
        <v>10</v>
      </c>
      <c r="E3159" t="s">
        <v>16</v>
      </c>
      <c r="F3159" t="s">
        <v>12</v>
      </c>
      <c r="G3159" t="s">
        <v>13</v>
      </c>
      <c r="H3159" t="s">
        <v>13</v>
      </c>
      <c r="I3159">
        <v>26</v>
      </c>
      <c r="J3159" t="str" cm="1">
        <f t="array" ref="J3159">_xlfn.IFS(ISBLANK(C3159),"FALTANTE",ABS((C3159-$W$5)/$X$5)&gt;1.96,"ATÍPICO",ABS((C3159-$W$5)/$X$5)&lt;=1.96,"NO ATÍPICO")</f>
        <v>NO ATÍPICO</v>
      </c>
      <c r="K3159" t="str" cm="1">
        <f t="array" ref="K3159">_xlfn.IFS(ISBLANK(I3159),"FALTANTE",ABS((I3159-$W$8)/$X$8)&gt;1.92,"ATÍPICO",ABS((I3159-$W$8)/$X$8)&lt;=1.92,"NO ATÍPICO")</f>
        <v>NO ATÍPICO</v>
      </c>
      <c r="L3159">
        <f t="shared" si="213"/>
        <v>384515.19</v>
      </c>
      <c r="M3159" t="str">
        <f t="shared" si="213"/>
        <v>ASALARIADO</v>
      </c>
      <c r="N3159">
        <f t="shared" si="214"/>
        <v>26</v>
      </c>
      <c r="O3159" s="19" t="str">
        <f t="shared" si="215"/>
        <v>300k–600k</v>
      </c>
      <c r="P3159" s="19" t="str">
        <f t="shared" si="216"/>
        <v>26-35</v>
      </c>
    </row>
    <row r="3160" spans="1:16" x14ac:dyDescent="0.25">
      <c r="A3160">
        <v>3159</v>
      </c>
      <c r="B3160" t="s">
        <v>9</v>
      </c>
      <c r="C3160">
        <v>784810.69</v>
      </c>
      <c r="D3160" t="s">
        <v>10</v>
      </c>
      <c r="E3160" t="s">
        <v>11</v>
      </c>
      <c r="F3160" t="s">
        <v>12</v>
      </c>
      <c r="G3160" t="s">
        <v>13</v>
      </c>
      <c r="H3160" t="s">
        <v>13</v>
      </c>
      <c r="I3160">
        <v>35</v>
      </c>
      <c r="J3160" t="str" cm="1">
        <f t="array" ref="J3160">_xlfn.IFS(ISBLANK(C3160),"FALTANTE",ABS((C3160-$W$5)/$X$5)&gt;1.96,"ATÍPICO",ABS((C3160-$W$5)/$X$5)&lt;=1.96,"NO ATÍPICO")</f>
        <v>NO ATÍPICO</v>
      </c>
      <c r="K3160" t="str" cm="1">
        <f t="array" ref="K3160">_xlfn.IFS(ISBLANK(I3160),"FALTANTE",ABS((I3160-$W$8)/$X$8)&gt;1.92,"ATÍPICO",ABS((I3160-$W$8)/$X$8)&lt;=1.92,"NO ATÍPICO")</f>
        <v>NO ATÍPICO</v>
      </c>
      <c r="L3160">
        <f t="shared" si="213"/>
        <v>784810.69</v>
      </c>
      <c r="M3160" t="str">
        <f t="shared" si="213"/>
        <v>ASALARIADO</v>
      </c>
      <c r="N3160">
        <f t="shared" si="214"/>
        <v>35</v>
      </c>
      <c r="O3160" s="19" t="str">
        <f t="shared" si="215"/>
        <v>600k–900k</v>
      </c>
      <c r="P3160" s="19" t="str">
        <f t="shared" si="216"/>
        <v>26-35</v>
      </c>
    </row>
    <row r="3161" spans="1:16" x14ac:dyDescent="0.25">
      <c r="A3161">
        <v>3160</v>
      </c>
      <c r="B3161" t="s">
        <v>15</v>
      </c>
      <c r="C3161">
        <v>532793</v>
      </c>
      <c r="D3161" t="s">
        <v>10</v>
      </c>
      <c r="E3161" t="s">
        <v>16</v>
      </c>
      <c r="F3161" t="s">
        <v>12</v>
      </c>
      <c r="G3161" t="s">
        <v>13</v>
      </c>
      <c r="H3161" t="s">
        <v>13</v>
      </c>
      <c r="I3161">
        <v>47</v>
      </c>
      <c r="J3161" t="str" cm="1">
        <f t="array" ref="J3161">_xlfn.IFS(ISBLANK(C3161),"FALTANTE",ABS((C3161-$W$5)/$X$5)&gt;1.96,"ATÍPICO",ABS((C3161-$W$5)/$X$5)&lt;=1.96,"NO ATÍPICO")</f>
        <v>NO ATÍPICO</v>
      </c>
      <c r="K3161" t="str" cm="1">
        <f t="array" ref="K3161">_xlfn.IFS(ISBLANK(I3161),"FALTANTE",ABS((I3161-$W$8)/$X$8)&gt;1.92,"ATÍPICO",ABS((I3161-$W$8)/$X$8)&lt;=1.92,"NO ATÍPICO")</f>
        <v>NO ATÍPICO</v>
      </c>
      <c r="L3161">
        <f t="shared" si="213"/>
        <v>532793</v>
      </c>
      <c r="M3161" t="str">
        <f t="shared" si="213"/>
        <v>ASALARIADO</v>
      </c>
      <c r="N3161">
        <f t="shared" si="214"/>
        <v>47</v>
      </c>
      <c r="O3161" s="19" t="str">
        <f t="shared" si="215"/>
        <v>300k–600k</v>
      </c>
      <c r="P3161" s="19" t="str">
        <f t="shared" si="216"/>
        <v>46-55</v>
      </c>
    </row>
    <row r="3162" spans="1:16" x14ac:dyDescent="0.25">
      <c r="A3162">
        <v>3161</v>
      </c>
      <c r="B3162" t="s">
        <v>9</v>
      </c>
      <c r="C3162">
        <v>388390</v>
      </c>
      <c r="D3162" t="s">
        <v>10</v>
      </c>
      <c r="E3162" t="s">
        <v>16</v>
      </c>
      <c r="F3162" t="s">
        <v>12</v>
      </c>
      <c r="G3162" t="s">
        <v>13</v>
      </c>
      <c r="H3162" t="s">
        <v>13</v>
      </c>
      <c r="I3162">
        <v>55</v>
      </c>
      <c r="J3162" t="str" cm="1">
        <f t="array" ref="J3162">_xlfn.IFS(ISBLANK(C3162),"FALTANTE",ABS((C3162-$W$5)/$X$5)&gt;1.96,"ATÍPICO",ABS((C3162-$W$5)/$X$5)&lt;=1.96,"NO ATÍPICO")</f>
        <v>NO ATÍPICO</v>
      </c>
      <c r="K3162" t="str" cm="1">
        <f t="array" ref="K3162">_xlfn.IFS(ISBLANK(I3162),"FALTANTE",ABS((I3162-$W$8)/$X$8)&gt;1.92,"ATÍPICO",ABS((I3162-$W$8)/$X$8)&lt;=1.92,"NO ATÍPICO")</f>
        <v>NO ATÍPICO</v>
      </c>
      <c r="L3162">
        <f t="shared" si="213"/>
        <v>388390</v>
      </c>
      <c r="M3162" t="str">
        <f t="shared" si="213"/>
        <v>ASALARIADO</v>
      </c>
      <c r="N3162">
        <f t="shared" si="214"/>
        <v>55</v>
      </c>
      <c r="O3162" s="19" t="str">
        <f t="shared" si="215"/>
        <v>300k–600k</v>
      </c>
      <c r="P3162" s="19" t="str">
        <f t="shared" si="216"/>
        <v>46-55</v>
      </c>
    </row>
    <row r="3163" spans="1:16" x14ac:dyDescent="0.25">
      <c r="A3163">
        <v>3162</v>
      </c>
      <c r="B3163" t="s">
        <v>15</v>
      </c>
      <c r="C3163">
        <v>410367</v>
      </c>
      <c r="D3163" t="s">
        <v>10</v>
      </c>
      <c r="E3163" t="s">
        <v>16</v>
      </c>
      <c r="F3163" t="s">
        <v>12</v>
      </c>
      <c r="G3163" t="s">
        <v>13</v>
      </c>
      <c r="H3163" t="s">
        <v>13</v>
      </c>
      <c r="I3163">
        <v>38</v>
      </c>
      <c r="J3163" t="str" cm="1">
        <f t="array" ref="J3163">_xlfn.IFS(ISBLANK(C3163),"FALTANTE",ABS((C3163-$W$5)/$X$5)&gt;1.96,"ATÍPICO",ABS((C3163-$W$5)/$X$5)&lt;=1.96,"NO ATÍPICO")</f>
        <v>NO ATÍPICO</v>
      </c>
      <c r="K3163" t="str" cm="1">
        <f t="array" ref="K3163">_xlfn.IFS(ISBLANK(I3163),"FALTANTE",ABS((I3163-$W$8)/$X$8)&gt;1.92,"ATÍPICO",ABS((I3163-$W$8)/$X$8)&lt;=1.92,"NO ATÍPICO")</f>
        <v>NO ATÍPICO</v>
      </c>
      <c r="L3163">
        <f t="shared" si="213"/>
        <v>410367</v>
      </c>
      <c r="M3163" t="str">
        <f t="shared" si="213"/>
        <v>ASALARIADO</v>
      </c>
      <c r="N3163">
        <f t="shared" si="214"/>
        <v>38</v>
      </c>
      <c r="O3163" s="19" t="str">
        <f t="shared" si="215"/>
        <v>300k–600k</v>
      </c>
      <c r="P3163" s="19" t="str">
        <f t="shared" si="216"/>
        <v>36-45</v>
      </c>
    </row>
    <row r="3164" spans="1:16" x14ac:dyDescent="0.25">
      <c r="A3164">
        <v>3163</v>
      </c>
      <c r="B3164" t="s">
        <v>9</v>
      </c>
      <c r="C3164">
        <v>1583534</v>
      </c>
      <c r="D3164" t="s">
        <v>10</v>
      </c>
      <c r="E3164" t="s">
        <v>11</v>
      </c>
      <c r="F3164" t="s">
        <v>12</v>
      </c>
      <c r="G3164" t="s">
        <v>13</v>
      </c>
      <c r="H3164" t="s">
        <v>13</v>
      </c>
      <c r="I3164">
        <v>59</v>
      </c>
      <c r="J3164" t="str" cm="1">
        <f t="array" ref="J3164">_xlfn.IFS(ISBLANK(C3164),"FALTANTE",ABS((C3164-$W$5)/$X$5)&gt;1.96,"ATÍPICO",ABS((C3164-$W$5)/$X$5)&lt;=1.96,"NO ATÍPICO")</f>
        <v>NO ATÍPICO</v>
      </c>
      <c r="K3164" t="str" cm="1">
        <f t="array" ref="K3164">_xlfn.IFS(ISBLANK(I3164),"FALTANTE",ABS((I3164-$W$8)/$X$8)&gt;1.92,"ATÍPICO",ABS((I3164-$W$8)/$X$8)&lt;=1.92,"NO ATÍPICO")</f>
        <v>NO ATÍPICO</v>
      </c>
      <c r="L3164">
        <f t="shared" si="213"/>
        <v>1583534</v>
      </c>
      <c r="M3164" t="str">
        <f t="shared" si="213"/>
        <v>ASALARIADO</v>
      </c>
      <c r="N3164">
        <f t="shared" si="214"/>
        <v>59</v>
      </c>
      <c r="O3164" s="19" t="str">
        <f t="shared" si="215"/>
        <v>1200k+</v>
      </c>
      <c r="P3164" s="19" t="str">
        <f t="shared" si="216"/>
        <v>56+</v>
      </c>
    </row>
    <row r="3165" spans="1:16" x14ac:dyDescent="0.25">
      <c r="A3165">
        <v>3164</v>
      </c>
      <c r="B3165" t="s">
        <v>9</v>
      </c>
      <c r="C3165">
        <v>356455</v>
      </c>
      <c r="D3165" t="s">
        <v>18</v>
      </c>
      <c r="E3165" t="s">
        <v>16</v>
      </c>
      <c r="F3165" t="s">
        <v>12</v>
      </c>
      <c r="G3165" t="s">
        <v>13</v>
      </c>
      <c r="H3165" t="s">
        <v>12</v>
      </c>
      <c r="I3165">
        <v>36</v>
      </c>
      <c r="J3165" t="str" cm="1">
        <f t="array" ref="J3165">_xlfn.IFS(ISBLANK(C3165),"FALTANTE",ABS((C3165-$W$5)/$X$5)&gt;1.96,"ATÍPICO",ABS((C3165-$W$5)/$X$5)&lt;=1.96,"NO ATÍPICO")</f>
        <v>NO ATÍPICO</v>
      </c>
      <c r="K3165" t="str" cm="1">
        <f t="array" ref="K3165">_xlfn.IFS(ISBLANK(I3165),"FALTANTE",ABS((I3165-$W$8)/$X$8)&gt;1.92,"ATÍPICO",ABS((I3165-$W$8)/$X$8)&lt;=1.92,"NO ATÍPICO")</f>
        <v>NO ATÍPICO</v>
      </c>
      <c r="L3165">
        <f t="shared" si="213"/>
        <v>356455</v>
      </c>
      <c r="M3165" t="str">
        <f t="shared" si="213"/>
        <v>TRABAJADOR INDEPENDIENTE</v>
      </c>
      <c r="N3165">
        <f t="shared" si="214"/>
        <v>36</v>
      </c>
      <c r="O3165" s="19" t="str">
        <f t="shared" si="215"/>
        <v>300k–600k</v>
      </c>
      <c r="P3165" s="19" t="str">
        <f t="shared" si="216"/>
        <v>36-45</v>
      </c>
    </row>
    <row r="3166" spans="1:16" x14ac:dyDescent="0.25">
      <c r="A3166">
        <v>3165</v>
      </c>
      <c r="B3166" t="s">
        <v>15</v>
      </c>
      <c r="C3166">
        <v>125727.03999999999</v>
      </c>
      <c r="D3166" t="s">
        <v>14</v>
      </c>
      <c r="E3166" t="s">
        <v>11</v>
      </c>
      <c r="F3166" t="s">
        <v>12</v>
      </c>
      <c r="G3166" t="s">
        <v>13</v>
      </c>
      <c r="H3166" t="s">
        <v>13</v>
      </c>
      <c r="I3166">
        <v>73</v>
      </c>
      <c r="J3166" t="str" cm="1">
        <f t="array" ref="J3166">_xlfn.IFS(ISBLANK(C3166),"FALTANTE",ABS((C3166-$W$5)/$X$5)&gt;1.96,"ATÍPICO",ABS((C3166-$W$5)/$X$5)&lt;=1.96,"NO ATÍPICO")</f>
        <v>NO ATÍPICO</v>
      </c>
      <c r="K3166" t="str" cm="1">
        <f t="array" ref="K3166">_xlfn.IFS(ISBLANK(I3166),"FALTANTE",ABS((I3166-$W$8)/$X$8)&gt;1.92,"ATÍPICO",ABS((I3166-$W$8)/$X$8)&lt;=1.92,"NO ATÍPICO")</f>
        <v>ATÍPICO</v>
      </c>
      <c r="L3166">
        <f t="shared" si="213"/>
        <v>125727.03999999999</v>
      </c>
      <c r="M3166" t="str">
        <f t="shared" si="213"/>
        <v>PENSIONADOS EN SU PROPIO SISTEMA</v>
      </c>
      <c r="N3166">
        <f t="shared" si="214"/>
        <v>73</v>
      </c>
      <c r="O3166" s="19" t="str">
        <f t="shared" si="215"/>
        <v>0–300k</v>
      </c>
      <c r="P3166" s="19" t="str">
        <f t="shared" si="216"/>
        <v>56+</v>
      </c>
    </row>
    <row r="3167" spans="1:16" x14ac:dyDescent="0.25">
      <c r="A3167">
        <v>3166</v>
      </c>
      <c r="B3167" t="s">
        <v>9</v>
      </c>
      <c r="C3167">
        <v>268811.75</v>
      </c>
      <c r="D3167" t="s">
        <v>10</v>
      </c>
      <c r="E3167" t="s">
        <v>11</v>
      </c>
      <c r="F3167" t="s">
        <v>12</v>
      </c>
      <c r="G3167" t="s">
        <v>13</v>
      </c>
      <c r="H3167" t="s">
        <v>13</v>
      </c>
      <c r="I3167">
        <v>33</v>
      </c>
      <c r="J3167" t="str" cm="1">
        <f t="array" ref="J3167">_xlfn.IFS(ISBLANK(C3167),"FALTANTE",ABS((C3167-$W$5)/$X$5)&gt;1.96,"ATÍPICO",ABS((C3167-$W$5)/$X$5)&lt;=1.96,"NO ATÍPICO")</f>
        <v>NO ATÍPICO</v>
      </c>
      <c r="K3167" t="str" cm="1">
        <f t="array" ref="K3167">_xlfn.IFS(ISBLANK(I3167),"FALTANTE",ABS((I3167-$W$8)/$X$8)&gt;1.92,"ATÍPICO",ABS((I3167-$W$8)/$X$8)&lt;=1.92,"NO ATÍPICO")</f>
        <v>NO ATÍPICO</v>
      </c>
      <c r="L3167">
        <f t="shared" si="213"/>
        <v>268811.75</v>
      </c>
      <c r="M3167" t="str">
        <f t="shared" si="213"/>
        <v>ASALARIADO</v>
      </c>
      <c r="N3167">
        <f t="shared" si="214"/>
        <v>33</v>
      </c>
      <c r="O3167" s="19" t="str">
        <f t="shared" si="215"/>
        <v>0–300k</v>
      </c>
      <c r="P3167" s="19" t="str">
        <f t="shared" si="216"/>
        <v>26-35</v>
      </c>
    </row>
    <row r="3168" spans="1:16" x14ac:dyDescent="0.25">
      <c r="A3168">
        <v>3167</v>
      </c>
      <c r="B3168" t="s">
        <v>9</v>
      </c>
      <c r="C3168">
        <v>406824</v>
      </c>
      <c r="D3168" t="s">
        <v>10</v>
      </c>
      <c r="E3168" t="s">
        <v>16</v>
      </c>
      <c r="F3168" t="s">
        <v>12</v>
      </c>
      <c r="G3168" t="s">
        <v>13</v>
      </c>
      <c r="H3168" t="s">
        <v>13</v>
      </c>
      <c r="I3168">
        <v>25</v>
      </c>
      <c r="J3168" t="str" cm="1">
        <f t="array" ref="J3168">_xlfn.IFS(ISBLANK(C3168),"FALTANTE",ABS((C3168-$W$5)/$X$5)&gt;1.96,"ATÍPICO",ABS((C3168-$W$5)/$X$5)&lt;=1.96,"NO ATÍPICO")</f>
        <v>NO ATÍPICO</v>
      </c>
      <c r="K3168" t="str" cm="1">
        <f t="array" ref="K3168">_xlfn.IFS(ISBLANK(I3168),"FALTANTE",ABS((I3168-$W$8)/$X$8)&gt;1.92,"ATÍPICO",ABS((I3168-$W$8)/$X$8)&lt;=1.92,"NO ATÍPICO")</f>
        <v>NO ATÍPICO</v>
      </c>
      <c r="L3168">
        <f t="shared" si="213"/>
        <v>406824</v>
      </c>
      <c r="M3168" t="str">
        <f t="shared" si="213"/>
        <v>ASALARIADO</v>
      </c>
      <c r="N3168">
        <f t="shared" si="214"/>
        <v>25</v>
      </c>
      <c r="O3168" s="19" t="str">
        <f t="shared" si="215"/>
        <v>300k–600k</v>
      </c>
      <c r="P3168" s="19" t="str">
        <f t="shared" si="216"/>
        <v>18-25</v>
      </c>
    </row>
    <row r="3169" spans="1:16" x14ac:dyDescent="0.25">
      <c r="A3169">
        <v>3168</v>
      </c>
      <c r="B3169" t="s">
        <v>9</v>
      </c>
      <c r="C3169">
        <v>1872119</v>
      </c>
      <c r="D3169" t="s">
        <v>10</v>
      </c>
      <c r="E3169" t="s">
        <v>11</v>
      </c>
      <c r="F3169" t="s">
        <v>12</v>
      </c>
      <c r="G3169" t="s">
        <v>13</v>
      </c>
      <c r="H3169" t="s">
        <v>13</v>
      </c>
      <c r="I3169">
        <v>37</v>
      </c>
      <c r="J3169" t="str" cm="1">
        <f t="array" ref="J3169">_xlfn.IFS(ISBLANK(C3169),"FALTANTE",ABS((C3169-$W$5)/$X$5)&gt;1.96,"ATÍPICO",ABS((C3169-$W$5)/$X$5)&lt;=1.96,"NO ATÍPICO")</f>
        <v>NO ATÍPICO</v>
      </c>
      <c r="K3169" t="str" cm="1">
        <f t="array" ref="K3169">_xlfn.IFS(ISBLANK(I3169),"FALTANTE",ABS((I3169-$W$8)/$X$8)&gt;1.92,"ATÍPICO",ABS((I3169-$W$8)/$X$8)&lt;=1.92,"NO ATÍPICO")</f>
        <v>NO ATÍPICO</v>
      </c>
      <c r="L3169">
        <f t="shared" si="213"/>
        <v>1872119</v>
      </c>
      <c r="M3169" t="str">
        <f t="shared" si="213"/>
        <v>ASALARIADO</v>
      </c>
      <c r="N3169">
        <f t="shared" si="214"/>
        <v>37</v>
      </c>
      <c r="O3169" s="19" t="str">
        <f t="shared" si="215"/>
        <v>1200k+</v>
      </c>
      <c r="P3169" s="19" t="str">
        <f t="shared" si="216"/>
        <v>36-45</v>
      </c>
    </row>
    <row r="3170" spans="1:16" x14ac:dyDescent="0.25">
      <c r="A3170">
        <v>3169</v>
      </c>
      <c r="B3170" t="s">
        <v>9</v>
      </c>
      <c r="C3170">
        <v>1562879</v>
      </c>
      <c r="D3170" t="s">
        <v>10</v>
      </c>
      <c r="E3170" t="s">
        <v>11</v>
      </c>
      <c r="F3170" t="s">
        <v>12</v>
      </c>
      <c r="G3170" t="s">
        <v>13</v>
      </c>
      <c r="H3170" t="s">
        <v>12</v>
      </c>
      <c r="I3170">
        <v>42</v>
      </c>
      <c r="J3170" t="str" cm="1">
        <f t="array" ref="J3170">_xlfn.IFS(ISBLANK(C3170),"FALTANTE",ABS((C3170-$W$5)/$X$5)&gt;1.96,"ATÍPICO",ABS((C3170-$W$5)/$X$5)&lt;=1.96,"NO ATÍPICO")</f>
        <v>NO ATÍPICO</v>
      </c>
      <c r="K3170" t="str" cm="1">
        <f t="array" ref="K3170">_xlfn.IFS(ISBLANK(I3170),"FALTANTE",ABS((I3170-$W$8)/$X$8)&gt;1.92,"ATÍPICO",ABS((I3170-$W$8)/$X$8)&lt;=1.92,"NO ATÍPICO")</f>
        <v>NO ATÍPICO</v>
      </c>
      <c r="L3170">
        <f t="shared" si="213"/>
        <v>1562879</v>
      </c>
      <c r="M3170" t="str">
        <f t="shared" si="213"/>
        <v>ASALARIADO</v>
      </c>
      <c r="N3170">
        <f t="shared" si="214"/>
        <v>42</v>
      </c>
      <c r="O3170" s="19" t="str">
        <f t="shared" si="215"/>
        <v>1200k+</v>
      </c>
      <c r="P3170" s="19" t="str">
        <f t="shared" si="216"/>
        <v>36-45</v>
      </c>
    </row>
    <row r="3171" spans="1:16" x14ac:dyDescent="0.25">
      <c r="A3171">
        <v>3170</v>
      </c>
      <c r="B3171" t="s">
        <v>15</v>
      </c>
      <c r="C3171">
        <v>501500</v>
      </c>
      <c r="D3171" t="s">
        <v>10</v>
      </c>
      <c r="E3171" t="s">
        <v>16</v>
      </c>
      <c r="F3171" t="s">
        <v>12</v>
      </c>
      <c r="G3171" t="s">
        <v>13</v>
      </c>
      <c r="H3171" t="s">
        <v>12</v>
      </c>
      <c r="I3171">
        <v>55</v>
      </c>
      <c r="J3171" t="str" cm="1">
        <f t="array" ref="J3171">_xlfn.IFS(ISBLANK(C3171),"FALTANTE",ABS((C3171-$W$5)/$X$5)&gt;1.96,"ATÍPICO",ABS((C3171-$W$5)/$X$5)&lt;=1.96,"NO ATÍPICO")</f>
        <v>NO ATÍPICO</v>
      </c>
      <c r="K3171" t="str" cm="1">
        <f t="array" ref="K3171">_xlfn.IFS(ISBLANK(I3171),"FALTANTE",ABS((I3171-$W$8)/$X$8)&gt;1.92,"ATÍPICO",ABS((I3171-$W$8)/$X$8)&lt;=1.92,"NO ATÍPICO")</f>
        <v>NO ATÍPICO</v>
      </c>
      <c r="L3171">
        <f t="shared" si="213"/>
        <v>501500</v>
      </c>
      <c r="M3171" t="str">
        <f t="shared" si="213"/>
        <v>ASALARIADO</v>
      </c>
      <c r="N3171">
        <f t="shared" si="214"/>
        <v>55</v>
      </c>
      <c r="O3171" s="19" t="str">
        <f t="shared" si="215"/>
        <v>300k–600k</v>
      </c>
      <c r="P3171" s="19" t="str">
        <f t="shared" si="216"/>
        <v>46-55</v>
      </c>
    </row>
    <row r="3172" spans="1:16" x14ac:dyDescent="0.25">
      <c r="A3172">
        <v>3171</v>
      </c>
      <c r="B3172" t="s">
        <v>15</v>
      </c>
      <c r="C3172">
        <v>458371</v>
      </c>
      <c r="D3172" t="s">
        <v>10</v>
      </c>
      <c r="E3172" t="s">
        <v>11</v>
      </c>
      <c r="F3172" t="s">
        <v>12</v>
      </c>
      <c r="G3172" t="s">
        <v>13</v>
      </c>
      <c r="H3172" t="s">
        <v>12</v>
      </c>
      <c r="I3172">
        <v>43</v>
      </c>
      <c r="J3172" t="str" cm="1">
        <f t="array" ref="J3172">_xlfn.IFS(ISBLANK(C3172),"FALTANTE",ABS((C3172-$W$5)/$X$5)&gt;1.96,"ATÍPICO",ABS((C3172-$W$5)/$X$5)&lt;=1.96,"NO ATÍPICO")</f>
        <v>NO ATÍPICO</v>
      </c>
      <c r="K3172" t="str" cm="1">
        <f t="array" ref="K3172">_xlfn.IFS(ISBLANK(I3172),"FALTANTE",ABS((I3172-$W$8)/$X$8)&gt;1.92,"ATÍPICO",ABS((I3172-$W$8)/$X$8)&lt;=1.92,"NO ATÍPICO")</f>
        <v>NO ATÍPICO</v>
      </c>
      <c r="L3172">
        <f t="shared" si="213"/>
        <v>458371</v>
      </c>
      <c r="M3172" t="str">
        <f t="shared" si="213"/>
        <v>ASALARIADO</v>
      </c>
      <c r="N3172">
        <f t="shared" si="214"/>
        <v>43</v>
      </c>
      <c r="O3172" s="19" t="str">
        <f t="shared" si="215"/>
        <v>300k–600k</v>
      </c>
      <c r="P3172" s="19" t="str">
        <f t="shared" si="216"/>
        <v>36-45</v>
      </c>
    </row>
    <row r="3173" spans="1:16" x14ac:dyDescent="0.25">
      <c r="A3173">
        <v>3172</v>
      </c>
      <c r="B3173" t="s">
        <v>15</v>
      </c>
      <c r="C3173">
        <v>466740</v>
      </c>
      <c r="D3173" t="s">
        <v>10</v>
      </c>
      <c r="E3173" t="s">
        <v>11</v>
      </c>
      <c r="F3173" t="s">
        <v>12</v>
      </c>
      <c r="G3173" t="s">
        <v>13</v>
      </c>
      <c r="H3173" t="s">
        <v>12</v>
      </c>
      <c r="I3173">
        <v>30</v>
      </c>
      <c r="J3173" t="str" cm="1">
        <f t="array" ref="J3173">_xlfn.IFS(ISBLANK(C3173),"FALTANTE",ABS((C3173-$W$5)/$X$5)&gt;1.96,"ATÍPICO",ABS((C3173-$W$5)/$X$5)&lt;=1.96,"NO ATÍPICO")</f>
        <v>NO ATÍPICO</v>
      </c>
      <c r="K3173" t="str" cm="1">
        <f t="array" ref="K3173">_xlfn.IFS(ISBLANK(I3173),"FALTANTE",ABS((I3173-$W$8)/$X$8)&gt;1.92,"ATÍPICO",ABS((I3173-$W$8)/$X$8)&lt;=1.92,"NO ATÍPICO")</f>
        <v>NO ATÍPICO</v>
      </c>
      <c r="L3173">
        <f t="shared" si="213"/>
        <v>466740</v>
      </c>
      <c r="M3173" t="str">
        <f t="shared" si="213"/>
        <v>ASALARIADO</v>
      </c>
      <c r="N3173">
        <f t="shared" si="214"/>
        <v>30</v>
      </c>
      <c r="O3173" s="19" t="str">
        <f t="shared" si="215"/>
        <v>300k–600k</v>
      </c>
      <c r="P3173" s="19" t="str">
        <f t="shared" si="216"/>
        <v>26-35</v>
      </c>
    </row>
    <row r="3174" spans="1:16" x14ac:dyDescent="0.25">
      <c r="A3174">
        <v>3173</v>
      </c>
      <c r="B3174" t="s">
        <v>9</v>
      </c>
      <c r="C3174">
        <v>416721.88</v>
      </c>
      <c r="D3174" t="s">
        <v>10</v>
      </c>
      <c r="E3174" t="s">
        <v>16</v>
      </c>
      <c r="F3174" t="s">
        <v>12</v>
      </c>
      <c r="G3174" t="s">
        <v>13</v>
      </c>
      <c r="H3174" t="s">
        <v>13</v>
      </c>
      <c r="I3174">
        <v>29</v>
      </c>
      <c r="J3174" t="str" cm="1">
        <f t="array" ref="J3174">_xlfn.IFS(ISBLANK(C3174),"FALTANTE",ABS((C3174-$W$5)/$X$5)&gt;1.96,"ATÍPICO",ABS((C3174-$W$5)/$X$5)&lt;=1.96,"NO ATÍPICO")</f>
        <v>NO ATÍPICO</v>
      </c>
      <c r="K3174" t="str" cm="1">
        <f t="array" ref="K3174">_xlfn.IFS(ISBLANK(I3174),"FALTANTE",ABS((I3174-$W$8)/$X$8)&gt;1.92,"ATÍPICO",ABS((I3174-$W$8)/$X$8)&lt;=1.92,"NO ATÍPICO")</f>
        <v>NO ATÍPICO</v>
      </c>
      <c r="L3174">
        <f t="shared" si="213"/>
        <v>416721.88</v>
      </c>
      <c r="M3174" t="str">
        <f t="shared" si="213"/>
        <v>ASALARIADO</v>
      </c>
      <c r="N3174">
        <f t="shared" si="214"/>
        <v>29</v>
      </c>
      <c r="O3174" s="19" t="str">
        <f t="shared" si="215"/>
        <v>300k–600k</v>
      </c>
      <c r="P3174" s="19" t="str">
        <f t="shared" si="216"/>
        <v>26-35</v>
      </c>
    </row>
    <row r="3175" spans="1:16" x14ac:dyDescent="0.25">
      <c r="A3175">
        <v>3174</v>
      </c>
      <c r="B3175" t="s">
        <v>9</v>
      </c>
      <c r="C3175">
        <v>518642.73</v>
      </c>
      <c r="D3175" t="s">
        <v>10</v>
      </c>
      <c r="E3175" t="s">
        <v>16</v>
      </c>
      <c r="F3175" t="s">
        <v>12</v>
      </c>
      <c r="G3175" t="s">
        <v>12</v>
      </c>
      <c r="H3175" t="s">
        <v>13</v>
      </c>
      <c r="I3175">
        <v>40</v>
      </c>
      <c r="J3175" t="str" cm="1">
        <f t="array" ref="J3175">_xlfn.IFS(ISBLANK(C3175),"FALTANTE",ABS((C3175-$W$5)/$X$5)&gt;1.96,"ATÍPICO",ABS((C3175-$W$5)/$X$5)&lt;=1.96,"NO ATÍPICO")</f>
        <v>NO ATÍPICO</v>
      </c>
      <c r="K3175" t="str" cm="1">
        <f t="array" ref="K3175">_xlfn.IFS(ISBLANK(I3175),"FALTANTE",ABS((I3175-$W$8)/$X$8)&gt;1.92,"ATÍPICO",ABS((I3175-$W$8)/$X$8)&lt;=1.92,"NO ATÍPICO")</f>
        <v>NO ATÍPICO</v>
      </c>
      <c r="L3175">
        <f t="shared" si="213"/>
        <v>518642.73</v>
      </c>
      <c r="M3175" t="str">
        <f t="shared" si="213"/>
        <v>ASALARIADO</v>
      </c>
      <c r="N3175">
        <f t="shared" si="214"/>
        <v>40</v>
      </c>
      <c r="O3175" s="19" t="str">
        <f t="shared" si="215"/>
        <v>300k–600k</v>
      </c>
      <c r="P3175" s="19" t="str">
        <f t="shared" si="216"/>
        <v>36-45</v>
      </c>
    </row>
    <row r="3176" spans="1:16" x14ac:dyDescent="0.25">
      <c r="A3176">
        <v>3175</v>
      </c>
      <c r="B3176" t="s">
        <v>9</v>
      </c>
      <c r="C3176">
        <v>297046</v>
      </c>
      <c r="D3176" t="s">
        <v>18</v>
      </c>
      <c r="E3176" t="s">
        <v>16</v>
      </c>
      <c r="F3176" t="s">
        <v>12</v>
      </c>
      <c r="G3176" t="s">
        <v>12</v>
      </c>
      <c r="H3176" t="s">
        <v>12</v>
      </c>
      <c r="I3176">
        <v>36</v>
      </c>
      <c r="J3176" t="str" cm="1">
        <f t="array" ref="J3176">_xlfn.IFS(ISBLANK(C3176),"FALTANTE",ABS((C3176-$W$5)/$X$5)&gt;1.96,"ATÍPICO",ABS((C3176-$W$5)/$X$5)&lt;=1.96,"NO ATÍPICO")</f>
        <v>NO ATÍPICO</v>
      </c>
      <c r="K3176" t="str" cm="1">
        <f t="array" ref="K3176">_xlfn.IFS(ISBLANK(I3176),"FALTANTE",ABS((I3176-$W$8)/$X$8)&gt;1.92,"ATÍPICO",ABS((I3176-$W$8)/$X$8)&lt;=1.92,"NO ATÍPICO")</f>
        <v>NO ATÍPICO</v>
      </c>
      <c r="L3176">
        <f t="shared" si="213"/>
        <v>297046</v>
      </c>
      <c r="M3176" t="str">
        <f t="shared" si="213"/>
        <v>TRABAJADOR INDEPENDIENTE</v>
      </c>
      <c r="N3176">
        <f t="shared" si="214"/>
        <v>36</v>
      </c>
      <c r="O3176" s="19" t="str">
        <f t="shared" si="215"/>
        <v>0–300k</v>
      </c>
      <c r="P3176" s="19" t="str">
        <f t="shared" si="216"/>
        <v>36-45</v>
      </c>
    </row>
    <row r="3177" spans="1:16" x14ac:dyDescent="0.25">
      <c r="A3177">
        <v>3176</v>
      </c>
      <c r="B3177" t="s">
        <v>9</v>
      </c>
      <c r="C3177">
        <v>326749</v>
      </c>
      <c r="D3177" t="s">
        <v>18</v>
      </c>
      <c r="E3177" t="s">
        <v>16</v>
      </c>
      <c r="F3177" t="s">
        <v>12</v>
      </c>
      <c r="G3177" t="s">
        <v>13</v>
      </c>
      <c r="H3177" t="s">
        <v>12</v>
      </c>
      <c r="I3177">
        <v>50</v>
      </c>
      <c r="J3177" t="str" cm="1">
        <f t="array" ref="J3177">_xlfn.IFS(ISBLANK(C3177),"FALTANTE",ABS((C3177-$W$5)/$X$5)&gt;1.96,"ATÍPICO",ABS((C3177-$W$5)/$X$5)&lt;=1.96,"NO ATÍPICO")</f>
        <v>NO ATÍPICO</v>
      </c>
      <c r="K3177" t="str" cm="1">
        <f t="array" ref="K3177">_xlfn.IFS(ISBLANK(I3177),"FALTANTE",ABS((I3177-$W$8)/$X$8)&gt;1.92,"ATÍPICO",ABS((I3177-$W$8)/$X$8)&lt;=1.92,"NO ATÍPICO")</f>
        <v>NO ATÍPICO</v>
      </c>
      <c r="L3177">
        <f t="shared" si="213"/>
        <v>326749</v>
      </c>
      <c r="M3177" t="str">
        <f t="shared" si="213"/>
        <v>TRABAJADOR INDEPENDIENTE</v>
      </c>
      <c r="N3177">
        <f t="shared" si="214"/>
        <v>50</v>
      </c>
      <c r="O3177" s="19" t="str">
        <f t="shared" si="215"/>
        <v>300k–600k</v>
      </c>
      <c r="P3177" s="19" t="str">
        <f t="shared" si="216"/>
        <v>46-55</v>
      </c>
    </row>
    <row r="3178" spans="1:16" x14ac:dyDescent="0.25">
      <c r="A3178">
        <v>3177</v>
      </c>
      <c r="B3178" t="s">
        <v>15</v>
      </c>
      <c r="C3178">
        <v>703520.79</v>
      </c>
      <c r="D3178" t="s">
        <v>10</v>
      </c>
      <c r="E3178" t="s">
        <v>16</v>
      </c>
      <c r="F3178" t="s">
        <v>12</v>
      </c>
      <c r="G3178" t="s">
        <v>13</v>
      </c>
      <c r="H3178" t="s">
        <v>13</v>
      </c>
      <c r="I3178">
        <v>36</v>
      </c>
      <c r="J3178" t="str" cm="1">
        <f t="array" ref="J3178">_xlfn.IFS(ISBLANK(C3178),"FALTANTE",ABS((C3178-$W$5)/$X$5)&gt;1.96,"ATÍPICO",ABS((C3178-$W$5)/$X$5)&lt;=1.96,"NO ATÍPICO")</f>
        <v>NO ATÍPICO</v>
      </c>
      <c r="K3178" t="str" cm="1">
        <f t="array" ref="K3178">_xlfn.IFS(ISBLANK(I3178),"FALTANTE",ABS((I3178-$W$8)/$X$8)&gt;1.92,"ATÍPICO",ABS((I3178-$W$8)/$X$8)&lt;=1.92,"NO ATÍPICO")</f>
        <v>NO ATÍPICO</v>
      </c>
      <c r="L3178">
        <f t="shared" si="213"/>
        <v>703520.79</v>
      </c>
      <c r="M3178" t="str">
        <f t="shared" si="213"/>
        <v>ASALARIADO</v>
      </c>
      <c r="N3178">
        <f t="shared" si="214"/>
        <v>36</v>
      </c>
      <c r="O3178" s="19" t="str">
        <f t="shared" si="215"/>
        <v>600k–900k</v>
      </c>
      <c r="P3178" s="19" t="str">
        <f t="shared" si="216"/>
        <v>36-45</v>
      </c>
    </row>
    <row r="3179" spans="1:16" x14ac:dyDescent="0.25">
      <c r="A3179">
        <v>3178</v>
      </c>
      <c r="B3179" t="s">
        <v>9</v>
      </c>
      <c r="C3179">
        <v>360000</v>
      </c>
      <c r="D3179" t="s">
        <v>10</v>
      </c>
      <c r="E3179" t="s">
        <v>16</v>
      </c>
      <c r="F3179" t="s">
        <v>12</v>
      </c>
      <c r="G3179" t="s">
        <v>13</v>
      </c>
      <c r="H3179" t="s">
        <v>13</v>
      </c>
      <c r="I3179">
        <v>23</v>
      </c>
      <c r="J3179" t="str" cm="1">
        <f t="array" ref="J3179">_xlfn.IFS(ISBLANK(C3179),"FALTANTE",ABS((C3179-$W$5)/$X$5)&gt;1.96,"ATÍPICO",ABS((C3179-$W$5)/$X$5)&lt;=1.96,"NO ATÍPICO")</f>
        <v>NO ATÍPICO</v>
      </c>
      <c r="K3179" t="str" cm="1">
        <f t="array" ref="K3179">_xlfn.IFS(ISBLANK(I3179),"FALTANTE",ABS((I3179-$W$8)/$X$8)&gt;1.92,"ATÍPICO",ABS((I3179-$W$8)/$X$8)&lt;=1.92,"NO ATÍPICO")</f>
        <v>NO ATÍPICO</v>
      </c>
      <c r="L3179">
        <f t="shared" si="213"/>
        <v>360000</v>
      </c>
      <c r="M3179" t="str">
        <f t="shared" si="213"/>
        <v>ASALARIADO</v>
      </c>
      <c r="N3179">
        <f t="shared" si="214"/>
        <v>23</v>
      </c>
      <c r="O3179" s="19" t="str">
        <f t="shared" si="215"/>
        <v>300k–600k</v>
      </c>
      <c r="P3179" s="19" t="str">
        <f t="shared" si="216"/>
        <v>18-25</v>
      </c>
    </row>
    <row r="3180" spans="1:16" x14ac:dyDescent="0.25">
      <c r="A3180">
        <v>3179</v>
      </c>
      <c r="B3180" t="s">
        <v>15</v>
      </c>
      <c r="C3180">
        <v>1251585</v>
      </c>
      <c r="D3180" t="s">
        <v>10</v>
      </c>
      <c r="E3180" t="s">
        <v>11</v>
      </c>
      <c r="F3180" t="s">
        <v>12</v>
      </c>
      <c r="G3180" t="s">
        <v>13</v>
      </c>
      <c r="H3180" t="s">
        <v>12</v>
      </c>
      <c r="I3180">
        <v>50</v>
      </c>
      <c r="J3180" t="str" cm="1">
        <f t="array" ref="J3180">_xlfn.IFS(ISBLANK(C3180),"FALTANTE",ABS((C3180-$W$5)/$X$5)&gt;1.96,"ATÍPICO",ABS((C3180-$W$5)/$X$5)&lt;=1.96,"NO ATÍPICO")</f>
        <v>NO ATÍPICO</v>
      </c>
      <c r="K3180" t="str" cm="1">
        <f t="array" ref="K3180">_xlfn.IFS(ISBLANK(I3180),"FALTANTE",ABS((I3180-$W$8)/$X$8)&gt;1.92,"ATÍPICO",ABS((I3180-$W$8)/$X$8)&lt;=1.92,"NO ATÍPICO")</f>
        <v>NO ATÍPICO</v>
      </c>
      <c r="L3180">
        <f t="shared" si="213"/>
        <v>1251585</v>
      </c>
      <c r="M3180" t="str">
        <f t="shared" si="213"/>
        <v>ASALARIADO</v>
      </c>
      <c r="N3180">
        <f t="shared" si="214"/>
        <v>50</v>
      </c>
      <c r="O3180" s="19" t="str">
        <f t="shared" si="215"/>
        <v>1200k+</v>
      </c>
      <c r="P3180" s="19" t="str">
        <f t="shared" si="216"/>
        <v>46-55</v>
      </c>
    </row>
    <row r="3181" spans="1:16" x14ac:dyDescent="0.25">
      <c r="A3181">
        <v>3180</v>
      </c>
      <c r="B3181" t="s">
        <v>15</v>
      </c>
      <c r="C3181">
        <v>278030</v>
      </c>
      <c r="D3181" t="s">
        <v>19</v>
      </c>
      <c r="E3181" t="s">
        <v>16</v>
      </c>
      <c r="F3181" t="s">
        <v>12</v>
      </c>
      <c r="G3181" t="s">
        <v>13</v>
      </c>
      <c r="H3181" t="s">
        <v>13</v>
      </c>
      <c r="I3181">
        <v>35</v>
      </c>
      <c r="J3181" t="str" cm="1">
        <f t="array" ref="J3181">_xlfn.IFS(ISBLANK(C3181),"FALTANTE",ABS((C3181-$W$5)/$X$5)&gt;1.96,"ATÍPICO",ABS((C3181-$W$5)/$X$5)&lt;=1.96,"NO ATÍPICO")</f>
        <v>NO ATÍPICO</v>
      </c>
      <c r="K3181" t="str" cm="1">
        <f t="array" ref="K3181">_xlfn.IFS(ISBLANK(I3181),"FALTANTE",ABS((I3181-$W$8)/$X$8)&gt;1.92,"ATÍPICO",ABS((I3181-$W$8)/$X$8)&lt;=1.92,"NO ATÍPICO")</f>
        <v>NO ATÍPICO</v>
      </c>
      <c r="L3181">
        <f t="shared" si="213"/>
        <v>278030</v>
      </c>
      <c r="M3181" t="str">
        <f t="shared" si="213"/>
        <v>CONVENIOS ESPECIALES DE TRABAJADORES INDEPENDIENTES</v>
      </c>
      <c r="N3181">
        <f t="shared" si="214"/>
        <v>35</v>
      </c>
      <c r="O3181" s="19" t="str">
        <f t="shared" si="215"/>
        <v>0–300k</v>
      </c>
      <c r="P3181" s="19" t="str">
        <f t="shared" si="216"/>
        <v>26-35</v>
      </c>
    </row>
    <row r="3182" spans="1:16" x14ac:dyDescent="0.25">
      <c r="A3182">
        <v>3181</v>
      </c>
      <c r="B3182" t="s">
        <v>15</v>
      </c>
      <c r="C3182">
        <v>473621</v>
      </c>
      <c r="D3182" t="s">
        <v>10</v>
      </c>
      <c r="E3182" t="s">
        <v>11</v>
      </c>
      <c r="F3182" t="s">
        <v>12</v>
      </c>
      <c r="G3182" t="s">
        <v>13</v>
      </c>
      <c r="H3182" t="s">
        <v>12</v>
      </c>
      <c r="I3182">
        <v>48</v>
      </c>
      <c r="J3182" t="str" cm="1">
        <f t="array" ref="J3182">_xlfn.IFS(ISBLANK(C3182),"FALTANTE",ABS((C3182-$W$5)/$X$5)&gt;1.96,"ATÍPICO",ABS((C3182-$W$5)/$X$5)&lt;=1.96,"NO ATÍPICO")</f>
        <v>NO ATÍPICO</v>
      </c>
      <c r="K3182" t="str" cm="1">
        <f t="array" ref="K3182">_xlfn.IFS(ISBLANK(I3182),"FALTANTE",ABS((I3182-$W$8)/$X$8)&gt;1.92,"ATÍPICO",ABS((I3182-$W$8)/$X$8)&lt;=1.92,"NO ATÍPICO")</f>
        <v>NO ATÍPICO</v>
      </c>
      <c r="L3182">
        <f t="shared" si="213"/>
        <v>473621</v>
      </c>
      <c r="M3182" t="str">
        <f t="shared" si="213"/>
        <v>ASALARIADO</v>
      </c>
      <c r="N3182">
        <f t="shared" si="214"/>
        <v>48</v>
      </c>
      <c r="O3182" s="19" t="str">
        <f t="shared" si="215"/>
        <v>300k–600k</v>
      </c>
      <c r="P3182" s="19" t="str">
        <f t="shared" si="216"/>
        <v>46-55</v>
      </c>
    </row>
    <row r="3183" spans="1:16" x14ac:dyDescent="0.25">
      <c r="A3183">
        <v>3182</v>
      </c>
      <c r="B3183" t="s">
        <v>9</v>
      </c>
      <c r="C3183">
        <v>559000</v>
      </c>
      <c r="D3183" t="s">
        <v>10</v>
      </c>
      <c r="E3183" t="s">
        <v>16</v>
      </c>
      <c r="F3183" t="s">
        <v>12</v>
      </c>
      <c r="G3183" t="s">
        <v>13</v>
      </c>
      <c r="H3183" t="s">
        <v>13</v>
      </c>
      <c r="I3183">
        <v>33</v>
      </c>
      <c r="J3183" t="str" cm="1">
        <f t="array" ref="J3183">_xlfn.IFS(ISBLANK(C3183),"FALTANTE",ABS((C3183-$W$5)/$X$5)&gt;1.96,"ATÍPICO",ABS((C3183-$W$5)/$X$5)&lt;=1.96,"NO ATÍPICO")</f>
        <v>NO ATÍPICO</v>
      </c>
      <c r="K3183" t="str" cm="1">
        <f t="array" ref="K3183">_xlfn.IFS(ISBLANK(I3183),"FALTANTE",ABS((I3183-$W$8)/$X$8)&gt;1.92,"ATÍPICO",ABS((I3183-$W$8)/$X$8)&lt;=1.92,"NO ATÍPICO")</f>
        <v>NO ATÍPICO</v>
      </c>
      <c r="L3183">
        <f t="shared" si="213"/>
        <v>559000</v>
      </c>
      <c r="M3183" t="str">
        <f t="shared" si="213"/>
        <v>ASALARIADO</v>
      </c>
      <c r="N3183">
        <f t="shared" si="214"/>
        <v>33</v>
      </c>
      <c r="O3183" s="19" t="str">
        <f t="shared" si="215"/>
        <v>300k–600k</v>
      </c>
      <c r="P3183" s="19" t="str">
        <f t="shared" si="216"/>
        <v>26-35</v>
      </c>
    </row>
    <row r="3184" spans="1:16" x14ac:dyDescent="0.25">
      <c r="A3184">
        <v>3183</v>
      </c>
      <c r="B3184" t="s">
        <v>9</v>
      </c>
      <c r="C3184">
        <v>484144</v>
      </c>
      <c r="D3184" t="s">
        <v>10</v>
      </c>
      <c r="E3184" t="s">
        <v>16</v>
      </c>
      <c r="F3184" t="s">
        <v>12</v>
      </c>
      <c r="G3184" t="s">
        <v>13</v>
      </c>
      <c r="H3184" t="s">
        <v>13</v>
      </c>
      <c r="I3184">
        <v>46</v>
      </c>
      <c r="J3184" t="str" cm="1">
        <f t="array" ref="J3184">_xlfn.IFS(ISBLANK(C3184),"FALTANTE",ABS((C3184-$W$5)/$X$5)&gt;1.96,"ATÍPICO",ABS((C3184-$W$5)/$X$5)&lt;=1.96,"NO ATÍPICO")</f>
        <v>NO ATÍPICO</v>
      </c>
      <c r="K3184" t="str" cm="1">
        <f t="array" ref="K3184">_xlfn.IFS(ISBLANK(I3184),"FALTANTE",ABS((I3184-$W$8)/$X$8)&gt;1.92,"ATÍPICO",ABS((I3184-$W$8)/$X$8)&lt;=1.92,"NO ATÍPICO")</f>
        <v>NO ATÍPICO</v>
      </c>
      <c r="L3184">
        <f t="shared" si="213"/>
        <v>484144</v>
      </c>
      <c r="M3184" t="str">
        <f t="shared" si="213"/>
        <v>ASALARIADO</v>
      </c>
      <c r="N3184">
        <f t="shared" si="214"/>
        <v>46</v>
      </c>
      <c r="O3184" s="19" t="str">
        <f t="shared" si="215"/>
        <v>300k–600k</v>
      </c>
      <c r="P3184" s="19" t="str">
        <f t="shared" si="216"/>
        <v>46-55</v>
      </c>
    </row>
    <row r="3185" spans="1:16" x14ac:dyDescent="0.25">
      <c r="A3185">
        <v>3184</v>
      </c>
      <c r="B3185" t="s">
        <v>15</v>
      </c>
      <c r="C3185">
        <v>278030</v>
      </c>
      <c r="D3185" t="s">
        <v>17</v>
      </c>
      <c r="E3185" t="s">
        <v>16</v>
      </c>
      <c r="F3185" t="s">
        <v>12</v>
      </c>
      <c r="G3185" t="s">
        <v>13</v>
      </c>
      <c r="H3185" t="s">
        <v>13</v>
      </c>
      <c r="I3185">
        <v>26</v>
      </c>
      <c r="J3185" t="str" cm="1">
        <f t="array" ref="J3185">_xlfn.IFS(ISBLANK(C3185),"FALTANTE",ABS((C3185-$W$5)/$X$5)&gt;1.96,"ATÍPICO",ABS((C3185-$W$5)/$X$5)&lt;=1.96,"NO ATÍPICO")</f>
        <v>NO ATÍPICO</v>
      </c>
      <c r="K3185" t="str" cm="1">
        <f t="array" ref="K3185">_xlfn.IFS(ISBLANK(I3185),"FALTANTE",ABS((I3185-$W$8)/$X$8)&gt;1.92,"ATÍPICO",ABS((I3185-$W$8)/$X$8)&lt;=1.92,"NO ATÍPICO")</f>
        <v>NO ATÍPICO</v>
      </c>
      <c r="L3185">
        <f t="shared" si="213"/>
        <v>278030</v>
      </c>
      <c r="M3185" t="str">
        <f t="shared" si="213"/>
        <v>ASEGURADO VOLUNTARIO</v>
      </c>
      <c r="N3185">
        <f t="shared" si="214"/>
        <v>26</v>
      </c>
      <c r="O3185" s="19" t="str">
        <f t="shared" si="215"/>
        <v>0–300k</v>
      </c>
      <c r="P3185" s="19" t="str">
        <f t="shared" si="216"/>
        <v>26-35</v>
      </c>
    </row>
    <row r="3186" spans="1:16" x14ac:dyDescent="0.25">
      <c r="A3186">
        <v>3185</v>
      </c>
      <c r="B3186" t="s">
        <v>9</v>
      </c>
      <c r="C3186">
        <v>1000000</v>
      </c>
      <c r="D3186" t="s">
        <v>10</v>
      </c>
      <c r="E3186" t="s">
        <v>16</v>
      </c>
      <c r="F3186" t="s">
        <v>12</v>
      </c>
      <c r="G3186" t="s">
        <v>13</v>
      </c>
      <c r="H3186" t="s">
        <v>13</v>
      </c>
      <c r="I3186">
        <v>24</v>
      </c>
      <c r="J3186" t="str" cm="1">
        <f t="array" ref="J3186">_xlfn.IFS(ISBLANK(C3186),"FALTANTE",ABS((C3186-$W$5)/$X$5)&gt;1.96,"ATÍPICO",ABS((C3186-$W$5)/$X$5)&lt;=1.96,"NO ATÍPICO")</f>
        <v>NO ATÍPICO</v>
      </c>
      <c r="K3186" t="str" cm="1">
        <f t="array" ref="K3186">_xlfn.IFS(ISBLANK(I3186),"FALTANTE",ABS((I3186-$W$8)/$X$8)&gt;1.92,"ATÍPICO",ABS((I3186-$W$8)/$X$8)&lt;=1.92,"NO ATÍPICO")</f>
        <v>NO ATÍPICO</v>
      </c>
      <c r="L3186">
        <f t="shared" si="213"/>
        <v>1000000</v>
      </c>
      <c r="M3186" t="str">
        <f t="shared" si="213"/>
        <v>ASALARIADO</v>
      </c>
      <c r="N3186">
        <f t="shared" si="214"/>
        <v>24</v>
      </c>
      <c r="O3186" s="19" t="str">
        <f t="shared" si="215"/>
        <v>900k–1200k</v>
      </c>
      <c r="P3186" s="19" t="str">
        <f t="shared" si="216"/>
        <v>18-25</v>
      </c>
    </row>
    <row r="3187" spans="1:16" x14ac:dyDescent="0.25">
      <c r="A3187">
        <v>3186</v>
      </c>
      <c r="B3187" t="s">
        <v>9</v>
      </c>
      <c r="C3187">
        <v>532896.9</v>
      </c>
      <c r="D3187" t="s">
        <v>10</v>
      </c>
      <c r="E3187" t="s">
        <v>11</v>
      </c>
      <c r="F3187" t="s">
        <v>12</v>
      </c>
      <c r="G3187" t="s">
        <v>13</v>
      </c>
      <c r="H3187" t="s">
        <v>13</v>
      </c>
      <c r="I3187">
        <v>35</v>
      </c>
      <c r="J3187" t="str" cm="1">
        <f t="array" ref="J3187">_xlfn.IFS(ISBLANK(C3187),"FALTANTE",ABS((C3187-$W$5)/$X$5)&gt;1.96,"ATÍPICO",ABS((C3187-$W$5)/$X$5)&lt;=1.96,"NO ATÍPICO")</f>
        <v>NO ATÍPICO</v>
      </c>
      <c r="K3187" t="str" cm="1">
        <f t="array" ref="K3187">_xlfn.IFS(ISBLANK(I3187),"FALTANTE",ABS((I3187-$W$8)/$X$8)&gt;1.92,"ATÍPICO",ABS((I3187-$W$8)/$X$8)&lt;=1.92,"NO ATÍPICO")</f>
        <v>NO ATÍPICO</v>
      </c>
      <c r="L3187">
        <f t="shared" si="213"/>
        <v>532896.9</v>
      </c>
      <c r="M3187" t="str">
        <f t="shared" si="213"/>
        <v>ASALARIADO</v>
      </c>
      <c r="N3187">
        <f t="shared" si="214"/>
        <v>35</v>
      </c>
      <c r="O3187" s="19" t="str">
        <f t="shared" si="215"/>
        <v>300k–600k</v>
      </c>
      <c r="P3187" s="19" t="str">
        <f t="shared" si="216"/>
        <v>26-35</v>
      </c>
    </row>
    <row r="3188" spans="1:16" x14ac:dyDescent="0.25">
      <c r="A3188">
        <v>3187</v>
      </c>
      <c r="B3188" t="s">
        <v>9</v>
      </c>
      <c r="C3188">
        <v>914404.3</v>
      </c>
      <c r="D3188" t="s">
        <v>10</v>
      </c>
      <c r="E3188" t="s">
        <v>16</v>
      </c>
      <c r="F3188" t="s">
        <v>12</v>
      </c>
      <c r="G3188" t="s">
        <v>13</v>
      </c>
      <c r="H3188" t="s">
        <v>13</v>
      </c>
      <c r="I3188">
        <v>29</v>
      </c>
      <c r="J3188" t="str" cm="1">
        <f t="array" ref="J3188">_xlfn.IFS(ISBLANK(C3188),"FALTANTE",ABS((C3188-$W$5)/$X$5)&gt;1.96,"ATÍPICO",ABS((C3188-$W$5)/$X$5)&lt;=1.96,"NO ATÍPICO")</f>
        <v>NO ATÍPICO</v>
      </c>
      <c r="K3188" t="str" cm="1">
        <f t="array" ref="K3188">_xlfn.IFS(ISBLANK(I3188),"FALTANTE",ABS((I3188-$W$8)/$X$8)&gt;1.92,"ATÍPICO",ABS((I3188-$W$8)/$X$8)&lt;=1.92,"NO ATÍPICO")</f>
        <v>NO ATÍPICO</v>
      </c>
      <c r="L3188">
        <f t="shared" si="213"/>
        <v>914404.3</v>
      </c>
      <c r="M3188" t="str">
        <f t="shared" si="213"/>
        <v>ASALARIADO</v>
      </c>
      <c r="N3188">
        <f t="shared" si="214"/>
        <v>29</v>
      </c>
      <c r="O3188" s="19" t="str">
        <f t="shared" si="215"/>
        <v>900k–1200k</v>
      </c>
      <c r="P3188" s="19" t="str">
        <f t="shared" si="216"/>
        <v>26-35</v>
      </c>
    </row>
    <row r="3189" spans="1:16" x14ac:dyDescent="0.25">
      <c r="A3189">
        <v>3188</v>
      </c>
      <c r="B3189" t="s">
        <v>9</v>
      </c>
      <c r="C3189">
        <v>680960</v>
      </c>
      <c r="D3189" t="s">
        <v>10</v>
      </c>
      <c r="E3189" t="s">
        <v>11</v>
      </c>
      <c r="F3189" t="s">
        <v>12</v>
      </c>
      <c r="G3189" t="s">
        <v>13</v>
      </c>
      <c r="H3189" t="s">
        <v>13</v>
      </c>
      <c r="I3189">
        <v>32</v>
      </c>
      <c r="J3189" t="str" cm="1">
        <f t="array" ref="J3189">_xlfn.IFS(ISBLANK(C3189),"FALTANTE",ABS((C3189-$W$5)/$X$5)&gt;1.96,"ATÍPICO",ABS((C3189-$W$5)/$X$5)&lt;=1.96,"NO ATÍPICO")</f>
        <v>NO ATÍPICO</v>
      </c>
      <c r="K3189" t="str" cm="1">
        <f t="array" ref="K3189">_xlfn.IFS(ISBLANK(I3189),"FALTANTE",ABS((I3189-$W$8)/$X$8)&gt;1.92,"ATÍPICO",ABS((I3189-$W$8)/$X$8)&lt;=1.92,"NO ATÍPICO")</f>
        <v>NO ATÍPICO</v>
      </c>
      <c r="L3189">
        <f t="shared" si="213"/>
        <v>680960</v>
      </c>
      <c r="M3189" t="str">
        <f t="shared" si="213"/>
        <v>ASALARIADO</v>
      </c>
      <c r="N3189">
        <f t="shared" si="214"/>
        <v>32</v>
      </c>
      <c r="O3189" s="19" t="str">
        <f t="shared" si="215"/>
        <v>600k–900k</v>
      </c>
      <c r="P3189" s="19" t="str">
        <f t="shared" si="216"/>
        <v>26-35</v>
      </c>
    </row>
    <row r="3190" spans="1:16" x14ac:dyDescent="0.25">
      <c r="A3190">
        <v>3189</v>
      </c>
      <c r="B3190" t="s">
        <v>9</v>
      </c>
      <c r="C3190">
        <v>409256.03</v>
      </c>
      <c r="D3190" t="s">
        <v>10</v>
      </c>
      <c r="E3190" t="s">
        <v>16</v>
      </c>
      <c r="F3190" t="s">
        <v>12</v>
      </c>
      <c r="G3190" t="s">
        <v>13</v>
      </c>
      <c r="H3190" t="s">
        <v>13</v>
      </c>
      <c r="I3190">
        <v>34</v>
      </c>
      <c r="J3190" t="str" cm="1">
        <f t="array" ref="J3190">_xlfn.IFS(ISBLANK(C3190),"FALTANTE",ABS((C3190-$W$5)/$X$5)&gt;1.96,"ATÍPICO",ABS((C3190-$W$5)/$X$5)&lt;=1.96,"NO ATÍPICO")</f>
        <v>NO ATÍPICO</v>
      </c>
      <c r="K3190" t="str" cm="1">
        <f t="array" ref="K3190">_xlfn.IFS(ISBLANK(I3190),"FALTANTE",ABS((I3190-$W$8)/$X$8)&gt;1.92,"ATÍPICO",ABS((I3190-$W$8)/$X$8)&lt;=1.92,"NO ATÍPICO")</f>
        <v>NO ATÍPICO</v>
      </c>
      <c r="L3190">
        <f t="shared" si="213"/>
        <v>409256.03</v>
      </c>
      <c r="M3190" t="str">
        <f t="shared" si="213"/>
        <v>ASALARIADO</v>
      </c>
      <c r="N3190">
        <f t="shared" si="214"/>
        <v>34</v>
      </c>
      <c r="O3190" s="19" t="str">
        <f t="shared" si="215"/>
        <v>300k–600k</v>
      </c>
      <c r="P3190" s="19" t="str">
        <f t="shared" si="216"/>
        <v>26-35</v>
      </c>
    </row>
    <row r="3191" spans="1:16" x14ac:dyDescent="0.25">
      <c r="A3191">
        <v>3190</v>
      </c>
      <c r="B3191" t="s">
        <v>15</v>
      </c>
      <c r="C3191">
        <v>297045</v>
      </c>
      <c r="D3191" t="s">
        <v>18</v>
      </c>
      <c r="E3191" t="s">
        <v>16</v>
      </c>
      <c r="F3191" t="s">
        <v>12</v>
      </c>
      <c r="G3191" t="s">
        <v>13</v>
      </c>
      <c r="H3191" t="s">
        <v>13</v>
      </c>
      <c r="I3191">
        <v>39</v>
      </c>
      <c r="J3191" t="str" cm="1">
        <f t="array" ref="J3191">_xlfn.IFS(ISBLANK(C3191),"FALTANTE",ABS((C3191-$W$5)/$X$5)&gt;1.96,"ATÍPICO",ABS((C3191-$W$5)/$X$5)&lt;=1.96,"NO ATÍPICO")</f>
        <v>NO ATÍPICO</v>
      </c>
      <c r="K3191" t="str" cm="1">
        <f t="array" ref="K3191">_xlfn.IFS(ISBLANK(I3191),"FALTANTE",ABS((I3191-$W$8)/$X$8)&gt;1.92,"ATÍPICO",ABS((I3191-$W$8)/$X$8)&lt;=1.92,"NO ATÍPICO")</f>
        <v>NO ATÍPICO</v>
      </c>
      <c r="L3191">
        <f t="shared" si="213"/>
        <v>297045</v>
      </c>
      <c r="M3191" t="str">
        <f t="shared" si="213"/>
        <v>TRABAJADOR INDEPENDIENTE</v>
      </c>
      <c r="N3191">
        <f t="shared" si="214"/>
        <v>39</v>
      </c>
      <c r="O3191" s="19" t="str">
        <f t="shared" si="215"/>
        <v>0–300k</v>
      </c>
      <c r="P3191" s="19" t="str">
        <f t="shared" si="216"/>
        <v>36-45</v>
      </c>
    </row>
    <row r="3192" spans="1:16" x14ac:dyDescent="0.25">
      <c r="A3192">
        <v>3191</v>
      </c>
      <c r="B3192" t="s">
        <v>9</v>
      </c>
      <c r="C3192">
        <v>278030</v>
      </c>
      <c r="D3192" t="s">
        <v>19</v>
      </c>
      <c r="E3192" t="s">
        <v>16</v>
      </c>
      <c r="F3192" t="s">
        <v>12</v>
      </c>
      <c r="G3192" t="s">
        <v>13</v>
      </c>
      <c r="H3192" t="s">
        <v>13</v>
      </c>
      <c r="I3192">
        <v>45</v>
      </c>
      <c r="J3192" t="str" cm="1">
        <f t="array" ref="J3192">_xlfn.IFS(ISBLANK(C3192),"FALTANTE",ABS((C3192-$W$5)/$X$5)&gt;1.96,"ATÍPICO",ABS((C3192-$W$5)/$X$5)&lt;=1.96,"NO ATÍPICO")</f>
        <v>NO ATÍPICO</v>
      </c>
      <c r="K3192" t="str" cm="1">
        <f t="array" ref="K3192">_xlfn.IFS(ISBLANK(I3192),"FALTANTE",ABS((I3192-$W$8)/$X$8)&gt;1.92,"ATÍPICO",ABS((I3192-$W$8)/$X$8)&lt;=1.92,"NO ATÍPICO")</f>
        <v>NO ATÍPICO</v>
      </c>
      <c r="L3192">
        <f t="shared" si="213"/>
        <v>278030</v>
      </c>
      <c r="M3192" t="str">
        <f t="shared" si="213"/>
        <v>CONVENIOS ESPECIALES DE TRABAJADORES INDEPENDIENTES</v>
      </c>
      <c r="N3192">
        <f t="shared" si="214"/>
        <v>45</v>
      </c>
      <c r="O3192" s="19" t="str">
        <f t="shared" si="215"/>
        <v>0–300k</v>
      </c>
      <c r="P3192" s="19" t="str">
        <f t="shared" si="216"/>
        <v>36-45</v>
      </c>
    </row>
    <row r="3193" spans="1:16" x14ac:dyDescent="0.25">
      <c r="A3193">
        <v>3192</v>
      </c>
      <c r="B3193" t="s">
        <v>9</v>
      </c>
      <c r="C3193">
        <v>762359.6</v>
      </c>
      <c r="D3193" t="s">
        <v>10</v>
      </c>
      <c r="E3193" t="s">
        <v>16</v>
      </c>
      <c r="F3193" t="s">
        <v>12</v>
      </c>
      <c r="G3193" t="s">
        <v>13</v>
      </c>
      <c r="H3193" t="s">
        <v>13</v>
      </c>
      <c r="I3193">
        <v>34</v>
      </c>
      <c r="J3193" t="str" cm="1">
        <f t="array" ref="J3193">_xlfn.IFS(ISBLANK(C3193),"FALTANTE",ABS((C3193-$W$5)/$X$5)&gt;1.96,"ATÍPICO",ABS((C3193-$W$5)/$X$5)&lt;=1.96,"NO ATÍPICO")</f>
        <v>NO ATÍPICO</v>
      </c>
      <c r="K3193" t="str" cm="1">
        <f t="array" ref="K3193">_xlfn.IFS(ISBLANK(I3193),"FALTANTE",ABS((I3193-$W$8)/$X$8)&gt;1.92,"ATÍPICO",ABS((I3193-$W$8)/$X$8)&lt;=1.92,"NO ATÍPICO")</f>
        <v>NO ATÍPICO</v>
      </c>
      <c r="L3193">
        <f t="shared" si="213"/>
        <v>762359.6</v>
      </c>
      <c r="M3193" t="str">
        <f t="shared" si="213"/>
        <v>ASALARIADO</v>
      </c>
      <c r="N3193">
        <f t="shared" si="214"/>
        <v>34</v>
      </c>
      <c r="O3193" s="19" t="str">
        <f t="shared" si="215"/>
        <v>600k–900k</v>
      </c>
      <c r="P3193" s="19" t="str">
        <f t="shared" si="216"/>
        <v>26-35</v>
      </c>
    </row>
    <row r="3194" spans="1:16" x14ac:dyDescent="0.25">
      <c r="A3194">
        <v>3193</v>
      </c>
      <c r="B3194" t="s">
        <v>15</v>
      </c>
      <c r="C3194">
        <v>639148</v>
      </c>
      <c r="D3194" t="s">
        <v>18</v>
      </c>
      <c r="E3194" t="s">
        <v>16</v>
      </c>
      <c r="F3194" t="s">
        <v>12</v>
      </c>
      <c r="G3194" t="s">
        <v>13</v>
      </c>
      <c r="H3194" t="s">
        <v>12</v>
      </c>
      <c r="I3194">
        <v>74</v>
      </c>
      <c r="J3194" t="str" cm="1">
        <f t="array" ref="J3194">_xlfn.IFS(ISBLANK(C3194),"FALTANTE",ABS((C3194-$W$5)/$X$5)&gt;1.96,"ATÍPICO",ABS((C3194-$W$5)/$X$5)&lt;=1.96,"NO ATÍPICO")</f>
        <v>NO ATÍPICO</v>
      </c>
      <c r="K3194" t="str" cm="1">
        <f t="array" ref="K3194">_xlfn.IFS(ISBLANK(I3194),"FALTANTE",ABS((I3194-$W$8)/$X$8)&gt;1.92,"ATÍPICO",ABS((I3194-$W$8)/$X$8)&lt;=1.92,"NO ATÍPICO")</f>
        <v>ATÍPICO</v>
      </c>
      <c r="L3194">
        <f t="shared" si="213"/>
        <v>639148</v>
      </c>
      <c r="M3194" t="str">
        <f t="shared" si="213"/>
        <v>TRABAJADOR INDEPENDIENTE</v>
      </c>
      <c r="N3194">
        <f t="shared" si="214"/>
        <v>74</v>
      </c>
      <c r="O3194" s="19" t="str">
        <f t="shared" si="215"/>
        <v>600k–900k</v>
      </c>
      <c r="P3194" s="19" t="str">
        <f t="shared" si="216"/>
        <v>56+</v>
      </c>
    </row>
    <row r="3195" spans="1:16" x14ac:dyDescent="0.25">
      <c r="A3195">
        <v>3194</v>
      </c>
      <c r="B3195" t="s">
        <v>9</v>
      </c>
      <c r="C3195">
        <v>410495.2</v>
      </c>
      <c r="D3195" t="s">
        <v>10</v>
      </c>
      <c r="E3195" t="s">
        <v>16</v>
      </c>
      <c r="F3195" t="s">
        <v>12</v>
      </c>
      <c r="G3195" t="s">
        <v>12</v>
      </c>
      <c r="H3195" t="s">
        <v>12</v>
      </c>
      <c r="I3195">
        <v>29</v>
      </c>
      <c r="J3195" t="str" cm="1">
        <f t="array" ref="J3195">_xlfn.IFS(ISBLANK(C3195),"FALTANTE",ABS((C3195-$W$5)/$X$5)&gt;1.96,"ATÍPICO",ABS((C3195-$W$5)/$X$5)&lt;=1.96,"NO ATÍPICO")</f>
        <v>NO ATÍPICO</v>
      </c>
      <c r="K3195" t="str" cm="1">
        <f t="array" ref="K3195">_xlfn.IFS(ISBLANK(I3195),"FALTANTE",ABS((I3195-$W$8)/$X$8)&gt;1.92,"ATÍPICO",ABS((I3195-$W$8)/$X$8)&lt;=1.92,"NO ATÍPICO")</f>
        <v>NO ATÍPICO</v>
      </c>
      <c r="L3195">
        <f t="shared" si="213"/>
        <v>410495.2</v>
      </c>
      <c r="M3195" t="str">
        <f t="shared" si="213"/>
        <v>ASALARIADO</v>
      </c>
      <c r="N3195">
        <f t="shared" si="214"/>
        <v>29</v>
      </c>
      <c r="O3195" s="19" t="str">
        <f t="shared" si="215"/>
        <v>300k–600k</v>
      </c>
      <c r="P3195" s="19" t="str">
        <f t="shared" si="216"/>
        <v>26-35</v>
      </c>
    </row>
    <row r="3196" spans="1:16" x14ac:dyDescent="0.25">
      <c r="A3196">
        <v>3195</v>
      </c>
      <c r="B3196" t="s">
        <v>15</v>
      </c>
      <c r="C3196">
        <v>504218.48</v>
      </c>
      <c r="D3196" t="s">
        <v>10</v>
      </c>
      <c r="E3196" t="s">
        <v>16</v>
      </c>
      <c r="F3196" t="s">
        <v>12</v>
      </c>
      <c r="G3196" t="s">
        <v>12</v>
      </c>
      <c r="H3196" t="s">
        <v>13</v>
      </c>
      <c r="I3196">
        <v>49</v>
      </c>
      <c r="J3196" t="str" cm="1">
        <f t="array" ref="J3196">_xlfn.IFS(ISBLANK(C3196),"FALTANTE",ABS((C3196-$W$5)/$X$5)&gt;1.96,"ATÍPICO",ABS((C3196-$W$5)/$X$5)&lt;=1.96,"NO ATÍPICO")</f>
        <v>NO ATÍPICO</v>
      </c>
      <c r="K3196" t="str" cm="1">
        <f t="array" ref="K3196">_xlfn.IFS(ISBLANK(I3196),"FALTANTE",ABS((I3196-$W$8)/$X$8)&gt;1.92,"ATÍPICO",ABS((I3196-$W$8)/$X$8)&lt;=1.92,"NO ATÍPICO")</f>
        <v>NO ATÍPICO</v>
      </c>
      <c r="L3196">
        <f t="shared" si="213"/>
        <v>504218.48</v>
      </c>
      <c r="M3196" t="str">
        <f t="shared" si="213"/>
        <v>ASALARIADO</v>
      </c>
      <c r="N3196">
        <f t="shared" si="214"/>
        <v>49</v>
      </c>
      <c r="O3196" s="19" t="str">
        <f t="shared" si="215"/>
        <v>300k–600k</v>
      </c>
      <c r="P3196" s="19" t="str">
        <f t="shared" si="216"/>
        <v>46-55</v>
      </c>
    </row>
    <row r="3197" spans="1:16" x14ac:dyDescent="0.25">
      <c r="A3197">
        <v>3196</v>
      </c>
      <c r="B3197" t="s">
        <v>9</v>
      </c>
      <c r="C3197">
        <v>660746</v>
      </c>
      <c r="D3197" t="s">
        <v>10</v>
      </c>
      <c r="E3197" t="s">
        <v>11</v>
      </c>
      <c r="F3197" t="s">
        <v>12</v>
      </c>
      <c r="G3197" t="s">
        <v>13</v>
      </c>
      <c r="H3197" t="s">
        <v>13</v>
      </c>
      <c r="I3197">
        <v>35</v>
      </c>
      <c r="J3197" t="str" cm="1">
        <f t="array" ref="J3197">_xlfn.IFS(ISBLANK(C3197),"FALTANTE",ABS((C3197-$W$5)/$X$5)&gt;1.96,"ATÍPICO",ABS((C3197-$W$5)/$X$5)&lt;=1.96,"NO ATÍPICO")</f>
        <v>NO ATÍPICO</v>
      </c>
      <c r="K3197" t="str" cm="1">
        <f t="array" ref="K3197">_xlfn.IFS(ISBLANK(I3197),"FALTANTE",ABS((I3197-$W$8)/$X$8)&gt;1.92,"ATÍPICO",ABS((I3197-$W$8)/$X$8)&lt;=1.92,"NO ATÍPICO")</f>
        <v>NO ATÍPICO</v>
      </c>
      <c r="L3197">
        <f t="shared" si="213"/>
        <v>660746</v>
      </c>
      <c r="M3197" t="str">
        <f t="shared" si="213"/>
        <v>ASALARIADO</v>
      </c>
      <c r="N3197">
        <f t="shared" si="214"/>
        <v>35</v>
      </c>
      <c r="O3197" s="19" t="str">
        <f t="shared" si="215"/>
        <v>600k–900k</v>
      </c>
      <c r="P3197" s="19" t="str">
        <f t="shared" si="216"/>
        <v>26-35</v>
      </c>
    </row>
    <row r="3198" spans="1:16" x14ac:dyDescent="0.25">
      <c r="A3198">
        <v>3197</v>
      </c>
      <c r="B3198" t="s">
        <v>15</v>
      </c>
      <c r="C3198">
        <v>874538.66</v>
      </c>
      <c r="D3198" t="s">
        <v>10</v>
      </c>
      <c r="E3198" t="s">
        <v>16</v>
      </c>
      <c r="F3198" t="s">
        <v>12</v>
      </c>
      <c r="G3198" t="s">
        <v>13</v>
      </c>
      <c r="H3198" t="s">
        <v>13</v>
      </c>
      <c r="I3198">
        <v>40</v>
      </c>
      <c r="J3198" t="str" cm="1">
        <f t="array" ref="J3198">_xlfn.IFS(ISBLANK(C3198),"FALTANTE",ABS((C3198-$W$5)/$X$5)&gt;1.96,"ATÍPICO",ABS((C3198-$W$5)/$X$5)&lt;=1.96,"NO ATÍPICO")</f>
        <v>NO ATÍPICO</v>
      </c>
      <c r="K3198" t="str" cm="1">
        <f t="array" ref="K3198">_xlfn.IFS(ISBLANK(I3198),"FALTANTE",ABS((I3198-$W$8)/$X$8)&gt;1.92,"ATÍPICO",ABS((I3198-$W$8)/$X$8)&lt;=1.92,"NO ATÍPICO")</f>
        <v>NO ATÍPICO</v>
      </c>
      <c r="L3198">
        <f t="shared" si="213"/>
        <v>874538.66</v>
      </c>
      <c r="M3198" t="str">
        <f t="shared" si="213"/>
        <v>ASALARIADO</v>
      </c>
      <c r="N3198">
        <f t="shared" si="214"/>
        <v>40</v>
      </c>
      <c r="O3198" s="19" t="str">
        <f t="shared" si="215"/>
        <v>600k–900k</v>
      </c>
      <c r="P3198" s="19" t="str">
        <f t="shared" si="216"/>
        <v>36-45</v>
      </c>
    </row>
    <row r="3199" spans="1:16" x14ac:dyDescent="0.25">
      <c r="A3199">
        <v>3198</v>
      </c>
      <c r="B3199" t="s">
        <v>15</v>
      </c>
      <c r="C3199">
        <v>346062</v>
      </c>
      <c r="D3199" t="s">
        <v>17</v>
      </c>
      <c r="E3199" t="s">
        <v>16</v>
      </c>
      <c r="F3199" t="s">
        <v>12</v>
      </c>
      <c r="G3199" t="s">
        <v>13</v>
      </c>
      <c r="H3199" t="s">
        <v>13</v>
      </c>
      <c r="I3199">
        <v>43</v>
      </c>
      <c r="J3199" t="str" cm="1">
        <f t="array" ref="J3199">_xlfn.IFS(ISBLANK(C3199),"FALTANTE",ABS((C3199-$W$5)/$X$5)&gt;1.96,"ATÍPICO",ABS((C3199-$W$5)/$X$5)&lt;=1.96,"NO ATÍPICO")</f>
        <v>NO ATÍPICO</v>
      </c>
      <c r="K3199" t="str" cm="1">
        <f t="array" ref="K3199">_xlfn.IFS(ISBLANK(I3199),"FALTANTE",ABS((I3199-$W$8)/$X$8)&gt;1.92,"ATÍPICO",ABS((I3199-$W$8)/$X$8)&lt;=1.92,"NO ATÍPICO")</f>
        <v>NO ATÍPICO</v>
      </c>
      <c r="L3199">
        <f t="shared" si="213"/>
        <v>346062</v>
      </c>
      <c r="M3199" t="str">
        <f t="shared" si="213"/>
        <v>ASEGURADO VOLUNTARIO</v>
      </c>
      <c r="N3199">
        <f t="shared" si="214"/>
        <v>43</v>
      </c>
      <c r="O3199" s="19" t="str">
        <f t="shared" si="215"/>
        <v>300k–600k</v>
      </c>
      <c r="P3199" s="19" t="str">
        <f t="shared" si="216"/>
        <v>36-45</v>
      </c>
    </row>
    <row r="3200" spans="1:16" x14ac:dyDescent="0.25">
      <c r="A3200">
        <v>3199</v>
      </c>
      <c r="B3200" t="s">
        <v>15</v>
      </c>
      <c r="C3200">
        <v>641782.9</v>
      </c>
      <c r="D3200" t="s">
        <v>10</v>
      </c>
      <c r="E3200" t="s">
        <v>11</v>
      </c>
      <c r="F3200" t="s">
        <v>12</v>
      </c>
      <c r="G3200" t="s">
        <v>12</v>
      </c>
      <c r="H3200" t="s">
        <v>13</v>
      </c>
      <c r="I3200">
        <v>55</v>
      </c>
      <c r="J3200" t="str" cm="1">
        <f t="array" ref="J3200">_xlfn.IFS(ISBLANK(C3200),"FALTANTE",ABS((C3200-$W$5)/$X$5)&gt;1.96,"ATÍPICO",ABS((C3200-$W$5)/$X$5)&lt;=1.96,"NO ATÍPICO")</f>
        <v>NO ATÍPICO</v>
      </c>
      <c r="K3200" t="str" cm="1">
        <f t="array" ref="K3200">_xlfn.IFS(ISBLANK(I3200),"FALTANTE",ABS((I3200-$W$8)/$X$8)&gt;1.92,"ATÍPICO",ABS((I3200-$W$8)/$X$8)&lt;=1.92,"NO ATÍPICO")</f>
        <v>NO ATÍPICO</v>
      </c>
      <c r="L3200">
        <f t="shared" si="213"/>
        <v>641782.9</v>
      </c>
      <c r="M3200" t="str">
        <f t="shared" si="213"/>
        <v>ASALARIADO</v>
      </c>
      <c r="N3200">
        <f t="shared" si="214"/>
        <v>55</v>
      </c>
      <c r="O3200" s="19" t="str">
        <f t="shared" si="215"/>
        <v>600k–900k</v>
      </c>
      <c r="P3200" s="19" t="str">
        <f t="shared" si="216"/>
        <v>46-55</v>
      </c>
    </row>
    <row r="3201" spans="1:16" x14ac:dyDescent="0.25">
      <c r="A3201">
        <v>3200</v>
      </c>
      <c r="B3201" t="s">
        <v>15</v>
      </c>
      <c r="C3201">
        <v>359544.27</v>
      </c>
      <c r="D3201" t="s">
        <v>21</v>
      </c>
      <c r="E3201" t="s">
        <v>16</v>
      </c>
      <c r="F3201" t="s">
        <v>12</v>
      </c>
      <c r="G3201" t="s">
        <v>12</v>
      </c>
      <c r="H3201" t="s">
        <v>13</v>
      </c>
      <c r="I3201">
        <v>32</v>
      </c>
      <c r="J3201" t="str" cm="1">
        <f t="array" ref="J3201">_xlfn.IFS(ISBLANK(C3201),"FALTANTE",ABS((C3201-$W$5)/$X$5)&gt;1.96,"ATÍPICO",ABS((C3201-$W$5)/$X$5)&lt;=1.96,"NO ATÍPICO")</f>
        <v>NO ATÍPICO</v>
      </c>
      <c r="K3201" t="str" cm="1">
        <f t="array" ref="K3201">_xlfn.IFS(ISBLANK(I3201),"FALTANTE",ABS((I3201-$W$8)/$X$8)&gt;1.92,"ATÍPICO",ABS((I3201-$W$8)/$X$8)&lt;=1.92,"NO ATÍPICO")</f>
        <v>NO ATÍPICO</v>
      </c>
      <c r="L3201">
        <f t="shared" si="213"/>
        <v>359544.27</v>
      </c>
      <c r="M3201" t="str">
        <f t="shared" si="213"/>
        <v>CONVENIOS ESPECIALES DE ASEGURADOS VOLUNTARIOS</v>
      </c>
      <c r="N3201">
        <f t="shared" si="214"/>
        <v>32</v>
      </c>
      <c r="O3201" s="19" t="str">
        <f t="shared" si="215"/>
        <v>300k–600k</v>
      </c>
      <c r="P3201" s="19" t="str">
        <f t="shared" si="216"/>
        <v>26-35</v>
      </c>
    </row>
    <row r="3202" spans="1:16" x14ac:dyDescent="0.25">
      <c r="A3202">
        <v>3201</v>
      </c>
      <c r="B3202" t="s">
        <v>9</v>
      </c>
      <c r="C3202">
        <v>326704.05</v>
      </c>
      <c r="D3202" t="s">
        <v>10</v>
      </c>
      <c r="E3202" t="s">
        <v>11</v>
      </c>
      <c r="F3202" t="s">
        <v>12</v>
      </c>
      <c r="G3202" t="s">
        <v>13</v>
      </c>
      <c r="H3202" t="s">
        <v>13</v>
      </c>
      <c r="I3202">
        <v>33</v>
      </c>
      <c r="J3202" t="str" cm="1">
        <f t="array" ref="J3202">_xlfn.IFS(ISBLANK(C3202),"FALTANTE",ABS((C3202-$W$5)/$X$5)&gt;1.96,"ATÍPICO",ABS((C3202-$W$5)/$X$5)&lt;=1.96,"NO ATÍPICO")</f>
        <v>NO ATÍPICO</v>
      </c>
      <c r="K3202" t="str" cm="1">
        <f t="array" ref="K3202">_xlfn.IFS(ISBLANK(I3202),"FALTANTE",ABS((I3202-$W$8)/$X$8)&gt;1.92,"ATÍPICO",ABS((I3202-$W$8)/$X$8)&lt;=1.92,"NO ATÍPICO")</f>
        <v>NO ATÍPICO</v>
      </c>
      <c r="L3202">
        <f t="shared" ref="L3202:M3265" si="217">C3202</f>
        <v>326704.05</v>
      </c>
      <c r="M3202" t="str">
        <f t="shared" si="217"/>
        <v>ASALARIADO</v>
      </c>
      <c r="N3202">
        <f t="shared" ref="N3202:N3265" si="218">I3202</f>
        <v>33</v>
      </c>
      <c r="O3202" s="19" t="str">
        <f t="shared" ref="O3202:O3265" si="219">IF(L3202&lt;=300000,"0–300k",IF(L3202&lt;=600000,"300k–600k",IF(L3202&lt;=900000,"600k–900k",IF(L3202&lt;=1200000,"900k–1200k","1200k+"))))</f>
        <v>300k–600k</v>
      </c>
      <c r="P3202" s="19" t="str">
        <f t="shared" ref="P3202:P3265" si="220">IF(N3202 &lt;=25,"18-25", IF(N3202&lt;=35,"26-35", IF(N3202 &lt;=45,"36-45", IF(N3202&lt;=55,"46-55","56+"))))</f>
        <v>26-35</v>
      </c>
    </row>
    <row r="3203" spans="1:16" x14ac:dyDescent="0.25">
      <c r="A3203">
        <v>3202</v>
      </c>
      <c r="B3203" t="s">
        <v>9</v>
      </c>
      <c r="C3203">
        <v>300018</v>
      </c>
      <c r="D3203" t="s">
        <v>17</v>
      </c>
      <c r="E3203" t="s">
        <v>16</v>
      </c>
      <c r="F3203" t="s">
        <v>12</v>
      </c>
      <c r="G3203" t="s">
        <v>13</v>
      </c>
      <c r="H3203" t="s">
        <v>13</v>
      </c>
      <c r="I3203">
        <v>85</v>
      </c>
      <c r="J3203" t="str" cm="1">
        <f t="array" ref="J3203">_xlfn.IFS(ISBLANK(C3203),"FALTANTE",ABS((C3203-$W$5)/$X$5)&gt;1.96,"ATÍPICO",ABS((C3203-$W$5)/$X$5)&lt;=1.96,"NO ATÍPICO")</f>
        <v>NO ATÍPICO</v>
      </c>
      <c r="K3203" t="str" cm="1">
        <f t="array" ref="K3203">_xlfn.IFS(ISBLANK(I3203),"FALTANTE",ABS((I3203-$W$8)/$X$8)&gt;1.92,"ATÍPICO",ABS((I3203-$W$8)/$X$8)&lt;=1.92,"NO ATÍPICO")</f>
        <v>ATÍPICO</v>
      </c>
      <c r="L3203">
        <f t="shared" si="217"/>
        <v>300018</v>
      </c>
      <c r="M3203" t="str">
        <f t="shared" si="217"/>
        <v>ASEGURADO VOLUNTARIO</v>
      </c>
      <c r="N3203">
        <f t="shared" si="218"/>
        <v>85</v>
      </c>
      <c r="O3203" s="19" t="str">
        <f t="shared" si="219"/>
        <v>300k–600k</v>
      </c>
      <c r="P3203" s="19" t="str">
        <f t="shared" si="220"/>
        <v>56+</v>
      </c>
    </row>
    <row r="3204" spans="1:16" x14ac:dyDescent="0.25">
      <c r="A3204">
        <v>3203</v>
      </c>
      <c r="B3204" t="s">
        <v>9</v>
      </c>
      <c r="C3204">
        <v>1160637.07</v>
      </c>
      <c r="D3204" t="s">
        <v>10</v>
      </c>
      <c r="E3204" t="s">
        <v>16</v>
      </c>
      <c r="F3204" t="s">
        <v>12</v>
      </c>
      <c r="G3204" t="s">
        <v>13</v>
      </c>
      <c r="H3204" t="s">
        <v>12</v>
      </c>
      <c r="I3204">
        <v>29</v>
      </c>
      <c r="J3204" t="str" cm="1">
        <f t="array" ref="J3204">_xlfn.IFS(ISBLANK(C3204),"FALTANTE",ABS((C3204-$W$5)/$X$5)&gt;1.96,"ATÍPICO",ABS((C3204-$W$5)/$X$5)&lt;=1.96,"NO ATÍPICO")</f>
        <v>NO ATÍPICO</v>
      </c>
      <c r="K3204" t="str" cm="1">
        <f t="array" ref="K3204">_xlfn.IFS(ISBLANK(I3204),"FALTANTE",ABS((I3204-$W$8)/$X$8)&gt;1.92,"ATÍPICO",ABS((I3204-$W$8)/$X$8)&lt;=1.92,"NO ATÍPICO")</f>
        <v>NO ATÍPICO</v>
      </c>
      <c r="L3204">
        <f t="shared" si="217"/>
        <v>1160637.07</v>
      </c>
      <c r="M3204" t="str">
        <f t="shared" si="217"/>
        <v>ASALARIADO</v>
      </c>
      <c r="N3204">
        <f t="shared" si="218"/>
        <v>29</v>
      </c>
      <c r="O3204" s="19" t="str">
        <f t="shared" si="219"/>
        <v>900k–1200k</v>
      </c>
      <c r="P3204" s="19" t="str">
        <f t="shared" si="220"/>
        <v>26-35</v>
      </c>
    </row>
    <row r="3205" spans="1:16" x14ac:dyDescent="0.25">
      <c r="A3205">
        <v>3204</v>
      </c>
      <c r="B3205" t="s">
        <v>9</v>
      </c>
      <c r="C3205">
        <v>367220</v>
      </c>
      <c r="D3205" t="s">
        <v>10</v>
      </c>
      <c r="E3205" t="s">
        <v>16</v>
      </c>
      <c r="F3205" t="s">
        <v>12</v>
      </c>
      <c r="G3205" t="s">
        <v>12</v>
      </c>
      <c r="H3205" t="s">
        <v>13</v>
      </c>
      <c r="I3205">
        <v>25</v>
      </c>
      <c r="J3205" t="str" cm="1">
        <f t="array" ref="J3205">_xlfn.IFS(ISBLANK(C3205),"FALTANTE",ABS((C3205-$W$5)/$X$5)&gt;1.96,"ATÍPICO",ABS((C3205-$W$5)/$X$5)&lt;=1.96,"NO ATÍPICO")</f>
        <v>NO ATÍPICO</v>
      </c>
      <c r="K3205" t="str" cm="1">
        <f t="array" ref="K3205">_xlfn.IFS(ISBLANK(I3205),"FALTANTE",ABS((I3205-$W$8)/$X$8)&gt;1.92,"ATÍPICO",ABS((I3205-$W$8)/$X$8)&lt;=1.92,"NO ATÍPICO")</f>
        <v>NO ATÍPICO</v>
      </c>
      <c r="L3205">
        <f t="shared" si="217"/>
        <v>367220</v>
      </c>
      <c r="M3205" t="str">
        <f t="shared" si="217"/>
        <v>ASALARIADO</v>
      </c>
      <c r="N3205">
        <f t="shared" si="218"/>
        <v>25</v>
      </c>
      <c r="O3205" s="19" t="str">
        <f t="shared" si="219"/>
        <v>300k–600k</v>
      </c>
      <c r="P3205" s="19" t="str">
        <f t="shared" si="220"/>
        <v>18-25</v>
      </c>
    </row>
    <row r="3206" spans="1:16" x14ac:dyDescent="0.25">
      <c r="A3206">
        <v>3205</v>
      </c>
      <c r="B3206" t="s">
        <v>9</v>
      </c>
      <c r="C3206">
        <v>450886</v>
      </c>
      <c r="D3206" t="s">
        <v>18</v>
      </c>
      <c r="E3206" t="s">
        <v>16</v>
      </c>
      <c r="F3206" t="s">
        <v>12</v>
      </c>
      <c r="G3206" t="s">
        <v>12</v>
      </c>
      <c r="H3206" t="s">
        <v>12</v>
      </c>
      <c r="I3206">
        <v>45</v>
      </c>
      <c r="J3206" t="str" cm="1">
        <f t="array" ref="J3206">_xlfn.IFS(ISBLANK(C3206),"FALTANTE",ABS((C3206-$W$5)/$X$5)&gt;1.96,"ATÍPICO",ABS((C3206-$W$5)/$X$5)&lt;=1.96,"NO ATÍPICO")</f>
        <v>NO ATÍPICO</v>
      </c>
      <c r="K3206" t="str" cm="1">
        <f t="array" ref="K3206">_xlfn.IFS(ISBLANK(I3206),"FALTANTE",ABS((I3206-$W$8)/$X$8)&gt;1.92,"ATÍPICO",ABS((I3206-$W$8)/$X$8)&lt;=1.92,"NO ATÍPICO")</f>
        <v>NO ATÍPICO</v>
      </c>
      <c r="L3206">
        <f t="shared" si="217"/>
        <v>450886</v>
      </c>
      <c r="M3206" t="str">
        <f t="shared" si="217"/>
        <v>TRABAJADOR INDEPENDIENTE</v>
      </c>
      <c r="N3206">
        <f t="shared" si="218"/>
        <v>45</v>
      </c>
      <c r="O3206" s="19" t="str">
        <f t="shared" si="219"/>
        <v>300k–600k</v>
      </c>
      <c r="P3206" s="19" t="str">
        <f t="shared" si="220"/>
        <v>36-45</v>
      </c>
    </row>
    <row r="3207" spans="1:16" x14ac:dyDescent="0.25">
      <c r="A3207">
        <v>3206</v>
      </c>
      <c r="B3207" t="s">
        <v>15</v>
      </c>
      <c r="C3207">
        <v>80000</v>
      </c>
      <c r="D3207" t="s">
        <v>10</v>
      </c>
      <c r="E3207" t="s">
        <v>16</v>
      </c>
      <c r="F3207" t="s">
        <v>12</v>
      </c>
      <c r="G3207" t="s">
        <v>13</v>
      </c>
      <c r="H3207" t="s">
        <v>13</v>
      </c>
      <c r="I3207">
        <v>44</v>
      </c>
      <c r="J3207" t="str" cm="1">
        <f t="array" ref="J3207">_xlfn.IFS(ISBLANK(C3207),"FALTANTE",ABS((C3207-$W$5)/$X$5)&gt;1.96,"ATÍPICO",ABS((C3207-$W$5)/$X$5)&lt;=1.96,"NO ATÍPICO")</f>
        <v>NO ATÍPICO</v>
      </c>
      <c r="K3207" t="str" cm="1">
        <f t="array" ref="K3207">_xlfn.IFS(ISBLANK(I3207),"FALTANTE",ABS((I3207-$W$8)/$X$8)&gt;1.92,"ATÍPICO",ABS((I3207-$W$8)/$X$8)&lt;=1.92,"NO ATÍPICO")</f>
        <v>NO ATÍPICO</v>
      </c>
      <c r="L3207">
        <f t="shared" si="217"/>
        <v>80000</v>
      </c>
      <c r="M3207" t="str">
        <f t="shared" si="217"/>
        <v>ASALARIADO</v>
      </c>
      <c r="N3207">
        <f t="shared" si="218"/>
        <v>44</v>
      </c>
      <c r="O3207" s="19" t="str">
        <f t="shared" si="219"/>
        <v>0–300k</v>
      </c>
      <c r="P3207" s="19" t="str">
        <f t="shared" si="220"/>
        <v>36-45</v>
      </c>
    </row>
    <row r="3208" spans="1:16" x14ac:dyDescent="0.25">
      <c r="A3208">
        <v>3207</v>
      </c>
      <c r="B3208" t="s">
        <v>9</v>
      </c>
      <c r="C3208">
        <v>297046</v>
      </c>
      <c r="D3208" t="s">
        <v>18</v>
      </c>
      <c r="E3208" t="s">
        <v>16</v>
      </c>
      <c r="F3208" t="s">
        <v>12</v>
      </c>
      <c r="G3208" t="s">
        <v>12</v>
      </c>
      <c r="H3208" t="s">
        <v>12</v>
      </c>
      <c r="I3208">
        <v>50</v>
      </c>
      <c r="J3208" t="str" cm="1">
        <f t="array" ref="J3208">_xlfn.IFS(ISBLANK(C3208),"FALTANTE",ABS((C3208-$W$5)/$X$5)&gt;1.96,"ATÍPICO",ABS((C3208-$W$5)/$X$5)&lt;=1.96,"NO ATÍPICO")</f>
        <v>NO ATÍPICO</v>
      </c>
      <c r="K3208" t="str" cm="1">
        <f t="array" ref="K3208">_xlfn.IFS(ISBLANK(I3208),"FALTANTE",ABS((I3208-$W$8)/$X$8)&gt;1.92,"ATÍPICO",ABS((I3208-$W$8)/$X$8)&lt;=1.92,"NO ATÍPICO")</f>
        <v>NO ATÍPICO</v>
      </c>
      <c r="L3208">
        <f t="shared" si="217"/>
        <v>297046</v>
      </c>
      <c r="M3208" t="str">
        <f t="shared" si="217"/>
        <v>TRABAJADOR INDEPENDIENTE</v>
      </c>
      <c r="N3208">
        <f t="shared" si="218"/>
        <v>50</v>
      </c>
      <c r="O3208" s="19" t="str">
        <f t="shared" si="219"/>
        <v>0–300k</v>
      </c>
      <c r="P3208" s="19" t="str">
        <f t="shared" si="220"/>
        <v>46-55</v>
      </c>
    </row>
    <row r="3209" spans="1:16" x14ac:dyDescent="0.25">
      <c r="A3209">
        <v>3208</v>
      </c>
      <c r="B3209" t="s">
        <v>15</v>
      </c>
      <c r="C3209">
        <v>280000</v>
      </c>
      <c r="D3209" t="s">
        <v>10</v>
      </c>
      <c r="E3209" t="s">
        <v>16</v>
      </c>
      <c r="F3209" t="s">
        <v>12</v>
      </c>
      <c r="G3209" t="s">
        <v>12</v>
      </c>
      <c r="H3209" t="s">
        <v>12</v>
      </c>
      <c r="I3209">
        <v>44</v>
      </c>
      <c r="J3209" t="str" cm="1">
        <f t="array" ref="J3209">_xlfn.IFS(ISBLANK(C3209),"FALTANTE",ABS((C3209-$W$5)/$X$5)&gt;1.96,"ATÍPICO",ABS((C3209-$W$5)/$X$5)&lt;=1.96,"NO ATÍPICO")</f>
        <v>NO ATÍPICO</v>
      </c>
      <c r="K3209" t="str" cm="1">
        <f t="array" ref="K3209">_xlfn.IFS(ISBLANK(I3209),"FALTANTE",ABS((I3209-$W$8)/$X$8)&gt;1.92,"ATÍPICO",ABS((I3209-$W$8)/$X$8)&lt;=1.92,"NO ATÍPICO")</f>
        <v>NO ATÍPICO</v>
      </c>
      <c r="L3209">
        <f t="shared" si="217"/>
        <v>280000</v>
      </c>
      <c r="M3209" t="str">
        <f t="shared" si="217"/>
        <v>ASALARIADO</v>
      </c>
      <c r="N3209">
        <f t="shared" si="218"/>
        <v>44</v>
      </c>
      <c r="O3209" s="19" t="str">
        <f t="shared" si="219"/>
        <v>0–300k</v>
      </c>
      <c r="P3209" s="19" t="str">
        <f t="shared" si="220"/>
        <v>36-45</v>
      </c>
    </row>
    <row r="3210" spans="1:16" x14ac:dyDescent="0.25">
      <c r="A3210">
        <v>3209</v>
      </c>
      <c r="B3210" t="s">
        <v>15</v>
      </c>
      <c r="C3210">
        <v>575000</v>
      </c>
      <c r="D3210" t="s">
        <v>10</v>
      </c>
      <c r="E3210" t="s">
        <v>16</v>
      </c>
      <c r="F3210" t="s">
        <v>12</v>
      </c>
      <c r="G3210" t="s">
        <v>13</v>
      </c>
      <c r="H3210" t="s">
        <v>12</v>
      </c>
      <c r="I3210">
        <v>21</v>
      </c>
      <c r="J3210" t="str" cm="1">
        <f t="array" ref="J3210">_xlfn.IFS(ISBLANK(C3210),"FALTANTE",ABS((C3210-$W$5)/$X$5)&gt;1.96,"ATÍPICO",ABS((C3210-$W$5)/$X$5)&lt;=1.96,"NO ATÍPICO")</f>
        <v>NO ATÍPICO</v>
      </c>
      <c r="K3210" t="str" cm="1">
        <f t="array" ref="K3210">_xlfn.IFS(ISBLANK(I3210),"FALTANTE",ABS((I3210-$W$8)/$X$8)&gt;1.92,"ATÍPICO",ABS((I3210-$W$8)/$X$8)&lt;=1.92,"NO ATÍPICO")</f>
        <v>NO ATÍPICO</v>
      </c>
      <c r="L3210">
        <f t="shared" si="217"/>
        <v>575000</v>
      </c>
      <c r="M3210" t="str">
        <f t="shared" si="217"/>
        <v>ASALARIADO</v>
      </c>
      <c r="N3210">
        <f t="shared" si="218"/>
        <v>21</v>
      </c>
      <c r="O3210" s="19" t="str">
        <f t="shared" si="219"/>
        <v>300k–600k</v>
      </c>
      <c r="P3210" s="19" t="str">
        <f t="shared" si="220"/>
        <v>18-25</v>
      </c>
    </row>
    <row r="3211" spans="1:16" x14ac:dyDescent="0.25">
      <c r="A3211">
        <v>3210</v>
      </c>
      <c r="B3211" t="s">
        <v>9</v>
      </c>
      <c r="C3211">
        <v>356455</v>
      </c>
      <c r="D3211" t="s">
        <v>18</v>
      </c>
      <c r="E3211" t="s">
        <v>16</v>
      </c>
      <c r="F3211" t="s">
        <v>12</v>
      </c>
      <c r="G3211" t="s">
        <v>13</v>
      </c>
      <c r="H3211" t="s">
        <v>12</v>
      </c>
      <c r="I3211">
        <v>50</v>
      </c>
      <c r="J3211" t="str" cm="1">
        <f t="array" ref="J3211">_xlfn.IFS(ISBLANK(C3211),"FALTANTE",ABS((C3211-$W$5)/$X$5)&gt;1.96,"ATÍPICO",ABS((C3211-$W$5)/$X$5)&lt;=1.96,"NO ATÍPICO")</f>
        <v>NO ATÍPICO</v>
      </c>
      <c r="K3211" t="str" cm="1">
        <f t="array" ref="K3211">_xlfn.IFS(ISBLANK(I3211),"FALTANTE",ABS((I3211-$W$8)/$X$8)&gt;1.92,"ATÍPICO",ABS((I3211-$W$8)/$X$8)&lt;=1.92,"NO ATÍPICO")</f>
        <v>NO ATÍPICO</v>
      </c>
      <c r="L3211">
        <f t="shared" si="217"/>
        <v>356455</v>
      </c>
      <c r="M3211" t="str">
        <f t="shared" si="217"/>
        <v>TRABAJADOR INDEPENDIENTE</v>
      </c>
      <c r="N3211">
        <f t="shared" si="218"/>
        <v>50</v>
      </c>
      <c r="O3211" s="19" t="str">
        <f t="shared" si="219"/>
        <v>300k–600k</v>
      </c>
      <c r="P3211" s="19" t="str">
        <f t="shared" si="220"/>
        <v>46-55</v>
      </c>
    </row>
    <row r="3212" spans="1:16" x14ac:dyDescent="0.25">
      <c r="A3212">
        <v>3211</v>
      </c>
      <c r="B3212" t="s">
        <v>9</v>
      </c>
      <c r="C3212">
        <v>1250882.3500000001</v>
      </c>
      <c r="D3212" t="s">
        <v>10</v>
      </c>
      <c r="E3212" t="s">
        <v>11</v>
      </c>
      <c r="F3212" t="s">
        <v>12</v>
      </c>
      <c r="G3212" t="s">
        <v>13</v>
      </c>
      <c r="H3212" t="s">
        <v>13</v>
      </c>
      <c r="I3212">
        <v>30</v>
      </c>
      <c r="J3212" t="str" cm="1">
        <f t="array" ref="J3212">_xlfn.IFS(ISBLANK(C3212),"FALTANTE",ABS((C3212-$W$5)/$X$5)&gt;1.96,"ATÍPICO",ABS((C3212-$W$5)/$X$5)&lt;=1.96,"NO ATÍPICO")</f>
        <v>NO ATÍPICO</v>
      </c>
      <c r="K3212" t="str" cm="1">
        <f t="array" ref="K3212">_xlfn.IFS(ISBLANK(I3212),"FALTANTE",ABS((I3212-$W$8)/$X$8)&gt;1.92,"ATÍPICO",ABS((I3212-$W$8)/$X$8)&lt;=1.92,"NO ATÍPICO")</f>
        <v>NO ATÍPICO</v>
      </c>
      <c r="L3212">
        <f t="shared" si="217"/>
        <v>1250882.3500000001</v>
      </c>
      <c r="M3212" t="str">
        <f t="shared" si="217"/>
        <v>ASALARIADO</v>
      </c>
      <c r="N3212">
        <f t="shared" si="218"/>
        <v>30</v>
      </c>
      <c r="O3212" s="19" t="str">
        <f t="shared" si="219"/>
        <v>1200k+</v>
      </c>
      <c r="P3212" s="19" t="str">
        <f t="shared" si="220"/>
        <v>26-35</v>
      </c>
    </row>
    <row r="3213" spans="1:16" x14ac:dyDescent="0.25">
      <c r="A3213">
        <v>3212</v>
      </c>
      <c r="B3213" t="s">
        <v>9</v>
      </c>
      <c r="C3213">
        <v>1065177</v>
      </c>
      <c r="D3213" t="s">
        <v>17</v>
      </c>
      <c r="E3213" t="s">
        <v>16</v>
      </c>
      <c r="F3213" t="s">
        <v>12</v>
      </c>
      <c r="G3213" t="s">
        <v>13</v>
      </c>
      <c r="H3213" t="s">
        <v>13</v>
      </c>
      <c r="I3213">
        <v>59</v>
      </c>
      <c r="J3213" t="str" cm="1">
        <f t="array" ref="J3213">_xlfn.IFS(ISBLANK(C3213),"FALTANTE",ABS((C3213-$W$5)/$X$5)&gt;1.96,"ATÍPICO",ABS((C3213-$W$5)/$X$5)&lt;=1.96,"NO ATÍPICO")</f>
        <v>NO ATÍPICO</v>
      </c>
      <c r="K3213" t="str" cm="1">
        <f t="array" ref="K3213">_xlfn.IFS(ISBLANK(I3213),"FALTANTE",ABS((I3213-$W$8)/$X$8)&gt;1.92,"ATÍPICO",ABS((I3213-$W$8)/$X$8)&lt;=1.92,"NO ATÍPICO")</f>
        <v>NO ATÍPICO</v>
      </c>
      <c r="L3213">
        <f t="shared" si="217"/>
        <v>1065177</v>
      </c>
      <c r="M3213" t="str">
        <f t="shared" si="217"/>
        <v>ASEGURADO VOLUNTARIO</v>
      </c>
      <c r="N3213">
        <f t="shared" si="218"/>
        <v>59</v>
      </c>
      <c r="O3213" s="19" t="str">
        <f t="shared" si="219"/>
        <v>900k–1200k</v>
      </c>
      <c r="P3213" s="19" t="str">
        <f t="shared" si="220"/>
        <v>56+</v>
      </c>
    </row>
    <row r="3214" spans="1:16" x14ac:dyDescent="0.25">
      <c r="A3214">
        <v>3213</v>
      </c>
      <c r="B3214" t="s">
        <v>9</v>
      </c>
      <c r="C3214">
        <v>285000</v>
      </c>
      <c r="D3214" t="s">
        <v>10</v>
      </c>
      <c r="E3214" t="s">
        <v>16</v>
      </c>
      <c r="F3214" t="s">
        <v>12</v>
      </c>
      <c r="G3214" t="s">
        <v>13</v>
      </c>
      <c r="H3214" t="s">
        <v>12</v>
      </c>
      <c r="I3214">
        <v>51</v>
      </c>
      <c r="J3214" t="str" cm="1">
        <f t="array" ref="J3214">_xlfn.IFS(ISBLANK(C3214),"FALTANTE",ABS((C3214-$W$5)/$X$5)&gt;1.96,"ATÍPICO",ABS((C3214-$W$5)/$X$5)&lt;=1.96,"NO ATÍPICO")</f>
        <v>NO ATÍPICO</v>
      </c>
      <c r="K3214" t="str" cm="1">
        <f t="array" ref="K3214">_xlfn.IFS(ISBLANK(I3214),"FALTANTE",ABS((I3214-$W$8)/$X$8)&gt;1.92,"ATÍPICO",ABS((I3214-$W$8)/$X$8)&lt;=1.92,"NO ATÍPICO")</f>
        <v>NO ATÍPICO</v>
      </c>
      <c r="L3214">
        <f t="shared" si="217"/>
        <v>285000</v>
      </c>
      <c r="M3214" t="str">
        <f t="shared" si="217"/>
        <v>ASALARIADO</v>
      </c>
      <c r="N3214">
        <f t="shared" si="218"/>
        <v>51</v>
      </c>
      <c r="O3214" s="19" t="str">
        <f t="shared" si="219"/>
        <v>0–300k</v>
      </c>
      <c r="P3214" s="19" t="str">
        <f t="shared" si="220"/>
        <v>46-55</v>
      </c>
    </row>
    <row r="3215" spans="1:16" x14ac:dyDescent="0.25">
      <c r="A3215">
        <v>3214</v>
      </c>
      <c r="B3215" t="s">
        <v>15</v>
      </c>
      <c r="C3215">
        <v>1279275</v>
      </c>
      <c r="D3215" t="s">
        <v>10</v>
      </c>
      <c r="E3215" t="s">
        <v>11</v>
      </c>
      <c r="F3215" t="s">
        <v>12</v>
      </c>
      <c r="G3215" t="s">
        <v>13</v>
      </c>
      <c r="H3215" t="s">
        <v>13</v>
      </c>
      <c r="I3215">
        <v>31</v>
      </c>
      <c r="J3215" t="str" cm="1">
        <f t="array" ref="J3215">_xlfn.IFS(ISBLANK(C3215),"FALTANTE",ABS((C3215-$W$5)/$X$5)&gt;1.96,"ATÍPICO",ABS((C3215-$W$5)/$X$5)&lt;=1.96,"NO ATÍPICO")</f>
        <v>NO ATÍPICO</v>
      </c>
      <c r="K3215" t="str" cm="1">
        <f t="array" ref="K3215">_xlfn.IFS(ISBLANK(I3215),"FALTANTE",ABS((I3215-$W$8)/$X$8)&gt;1.92,"ATÍPICO",ABS((I3215-$W$8)/$X$8)&lt;=1.92,"NO ATÍPICO")</f>
        <v>NO ATÍPICO</v>
      </c>
      <c r="L3215">
        <f t="shared" si="217"/>
        <v>1279275</v>
      </c>
      <c r="M3215" t="str">
        <f t="shared" si="217"/>
        <v>ASALARIADO</v>
      </c>
      <c r="N3215">
        <f t="shared" si="218"/>
        <v>31</v>
      </c>
      <c r="O3215" s="19" t="str">
        <f t="shared" si="219"/>
        <v>1200k+</v>
      </c>
      <c r="P3215" s="19" t="str">
        <f t="shared" si="220"/>
        <v>26-35</v>
      </c>
    </row>
    <row r="3216" spans="1:16" x14ac:dyDescent="0.25">
      <c r="A3216">
        <v>3215</v>
      </c>
      <c r="B3216" t="s">
        <v>15</v>
      </c>
      <c r="C3216">
        <v>563332</v>
      </c>
      <c r="D3216" t="s">
        <v>10</v>
      </c>
      <c r="E3216" t="s">
        <v>16</v>
      </c>
      <c r="F3216" t="s">
        <v>12</v>
      </c>
      <c r="G3216" t="s">
        <v>13</v>
      </c>
      <c r="H3216" t="s">
        <v>13</v>
      </c>
      <c r="I3216">
        <v>34</v>
      </c>
      <c r="J3216" t="str" cm="1">
        <f t="array" ref="J3216">_xlfn.IFS(ISBLANK(C3216),"FALTANTE",ABS((C3216-$W$5)/$X$5)&gt;1.96,"ATÍPICO",ABS((C3216-$W$5)/$X$5)&lt;=1.96,"NO ATÍPICO")</f>
        <v>NO ATÍPICO</v>
      </c>
      <c r="K3216" t="str" cm="1">
        <f t="array" ref="K3216">_xlfn.IFS(ISBLANK(I3216),"FALTANTE",ABS((I3216-$W$8)/$X$8)&gt;1.92,"ATÍPICO",ABS((I3216-$W$8)/$X$8)&lt;=1.92,"NO ATÍPICO")</f>
        <v>NO ATÍPICO</v>
      </c>
      <c r="L3216">
        <f t="shared" si="217"/>
        <v>563332</v>
      </c>
      <c r="M3216" t="str">
        <f t="shared" si="217"/>
        <v>ASALARIADO</v>
      </c>
      <c r="N3216">
        <f t="shared" si="218"/>
        <v>34</v>
      </c>
      <c r="O3216" s="19" t="str">
        <f t="shared" si="219"/>
        <v>300k–600k</v>
      </c>
      <c r="P3216" s="19" t="str">
        <f t="shared" si="220"/>
        <v>26-35</v>
      </c>
    </row>
    <row r="3217" spans="1:16" x14ac:dyDescent="0.25">
      <c r="A3217">
        <v>3216</v>
      </c>
      <c r="B3217" t="s">
        <v>15</v>
      </c>
      <c r="C3217">
        <v>450886</v>
      </c>
      <c r="D3217" t="s">
        <v>17</v>
      </c>
      <c r="E3217" t="s">
        <v>16</v>
      </c>
      <c r="F3217" t="s">
        <v>12</v>
      </c>
      <c r="G3217" t="s">
        <v>12</v>
      </c>
      <c r="H3217" t="s">
        <v>13</v>
      </c>
      <c r="I3217">
        <v>95</v>
      </c>
      <c r="J3217" t="str" cm="1">
        <f t="array" ref="J3217">_xlfn.IFS(ISBLANK(C3217),"FALTANTE",ABS((C3217-$W$5)/$X$5)&gt;1.96,"ATÍPICO",ABS((C3217-$W$5)/$X$5)&lt;=1.96,"NO ATÍPICO")</f>
        <v>NO ATÍPICO</v>
      </c>
      <c r="K3217" t="str" cm="1">
        <f t="array" ref="K3217">_xlfn.IFS(ISBLANK(I3217),"FALTANTE",ABS((I3217-$W$8)/$X$8)&gt;1.92,"ATÍPICO",ABS((I3217-$W$8)/$X$8)&lt;=1.92,"NO ATÍPICO")</f>
        <v>ATÍPICO</v>
      </c>
      <c r="L3217">
        <f t="shared" si="217"/>
        <v>450886</v>
      </c>
      <c r="M3217" t="str">
        <f t="shared" si="217"/>
        <v>ASEGURADO VOLUNTARIO</v>
      </c>
      <c r="N3217">
        <f t="shared" si="218"/>
        <v>95</v>
      </c>
      <c r="O3217" s="19" t="str">
        <f t="shared" si="219"/>
        <v>300k–600k</v>
      </c>
      <c r="P3217" s="19" t="str">
        <f t="shared" si="220"/>
        <v>56+</v>
      </c>
    </row>
    <row r="3218" spans="1:16" x14ac:dyDescent="0.25">
      <c r="A3218">
        <v>3217</v>
      </c>
      <c r="B3218" t="s">
        <v>9</v>
      </c>
      <c r="C3218">
        <v>58985</v>
      </c>
      <c r="D3218" t="s">
        <v>10</v>
      </c>
      <c r="E3218" t="s">
        <v>16</v>
      </c>
      <c r="F3218" t="s">
        <v>12</v>
      </c>
      <c r="G3218" t="s">
        <v>13</v>
      </c>
      <c r="H3218" t="s">
        <v>12</v>
      </c>
      <c r="I3218">
        <v>45</v>
      </c>
      <c r="J3218" t="str" cm="1">
        <f t="array" ref="J3218">_xlfn.IFS(ISBLANK(C3218),"FALTANTE",ABS((C3218-$W$5)/$X$5)&gt;1.96,"ATÍPICO",ABS((C3218-$W$5)/$X$5)&lt;=1.96,"NO ATÍPICO")</f>
        <v>NO ATÍPICO</v>
      </c>
      <c r="K3218" t="str" cm="1">
        <f t="array" ref="K3218">_xlfn.IFS(ISBLANK(I3218),"FALTANTE",ABS((I3218-$W$8)/$X$8)&gt;1.92,"ATÍPICO",ABS((I3218-$W$8)/$X$8)&lt;=1.92,"NO ATÍPICO")</f>
        <v>NO ATÍPICO</v>
      </c>
      <c r="L3218">
        <f t="shared" si="217"/>
        <v>58985</v>
      </c>
      <c r="M3218" t="str">
        <f t="shared" si="217"/>
        <v>ASALARIADO</v>
      </c>
      <c r="N3218">
        <f t="shared" si="218"/>
        <v>45</v>
      </c>
      <c r="O3218" s="19" t="str">
        <f t="shared" si="219"/>
        <v>0–300k</v>
      </c>
      <c r="P3218" s="19" t="str">
        <f t="shared" si="220"/>
        <v>36-45</v>
      </c>
    </row>
    <row r="3219" spans="1:16" x14ac:dyDescent="0.25">
      <c r="A3219">
        <v>3218</v>
      </c>
      <c r="B3219" t="s">
        <v>9</v>
      </c>
      <c r="C3219">
        <v>278030</v>
      </c>
      <c r="D3219" t="s">
        <v>19</v>
      </c>
      <c r="E3219" t="s">
        <v>16</v>
      </c>
      <c r="F3219" t="s">
        <v>12</v>
      </c>
      <c r="G3219" t="s">
        <v>13</v>
      </c>
      <c r="H3219" t="s">
        <v>13</v>
      </c>
      <c r="I3219">
        <v>35</v>
      </c>
      <c r="J3219" t="str" cm="1">
        <f t="array" ref="J3219">_xlfn.IFS(ISBLANK(C3219),"FALTANTE",ABS((C3219-$W$5)/$X$5)&gt;1.96,"ATÍPICO",ABS((C3219-$W$5)/$X$5)&lt;=1.96,"NO ATÍPICO")</f>
        <v>NO ATÍPICO</v>
      </c>
      <c r="K3219" t="str" cm="1">
        <f t="array" ref="K3219">_xlfn.IFS(ISBLANK(I3219),"FALTANTE",ABS((I3219-$W$8)/$X$8)&gt;1.92,"ATÍPICO",ABS((I3219-$W$8)/$X$8)&lt;=1.92,"NO ATÍPICO")</f>
        <v>NO ATÍPICO</v>
      </c>
      <c r="L3219">
        <f t="shared" si="217"/>
        <v>278030</v>
      </c>
      <c r="M3219" t="str">
        <f t="shared" si="217"/>
        <v>CONVENIOS ESPECIALES DE TRABAJADORES INDEPENDIENTES</v>
      </c>
      <c r="N3219">
        <f t="shared" si="218"/>
        <v>35</v>
      </c>
      <c r="O3219" s="19" t="str">
        <f t="shared" si="219"/>
        <v>0–300k</v>
      </c>
      <c r="P3219" s="19" t="str">
        <f t="shared" si="220"/>
        <v>26-35</v>
      </c>
    </row>
    <row r="3220" spans="1:16" x14ac:dyDescent="0.25">
      <c r="A3220">
        <v>3219</v>
      </c>
      <c r="B3220" t="s">
        <v>9</v>
      </c>
      <c r="C3220">
        <v>347737.5</v>
      </c>
      <c r="D3220" t="s">
        <v>10</v>
      </c>
      <c r="E3220" t="s">
        <v>16</v>
      </c>
      <c r="F3220" t="s">
        <v>12</v>
      </c>
      <c r="G3220" t="s">
        <v>13</v>
      </c>
      <c r="H3220" t="s">
        <v>13</v>
      </c>
      <c r="I3220">
        <v>27</v>
      </c>
      <c r="J3220" t="str" cm="1">
        <f t="array" ref="J3220">_xlfn.IFS(ISBLANK(C3220),"FALTANTE",ABS((C3220-$W$5)/$X$5)&gt;1.96,"ATÍPICO",ABS((C3220-$W$5)/$X$5)&lt;=1.96,"NO ATÍPICO")</f>
        <v>NO ATÍPICO</v>
      </c>
      <c r="K3220" t="str" cm="1">
        <f t="array" ref="K3220">_xlfn.IFS(ISBLANK(I3220),"FALTANTE",ABS((I3220-$W$8)/$X$8)&gt;1.92,"ATÍPICO",ABS((I3220-$W$8)/$X$8)&lt;=1.92,"NO ATÍPICO")</f>
        <v>NO ATÍPICO</v>
      </c>
      <c r="L3220">
        <f t="shared" si="217"/>
        <v>347737.5</v>
      </c>
      <c r="M3220" t="str">
        <f t="shared" si="217"/>
        <v>ASALARIADO</v>
      </c>
      <c r="N3220">
        <f t="shared" si="218"/>
        <v>27</v>
      </c>
      <c r="O3220" s="19" t="str">
        <f t="shared" si="219"/>
        <v>300k–600k</v>
      </c>
      <c r="P3220" s="19" t="str">
        <f t="shared" si="220"/>
        <v>26-35</v>
      </c>
    </row>
    <row r="3221" spans="1:16" x14ac:dyDescent="0.25">
      <c r="A3221">
        <v>3220</v>
      </c>
      <c r="B3221" t="s">
        <v>15</v>
      </c>
      <c r="C3221">
        <v>455206.04</v>
      </c>
      <c r="D3221" t="s">
        <v>10</v>
      </c>
      <c r="E3221" t="s">
        <v>16</v>
      </c>
      <c r="F3221" t="s">
        <v>12</v>
      </c>
      <c r="G3221" t="s">
        <v>13</v>
      </c>
      <c r="H3221" t="s">
        <v>13</v>
      </c>
      <c r="I3221">
        <v>32</v>
      </c>
      <c r="J3221" t="str" cm="1">
        <f t="array" ref="J3221">_xlfn.IFS(ISBLANK(C3221),"FALTANTE",ABS((C3221-$W$5)/$X$5)&gt;1.96,"ATÍPICO",ABS((C3221-$W$5)/$X$5)&lt;=1.96,"NO ATÍPICO")</f>
        <v>NO ATÍPICO</v>
      </c>
      <c r="K3221" t="str" cm="1">
        <f t="array" ref="K3221">_xlfn.IFS(ISBLANK(I3221),"FALTANTE",ABS((I3221-$W$8)/$X$8)&gt;1.92,"ATÍPICO",ABS((I3221-$W$8)/$X$8)&lt;=1.92,"NO ATÍPICO")</f>
        <v>NO ATÍPICO</v>
      </c>
      <c r="L3221">
        <f t="shared" si="217"/>
        <v>455206.04</v>
      </c>
      <c r="M3221" t="str">
        <f t="shared" si="217"/>
        <v>ASALARIADO</v>
      </c>
      <c r="N3221">
        <f t="shared" si="218"/>
        <v>32</v>
      </c>
      <c r="O3221" s="19" t="str">
        <f t="shared" si="219"/>
        <v>300k–600k</v>
      </c>
      <c r="P3221" s="19" t="str">
        <f t="shared" si="220"/>
        <v>26-35</v>
      </c>
    </row>
    <row r="3222" spans="1:16" x14ac:dyDescent="0.25">
      <c r="A3222">
        <v>3221</v>
      </c>
      <c r="B3222" t="s">
        <v>15</v>
      </c>
      <c r="C3222">
        <v>339794.4</v>
      </c>
      <c r="D3222" t="s">
        <v>10</v>
      </c>
      <c r="E3222" t="s">
        <v>11</v>
      </c>
      <c r="F3222" t="s">
        <v>12</v>
      </c>
      <c r="G3222" t="s">
        <v>13</v>
      </c>
      <c r="H3222" t="s">
        <v>13</v>
      </c>
      <c r="I3222">
        <v>46</v>
      </c>
      <c r="J3222" t="str" cm="1">
        <f t="array" ref="J3222">_xlfn.IFS(ISBLANK(C3222),"FALTANTE",ABS((C3222-$W$5)/$X$5)&gt;1.96,"ATÍPICO",ABS((C3222-$W$5)/$X$5)&lt;=1.96,"NO ATÍPICO")</f>
        <v>NO ATÍPICO</v>
      </c>
      <c r="K3222" t="str" cm="1">
        <f t="array" ref="K3222">_xlfn.IFS(ISBLANK(I3222),"FALTANTE",ABS((I3222-$W$8)/$X$8)&gt;1.92,"ATÍPICO",ABS((I3222-$W$8)/$X$8)&lt;=1.92,"NO ATÍPICO")</f>
        <v>NO ATÍPICO</v>
      </c>
      <c r="L3222">
        <f t="shared" si="217"/>
        <v>339794.4</v>
      </c>
      <c r="M3222" t="str">
        <f t="shared" si="217"/>
        <v>ASALARIADO</v>
      </c>
      <c r="N3222">
        <f t="shared" si="218"/>
        <v>46</v>
      </c>
      <c r="O3222" s="19" t="str">
        <f t="shared" si="219"/>
        <v>300k–600k</v>
      </c>
      <c r="P3222" s="19" t="str">
        <f t="shared" si="220"/>
        <v>46-55</v>
      </c>
    </row>
    <row r="3223" spans="1:16" x14ac:dyDescent="0.25">
      <c r="A3223">
        <v>3222</v>
      </c>
      <c r="B3223" t="s">
        <v>15</v>
      </c>
      <c r="C3223">
        <v>445821</v>
      </c>
      <c r="D3223" t="s">
        <v>18</v>
      </c>
      <c r="E3223" t="s">
        <v>16</v>
      </c>
      <c r="F3223" t="s">
        <v>12</v>
      </c>
      <c r="G3223" t="s">
        <v>13</v>
      </c>
      <c r="H3223" t="s">
        <v>13</v>
      </c>
      <c r="I3223">
        <v>63</v>
      </c>
      <c r="J3223" t="str" cm="1">
        <f t="array" ref="J3223">_xlfn.IFS(ISBLANK(C3223),"FALTANTE",ABS((C3223-$W$5)/$X$5)&gt;1.96,"ATÍPICO",ABS((C3223-$W$5)/$X$5)&lt;=1.96,"NO ATÍPICO")</f>
        <v>NO ATÍPICO</v>
      </c>
      <c r="K3223" t="str" cm="1">
        <f t="array" ref="K3223">_xlfn.IFS(ISBLANK(I3223),"FALTANTE",ABS((I3223-$W$8)/$X$8)&gt;1.92,"ATÍPICO",ABS((I3223-$W$8)/$X$8)&lt;=1.92,"NO ATÍPICO")</f>
        <v>NO ATÍPICO</v>
      </c>
      <c r="L3223">
        <f t="shared" si="217"/>
        <v>445821</v>
      </c>
      <c r="M3223" t="str">
        <f t="shared" si="217"/>
        <v>TRABAJADOR INDEPENDIENTE</v>
      </c>
      <c r="N3223">
        <f t="shared" si="218"/>
        <v>63</v>
      </c>
      <c r="O3223" s="19" t="str">
        <f t="shared" si="219"/>
        <v>300k–600k</v>
      </c>
      <c r="P3223" s="19" t="str">
        <f t="shared" si="220"/>
        <v>56+</v>
      </c>
    </row>
    <row r="3224" spans="1:16" x14ac:dyDescent="0.25">
      <c r="A3224">
        <v>3223</v>
      </c>
      <c r="B3224" t="s">
        <v>9</v>
      </c>
      <c r="C3224">
        <v>326322</v>
      </c>
      <c r="D3224" t="s">
        <v>10</v>
      </c>
      <c r="E3224" t="s">
        <v>16</v>
      </c>
      <c r="F3224" t="s">
        <v>12</v>
      </c>
      <c r="G3224" t="s">
        <v>13</v>
      </c>
      <c r="H3224" t="s">
        <v>13</v>
      </c>
      <c r="I3224">
        <v>57</v>
      </c>
      <c r="J3224" t="str" cm="1">
        <f t="array" ref="J3224">_xlfn.IFS(ISBLANK(C3224),"FALTANTE",ABS((C3224-$W$5)/$X$5)&gt;1.96,"ATÍPICO",ABS((C3224-$W$5)/$X$5)&lt;=1.96,"NO ATÍPICO")</f>
        <v>NO ATÍPICO</v>
      </c>
      <c r="K3224" t="str" cm="1">
        <f t="array" ref="K3224">_xlfn.IFS(ISBLANK(I3224),"FALTANTE",ABS((I3224-$W$8)/$X$8)&gt;1.92,"ATÍPICO",ABS((I3224-$W$8)/$X$8)&lt;=1.92,"NO ATÍPICO")</f>
        <v>NO ATÍPICO</v>
      </c>
      <c r="L3224">
        <f t="shared" si="217"/>
        <v>326322</v>
      </c>
      <c r="M3224" t="str">
        <f t="shared" si="217"/>
        <v>ASALARIADO</v>
      </c>
      <c r="N3224">
        <f t="shared" si="218"/>
        <v>57</v>
      </c>
      <c r="O3224" s="19" t="str">
        <f t="shared" si="219"/>
        <v>300k–600k</v>
      </c>
      <c r="P3224" s="19" t="str">
        <f t="shared" si="220"/>
        <v>56+</v>
      </c>
    </row>
    <row r="3225" spans="1:16" x14ac:dyDescent="0.25">
      <c r="A3225">
        <v>3224</v>
      </c>
      <c r="B3225" t="s">
        <v>9</v>
      </c>
      <c r="C3225">
        <v>278030</v>
      </c>
      <c r="D3225" t="s">
        <v>19</v>
      </c>
      <c r="E3225" t="s">
        <v>16</v>
      </c>
      <c r="F3225" t="s">
        <v>12</v>
      </c>
      <c r="G3225" t="s">
        <v>13</v>
      </c>
      <c r="H3225" t="s">
        <v>13</v>
      </c>
      <c r="I3225">
        <v>57</v>
      </c>
      <c r="J3225" t="str" cm="1">
        <f t="array" ref="J3225">_xlfn.IFS(ISBLANK(C3225),"FALTANTE",ABS((C3225-$W$5)/$X$5)&gt;1.96,"ATÍPICO",ABS((C3225-$W$5)/$X$5)&lt;=1.96,"NO ATÍPICO")</f>
        <v>NO ATÍPICO</v>
      </c>
      <c r="K3225" t="str" cm="1">
        <f t="array" ref="K3225">_xlfn.IFS(ISBLANK(I3225),"FALTANTE",ABS((I3225-$W$8)/$X$8)&gt;1.92,"ATÍPICO",ABS((I3225-$W$8)/$X$8)&lt;=1.92,"NO ATÍPICO")</f>
        <v>NO ATÍPICO</v>
      </c>
      <c r="L3225">
        <f t="shared" si="217"/>
        <v>278030</v>
      </c>
      <c r="M3225" t="str">
        <f t="shared" si="217"/>
        <v>CONVENIOS ESPECIALES DE TRABAJADORES INDEPENDIENTES</v>
      </c>
      <c r="N3225">
        <f t="shared" si="218"/>
        <v>57</v>
      </c>
      <c r="O3225" s="19" t="str">
        <f t="shared" si="219"/>
        <v>0–300k</v>
      </c>
      <c r="P3225" s="19" t="str">
        <f t="shared" si="220"/>
        <v>56+</v>
      </c>
    </row>
    <row r="3226" spans="1:16" x14ac:dyDescent="0.25">
      <c r="A3226">
        <v>3225</v>
      </c>
      <c r="B3226" t="s">
        <v>9</v>
      </c>
      <c r="C3226">
        <v>300018</v>
      </c>
      <c r="D3226" t="s">
        <v>17</v>
      </c>
      <c r="E3226" t="s">
        <v>16</v>
      </c>
      <c r="F3226" t="s">
        <v>12</v>
      </c>
      <c r="G3226" t="s">
        <v>13</v>
      </c>
      <c r="H3226" t="s">
        <v>13</v>
      </c>
      <c r="I3226">
        <v>60</v>
      </c>
      <c r="J3226" t="str" cm="1">
        <f t="array" ref="J3226">_xlfn.IFS(ISBLANK(C3226),"FALTANTE",ABS((C3226-$W$5)/$X$5)&gt;1.96,"ATÍPICO",ABS((C3226-$W$5)/$X$5)&lt;=1.96,"NO ATÍPICO")</f>
        <v>NO ATÍPICO</v>
      </c>
      <c r="K3226" t="str" cm="1">
        <f t="array" ref="K3226">_xlfn.IFS(ISBLANK(I3226),"FALTANTE",ABS((I3226-$W$8)/$X$8)&gt;1.92,"ATÍPICO",ABS((I3226-$W$8)/$X$8)&lt;=1.92,"NO ATÍPICO")</f>
        <v>NO ATÍPICO</v>
      </c>
      <c r="L3226">
        <f t="shared" si="217"/>
        <v>300018</v>
      </c>
      <c r="M3226" t="str">
        <f t="shared" si="217"/>
        <v>ASEGURADO VOLUNTARIO</v>
      </c>
      <c r="N3226">
        <f t="shared" si="218"/>
        <v>60</v>
      </c>
      <c r="O3226" s="19" t="str">
        <f t="shared" si="219"/>
        <v>300k–600k</v>
      </c>
      <c r="P3226" s="19" t="str">
        <f t="shared" si="220"/>
        <v>56+</v>
      </c>
    </row>
    <row r="3227" spans="1:16" x14ac:dyDescent="0.25">
      <c r="A3227">
        <v>3226</v>
      </c>
      <c r="B3227" t="s">
        <v>15</v>
      </c>
      <c r="C3227">
        <v>420214.94</v>
      </c>
      <c r="D3227" t="s">
        <v>10</v>
      </c>
      <c r="E3227" t="s">
        <v>16</v>
      </c>
      <c r="F3227" t="s">
        <v>12</v>
      </c>
      <c r="G3227" t="s">
        <v>13</v>
      </c>
      <c r="H3227" t="s">
        <v>13</v>
      </c>
      <c r="I3227">
        <v>34</v>
      </c>
      <c r="J3227" t="str" cm="1">
        <f t="array" ref="J3227">_xlfn.IFS(ISBLANK(C3227),"FALTANTE",ABS((C3227-$W$5)/$X$5)&gt;1.96,"ATÍPICO",ABS((C3227-$W$5)/$X$5)&lt;=1.96,"NO ATÍPICO")</f>
        <v>NO ATÍPICO</v>
      </c>
      <c r="K3227" t="str" cm="1">
        <f t="array" ref="K3227">_xlfn.IFS(ISBLANK(I3227),"FALTANTE",ABS((I3227-$W$8)/$X$8)&gt;1.92,"ATÍPICO",ABS((I3227-$W$8)/$X$8)&lt;=1.92,"NO ATÍPICO")</f>
        <v>NO ATÍPICO</v>
      </c>
      <c r="L3227">
        <f t="shared" si="217"/>
        <v>420214.94</v>
      </c>
      <c r="M3227" t="str">
        <f t="shared" si="217"/>
        <v>ASALARIADO</v>
      </c>
      <c r="N3227">
        <f t="shared" si="218"/>
        <v>34</v>
      </c>
      <c r="O3227" s="19" t="str">
        <f t="shared" si="219"/>
        <v>300k–600k</v>
      </c>
      <c r="P3227" s="19" t="str">
        <f t="shared" si="220"/>
        <v>26-35</v>
      </c>
    </row>
    <row r="3228" spans="1:16" x14ac:dyDescent="0.25">
      <c r="A3228">
        <v>3227</v>
      </c>
      <c r="B3228" t="s">
        <v>9</v>
      </c>
      <c r="C3228">
        <v>202396.55</v>
      </c>
      <c r="D3228" t="s">
        <v>10</v>
      </c>
      <c r="E3228" t="s">
        <v>16</v>
      </c>
      <c r="F3228" t="s">
        <v>12</v>
      </c>
      <c r="G3228" t="s">
        <v>13</v>
      </c>
      <c r="H3228" t="s">
        <v>13</v>
      </c>
      <c r="I3228">
        <v>22</v>
      </c>
      <c r="J3228" t="str" cm="1">
        <f t="array" ref="J3228">_xlfn.IFS(ISBLANK(C3228),"FALTANTE",ABS((C3228-$W$5)/$X$5)&gt;1.96,"ATÍPICO",ABS((C3228-$W$5)/$X$5)&lt;=1.96,"NO ATÍPICO")</f>
        <v>NO ATÍPICO</v>
      </c>
      <c r="K3228" t="str" cm="1">
        <f t="array" ref="K3228">_xlfn.IFS(ISBLANK(I3228),"FALTANTE",ABS((I3228-$W$8)/$X$8)&gt;1.92,"ATÍPICO",ABS((I3228-$W$8)/$X$8)&lt;=1.92,"NO ATÍPICO")</f>
        <v>NO ATÍPICO</v>
      </c>
      <c r="L3228">
        <f t="shared" si="217"/>
        <v>202396.55</v>
      </c>
      <c r="M3228" t="str">
        <f t="shared" si="217"/>
        <v>ASALARIADO</v>
      </c>
      <c r="N3228">
        <f t="shared" si="218"/>
        <v>22</v>
      </c>
      <c r="O3228" s="19" t="str">
        <f t="shared" si="219"/>
        <v>0–300k</v>
      </c>
      <c r="P3228" s="19" t="str">
        <f t="shared" si="220"/>
        <v>18-25</v>
      </c>
    </row>
    <row r="3229" spans="1:16" x14ac:dyDescent="0.25">
      <c r="A3229">
        <v>3228</v>
      </c>
      <c r="B3229" t="s">
        <v>9</v>
      </c>
      <c r="C3229">
        <v>1000025.21</v>
      </c>
      <c r="D3229" t="s">
        <v>14</v>
      </c>
      <c r="E3229" t="s">
        <v>11</v>
      </c>
      <c r="F3229" t="s">
        <v>12</v>
      </c>
      <c r="G3229" t="s">
        <v>13</v>
      </c>
      <c r="H3229" t="s">
        <v>13</v>
      </c>
      <c r="I3229">
        <v>67</v>
      </c>
      <c r="J3229" t="str" cm="1">
        <f t="array" ref="J3229">_xlfn.IFS(ISBLANK(C3229),"FALTANTE",ABS((C3229-$W$5)/$X$5)&gt;1.96,"ATÍPICO",ABS((C3229-$W$5)/$X$5)&lt;=1.96,"NO ATÍPICO")</f>
        <v>NO ATÍPICO</v>
      </c>
      <c r="K3229" t="str" cm="1">
        <f t="array" ref="K3229">_xlfn.IFS(ISBLANK(I3229),"FALTANTE",ABS((I3229-$W$8)/$X$8)&gt;1.92,"ATÍPICO",ABS((I3229-$W$8)/$X$8)&lt;=1.92,"NO ATÍPICO")</f>
        <v>NO ATÍPICO</v>
      </c>
      <c r="L3229">
        <f t="shared" si="217"/>
        <v>1000025.21</v>
      </c>
      <c r="M3229" t="str">
        <f t="shared" si="217"/>
        <v>PENSIONADOS EN SU PROPIO SISTEMA</v>
      </c>
      <c r="N3229">
        <f t="shared" si="218"/>
        <v>67</v>
      </c>
      <c r="O3229" s="19" t="str">
        <f t="shared" si="219"/>
        <v>900k–1200k</v>
      </c>
      <c r="P3229" s="19" t="str">
        <f t="shared" si="220"/>
        <v>56+</v>
      </c>
    </row>
    <row r="3230" spans="1:16" x14ac:dyDescent="0.25">
      <c r="A3230">
        <v>3229</v>
      </c>
      <c r="B3230" t="s">
        <v>9</v>
      </c>
      <c r="C3230">
        <v>924499</v>
      </c>
      <c r="D3230" t="s">
        <v>10</v>
      </c>
      <c r="E3230" t="s">
        <v>11</v>
      </c>
      <c r="F3230" t="s">
        <v>12</v>
      </c>
      <c r="G3230" t="s">
        <v>13</v>
      </c>
      <c r="H3230" t="s">
        <v>13</v>
      </c>
      <c r="I3230">
        <v>42</v>
      </c>
      <c r="J3230" t="str" cm="1">
        <f t="array" ref="J3230">_xlfn.IFS(ISBLANK(C3230),"FALTANTE",ABS((C3230-$W$5)/$X$5)&gt;1.96,"ATÍPICO",ABS((C3230-$W$5)/$X$5)&lt;=1.96,"NO ATÍPICO")</f>
        <v>NO ATÍPICO</v>
      </c>
      <c r="K3230" t="str" cm="1">
        <f t="array" ref="K3230">_xlfn.IFS(ISBLANK(I3230),"FALTANTE",ABS((I3230-$W$8)/$X$8)&gt;1.92,"ATÍPICO",ABS((I3230-$W$8)/$X$8)&lt;=1.92,"NO ATÍPICO")</f>
        <v>NO ATÍPICO</v>
      </c>
      <c r="L3230">
        <f t="shared" si="217"/>
        <v>924499</v>
      </c>
      <c r="M3230" t="str">
        <f t="shared" si="217"/>
        <v>ASALARIADO</v>
      </c>
      <c r="N3230">
        <f t="shared" si="218"/>
        <v>42</v>
      </c>
      <c r="O3230" s="19" t="str">
        <f t="shared" si="219"/>
        <v>900k–1200k</v>
      </c>
      <c r="P3230" s="19" t="str">
        <f t="shared" si="220"/>
        <v>36-45</v>
      </c>
    </row>
    <row r="3231" spans="1:16" x14ac:dyDescent="0.25">
      <c r="A3231">
        <v>3230</v>
      </c>
      <c r="B3231" t="s">
        <v>9</v>
      </c>
      <c r="C3231">
        <v>336000</v>
      </c>
      <c r="D3231" t="s">
        <v>10</v>
      </c>
      <c r="E3231" t="s">
        <v>16</v>
      </c>
      <c r="F3231" t="s">
        <v>12</v>
      </c>
      <c r="G3231" t="s">
        <v>13</v>
      </c>
      <c r="H3231" t="s">
        <v>12</v>
      </c>
      <c r="I3231">
        <v>39</v>
      </c>
      <c r="J3231" t="str" cm="1">
        <f t="array" ref="J3231">_xlfn.IFS(ISBLANK(C3231),"FALTANTE",ABS((C3231-$W$5)/$X$5)&gt;1.96,"ATÍPICO",ABS((C3231-$W$5)/$X$5)&lt;=1.96,"NO ATÍPICO")</f>
        <v>NO ATÍPICO</v>
      </c>
      <c r="K3231" t="str" cm="1">
        <f t="array" ref="K3231">_xlfn.IFS(ISBLANK(I3231),"FALTANTE",ABS((I3231-$W$8)/$X$8)&gt;1.92,"ATÍPICO",ABS((I3231-$W$8)/$X$8)&lt;=1.92,"NO ATÍPICO")</f>
        <v>NO ATÍPICO</v>
      </c>
      <c r="L3231">
        <f t="shared" si="217"/>
        <v>336000</v>
      </c>
      <c r="M3231" t="str">
        <f t="shared" si="217"/>
        <v>ASALARIADO</v>
      </c>
      <c r="N3231">
        <f t="shared" si="218"/>
        <v>39</v>
      </c>
      <c r="O3231" s="19" t="str">
        <f t="shared" si="219"/>
        <v>300k–600k</v>
      </c>
      <c r="P3231" s="19" t="str">
        <f t="shared" si="220"/>
        <v>36-45</v>
      </c>
    </row>
    <row r="3232" spans="1:16" x14ac:dyDescent="0.25">
      <c r="A3232">
        <v>3231</v>
      </c>
      <c r="B3232" t="s">
        <v>9</v>
      </c>
      <c r="C3232">
        <v>278030</v>
      </c>
      <c r="D3232" t="s">
        <v>19</v>
      </c>
      <c r="E3232" t="s">
        <v>16</v>
      </c>
      <c r="F3232" t="s">
        <v>12</v>
      </c>
      <c r="G3232" t="s">
        <v>13</v>
      </c>
      <c r="H3232" t="s">
        <v>13</v>
      </c>
      <c r="I3232">
        <v>89</v>
      </c>
      <c r="J3232" t="str" cm="1">
        <f t="array" ref="J3232">_xlfn.IFS(ISBLANK(C3232),"FALTANTE",ABS((C3232-$W$5)/$X$5)&gt;1.96,"ATÍPICO",ABS((C3232-$W$5)/$X$5)&lt;=1.96,"NO ATÍPICO")</f>
        <v>NO ATÍPICO</v>
      </c>
      <c r="K3232" t="str" cm="1">
        <f t="array" ref="K3232">_xlfn.IFS(ISBLANK(I3232),"FALTANTE",ABS((I3232-$W$8)/$X$8)&gt;1.92,"ATÍPICO",ABS((I3232-$W$8)/$X$8)&lt;=1.92,"NO ATÍPICO")</f>
        <v>ATÍPICO</v>
      </c>
      <c r="L3232">
        <f t="shared" si="217"/>
        <v>278030</v>
      </c>
      <c r="M3232" t="str">
        <f t="shared" si="217"/>
        <v>CONVENIOS ESPECIALES DE TRABAJADORES INDEPENDIENTES</v>
      </c>
      <c r="N3232">
        <f t="shared" si="218"/>
        <v>89</v>
      </c>
      <c r="O3232" s="19" t="str">
        <f t="shared" si="219"/>
        <v>0–300k</v>
      </c>
      <c r="P3232" s="19" t="str">
        <f t="shared" si="220"/>
        <v>56+</v>
      </c>
    </row>
    <row r="3233" spans="1:16" x14ac:dyDescent="0.25">
      <c r="A3233">
        <v>3232</v>
      </c>
      <c r="B3233" t="s">
        <v>9</v>
      </c>
      <c r="C3233">
        <v>1529457.14</v>
      </c>
      <c r="D3233" t="s">
        <v>10</v>
      </c>
      <c r="E3233" t="s">
        <v>16</v>
      </c>
      <c r="F3233" t="s">
        <v>12</v>
      </c>
      <c r="G3233" t="s">
        <v>13</v>
      </c>
      <c r="H3233" t="s">
        <v>13</v>
      </c>
      <c r="I3233">
        <v>32</v>
      </c>
      <c r="J3233" t="str" cm="1">
        <f t="array" ref="J3233">_xlfn.IFS(ISBLANK(C3233),"FALTANTE",ABS((C3233-$W$5)/$X$5)&gt;1.96,"ATÍPICO",ABS((C3233-$W$5)/$X$5)&lt;=1.96,"NO ATÍPICO")</f>
        <v>NO ATÍPICO</v>
      </c>
      <c r="K3233" t="str" cm="1">
        <f t="array" ref="K3233">_xlfn.IFS(ISBLANK(I3233),"FALTANTE",ABS((I3233-$W$8)/$X$8)&gt;1.92,"ATÍPICO",ABS((I3233-$W$8)/$X$8)&lt;=1.92,"NO ATÍPICO")</f>
        <v>NO ATÍPICO</v>
      </c>
      <c r="L3233">
        <f t="shared" si="217"/>
        <v>1529457.14</v>
      </c>
      <c r="M3233" t="str">
        <f t="shared" si="217"/>
        <v>ASALARIADO</v>
      </c>
      <c r="N3233">
        <f t="shared" si="218"/>
        <v>32</v>
      </c>
      <c r="O3233" s="19" t="str">
        <f t="shared" si="219"/>
        <v>1200k+</v>
      </c>
      <c r="P3233" s="19" t="str">
        <f t="shared" si="220"/>
        <v>26-35</v>
      </c>
    </row>
    <row r="3234" spans="1:16" x14ac:dyDescent="0.25">
      <c r="A3234">
        <v>3233</v>
      </c>
      <c r="B3234" t="s">
        <v>9</v>
      </c>
      <c r="C3234">
        <v>297046</v>
      </c>
      <c r="D3234" t="s">
        <v>18</v>
      </c>
      <c r="E3234" t="s">
        <v>16</v>
      </c>
      <c r="F3234" t="s">
        <v>12</v>
      </c>
      <c r="G3234" t="s">
        <v>13</v>
      </c>
      <c r="H3234" t="s">
        <v>12</v>
      </c>
      <c r="I3234">
        <v>59</v>
      </c>
      <c r="J3234" t="str" cm="1">
        <f t="array" ref="J3234">_xlfn.IFS(ISBLANK(C3234),"FALTANTE",ABS((C3234-$W$5)/$X$5)&gt;1.96,"ATÍPICO",ABS((C3234-$W$5)/$X$5)&lt;=1.96,"NO ATÍPICO")</f>
        <v>NO ATÍPICO</v>
      </c>
      <c r="K3234" t="str" cm="1">
        <f t="array" ref="K3234">_xlfn.IFS(ISBLANK(I3234),"FALTANTE",ABS((I3234-$W$8)/$X$8)&gt;1.92,"ATÍPICO",ABS((I3234-$W$8)/$X$8)&lt;=1.92,"NO ATÍPICO")</f>
        <v>NO ATÍPICO</v>
      </c>
      <c r="L3234">
        <f t="shared" si="217"/>
        <v>297046</v>
      </c>
      <c r="M3234" t="str">
        <f t="shared" si="217"/>
        <v>TRABAJADOR INDEPENDIENTE</v>
      </c>
      <c r="N3234">
        <f t="shared" si="218"/>
        <v>59</v>
      </c>
      <c r="O3234" s="19" t="str">
        <f t="shared" si="219"/>
        <v>0–300k</v>
      </c>
      <c r="P3234" s="19" t="str">
        <f t="shared" si="220"/>
        <v>56+</v>
      </c>
    </row>
    <row r="3235" spans="1:16" x14ac:dyDescent="0.25">
      <c r="A3235">
        <v>3234</v>
      </c>
      <c r="B3235" t="s">
        <v>9</v>
      </c>
      <c r="C3235">
        <v>358640</v>
      </c>
      <c r="D3235" t="s">
        <v>18</v>
      </c>
      <c r="E3235" t="s">
        <v>16</v>
      </c>
      <c r="F3235" t="s">
        <v>12</v>
      </c>
      <c r="G3235" t="s">
        <v>13</v>
      </c>
      <c r="H3235" t="s">
        <v>12</v>
      </c>
      <c r="I3235">
        <v>63</v>
      </c>
      <c r="J3235" t="str" cm="1">
        <f t="array" ref="J3235">_xlfn.IFS(ISBLANK(C3235),"FALTANTE",ABS((C3235-$W$5)/$X$5)&gt;1.96,"ATÍPICO",ABS((C3235-$W$5)/$X$5)&lt;=1.96,"NO ATÍPICO")</f>
        <v>NO ATÍPICO</v>
      </c>
      <c r="K3235" t="str" cm="1">
        <f t="array" ref="K3235">_xlfn.IFS(ISBLANK(I3235),"FALTANTE",ABS((I3235-$W$8)/$X$8)&gt;1.92,"ATÍPICO",ABS((I3235-$W$8)/$X$8)&lt;=1.92,"NO ATÍPICO")</f>
        <v>NO ATÍPICO</v>
      </c>
      <c r="L3235">
        <f t="shared" si="217"/>
        <v>358640</v>
      </c>
      <c r="M3235" t="str">
        <f t="shared" si="217"/>
        <v>TRABAJADOR INDEPENDIENTE</v>
      </c>
      <c r="N3235">
        <f t="shared" si="218"/>
        <v>63</v>
      </c>
      <c r="O3235" s="19" t="str">
        <f t="shared" si="219"/>
        <v>300k–600k</v>
      </c>
      <c r="P3235" s="19" t="str">
        <f t="shared" si="220"/>
        <v>56+</v>
      </c>
    </row>
    <row r="3236" spans="1:16" x14ac:dyDescent="0.25">
      <c r="A3236">
        <v>3235</v>
      </c>
      <c r="B3236" t="s">
        <v>9</v>
      </c>
      <c r="C3236">
        <v>414416</v>
      </c>
      <c r="D3236" t="s">
        <v>10</v>
      </c>
      <c r="E3236" t="s">
        <v>16</v>
      </c>
      <c r="F3236" t="s">
        <v>12</v>
      </c>
      <c r="G3236" t="s">
        <v>13</v>
      </c>
      <c r="H3236" t="s">
        <v>13</v>
      </c>
      <c r="I3236">
        <v>61</v>
      </c>
      <c r="J3236" t="str" cm="1">
        <f t="array" ref="J3236">_xlfn.IFS(ISBLANK(C3236),"FALTANTE",ABS((C3236-$W$5)/$X$5)&gt;1.96,"ATÍPICO",ABS((C3236-$W$5)/$X$5)&lt;=1.96,"NO ATÍPICO")</f>
        <v>NO ATÍPICO</v>
      </c>
      <c r="K3236" t="str" cm="1">
        <f t="array" ref="K3236">_xlfn.IFS(ISBLANK(I3236),"FALTANTE",ABS((I3236-$W$8)/$X$8)&gt;1.92,"ATÍPICO",ABS((I3236-$W$8)/$X$8)&lt;=1.92,"NO ATÍPICO")</f>
        <v>NO ATÍPICO</v>
      </c>
      <c r="L3236">
        <f t="shared" si="217"/>
        <v>414416</v>
      </c>
      <c r="M3236" t="str">
        <f t="shared" si="217"/>
        <v>ASALARIADO</v>
      </c>
      <c r="N3236">
        <f t="shared" si="218"/>
        <v>61</v>
      </c>
      <c r="O3236" s="19" t="str">
        <f t="shared" si="219"/>
        <v>300k–600k</v>
      </c>
      <c r="P3236" s="19" t="str">
        <f t="shared" si="220"/>
        <v>56+</v>
      </c>
    </row>
    <row r="3237" spans="1:16" x14ac:dyDescent="0.25">
      <c r="A3237">
        <v>3236</v>
      </c>
      <c r="B3237" t="s">
        <v>15</v>
      </c>
      <c r="C3237">
        <v>347256</v>
      </c>
      <c r="D3237" t="s">
        <v>10</v>
      </c>
      <c r="E3237" t="s">
        <v>11</v>
      </c>
      <c r="F3237" t="s">
        <v>12</v>
      </c>
      <c r="G3237" t="s">
        <v>13</v>
      </c>
      <c r="H3237" t="s">
        <v>12</v>
      </c>
      <c r="I3237">
        <v>47</v>
      </c>
      <c r="J3237" t="str" cm="1">
        <f t="array" ref="J3237">_xlfn.IFS(ISBLANK(C3237),"FALTANTE",ABS((C3237-$W$5)/$X$5)&gt;1.96,"ATÍPICO",ABS((C3237-$W$5)/$X$5)&lt;=1.96,"NO ATÍPICO")</f>
        <v>NO ATÍPICO</v>
      </c>
      <c r="K3237" t="str" cm="1">
        <f t="array" ref="K3237">_xlfn.IFS(ISBLANK(I3237),"FALTANTE",ABS((I3237-$W$8)/$X$8)&gt;1.92,"ATÍPICO",ABS((I3237-$W$8)/$X$8)&lt;=1.92,"NO ATÍPICO")</f>
        <v>NO ATÍPICO</v>
      </c>
      <c r="L3237">
        <f t="shared" si="217"/>
        <v>347256</v>
      </c>
      <c r="M3237" t="str">
        <f t="shared" si="217"/>
        <v>ASALARIADO</v>
      </c>
      <c r="N3237">
        <f t="shared" si="218"/>
        <v>47</v>
      </c>
      <c r="O3237" s="19" t="str">
        <f t="shared" si="219"/>
        <v>300k–600k</v>
      </c>
      <c r="P3237" s="19" t="str">
        <f t="shared" si="220"/>
        <v>46-55</v>
      </c>
    </row>
    <row r="3238" spans="1:16" x14ac:dyDescent="0.25">
      <c r="A3238">
        <v>3237</v>
      </c>
      <c r="B3238" t="s">
        <v>9</v>
      </c>
      <c r="C3238">
        <v>1119534</v>
      </c>
      <c r="D3238" t="s">
        <v>18</v>
      </c>
      <c r="E3238" t="s">
        <v>16</v>
      </c>
      <c r="F3238" t="s">
        <v>12</v>
      </c>
      <c r="G3238" t="s">
        <v>13</v>
      </c>
      <c r="H3238" t="s">
        <v>13</v>
      </c>
      <c r="I3238">
        <v>71</v>
      </c>
      <c r="J3238" t="str" cm="1">
        <f t="array" ref="J3238">_xlfn.IFS(ISBLANK(C3238),"FALTANTE",ABS((C3238-$W$5)/$X$5)&gt;1.96,"ATÍPICO",ABS((C3238-$W$5)/$X$5)&lt;=1.96,"NO ATÍPICO")</f>
        <v>NO ATÍPICO</v>
      </c>
      <c r="K3238" t="str" cm="1">
        <f t="array" ref="K3238">_xlfn.IFS(ISBLANK(I3238),"FALTANTE",ABS((I3238-$W$8)/$X$8)&gt;1.92,"ATÍPICO",ABS((I3238-$W$8)/$X$8)&lt;=1.92,"NO ATÍPICO")</f>
        <v>ATÍPICO</v>
      </c>
      <c r="L3238">
        <f t="shared" si="217"/>
        <v>1119534</v>
      </c>
      <c r="M3238" t="str">
        <f t="shared" si="217"/>
        <v>TRABAJADOR INDEPENDIENTE</v>
      </c>
      <c r="N3238">
        <f t="shared" si="218"/>
        <v>71</v>
      </c>
      <c r="O3238" s="19" t="str">
        <f t="shared" si="219"/>
        <v>900k–1200k</v>
      </c>
      <c r="P3238" s="19" t="str">
        <f t="shared" si="220"/>
        <v>56+</v>
      </c>
    </row>
    <row r="3239" spans="1:16" x14ac:dyDescent="0.25">
      <c r="A3239">
        <v>3238</v>
      </c>
      <c r="B3239" t="s">
        <v>15</v>
      </c>
      <c r="C3239">
        <v>346666.67</v>
      </c>
      <c r="D3239" t="s">
        <v>10</v>
      </c>
      <c r="E3239" t="s">
        <v>16</v>
      </c>
      <c r="F3239" t="s">
        <v>12</v>
      </c>
      <c r="G3239" t="s">
        <v>13</v>
      </c>
      <c r="H3239" t="s">
        <v>13</v>
      </c>
      <c r="I3239">
        <v>38</v>
      </c>
      <c r="J3239" t="str" cm="1">
        <f t="array" ref="J3239">_xlfn.IFS(ISBLANK(C3239),"FALTANTE",ABS((C3239-$W$5)/$X$5)&gt;1.96,"ATÍPICO",ABS((C3239-$W$5)/$X$5)&lt;=1.96,"NO ATÍPICO")</f>
        <v>NO ATÍPICO</v>
      </c>
      <c r="K3239" t="str" cm="1">
        <f t="array" ref="K3239">_xlfn.IFS(ISBLANK(I3239),"FALTANTE",ABS((I3239-$W$8)/$X$8)&gt;1.92,"ATÍPICO",ABS((I3239-$W$8)/$X$8)&lt;=1.92,"NO ATÍPICO")</f>
        <v>NO ATÍPICO</v>
      </c>
      <c r="L3239">
        <f t="shared" si="217"/>
        <v>346666.67</v>
      </c>
      <c r="M3239" t="str">
        <f t="shared" si="217"/>
        <v>ASALARIADO</v>
      </c>
      <c r="N3239">
        <f t="shared" si="218"/>
        <v>38</v>
      </c>
      <c r="O3239" s="19" t="str">
        <f t="shared" si="219"/>
        <v>300k–600k</v>
      </c>
      <c r="P3239" s="19" t="str">
        <f t="shared" si="220"/>
        <v>36-45</v>
      </c>
    </row>
    <row r="3240" spans="1:16" x14ac:dyDescent="0.25">
      <c r="A3240">
        <v>3239</v>
      </c>
      <c r="B3240" t="s">
        <v>9</v>
      </c>
      <c r="C3240">
        <v>594092</v>
      </c>
      <c r="D3240" t="s">
        <v>18</v>
      </c>
      <c r="E3240" t="s">
        <v>16</v>
      </c>
      <c r="F3240" t="s">
        <v>12</v>
      </c>
      <c r="G3240" t="s">
        <v>13</v>
      </c>
      <c r="H3240" t="s">
        <v>12</v>
      </c>
      <c r="I3240">
        <v>39</v>
      </c>
      <c r="J3240" t="str" cm="1">
        <f t="array" ref="J3240">_xlfn.IFS(ISBLANK(C3240),"FALTANTE",ABS((C3240-$W$5)/$X$5)&gt;1.96,"ATÍPICO",ABS((C3240-$W$5)/$X$5)&lt;=1.96,"NO ATÍPICO")</f>
        <v>NO ATÍPICO</v>
      </c>
      <c r="K3240" t="str" cm="1">
        <f t="array" ref="K3240">_xlfn.IFS(ISBLANK(I3240),"FALTANTE",ABS((I3240-$W$8)/$X$8)&gt;1.92,"ATÍPICO",ABS((I3240-$W$8)/$X$8)&lt;=1.92,"NO ATÍPICO")</f>
        <v>NO ATÍPICO</v>
      </c>
      <c r="L3240">
        <f t="shared" si="217"/>
        <v>594092</v>
      </c>
      <c r="M3240" t="str">
        <f t="shared" si="217"/>
        <v>TRABAJADOR INDEPENDIENTE</v>
      </c>
      <c r="N3240">
        <f t="shared" si="218"/>
        <v>39</v>
      </c>
      <c r="O3240" s="19" t="str">
        <f t="shared" si="219"/>
        <v>300k–600k</v>
      </c>
      <c r="P3240" s="19" t="str">
        <f t="shared" si="220"/>
        <v>36-45</v>
      </c>
    </row>
    <row r="3241" spans="1:16" x14ac:dyDescent="0.25">
      <c r="A3241">
        <v>3240</v>
      </c>
      <c r="B3241" t="s">
        <v>15</v>
      </c>
      <c r="C3241">
        <v>175000</v>
      </c>
      <c r="D3241" t="s">
        <v>10</v>
      </c>
      <c r="E3241" t="s">
        <v>16</v>
      </c>
      <c r="F3241" t="s">
        <v>12</v>
      </c>
      <c r="G3241" t="s">
        <v>13</v>
      </c>
      <c r="H3241" t="s">
        <v>13</v>
      </c>
      <c r="I3241">
        <v>31</v>
      </c>
      <c r="J3241" t="str" cm="1">
        <f t="array" ref="J3241">_xlfn.IFS(ISBLANK(C3241),"FALTANTE",ABS((C3241-$W$5)/$X$5)&gt;1.96,"ATÍPICO",ABS((C3241-$W$5)/$X$5)&lt;=1.96,"NO ATÍPICO")</f>
        <v>NO ATÍPICO</v>
      </c>
      <c r="K3241" t="str" cm="1">
        <f t="array" ref="K3241">_xlfn.IFS(ISBLANK(I3241),"FALTANTE",ABS((I3241-$W$8)/$X$8)&gt;1.92,"ATÍPICO",ABS((I3241-$W$8)/$X$8)&lt;=1.92,"NO ATÍPICO")</f>
        <v>NO ATÍPICO</v>
      </c>
      <c r="L3241">
        <f t="shared" si="217"/>
        <v>175000</v>
      </c>
      <c r="M3241" t="str">
        <f t="shared" si="217"/>
        <v>ASALARIADO</v>
      </c>
      <c r="N3241">
        <f t="shared" si="218"/>
        <v>31</v>
      </c>
      <c r="O3241" s="19" t="str">
        <f t="shared" si="219"/>
        <v>0–300k</v>
      </c>
      <c r="P3241" s="19" t="str">
        <f t="shared" si="220"/>
        <v>26-35</v>
      </c>
    </row>
    <row r="3242" spans="1:16" x14ac:dyDescent="0.25">
      <c r="A3242">
        <v>3241</v>
      </c>
      <c r="B3242" t="s">
        <v>15</v>
      </c>
      <c r="C3242">
        <v>2214734.2999999998</v>
      </c>
      <c r="D3242" t="s">
        <v>10</v>
      </c>
      <c r="E3242" t="s">
        <v>11</v>
      </c>
      <c r="F3242" t="s">
        <v>12</v>
      </c>
      <c r="G3242" t="s">
        <v>13</v>
      </c>
      <c r="H3242" t="s">
        <v>13</v>
      </c>
      <c r="I3242">
        <v>54</v>
      </c>
      <c r="J3242" t="str" cm="1">
        <f t="array" ref="J3242">_xlfn.IFS(ISBLANK(C3242),"FALTANTE",ABS((C3242-$W$5)/$X$5)&gt;1.96,"ATÍPICO",ABS((C3242-$W$5)/$X$5)&lt;=1.96,"NO ATÍPICO")</f>
        <v>NO ATÍPICO</v>
      </c>
      <c r="K3242" t="str" cm="1">
        <f t="array" ref="K3242">_xlfn.IFS(ISBLANK(I3242),"FALTANTE",ABS((I3242-$W$8)/$X$8)&gt;1.92,"ATÍPICO",ABS((I3242-$W$8)/$X$8)&lt;=1.92,"NO ATÍPICO")</f>
        <v>NO ATÍPICO</v>
      </c>
      <c r="L3242">
        <f t="shared" si="217"/>
        <v>2214734.2999999998</v>
      </c>
      <c r="M3242" t="str">
        <f t="shared" si="217"/>
        <v>ASALARIADO</v>
      </c>
      <c r="N3242">
        <f t="shared" si="218"/>
        <v>54</v>
      </c>
      <c r="O3242" s="19" t="str">
        <f t="shared" si="219"/>
        <v>1200k+</v>
      </c>
      <c r="P3242" s="19" t="str">
        <f t="shared" si="220"/>
        <v>46-55</v>
      </c>
    </row>
    <row r="3243" spans="1:16" x14ac:dyDescent="0.25">
      <c r="A3243">
        <v>3242</v>
      </c>
      <c r="B3243" t="s">
        <v>15</v>
      </c>
      <c r="C3243">
        <v>657562.5</v>
      </c>
      <c r="D3243" t="s">
        <v>10</v>
      </c>
      <c r="E3243" t="s">
        <v>11</v>
      </c>
      <c r="F3243" t="s">
        <v>12</v>
      </c>
      <c r="G3243" t="s">
        <v>13</v>
      </c>
      <c r="H3243" t="s">
        <v>13</v>
      </c>
      <c r="I3243">
        <v>27</v>
      </c>
      <c r="J3243" t="str" cm="1">
        <f t="array" ref="J3243">_xlfn.IFS(ISBLANK(C3243),"FALTANTE",ABS((C3243-$W$5)/$X$5)&gt;1.96,"ATÍPICO",ABS((C3243-$W$5)/$X$5)&lt;=1.96,"NO ATÍPICO")</f>
        <v>NO ATÍPICO</v>
      </c>
      <c r="K3243" t="str" cm="1">
        <f t="array" ref="K3243">_xlfn.IFS(ISBLANK(I3243),"FALTANTE",ABS((I3243-$W$8)/$X$8)&gt;1.92,"ATÍPICO",ABS((I3243-$W$8)/$X$8)&lt;=1.92,"NO ATÍPICO")</f>
        <v>NO ATÍPICO</v>
      </c>
      <c r="L3243">
        <f t="shared" si="217"/>
        <v>657562.5</v>
      </c>
      <c r="M3243" t="str">
        <f t="shared" si="217"/>
        <v>ASALARIADO</v>
      </c>
      <c r="N3243">
        <f t="shared" si="218"/>
        <v>27</v>
      </c>
      <c r="O3243" s="19" t="str">
        <f t="shared" si="219"/>
        <v>600k–900k</v>
      </c>
      <c r="P3243" s="19" t="str">
        <f t="shared" si="220"/>
        <v>26-35</v>
      </c>
    </row>
    <row r="3244" spans="1:16" x14ac:dyDescent="0.25">
      <c r="A3244">
        <v>3243</v>
      </c>
      <c r="B3244" t="s">
        <v>9</v>
      </c>
      <c r="C3244">
        <v>297502</v>
      </c>
      <c r="D3244" t="s">
        <v>17</v>
      </c>
      <c r="E3244" t="s">
        <v>16</v>
      </c>
      <c r="F3244" t="s">
        <v>12</v>
      </c>
      <c r="G3244" t="s">
        <v>13</v>
      </c>
      <c r="H3244" t="s">
        <v>13</v>
      </c>
      <c r="I3244">
        <v>67</v>
      </c>
      <c r="J3244" t="str" cm="1">
        <f t="array" ref="J3244">_xlfn.IFS(ISBLANK(C3244),"FALTANTE",ABS((C3244-$W$5)/$X$5)&gt;1.96,"ATÍPICO",ABS((C3244-$W$5)/$X$5)&lt;=1.96,"NO ATÍPICO")</f>
        <v>NO ATÍPICO</v>
      </c>
      <c r="K3244" t="str" cm="1">
        <f t="array" ref="K3244">_xlfn.IFS(ISBLANK(I3244),"FALTANTE",ABS((I3244-$W$8)/$X$8)&gt;1.92,"ATÍPICO",ABS((I3244-$W$8)/$X$8)&lt;=1.92,"NO ATÍPICO")</f>
        <v>NO ATÍPICO</v>
      </c>
      <c r="L3244">
        <f t="shared" si="217"/>
        <v>297502</v>
      </c>
      <c r="M3244" t="str">
        <f t="shared" si="217"/>
        <v>ASEGURADO VOLUNTARIO</v>
      </c>
      <c r="N3244">
        <f t="shared" si="218"/>
        <v>67</v>
      </c>
      <c r="O3244" s="19" t="str">
        <f t="shared" si="219"/>
        <v>0–300k</v>
      </c>
      <c r="P3244" s="19" t="str">
        <f t="shared" si="220"/>
        <v>56+</v>
      </c>
    </row>
    <row r="3245" spans="1:16" x14ac:dyDescent="0.25">
      <c r="A3245">
        <v>3244</v>
      </c>
      <c r="B3245" t="s">
        <v>9</v>
      </c>
      <c r="C3245">
        <v>422231</v>
      </c>
      <c r="D3245" t="s">
        <v>10</v>
      </c>
      <c r="E3245" t="s">
        <v>11</v>
      </c>
      <c r="F3245" t="s">
        <v>12</v>
      </c>
      <c r="G3245" t="s">
        <v>13</v>
      </c>
      <c r="H3245" t="s">
        <v>13</v>
      </c>
      <c r="I3245">
        <v>49</v>
      </c>
      <c r="J3245" t="str" cm="1">
        <f t="array" ref="J3245">_xlfn.IFS(ISBLANK(C3245),"FALTANTE",ABS((C3245-$W$5)/$X$5)&gt;1.96,"ATÍPICO",ABS((C3245-$W$5)/$X$5)&lt;=1.96,"NO ATÍPICO")</f>
        <v>NO ATÍPICO</v>
      </c>
      <c r="K3245" t="str" cm="1">
        <f t="array" ref="K3245">_xlfn.IFS(ISBLANK(I3245),"FALTANTE",ABS((I3245-$W$8)/$X$8)&gt;1.92,"ATÍPICO",ABS((I3245-$W$8)/$X$8)&lt;=1.92,"NO ATÍPICO")</f>
        <v>NO ATÍPICO</v>
      </c>
      <c r="L3245">
        <f t="shared" si="217"/>
        <v>422231</v>
      </c>
      <c r="M3245" t="str">
        <f t="shared" si="217"/>
        <v>ASALARIADO</v>
      </c>
      <c r="N3245">
        <f t="shared" si="218"/>
        <v>49</v>
      </c>
      <c r="O3245" s="19" t="str">
        <f t="shared" si="219"/>
        <v>300k–600k</v>
      </c>
      <c r="P3245" s="19" t="str">
        <f t="shared" si="220"/>
        <v>46-55</v>
      </c>
    </row>
    <row r="3246" spans="1:16" x14ac:dyDescent="0.25">
      <c r="A3246">
        <v>3245</v>
      </c>
      <c r="B3246" t="s">
        <v>15</v>
      </c>
      <c r="C3246">
        <v>500937.8</v>
      </c>
      <c r="D3246" t="s">
        <v>10</v>
      </c>
      <c r="E3246" t="s">
        <v>16</v>
      </c>
      <c r="F3246" t="s">
        <v>12</v>
      </c>
      <c r="G3246" t="s">
        <v>13</v>
      </c>
      <c r="H3246" t="s">
        <v>13</v>
      </c>
      <c r="I3246">
        <v>50</v>
      </c>
      <c r="J3246" t="str" cm="1">
        <f t="array" ref="J3246">_xlfn.IFS(ISBLANK(C3246),"FALTANTE",ABS((C3246-$W$5)/$X$5)&gt;1.96,"ATÍPICO",ABS((C3246-$W$5)/$X$5)&lt;=1.96,"NO ATÍPICO")</f>
        <v>NO ATÍPICO</v>
      </c>
      <c r="K3246" t="str" cm="1">
        <f t="array" ref="K3246">_xlfn.IFS(ISBLANK(I3246),"FALTANTE",ABS((I3246-$W$8)/$X$8)&gt;1.92,"ATÍPICO",ABS((I3246-$W$8)/$X$8)&lt;=1.92,"NO ATÍPICO")</f>
        <v>NO ATÍPICO</v>
      </c>
      <c r="L3246">
        <f t="shared" si="217"/>
        <v>500937.8</v>
      </c>
      <c r="M3246" t="str">
        <f t="shared" si="217"/>
        <v>ASALARIADO</v>
      </c>
      <c r="N3246">
        <f t="shared" si="218"/>
        <v>50</v>
      </c>
      <c r="O3246" s="19" t="str">
        <f t="shared" si="219"/>
        <v>300k–600k</v>
      </c>
      <c r="P3246" s="19" t="str">
        <f t="shared" si="220"/>
        <v>46-55</v>
      </c>
    </row>
    <row r="3247" spans="1:16" x14ac:dyDescent="0.25">
      <c r="A3247">
        <v>3246</v>
      </c>
      <c r="B3247" t="s">
        <v>9</v>
      </c>
      <c r="C3247">
        <v>278031</v>
      </c>
      <c r="D3247" t="s">
        <v>18</v>
      </c>
      <c r="E3247" t="s">
        <v>16</v>
      </c>
      <c r="F3247" t="s">
        <v>12</v>
      </c>
      <c r="G3247" t="s">
        <v>13</v>
      </c>
      <c r="H3247" t="s">
        <v>13</v>
      </c>
      <c r="I3247">
        <v>42</v>
      </c>
      <c r="J3247" t="str" cm="1">
        <f t="array" ref="J3247">_xlfn.IFS(ISBLANK(C3247),"FALTANTE",ABS((C3247-$W$5)/$X$5)&gt;1.96,"ATÍPICO",ABS((C3247-$W$5)/$X$5)&lt;=1.96,"NO ATÍPICO")</f>
        <v>NO ATÍPICO</v>
      </c>
      <c r="K3247" t="str" cm="1">
        <f t="array" ref="K3247">_xlfn.IFS(ISBLANK(I3247),"FALTANTE",ABS((I3247-$W$8)/$X$8)&gt;1.92,"ATÍPICO",ABS((I3247-$W$8)/$X$8)&lt;=1.92,"NO ATÍPICO")</f>
        <v>NO ATÍPICO</v>
      </c>
      <c r="L3247">
        <f t="shared" si="217"/>
        <v>278031</v>
      </c>
      <c r="M3247" t="str">
        <f t="shared" si="217"/>
        <v>TRABAJADOR INDEPENDIENTE</v>
      </c>
      <c r="N3247">
        <f t="shared" si="218"/>
        <v>42</v>
      </c>
      <c r="O3247" s="19" t="str">
        <f t="shared" si="219"/>
        <v>0–300k</v>
      </c>
      <c r="P3247" s="19" t="str">
        <f t="shared" si="220"/>
        <v>36-45</v>
      </c>
    </row>
    <row r="3248" spans="1:16" x14ac:dyDescent="0.25">
      <c r="A3248">
        <v>3247</v>
      </c>
      <c r="B3248" t="s">
        <v>9</v>
      </c>
      <c r="C3248">
        <v>180000</v>
      </c>
      <c r="D3248" t="s">
        <v>10</v>
      </c>
      <c r="E3248" t="s">
        <v>16</v>
      </c>
      <c r="F3248" t="s">
        <v>12</v>
      </c>
      <c r="G3248" t="s">
        <v>13</v>
      </c>
      <c r="H3248" t="s">
        <v>12</v>
      </c>
      <c r="I3248">
        <v>41</v>
      </c>
      <c r="J3248" t="str" cm="1">
        <f t="array" ref="J3248">_xlfn.IFS(ISBLANK(C3248),"FALTANTE",ABS((C3248-$W$5)/$X$5)&gt;1.96,"ATÍPICO",ABS((C3248-$W$5)/$X$5)&lt;=1.96,"NO ATÍPICO")</f>
        <v>NO ATÍPICO</v>
      </c>
      <c r="K3248" t="str" cm="1">
        <f t="array" ref="K3248">_xlfn.IFS(ISBLANK(I3248),"FALTANTE",ABS((I3248-$W$8)/$X$8)&gt;1.92,"ATÍPICO",ABS((I3248-$W$8)/$X$8)&lt;=1.92,"NO ATÍPICO")</f>
        <v>NO ATÍPICO</v>
      </c>
      <c r="L3248">
        <f t="shared" si="217"/>
        <v>180000</v>
      </c>
      <c r="M3248" t="str">
        <f t="shared" si="217"/>
        <v>ASALARIADO</v>
      </c>
      <c r="N3248">
        <f t="shared" si="218"/>
        <v>41</v>
      </c>
      <c r="O3248" s="19" t="str">
        <f t="shared" si="219"/>
        <v>0–300k</v>
      </c>
      <c r="P3248" s="19" t="str">
        <f t="shared" si="220"/>
        <v>36-45</v>
      </c>
    </row>
    <row r="3249" spans="1:16" x14ac:dyDescent="0.25">
      <c r="A3249">
        <v>3248</v>
      </c>
      <c r="B3249" t="s">
        <v>9</v>
      </c>
      <c r="C3249">
        <v>194000</v>
      </c>
      <c r="D3249" t="s">
        <v>10</v>
      </c>
      <c r="E3249" t="s">
        <v>16</v>
      </c>
      <c r="F3249" t="s">
        <v>12</v>
      </c>
      <c r="G3249" t="s">
        <v>13</v>
      </c>
      <c r="H3249" t="s">
        <v>13</v>
      </c>
      <c r="I3249">
        <v>57</v>
      </c>
      <c r="J3249" t="str" cm="1">
        <f t="array" ref="J3249">_xlfn.IFS(ISBLANK(C3249),"FALTANTE",ABS((C3249-$W$5)/$X$5)&gt;1.96,"ATÍPICO",ABS((C3249-$W$5)/$X$5)&lt;=1.96,"NO ATÍPICO")</f>
        <v>NO ATÍPICO</v>
      </c>
      <c r="K3249" t="str" cm="1">
        <f t="array" ref="K3249">_xlfn.IFS(ISBLANK(I3249),"FALTANTE",ABS((I3249-$W$8)/$X$8)&gt;1.92,"ATÍPICO",ABS((I3249-$W$8)/$X$8)&lt;=1.92,"NO ATÍPICO")</f>
        <v>NO ATÍPICO</v>
      </c>
      <c r="L3249">
        <f t="shared" si="217"/>
        <v>194000</v>
      </c>
      <c r="M3249" t="str">
        <f t="shared" si="217"/>
        <v>ASALARIADO</v>
      </c>
      <c r="N3249">
        <f t="shared" si="218"/>
        <v>57</v>
      </c>
      <c r="O3249" s="19" t="str">
        <f t="shared" si="219"/>
        <v>0–300k</v>
      </c>
      <c r="P3249" s="19" t="str">
        <f t="shared" si="220"/>
        <v>56+</v>
      </c>
    </row>
    <row r="3250" spans="1:16" x14ac:dyDescent="0.25">
      <c r="A3250">
        <v>3249</v>
      </c>
      <c r="B3250" t="s">
        <v>9</v>
      </c>
      <c r="C3250">
        <v>606313.31000000006</v>
      </c>
      <c r="D3250" t="s">
        <v>14</v>
      </c>
      <c r="E3250" t="s">
        <v>11</v>
      </c>
      <c r="F3250" t="s">
        <v>12</v>
      </c>
      <c r="G3250" t="s">
        <v>13</v>
      </c>
      <c r="H3250" t="s">
        <v>13</v>
      </c>
      <c r="I3250">
        <v>62</v>
      </c>
      <c r="J3250" t="str" cm="1">
        <f t="array" ref="J3250">_xlfn.IFS(ISBLANK(C3250),"FALTANTE",ABS((C3250-$W$5)/$X$5)&gt;1.96,"ATÍPICO",ABS((C3250-$W$5)/$X$5)&lt;=1.96,"NO ATÍPICO")</f>
        <v>NO ATÍPICO</v>
      </c>
      <c r="K3250" t="str" cm="1">
        <f t="array" ref="K3250">_xlfn.IFS(ISBLANK(I3250),"FALTANTE",ABS((I3250-$W$8)/$X$8)&gt;1.92,"ATÍPICO",ABS((I3250-$W$8)/$X$8)&lt;=1.92,"NO ATÍPICO")</f>
        <v>NO ATÍPICO</v>
      </c>
      <c r="L3250">
        <f t="shared" si="217"/>
        <v>606313.31000000006</v>
      </c>
      <c r="M3250" t="str">
        <f t="shared" si="217"/>
        <v>PENSIONADOS EN SU PROPIO SISTEMA</v>
      </c>
      <c r="N3250">
        <f t="shared" si="218"/>
        <v>62</v>
      </c>
      <c r="O3250" s="19" t="str">
        <f t="shared" si="219"/>
        <v>600k–900k</v>
      </c>
      <c r="P3250" s="19" t="str">
        <f t="shared" si="220"/>
        <v>56+</v>
      </c>
    </row>
    <row r="3251" spans="1:16" x14ac:dyDescent="0.25">
      <c r="A3251">
        <v>3250</v>
      </c>
      <c r="B3251" t="s">
        <v>9</v>
      </c>
      <c r="C3251">
        <v>556116.75</v>
      </c>
      <c r="D3251" t="s">
        <v>10</v>
      </c>
      <c r="E3251" t="s">
        <v>16</v>
      </c>
      <c r="F3251" t="s">
        <v>12</v>
      </c>
      <c r="G3251" t="s">
        <v>13</v>
      </c>
      <c r="H3251" t="s">
        <v>13</v>
      </c>
      <c r="I3251">
        <v>52</v>
      </c>
      <c r="J3251" t="str" cm="1">
        <f t="array" ref="J3251">_xlfn.IFS(ISBLANK(C3251),"FALTANTE",ABS((C3251-$W$5)/$X$5)&gt;1.96,"ATÍPICO",ABS((C3251-$W$5)/$X$5)&lt;=1.96,"NO ATÍPICO")</f>
        <v>NO ATÍPICO</v>
      </c>
      <c r="K3251" t="str" cm="1">
        <f t="array" ref="K3251">_xlfn.IFS(ISBLANK(I3251),"FALTANTE",ABS((I3251-$W$8)/$X$8)&gt;1.92,"ATÍPICO",ABS((I3251-$W$8)/$X$8)&lt;=1.92,"NO ATÍPICO")</f>
        <v>NO ATÍPICO</v>
      </c>
      <c r="L3251">
        <f t="shared" si="217"/>
        <v>556116.75</v>
      </c>
      <c r="M3251" t="str">
        <f t="shared" si="217"/>
        <v>ASALARIADO</v>
      </c>
      <c r="N3251">
        <f t="shared" si="218"/>
        <v>52</v>
      </c>
      <c r="O3251" s="19" t="str">
        <f t="shared" si="219"/>
        <v>300k–600k</v>
      </c>
      <c r="P3251" s="19" t="str">
        <f t="shared" si="220"/>
        <v>46-55</v>
      </c>
    </row>
    <row r="3252" spans="1:16" x14ac:dyDescent="0.25">
      <c r="A3252">
        <v>3251</v>
      </c>
      <c r="B3252" t="s">
        <v>9</v>
      </c>
      <c r="C3252">
        <v>1106966.42</v>
      </c>
      <c r="D3252" t="s">
        <v>10</v>
      </c>
      <c r="E3252" t="s">
        <v>11</v>
      </c>
      <c r="F3252" t="s">
        <v>12</v>
      </c>
      <c r="G3252" t="s">
        <v>13</v>
      </c>
      <c r="H3252" t="s">
        <v>13</v>
      </c>
      <c r="I3252">
        <v>36</v>
      </c>
      <c r="J3252" t="str" cm="1">
        <f t="array" ref="J3252">_xlfn.IFS(ISBLANK(C3252),"FALTANTE",ABS((C3252-$W$5)/$X$5)&gt;1.96,"ATÍPICO",ABS((C3252-$W$5)/$X$5)&lt;=1.96,"NO ATÍPICO")</f>
        <v>NO ATÍPICO</v>
      </c>
      <c r="K3252" t="str" cm="1">
        <f t="array" ref="K3252">_xlfn.IFS(ISBLANK(I3252),"FALTANTE",ABS((I3252-$W$8)/$X$8)&gt;1.92,"ATÍPICO",ABS((I3252-$W$8)/$X$8)&lt;=1.92,"NO ATÍPICO")</f>
        <v>NO ATÍPICO</v>
      </c>
      <c r="L3252">
        <f t="shared" si="217"/>
        <v>1106966.42</v>
      </c>
      <c r="M3252" t="str">
        <f t="shared" si="217"/>
        <v>ASALARIADO</v>
      </c>
      <c r="N3252">
        <f t="shared" si="218"/>
        <v>36</v>
      </c>
      <c r="O3252" s="19" t="str">
        <f t="shared" si="219"/>
        <v>900k–1200k</v>
      </c>
      <c r="P3252" s="19" t="str">
        <f t="shared" si="220"/>
        <v>36-45</v>
      </c>
    </row>
    <row r="3253" spans="1:16" x14ac:dyDescent="0.25">
      <c r="A3253">
        <v>3252</v>
      </c>
      <c r="B3253" t="s">
        <v>9</v>
      </c>
      <c r="C3253">
        <v>415064.04</v>
      </c>
      <c r="D3253" t="s">
        <v>10</v>
      </c>
      <c r="E3253" t="s">
        <v>16</v>
      </c>
      <c r="F3253" t="s">
        <v>12</v>
      </c>
      <c r="G3253" t="s">
        <v>13</v>
      </c>
      <c r="H3253" t="s">
        <v>13</v>
      </c>
      <c r="I3253">
        <v>24</v>
      </c>
      <c r="J3253" t="str" cm="1">
        <f t="array" ref="J3253">_xlfn.IFS(ISBLANK(C3253),"FALTANTE",ABS((C3253-$W$5)/$X$5)&gt;1.96,"ATÍPICO",ABS((C3253-$W$5)/$X$5)&lt;=1.96,"NO ATÍPICO")</f>
        <v>NO ATÍPICO</v>
      </c>
      <c r="K3253" t="str" cm="1">
        <f t="array" ref="K3253">_xlfn.IFS(ISBLANK(I3253),"FALTANTE",ABS((I3253-$W$8)/$X$8)&gt;1.92,"ATÍPICO",ABS((I3253-$W$8)/$X$8)&lt;=1.92,"NO ATÍPICO")</f>
        <v>NO ATÍPICO</v>
      </c>
      <c r="L3253">
        <f t="shared" si="217"/>
        <v>415064.04</v>
      </c>
      <c r="M3253" t="str">
        <f t="shared" si="217"/>
        <v>ASALARIADO</v>
      </c>
      <c r="N3253">
        <f t="shared" si="218"/>
        <v>24</v>
      </c>
      <c r="O3253" s="19" t="str">
        <f t="shared" si="219"/>
        <v>300k–600k</v>
      </c>
      <c r="P3253" s="19" t="str">
        <f t="shared" si="220"/>
        <v>18-25</v>
      </c>
    </row>
    <row r="3254" spans="1:16" x14ac:dyDescent="0.25">
      <c r="A3254">
        <v>3253</v>
      </c>
      <c r="B3254" t="s">
        <v>9</v>
      </c>
      <c r="C3254">
        <v>500700</v>
      </c>
      <c r="D3254" t="s">
        <v>10</v>
      </c>
      <c r="E3254" t="s">
        <v>16</v>
      </c>
      <c r="F3254" t="s">
        <v>12</v>
      </c>
      <c r="G3254" t="s">
        <v>13</v>
      </c>
      <c r="H3254" t="s">
        <v>13</v>
      </c>
      <c r="I3254">
        <v>50</v>
      </c>
      <c r="J3254" t="str" cm="1">
        <f t="array" ref="J3254">_xlfn.IFS(ISBLANK(C3254),"FALTANTE",ABS((C3254-$W$5)/$X$5)&gt;1.96,"ATÍPICO",ABS((C3254-$W$5)/$X$5)&lt;=1.96,"NO ATÍPICO")</f>
        <v>NO ATÍPICO</v>
      </c>
      <c r="K3254" t="str" cm="1">
        <f t="array" ref="K3254">_xlfn.IFS(ISBLANK(I3254),"FALTANTE",ABS((I3254-$W$8)/$X$8)&gt;1.92,"ATÍPICO",ABS((I3254-$W$8)/$X$8)&lt;=1.92,"NO ATÍPICO")</f>
        <v>NO ATÍPICO</v>
      </c>
      <c r="L3254">
        <f t="shared" si="217"/>
        <v>500700</v>
      </c>
      <c r="M3254" t="str">
        <f t="shared" si="217"/>
        <v>ASALARIADO</v>
      </c>
      <c r="N3254">
        <f t="shared" si="218"/>
        <v>50</v>
      </c>
      <c r="O3254" s="19" t="str">
        <f t="shared" si="219"/>
        <v>300k–600k</v>
      </c>
      <c r="P3254" s="19" t="str">
        <f t="shared" si="220"/>
        <v>46-55</v>
      </c>
    </row>
    <row r="3255" spans="1:16" x14ac:dyDescent="0.25">
      <c r="A3255">
        <v>3254</v>
      </c>
      <c r="B3255" t="s">
        <v>15</v>
      </c>
      <c r="C3255">
        <v>1585515</v>
      </c>
      <c r="D3255" t="s">
        <v>10</v>
      </c>
      <c r="E3255" t="s">
        <v>11</v>
      </c>
      <c r="F3255" t="s">
        <v>12</v>
      </c>
      <c r="G3255" t="s">
        <v>13</v>
      </c>
      <c r="H3255" t="s">
        <v>13</v>
      </c>
      <c r="I3255">
        <v>61</v>
      </c>
      <c r="J3255" t="str" cm="1">
        <f t="array" ref="J3255">_xlfn.IFS(ISBLANK(C3255),"FALTANTE",ABS((C3255-$W$5)/$X$5)&gt;1.96,"ATÍPICO",ABS((C3255-$W$5)/$X$5)&lt;=1.96,"NO ATÍPICO")</f>
        <v>NO ATÍPICO</v>
      </c>
      <c r="K3255" t="str" cm="1">
        <f t="array" ref="K3255">_xlfn.IFS(ISBLANK(I3255),"FALTANTE",ABS((I3255-$W$8)/$X$8)&gt;1.92,"ATÍPICO",ABS((I3255-$W$8)/$X$8)&lt;=1.92,"NO ATÍPICO")</f>
        <v>NO ATÍPICO</v>
      </c>
      <c r="L3255">
        <f t="shared" si="217"/>
        <v>1585515</v>
      </c>
      <c r="M3255" t="str">
        <f t="shared" si="217"/>
        <v>ASALARIADO</v>
      </c>
      <c r="N3255">
        <f t="shared" si="218"/>
        <v>61</v>
      </c>
      <c r="O3255" s="19" t="str">
        <f t="shared" si="219"/>
        <v>1200k+</v>
      </c>
      <c r="P3255" s="19" t="str">
        <f t="shared" si="220"/>
        <v>56+</v>
      </c>
    </row>
    <row r="3256" spans="1:16" x14ac:dyDescent="0.25">
      <c r="A3256">
        <v>3255</v>
      </c>
      <c r="B3256" t="s">
        <v>9</v>
      </c>
      <c r="C3256">
        <v>567425</v>
      </c>
      <c r="D3256" t="s">
        <v>10</v>
      </c>
      <c r="E3256" t="s">
        <v>11</v>
      </c>
      <c r="F3256" t="s">
        <v>12</v>
      </c>
      <c r="G3256" t="s">
        <v>13</v>
      </c>
      <c r="H3256" t="s">
        <v>13</v>
      </c>
      <c r="I3256">
        <v>35</v>
      </c>
      <c r="J3256" t="str" cm="1">
        <f t="array" ref="J3256">_xlfn.IFS(ISBLANK(C3256),"FALTANTE",ABS((C3256-$W$5)/$X$5)&gt;1.96,"ATÍPICO",ABS((C3256-$W$5)/$X$5)&lt;=1.96,"NO ATÍPICO")</f>
        <v>NO ATÍPICO</v>
      </c>
      <c r="K3256" t="str" cm="1">
        <f t="array" ref="K3256">_xlfn.IFS(ISBLANK(I3256),"FALTANTE",ABS((I3256-$W$8)/$X$8)&gt;1.92,"ATÍPICO",ABS((I3256-$W$8)/$X$8)&lt;=1.92,"NO ATÍPICO")</f>
        <v>NO ATÍPICO</v>
      </c>
      <c r="L3256">
        <f t="shared" si="217"/>
        <v>567425</v>
      </c>
      <c r="M3256" t="str">
        <f t="shared" si="217"/>
        <v>ASALARIADO</v>
      </c>
      <c r="N3256">
        <f t="shared" si="218"/>
        <v>35</v>
      </c>
      <c r="O3256" s="19" t="str">
        <f t="shared" si="219"/>
        <v>300k–600k</v>
      </c>
      <c r="P3256" s="19" t="str">
        <f t="shared" si="220"/>
        <v>26-35</v>
      </c>
    </row>
    <row r="3257" spans="1:16" x14ac:dyDescent="0.25">
      <c r="A3257">
        <v>3256</v>
      </c>
      <c r="B3257" t="s">
        <v>9</v>
      </c>
      <c r="C3257">
        <v>3623771</v>
      </c>
      <c r="D3257" t="s">
        <v>10</v>
      </c>
      <c r="E3257" t="s">
        <v>11</v>
      </c>
      <c r="F3257" t="s">
        <v>12</v>
      </c>
      <c r="G3257" t="s">
        <v>13</v>
      </c>
      <c r="H3257" t="s">
        <v>13</v>
      </c>
      <c r="I3257">
        <v>60</v>
      </c>
      <c r="J3257" t="str" cm="1">
        <f t="array" ref="J3257">_xlfn.IFS(ISBLANK(C3257),"FALTANTE",ABS((C3257-$W$5)/$X$5)&gt;1.96,"ATÍPICO",ABS((C3257-$W$5)/$X$5)&lt;=1.96,"NO ATÍPICO")</f>
        <v>ATÍPICO</v>
      </c>
      <c r="K3257" t="str" cm="1">
        <f t="array" ref="K3257">_xlfn.IFS(ISBLANK(I3257),"FALTANTE",ABS((I3257-$W$8)/$X$8)&gt;1.92,"ATÍPICO",ABS((I3257-$W$8)/$X$8)&lt;=1.92,"NO ATÍPICO")</f>
        <v>NO ATÍPICO</v>
      </c>
      <c r="L3257">
        <f t="shared" si="217"/>
        <v>3623771</v>
      </c>
      <c r="M3257" t="str">
        <f t="shared" si="217"/>
        <v>ASALARIADO</v>
      </c>
      <c r="N3257">
        <f t="shared" si="218"/>
        <v>60</v>
      </c>
      <c r="O3257" s="19" t="str">
        <f t="shared" si="219"/>
        <v>1200k+</v>
      </c>
      <c r="P3257" s="19" t="str">
        <f t="shared" si="220"/>
        <v>56+</v>
      </c>
    </row>
    <row r="3258" spans="1:16" x14ac:dyDescent="0.25">
      <c r="A3258">
        <v>3257</v>
      </c>
      <c r="B3258" t="s">
        <v>15</v>
      </c>
      <c r="C3258">
        <v>310124</v>
      </c>
      <c r="D3258" t="s">
        <v>18</v>
      </c>
      <c r="E3258" t="s">
        <v>16</v>
      </c>
      <c r="F3258" t="s">
        <v>12</v>
      </c>
      <c r="G3258" t="s">
        <v>13</v>
      </c>
      <c r="H3258" t="s">
        <v>13</v>
      </c>
      <c r="I3258">
        <v>48</v>
      </c>
      <c r="J3258" t="str" cm="1">
        <f t="array" ref="J3258">_xlfn.IFS(ISBLANK(C3258),"FALTANTE",ABS((C3258-$W$5)/$X$5)&gt;1.96,"ATÍPICO",ABS((C3258-$W$5)/$X$5)&lt;=1.96,"NO ATÍPICO")</f>
        <v>NO ATÍPICO</v>
      </c>
      <c r="K3258" t="str" cm="1">
        <f t="array" ref="K3258">_xlfn.IFS(ISBLANK(I3258),"FALTANTE",ABS((I3258-$W$8)/$X$8)&gt;1.92,"ATÍPICO",ABS((I3258-$W$8)/$X$8)&lt;=1.92,"NO ATÍPICO")</f>
        <v>NO ATÍPICO</v>
      </c>
      <c r="L3258">
        <f t="shared" si="217"/>
        <v>310124</v>
      </c>
      <c r="M3258" t="str">
        <f t="shared" si="217"/>
        <v>TRABAJADOR INDEPENDIENTE</v>
      </c>
      <c r="N3258">
        <f t="shared" si="218"/>
        <v>48</v>
      </c>
      <c r="O3258" s="19" t="str">
        <f t="shared" si="219"/>
        <v>300k–600k</v>
      </c>
      <c r="P3258" s="19" t="str">
        <f t="shared" si="220"/>
        <v>46-55</v>
      </c>
    </row>
    <row r="3259" spans="1:16" x14ac:dyDescent="0.25">
      <c r="A3259">
        <v>3258</v>
      </c>
      <c r="B3259" t="s">
        <v>9</v>
      </c>
      <c r="C3259">
        <v>559014.66</v>
      </c>
      <c r="D3259" t="s">
        <v>10</v>
      </c>
      <c r="E3259" t="s">
        <v>16</v>
      </c>
      <c r="F3259" t="s">
        <v>12</v>
      </c>
      <c r="G3259" t="s">
        <v>13</v>
      </c>
      <c r="H3259" t="s">
        <v>12</v>
      </c>
      <c r="I3259">
        <v>44</v>
      </c>
      <c r="J3259" t="str" cm="1">
        <f t="array" ref="J3259">_xlfn.IFS(ISBLANK(C3259),"FALTANTE",ABS((C3259-$W$5)/$X$5)&gt;1.96,"ATÍPICO",ABS((C3259-$W$5)/$X$5)&lt;=1.96,"NO ATÍPICO")</f>
        <v>NO ATÍPICO</v>
      </c>
      <c r="K3259" t="str" cm="1">
        <f t="array" ref="K3259">_xlfn.IFS(ISBLANK(I3259),"FALTANTE",ABS((I3259-$W$8)/$X$8)&gt;1.92,"ATÍPICO",ABS((I3259-$W$8)/$X$8)&lt;=1.92,"NO ATÍPICO")</f>
        <v>NO ATÍPICO</v>
      </c>
      <c r="L3259">
        <f t="shared" si="217"/>
        <v>559014.66</v>
      </c>
      <c r="M3259" t="str">
        <f t="shared" si="217"/>
        <v>ASALARIADO</v>
      </c>
      <c r="N3259">
        <f t="shared" si="218"/>
        <v>44</v>
      </c>
      <c r="O3259" s="19" t="str">
        <f t="shared" si="219"/>
        <v>300k–600k</v>
      </c>
      <c r="P3259" s="19" t="str">
        <f t="shared" si="220"/>
        <v>36-45</v>
      </c>
    </row>
    <row r="3260" spans="1:16" x14ac:dyDescent="0.25">
      <c r="A3260">
        <v>3259</v>
      </c>
      <c r="B3260" t="s">
        <v>9</v>
      </c>
      <c r="C3260">
        <v>150000</v>
      </c>
      <c r="D3260" t="s">
        <v>10</v>
      </c>
      <c r="E3260" t="s">
        <v>16</v>
      </c>
      <c r="F3260" t="s">
        <v>12</v>
      </c>
      <c r="G3260" t="s">
        <v>13</v>
      </c>
      <c r="H3260" t="s">
        <v>13</v>
      </c>
      <c r="I3260">
        <v>24</v>
      </c>
      <c r="J3260" t="str" cm="1">
        <f t="array" ref="J3260">_xlfn.IFS(ISBLANK(C3260),"FALTANTE",ABS((C3260-$W$5)/$X$5)&gt;1.96,"ATÍPICO",ABS((C3260-$W$5)/$X$5)&lt;=1.96,"NO ATÍPICO")</f>
        <v>NO ATÍPICO</v>
      </c>
      <c r="K3260" t="str" cm="1">
        <f t="array" ref="K3260">_xlfn.IFS(ISBLANK(I3260),"FALTANTE",ABS((I3260-$W$8)/$X$8)&gt;1.92,"ATÍPICO",ABS((I3260-$W$8)/$X$8)&lt;=1.92,"NO ATÍPICO")</f>
        <v>NO ATÍPICO</v>
      </c>
      <c r="L3260">
        <f t="shared" si="217"/>
        <v>150000</v>
      </c>
      <c r="M3260" t="str">
        <f t="shared" si="217"/>
        <v>ASALARIADO</v>
      </c>
      <c r="N3260">
        <f t="shared" si="218"/>
        <v>24</v>
      </c>
      <c r="O3260" s="19" t="str">
        <f t="shared" si="219"/>
        <v>0–300k</v>
      </c>
      <c r="P3260" s="19" t="str">
        <f t="shared" si="220"/>
        <v>18-25</v>
      </c>
    </row>
    <row r="3261" spans="1:16" x14ac:dyDescent="0.25">
      <c r="A3261">
        <v>3260</v>
      </c>
      <c r="B3261" t="s">
        <v>9</v>
      </c>
      <c r="C3261">
        <v>280000</v>
      </c>
      <c r="D3261" t="s">
        <v>10</v>
      </c>
      <c r="E3261" t="s">
        <v>16</v>
      </c>
      <c r="F3261" t="s">
        <v>12</v>
      </c>
      <c r="G3261" t="s">
        <v>13</v>
      </c>
      <c r="H3261" t="s">
        <v>13</v>
      </c>
      <c r="I3261">
        <v>40</v>
      </c>
      <c r="J3261" t="str" cm="1">
        <f t="array" ref="J3261">_xlfn.IFS(ISBLANK(C3261),"FALTANTE",ABS((C3261-$W$5)/$X$5)&gt;1.96,"ATÍPICO",ABS((C3261-$W$5)/$X$5)&lt;=1.96,"NO ATÍPICO")</f>
        <v>NO ATÍPICO</v>
      </c>
      <c r="K3261" t="str" cm="1">
        <f t="array" ref="K3261">_xlfn.IFS(ISBLANK(I3261),"FALTANTE",ABS((I3261-$W$8)/$X$8)&gt;1.92,"ATÍPICO",ABS((I3261-$W$8)/$X$8)&lt;=1.92,"NO ATÍPICO")</f>
        <v>NO ATÍPICO</v>
      </c>
      <c r="L3261">
        <f t="shared" si="217"/>
        <v>280000</v>
      </c>
      <c r="M3261" t="str">
        <f t="shared" si="217"/>
        <v>ASALARIADO</v>
      </c>
      <c r="N3261">
        <f t="shared" si="218"/>
        <v>40</v>
      </c>
      <c r="O3261" s="19" t="str">
        <f t="shared" si="219"/>
        <v>0–300k</v>
      </c>
      <c r="P3261" s="19" t="str">
        <f t="shared" si="220"/>
        <v>36-45</v>
      </c>
    </row>
    <row r="3262" spans="1:16" x14ac:dyDescent="0.25">
      <c r="A3262">
        <v>3261</v>
      </c>
      <c r="B3262" t="s">
        <v>9</v>
      </c>
      <c r="C3262">
        <v>2667169.88</v>
      </c>
      <c r="D3262" t="s">
        <v>10</v>
      </c>
      <c r="E3262" t="s">
        <v>11</v>
      </c>
      <c r="F3262" t="s">
        <v>12</v>
      </c>
      <c r="G3262" t="s">
        <v>13</v>
      </c>
      <c r="H3262" t="s">
        <v>13</v>
      </c>
      <c r="I3262">
        <v>31</v>
      </c>
      <c r="J3262" t="str" cm="1">
        <f t="array" ref="J3262">_xlfn.IFS(ISBLANK(C3262),"FALTANTE",ABS((C3262-$W$5)/$X$5)&gt;1.96,"ATÍPICO",ABS((C3262-$W$5)/$X$5)&lt;=1.96,"NO ATÍPICO")</f>
        <v>ATÍPICO</v>
      </c>
      <c r="K3262" t="str" cm="1">
        <f t="array" ref="K3262">_xlfn.IFS(ISBLANK(I3262),"FALTANTE",ABS((I3262-$W$8)/$X$8)&gt;1.92,"ATÍPICO",ABS((I3262-$W$8)/$X$8)&lt;=1.92,"NO ATÍPICO")</f>
        <v>NO ATÍPICO</v>
      </c>
      <c r="L3262">
        <f t="shared" si="217"/>
        <v>2667169.88</v>
      </c>
      <c r="M3262" t="str">
        <f t="shared" si="217"/>
        <v>ASALARIADO</v>
      </c>
      <c r="N3262">
        <f t="shared" si="218"/>
        <v>31</v>
      </c>
      <c r="O3262" s="19" t="str">
        <f t="shared" si="219"/>
        <v>1200k+</v>
      </c>
      <c r="P3262" s="19" t="str">
        <f t="shared" si="220"/>
        <v>26-35</v>
      </c>
    </row>
    <row r="3263" spans="1:16" x14ac:dyDescent="0.25">
      <c r="A3263">
        <v>3262</v>
      </c>
      <c r="B3263" t="s">
        <v>9</v>
      </c>
      <c r="C3263">
        <v>315617</v>
      </c>
      <c r="D3263" t="s">
        <v>17</v>
      </c>
      <c r="E3263" t="s">
        <v>16</v>
      </c>
      <c r="F3263" t="s">
        <v>12</v>
      </c>
      <c r="G3263" t="s">
        <v>13</v>
      </c>
      <c r="H3263" t="s">
        <v>13</v>
      </c>
      <c r="I3263">
        <v>44</v>
      </c>
      <c r="J3263" t="str" cm="1">
        <f t="array" ref="J3263">_xlfn.IFS(ISBLANK(C3263),"FALTANTE",ABS((C3263-$W$5)/$X$5)&gt;1.96,"ATÍPICO",ABS((C3263-$W$5)/$X$5)&lt;=1.96,"NO ATÍPICO")</f>
        <v>NO ATÍPICO</v>
      </c>
      <c r="K3263" t="str" cm="1">
        <f t="array" ref="K3263">_xlfn.IFS(ISBLANK(I3263),"FALTANTE",ABS((I3263-$W$8)/$X$8)&gt;1.92,"ATÍPICO",ABS((I3263-$W$8)/$X$8)&lt;=1.92,"NO ATÍPICO")</f>
        <v>NO ATÍPICO</v>
      </c>
      <c r="L3263">
        <f t="shared" si="217"/>
        <v>315617</v>
      </c>
      <c r="M3263" t="str">
        <f t="shared" si="217"/>
        <v>ASEGURADO VOLUNTARIO</v>
      </c>
      <c r="N3263">
        <f t="shared" si="218"/>
        <v>44</v>
      </c>
      <c r="O3263" s="19" t="str">
        <f t="shared" si="219"/>
        <v>300k–600k</v>
      </c>
      <c r="P3263" s="19" t="str">
        <f t="shared" si="220"/>
        <v>36-45</v>
      </c>
    </row>
    <row r="3264" spans="1:16" x14ac:dyDescent="0.25">
      <c r="A3264">
        <v>3263</v>
      </c>
      <c r="B3264" t="s">
        <v>15</v>
      </c>
      <c r="C3264">
        <v>446610.91</v>
      </c>
      <c r="D3264" t="s">
        <v>10</v>
      </c>
      <c r="E3264" t="s">
        <v>16</v>
      </c>
      <c r="F3264" t="s">
        <v>12</v>
      </c>
      <c r="G3264" t="s">
        <v>13</v>
      </c>
      <c r="H3264" t="s">
        <v>13</v>
      </c>
      <c r="I3264">
        <v>23</v>
      </c>
      <c r="J3264" t="str" cm="1">
        <f t="array" ref="J3264">_xlfn.IFS(ISBLANK(C3264),"FALTANTE",ABS((C3264-$W$5)/$X$5)&gt;1.96,"ATÍPICO",ABS((C3264-$W$5)/$X$5)&lt;=1.96,"NO ATÍPICO")</f>
        <v>NO ATÍPICO</v>
      </c>
      <c r="K3264" t="str" cm="1">
        <f t="array" ref="K3264">_xlfn.IFS(ISBLANK(I3264),"FALTANTE",ABS((I3264-$W$8)/$X$8)&gt;1.92,"ATÍPICO",ABS((I3264-$W$8)/$X$8)&lt;=1.92,"NO ATÍPICO")</f>
        <v>NO ATÍPICO</v>
      </c>
      <c r="L3264">
        <f t="shared" si="217"/>
        <v>446610.91</v>
      </c>
      <c r="M3264" t="str">
        <f t="shared" si="217"/>
        <v>ASALARIADO</v>
      </c>
      <c r="N3264">
        <f t="shared" si="218"/>
        <v>23</v>
      </c>
      <c r="O3264" s="19" t="str">
        <f t="shared" si="219"/>
        <v>300k–600k</v>
      </c>
      <c r="P3264" s="19" t="str">
        <f t="shared" si="220"/>
        <v>18-25</v>
      </c>
    </row>
    <row r="3265" spans="1:16" x14ac:dyDescent="0.25">
      <c r="A3265">
        <v>3264</v>
      </c>
      <c r="B3265" t="s">
        <v>9</v>
      </c>
      <c r="C3265">
        <v>549000</v>
      </c>
      <c r="D3265" t="s">
        <v>10</v>
      </c>
      <c r="E3265" t="s">
        <v>16</v>
      </c>
      <c r="F3265" t="s">
        <v>12</v>
      </c>
      <c r="G3265" t="s">
        <v>13</v>
      </c>
      <c r="H3265" t="s">
        <v>13</v>
      </c>
      <c r="I3265">
        <v>35</v>
      </c>
      <c r="J3265" t="str" cm="1">
        <f t="array" ref="J3265">_xlfn.IFS(ISBLANK(C3265),"FALTANTE",ABS((C3265-$W$5)/$X$5)&gt;1.96,"ATÍPICO",ABS((C3265-$W$5)/$X$5)&lt;=1.96,"NO ATÍPICO")</f>
        <v>NO ATÍPICO</v>
      </c>
      <c r="K3265" t="str" cm="1">
        <f t="array" ref="K3265">_xlfn.IFS(ISBLANK(I3265),"FALTANTE",ABS((I3265-$W$8)/$X$8)&gt;1.92,"ATÍPICO",ABS((I3265-$W$8)/$X$8)&lt;=1.92,"NO ATÍPICO")</f>
        <v>NO ATÍPICO</v>
      </c>
      <c r="L3265">
        <f t="shared" si="217"/>
        <v>549000</v>
      </c>
      <c r="M3265" t="str">
        <f t="shared" si="217"/>
        <v>ASALARIADO</v>
      </c>
      <c r="N3265">
        <f t="shared" si="218"/>
        <v>35</v>
      </c>
      <c r="O3265" s="19" t="str">
        <f t="shared" si="219"/>
        <v>300k–600k</v>
      </c>
      <c r="P3265" s="19" t="str">
        <f t="shared" si="220"/>
        <v>26-35</v>
      </c>
    </row>
    <row r="3266" spans="1:16" x14ac:dyDescent="0.25">
      <c r="A3266">
        <v>3265</v>
      </c>
      <c r="B3266" t="s">
        <v>15</v>
      </c>
      <c r="C3266">
        <v>370123</v>
      </c>
      <c r="D3266" t="s">
        <v>17</v>
      </c>
      <c r="E3266" t="s">
        <v>16</v>
      </c>
      <c r="F3266" t="s">
        <v>12</v>
      </c>
      <c r="G3266" t="s">
        <v>13</v>
      </c>
      <c r="H3266" t="s">
        <v>13</v>
      </c>
      <c r="I3266">
        <v>53</v>
      </c>
      <c r="J3266" t="str" cm="1">
        <f t="array" ref="J3266">_xlfn.IFS(ISBLANK(C3266),"FALTANTE",ABS((C3266-$W$5)/$X$5)&gt;1.96,"ATÍPICO",ABS((C3266-$W$5)/$X$5)&lt;=1.96,"NO ATÍPICO")</f>
        <v>NO ATÍPICO</v>
      </c>
      <c r="K3266" t="str" cm="1">
        <f t="array" ref="K3266">_xlfn.IFS(ISBLANK(I3266),"FALTANTE",ABS((I3266-$W$8)/$X$8)&gt;1.92,"ATÍPICO",ABS((I3266-$W$8)/$X$8)&lt;=1.92,"NO ATÍPICO")</f>
        <v>NO ATÍPICO</v>
      </c>
      <c r="L3266">
        <f t="shared" ref="L3266:M3329" si="221">C3266</f>
        <v>370123</v>
      </c>
      <c r="M3266" t="str">
        <f t="shared" si="221"/>
        <v>ASEGURADO VOLUNTARIO</v>
      </c>
      <c r="N3266">
        <f t="shared" ref="N3266:N3329" si="222">I3266</f>
        <v>53</v>
      </c>
      <c r="O3266" s="19" t="str">
        <f t="shared" ref="O3266:O3329" si="223">IF(L3266&lt;=300000,"0–300k",IF(L3266&lt;=600000,"300k–600k",IF(L3266&lt;=900000,"600k–900k",IF(L3266&lt;=1200000,"900k–1200k","1200k+"))))</f>
        <v>300k–600k</v>
      </c>
      <c r="P3266" s="19" t="str">
        <f t="shared" ref="P3266:P3329" si="224">IF(N3266 &lt;=25,"18-25", IF(N3266&lt;=35,"26-35", IF(N3266 &lt;=45,"36-45", IF(N3266&lt;=55,"46-55","56+"))))</f>
        <v>46-55</v>
      </c>
    </row>
    <row r="3267" spans="1:16" x14ac:dyDescent="0.25">
      <c r="A3267">
        <v>3266</v>
      </c>
      <c r="B3267" t="s">
        <v>9</v>
      </c>
      <c r="C3267">
        <v>5412755.4900000002</v>
      </c>
      <c r="D3267" t="s">
        <v>10</v>
      </c>
      <c r="E3267" t="s">
        <v>16</v>
      </c>
      <c r="F3267" t="s">
        <v>12</v>
      </c>
      <c r="G3267" t="s">
        <v>13</v>
      </c>
      <c r="H3267" t="s">
        <v>13</v>
      </c>
      <c r="I3267">
        <v>34</v>
      </c>
      <c r="J3267" t="str" cm="1">
        <f t="array" ref="J3267">_xlfn.IFS(ISBLANK(C3267),"FALTANTE",ABS((C3267-$W$5)/$X$5)&gt;1.96,"ATÍPICO",ABS((C3267-$W$5)/$X$5)&lt;=1.96,"NO ATÍPICO")</f>
        <v>ATÍPICO</v>
      </c>
      <c r="K3267" t="str" cm="1">
        <f t="array" ref="K3267">_xlfn.IFS(ISBLANK(I3267),"FALTANTE",ABS((I3267-$W$8)/$X$8)&gt;1.92,"ATÍPICO",ABS((I3267-$W$8)/$X$8)&lt;=1.92,"NO ATÍPICO")</f>
        <v>NO ATÍPICO</v>
      </c>
      <c r="L3267">
        <f t="shared" si="221"/>
        <v>5412755.4900000002</v>
      </c>
      <c r="M3267" t="str">
        <f t="shared" si="221"/>
        <v>ASALARIADO</v>
      </c>
      <c r="N3267">
        <f t="shared" si="222"/>
        <v>34</v>
      </c>
      <c r="O3267" s="19" t="str">
        <f t="shared" si="223"/>
        <v>1200k+</v>
      </c>
      <c r="P3267" s="19" t="str">
        <f t="shared" si="224"/>
        <v>26-35</v>
      </c>
    </row>
    <row r="3268" spans="1:16" x14ac:dyDescent="0.25">
      <c r="A3268">
        <v>3267</v>
      </c>
      <c r="B3268" t="s">
        <v>9</v>
      </c>
      <c r="C3268">
        <v>271250</v>
      </c>
      <c r="D3268" t="s">
        <v>10</v>
      </c>
      <c r="E3268" t="s">
        <v>16</v>
      </c>
      <c r="F3268" t="s">
        <v>12</v>
      </c>
      <c r="G3268" t="s">
        <v>13</v>
      </c>
      <c r="H3268" t="s">
        <v>12</v>
      </c>
      <c r="I3268">
        <v>19</v>
      </c>
      <c r="J3268" t="str" cm="1">
        <f t="array" ref="J3268">_xlfn.IFS(ISBLANK(C3268),"FALTANTE",ABS((C3268-$W$5)/$X$5)&gt;1.96,"ATÍPICO",ABS((C3268-$W$5)/$X$5)&lt;=1.96,"NO ATÍPICO")</f>
        <v>NO ATÍPICO</v>
      </c>
      <c r="K3268" t="str" cm="1">
        <f t="array" ref="K3268">_xlfn.IFS(ISBLANK(I3268),"FALTANTE",ABS((I3268-$W$8)/$X$8)&gt;1.92,"ATÍPICO",ABS((I3268-$W$8)/$X$8)&lt;=1.92,"NO ATÍPICO")</f>
        <v>NO ATÍPICO</v>
      </c>
      <c r="L3268">
        <f t="shared" si="221"/>
        <v>271250</v>
      </c>
      <c r="M3268" t="str">
        <f t="shared" si="221"/>
        <v>ASALARIADO</v>
      </c>
      <c r="N3268">
        <f t="shared" si="222"/>
        <v>19</v>
      </c>
      <c r="O3268" s="19" t="str">
        <f t="shared" si="223"/>
        <v>0–300k</v>
      </c>
      <c r="P3268" s="19" t="str">
        <f t="shared" si="224"/>
        <v>18-25</v>
      </c>
    </row>
    <row r="3269" spans="1:16" x14ac:dyDescent="0.25">
      <c r="A3269">
        <v>3268</v>
      </c>
      <c r="B3269" t="s">
        <v>15</v>
      </c>
      <c r="C3269">
        <v>300018</v>
      </c>
      <c r="D3269" t="s">
        <v>17</v>
      </c>
      <c r="E3269" t="s">
        <v>16</v>
      </c>
      <c r="F3269" t="s">
        <v>12</v>
      </c>
      <c r="G3269" t="s">
        <v>13</v>
      </c>
      <c r="H3269" t="s">
        <v>13</v>
      </c>
      <c r="I3269">
        <v>57</v>
      </c>
      <c r="J3269" t="str" cm="1">
        <f t="array" ref="J3269">_xlfn.IFS(ISBLANK(C3269),"FALTANTE",ABS((C3269-$W$5)/$X$5)&gt;1.96,"ATÍPICO",ABS((C3269-$W$5)/$X$5)&lt;=1.96,"NO ATÍPICO")</f>
        <v>NO ATÍPICO</v>
      </c>
      <c r="K3269" t="str" cm="1">
        <f t="array" ref="K3269">_xlfn.IFS(ISBLANK(I3269),"FALTANTE",ABS((I3269-$W$8)/$X$8)&gt;1.92,"ATÍPICO",ABS((I3269-$W$8)/$X$8)&lt;=1.92,"NO ATÍPICO")</f>
        <v>NO ATÍPICO</v>
      </c>
      <c r="L3269">
        <f t="shared" si="221"/>
        <v>300018</v>
      </c>
      <c r="M3269" t="str">
        <f t="shared" si="221"/>
        <v>ASEGURADO VOLUNTARIO</v>
      </c>
      <c r="N3269">
        <f t="shared" si="222"/>
        <v>57</v>
      </c>
      <c r="O3269" s="19" t="str">
        <f t="shared" si="223"/>
        <v>300k–600k</v>
      </c>
      <c r="P3269" s="19" t="str">
        <f t="shared" si="224"/>
        <v>56+</v>
      </c>
    </row>
    <row r="3270" spans="1:16" x14ac:dyDescent="0.25">
      <c r="A3270">
        <v>3269</v>
      </c>
      <c r="B3270" t="s">
        <v>9</v>
      </c>
      <c r="C3270">
        <v>516873</v>
      </c>
      <c r="D3270" t="s">
        <v>18</v>
      </c>
      <c r="E3270" t="s">
        <v>16</v>
      </c>
      <c r="F3270" t="s">
        <v>12</v>
      </c>
      <c r="G3270" t="s">
        <v>13</v>
      </c>
      <c r="H3270" t="s">
        <v>13</v>
      </c>
      <c r="I3270">
        <v>38</v>
      </c>
      <c r="J3270" t="str" cm="1">
        <f t="array" ref="J3270">_xlfn.IFS(ISBLANK(C3270),"FALTANTE",ABS((C3270-$W$5)/$X$5)&gt;1.96,"ATÍPICO",ABS((C3270-$W$5)/$X$5)&lt;=1.96,"NO ATÍPICO")</f>
        <v>NO ATÍPICO</v>
      </c>
      <c r="K3270" t="str" cm="1">
        <f t="array" ref="K3270">_xlfn.IFS(ISBLANK(I3270),"FALTANTE",ABS((I3270-$W$8)/$X$8)&gt;1.92,"ATÍPICO",ABS((I3270-$W$8)/$X$8)&lt;=1.92,"NO ATÍPICO")</f>
        <v>NO ATÍPICO</v>
      </c>
      <c r="L3270">
        <f t="shared" si="221"/>
        <v>516873</v>
      </c>
      <c r="M3270" t="str">
        <f t="shared" si="221"/>
        <v>TRABAJADOR INDEPENDIENTE</v>
      </c>
      <c r="N3270">
        <f t="shared" si="222"/>
        <v>38</v>
      </c>
      <c r="O3270" s="19" t="str">
        <f t="shared" si="223"/>
        <v>300k–600k</v>
      </c>
      <c r="P3270" s="19" t="str">
        <f t="shared" si="224"/>
        <v>36-45</v>
      </c>
    </row>
    <row r="3271" spans="1:16" x14ac:dyDescent="0.25">
      <c r="A3271">
        <v>3270</v>
      </c>
      <c r="B3271" t="s">
        <v>9</v>
      </c>
      <c r="C3271">
        <v>678863</v>
      </c>
      <c r="D3271" t="s">
        <v>14</v>
      </c>
      <c r="E3271" t="s">
        <v>11</v>
      </c>
      <c r="F3271" t="s">
        <v>12</v>
      </c>
      <c r="G3271" t="s">
        <v>13</v>
      </c>
      <c r="H3271" t="s">
        <v>13</v>
      </c>
      <c r="I3271">
        <v>79</v>
      </c>
      <c r="J3271" t="str" cm="1">
        <f t="array" ref="J3271">_xlfn.IFS(ISBLANK(C3271),"FALTANTE",ABS((C3271-$W$5)/$X$5)&gt;1.96,"ATÍPICO",ABS((C3271-$W$5)/$X$5)&lt;=1.96,"NO ATÍPICO")</f>
        <v>NO ATÍPICO</v>
      </c>
      <c r="K3271" t="str" cm="1">
        <f t="array" ref="K3271">_xlfn.IFS(ISBLANK(I3271),"FALTANTE",ABS((I3271-$W$8)/$X$8)&gt;1.92,"ATÍPICO",ABS((I3271-$W$8)/$X$8)&lt;=1.92,"NO ATÍPICO")</f>
        <v>ATÍPICO</v>
      </c>
      <c r="L3271">
        <f t="shared" si="221"/>
        <v>678863</v>
      </c>
      <c r="M3271" t="str">
        <f t="shared" si="221"/>
        <v>PENSIONADOS EN SU PROPIO SISTEMA</v>
      </c>
      <c r="N3271">
        <f t="shared" si="222"/>
        <v>79</v>
      </c>
      <c r="O3271" s="19" t="str">
        <f t="shared" si="223"/>
        <v>600k–900k</v>
      </c>
      <c r="P3271" s="19" t="str">
        <f t="shared" si="224"/>
        <v>56+</v>
      </c>
    </row>
    <row r="3272" spans="1:16" x14ac:dyDescent="0.25">
      <c r="A3272">
        <v>3271</v>
      </c>
      <c r="B3272" t="s">
        <v>9</v>
      </c>
      <c r="C3272">
        <v>362964</v>
      </c>
      <c r="D3272" t="s">
        <v>18</v>
      </c>
      <c r="E3272" t="s">
        <v>16</v>
      </c>
      <c r="F3272" t="s">
        <v>12</v>
      </c>
      <c r="G3272" t="s">
        <v>13</v>
      </c>
      <c r="H3272" t="s">
        <v>12</v>
      </c>
      <c r="I3272">
        <v>52</v>
      </c>
      <c r="J3272" t="str" cm="1">
        <f t="array" ref="J3272">_xlfn.IFS(ISBLANK(C3272),"FALTANTE",ABS((C3272-$W$5)/$X$5)&gt;1.96,"ATÍPICO",ABS((C3272-$W$5)/$X$5)&lt;=1.96,"NO ATÍPICO")</f>
        <v>NO ATÍPICO</v>
      </c>
      <c r="K3272" t="str" cm="1">
        <f t="array" ref="K3272">_xlfn.IFS(ISBLANK(I3272),"FALTANTE",ABS((I3272-$W$8)/$X$8)&gt;1.92,"ATÍPICO",ABS((I3272-$W$8)/$X$8)&lt;=1.92,"NO ATÍPICO")</f>
        <v>NO ATÍPICO</v>
      </c>
      <c r="L3272">
        <f t="shared" si="221"/>
        <v>362964</v>
      </c>
      <c r="M3272" t="str">
        <f t="shared" si="221"/>
        <v>TRABAJADOR INDEPENDIENTE</v>
      </c>
      <c r="N3272">
        <f t="shared" si="222"/>
        <v>52</v>
      </c>
      <c r="O3272" s="19" t="str">
        <f t="shared" si="223"/>
        <v>300k–600k</v>
      </c>
      <c r="P3272" s="19" t="str">
        <f t="shared" si="224"/>
        <v>46-55</v>
      </c>
    </row>
    <row r="3273" spans="1:16" x14ac:dyDescent="0.25">
      <c r="A3273">
        <v>3272</v>
      </c>
      <c r="B3273" t="s">
        <v>9</v>
      </c>
      <c r="C3273">
        <v>639148</v>
      </c>
      <c r="D3273" t="s">
        <v>18</v>
      </c>
      <c r="E3273" t="s">
        <v>16</v>
      </c>
      <c r="F3273" t="s">
        <v>12</v>
      </c>
      <c r="G3273" t="s">
        <v>13</v>
      </c>
      <c r="H3273" t="s">
        <v>12</v>
      </c>
      <c r="I3273">
        <v>43</v>
      </c>
      <c r="J3273" t="str" cm="1">
        <f t="array" ref="J3273">_xlfn.IFS(ISBLANK(C3273),"FALTANTE",ABS((C3273-$W$5)/$X$5)&gt;1.96,"ATÍPICO",ABS((C3273-$W$5)/$X$5)&lt;=1.96,"NO ATÍPICO")</f>
        <v>NO ATÍPICO</v>
      </c>
      <c r="K3273" t="str" cm="1">
        <f t="array" ref="K3273">_xlfn.IFS(ISBLANK(I3273),"FALTANTE",ABS((I3273-$W$8)/$X$8)&gt;1.92,"ATÍPICO",ABS((I3273-$W$8)/$X$8)&lt;=1.92,"NO ATÍPICO")</f>
        <v>NO ATÍPICO</v>
      </c>
      <c r="L3273">
        <f t="shared" si="221"/>
        <v>639148</v>
      </c>
      <c r="M3273" t="str">
        <f t="shared" si="221"/>
        <v>TRABAJADOR INDEPENDIENTE</v>
      </c>
      <c r="N3273">
        <f t="shared" si="222"/>
        <v>43</v>
      </c>
      <c r="O3273" s="19" t="str">
        <f t="shared" si="223"/>
        <v>600k–900k</v>
      </c>
      <c r="P3273" s="19" t="str">
        <f t="shared" si="224"/>
        <v>36-45</v>
      </c>
    </row>
    <row r="3274" spans="1:16" x14ac:dyDescent="0.25">
      <c r="A3274">
        <v>3273</v>
      </c>
      <c r="B3274" t="s">
        <v>15</v>
      </c>
      <c r="C3274">
        <v>100000</v>
      </c>
      <c r="D3274" t="s">
        <v>10</v>
      </c>
      <c r="E3274" t="s">
        <v>16</v>
      </c>
      <c r="F3274" t="s">
        <v>12</v>
      </c>
      <c r="G3274" t="s">
        <v>12</v>
      </c>
      <c r="H3274" t="s">
        <v>13</v>
      </c>
      <c r="I3274">
        <v>30</v>
      </c>
      <c r="J3274" t="str" cm="1">
        <f t="array" ref="J3274">_xlfn.IFS(ISBLANK(C3274),"FALTANTE",ABS((C3274-$W$5)/$X$5)&gt;1.96,"ATÍPICO",ABS((C3274-$W$5)/$X$5)&lt;=1.96,"NO ATÍPICO")</f>
        <v>NO ATÍPICO</v>
      </c>
      <c r="K3274" t="str" cm="1">
        <f t="array" ref="K3274">_xlfn.IFS(ISBLANK(I3274),"FALTANTE",ABS((I3274-$W$8)/$X$8)&gt;1.92,"ATÍPICO",ABS((I3274-$W$8)/$X$8)&lt;=1.92,"NO ATÍPICO")</f>
        <v>NO ATÍPICO</v>
      </c>
      <c r="L3274">
        <f t="shared" si="221"/>
        <v>100000</v>
      </c>
      <c r="M3274" t="str">
        <f t="shared" si="221"/>
        <v>ASALARIADO</v>
      </c>
      <c r="N3274">
        <f t="shared" si="222"/>
        <v>30</v>
      </c>
      <c r="O3274" s="19" t="str">
        <f t="shared" si="223"/>
        <v>0–300k</v>
      </c>
      <c r="P3274" s="19" t="str">
        <f t="shared" si="224"/>
        <v>26-35</v>
      </c>
    </row>
    <row r="3275" spans="1:16" x14ac:dyDescent="0.25">
      <c r="A3275">
        <v>3274</v>
      </c>
      <c r="B3275" t="s">
        <v>15</v>
      </c>
      <c r="C3275">
        <v>1160614</v>
      </c>
      <c r="D3275" t="s">
        <v>14</v>
      </c>
      <c r="E3275" t="s">
        <v>11</v>
      </c>
      <c r="F3275" t="s">
        <v>12</v>
      </c>
      <c r="G3275" t="s">
        <v>13</v>
      </c>
      <c r="H3275" t="s">
        <v>13</v>
      </c>
      <c r="I3275">
        <v>65</v>
      </c>
      <c r="J3275" t="str" cm="1">
        <f t="array" ref="J3275">_xlfn.IFS(ISBLANK(C3275),"FALTANTE",ABS((C3275-$W$5)/$X$5)&gt;1.96,"ATÍPICO",ABS((C3275-$W$5)/$X$5)&lt;=1.96,"NO ATÍPICO")</f>
        <v>NO ATÍPICO</v>
      </c>
      <c r="K3275" t="str" cm="1">
        <f t="array" ref="K3275">_xlfn.IFS(ISBLANK(I3275),"FALTANTE",ABS((I3275-$W$8)/$X$8)&gt;1.92,"ATÍPICO",ABS((I3275-$W$8)/$X$8)&lt;=1.92,"NO ATÍPICO")</f>
        <v>NO ATÍPICO</v>
      </c>
      <c r="L3275">
        <f t="shared" si="221"/>
        <v>1160614</v>
      </c>
      <c r="M3275" t="str">
        <f t="shared" si="221"/>
        <v>PENSIONADOS EN SU PROPIO SISTEMA</v>
      </c>
      <c r="N3275">
        <f t="shared" si="222"/>
        <v>65</v>
      </c>
      <c r="O3275" s="19" t="str">
        <f t="shared" si="223"/>
        <v>900k–1200k</v>
      </c>
      <c r="P3275" s="19" t="str">
        <f t="shared" si="224"/>
        <v>56+</v>
      </c>
    </row>
    <row r="3276" spans="1:16" x14ac:dyDescent="0.25">
      <c r="A3276">
        <v>3275</v>
      </c>
      <c r="B3276" t="s">
        <v>9</v>
      </c>
      <c r="C3276">
        <v>298018</v>
      </c>
      <c r="D3276" t="s">
        <v>18</v>
      </c>
      <c r="E3276" t="s">
        <v>16</v>
      </c>
      <c r="F3276" t="s">
        <v>12</v>
      </c>
      <c r="G3276" t="s">
        <v>12</v>
      </c>
      <c r="H3276" t="s">
        <v>12</v>
      </c>
      <c r="I3276">
        <v>43</v>
      </c>
      <c r="J3276" t="str" cm="1">
        <f t="array" ref="J3276">_xlfn.IFS(ISBLANK(C3276),"FALTANTE",ABS((C3276-$W$5)/$X$5)&gt;1.96,"ATÍPICO",ABS((C3276-$W$5)/$X$5)&lt;=1.96,"NO ATÍPICO")</f>
        <v>NO ATÍPICO</v>
      </c>
      <c r="K3276" t="str" cm="1">
        <f t="array" ref="K3276">_xlfn.IFS(ISBLANK(I3276),"FALTANTE",ABS((I3276-$W$8)/$X$8)&gt;1.92,"ATÍPICO",ABS((I3276-$W$8)/$X$8)&lt;=1.92,"NO ATÍPICO")</f>
        <v>NO ATÍPICO</v>
      </c>
      <c r="L3276">
        <f t="shared" si="221"/>
        <v>298018</v>
      </c>
      <c r="M3276" t="str">
        <f t="shared" si="221"/>
        <v>TRABAJADOR INDEPENDIENTE</v>
      </c>
      <c r="N3276">
        <f t="shared" si="222"/>
        <v>43</v>
      </c>
      <c r="O3276" s="19" t="str">
        <f t="shared" si="223"/>
        <v>0–300k</v>
      </c>
      <c r="P3276" s="19" t="str">
        <f t="shared" si="224"/>
        <v>36-45</v>
      </c>
    </row>
    <row r="3277" spans="1:16" x14ac:dyDescent="0.25">
      <c r="A3277">
        <v>3276</v>
      </c>
      <c r="B3277" t="s">
        <v>9</v>
      </c>
      <c r="C3277">
        <v>278030.99</v>
      </c>
      <c r="D3277" t="s">
        <v>19</v>
      </c>
      <c r="E3277" t="s">
        <v>16</v>
      </c>
      <c r="F3277" t="s">
        <v>12</v>
      </c>
      <c r="G3277" t="s">
        <v>13</v>
      </c>
      <c r="H3277" t="s">
        <v>13</v>
      </c>
      <c r="I3277">
        <v>25</v>
      </c>
      <c r="J3277" t="str" cm="1">
        <f t="array" ref="J3277">_xlfn.IFS(ISBLANK(C3277),"FALTANTE",ABS((C3277-$W$5)/$X$5)&gt;1.96,"ATÍPICO",ABS((C3277-$W$5)/$X$5)&lt;=1.96,"NO ATÍPICO")</f>
        <v>NO ATÍPICO</v>
      </c>
      <c r="K3277" t="str" cm="1">
        <f t="array" ref="K3277">_xlfn.IFS(ISBLANK(I3277),"FALTANTE",ABS((I3277-$W$8)/$X$8)&gt;1.92,"ATÍPICO",ABS((I3277-$W$8)/$X$8)&lt;=1.92,"NO ATÍPICO")</f>
        <v>NO ATÍPICO</v>
      </c>
      <c r="L3277">
        <f t="shared" si="221"/>
        <v>278030.99</v>
      </c>
      <c r="M3277" t="str">
        <f t="shared" si="221"/>
        <v>CONVENIOS ESPECIALES DE TRABAJADORES INDEPENDIENTES</v>
      </c>
      <c r="N3277">
        <f t="shared" si="222"/>
        <v>25</v>
      </c>
      <c r="O3277" s="19" t="str">
        <f t="shared" si="223"/>
        <v>0–300k</v>
      </c>
      <c r="P3277" s="19" t="str">
        <f t="shared" si="224"/>
        <v>18-25</v>
      </c>
    </row>
    <row r="3278" spans="1:16" x14ac:dyDescent="0.25">
      <c r="A3278">
        <v>3277</v>
      </c>
      <c r="B3278" t="s">
        <v>9</v>
      </c>
      <c r="C3278">
        <v>1718999.67</v>
      </c>
      <c r="D3278" t="s">
        <v>10</v>
      </c>
      <c r="E3278" t="s">
        <v>16</v>
      </c>
      <c r="F3278" t="s">
        <v>12</v>
      </c>
      <c r="G3278" t="s">
        <v>12</v>
      </c>
      <c r="H3278" t="s">
        <v>13</v>
      </c>
      <c r="I3278">
        <v>32</v>
      </c>
      <c r="J3278" t="str" cm="1">
        <f t="array" ref="J3278">_xlfn.IFS(ISBLANK(C3278),"FALTANTE",ABS((C3278-$W$5)/$X$5)&gt;1.96,"ATÍPICO",ABS((C3278-$W$5)/$X$5)&lt;=1.96,"NO ATÍPICO")</f>
        <v>NO ATÍPICO</v>
      </c>
      <c r="K3278" t="str" cm="1">
        <f t="array" ref="K3278">_xlfn.IFS(ISBLANK(I3278),"FALTANTE",ABS((I3278-$W$8)/$X$8)&gt;1.92,"ATÍPICO",ABS((I3278-$W$8)/$X$8)&lt;=1.92,"NO ATÍPICO")</f>
        <v>NO ATÍPICO</v>
      </c>
      <c r="L3278">
        <f t="shared" si="221"/>
        <v>1718999.67</v>
      </c>
      <c r="M3278" t="str">
        <f t="shared" si="221"/>
        <v>ASALARIADO</v>
      </c>
      <c r="N3278">
        <f t="shared" si="222"/>
        <v>32</v>
      </c>
      <c r="O3278" s="19" t="str">
        <f t="shared" si="223"/>
        <v>1200k+</v>
      </c>
      <c r="P3278" s="19" t="str">
        <f t="shared" si="224"/>
        <v>26-35</v>
      </c>
    </row>
    <row r="3279" spans="1:16" x14ac:dyDescent="0.25">
      <c r="A3279">
        <v>3278</v>
      </c>
      <c r="B3279" t="s">
        <v>9</v>
      </c>
      <c r="C3279">
        <v>358468.86</v>
      </c>
      <c r="D3279" t="s">
        <v>10</v>
      </c>
      <c r="E3279" t="s">
        <v>16</v>
      </c>
      <c r="F3279" t="s">
        <v>12</v>
      </c>
      <c r="G3279" t="s">
        <v>13</v>
      </c>
      <c r="H3279" t="s">
        <v>13</v>
      </c>
      <c r="I3279">
        <v>52</v>
      </c>
      <c r="J3279" t="str" cm="1">
        <f t="array" ref="J3279">_xlfn.IFS(ISBLANK(C3279),"FALTANTE",ABS((C3279-$W$5)/$X$5)&gt;1.96,"ATÍPICO",ABS((C3279-$W$5)/$X$5)&lt;=1.96,"NO ATÍPICO")</f>
        <v>NO ATÍPICO</v>
      </c>
      <c r="K3279" t="str" cm="1">
        <f t="array" ref="K3279">_xlfn.IFS(ISBLANK(I3279),"FALTANTE",ABS((I3279-$W$8)/$X$8)&gt;1.92,"ATÍPICO",ABS((I3279-$W$8)/$X$8)&lt;=1.92,"NO ATÍPICO")</f>
        <v>NO ATÍPICO</v>
      </c>
      <c r="L3279">
        <f t="shared" si="221"/>
        <v>358468.86</v>
      </c>
      <c r="M3279" t="str">
        <f t="shared" si="221"/>
        <v>ASALARIADO</v>
      </c>
      <c r="N3279">
        <f t="shared" si="222"/>
        <v>52</v>
      </c>
      <c r="O3279" s="19" t="str">
        <f t="shared" si="223"/>
        <v>300k–600k</v>
      </c>
      <c r="P3279" s="19" t="str">
        <f t="shared" si="224"/>
        <v>46-55</v>
      </c>
    </row>
    <row r="3280" spans="1:16" x14ac:dyDescent="0.25">
      <c r="A3280">
        <v>3279</v>
      </c>
      <c r="B3280" t="s">
        <v>9</v>
      </c>
      <c r="C3280">
        <v>439167</v>
      </c>
      <c r="D3280" t="s">
        <v>10</v>
      </c>
      <c r="E3280" t="s">
        <v>16</v>
      </c>
      <c r="F3280" t="s">
        <v>12</v>
      </c>
      <c r="G3280" t="s">
        <v>13</v>
      </c>
      <c r="H3280" t="s">
        <v>13</v>
      </c>
      <c r="I3280">
        <v>44</v>
      </c>
      <c r="J3280" t="str" cm="1">
        <f t="array" ref="J3280">_xlfn.IFS(ISBLANK(C3280),"FALTANTE",ABS((C3280-$W$5)/$X$5)&gt;1.96,"ATÍPICO",ABS((C3280-$W$5)/$X$5)&lt;=1.96,"NO ATÍPICO")</f>
        <v>NO ATÍPICO</v>
      </c>
      <c r="K3280" t="str" cm="1">
        <f t="array" ref="K3280">_xlfn.IFS(ISBLANK(I3280),"FALTANTE",ABS((I3280-$W$8)/$X$8)&gt;1.92,"ATÍPICO",ABS((I3280-$W$8)/$X$8)&lt;=1.92,"NO ATÍPICO")</f>
        <v>NO ATÍPICO</v>
      </c>
      <c r="L3280">
        <f t="shared" si="221"/>
        <v>439167</v>
      </c>
      <c r="M3280" t="str">
        <f t="shared" si="221"/>
        <v>ASALARIADO</v>
      </c>
      <c r="N3280">
        <f t="shared" si="222"/>
        <v>44</v>
      </c>
      <c r="O3280" s="19" t="str">
        <f t="shared" si="223"/>
        <v>300k–600k</v>
      </c>
      <c r="P3280" s="19" t="str">
        <f t="shared" si="224"/>
        <v>36-45</v>
      </c>
    </row>
    <row r="3281" spans="1:16" x14ac:dyDescent="0.25">
      <c r="A3281">
        <v>3280</v>
      </c>
      <c r="B3281" t="s">
        <v>9</v>
      </c>
      <c r="C3281">
        <v>639148</v>
      </c>
      <c r="D3281" t="s">
        <v>18</v>
      </c>
      <c r="E3281" t="s">
        <v>16</v>
      </c>
      <c r="F3281" t="s">
        <v>12</v>
      </c>
      <c r="G3281" t="s">
        <v>13</v>
      </c>
      <c r="H3281" t="s">
        <v>13</v>
      </c>
      <c r="I3281">
        <v>54</v>
      </c>
      <c r="J3281" t="str" cm="1">
        <f t="array" ref="J3281">_xlfn.IFS(ISBLANK(C3281),"FALTANTE",ABS((C3281-$W$5)/$X$5)&gt;1.96,"ATÍPICO",ABS((C3281-$W$5)/$X$5)&lt;=1.96,"NO ATÍPICO")</f>
        <v>NO ATÍPICO</v>
      </c>
      <c r="K3281" t="str" cm="1">
        <f t="array" ref="K3281">_xlfn.IFS(ISBLANK(I3281),"FALTANTE",ABS((I3281-$W$8)/$X$8)&gt;1.92,"ATÍPICO",ABS((I3281-$W$8)/$X$8)&lt;=1.92,"NO ATÍPICO")</f>
        <v>NO ATÍPICO</v>
      </c>
      <c r="L3281">
        <f t="shared" si="221"/>
        <v>639148</v>
      </c>
      <c r="M3281" t="str">
        <f t="shared" si="221"/>
        <v>TRABAJADOR INDEPENDIENTE</v>
      </c>
      <c r="N3281">
        <f t="shared" si="222"/>
        <v>54</v>
      </c>
      <c r="O3281" s="19" t="str">
        <f t="shared" si="223"/>
        <v>600k–900k</v>
      </c>
      <c r="P3281" s="19" t="str">
        <f t="shared" si="224"/>
        <v>46-55</v>
      </c>
    </row>
    <row r="3282" spans="1:16" x14ac:dyDescent="0.25">
      <c r="A3282">
        <v>3281</v>
      </c>
      <c r="B3282" t="s">
        <v>9</v>
      </c>
      <c r="C3282">
        <v>589824.6</v>
      </c>
      <c r="D3282" t="s">
        <v>10</v>
      </c>
      <c r="E3282" t="s">
        <v>16</v>
      </c>
      <c r="F3282" t="s">
        <v>12</v>
      </c>
      <c r="G3282" t="s">
        <v>13</v>
      </c>
      <c r="H3282" t="s">
        <v>13</v>
      </c>
      <c r="I3282">
        <v>33</v>
      </c>
      <c r="J3282" t="str" cm="1">
        <f t="array" ref="J3282">_xlfn.IFS(ISBLANK(C3282),"FALTANTE",ABS((C3282-$W$5)/$X$5)&gt;1.96,"ATÍPICO",ABS((C3282-$W$5)/$X$5)&lt;=1.96,"NO ATÍPICO")</f>
        <v>NO ATÍPICO</v>
      </c>
      <c r="K3282" t="str" cm="1">
        <f t="array" ref="K3282">_xlfn.IFS(ISBLANK(I3282),"FALTANTE",ABS((I3282-$W$8)/$X$8)&gt;1.92,"ATÍPICO",ABS((I3282-$W$8)/$X$8)&lt;=1.92,"NO ATÍPICO")</f>
        <v>NO ATÍPICO</v>
      </c>
      <c r="L3282">
        <f t="shared" si="221"/>
        <v>589824.6</v>
      </c>
      <c r="M3282" t="str">
        <f t="shared" si="221"/>
        <v>ASALARIADO</v>
      </c>
      <c r="N3282">
        <f t="shared" si="222"/>
        <v>33</v>
      </c>
      <c r="O3282" s="19" t="str">
        <f t="shared" si="223"/>
        <v>300k–600k</v>
      </c>
      <c r="P3282" s="19" t="str">
        <f t="shared" si="224"/>
        <v>26-35</v>
      </c>
    </row>
    <row r="3283" spans="1:16" x14ac:dyDescent="0.25">
      <c r="A3283">
        <v>3282</v>
      </c>
      <c r="B3283" t="s">
        <v>15</v>
      </c>
      <c r="C3283">
        <v>264315.09999999998</v>
      </c>
      <c r="D3283" t="s">
        <v>10</v>
      </c>
      <c r="E3283" t="s">
        <v>16</v>
      </c>
      <c r="F3283" t="s">
        <v>12</v>
      </c>
      <c r="G3283" t="s">
        <v>13</v>
      </c>
      <c r="H3283" t="s">
        <v>13</v>
      </c>
      <c r="I3283">
        <v>23</v>
      </c>
      <c r="J3283" t="str" cm="1">
        <f t="array" ref="J3283">_xlfn.IFS(ISBLANK(C3283),"FALTANTE",ABS((C3283-$W$5)/$X$5)&gt;1.96,"ATÍPICO",ABS((C3283-$W$5)/$X$5)&lt;=1.96,"NO ATÍPICO")</f>
        <v>NO ATÍPICO</v>
      </c>
      <c r="K3283" t="str" cm="1">
        <f t="array" ref="K3283">_xlfn.IFS(ISBLANK(I3283),"FALTANTE",ABS((I3283-$W$8)/$X$8)&gt;1.92,"ATÍPICO",ABS((I3283-$W$8)/$X$8)&lt;=1.92,"NO ATÍPICO")</f>
        <v>NO ATÍPICO</v>
      </c>
      <c r="L3283">
        <f t="shared" si="221"/>
        <v>264315.09999999998</v>
      </c>
      <c r="M3283" t="str">
        <f t="shared" si="221"/>
        <v>ASALARIADO</v>
      </c>
      <c r="N3283">
        <f t="shared" si="222"/>
        <v>23</v>
      </c>
      <c r="O3283" s="19" t="str">
        <f t="shared" si="223"/>
        <v>0–300k</v>
      </c>
      <c r="P3283" s="19" t="str">
        <f t="shared" si="224"/>
        <v>18-25</v>
      </c>
    </row>
    <row r="3284" spans="1:16" x14ac:dyDescent="0.25">
      <c r="A3284">
        <v>3283</v>
      </c>
      <c r="B3284" t="s">
        <v>9</v>
      </c>
      <c r="C3284">
        <v>939801.74</v>
      </c>
      <c r="D3284" t="s">
        <v>10</v>
      </c>
      <c r="E3284" t="s">
        <v>11</v>
      </c>
      <c r="F3284" t="s">
        <v>12</v>
      </c>
      <c r="G3284" t="s">
        <v>13</v>
      </c>
      <c r="H3284" t="s">
        <v>13</v>
      </c>
      <c r="I3284">
        <v>34</v>
      </c>
      <c r="J3284" t="str" cm="1">
        <f t="array" ref="J3284">_xlfn.IFS(ISBLANK(C3284),"FALTANTE",ABS((C3284-$W$5)/$X$5)&gt;1.96,"ATÍPICO",ABS((C3284-$W$5)/$X$5)&lt;=1.96,"NO ATÍPICO")</f>
        <v>NO ATÍPICO</v>
      </c>
      <c r="K3284" t="str" cm="1">
        <f t="array" ref="K3284">_xlfn.IFS(ISBLANK(I3284),"FALTANTE",ABS((I3284-$W$8)/$X$8)&gt;1.92,"ATÍPICO",ABS((I3284-$W$8)/$X$8)&lt;=1.92,"NO ATÍPICO")</f>
        <v>NO ATÍPICO</v>
      </c>
      <c r="L3284">
        <f t="shared" si="221"/>
        <v>939801.74</v>
      </c>
      <c r="M3284" t="str">
        <f t="shared" si="221"/>
        <v>ASALARIADO</v>
      </c>
      <c r="N3284">
        <f t="shared" si="222"/>
        <v>34</v>
      </c>
      <c r="O3284" s="19" t="str">
        <f t="shared" si="223"/>
        <v>900k–1200k</v>
      </c>
      <c r="P3284" s="19" t="str">
        <f t="shared" si="224"/>
        <v>26-35</v>
      </c>
    </row>
    <row r="3285" spans="1:16" x14ac:dyDescent="0.25">
      <c r="A3285">
        <v>3284</v>
      </c>
      <c r="B3285" t="s">
        <v>9</v>
      </c>
      <c r="C3285">
        <v>297045</v>
      </c>
      <c r="D3285" t="s">
        <v>17</v>
      </c>
      <c r="E3285" t="s">
        <v>16</v>
      </c>
      <c r="F3285" t="s">
        <v>12</v>
      </c>
      <c r="G3285" t="s">
        <v>12</v>
      </c>
      <c r="H3285" t="s">
        <v>13</v>
      </c>
      <c r="I3285">
        <v>61</v>
      </c>
      <c r="J3285" t="str" cm="1">
        <f t="array" ref="J3285">_xlfn.IFS(ISBLANK(C3285),"FALTANTE",ABS((C3285-$W$5)/$X$5)&gt;1.96,"ATÍPICO",ABS((C3285-$W$5)/$X$5)&lt;=1.96,"NO ATÍPICO")</f>
        <v>NO ATÍPICO</v>
      </c>
      <c r="K3285" t="str" cm="1">
        <f t="array" ref="K3285">_xlfn.IFS(ISBLANK(I3285),"FALTANTE",ABS((I3285-$W$8)/$X$8)&gt;1.92,"ATÍPICO",ABS((I3285-$W$8)/$X$8)&lt;=1.92,"NO ATÍPICO")</f>
        <v>NO ATÍPICO</v>
      </c>
      <c r="L3285">
        <f t="shared" si="221"/>
        <v>297045</v>
      </c>
      <c r="M3285" t="str">
        <f t="shared" si="221"/>
        <v>ASEGURADO VOLUNTARIO</v>
      </c>
      <c r="N3285">
        <f t="shared" si="222"/>
        <v>61</v>
      </c>
      <c r="O3285" s="19" t="str">
        <f t="shared" si="223"/>
        <v>0–300k</v>
      </c>
      <c r="P3285" s="19" t="str">
        <f t="shared" si="224"/>
        <v>56+</v>
      </c>
    </row>
    <row r="3286" spans="1:16" x14ac:dyDescent="0.25">
      <c r="A3286">
        <v>3285</v>
      </c>
      <c r="B3286" t="s">
        <v>15</v>
      </c>
      <c r="C3286">
        <v>996628.96</v>
      </c>
      <c r="D3286" t="s">
        <v>10</v>
      </c>
      <c r="E3286" t="s">
        <v>11</v>
      </c>
      <c r="F3286" t="s">
        <v>12</v>
      </c>
      <c r="G3286" t="s">
        <v>13</v>
      </c>
      <c r="H3286" t="s">
        <v>13</v>
      </c>
      <c r="I3286">
        <v>34</v>
      </c>
      <c r="J3286" t="str" cm="1">
        <f t="array" ref="J3286">_xlfn.IFS(ISBLANK(C3286),"FALTANTE",ABS((C3286-$W$5)/$X$5)&gt;1.96,"ATÍPICO",ABS((C3286-$W$5)/$X$5)&lt;=1.96,"NO ATÍPICO")</f>
        <v>NO ATÍPICO</v>
      </c>
      <c r="K3286" t="str" cm="1">
        <f t="array" ref="K3286">_xlfn.IFS(ISBLANK(I3286),"FALTANTE",ABS((I3286-$W$8)/$X$8)&gt;1.92,"ATÍPICO",ABS((I3286-$W$8)/$X$8)&lt;=1.92,"NO ATÍPICO")</f>
        <v>NO ATÍPICO</v>
      </c>
      <c r="L3286">
        <f t="shared" si="221"/>
        <v>996628.96</v>
      </c>
      <c r="M3286" t="str">
        <f t="shared" si="221"/>
        <v>ASALARIADO</v>
      </c>
      <c r="N3286">
        <f t="shared" si="222"/>
        <v>34</v>
      </c>
      <c r="O3286" s="19" t="str">
        <f t="shared" si="223"/>
        <v>900k–1200k</v>
      </c>
      <c r="P3286" s="19" t="str">
        <f t="shared" si="224"/>
        <v>26-35</v>
      </c>
    </row>
    <row r="3287" spans="1:16" x14ac:dyDescent="0.25">
      <c r="A3287">
        <v>3286</v>
      </c>
      <c r="B3287" t="s">
        <v>9</v>
      </c>
      <c r="C3287">
        <v>600000</v>
      </c>
      <c r="D3287" t="s">
        <v>10</v>
      </c>
      <c r="E3287" t="s">
        <v>16</v>
      </c>
      <c r="F3287" t="s">
        <v>12</v>
      </c>
      <c r="G3287" t="s">
        <v>13</v>
      </c>
      <c r="H3287" t="s">
        <v>13</v>
      </c>
      <c r="I3287">
        <v>48</v>
      </c>
      <c r="J3287" t="str" cm="1">
        <f t="array" ref="J3287">_xlfn.IFS(ISBLANK(C3287),"FALTANTE",ABS((C3287-$W$5)/$X$5)&gt;1.96,"ATÍPICO",ABS((C3287-$W$5)/$X$5)&lt;=1.96,"NO ATÍPICO")</f>
        <v>NO ATÍPICO</v>
      </c>
      <c r="K3287" t="str" cm="1">
        <f t="array" ref="K3287">_xlfn.IFS(ISBLANK(I3287),"FALTANTE",ABS((I3287-$W$8)/$X$8)&gt;1.92,"ATÍPICO",ABS((I3287-$W$8)/$X$8)&lt;=1.92,"NO ATÍPICO")</f>
        <v>NO ATÍPICO</v>
      </c>
      <c r="L3287">
        <f t="shared" si="221"/>
        <v>600000</v>
      </c>
      <c r="M3287" t="str">
        <f t="shared" si="221"/>
        <v>ASALARIADO</v>
      </c>
      <c r="N3287">
        <f t="shared" si="222"/>
        <v>48</v>
      </c>
      <c r="O3287" s="19" t="str">
        <f t="shared" si="223"/>
        <v>300k–600k</v>
      </c>
      <c r="P3287" s="19" t="str">
        <f t="shared" si="224"/>
        <v>46-55</v>
      </c>
    </row>
    <row r="3288" spans="1:16" x14ac:dyDescent="0.25">
      <c r="A3288">
        <v>3287</v>
      </c>
      <c r="B3288" t="s">
        <v>9</v>
      </c>
      <c r="C3288">
        <v>193800</v>
      </c>
      <c r="D3288" t="s">
        <v>10</v>
      </c>
      <c r="E3288" t="s">
        <v>16</v>
      </c>
      <c r="F3288" t="s">
        <v>12</v>
      </c>
      <c r="G3288" t="s">
        <v>13</v>
      </c>
      <c r="H3288" t="s">
        <v>13</v>
      </c>
      <c r="I3288">
        <v>28</v>
      </c>
      <c r="J3288" t="str" cm="1">
        <f t="array" ref="J3288">_xlfn.IFS(ISBLANK(C3288),"FALTANTE",ABS((C3288-$W$5)/$X$5)&gt;1.96,"ATÍPICO",ABS((C3288-$W$5)/$X$5)&lt;=1.96,"NO ATÍPICO")</f>
        <v>NO ATÍPICO</v>
      </c>
      <c r="K3288" t="str" cm="1">
        <f t="array" ref="K3288">_xlfn.IFS(ISBLANK(I3288),"FALTANTE",ABS((I3288-$W$8)/$X$8)&gt;1.92,"ATÍPICO",ABS((I3288-$W$8)/$X$8)&lt;=1.92,"NO ATÍPICO")</f>
        <v>NO ATÍPICO</v>
      </c>
      <c r="L3288">
        <f t="shared" si="221"/>
        <v>193800</v>
      </c>
      <c r="M3288" t="str">
        <f t="shared" si="221"/>
        <v>ASALARIADO</v>
      </c>
      <c r="N3288">
        <f t="shared" si="222"/>
        <v>28</v>
      </c>
      <c r="O3288" s="19" t="str">
        <f t="shared" si="223"/>
        <v>0–300k</v>
      </c>
      <c r="P3288" s="19" t="str">
        <f t="shared" si="224"/>
        <v>26-35</v>
      </c>
    </row>
    <row r="3289" spans="1:16" x14ac:dyDescent="0.25">
      <c r="A3289">
        <v>3288</v>
      </c>
      <c r="B3289" t="s">
        <v>9</v>
      </c>
      <c r="C3289">
        <v>278030</v>
      </c>
      <c r="D3289" t="s">
        <v>19</v>
      </c>
      <c r="E3289" t="s">
        <v>16</v>
      </c>
      <c r="F3289" t="s">
        <v>12</v>
      </c>
      <c r="G3289" t="s">
        <v>13</v>
      </c>
      <c r="H3289" t="s">
        <v>13</v>
      </c>
      <c r="I3289">
        <v>30</v>
      </c>
      <c r="J3289" t="str" cm="1">
        <f t="array" ref="J3289">_xlfn.IFS(ISBLANK(C3289),"FALTANTE",ABS((C3289-$W$5)/$X$5)&gt;1.96,"ATÍPICO",ABS((C3289-$W$5)/$X$5)&lt;=1.96,"NO ATÍPICO")</f>
        <v>NO ATÍPICO</v>
      </c>
      <c r="K3289" t="str" cm="1">
        <f t="array" ref="K3289">_xlfn.IFS(ISBLANK(I3289),"FALTANTE",ABS((I3289-$W$8)/$X$8)&gt;1.92,"ATÍPICO",ABS((I3289-$W$8)/$X$8)&lt;=1.92,"NO ATÍPICO")</f>
        <v>NO ATÍPICO</v>
      </c>
      <c r="L3289">
        <f t="shared" si="221"/>
        <v>278030</v>
      </c>
      <c r="M3289" t="str">
        <f t="shared" si="221"/>
        <v>CONVENIOS ESPECIALES DE TRABAJADORES INDEPENDIENTES</v>
      </c>
      <c r="N3289">
        <f t="shared" si="222"/>
        <v>30</v>
      </c>
      <c r="O3289" s="19" t="str">
        <f t="shared" si="223"/>
        <v>0–300k</v>
      </c>
      <c r="P3289" s="19" t="str">
        <f t="shared" si="224"/>
        <v>26-35</v>
      </c>
    </row>
    <row r="3290" spans="1:16" x14ac:dyDescent="0.25">
      <c r="A3290">
        <v>3289</v>
      </c>
      <c r="B3290" t="s">
        <v>9</v>
      </c>
      <c r="C3290">
        <v>538043.07999999996</v>
      </c>
      <c r="D3290" t="s">
        <v>10</v>
      </c>
      <c r="E3290" t="s">
        <v>16</v>
      </c>
      <c r="F3290" t="s">
        <v>12</v>
      </c>
      <c r="G3290" t="s">
        <v>13</v>
      </c>
      <c r="H3290" t="s">
        <v>13</v>
      </c>
      <c r="I3290">
        <v>45</v>
      </c>
      <c r="J3290" t="str" cm="1">
        <f t="array" ref="J3290">_xlfn.IFS(ISBLANK(C3290),"FALTANTE",ABS((C3290-$W$5)/$X$5)&gt;1.96,"ATÍPICO",ABS((C3290-$W$5)/$X$5)&lt;=1.96,"NO ATÍPICO")</f>
        <v>NO ATÍPICO</v>
      </c>
      <c r="K3290" t="str" cm="1">
        <f t="array" ref="K3290">_xlfn.IFS(ISBLANK(I3290),"FALTANTE",ABS((I3290-$W$8)/$X$8)&gt;1.92,"ATÍPICO",ABS((I3290-$W$8)/$X$8)&lt;=1.92,"NO ATÍPICO")</f>
        <v>NO ATÍPICO</v>
      </c>
      <c r="L3290">
        <f t="shared" si="221"/>
        <v>538043.07999999996</v>
      </c>
      <c r="M3290" t="str">
        <f t="shared" si="221"/>
        <v>ASALARIADO</v>
      </c>
      <c r="N3290">
        <f t="shared" si="222"/>
        <v>45</v>
      </c>
      <c r="O3290" s="19" t="str">
        <f t="shared" si="223"/>
        <v>300k–600k</v>
      </c>
      <c r="P3290" s="19" t="str">
        <f t="shared" si="224"/>
        <v>36-45</v>
      </c>
    </row>
    <row r="3291" spans="1:16" x14ac:dyDescent="0.25">
      <c r="A3291">
        <v>3290</v>
      </c>
      <c r="B3291" t="s">
        <v>15</v>
      </c>
      <c r="C3291">
        <v>465000</v>
      </c>
      <c r="D3291" t="s">
        <v>10</v>
      </c>
      <c r="E3291" t="s">
        <v>16</v>
      </c>
      <c r="F3291" t="s">
        <v>12</v>
      </c>
      <c r="G3291" t="s">
        <v>13</v>
      </c>
      <c r="H3291" t="s">
        <v>12</v>
      </c>
      <c r="I3291">
        <v>28</v>
      </c>
      <c r="J3291" t="str" cm="1">
        <f t="array" ref="J3291">_xlfn.IFS(ISBLANK(C3291),"FALTANTE",ABS((C3291-$W$5)/$X$5)&gt;1.96,"ATÍPICO",ABS((C3291-$W$5)/$X$5)&lt;=1.96,"NO ATÍPICO")</f>
        <v>NO ATÍPICO</v>
      </c>
      <c r="K3291" t="str" cm="1">
        <f t="array" ref="K3291">_xlfn.IFS(ISBLANK(I3291),"FALTANTE",ABS((I3291-$W$8)/$X$8)&gt;1.92,"ATÍPICO",ABS((I3291-$W$8)/$X$8)&lt;=1.92,"NO ATÍPICO")</f>
        <v>NO ATÍPICO</v>
      </c>
      <c r="L3291">
        <f t="shared" si="221"/>
        <v>465000</v>
      </c>
      <c r="M3291" t="str">
        <f t="shared" si="221"/>
        <v>ASALARIADO</v>
      </c>
      <c r="N3291">
        <f t="shared" si="222"/>
        <v>28</v>
      </c>
      <c r="O3291" s="19" t="str">
        <f t="shared" si="223"/>
        <v>300k–600k</v>
      </c>
      <c r="P3291" s="19" t="str">
        <f t="shared" si="224"/>
        <v>26-35</v>
      </c>
    </row>
    <row r="3292" spans="1:16" x14ac:dyDescent="0.25">
      <c r="A3292">
        <v>3291</v>
      </c>
      <c r="B3292" t="s">
        <v>9</v>
      </c>
      <c r="C3292">
        <v>318610</v>
      </c>
      <c r="D3292" t="s">
        <v>18</v>
      </c>
      <c r="E3292" t="s">
        <v>16</v>
      </c>
      <c r="F3292" t="s">
        <v>12</v>
      </c>
      <c r="G3292" t="s">
        <v>13</v>
      </c>
      <c r="H3292" t="s">
        <v>13</v>
      </c>
      <c r="I3292">
        <v>44</v>
      </c>
      <c r="J3292" t="str" cm="1">
        <f t="array" ref="J3292">_xlfn.IFS(ISBLANK(C3292),"FALTANTE",ABS((C3292-$W$5)/$X$5)&gt;1.96,"ATÍPICO",ABS((C3292-$W$5)/$X$5)&lt;=1.96,"NO ATÍPICO")</f>
        <v>NO ATÍPICO</v>
      </c>
      <c r="K3292" t="str" cm="1">
        <f t="array" ref="K3292">_xlfn.IFS(ISBLANK(I3292),"FALTANTE",ABS((I3292-$W$8)/$X$8)&gt;1.92,"ATÍPICO",ABS((I3292-$W$8)/$X$8)&lt;=1.92,"NO ATÍPICO")</f>
        <v>NO ATÍPICO</v>
      </c>
      <c r="L3292">
        <f t="shared" si="221"/>
        <v>318610</v>
      </c>
      <c r="M3292" t="str">
        <f t="shared" si="221"/>
        <v>TRABAJADOR INDEPENDIENTE</v>
      </c>
      <c r="N3292">
        <f t="shared" si="222"/>
        <v>44</v>
      </c>
      <c r="O3292" s="19" t="str">
        <f t="shared" si="223"/>
        <v>300k–600k</v>
      </c>
      <c r="P3292" s="19" t="str">
        <f t="shared" si="224"/>
        <v>36-45</v>
      </c>
    </row>
    <row r="3293" spans="1:16" x14ac:dyDescent="0.25">
      <c r="A3293">
        <v>3292</v>
      </c>
      <c r="B3293" t="s">
        <v>15</v>
      </c>
      <c r="C3293">
        <v>272000</v>
      </c>
      <c r="D3293" t="s">
        <v>10</v>
      </c>
      <c r="E3293" t="s">
        <v>16</v>
      </c>
      <c r="F3293" t="s">
        <v>12</v>
      </c>
      <c r="G3293" t="s">
        <v>13</v>
      </c>
      <c r="H3293" t="s">
        <v>13</v>
      </c>
      <c r="I3293">
        <v>60</v>
      </c>
      <c r="J3293" t="str" cm="1">
        <f t="array" ref="J3293">_xlfn.IFS(ISBLANK(C3293),"FALTANTE",ABS((C3293-$W$5)/$X$5)&gt;1.96,"ATÍPICO",ABS((C3293-$W$5)/$X$5)&lt;=1.96,"NO ATÍPICO")</f>
        <v>NO ATÍPICO</v>
      </c>
      <c r="K3293" t="str" cm="1">
        <f t="array" ref="K3293">_xlfn.IFS(ISBLANK(I3293),"FALTANTE",ABS((I3293-$W$8)/$X$8)&gt;1.92,"ATÍPICO",ABS((I3293-$W$8)/$X$8)&lt;=1.92,"NO ATÍPICO")</f>
        <v>NO ATÍPICO</v>
      </c>
      <c r="L3293">
        <f t="shared" si="221"/>
        <v>272000</v>
      </c>
      <c r="M3293" t="str">
        <f t="shared" si="221"/>
        <v>ASALARIADO</v>
      </c>
      <c r="N3293">
        <f t="shared" si="222"/>
        <v>60</v>
      </c>
      <c r="O3293" s="19" t="str">
        <f t="shared" si="223"/>
        <v>0–300k</v>
      </c>
      <c r="P3293" s="19" t="str">
        <f t="shared" si="224"/>
        <v>56+</v>
      </c>
    </row>
    <row r="3294" spans="1:16" x14ac:dyDescent="0.25">
      <c r="A3294">
        <v>3293</v>
      </c>
      <c r="B3294" t="s">
        <v>15</v>
      </c>
      <c r="C3294">
        <v>2588242.2000000002</v>
      </c>
      <c r="D3294" t="s">
        <v>10</v>
      </c>
      <c r="E3294" t="s">
        <v>11</v>
      </c>
      <c r="F3294" t="s">
        <v>12</v>
      </c>
      <c r="G3294" t="s">
        <v>13</v>
      </c>
      <c r="H3294" t="s">
        <v>13</v>
      </c>
      <c r="I3294">
        <v>32</v>
      </c>
      <c r="J3294" t="str" cm="1">
        <f t="array" ref="J3294">_xlfn.IFS(ISBLANK(C3294),"FALTANTE",ABS((C3294-$W$5)/$X$5)&gt;1.96,"ATÍPICO",ABS((C3294-$W$5)/$X$5)&lt;=1.96,"NO ATÍPICO")</f>
        <v>ATÍPICO</v>
      </c>
      <c r="K3294" t="str" cm="1">
        <f t="array" ref="K3294">_xlfn.IFS(ISBLANK(I3294),"FALTANTE",ABS((I3294-$W$8)/$X$8)&gt;1.92,"ATÍPICO",ABS((I3294-$W$8)/$X$8)&lt;=1.92,"NO ATÍPICO")</f>
        <v>NO ATÍPICO</v>
      </c>
      <c r="L3294">
        <f t="shared" si="221"/>
        <v>2588242.2000000002</v>
      </c>
      <c r="M3294" t="str">
        <f t="shared" si="221"/>
        <v>ASALARIADO</v>
      </c>
      <c r="N3294">
        <f t="shared" si="222"/>
        <v>32</v>
      </c>
      <c r="O3294" s="19" t="str">
        <f t="shared" si="223"/>
        <v>1200k+</v>
      </c>
      <c r="P3294" s="19" t="str">
        <f t="shared" si="224"/>
        <v>26-35</v>
      </c>
    </row>
    <row r="3295" spans="1:16" x14ac:dyDescent="0.25">
      <c r="A3295">
        <v>3294</v>
      </c>
      <c r="B3295" t="s">
        <v>15</v>
      </c>
      <c r="C3295">
        <v>302470</v>
      </c>
      <c r="D3295" t="s">
        <v>18</v>
      </c>
      <c r="E3295" t="s">
        <v>16</v>
      </c>
      <c r="F3295" t="s">
        <v>12</v>
      </c>
      <c r="G3295" t="s">
        <v>13</v>
      </c>
      <c r="H3295" t="s">
        <v>13</v>
      </c>
      <c r="I3295">
        <v>28</v>
      </c>
      <c r="J3295" t="str" cm="1">
        <f t="array" ref="J3295">_xlfn.IFS(ISBLANK(C3295),"FALTANTE",ABS((C3295-$W$5)/$X$5)&gt;1.96,"ATÍPICO",ABS((C3295-$W$5)/$X$5)&lt;=1.96,"NO ATÍPICO")</f>
        <v>NO ATÍPICO</v>
      </c>
      <c r="K3295" t="str" cm="1">
        <f t="array" ref="K3295">_xlfn.IFS(ISBLANK(I3295),"FALTANTE",ABS((I3295-$W$8)/$X$8)&gt;1.92,"ATÍPICO",ABS((I3295-$W$8)/$X$8)&lt;=1.92,"NO ATÍPICO")</f>
        <v>NO ATÍPICO</v>
      </c>
      <c r="L3295">
        <f t="shared" si="221"/>
        <v>302470</v>
      </c>
      <c r="M3295" t="str">
        <f t="shared" si="221"/>
        <v>TRABAJADOR INDEPENDIENTE</v>
      </c>
      <c r="N3295">
        <f t="shared" si="222"/>
        <v>28</v>
      </c>
      <c r="O3295" s="19" t="str">
        <f t="shared" si="223"/>
        <v>300k–600k</v>
      </c>
      <c r="P3295" s="19" t="str">
        <f t="shared" si="224"/>
        <v>26-35</v>
      </c>
    </row>
    <row r="3296" spans="1:16" x14ac:dyDescent="0.25">
      <c r="A3296">
        <v>3295</v>
      </c>
      <c r="B3296" t="s">
        <v>9</v>
      </c>
      <c r="C3296">
        <v>300018</v>
      </c>
      <c r="D3296" t="s">
        <v>17</v>
      </c>
      <c r="E3296" t="s">
        <v>16</v>
      </c>
      <c r="F3296" t="s">
        <v>13</v>
      </c>
      <c r="G3296" t="s">
        <v>13</v>
      </c>
      <c r="H3296" t="s">
        <v>13</v>
      </c>
      <c r="I3296">
        <v>85</v>
      </c>
      <c r="J3296" t="str" cm="1">
        <f t="array" ref="J3296">_xlfn.IFS(ISBLANK(C3296),"FALTANTE",ABS((C3296-$W$5)/$X$5)&gt;1.96,"ATÍPICO",ABS((C3296-$W$5)/$X$5)&lt;=1.96,"NO ATÍPICO")</f>
        <v>NO ATÍPICO</v>
      </c>
      <c r="K3296" t="str" cm="1">
        <f t="array" ref="K3296">_xlfn.IFS(ISBLANK(I3296),"FALTANTE",ABS((I3296-$W$8)/$X$8)&gt;1.92,"ATÍPICO",ABS((I3296-$W$8)/$X$8)&lt;=1.92,"NO ATÍPICO")</f>
        <v>ATÍPICO</v>
      </c>
      <c r="L3296">
        <f t="shared" si="221"/>
        <v>300018</v>
      </c>
      <c r="M3296" t="str">
        <f t="shared" si="221"/>
        <v>ASEGURADO VOLUNTARIO</v>
      </c>
      <c r="N3296">
        <f t="shared" si="222"/>
        <v>85</v>
      </c>
      <c r="O3296" s="19" t="str">
        <f t="shared" si="223"/>
        <v>300k–600k</v>
      </c>
      <c r="P3296" s="19" t="str">
        <f t="shared" si="224"/>
        <v>56+</v>
      </c>
    </row>
    <row r="3297" spans="1:16" x14ac:dyDescent="0.25">
      <c r="A3297">
        <v>3296</v>
      </c>
      <c r="B3297" t="s">
        <v>15</v>
      </c>
      <c r="C3297">
        <v>509509</v>
      </c>
      <c r="D3297" t="s">
        <v>18</v>
      </c>
      <c r="E3297" t="s">
        <v>16</v>
      </c>
      <c r="F3297" t="s">
        <v>12</v>
      </c>
      <c r="G3297" t="s">
        <v>13</v>
      </c>
      <c r="H3297" t="s">
        <v>12</v>
      </c>
      <c r="I3297">
        <v>36</v>
      </c>
      <c r="J3297" t="str" cm="1">
        <f t="array" ref="J3297">_xlfn.IFS(ISBLANK(C3297),"FALTANTE",ABS((C3297-$W$5)/$X$5)&gt;1.96,"ATÍPICO",ABS((C3297-$W$5)/$X$5)&lt;=1.96,"NO ATÍPICO")</f>
        <v>NO ATÍPICO</v>
      </c>
      <c r="K3297" t="str" cm="1">
        <f t="array" ref="K3297">_xlfn.IFS(ISBLANK(I3297),"FALTANTE",ABS((I3297-$W$8)/$X$8)&gt;1.92,"ATÍPICO",ABS((I3297-$W$8)/$X$8)&lt;=1.92,"NO ATÍPICO")</f>
        <v>NO ATÍPICO</v>
      </c>
      <c r="L3297">
        <f t="shared" si="221"/>
        <v>509509</v>
      </c>
      <c r="M3297" t="str">
        <f t="shared" si="221"/>
        <v>TRABAJADOR INDEPENDIENTE</v>
      </c>
      <c r="N3297">
        <f t="shared" si="222"/>
        <v>36</v>
      </c>
      <c r="O3297" s="19" t="str">
        <f t="shared" si="223"/>
        <v>300k–600k</v>
      </c>
      <c r="P3297" s="19" t="str">
        <f t="shared" si="224"/>
        <v>36-45</v>
      </c>
    </row>
    <row r="3298" spans="1:16" x14ac:dyDescent="0.25">
      <c r="A3298">
        <v>3297</v>
      </c>
      <c r="B3298" t="s">
        <v>9</v>
      </c>
      <c r="C3298">
        <v>25000</v>
      </c>
      <c r="D3298" t="s">
        <v>10</v>
      </c>
      <c r="E3298" t="s">
        <v>16</v>
      </c>
      <c r="F3298" t="s">
        <v>12</v>
      </c>
      <c r="G3298" t="s">
        <v>13</v>
      </c>
      <c r="H3298" t="s">
        <v>13</v>
      </c>
      <c r="I3298">
        <v>27</v>
      </c>
      <c r="J3298" t="str" cm="1">
        <f t="array" ref="J3298">_xlfn.IFS(ISBLANK(C3298),"FALTANTE",ABS((C3298-$W$5)/$X$5)&gt;1.96,"ATÍPICO",ABS((C3298-$W$5)/$X$5)&lt;=1.96,"NO ATÍPICO")</f>
        <v>NO ATÍPICO</v>
      </c>
      <c r="K3298" t="str" cm="1">
        <f t="array" ref="K3298">_xlfn.IFS(ISBLANK(I3298),"FALTANTE",ABS((I3298-$W$8)/$X$8)&gt;1.92,"ATÍPICO",ABS((I3298-$W$8)/$X$8)&lt;=1.92,"NO ATÍPICO")</f>
        <v>NO ATÍPICO</v>
      </c>
      <c r="L3298">
        <f t="shared" si="221"/>
        <v>25000</v>
      </c>
      <c r="M3298" t="str">
        <f t="shared" si="221"/>
        <v>ASALARIADO</v>
      </c>
      <c r="N3298">
        <f t="shared" si="222"/>
        <v>27</v>
      </c>
      <c r="O3298" s="19" t="str">
        <f t="shared" si="223"/>
        <v>0–300k</v>
      </c>
      <c r="P3298" s="19" t="str">
        <f t="shared" si="224"/>
        <v>26-35</v>
      </c>
    </row>
    <row r="3299" spans="1:16" x14ac:dyDescent="0.25">
      <c r="A3299">
        <v>3298</v>
      </c>
      <c r="B3299" t="s">
        <v>15</v>
      </c>
      <c r="C3299">
        <v>355022.46</v>
      </c>
      <c r="D3299" t="s">
        <v>10</v>
      </c>
      <c r="E3299" t="s">
        <v>16</v>
      </c>
      <c r="F3299" t="s">
        <v>12</v>
      </c>
      <c r="G3299" t="s">
        <v>13</v>
      </c>
      <c r="H3299" t="s">
        <v>13</v>
      </c>
      <c r="I3299">
        <v>37</v>
      </c>
      <c r="J3299" t="str" cm="1">
        <f t="array" ref="J3299">_xlfn.IFS(ISBLANK(C3299),"FALTANTE",ABS((C3299-$W$5)/$X$5)&gt;1.96,"ATÍPICO",ABS((C3299-$W$5)/$X$5)&lt;=1.96,"NO ATÍPICO")</f>
        <v>NO ATÍPICO</v>
      </c>
      <c r="K3299" t="str" cm="1">
        <f t="array" ref="K3299">_xlfn.IFS(ISBLANK(I3299),"FALTANTE",ABS((I3299-$W$8)/$X$8)&gt;1.92,"ATÍPICO",ABS((I3299-$W$8)/$X$8)&lt;=1.92,"NO ATÍPICO")</f>
        <v>NO ATÍPICO</v>
      </c>
      <c r="L3299">
        <f t="shared" si="221"/>
        <v>355022.46</v>
      </c>
      <c r="M3299" t="str">
        <f t="shared" si="221"/>
        <v>ASALARIADO</v>
      </c>
      <c r="N3299">
        <f t="shared" si="222"/>
        <v>37</v>
      </c>
      <c r="O3299" s="19" t="str">
        <f t="shared" si="223"/>
        <v>300k–600k</v>
      </c>
      <c r="P3299" s="19" t="str">
        <f t="shared" si="224"/>
        <v>36-45</v>
      </c>
    </row>
    <row r="3300" spans="1:16" x14ac:dyDescent="0.25">
      <c r="A3300">
        <v>3299</v>
      </c>
      <c r="B3300" t="s">
        <v>15</v>
      </c>
      <c r="C3300">
        <v>727896.34</v>
      </c>
      <c r="D3300" t="s">
        <v>10</v>
      </c>
      <c r="E3300" t="s">
        <v>11</v>
      </c>
      <c r="F3300" t="s">
        <v>12</v>
      </c>
      <c r="G3300" t="s">
        <v>13</v>
      </c>
      <c r="H3300" t="s">
        <v>13</v>
      </c>
      <c r="I3300">
        <v>28</v>
      </c>
      <c r="J3300" t="str" cm="1">
        <f t="array" ref="J3300">_xlfn.IFS(ISBLANK(C3300),"FALTANTE",ABS((C3300-$W$5)/$X$5)&gt;1.96,"ATÍPICO",ABS((C3300-$W$5)/$X$5)&lt;=1.96,"NO ATÍPICO")</f>
        <v>NO ATÍPICO</v>
      </c>
      <c r="K3300" t="str" cm="1">
        <f t="array" ref="K3300">_xlfn.IFS(ISBLANK(I3300),"FALTANTE",ABS((I3300-$W$8)/$X$8)&gt;1.92,"ATÍPICO",ABS((I3300-$W$8)/$X$8)&lt;=1.92,"NO ATÍPICO")</f>
        <v>NO ATÍPICO</v>
      </c>
      <c r="L3300">
        <f t="shared" si="221"/>
        <v>727896.34</v>
      </c>
      <c r="M3300" t="str">
        <f t="shared" si="221"/>
        <v>ASALARIADO</v>
      </c>
      <c r="N3300">
        <f t="shared" si="222"/>
        <v>28</v>
      </c>
      <c r="O3300" s="19" t="str">
        <f t="shared" si="223"/>
        <v>600k–900k</v>
      </c>
      <c r="P3300" s="19" t="str">
        <f t="shared" si="224"/>
        <v>26-35</v>
      </c>
    </row>
    <row r="3301" spans="1:16" x14ac:dyDescent="0.25">
      <c r="A3301">
        <v>3300</v>
      </c>
      <c r="B3301" t="s">
        <v>9</v>
      </c>
      <c r="C3301">
        <v>343393</v>
      </c>
      <c r="D3301" t="s">
        <v>10</v>
      </c>
      <c r="E3301" t="s">
        <v>16</v>
      </c>
      <c r="F3301" t="s">
        <v>12</v>
      </c>
      <c r="G3301" t="s">
        <v>13</v>
      </c>
      <c r="H3301" t="s">
        <v>13</v>
      </c>
      <c r="I3301">
        <v>37</v>
      </c>
      <c r="J3301" t="str" cm="1">
        <f t="array" ref="J3301">_xlfn.IFS(ISBLANK(C3301),"FALTANTE",ABS((C3301-$W$5)/$X$5)&gt;1.96,"ATÍPICO",ABS((C3301-$W$5)/$X$5)&lt;=1.96,"NO ATÍPICO")</f>
        <v>NO ATÍPICO</v>
      </c>
      <c r="K3301" t="str" cm="1">
        <f t="array" ref="K3301">_xlfn.IFS(ISBLANK(I3301),"FALTANTE",ABS((I3301-$W$8)/$X$8)&gt;1.92,"ATÍPICO",ABS((I3301-$W$8)/$X$8)&lt;=1.92,"NO ATÍPICO")</f>
        <v>NO ATÍPICO</v>
      </c>
      <c r="L3301">
        <f t="shared" si="221"/>
        <v>343393</v>
      </c>
      <c r="M3301" t="str">
        <f t="shared" si="221"/>
        <v>ASALARIADO</v>
      </c>
      <c r="N3301">
        <f t="shared" si="222"/>
        <v>37</v>
      </c>
      <c r="O3301" s="19" t="str">
        <f t="shared" si="223"/>
        <v>300k–600k</v>
      </c>
      <c r="P3301" s="19" t="str">
        <f t="shared" si="224"/>
        <v>36-45</v>
      </c>
    </row>
    <row r="3302" spans="1:16" x14ac:dyDescent="0.25">
      <c r="A3302">
        <v>3301</v>
      </c>
      <c r="B3302" t="s">
        <v>15</v>
      </c>
      <c r="C3302">
        <v>296610</v>
      </c>
      <c r="D3302" t="s">
        <v>17</v>
      </c>
      <c r="E3302" t="s">
        <v>16</v>
      </c>
      <c r="F3302" t="s">
        <v>12</v>
      </c>
      <c r="G3302" t="s">
        <v>13</v>
      </c>
      <c r="H3302" t="s">
        <v>13</v>
      </c>
      <c r="I3302">
        <v>22</v>
      </c>
      <c r="J3302" t="str" cm="1">
        <f t="array" ref="J3302">_xlfn.IFS(ISBLANK(C3302),"FALTANTE",ABS((C3302-$W$5)/$X$5)&gt;1.96,"ATÍPICO",ABS((C3302-$W$5)/$X$5)&lt;=1.96,"NO ATÍPICO")</f>
        <v>NO ATÍPICO</v>
      </c>
      <c r="K3302" t="str" cm="1">
        <f t="array" ref="K3302">_xlfn.IFS(ISBLANK(I3302),"FALTANTE",ABS((I3302-$W$8)/$X$8)&gt;1.92,"ATÍPICO",ABS((I3302-$W$8)/$X$8)&lt;=1.92,"NO ATÍPICO")</f>
        <v>NO ATÍPICO</v>
      </c>
      <c r="L3302">
        <f t="shared" si="221"/>
        <v>296610</v>
      </c>
      <c r="M3302" t="str">
        <f t="shared" si="221"/>
        <v>ASEGURADO VOLUNTARIO</v>
      </c>
      <c r="N3302">
        <f t="shared" si="222"/>
        <v>22</v>
      </c>
      <c r="O3302" s="19" t="str">
        <f t="shared" si="223"/>
        <v>0–300k</v>
      </c>
      <c r="P3302" s="19" t="str">
        <f t="shared" si="224"/>
        <v>18-25</v>
      </c>
    </row>
    <row r="3303" spans="1:16" x14ac:dyDescent="0.25">
      <c r="A3303">
        <v>3302</v>
      </c>
      <c r="B3303" t="s">
        <v>9</v>
      </c>
      <c r="C3303">
        <v>1309556</v>
      </c>
      <c r="D3303" t="s">
        <v>14</v>
      </c>
      <c r="E3303" t="s">
        <v>11</v>
      </c>
      <c r="F3303" t="s">
        <v>12</v>
      </c>
      <c r="G3303" t="s">
        <v>13</v>
      </c>
      <c r="H3303" t="s">
        <v>13</v>
      </c>
      <c r="I3303">
        <v>55</v>
      </c>
      <c r="J3303" t="str" cm="1">
        <f t="array" ref="J3303">_xlfn.IFS(ISBLANK(C3303),"FALTANTE",ABS((C3303-$W$5)/$X$5)&gt;1.96,"ATÍPICO",ABS((C3303-$W$5)/$X$5)&lt;=1.96,"NO ATÍPICO")</f>
        <v>NO ATÍPICO</v>
      </c>
      <c r="K3303" t="str" cm="1">
        <f t="array" ref="K3303">_xlfn.IFS(ISBLANK(I3303),"FALTANTE",ABS((I3303-$W$8)/$X$8)&gt;1.92,"ATÍPICO",ABS((I3303-$W$8)/$X$8)&lt;=1.92,"NO ATÍPICO")</f>
        <v>NO ATÍPICO</v>
      </c>
      <c r="L3303">
        <f t="shared" si="221"/>
        <v>1309556</v>
      </c>
      <c r="M3303" t="str">
        <f t="shared" si="221"/>
        <v>PENSIONADOS EN SU PROPIO SISTEMA</v>
      </c>
      <c r="N3303">
        <f t="shared" si="222"/>
        <v>55</v>
      </c>
      <c r="O3303" s="19" t="str">
        <f t="shared" si="223"/>
        <v>1200k+</v>
      </c>
      <c r="P3303" s="19" t="str">
        <f t="shared" si="224"/>
        <v>46-55</v>
      </c>
    </row>
    <row r="3304" spans="1:16" x14ac:dyDescent="0.25">
      <c r="A3304">
        <v>3303</v>
      </c>
      <c r="B3304" t="s">
        <v>9</v>
      </c>
      <c r="C3304">
        <v>278030.99</v>
      </c>
      <c r="D3304" t="s">
        <v>19</v>
      </c>
      <c r="E3304" t="s">
        <v>16</v>
      </c>
      <c r="F3304" t="s">
        <v>12</v>
      </c>
      <c r="G3304" t="s">
        <v>13</v>
      </c>
      <c r="H3304" t="s">
        <v>13</v>
      </c>
      <c r="I3304">
        <v>64</v>
      </c>
      <c r="J3304" t="str" cm="1">
        <f t="array" ref="J3304">_xlfn.IFS(ISBLANK(C3304),"FALTANTE",ABS((C3304-$W$5)/$X$5)&gt;1.96,"ATÍPICO",ABS((C3304-$W$5)/$X$5)&lt;=1.96,"NO ATÍPICO")</f>
        <v>NO ATÍPICO</v>
      </c>
      <c r="K3304" t="str" cm="1">
        <f t="array" ref="K3304">_xlfn.IFS(ISBLANK(I3304),"FALTANTE",ABS((I3304-$W$8)/$X$8)&gt;1.92,"ATÍPICO",ABS((I3304-$W$8)/$X$8)&lt;=1.92,"NO ATÍPICO")</f>
        <v>NO ATÍPICO</v>
      </c>
      <c r="L3304">
        <f t="shared" si="221"/>
        <v>278030.99</v>
      </c>
      <c r="M3304" t="str">
        <f t="shared" si="221"/>
        <v>CONVENIOS ESPECIALES DE TRABAJADORES INDEPENDIENTES</v>
      </c>
      <c r="N3304">
        <f t="shared" si="222"/>
        <v>64</v>
      </c>
      <c r="O3304" s="19" t="str">
        <f t="shared" si="223"/>
        <v>0–300k</v>
      </c>
      <c r="P3304" s="19" t="str">
        <f t="shared" si="224"/>
        <v>56+</v>
      </c>
    </row>
    <row r="3305" spans="1:16" x14ac:dyDescent="0.25">
      <c r="A3305">
        <v>3304</v>
      </c>
      <c r="B3305" t="s">
        <v>9</v>
      </c>
      <c r="C3305">
        <v>184600</v>
      </c>
      <c r="D3305" t="s">
        <v>10</v>
      </c>
      <c r="E3305" t="s">
        <v>16</v>
      </c>
      <c r="F3305" t="s">
        <v>12</v>
      </c>
      <c r="G3305" t="s">
        <v>13</v>
      </c>
      <c r="H3305" t="s">
        <v>13</v>
      </c>
      <c r="I3305">
        <v>35</v>
      </c>
      <c r="J3305" t="str" cm="1">
        <f t="array" ref="J3305">_xlfn.IFS(ISBLANK(C3305),"FALTANTE",ABS((C3305-$W$5)/$X$5)&gt;1.96,"ATÍPICO",ABS((C3305-$W$5)/$X$5)&lt;=1.96,"NO ATÍPICO")</f>
        <v>NO ATÍPICO</v>
      </c>
      <c r="K3305" t="str" cm="1">
        <f t="array" ref="K3305">_xlfn.IFS(ISBLANK(I3305),"FALTANTE",ABS((I3305-$W$8)/$X$8)&gt;1.92,"ATÍPICO",ABS((I3305-$W$8)/$X$8)&lt;=1.92,"NO ATÍPICO")</f>
        <v>NO ATÍPICO</v>
      </c>
      <c r="L3305">
        <f t="shared" si="221"/>
        <v>184600</v>
      </c>
      <c r="M3305" t="str">
        <f t="shared" si="221"/>
        <v>ASALARIADO</v>
      </c>
      <c r="N3305">
        <f t="shared" si="222"/>
        <v>35</v>
      </c>
      <c r="O3305" s="19" t="str">
        <f t="shared" si="223"/>
        <v>0–300k</v>
      </c>
      <c r="P3305" s="19" t="str">
        <f t="shared" si="224"/>
        <v>26-35</v>
      </c>
    </row>
    <row r="3306" spans="1:16" x14ac:dyDescent="0.25">
      <c r="A3306">
        <v>3305</v>
      </c>
      <c r="B3306" t="s">
        <v>15</v>
      </c>
      <c r="C3306">
        <v>1437897</v>
      </c>
      <c r="D3306" t="s">
        <v>10</v>
      </c>
      <c r="E3306" t="s">
        <v>11</v>
      </c>
      <c r="F3306" t="s">
        <v>12</v>
      </c>
      <c r="G3306" t="s">
        <v>13</v>
      </c>
      <c r="H3306" t="s">
        <v>13</v>
      </c>
      <c r="I3306">
        <v>59</v>
      </c>
      <c r="J3306" t="str" cm="1">
        <f t="array" ref="J3306">_xlfn.IFS(ISBLANK(C3306),"FALTANTE",ABS((C3306-$W$5)/$X$5)&gt;1.96,"ATÍPICO",ABS((C3306-$W$5)/$X$5)&lt;=1.96,"NO ATÍPICO")</f>
        <v>NO ATÍPICO</v>
      </c>
      <c r="K3306" t="str" cm="1">
        <f t="array" ref="K3306">_xlfn.IFS(ISBLANK(I3306),"FALTANTE",ABS((I3306-$W$8)/$X$8)&gt;1.92,"ATÍPICO",ABS((I3306-$W$8)/$X$8)&lt;=1.92,"NO ATÍPICO")</f>
        <v>NO ATÍPICO</v>
      </c>
      <c r="L3306">
        <f t="shared" si="221"/>
        <v>1437897</v>
      </c>
      <c r="M3306" t="str">
        <f t="shared" si="221"/>
        <v>ASALARIADO</v>
      </c>
      <c r="N3306">
        <f t="shared" si="222"/>
        <v>59</v>
      </c>
      <c r="O3306" s="19" t="str">
        <f t="shared" si="223"/>
        <v>1200k+</v>
      </c>
      <c r="P3306" s="19" t="str">
        <f t="shared" si="224"/>
        <v>56+</v>
      </c>
    </row>
    <row r="3307" spans="1:16" x14ac:dyDescent="0.25">
      <c r="A3307">
        <v>3306</v>
      </c>
      <c r="B3307" t="s">
        <v>9</v>
      </c>
      <c r="C3307">
        <v>298000</v>
      </c>
      <c r="D3307" t="s">
        <v>10</v>
      </c>
      <c r="E3307" t="s">
        <v>16</v>
      </c>
      <c r="F3307" t="s">
        <v>12</v>
      </c>
      <c r="G3307" t="s">
        <v>13</v>
      </c>
      <c r="H3307" t="s">
        <v>13</v>
      </c>
      <c r="I3307">
        <v>31</v>
      </c>
      <c r="J3307" t="str" cm="1">
        <f t="array" ref="J3307">_xlfn.IFS(ISBLANK(C3307),"FALTANTE",ABS((C3307-$W$5)/$X$5)&gt;1.96,"ATÍPICO",ABS((C3307-$W$5)/$X$5)&lt;=1.96,"NO ATÍPICO")</f>
        <v>NO ATÍPICO</v>
      </c>
      <c r="K3307" t="str" cm="1">
        <f t="array" ref="K3307">_xlfn.IFS(ISBLANK(I3307),"FALTANTE",ABS((I3307-$W$8)/$X$8)&gt;1.92,"ATÍPICO",ABS((I3307-$W$8)/$X$8)&lt;=1.92,"NO ATÍPICO")</f>
        <v>NO ATÍPICO</v>
      </c>
      <c r="L3307">
        <f t="shared" si="221"/>
        <v>298000</v>
      </c>
      <c r="M3307" t="str">
        <f t="shared" si="221"/>
        <v>ASALARIADO</v>
      </c>
      <c r="N3307">
        <f t="shared" si="222"/>
        <v>31</v>
      </c>
      <c r="O3307" s="19" t="str">
        <f t="shared" si="223"/>
        <v>0–300k</v>
      </c>
      <c r="P3307" s="19" t="str">
        <f t="shared" si="224"/>
        <v>26-35</v>
      </c>
    </row>
    <row r="3308" spans="1:16" x14ac:dyDescent="0.25">
      <c r="A3308">
        <v>3307</v>
      </c>
      <c r="B3308" t="s">
        <v>9</v>
      </c>
      <c r="C3308">
        <v>324750</v>
      </c>
      <c r="D3308" t="s">
        <v>10</v>
      </c>
      <c r="E3308" t="s">
        <v>16</v>
      </c>
      <c r="F3308" t="s">
        <v>12</v>
      </c>
      <c r="G3308" t="s">
        <v>13</v>
      </c>
      <c r="H3308" t="s">
        <v>13</v>
      </c>
      <c r="I3308">
        <v>33</v>
      </c>
      <c r="J3308" t="str" cm="1">
        <f t="array" ref="J3308">_xlfn.IFS(ISBLANK(C3308),"FALTANTE",ABS((C3308-$W$5)/$X$5)&gt;1.96,"ATÍPICO",ABS((C3308-$W$5)/$X$5)&lt;=1.96,"NO ATÍPICO")</f>
        <v>NO ATÍPICO</v>
      </c>
      <c r="K3308" t="str" cm="1">
        <f t="array" ref="K3308">_xlfn.IFS(ISBLANK(I3308),"FALTANTE",ABS((I3308-$W$8)/$X$8)&gt;1.92,"ATÍPICO",ABS((I3308-$W$8)/$X$8)&lt;=1.92,"NO ATÍPICO")</f>
        <v>NO ATÍPICO</v>
      </c>
      <c r="L3308">
        <f t="shared" si="221"/>
        <v>324750</v>
      </c>
      <c r="M3308" t="str">
        <f t="shared" si="221"/>
        <v>ASALARIADO</v>
      </c>
      <c r="N3308">
        <f t="shared" si="222"/>
        <v>33</v>
      </c>
      <c r="O3308" s="19" t="str">
        <f t="shared" si="223"/>
        <v>300k–600k</v>
      </c>
      <c r="P3308" s="19" t="str">
        <f t="shared" si="224"/>
        <v>26-35</v>
      </c>
    </row>
    <row r="3309" spans="1:16" x14ac:dyDescent="0.25">
      <c r="A3309">
        <v>3308</v>
      </c>
      <c r="B3309" t="s">
        <v>15</v>
      </c>
      <c r="C3309">
        <v>1120416.72</v>
      </c>
      <c r="D3309" t="s">
        <v>10</v>
      </c>
      <c r="E3309" t="s">
        <v>16</v>
      </c>
      <c r="F3309" t="s">
        <v>12</v>
      </c>
      <c r="G3309" t="s">
        <v>13</v>
      </c>
      <c r="H3309" t="s">
        <v>13</v>
      </c>
      <c r="I3309">
        <v>33</v>
      </c>
      <c r="J3309" t="str" cm="1">
        <f t="array" ref="J3309">_xlfn.IFS(ISBLANK(C3309),"FALTANTE",ABS((C3309-$W$5)/$X$5)&gt;1.96,"ATÍPICO",ABS((C3309-$W$5)/$X$5)&lt;=1.96,"NO ATÍPICO")</f>
        <v>NO ATÍPICO</v>
      </c>
      <c r="K3309" t="str" cm="1">
        <f t="array" ref="K3309">_xlfn.IFS(ISBLANK(I3309),"FALTANTE",ABS((I3309-$W$8)/$X$8)&gt;1.92,"ATÍPICO",ABS((I3309-$W$8)/$X$8)&lt;=1.92,"NO ATÍPICO")</f>
        <v>NO ATÍPICO</v>
      </c>
      <c r="L3309">
        <f t="shared" si="221"/>
        <v>1120416.72</v>
      </c>
      <c r="M3309" t="str">
        <f t="shared" si="221"/>
        <v>ASALARIADO</v>
      </c>
      <c r="N3309">
        <f t="shared" si="222"/>
        <v>33</v>
      </c>
      <c r="O3309" s="19" t="str">
        <f t="shared" si="223"/>
        <v>900k–1200k</v>
      </c>
      <c r="P3309" s="19" t="str">
        <f t="shared" si="224"/>
        <v>26-35</v>
      </c>
    </row>
    <row r="3310" spans="1:16" x14ac:dyDescent="0.25">
      <c r="A3310">
        <v>3309</v>
      </c>
      <c r="B3310" t="s">
        <v>9</v>
      </c>
      <c r="C3310">
        <v>484940</v>
      </c>
      <c r="D3310" t="s">
        <v>18</v>
      </c>
      <c r="E3310" t="s">
        <v>16</v>
      </c>
      <c r="F3310" t="s">
        <v>12</v>
      </c>
      <c r="G3310" t="s">
        <v>13</v>
      </c>
      <c r="H3310" t="s">
        <v>12</v>
      </c>
      <c r="I3310">
        <v>33</v>
      </c>
      <c r="J3310" t="str" cm="1">
        <f t="array" ref="J3310">_xlfn.IFS(ISBLANK(C3310),"FALTANTE",ABS((C3310-$W$5)/$X$5)&gt;1.96,"ATÍPICO",ABS((C3310-$W$5)/$X$5)&lt;=1.96,"NO ATÍPICO")</f>
        <v>NO ATÍPICO</v>
      </c>
      <c r="K3310" t="str" cm="1">
        <f t="array" ref="K3310">_xlfn.IFS(ISBLANK(I3310),"FALTANTE",ABS((I3310-$W$8)/$X$8)&gt;1.92,"ATÍPICO",ABS((I3310-$W$8)/$X$8)&lt;=1.92,"NO ATÍPICO")</f>
        <v>NO ATÍPICO</v>
      </c>
      <c r="L3310">
        <f t="shared" si="221"/>
        <v>484940</v>
      </c>
      <c r="M3310" t="str">
        <f t="shared" si="221"/>
        <v>TRABAJADOR INDEPENDIENTE</v>
      </c>
      <c r="N3310">
        <f t="shared" si="222"/>
        <v>33</v>
      </c>
      <c r="O3310" s="19" t="str">
        <f t="shared" si="223"/>
        <v>300k–600k</v>
      </c>
      <c r="P3310" s="19" t="str">
        <f t="shared" si="224"/>
        <v>26-35</v>
      </c>
    </row>
    <row r="3311" spans="1:16" x14ac:dyDescent="0.25">
      <c r="A3311">
        <v>3310</v>
      </c>
      <c r="B3311" t="s">
        <v>15</v>
      </c>
      <c r="C3311">
        <v>467175.25</v>
      </c>
      <c r="D3311" t="s">
        <v>10</v>
      </c>
      <c r="E3311" t="s">
        <v>16</v>
      </c>
      <c r="F3311" t="s">
        <v>12</v>
      </c>
      <c r="G3311" t="s">
        <v>13</v>
      </c>
      <c r="H3311" t="s">
        <v>13</v>
      </c>
      <c r="I3311">
        <v>28</v>
      </c>
      <c r="J3311" t="str" cm="1">
        <f t="array" ref="J3311">_xlfn.IFS(ISBLANK(C3311),"FALTANTE",ABS((C3311-$W$5)/$X$5)&gt;1.96,"ATÍPICO",ABS((C3311-$W$5)/$X$5)&lt;=1.96,"NO ATÍPICO")</f>
        <v>NO ATÍPICO</v>
      </c>
      <c r="K3311" t="str" cm="1">
        <f t="array" ref="K3311">_xlfn.IFS(ISBLANK(I3311),"FALTANTE",ABS((I3311-$W$8)/$X$8)&gt;1.92,"ATÍPICO",ABS((I3311-$W$8)/$X$8)&lt;=1.92,"NO ATÍPICO")</f>
        <v>NO ATÍPICO</v>
      </c>
      <c r="L3311">
        <f t="shared" si="221"/>
        <v>467175.25</v>
      </c>
      <c r="M3311" t="str">
        <f t="shared" si="221"/>
        <v>ASALARIADO</v>
      </c>
      <c r="N3311">
        <f t="shared" si="222"/>
        <v>28</v>
      </c>
      <c r="O3311" s="19" t="str">
        <f t="shared" si="223"/>
        <v>300k–600k</v>
      </c>
      <c r="P3311" s="19" t="str">
        <f t="shared" si="224"/>
        <v>26-35</v>
      </c>
    </row>
    <row r="3312" spans="1:16" x14ac:dyDescent="0.25">
      <c r="A3312">
        <v>3311</v>
      </c>
      <c r="B3312" t="s">
        <v>15</v>
      </c>
      <c r="C3312">
        <v>405000</v>
      </c>
      <c r="D3312" t="s">
        <v>10</v>
      </c>
      <c r="E3312" t="s">
        <v>16</v>
      </c>
      <c r="F3312" t="s">
        <v>12</v>
      </c>
      <c r="G3312" t="s">
        <v>13</v>
      </c>
      <c r="H3312" t="s">
        <v>13</v>
      </c>
      <c r="I3312">
        <v>41</v>
      </c>
      <c r="J3312" t="str" cm="1">
        <f t="array" ref="J3312">_xlfn.IFS(ISBLANK(C3312),"FALTANTE",ABS((C3312-$W$5)/$X$5)&gt;1.96,"ATÍPICO",ABS((C3312-$W$5)/$X$5)&lt;=1.96,"NO ATÍPICO")</f>
        <v>NO ATÍPICO</v>
      </c>
      <c r="K3312" t="str" cm="1">
        <f t="array" ref="K3312">_xlfn.IFS(ISBLANK(I3312),"FALTANTE",ABS((I3312-$W$8)/$X$8)&gt;1.92,"ATÍPICO",ABS((I3312-$W$8)/$X$8)&lt;=1.92,"NO ATÍPICO")</f>
        <v>NO ATÍPICO</v>
      </c>
      <c r="L3312">
        <f t="shared" si="221"/>
        <v>405000</v>
      </c>
      <c r="M3312" t="str">
        <f t="shared" si="221"/>
        <v>ASALARIADO</v>
      </c>
      <c r="N3312">
        <f t="shared" si="222"/>
        <v>41</v>
      </c>
      <c r="O3312" s="19" t="str">
        <f t="shared" si="223"/>
        <v>300k–600k</v>
      </c>
      <c r="P3312" s="19" t="str">
        <f t="shared" si="224"/>
        <v>36-45</v>
      </c>
    </row>
    <row r="3313" spans="1:16" x14ac:dyDescent="0.25">
      <c r="A3313">
        <v>3312</v>
      </c>
      <c r="B3313" t="s">
        <v>9</v>
      </c>
      <c r="C3313">
        <v>597549.97</v>
      </c>
      <c r="D3313" t="s">
        <v>10</v>
      </c>
      <c r="E3313" t="s">
        <v>16</v>
      </c>
      <c r="F3313" t="s">
        <v>12</v>
      </c>
      <c r="G3313" t="s">
        <v>13</v>
      </c>
      <c r="H3313" t="s">
        <v>13</v>
      </c>
      <c r="I3313">
        <v>25</v>
      </c>
      <c r="J3313" t="str" cm="1">
        <f t="array" ref="J3313">_xlfn.IFS(ISBLANK(C3313),"FALTANTE",ABS((C3313-$W$5)/$X$5)&gt;1.96,"ATÍPICO",ABS((C3313-$W$5)/$X$5)&lt;=1.96,"NO ATÍPICO")</f>
        <v>NO ATÍPICO</v>
      </c>
      <c r="K3313" t="str" cm="1">
        <f t="array" ref="K3313">_xlfn.IFS(ISBLANK(I3313),"FALTANTE",ABS((I3313-$W$8)/$X$8)&gt;1.92,"ATÍPICO",ABS((I3313-$W$8)/$X$8)&lt;=1.92,"NO ATÍPICO")</f>
        <v>NO ATÍPICO</v>
      </c>
      <c r="L3313">
        <f t="shared" si="221"/>
        <v>597549.97</v>
      </c>
      <c r="M3313" t="str">
        <f t="shared" si="221"/>
        <v>ASALARIADO</v>
      </c>
      <c r="N3313">
        <f t="shared" si="222"/>
        <v>25</v>
      </c>
      <c r="O3313" s="19" t="str">
        <f t="shared" si="223"/>
        <v>300k–600k</v>
      </c>
      <c r="P3313" s="19" t="str">
        <f t="shared" si="224"/>
        <v>18-25</v>
      </c>
    </row>
    <row r="3314" spans="1:16" x14ac:dyDescent="0.25">
      <c r="A3314">
        <v>3313</v>
      </c>
      <c r="B3314" t="s">
        <v>15</v>
      </c>
      <c r="C3314">
        <v>643308</v>
      </c>
      <c r="D3314" t="s">
        <v>14</v>
      </c>
      <c r="E3314" t="s">
        <v>11</v>
      </c>
      <c r="F3314" t="s">
        <v>12</v>
      </c>
      <c r="G3314" t="s">
        <v>13</v>
      </c>
      <c r="H3314" t="s">
        <v>13</v>
      </c>
      <c r="I3314">
        <v>74</v>
      </c>
      <c r="J3314" t="str" cm="1">
        <f t="array" ref="J3314">_xlfn.IFS(ISBLANK(C3314),"FALTANTE",ABS((C3314-$W$5)/$X$5)&gt;1.96,"ATÍPICO",ABS((C3314-$W$5)/$X$5)&lt;=1.96,"NO ATÍPICO")</f>
        <v>NO ATÍPICO</v>
      </c>
      <c r="K3314" t="str" cm="1">
        <f t="array" ref="K3314">_xlfn.IFS(ISBLANK(I3314),"FALTANTE",ABS((I3314-$W$8)/$X$8)&gt;1.92,"ATÍPICO",ABS((I3314-$W$8)/$X$8)&lt;=1.92,"NO ATÍPICO")</f>
        <v>ATÍPICO</v>
      </c>
      <c r="L3314">
        <f t="shared" si="221"/>
        <v>643308</v>
      </c>
      <c r="M3314" t="str">
        <f t="shared" si="221"/>
        <v>PENSIONADOS EN SU PROPIO SISTEMA</v>
      </c>
      <c r="N3314">
        <f t="shared" si="222"/>
        <v>74</v>
      </c>
      <c r="O3314" s="19" t="str">
        <f t="shared" si="223"/>
        <v>600k–900k</v>
      </c>
      <c r="P3314" s="19" t="str">
        <f t="shared" si="224"/>
        <v>56+</v>
      </c>
    </row>
    <row r="3315" spans="1:16" x14ac:dyDescent="0.25">
      <c r="A3315">
        <v>3314</v>
      </c>
      <c r="B3315" t="s">
        <v>15</v>
      </c>
      <c r="C3315">
        <v>510866</v>
      </c>
      <c r="D3315" t="s">
        <v>10</v>
      </c>
      <c r="E3315" t="s">
        <v>16</v>
      </c>
      <c r="F3315" t="s">
        <v>12</v>
      </c>
      <c r="G3315" t="s">
        <v>13</v>
      </c>
      <c r="H3315" t="s">
        <v>13</v>
      </c>
      <c r="I3315">
        <v>26</v>
      </c>
      <c r="J3315" t="str" cm="1">
        <f t="array" ref="J3315">_xlfn.IFS(ISBLANK(C3315),"FALTANTE",ABS((C3315-$W$5)/$X$5)&gt;1.96,"ATÍPICO",ABS((C3315-$W$5)/$X$5)&lt;=1.96,"NO ATÍPICO")</f>
        <v>NO ATÍPICO</v>
      </c>
      <c r="K3315" t="str" cm="1">
        <f t="array" ref="K3315">_xlfn.IFS(ISBLANK(I3315),"FALTANTE",ABS((I3315-$W$8)/$X$8)&gt;1.92,"ATÍPICO",ABS((I3315-$W$8)/$X$8)&lt;=1.92,"NO ATÍPICO")</f>
        <v>NO ATÍPICO</v>
      </c>
      <c r="L3315">
        <f t="shared" si="221"/>
        <v>510866</v>
      </c>
      <c r="M3315" t="str">
        <f t="shared" si="221"/>
        <v>ASALARIADO</v>
      </c>
      <c r="N3315">
        <f t="shared" si="222"/>
        <v>26</v>
      </c>
      <c r="O3315" s="19" t="str">
        <f t="shared" si="223"/>
        <v>300k–600k</v>
      </c>
      <c r="P3315" s="19" t="str">
        <f t="shared" si="224"/>
        <v>26-35</v>
      </c>
    </row>
    <row r="3316" spans="1:16" x14ac:dyDescent="0.25">
      <c r="A3316">
        <v>3315</v>
      </c>
      <c r="B3316" t="s">
        <v>9</v>
      </c>
      <c r="C3316">
        <v>297046</v>
      </c>
      <c r="D3316" t="s">
        <v>17</v>
      </c>
      <c r="E3316" t="s">
        <v>16</v>
      </c>
      <c r="F3316" t="s">
        <v>12</v>
      </c>
      <c r="G3316" t="s">
        <v>13</v>
      </c>
      <c r="H3316" t="s">
        <v>13</v>
      </c>
      <c r="I3316">
        <v>36</v>
      </c>
      <c r="J3316" t="str" cm="1">
        <f t="array" ref="J3316">_xlfn.IFS(ISBLANK(C3316),"FALTANTE",ABS((C3316-$W$5)/$X$5)&gt;1.96,"ATÍPICO",ABS((C3316-$W$5)/$X$5)&lt;=1.96,"NO ATÍPICO")</f>
        <v>NO ATÍPICO</v>
      </c>
      <c r="K3316" t="str" cm="1">
        <f t="array" ref="K3316">_xlfn.IFS(ISBLANK(I3316),"FALTANTE",ABS((I3316-$W$8)/$X$8)&gt;1.92,"ATÍPICO",ABS((I3316-$W$8)/$X$8)&lt;=1.92,"NO ATÍPICO")</f>
        <v>NO ATÍPICO</v>
      </c>
      <c r="L3316">
        <f t="shared" si="221"/>
        <v>297046</v>
      </c>
      <c r="M3316" t="str">
        <f t="shared" si="221"/>
        <v>ASEGURADO VOLUNTARIO</v>
      </c>
      <c r="N3316">
        <f t="shared" si="222"/>
        <v>36</v>
      </c>
      <c r="O3316" s="19" t="str">
        <f t="shared" si="223"/>
        <v>0–300k</v>
      </c>
      <c r="P3316" s="19" t="str">
        <f t="shared" si="224"/>
        <v>36-45</v>
      </c>
    </row>
    <row r="3317" spans="1:16" x14ac:dyDescent="0.25">
      <c r="A3317">
        <v>3316</v>
      </c>
      <c r="B3317" t="s">
        <v>15</v>
      </c>
      <c r="C3317">
        <v>688499</v>
      </c>
      <c r="D3317" t="s">
        <v>10</v>
      </c>
      <c r="E3317" t="s">
        <v>16</v>
      </c>
      <c r="F3317" t="s">
        <v>12</v>
      </c>
      <c r="G3317" t="s">
        <v>13</v>
      </c>
      <c r="H3317" t="s">
        <v>13</v>
      </c>
      <c r="I3317">
        <v>32</v>
      </c>
      <c r="J3317" t="str" cm="1">
        <f t="array" ref="J3317">_xlfn.IFS(ISBLANK(C3317),"FALTANTE",ABS((C3317-$W$5)/$X$5)&gt;1.96,"ATÍPICO",ABS((C3317-$W$5)/$X$5)&lt;=1.96,"NO ATÍPICO")</f>
        <v>NO ATÍPICO</v>
      </c>
      <c r="K3317" t="str" cm="1">
        <f t="array" ref="K3317">_xlfn.IFS(ISBLANK(I3317),"FALTANTE",ABS((I3317-$W$8)/$X$8)&gt;1.92,"ATÍPICO",ABS((I3317-$W$8)/$X$8)&lt;=1.92,"NO ATÍPICO")</f>
        <v>NO ATÍPICO</v>
      </c>
      <c r="L3317">
        <f t="shared" si="221"/>
        <v>688499</v>
      </c>
      <c r="M3317" t="str">
        <f t="shared" si="221"/>
        <v>ASALARIADO</v>
      </c>
      <c r="N3317">
        <f t="shared" si="222"/>
        <v>32</v>
      </c>
      <c r="O3317" s="19" t="str">
        <f t="shared" si="223"/>
        <v>600k–900k</v>
      </c>
      <c r="P3317" s="19" t="str">
        <f t="shared" si="224"/>
        <v>26-35</v>
      </c>
    </row>
    <row r="3318" spans="1:16" x14ac:dyDescent="0.25">
      <c r="A3318">
        <v>3317</v>
      </c>
      <c r="B3318" t="s">
        <v>9</v>
      </c>
      <c r="C3318">
        <v>310253.48</v>
      </c>
      <c r="D3318" t="s">
        <v>10</v>
      </c>
      <c r="E3318" t="s">
        <v>16</v>
      </c>
      <c r="F3318" t="s">
        <v>12</v>
      </c>
      <c r="G3318" t="s">
        <v>13</v>
      </c>
      <c r="H3318" t="s">
        <v>13</v>
      </c>
      <c r="I3318">
        <v>59</v>
      </c>
      <c r="J3318" t="str" cm="1">
        <f t="array" ref="J3318">_xlfn.IFS(ISBLANK(C3318),"FALTANTE",ABS((C3318-$W$5)/$X$5)&gt;1.96,"ATÍPICO",ABS((C3318-$W$5)/$X$5)&lt;=1.96,"NO ATÍPICO")</f>
        <v>NO ATÍPICO</v>
      </c>
      <c r="K3318" t="str" cm="1">
        <f t="array" ref="K3318">_xlfn.IFS(ISBLANK(I3318),"FALTANTE",ABS((I3318-$W$8)/$X$8)&gt;1.92,"ATÍPICO",ABS((I3318-$W$8)/$X$8)&lt;=1.92,"NO ATÍPICO")</f>
        <v>NO ATÍPICO</v>
      </c>
      <c r="L3318">
        <f t="shared" si="221"/>
        <v>310253.48</v>
      </c>
      <c r="M3318" t="str">
        <f t="shared" si="221"/>
        <v>ASALARIADO</v>
      </c>
      <c r="N3318">
        <f t="shared" si="222"/>
        <v>59</v>
      </c>
      <c r="O3318" s="19" t="str">
        <f t="shared" si="223"/>
        <v>300k–600k</v>
      </c>
      <c r="P3318" s="19" t="str">
        <f t="shared" si="224"/>
        <v>56+</v>
      </c>
    </row>
    <row r="3319" spans="1:16" x14ac:dyDescent="0.25">
      <c r="A3319">
        <v>3318</v>
      </c>
      <c r="B3319" t="s">
        <v>15</v>
      </c>
      <c r="C3319">
        <v>297046</v>
      </c>
      <c r="D3319" t="s">
        <v>17</v>
      </c>
      <c r="E3319" t="s">
        <v>16</v>
      </c>
      <c r="F3319" t="s">
        <v>12</v>
      </c>
      <c r="G3319" t="s">
        <v>13</v>
      </c>
      <c r="H3319" t="s">
        <v>13</v>
      </c>
      <c r="I3319">
        <v>57</v>
      </c>
      <c r="J3319" t="str" cm="1">
        <f t="array" ref="J3319">_xlfn.IFS(ISBLANK(C3319),"FALTANTE",ABS((C3319-$W$5)/$X$5)&gt;1.96,"ATÍPICO",ABS((C3319-$W$5)/$X$5)&lt;=1.96,"NO ATÍPICO")</f>
        <v>NO ATÍPICO</v>
      </c>
      <c r="K3319" t="str" cm="1">
        <f t="array" ref="K3319">_xlfn.IFS(ISBLANK(I3319),"FALTANTE",ABS((I3319-$W$8)/$X$8)&gt;1.92,"ATÍPICO",ABS((I3319-$W$8)/$X$8)&lt;=1.92,"NO ATÍPICO")</f>
        <v>NO ATÍPICO</v>
      </c>
      <c r="L3319">
        <f t="shared" si="221"/>
        <v>297046</v>
      </c>
      <c r="M3319" t="str">
        <f t="shared" si="221"/>
        <v>ASEGURADO VOLUNTARIO</v>
      </c>
      <c r="N3319">
        <f t="shared" si="222"/>
        <v>57</v>
      </c>
      <c r="O3319" s="19" t="str">
        <f t="shared" si="223"/>
        <v>0–300k</v>
      </c>
      <c r="P3319" s="19" t="str">
        <f t="shared" si="224"/>
        <v>56+</v>
      </c>
    </row>
    <row r="3320" spans="1:16" x14ac:dyDescent="0.25">
      <c r="A3320">
        <v>3319</v>
      </c>
      <c r="B3320" t="s">
        <v>9</v>
      </c>
      <c r="C3320">
        <v>877095.21</v>
      </c>
      <c r="D3320" t="s">
        <v>10</v>
      </c>
      <c r="E3320" t="s">
        <v>16</v>
      </c>
      <c r="F3320" t="s">
        <v>12</v>
      </c>
      <c r="G3320" t="s">
        <v>13</v>
      </c>
      <c r="H3320" t="s">
        <v>13</v>
      </c>
      <c r="I3320">
        <v>43</v>
      </c>
      <c r="J3320" t="str" cm="1">
        <f t="array" ref="J3320">_xlfn.IFS(ISBLANK(C3320),"FALTANTE",ABS((C3320-$W$5)/$X$5)&gt;1.96,"ATÍPICO",ABS((C3320-$W$5)/$X$5)&lt;=1.96,"NO ATÍPICO")</f>
        <v>NO ATÍPICO</v>
      </c>
      <c r="K3320" t="str" cm="1">
        <f t="array" ref="K3320">_xlfn.IFS(ISBLANK(I3320),"FALTANTE",ABS((I3320-$W$8)/$X$8)&gt;1.92,"ATÍPICO",ABS((I3320-$W$8)/$X$8)&lt;=1.92,"NO ATÍPICO")</f>
        <v>NO ATÍPICO</v>
      </c>
      <c r="L3320">
        <f t="shared" si="221"/>
        <v>877095.21</v>
      </c>
      <c r="M3320" t="str">
        <f t="shared" si="221"/>
        <v>ASALARIADO</v>
      </c>
      <c r="N3320">
        <f t="shared" si="222"/>
        <v>43</v>
      </c>
      <c r="O3320" s="19" t="str">
        <f t="shared" si="223"/>
        <v>600k–900k</v>
      </c>
      <c r="P3320" s="19" t="str">
        <f t="shared" si="224"/>
        <v>36-45</v>
      </c>
    </row>
    <row r="3321" spans="1:16" x14ac:dyDescent="0.25">
      <c r="A3321">
        <v>3320</v>
      </c>
      <c r="B3321" t="s">
        <v>9</v>
      </c>
      <c r="C3321">
        <v>689245.69</v>
      </c>
      <c r="D3321" t="s">
        <v>10</v>
      </c>
      <c r="E3321" t="s">
        <v>16</v>
      </c>
      <c r="F3321" t="s">
        <v>12</v>
      </c>
      <c r="G3321" t="s">
        <v>13</v>
      </c>
      <c r="H3321" t="s">
        <v>13</v>
      </c>
      <c r="I3321">
        <v>38</v>
      </c>
      <c r="J3321" t="str" cm="1">
        <f t="array" ref="J3321">_xlfn.IFS(ISBLANK(C3321),"FALTANTE",ABS((C3321-$W$5)/$X$5)&gt;1.96,"ATÍPICO",ABS((C3321-$W$5)/$X$5)&lt;=1.96,"NO ATÍPICO")</f>
        <v>NO ATÍPICO</v>
      </c>
      <c r="K3321" t="str" cm="1">
        <f t="array" ref="K3321">_xlfn.IFS(ISBLANK(I3321),"FALTANTE",ABS((I3321-$W$8)/$X$8)&gt;1.92,"ATÍPICO",ABS((I3321-$W$8)/$X$8)&lt;=1.92,"NO ATÍPICO")</f>
        <v>NO ATÍPICO</v>
      </c>
      <c r="L3321">
        <f t="shared" si="221"/>
        <v>689245.69</v>
      </c>
      <c r="M3321" t="str">
        <f t="shared" si="221"/>
        <v>ASALARIADO</v>
      </c>
      <c r="N3321">
        <f t="shared" si="222"/>
        <v>38</v>
      </c>
      <c r="O3321" s="19" t="str">
        <f t="shared" si="223"/>
        <v>600k–900k</v>
      </c>
      <c r="P3321" s="19" t="str">
        <f t="shared" si="224"/>
        <v>36-45</v>
      </c>
    </row>
    <row r="3322" spans="1:16" x14ac:dyDescent="0.25">
      <c r="A3322">
        <v>3321</v>
      </c>
      <c r="B3322" t="s">
        <v>15</v>
      </c>
      <c r="C3322">
        <v>1314275</v>
      </c>
      <c r="D3322" t="s">
        <v>10</v>
      </c>
      <c r="E3322" t="s">
        <v>11</v>
      </c>
      <c r="F3322" t="s">
        <v>12</v>
      </c>
      <c r="G3322" t="s">
        <v>13</v>
      </c>
      <c r="H3322" t="s">
        <v>13</v>
      </c>
      <c r="I3322">
        <v>46</v>
      </c>
      <c r="J3322" t="str" cm="1">
        <f t="array" ref="J3322">_xlfn.IFS(ISBLANK(C3322),"FALTANTE",ABS((C3322-$W$5)/$X$5)&gt;1.96,"ATÍPICO",ABS((C3322-$W$5)/$X$5)&lt;=1.96,"NO ATÍPICO")</f>
        <v>NO ATÍPICO</v>
      </c>
      <c r="K3322" t="str" cm="1">
        <f t="array" ref="K3322">_xlfn.IFS(ISBLANK(I3322),"FALTANTE",ABS((I3322-$W$8)/$X$8)&gt;1.92,"ATÍPICO",ABS((I3322-$W$8)/$X$8)&lt;=1.92,"NO ATÍPICO")</f>
        <v>NO ATÍPICO</v>
      </c>
      <c r="L3322">
        <f t="shared" si="221"/>
        <v>1314275</v>
      </c>
      <c r="M3322" t="str">
        <f t="shared" si="221"/>
        <v>ASALARIADO</v>
      </c>
      <c r="N3322">
        <f t="shared" si="222"/>
        <v>46</v>
      </c>
      <c r="O3322" s="19" t="str">
        <f t="shared" si="223"/>
        <v>1200k+</v>
      </c>
      <c r="P3322" s="19" t="str">
        <f t="shared" si="224"/>
        <v>46-55</v>
      </c>
    </row>
    <row r="3323" spans="1:16" x14ac:dyDescent="0.25">
      <c r="A3323">
        <v>3322</v>
      </c>
      <c r="B3323" t="s">
        <v>15</v>
      </c>
      <c r="C3323">
        <v>540083</v>
      </c>
      <c r="D3323" t="s">
        <v>17</v>
      </c>
      <c r="E3323" t="s">
        <v>16</v>
      </c>
      <c r="F3323" t="s">
        <v>13</v>
      </c>
      <c r="G3323" t="s">
        <v>12</v>
      </c>
      <c r="H3323" t="s">
        <v>12</v>
      </c>
      <c r="I3323">
        <v>73</v>
      </c>
      <c r="J3323" t="str" cm="1">
        <f t="array" ref="J3323">_xlfn.IFS(ISBLANK(C3323),"FALTANTE",ABS((C3323-$W$5)/$X$5)&gt;1.96,"ATÍPICO",ABS((C3323-$W$5)/$X$5)&lt;=1.96,"NO ATÍPICO")</f>
        <v>NO ATÍPICO</v>
      </c>
      <c r="K3323" t="str" cm="1">
        <f t="array" ref="K3323">_xlfn.IFS(ISBLANK(I3323),"FALTANTE",ABS((I3323-$W$8)/$X$8)&gt;1.92,"ATÍPICO",ABS((I3323-$W$8)/$X$8)&lt;=1.92,"NO ATÍPICO")</f>
        <v>ATÍPICO</v>
      </c>
      <c r="L3323">
        <f t="shared" si="221"/>
        <v>540083</v>
      </c>
      <c r="M3323" t="str">
        <f t="shared" si="221"/>
        <v>ASEGURADO VOLUNTARIO</v>
      </c>
      <c r="N3323">
        <f t="shared" si="222"/>
        <v>73</v>
      </c>
      <c r="O3323" s="19" t="str">
        <f t="shared" si="223"/>
        <v>300k–600k</v>
      </c>
      <c r="P3323" s="19" t="str">
        <f t="shared" si="224"/>
        <v>56+</v>
      </c>
    </row>
    <row r="3324" spans="1:16" x14ac:dyDescent="0.25">
      <c r="A3324">
        <v>3323</v>
      </c>
      <c r="B3324" t="s">
        <v>9</v>
      </c>
      <c r="C3324">
        <v>609663</v>
      </c>
      <c r="D3324" t="s">
        <v>10</v>
      </c>
      <c r="E3324" t="s">
        <v>16</v>
      </c>
      <c r="F3324" t="s">
        <v>12</v>
      </c>
      <c r="G3324" t="s">
        <v>13</v>
      </c>
      <c r="H3324" t="s">
        <v>12</v>
      </c>
      <c r="I3324">
        <v>41</v>
      </c>
      <c r="J3324" t="str" cm="1">
        <f t="array" ref="J3324">_xlfn.IFS(ISBLANK(C3324),"FALTANTE",ABS((C3324-$W$5)/$X$5)&gt;1.96,"ATÍPICO",ABS((C3324-$W$5)/$X$5)&lt;=1.96,"NO ATÍPICO")</f>
        <v>NO ATÍPICO</v>
      </c>
      <c r="K3324" t="str" cm="1">
        <f t="array" ref="K3324">_xlfn.IFS(ISBLANK(I3324),"FALTANTE",ABS((I3324-$W$8)/$X$8)&gt;1.92,"ATÍPICO",ABS((I3324-$W$8)/$X$8)&lt;=1.92,"NO ATÍPICO")</f>
        <v>NO ATÍPICO</v>
      </c>
      <c r="L3324">
        <f t="shared" si="221"/>
        <v>609663</v>
      </c>
      <c r="M3324" t="str">
        <f t="shared" si="221"/>
        <v>ASALARIADO</v>
      </c>
      <c r="N3324">
        <f t="shared" si="222"/>
        <v>41</v>
      </c>
      <c r="O3324" s="19" t="str">
        <f t="shared" si="223"/>
        <v>600k–900k</v>
      </c>
      <c r="P3324" s="19" t="str">
        <f t="shared" si="224"/>
        <v>36-45</v>
      </c>
    </row>
    <row r="3325" spans="1:16" x14ac:dyDescent="0.25">
      <c r="A3325">
        <v>3324</v>
      </c>
      <c r="B3325" t="s">
        <v>9</v>
      </c>
      <c r="C3325">
        <v>727926.26</v>
      </c>
      <c r="D3325" t="s">
        <v>10</v>
      </c>
      <c r="E3325" t="s">
        <v>16</v>
      </c>
      <c r="F3325" t="s">
        <v>12</v>
      </c>
      <c r="G3325" t="s">
        <v>13</v>
      </c>
      <c r="H3325" t="s">
        <v>13</v>
      </c>
      <c r="I3325">
        <v>48</v>
      </c>
      <c r="J3325" t="str" cm="1">
        <f t="array" ref="J3325">_xlfn.IFS(ISBLANK(C3325),"FALTANTE",ABS((C3325-$W$5)/$X$5)&gt;1.96,"ATÍPICO",ABS((C3325-$W$5)/$X$5)&lt;=1.96,"NO ATÍPICO")</f>
        <v>NO ATÍPICO</v>
      </c>
      <c r="K3325" t="str" cm="1">
        <f t="array" ref="K3325">_xlfn.IFS(ISBLANK(I3325),"FALTANTE",ABS((I3325-$W$8)/$X$8)&gt;1.92,"ATÍPICO",ABS((I3325-$W$8)/$X$8)&lt;=1.92,"NO ATÍPICO")</f>
        <v>NO ATÍPICO</v>
      </c>
      <c r="L3325">
        <f t="shared" si="221"/>
        <v>727926.26</v>
      </c>
      <c r="M3325" t="str">
        <f t="shared" si="221"/>
        <v>ASALARIADO</v>
      </c>
      <c r="N3325">
        <f t="shared" si="222"/>
        <v>48</v>
      </c>
      <c r="O3325" s="19" t="str">
        <f t="shared" si="223"/>
        <v>600k–900k</v>
      </c>
      <c r="P3325" s="19" t="str">
        <f t="shared" si="224"/>
        <v>46-55</v>
      </c>
    </row>
    <row r="3326" spans="1:16" x14ac:dyDescent="0.25">
      <c r="A3326">
        <v>3325</v>
      </c>
      <c r="B3326" t="s">
        <v>15</v>
      </c>
      <c r="C3326">
        <v>1632331</v>
      </c>
      <c r="D3326" t="s">
        <v>10</v>
      </c>
      <c r="E3326" t="s">
        <v>11</v>
      </c>
      <c r="F3326" t="s">
        <v>12</v>
      </c>
      <c r="G3326" t="s">
        <v>13</v>
      </c>
      <c r="H3326" t="s">
        <v>13</v>
      </c>
      <c r="I3326">
        <v>44</v>
      </c>
      <c r="J3326" t="str" cm="1">
        <f t="array" ref="J3326">_xlfn.IFS(ISBLANK(C3326),"FALTANTE",ABS((C3326-$W$5)/$X$5)&gt;1.96,"ATÍPICO",ABS((C3326-$W$5)/$X$5)&lt;=1.96,"NO ATÍPICO")</f>
        <v>NO ATÍPICO</v>
      </c>
      <c r="K3326" t="str" cm="1">
        <f t="array" ref="K3326">_xlfn.IFS(ISBLANK(I3326),"FALTANTE",ABS((I3326-$W$8)/$X$8)&gt;1.92,"ATÍPICO",ABS((I3326-$W$8)/$X$8)&lt;=1.92,"NO ATÍPICO")</f>
        <v>NO ATÍPICO</v>
      </c>
      <c r="L3326">
        <f t="shared" si="221"/>
        <v>1632331</v>
      </c>
      <c r="M3326" t="str">
        <f t="shared" si="221"/>
        <v>ASALARIADO</v>
      </c>
      <c r="N3326">
        <f t="shared" si="222"/>
        <v>44</v>
      </c>
      <c r="O3326" s="19" t="str">
        <f t="shared" si="223"/>
        <v>1200k+</v>
      </c>
      <c r="P3326" s="19" t="str">
        <f t="shared" si="224"/>
        <v>36-45</v>
      </c>
    </row>
    <row r="3327" spans="1:16" x14ac:dyDescent="0.25">
      <c r="A3327">
        <v>3326</v>
      </c>
      <c r="B3327" t="s">
        <v>9</v>
      </c>
      <c r="C3327">
        <v>444937.63</v>
      </c>
      <c r="D3327" t="s">
        <v>10</v>
      </c>
      <c r="E3327" t="s">
        <v>16</v>
      </c>
      <c r="F3327" t="s">
        <v>12</v>
      </c>
      <c r="G3327" t="s">
        <v>12</v>
      </c>
      <c r="H3327" t="s">
        <v>13</v>
      </c>
      <c r="I3327">
        <v>48</v>
      </c>
      <c r="J3327" t="str" cm="1">
        <f t="array" ref="J3327">_xlfn.IFS(ISBLANK(C3327),"FALTANTE",ABS((C3327-$W$5)/$X$5)&gt;1.96,"ATÍPICO",ABS((C3327-$W$5)/$X$5)&lt;=1.96,"NO ATÍPICO")</f>
        <v>NO ATÍPICO</v>
      </c>
      <c r="K3327" t="str" cm="1">
        <f t="array" ref="K3327">_xlfn.IFS(ISBLANK(I3327),"FALTANTE",ABS((I3327-$W$8)/$X$8)&gt;1.92,"ATÍPICO",ABS((I3327-$W$8)/$X$8)&lt;=1.92,"NO ATÍPICO")</f>
        <v>NO ATÍPICO</v>
      </c>
      <c r="L3327">
        <f t="shared" si="221"/>
        <v>444937.63</v>
      </c>
      <c r="M3327" t="str">
        <f t="shared" si="221"/>
        <v>ASALARIADO</v>
      </c>
      <c r="N3327">
        <f t="shared" si="222"/>
        <v>48</v>
      </c>
      <c r="O3327" s="19" t="str">
        <f t="shared" si="223"/>
        <v>300k–600k</v>
      </c>
      <c r="P3327" s="19" t="str">
        <f t="shared" si="224"/>
        <v>46-55</v>
      </c>
    </row>
    <row r="3328" spans="1:16" x14ac:dyDescent="0.25">
      <c r="A3328">
        <v>3327</v>
      </c>
      <c r="B3328" t="s">
        <v>9</v>
      </c>
      <c r="C3328">
        <v>185956</v>
      </c>
      <c r="D3328" t="s">
        <v>10</v>
      </c>
      <c r="E3328" t="s">
        <v>16</v>
      </c>
      <c r="F3328" t="s">
        <v>12</v>
      </c>
      <c r="G3328" t="s">
        <v>13</v>
      </c>
      <c r="H3328" t="s">
        <v>13</v>
      </c>
      <c r="I3328">
        <v>64</v>
      </c>
      <c r="J3328" t="str" cm="1">
        <f t="array" ref="J3328">_xlfn.IFS(ISBLANK(C3328),"FALTANTE",ABS((C3328-$W$5)/$X$5)&gt;1.96,"ATÍPICO",ABS((C3328-$W$5)/$X$5)&lt;=1.96,"NO ATÍPICO")</f>
        <v>NO ATÍPICO</v>
      </c>
      <c r="K3328" t="str" cm="1">
        <f t="array" ref="K3328">_xlfn.IFS(ISBLANK(I3328),"FALTANTE",ABS((I3328-$W$8)/$X$8)&gt;1.92,"ATÍPICO",ABS((I3328-$W$8)/$X$8)&lt;=1.92,"NO ATÍPICO")</f>
        <v>NO ATÍPICO</v>
      </c>
      <c r="L3328">
        <f t="shared" si="221"/>
        <v>185956</v>
      </c>
      <c r="M3328" t="str">
        <f t="shared" si="221"/>
        <v>ASALARIADO</v>
      </c>
      <c r="N3328">
        <f t="shared" si="222"/>
        <v>64</v>
      </c>
      <c r="O3328" s="19" t="str">
        <f t="shared" si="223"/>
        <v>0–300k</v>
      </c>
      <c r="P3328" s="19" t="str">
        <f t="shared" si="224"/>
        <v>56+</v>
      </c>
    </row>
    <row r="3329" spans="1:16" x14ac:dyDescent="0.25">
      <c r="A3329">
        <v>3328</v>
      </c>
      <c r="B3329" t="s">
        <v>9</v>
      </c>
      <c r="C3329">
        <v>121368.02</v>
      </c>
      <c r="D3329" t="s">
        <v>10</v>
      </c>
      <c r="E3329" t="s">
        <v>16</v>
      </c>
      <c r="F3329" t="s">
        <v>12</v>
      </c>
      <c r="G3329" t="s">
        <v>13</v>
      </c>
      <c r="H3329" t="s">
        <v>13</v>
      </c>
      <c r="I3329">
        <v>26</v>
      </c>
      <c r="J3329" t="str" cm="1">
        <f t="array" ref="J3329">_xlfn.IFS(ISBLANK(C3329),"FALTANTE",ABS((C3329-$W$5)/$X$5)&gt;1.96,"ATÍPICO",ABS((C3329-$W$5)/$X$5)&lt;=1.96,"NO ATÍPICO")</f>
        <v>NO ATÍPICO</v>
      </c>
      <c r="K3329" t="str" cm="1">
        <f t="array" ref="K3329">_xlfn.IFS(ISBLANK(I3329),"FALTANTE",ABS((I3329-$W$8)/$X$8)&gt;1.92,"ATÍPICO",ABS((I3329-$W$8)/$X$8)&lt;=1.92,"NO ATÍPICO")</f>
        <v>NO ATÍPICO</v>
      </c>
      <c r="L3329">
        <f t="shared" si="221"/>
        <v>121368.02</v>
      </c>
      <c r="M3329" t="str">
        <f t="shared" si="221"/>
        <v>ASALARIADO</v>
      </c>
      <c r="N3329">
        <f t="shared" si="222"/>
        <v>26</v>
      </c>
      <c r="O3329" s="19" t="str">
        <f t="shared" si="223"/>
        <v>0–300k</v>
      </c>
      <c r="P3329" s="19" t="str">
        <f t="shared" si="224"/>
        <v>26-35</v>
      </c>
    </row>
    <row r="3330" spans="1:16" x14ac:dyDescent="0.25">
      <c r="A3330">
        <v>3329</v>
      </c>
      <c r="B3330" t="s">
        <v>9</v>
      </c>
      <c r="C3330">
        <v>532800</v>
      </c>
      <c r="D3330" t="s">
        <v>10</v>
      </c>
      <c r="E3330" t="s">
        <v>16</v>
      </c>
      <c r="F3330" t="s">
        <v>12</v>
      </c>
      <c r="G3330" t="s">
        <v>13</v>
      </c>
      <c r="H3330" t="s">
        <v>13</v>
      </c>
      <c r="I3330">
        <v>31</v>
      </c>
      <c r="J3330" t="str" cm="1">
        <f t="array" ref="J3330">_xlfn.IFS(ISBLANK(C3330),"FALTANTE",ABS((C3330-$W$5)/$X$5)&gt;1.96,"ATÍPICO",ABS((C3330-$W$5)/$X$5)&lt;=1.96,"NO ATÍPICO")</f>
        <v>NO ATÍPICO</v>
      </c>
      <c r="K3330" t="str" cm="1">
        <f t="array" ref="K3330">_xlfn.IFS(ISBLANK(I3330),"FALTANTE",ABS((I3330-$W$8)/$X$8)&gt;1.92,"ATÍPICO",ABS((I3330-$W$8)/$X$8)&lt;=1.92,"NO ATÍPICO")</f>
        <v>NO ATÍPICO</v>
      </c>
      <c r="L3330">
        <f t="shared" ref="L3330:M3393" si="225">C3330</f>
        <v>532800</v>
      </c>
      <c r="M3330" t="str">
        <f t="shared" si="225"/>
        <v>ASALARIADO</v>
      </c>
      <c r="N3330">
        <f t="shared" ref="N3330:N3393" si="226">I3330</f>
        <v>31</v>
      </c>
      <c r="O3330" s="19" t="str">
        <f t="shared" ref="O3330:O3393" si="227">IF(L3330&lt;=300000,"0–300k",IF(L3330&lt;=600000,"300k–600k",IF(L3330&lt;=900000,"600k–900k",IF(L3330&lt;=1200000,"900k–1200k","1200k+"))))</f>
        <v>300k–600k</v>
      </c>
      <c r="P3330" s="19" t="str">
        <f t="shared" ref="P3330:P3393" si="228">IF(N3330 &lt;=25,"18-25", IF(N3330&lt;=35,"26-35", IF(N3330 &lt;=45,"36-45", IF(N3330&lt;=55,"46-55","56+"))))</f>
        <v>26-35</v>
      </c>
    </row>
    <row r="3331" spans="1:16" x14ac:dyDescent="0.25">
      <c r="A3331">
        <v>3330</v>
      </c>
      <c r="B3331" t="s">
        <v>9</v>
      </c>
      <c r="C3331">
        <v>1066381.08</v>
      </c>
      <c r="D3331" t="s">
        <v>10</v>
      </c>
      <c r="E3331" t="s">
        <v>16</v>
      </c>
      <c r="F3331" t="s">
        <v>12</v>
      </c>
      <c r="G3331" t="s">
        <v>13</v>
      </c>
      <c r="H3331" t="s">
        <v>13</v>
      </c>
      <c r="I3331">
        <v>29</v>
      </c>
      <c r="J3331" t="str" cm="1">
        <f t="array" ref="J3331">_xlfn.IFS(ISBLANK(C3331),"FALTANTE",ABS((C3331-$W$5)/$X$5)&gt;1.96,"ATÍPICO",ABS((C3331-$W$5)/$X$5)&lt;=1.96,"NO ATÍPICO")</f>
        <v>NO ATÍPICO</v>
      </c>
      <c r="K3331" t="str" cm="1">
        <f t="array" ref="K3331">_xlfn.IFS(ISBLANK(I3331),"FALTANTE",ABS((I3331-$W$8)/$X$8)&gt;1.92,"ATÍPICO",ABS((I3331-$W$8)/$X$8)&lt;=1.92,"NO ATÍPICO")</f>
        <v>NO ATÍPICO</v>
      </c>
      <c r="L3331">
        <f t="shared" si="225"/>
        <v>1066381.08</v>
      </c>
      <c r="M3331" t="str">
        <f t="shared" si="225"/>
        <v>ASALARIADO</v>
      </c>
      <c r="N3331">
        <f t="shared" si="226"/>
        <v>29</v>
      </c>
      <c r="O3331" s="19" t="str">
        <f t="shared" si="227"/>
        <v>900k–1200k</v>
      </c>
      <c r="P3331" s="19" t="str">
        <f t="shared" si="228"/>
        <v>26-35</v>
      </c>
    </row>
    <row r="3332" spans="1:16" x14ac:dyDescent="0.25">
      <c r="A3332">
        <v>3331</v>
      </c>
      <c r="B3332" t="s">
        <v>9</v>
      </c>
      <c r="C3332">
        <v>280000</v>
      </c>
      <c r="D3332" t="s">
        <v>18</v>
      </c>
      <c r="E3332" t="s">
        <v>16</v>
      </c>
      <c r="F3332" t="s">
        <v>12</v>
      </c>
      <c r="G3332" t="s">
        <v>13</v>
      </c>
      <c r="H3332" t="s">
        <v>13</v>
      </c>
      <c r="I3332">
        <v>40</v>
      </c>
      <c r="J3332" t="str" cm="1">
        <f t="array" ref="J3332">_xlfn.IFS(ISBLANK(C3332),"FALTANTE",ABS((C3332-$W$5)/$X$5)&gt;1.96,"ATÍPICO",ABS((C3332-$W$5)/$X$5)&lt;=1.96,"NO ATÍPICO")</f>
        <v>NO ATÍPICO</v>
      </c>
      <c r="K3332" t="str" cm="1">
        <f t="array" ref="K3332">_xlfn.IFS(ISBLANK(I3332),"FALTANTE",ABS((I3332-$W$8)/$X$8)&gt;1.92,"ATÍPICO",ABS((I3332-$W$8)/$X$8)&lt;=1.92,"NO ATÍPICO")</f>
        <v>NO ATÍPICO</v>
      </c>
      <c r="L3332">
        <f t="shared" si="225"/>
        <v>280000</v>
      </c>
      <c r="M3332" t="str">
        <f t="shared" si="225"/>
        <v>TRABAJADOR INDEPENDIENTE</v>
      </c>
      <c r="N3332">
        <f t="shared" si="226"/>
        <v>40</v>
      </c>
      <c r="O3332" s="19" t="str">
        <f t="shared" si="227"/>
        <v>0–300k</v>
      </c>
      <c r="P3332" s="19" t="str">
        <f t="shared" si="228"/>
        <v>36-45</v>
      </c>
    </row>
    <row r="3333" spans="1:16" x14ac:dyDescent="0.25">
      <c r="A3333">
        <v>3332</v>
      </c>
      <c r="B3333" t="s">
        <v>9</v>
      </c>
      <c r="C3333">
        <v>342225.26</v>
      </c>
      <c r="D3333" t="s">
        <v>10</v>
      </c>
      <c r="E3333" t="s">
        <v>16</v>
      </c>
      <c r="F3333" t="s">
        <v>12</v>
      </c>
      <c r="G3333" t="s">
        <v>13</v>
      </c>
      <c r="H3333" t="s">
        <v>13</v>
      </c>
      <c r="I3333">
        <v>44</v>
      </c>
      <c r="J3333" t="str" cm="1">
        <f t="array" ref="J3333">_xlfn.IFS(ISBLANK(C3333),"FALTANTE",ABS((C3333-$W$5)/$X$5)&gt;1.96,"ATÍPICO",ABS((C3333-$W$5)/$X$5)&lt;=1.96,"NO ATÍPICO")</f>
        <v>NO ATÍPICO</v>
      </c>
      <c r="K3333" t="str" cm="1">
        <f t="array" ref="K3333">_xlfn.IFS(ISBLANK(I3333),"FALTANTE",ABS((I3333-$W$8)/$X$8)&gt;1.92,"ATÍPICO",ABS((I3333-$W$8)/$X$8)&lt;=1.92,"NO ATÍPICO")</f>
        <v>NO ATÍPICO</v>
      </c>
      <c r="L3333">
        <f t="shared" si="225"/>
        <v>342225.26</v>
      </c>
      <c r="M3333" t="str">
        <f t="shared" si="225"/>
        <v>ASALARIADO</v>
      </c>
      <c r="N3333">
        <f t="shared" si="226"/>
        <v>44</v>
      </c>
      <c r="O3333" s="19" t="str">
        <f t="shared" si="227"/>
        <v>300k–600k</v>
      </c>
      <c r="P3333" s="19" t="str">
        <f t="shared" si="228"/>
        <v>36-45</v>
      </c>
    </row>
    <row r="3334" spans="1:16" x14ac:dyDescent="0.25">
      <c r="A3334">
        <v>3333</v>
      </c>
      <c r="B3334" t="s">
        <v>15</v>
      </c>
      <c r="C3334">
        <v>535736.47</v>
      </c>
      <c r="D3334" t="s">
        <v>10</v>
      </c>
      <c r="E3334" t="s">
        <v>16</v>
      </c>
      <c r="F3334" t="s">
        <v>12</v>
      </c>
      <c r="G3334" t="s">
        <v>13</v>
      </c>
      <c r="H3334" t="s">
        <v>13</v>
      </c>
      <c r="I3334">
        <v>35</v>
      </c>
      <c r="J3334" t="str" cm="1">
        <f t="array" ref="J3334">_xlfn.IFS(ISBLANK(C3334),"FALTANTE",ABS((C3334-$W$5)/$X$5)&gt;1.96,"ATÍPICO",ABS((C3334-$W$5)/$X$5)&lt;=1.96,"NO ATÍPICO")</f>
        <v>NO ATÍPICO</v>
      </c>
      <c r="K3334" t="str" cm="1">
        <f t="array" ref="K3334">_xlfn.IFS(ISBLANK(I3334),"FALTANTE",ABS((I3334-$W$8)/$X$8)&gt;1.92,"ATÍPICO",ABS((I3334-$W$8)/$X$8)&lt;=1.92,"NO ATÍPICO")</f>
        <v>NO ATÍPICO</v>
      </c>
      <c r="L3334">
        <f t="shared" si="225"/>
        <v>535736.47</v>
      </c>
      <c r="M3334" t="str">
        <f t="shared" si="225"/>
        <v>ASALARIADO</v>
      </c>
      <c r="N3334">
        <f t="shared" si="226"/>
        <v>35</v>
      </c>
      <c r="O3334" s="19" t="str">
        <f t="shared" si="227"/>
        <v>300k–600k</v>
      </c>
      <c r="P3334" s="19" t="str">
        <f t="shared" si="228"/>
        <v>26-35</v>
      </c>
    </row>
    <row r="3335" spans="1:16" x14ac:dyDescent="0.25">
      <c r="A3335">
        <v>3334</v>
      </c>
      <c r="B3335" t="s">
        <v>9</v>
      </c>
      <c r="C3335">
        <v>288313.38</v>
      </c>
      <c r="D3335" t="s">
        <v>10</v>
      </c>
      <c r="E3335" t="s">
        <v>16</v>
      </c>
      <c r="F3335" t="s">
        <v>12</v>
      </c>
      <c r="G3335" t="s">
        <v>13</v>
      </c>
      <c r="H3335" t="s">
        <v>13</v>
      </c>
      <c r="I3335">
        <v>57</v>
      </c>
      <c r="J3335" t="str" cm="1">
        <f t="array" ref="J3335">_xlfn.IFS(ISBLANK(C3335),"FALTANTE",ABS((C3335-$W$5)/$X$5)&gt;1.96,"ATÍPICO",ABS((C3335-$W$5)/$X$5)&lt;=1.96,"NO ATÍPICO")</f>
        <v>NO ATÍPICO</v>
      </c>
      <c r="K3335" t="str" cm="1">
        <f t="array" ref="K3335">_xlfn.IFS(ISBLANK(I3335),"FALTANTE",ABS((I3335-$W$8)/$X$8)&gt;1.92,"ATÍPICO",ABS((I3335-$W$8)/$X$8)&lt;=1.92,"NO ATÍPICO")</f>
        <v>NO ATÍPICO</v>
      </c>
      <c r="L3335">
        <f t="shared" si="225"/>
        <v>288313.38</v>
      </c>
      <c r="M3335" t="str">
        <f t="shared" si="225"/>
        <v>ASALARIADO</v>
      </c>
      <c r="N3335">
        <f t="shared" si="226"/>
        <v>57</v>
      </c>
      <c r="O3335" s="19" t="str">
        <f t="shared" si="227"/>
        <v>0–300k</v>
      </c>
      <c r="P3335" s="19" t="str">
        <f t="shared" si="228"/>
        <v>56+</v>
      </c>
    </row>
    <row r="3336" spans="1:16" x14ac:dyDescent="0.25">
      <c r="A3336">
        <v>3335</v>
      </c>
      <c r="B3336" t="s">
        <v>9</v>
      </c>
      <c r="C3336">
        <v>1374999.99</v>
      </c>
      <c r="D3336" t="s">
        <v>10</v>
      </c>
      <c r="E3336" t="s">
        <v>16</v>
      </c>
      <c r="F3336" t="s">
        <v>12</v>
      </c>
      <c r="G3336" t="s">
        <v>12</v>
      </c>
      <c r="H3336" t="s">
        <v>13</v>
      </c>
      <c r="I3336">
        <v>37</v>
      </c>
      <c r="J3336" t="str" cm="1">
        <f t="array" ref="J3336">_xlfn.IFS(ISBLANK(C3336),"FALTANTE",ABS((C3336-$W$5)/$X$5)&gt;1.96,"ATÍPICO",ABS((C3336-$W$5)/$X$5)&lt;=1.96,"NO ATÍPICO")</f>
        <v>NO ATÍPICO</v>
      </c>
      <c r="K3336" t="str" cm="1">
        <f t="array" ref="K3336">_xlfn.IFS(ISBLANK(I3336),"FALTANTE",ABS((I3336-$W$8)/$X$8)&gt;1.92,"ATÍPICO",ABS((I3336-$W$8)/$X$8)&lt;=1.92,"NO ATÍPICO")</f>
        <v>NO ATÍPICO</v>
      </c>
      <c r="L3336">
        <f t="shared" si="225"/>
        <v>1374999.99</v>
      </c>
      <c r="M3336" t="str">
        <f t="shared" si="225"/>
        <v>ASALARIADO</v>
      </c>
      <c r="N3336">
        <f t="shared" si="226"/>
        <v>37</v>
      </c>
      <c r="O3336" s="19" t="str">
        <f t="shared" si="227"/>
        <v>1200k+</v>
      </c>
      <c r="P3336" s="19" t="str">
        <f t="shared" si="228"/>
        <v>36-45</v>
      </c>
    </row>
    <row r="3337" spans="1:16" x14ac:dyDescent="0.25">
      <c r="A3337">
        <v>3336</v>
      </c>
      <c r="B3337" t="s">
        <v>15</v>
      </c>
      <c r="C3337">
        <v>748465</v>
      </c>
      <c r="D3337" t="s">
        <v>10</v>
      </c>
      <c r="E3337" t="s">
        <v>11</v>
      </c>
      <c r="F3337" t="s">
        <v>12</v>
      </c>
      <c r="G3337" t="s">
        <v>13</v>
      </c>
      <c r="H3337" t="s">
        <v>13</v>
      </c>
      <c r="I3337">
        <v>40</v>
      </c>
      <c r="J3337" t="str" cm="1">
        <f t="array" ref="J3337">_xlfn.IFS(ISBLANK(C3337),"FALTANTE",ABS((C3337-$W$5)/$X$5)&gt;1.96,"ATÍPICO",ABS((C3337-$W$5)/$X$5)&lt;=1.96,"NO ATÍPICO")</f>
        <v>NO ATÍPICO</v>
      </c>
      <c r="K3337" t="str" cm="1">
        <f t="array" ref="K3337">_xlfn.IFS(ISBLANK(I3337),"FALTANTE",ABS((I3337-$W$8)/$X$8)&gt;1.92,"ATÍPICO",ABS((I3337-$W$8)/$X$8)&lt;=1.92,"NO ATÍPICO")</f>
        <v>NO ATÍPICO</v>
      </c>
      <c r="L3337">
        <f t="shared" si="225"/>
        <v>748465</v>
      </c>
      <c r="M3337" t="str">
        <f t="shared" si="225"/>
        <v>ASALARIADO</v>
      </c>
      <c r="N3337">
        <f t="shared" si="226"/>
        <v>40</v>
      </c>
      <c r="O3337" s="19" t="str">
        <f t="shared" si="227"/>
        <v>600k–900k</v>
      </c>
      <c r="P3337" s="19" t="str">
        <f t="shared" si="228"/>
        <v>36-45</v>
      </c>
    </row>
    <row r="3338" spans="1:16" x14ac:dyDescent="0.25">
      <c r="A3338">
        <v>3337</v>
      </c>
      <c r="B3338" t="s">
        <v>15</v>
      </c>
      <c r="C3338">
        <v>235768.2</v>
      </c>
      <c r="D3338" t="s">
        <v>10</v>
      </c>
      <c r="E3338" t="s">
        <v>11</v>
      </c>
      <c r="F3338" t="s">
        <v>12</v>
      </c>
      <c r="G3338" t="s">
        <v>13</v>
      </c>
      <c r="H3338" t="s">
        <v>13</v>
      </c>
      <c r="I3338">
        <v>47</v>
      </c>
      <c r="J3338" t="str" cm="1">
        <f t="array" ref="J3338">_xlfn.IFS(ISBLANK(C3338),"FALTANTE",ABS((C3338-$W$5)/$X$5)&gt;1.96,"ATÍPICO",ABS((C3338-$W$5)/$X$5)&lt;=1.96,"NO ATÍPICO")</f>
        <v>NO ATÍPICO</v>
      </c>
      <c r="K3338" t="str" cm="1">
        <f t="array" ref="K3338">_xlfn.IFS(ISBLANK(I3338),"FALTANTE",ABS((I3338-$W$8)/$X$8)&gt;1.92,"ATÍPICO",ABS((I3338-$W$8)/$X$8)&lt;=1.92,"NO ATÍPICO")</f>
        <v>NO ATÍPICO</v>
      </c>
      <c r="L3338">
        <f t="shared" si="225"/>
        <v>235768.2</v>
      </c>
      <c r="M3338" t="str">
        <f t="shared" si="225"/>
        <v>ASALARIADO</v>
      </c>
      <c r="N3338">
        <f t="shared" si="226"/>
        <v>47</v>
      </c>
      <c r="O3338" s="19" t="str">
        <f t="shared" si="227"/>
        <v>0–300k</v>
      </c>
      <c r="P3338" s="19" t="str">
        <f t="shared" si="228"/>
        <v>46-55</v>
      </c>
    </row>
    <row r="3339" spans="1:16" x14ac:dyDescent="0.25">
      <c r="A3339">
        <v>3338</v>
      </c>
      <c r="B3339" t="s">
        <v>9</v>
      </c>
      <c r="C3339">
        <v>11200</v>
      </c>
      <c r="D3339" t="s">
        <v>10</v>
      </c>
      <c r="E3339" t="s">
        <v>16</v>
      </c>
      <c r="F3339" t="s">
        <v>12</v>
      </c>
      <c r="G3339" t="s">
        <v>12</v>
      </c>
      <c r="H3339" t="s">
        <v>12</v>
      </c>
      <c r="I3339">
        <v>24</v>
      </c>
      <c r="J3339" t="str" cm="1">
        <f t="array" ref="J3339">_xlfn.IFS(ISBLANK(C3339),"FALTANTE",ABS((C3339-$W$5)/$X$5)&gt;1.96,"ATÍPICO",ABS((C3339-$W$5)/$X$5)&lt;=1.96,"NO ATÍPICO")</f>
        <v>NO ATÍPICO</v>
      </c>
      <c r="K3339" t="str" cm="1">
        <f t="array" ref="K3339">_xlfn.IFS(ISBLANK(I3339),"FALTANTE",ABS((I3339-$W$8)/$X$8)&gt;1.92,"ATÍPICO",ABS((I3339-$W$8)/$X$8)&lt;=1.92,"NO ATÍPICO")</f>
        <v>NO ATÍPICO</v>
      </c>
      <c r="L3339">
        <f t="shared" si="225"/>
        <v>11200</v>
      </c>
      <c r="M3339" t="str">
        <f t="shared" si="225"/>
        <v>ASALARIADO</v>
      </c>
      <c r="N3339">
        <f t="shared" si="226"/>
        <v>24</v>
      </c>
      <c r="O3339" s="19" t="str">
        <f t="shared" si="227"/>
        <v>0–300k</v>
      </c>
      <c r="P3339" s="19" t="str">
        <f t="shared" si="228"/>
        <v>18-25</v>
      </c>
    </row>
    <row r="3340" spans="1:16" x14ac:dyDescent="0.25">
      <c r="A3340">
        <v>3339</v>
      </c>
      <c r="B3340" t="s">
        <v>9</v>
      </c>
      <c r="C3340">
        <v>377425.93</v>
      </c>
      <c r="D3340" t="s">
        <v>10</v>
      </c>
      <c r="E3340" t="s">
        <v>16</v>
      </c>
      <c r="F3340" t="s">
        <v>12</v>
      </c>
      <c r="G3340" t="s">
        <v>13</v>
      </c>
      <c r="H3340" t="s">
        <v>13</v>
      </c>
      <c r="I3340">
        <v>54</v>
      </c>
      <c r="J3340" t="str" cm="1">
        <f t="array" ref="J3340">_xlfn.IFS(ISBLANK(C3340),"FALTANTE",ABS((C3340-$W$5)/$X$5)&gt;1.96,"ATÍPICO",ABS((C3340-$W$5)/$X$5)&lt;=1.96,"NO ATÍPICO")</f>
        <v>NO ATÍPICO</v>
      </c>
      <c r="K3340" t="str" cm="1">
        <f t="array" ref="K3340">_xlfn.IFS(ISBLANK(I3340),"FALTANTE",ABS((I3340-$W$8)/$X$8)&gt;1.92,"ATÍPICO",ABS((I3340-$W$8)/$X$8)&lt;=1.92,"NO ATÍPICO")</f>
        <v>NO ATÍPICO</v>
      </c>
      <c r="L3340">
        <f t="shared" si="225"/>
        <v>377425.93</v>
      </c>
      <c r="M3340" t="str">
        <f t="shared" si="225"/>
        <v>ASALARIADO</v>
      </c>
      <c r="N3340">
        <f t="shared" si="226"/>
        <v>54</v>
      </c>
      <c r="O3340" s="19" t="str">
        <f t="shared" si="227"/>
        <v>300k–600k</v>
      </c>
      <c r="P3340" s="19" t="str">
        <f t="shared" si="228"/>
        <v>46-55</v>
      </c>
    </row>
    <row r="3341" spans="1:16" x14ac:dyDescent="0.25">
      <c r="A3341">
        <v>3340</v>
      </c>
      <c r="B3341" t="s">
        <v>9</v>
      </c>
      <c r="C3341">
        <v>297044</v>
      </c>
      <c r="D3341" t="s">
        <v>17</v>
      </c>
      <c r="E3341" t="s">
        <v>16</v>
      </c>
      <c r="F3341" t="s">
        <v>12</v>
      </c>
      <c r="G3341" t="s">
        <v>12</v>
      </c>
      <c r="H3341" t="s">
        <v>13</v>
      </c>
      <c r="I3341">
        <v>55</v>
      </c>
      <c r="J3341" t="str" cm="1">
        <f t="array" ref="J3341">_xlfn.IFS(ISBLANK(C3341),"FALTANTE",ABS((C3341-$W$5)/$X$5)&gt;1.96,"ATÍPICO",ABS((C3341-$W$5)/$X$5)&lt;=1.96,"NO ATÍPICO")</f>
        <v>NO ATÍPICO</v>
      </c>
      <c r="K3341" t="str" cm="1">
        <f t="array" ref="K3341">_xlfn.IFS(ISBLANK(I3341),"FALTANTE",ABS((I3341-$W$8)/$X$8)&gt;1.92,"ATÍPICO",ABS((I3341-$W$8)/$X$8)&lt;=1.92,"NO ATÍPICO")</f>
        <v>NO ATÍPICO</v>
      </c>
      <c r="L3341">
        <f t="shared" si="225"/>
        <v>297044</v>
      </c>
      <c r="M3341" t="str">
        <f t="shared" si="225"/>
        <v>ASEGURADO VOLUNTARIO</v>
      </c>
      <c r="N3341">
        <f t="shared" si="226"/>
        <v>55</v>
      </c>
      <c r="O3341" s="19" t="str">
        <f t="shared" si="227"/>
        <v>0–300k</v>
      </c>
      <c r="P3341" s="19" t="str">
        <f t="shared" si="228"/>
        <v>46-55</v>
      </c>
    </row>
    <row r="3342" spans="1:16" x14ac:dyDescent="0.25">
      <c r="A3342">
        <v>3341</v>
      </c>
      <c r="B3342" t="s">
        <v>9</v>
      </c>
      <c r="C3342">
        <v>85221.33</v>
      </c>
      <c r="D3342" t="s">
        <v>10</v>
      </c>
      <c r="E3342" t="s">
        <v>16</v>
      </c>
      <c r="F3342" t="s">
        <v>12</v>
      </c>
      <c r="G3342" t="s">
        <v>13</v>
      </c>
      <c r="H3342" t="s">
        <v>13</v>
      </c>
      <c r="I3342">
        <v>52</v>
      </c>
      <c r="J3342" t="str" cm="1">
        <f t="array" ref="J3342">_xlfn.IFS(ISBLANK(C3342),"FALTANTE",ABS((C3342-$W$5)/$X$5)&gt;1.96,"ATÍPICO",ABS((C3342-$W$5)/$X$5)&lt;=1.96,"NO ATÍPICO")</f>
        <v>NO ATÍPICO</v>
      </c>
      <c r="K3342" t="str" cm="1">
        <f t="array" ref="K3342">_xlfn.IFS(ISBLANK(I3342),"FALTANTE",ABS((I3342-$W$8)/$X$8)&gt;1.92,"ATÍPICO",ABS((I3342-$W$8)/$X$8)&lt;=1.92,"NO ATÍPICO")</f>
        <v>NO ATÍPICO</v>
      </c>
      <c r="L3342">
        <f t="shared" si="225"/>
        <v>85221.33</v>
      </c>
      <c r="M3342" t="str">
        <f t="shared" si="225"/>
        <v>ASALARIADO</v>
      </c>
      <c r="N3342">
        <f t="shared" si="226"/>
        <v>52</v>
      </c>
      <c r="O3342" s="19" t="str">
        <f t="shared" si="227"/>
        <v>0–300k</v>
      </c>
      <c r="P3342" s="19" t="str">
        <f t="shared" si="228"/>
        <v>46-55</v>
      </c>
    </row>
    <row r="3343" spans="1:16" x14ac:dyDescent="0.25">
      <c r="A3343">
        <v>3342</v>
      </c>
      <c r="B3343" t="s">
        <v>9</v>
      </c>
      <c r="C3343">
        <v>297046</v>
      </c>
      <c r="D3343" t="s">
        <v>18</v>
      </c>
      <c r="E3343" t="s">
        <v>16</v>
      </c>
      <c r="F3343" t="s">
        <v>12</v>
      </c>
      <c r="G3343" t="s">
        <v>13</v>
      </c>
      <c r="H3343" t="s">
        <v>13</v>
      </c>
      <c r="I3343">
        <v>59</v>
      </c>
      <c r="J3343" t="str" cm="1">
        <f t="array" ref="J3343">_xlfn.IFS(ISBLANK(C3343),"FALTANTE",ABS((C3343-$W$5)/$X$5)&gt;1.96,"ATÍPICO",ABS((C3343-$W$5)/$X$5)&lt;=1.96,"NO ATÍPICO")</f>
        <v>NO ATÍPICO</v>
      </c>
      <c r="K3343" t="str" cm="1">
        <f t="array" ref="K3343">_xlfn.IFS(ISBLANK(I3343),"FALTANTE",ABS((I3343-$W$8)/$X$8)&gt;1.92,"ATÍPICO",ABS((I3343-$W$8)/$X$8)&lt;=1.92,"NO ATÍPICO")</f>
        <v>NO ATÍPICO</v>
      </c>
      <c r="L3343">
        <f t="shared" si="225"/>
        <v>297046</v>
      </c>
      <c r="M3343" t="str">
        <f t="shared" si="225"/>
        <v>TRABAJADOR INDEPENDIENTE</v>
      </c>
      <c r="N3343">
        <f t="shared" si="226"/>
        <v>59</v>
      </c>
      <c r="O3343" s="19" t="str">
        <f t="shared" si="227"/>
        <v>0–300k</v>
      </c>
      <c r="P3343" s="19" t="str">
        <f t="shared" si="228"/>
        <v>56+</v>
      </c>
    </row>
    <row r="3344" spans="1:16" x14ac:dyDescent="0.25">
      <c r="A3344">
        <v>3343</v>
      </c>
      <c r="B3344" t="s">
        <v>9</v>
      </c>
      <c r="C3344">
        <v>280000</v>
      </c>
      <c r="D3344" t="s">
        <v>10</v>
      </c>
      <c r="E3344" t="s">
        <v>16</v>
      </c>
      <c r="F3344" t="s">
        <v>12</v>
      </c>
      <c r="G3344" t="s">
        <v>13</v>
      </c>
      <c r="H3344" t="s">
        <v>13</v>
      </c>
      <c r="I3344">
        <v>70</v>
      </c>
      <c r="J3344" t="str" cm="1">
        <f t="array" ref="J3344">_xlfn.IFS(ISBLANK(C3344),"FALTANTE",ABS((C3344-$W$5)/$X$5)&gt;1.96,"ATÍPICO",ABS((C3344-$W$5)/$X$5)&lt;=1.96,"NO ATÍPICO")</f>
        <v>NO ATÍPICO</v>
      </c>
      <c r="K3344" t="str" cm="1">
        <f t="array" ref="K3344">_xlfn.IFS(ISBLANK(I3344),"FALTANTE",ABS((I3344-$W$8)/$X$8)&gt;1.92,"ATÍPICO",ABS((I3344-$W$8)/$X$8)&lt;=1.92,"NO ATÍPICO")</f>
        <v>ATÍPICO</v>
      </c>
      <c r="L3344">
        <f t="shared" si="225"/>
        <v>280000</v>
      </c>
      <c r="M3344" t="str">
        <f t="shared" si="225"/>
        <v>ASALARIADO</v>
      </c>
      <c r="N3344">
        <f t="shared" si="226"/>
        <v>70</v>
      </c>
      <c r="O3344" s="19" t="str">
        <f t="shared" si="227"/>
        <v>0–300k</v>
      </c>
      <c r="P3344" s="19" t="str">
        <f t="shared" si="228"/>
        <v>56+</v>
      </c>
    </row>
    <row r="3345" spans="1:16" x14ac:dyDescent="0.25">
      <c r="A3345">
        <v>3344</v>
      </c>
      <c r="B3345" t="s">
        <v>9</v>
      </c>
      <c r="C3345">
        <v>400000</v>
      </c>
      <c r="D3345" t="s">
        <v>10</v>
      </c>
      <c r="E3345" t="s">
        <v>16</v>
      </c>
      <c r="F3345" t="s">
        <v>12</v>
      </c>
      <c r="G3345" t="s">
        <v>13</v>
      </c>
      <c r="H3345" t="s">
        <v>13</v>
      </c>
      <c r="I3345">
        <v>47</v>
      </c>
      <c r="J3345" t="str" cm="1">
        <f t="array" ref="J3345">_xlfn.IFS(ISBLANK(C3345),"FALTANTE",ABS((C3345-$W$5)/$X$5)&gt;1.96,"ATÍPICO",ABS((C3345-$W$5)/$X$5)&lt;=1.96,"NO ATÍPICO")</f>
        <v>NO ATÍPICO</v>
      </c>
      <c r="K3345" t="str" cm="1">
        <f t="array" ref="K3345">_xlfn.IFS(ISBLANK(I3345),"FALTANTE",ABS((I3345-$W$8)/$X$8)&gt;1.92,"ATÍPICO",ABS((I3345-$W$8)/$X$8)&lt;=1.92,"NO ATÍPICO")</f>
        <v>NO ATÍPICO</v>
      </c>
      <c r="L3345">
        <f t="shared" si="225"/>
        <v>400000</v>
      </c>
      <c r="M3345" t="str">
        <f t="shared" si="225"/>
        <v>ASALARIADO</v>
      </c>
      <c r="N3345">
        <f t="shared" si="226"/>
        <v>47</v>
      </c>
      <c r="O3345" s="19" t="str">
        <f t="shared" si="227"/>
        <v>300k–600k</v>
      </c>
      <c r="P3345" s="19" t="str">
        <f t="shared" si="228"/>
        <v>46-55</v>
      </c>
    </row>
    <row r="3346" spans="1:16" x14ac:dyDescent="0.25">
      <c r="A3346">
        <v>3345</v>
      </c>
      <c r="B3346" t="s">
        <v>9</v>
      </c>
      <c r="C3346">
        <v>664950.56000000006</v>
      </c>
      <c r="D3346" t="s">
        <v>10</v>
      </c>
      <c r="E3346" t="s">
        <v>16</v>
      </c>
      <c r="F3346" t="s">
        <v>12</v>
      </c>
      <c r="G3346" t="s">
        <v>12</v>
      </c>
      <c r="H3346" t="s">
        <v>13</v>
      </c>
      <c r="I3346">
        <v>38</v>
      </c>
      <c r="J3346" t="str" cm="1">
        <f t="array" ref="J3346">_xlfn.IFS(ISBLANK(C3346),"FALTANTE",ABS((C3346-$W$5)/$X$5)&gt;1.96,"ATÍPICO",ABS((C3346-$W$5)/$X$5)&lt;=1.96,"NO ATÍPICO")</f>
        <v>NO ATÍPICO</v>
      </c>
      <c r="K3346" t="str" cm="1">
        <f t="array" ref="K3346">_xlfn.IFS(ISBLANK(I3346),"FALTANTE",ABS((I3346-$W$8)/$X$8)&gt;1.92,"ATÍPICO",ABS((I3346-$W$8)/$X$8)&lt;=1.92,"NO ATÍPICO")</f>
        <v>NO ATÍPICO</v>
      </c>
      <c r="L3346">
        <f t="shared" si="225"/>
        <v>664950.56000000006</v>
      </c>
      <c r="M3346" t="str">
        <f t="shared" si="225"/>
        <v>ASALARIADO</v>
      </c>
      <c r="N3346">
        <f t="shared" si="226"/>
        <v>38</v>
      </c>
      <c r="O3346" s="19" t="str">
        <f t="shared" si="227"/>
        <v>600k–900k</v>
      </c>
      <c r="P3346" s="19" t="str">
        <f t="shared" si="228"/>
        <v>36-45</v>
      </c>
    </row>
    <row r="3347" spans="1:16" x14ac:dyDescent="0.25">
      <c r="A3347">
        <v>3346</v>
      </c>
      <c r="B3347" t="s">
        <v>15</v>
      </c>
      <c r="C3347">
        <v>580000</v>
      </c>
      <c r="D3347" t="s">
        <v>10</v>
      </c>
      <c r="E3347" t="s">
        <v>16</v>
      </c>
      <c r="F3347" t="s">
        <v>12</v>
      </c>
      <c r="G3347" t="s">
        <v>13</v>
      </c>
      <c r="H3347" t="s">
        <v>13</v>
      </c>
      <c r="I3347">
        <v>25</v>
      </c>
      <c r="J3347" t="str" cm="1">
        <f t="array" ref="J3347">_xlfn.IFS(ISBLANK(C3347),"FALTANTE",ABS((C3347-$W$5)/$X$5)&gt;1.96,"ATÍPICO",ABS((C3347-$W$5)/$X$5)&lt;=1.96,"NO ATÍPICO")</f>
        <v>NO ATÍPICO</v>
      </c>
      <c r="K3347" t="str" cm="1">
        <f t="array" ref="K3347">_xlfn.IFS(ISBLANK(I3347),"FALTANTE",ABS((I3347-$W$8)/$X$8)&gt;1.92,"ATÍPICO",ABS((I3347-$W$8)/$X$8)&lt;=1.92,"NO ATÍPICO")</f>
        <v>NO ATÍPICO</v>
      </c>
      <c r="L3347">
        <f t="shared" si="225"/>
        <v>580000</v>
      </c>
      <c r="M3347" t="str">
        <f t="shared" si="225"/>
        <v>ASALARIADO</v>
      </c>
      <c r="N3347">
        <f t="shared" si="226"/>
        <v>25</v>
      </c>
      <c r="O3347" s="19" t="str">
        <f t="shared" si="227"/>
        <v>300k–600k</v>
      </c>
      <c r="P3347" s="19" t="str">
        <f t="shared" si="228"/>
        <v>18-25</v>
      </c>
    </row>
    <row r="3348" spans="1:16" x14ac:dyDescent="0.25">
      <c r="A3348">
        <v>3347</v>
      </c>
      <c r="B3348" t="s">
        <v>15</v>
      </c>
      <c r="C3348">
        <v>183760</v>
      </c>
      <c r="D3348" t="s">
        <v>10</v>
      </c>
      <c r="E3348" t="s">
        <v>16</v>
      </c>
      <c r="F3348" t="s">
        <v>12</v>
      </c>
      <c r="G3348" t="s">
        <v>12</v>
      </c>
      <c r="H3348" t="s">
        <v>13</v>
      </c>
      <c r="I3348">
        <v>53</v>
      </c>
      <c r="J3348" t="str" cm="1">
        <f t="array" ref="J3348">_xlfn.IFS(ISBLANK(C3348),"FALTANTE",ABS((C3348-$W$5)/$X$5)&gt;1.96,"ATÍPICO",ABS((C3348-$W$5)/$X$5)&lt;=1.96,"NO ATÍPICO")</f>
        <v>NO ATÍPICO</v>
      </c>
      <c r="K3348" t="str" cm="1">
        <f t="array" ref="K3348">_xlfn.IFS(ISBLANK(I3348),"FALTANTE",ABS((I3348-$W$8)/$X$8)&gt;1.92,"ATÍPICO",ABS((I3348-$W$8)/$X$8)&lt;=1.92,"NO ATÍPICO")</f>
        <v>NO ATÍPICO</v>
      </c>
      <c r="L3348">
        <f t="shared" si="225"/>
        <v>183760</v>
      </c>
      <c r="M3348" t="str">
        <f t="shared" si="225"/>
        <v>ASALARIADO</v>
      </c>
      <c r="N3348">
        <f t="shared" si="226"/>
        <v>53</v>
      </c>
      <c r="O3348" s="19" t="str">
        <f t="shared" si="227"/>
        <v>0–300k</v>
      </c>
      <c r="P3348" s="19" t="str">
        <f t="shared" si="228"/>
        <v>46-55</v>
      </c>
    </row>
    <row r="3349" spans="1:16" x14ac:dyDescent="0.25">
      <c r="A3349">
        <v>3348</v>
      </c>
      <c r="B3349" t="s">
        <v>15</v>
      </c>
      <c r="C3349">
        <v>591000</v>
      </c>
      <c r="D3349" t="s">
        <v>10</v>
      </c>
      <c r="E3349" t="s">
        <v>16</v>
      </c>
      <c r="F3349" t="s">
        <v>12</v>
      </c>
      <c r="G3349" t="s">
        <v>13</v>
      </c>
      <c r="H3349" t="s">
        <v>13</v>
      </c>
      <c r="I3349">
        <v>45</v>
      </c>
      <c r="J3349" t="str" cm="1">
        <f t="array" ref="J3349">_xlfn.IFS(ISBLANK(C3349),"FALTANTE",ABS((C3349-$W$5)/$X$5)&gt;1.96,"ATÍPICO",ABS((C3349-$W$5)/$X$5)&lt;=1.96,"NO ATÍPICO")</f>
        <v>NO ATÍPICO</v>
      </c>
      <c r="K3349" t="str" cm="1">
        <f t="array" ref="K3349">_xlfn.IFS(ISBLANK(I3349),"FALTANTE",ABS((I3349-$W$8)/$X$8)&gt;1.92,"ATÍPICO",ABS((I3349-$W$8)/$X$8)&lt;=1.92,"NO ATÍPICO")</f>
        <v>NO ATÍPICO</v>
      </c>
      <c r="L3349">
        <f t="shared" si="225"/>
        <v>591000</v>
      </c>
      <c r="M3349" t="str">
        <f t="shared" si="225"/>
        <v>ASALARIADO</v>
      </c>
      <c r="N3349">
        <f t="shared" si="226"/>
        <v>45</v>
      </c>
      <c r="O3349" s="19" t="str">
        <f t="shared" si="227"/>
        <v>300k–600k</v>
      </c>
      <c r="P3349" s="19" t="str">
        <f t="shared" si="228"/>
        <v>36-45</v>
      </c>
    </row>
    <row r="3350" spans="1:16" x14ac:dyDescent="0.25">
      <c r="A3350">
        <v>3349</v>
      </c>
      <c r="B3350" t="s">
        <v>9</v>
      </c>
      <c r="C3350">
        <v>1461023.23</v>
      </c>
      <c r="D3350" t="s">
        <v>10</v>
      </c>
      <c r="E3350" t="s">
        <v>16</v>
      </c>
      <c r="F3350" t="s">
        <v>12</v>
      </c>
      <c r="G3350" t="s">
        <v>13</v>
      </c>
      <c r="H3350" t="s">
        <v>13</v>
      </c>
      <c r="I3350">
        <v>30</v>
      </c>
      <c r="J3350" t="str" cm="1">
        <f t="array" ref="J3350">_xlfn.IFS(ISBLANK(C3350),"FALTANTE",ABS((C3350-$W$5)/$X$5)&gt;1.96,"ATÍPICO",ABS((C3350-$W$5)/$X$5)&lt;=1.96,"NO ATÍPICO")</f>
        <v>NO ATÍPICO</v>
      </c>
      <c r="K3350" t="str" cm="1">
        <f t="array" ref="K3350">_xlfn.IFS(ISBLANK(I3350),"FALTANTE",ABS((I3350-$W$8)/$X$8)&gt;1.92,"ATÍPICO",ABS((I3350-$W$8)/$X$8)&lt;=1.92,"NO ATÍPICO")</f>
        <v>NO ATÍPICO</v>
      </c>
      <c r="L3350">
        <f t="shared" si="225"/>
        <v>1461023.23</v>
      </c>
      <c r="M3350" t="str">
        <f t="shared" si="225"/>
        <v>ASALARIADO</v>
      </c>
      <c r="N3350">
        <f t="shared" si="226"/>
        <v>30</v>
      </c>
      <c r="O3350" s="19" t="str">
        <f t="shared" si="227"/>
        <v>1200k+</v>
      </c>
      <c r="P3350" s="19" t="str">
        <f t="shared" si="228"/>
        <v>26-35</v>
      </c>
    </row>
    <row r="3351" spans="1:16" x14ac:dyDescent="0.25">
      <c r="A3351">
        <v>3350</v>
      </c>
      <c r="B3351" t="s">
        <v>15</v>
      </c>
      <c r="C3351">
        <v>1167041</v>
      </c>
      <c r="D3351" t="s">
        <v>10</v>
      </c>
      <c r="E3351" t="s">
        <v>11</v>
      </c>
      <c r="F3351" t="s">
        <v>12</v>
      </c>
      <c r="G3351" t="s">
        <v>13</v>
      </c>
      <c r="H3351" t="s">
        <v>12</v>
      </c>
      <c r="I3351">
        <v>32</v>
      </c>
      <c r="J3351" t="str" cm="1">
        <f t="array" ref="J3351">_xlfn.IFS(ISBLANK(C3351),"FALTANTE",ABS((C3351-$W$5)/$X$5)&gt;1.96,"ATÍPICO",ABS((C3351-$W$5)/$X$5)&lt;=1.96,"NO ATÍPICO")</f>
        <v>NO ATÍPICO</v>
      </c>
      <c r="K3351" t="str" cm="1">
        <f t="array" ref="K3351">_xlfn.IFS(ISBLANK(I3351),"FALTANTE",ABS((I3351-$W$8)/$X$8)&gt;1.92,"ATÍPICO",ABS((I3351-$W$8)/$X$8)&lt;=1.92,"NO ATÍPICO")</f>
        <v>NO ATÍPICO</v>
      </c>
      <c r="L3351">
        <f t="shared" si="225"/>
        <v>1167041</v>
      </c>
      <c r="M3351" t="str">
        <f t="shared" si="225"/>
        <v>ASALARIADO</v>
      </c>
      <c r="N3351">
        <f t="shared" si="226"/>
        <v>32</v>
      </c>
      <c r="O3351" s="19" t="str">
        <f t="shared" si="227"/>
        <v>900k–1200k</v>
      </c>
      <c r="P3351" s="19" t="str">
        <f t="shared" si="228"/>
        <v>26-35</v>
      </c>
    </row>
    <row r="3352" spans="1:16" x14ac:dyDescent="0.25">
      <c r="A3352">
        <v>3351</v>
      </c>
      <c r="B3352" t="s">
        <v>15</v>
      </c>
      <c r="C3352">
        <v>240000</v>
      </c>
      <c r="D3352" t="s">
        <v>10</v>
      </c>
      <c r="E3352" t="s">
        <v>16</v>
      </c>
      <c r="F3352" t="s">
        <v>12</v>
      </c>
      <c r="G3352" t="s">
        <v>12</v>
      </c>
      <c r="H3352" t="s">
        <v>12</v>
      </c>
      <c r="I3352">
        <v>42</v>
      </c>
      <c r="J3352" t="str" cm="1">
        <f t="array" ref="J3352">_xlfn.IFS(ISBLANK(C3352),"FALTANTE",ABS((C3352-$W$5)/$X$5)&gt;1.96,"ATÍPICO",ABS((C3352-$W$5)/$X$5)&lt;=1.96,"NO ATÍPICO")</f>
        <v>NO ATÍPICO</v>
      </c>
      <c r="K3352" t="str" cm="1">
        <f t="array" ref="K3352">_xlfn.IFS(ISBLANK(I3352),"FALTANTE",ABS((I3352-$W$8)/$X$8)&gt;1.92,"ATÍPICO",ABS((I3352-$W$8)/$X$8)&lt;=1.92,"NO ATÍPICO")</f>
        <v>NO ATÍPICO</v>
      </c>
      <c r="L3352">
        <f t="shared" si="225"/>
        <v>240000</v>
      </c>
      <c r="M3352" t="str">
        <f t="shared" si="225"/>
        <v>ASALARIADO</v>
      </c>
      <c r="N3352">
        <f t="shared" si="226"/>
        <v>42</v>
      </c>
      <c r="O3352" s="19" t="str">
        <f t="shared" si="227"/>
        <v>0–300k</v>
      </c>
      <c r="P3352" s="19" t="str">
        <f t="shared" si="228"/>
        <v>36-45</v>
      </c>
    </row>
    <row r="3353" spans="1:16" x14ac:dyDescent="0.25">
      <c r="A3353">
        <v>3352</v>
      </c>
      <c r="B3353" t="s">
        <v>15</v>
      </c>
      <c r="C3353">
        <v>227197.58</v>
      </c>
      <c r="D3353" t="s">
        <v>10</v>
      </c>
      <c r="E3353" t="s">
        <v>16</v>
      </c>
      <c r="F3353" t="s">
        <v>12</v>
      </c>
      <c r="G3353" t="s">
        <v>13</v>
      </c>
      <c r="H3353" t="s">
        <v>13</v>
      </c>
      <c r="I3353">
        <v>36</v>
      </c>
      <c r="J3353" t="str" cm="1">
        <f t="array" ref="J3353">_xlfn.IFS(ISBLANK(C3353),"FALTANTE",ABS((C3353-$W$5)/$X$5)&gt;1.96,"ATÍPICO",ABS((C3353-$W$5)/$X$5)&lt;=1.96,"NO ATÍPICO")</f>
        <v>NO ATÍPICO</v>
      </c>
      <c r="K3353" t="str" cm="1">
        <f t="array" ref="K3353">_xlfn.IFS(ISBLANK(I3353),"FALTANTE",ABS((I3353-$W$8)/$X$8)&gt;1.92,"ATÍPICO",ABS((I3353-$W$8)/$X$8)&lt;=1.92,"NO ATÍPICO")</f>
        <v>NO ATÍPICO</v>
      </c>
      <c r="L3353">
        <f t="shared" si="225"/>
        <v>227197.58</v>
      </c>
      <c r="M3353" t="str">
        <f t="shared" si="225"/>
        <v>ASALARIADO</v>
      </c>
      <c r="N3353">
        <f t="shared" si="226"/>
        <v>36</v>
      </c>
      <c r="O3353" s="19" t="str">
        <f t="shared" si="227"/>
        <v>0–300k</v>
      </c>
      <c r="P3353" s="19" t="str">
        <f t="shared" si="228"/>
        <v>36-45</v>
      </c>
    </row>
    <row r="3354" spans="1:16" x14ac:dyDescent="0.25">
      <c r="A3354">
        <v>3353</v>
      </c>
      <c r="B3354" t="s">
        <v>15</v>
      </c>
      <c r="C3354">
        <v>346384</v>
      </c>
      <c r="D3354" t="s">
        <v>10</v>
      </c>
      <c r="E3354" t="s">
        <v>11</v>
      </c>
      <c r="F3354" t="s">
        <v>12</v>
      </c>
      <c r="G3354" t="s">
        <v>13</v>
      </c>
      <c r="H3354" t="s">
        <v>13</v>
      </c>
      <c r="I3354">
        <v>43</v>
      </c>
      <c r="J3354" t="str" cm="1">
        <f t="array" ref="J3354">_xlfn.IFS(ISBLANK(C3354),"FALTANTE",ABS((C3354-$W$5)/$X$5)&gt;1.96,"ATÍPICO",ABS((C3354-$W$5)/$X$5)&lt;=1.96,"NO ATÍPICO")</f>
        <v>NO ATÍPICO</v>
      </c>
      <c r="K3354" t="str" cm="1">
        <f t="array" ref="K3354">_xlfn.IFS(ISBLANK(I3354),"FALTANTE",ABS((I3354-$W$8)/$X$8)&gt;1.92,"ATÍPICO",ABS((I3354-$W$8)/$X$8)&lt;=1.92,"NO ATÍPICO")</f>
        <v>NO ATÍPICO</v>
      </c>
      <c r="L3354">
        <f t="shared" si="225"/>
        <v>346384</v>
      </c>
      <c r="M3354" t="str">
        <f t="shared" si="225"/>
        <v>ASALARIADO</v>
      </c>
      <c r="N3354">
        <f t="shared" si="226"/>
        <v>43</v>
      </c>
      <c r="O3354" s="19" t="str">
        <f t="shared" si="227"/>
        <v>300k–600k</v>
      </c>
      <c r="P3354" s="19" t="str">
        <f t="shared" si="228"/>
        <v>36-45</v>
      </c>
    </row>
    <row r="3355" spans="1:16" x14ac:dyDescent="0.25">
      <c r="A3355">
        <v>3354</v>
      </c>
      <c r="B3355" t="s">
        <v>9</v>
      </c>
      <c r="C3355">
        <v>821327.28</v>
      </c>
      <c r="D3355" t="s">
        <v>10</v>
      </c>
      <c r="E3355" t="s">
        <v>16</v>
      </c>
      <c r="F3355" t="s">
        <v>12</v>
      </c>
      <c r="G3355" t="s">
        <v>13</v>
      </c>
      <c r="H3355" t="s">
        <v>13</v>
      </c>
      <c r="I3355">
        <v>60</v>
      </c>
      <c r="J3355" t="str" cm="1">
        <f t="array" ref="J3355">_xlfn.IFS(ISBLANK(C3355),"FALTANTE",ABS((C3355-$W$5)/$X$5)&gt;1.96,"ATÍPICO",ABS((C3355-$W$5)/$X$5)&lt;=1.96,"NO ATÍPICO")</f>
        <v>NO ATÍPICO</v>
      </c>
      <c r="K3355" t="str" cm="1">
        <f t="array" ref="K3355">_xlfn.IFS(ISBLANK(I3355),"FALTANTE",ABS((I3355-$W$8)/$X$8)&gt;1.92,"ATÍPICO",ABS((I3355-$W$8)/$X$8)&lt;=1.92,"NO ATÍPICO")</f>
        <v>NO ATÍPICO</v>
      </c>
      <c r="L3355">
        <f t="shared" si="225"/>
        <v>821327.28</v>
      </c>
      <c r="M3355" t="str">
        <f t="shared" si="225"/>
        <v>ASALARIADO</v>
      </c>
      <c r="N3355">
        <f t="shared" si="226"/>
        <v>60</v>
      </c>
      <c r="O3355" s="19" t="str">
        <f t="shared" si="227"/>
        <v>600k–900k</v>
      </c>
      <c r="P3355" s="19" t="str">
        <f t="shared" si="228"/>
        <v>56+</v>
      </c>
    </row>
    <row r="3356" spans="1:16" x14ac:dyDescent="0.25">
      <c r="A3356">
        <v>3355</v>
      </c>
      <c r="B3356" t="s">
        <v>9</v>
      </c>
      <c r="C3356">
        <v>350000</v>
      </c>
      <c r="D3356" t="s">
        <v>10</v>
      </c>
      <c r="E3356" t="s">
        <v>16</v>
      </c>
      <c r="F3356" t="s">
        <v>12</v>
      </c>
      <c r="G3356" t="s">
        <v>13</v>
      </c>
      <c r="H3356" t="s">
        <v>13</v>
      </c>
      <c r="I3356">
        <v>36</v>
      </c>
      <c r="J3356" t="str" cm="1">
        <f t="array" ref="J3356">_xlfn.IFS(ISBLANK(C3356),"FALTANTE",ABS((C3356-$W$5)/$X$5)&gt;1.96,"ATÍPICO",ABS((C3356-$W$5)/$X$5)&lt;=1.96,"NO ATÍPICO")</f>
        <v>NO ATÍPICO</v>
      </c>
      <c r="K3356" t="str" cm="1">
        <f t="array" ref="K3356">_xlfn.IFS(ISBLANK(I3356),"FALTANTE",ABS((I3356-$W$8)/$X$8)&gt;1.92,"ATÍPICO",ABS((I3356-$W$8)/$X$8)&lt;=1.92,"NO ATÍPICO")</f>
        <v>NO ATÍPICO</v>
      </c>
      <c r="L3356">
        <f t="shared" si="225"/>
        <v>350000</v>
      </c>
      <c r="M3356" t="str">
        <f t="shared" si="225"/>
        <v>ASALARIADO</v>
      </c>
      <c r="N3356">
        <f t="shared" si="226"/>
        <v>36</v>
      </c>
      <c r="O3356" s="19" t="str">
        <f t="shared" si="227"/>
        <v>300k–600k</v>
      </c>
      <c r="P3356" s="19" t="str">
        <f t="shared" si="228"/>
        <v>36-45</v>
      </c>
    </row>
    <row r="3357" spans="1:16" x14ac:dyDescent="0.25">
      <c r="A3357">
        <v>3356</v>
      </c>
      <c r="B3357" t="s">
        <v>9</v>
      </c>
      <c r="C3357">
        <v>351536.79</v>
      </c>
      <c r="D3357" t="s">
        <v>10</v>
      </c>
      <c r="E3357" t="s">
        <v>16</v>
      </c>
      <c r="F3357" t="s">
        <v>12</v>
      </c>
      <c r="G3357" t="s">
        <v>13</v>
      </c>
      <c r="H3357" t="s">
        <v>13</v>
      </c>
      <c r="I3357">
        <v>46</v>
      </c>
      <c r="J3357" t="str" cm="1">
        <f t="array" ref="J3357">_xlfn.IFS(ISBLANK(C3357),"FALTANTE",ABS((C3357-$W$5)/$X$5)&gt;1.96,"ATÍPICO",ABS((C3357-$W$5)/$X$5)&lt;=1.96,"NO ATÍPICO")</f>
        <v>NO ATÍPICO</v>
      </c>
      <c r="K3357" t="str" cm="1">
        <f t="array" ref="K3357">_xlfn.IFS(ISBLANK(I3357),"FALTANTE",ABS((I3357-$W$8)/$X$8)&gt;1.92,"ATÍPICO",ABS((I3357-$W$8)/$X$8)&lt;=1.92,"NO ATÍPICO")</f>
        <v>NO ATÍPICO</v>
      </c>
      <c r="L3357">
        <f t="shared" si="225"/>
        <v>351536.79</v>
      </c>
      <c r="M3357" t="str">
        <f t="shared" si="225"/>
        <v>ASALARIADO</v>
      </c>
      <c r="N3357">
        <f t="shared" si="226"/>
        <v>46</v>
      </c>
      <c r="O3357" s="19" t="str">
        <f t="shared" si="227"/>
        <v>300k–600k</v>
      </c>
      <c r="P3357" s="19" t="str">
        <f t="shared" si="228"/>
        <v>46-55</v>
      </c>
    </row>
    <row r="3358" spans="1:16" x14ac:dyDescent="0.25">
      <c r="A3358">
        <v>3357</v>
      </c>
      <c r="B3358" t="s">
        <v>15</v>
      </c>
      <c r="C3358">
        <v>258542.5</v>
      </c>
      <c r="D3358" t="s">
        <v>10</v>
      </c>
      <c r="E3358" t="s">
        <v>16</v>
      </c>
      <c r="F3358" t="s">
        <v>12</v>
      </c>
      <c r="G3358" t="s">
        <v>13</v>
      </c>
      <c r="H3358" t="s">
        <v>13</v>
      </c>
      <c r="I3358">
        <v>53</v>
      </c>
      <c r="J3358" t="str" cm="1">
        <f t="array" ref="J3358">_xlfn.IFS(ISBLANK(C3358),"FALTANTE",ABS((C3358-$W$5)/$X$5)&gt;1.96,"ATÍPICO",ABS((C3358-$W$5)/$X$5)&lt;=1.96,"NO ATÍPICO")</f>
        <v>NO ATÍPICO</v>
      </c>
      <c r="K3358" t="str" cm="1">
        <f t="array" ref="K3358">_xlfn.IFS(ISBLANK(I3358),"FALTANTE",ABS((I3358-$W$8)/$X$8)&gt;1.92,"ATÍPICO",ABS((I3358-$W$8)/$X$8)&lt;=1.92,"NO ATÍPICO")</f>
        <v>NO ATÍPICO</v>
      </c>
      <c r="L3358">
        <f t="shared" si="225"/>
        <v>258542.5</v>
      </c>
      <c r="M3358" t="str">
        <f t="shared" si="225"/>
        <v>ASALARIADO</v>
      </c>
      <c r="N3358">
        <f t="shared" si="226"/>
        <v>53</v>
      </c>
      <c r="O3358" s="19" t="str">
        <f t="shared" si="227"/>
        <v>0–300k</v>
      </c>
      <c r="P3358" s="19" t="str">
        <f t="shared" si="228"/>
        <v>46-55</v>
      </c>
    </row>
    <row r="3359" spans="1:16" x14ac:dyDescent="0.25">
      <c r="A3359">
        <v>3358</v>
      </c>
      <c r="B3359" t="s">
        <v>15</v>
      </c>
      <c r="C3359">
        <v>297045</v>
      </c>
      <c r="D3359" t="s">
        <v>17</v>
      </c>
      <c r="E3359" t="s">
        <v>16</v>
      </c>
      <c r="F3359" t="s">
        <v>12</v>
      </c>
      <c r="G3359" t="s">
        <v>12</v>
      </c>
      <c r="H3359" t="s">
        <v>13</v>
      </c>
      <c r="I3359">
        <v>40</v>
      </c>
      <c r="J3359" t="str" cm="1">
        <f t="array" ref="J3359">_xlfn.IFS(ISBLANK(C3359),"FALTANTE",ABS((C3359-$W$5)/$X$5)&gt;1.96,"ATÍPICO",ABS((C3359-$W$5)/$X$5)&lt;=1.96,"NO ATÍPICO")</f>
        <v>NO ATÍPICO</v>
      </c>
      <c r="K3359" t="str" cm="1">
        <f t="array" ref="K3359">_xlfn.IFS(ISBLANK(I3359),"FALTANTE",ABS((I3359-$W$8)/$X$8)&gt;1.92,"ATÍPICO",ABS((I3359-$W$8)/$X$8)&lt;=1.92,"NO ATÍPICO")</f>
        <v>NO ATÍPICO</v>
      </c>
      <c r="L3359">
        <f t="shared" si="225"/>
        <v>297045</v>
      </c>
      <c r="M3359" t="str">
        <f t="shared" si="225"/>
        <v>ASEGURADO VOLUNTARIO</v>
      </c>
      <c r="N3359">
        <f t="shared" si="226"/>
        <v>40</v>
      </c>
      <c r="O3359" s="19" t="str">
        <f t="shared" si="227"/>
        <v>0–300k</v>
      </c>
      <c r="P3359" s="19" t="str">
        <f t="shared" si="228"/>
        <v>36-45</v>
      </c>
    </row>
    <row r="3360" spans="1:16" x14ac:dyDescent="0.25">
      <c r="A3360">
        <v>3359</v>
      </c>
      <c r="B3360" t="s">
        <v>15</v>
      </c>
      <c r="C3360">
        <v>289729</v>
      </c>
      <c r="D3360" t="s">
        <v>10</v>
      </c>
      <c r="E3360" t="s">
        <v>11</v>
      </c>
      <c r="F3360" t="s">
        <v>12</v>
      </c>
      <c r="G3360" t="s">
        <v>13</v>
      </c>
      <c r="H3360" t="s">
        <v>12</v>
      </c>
      <c r="I3360">
        <v>41</v>
      </c>
      <c r="J3360" t="str" cm="1">
        <f t="array" ref="J3360">_xlfn.IFS(ISBLANK(C3360),"FALTANTE",ABS((C3360-$W$5)/$X$5)&gt;1.96,"ATÍPICO",ABS((C3360-$W$5)/$X$5)&lt;=1.96,"NO ATÍPICO")</f>
        <v>NO ATÍPICO</v>
      </c>
      <c r="K3360" t="str" cm="1">
        <f t="array" ref="K3360">_xlfn.IFS(ISBLANK(I3360),"FALTANTE",ABS((I3360-$W$8)/$X$8)&gt;1.92,"ATÍPICO",ABS((I3360-$W$8)/$X$8)&lt;=1.92,"NO ATÍPICO")</f>
        <v>NO ATÍPICO</v>
      </c>
      <c r="L3360">
        <f t="shared" si="225"/>
        <v>289729</v>
      </c>
      <c r="M3360" t="str">
        <f t="shared" si="225"/>
        <v>ASALARIADO</v>
      </c>
      <c r="N3360">
        <f t="shared" si="226"/>
        <v>41</v>
      </c>
      <c r="O3360" s="19" t="str">
        <f t="shared" si="227"/>
        <v>0–300k</v>
      </c>
      <c r="P3360" s="19" t="str">
        <f t="shared" si="228"/>
        <v>36-45</v>
      </c>
    </row>
    <row r="3361" spans="1:16" x14ac:dyDescent="0.25">
      <c r="A3361">
        <v>3360</v>
      </c>
      <c r="B3361" t="s">
        <v>15</v>
      </c>
      <c r="C3361">
        <v>550000</v>
      </c>
      <c r="D3361" t="s">
        <v>10</v>
      </c>
      <c r="E3361" t="s">
        <v>16</v>
      </c>
      <c r="F3361" t="s">
        <v>12</v>
      </c>
      <c r="G3361" t="s">
        <v>13</v>
      </c>
      <c r="H3361" t="s">
        <v>13</v>
      </c>
      <c r="I3361">
        <v>22</v>
      </c>
      <c r="J3361" t="str" cm="1">
        <f t="array" ref="J3361">_xlfn.IFS(ISBLANK(C3361),"FALTANTE",ABS((C3361-$W$5)/$X$5)&gt;1.96,"ATÍPICO",ABS((C3361-$W$5)/$X$5)&lt;=1.96,"NO ATÍPICO")</f>
        <v>NO ATÍPICO</v>
      </c>
      <c r="K3361" t="str" cm="1">
        <f t="array" ref="K3361">_xlfn.IFS(ISBLANK(I3361),"FALTANTE",ABS((I3361-$W$8)/$X$8)&gt;1.92,"ATÍPICO",ABS((I3361-$W$8)/$X$8)&lt;=1.92,"NO ATÍPICO")</f>
        <v>NO ATÍPICO</v>
      </c>
      <c r="L3361">
        <f t="shared" si="225"/>
        <v>550000</v>
      </c>
      <c r="M3361" t="str">
        <f t="shared" si="225"/>
        <v>ASALARIADO</v>
      </c>
      <c r="N3361">
        <f t="shared" si="226"/>
        <v>22</v>
      </c>
      <c r="O3361" s="19" t="str">
        <f t="shared" si="227"/>
        <v>300k–600k</v>
      </c>
      <c r="P3361" s="19" t="str">
        <f t="shared" si="228"/>
        <v>18-25</v>
      </c>
    </row>
    <row r="3362" spans="1:16" x14ac:dyDescent="0.25">
      <c r="A3362">
        <v>3361</v>
      </c>
      <c r="B3362" t="s">
        <v>15</v>
      </c>
      <c r="C3362">
        <v>1418498.89</v>
      </c>
      <c r="D3362" t="s">
        <v>10</v>
      </c>
      <c r="E3362" t="s">
        <v>16</v>
      </c>
      <c r="F3362" t="s">
        <v>12</v>
      </c>
      <c r="G3362" t="s">
        <v>13</v>
      </c>
      <c r="H3362" t="s">
        <v>13</v>
      </c>
      <c r="I3362">
        <v>48</v>
      </c>
      <c r="J3362" t="str" cm="1">
        <f t="array" ref="J3362">_xlfn.IFS(ISBLANK(C3362),"FALTANTE",ABS((C3362-$W$5)/$X$5)&gt;1.96,"ATÍPICO",ABS((C3362-$W$5)/$X$5)&lt;=1.96,"NO ATÍPICO")</f>
        <v>NO ATÍPICO</v>
      </c>
      <c r="K3362" t="str" cm="1">
        <f t="array" ref="K3362">_xlfn.IFS(ISBLANK(I3362),"FALTANTE",ABS((I3362-$W$8)/$X$8)&gt;1.92,"ATÍPICO",ABS((I3362-$W$8)/$X$8)&lt;=1.92,"NO ATÍPICO")</f>
        <v>NO ATÍPICO</v>
      </c>
      <c r="L3362">
        <f t="shared" si="225"/>
        <v>1418498.89</v>
      </c>
      <c r="M3362" t="str">
        <f t="shared" si="225"/>
        <v>ASALARIADO</v>
      </c>
      <c r="N3362">
        <f t="shared" si="226"/>
        <v>48</v>
      </c>
      <c r="O3362" s="19" t="str">
        <f t="shared" si="227"/>
        <v>1200k+</v>
      </c>
      <c r="P3362" s="19" t="str">
        <f t="shared" si="228"/>
        <v>46-55</v>
      </c>
    </row>
    <row r="3363" spans="1:16" x14ac:dyDescent="0.25">
      <c r="A3363">
        <v>3362</v>
      </c>
      <c r="B3363" t="s">
        <v>9</v>
      </c>
      <c r="C3363">
        <v>2409620.6</v>
      </c>
      <c r="D3363" t="s">
        <v>10</v>
      </c>
      <c r="E3363" t="s">
        <v>11</v>
      </c>
      <c r="F3363" t="s">
        <v>12</v>
      </c>
      <c r="G3363" t="s">
        <v>13</v>
      </c>
      <c r="H3363" t="s">
        <v>13</v>
      </c>
      <c r="I3363">
        <v>52</v>
      </c>
      <c r="J3363" t="str" cm="1">
        <f t="array" ref="J3363">_xlfn.IFS(ISBLANK(C3363),"FALTANTE",ABS((C3363-$W$5)/$X$5)&gt;1.96,"ATÍPICO",ABS((C3363-$W$5)/$X$5)&lt;=1.96,"NO ATÍPICO")</f>
        <v>ATÍPICO</v>
      </c>
      <c r="K3363" t="str" cm="1">
        <f t="array" ref="K3363">_xlfn.IFS(ISBLANK(I3363),"FALTANTE",ABS((I3363-$W$8)/$X$8)&gt;1.92,"ATÍPICO",ABS((I3363-$W$8)/$X$8)&lt;=1.92,"NO ATÍPICO")</f>
        <v>NO ATÍPICO</v>
      </c>
      <c r="L3363">
        <f t="shared" si="225"/>
        <v>2409620.6</v>
      </c>
      <c r="M3363" t="str">
        <f t="shared" si="225"/>
        <v>ASALARIADO</v>
      </c>
      <c r="N3363">
        <f t="shared" si="226"/>
        <v>52</v>
      </c>
      <c r="O3363" s="19" t="str">
        <f t="shared" si="227"/>
        <v>1200k+</v>
      </c>
      <c r="P3363" s="19" t="str">
        <f t="shared" si="228"/>
        <v>46-55</v>
      </c>
    </row>
    <row r="3364" spans="1:16" x14ac:dyDescent="0.25">
      <c r="A3364">
        <v>3363</v>
      </c>
      <c r="B3364" t="s">
        <v>15</v>
      </c>
      <c r="C3364">
        <v>225000</v>
      </c>
      <c r="D3364" t="s">
        <v>10</v>
      </c>
      <c r="E3364" t="s">
        <v>16</v>
      </c>
      <c r="F3364" t="s">
        <v>12</v>
      </c>
      <c r="G3364" t="s">
        <v>13</v>
      </c>
      <c r="H3364" t="s">
        <v>13</v>
      </c>
      <c r="I3364">
        <v>36</v>
      </c>
      <c r="J3364" t="str" cm="1">
        <f t="array" ref="J3364">_xlfn.IFS(ISBLANK(C3364),"FALTANTE",ABS((C3364-$W$5)/$X$5)&gt;1.96,"ATÍPICO",ABS((C3364-$W$5)/$X$5)&lt;=1.96,"NO ATÍPICO")</f>
        <v>NO ATÍPICO</v>
      </c>
      <c r="K3364" t="str" cm="1">
        <f t="array" ref="K3364">_xlfn.IFS(ISBLANK(I3364),"FALTANTE",ABS((I3364-$W$8)/$X$8)&gt;1.92,"ATÍPICO",ABS((I3364-$W$8)/$X$8)&lt;=1.92,"NO ATÍPICO")</f>
        <v>NO ATÍPICO</v>
      </c>
      <c r="L3364">
        <f t="shared" si="225"/>
        <v>225000</v>
      </c>
      <c r="M3364" t="str">
        <f t="shared" si="225"/>
        <v>ASALARIADO</v>
      </c>
      <c r="N3364">
        <f t="shared" si="226"/>
        <v>36</v>
      </c>
      <c r="O3364" s="19" t="str">
        <f t="shared" si="227"/>
        <v>0–300k</v>
      </c>
      <c r="P3364" s="19" t="str">
        <f t="shared" si="228"/>
        <v>36-45</v>
      </c>
    </row>
    <row r="3365" spans="1:16" x14ac:dyDescent="0.25">
      <c r="A3365">
        <v>3364</v>
      </c>
      <c r="B3365" t="s">
        <v>15</v>
      </c>
      <c r="C3365">
        <v>578167.4</v>
      </c>
      <c r="D3365" t="s">
        <v>10</v>
      </c>
      <c r="E3365" t="s">
        <v>11</v>
      </c>
      <c r="F3365" t="s">
        <v>12</v>
      </c>
      <c r="G3365" t="s">
        <v>13</v>
      </c>
      <c r="H3365" t="s">
        <v>13</v>
      </c>
      <c r="I3365">
        <v>40</v>
      </c>
      <c r="J3365" t="str" cm="1">
        <f t="array" ref="J3365">_xlfn.IFS(ISBLANK(C3365),"FALTANTE",ABS((C3365-$W$5)/$X$5)&gt;1.96,"ATÍPICO",ABS((C3365-$W$5)/$X$5)&lt;=1.96,"NO ATÍPICO")</f>
        <v>NO ATÍPICO</v>
      </c>
      <c r="K3365" t="str" cm="1">
        <f t="array" ref="K3365">_xlfn.IFS(ISBLANK(I3365),"FALTANTE",ABS((I3365-$W$8)/$X$8)&gt;1.92,"ATÍPICO",ABS((I3365-$W$8)/$X$8)&lt;=1.92,"NO ATÍPICO")</f>
        <v>NO ATÍPICO</v>
      </c>
      <c r="L3365">
        <f t="shared" si="225"/>
        <v>578167.4</v>
      </c>
      <c r="M3365" t="str">
        <f t="shared" si="225"/>
        <v>ASALARIADO</v>
      </c>
      <c r="N3365">
        <f t="shared" si="226"/>
        <v>40</v>
      </c>
      <c r="O3365" s="19" t="str">
        <f t="shared" si="227"/>
        <v>300k–600k</v>
      </c>
      <c r="P3365" s="19" t="str">
        <f t="shared" si="228"/>
        <v>36-45</v>
      </c>
    </row>
    <row r="3366" spans="1:16" x14ac:dyDescent="0.25">
      <c r="A3366">
        <v>3365</v>
      </c>
      <c r="B3366" t="s">
        <v>15</v>
      </c>
      <c r="C3366">
        <v>282305</v>
      </c>
      <c r="D3366" t="s">
        <v>17</v>
      </c>
      <c r="E3366" t="s">
        <v>16</v>
      </c>
      <c r="F3366" t="s">
        <v>13</v>
      </c>
      <c r="G3366" t="s">
        <v>13</v>
      </c>
      <c r="H3366" t="s">
        <v>13</v>
      </c>
      <c r="I3366">
        <v>65</v>
      </c>
      <c r="J3366" t="str" cm="1">
        <f t="array" ref="J3366">_xlfn.IFS(ISBLANK(C3366),"FALTANTE",ABS((C3366-$W$5)/$X$5)&gt;1.96,"ATÍPICO",ABS((C3366-$W$5)/$X$5)&lt;=1.96,"NO ATÍPICO")</f>
        <v>NO ATÍPICO</v>
      </c>
      <c r="K3366" t="str" cm="1">
        <f t="array" ref="K3366">_xlfn.IFS(ISBLANK(I3366),"FALTANTE",ABS((I3366-$W$8)/$X$8)&gt;1.92,"ATÍPICO",ABS((I3366-$W$8)/$X$8)&lt;=1.92,"NO ATÍPICO")</f>
        <v>NO ATÍPICO</v>
      </c>
      <c r="L3366">
        <f t="shared" si="225"/>
        <v>282305</v>
      </c>
      <c r="M3366" t="str">
        <f t="shared" si="225"/>
        <v>ASEGURADO VOLUNTARIO</v>
      </c>
      <c r="N3366">
        <f t="shared" si="226"/>
        <v>65</v>
      </c>
      <c r="O3366" s="19" t="str">
        <f t="shared" si="227"/>
        <v>0–300k</v>
      </c>
      <c r="P3366" s="19" t="str">
        <f t="shared" si="228"/>
        <v>56+</v>
      </c>
    </row>
    <row r="3367" spans="1:16" x14ac:dyDescent="0.25">
      <c r="A3367">
        <v>3366</v>
      </c>
      <c r="B3367" t="s">
        <v>15</v>
      </c>
      <c r="C3367">
        <v>585519.47</v>
      </c>
      <c r="D3367" t="s">
        <v>10</v>
      </c>
      <c r="E3367" t="s">
        <v>11</v>
      </c>
      <c r="F3367" t="s">
        <v>12</v>
      </c>
      <c r="G3367" t="s">
        <v>13</v>
      </c>
      <c r="H3367" t="s">
        <v>13</v>
      </c>
      <c r="I3367">
        <v>54</v>
      </c>
      <c r="J3367" t="str" cm="1">
        <f t="array" ref="J3367">_xlfn.IFS(ISBLANK(C3367),"FALTANTE",ABS((C3367-$W$5)/$X$5)&gt;1.96,"ATÍPICO",ABS((C3367-$W$5)/$X$5)&lt;=1.96,"NO ATÍPICO")</f>
        <v>NO ATÍPICO</v>
      </c>
      <c r="K3367" t="str" cm="1">
        <f t="array" ref="K3367">_xlfn.IFS(ISBLANK(I3367),"FALTANTE",ABS((I3367-$W$8)/$X$8)&gt;1.92,"ATÍPICO",ABS((I3367-$W$8)/$X$8)&lt;=1.92,"NO ATÍPICO")</f>
        <v>NO ATÍPICO</v>
      </c>
      <c r="L3367">
        <f t="shared" si="225"/>
        <v>585519.47</v>
      </c>
      <c r="M3367" t="str">
        <f t="shared" si="225"/>
        <v>ASALARIADO</v>
      </c>
      <c r="N3367">
        <f t="shared" si="226"/>
        <v>54</v>
      </c>
      <c r="O3367" s="19" t="str">
        <f t="shared" si="227"/>
        <v>300k–600k</v>
      </c>
      <c r="P3367" s="19" t="str">
        <f t="shared" si="228"/>
        <v>46-55</v>
      </c>
    </row>
    <row r="3368" spans="1:16" x14ac:dyDescent="0.25">
      <c r="A3368">
        <v>3367</v>
      </c>
      <c r="B3368" t="s">
        <v>9</v>
      </c>
      <c r="C3368">
        <v>477206.99</v>
      </c>
      <c r="D3368" t="s">
        <v>10</v>
      </c>
      <c r="E3368" t="s">
        <v>16</v>
      </c>
      <c r="F3368" t="s">
        <v>12</v>
      </c>
      <c r="G3368" t="s">
        <v>13</v>
      </c>
      <c r="H3368" t="s">
        <v>13</v>
      </c>
      <c r="I3368">
        <v>27</v>
      </c>
      <c r="J3368" t="str" cm="1">
        <f t="array" ref="J3368">_xlfn.IFS(ISBLANK(C3368),"FALTANTE",ABS((C3368-$W$5)/$X$5)&gt;1.96,"ATÍPICO",ABS((C3368-$W$5)/$X$5)&lt;=1.96,"NO ATÍPICO")</f>
        <v>NO ATÍPICO</v>
      </c>
      <c r="K3368" t="str" cm="1">
        <f t="array" ref="K3368">_xlfn.IFS(ISBLANK(I3368),"FALTANTE",ABS((I3368-$W$8)/$X$8)&gt;1.92,"ATÍPICO",ABS((I3368-$W$8)/$X$8)&lt;=1.92,"NO ATÍPICO")</f>
        <v>NO ATÍPICO</v>
      </c>
      <c r="L3368">
        <f t="shared" si="225"/>
        <v>477206.99</v>
      </c>
      <c r="M3368" t="str">
        <f t="shared" si="225"/>
        <v>ASALARIADO</v>
      </c>
      <c r="N3368">
        <f t="shared" si="226"/>
        <v>27</v>
      </c>
      <c r="O3368" s="19" t="str">
        <f t="shared" si="227"/>
        <v>300k–600k</v>
      </c>
      <c r="P3368" s="19" t="str">
        <f t="shared" si="228"/>
        <v>26-35</v>
      </c>
    </row>
    <row r="3369" spans="1:16" x14ac:dyDescent="0.25">
      <c r="A3369">
        <v>3368</v>
      </c>
      <c r="B3369" t="s">
        <v>15</v>
      </c>
      <c r="C3369">
        <v>366740.15</v>
      </c>
      <c r="D3369" t="s">
        <v>10</v>
      </c>
      <c r="E3369" t="s">
        <v>16</v>
      </c>
      <c r="F3369" t="s">
        <v>12</v>
      </c>
      <c r="G3369" t="s">
        <v>13</v>
      </c>
      <c r="H3369" t="s">
        <v>13</v>
      </c>
      <c r="I3369">
        <v>37</v>
      </c>
      <c r="J3369" t="str" cm="1">
        <f t="array" ref="J3369">_xlfn.IFS(ISBLANK(C3369),"FALTANTE",ABS((C3369-$W$5)/$X$5)&gt;1.96,"ATÍPICO",ABS((C3369-$W$5)/$X$5)&lt;=1.96,"NO ATÍPICO")</f>
        <v>NO ATÍPICO</v>
      </c>
      <c r="K3369" t="str" cm="1">
        <f t="array" ref="K3369">_xlfn.IFS(ISBLANK(I3369),"FALTANTE",ABS((I3369-$W$8)/$X$8)&gt;1.92,"ATÍPICO",ABS((I3369-$W$8)/$X$8)&lt;=1.92,"NO ATÍPICO")</f>
        <v>NO ATÍPICO</v>
      </c>
      <c r="L3369">
        <f t="shared" si="225"/>
        <v>366740.15</v>
      </c>
      <c r="M3369" t="str">
        <f t="shared" si="225"/>
        <v>ASALARIADO</v>
      </c>
      <c r="N3369">
        <f t="shared" si="226"/>
        <v>37</v>
      </c>
      <c r="O3369" s="19" t="str">
        <f t="shared" si="227"/>
        <v>300k–600k</v>
      </c>
      <c r="P3369" s="19" t="str">
        <f t="shared" si="228"/>
        <v>36-45</v>
      </c>
    </row>
    <row r="3370" spans="1:16" x14ac:dyDescent="0.25">
      <c r="A3370">
        <v>3369</v>
      </c>
      <c r="B3370" t="s">
        <v>15</v>
      </c>
      <c r="C3370">
        <v>297045</v>
      </c>
      <c r="D3370" t="s">
        <v>17</v>
      </c>
      <c r="E3370" t="s">
        <v>16</v>
      </c>
      <c r="F3370" t="s">
        <v>12</v>
      </c>
      <c r="G3370" t="s">
        <v>13</v>
      </c>
      <c r="H3370" t="s">
        <v>13</v>
      </c>
      <c r="I3370">
        <v>29</v>
      </c>
      <c r="J3370" t="str" cm="1">
        <f t="array" ref="J3370">_xlfn.IFS(ISBLANK(C3370),"FALTANTE",ABS((C3370-$W$5)/$X$5)&gt;1.96,"ATÍPICO",ABS((C3370-$W$5)/$X$5)&lt;=1.96,"NO ATÍPICO")</f>
        <v>NO ATÍPICO</v>
      </c>
      <c r="K3370" t="str" cm="1">
        <f t="array" ref="K3370">_xlfn.IFS(ISBLANK(I3370),"FALTANTE",ABS((I3370-$W$8)/$X$8)&gt;1.92,"ATÍPICO",ABS((I3370-$W$8)/$X$8)&lt;=1.92,"NO ATÍPICO")</f>
        <v>NO ATÍPICO</v>
      </c>
      <c r="L3370">
        <f t="shared" si="225"/>
        <v>297045</v>
      </c>
      <c r="M3370" t="str">
        <f t="shared" si="225"/>
        <v>ASEGURADO VOLUNTARIO</v>
      </c>
      <c r="N3370">
        <f t="shared" si="226"/>
        <v>29</v>
      </c>
      <c r="O3370" s="19" t="str">
        <f t="shared" si="227"/>
        <v>0–300k</v>
      </c>
      <c r="P3370" s="19" t="str">
        <f t="shared" si="228"/>
        <v>26-35</v>
      </c>
    </row>
    <row r="3371" spans="1:16" x14ac:dyDescent="0.25">
      <c r="A3371">
        <v>3370</v>
      </c>
      <c r="B3371" t="s">
        <v>15</v>
      </c>
      <c r="C3371">
        <v>375728</v>
      </c>
      <c r="D3371" t="s">
        <v>10</v>
      </c>
      <c r="E3371" t="s">
        <v>16</v>
      </c>
      <c r="F3371" t="s">
        <v>12</v>
      </c>
      <c r="G3371" t="s">
        <v>12</v>
      </c>
      <c r="H3371" t="s">
        <v>13</v>
      </c>
      <c r="I3371">
        <v>41</v>
      </c>
      <c r="J3371" t="str" cm="1">
        <f t="array" ref="J3371">_xlfn.IFS(ISBLANK(C3371),"FALTANTE",ABS((C3371-$W$5)/$X$5)&gt;1.96,"ATÍPICO",ABS((C3371-$W$5)/$X$5)&lt;=1.96,"NO ATÍPICO")</f>
        <v>NO ATÍPICO</v>
      </c>
      <c r="K3371" t="str" cm="1">
        <f t="array" ref="K3371">_xlfn.IFS(ISBLANK(I3371),"FALTANTE",ABS((I3371-$W$8)/$X$8)&gt;1.92,"ATÍPICO",ABS((I3371-$W$8)/$X$8)&lt;=1.92,"NO ATÍPICO")</f>
        <v>NO ATÍPICO</v>
      </c>
      <c r="L3371">
        <f t="shared" si="225"/>
        <v>375728</v>
      </c>
      <c r="M3371" t="str">
        <f t="shared" si="225"/>
        <v>ASALARIADO</v>
      </c>
      <c r="N3371">
        <f t="shared" si="226"/>
        <v>41</v>
      </c>
      <c r="O3371" s="19" t="str">
        <f t="shared" si="227"/>
        <v>300k–600k</v>
      </c>
      <c r="P3371" s="19" t="str">
        <f t="shared" si="228"/>
        <v>36-45</v>
      </c>
    </row>
    <row r="3372" spans="1:16" x14ac:dyDescent="0.25">
      <c r="A3372">
        <v>3371</v>
      </c>
      <c r="B3372" t="s">
        <v>9</v>
      </c>
      <c r="C3372">
        <v>541286.99</v>
      </c>
      <c r="D3372" t="s">
        <v>10</v>
      </c>
      <c r="E3372" t="s">
        <v>16</v>
      </c>
      <c r="F3372" t="s">
        <v>12</v>
      </c>
      <c r="G3372" t="s">
        <v>13</v>
      </c>
      <c r="H3372" t="s">
        <v>13</v>
      </c>
      <c r="I3372">
        <v>38</v>
      </c>
      <c r="J3372" t="str" cm="1">
        <f t="array" ref="J3372">_xlfn.IFS(ISBLANK(C3372),"FALTANTE",ABS((C3372-$W$5)/$X$5)&gt;1.96,"ATÍPICO",ABS((C3372-$W$5)/$X$5)&lt;=1.96,"NO ATÍPICO")</f>
        <v>NO ATÍPICO</v>
      </c>
      <c r="K3372" t="str" cm="1">
        <f t="array" ref="K3372">_xlfn.IFS(ISBLANK(I3372),"FALTANTE",ABS((I3372-$W$8)/$X$8)&gt;1.92,"ATÍPICO",ABS((I3372-$W$8)/$X$8)&lt;=1.92,"NO ATÍPICO")</f>
        <v>NO ATÍPICO</v>
      </c>
      <c r="L3372">
        <f t="shared" si="225"/>
        <v>541286.99</v>
      </c>
      <c r="M3372" t="str">
        <f t="shared" si="225"/>
        <v>ASALARIADO</v>
      </c>
      <c r="N3372">
        <f t="shared" si="226"/>
        <v>38</v>
      </c>
      <c r="O3372" s="19" t="str">
        <f t="shared" si="227"/>
        <v>300k–600k</v>
      </c>
      <c r="P3372" s="19" t="str">
        <f t="shared" si="228"/>
        <v>36-45</v>
      </c>
    </row>
    <row r="3373" spans="1:16" x14ac:dyDescent="0.25">
      <c r="A3373">
        <v>3372</v>
      </c>
      <c r="B3373" t="s">
        <v>9</v>
      </c>
      <c r="C3373">
        <v>1486779</v>
      </c>
      <c r="D3373" t="s">
        <v>14</v>
      </c>
      <c r="E3373" t="s">
        <v>11</v>
      </c>
      <c r="F3373" t="s">
        <v>12</v>
      </c>
      <c r="G3373" t="s">
        <v>13</v>
      </c>
      <c r="H3373" t="s">
        <v>13</v>
      </c>
      <c r="I3373">
        <v>60</v>
      </c>
      <c r="J3373" t="str" cm="1">
        <f t="array" ref="J3373">_xlfn.IFS(ISBLANK(C3373),"FALTANTE",ABS((C3373-$W$5)/$X$5)&gt;1.96,"ATÍPICO",ABS((C3373-$W$5)/$X$5)&lt;=1.96,"NO ATÍPICO")</f>
        <v>NO ATÍPICO</v>
      </c>
      <c r="K3373" t="str" cm="1">
        <f t="array" ref="K3373">_xlfn.IFS(ISBLANK(I3373),"FALTANTE",ABS((I3373-$W$8)/$X$8)&gt;1.92,"ATÍPICO",ABS((I3373-$W$8)/$X$8)&lt;=1.92,"NO ATÍPICO")</f>
        <v>NO ATÍPICO</v>
      </c>
      <c r="L3373">
        <f t="shared" si="225"/>
        <v>1486779</v>
      </c>
      <c r="M3373" t="str">
        <f t="shared" si="225"/>
        <v>PENSIONADOS EN SU PROPIO SISTEMA</v>
      </c>
      <c r="N3373">
        <f t="shared" si="226"/>
        <v>60</v>
      </c>
      <c r="O3373" s="19" t="str">
        <f t="shared" si="227"/>
        <v>1200k+</v>
      </c>
      <c r="P3373" s="19" t="str">
        <f t="shared" si="228"/>
        <v>56+</v>
      </c>
    </row>
    <row r="3374" spans="1:16" x14ac:dyDescent="0.25">
      <c r="A3374">
        <v>3373</v>
      </c>
      <c r="B3374" t="s">
        <v>15</v>
      </c>
      <c r="C3374">
        <v>297045</v>
      </c>
      <c r="D3374" t="s">
        <v>17</v>
      </c>
      <c r="E3374" t="s">
        <v>16</v>
      </c>
      <c r="F3374" t="s">
        <v>12</v>
      </c>
      <c r="G3374" t="s">
        <v>13</v>
      </c>
      <c r="H3374" t="s">
        <v>13</v>
      </c>
      <c r="I3374">
        <v>62</v>
      </c>
      <c r="J3374" t="str" cm="1">
        <f t="array" ref="J3374">_xlfn.IFS(ISBLANK(C3374),"FALTANTE",ABS((C3374-$W$5)/$X$5)&gt;1.96,"ATÍPICO",ABS((C3374-$W$5)/$X$5)&lt;=1.96,"NO ATÍPICO")</f>
        <v>NO ATÍPICO</v>
      </c>
      <c r="K3374" t="str" cm="1">
        <f t="array" ref="K3374">_xlfn.IFS(ISBLANK(I3374),"FALTANTE",ABS((I3374-$W$8)/$X$8)&gt;1.92,"ATÍPICO",ABS((I3374-$W$8)/$X$8)&lt;=1.92,"NO ATÍPICO")</f>
        <v>NO ATÍPICO</v>
      </c>
      <c r="L3374">
        <f t="shared" si="225"/>
        <v>297045</v>
      </c>
      <c r="M3374" t="str">
        <f t="shared" si="225"/>
        <v>ASEGURADO VOLUNTARIO</v>
      </c>
      <c r="N3374">
        <f t="shared" si="226"/>
        <v>62</v>
      </c>
      <c r="O3374" s="19" t="str">
        <f t="shared" si="227"/>
        <v>0–300k</v>
      </c>
      <c r="P3374" s="19" t="str">
        <f t="shared" si="228"/>
        <v>56+</v>
      </c>
    </row>
    <row r="3375" spans="1:16" x14ac:dyDescent="0.25">
      <c r="A3375">
        <v>3374</v>
      </c>
      <c r="B3375" t="s">
        <v>9</v>
      </c>
      <c r="C3375">
        <v>297046</v>
      </c>
      <c r="D3375" t="s">
        <v>17</v>
      </c>
      <c r="E3375" t="s">
        <v>16</v>
      </c>
      <c r="F3375" t="s">
        <v>12</v>
      </c>
      <c r="G3375" t="s">
        <v>12</v>
      </c>
      <c r="H3375" t="s">
        <v>13</v>
      </c>
      <c r="I3375">
        <v>38</v>
      </c>
      <c r="J3375" t="str" cm="1">
        <f t="array" ref="J3375">_xlfn.IFS(ISBLANK(C3375),"FALTANTE",ABS((C3375-$W$5)/$X$5)&gt;1.96,"ATÍPICO",ABS((C3375-$W$5)/$X$5)&lt;=1.96,"NO ATÍPICO")</f>
        <v>NO ATÍPICO</v>
      </c>
      <c r="K3375" t="str" cm="1">
        <f t="array" ref="K3375">_xlfn.IFS(ISBLANK(I3375),"FALTANTE",ABS((I3375-$W$8)/$X$8)&gt;1.92,"ATÍPICO",ABS((I3375-$W$8)/$X$8)&lt;=1.92,"NO ATÍPICO")</f>
        <v>NO ATÍPICO</v>
      </c>
      <c r="L3375">
        <f t="shared" si="225"/>
        <v>297046</v>
      </c>
      <c r="M3375" t="str">
        <f t="shared" si="225"/>
        <v>ASEGURADO VOLUNTARIO</v>
      </c>
      <c r="N3375">
        <f t="shared" si="226"/>
        <v>38</v>
      </c>
      <c r="O3375" s="19" t="str">
        <f t="shared" si="227"/>
        <v>0–300k</v>
      </c>
      <c r="P3375" s="19" t="str">
        <f t="shared" si="228"/>
        <v>36-45</v>
      </c>
    </row>
    <row r="3376" spans="1:16" x14ac:dyDescent="0.25">
      <c r="A3376">
        <v>3375</v>
      </c>
      <c r="B3376" t="s">
        <v>15</v>
      </c>
      <c r="C3376">
        <v>557319</v>
      </c>
      <c r="D3376" t="s">
        <v>18</v>
      </c>
      <c r="E3376" t="s">
        <v>16</v>
      </c>
      <c r="F3376" t="s">
        <v>12</v>
      </c>
      <c r="G3376" t="s">
        <v>13</v>
      </c>
      <c r="H3376" t="s">
        <v>13</v>
      </c>
      <c r="I3376">
        <v>57</v>
      </c>
      <c r="J3376" t="str" cm="1">
        <f t="array" ref="J3376">_xlfn.IFS(ISBLANK(C3376),"FALTANTE",ABS((C3376-$W$5)/$X$5)&gt;1.96,"ATÍPICO",ABS((C3376-$W$5)/$X$5)&lt;=1.96,"NO ATÍPICO")</f>
        <v>NO ATÍPICO</v>
      </c>
      <c r="K3376" t="str" cm="1">
        <f t="array" ref="K3376">_xlfn.IFS(ISBLANK(I3376),"FALTANTE",ABS((I3376-$W$8)/$X$8)&gt;1.92,"ATÍPICO",ABS((I3376-$W$8)/$X$8)&lt;=1.92,"NO ATÍPICO")</f>
        <v>NO ATÍPICO</v>
      </c>
      <c r="L3376">
        <f t="shared" si="225"/>
        <v>557319</v>
      </c>
      <c r="M3376" t="str">
        <f t="shared" si="225"/>
        <v>TRABAJADOR INDEPENDIENTE</v>
      </c>
      <c r="N3376">
        <f t="shared" si="226"/>
        <v>57</v>
      </c>
      <c r="O3376" s="19" t="str">
        <f t="shared" si="227"/>
        <v>300k–600k</v>
      </c>
      <c r="P3376" s="19" t="str">
        <f t="shared" si="228"/>
        <v>56+</v>
      </c>
    </row>
    <row r="3377" spans="1:16" x14ac:dyDescent="0.25">
      <c r="A3377">
        <v>3376</v>
      </c>
      <c r="B3377" t="s">
        <v>9</v>
      </c>
      <c r="C3377">
        <v>833592.1</v>
      </c>
      <c r="D3377" t="s">
        <v>10</v>
      </c>
      <c r="E3377" t="s">
        <v>11</v>
      </c>
      <c r="F3377" t="s">
        <v>12</v>
      </c>
      <c r="G3377" t="s">
        <v>13</v>
      </c>
      <c r="H3377" t="s">
        <v>13</v>
      </c>
      <c r="I3377">
        <v>31</v>
      </c>
      <c r="J3377" t="str" cm="1">
        <f t="array" ref="J3377">_xlfn.IFS(ISBLANK(C3377),"FALTANTE",ABS((C3377-$W$5)/$X$5)&gt;1.96,"ATÍPICO",ABS((C3377-$W$5)/$X$5)&lt;=1.96,"NO ATÍPICO")</f>
        <v>NO ATÍPICO</v>
      </c>
      <c r="K3377" t="str" cm="1">
        <f t="array" ref="K3377">_xlfn.IFS(ISBLANK(I3377),"FALTANTE",ABS((I3377-$W$8)/$X$8)&gt;1.92,"ATÍPICO",ABS((I3377-$W$8)/$X$8)&lt;=1.92,"NO ATÍPICO")</f>
        <v>NO ATÍPICO</v>
      </c>
      <c r="L3377">
        <f t="shared" si="225"/>
        <v>833592.1</v>
      </c>
      <c r="M3377" t="str">
        <f t="shared" si="225"/>
        <v>ASALARIADO</v>
      </c>
      <c r="N3377">
        <f t="shared" si="226"/>
        <v>31</v>
      </c>
      <c r="O3377" s="19" t="str">
        <f t="shared" si="227"/>
        <v>600k–900k</v>
      </c>
      <c r="P3377" s="19" t="str">
        <f t="shared" si="228"/>
        <v>26-35</v>
      </c>
    </row>
    <row r="3378" spans="1:16" x14ac:dyDescent="0.25">
      <c r="A3378">
        <v>3377</v>
      </c>
      <c r="B3378" t="s">
        <v>9</v>
      </c>
      <c r="C3378">
        <v>297950</v>
      </c>
      <c r="D3378" t="s">
        <v>19</v>
      </c>
      <c r="E3378" t="s">
        <v>16</v>
      </c>
      <c r="F3378" t="s">
        <v>12</v>
      </c>
      <c r="G3378" t="s">
        <v>13</v>
      </c>
      <c r="H3378" t="s">
        <v>13</v>
      </c>
      <c r="I3378">
        <v>44</v>
      </c>
      <c r="J3378" t="str" cm="1">
        <f t="array" ref="J3378">_xlfn.IFS(ISBLANK(C3378),"FALTANTE",ABS((C3378-$W$5)/$X$5)&gt;1.96,"ATÍPICO",ABS((C3378-$W$5)/$X$5)&lt;=1.96,"NO ATÍPICO")</f>
        <v>NO ATÍPICO</v>
      </c>
      <c r="K3378" t="str" cm="1">
        <f t="array" ref="K3378">_xlfn.IFS(ISBLANK(I3378),"FALTANTE",ABS((I3378-$W$8)/$X$8)&gt;1.92,"ATÍPICO",ABS((I3378-$W$8)/$X$8)&lt;=1.92,"NO ATÍPICO")</f>
        <v>NO ATÍPICO</v>
      </c>
      <c r="L3378">
        <f t="shared" si="225"/>
        <v>297950</v>
      </c>
      <c r="M3378" t="str">
        <f t="shared" si="225"/>
        <v>CONVENIOS ESPECIALES DE TRABAJADORES INDEPENDIENTES</v>
      </c>
      <c r="N3378">
        <f t="shared" si="226"/>
        <v>44</v>
      </c>
      <c r="O3378" s="19" t="str">
        <f t="shared" si="227"/>
        <v>0–300k</v>
      </c>
      <c r="P3378" s="19" t="str">
        <f t="shared" si="228"/>
        <v>36-45</v>
      </c>
    </row>
    <row r="3379" spans="1:16" x14ac:dyDescent="0.25">
      <c r="A3379">
        <v>3378</v>
      </c>
      <c r="B3379" t="s">
        <v>9</v>
      </c>
      <c r="C3379">
        <v>356455</v>
      </c>
      <c r="D3379" t="s">
        <v>18</v>
      </c>
      <c r="E3379" t="s">
        <v>16</v>
      </c>
      <c r="F3379" t="s">
        <v>12</v>
      </c>
      <c r="G3379" t="s">
        <v>13</v>
      </c>
      <c r="H3379" t="s">
        <v>12</v>
      </c>
      <c r="I3379">
        <v>40</v>
      </c>
      <c r="J3379" t="str" cm="1">
        <f t="array" ref="J3379">_xlfn.IFS(ISBLANK(C3379),"FALTANTE",ABS((C3379-$W$5)/$X$5)&gt;1.96,"ATÍPICO",ABS((C3379-$W$5)/$X$5)&lt;=1.96,"NO ATÍPICO")</f>
        <v>NO ATÍPICO</v>
      </c>
      <c r="K3379" t="str" cm="1">
        <f t="array" ref="K3379">_xlfn.IFS(ISBLANK(I3379),"FALTANTE",ABS((I3379-$W$8)/$X$8)&gt;1.92,"ATÍPICO",ABS((I3379-$W$8)/$X$8)&lt;=1.92,"NO ATÍPICO")</f>
        <v>NO ATÍPICO</v>
      </c>
      <c r="L3379">
        <f t="shared" si="225"/>
        <v>356455</v>
      </c>
      <c r="M3379" t="str">
        <f t="shared" si="225"/>
        <v>TRABAJADOR INDEPENDIENTE</v>
      </c>
      <c r="N3379">
        <f t="shared" si="226"/>
        <v>40</v>
      </c>
      <c r="O3379" s="19" t="str">
        <f t="shared" si="227"/>
        <v>300k–600k</v>
      </c>
      <c r="P3379" s="19" t="str">
        <f t="shared" si="228"/>
        <v>36-45</v>
      </c>
    </row>
    <row r="3380" spans="1:16" x14ac:dyDescent="0.25">
      <c r="A3380">
        <v>3379</v>
      </c>
      <c r="B3380" t="s">
        <v>9</v>
      </c>
      <c r="C3380">
        <v>300438.55</v>
      </c>
      <c r="D3380" t="s">
        <v>10</v>
      </c>
      <c r="E3380" t="s">
        <v>16</v>
      </c>
      <c r="F3380" t="s">
        <v>12</v>
      </c>
      <c r="G3380" t="s">
        <v>13</v>
      </c>
      <c r="H3380" t="s">
        <v>13</v>
      </c>
      <c r="I3380">
        <v>19</v>
      </c>
      <c r="J3380" t="str" cm="1">
        <f t="array" ref="J3380">_xlfn.IFS(ISBLANK(C3380),"FALTANTE",ABS((C3380-$W$5)/$X$5)&gt;1.96,"ATÍPICO",ABS((C3380-$W$5)/$X$5)&lt;=1.96,"NO ATÍPICO")</f>
        <v>NO ATÍPICO</v>
      </c>
      <c r="K3380" t="str" cm="1">
        <f t="array" ref="K3380">_xlfn.IFS(ISBLANK(I3380),"FALTANTE",ABS((I3380-$W$8)/$X$8)&gt;1.92,"ATÍPICO",ABS((I3380-$W$8)/$X$8)&lt;=1.92,"NO ATÍPICO")</f>
        <v>NO ATÍPICO</v>
      </c>
      <c r="L3380">
        <f t="shared" si="225"/>
        <v>300438.55</v>
      </c>
      <c r="M3380" t="str">
        <f t="shared" si="225"/>
        <v>ASALARIADO</v>
      </c>
      <c r="N3380">
        <f t="shared" si="226"/>
        <v>19</v>
      </c>
      <c r="O3380" s="19" t="str">
        <f t="shared" si="227"/>
        <v>300k–600k</v>
      </c>
      <c r="P3380" s="19" t="str">
        <f t="shared" si="228"/>
        <v>18-25</v>
      </c>
    </row>
    <row r="3381" spans="1:16" x14ac:dyDescent="0.25">
      <c r="A3381">
        <v>3380</v>
      </c>
      <c r="B3381" t="s">
        <v>15</v>
      </c>
      <c r="C3381">
        <v>278030</v>
      </c>
      <c r="D3381" t="s">
        <v>21</v>
      </c>
      <c r="E3381" t="s">
        <v>16</v>
      </c>
      <c r="F3381" t="s">
        <v>12</v>
      </c>
      <c r="G3381" t="s">
        <v>13</v>
      </c>
      <c r="H3381" t="s">
        <v>13</v>
      </c>
      <c r="I3381">
        <v>27</v>
      </c>
      <c r="J3381" t="str" cm="1">
        <f t="array" ref="J3381">_xlfn.IFS(ISBLANK(C3381),"FALTANTE",ABS((C3381-$W$5)/$X$5)&gt;1.96,"ATÍPICO",ABS((C3381-$W$5)/$X$5)&lt;=1.96,"NO ATÍPICO")</f>
        <v>NO ATÍPICO</v>
      </c>
      <c r="K3381" t="str" cm="1">
        <f t="array" ref="K3381">_xlfn.IFS(ISBLANK(I3381),"FALTANTE",ABS((I3381-$W$8)/$X$8)&gt;1.92,"ATÍPICO",ABS((I3381-$W$8)/$X$8)&lt;=1.92,"NO ATÍPICO")</f>
        <v>NO ATÍPICO</v>
      </c>
      <c r="L3381">
        <f t="shared" si="225"/>
        <v>278030</v>
      </c>
      <c r="M3381" t="str">
        <f t="shared" si="225"/>
        <v>CONVENIOS ESPECIALES DE ASEGURADOS VOLUNTARIOS</v>
      </c>
      <c r="N3381">
        <f t="shared" si="226"/>
        <v>27</v>
      </c>
      <c r="O3381" s="19" t="str">
        <f t="shared" si="227"/>
        <v>0–300k</v>
      </c>
      <c r="P3381" s="19" t="str">
        <f t="shared" si="228"/>
        <v>26-35</v>
      </c>
    </row>
    <row r="3382" spans="1:16" x14ac:dyDescent="0.25">
      <c r="A3382">
        <v>3381</v>
      </c>
      <c r="B3382" t="s">
        <v>9</v>
      </c>
      <c r="C3382">
        <v>354166</v>
      </c>
      <c r="D3382" t="s">
        <v>10</v>
      </c>
      <c r="E3382" t="s">
        <v>16</v>
      </c>
      <c r="F3382" t="s">
        <v>12</v>
      </c>
      <c r="G3382" t="s">
        <v>13</v>
      </c>
      <c r="H3382" t="s">
        <v>13</v>
      </c>
      <c r="I3382">
        <v>25</v>
      </c>
      <c r="J3382" t="str" cm="1">
        <f t="array" ref="J3382">_xlfn.IFS(ISBLANK(C3382),"FALTANTE",ABS((C3382-$W$5)/$X$5)&gt;1.96,"ATÍPICO",ABS((C3382-$W$5)/$X$5)&lt;=1.96,"NO ATÍPICO")</f>
        <v>NO ATÍPICO</v>
      </c>
      <c r="K3382" t="str" cm="1">
        <f t="array" ref="K3382">_xlfn.IFS(ISBLANK(I3382),"FALTANTE",ABS((I3382-$W$8)/$X$8)&gt;1.92,"ATÍPICO",ABS((I3382-$W$8)/$X$8)&lt;=1.92,"NO ATÍPICO")</f>
        <v>NO ATÍPICO</v>
      </c>
      <c r="L3382">
        <f t="shared" si="225"/>
        <v>354166</v>
      </c>
      <c r="M3382" t="str">
        <f t="shared" si="225"/>
        <v>ASALARIADO</v>
      </c>
      <c r="N3382">
        <f t="shared" si="226"/>
        <v>25</v>
      </c>
      <c r="O3382" s="19" t="str">
        <f t="shared" si="227"/>
        <v>300k–600k</v>
      </c>
      <c r="P3382" s="19" t="str">
        <f t="shared" si="228"/>
        <v>18-25</v>
      </c>
    </row>
    <row r="3383" spans="1:16" x14ac:dyDescent="0.25">
      <c r="A3383">
        <v>3382</v>
      </c>
      <c r="B3383" t="s">
        <v>9</v>
      </c>
      <c r="C3383">
        <v>963859.52</v>
      </c>
      <c r="D3383" t="s">
        <v>10</v>
      </c>
      <c r="E3383" t="s">
        <v>11</v>
      </c>
      <c r="F3383" t="s">
        <v>12</v>
      </c>
      <c r="G3383" t="s">
        <v>13</v>
      </c>
      <c r="H3383" t="s">
        <v>13</v>
      </c>
      <c r="I3383">
        <v>55</v>
      </c>
      <c r="J3383" t="str" cm="1">
        <f t="array" ref="J3383">_xlfn.IFS(ISBLANK(C3383),"FALTANTE",ABS((C3383-$W$5)/$X$5)&gt;1.96,"ATÍPICO",ABS((C3383-$W$5)/$X$5)&lt;=1.96,"NO ATÍPICO")</f>
        <v>NO ATÍPICO</v>
      </c>
      <c r="K3383" t="str" cm="1">
        <f t="array" ref="K3383">_xlfn.IFS(ISBLANK(I3383),"FALTANTE",ABS((I3383-$W$8)/$X$8)&gt;1.92,"ATÍPICO",ABS((I3383-$W$8)/$X$8)&lt;=1.92,"NO ATÍPICO")</f>
        <v>NO ATÍPICO</v>
      </c>
      <c r="L3383">
        <f t="shared" si="225"/>
        <v>963859.52</v>
      </c>
      <c r="M3383" t="str">
        <f t="shared" si="225"/>
        <v>ASALARIADO</v>
      </c>
      <c r="N3383">
        <f t="shared" si="226"/>
        <v>55</v>
      </c>
      <c r="O3383" s="19" t="str">
        <f t="shared" si="227"/>
        <v>900k–1200k</v>
      </c>
      <c r="P3383" s="19" t="str">
        <f t="shared" si="228"/>
        <v>46-55</v>
      </c>
    </row>
    <row r="3384" spans="1:16" x14ac:dyDescent="0.25">
      <c r="A3384">
        <v>3383</v>
      </c>
      <c r="B3384" t="s">
        <v>9</v>
      </c>
      <c r="C3384">
        <v>1057967.08</v>
      </c>
      <c r="D3384" t="s">
        <v>10</v>
      </c>
      <c r="E3384" t="s">
        <v>16</v>
      </c>
      <c r="F3384" t="s">
        <v>12</v>
      </c>
      <c r="G3384" t="s">
        <v>13</v>
      </c>
      <c r="H3384" t="s">
        <v>13</v>
      </c>
      <c r="I3384">
        <v>31</v>
      </c>
      <c r="J3384" t="str" cm="1">
        <f t="array" ref="J3384">_xlfn.IFS(ISBLANK(C3384),"FALTANTE",ABS((C3384-$W$5)/$X$5)&gt;1.96,"ATÍPICO",ABS((C3384-$W$5)/$X$5)&lt;=1.96,"NO ATÍPICO")</f>
        <v>NO ATÍPICO</v>
      </c>
      <c r="K3384" t="str" cm="1">
        <f t="array" ref="K3384">_xlfn.IFS(ISBLANK(I3384),"FALTANTE",ABS((I3384-$W$8)/$X$8)&gt;1.92,"ATÍPICO",ABS((I3384-$W$8)/$X$8)&lt;=1.92,"NO ATÍPICO")</f>
        <v>NO ATÍPICO</v>
      </c>
      <c r="L3384">
        <f t="shared" si="225"/>
        <v>1057967.08</v>
      </c>
      <c r="M3384" t="str">
        <f t="shared" si="225"/>
        <v>ASALARIADO</v>
      </c>
      <c r="N3384">
        <f t="shared" si="226"/>
        <v>31</v>
      </c>
      <c r="O3384" s="19" t="str">
        <f t="shared" si="227"/>
        <v>900k–1200k</v>
      </c>
      <c r="P3384" s="19" t="str">
        <f t="shared" si="228"/>
        <v>26-35</v>
      </c>
    </row>
    <row r="3385" spans="1:16" x14ac:dyDescent="0.25">
      <c r="A3385">
        <v>3384</v>
      </c>
      <c r="B3385" t="s">
        <v>9</v>
      </c>
      <c r="C3385">
        <v>586234.97</v>
      </c>
      <c r="D3385" t="s">
        <v>10</v>
      </c>
      <c r="E3385" t="s">
        <v>16</v>
      </c>
      <c r="F3385" t="s">
        <v>12</v>
      </c>
      <c r="G3385" t="s">
        <v>13</v>
      </c>
      <c r="H3385" t="s">
        <v>13</v>
      </c>
      <c r="I3385">
        <v>57</v>
      </c>
      <c r="J3385" t="str" cm="1">
        <f t="array" ref="J3385">_xlfn.IFS(ISBLANK(C3385),"FALTANTE",ABS((C3385-$W$5)/$X$5)&gt;1.96,"ATÍPICO",ABS((C3385-$W$5)/$X$5)&lt;=1.96,"NO ATÍPICO")</f>
        <v>NO ATÍPICO</v>
      </c>
      <c r="K3385" t="str" cm="1">
        <f t="array" ref="K3385">_xlfn.IFS(ISBLANK(I3385),"FALTANTE",ABS((I3385-$W$8)/$X$8)&gt;1.92,"ATÍPICO",ABS((I3385-$W$8)/$X$8)&lt;=1.92,"NO ATÍPICO")</f>
        <v>NO ATÍPICO</v>
      </c>
      <c r="L3385">
        <f t="shared" si="225"/>
        <v>586234.97</v>
      </c>
      <c r="M3385" t="str">
        <f t="shared" si="225"/>
        <v>ASALARIADO</v>
      </c>
      <c r="N3385">
        <f t="shared" si="226"/>
        <v>57</v>
      </c>
      <c r="O3385" s="19" t="str">
        <f t="shared" si="227"/>
        <v>300k–600k</v>
      </c>
      <c r="P3385" s="19" t="str">
        <f t="shared" si="228"/>
        <v>56+</v>
      </c>
    </row>
    <row r="3386" spans="1:16" x14ac:dyDescent="0.25">
      <c r="A3386">
        <v>3385</v>
      </c>
      <c r="B3386" t="s">
        <v>9</v>
      </c>
      <c r="C3386">
        <v>278030</v>
      </c>
      <c r="D3386" t="s">
        <v>19</v>
      </c>
      <c r="E3386" t="s">
        <v>16</v>
      </c>
      <c r="F3386" t="s">
        <v>12</v>
      </c>
      <c r="G3386" t="s">
        <v>13</v>
      </c>
      <c r="H3386" t="s">
        <v>13</v>
      </c>
      <c r="I3386">
        <v>29</v>
      </c>
      <c r="J3386" t="str" cm="1">
        <f t="array" ref="J3386">_xlfn.IFS(ISBLANK(C3386),"FALTANTE",ABS((C3386-$W$5)/$X$5)&gt;1.96,"ATÍPICO",ABS((C3386-$W$5)/$X$5)&lt;=1.96,"NO ATÍPICO")</f>
        <v>NO ATÍPICO</v>
      </c>
      <c r="K3386" t="str" cm="1">
        <f t="array" ref="K3386">_xlfn.IFS(ISBLANK(I3386),"FALTANTE",ABS((I3386-$W$8)/$X$8)&gt;1.92,"ATÍPICO",ABS((I3386-$W$8)/$X$8)&lt;=1.92,"NO ATÍPICO")</f>
        <v>NO ATÍPICO</v>
      </c>
      <c r="L3386">
        <f t="shared" si="225"/>
        <v>278030</v>
      </c>
      <c r="M3386" t="str">
        <f t="shared" si="225"/>
        <v>CONVENIOS ESPECIALES DE TRABAJADORES INDEPENDIENTES</v>
      </c>
      <c r="N3386">
        <f t="shared" si="226"/>
        <v>29</v>
      </c>
      <c r="O3386" s="19" t="str">
        <f t="shared" si="227"/>
        <v>0–300k</v>
      </c>
      <c r="P3386" s="19" t="str">
        <f t="shared" si="228"/>
        <v>26-35</v>
      </c>
    </row>
    <row r="3387" spans="1:16" x14ac:dyDescent="0.25">
      <c r="A3387">
        <v>3386</v>
      </c>
      <c r="B3387" t="s">
        <v>9</v>
      </c>
      <c r="C3387">
        <v>399148</v>
      </c>
      <c r="D3387" t="s">
        <v>18</v>
      </c>
      <c r="E3387" t="s">
        <v>16</v>
      </c>
      <c r="F3387" t="s">
        <v>12</v>
      </c>
      <c r="G3387" t="s">
        <v>13</v>
      </c>
      <c r="H3387" t="s">
        <v>12</v>
      </c>
      <c r="I3387">
        <v>59</v>
      </c>
      <c r="J3387" t="str" cm="1">
        <f t="array" ref="J3387">_xlfn.IFS(ISBLANK(C3387),"FALTANTE",ABS((C3387-$W$5)/$X$5)&gt;1.96,"ATÍPICO",ABS((C3387-$W$5)/$X$5)&lt;=1.96,"NO ATÍPICO")</f>
        <v>NO ATÍPICO</v>
      </c>
      <c r="K3387" t="str" cm="1">
        <f t="array" ref="K3387">_xlfn.IFS(ISBLANK(I3387),"FALTANTE",ABS((I3387-$W$8)/$X$8)&gt;1.92,"ATÍPICO",ABS((I3387-$W$8)/$X$8)&lt;=1.92,"NO ATÍPICO")</f>
        <v>NO ATÍPICO</v>
      </c>
      <c r="L3387">
        <f t="shared" si="225"/>
        <v>399148</v>
      </c>
      <c r="M3387" t="str">
        <f t="shared" si="225"/>
        <v>TRABAJADOR INDEPENDIENTE</v>
      </c>
      <c r="N3387">
        <f t="shared" si="226"/>
        <v>59</v>
      </c>
      <c r="O3387" s="19" t="str">
        <f t="shared" si="227"/>
        <v>300k–600k</v>
      </c>
      <c r="P3387" s="19" t="str">
        <f t="shared" si="228"/>
        <v>56+</v>
      </c>
    </row>
    <row r="3388" spans="1:16" x14ac:dyDescent="0.25">
      <c r="A3388">
        <v>3387</v>
      </c>
      <c r="B3388" t="s">
        <v>15</v>
      </c>
      <c r="C3388">
        <v>1377923.86</v>
      </c>
      <c r="D3388" t="s">
        <v>10</v>
      </c>
      <c r="E3388" t="s">
        <v>16</v>
      </c>
      <c r="F3388" t="s">
        <v>12</v>
      </c>
      <c r="G3388" t="s">
        <v>13</v>
      </c>
      <c r="H3388" t="s">
        <v>13</v>
      </c>
      <c r="I3388">
        <v>56</v>
      </c>
      <c r="J3388" t="str" cm="1">
        <f t="array" ref="J3388">_xlfn.IFS(ISBLANK(C3388),"FALTANTE",ABS((C3388-$W$5)/$X$5)&gt;1.96,"ATÍPICO",ABS((C3388-$W$5)/$X$5)&lt;=1.96,"NO ATÍPICO")</f>
        <v>NO ATÍPICO</v>
      </c>
      <c r="K3388" t="str" cm="1">
        <f t="array" ref="K3388">_xlfn.IFS(ISBLANK(I3388),"FALTANTE",ABS((I3388-$W$8)/$X$8)&gt;1.92,"ATÍPICO",ABS((I3388-$W$8)/$X$8)&lt;=1.92,"NO ATÍPICO")</f>
        <v>NO ATÍPICO</v>
      </c>
      <c r="L3388">
        <f t="shared" si="225"/>
        <v>1377923.86</v>
      </c>
      <c r="M3388" t="str">
        <f t="shared" si="225"/>
        <v>ASALARIADO</v>
      </c>
      <c r="N3388">
        <f t="shared" si="226"/>
        <v>56</v>
      </c>
      <c r="O3388" s="19" t="str">
        <f t="shared" si="227"/>
        <v>1200k+</v>
      </c>
      <c r="P3388" s="19" t="str">
        <f t="shared" si="228"/>
        <v>56+</v>
      </c>
    </row>
    <row r="3389" spans="1:16" x14ac:dyDescent="0.25">
      <c r="A3389">
        <v>3388</v>
      </c>
      <c r="B3389" t="s">
        <v>9</v>
      </c>
      <c r="C3389">
        <v>384000</v>
      </c>
      <c r="D3389" t="s">
        <v>10</v>
      </c>
      <c r="E3389" t="s">
        <v>16</v>
      </c>
      <c r="F3389" t="s">
        <v>12</v>
      </c>
      <c r="G3389" t="s">
        <v>13</v>
      </c>
      <c r="H3389" t="s">
        <v>12</v>
      </c>
      <c r="I3389">
        <v>43</v>
      </c>
      <c r="J3389" t="str" cm="1">
        <f t="array" ref="J3389">_xlfn.IFS(ISBLANK(C3389),"FALTANTE",ABS((C3389-$W$5)/$X$5)&gt;1.96,"ATÍPICO",ABS((C3389-$W$5)/$X$5)&lt;=1.96,"NO ATÍPICO")</f>
        <v>NO ATÍPICO</v>
      </c>
      <c r="K3389" t="str" cm="1">
        <f t="array" ref="K3389">_xlfn.IFS(ISBLANK(I3389),"FALTANTE",ABS((I3389-$W$8)/$X$8)&gt;1.92,"ATÍPICO",ABS((I3389-$W$8)/$X$8)&lt;=1.92,"NO ATÍPICO")</f>
        <v>NO ATÍPICO</v>
      </c>
      <c r="L3389">
        <f t="shared" si="225"/>
        <v>384000</v>
      </c>
      <c r="M3389" t="str">
        <f t="shared" si="225"/>
        <v>ASALARIADO</v>
      </c>
      <c r="N3389">
        <f t="shared" si="226"/>
        <v>43</v>
      </c>
      <c r="O3389" s="19" t="str">
        <f t="shared" si="227"/>
        <v>300k–600k</v>
      </c>
      <c r="P3389" s="19" t="str">
        <f t="shared" si="228"/>
        <v>36-45</v>
      </c>
    </row>
    <row r="3390" spans="1:16" x14ac:dyDescent="0.25">
      <c r="A3390">
        <v>3389</v>
      </c>
      <c r="B3390" t="s">
        <v>9</v>
      </c>
      <c r="C3390">
        <v>641830</v>
      </c>
      <c r="D3390" t="s">
        <v>10</v>
      </c>
      <c r="E3390" t="s">
        <v>16</v>
      </c>
      <c r="F3390" t="s">
        <v>12</v>
      </c>
      <c r="G3390" t="s">
        <v>13</v>
      </c>
      <c r="H3390" t="s">
        <v>13</v>
      </c>
      <c r="I3390">
        <v>50</v>
      </c>
      <c r="J3390" t="str" cm="1">
        <f t="array" ref="J3390">_xlfn.IFS(ISBLANK(C3390),"FALTANTE",ABS((C3390-$W$5)/$X$5)&gt;1.96,"ATÍPICO",ABS((C3390-$W$5)/$X$5)&lt;=1.96,"NO ATÍPICO")</f>
        <v>NO ATÍPICO</v>
      </c>
      <c r="K3390" t="str" cm="1">
        <f t="array" ref="K3390">_xlfn.IFS(ISBLANK(I3390),"FALTANTE",ABS((I3390-$W$8)/$X$8)&gt;1.92,"ATÍPICO",ABS((I3390-$W$8)/$X$8)&lt;=1.92,"NO ATÍPICO")</f>
        <v>NO ATÍPICO</v>
      </c>
      <c r="L3390">
        <f t="shared" si="225"/>
        <v>641830</v>
      </c>
      <c r="M3390" t="str">
        <f t="shared" si="225"/>
        <v>ASALARIADO</v>
      </c>
      <c r="N3390">
        <f t="shared" si="226"/>
        <v>50</v>
      </c>
      <c r="O3390" s="19" t="str">
        <f t="shared" si="227"/>
        <v>600k–900k</v>
      </c>
      <c r="P3390" s="19" t="str">
        <f t="shared" si="228"/>
        <v>46-55</v>
      </c>
    </row>
    <row r="3391" spans="1:16" x14ac:dyDescent="0.25">
      <c r="A3391">
        <v>3390</v>
      </c>
      <c r="B3391" t="s">
        <v>9</v>
      </c>
      <c r="C3391">
        <v>467680.51</v>
      </c>
      <c r="D3391" t="s">
        <v>10</v>
      </c>
      <c r="E3391" t="s">
        <v>16</v>
      </c>
      <c r="F3391" t="s">
        <v>12</v>
      </c>
      <c r="G3391" t="s">
        <v>12</v>
      </c>
      <c r="H3391" t="s">
        <v>13</v>
      </c>
      <c r="I3391">
        <v>31</v>
      </c>
      <c r="J3391" t="str" cm="1">
        <f t="array" ref="J3391">_xlfn.IFS(ISBLANK(C3391),"FALTANTE",ABS((C3391-$W$5)/$X$5)&gt;1.96,"ATÍPICO",ABS((C3391-$W$5)/$X$5)&lt;=1.96,"NO ATÍPICO")</f>
        <v>NO ATÍPICO</v>
      </c>
      <c r="K3391" t="str" cm="1">
        <f t="array" ref="K3391">_xlfn.IFS(ISBLANK(I3391),"FALTANTE",ABS((I3391-$W$8)/$X$8)&gt;1.92,"ATÍPICO",ABS((I3391-$W$8)/$X$8)&lt;=1.92,"NO ATÍPICO")</f>
        <v>NO ATÍPICO</v>
      </c>
      <c r="L3391">
        <f t="shared" si="225"/>
        <v>467680.51</v>
      </c>
      <c r="M3391" t="str">
        <f t="shared" si="225"/>
        <v>ASALARIADO</v>
      </c>
      <c r="N3391">
        <f t="shared" si="226"/>
        <v>31</v>
      </c>
      <c r="O3391" s="19" t="str">
        <f t="shared" si="227"/>
        <v>300k–600k</v>
      </c>
      <c r="P3391" s="19" t="str">
        <f t="shared" si="228"/>
        <v>26-35</v>
      </c>
    </row>
    <row r="3392" spans="1:16" x14ac:dyDescent="0.25">
      <c r="A3392">
        <v>3391</v>
      </c>
      <c r="B3392" t="s">
        <v>9</v>
      </c>
      <c r="C3392">
        <v>572881</v>
      </c>
      <c r="D3392" t="s">
        <v>10</v>
      </c>
      <c r="E3392" t="s">
        <v>16</v>
      </c>
      <c r="F3392" t="s">
        <v>12</v>
      </c>
      <c r="G3392" t="s">
        <v>13</v>
      </c>
      <c r="H3392" t="s">
        <v>13</v>
      </c>
      <c r="I3392">
        <v>27</v>
      </c>
      <c r="J3392" t="str" cm="1">
        <f t="array" ref="J3392">_xlfn.IFS(ISBLANK(C3392),"FALTANTE",ABS((C3392-$W$5)/$X$5)&gt;1.96,"ATÍPICO",ABS((C3392-$W$5)/$X$5)&lt;=1.96,"NO ATÍPICO")</f>
        <v>NO ATÍPICO</v>
      </c>
      <c r="K3392" t="str" cm="1">
        <f t="array" ref="K3392">_xlfn.IFS(ISBLANK(I3392),"FALTANTE",ABS((I3392-$W$8)/$X$8)&gt;1.92,"ATÍPICO",ABS((I3392-$W$8)/$X$8)&lt;=1.92,"NO ATÍPICO")</f>
        <v>NO ATÍPICO</v>
      </c>
      <c r="L3392">
        <f t="shared" si="225"/>
        <v>572881</v>
      </c>
      <c r="M3392" t="str">
        <f t="shared" si="225"/>
        <v>ASALARIADO</v>
      </c>
      <c r="N3392">
        <f t="shared" si="226"/>
        <v>27</v>
      </c>
      <c r="O3392" s="19" t="str">
        <f t="shared" si="227"/>
        <v>300k–600k</v>
      </c>
      <c r="P3392" s="19" t="str">
        <f t="shared" si="228"/>
        <v>26-35</v>
      </c>
    </row>
    <row r="3393" spans="1:16" x14ac:dyDescent="0.25">
      <c r="A3393">
        <v>3392</v>
      </c>
      <c r="B3393" t="s">
        <v>9</v>
      </c>
      <c r="C3393">
        <v>450242.43</v>
      </c>
      <c r="D3393" t="s">
        <v>10</v>
      </c>
      <c r="E3393" t="s">
        <v>16</v>
      </c>
      <c r="F3393" t="s">
        <v>12</v>
      </c>
      <c r="G3393" t="s">
        <v>13</v>
      </c>
      <c r="H3393" t="s">
        <v>13</v>
      </c>
      <c r="I3393">
        <v>24</v>
      </c>
      <c r="J3393" t="str" cm="1">
        <f t="array" ref="J3393">_xlfn.IFS(ISBLANK(C3393),"FALTANTE",ABS((C3393-$W$5)/$X$5)&gt;1.96,"ATÍPICO",ABS((C3393-$W$5)/$X$5)&lt;=1.96,"NO ATÍPICO")</f>
        <v>NO ATÍPICO</v>
      </c>
      <c r="K3393" t="str" cm="1">
        <f t="array" ref="K3393">_xlfn.IFS(ISBLANK(I3393),"FALTANTE",ABS((I3393-$W$8)/$X$8)&gt;1.92,"ATÍPICO",ABS((I3393-$W$8)/$X$8)&lt;=1.92,"NO ATÍPICO")</f>
        <v>NO ATÍPICO</v>
      </c>
      <c r="L3393">
        <f t="shared" si="225"/>
        <v>450242.43</v>
      </c>
      <c r="M3393" t="str">
        <f t="shared" si="225"/>
        <v>ASALARIADO</v>
      </c>
      <c r="N3393">
        <f t="shared" si="226"/>
        <v>24</v>
      </c>
      <c r="O3393" s="19" t="str">
        <f t="shared" si="227"/>
        <v>300k–600k</v>
      </c>
      <c r="P3393" s="19" t="str">
        <f t="shared" si="228"/>
        <v>18-25</v>
      </c>
    </row>
    <row r="3394" spans="1:16" x14ac:dyDescent="0.25">
      <c r="A3394">
        <v>3393</v>
      </c>
      <c r="B3394" t="s">
        <v>9</v>
      </c>
      <c r="C3394">
        <v>618962.9</v>
      </c>
      <c r="D3394" t="s">
        <v>10</v>
      </c>
      <c r="E3394" t="s">
        <v>16</v>
      </c>
      <c r="F3394" t="s">
        <v>12</v>
      </c>
      <c r="G3394" t="s">
        <v>13</v>
      </c>
      <c r="H3394" t="s">
        <v>13</v>
      </c>
      <c r="I3394">
        <v>51</v>
      </c>
      <c r="J3394" t="str" cm="1">
        <f t="array" ref="J3394">_xlfn.IFS(ISBLANK(C3394),"FALTANTE",ABS((C3394-$W$5)/$X$5)&gt;1.96,"ATÍPICO",ABS((C3394-$W$5)/$X$5)&lt;=1.96,"NO ATÍPICO")</f>
        <v>NO ATÍPICO</v>
      </c>
      <c r="K3394" t="str" cm="1">
        <f t="array" ref="K3394">_xlfn.IFS(ISBLANK(I3394),"FALTANTE",ABS((I3394-$W$8)/$X$8)&gt;1.92,"ATÍPICO",ABS((I3394-$W$8)/$X$8)&lt;=1.92,"NO ATÍPICO")</f>
        <v>NO ATÍPICO</v>
      </c>
      <c r="L3394">
        <f t="shared" ref="L3394:M3457" si="229">C3394</f>
        <v>618962.9</v>
      </c>
      <c r="M3394" t="str">
        <f t="shared" si="229"/>
        <v>ASALARIADO</v>
      </c>
      <c r="N3394">
        <f t="shared" ref="N3394:N3457" si="230">I3394</f>
        <v>51</v>
      </c>
      <c r="O3394" s="19" t="str">
        <f t="shared" ref="O3394:O3457" si="231">IF(L3394&lt;=300000,"0–300k",IF(L3394&lt;=600000,"300k–600k",IF(L3394&lt;=900000,"600k–900k",IF(L3394&lt;=1200000,"900k–1200k","1200k+"))))</f>
        <v>600k–900k</v>
      </c>
      <c r="P3394" s="19" t="str">
        <f t="shared" ref="P3394:P3457" si="232">IF(N3394 &lt;=25,"18-25", IF(N3394&lt;=35,"26-35", IF(N3394 &lt;=45,"36-45", IF(N3394&lt;=55,"46-55","56+"))))</f>
        <v>46-55</v>
      </c>
    </row>
    <row r="3395" spans="1:16" x14ac:dyDescent="0.25">
      <c r="A3395">
        <v>3394</v>
      </c>
      <c r="B3395" t="s">
        <v>15</v>
      </c>
      <c r="C3395">
        <v>319591</v>
      </c>
      <c r="D3395" t="s">
        <v>10</v>
      </c>
      <c r="E3395" t="s">
        <v>16</v>
      </c>
      <c r="F3395" t="s">
        <v>12</v>
      </c>
      <c r="G3395" t="s">
        <v>12</v>
      </c>
      <c r="H3395" t="s">
        <v>13</v>
      </c>
      <c r="I3395">
        <v>34</v>
      </c>
      <c r="J3395" t="str" cm="1">
        <f t="array" ref="J3395">_xlfn.IFS(ISBLANK(C3395),"FALTANTE",ABS((C3395-$W$5)/$X$5)&gt;1.96,"ATÍPICO",ABS((C3395-$W$5)/$X$5)&lt;=1.96,"NO ATÍPICO")</f>
        <v>NO ATÍPICO</v>
      </c>
      <c r="K3395" t="str" cm="1">
        <f t="array" ref="K3395">_xlfn.IFS(ISBLANK(I3395),"FALTANTE",ABS((I3395-$W$8)/$X$8)&gt;1.92,"ATÍPICO",ABS((I3395-$W$8)/$X$8)&lt;=1.92,"NO ATÍPICO")</f>
        <v>NO ATÍPICO</v>
      </c>
      <c r="L3395">
        <f t="shared" si="229"/>
        <v>319591</v>
      </c>
      <c r="M3395" t="str">
        <f t="shared" si="229"/>
        <v>ASALARIADO</v>
      </c>
      <c r="N3395">
        <f t="shared" si="230"/>
        <v>34</v>
      </c>
      <c r="O3395" s="19" t="str">
        <f t="shared" si="231"/>
        <v>300k–600k</v>
      </c>
      <c r="P3395" s="19" t="str">
        <f t="shared" si="232"/>
        <v>26-35</v>
      </c>
    </row>
    <row r="3396" spans="1:16" x14ac:dyDescent="0.25">
      <c r="A3396">
        <v>3395</v>
      </c>
      <c r="B3396" t="s">
        <v>9</v>
      </c>
      <c r="C3396">
        <v>316412</v>
      </c>
      <c r="D3396" t="s">
        <v>18</v>
      </c>
      <c r="E3396" t="s">
        <v>16</v>
      </c>
      <c r="F3396" t="s">
        <v>12</v>
      </c>
      <c r="G3396" t="s">
        <v>13</v>
      </c>
      <c r="H3396" t="s">
        <v>12</v>
      </c>
      <c r="I3396">
        <v>55</v>
      </c>
      <c r="J3396" t="str" cm="1">
        <f t="array" ref="J3396">_xlfn.IFS(ISBLANK(C3396),"FALTANTE",ABS((C3396-$W$5)/$X$5)&gt;1.96,"ATÍPICO",ABS((C3396-$W$5)/$X$5)&lt;=1.96,"NO ATÍPICO")</f>
        <v>NO ATÍPICO</v>
      </c>
      <c r="K3396" t="str" cm="1">
        <f t="array" ref="K3396">_xlfn.IFS(ISBLANK(I3396),"FALTANTE",ABS((I3396-$W$8)/$X$8)&gt;1.92,"ATÍPICO",ABS((I3396-$W$8)/$X$8)&lt;=1.92,"NO ATÍPICO")</f>
        <v>NO ATÍPICO</v>
      </c>
      <c r="L3396">
        <f t="shared" si="229"/>
        <v>316412</v>
      </c>
      <c r="M3396" t="str">
        <f t="shared" si="229"/>
        <v>TRABAJADOR INDEPENDIENTE</v>
      </c>
      <c r="N3396">
        <f t="shared" si="230"/>
        <v>55</v>
      </c>
      <c r="O3396" s="19" t="str">
        <f t="shared" si="231"/>
        <v>300k–600k</v>
      </c>
      <c r="P3396" s="19" t="str">
        <f t="shared" si="232"/>
        <v>46-55</v>
      </c>
    </row>
    <row r="3397" spans="1:16" x14ac:dyDescent="0.25">
      <c r="A3397">
        <v>3396</v>
      </c>
      <c r="B3397" t="s">
        <v>15</v>
      </c>
      <c r="C3397">
        <v>356455</v>
      </c>
      <c r="D3397" t="s">
        <v>18</v>
      </c>
      <c r="E3397" t="s">
        <v>16</v>
      </c>
      <c r="F3397" t="s">
        <v>12</v>
      </c>
      <c r="G3397" t="s">
        <v>13</v>
      </c>
      <c r="H3397" t="s">
        <v>13</v>
      </c>
      <c r="I3397">
        <v>43</v>
      </c>
      <c r="J3397" t="str" cm="1">
        <f t="array" ref="J3397">_xlfn.IFS(ISBLANK(C3397),"FALTANTE",ABS((C3397-$W$5)/$X$5)&gt;1.96,"ATÍPICO",ABS((C3397-$W$5)/$X$5)&lt;=1.96,"NO ATÍPICO")</f>
        <v>NO ATÍPICO</v>
      </c>
      <c r="K3397" t="str" cm="1">
        <f t="array" ref="K3397">_xlfn.IFS(ISBLANK(I3397),"FALTANTE",ABS((I3397-$W$8)/$X$8)&gt;1.92,"ATÍPICO",ABS((I3397-$W$8)/$X$8)&lt;=1.92,"NO ATÍPICO")</f>
        <v>NO ATÍPICO</v>
      </c>
      <c r="L3397">
        <f t="shared" si="229"/>
        <v>356455</v>
      </c>
      <c r="M3397" t="str">
        <f t="shared" si="229"/>
        <v>TRABAJADOR INDEPENDIENTE</v>
      </c>
      <c r="N3397">
        <f t="shared" si="230"/>
        <v>43</v>
      </c>
      <c r="O3397" s="19" t="str">
        <f t="shared" si="231"/>
        <v>300k–600k</v>
      </c>
      <c r="P3397" s="19" t="str">
        <f t="shared" si="232"/>
        <v>36-45</v>
      </c>
    </row>
    <row r="3398" spans="1:16" x14ac:dyDescent="0.25">
      <c r="A3398">
        <v>3397</v>
      </c>
      <c r="B3398" t="s">
        <v>9</v>
      </c>
      <c r="C3398">
        <v>785855.82</v>
      </c>
      <c r="D3398" t="s">
        <v>10</v>
      </c>
      <c r="E3398" t="s">
        <v>16</v>
      </c>
      <c r="F3398" t="s">
        <v>12</v>
      </c>
      <c r="G3398" t="s">
        <v>13</v>
      </c>
      <c r="H3398" t="s">
        <v>13</v>
      </c>
      <c r="I3398">
        <v>55</v>
      </c>
      <c r="J3398" t="str" cm="1">
        <f t="array" ref="J3398">_xlfn.IFS(ISBLANK(C3398),"FALTANTE",ABS((C3398-$W$5)/$X$5)&gt;1.96,"ATÍPICO",ABS((C3398-$W$5)/$X$5)&lt;=1.96,"NO ATÍPICO")</f>
        <v>NO ATÍPICO</v>
      </c>
      <c r="K3398" t="str" cm="1">
        <f t="array" ref="K3398">_xlfn.IFS(ISBLANK(I3398),"FALTANTE",ABS((I3398-$W$8)/$X$8)&gt;1.92,"ATÍPICO",ABS((I3398-$W$8)/$X$8)&lt;=1.92,"NO ATÍPICO")</f>
        <v>NO ATÍPICO</v>
      </c>
      <c r="L3398">
        <f t="shared" si="229"/>
        <v>785855.82</v>
      </c>
      <c r="M3398" t="str">
        <f t="shared" si="229"/>
        <v>ASALARIADO</v>
      </c>
      <c r="N3398">
        <f t="shared" si="230"/>
        <v>55</v>
      </c>
      <c r="O3398" s="19" t="str">
        <f t="shared" si="231"/>
        <v>600k–900k</v>
      </c>
      <c r="P3398" s="19" t="str">
        <f t="shared" si="232"/>
        <v>46-55</v>
      </c>
    </row>
    <row r="3399" spans="1:16" x14ac:dyDescent="0.25">
      <c r="A3399">
        <v>3398</v>
      </c>
      <c r="B3399" t="s">
        <v>9</v>
      </c>
      <c r="C3399">
        <v>420000</v>
      </c>
      <c r="D3399" t="s">
        <v>10</v>
      </c>
      <c r="E3399" t="s">
        <v>16</v>
      </c>
      <c r="F3399" t="s">
        <v>12</v>
      </c>
      <c r="G3399" t="s">
        <v>13</v>
      </c>
      <c r="H3399" t="s">
        <v>13</v>
      </c>
      <c r="I3399">
        <v>52</v>
      </c>
      <c r="J3399" t="str" cm="1">
        <f t="array" ref="J3399">_xlfn.IFS(ISBLANK(C3399),"FALTANTE",ABS((C3399-$W$5)/$X$5)&gt;1.96,"ATÍPICO",ABS((C3399-$W$5)/$X$5)&lt;=1.96,"NO ATÍPICO")</f>
        <v>NO ATÍPICO</v>
      </c>
      <c r="K3399" t="str" cm="1">
        <f t="array" ref="K3399">_xlfn.IFS(ISBLANK(I3399),"FALTANTE",ABS((I3399-$W$8)/$X$8)&gt;1.92,"ATÍPICO",ABS((I3399-$W$8)/$X$8)&lt;=1.92,"NO ATÍPICO")</f>
        <v>NO ATÍPICO</v>
      </c>
      <c r="L3399">
        <f t="shared" si="229"/>
        <v>420000</v>
      </c>
      <c r="M3399" t="str">
        <f t="shared" si="229"/>
        <v>ASALARIADO</v>
      </c>
      <c r="N3399">
        <f t="shared" si="230"/>
        <v>52</v>
      </c>
      <c r="O3399" s="19" t="str">
        <f t="shared" si="231"/>
        <v>300k–600k</v>
      </c>
      <c r="P3399" s="19" t="str">
        <f t="shared" si="232"/>
        <v>46-55</v>
      </c>
    </row>
    <row r="3400" spans="1:16" x14ac:dyDescent="0.25">
      <c r="A3400">
        <v>3399</v>
      </c>
      <c r="B3400" t="s">
        <v>9</v>
      </c>
      <c r="C3400">
        <v>405063</v>
      </c>
      <c r="D3400" t="s">
        <v>18</v>
      </c>
      <c r="E3400" t="s">
        <v>16</v>
      </c>
      <c r="F3400" t="s">
        <v>12</v>
      </c>
      <c r="G3400" t="s">
        <v>13</v>
      </c>
      <c r="H3400" t="s">
        <v>12</v>
      </c>
      <c r="I3400">
        <v>53</v>
      </c>
      <c r="J3400" t="str" cm="1">
        <f t="array" ref="J3400">_xlfn.IFS(ISBLANK(C3400),"FALTANTE",ABS((C3400-$W$5)/$X$5)&gt;1.96,"ATÍPICO",ABS((C3400-$W$5)/$X$5)&lt;=1.96,"NO ATÍPICO")</f>
        <v>NO ATÍPICO</v>
      </c>
      <c r="K3400" t="str" cm="1">
        <f t="array" ref="K3400">_xlfn.IFS(ISBLANK(I3400),"FALTANTE",ABS((I3400-$W$8)/$X$8)&gt;1.92,"ATÍPICO",ABS((I3400-$W$8)/$X$8)&lt;=1.92,"NO ATÍPICO")</f>
        <v>NO ATÍPICO</v>
      </c>
      <c r="L3400">
        <f t="shared" si="229"/>
        <v>405063</v>
      </c>
      <c r="M3400" t="str">
        <f t="shared" si="229"/>
        <v>TRABAJADOR INDEPENDIENTE</v>
      </c>
      <c r="N3400">
        <f t="shared" si="230"/>
        <v>53</v>
      </c>
      <c r="O3400" s="19" t="str">
        <f t="shared" si="231"/>
        <v>300k–600k</v>
      </c>
      <c r="P3400" s="19" t="str">
        <f t="shared" si="232"/>
        <v>46-55</v>
      </c>
    </row>
    <row r="3401" spans="1:16" x14ac:dyDescent="0.25">
      <c r="A3401">
        <v>3400</v>
      </c>
      <c r="B3401" t="s">
        <v>15</v>
      </c>
      <c r="C3401">
        <v>297139</v>
      </c>
      <c r="D3401" t="s">
        <v>17</v>
      </c>
      <c r="E3401" t="s">
        <v>16</v>
      </c>
      <c r="F3401" t="s">
        <v>12</v>
      </c>
      <c r="G3401" t="s">
        <v>12</v>
      </c>
      <c r="H3401" t="s">
        <v>13</v>
      </c>
      <c r="I3401">
        <v>36</v>
      </c>
      <c r="J3401" t="str" cm="1">
        <f t="array" ref="J3401">_xlfn.IFS(ISBLANK(C3401),"FALTANTE",ABS((C3401-$W$5)/$X$5)&gt;1.96,"ATÍPICO",ABS((C3401-$W$5)/$X$5)&lt;=1.96,"NO ATÍPICO")</f>
        <v>NO ATÍPICO</v>
      </c>
      <c r="K3401" t="str" cm="1">
        <f t="array" ref="K3401">_xlfn.IFS(ISBLANK(I3401),"FALTANTE",ABS((I3401-$W$8)/$X$8)&gt;1.92,"ATÍPICO",ABS((I3401-$W$8)/$X$8)&lt;=1.92,"NO ATÍPICO")</f>
        <v>NO ATÍPICO</v>
      </c>
      <c r="L3401">
        <f t="shared" si="229"/>
        <v>297139</v>
      </c>
      <c r="M3401" t="str">
        <f t="shared" si="229"/>
        <v>ASEGURADO VOLUNTARIO</v>
      </c>
      <c r="N3401">
        <f t="shared" si="230"/>
        <v>36</v>
      </c>
      <c r="O3401" s="19" t="str">
        <f t="shared" si="231"/>
        <v>0–300k</v>
      </c>
      <c r="P3401" s="19" t="str">
        <f t="shared" si="232"/>
        <v>36-45</v>
      </c>
    </row>
    <row r="3402" spans="1:16" x14ac:dyDescent="0.25">
      <c r="A3402">
        <v>3401</v>
      </c>
      <c r="B3402" t="s">
        <v>9</v>
      </c>
      <c r="C3402">
        <v>175000</v>
      </c>
      <c r="D3402" t="s">
        <v>10</v>
      </c>
      <c r="E3402" t="s">
        <v>16</v>
      </c>
      <c r="F3402" t="s">
        <v>12</v>
      </c>
      <c r="G3402" t="s">
        <v>13</v>
      </c>
      <c r="H3402" t="s">
        <v>13</v>
      </c>
      <c r="I3402">
        <v>32</v>
      </c>
      <c r="J3402" t="str" cm="1">
        <f t="array" ref="J3402">_xlfn.IFS(ISBLANK(C3402),"FALTANTE",ABS((C3402-$W$5)/$X$5)&gt;1.96,"ATÍPICO",ABS((C3402-$W$5)/$X$5)&lt;=1.96,"NO ATÍPICO")</f>
        <v>NO ATÍPICO</v>
      </c>
      <c r="K3402" t="str" cm="1">
        <f t="array" ref="K3402">_xlfn.IFS(ISBLANK(I3402),"FALTANTE",ABS((I3402-$W$8)/$X$8)&gt;1.92,"ATÍPICO",ABS((I3402-$W$8)/$X$8)&lt;=1.92,"NO ATÍPICO")</f>
        <v>NO ATÍPICO</v>
      </c>
      <c r="L3402">
        <f t="shared" si="229"/>
        <v>175000</v>
      </c>
      <c r="M3402" t="str">
        <f t="shared" si="229"/>
        <v>ASALARIADO</v>
      </c>
      <c r="N3402">
        <f t="shared" si="230"/>
        <v>32</v>
      </c>
      <c r="O3402" s="19" t="str">
        <f t="shared" si="231"/>
        <v>0–300k</v>
      </c>
      <c r="P3402" s="19" t="str">
        <f t="shared" si="232"/>
        <v>26-35</v>
      </c>
    </row>
    <row r="3403" spans="1:16" x14ac:dyDescent="0.25">
      <c r="A3403">
        <v>3402</v>
      </c>
      <c r="B3403" t="s">
        <v>9</v>
      </c>
      <c r="C3403">
        <v>299647</v>
      </c>
      <c r="D3403" t="s">
        <v>17</v>
      </c>
      <c r="E3403" t="s">
        <v>16</v>
      </c>
      <c r="F3403" t="s">
        <v>13</v>
      </c>
      <c r="G3403" t="s">
        <v>13</v>
      </c>
      <c r="H3403" t="s">
        <v>13</v>
      </c>
      <c r="I3403">
        <v>52</v>
      </c>
      <c r="J3403" t="str" cm="1">
        <f t="array" ref="J3403">_xlfn.IFS(ISBLANK(C3403),"FALTANTE",ABS((C3403-$W$5)/$X$5)&gt;1.96,"ATÍPICO",ABS((C3403-$W$5)/$X$5)&lt;=1.96,"NO ATÍPICO")</f>
        <v>NO ATÍPICO</v>
      </c>
      <c r="K3403" t="str" cm="1">
        <f t="array" ref="K3403">_xlfn.IFS(ISBLANK(I3403),"FALTANTE",ABS((I3403-$W$8)/$X$8)&gt;1.92,"ATÍPICO",ABS((I3403-$W$8)/$X$8)&lt;=1.92,"NO ATÍPICO")</f>
        <v>NO ATÍPICO</v>
      </c>
      <c r="L3403">
        <f t="shared" si="229"/>
        <v>299647</v>
      </c>
      <c r="M3403" t="str">
        <f t="shared" si="229"/>
        <v>ASEGURADO VOLUNTARIO</v>
      </c>
      <c r="N3403">
        <f t="shared" si="230"/>
        <v>52</v>
      </c>
      <c r="O3403" s="19" t="str">
        <f t="shared" si="231"/>
        <v>0–300k</v>
      </c>
      <c r="P3403" s="19" t="str">
        <f t="shared" si="232"/>
        <v>46-55</v>
      </c>
    </row>
    <row r="3404" spans="1:16" x14ac:dyDescent="0.25">
      <c r="A3404">
        <v>3403</v>
      </c>
      <c r="B3404" t="s">
        <v>9</v>
      </c>
      <c r="C3404">
        <v>1202402.74</v>
      </c>
      <c r="D3404" t="s">
        <v>10</v>
      </c>
      <c r="E3404" t="s">
        <v>11</v>
      </c>
      <c r="F3404" t="s">
        <v>12</v>
      </c>
      <c r="G3404" t="s">
        <v>13</v>
      </c>
      <c r="H3404" t="s">
        <v>13</v>
      </c>
      <c r="I3404">
        <v>53</v>
      </c>
      <c r="J3404" t="str" cm="1">
        <f t="array" ref="J3404">_xlfn.IFS(ISBLANK(C3404),"FALTANTE",ABS((C3404-$W$5)/$X$5)&gt;1.96,"ATÍPICO",ABS((C3404-$W$5)/$X$5)&lt;=1.96,"NO ATÍPICO")</f>
        <v>NO ATÍPICO</v>
      </c>
      <c r="K3404" t="str" cm="1">
        <f t="array" ref="K3404">_xlfn.IFS(ISBLANK(I3404),"FALTANTE",ABS((I3404-$W$8)/$X$8)&gt;1.92,"ATÍPICO",ABS((I3404-$W$8)/$X$8)&lt;=1.92,"NO ATÍPICO")</f>
        <v>NO ATÍPICO</v>
      </c>
      <c r="L3404">
        <f t="shared" si="229"/>
        <v>1202402.74</v>
      </c>
      <c r="M3404" t="str">
        <f t="shared" si="229"/>
        <v>ASALARIADO</v>
      </c>
      <c r="N3404">
        <f t="shared" si="230"/>
        <v>53</v>
      </c>
      <c r="O3404" s="19" t="str">
        <f t="shared" si="231"/>
        <v>1200k+</v>
      </c>
      <c r="P3404" s="19" t="str">
        <f t="shared" si="232"/>
        <v>46-55</v>
      </c>
    </row>
    <row r="3405" spans="1:16" x14ac:dyDescent="0.25">
      <c r="A3405">
        <v>3404</v>
      </c>
      <c r="B3405" t="s">
        <v>9</v>
      </c>
      <c r="C3405">
        <v>264929.65999999997</v>
      </c>
      <c r="D3405" t="s">
        <v>10</v>
      </c>
      <c r="E3405" t="s">
        <v>16</v>
      </c>
      <c r="F3405" t="s">
        <v>12</v>
      </c>
      <c r="G3405" t="s">
        <v>13</v>
      </c>
      <c r="H3405" t="s">
        <v>13</v>
      </c>
      <c r="I3405">
        <v>48</v>
      </c>
      <c r="J3405" t="str" cm="1">
        <f t="array" ref="J3405">_xlfn.IFS(ISBLANK(C3405),"FALTANTE",ABS((C3405-$W$5)/$X$5)&gt;1.96,"ATÍPICO",ABS((C3405-$W$5)/$X$5)&lt;=1.96,"NO ATÍPICO")</f>
        <v>NO ATÍPICO</v>
      </c>
      <c r="K3405" t="str" cm="1">
        <f t="array" ref="K3405">_xlfn.IFS(ISBLANK(I3405),"FALTANTE",ABS((I3405-$W$8)/$X$8)&gt;1.92,"ATÍPICO",ABS((I3405-$W$8)/$X$8)&lt;=1.92,"NO ATÍPICO")</f>
        <v>NO ATÍPICO</v>
      </c>
      <c r="L3405">
        <f t="shared" si="229"/>
        <v>264929.65999999997</v>
      </c>
      <c r="M3405" t="str">
        <f t="shared" si="229"/>
        <v>ASALARIADO</v>
      </c>
      <c r="N3405">
        <f t="shared" si="230"/>
        <v>48</v>
      </c>
      <c r="O3405" s="19" t="str">
        <f t="shared" si="231"/>
        <v>0–300k</v>
      </c>
      <c r="P3405" s="19" t="str">
        <f t="shared" si="232"/>
        <v>46-55</v>
      </c>
    </row>
    <row r="3406" spans="1:16" x14ac:dyDescent="0.25">
      <c r="A3406">
        <v>3405</v>
      </c>
      <c r="B3406" t="s">
        <v>9</v>
      </c>
      <c r="C3406">
        <v>623902.14</v>
      </c>
      <c r="D3406" t="s">
        <v>10</v>
      </c>
      <c r="E3406" t="s">
        <v>16</v>
      </c>
      <c r="F3406" t="s">
        <v>12</v>
      </c>
      <c r="G3406" t="s">
        <v>13</v>
      </c>
      <c r="H3406" t="s">
        <v>13</v>
      </c>
      <c r="I3406">
        <v>44</v>
      </c>
      <c r="J3406" t="str" cm="1">
        <f t="array" ref="J3406">_xlfn.IFS(ISBLANK(C3406),"FALTANTE",ABS((C3406-$W$5)/$X$5)&gt;1.96,"ATÍPICO",ABS((C3406-$W$5)/$X$5)&lt;=1.96,"NO ATÍPICO")</f>
        <v>NO ATÍPICO</v>
      </c>
      <c r="K3406" t="str" cm="1">
        <f t="array" ref="K3406">_xlfn.IFS(ISBLANK(I3406),"FALTANTE",ABS((I3406-$W$8)/$X$8)&gt;1.92,"ATÍPICO",ABS((I3406-$W$8)/$X$8)&lt;=1.92,"NO ATÍPICO")</f>
        <v>NO ATÍPICO</v>
      </c>
      <c r="L3406">
        <f t="shared" si="229"/>
        <v>623902.14</v>
      </c>
      <c r="M3406" t="str">
        <f t="shared" si="229"/>
        <v>ASALARIADO</v>
      </c>
      <c r="N3406">
        <f t="shared" si="230"/>
        <v>44</v>
      </c>
      <c r="O3406" s="19" t="str">
        <f t="shared" si="231"/>
        <v>600k–900k</v>
      </c>
      <c r="P3406" s="19" t="str">
        <f t="shared" si="232"/>
        <v>36-45</v>
      </c>
    </row>
    <row r="3407" spans="1:16" x14ac:dyDescent="0.25">
      <c r="A3407">
        <v>3406</v>
      </c>
      <c r="B3407" t="s">
        <v>15</v>
      </c>
      <c r="C3407">
        <v>425046</v>
      </c>
      <c r="D3407" t="s">
        <v>10</v>
      </c>
      <c r="E3407" t="s">
        <v>11</v>
      </c>
      <c r="F3407" t="s">
        <v>12</v>
      </c>
      <c r="G3407" t="s">
        <v>13</v>
      </c>
      <c r="H3407" t="s">
        <v>13</v>
      </c>
      <c r="I3407">
        <v>42</v>
      </c>
      <c r="J3407" t="str" cm="1">
        <f t="array" ref="J3407">_xlfn.IFS(ISBLANK(C3407),"FALTANTE",ABS((C3407-$W$5)/$X$5)&gt;1.96,"ATÍPICO",ABS((C3407-$W$5)/$X$5)&lt;=1.96,"NO ATÍPICO")</f>
        <v>NO ATÍPICO</v>
      </c>
      <c r="K3407" t="str" cm="1">
        <f t="array" ref="K3407">_xlfn.IFS(ISBLANK(I3407),"FALTANTE",ABS((I3407-$W$8)/$X$8)&gt;1.92,"ATÍPICO",ABS((I3407-$W$8)/$X$8)&lt;=1.92,"NO ATÍPICO")</f>
        <v>NO ATÍPICO</v>
      </c>
      <c r="L3407">
        <f t="shared" si="229"/>
        <v>425046</v>
      </c>
      <c r="M3407" t="str">
        <f t="shared" si="229"/>
        <v>ASALARIADO</v>
      </c>
      <c r="N3407">
        <f t="shared" si="230"/>
        <v>42</v>
      </c>
      <c r="O3407" s="19" t="str">
        <f t="shared" si="231"/>
        <v>300k–600k</v>
      </c>
      <c r="P3407" s="19" t="str">
        <f t="shared" si="232"/>
        <v>36-45</v>
      </c>
    </row>
    <row r="3408" spans="1:16" x14ac:dyDescent="0.25">
      <c r="A3408">
        <v>3407</v>
      </c>
      <c r="B3408" t="s">
        <v>9</v>
      </c>
      <c r="C3408">
        <v>420375</v>
      </c>
      <c r="D3408" t="s">
        <v>10</v>
      </c>
      <c r="E3408" t="s">
        <v>16</v>
      </c>
      <c r="F3408" t="s">
        <v>12</v>
      </c>
      <c r="G3408" t="s">
        <v>13</v>
      </c>
      <c r="H3408" t="s">
        <v>13</v>
      </c>
      <c r="I3408">
        <v>30</v>
      </c>
      <c r="J3408" t="str" cm="1">
        <f t="array" ref="J3408">_xlfn.IFS(ISBLANK(C3408),"FALTANTE",ABS((C3408-$W$5)/$X$5)&gt;1.96,"ATÍPICO",ABS((C3408-$W$5)/$X$5)&lt;=1.96,"NO ATÍPICO")</f>
        <v>NO ATÍPICO</v>
      </c>
      <c r="K3408" t="str" cm="1">
        <f t="array" ref="K3408">_xlfn.IFS(ISBLANK(I3408),"FALTANTE",ABS((I3408-$W$8)/$X$8)&gt;1.92,"ATÍPICO",ABS((I3408-$W$8)/$X$8)&lt;=1.92,"NO ATÍPICO")</f>
        <v>NO ATÍPICO</v>
      </c>
      <c r="L3408">
        <f t="shared" si="229"/>
        <v>420375</v>
      </c>
      <c r="M3408" t="str">
        <f t="shared" si="229"/>
        <v>ASALARIADO</v>
      </c>
      <c r="N3408">
        <f t="shared" si="230"/>
        <v>30</v>
      </c>
      <c r="O3408" s="19" t="str">
        <f t="shared" si="231"/>
        <v>300k–600k</v>
      </c>
      <c r="P3408" s="19" t="str">
        <f t="shared" si="232"/>
        <v>26-35</v>
      </c>
    </row>
    <row r="3409" spans="1:16" x14ac:dyDescent="0.25">
      <c r="A3409">
        <v>3408</v>
      </c>
      <c r="B3409" t="s">
        <v>9</v>
      </c>
      <c r="C3409">
        <v>1429399.25</v>
      </c>
      <c r="D3409" t="s">
        <v>10</v>
      </c>
      <c r="E3409" t="s">
        <v>16</v>
      </c>
      <c r="F3409" t="s">
        <v>12</v>
      </c>
      <c r="G3409" t="s">
        <v>13</v>
      </c>
      <c r="H3409" t="s">
        <v>13</v>
      </c>
      <c r="I3409">
        <v>51</v>
      </c>
      <c r="J3409" t="str" cm="1">
        <f t="array" ref="J3409">_xlfn.IFS(ISBLANK(C3409),"FALTANTE",ABS((C3409-$W$5)/$X$5)&gt;1.96,"ATÍPICO",ABS((C3409-$W$5)/$X$5)&lt;=1.96,"NO ATÍPICO")</f>
        <v>NO ATÍPICO</v>
      </c>
      <c r="K3409" t="str" cm="1">
        <f t="array" ref="K3409">_xlfn.IFS(ISBLANK(I3409),"FALTANTE",ABS((I3409-$W$8)/$X$8)&gt;1.92,"ATÍPICO",ABS((I3409-$W$8)/$X$8)&lt;=1.92,"NO ATÍPICO")</f>
        <v>NO ATÍPICO</v>
      </c>
      <c r="L3409">
        <f t="shared" si="229"/>
        <v>1429399.25</v>
      </c>
      <c r="M3409" t="str">
        <f t="shared" si="229"/>
        <v>ASALARIADO</v>
      </c>
      <c r="N3409">
        <f t="shared" si="230"/>
        <v>51</v>
      </c>
      <c r="O3409" s="19" t="str">
        <f t="shared" si="231"/>
        <v>1200k+</v>
      </c>
      <c r="P3409" s="19" t="str">
        <f t="shared" si="232"/>
        <v>46-55</v>
      </c>
    </row>
    <row r="3410" spans="1:16" x14ac:dyDescent="0.25">
      <c r="A3410">
        <v>3409</v>
      </c>
      <c r="B3410" t="s">
        <v>9</v>
      </c>
      <c r="C3410">
        <v>640789.43999999994</v>
      </c>
      <c r="D3410" t="s">
        <v>10</v>
      </c>
      <c r="E3410" t="s">
        <v>16</v>
      </c>
      <c r="F3410" t="s">
        <v>12</v>
      </c>
      <c r="G3410" t="s">
        <v>13</v>
      </c>
      <c r="H3410" t="s">
        <v>13</v>
      </c>
      <c r="I3410">
        <v>23</v>
      </c>
      <c r="J3410" t="str" cm="1">
        <f t="array" ref="J3410">_xlfn.IFS(ISBLANK(C3410),"FALTANTE",ABS((C3410-$W$5)/$X$5)&gt;1.96,"ATÍPICO",ABS((C3410-$W$5)/$X$5)&lt;=1.96,"NO ATÍPICO")</f>
        <v>NO ATÍPICO</v>
      </c>
      <c r="K3410" t="str" cm="1">
        <f t="array" ref="K3410">_xlfn.IFS(ISBLANK(I3410),"FALTANTE",ABS((I3410-$W$8)/$X$8)&gt;1.92,"ATÍPICO",ABS((I3410-$W$8)/$X$8)&lt;=1.92,"NO ATÍPICO")</f>
        <v>NO ATÍPICO</v>
      </c>
      <c r="L3410">
        <f t="shared" si="229"/>
        <v>640789.43999999994</v>
      </c>
      <c r="M3410" t="str">
        <f t="shared" si="229"/>
        <v>ASALARIADO</v>
      </c>
      <c r="N3410">
        <f t="shared" si="230"/>
        <v>23</v>
      </c>
      <c r="O3410" s="19" t="str">
        <f t="shared" si="231"/>
        <v>600k–900k</v>
      </c>
      <c r="P3410" s="19" t="str">
        <f t="shared" si="232"/>
        <v>18-25</v>
      </c>
    </row>
    <row r="3411" spans="1:16" x14ac:dyDescent="0.25">
      <c r="A3411">
        <v>3410</v>
      </c>
      <c r="B3411" t="s">
        <v>9</v>
      </c>
      <c r="C3411">
        <v>394800</v>
      </c>
      <c r="D3411" t="s">
        <v>10</v>
      </c>
      <c r="E3411" t="s">
        <v>16</v>
      </c>
      <c r="F3411" t="s">
        <v>12</v>
      </c>
      <c r="G3411" t="s">
        <v>13</v>
      </c>
      <c r="H3411" t="s">
        <v>13</v>
      </c>
      <c r="I3411">
        <v>51</v>
      </c>
      <c r="J3411" t="str" cm="1">
        <f t="array" ref="J3411">_xlfn.IFS(ISBLANK(C3411),"FALTANTE",ABS((C3411-$W$5)/$X$5)&gt;1.96,"ATÍPICO",ABS((C3411-$W$5)/$X$5)&lt;=1.96,"NO ATÍPICO")</f>
        <v>NO ATÍPICO</v>
      </c>
      <c r="K3411" t="str" cm="1">
        <f t="array" ref="K3411">_xlfn.IFS(ISBLANK(I3411),"FALTANTE",ABS((I3411-$W$8)/$X$8)&gt;1.92,"ATÍPICO",ABS((I3411-$W$8)/$X$8)&lt;=1.92,"NO ATÍPICO")</f>
        <v>NO ATÍPICO</v>
      </c>
      <c r="L3411">
        <f t="shared" si="229"/>
        <v>394800</v>
      </c>
      <c r="M3411" t="str">
        <f t="shared" si="229"/>
        <v>ASALARIADO</v>
      </c>
      <c r="N3411">
        <f t="shared" si="230"/>
        <v>51</v>
      </c>
      <c r="O3411" s="19" t="str">
        <f t="shared" si="231"/>
        <v>300k–600k</v>
      </c>
      <c r="P3411" s="19" t="str">
        <f t="shared" si="232"/>
        <v>46-55</v>
      </c>
    </row>
    <row r="3412" spans="1:16" x14ac:dyDescent="0.25">
      <c r="A3412">
        <v>3411</v>
      </c>
      <c r="B3412" t="s">
        <v>9</v>
      </c>
      <c r="C3412">
        <v>16858742</v>
      </c>
      <c r="D3412" t="s">
        <v>18</v>
      </c>
      <c r="E3412" t="s">
        <v>16</v>
      </c>
      <c r="F3412" t="s">
        <v>12</v>
      </c>
      <c r="G3412" t="s">
        <v>13</v>
      </c>
      <c r="H3412" t="s">
        <v>13</v>
      </c>
      <c r="I3412">
        <v>75</v>
      </c>
      <c r="J3412" t="str" cm="1">
        <f t="array" ref="J3412">_xlfn.IFS(ISBLANK(C3412),"FALTANTE",ABS((C3412-$W$5)/$X$5)&gt;1.96,"ATÍPICO",ABS((C3412-$W$5)/$X$5)&lt;=1.96,"NO ATÍPICO")</f>
        <v>ATÍPICO</v>
      </c>
      <c r="K3412" t="str" cm="1">
        <f t="array" ref="K3412">_xlfn.IFS(ISBLANK(I3412),"FALTANTE",ABS((I3412-$W$8)/$X$8)&gt;1.92,"ATÍPICO",ABS((I3412-$W$8)/$X$8)&lt;=1.92,"NO ATÍPICO")</f>
        <v>ATÍPICO</v>
      </c>
      <c r="L3412">
        <f t="shared" si="229"/>
        <v>16858742</v>
      </c>
      <c r="M3412" t="str">
        <f t="shared" si="229"/>
        <v>TRABAJADOR INDEPENDIENTE</v>
      </c>
      <c r="N3412">
        <f t="shared" si="230"/>
        <v>75</v>
      </c>
      <c r="O3412" s="19" t="str">
        <f t="shared" si="231"/>
        <v>1200k+</v>
      </c>
      <c r="P3412" s="19" t="str">
        <f t="shared" si="232"/>
        <v>56+</v>
      </c>
    </row>
    <row r="3413" spans="1:16" x14ac:dyDescent="0.25">
      <c r="A3413">
        <v>3412</v>
      </c>
      <c r="B3413" t="s">
        <v>9</v>
      </c>
      <c r="C3413">
        <v>485025.35</v>
      </c>
      <c r="D3413" t="s">
        <v>10</v>
      </c>
      <c r="E3413" t="s">
        <v>11</v>
      </c>
      <c r="F3413" t="s">
        <v>12</v>
      </c>
      <c r="G3413" t="s">
        <v>13</v>
      </c>
      <c r="H3413" t="s">
        <v>13</v>
      </c>
      <c r="I3413">
        <v>30</v>
      </c>
      <c r="J3413" t="str" cm="1">
        <f t="array" ref="J3413">_xlfn.IFS(ISBLANK(C3413),"FALTANTE",ABS((C3413-$W$5)/$X$5)&gt;1.96,"ATÍPICO",ABS((C3413-$W$5)/$X$5)&lt;=1.96,"NO ATÍPICO")</f>
        <v>NO ATÍPICO</v>
      </c>
      <c r="K3413" t="str" cm="1">
        <f t="array" ref="K3413">_xlfn.IFS(ISBLANK(I3413),"FALTANTE",ABS((I3413-$W$8)/$X$8)&gt;1.92,"ATÍPICO",ABS((I3413-$W$8)/$X$8)&lt;=1.92,"NO ATÍPICO")</f>
        <v>NO ATÍPICO</v>
      </c>
      <c r="L3413">
        <f t="shared" si="229"/>
        <v>485025.35</v>
      </c>
      <c r="M3413" t="str">
        <f t="shared" si="229"/>
        <v>ASALARIADO</v>
      </c>
      <c r="N3413">
        <f t="shared" si="230"/>
        <v>30</v>
      </c>
      <c r="O3413" s="19" t="str">
        <f t="shared" si="231"/>
        <v>300k–600k</v>
      </c>
      <c r="P3413" s="19" t="str">
        <f t="shared" si="232"/>
        <v>26-35</v>
      </c>
    </row>
    <row r="3414" spans="1:16" x14ac:dyDescent="0.25">
      <c r="A3414">
        <v>3413</v>
      </c>
      <c r="B3414" t="s">
        <v>9</v>
      </c>
      <c r="C3414">
        <v>263696</v>
      </c>
      <c r="D3414" t="s">
        <v>10</v>
      </c>
      <c r="E3414" t="s">
        <v>16</v>
      </c>
      <c r="F3414" t="s">
        <v>12</v>
      </c>
      <c r="G3414" t="s">
        <v>13</v>
      </c>
      <c r="H3414" t="s">
        <v>12</v>
      </c>
      <c r="I3414">
        <v>60</v>
      </c>
      <c r="J3414" t="str" cm="1">
        <f t="array" ref="J3414">_xlfn.IFS(ISBLANK(C3414),"FALTANTE",ABS((C3414-$W$5)/$X$5)&gt;1.96,"ATÍPICO",ABS((C3414-$W$5)/$X$5)&lt;=1.96,"NO ATÍPICO")</f>
        <v>NO ATÍPICO</v>
      </c>
      <c r="K3414" t="str" cm="1">
        <f t="array" ref="K3414">_xlfn.IFS(ISBLANK(I3414),"FALTANTE",ABS((I3414-$W$8)/$X$8)&gt;1.92,"ATÍPICO",ABS((I3414-$W$8)/$X$8)&lt;=1.92,"NO ATÍPICO")</f>
        <v>NO ATÍPICO</v>
      </c>
      <c r="L3414">
        <f t="shared" si="229"/>
        <v>263696</v>
      </c>
      <c r="M3414" t="str">
        <f t="shared" si="229"/>
        <v>ASALARIADO</v>
      </c>
      <c r="N3414">
        <f t="shared" si="230"/>
        <v>60</v>
      </c>
      <c r="O3414" s="19" t="str">
        <f t="shared" si="231"/>
        <v>0–300k</v>
      </c>
      <c r="P3414" s="19" t="str">
        <f t="shared" si="232"/>
        <v>56+</v>
      </c>
    </row>
    <row r="3415" spans="1:16" x14ac:dyDescent="0.25">
      <c r="A3415">
        <v>3414</v>
      </c>
      <c r="B3415" t="s">
        <v>9</v>
      </c>
      <c r="C3415">
        <v>362773</v>
      </c>
      <c r="D3415" t="s">
        <v>10</v>
      </c>
      <c r="E3415" t="s">
        <v>11</v>
      </c>
      <c r="F3415" t="s">
        <v>12</v>
      </c>
      <c r="G3415" t="s">
        <v>13</v>
      </c>
      <c r="H3415" t="s">
        <v>13</v>
      </c>
      <c r="I3415">
        <v>27</v>
      </c>
      <c r="J3415" t="str" cm="1">
        <f t="array" ref="J3415">_xlfn.IFS(ISBLANK(C3415),"FALTANTE",ABS((C3415-$W$5)/$X$5)&gt;1.96,"ATÍPICO",ABS((C3415-$W$5)/$X$5)&lt;=1.96,"NO ATÍPICO")</f>
        <v>NO ATÍPICO</v>
      </c>
      <c r="K3415" t="str" cm="1">
        <f t="array" ref="K3415">_xlfn.IFS(ISBLANK(I3415),"FALTANTE",ABS((I3415-$W$8)/$X$8)&gt;1.92,"ATÍPICO",ABS((I3415-$W$8)/$X$8)&lt;=1.92,"NO ATÍPICO")</f>
        <v>NO ATÍPICO</v>
      </c>
      <c r="L3415">
        <f t="shared" si="229"/>
        <v>362773</v>
      </c>
      <c r="M3415" t="str">
        <f t="shared" si="229"/>
        <v>ASALARIADO</v>
      </c>
      <c r="N3415">
        <f t="shared" si="230"/>
        <v>27</v>
      </c>
      <c r="O3415" s="19" t="str">
        <f t="shared" si="231"/>
        <v>300k–600k</v>
      </c>
      <c r="P3415" s="19" t="str">
        <f t="shared" si="232"/>
        <v>26-35</v>
      </c>
    </row>
    <row r="3416" spans="1:16" x14ac:dyDescent="0.25">
      <c r="A3416">
        <v>3415</v>
      </c>
      <c r="B3416" t="s">
        <v>9</v>
      </c>
      <c r="C3416">
        <v>4006214.55</v>
      </c>
      <c r="D3416" t="s">
        <v>10</v>
      </c>
      <c r="E3416" t="s">
        <v>11</v>
      </c>
      <c r="F3416" t="s">
        <v>12</v>
      </c>
      <c r="G3416" t="s">
        <v>13</v>
      </c>
      <c r="H3416" t="s">
        <v>13</v>
      </c>
      <c r="I3416">
        <v>51</v>
      </c>
      <c r="J3416" t="str" cm="1">
        <f t="array" ref="J3416">_xlfn.IFS(ISBLANK(C3416),"FALTANTE",ABS((C3416-$W$5)/$X$5)&gt;1.96,"ATÍPICO",ABS((C3416-$W$5)/$X$5)&lt;=1.96,"NO ATÍPICO")</f>
        <v>ATÍPICO</v>
      </c>
      <c r="K3416" t="str" cm="1">
        <f t="array" ref="K3416">_xlfn.IFS(ISBLANK(I3416),"FALTANTE",ABS((I3416-$W$8)/$X$8)&gt;1.92,"ATÍPICO",ABS((I3416-$W$8)/$X$8)&lt;=1.92,"NO ATÍPICO")</f>
        <v>NO ATÍPICO</v>
      </c>
      <c r="L3416">
        <f t="shared" si="229"/>
        <v>4006214.55</v>
      </c>
      <c r="M3416" t="str">
        <f t="shared" si="229"/>
        <v>ASALARIADO</v>
      </c>
      <c r="N3416">
        <f t="shared" si="230"/>
        <v>51</v>
      </c>
      <c r="O3416" s="19" t="str">
        <f t="shared" si="231"/>
        <v>1200k+</v>
      </c>
      <c r="P3416" s="19" t="str">
        <f t="shared" si="232"/>
        <v>46-55</v>
      </c>
    </row>
    <row r="3417" spans="1:16" x14ac:dyDescent="0.25">
      <c r="A3417">
        <v>3416</v>
      </c>
      <c r="B3417" t="s">
        <v>9</v>
      </c>
      <c r="C3417">
        <v>476556.35</v>
      </c>
      <c r="D3417" t="s">
        <v>10</v>
      </c>
      <c r="E3417" t="s">
        <v>16</v>
      </c>
      <c r="F3417" t="s">
        <v>12</v>
      </c>
      <c r="G3417" t="s">
        <v>13</v>
      </c>
      <c r="H3417" t="s">
        <v>13</v>
      </c>
      <c r="I3417">
        <v>26</v>
      </c>
      <c r="J3417" t="str" cm="1">
        <f t="array" ref="J3417">_xlfn.IFS(ISBLANK(C3417),"FALTANTE",ABS((C3417-$W$5)/$X$5)&gt;1.96,"ATÍPICO",ABS((C3417-$W$5)/$X$5)&lt;=1.96,"NO ATÍPICO")</f>
        <v>NO ATÍPICO</v>
      </c>
      <c r="K3417" t="str" cm="1">
        <f t="array" ref="K3417">_xlfn.IFS(ISBLANK(I3417),"FALTANTE",ABS((I3417-$W$8)/$X$8)&gt;1.92,"ATÍPICO",ABS((I3417-$W$8)/$X$8)&lt;=1.92,"NO ATÍPICO")</f>
        <v>NO ATÍPICO</v>
      </c>
      <c r="L3417">
        <f t="shared" si="229"/>
        <v>476556.35</v>
      </c>
      <c r="M3417" t="str">
        <f t="shared" si="229"/>
        <v>ASALARIADO</v>
      </c>
      <c r="N3417">
        <f t="shared" si="230"/>
        <v>26</v>
      </c>
      <c r="O3417" s="19" t="str">
        <f t="shared" si="231"/>
        <v>300k–600k</v>
      </c>
      <c r="P3417" s="19" t="str">
        <f t="shared" si="232"/>
        <v>26-35</v>
      </c>
    </row>
    <row r="3418" spans="1:16" x14ac:dyDescent="0.25">
      <c r="A3418">
        <v>3417</v>
      </c>
      <c r="B3418" t="s">
        <v>9</v>
      </c>
      <c r="C3418">
        <v>672285.72</v>
      </c>
      <c r="D3418" t="s">
        <v>10</v>
      </c>
      <c r="E3418" t="s">
        <v>16</v>
      </c>
      <c r="F3418" t="s">
        <v>12</v>
      </c>
      <c r="G3418" t="s">
        <v>13</v>
      </c>
      <c r="H3418" t="s">
        <v>13</v>
      </c>
      <c r="I3418">
        <v>40</v>
      </c>
      <c r="J3418" t="str" cm="1">
        <f t="array" ref="J3418">_xlfn.IFS(ISBLANK(C3418),"FALTANTE",ABS((C3418-$W$5)/$X$5)&gt;1.96,"ATÍPICO",ABS((C3418-$W$5)/$X$5)&lt;=1.96,"NO ATÍPICO")</f>
        <v>NO ATÍPICO</v>
      </c>
      <c r="K3418" t="str" cm="1">
        <f t="array" ref="K3418">_xlfn.IFS(ISBLANK(I3418),"FALTANTE",ABS((I3418-$W$8)/$X$8)&gt;1.92,"ATÍPICO",ABS((I3418-$W$8)/$X$8)&lt;=1.92,"NO ATÍPICO")</f>
        <v>NO ATÍPICO</v>
      </c>
      <c r="L3418">
        <f t="shared" si="229"/>
        <v>672285.72</v>
      </c>
      <c r="M3418" t="str">
        <f t="shared" si="229"/>
        <v>ASALARIADO</v>
      </c>
      <c r="N3418">
        <f t="shared" si="230"/>
        <v>40</v>
      </c>
      <c r="O3418" s="19" t="str">
        <f t="shared" si="231"/>
        <v>600k–900k</v>
      </c>
      <c r="P3418" s="19" t="str">
        <f t="shared" si="232"/>
        <v>36-45</v>
      </c>
    </row>
    <row r="3419" spans="1:16" x14ac:dyDescent="0.25">
      <c r="A3419">
        <v>3418</v>
      </c>
      <c r="B3419" t="s">
        <v>9</v>
      </c>
      <c r="C3419">
        <v>501333.33</v>
      </c>
      <c r="D3419" t="s">
        <v>10</v>
      </c>
      <c r="E3419" t="s">
        <v>16</v>
      </c>
      <c r="F3419" t="s">
        <v>12</v>
      </c>
      <c r="G3419" t="s">
        <v>13</v>
      </c>
      <c r="H3419" t="s">
        <v>13</v>
      </c>
      <c r="I3419">
        <v>41</v>
      </c>
      <c r="J3419" t="str" cm="1">
        <f t="array" ref="J3419">_xlfn.IFS(ISBLANK(C3419),"FALTANTE",ABS((C3419-$W$5)/$X$5)&gt;1.96,"ATÍPICO",ABS((C3419-$W$5)/$X$5)&lt;=1.96,"NO ATÍPICO")</f>
        <v>NO ATÍPICO</v>
      </c>
      <c r="K3419" t="str" cm="1">
        <f t="array" ref="K3419">_xlfn.IFS(ISBLANK(I3419),"FALTANTE",ABS((I3419-$W$8)/$X$8)&gt;1.92,"ATÍPICO",ABS((I3419-$W$8)/$X$8)&lt;=1.92,"NO ATÍPICO")</f>
        <v>NO ATÍPICO</v>
      </c>
      <c r="L3419">
        <f t="shared" si="229"/>
        <v>501333.33</v>
      </c>
      <c r="M3419" t="str">
        <f t="shared" si="229"/>
        <v>ASALARIADO</v>
      </c>
      <c r="N3419">
        <f t="shared" si="230"/>
        <v>41</v>
      </c>
      <c r="O3419" s="19" t="str">
        <f t="shared" si="231"/>
        <v>300k–600k</v>
      </c>
      <c r="P3419" s="19" t="str">
        <f t="shared" si="232"/>
        <v>36-45</v>
      </c>
    </row>
    <row r="3420" spans="1:16" x14ac:dyDescent="0.25">
      <c r="A3420">
        <v>3419</v>
      </c>
      <c r="B3420" t="s">
        <v>15</v>
      </c>
      <c r="C3420">
        <v>1038075</v>
      </c>
      <c r="D3420" t="s">
        <v>14</v>
      </c>
      <c r="E3420" t="s">
        <v>11</v>
      </c>
      <c r="F3420" t="s">
        <v>12</v>
      </c>
      <c r="G3420" t="s">
        <v>13</v>
      </c>
      <c r="H3420" t="s">
        <v>13</v>
      </c>
      <c r="I3420">
        <v>62</v>
      </c>
      <c r="J3420" t="str" cm="1">
        <f t="array" ref="J3420">_xlfn.IFS(ISBLANK(C3420),"FALTANTE",ABS((C3420-$W$5)/$X$5)&gt;1.96,"ATÍPICO",ABS((C3420-$W$5)/$X$5)&lt;=1.96,"NO ATÍPICO")</f>
        <v>NO ATÍPICO</v>
      </c>
      <c r="K3420" t="str" cm="1">
        <f t="array" ref="K3420">_xlfn.IFS(ISBLANK(I3420),"FALTANTE",ABS((I3420-$W$8)/$X$8)&gt;1.92,"ATÍPICO",ABS((I3420-$W$8)/$X$8)&lt;=1.92,"NO ATÍPICO")</f>
        <v>NO ATÍPICO</v>
      </c>
      <c r="L3420">
        <f t="shared" si="229"/>
        <v>1038075</v>
      </c>
      <c r="M3420" t="str">
        <f t="shared" si="229"/>
        <v>PENSIONADOS EN SU PROPIO SISTEMA</v>
      </c>
      <c r="N3420">
        <f t="shared" si="230"/>
        <v>62</v>
      </c>
      <c r="O3420" s="19" t="str">
        <f t="shared" si="231"/>
        <v>900k–1200k</v>
      </c>
      <c r="P3420" s="19" t="str">
        <f t="shared" si="232"/>
        <v>56+</v>
      </c>
    </row>
    <row r="3421" spans="1:16" x14ac:dyDescent="0.25">
      <c r="A3421">
        <v>3420</v>
      </c>
      <c r="B3421" t="s">
        <v>9</v>
      </c>
      <c r="C3421">
        <v>685502.53</v>
      </c>
      <c r="D3421" t="s">
        <v>10</v>
      </c>
      <c r="E3421" t="s">
        <v>16</v>
      </c>
      <c r="F3421" t="s">
        <v>12</v>
      </c>
      <c r="G3421" t="s">
        <v>13</v>
      </c>
      <c r="H3421" t="s">
        <v>12</v>
      </c>
      <c r="I3421">
        <v>58</v>
      </c>
      <c r="J3421" t="str" cm="1">
        <f t="array" ref="J3421">_xlfn.IFS(ISBLANK(C3421),"FALTANTE",ABS((C3421-$W$5)/$X$5)&gt;1.96,"ATÍPICO",ABS((C3421-$W$5)/$X$5)&lt;=1.96,"NO ATÍPICO")</f>
        <v>NO ATÍPICO</v>
      </c>
      <c r="K3421" t="str" cm="1">
        <f t="array" ref="K3421">_xlfn.IFS(ISBLANK(I3421),"FALTANTE",ABS((I3421-$W$8)/$X$8)&gt;1.92,"ATÍPICO",ABS((I3421-$W$8)/$X$8)&lt;=1.92,"NO ATÍPICO")</f>
        <v>NO ATÍPICO</v>
      </c>
      <c r="L3421">
        <f t="shared" si="229"/>
        <v>685502.53</v>
      </c>
      <c r="M3421" t="str">
        <f t="shared" si="229"/>
        <v>ASALARIADO</v>
      </c>
      <c r="N3421">
        <f t="shared" si="230"/>
        <v>58</v>
      </c>
      <c r="O3421" s="19" t="str">
        <f t="shared" si="231"/>
        <v>600k–900k</v>
      </c>
      <c r="P3421" s="19" t="str">
        <f t="shared" si="232"/>
        <v>56+</v>
      </c>
    </row>
    <row r="3422" spans="1:16" x14ac:dyDescent="0.25">
      <c r="A3422">
        <v>3421</v>
      </c>
      <c r="B3422" t="s">
        <v>9</v>
      </c>
      <c r="C3422">
        <v>389050</v>
      </c>
      <c r="D3422" t="s">
        <v>10</v>
      </c>
      <c r="E3422" t="s">
        <v>16</v>
      </c>
      <c r="F3422" t="s">
        <v>12</v>
      </c>
      <c r="G3422" t="s">
        <v>12</v>
      </c>
      <c r="H3422" t="s">
        <v>12</v>
      </c>
      <c r="I3422">
        <v>36</v>
      </c>
      <c r="J3422" t="str" cm="1">
        <f t="array" ref="J3422">_xlfn.IFS(ISBLANK(C3422),"FALTANTE",ABS((C3422-$W$5)/$X$5)&gt;1.96,"ATÍPICO",ABS((C3422-$W$5)/$X$5)&lt;=1.96,"NO ATÍPICO")</f>
        <v>NO ATÍPICO</v>
      </c>
      <c r="K3422" t="str" cm="1">
        <f t="array" ref="K3422">_xlfn.IFS(ISBLANK(I3422),"FALTANTE",ABS((I3422-$W$8)/$X$8)&gt;1.92,"ATÍPICO",ABS((I3422-$W$8)/$X$8)&lt;=1.92,"NO ATÍPICO")</f>
        <v>NO ATÍPICO</v>
      </c>
      <c r="L3422">
        <f t="shared" si="229"/>
        <v>389050</v>
      </c>
      <c r="M3422" t="str">
        <f t="shared" si="229"/>
        <v>ASALARIADO</v>
      </c>
      <c r="N3422">
        <f t="shared" si="230"/>
        <v>36</v>
      </c>
      <c r="O3422" s="19" t="str">
        <f t="shared" si="231"/>
        <v>300k–600k</v>
      </c>
      <c r="P3422" s="19" t="str">
        <f t="shared" si="232"/>
        <v>36-45</v>
      </c>
    </row>
    <row r="3423" spans="1:16" x14ac:dyDescent="0.25">
      <c r="A3423">
        <v>3422</v>
      </c>
      <c r="B3423" t="s">
        <v>9</v>
      </c>
      <c r="C3423">
        <v>959035</v>
      </c>
      <c r="D3423" t="s">
        <v>18</v>
      </c>
      <c r="E3423" t="s">
        <v>16</v>
      </c>
      <c r="F3423" t="s">
        <v>12</v>
      </c>
      <c r="G3423" t="s">
        <v>13</v>
      </c>
      <c r="H3423" t="s">
        <v>12</v>
      </c>
      <c r="I3423">
        <v>68</v>
      </c>
      <c r="J3423" t="str" cm="1">
        <f t="array" ref="J3423">_xlfn.IFS(ISBLANK(C3423),"FALTANTE",ABS((C3423-$W$5)/$X$5)&gt;1.96,"ATÍPICO",ABS((C3423-$W$5)/$X$5)&lt;=1.96,"NO ATÍPICO")</f>
        <v>NO ATÍPICO</v>
      </c>
      <c r="K3423" t="str" cm="1">
        <f t="array" ref="K3423">_xlfn.IFS(ISBLANK(I3423),"FALTANTE",ABS((I3423-$W$8)/$X$8)&gt;1.92,"ATÍPICO",ABS((I3423-$W$8)/$X$8)&lt;=1.92,"NO ATÍPICO")</f>
        <v>NO ATÍPICO</v>
      </c>
      <c r="L3423">
        <f t="shared" si="229"/>
        <v>959035</v>
      </c>
      <c r="M3423" t="str">
        <f t="shared" si="229"/>
        <v>TRABAJADOR INDEPENDIENTE</v>
      </c>
      <c r="N3423">
        <f t="shared" si="230"/>
        <v>68</v>
      </c>
      <c r="O3423" s="19" t="str">
        <f t="shared" si="231"/>
        <v>900k–1200k</v>
      </c>
      <c r="P3423" s="19" t="str">
        <f t="shared" si="232"/>
        <v>56+</v>
      </c>
    </row>
    <row r="3424" spans="1:16" x14ac:dyDescent="0.25">
      <c r="A3424">
        <v>3423</v>
      </c>
      <c r="B3424" t="s">
        <v>9</v>
      </c>
      <c r="C3424">
        <v>400000</v>
      </c>
      <c r="D3424" t="s">
        <v>10</v>
      </c>
      <c r="E3424" t="s">
        <v>16</v>
      </c>
      <c r="F3424" t="s">
        <v>12</v>
      </c>
      <c r="G3424" t="s">
        <v>13</v>
      </c>
      <c r="H3424" t="s">
        <v>13</v>
      </c>
      <c r="I3424">
        <v>26</v>
      </c>
      <c r="J3424" t="str" cm="1">
        <f t="array" ref="J3424">_xlfn.IFS(ISBLANK(C3424),"FALTANTE",ABS((C3424-$W$5)/$X$5)&gt;1.96,"ATÍPICO",ABS((C3424-$W$5)/$X$5)&lt;=1.96,"NO ATÍPICO")</f>
        <v>NO ATÍPICO</v>
      </c>
      <c r="K3424" t="str" cm="1">
        <f t="array" ref="K3424">_xlfn.IFS(ISBLANK(I3424),"FALTANTE",ABS((I3424-$W$8)/$X$8)&gt;1.92,"ATÍPICO",ABS((I3424-$W$8)/$X$8)&lt;=1.92,"NO ATÍPICO")</f>
        <v>NO ATÍPICO</v>
      </c>
      <c r="L3424">
        <f t="shared" si="229"/>
        <v>400000</v>
      </c>
      <c r="M3424" t="str">
        <f t="shared" si="229"/>
        <v>ASALARIADO</v>
      </c>
      <c r="N3424">
        <f t="shared" si="230"/>
        <v>26</v>
      </c>
      <c r="O3424" s="19" t="str">
        <f t="shared" si="231"/>
        <v>300k–600k</v>
      </c>
      <c r="P3424" s="19" t="str">
        <f t="shared" si="232"/>
        <v>26-35</v>
      </c>
    </row>
    <row r="3425" spans="1:16" x14ac:dyDescent="0.25">
      <c r="A3425">
        <v>3424</v>
      </c>
      <c r="B3425" t="s">
        <v>15</v>
      </c>
      <c r="C3425">
        <v>675000</v>
      </c>
      <c r="D3425" t="s">
        <v>10</v>
      </c>
      <c r="E3425" t="s">
        <v>16</v>
      </c>
      <c r="F3425" t="s">
        <v>12</v>
      </c>
      <c r="G3425" t="s">
        <v>13</v>
      </c>
      <c r="H3425" t="s">
        <v>13</v>
      </c>
      <c r="I3425">
        <v>27</v>
      </c>
      <c r="J3425" t="str" cm="1">
        <f t="array" ref="J3425">_xlfn.IFS(ISBLANK(C3425),"FALTANTE",ABS((C3425-$W$5)/$X$5)&gt;1.96,"ATÍPICO",ABS((C3425-$W$5)/$X$5)&lt;=1.96,"NO ATÍPICO")</f>
        <v>NO ATÍPICO</v>
      </c>
      <c r="K3425" t="str" cm="1">
        <f t="array" ref="K3425">_xlfn.IFS(ISBLANK(I3425),"FALTANTE",ABS((I3425-$W$8)/$X$8)&gt;1.92,"ATÍPICO",ABS((I3425-$W$8)/$X$8)&lt;=1.92,"NO ATÍPICO")</f>
        <v>NO ATÍPICO</v>
      </c>
      <c r="L3425">
        <f t="shared" si="229"/>
        <v>675000</v>
      </c>
      <c r="M3425" t="str">
        <f t="shared" si="229"/>
        <v>ASALARIADO</v>
      </c>
      <c r="N3425">
        <f t="shared" si="230"/>
        <v>27</v>
      </c>
      <c r="O3425" s="19" t="str">
        <f t="shared" si="231"/>
        <v>600k–900k</v>
      </c>
      <c r="P3425" s="19" t="str">
        <f t="shared" si="232"/>
        <v>26-35</v>
      </c>
    </row>
    <row r="3426" spans="1:16" x14ac:dyDescent="0.25">
      <c r="A3426">
        <v>3425</v>
      </c>
      <c r="B3426" t="s">
        <v>9</v>
      </c>
      <c r="C3426">
        <v>277828.07</v>
      </c>
      <c r="D3426" t="s">
        <v>10</v>
      </c>
      <c r="E3426" t="s">
        <v>16</v>
      </c>
      <c r="F3426" t="s">
        <v>12</v>
      </c>
      <c r="G3426" t="s">
        <v>13</v>
      </c>
      <c r="H3426" t="s">
        <v>13</v>
      </c>
      <c r="I3426">
        <v>22</v>
      </c>
      <c r="J3426" t="str" cm="1">
        <f t="array" ref="J3426">_xlfn.IFS(ISBLANK(C3426),"FALTANTE",ABS((C3426-$W$5)/$X$5)&gt;1.96,"ATÍPICO",ABS((C3426-$W$5)/$X$5)&lt;=1.96,"NO ATÍPICO")</f>
        <v>NO ATÍPICO</v>
      </c>
      <c r="K3426" t="str" cm="1">
        <f t="array" ref="K3426">_xlfn.IFS(ISBLANK(I3426),"FALTANTE",ABS((I3426-$W$8)/$X$8)&gt;1.92,"ATÍPICO",ABS((I3426-$W$8)/$X$8)&lt;=1.92,"NO ATÍPICO")</f>
        <v>NO ATÍPICO</v>
      </c>
      <c r="L3426">
        <f t="shared" si="229"/>
        <v>277828.07</v>
      </c>
      <c r="M3426" t="str">
        <f t="shared" si="229"/>
        <v>ASALARIADO</v>
      </c>
      <c r="N3426">
        <f t="shared" si="230"/>
        <v>22</v>
      </c>
      <c r="O3426" s="19" t="str">
        <f t="shared" si="231"/>
        <v>0–300k</v>
      </c>
      <c r="P3426" s="19" t="str">
        <f t="shared" si="232"/>
        <v>18-25</v>
      </c>
    </row>
    <row r="3427" spans="1:16" x14ac:dyDescent="0.25">
      <c r="A3427">
        <v>3426</v>
      </c>
      <c r="B3427" t="s">
        <v>9</v>
      </c>
      <c r="C3427">
        <v>270000</v>
      </c>
      <c r="D3427" t="s">
        <v>10</v>
      </c>
      <c r="E3427" t="s">
        <v>16</v>
      </c>
      <c r="F3427" t="s">
        <v>12</v>
      </c>
      <c r="G3427" t="s">
        <v>13</v>
      </c>
      <c r="H3427" t="s">
        <v>13</v>
      </c>
      <c r="I3427">
        <v>58</v>
      </c>
      <c r="J3427" t="str" cm="1">
        <f t="array" ref="J3427">_xlfn.IFS(ISBLANK(C3427),"FALTANTE",ABS((C3427-$W$5)/$X$5)&gt;1.96,"ATÍPICO",ABS((C3427-$W$5)/$X$5)&lt;=1.96,"NO ATÍPICO")</f>
        <v>NO ATÍPICO</v>
      </c>
      <c r="K3427" t="str" cm="1">
        <f t="array" ref="K3427">_xlfn.IFS(ISBLANK(I3427),"FALTANTE",ABS((I3427-$W$8)/$X$8)&gt;1.92,"ATÍPICO",ABS((I3427-$W$8)/$X$8)&lt;=1.92,"NO ATÍPICO")</f>
        <v>NO ATÍPICO</v>
      </c>
      <c r="L3427">
        <f t="shared" si="229"/>
        <v>270000</v>
      </c>
      <c r="M3427" t="str">
        <f t="shared" si="229"/>
        <v>ASALARIADO</v>
      </c>
      <c r="N3427">
        <f t="shared" si="230"/>
        <v>58</v>
      </c>
      <c r="O3427" s="19" t="str">
        <f t="shared" si="231"/>
        <v>0–300k</v>
      </c>
      <c r="P3427" s="19" t="str">
        <f t="shared" si="232"/>
        <v>56+</v>
      </c>
    </row>
    <row r="3428" spans="1:16" x14ac:dyDescent="0.25">
      <c r="A3428">
        <v>3427</v>
      </c>
      <c r="B3428" t="s">
        <v>15</v>
      </c>
      <c r="C3428">
        <v>514380</v>
      </c>
      <c r="D3428" t="s">
        <v>10</v>
      </c>
      <c r="E3428" t="s">
        <v>11</v>
      </c>
      <c r="F3428" t="s">
        <v>12</v>
      </c>
      <c r="G3428" t="s">
        <v>13</v>
      </c>
      <c r="H3428" t="s">
        <v>13</v>
      </c>
      <c r="I3428">
        <v>57</v>
      </c>
      <c r="J3428" t="str" cm="1">
        <f t="array" ref="J3428">_xlfn.IFS(ISBLANK(C3428),"FALTANTE",ABS((C3428-$W$5)/$X$5)&gt;1.96,"ATÍPICO",ABS((C3428-$W$5)/$X$5)&lt;=1.96,"NO ATÍPICO")</f>
        <v>NO ATÍPICO</v>
      </c>
      <c r="K3428" t="str" cm="1">
        <f t="array" ref="K3428">_xlfn.IFS(ISBLANK(I3428),"FALTANTE",ABS((I3428-$W$8)/$X$8)&gt;1.92,"ATÍPICO",ABS((I3428-$W$8)/$X$8)&lt;=1.92,"NO ATÍPICO")</f>
        <v>NO ATÍPICO</v>
      </c>
      <c r="L3428">
        <f t="shared" si="229"/>
        <v>514380</v>
      </c>
      <c r="M3428" t="str">
        <f t="shared" si="229"/>
        <v>ASALARIADO</v>
      </c>
      <c r="N3428">
        <f t="shared" si="230"/>
        <v>57</v>
      </c>
      <c r="O3428" s="19" t="str">
        <f t="shared" si="231"/>
        <v>300k–600k</v>
      </c>
      <c r="P3428" s="19" t="str">
        <f t="shared" si="232"/>
        <v>56+</v>
      </c>
    </row>
    <row r="3429" spans="1:16" x14ac:dyDescent="0.25">
      <c r="A3429">
        <v>3428</v>
      </c>
      <c r="B3429" t="s">
        <v>9</v>
      </c>
      <c r="C3429">
        <v>995069.79</v>
      </c>
      <c r="D3429" t="s">
        <v>10</v>
      </c>
      <c r="E3429" t="s">
        <v>16</v>
      </c>
      <c r="F3429" t="s">
        <v>12</v>
      </c>
      <c r="G3429" t="s">
        <v>13</v>
      </c>
      <c r="H3429" t="s">
        <v>13</v>
      </c>
      <c r="I3429">
        <v>37</v>
      </c>
      <c r="J3429" t="str" cm="1">
        <f t="array" ref="J3429">_xlfn.IFS(ISBLANK(C3429),"FALTANTE",ABS((C3429-$W$5)/$X$5)&gt;1.96,"ATÍPICO",ABS((C3429-$W$5)/$X$5)&lt;=1.96,"NO ATÍPICO")</f>
        <v>NO ATÍPICO</v>
      </c>
      <c r="K3429" t="str" cm="1">
        <f t="array" ref="K3429">_xlfn.IFS(ISBLANK(I3429),"FALTANTE",ABS((I3429-$W$8)/$X$8)&gt;1.92,"ATÍPICO",ABS((I3429-$W$8)/$X$8)&lt;=1.92,"NO ATÍPICO")</f>
        <v>NO ATÍPICO</v>
      </c>
      <c r="L3429">
        <f t="shared" si="229"/>
        <v>995069.79</v>
      </c>
      <c r="M3429" t="str">
        <f t="shared" si="229"/>
        <v>ASALARIADO</v>
      </c>
      <c r="N3429">
        <f t="shared" si="230"/>
        <v>37</v>
      </c>
      <c r="O3429" s="19" t="str">
        <f t="shared" si="231"/>
        <v>900k–1200k</v>
      </c>
      <c r="P3429" s="19" t="str">
        <f t="shared" si="232"/>
        <v>36-45</v>
      </c>
    </row>
    <row r="3430" spans="1:16" x14ac:dyDescent="0.25">
      <c r="A3430">
        <v>3429</v>
      </c>
      <c r="B3430" t="s">
        <v>9</v>
      </c>
      <c r="C3430">
        <v>278500</v>
      </c>
      <c r="D3430" t="s">
        <v>10</v>
      </c>
      <c r="E3430" t="s">
        <v>16</v>
      </c>
      <c r="F3430" t="s">
        <v>12</v>
      </c>
      <c r="G3430" t="s">
        <v>13</v>
      </c>
      <c r="H3430" t="s">
        <v>13</v>
      </c>
      <c r="I3430">
        <v>43</v>
      </c>
      <c r="J3430" t="str" cm="1">
        <f t="array" ref="J3430">_xlfn.IFS(ISBLANK(C3430),"FALTANTE",ABS((C3430-$W$5)/$X$5)&gt;1.96,"ATÍPICO",ABS((C3430-$W$5)/$X$5)&lt;=1.96,"NO ATÍPICO")</f>
        <v>NO ATÍPICO</v>
      </c>
      <c r="K3430" t="str" cm="1">
        <f t="array" ref="K3430">_xlfn.IFS(ISBLANK(I3430),"FALTANTE",ABS((I3430-$W$8)/$X$8)&gt;1.92,"ATÍPICO",ABS((I3430-$W$8)/$X$8)&lt;=1.92,"NO ATÍPICO")</f>
        <v>NO ATÍPICO</v>
      </c>
      <c r="L3430">
        <f t="shared" si="229"/>
        <v>278500</v>
      </c>
      <c r="M3430" t="str">
        <f t="shared" si="229"/>
        <v>ASALARIADO</v>
      </c>
      <c r="N3430">
        <f t="shared" si="230"/>
        <v>43</v>
      </c>
      <c r="O3430" s="19" t="str">
        <f t="shared" si="231"/>
        <v>0–300k</v>
      </c>
      <c r="P3430" s="19" t="str">
        <f t="shared" si="232"/>
        <v>36-45</v>
      </c>
    </row>
    <row r="3431" spans="1:16" x14ac:dyDescent="0.25">
      <c r="A3431">
        <v>3430</v>
      </c>
      <c r="B3431" t="s">
        <v>15</v>
      </c>
      <c r="C3431">
        <v>368282</v>
      </c>
      <c r="D3431" t="s">
        <v>10</v>
      </c>
      <c r="E3431" t="s">
        <v>16</v>
      </c>
      <c r="F3431" t="s">
        <v>12</v>
      </c>
      <c r="G3431" t="s">
        <v>13</v>
      </c>
      <c r="H3431" t="s">
        <v>13</v>
      </c>
      <c r="I3431">
        <v>54</v>
      </c>
      <c r="J3431" t="str" cm="1">
        <f t="array" ref="J3431">_xlfn.IFS(ISBLANK(C3431),"FALTANTE",ABS((C3431-$W$5)/$X$5)&gt;1.96,"ATÍPICO",ABS((C3431-$W$5)/$X$5)&lt;=1.96,"NO ATÍPICO")</f>
        <v>NO ATÍPICO</v>
      </c>
      <c r="K3431" t="str" cm="1">
        <f t="array" ref="K3431">_xlfn.IFS(ISBLANK(I3431),"FALTANTE",ABS((I3431-$W$8)/$X$8)&gt;1.92,"ATÍPICO",ABS((I3431-$W$8)/$X$8)&lt;=1.92,"NO ATÍPICO")</f>
        <v>NO ATÍPICO</v>
      </c>
      <c r="L3431">
        <f t="shared" si="229"/>
        <v>368282</v>
      </c>
      <c r="M3431" t="str">
        <f t="shared" si="229"/>
        <v>ASALARIADO</v>
      </c>
      <c r="N3431">
        <f t="shared" si="230"/>
        <v>54</v>
      </c>
      <c r="O3431" s="19" t="str">
        <f t="shared" si="231"/>
        <v>300k–600k</v>
      </c>
      <c r="P3431" s="19" t="str">
        <f t="shared" si="232"/>
        <v>46-55</v>
      </c>
    </row>
    <row r="3432" spans="1:16" x14ac:dyDescent="0.25">
      <c r="A3432">
        <v>3431</v>
      </c>
      <c r="B3432" t="s">
        <v>15</v>
      </c>
      <c r="C3432">
        <v>509509</v>
      </c>
      <c r="D3432" t="s">
        <v>18</v>
      </c>
      <c r="E3432" t="s">
        <v>16</v>
      </c>
      <c r="F3432" t="s">
        <v>12</v>
      </c>
      <c r="G3432" t="s">
        <v>13</v>
      </c>
      <c r="H3432" t="s">
        <v>12</v>
      </c>
      <c r="I3432">
        <v>45</v>
      </c>
      <c r="J3432" t="str" cm="1">
        <f t="array" ref="J3432">_xlfn.IFS(ISBLANK(C3432),"FALTANTE",ABS((C3432-$W$5)/$X$5)&gt;1.96,"ATÍPICO",ABS((C3432-$W$5)/$X$5)&lt;=1.96,"NO ATÍPICO")</f>
        <v>NO ATÍPICO</v>
      </c>
      <c r="K3432" t="str" cm="1">
        <f t="array" ref="K3432">_xlfn.IFS(ISBLANK(I3432),"FALTANTE",ABS((I3432-$W$8)/$X$8)&gt;1.92,"ATÍPICO",ABS((I3432-$W$8)/$X$8)&lt;=1.92,"NO ATÍPICO")</f>
        <v>NO ATÍPICO</v>
      </c>
      <c r="L3432">
        <f t="shared" si="229"/>
        <v>509509</v>
      </c>
      <c r="M3432" t="str">
        <f t="shared" si="229"/>
        <v>TRABAJADOR INDEPENDIENTE</v>
      </c>
      <c r="N3432">
        <f t="shared" si="230"/>
        <v>45</v>
      </c>
      <c r="O3432" s="19" t="str">
        <f t="shared" si="231"/>
        <v>300k–600k</v>
      </c>
      <c r="P3432" s="19" t="str">
        <f t="shared" si="232"/>
        <v>36-45</v>
      </c>
    </row>
    <row r="3433" spans="1:16" x14ac:dyDescent="0.25">
      <c r="A3433">
        <v>3432</v>
      </c>
      <c r="B3433" t="s">
        <v>15</v>
      </c>
      <c r="C3433">
        <v>690000</v>
      </c>
      <c r="D3433" t="s">
        <v>10</v>
      </c>
      <c r="E3433" t="s">
        <v>16</v>
      </c>
      <c r="F3433" t="s">
        <v>12</v>
      </c>
      <c r="G3433" t="s">
        <v>13</v>
      </c>
      <c r="H3433" t="s">
        <v>13</v>
      </c>
      <c r="I3433">
        <v>40</v>
      </c>
      <c r="J3433" t="str" cm="1">
        <f t="array" ref="J3433">_xlfn.IFS(ISBLANK(C3433),"FALTANTE",ABS((C3433-$W$5)/$X$5)&gt;1.96,"ATÍPICO",ABS((C3433-$W$5)/$X$5)&lt;=1.96,"NO ATÍPICO")</f>
        <v>NO ATÍPICO</v>
      </c>
      <c r="K3433" t="str" cm="1">
        <f t="array" ref="K3433">_xlfn.IFS(ISBLANK(I3433),"FALTANTE",ABS((I3433-$W$8)/$X$8)&gt;1.92,"ATÍPICO",ABS((I3433-$W$8)/$X$8)&lt;=1.92,"NO ATÍPICO")</f>
        <v>NO ATÍPICO</v>
      </c>
      <c r="L3433">
        <f t="shared" si="229"/>
        <v>690000</v>
      </c>
      <c r="M3433" t="str">
        <f t="shared" si="229"/>
        <v>ASALARIADO</v>
      </c>
      <c r="N3433">
        <f t="shared" si="230"/>
        <v>40</v>
      </c>
      <c r="O3433" s="19" t="str">
        <f t="shared" si="231"/>
        <v>600k–900k</v>
      </c>
      <c r="P3433" s="19" t="str">
        <f t="shared" si="232"/>
        <v>36-45</v>
      </c>
    </row>
    <row r="3434" spans="1:16" x14ac:dyDescent="0.25">
      <c r="A3434">
        <v>3433</v>
      </c>
      <c r="B3434" t="s">
        <v>9</v>
      </c>
      <c r="C3434">
        <v>404463</v>
      </c>
      <c r="D3434" t="s">
        <v>18</v>
      </c>
      <c r="E3434" t="s">
        <v>16</v>
      </c>
      <c r="F3434" t="s">
        <v>12</v>
      </c>
      <c r="G3434" t="s">
        <v>13</v>
      </c>
      <c r="H3434" t="s">
        <v>13</v>
      </c>
      <c r="I3434">
        <v>50</v>
      </c>
      <c r="J3434" t="str" cm="1">
        <f t="array" ref="J3434">_xlfn.IFS(ISBLANK(C3434),"FALTANTE",ABS((C3434-$W$5)/$X$5)&gt;1.96,"ATÍPICO",ABS((C3434-$W$5)/$X$5)&lt;=1.96,"NO ATÍPICO")</f>
        <v>NO ATÍPICO</v>
      </c>
      <c r="K3434" t="str" cm="1">
        <f t="array" ref="K3434">_xlfn.IFS(ISBLANK(I3434),"FALTANTE",ABS((I3434-$W$8)/$X$8)&gt;1.92,"ATÍPICO",ABS((I3434-$W$8)/$X$8)&lt;=1.92,"NO ATÍPICO")</f>
        <v>NO ATÍPICO</v>
      </c>
      <c r="L3434">
        <f t="shared" si="229"/>
        <v>404463</v>
      </c>
      <c r="M3434" t="str">
        <f t="shared" si="229"/>
        <v>TRABAJADOR INDEPENDIENTE</v>
      </c>
      <c r="N3434">
        <f t="shared" si="230"/>
        <v>50</v>
      </c>
      <c r="O3434" s="19" t="str">
        <f t="shared" si="231"/>
        <v>300k–600k</v>
      </c>
      <c r="P3434" s="19" t="str">
        <f t="shared" si="232"/>
        <v>46-55</v>
      </c>
    </row>
    <row r="3435" spans="1:16" x14ac:dyDescent="0.25">
      <c r="A3435">
        <v>3434</v>
      </c>
      <c r="B3435" t="s">
        <v>9</v>
      </c>
      <c r="C3435">
        <v>873081</v>
      </c>
      <c r="D3435" t="s">
        <v>10</v>
      </c>
      <c r="E3435" t="s">
        <v>11</v>
      </c>
      <c r="F3435" t="s">
        <v>12</v>
      </c>
      <c r="G3435" t="s">
        <v>13</v>
      </c>
      <c r="H3435" t="s">
        <v>13</v>
      </c>
      <c r="I3435">
        <v>36</v>
      </c>
      <c r="J3435" t="str" cm="1">
        <f t="array" ref="J3435">_xlfn.IFS(ISBLANK(C3435),"FALTANTE",ABS((C3435-$W$5)/$X$5)&gt;1.96,"ATÍPICO",ABS((C3435-$W$5)/$X$5)&lt;=1.96,"NO ATÍPICO")</f>
        <v>NO ATÍPICO</v>
      </c>
      <c r="K3435" t="str" cm="1">
        <f t="array" ref="K3435">_xlfn.IFS(ISBLANK(I3435),"FALTANTE",ABS((I3435-$W$8)/$X$8)&gt;1.92,"ATÍPICO",ABS((I3435-$W$8)/$X$8)&lt;=1.92,"NO ATÍPICO")</f>
        <v>NO ATÍPICO</v>
      </c>
      <c r="L3435">
        <f t="shared" si="229"/>
        <v>873081</v>
      </c>
      <c r="M3435" t="str">
        <f t="shared" si="229"/>
        <v>ASALARIADO</v>
      </c>
      <c r="N3435">
        <f t="shared" si="230"/>
        <v>36</v>
      </c>
      <c r="O3435" s="19" t="str">
        <f t="shared" si="231"/>
        <v>600k–900k</v>
      </c>
      <c r="P3435" s="19" t="str">
        <f t="shared" si="232"/>
        <v>36-45</v>
      </c>
    </row>
    <row r="3436" spans="1:16" x14ac:dyDescent="0.25">
      <c r="A3436">
        <v>3435</v>
      </c>
      <c r="B3436" t="s">
        <v>15</v>
      </c>
      <c r="C3436">
        <v>298186</v>
      </c>
      <c r="D3436" t="s">
        <v>17</v>
      </c>
      <c r="E3436" t="s">
        <v>16</v>
      </c>
      <c r="F3436" t="s">
        <v>12</v>
      </c>
      <c r="G3436" t="s">
        <v>13</v>
      </c>
      <c r="H3436" t="s">
        <v>13</v>
      </c>
      <c r="I3436">
        <v>54</v>
      </c>
      <c r="J3436" t="str" cm="1">
        <f t="array" ref="J3436">_xlfn.IFS(ISBLANK(C3436),"FALTANTE",ABS((C3436-$W$5)/$X$5)&gt;1.96,"ATÍPICO",ABS((C3436-$W$5)/$X$5)&lt;=1.96,"NO ATÍPICO")</f>
        <v>NO ATÍPICO</v>
      </c>
      <c r="K3436" t="str" cm="1">
        <f t="array" ref="K3436">_xlfn.IFS(ISBLANK(I3436),"FALTANTE",ABS((I3436-$W$8)/$X$8)&gt;1.92,"ATÍPICO",ABS((I3436-$W$8)/$X$8)&lt;=1.92,"NO ATÍPICO")</f>
        <v>NO ATÍPICO</v>
      </c>
      <c r="L3436">
        <f t="shared" si="229"/>
        <v>298186</v>
      </c>
      <c r="M3436" t="str">
        <f t="shared" si="229"/>
        <v>ASEGURADO VOLUNTARIO</v>
      </c>
      <c r="N3436">
        <f t="shared" si="230"/>
        <v>54</v>
      </c>
      <c r="O3436" s="19" t="str">
        <f t="shared" si="231"/>
        <v>0–300k</v>
      </c>
      <c r="P3436" s="19" t="str">
        <f t="shared" si="232"/>
        <v>46-55</v>
      </c>
    </row>
    <row r="3437" spans="1:16" x14ac:dyDescent="0.25">
      <c r="A3437">
        <v>3436</v>
      </c>
      <c r="B3437" t="s">
        <v>15</v>
      </c>
      <c r="C3437">
        <v>1088763.67</v>
      </c>
      <c r="D3437" t="s">
        <v>10</v>
      </c>
      <c r="E3437" t="s">
        <v>16</v>
      </c>
      <c r="F3437" t="s">
        <v>12</v>
      </c>
      <c r="G3437" t="s">
        <v>13</v>
      </c>
      <c r="H3437" t="s">
        <v>13</v>
      </c>
      <c r="I3437">
        <v>36</v>
      </c>
      <c r="J3437" t="str" cm="1">
        <f t="array" ref="J3437">_xlfn.IFS(ISBLANK(C3437),"FALTANTE",ABS((C3437-$W$5)/$X$5)&gt;1.96,"ATÍPICO",ABS((C3437-$W$5)/$X$5)&lt;=1.96,"NO ATÍPICO")</f>
        <v>NO ATÍPICO</v>
      </c>
      <c r="K3437" t="str" cm="1">
        <f t="array" ref="K3437">_xlfn.IFS(ISBLANK(I3437),"FALTANTE",ABS((I3437-$W$8)/$X$8)&gt;1.92,"ATÍPICO",ABS((I3437-$W$8)/$X$8)&lt;=1.92,"NO ATÍPICO")</f>
        <v>NO ATÍPICO</v>
      </c>
      <c r="L3437">
        <f t="shared" si="229"/>
        <v>1088763.67</v>
      </c>
      <c r="M3437" t="str">
        <f t="shared" si="229"/>
        <v>ASALARIADO</v>
      </c>
      <c r="N3437">
        <f t="shared" si="230"/>
        <v>36</v>
      </c>
      <c r="O3437" s="19" t="str">
        <f t="shared" si="231"/>
        <v>900k–1200k</v>
      </c>
      <c r="P3437" s="19" t="str">
        <f t="shared" si="232"/>
        <v>36-45</v>
      </c>
    </row>
    <row r="3438" spans="1:16" x14ac:dyDescent="0.25">
      <c r="A3438">
        <v>3437</v>
      </c>
      <c r="B3438" t="s">
        <v>9</v>
      </c>
      <c r="C3438">
        <v>300000</v>
      </c>
      <c r="D3438" t="s">
        <v>17</v>
      </c>
      <c r="E3438" t="s">
        <v>16</v>
      </c>
      <c r="F3438" t="s">
        <v>12</v>
      </c>
      <c r="G3438" t="s">
        <v>12</v>
      </c>
      <c r="H3438" t="s">
        <v>13</v>
      </c>
      <c r="I3438">
        <v>32</v>
      </c>
      <c r="J3438" t="str" cm="1">
        <f t="array" ref="J3438">_xlfn.IFS(ISBLANK(C3438),"FALTANTE",ABS((C3438-$W$5)/$X$5)&gt;1.96,"ATÍPICO",ABS((C3438-$W$5)/$X$5)&lt;=1.96,"NO ATÍPICO")</f>
        <v>NO ATÍPICO</v>
      </c>
      <c r="K3438" t="str" cm="1">
        <f t="array" ref="K3438">_xlfn.IFS(ISBLANK(I3438),"FALTANTE",ABS((I3438-$W$8)/$X$8)&gt;1.92,"ATÍPICO",ABS((I3438-$W$8)/$X$8)&lt;=1.92,"NO ATÍPICO")</f>
        <v>NO ATÍPICO</v>
      </c>
      <c r="L3438">
        <f t="shared" si="229"/>
        <v>300000</v>
      </c>
      <c r="M3438" t="str">
        <f t="shared" si="229"/>
        <v>ASEGURADO VOLUNTARIO</v>
      </c>
      <c r="N3438">
        <f t="shared" si="230"/>
        <v>32</v>
      </c>
      <c r="O3438" s="19" t="str">
        <f t="shared" si="231"/>
        <v>0–300k</v>
      </c>
      <c r="P3438" s="19" t="str">
        <f t="shared" si="232"/>
        <v>26-35</v>
      </c>
    </row>
    <row r="3439" spans="1:16" x14ac:dyDescent="0.25">
      <c r="A3439">
        <v>3438</v>
      </c>
      <c r="B3439" t="s">
        <v>9</v>
      </c>
      <c r="C3439">
        <v>934810.14</v>
      </c>
      <c r="D3439" t="s">
        <v>10</v>
      </c>
      <c r="E3439" t="s">
        <v>11</v>
      </c>
      <c r="F3439" t="s">
        <v>12</v>
      </c>
      <c r="G3439" t="s">
        <v>13</v>
      </c>
      <c r="H3439" t="s">
        <v>13</v>
      </c>
      <c r="I3439">
        <v>34</v>
      </c>
      <c r="J3439" t="str" cm="1">
        <f t="array" ref="J3439">_xlfn.IFS(ISBLANK(C3439),"FALTANTE",ABS((C3439-$W$5)/$X$5)&gt;1.96,"ATÍPICO",ABS((C3439-$W$5)/$X$5)&lt;=1.96,"NO ATÍPICO")</f>
        <v>NO ATÍPICO</v>
      </c>
      <c r="K3439" t="str" cm="1">
        <f t="array" ref="K3439">_xlfn.IFS(ISBLANK(I3439),"FALTANTE",ABS((I3439-$W$8)/$X$8)&gt;1.92,"ATÍPICO",ABS((I3439-$W$8)/$X$8)&lt;=1.92,"NO ATÍPICO")</f>
        <v>NO ATÍPICO</v>
      </c>
      <c r="L3439">
        <f t="shared" si="229"/>
        <v>934810.14</v>
      </c>
      <c r="M3439" t="str">
        <f t="shared" si="229"/>
        <v>ASALARIADO</v>
      </c>
      <c r="N3439">
        <f t="shared" si="230"/>
        <v>34</v>
      </c>
      <c r="O3439" s="19" t="str">
        <f t="shared" si="231"/>
        <v>900k–1200k</v>
      </c>
      <c r="P3439" s="19" t="str">
        <f t="shared" si="232"/>
        <v>26-35</v>
      </c>
    </row>
    <row r="3440" spans="1:16" x14ac:dyDescent="0.25">
      <c r="A3440">
        <v>3439</v>
      </c>
      <c r="B3440" t="s">
        <v>15</v>
      </c>
      <c r="C3440">
        <v>278030</v>
      </c>
      <c r="D3440" t="s">
        <v>19</v>
      </c>
      <c r="E3440" t="s">
        <v>16</v>
      </c>
      <c r="F3440" t="s">
        <v>12</v>
      </c>
      <c r="G3440" t="s">
        <v>12</v>
      </c>
      <c r="H3440" t="s">
        <v>13</v>
      </c>
      <c r="I3440">
        <v>29</v>
      </c>
      <c r="J3440" t="str" cm="1">
        <f t="array" ref="J3440">_xlfn.IFS(ISBLANK(C3440),"FALTANTE",ABS((C3440-$W$5)/$X$5)&gt;1.96,"ATÍPICO",ABS((C3440-$W$5)/$X$5)&lt;=1.96,"NO ATÍPICO")</f>
        <v>NO ATÍPICO</v>
      </c>
      <c r="K3440" t="str" cm="1">
        <f t="array" ref="K3440">_xlfn.IFS(ISBLANK(I3440),"FALTANTE",ABS((I3440-$W$8)/$X$8)&gt;1.92,"ATÍPICO",ABS((I3440-$W$8)/$X$8)&lt;=1.92,"NO ATÍPICO")</f>
        <v>NO ATÍPICO</v>
      </c>
      <c r="L3440">
        <f t="shared" si="229"/>
        <v>278030</v>
      </c>
      <c r="M3440" t="str">
        <f t="shared" si="229"/>
        <v>CONVENIOS ESPECIALES DE TRABAJADORES INDEPENDIENTES</v>
      </c>
      <c r="N3440">
        <f t="shared" si="230"/>
        <v>29</v>
      </c>
      <c r="O3440" s="19" t="str">
        <f t="shared" si="231"/>
        <v>0–300k</v>
      </c>
      <c r="P3440" s="19" t="str">
        <f t="shared" si="232"/>
        <v>26-35</v>
      </c>
    </row>
    <row r="3441" spans="1:16" x14ac:dyDescent="0.25">
      <c r="A3441">
        <v>3440</v>
      </c>
      <c r="B3441" t="s">
        <v>15</v>
      </c>
      <c r="C3441">
        <v>765893.37</v>
      </c>
      <c r="D3441" t="s">
        <v>10</v>
      </c>
      <c r="E3441" t="s">
        <v>16</v>
      </c>
      <c r="F3441" t="s">
        <v>12</v>
      </c>
      <c r="G3441" t="s">
        <v>13</v>
      </c>
      <c r="H3441" t="s">
        <v>13</v>
      </c>
      <c r="I3441">
        <v>24</v>
      </c>
      <c r="J3441" t="str" cm="1">
        <f t="array" ref="J3441">_xlfn.IFS(ISBLANK(C3441),"FALTANTE",ABS((C3441-$W$5)/$X$5)&gt;1.96,"ATÍPICO",ABS((C3441-$W$5)/$X$5)&lt;=1.96,"NO ATÍPICO")</f>
        <v>NO ATÍPICO</v>
      </c>
      <c r="K3441" t="str" cm="1">
        <f t="array" ref="K3441">_xlfn.IFS(ISBLANK(I3441),"FALTANTE",ABS((I3441-$W$8)/$X$8)&gt;1.92,"ATÍPICO",ABS((I3441-$W$8)/$X$8)&lt;=1.92,"NO ATÍPICO")</f>
        <v>NO ATÍPICO</v>
      </c>
      <c r="L3441">
        <f t="shared" si="229"/>
        <v>765893.37</v>
      </c>
      <c r="M3441" t="str">
        <f t="shared" si="229"/>
        <v>ASALARIADO</v>
      </c>
      <c r="N3441">
        <f t="shared" si="230"/>
        <v>24</v>
      </c>
      <c r="O3441" s="19" t="str">
        <f t="shared" si="231"/>
        <v>600k–900k</v>
      </c>
      <c r="P3441" s="19" t="str">
        <f t="shared" si="232"/>
        <v>18-25</v>
      </c>
    </row>
    <row r="3442" spans="1:16" x14ac:dyDescent="0.25">
      <c r="A3442">
        <v>3441</v>
      </c>
      <c r="B3442" t="s">
        <v>9</v>
      </c>
      <c r="C3442">
        <v>425426.15</v>
      </c>
      <c r="D3442" t="s">
        <v>10</v>
      </c>
      <c r="E3442" t="s">
        <v>16</v>
      </c>
      <c r="F3442" t="s">
        <v>12</v>
      </c>
      <c r="G3442" t="s">
        <v>13</v>
      </c>
      <c r="H3442" t="s">
        <v>13</v>
      </c>
      <c r="I3442">
        <v>21</v>
      </c>
      <c r="J3442" t="str" cm="1">
        <f t="array" ref="J3442">_xlfn.IFS(ISBLANK(C3442),"FALTANTE",ABS((C3442-$W$5)/$X$5)&gt;1.96,"ATÍPICO",ABS((C3442-$W$5)/$X$5)&lt;=1.96,"NO ATÍPICO")</f>
        <v>NO ATÍPICO</v>
      </c>
      <c r="K3442" t="str" cm="1">
        <f t="array" ref="K3442">_xlfn.IFS(ISBLANK(I3442),"FALTANTE",ABS((I3442-$W$8)/$X$8)&gt;1.92,"ATÍPICO",ABS((I3442-$W$8)/$X$8)&lt;=1.92,"NO ATÍPICO")</f>
        <v>NO ATÍPICO</v>
      </c>
      <c r="L3442">
        <f t="shared" si="229"/>
        <v>425426.15</v>
      </c>
      <c r="M3442" t="str">
        <f t="shared" si="229"/>
        <v>ASALARIADO</v>
      </c>
      <c r="N3442">
        <f t="shared" si="230"/>
        <v>21</v>
      </c>
      <c r="O3442" s="19" t="str">
        <f t="shared" si="231"/>
        <v>300k–600k</v>
      </c>
      <c r="P3442" s="19" t="str">
        <f t="shared" si="232"/>
        <v>18-25</v>
      </c>
    </row>
    <row r="3443" spans="1:16" x14ac:dyDescent="0.25">
      <c r="A3443">
        <v>3442</v>
      </c>
      <c r="B3443" t="s">
        <v>15</v>
      </c>
      <c r="C3443">
        <v>655560</v>
      </c>
      <c r="D3443" t="s">
        <v>10</v>
      </c>
      <c r="E3443" t="s">
        <v>11</v>
      </c>
      <c r="F3443" t="s">
        <v>12</v>
      </c>
      <c r="G3443" t="s">
        <v>13</v>
      </c>
      <c r="H3443" t="s">
        <v>13</v>
      </c>
      <c r="I3443">
        <v>39</v>
      </c>
      <c r="J3443" t="str" cm="1">
        <f t="array" ref="J3443">_xlfn.IFS(ISBLANK(C3443),"FALTANTE",ABS((C3443-$W$5)/$X$5)&gt;1.96,"ATÍPICO",ABS((C3443-$W$5)/$X$5)&lt;=1.96,"NO ATÍPICO")</f>
        <v>NO ATÍPICO</v>
      </c>
      <c r="K3443" t="str" cm="1">
        <f t="array" ref="K3443">_xlfn.IFS(ISBLANK(I3443),"FALTANTE",ABS((I3443-$W$8)/$X$8)&gt;1.92,"ATÍPICO",ABS((I3443-$W$8)/$X$8)&lt;=1.92,"NO ATÍPICO")</f>
        <v>NO ATÍPICO</v>
      </c>
      <c r="L3443">
        <f t="shared" si="229"/>
        <v>655560</v>
      </c>
      <c r="M3443" t="str">
        <f t="shared" si="229"/>
        <v>ASALARIADO</v>
      </c>
      <c r="N3443">
        <f t="shared" si="230"/>
        <v>39</v>
      </c>
      <c r="O3443" s="19" t="str">
        <f t="shared" si="231"/>
        <v>600k–900k</v>
      </c>
      <c r="P3443" s="19" t="str">
        <f t="shared" si="232"/>
        <v>36-45</v>
      </c>
    </row>
    <row r="3444" spans="1:16" x14ac:dyDescent="0.25">
      <c r="A3444">
        <v>3443</v>
      </c>
      <c r="B3444" t="s">
        <v>9</v>
      </c>
      <c r="C3444">
        <v>106848</v>
      </c>
      <c r="D3444" t="s">
        <v>10</v>
      </c>
      <c r="E3444" t="s">
        <v>16</v>
      </c>
      <c r="F3444" t="s">
        <v>12</v>
      </c>
      <c r="G3444" t="s">
        <v>12</v>
      </c>
      <c r="H3444" t="s">
        <v>13</v>
      </c>
      <c r="I3444">
        <v>36</v>
      </c>
      <c r="J3444" t="str" cm="1">
        <f t="array" ref="J3444">_xlfn.IFS(ISBLANK(C3444),"FALTANTE",ABS((C3444-$W$5)/$X$5)&gt;1.96,"ATÍPICO",ABS((C3444-$W$5)/$X$5)&lt;=1.96,"NO ATÍPICO")</f>
        <v>NO ATÍPICO</v>
      </c>
      <c r="K3444" t="str" cm="1">
        <f t="array" ref="K3444">_xlfn.IFS(ISBLANK(I3444),"FALTANTE",ABS((I3444-$W$8)/$X$8)&gt;1.92,"ATÍPICO",ABS((I3444-$W$8)/$X$8)&lt;=1.92,"NO ATÍPICO")</f>
        <v>NO ATÍPICO</v>
      </c>
      <c r="L3444">
        <f t="shared" si="229"/>
        <v>106848</v>
      </c>
      <c r="M3444" t="str">
        <f t="shared" si="229"/>
        <v>ASALARIADO</v>
      </c>
      <c r="N3444">
        <f t="shared" si="230"/>
        <v>36</v>
      </c>
      <c r="O3444" s="19" t="str">
        <f t="shared" si="231"/>
        <v>0–300k</v>
      </c>
      <c r="P3444" s="19" t="str">
        <f t="shared" si="232"/>
        <v>36-45</v>
      </c>
    </row>
    <row r="3445" spans="1:16" x14ac:dyDescent="0.25">
      <c r="A3445">
        <v>3444</v>
      </c>
      <c r="B3445" t="s">
        <v>9</v>
      </c>
      <c r="C3445">
        <v>1492130.65</v>
      </c>
      <c r="D3445" t="s">
        <v>10</v>
      </c>
      <c r="E3445" t="s">
        <v>11</v>
      </c>
      <c r="F3445" t="s">
        <v>12</v>
      </c>
      <c r="G3445" t="s">
        <v>13</v>
      </c>
      <c r="H3445" t="s">
        <v>13</v>
      </c>
      <c r="I3445">
        <v>58</v>
      </c>
      <c r="J3445" t="str" cm="1">
        <f t="array" ref="J3445">_xlfn.IFS(ISBLANK(C3445),"FALTANTE",ABS((C3445-$W$5)/$X$5)&gt;1.96,"ATÍPICO",ABS((C3445-$W$5)/$X$5)&lt;=1.96,"NO ATÍPICO")</f>
        <v>NO ATÍPICO</v>
      </c>
      <c r="K3445" t="str" cm="1">
        <f t="array" ref="K3445">_xlfn.IFS(ISBLANK(I3445),"FALTANTE",ABS((I3445-$W$8)/$X$8)&gt;1.92,"ATÍPICO",ABS((I3445-$W$8)/$X$8)&lt;=1.92,"NO ATÍPICO")</f>
        <v>NO ATÍPICO</v>
      </c>
      <c r="L3445">
        <f t="shared" si="229"/>
        <v>1492130.65</v>
      </c>
      <c r="M3445" t="str">
        <f t="shared" si="229"/>
        <v>ASALARIADO</v>
      </c>
      <c r="N3445">
        <f t="shared" si="230"/>
        <v>58</v>
      </c>
      <c r="O3445" s="19" t="str">
        <f t="shared" si="231"/>
        <v>1200k+</v>
      </c>
      <c r="P3445" s="19" t="str">
        <f t="shared" si="232"/>
        <v>56+</v>
      </c>
    </row>
    <row r="3446" spans="1:16" x14ac:dyDescent="0.25">
      <c r="A3446">
        <v>3445</v>
      </c>
      <c r="B3446" t="s">
        <v>9</v>
      </c>
      <c r="C3446">
        <v>175130</v>
      </c>
      <c r="D3446" t="s">
        <v>10</v>
      </c>
      <c r="E3446" t="s">
        <v>11</v>
      </c>
      <c r="F3446" t="s">
        <v>12</v>
      </c>
      <c r="G3446" t="s">
        <v>13</v>
      </c>
      <c r="H3446" t="s">
        <v>13</v>
      </c>
      <c r="I3446">
        <v>36</v>
      </c>
      <c r="J3446" t="str" cm="1">
        <f t="array" ref="J3446">_xlfn.IFS(ISBLANK(C3446),"FALTANTE",ABS((C3446-$W$5)/$X$5)&gt;1.96,"ATÍPICO",ABS((C3446-$W$5)/$X$5)&lt;=1.96,"NO ATÍPICO")</f>
        <v>NO ATÍPICO</v>
      </c>
      <c r="K3446" t="str" cm="1">
        <f t="array" ref="K3446">_xlfn.IFS(ISBLANK(I3446),"FALTANTE",ABS((I3446-$W$8)/$X$8)&gt;1.92,"ATÍPICO",ABS((I3446-$W$8)/$X$8)&lt;=1.92,"NO ATÍPICO")</f>
        <v>NO ATÍPICO</v>
      </c>
      <c r="L3446">
        <f t="shared" si="229"/>
        <v>175130</v>
      </c>
      <c r="M3446" t="str">
        <f t="shared" si="229"/>
        <v>ASALARIADO</v>
      </c>
      <c r="N3446">
        <f t="shared" si="230"/>
        <v>36</v>
      </c>
      <c r="O3446" s="19" t="str">
        <f t="shared" si="231"/>
        <v>0–300k</v>
      </c>
      <c r="P3446" s="19" t="str">
        <f t="shared" si="232"/>
        <v>36-45</v>
      </c>
    </row>
    <row r="3447" spans="1:16" x14ac:dyDescent="0.25">
      <c r="A3447">
        <v>3446</v>
      </c>
      <c r="B3447" t="s">
        <v>15</v>
      </c>
      <c r="C3447">
        <v>516452.8</v>
      </c>
      <c r="D3447" t="s">
        <v>10</v>
      </c>
      <c r="E3447" t="s">
        <v>11</v>
      </c>
      <c r="F3447" t="s">
        <v>12</v>
      </c>
      <c r="G3447" t="s">
        <v>13</v>
      </c>
      <c r="H3447" t="s">
        <v>13</v>
      </c>
      <c r="I3447">
        <v>30</v>
      </c>
      <c r="J3447" t="str" cm="1">
        <f t="array" ref="J3447">_xlfn.IFS(ISBLANK(C3447),"FALTANTE",ABS((C3447-$W$5)/$X$5)&gt;1.96,"ATÍPICO",ABS((C3447-$W$5)/$X$5)&lt;=1.96,"NO ATÍPICO")</f>
        <v>NO ATÍPICO</v>
      </c>
      <c r="K3447" t="str" cm="1">
        <f t="array" ref="K3447">_xlfn.IFS(ISBLANK(I3447),"FALTANTE",ABS((I3447-$W$8)/$X$8)&gt;1.92,"ATÍPICO",ABS((I3447-$W$8)/$X$8)&lt;=1.92,"NO ATÍPICO")</f>
        <v>NO ATÍPICO</v>
      </c>
      <c r="L3447">
        <f t="shared" si="229"/>
        <v>516452.8</v>
      </c>
      <c r="M3447" t="str">
        <f t="shared" si="229"/>
        <v>ASALARIADO</v>
      </c>
      <c r="N3447">
        <f t="shared" si="230"/>
        <v>30</v>
      </c>
      <c r="O3447" s="19" t="str">
        <f t="shared" si="231"/>
        <v>300k–600k</v>
      </c>
      <c r="P3447" s="19" t="str">
        <f t="shared" si="232"/>
        <v>26-35</v>
      </c>
    </row>
    <row r="3448" spans="1:16" x14ac:dyDescent="0.25">
      <c r="A3448">
        <v>3447</v>
      </c>
      <c r="B3448" t="s">
        <v>9</v>
      </c>
      <c r="C3448">
        <v>11292323.83</v>
      </c>
      <c r="D3448" t="s">
        <v>10</v>
      </c>
      <c r="E3448" t="s">
        <v>16</v>
      </c>
      <c r="F3448" t="s">
        <v>12</v>
      </c>
      <c r="G3448" t="s">
        <v>12</v>
      </c>
      <c r="H3448" t="s">
        <v>13</v>
      </c>
      <c r="I3448">
        <v>55</v>
      </c>
      <c r="J3448" t="str" cm="1">
        <f t="array" ref="J3448">_xlfn.IFS(ISBLANK(C3448),"FALTANTE",ABS((C3448-$W$5)/$X$5)&gt;1.96,"ATÍPICO",ABS((C3448-$W$5)/$X$5)&lt;=1.96,"NO ATÍPICO")</f>
        <v>ATÍPICO</v>
      </c>
      <c r="K3448" t="str" cm="1">
        <f t="array" ref="K3448">_xlfn.IFS(ISBLANK(I3448),"FALTANTE",ABS((I3448-$W$8)/$X$8)&gt;1.92,"ATÍPICO",ABS((I3448-$W$8)/$X$8)&lt;=1.92,"NO ATÍPICO")</f>
        <v>NO ATÍPICO</v>
      </c>
      <c r="L3448">
        <f t="shared" si="229"/>
        <v>11292323.83</v>
      </c>
      <c r="M3448" t="str">
        <f t="shared" si="229"/>
        <v>ASALARIADO</v>
      </c>
      <c r="N3448">
        <f t="shared" si="230"/>
        <v>55</v>
      </c>
      <c r="O3448" s="19" t="str">
        <f t="shared" si="231"/>
        <v>1200k+</v>
      </c>
      <c r="P3448" s="19" t="str">
        <f t="shared" si="232"/>
        <v>46-55</v>
      </c>
    </row>
    <row r="3449" spans="1:16" x14ac:dyDescent="0.25">
      <c r="A3449">
        <v>3448</v>
      </c>
      <c r="B3449" t="s">
        <v>15</v>
      </c>
      <c r="C3449">
        <v>815000</v>
      </c>
      <c r="D3449" t="s">
        <v>10</v>
      </c>
      <c r="E3449" t="s">
        <v>11</v>
      </c>
      <c r="F3449" t="s">
        <v>12</v>
      </c>
      <c r="G3449" t="s">
        <v>13</v>
      </c>
      <c r="H3449" t="s">
        <v>13</v>
      </c>
      <c r="I3449">
        <v>29</v>
      </c>
      <c r="J3449" t="str" cm="1">
        <f t="array" ref="J3449">_xlfn.IFS(ISBLANK(C3449),"FALTANTE",ABS((C3449-$W$5)/$X$5)&gt;1.96,"ATÍPICO",ABS((C3449-$W$5)/$X$5)&lt;=1.96,"NO ATÍPICO")</f>
        <v>NO ATÍPICO</v>
      </c>
      <c r="K3449" t="str" cm="1">
        <f t="array" ref="K3449">_xlfn.IFS(ISBLANK(I3449),"FALTANTE",ABS((I3449-$W$8)/$X$8)&gt;1.92,"ATÍPICO",ABS((I3449-$W$8)/$X$8)&lt;=1.92,"NO ATÍPICO")</f>
        <v>NO ATÍPICO</v>
      </c>
      <c r="L3449">
        <f t="shared" si="229"/>
        <v>815000</v>
      </c>
      <c r="M3449" t="str">
        <f t="shared" si="229"/>
        <v>ASALARIADO</v>
      </c>
      <c r="N3449">
        <f t="shared" si="230"/>
        <v>29</v>
      </c>
      <c r="O3449" s="19" t="str">
        <f t="shared" si="231"/>
        <v>600k–900k</v>
      </c>
      <c r="P3449" s="19" t="str">
        <f t="shared" si="232"/>
        <v>26-35</v>
      </c>
    </row>
    <row r="3450" spans="1:16" x14ac:dyDescent="0.25">
      <c r="A3450">
        <v>3449</v>
      </c>
      <c r="B3450" t="s">
        <v>15</v>
      </c>
      <c r="C3450">
        <v>1450033.3</v>
      </c>
      <c r="D3450" t="s">
        <v>10</v>
      </c>
      <c r="E3450" t="s">
        <v>11</v>
      </c>
      <c r="F3450" t="s">
        <v>12</v>
      </c>
      <c r="G3450" t="s">
        <v>13</v>
      </c>
      <c r="H3450" t="s">
        <v>13</v>
      </c>
      <c r="I3450">
        <v>32</v>
      </c>
      <c r="J3450" t="str" cm="1">
        <f t="array" ref="J3450">_xlfn.IFS(ISBLANK(C3450),"FALTANTE",ABS((C3450-$W$5)/$X$5)&gt;1.96,"ATÍPICO",ABS((C3450-$W$5)/$X$5)&lt;=1.96,"NO ATÍPICO")</f>
        <v>NO ATÍPICO</v>
      </c>
      <c r="K3450" t="str" cm="1">
        <f t="array" ref="K3450">_xlfn.IFS(ISBLANK(I3450),"FALTANTE",ABS((I3450-$W$8)/$X$8)&gt;1.92,"ATÍPICO",ABS((I3450-$W$8)/$X$8)&lt;=1.92,"NO ATÍPICO")</f>
        <v>NO ATÍPICO</v>
      </c>
      <c r="L3450">
        <f t="shared" si="229"/>
        <v>1450033.3</v>
      </c>
      <c r="M3450" t="str">
        <f t="shared" si="229"/>
        <v>ASALARIADO</v>
      </c>
      <c r="N3450">
        <f t="shared" si="230"/>
        <v>32</v>
      </c>
      <c r="O3450" s="19" t="str">
        <f t="shared" si="231"/>
        <v>1200k+</v>
      </c>
      <c r="P3450" s="19" t="str">
        <f t="shared" si="232"/>
        <v>26-35</v>
      </c>
    </row>
    <row r="3451" spans="1:16" x14ac:dyDescent="0.25">
      <c r="A3451">
        <v>3450</v>
      </c>
      <c r="B3451" t="s">
        <v>9</v>
      </c>
      <c r="C3451">
        <v>439415.1</v>
      </c>
      <c r="D3451" t="s">
        <v>10</v>
      </c>
      <c r="E3451" t="s">
        <v>16</v>
      </c>
      <c r="F3451" t="s">
        <v>12</v>
      </c>
      <c r="G3451" t="s">
        <v>13</v>
      </c>
      <c r="H3451" t="s">
        <v>13</v>
      </c>
      <c r="I3451">
        <v>52</v>
      </c>
      <c r="J3451" t="str" cm="1">
        <f t="array" ref="J3451">_xlfn.IFS(ISBLANK(C3451),"FALTANTE",ABS((C3451-$W$5)/$X$5)&gt;1.96,"ATÍPICO",ABS((C3451-$W$5)/$X$5)&lt;=1.96,"NO ATÍPICO")</f>
        <v>NO ATÍPICO</v>
      </c>
      <c r="K3451" t="str" cm="1">
        <f t="array" ref="K3451">_xlfn.IFS(ISBLANK(I3451),"FALTANTE",ABS((I3451-$W$8)/$X$8)&gt;1.92,"ATÍPICO",ABS((I3451-$W$8)/$X$8)&lt;=1.92,"NO ATÍPICO")</f>
        <v>NO ATÍPICO</v>
      </c>
      <c r="L3451">
        <f t="shared" si="229"/>
        <v>439415.1</v>
      </c>
      <c r="M3451" t="str">
        <f t="shared" si="229"/>
        <v>ASALARIADO</v>
      </c>
      <c r="N3451">
        <f t="shared" si="230"/>
        <v>52</v>
      </c>
      <c r="O3451" s="19" t="str">
        <f t="shared" si="231"/>
        <v>300k–600k</v>
      </c>
      <c r="P3451" s="19" t="str">
        <f t="shared" si="232"/>
        <v>46-55</v>
      </c>
    </row>
    <row r="3452" spans="1:16" x14ac:dyDescent="0.25">
      <c r="A3452">
        <v>3451</v>
      </c>
      <c r="B3452" t="s">
        <v>9</v>
      </c>
      <c r="C3452">
        <v>405063</v>
      </c>
      <c r="D3452" t="s">
        <v>17</v>
      </c>
      <c r="E3452" t="s">
        <v>16</v>
      </c>
      <c r="F3452" t="s">
        <v>12</v>
      </c>
      <c r="G3452" t="s">
        <v>13</v>
      </c>
      <c r="H3452" t="s">
        <v>12</v>
      </c>
      <c r="I3452">
        <v>63</v>
      </c>
      <c r="J3452" t="str" cm="1">
        <f t="array" ref="J3452">_xlfn.IFS(ISBLANK(C3452),"FALTANTE",ABS((C3452-$W$5)/$X$5)&gt;1.96,"ATÍPICO",ABS((C3452-$W$5)/$X$5)&lt;=1.96,"NO ATÍPICO")</f>
        <v>NO ATÍPICO</v>
      </c>
      <c r="K3452" t="str" cm="1">
        <f t="array" ref="K3452">_xlfn.IFS(ISBLANK(I3452),"FALTANTE",ABS((I3452-$W$8)/$X$8)&gt;1.92,"ATÍPICO",ABS((I3452-$W$8)/$X$8)&lt;=1.92,"NO ATÍPICO")</f>
        <v>NO ATÍPICO</v>
      </c>
      <c r="L3452">
        <f t="shared" si="229"/>
        <v>405063</v>
      </c>
      <c r="M3452" t="str">
        <f t="shared" si="229"/>
        <v>ASEGURADO VOLUNTARIO</v>
      </c>
      <c r="N3452">
        <f t="shared" si="230"/>
        <v>63</v>
      </c>
      <c r="O3452" s="19" t="str">
        <f t="shared" si="231"/>
        <v>300k–600k</v>
      </c>
      <c r="P3452" s="19" t="str">
        <f t="shared" si="232"/>
        <v>56+</v>
      </c>
    </row>
    <row r="3453" spans="1:16" x14ac:dyDescent="0.25">
      <c r="A3453">
        <v>3452</v>
      </c>
      <c r="B3453" t="s">
        <v>9</v>
      </c>
      <c r="C3453">
        <v>914285.71</v>
      </c>
      <c r="D3453" t="s">
        <v>10</v>
      </c>
      <c r="E3453" t="s">
        <v>16</v>
      </c>
      <c r="F3453" t="s">
        <v>12</v>
      </c>
      <c r="G3453" t="s">
        <v>13</v>
      </c>
      <c r="H3453" t="s">
        <v>13</v>
      </c>
      <c r="I3453">
        <v>43</v>
      </c>
      <c r="J3453" t="str" cm="1">
        <f t="array" ref="J3453">_xlfn.IFS(ISBLANK(C3453),"FALTANTE",ABS((C3453-$W$5)/$X$5)&gt;1.96,"ATÍPICO",ABS((C3453-$W$5)/$X$5)&lt;=1.96,"NO ATÍPICO")</f>
        <v>NO ATÍPICO</v>
      </c>
      <c r="K3453" t="str" cm="1">
        <f t="array" ref="K3453">_xlfn.IFS(ISBLANK(I3453),"FALTANTE",ABS((I3453-$W$8)/$X$8)&gt;1.92,"ATÍPICO",ABS((I3453-$W$8)/$X$8)&lt;=1.92,"NO ATÍPICO")</f>
        <v>NO ATÍPICO</v>
      </c>
      <c r="L3453">
        <f t="shared" si="229"/>
        <v>914285.71</v>
      </c>
      <c r="M3453" t="str">
        <f t="shared" si="229"/>
        <v>ASALARIADO</v>
      </c>
      <c r="N3453">
        <f t="shared" si="230"/>
        <v>43</v>
      </c>
      <c r="O3453" s="19" t="str">
        <f t="shared" si="231"/>
        <v>900k–1200k</v>
      </c>
      <c r="P3453" s="19" t="str">
        <f t="shared" si="232"/>
        <v>36-45</v>
      </c>
    </row>
    <row r="3454" spans="1:16" x14ac:dyDescent="0.25">
      <c r="A3454">
        <v>3453</v>
      </c>
      <c r="B3454" t="s">
        <v>9</v>
      </c>
      <c r="C3454">
        <v>598673</v>
      </c>
      <c r="D3454" t="s">
        <v>18</v>
      </c>
      <c r="E3454" t="s">
        <v>16</v>
      </c>
      <c r="F3454" t="s">
        <v>13</v>
      </c>
      <c r="G3454" t="s">
        <v>13</v>
      </c>
      <c r="H3454" t="s">
        <v>12</v>
      </c>
      <c r="I3454">
        <v>45</v>
      </c>
      <c r="J3454" t="str" cm="1">
        <f t="array" ref="J3454">_xlfn.IFS(ISBLANK(C3454),"FALTANTE",ABS((C3454-$W$5)/$X$5)&gt;1.96,"ATÍPICO",ABS((C3454-$W$5)/$X$5)&lt;=1.96,"NO ATÍPICO")</f>
        <v>NO ATÍPICO</v>
      </c>
      <c r="K3454" t="str" cm="1">
        <f t="array" ref="K3454">_xlfn.IFS(ISBLANK(I3454),"FALTANTE",ABS((I3454-$W$8)/$X$8)&gt;1.92,"ATÍPICO",ABS((I3454-$W$8)/$X$8)&lt;=1.92,"NO ATÍPICO")</f>
        <v>NO ATÍPICO</v>
      </c>
      <c r="L3454">
        <f t="shared" si="229"/>
        <v>598673</v>
      </c>
      <c r="M3454" t="str">
        <f t="shared" si="229"/>
        <v>TRABAJADOR INDEPENDIENTE</v>
      </c>
      <c r="N3454">
        <f t="shared" si="230"/>
        <v>45</v>
      </c>
      <c r="O3454" s="19" t="str">
        <f t="shared" si="231"/>
        <v>300k–600k</v>
      </c>
      <c r="P3454" s="19" t="str">
        <f t="shared" si="232"/>
        <v>36-45</v>
      </c>
    </row>
    <row r="3455" spans="1:16" x14ac:dyDescent="0.25">
      <c r="A3455">
        <v>3454</v>
      </c>
      <c r="B3455" t="s">
        <v>15</v>
      </c>
      <c r="C3455">
        <v>622035.84</v>
      </c>
      <c r="D3455" t="s">
        <v>10</v>
      </c>
      <c r="E3455" t="s">
        <v>11</v>
      </c>
      <c r="F3455" t="s">
        <v>12</v>
      </c>
      <c r="G3455" t="s">
        <v>13</v>
      </c>
      <c r="H3455" t="s">
        <v>13</v>
      </c>
      <c r="I3455">
        <v>27</v>
      </c>
      <c r="J3455" t="str" cm="1">
        <f t="array" ref="J3455">_xlfn.IFS(ISBLANK(C3455),"FALTANTE",ABS((C3455-$W$5)/$X$5)&gt;1.96,"ATÍPICO",ABS((C3455-$W$5)/$X$5)&lt;=1.96,"NO ATÍPICO")</f>
        <v>NO ATÍPICO</v>
      </c>
      <c r="K3455" t="str" cm="1">
        <f t="array" ref="K3455">_xlfn.IFS(ISBLANK(I3455),"FALTANTE",ABS((I3455-$W$8)/$X$8)&gt;1.92,"ATÍPICO",ABS((I3455-$W$8)/$X$8)&lt;=1.92,"NO ATÍPICO")</f>
        <v>NO ATÍPICO</v>
      </c>
      <c r="L3455">
        <f t="shared" si="229"/>
        <v>622035.84</v>
      </c>
      <c r="M3455" t="str">
        <f t="shared" si="229"/>
        <v>ASALARIADO</v>
      </c>
      <c r="N3455">
        <f t="shared" si="230"/>
        <v>27</v>
      </c>
      <c r="O3455" s="19" t="str">
        <f t="shared" si="231"/>
        <v>600k–900k</v>
      </c>
      <c r="P3455" s="19" t="str">
        <f t="shared" si="232"/>
        <v>26-35</v>
      </c>
    </row>
    <row r="3456" spans="1:16" x14ac:dyDescent="0.25">
      <c r="A3456">
        <v>3455</v>
      </c>
      <c r="B3456" t="s">
        <v>9</v>
      </c>
      <c r="C3456">
        <v>450000</v>
      </c>
      <c r="D3456" t="s">
        <v>10</v>
      </c>
      <c r="E3456" t="s">
        <v>11</v>
      </c>
      <c r="F3456" t="s">
        <v>12</v>
      </c>
      <c r="G3456" t="s">
        <v>13</v>
      </c>
      <c r="H3456" t="s">
        <v>13</v>
      </c>
      <c r="I3456">
        <v>25</v>
      </c>
      <c r="J3456" t="str" cm="1">
        <f t="array" ref="J3456">_xlfn.IFS(ISBLANK(C3456),"FALTANTE",ABS((C3456-$W$5)/$X$5)&gt;1.96,"ATÍPICO",ABS((C3456-$W$5)/$X$5)&lt;=1.96,"NO ATÍPICO")</f>
        <v>NO ATÍPICO</v>
      </c>
      <c r="K3456" t="str" cm="1">
        <f t="array" ref="K3456">_xlfn.IFS(ISBLANK(I3456),"FALTANTE",ABS((I3456-$W$8)/$X$8)&gt;1.92,"ATÍPICO",ABS((I3456-$W$8)/$X$8)&lt;=1.92,"NO ATÍPICO")</f>
        <v>NO ATÍPICO</v>
      </c>
      <c r="L3456">
        <f t="shared" si="229"/>
        <v>450000</v>
      </c>
      <c r="M3456" t="str">
        <f t="shared" si="229"/>
        <v>ASALARIADO</v>
      </c>
      <c r="N3456">
        <f t="shared" si="230"/>
        <v>25</v>
      </c>
      <c r="O3456" s="19" t="str">
        <f t="shared" si="231"/>
        <v>300k–600k</v>
      </c>
      <c r="P3456" s="19" t="str">
        <f t="shared" si="232"/>
        <v>18-25</v>
      </c>
    </row>
    <row r="3457" spans="1:16" x14ac:dyDescent="0.25">
      <c r="A3457">
        <v>3456</v>
      </c>
      <c r="B3457" t="s">
        <v>9</v>
      </c>
      <c r="C3457">
        <v>40000</v>
      </c>
      <c r="D3457" t="s">
        <v>10</v>
      </c>
      <c r="E3457" t="s">
        <v>16</v>
      </c>
      <c r="F3457" t="s">
        <v>12</v>
      </c>
      <c r="G3457" t="s">
        <v>13</v>
      </c>
      <c r="H3457" t="s">
        <v>13</v>
      </c>
      <c r="I3457">
        <v>22</v>
      </c>
      <c r="J3457" t="str" cm="1">
        <f t="array" ref="J3457">_xlfn.IFS(ISBLANK(C3457),"FALTANTE",ABS((C3457-$W$5)/$X$5)&gt;1.96,"ATÍPICO",ABS((C3457-$W$5)/$X$5)&lt;=1.96,"NO ATÍPICO")</f>
        <v>NO ATÍPICO</v>
      </c>
      <c r="K3457" t="str" cm="1">
        <f t="array" ref="K3457">_xlfn.IFS(ISBLANK(I3457),"FALTANTE",ABS((I3457-$W$8)/$X$8)&gt;1.92,"ATÍPICO",ABS((I3457-$W$8)/$X$8)&lt;=1.92,"NO ATÍPICO")</f>
        <v>NO ATÍPICO</v>
      </c>
      <c r="L3457">
        <f t="shared" si="229"/>
        <v>40000</v>
      </c>
      <c r="M3457" t="str">
        <f t="shared" si="229"/>
        <v>ASALARIADO</v>
      </c>
      <c r="N3457">
        <f t="shared" si="230"/>
        <v>22</v>
      </c>
      <c r="O3457" s="19" t="str">
        <f t="shared" si="231"/>
        <v>0–300k</v>
      </c>
      <c r="P3457" s="19" t="str">
        <f t="shared" si="232"/>
        <v>18-25</v>
      </c>
    </row>
    <row r="3458" spans="1:16" x14ac:dyDescent="0.25">
      <c r="A3458">
        <v>3457</v>
      </c>
      <c r="B3458" t="s">
        <v>15</v>
      </c>
      <c r="C3458">
        <v>925327.23</v>
      </c>
      <c r="D3458" t="s">
        <v>14</v>
      </c>
      <c r="E3458" t="s">
        <v>11</v>
      </c>
      <c r="F3458" t="s">
        <v>12</v>
      </c>
      <c r="G3458" t="s">
        <v>13</v>
      </c>
      <c r="H3458" t="s">
        <v>13</v>
      </c>
      <c r="I3458">
        <v>86</v>
      </c>
      <c r="J3458" t="str" cm="1">
        <f t="array" ref="J3458">_xlfn.IFS(ISBLANK(C3458),"FALTANTE",ABS((C3458-$W$5)/$X$5)&gt;1.96,"ATÍPICO",ABS((C3458-$W$5)/$X$5)&lt;=1.96,"NO ATÍPICO")</f>
        <v>NO ATÍPICO</v>
      </c>
      <c r="K3458" t="str" cm="1">
        <f t="array" ref="K3458">_xlfn.IFS(ISBLANK(I3458),"FALTANTE",ABS((I3458-$W$8)/$X$8)&gt;1.92,"ATÍPICO",ABS((I3458-$W$8)/$X$8)&lt;=1.92,"NO ATÍPICO")</f>
        <v>ATÍPICO</v>
      </c>
      <c r="L3458">
        <f t="shared" ref="L3458:M3521" si="233">C3458</f>
        <v>925327.23</v>
      </c>
      <c r="M3458" t="str">
        <f t="shared" si="233"/>
        <v>PENSIONADOS EN SU PROPIO SISTEMA</v>
      </c>
      <c r="N3458">
        <f t="shared" ref="N3458:N3521" si="234">I3458</f>
        <v>86</v>
      </c>
      <c r="O3458" s="19" t="str">
        <f t="shared" ref="O3458:O3521" si="235">IF(L3458&lt;=300000,"0–300k",IF(L3458&lt;=600000,"300k–600k",IF(L3458&lt;=900000,"600k–900k",IF(L3458&lt;=1200000,"900k–1200k","1200k+"))))</f>
        <v>900k–1200k</v>
      </c>
      <c r="P3458" s="19" t="str">
        <f t="shared" ref="P3458:P3521" si="236">IF(N3458 &lt;=25,"18-25", IF(N3458&lt;=35,"26-35", IF(N3458 &lt;=45,"36-45", IF(N3458&lt;=55,"46-55","56+"))))</f>
        <v>56+</v>
      </c>
    </row>
    <row r="3459" spans="1:16" x14ac:dyDescent="0.25">
      <c r="A3459">
        <v>3458</v>
      </c>
      <c r="B3459" t="s">
        <v>15</v>
      </c>
      <c r="C3459">
        <v>647099</v>
      </c>
      <c r="D3459" t="s">
        <v>10</v>
      </c>
      <c r="E3459" t="s">
        <v>11</v>
      </c>
      <c r="F3459" t="s">
        <v>12</v>
      </c>
      <c r="G3459" t="s">
        <v>13</v>
      </c>
      <c r="H3459" t="s">
        <v>13</v>
      </c>
      <c r="I3459">
        <v>35</v>
      </c>
      <c r="J3459" t="str" cm="1">
        <f t="array" ref="J3459">_xlfn.IFS(ISBLANK(C3459),"FALTANTE",ABS((C3459-$W$5)/$X$5)&gt;1.96,"ATÍPICO",ABS((C3459-$W$5)/$X$5)&lt;=1.96,"NO ATÍPICO")</f>
        <v>NO ATÍPICO</v>
      </c>
      <c r="K3459" t="str" cm="1">
        <f t="array" ref="K3459">_xlfn.IFS(ISBLANK(I3459),"FALTANTE",ABS((I3459-$W$8)/$X$8)&gt;1.92,"ATÍPICO",ABS((I3459-$W$8)/$X$8)&lt;=1.92,"NO ATÍPICO")</f>
        <v>NO ATÍPICO</v>
      </c>
      <c r="L3459">
        <f t="shared" si="233"/>
        <v>647099</v>
      </c>
      <c r="M3459" t="str">
        <f t="shared" si="233"/>
        <v>ASALARIADO</v>
      </c>
      <c r="N3459">
        <f t="shared" si="234"/>
        <v>35</v>
      </c>
      <c r="O3459" s="19" t="str">
        <f t="shared" si="235"/>
        <v>600k–900k</v>
      </c>
      <c r="P3459" s="19" t="str">
        <f t="shared" si="236"/>
        <v>26-35</v>
      </c>
    </row>
    <row r="3460" spans="1:16" x14ac:dyDescent="0.25">
      <c r="A3460">
        <v>3459</v>
      </c>
      <c r="B3460" t="s">
        <v>9</v>
      </c>
      <c r="C3460">
        <v>762280</v>
      </c>
      <c r="D3460" t="s">
        <v>10</v>
      </c>
      <c r="E3460" t="s">
        <v>16</v>
      </c>
      <c r="F3460" t="s">
        <v>12</v>
      </c>
      <c r="G3460" t="s">
        <v>13</v>
      </c>
      <c r="H3460" t="s">
        <v>13</v>
      </c>
      <c r="I3460">
        <v>39</v>
      </c>
      <c r="J3460" t="str" cm="1">
        <f t="array" ref="J3460">_xlfn.IFS(ISBLANK(C3460),"FALTANTE",ABS((C3460-$W$5)/$X$5)&gt;1.96,"ATÍPICO",ABS((C3460-$W$5)/$X$5)&lt;=1.96,"NO ATÍPICO")</f>
        <v>NO ATÍPICO</v>
      </c>
      <c r="K3460" t="str" cm="1">
        <f t="array" ref="K3460">_xlfn.IFS(ISBLANK(I3460),"FALTANTE",ABS((I3460-$W$8)/$X$8)&gt;1.92,"ATÍPICO",ABS((I3460-$W$8)/$X$8)&lt;=1.92,"NO ATÍPICO")</f>
        <v>NO ATÍPICO</v>
      </c>
      <c r="L3460">
        <f t="shared" si="233"/>
        <v>762280</v>
      </c>
      <c r="M3460" t="str">
        <f t="shared" si="233"/>
        <v>ASALARIADO</v>
      </c>
      <c r="N3460">
        <f t="shared" si="234"/>
        <v>39</v>
      </c>
      <c r="O3460" s="19" t="str">
        <f t="shared" si="235"/>
        <v>600k–900k</v>
      </c>
      <c r="P3460" s="19" t="str">
        <f t="shared" si="236"/>
        <v>36-45</v>
      </c>
    </row>
    <row r="3461" spans="1:16" x14ac:dyDescent="0.25">
      <c r="A3461">
        <v>3460</v>
      </c>
      <c r="B3461" t="s">
        <v>9</v>
      </c>
      <c r="C3461">
        <v>2000000</v>
      </c>
      <c r="D3461" t="s">
        <v>10</v>
      </c>
      <c r="E3461" t="s">
        <v>16</v>
      </c>
      <c r="F3461" t="s">
        <v>12</v>
      </c>
      <c r="G3461" t="s">
        <v>13</v>
      </c>
      <c r="H3461" t="s">
        <v>13</v>
      </c>
      <c r="I3461">
        <v>32</v>
      </c>
      <c r="J3461" t="str" cm="1">
        <f t="array" ref="J3461">_xlfn.IFS(ISBLANK(C3461),"FALTANTE",ABS((C3461-$W$5)/$X$5)&gt;1.96,"ATÍPICO",ABS((C3461-$W$5)/$X$5)&lt;=1.96,"NO ATÍPICO")</f>
        <v>NO ATÍPICO</v>
      </c>
      <c r="K3461" t="str" cm="1">
        <f t="array" ref="K3461">_xlfn.IFS(ISBLANK(I3461),"FALTANTE",ABS((I3461-$W$8)/$X$8)&gt;1.92,"ATÍPICO",ABS((I3461-$W$8)/$X$8)&lt;=1.92,"NO ATÍPICO")</f>
        <v>NO ATÍPICO</v>
      </c>
      <c r="L3461">
        <f t="shared" si="233"/>
        <v>2000000</v>
      </c>
      <c r="M3461" t="str">
        <f t="shared" si="233"/>
        <v>ASALARIADO</v>
      </c>
      <c r="N3461">
        <f t="shared" si="234"/>
        <v>32</v>
      </c>
      <c r="O3461" s="19" t="str">
        <f t="shared" si="235"/>
        <v>1200k+</v>
      </c>
      <c r="P3461" s="19" t="str">
        <f t="shared" si="236"/>
        <v>26-35</v>
      </c>
    </row>
    <row r="3462" spans="1:16" x14ac:dyDescent="0.25">
      <c r="A3462">
        <v>3461</v>
      </c>
      <c r="B3462" t="s">
        <v>9</v>
      </c>
      <c r="C3462">
        <v>1200000</v>
      </c>
      <c r="D3462" t="s">
        <v>10</v>
      </c>
      <c r="E3462" t="s">
        <v>16</v>
      </c>
      <c r="F3462" t="s">
        <v>12</v>
      </c>
      <c r="G3462" t="s">
        <v>13</v>
      </c>
      <c r="H3462" t="s">
        <v>13</v>
      </c>
      <c r="I3462">
        <v>30</v>
      </c>
      <c r="J3462" t="str" cm="1">
        <f t="array" ref="J3462">_xlfn.IFS(ISBLANK(C3462),"FALTANTE",ABS((C3462-$W$5)/$X$5)&gt;1.96,"ATÍPICO",ABS((C3462-$W$5)/$X$5)&lt;=1.96,"NO ATÍPICO")</f>
        <v>NO ATÍPICO</v>
      </c>
      <c r="K3462" t="str" cm="1">
        <f t="array" ref="K3462">_xlfn.IFS(ISBLANK(I3462),"FALTANTE",ABS((I3462-$W$8)/$X$8)&gt;1.92,"ATÍPICO",ABS((I3462-$W$8)/$X$8)&lt;=1.92,"NO ATÍPICO")</f>
        <v>NO ATÍPICO</v>
      </c>
      <c r="L3462">
        <f t="shared" si="233"/>
        <v>1200000</v>
      </c>
      <c r="M3462" t="str">
        <f t="shared" si="233"/>
        <v>ASALARIADO</v>
      </c>
      <c r="N3462">
        <f t="shared" si="234"/>
        <v>30</v>
      </c>
      <c r="O3462" s="19" t="str">
        <f t="shared" si="235"/>
        <v>900k–1200k</v>
      </c>
      <c r="P3462" s="19" t="str">
        <f t="shared" si="236"/>
        <v>26-35</v>
      </c>
    </row>
    <row r="3463" spans="1:16" x14ac:dyDescent="0.25">
      <c r="A3463">
        <v>3462</v>
      </c>
      <c r="B3463" t="s">
        <v>15</v>
      </c>
      <c r="C3463">
        <v>299647</v>
      </c>
      <c r="D3463" t="s">
        <v>17</v>
      </c>
      <c r="E3463" t="s">
        <v>16</v>
      </c>
      <c r="F3463" t="s">
        <v>12</v>
      </c>
      <c r="G3463" t="s">
        <v>13</v>
      </c>
      <c r="H3463" t="s">
        <v>13</v>
      </c>
      <c r="I3463">
        <v>55</v>
      </c>
      <c r="J3463" t="str" cm="1">
        <f t="array" ref="J3463">_xlfn.IFS(ISBLANK(C3463),"FALTANTE",ABS((C3463-$W$5)/$X$5)&gt;1.96,"ATÍPICO",ABS((C3463-$W$5)/$X$5)&lt;=1.96,"NO ATÍPICO")</f>
        <v>NO ATÍPICO</v>
      </c>
      <c r="K3463" t="str" cm="1">
        <f t="array" ref="K3463">_xlfn.IFS(ISBLANK(I3463),"FALTANTE",ABS((I3463-$W$8)/$X$8)&gt;1.92,"ATÍPICO",ABS((I3463-$W$8)/$X$8)&lt;=1.92,"NO ATÍPICO")</f>
        <v>NO ATÍPICO</v>
      </c>
      <c r="L3463">
        <f t="shared" si="233"/>
        <v>299647</v>
      </c>
      <c r="M3463" t="str">
        <f t="shared" si="233"/>
        <v>ASEGURADO VOLUNTARIO</v>
      </c>
      <c r="N3463">
        <f t="shared" si="234"/>
        <v>55</v>
      </c>
      <c r="O3463" s="19" t="str">
        <f t="shared" si="235"/>
        <v>0–300k</v>
      </c>
      <c r="P3463" s="19" t="str">
        <f t="shared" si="236"/>
        <v>46-55</v>
      </c>
    </row>
    <row r="3464" spans="1:16" x14ac:dyDescent="0.25">
      <c r="A3464">
        <v>3463</v>
      </c>
      <c r="B3464" t="s">
        <v>9</v>
      </c>
      <c r="C3464">
        <v>1195224</v>
      </c>
      <c r="D3464" t="s">
        <v>10</v>
      </c>
      <c r="E3464" t="s">
        <v>16</v>
      </c>
      <c r="F3464" t="s">
        <v>12</v>
      </c>
      <c r="G3464" t="s">
        <v>13</v>
      </c>
      <c r="H3464" t="s">
        <v>13</v>
      </c>
      <c r="I3464">
        <v>28</v>
      </c>
      <c r="J3464" t="str" cm="1">
        <f t="array" ref="J3464">_xlfn.IFS(ISBLANK(C3464),"FALTANTE",ABS((C3464-$W$5)/$X$5)&gt;1.96,"ATÍPICO",ABS((C3464-$W$5)/$X$5)&lt;=1.96,"NO ATÍPICO")</f>
        <v>NO ATÍPICO</v>
      </c>
      <c r="K3464" t="str" cm="1">
        <f t="array" ref="K3464">_xlfn.IFS(ISBLANK(I3464),"FALTANTE",ABS((I3464-$W$8)/$X$8)&gt;1.92,"ATÍPICO",ABS((I3464-$W$8)/$X$8)&lt;=1.92,"NO ATÍPICO")</f>
        <v>NO ATÍPICO</v>
      </c>
      <c r="L3464">
        <f t="shared" si="233"/>
        <v>1195224</v>
      </c>
      <c r="M3464" t="str">
        <f t="shared" si="233"/>
        <v>ASALARIADO</v>
      </c>
      <c r="N3464">
        <f t="shared" si="234"/>
        <v>28</v>
      </c>
      <c r="O3464" s="19" t="str">
        <f t="shared" si="235"/>
        <v>900k–1200k</v>
      </c>
      <c r="P3464" s="19" t="str">
        <f t="shared" si="236"/>
        <v>26-35</v>
      </c>
    </row>
    <row r="3465" spans="1:16" x14ac:dyDescent="0.25">
      <c r="A3465">
        <v>3464</v>
      </c>
      <c r="B3465" t="s">
        <v>9</v>
      </c>
      <c r="C3465">
        <v>4268905.2300000004</v>
      </c>
      <c r="D3465" t="s">
        <v>10</v>
      </c>
      <c r="E3465" t="s">
        <v>16</v>
      </c>
      <c r="F3465" t="s">
        <v>12</v>
      </c>
      <c r="G3465" t="s">
        <v>13</v>
      </c>
      <c r="H3465" t="s">
        <v>13</v>
      </c>
      <c r="I3465">
        <v>61</v>
      </c>
      <c r="J3465" t="str" cm="1">
        <f t="array" ref="J3465">_xlfn.IFS(ISBLANK(C3465),"FALTANTE",ABS((C3465-$W$5)/$X$5)&gt;1.96,"ATÍPICO",ABS((C3465-$W$5)/$X$5)&lt;=1.96,"NO ATÍPICO")</f>
        <v>ATÍPICO</v>
      </c>
      <c r="K3465" t="str" cm="1">
        <f t="array" ref="K3465">_xlfn.IFS(ISBLANK(I3465),"FALTANTE",ABS((I3465-$W$8)/$X$8)&gt;1.92,"ATÍPICO",ABS((I3465-$W$8)/$X$8)&lt;=1.92,"NO ATÍPICO")</f>
        <v>NO ATÍPICO</v>
      </c>
      <c r="L3465">
        <f t="shared" si="233"/>
        <v>4268905.2300000004</v>
      </c>
      <c r="M3465" t="str">
        <f t="shared" si="233"/>
        <v>ASALARIADO</v>
      </c>
      <c r="N3465">
        <f t="shared" si="234"/>
        <v>61</v>
      </c>
      <c r="O3465" s="19" t="str">
        <f t="shared" si="235"/>
        <v>1200k+</v>
      </c>
      <c r="P3465" s="19" t="str">
        <f t="shared" si="236"/>
        <v>56+</v>
      </c>
    </row>
    <row r="3466" spans="1:16" x14ac:dyDescent="0.25">
      <c r="A3466">
        <v>3465</v>
      </c>
      <c r="B3466" t="s">
        <v>9</v>
      </c>
      <c r="C3466">
        <v>677945.4</v>
      </c>
      <c r="D3466" t="s">
        <v>10</v>
      </c>
      <c r="E3466" t="s">
        <v>16</v>
      </c>
      <c r="F3466" t="s">
        <v>12</v>
      </c>
      <c r="G3466" t="s">
        <v>13</v>
      </c>
      <c r="H3466" t="s">
        <v>13</v>
      </c>
      <c r="I3466">
        <v>61</v>
      </c>
      <c r="J3466" t="str" cm="1">
        <f t="array" ref="J3466">_xlfn.IFS(ISBLANK(C3466),"FALTANTE",ABS((C3466-$W$5)/$X$5)&gt;1.96,"ATÍPICO",ABS((C3466-$W$5)/$X$5)&lt;=1.96,"NO ATÍPICO")</f>
        <v>NO ATÍPICO</v>
      </c>
      <c r="K3466" t="str" cm="1">
        <f t="array" ref="K3466">_xlfn.IFS(ISBLANK(I3466),"FALTANTE",ABS((I3466-$W$8)/$X$8)&gt;1.92,"ATÍPICO",ABS((I3466-$W$8)/$X$8)&lt;=1.92,"NO ATÍPICO")</f>
        <v>NO ATÍPICO</v>
      </c>
      <c r="L3466">
        <f t="shared" si="233"/>
        <v>677945.4</v>
      </c>
      <c r="M3466" t="str">
        <f t="shared" si="233"/>
        <v>ASALARIADO</v>
      </c>
      <c r="N3466">
        <f t="shared" si="234"/>
        <v>61</v>
      </c>
      <c r="O3466" s="19" t="str">
        <f t="shared" si="235"/>
        <v>600k–900k</v>
      </c>
      <c r="P3466" s="19" t="str">
        <f t="shared" si="236"/>
        <v>56+</v>
      </c>
    </row>
    <row r="3467" spans="1:16" x14ac:dyDescent="0.25">
      <c r="A3467">
        <v>3466</v>
      </c>
      <c r="B3467" t="s">
        <v>9</v>
      </c>
      <c r="C3467">
        <v>434729</v>
      </c>
      <c r="D3467" t="s">
        <v>10</v>
      </c>
      <c r="E3467" t="s">
        <v>16</v>
      </c>
      <c r="F3467" t="s">
        <v>12</v>
      </c>
      <c r="G3467" t="s">
        <v>13</v>
      </c>
      <c r="H3467" t="s">
        <v>13</v>
      </c>
      <c r="I3467">
        <v>40</v>
      </c>
      <c r="J3467" t="str" cm="1">
        <f t="array" ref="J3467">_xlfn.IFS(ISBLANK(C3467),"FALTANTE",ABS((C3467-$W$5)/$X$5)&gt;1.96,"ATÍPICO",ABS((C3467-$W$5)/$X$5)&lt;=1.96,"NO ATÍPICO")</f>
        <v>NO ATÍPICO</v>
      </c>
      <c r="K3467" t="str" cm="1">
        <f t="array" ref="K3467">_xlfn.IFS(ISBLANK(I3467),"FALTANTE",ABS((I3467-$W$8)/$X$8)&gt;1.92,"ATÍPICO",ABS((I3467-$W$8)/$X$8)&lt;=1.92,"NO ATÍPICO")</f>
        <v>NO ATÍPICO</v>
      </c>
      <c r="L3467">
        <f t="shared" si="233"/>
        <v>434729</v>
      </c>
      <c r="M3467" t="str">
        <f t="shared" si="233"/>
        <v>ASALARIADO</v>
      </c>
      <c r="N3467">
        <f t="shared" si="234"/>
        <v>40</v>
      </c>
      <c r="O3467" s="19" t="str">
        <f t="shared" si="235"/>
        <v>300k–600k</v>
      </c>
      <c r="P3467" s="19" t="str">
        <f t="shared" si="236"/>
        <v>36-45</v>
      </c>
    </row>
    <row r="3468" spans="1:16" x14ac:dyDescent="0.25">
      <c r="A3468">
        <v>3467</v>
      </c>
      <c r="B3468" t="s">
        <v>15</v>
      </c>
      <c r="C3468">
        <v>817963.42</v>
      </c>
      <c r="D3468" t="s">
        <v>10</v>
      </c>
      <c r="E3468" t="s">
        <v>11</v>
      </c>
      <c r="F3468" t="s">
        <v>12</v>
      </c>
      <c r="G3468" t="s">
        <v>13</v>
      </c>
      <c r="H3468" t="s">
        <v>13</v>
      </c>
      <c r="I3468">
        <v>52</v>
      </c>
      <c r="J3468" t="str" cm="1">
        <f t="array" ref="J3468">_xlfn.IFS(ISBLANK(C3468),"FALTANTE",ABS((C3468-$W$5)/$X$5)&gt;1.96,"ATÍPICO",ABS((C3468-$W$5)/$X$5)&lt;=1.96,"NO ATÍPICO")</f>
        <v>NO ATÍPICO</v>
      </c>
      <c r="K3468" t="str" cm="1">
        <f t="array" ref="K3468">_xlfn.IFS(ISBLANK(I3468),"FALTANTE",ABS((I3468-$W$8)/$X$8)&gt;1.92,"ATÍPICO",ABS((I3468-$W$8)/$X$8)&lt;=1.92,"NO ATÍPICO")</f>
        <v>NO ATÍPICO</v>
      </c>
      <c r="L3468">
        <f t="shared" si="233"/>
        <v>817963.42</v>
      </c>
      <c r="M3468" t="str">
        <f t="shared" si="233"/>
        <v>ASALARIADO</v>
      </c>
      <c r="N3468">
        <f t="shared" si="234"/>
        <v>52</v>
      </c>
      <c r="O3468" s="19" t="str">
        <f t="shared" si="235"/>
        <v>600k–900k</v>
      </c>
      <c r="P3468" s="19" t="str">
        <f t="shared" si="236"/>
        <v>46-55</v>
      </c>
    </row>
    <row r="3469" spans="1:16" x14ac:dyDescent="0.25">
      <c r="A3469">
        <v>3468</v>
      </c>
      <c r="B3469" t="s">
        <v>15</v>
      </c>
      <c r="C3469">
        <v>278030</v>
      </c>
      <c r="D3469" t="s">
        <v>17</v>
      </c>
      <c r="E3469" t="s">
        <v>16</v>
      </c>
      <c r="F3469" t="s">
        <v>12</v>
      </c>
      <c r="G3469" t="s">
        <v>13</v>
      </c>
      <c r="H3469" t="s">
        <v>13</v>
      </c>
      <c r="I3469">
        <v>55</v>
      </c>
      <c r="J3469" t="str" cm="1">
        <f t="array" ref="J3469">_xlfn.IFS(ISBLANK(C3469),"FALTANTE",ABS((C3469-$W$5)/$X$5)&gt;1.96,"ATÍPICO",ABS((C3469-$W$5)/$X$5)&lt;=1.96,"NO ATÍPICO")</f>
        <v>NO ATÍPICO</v>
      </c>
      <c r="K3469" t="str" cm="1">
        <f t="array" ref="K3469">_xlfn.IFS(ISBLANK(I3469),"FALTANTE",ABS((I3469-$W$8)/$X$8)&gt;1.92,"ATÍPICO",ABS((I3469-$W$8)/$X$8)&lt;=1.92,"NO ATÍPICO")</f>
        <v>NO ATÍPICO</v>
      </c>
      <c r="L3469">
        <f t="shared" si="233"/>
        <v>278030</v>
      </c>
      <c r="M3469" t="str">
        <f t="shared" si="233"/>
        <v>ASEGURADO VOLUNTARIO</v>
      </c>
      <c r="N3469">
        <f t="shared" si="234"/>
        <v>55</v>
      </c>
      <c r="O3469" s="19" t="str">
        <f t="shared" si="235"/>
        <v>0–300k</v>
      </c>
      <c r="P3469" s="19" t="str">
        <f t="shared" si="236"/>
        <v>46-55</v>
      </c>
    </row>
    <row r="3470" spans="1:16" x14ac:dyDescent="0.25">
      <c r="A3470">
        <v>3469</v>
      </c>
      <c r="B3470" t="s">
        <v>15</v>
      </c>
      <c r="C3470">
        <v>400000</v>
      </c>
      <c r="D3470" t="s">
        <v>10</v>
      </c>
      <c r="E3470" t="s">
        <v>16</v>
      </c>
      <c r="F3470" t="s">
        <v>12</v>
      </c>
      <c r="G3470" t="s">
        <v>13</v>
      </c>
      <c r="H3470" t="s">
        <v>13</v>
      </c>
      <c r="I3470">
        <v>40</v>
      </c>
      <c r="J3470" t="str" cm="1">
        <f t="array" ref="J3470">_xlfn.IFS(ISBLANK(C3470),"FALTANTE",ABS((C3470-$W$5)/$X$5)&gt;1.96,"ATÍPICO",ABS((C3470-$W$5)/$X$5)&lt;=1.96,"NO ATÍPICO")</f>
        <v>NO ATÍPICO</v>
      </c>
      <c r="K3470" t="str" cm="1">
        <f t="array" ref="K3470">_xlfn.IFS(ISBLANK(I3470),"FALTANTE",ABS((I3470-$W$8)/$X$8)&gt;1.92,"ATÍPICO",ABS((I3470-$W$8)/$X$8)&lt;=1.92,"NO ATÍPICO")</f>
        <v>NO ATÍPICO</v>
      </c>
      <c r="L3470">
        <f t="shared" si="233"/>
        <v>400000</v>
      </c>
      <c r="M3470" t="str">
        <f t="shared" si="233"/>
        <v>ASALARIADO</v>
      </c>
      <c r="N3470">
        <f t="shared" si="234"/>
        <v>40</v>
      </c>
      <c r="O3470" s="19" t="str">
        <f t="shared" si="235"/>
        <v>300k–600k</v>
      </c>
      <c r="P3470" s="19" t="str">
        <f t="shared" si="236"/>
        <v>36-45</v>
      </c>
    </row>
    <row r="3471" spans="1:16" x14ac:dyDescent="0.25">
      <c r="A3471">
        <v>3470</v>
      </c>
      <c r="B3471" t="s">
        <v>9</v>
      </c>
      <c r="C3471">
        <v>324880</v>
      </c>
      <c r="D3471" t="s">
        <v>10</v>
      </c>
      <c r="E3471" t="s">
        <v>16</v>
      </c>
      <c r="F3471" t="s">
        <v>12</v>
      </c>
      <c r="G3471" t="s">
        <v>13</v>
      </c>
      <c r="H3471" t="s">
        <v>13</v>
      </c>
      <c r="I3471">
        <v>37</v>
      </c>
      <c r="J3471" t="str" cm="1">
        <f t="array" ref="J3471">_xlfn.IFS(ISBLANK(C3471),"FALTANTE",ABS((C3471-$W$5)/$X$5)&gt;1.96,"ATÍPICO",ABS((C3471-$W$5)/$X$5)&lt;=1.96,"NO ATÍPICO")</f>
        <v>NO ATÍPICO</v>
      </c>
      <c r="K3471" t="str" cm="1">
        <f t="array" ref="K3471">_xlfn.IFS(ISBLANK(I3471),"FALTANTE",ABS((I3471-$W$8)/$X$8)&gt;1.92,"ATÍPICO",ABS((I3471-$W$8)/$X$8)&lt;=1.92,"NO ATÍPICO")</f>
        <v>NO ATÍPICO</v>
      </c>
      <c r="L3471">
        <f t="shared" si="233"/>
        <v>324880</v>
      </c>
      <c r="M3471" t="str">
        <f t="shared" si="233"/>
        <v>ASALARIADO</v>
      </c>
      <c r="N3471">
        <f t="shared" si="234"/>
        <v>37</v>
      </c>
      <c r="O3471" s="19" t="str">
        <f t="shared" si="235"/>
        <v>300k–600k</v>
      </c>
      <c r="P3471" s="19" t="str">
        <f t="shared" si="236"/>
        <v>36-45</v>
      </c>
    </row>
    <row r="3472" spans="1:16" x14ac:dyDescent="0.25">
      <c r="A3472">
        <v>3471</v>
      </c>
      <c r="B3472" t="s">
        <v>9</v>
      </c>
      <c r="C3472">
        <v>427070.54</v>
      </c>
      <c r="D3472" t="s">
        <v>10</v>
      </c>
      <c r="E3472" t="s">
        <v>16</v>
      </c>
      <c r="F3472" t="s">
        <v>12</v>
      </c>
      <c r="G3472" t="s">
        <v>12</v>
      </c>
      <c r="H3472" t="s">
        <v>13</v>
      </c>
      <c r="I3472">
        <v>61</v>
      </c>
      <c r="J3472" t="str" cm="1">
        <f t="array" ref="J3472">_xlfn.IFS(ISBLANK(C3472),"FALTANTE",ABS((C3472-$W$5)/$X$5)&gt;1.96,"ATÍPICO",ABS((C3472-$W$5)/$X$5)&lt;=1.96,"NO ATÍPICO")</f>
        <v>NO ATÍPICO</v>
      </c>
      <c r="K3472" t="str" cm="1">
        <f t="array" ref="K3472">_xlfn.IFS(ISBLANK(I3472),"FALTANTE",ABS((I3472-$W$8)/$X$8)&gt;1.92,"ATÍPICO",ABS((I3472-$W$8)/$X$8)&lt;=1.92,"NO ATÍPICO")</f>
        <v>NO ATÍPICO</v>
      </c>
      <c r="L3472">
        <f t="shared" si="233"/>
        <v>427070.54</v>
      </c>
      <c r="M3472" t="str">
        <f t="shared" si="233"/>
        <v>ASALARIADO</v>
      </c>
      <c r="N3472">
        <f t="shared" si="234"/>
        <v>61</v>
      </c>
      <c r="O3472" s="19" t="str">
        <f t="shared" si="235"/>
        <v>300k–600k</v>
      </c>
      <c r="P3472" s="19" t="str">
        <f t="shared" si="236"/>
        <v>56+</v>
      </c>
    </row>
    <row r="3473" spans="1:16" x14ac:dyDescent="0.25">
      <c r="A3473">
        <v>3472</v>
      </c>
      <c r="B3473" t="s">
        <v>9</v>
      </c>
      <c r="C3473">
        <v>300018</v>
      </c>
      <c r="D3473" t="s">
        <v>18</v>
      </c>
      <c r="E3473" t="s">
        <v>16</v>
      </c>
      <c r="F3473" t="s">
        <v>12</v>
      </c>
      <c r="G3473" t="s">
        <v>13</v>
      </c>
      <c r="H3473" t="s">
        <v>12</v>
      </c>
      <c r="I3473">
        <v>47</v>
      </c>
      <c r="J3473" t="str" cm="1">
        <f t="array" ref="J3473">_xlfn.IFS(ISBLANK(C3473),"FALTANTE",ABS((C3473-$W$5)/$X$5)&gt;1.96,"ATÍPICO",ABS((C3473-$W$5)/$X$5)&lt;=1.96,"NO ATÍPICO")</f>
        <v>NO ATÍPICO</v>
      </c>
      <c r="K3473" t="str" cm="1">
        <f t="array" ref="K3473">_xlfn.IFS(ISBLANK(I3473),"FALTANTE",ABS((I3473-$W$8)/$X$8)&gt;1.92,"ATÍPICO",ABS((I3473-$W$8)/$X$8)&lt;=1.92,"NO ATÍPICO")</f>
        <v>NO ATÍPICO</v>
      </c>
      <c r="L3473">
        <f t="shared" si="233"/>
        <v>300018</v>
      </c>
      <c r="M3473" t="str">
        <f t="shared" si="233"/>
        <v>TRABAJADOR INDEPENDIENTE</v>
      </c>
      <c r="N3473">
        <f t="shared" si="234"/>
        <v>47</v>
      </c>
      <c r="O3473" s="19" t="str">
        <f t="shared" si="235"/>
        <v>300k–600k</v>
      </c>
      <c r="P3473" s="19" t="str">
        <f t="shared" si="236"/>
        <v>46-55</v>
      </c>
    </row>
    <row r="3474" spans="1:16" x14ac:dyDescent="0.25">
      <c r="A3474">
        <v>3473</v>
      </c>
      <c r="B3474" t="s">
        <v>9</v>
      </c>
      <c r="C3474">
        <v>285000</v>
      </c>
      <c r="D3474" t="s">
        <v>10</v>
      </c>
      <c r="E3474" t="s">
        <v>16</v>
      </c>
      <c r="F3474" t="s">
        <v>12</v>
      </c>
      <c r="G3474" t="s">
        <v>12</v>
      </c>
      <c r="H3474" t="s">
        <v>13</v>
      </c>
      <c r="I3474">
        <v>29</v>
      </c>
      <c r="J3474" t="str" cm="1">
        <f t="array" ref="J3474">_xlfn.IFS(ISBLANK(C3474),"FALTANTE",ABS((C3474-$W$5)/$X$5)&gt;1.96,"ATÍPICO",ABS((C3474-$W$5)/$X$5)&lt;=1.96,"NO ATÍPICO")</f>
        <v>NO ATÍPICO</v>
      </c>
      <c r="K3474" t="str" cm="1">
        <f t="array" ref="K3474">_xlfn.IFS(ISBLANK(I3474),"FALTANTE",ABS((I3474-$W$8)/$X$8)&gt;1.92,"ATÍPICO",ABS((I3474-$W$8)/$X$8)&lt;=1.92,"NO ATÍPICO")</f>
        <v>NO ATÍPICO</v>
      </c>
      <c r="L3474">
        <f t="shared" si="233"/>
        <v>285000</v>
      </c>
      <c r="M3474" t="str">
        <f t="shared" si="233"/>
        <v>ASALARIADO</v>
      </c>
      <c r="N3474">
        <f t="shared" si="234"/>
        <v>29</v>
      </c>
      <c r="O3474" s="19" t="str">
        <f t="shared" si="235"/>
        <v>0–300k</v>
      </c>
      <c r="P3474" s="19" t="str">
        <f t="shared" si="236"/>
        <v>26-35</v>
      </c>
    </row>
    <row r="3475" spans="1:16" x14ac:dyDescent="0.25">
      <c r="A3475">
        <v>3474</v>
      </c>
      <c r="B3475" t="s">
        <v>9</v>
      </c>
      <c r="C3475">
        <v>383254</v>
      </c>
      <c r="D3475" t="s">
        <v>18</v>
      </c>
      <c r="E3475" t="s">
        <v>16</v>
      </c>
      <c r="F3475" t="s">
        <v>12</v>
      </c>
      <c r="G3475" t="s">
        <v>13</v>
      </c>
      <c r="H3475" t="s">
        <v>13</v>
      </c>
      <c r="I3475">
        <v>45</v>
      </c>
      <c r="J3475" t="str" cm="1">
        <f t="array" ref="J3475">_xlfn.IFS(ISBLANK(C3475),"FALTANTE",ABS((C3475-$W$5)/$X$5)&gt;1.96,"ATÍPICO",ABS((C3475-$W$5)/$X$5)&lt;=1.96,"NO ATÍPICO")</f>
        <v>NO ATÍPICO</v>
      </c>
      <c r="K3475" t="str" cm="1">
        <f t="array" ref="K3475">_xlfn.IFS(ISBLANK(I3475),"FALTANTE",ABS((I3475-$W$8)/$X$8)&gt;1.92,"ATÍPICO",ABS((I3475-$W$8)/$X$8)&lt;=1.92,"NO ATÍPICO")</f>
        <v>NO ATÍPICO</v>
      </c>
      <c r="L3475">
        <f t="shared" si="233"/>
        <v>383254</v>
      </c>
      <c r="M3475" t="str">
        <f t="shared" si="233"/>
        <v>TRABAJADOR INDEPENDIENTE</v>
      </c>
      <c r="N3475">
        <f t="shared" si="234"/>
        <v>45</v>
      </c>
      <c r="O3475" s="19" t="str">
        <f t="shared" si="235"/>
        <v>300k–600k</v>
      </c>
      <c r="P3475" s="19" t="str">
        <f t="shared" si="236"/>
        <v>36-45</v>
      </c>
    </row>
    <row r="3476" spans="1:16" x14ac:dyDescent="0.25">
      <c r="A3476">
        <v>3475</v>
      </c>
      <c r="B3476" t="s">
        <v>9</v>
      </c>
      <c r="C3476">
        <v>299647</v>
      </c>
      <c r="D3476" t="s">
        <v>17</v>
      </c>
      <c r="E3476" t="s">
        <v>16</v>
      </c>
      <c r="F3476" t="s">
        <v>12</v>
      </c>
      <c r="G3476" t="s">
        <v>13</v>
      </c>
      <c r="H3476" t="s">
        <v>13</v>
      </c>
      <c r="I3476">
        <v>82</v>
      </c>
      <c r="J3476" t="str" cm="1">
        <f t="array" ref="J3476">_xlfn.IFS(ISBLANK(C3476),"FALTANTE",ABS((C3476-$W$5)/$X$5)&gt;1.96,"ATÍPICO",ABS((C3476-$W$5)/$X$5)&lt;=1.96,"NO ATÍPICO")</f>
        <v>NO ATÍPICO</v>
      </c>
      <c r="K3476" t="str" cm="1">
        <f t="array" ref="K3476">_xlfn.IFS(ISBLANK(I3476),"FALTANTE",ABS((I3476-$W$8)/$X$8)&gt;1.92,"ATÍPICO",ABS((I3476-$W$8)/$X$8)&lt;=1.92,"NO ATÍPICO")</f>
        <v>ATÍPICO</v>
      </c>
      <c r="L3476">
        <f t="shared" si="233"/>
        <v>299647</v>
      </c>
      <c r="M3476" t="str">
        <f t="shared" si="233"/>
        <v>ASEGURADO VOLUNTARIO</v>
      </c>
      <c r="N3476">
        <f t="shared" si="234"/>
        <v>82</v>
      </c>
      <c r="O3476" s="19" t="str">
        <f t="shared" si="235"/>
        <v>0–300k</v>
      </c>
      <c r="P3476" s="19" t="str">
        <f t="shared" si="236"/>
        <v>56+</v>
      </c>
    </row>
    <row r="3477" spans="1:16" x14ac:dyDescent="0.25">
      <c r="A3477">
        <v>3476</v>
      </c>
      <c r="B3477" t="s">
        <v>15</v>
      </c>
      <c r="C3477">
        <v>388243.95</v>
      </c>
      <c r="D3477" t="s">
        <v>10</v>
      </c>
      <c r="E3477" t="s">
        <v>16</v>
      </c>
      <c r="F3477" t="s">
        <v>12</v>
      </c>
      <c r="G3477" t="s">
        <v>13</v>
      </c>
      <c r="H3477" t="s">
        <v>13</v>
      </c>
      <c r="I3477">
        <v>27</v>
      </c>
      <c r="J3477" t="str" cm="1">
        <f t="array" ref="J3477">_xlfn.IFS(ISBLANK(C3477),"FALTANTE",ABS((C3477-$W$5)/$X$5)&gt;1.96,"ATÍPICO",ABS((C3477-$W$5)/$X$5)&lt;=1.96,"NO ATÍPICO")</f>
        <v>NO ATÍPICO</v>
      </c>
      <c r="K3477" t="str" cm="1">
        <f t="array" ref="K3477">_xlfn.IFS(ISBLANK(I3477),"FALTANTE",ABS((I3477-$W$8)/$X$8)&gt;1.92,"ATÍPICO",ABS((I3477-$W$8)/$X$8)&lt;=1.92,"NO ATÍPICO")</f>
        <v>NO ATÍPICO</v>
      </c>
      <c r="L3477">
        <f t="shared" si="233"/>
        <v>388243.95</v>
      </c>
      <c r="M3477" t="str">
        <f t="shared" si="233"/>
        <v>ASALARIADO</v>
      </c>
      <c r="N3477">
        <f t="shared" si="234"/>
        <v>27</v>
      </c>
      <c r="O3477" s="19" t="str">
        <f t="shared" si="235"/>
        <v>300k–600k</v>
      </c>
      <c r="P3477" s="19" t="str">
        <f t="shared" si="236"/>
        <v>26-35</v>
      </c>
    </row>
    <row r="3478" spans="1:16" x14ac:dyDescent="0.25">
      <c r="A3478">
        <v>3477</v>
      </c>
      <c r="B3478" t="s">
        <v>9</v>
      </c>
      <c r="C3478">
        <v>403164.44</v>
      </c>
      <c r="D3478" t="s">
        <v>10</v>
      </c>
      <c r="E3478" t="s">
        <v>16</v>
      </c>
      <c r="F3478" t="s">
        <v>12</v>
      </c>
      <c r="G3478" t="s">
        <v>13</v>
      </c>
      <c r="H3478" t="s">
        <v>13</v>
      </c>
      <c r="I3478">
        <v>62</v>
      </c>
      <c r="J3478" t="str" cm="1">
        <f t="array" ref="J3478">_xlfn.IFS(ISBLANK(C3478),"FALTANTE",ABS((C3478-$W$5)/$X$5)&gt;1.96,"ATÍPICO",ABS((C3478-$W$5)/$X$5)&lt;=1.96,"NO ATÍPICO")</f>
        <v>NO ATÍPICO</v>
      </c>
      <c r="K3478" t="str" cm="1">
        <f t="array" ref="K3478">_xlfn.IFS(ISBLANK(I3478),"FALTANTE",ABS((I3478-$W$8)/$X$8)&gt;1.92,"ATÍPICO",ABS((I3478-$W$8)/$X$8)&lt;=1.92,"NO ATÍPICO")</f>
        <v>NO ATÍPICO</v>
      </c>
      <c r="L3478">
        <f t="shared" si="233"/>
        <v>403164.44</v>
      </c>
      <c r="M3478" t="str">
        <f t="shared" si="233"/>
        <v>ASALARIADO</v>
      </c>
      <c r="N3478">
        <f t="shared" si="234"/>
        <v>62</v>
      </c>
      <c r="O3478" s="19" t="str">
        <f t="shared" si="235"/>
        <v>300k–600k</v>
      </c>
      <c r="P3478" s="19" t="str">
        <f t="shared" si="236"/>
        <v>56+</v>
      </c>
    </row>
    <row r="3479" spans="1:16" x14ac:dyDescent="0.25">
      <c r="A3479">
        <v>3478</v>
      </c>
      <c r="B3479" t="s">
        <v>9</v>
      </c>
      <c r="C3479">
        <v>14173194</v>
      </c>
      <c r="D3479" t="s">
        <v>14</v>
      </c>
      <c r="E3479" t="s">
        <v>11</v>
      </c>
      <c r="F3479" t="s">
        <v>12</v>
      </c>
      <c r="G3479" t="s">
        <v>13</v>
      </c>
      <c r="H3479" t="s">
        <v>13</v>
      </c>
      <c r="I3479">
        <v>73</v>
      </c>
      <c r="J3479" t="str" cm="1">
        <f t="array" ref="J3479">_xlfn.IFS(ISBLANK(C3479),"FALTANTE",ABS((C3479-$W$5)/$X$5)&gt;1.96,"ATÍPICO",ABS((C3479-$W$5)/$X$5)&lt;=1.96,"NO ATÍPICO")</f>
        <v>ATÍPICO</v>
      </c>
      <c r="K3479" t="str" cm="1">
        <f t="array" ref="K3479">_xlfn.IFS(ISBLANK(I3479),"FALTANTE",ABS((I3479-$W$8)/$X$8)&gt;1.92,"ATÍPICO",ABS((I3479-$W$8)/$X$8)&lt;=1.92,"NO ATÍPICO")</f>
        <v>ATÍPICO</v>
      </c>
      <c r="L3479">
        <f t="shared" si="233"/>
        <v>14173194</v>
      </c>
      <c r="M3479" t="str">
        <f t="shared" si="233"/>
        <v>PENSIONADOS EN SU PROPIO SISTEMA</v>
      </c>
      <c r="N3479">
        <f t="shared" si="234"/>
        <v>73</v>
      </c>
      <c r="O3479" s="19" t="str">
        <f t="shared" si="235"/>
        <v>1200k+</v>
      </c>
      <c r="P3479" s="19" t="str">
        <f t="shared" si="236"/>
        <v>56+</v>
      </c>
    </row>
    <row r="3480" spans="1:16" x14ac:dyDescent="0.25">
      <c r="A3480">
        <v>3479</v>
      </c>
      <c r="B3480" t="s">
        <v>9</v>
      </c>
      <c r="C3480">
        <v>295206.84999999998</v>
      </c>
      <c r="D3480" t="s">
        <v>10</v>
      </c>
      <c r="E3480" t="s">
        <v>16</v>
      </c>
      <c r="F3480" t="s">
        <v>12</v>
      </c>
      <c r="G3480" t="s">
        <v>13</v>
      </c>
      <c r="H3480" t="s">
        <v>13</v>
      </c>
      <c r="I3480">
        <v>22</v>
      </c>
      <c r="J3480" t="str" cm="1">
        <f t="array" ref="J3480">_xlfn.IFS(ISBLANK(C3480),"FALTANTE",ABS((C3480-$W$5)/$X$5)&gt;1.96,"ATÍPICO",ABS((C3480-$W$5)/$X$5)&lt;=1.96,"NO ATÍPICO")</f>
        <v>NO ATÍPICO</v>
      </c>
      <c r="K3480" t="str" cm="1">
        <f t="array" ref="K3480">_xlfn.IFS(ISBLANK(I3480),"FALTANTE",ABS((I3480-$W$8)/$X$8)&gt;1.92,"ATÍPICO",ABS((I3480-$W$8)/$X$8)&lt;=1.92,"NO ATÍPICO")</f>
        <v>NO ATÍPICO</v>
      </c>
      <c r="L3480">
        <f t="shared" si="233"/>
        <v>295206.84999999998</v>
      </c>
      <c r="M3480" t="str">
        <f t="shared" si="233"/>
        <v>ASALARIADO</v>
      </c>
      <c r="N3480">
        <f t="shared" si="234"/>
        <v>22</v>
      </c>
      <c r="O3480" s="19" t="str">
        <f t="shared" si="235"/>
        <v>0–300k</v>
      </c>
      <c r="P3480" s="19" t="str">
        <f t="shared" si="236"/>
        <v>18-25</v>
      </c>
    </row>
    <row r="3481" spans="1:16" x14ac:dyDescent="0.25">
      <c r="A3481">
        <v>3480</v>
      </c>
      <c r="B3481" t="s">
        <v>9</v>
      </c>
      <c r="C3481">
        <v>1006500</v>
      </c>
      <c r="D3481" t="s">
        <v>10</v>
      </c>
      <c r="E3481" t="s">
        <v>16</v>
      </c>
      <c r="F3481" t="s">
        <v>12</v>
      </c>
      <c r="G3481" t="s">
        <v>13</v>
      </c>
      <c r="H3481" t="s">
        <v>13</v>
      </c>
      <c r="I3481">
        <v>25</v>
      </c>
      <c r="J3481" t="str" cm="1">
        <f t="array" ref="J3481">_xlfn.IFS(ISBLANK(C3481),"FALTANTE",ABS((C3481-$W$5)/$X$5)&gt;1.96,"ATÍPICO",ABS((C3481-$W$5)/$X$5)&lt;=1.96,"NO ATÍPICO")</f>
        <v>NO ATÍPICO</v>
      </c>
      <c r="K3481" t="str" cm="1">
        <f t="array" ref="K3481">_xlfn.IFS(ISBLANK(I3481),"FALTANTE",ABS((I3481-$W$8)/$X$8)&gt;1.92,"ATÍPICO",ABS((I3481-$W$8)/$X$8)&lt;=1.92,"NO ATÍPICO")</f>
        <v>NO ATÍPICO</v>
      </c>
      <c r="L3481">
        <f t="shared" si="233"/>
        <v>1006500</v>
      </c>
      <c r="M3481" t="str">
        <f t="shared" si="233"/>
        <v>ASALARIADO</v>
      </c>
      <c r="N3481">
        <f t="shared" si="234"/>
        <v>25</v>
      </c>
      <c r="O3481" s="19" t="str">
        <f t="shared" si="235"/>
        <v>900k–1200k</v>
      </c>
      <c r="P3481" s="19" t="str">
        <f t="shared" si="236"/>
        <v>18-25</v>
      </c>
    </row>
    <row r="3482" spans="1:16" x14ac:dyDescent="0.25">
      <c r="A3482">
        <v>3481</v>
      </c>
      <c r="B3482" t="s">
        <v>15</v>
      </c>
      <c r="C3482">
        <v>1314729</v>
      </c>
      <c r="D3482" t="s">
        <v>10</v>
      </c>
      <c r="E3482" t="s">
        <v>11</v>
      </c>
      <c r="F3482" t="s">
        <v>12</v>
      </c>
      <c r="G3482" t="s">
        <v>13</v>
      </c>
      <c r="H3482" t="s">
        <v>13</v>
      </c>
      <c r="I3482">
        <v>35</v>
      </c>
      <c r="J3482" t="str" cm="1">
        <f t="array" ref="J3482">_xlfn.IFS(ISBLANK(C3482),"FALTANTE",ABS((C3482-$W$5)/$X$5)&gt;1.96,"ATÍPICO",ABS((C3482-$W$5)/$X$5)&lt;=1.96,"NO ATÍPICO")</f>
        <v>NO ATÍPICO</v>
      </c>
      <c r="K3482" t="str" cm="1">
        <f t="array" ref="K3482">_xlfn.IFS(ISBLANK(I3482),"FALTANTE",ABS((I3482-$W$8)/$X$8)&gt;1.92,"ATÍPICO",ABS((I3482-$W$8)/$X$8)&lt;=1.92,"NO ATÍPICO")</f>
        <v>NO ATÍPICO</v>
      </c>
      <c r="L3482">
        <f t="shared" si="233"/>
        <v>1314729</v>
      </c>
      <c r="M3482" t="str">
        <f t="shared" si="233"/>
        <v>ASALARIADO</v>
      </c>
      <c r="N3482">
        <f t="shared" si="234"/>
        <v>35</v>
      </c>
      <c r="O3482" s="19" t="str">
        <f t="shared" si="235"/>
        <v>1200k+</v>
      </c>
      <c r="P3482" s="19" t="str">
        <f t="shared" si="236"/>
        <v>26-35</v>
      </c>
    </row>
    <row r="3483" spans="1:16" x14ac:dyDescent="0.25">
      <c r="A3483">
        <v>3482</v>
      </c>
      <c r="B3483" t="s">
        <v>15</v>
      </c>
      <c r="C3483">
        <v>568820</v>
      </c>
      <c r="D3483" t="s">
        <v>10</v>
      </c>
      <c r="E3483" t="s">
        <v>16</v>
      </c>
      <c r="F3483" t="s">
        <v>12</v>
      </c>
      <c r="G3483" t="s">
        <v>13</v>
      </c>
      <c r="H3483" t="s">
        <v>13</v>
      </c>
      <c r="I3483">
        <v>28</v>
      </c>
      <c r="J3483" t="str" cm="1">
        <f t="array" ref="J3483">_xlfn.IFS(ISBLANK(C3483),"FALTANTE",ABS((C3483-$W$5)/$X$5)&gt;1.96,"ATÍPICO",ABS((C3483-$W$5)/$X$5)&lt;=1.96,"NO ATÍPICO")</f>
        <v>NO ATÍPICO</v>
      </c>
      <c r="K3483" t="str" cm="1">
        <f t="array" ref="K3483">_xlfn.IFS(ISBLANK(I3483),"FALTANTE",ABS((I3483-$W$8)/$X$8)&gt;1.92,"ATÍPICO",ABS((I3483-$W$8)/$X$8)&lt;=1.92,"NO ATÍPICO")</f>
        <v>NO ATÍPICO</v>
      </c>
      <c r="L3483">
        <f t="shared" si="233"/>
        <v>568820</v>
      </c>
      <c r="M3483" t="str">
        <f t="shared" si="233"/>
        <v>ASALARIADO</v>
      </c>
      <c r="N3483">
        <f t="shared" si="234"/>
        <v>28</v>
      </c>
      <c r="O3483" s="19" t="str">
        <f t="shared" si="235"/>
        <v>300k–600k</v>
      </c>
      <c r="P3483" s="19" t="str">
        <f t="shared" si="236"/>
        <v>26-35</v>
      </c>
    </row>
    <row r="3484" spans="1:16" x14ac:dyDescent="0.25">
      <c r="A3484">
        <v>3483</v>
      </c>
      <c r="B3484" t="s">
        <v>9</v>
      </c>
      <c r="C3484">
        <v>63720</v>
      </c>
      <c r="D3484" t="s">
        <v>10</v>
      </c>
      <c r="E3484" t="s">
        <v>16</v>
      </c>
      <c r="F3484" t="s">
        <v>12</v>
      </c>
      <c r="G3484" t="s">
        <v>12</v>
      </c>
      <c r="H3484" t="s">
        <v>12</v>
      </c>
      <c r="I3484">
        <v>22</v>
      </c>
      <c r="J3484" t="str" cm="1">
        <f t="array" ref="J3484">_xlfn.IFS(ISBLANK(C3484),"FALTANTE",ABS((C3484-$W$5)/$X$5)&gt;1.96,"ATÍPICO",ABS((C3484-$W$5)/$X$5)&lt;=1.96,"NO ATÍPICO")</f>
        <v>NO ATÍPICO</v>
      </c>
      <c r="K3484" t="str" cm="1">
        <f t="array" ref="K3484">_xlfn.IFS(ISBLANK(I3484),"FALTANTE",ABS((I3484-$W$8)/$X$8)&gt;1.92,"ATÍPICO",ABS((I3484-$W$8)/$X$8)&lt;=1.92,"NO ATÍPICO")</f>
        <v>NO ATÍPICO</v>
      </c>
      <c r="L3484">
        <f t="shared" si="233"/>
        <v>63720</v>
      </c>
      <c r="M3484" t="str">
        <f t="shared" si="233"/>
        <v>ASALARIADO</v>
      </c>
      <c r="N3484">
        <f t="shared" si="234"/>
        <v>22</v>
      </c>
      <c r="O3484" s="19" t="str">
        <f t="shared" si="235"/>
        <v>0–300k</v>
      </c>
      <c r="P3484" s="19" t="str">
        <f t="shared" si="236"/>
        <v>18-25</v>
      </c>
    </row>
    <row r="3485" spans="1:16" x14ac:dyDescent="0.25">
      <c r="A3485">
        <v>3484</v>
      </c>
      <c r="B3485" t="s">
        <v>9</v>
      </c>
      <c r="C3485">
        <v>684986</v>
      </c>
      <c r="D3485" t="s">
        <v>10</v>
      </c>
      <c r="E3485" t="s">
        <v>16</v>
      </c>
      <c r="F3485" t="s">
        <v>12</v>
      </c>
      <c r="G3485" t="s">
        <v>13</v>
      </c>
      <c r="H3485" t="s">
        <v>13</v>
      </c>
      <c r="I3485">
        <v>44</v>
      </c>
      <c r="J3485" t="str" cm="1">
        <f t="array" ref="J3485">_xlfn.IFS(ISBLANK(C3485),"FALTANTE",ABS((C3485-$W$5)/$X$5)&gt;1.96,"ATÍPICO",ABS((C3485-$W$5)/$X$5)&lt;=1.96,"NO ATÍPICO")</f>
        <v>NO ATÍPICO</v>
      </c>
      <c r="K3485" t="str" cm="1">
        <f t="array" ref="K3485">_xlfn.IFS(ISBLANK(I3485),"FALTANTE",ABS((I3485-$W$8)/$X$8)&gt;1.92,"ATÍPICO",ABS((I3485-$W$8)/$X$8)&lt;=1.92,"NO ATÍPICO")</f>
        <v>NO ATÍPICO</v>
      </c>
      <c r="L3485">
        <f t="shared" si="233"/>
        <v>684986</v>
      </c>
      <c r="M3485" t="str">
        <f t="shared" si="233"/>
        <v>ASALARIADO</v>
      </c>
      <c r="N3485">
        <f t="shared" si="234"/>
        <v>44</v>
      </c>
      <c r="O3485" s="19" t="str">
        <f t="shared" si="235"/>
        <v>600k–900k</v>
      </c>
      <c r="P3485" s="19" t="str">
        <f t="shared" si="236"/>
        <v>36-45</v>
      </c>
    </row>
    <row r="3486" spans="1:16" x14ac:dyDescent="0.25">
      <c r="A3486">
        <v>3485</v>
      </c>
      <c r="B3486" t="s">
        <v>9</v>
      </c>
      <c r="C3486">
        <v>246000</v>
      </c>
      <c r="D3486" t="s">
        <v>10</v>
      </c>
      <c r="E3486" t="s">
        <v>16</v>
      </c>
      <c r="F3486" t="s">
        <v>12</v>
      </c>
      <c r="G3486" t="s">
        <v>13</v>
      </c>
      <c r="H3486" t="s">
        <v>13</v>
      </c>
      <c r="I3486">
        <v>38</v>
      </c>
      <c r="J3486" t="str" cm="1">
        <f t="array" ref="J3486">_xlfn.IFS(ISBLANK(C3486),"FALTANTE",ABS((C3486-$W$5)/$X$5)&gt;1.96,"ATÍPICO",ABS((C3486-$W$5)/$X$5)&lt;=1.96,"NO ATÍPICO")</f>
        <v>NO ATÍPICO</v>
      </c>
      <c r="K3486" t="str" cm="1">
        <f t="array" ref="K3486">_xlfn.IFS(ISBLANK(I3486),"FALTANTE",ABS((I3486-$W$8)/$X$8)&gt;1.92,"ATÍPICO",ABS((I3486-$W$8)/$X$8)&lt;=1.92,"NO ATÍPICO")</f>
        <v>NO ATÍPICO</v>
      </c>
      <c r="L3486">
        <f t="shared" si="233"/>
        <v>246000</v>
      </c>
      <c r="M3486" t="str">
        <f t="shared" si="233"/>
        <v>ASALARIADO</v>
      </c>
      <c r="N3486">
        <f t="shared" si="234"/>
        <v>38</v>
      </c>
      <c r="O3486" s="19" t="str">
        <f t="shared" si="235"/>
        <v>0–300k</v>
      </c>
      <c r="P3486" s="19" t="str">
        <f t="shared" si="236"/>
        <v>36-45</v>
      </c>
    </row>
    <row r="3487" spans="1:16" x14ac:dyDescent="0.25">
      <c r="A3487">
        <v>3486</v>
      </c>
      <c r="B3487" t="s">
        <v>9</v>
      </c>
      <c r="C3487">
        <v>337480</v>
      </c>
      <c r="D3487" t="s">
        <v>18</v>
      </c>
      <c r="E3487" t="s">
        <v>16</v>
      </c>
      <c r="F3487" t="s">
        <v>12</v>
      </c>
      <c r="G3487" t="s">
        <v>13</v>
      </c>
      <c r="H3487" t="s">
        <v>13</v>
      </c>
      <c r="I3487">
        <v>29</v>
      </c>
      <c r="J3487" t="str" cm="1">
        <f t="array" ref="J3487">_xlfn.IFS(ISBLANK(C3487),"FALTANTE",ABS((C3487-$W$5)/$X$5)&gt;1.96,"ATÍPICO",ABS((C3487-$W$5)/$X$5)&lt;=1.96,"NO ATÍPICO")</f>
        <v>NO ATÍPICO</v>
      </c>
      <c r="K3487" t="str" cm="1">
        <f t="array" ref="K3487">_xlfn.IFS(ISBLANK(I3487),"FALTANTE",ABS((I3487-$W$8)/$X$8)&gt;1.92,"ATÍPICO",ABS((I3487-$W$8)/$X$8)&lt;=1.92,"NO ATÍPICO")</f>
        <v>NO ATÍPICO</v>
      </c>
      <c r="L3487">
        <f t="shared" si="233"/>
        <v>337480</v>
      </c>
      <c r="M3487" t="str">
        <f t="shared" si="233"/>
        <v>TRABAJADOR INDEPENDIENTE</v>
      </c>
      <c r="N3487">
        <f t="shared" si="234"/>
        <v>29</v>
      </c>
      <c r="O3487" s="19" t="str">
        <f t="shared" si="235"/>
        <v>300k–600k</v>
      </c>
      <c r="P3487" s="19" t="str">
        <f t="shared" si="236"/>
        <v>26-35</v>
      </c>
    </row>
    <row r="3488" spans="1:16" x14ac:dyDescent="0.25">
      <c r="A3488">
        <v>3487</v>
      </c>
      <c r="B3488" t="s">
        <v>9</v>
      </c>
      <c r="C3488">
        <v>485860</v>
      </c>
      <c r="D3488" t="s">
        <v>18</v>
      </c>
      <c r="E3488" t="s">
        <v>16</v>
      </c>
      <c r="F3488" t="s">
        <v>12</v>
      </c>
      <c r="G3488" t="s">
        <v>13</v>
      </c>
      <c r="H3488" t="s">
        <v>13</v>
      </c>
      <c r="I3488">
        <v>42</v>
      </c>
      <c r="J3488" t="str" cm="1">
        <f t="array" ref="J3488">_xlfn.IFS(ISBLANK(C3488),"FALTANTE",ABS((C3488-$W$5)/$X$5)&gt;1.96,"ATÍPICO",ABS((C3488-$W$5)/$X$5)&lt;=1.96,"NO ATÍPICO")</f>
        <v>NO ATÍPICO</v>
      </c>
      <c r="K3488" t="str" cm="1">
        <f t="array" ref="K3488">_xlfn.IFS(ISBLANK(I3488),"FALTANTE",ABS((I3488-$W$8)/$X$8)&gt;1.92,"ATÍPICO",ABS((I3488-$W$8)/$X$8)&lt;=1.92,"NO ATÍPICO")</f>
        <v>NO ATÍPICO</v>
      </c>
      <c r="L3488">
        <f t="shared" si="233"/>
        <v>485860</v>
      </c>
      <c r="M3488" t="str">
        <f t="shared" si="233"/>
        <v>TRABAJADOR INDEPENDIENTE</v>
      </c>
      <c r="N3488">
        <f t="shared" si="234"/>
        <v>42</v>
      </c>
      <c r="O3488" s="19" t="str">
        <f t="shared" si="235"/>
        <v>300k–600k</v>
      </c>
      <c r="P3488" s="19" t="str">
        <f t="shared" si="236"/>
        <v>36-45</v>
      </c>
    </row>
    <row r="3489" spans="1:16" x14ac:dyDescent="0.25">
      <c r="A3489">
        <v>3488</v>
      </c>
      <c r="B3489" t="s">
        <v>15</v>
      </c>
      <c r="C3489">
        <v>889137</v>
      </c>
      <c r="D3489" t="s">
        <v>10</v>
      </c>
      <c r="E3489" t="s">
        <v>11</v>
      </c>
      <c r="F3489" t="s">
        <v>12</v>
      </c>
      <c r="G3489" t="s">
        <v>13</v>
      </c>
      <c r="H3489" t="s">
        <v>12</v>
      </c>
      <c r="I3489">
        <v>40</v>
      </c>
      <c r="J3489" t="str" cm="1">
        <f t="array" ref="J3489">_xlfn.IFS(ISBLANK(C3489),"FALTANTE",ABS((C3489-$W$5)/$X$5)&gt;1.96,"ATÍPICO",ABS((C3489-$W$5)/$X$5)&lt;=1.96,"NO ATÍPICO")</f>
        <v>NO ATÍPICO</v>
      </c>
      <c r="K3489" t="str" cm="1">
        <f t="array" ref="K3489">_xlfn.IFS(ISBLANK(I3489),"FALTANTE",ABS((I3489-$W$8)/$X$8)&gt;1.92,"ATÍPICO",ABS((I3489-$W$8)/$X$8)&lt;=1.92,"NO ATÍPICO")</f>
        <v>NO ATÍPICO</v>
      </c>
      <c r="L3489">
        <f t="shared" si="233"/>
        <v>889137</v>
      </c>
      <c r="M3489" t="str">
        <f t="shared" si="233"/>
        <v>ASALARIADO</v>
      </c>
      <c r="N3489">
        <f t="shared" si="234"/>
        <v>40</v>
      </c>
      <c r="O3489" s="19" t="str">
        <f t="shared" si="235"/>
        <v>600k–900k</v>
      </c>
      <c r="P3489" s="19" t="str">
        <f t="shared" si="236"/>
        <v>36-45</v>
      </c>
    </row>
    <row r="3490" spans="1:16" x14ac:dyDescent="0.25">
      <c r="A3490">
        <v>3489</v>
      </c>
      <c r="B3490" t="s">
        <v>9</v>
      </c>
      <c r="C3490">
        <v>324000</v>
      </c>
      <c r="D3490" t="s">
        <v>10</v>
      </c>
      <c r="E3490" t="s">
        <v>16</v>
      </c>
      <c r="F3490" t="s">
        <v>12</v>
      </c>
      <c r="G3490" t="s">
        <v>13</v>
      </c>
      <c r="H3490" t="s">
        <v>12</v>
      </c>
      <c r="I3490">
        <v>55</v>
      </c>
      <c r="J3490" t="str" cm="1">
        <f t="array" ref="J3490">_xlfn.IFS(ISBLANK(C3490),"FALTANTE",ABS((C3490-$W$5)/$X$5)&gt;1.96,"ATÍPICO",ABS((C3490-$W$5)/$X$5)&lt;=1.96,"NO ATÍPICO")</f>
        <v>NO ATÍPICO</v>
      </c>
      <c r="K3490" t="str" cm="1">
        <f t="array" ref="K3490">_xlfn.IFS(ISBLANK(I3490),"FALTANTE",ABS((I3490-$W$8)/$X$8)&gt;1.92,"ATÍPICO",ABS((I3490-$W$8)/$X$8)&lt;=1.92,"NO ATÍPICO")</f>
        <v>NO ATÍPICO</v>
      </c>
      <c r="L3490">
        <f t="shared" si="233"/>
        <v>324000</v>
      </c>
      <c r="M3490" t="str">
        <f t="shared" si="233"/>
        <v>ASALARIADO</v>
      </c>
      <c r="N3490">
        <f t="shared" si="234"/>
        <v>55</v>
      </c>
      <c r="O3490" s="19" t="str">
        <f t="shared" si="235"/>
        <v>300k–600k</v>
      </c>
      <c r="P3490" s="19" t="str">
        <f t="shared" si="236"/>
        <v>46-55</v>
      </c>
    </row>
    <row r="3491" spans="1:16" x14ac:dyDescent="0.25">
      <c r="A3491">
        <v>3490</v>
      </c>
      <c r="B3491" t="s">
        <v>15</v>
      </c>
      <c r="C3491">
        <v>716100</v>
      </c>
      <c r="D3491" t="s">
        <v>10</v>
      </c>
      <c r="E3491" t="s">
        <v>11</v>
      </c>
      <c r="F3491" t="s">
        <v>12</v>
      </c>
      <c r="G3491" t="s">
        <v>13</v>
      </c>
      <c r="H3491" t="s">
        <v>12</v>
      </c>
      <c r="I3491">
        <v>29</v>
      </c>
      <c r="J3491" t="str" cm="1">
        <f t="array" ref="J3491">_xlfn.IFS(ISBLANK(C3491),"FALTANTE",ABS((C3491-$W$5)/$X$5)&gt;1.96,"ATÍPICO",ABS((C3491-$W$5)/$X$5)&lt;=1.96,"NO ATÍPICO")</f>
        <v>NO ATÍPICO</v>
      </c>
      <c r="K3491" t="str" cm="1">
        <f t="array" ref="K3491">_xlfn.IFS(ISBLANK(I3491),"FALTANTE",ABS((I3491-$W$8)/$X$8)&gt;1.92,"ATÍPICO",ABS((I3491-$W$8)/$X$8)&lt;=1.92,"NO ATÍPICO")</f>
        <v>NO ATÍPICO</v>
      </c>
      <c r="L3491">
        <f t="shared" si="233"/>
        <v>716100</v>
      </c>
      <c r="M3491" t="str">
        <f t="shared" si="233"/>
        <v>ASALARIADO</v>
      </c>
      <c r="N3491">
        <f t="shared" si="234"/>
        <v>29</v>
      </c>
      <c r="O3491" s="19" t="str">
        <f t="shared" si="235"/>
        <v>600k–900k</v>
      </c>
      <c r="P3491" s="19" t="str">
        <f t="shared" si="236"/>
        <v>26-35</v>
      </c>
    </row>
    <row r="3492" spans="1:16" x14ac:dyDescent="0.25">
      <c r="A3492">
        <v>3491</v>
      </c>
      <c r="B3492" t="s">
        <v>9</v>
      </c>
      <c r="C3492">
        <v>100000</v>
      </c>
      <c r="D3492" t="s">
        <v>10</v>
      </c>
      <c r="E3492" t="s">
        <v>16</v>
      </c>
      <c r="F3492" t="s">
        <v>12</v>
      </c>
      <c r="G3492" t="s">
        <v>13</v>
      </c>
      <c r="H3492" t="s">
        <v>12</v>
      </c>
      <c r="I3492">
        <v>52</v>
      </c>
      <c r="J3492" t="str" cm="1">
        <f t="array" ref="J3492">_xlfn.IFS(ISBLANK(C3492),"FALTANTE",ABS((C3492-$W$5)/$X$5)&gt;1.96,"ATÍPICO",ABS((C3492-$W$5)/$X$5)&lt;=1.96,"NO ATÍPICO")</f>
        <v>NO ATÍPICO</v>
      </c>
      <c r="K3492" t="str" cm="1">
        <f t="array" ref="K3492">_xlfn.IFS(ISBLANK(I3492),"FALTANTE",ABS((I3492-$W$8)/$X$8)&gt;1.92,"ATÍPICO",ABS((I3492-$W$8)/$X$8)&lt;=1.92,"NO ATÍPICO")</f>
        <v>NO ATÍPICO</v>
      </c>
      <c r="L3492">
        <f t="shared" si="233"/>
        <v>100000</v>
      </c>
      <c r="M3492" t="str">
        <f t="shared" si="233"/>
        <v>ASALARIADO</v>
      </c>
      <c r="N3492">
        <f t="shared" si="234"/>
        <v>52</v>
      </c>
      <c r="O3492" s="19" t="str">
        <f t="shared" si="235"/>
        <v>0–300k</v>
      </c>
      <c r="P3492" s="19" t="str">
        <f t="shared" si="236"/>
        <v>46-55</v>
      </c>
    </row>
    <row r="3493" spans="1:16" x14ac:dyDescent="0.25">
      <c r="A3493">
        <v>3492</v>
      </c>
      <c r="B3493" t="s">
        <v>15</v>
      </c>
      <c r="C3493">
        <v>550234.51</v>
      </c>
      <c r="D3493" t="s">
        <v>10</v>
      </c>
      <c r="E3493" t="s">
        <v>16</v>
      </c>
      <c r="F3493" t="s">
        <v>12</v>
      </c>
      <c r="G3493" t="s">
        <v>13</v>
      </c>
      <c r="H3493" t="s">
        <v>13</v>
      </c>
      <c r="I3493">
        <v>41</v>
      </c>
      <c r="J3493" t="str" cm="1">
        <f t="array" ref="J3493">_xlfn.IFS(ISBLANK(C3493),"FALTANTE",ABS((C3493-$W$5)/$X$5)&gt;1.96,"ATÍPICO",ABS((C3493-$W$5)/$X$5)&lt;=1.96,"NO ATÍPICO")</f>
        <v>NO ATÍPICO</v>
      </c>
      <c r="K3493" t="str" cm="1">
        <f t="array" ref="K3493">_xlfn.IFS(ISBLANK(I3493),"FALTANTE",ABS((I3493-$W$8)/$X$8)&gt;1.92,"ATÍPICO",ABS((I3493-$W$8)/$X$8)&lt;=1.92,"NO ATÍPICO")</f>
        <v>NO ATÍPICO</v>
      </c>
      <c r="L3493">
        <f t="shared" si="233"/>
        <v>550234.51</v>
      </c>
      <c r="M3493" t="str">
        <f t="shared" si="233"/>
        <v>ASALARIADO</v>
      </c>
      <c r="N3493">
        <f t="shared" si="234"/>
        <v>41</v>
      </c>
      <c r="O3493" s="19" t="str">
        <f t="shared" si="235"/>
        <v>300k–600k</v>
      </c>
      <c r="P3493" s="19" t="str">
        <f t="shared" si="236"/>
        <v>36-45</v>
      </c>
    </row>
    <row r="3494" spans="1:16" x14ac:dyDescent="0.25">
      <c r="A3494">
        <v>3493</v>
      </c>
      <c r="B3494" t="s">
        <v>9</v>
      </c>
      <c r="C3494">
        <v>297046</v>
      </c>
      <c r="D3494" t="s">
        <v>17</v>
      </c>
      <c r="E3494" t="s">
        <v>16</v>
      </c>
      <c r="F3494" t="s">
        <v>12</v>
      </c>
      <c r="G3494" t="s">
        <v>13</v>
      </c>
      <c r="H3494" t="s">
        <v>13</v>
      </c>
      <c r="I3494">
        <v>61</v>
      </c>
      <c r="J3494" t="str" cm="1">
        <f t="array" ref="J3494">_xlfn.IFS(ISBLANK(C3494),"FALTANTE",ABS((C3494-$W$5)/$X$5)&gt;1.96,"ATÍPICO",ABS((C3494-$W$5)/$X$5)&lt;=1.96,"NO ATÍPICO")</f>
        <v>NO ATÍPICO</v>
      </c>
      <c r="K3494" t="str" cm="1">
        <f t="array" ref="K3494">_xlfn.IFS(ISBLANK(I3494),"FALTANTE",ABS((I3494-$W$8)/$X$8)&gt;1.92,"ATÍPICO",ABS((I3494-$W$8)/$X$8)&lt;=1.92,"NO ATÍPICO")</f>
        <v>NO ATÍPICO</v>
      </c>
      <c r="L3494">
        <f t="shared" si="233"/>
        <v>297046</v>
      </c>
      <c r="M3494" t="str">
        <f t="shared" si="233"/>
        <v>ASEGURADO VOLUNTARIO</v>
      </c>
      <c r="N3494">
        <f t="shared" si="234"/>
        <v>61</v>
      </c>
      <c r="O3494" s="19" t="str">
        <f t="shared" si="235"/>
        <v>0–300k</v>
      </c>
      <c r="P3494" s="19" t="str">
        <f t="shared" si="236"/>
        <v>56+</v>
      </c>
    </row>
    <row r="3495" spans="1:16" x14ac:dyDescent="0.25">
      <c r="A3495">
        <v>3494</v>
      </c>
      <c r="B3495" t="s">
        <v>15</v>
      </c>
      <c r="C3495">
        <v>600000</v>
      </c>
      <c r="D3495" t="s">
        <v>10</v>
      </c>
      <c r="E3495" t="s">
        <v>16</v>
      </c>
      <c r="F3495" t="s">
        <v>12</v>
      </c>
      <c r="G3495" t="s">
        <v>13</v>
      </c>
      <c r="H3495" t="s">
        <v>13</v>
      </c>
      <c r="I3495">
        <v>36</v>
      </c>
      <c r="J3495" t="str" cm="1">
        <f t="array" ref="J3495">_xlfn.IFS(ISBLANK(C3495),"FALTANTE",ABS((C3495-$W$5)/$X$5)&gt;1.96,"ATÍPICO",ABS((C3495-$W$5)/$X$5)&lt;=1.96,"NO ATÍPICO")</f>
        <v>NO ATÍPICO</v>
      </c>
      <c r="K3495" t="str" cm="1">
        <f t="array" ref="K3495">_xlfn.IFS(ISBLANK(I3495),"FALTANTE",ABS((I3495-$W$8)/$X$8)&gt;1.92,"ATÍPICO",ABS((I3495-$W$8)/$X$8)&lt;=1.92,"NO ATÍPICO")</f>
        <v>NO ATÍPICO</v>
      </c>
      <c r="L3495">
        <f t="shared" si="233"/>
        <v>600000</v>
      </c>
      <c r="M3495" t="str">
        <f t="shared" si="233"/>
        <v>ASALARIADO</v>
      </c>
      <c r="N3495">
        <f t="shared" si="234"/>
        <v>36</v>
      </c>
      <c r="O3495" s="19" t="str">
        <f t="shared" si="235"/>
        <v>300k–600k</v>
      </c>
      <c r="P3495" s="19" t="str">
        <f t="shared" si="236"/>
        <v>36-45</v>
      </c>
    </row>
    <row r="3496" spans="1:16" x14ac:dyDescent="0.25">
      <c r="A3496">
        <v>3495</v>
      </c>
      <c r="B3496" t="s">
        <v>15</v>
      </c>
      <c r="C3496">
        <v>512783.28</v>
      </c>
      <c r="D3496" t="s">
        <v>10</v>
      </c>
      <c r="E3496" t="s">
        <v>16</v>
      </c>
      <c r="F3496" t="s">
        <v>12</v>
      </c>
      <c r="G3496" t="s">
        <v>13</v>
      </c>
      <c r="H3496" t="s">
        <v>13</v>
      </c>
      <c r="I3496">
        <v>26</v>
      </c>
      <c r="J3496" t="str" cm="1">
        <f t="array" ref="J3496">_xlfn.IFS(ISBLANK(C3496),"FALTANTE",ABS((C3496-$W$5)/$X$5)&gt;1.96,"ATÍPICO",ABS((C3496-$W$5)/$X$5)&lt;=1.96,"NO ATÍPICO")</f>
        <v>NO ATÍPICO</v>
      </c>
      <c r="K3496" t="str" cm="1">
        <f t="array" ref="K3496">_xlfn.IFS(ISBLANK(I3496),"FALTANTE",ABS((I3496-$W$8)/$X$8)&gt;1.92,"ATÍPICO",ABS((I3496-$W$8)/$X$8)&lt;=1.92,"NO ATÍPICO")</f>
        <v>NO ATÍPICO</v>
      </c>
      <c r="L3496">
        <f t="shared" si="233"/>
        <v>512783.28</v>
      </c>
      <c r="M3496" t="str">
        <f t="shared" si="233"/>
        <v>ASALARIADO</v>
      </c>
      <c r="N3496">
        <f t="shared" si="234"/>
        <v>26</v>
      </c>
      <c r="O3496" s="19" t="str">
        <f t="shared" si="235"/>
        <v>300k–600k</v>
      </c>
      <c r="P3496" s="19" t="str">
        <f t="shared" si="236"/>
        <v>26-35</v>
      </c>
    </row>
    <row r="3497" spans="1:16" x14ac:dyDescent="0.25">
      <c r="A3497">
        <v>3496</v>
      </c>
      <c r="B3497" t="s">
        <v>9</v>
      </c>
      <c r="C3497">
        <v>84000</v>
      </c>
      <c r="D3497" t="s">
        <v>10</v>
      </c>
      <c r="E3497" t="s">
        <v>16</v>
      </c>
      <c r="F3497" t="s">
        <v>12</v>
      </c>
      <c r="G3497" t="s">
        <v>13</v>
      </c>
      <c r="H3497" t="s">
        <v>13</v>
      </c>
      <c r="I3497">
        <v>56</v>
      </c>
      <c r="J3497" t="str" cm="1">
        <f t="array" ref="J3497">_xlfn.IFS(ISBLANK(C3497),"FALTANTE",ABS((C3497-$W$5)/$X$5)&gt;1.96,"ATÍPICO",ABS((C3497-$W$5)/$X$5)&lt;=1.96,"NO ATÍPICO")</f>
        <v>NO ATÍPICO</v>
      </c>
      <c r="K3497" t="str" cm="1">
        <f t="array" ref="K3497">_xlfn.IFS(ISBLANK(I3497),"FALTANTE",ABS((I3497-$W$8)/$X$8)&gt;1.92,"ATÍPICO",ABS((I3497-$W$8)/$X$8)&lt;=1.92,"NO ATÍPICO")</f>
        <v>NO ATÍPICO</v>
      </c>
      <c r="L3497">
        <f t="shared" si="233"/>
        <v>84000</v>
      </c>
      <c r="M3497" t="str">
        <f t="shared" si="233"/>
        <v>ASALARIADO</v>
      </c>
      <c r="N3497">
        <f t="shared" si="234"/>
        <v>56</v>
      </c>
      <c r="O3497" s="19" t="str">
        <f t="shared" si="235"/>
        <v>0–300k</v>
      </c>
      <c r="P3497" s="19" t="str">
        <f t="shared" si="236"/>
        <v>56+</v>
      </c>
    </row>
    <row r="3498" spans="1:16" x14ac:dyDescent="0.25">
      <c r="A3498">
        <v>3497</v>
      </c>
      <c r="B3498" t="s">
        <v>15</v>
      </c>
      <c r="C3498">
        <v>689218.5</v>
      </c>
      <c r="D3498" t="s">
        <v>10</v>
      </c>
      <c r="E3498" t="s">
        <v>11</v>
      </c>
      <c r="F3498" t="s">
        <v>12</v>
      </c>
      <c r="G3498" t="s">
        <v>13</v>
      </c>
      <c r="H3498" t="s">
        <v>13</v>
      </c>
      <c r="I3498">
        <v>37</v>
      </c>
      <c r="J3498" t="str" cm="1">
        <f t="array" ref="J3498">_xlfn.IFS(ISBLANK(C3498),"FALTANTE",ABS((C3498-$W$5)/$X$5)&gt;1.96,"ATÍPICO",ABS((C3498-$W$5)/$X$5)&lt;=1.96,"NO ATÍPICO")</f>
        <v>NO ATÍPICO</v>
      </c>
      <c r="K3498" t="str" cm="1">
        <f t="array" ref="K3498">_xlfn.IFS(ISBLANK(I3498),"FALTANTE",ABS((I3498-$W$8)/$X$8)&gt;1.92,"ATÍPICO",ABS((I3498-$W$8)/$X$8)&lt;=1.92,"NO ATÍPICO")</f>
        <v>NO ATÍPICO</v>
      </c>
      <c r="L3498">
        <f t="shared" si="233"/>
        <v>689218.5</v>
      </c>
      <c r="M3498" t="str">
        <f t="shared" si="233"/>
        <v>ASALARIADO</v>
      </c>
      <c r="N3498">
        <f t="shared" si="234"/>
        <v>37</v>
      </c>
      <c r="O3498" s="19" t="str">
        <f t="shared" si="235"/>
        <v>600k–900k</v>
      </c>
      <c r="P3498" s="19" t="str">
        <f t="shared" si="236"/>
        <v>36-45</v>
      </c>
    </row>
    <row r="3499" spans="1:16" x14ac:dyDescent="0.25">
      <c r="A3499">
        <v>3498</v>
      </c>
      <c r="B3499" t="s">
        <v>15</v>
      </c>
      <c r="C3499">
        <v>384658.4</v>
      </c>
      <c r="D3499" t="s">
        <v>10</v>
      </c>
      <c r="E3499" t="s">
        <v>16</v>
      </c>
      <c r="F3499" t="s">
        <v>12</v>
      </c>
      <c r="G3499" t="s">
        <v>13</v>
      </c>
      <c r="H3499" t="s">
        <v>13</v>
      </c>
      <c r="I3499">
        <v>43</v>
      </c>
      <c r="J3499" t="str" cm="1">
        <f t="array" ref="J3499">_xlfn.IFS(ISBLANK(C3499),"FALTANTE",ABS((C3499-$W$5)/$X$5)&gt;1.96,"ATÍPICO",ABS((C3499-$W$5)/$X$5)&lt;=1.96,"NO ATÍPICO")</f>
        <v>NO ATÍPICO</v>
      </c>
      <c r="K3499" t="str" cm="1">
        <f t="array" ref="K3499">_xlfn.IFS(ISBLANK(I3499),"FALTANTE",ABS((I3499-$W$8)/$X$8)&gt;1.92,"ATÍPICO",ABS((I3499-$W$8)/$X$8)&lt;=1.92,"NO ATÍPICO")</f>
        <v>NO ATÍPICO</v>
      </c>
      <c r="L3499">
        <f t="shared" si="233"/>
        <v>384658.4</v>
      </c>
      <c r="M3499" t="str">
        <f t="shared" si="233"/>
        <v>ASALARIADO</v>
      </c>
      <c r="N3499">
        <f t="shared" si="234"/>
        <v>43</v>
      </c>
      <c r="O3499" s="19" t="str">
        <f t="shared" si="235"/>
        <v>300k–600k</v>
      </c>
      <c r="P3499" s="19" t="str">
        <f t="shared" si="236"/>
        <v>36-45</v>
      </c>
    </row>
    <row r="3500" spans="1:16" x14ac:dyDescent="0.25">
      <c r="A3500">
        <v>3499</v>
      </c>
      <c r="B3500" t="s">
        <v>9</v>
      </c>
      <c r="C3500">
        <v>140000</v>
      </c>
      <c r="D3500" t="s">
        <v>10</v>
      </c>
      <c r="E3500" t="s">
        <v>16</v>
      </c>
      <c r="F3500" t="s">
        <v>12</v>
      </c>
      <c r="G3500" t="s">
        <v>12</v>
      </c>
      <c r="H3500" t="s">
        <v>13</v>
      </c>
      <c r="I3500">
        <v>57</v>
      </c>
      <c r="J3500" t="str" cm="1">
        <f t="array" ref="J3500">_xlfn.IFS(ISBLANK(C3500),"FALTANTE",ABS((C3500-$W$5)/$X$5)&gt;1.96,"ATÍPICO",ABS((C3500-$W$5)/$X$5)&lt;=1.96,"NO ATÍPICO")</f>
        <v>NO ATÍPICO</v>
      </c>
      <c r="K3500" t="str" cm="1">
        <f t="array" ref="K3500">_xlfn.IFS(ISBLANK(I3500),"FALTANTE",ABS((I3500-$W$8)/$X$8)&gt;1.92,"ATÍPICO",ABS((I3500-$W$8)/$X$8)&lt;=1.92,"NO ATÍPICO")</f>
        <v>NO ATÍPICO</v>
      </c>
      <c r="L3500">
        <f t="shared" si="233"/>
        <v>140000</v>
      </c>
      <c r="M3500" t="str">
        <f t="shared" si="233"/>
        <v>ASALARIADO</v>
      </c>
      <c r="N3500">
        <f t="shared" si="234"/>
        <v>57</v>
      </c>
      <c r="O3500" s="19" t="str">
        <f t="shared" si="235"/>
        <v>0–300k</v>
      </c>
      <c r="P3500" s="19" t="str">
        <f t="shared" si="236"/>
        <v>56+</v>
      </c>
    </row>
    <row r="3501" spans="1:16" x14ac:dyDescent="0.25">
      <c r="A3501">
        <v>3500</v>
      </c>
      <c r="B3501" t="s">
        <v>9</v>
      </c>
      <c r="C3501">
        <v>297046</v>
      </c>
      <c r="D3501" t="s">
        <v>18</v>
      </c>
      <c r="E3501" t="s">
        <v>16</v>
      </c>
      <c r="F3501" t="s">
        <v>12</v>
      </c>
      <c r="G3501" t="s">
        <v>13</v>
      </c>
      <c r="H3501" t="s">
        <v>12</v>
      </c>
      <c r="I3501">
        <v>61</v>
      </c>
      <c r="J3501" t="str" cm="1">
        <f t="array" ref="J3501">_xlfn.IFS(ISBLANK(C3501),"FALTANTE",ABS((C3501-$W$5)/$X$5)&gt;1.96,"ATÍPICO",ABS((C3501-$W$5)/$X$5)&lt;=1.96,"NO ATÍPICO")</f>
        <v>NO ATÍPICO</v>
      </c>
      <c r="K3501" t="str" cm="1">
        <f t="array" ref="K3501">_xlfn.IFS(ISBLANK(I3501),"FALTANTE",ABS((I3501-$W$8)/$X$8)&gt;1.92,"ATÍPICO",ABS((I3501-$W$8)/$X$8)&lt;=1.92,"NO ATÍPICO")</f>
        <v>NO ATÍPICO</v>
      </c>
      <c r="L3501">
        <f t="shared" si="233"/>
        <v>297046</v>
      </c>
      <c r="M3501" t="str">
        <f t="shared" si="233"/>
        <v>TRABAJADOR INDEPENDIENTE</v>
      </c>
      <c r="N3501">
        <f t="shared" si="234"/>
        <v>61</v>
      </c>
      <c r="O3501" s="19" t="str">
        <f t="shared" si="235"/>
        <v>0–300k</v>
      </c>
      <c r="P3501" s="19" t="str">
        <f t="shared" si="236"/>
        <v>56+</v>
      </c>
    </row>
    <row r="3502" spans="1:16" x14ac:dyDescent="0.25">
      <c r="A3502">
        <v>3501</v>
      </c>
      <c r="B3502" t="s">
        <v>15</v>
      </c>
      <c r="C3502">
        <v>277753.92</v>
      </c>
      <c r="D3502" t="s">
        <v>10</v>
      </c>
      <c r="E3502" t="s">
        <v>16</v>
      </c>
      <c r="F3502" t="s">
        <v>12</v>
      </c>
      <c r="G3502" t="s">
        <v>13</v>
      </c>
      <c r="H3502" t="s">
        <v>13</v>
      </c>
      <c r="I3502">
        <v>20</v>
      </c>
      <c r="J3502" t="str" cm="1">
        <f t="array" ref="J3502">_xlfn.IFS(ISBLANK(C3502),"FALTANTE",ABS((C3502-$W$5)/$X$5)&gt;1.96,"ATÍPICO",ABS((C3502-$W$5)/$X$5)&lt;=1.96,"NO ATÍPICO")</f>
        <v>NO ATÍPICO</v>
      </c>
      <c r="K3502" t="str" cm="1">
        <f t="array" ref="K3502">_xlfn.IFS(ISBLANK(I3502),"FALTANTE",ABS((I3502-$W$8)/$X$8)&gt;1.92,"ATÍPICO",ABS((I3502-$W$8)/$X$8)&lt;=1.92,"NO ATÍPICO")</f>
        <v>NO ATÍPICO</v>
      </c>
      <c r="L3502">
        <f t="shared" si="233"/>
        <v>277753.92</v>
      </c>
      <c r="M3502" t="str">
        <f t="shared" si="233"/>
        <v>ASALARIADO</v>
      </c>
      <c r="N3502">
        <f t="shared" si="234"/>
        <v>20</v>
      </c>
      <c r="O3502" s="19" t="str">
        <f t="shared" si="235"/>
        <v>0–300k</v>
      </c>
      <c r="P3502" s="19" t="str">
        <f t="shared" si="236"/>
        <v>18-25</v>
      </c>
    </row>
    <row r="3503" spans="1:16" x14ac:dyDescent="0.25">
      <c r="A3503">
        <v>3502</v>
      </c>
      <c r="B3503" t="s">
        <v>15</v>
      </c>
      <c r="C3503">
        <v>278030</v>
      </c>
      <c r="D3503" t="s">
        <v>19</v>
      </c>
      <c r="E3503" t="s">
        <v>16</v>
      </c>
      <c r="F3503" t="s">
        <v>12</v>
      </c>
      <c r="G3503" t="s">
        <v>13</v>
      </c>
      <c r="H3503" t="s">
        <v>13</v>
      </c>
      <c r="I3503">
        <v>54</v>
      </c>
      <c r="J3503" t="str" cm="1">
        <f t="array" ref="J3503">_xlfn.IFS(ISBLANK(C3503),"FALTANTE",ABS((C3503-$W$5)/$X$5)&gt;1.96,"ATÍPICO",ABS((C3503-$W$5)/$X$5)&lt;=1.96,"NO ATÍPICO")</f>
        <v>NO ATÍPICO</v>
      </c>
      <c r="K3503" t="str" cm="1">
        <f t="array" ref="K3503">_xlfn.IFS(ISBLANK(I3503),"FALTANTE",ABS((I3503-$W$8)/$X$8)&gt;1.92,"ATÍPICO",ABS((I3503-$W$8)/$X$8)&lt;=1.92,"NO ATÍPICO")</f>
        <v>NO ATÍPICO</v>
      </c>
      <c r="L3503">
        <f t="shared" si="233"/>
        <v>278030</v>
      </c>
      <c r="M3503" t="str">
        <f t="shared" si="233"/>
        <v>CONVENIOS ESPECIALES DE TRABAJADORES INDEPENDIENTES</v>
      </c>
      <c r="N3503">
        <f t="shared" si="234"/>
        <v>54</v>
      </c>
      <c r="O3503" s="19" t="str">
        <f t="shared" si="235"/>
        <v>0–300k</v>
      </c>
      <c r="P3503" s="19" t="str">
        <f t="shared" si="236"/>
        <v>46-55</v>
      </c>
    </row>
    <row r="3504" spans="1:16" x14ac:dyDescent="0.25">
      <c r="A3504">
        <v>3503</v>
      </c>
      <c r="B3504" t="s">
        <v>9</v>
      </c>
      <c r="C3504">
        <v>742483</v>
      </c>
      <c r="D3504" t="s">
        <v>18</v>
      </c>
      <c r="E3504" t="s">
        <v>16</v>
      </c>
      <c r="F3504" t="s">
        <v>12</v>
      </c>
      <c r="G3504" t="s">
        <v>13</v>
      </c>
      <c r="H3504" t="s">
        <v>12</v>
      </c>
      <c r="I3504">
        <v>70</v>
      </c>
      <c r="J3504" t="str" cm="1">
        <f t="array" ref="J3504">_xlfn.IFS(ISBLANK(C3504),"FALTANTE",ABS((C3504-$W$5)/$X$5)&gt;1.96,"ATÍPICO",ABS((C3504-$W$5)/$X$5)&lt;=1.96,"NO ATÍPICO")</f>
        <v>NO ATÍPICO</v>
      </c>
      <c r="K3504" t="str" cm="1">
        <f t="array" ref="K3504">_xlfn.IFS(ISBLANK(I3504),"FALTANTE",ABS((I3504-$W$8)/$X$8)&gt;1.92,"ATÍPICO",ABS((I3504-$W$8)/$X$8)&lt;=1.92,"NO ATÍPICO")</f>
        <v>ATÍPICO</v>
      </c>
      <c r="L3504">
        <f t="shared" si="233"/>
        <v>742483</v>
      </c>
      <c r="M3504" t="str">
        <f t="shared" si="233"/>
        <v>TRABAJADOR INDEPENDIENTE</v>
      </c>
      <c r="N3504">
        <f t="shared" si="234"/>
        <v>70</v>
      </c>
      <c r="O3504" s="19" t="str">
        <f t="shared" si="235"/>
        <v>600k–900k</v>
      </c>
      <c r="P3504" s="19" t="str">
        <f t="shared" si="236"/>
        <v>56+</v>
      </c>
    </row>
    <row r="3505" spans="1:16" x14ac:dyDescent="0.25">
      <c r="A3505">
        <v>3504</v>
      </c>
      <c r="B3505" t="s">
        <v>9</v>
      </c>
      <c r="C3505">
        <v>460800</v>
      </c>
      <c r="D3505" t="s">
        <v>10</v>
      </c>
      <c r="E3505" t="s">
        <v>11</v>
      </c>
      <c r="F3505" t="s">
        <v>12</v>
      </c>
      <c r="G3505" t="s">
        <v>13</v>
      </c>
      <c r="H3505" t="s">
        <v>13</v>
      </c>
      <c r="I3505">
        <v>60</v>
      </c>
      <c r="J3505" t="str" cm="1">
        <f t="array" ref="J3505">_xlfn.IFS(ISBLANK(C3505),"FALTANTE",ABS((C3505-$W$5)/$X$5)&gt;1.96,"ATÍPICO",ABS((C3505-$W$5)/$X$5)&lt;=1.96,"NO ATÍPICO")</f>
        <v>NO ATÍPICO</v>
      </c>
      <c r="K3505" t="str" cm="1">
        <f t="array" ref="K3505">_xlfn.IFS(ISBLANK(I3505),"FALTANTE",ABS((I3505-$W$8)/$X$8)&gt;1.92,"ATÍPICO",ABS((I3505-$W$8)/$X$8)&lt;=1.92,"NO ATÍPICO")</f>
        <v>NO ATÍPICO</v>
      </c>
      <c r="L3505">
        <f t="shared" si="233"/>
        <v>460800</v>
      </c>
      <c r="M3505" t="str">
        <f t="shared" si="233"/>
        <v>ASALARIADO</v>
      </c>
      <c r="N3505">
        <f t="shared" si="234"/>
        <v>60</v>
      </c>
      <c r="O3505" s="19" t="str">
        <f t="shared" si="235"/>
        <v>300k–600k</v>
      </c>
      <c r="P3505" s="19" t="str">
        <f t="shared" si="236"/>
        <v>56+</v>
      </c>
    </row>
    <row r="3506" spans="1:16" x14ac:dyDescent="0.25">
      <c r="A3506">
        <v>3505</v>
      </c>
      <c r="B3506" t="s">
        <v>9</v>
      </c>
      <c r="C3506">
        <v>350402.66</v>
      </c>
      <c r="D3506" t="s">
        <v>10</v>
      </c>
      <c r="E3506" t="s">
        <v>16</v>
      </c>
      <c r="F3506" t="s">
        <v>12</v>
      </c>
      <c r="G3506" t="s">
        <v>13</v>
      </c>
      <c r="H3506" t="s">
        <v>13</v>
      </c>
      <c r="I3506">
        <v>22</v>
      </c>
      <c r="J3506" t="str" cm="1">
        <f t="array" ref="J3506">_xlfn.IFS(ISBLANK(C3506),"FALTANTE",ABS((C3506-$W$5)/$X$5)&gt;1.96,"ATÍPICO",ABS((C3506-$W$5)/$X$5)&lt;=1.96,"NO ATÍPICO")</f>
        <v>NO ATÍPICO</v>
      </c>
      <c r="K3506" t="str" cm="1">
        <f t="array" ref="K3506">_xlfn.IFS(ISBLANK(I3506),"FALTANTE",ABS((I3506-$W$8)/$X$8)&gt;1.92,"ATÍPICO",ABS((I3506-$W$8)/$X$8)&lt;=1.92,"NO ATÍPICO")</f>
        <v>NO ATÍPICO</v>
      </c>
      <c r="L3506">
        <f t="shared" si="233"/>
        <v>350402.66</v>
      </c>
      <c r="M3506" t="str">
        <f t="shared" si="233"/>
        <v>ASALARIADO</v>
      </c>
      <c r="N3506">
        <f t="shared" si="234"/>
        <v>22</v>
      </c>
      <c r="O3506" s="19" t="str">
        <f t="shared" si="235"/>
        <v>300k–600k</v>
      </c>
      <c r="P3506" s="19" t="str">
        <f t="shared" si="236"/>
        <v>18-25</v>
      </c>
    </row>
    <row r="3507" spans="1:16" x14ac:dyDescent="0.25">
      <c r="A3507">
        <v>3506</v>
      </c>
      <c r="B3507" t="s">
        <v>9</v>
      </c>
      <c r="C3507">
        <v>915119.76</v>
      </c>
      <c r="D3507" t="s">
        <v>10</v>
      </c>
      <c r="E3507" t="s">
        <v>16</v>
      </c>
      <c r="F3507" t="s">
        <v>12</v>
      </c>
      <c r="G3507" t="s">
        <v>13</v>
      </c>
      <c r="H3507" t="s">
        <v>13</v>
      </c>
      <c r="I3507">
        <v>37</v>
      </c>
      <c r="J3507" t="str" cm="1">
        <f t="array" ref="J3507">_xlfn.IFS(ISBLANK(C3507),"FALTANTE",ABS((C3507-$W$5)/$X$5)&gt;1.96,"ATÍPICO",ABS((C3507-$W$5)/$X$5)&lt;=1.96,"NO ATÍPICO")</f>
        <v>NO ATÍPICO</v>
      </c>
      <c r="K3507" t="str" cm="1">
        <f t="array" ref="K3507">_xlfn.IFS(ISBLANK(I3507),"FALTANTE",ABS((I3507-$W$8)/$X$8)&gt;1.92,"ATÍPICO",ABS((I3507-$W$8)/$X$8)&lt;=1.92,"NO ATÍPICO")</f>
        <v>NO ATÍPICO</v>
      </c>
      <c r="L3507">
        <f t="shared" si="233"/>
        <v>915119.76</v>
      </c>
      <c r="M3507" t="str">
        <f t="shared" si="233"/>
        <v>ASALARIADO</v>
      </c>
      <c r="N3507">
        <f t="shared" si="234"/>
        <v>37</v>
      </c>
      <c r="O3507" s="19" t="str">
        <f t="shared" si="235"/>
        <v>900k–1200k</v>
      </c>
      <c r="P3507" s="19" t="str">
        <f t="shared" si="236"/>
        <v>36-45</v>
      </c>
    </row>
    <row r="3508" spans="1:16" x14ac:dyDescent="0.25">
      <c r="A3508">
        <v>3507</v>
      </c>
      <c r="B3508" t="s">
        <v>15</v>
      </c>
      <c r="C3508">
        <v>155242.92000000001</v>
      </c>
      <c r="D3508" t="s">
        <v>10</v>
      </c>
      <c r="E3508" t="s">
        <v>16</v>
      </c>
      <c r="F3508" t="s">
        <v>12</v>
      </c>
      <c r="G3508" t="s">
        <v>13</v>
      </c>
      <c r="H3508" t="s">
        <v>13</v>
      </c>
      <c r="I3508">
        <v>24</v>
      </c>
      <c r="J3508" t="str" cm="1">
        <f t="array" ref="J3508">_xlfn.IFS(ISBLANK(C3508),"FALTANTE",ABS((C3508-$W$5)/$X$5)&gt;1.96,"ATÍPICO",ABS((C3508-$W$5)/$X$5)&lt;=1.96,"NO ATÍPICO")</f>
        <v>NO ATÍPICO</v>
      </c>
      <c r="K3508" t="str" cm="1">
        <f t="array" ref="K3508">_xlfn.IFS(ISBLANK(I3508),"FALTANTE",ABS((I3508-$W$8)/$X$8)&gt;1.92,"ATÍPICO",ABS((I3508-$W$8)/$X$8)&lt;=1.92,"NO ATÍPICO")</f>
        <v>NO ATÍPICO</v>
      </c>
      <c r="L3508">
        <f t="shared" si="233"/>
        <v>155242.92000000001</v>
      </c>
      <c r="M3508" t="str">
        <f t="shared" si="233"/>
        <v>ASALARIADO</v>
      </c>
      <c r="N3508">
        <f t="shared" si="234"/>
        <v>24</v>
      </c>
      <c r="O3508" s="19" t="str">
        <f t="shared" si="235"/>
        <v>0–300k</v>
      </c>
      <c r="P3508" s="19" t="str">
        <f t="shared" si="236"/>
        <v>18-25</v>
      </c>
    </row>
    <row r="3509" spans="1:16" x14ac:dyDescent="0.25">
      <c r="A3509">
        <v>3508</v>
      </c>
      <c r="B3509" t="s">
        <v>15</v>
      </c>
      <c r="C3509">
        <v>358973</v>
      </c>
      <c r="D3509" t="s">
        <v>10</v>
      </c>
      <c r="E3509" t="s">
        <v>16</v>
      </c>
      <c r="F3509" t="s">
        <v>12</v>
      </c>
      <c r="G3509" t="s">
        <v>13</v>
      </c>
      <c r="H3509" t="s">
        <v>13</v>
      </c>
      <c r="I3509">
        <v>24</v>
      </c>
      <c r="J3509" t="str" cm="1">
        <f t="array" ref="J3509">_xlfn.IFS(ISBLANK(C3509),"FALTANTE",ABS((C3509-$W$5)/$X$5)&gt;1.96,"ATÍPICO",ABS((C3509-$W$5)/$X$5)&lt;=1.96,"NO ATÍPICO")</f>
        <v>NO ATÍPICO</v>
      </c>
      <c r="K3509" t="str" cm="1">
        <f t="array" ref="K3509">_xlfn.IFS(ISBLANK(I3509),"FALTANTE",ABS((I3509-$W$8)/$X$8)&gt;1.92,"ATÍPICO",ABS((I3509-$W$8)/$X$8)&lt;=1.92,"NO ATÍPICO")</f>
        <v>NO ATÍPICO</v>
      </c>
      <c r="L3509">
        <f t="shared" si="233"/>
        <v>358973</v>
      </c>
      <c r="M3509" t="str">
        <f t="shared" si="233"/>
        <v>ASALARIADO</v>
      </c>
      <c r="N3509">
        <f t="shared" si="234"/>
        <v>24</v>
      </c>
      <c r="O3509" s="19" t="str">
        <f t="shared" si="235"/>
        <v>300k–600k</v>
      </c>
      <c r="P3509" s="19" t="str">
        <f t="shared" si="236"/>
        <v>18-25</v>
      </c>
    </row>
    <row r="3510" spans="1:16" x14ac:dyDescent="0.25">
      <c r="A3510">
        <v>3509</v>
      </c>
      <c r="B3510" t="s">
        <v>9</v>
      </c>
      <c r="C3510">
        <v>15000</v>
      </c>
      <c r="D3510" t="s">
        <v>10</v>
      </c>
      <c r="E3510" t="s">
        <v>16</v>
      </c>
      <c r="F3510" t="s">
        <v>12</v>
      </c>
      <c r="G3510" t="s">
        <v>13</v>
      </c>
      <c r="H3510" t="s">
        <v>13</v>
      </c>
      <c r="I3510">
        <v>42</v>
      </c>
      <c r="J3510" t="str" cm="1">
        <f t="array" ref="J3510">_xlfn.IFS(ISBLANK(C3510),"FALTANTE",ABS((C3510-$W$5)/$X$5)&gt;1.96,"ATÍPICO",ABS((C3510-$W$5)/$X$5)&lt;=1.96,"NO ATÍPICO")</f>
        <v>NO ATÍPICO</v>
      </c>
      <c r="K3510" t="str" cm="1">
        <f t="array" ref="K3510">_xlfn.IFS(ISBLANK(I3510),"FALTANTE",ABS((I3510-$W$8)/$X$8)&gt;1.92,"ATÍPICO",ABS((I3510-$W$8)/$X$8)&lt;=1.92,"NO ATÍPICO")</f>
        <v>NO ATÍPICO</v>
      </c>
      <c r="L3510">
        <f t="shared" si="233"/>
        <v>15000</v>
      </c>
      <c r="M3510" t="str">
        <f t="shared" si="233"/>
        <v>ASALARIADO</v>
      </c>
      <c r="N3510">
        <f t="shared" si="234"/>
        <v>42</v>
      </c>
      <c r="O3510" s="19" t="str">
        <f t="shared" si="235"/>
        <v>0–300k</v>
      </c>
      <c r="P3510" s="19" t="str">
        <f t="shared" si="236"/>
        <v>36-45</v>
      </c>
    </row>
    <row r="3511" spans="1:16" x14ac:dyDescent="0.25">
      <c r="A3511">
        <v>3510</v>
      </c>
      <c r="B3511" t="s">
        <v>9</v>
      </c>
      <c r="C3511">
        <v>403612.34</v>
      </c>
      <c r="D3511" t="s">
        <v>10</v>
      </c>
      <c r="E3511" t="s">
        <v>16</v>
      </c>
      <c r="F3511" t="s">
        <v>12</v>
      </c>
      <c r="G3511" t="s">
        <v>13</v>
      </c>
      <c r="H3511" t="s">
        <v>13</v>
      </c>
      <c r="I3511">
        <v>37</v>
      </c>
      <c r="J3511" t="str" cm="1">
        <f t="array" ref="J3511">_xlfn.IFS(ISBLANK(C3511),"FALTANTE",ABS((C3511-$W$5)/$X$5)&gt;1.96,"ATÍPICO",ABS((C3511-$W$5)/$X$5)&lt;=1.96,"NO ATÍPICO")</f>
        <v>NO ATÍPICO</v>
      </c>
      <c r="K3511" t="str" cm="1">
        <f t="array" ref="K3511">_xlfn.IFS(ISBLANK(I3511),"FALTANTE",ABS((I3511-$W$8)/$X$8)&gt;1.92,"ATÍPICO",ABS((I3511-$W$8)/$X$8)&lt;=1.92,"NO ATÍPICO")</f>
        <v>NO ATÍPICO</v>
      </c>
      <c r="L3511">
        <f t="shared" si="233"/>
        <v>403612.34</v>
      </c>
      <c r="M3511" t="str">
        <f t="shared" si="233"/>
        <v>ASALARIADO</v>
      </c>
      <c r="N3511">
        <f t="shared" si="234"/>
        <v>37</v>
      </c>
      <c r="O3511" s="19" t="str">
        <f t="shared" si="235"/>
        <v>300k–600k</v>
      </c>
      <c r="P3511" s="19" t="str">
        <f t="shared" si="236"/>
        <v>36-45</v>
      </c>
    </row>
    <row r="3512" spans="1:16" x14ac:dyDescent="0.25">
      <c r="A3512">
        <v>3511</v>
      </c>
      <c r="B3512" t="s">
        <v>15</v>
      </c>
      <c r="C3512">
        <v>702145.6</v>
      </c>
      <c r="D3512" t="s">
        <v>10</v>
      </c>
      <c r="E3512" t="s">
        <v>11</v>
      </c>
      <c r="F3512" t="s">
        <v>12</v>
      </c>
      <c r="G3512" t="s">
        <v>13</v>
      </c>
      <c r="H3512" t="s">
        <v>13</v>
      </c>
      <c r="I3512">
        <v>35</v>
      </c>
      <c r="J3512" t="str" cm="1">
        <f t="array" ref="J3512">_xlfn.IFS(ISBLANK(C3512),"FALTANTE",ABS((C3512-$W$5)/$X$5)&gt;1.96,"ATÍPICO",ABS((C3512-$W$5)/$X$5)&lt;=1.96,"NO ATÍPICO")</f>
        <v>NO ATÍPICO</v>
      </c>
      <c r="K3512" t="str" cm="1">
        <f t="array" ref="K3512">_xlfn.IFS(ISBLANK(I3512),"FALTANTE",ABS((I3512-$W$8)/$X$8)&gt;1.92,"ATÍPICO",ABS((I3512-$W$8)/$X$8)&lt;=1.92,"NO ATÍPICO")</f>
        <v>NO ATÍPICO</v>
      </c>
      <c r="L3512">
        <f t="shared" si="233"/>
        <v>702145.6</v>
      </c>
      <c r="M3512" t="str">
        <f t="shared" si="233"/>
        <v>ASALARIADO</v>
      </c>
      <c r="N3512">
        <f t="shared" si="234"/>
        <v>35</v>
      </c>
      <c r="O3512" s="19" t="str">
        <f t="shared" si="235"/>
        <v>600k–900k</v>
      </c>
      <c r="P3512" s="19" t="str">
        <f t="shared" si="236"/>
        <v>26-35</v>
      </c>
    </row>
    <row r="3513" spans="1:16" x14ac:dyDescent="0.25">
      <c r="A3513">
        <v>3512</v>
      </c>
      <c r="B3513" t="s">
        <v>9</v>
      </c>
      <c r="C3513">
        <v>540982.97</v>
      </c>
      <c r="D3513" t="s">
        <v>10</v>
      </c>
      <c r="E3513" t="s">
        <v>11</v>
      </c>
      <c r="F3513" t="s">
        <v>12</v>
      </c>
      <c r="G3513" t="s">
        <v>13</v>
      </c>
      <c r="H3513" t="s">
        <v>13</v>
      </c>
      <c r="I3513">
        <v>29</v>
      </c>
      <c r="J3513" t="str" cm="1">
        <f t="array" ref="J3513">_xlfn.IFS(ISBLANK(C3513),"FALTANTE",ABS((C3513-$W$5)/$X$5)&gt;1.96,"ATÍPICO",ABS((C3513-$W$5)/$X$5)&lt;=1.96,"NO ATÍPICO")</f>
        <v>NO ATÍPICO</v>
      </c>
      <c r="K3513" t="str" cm="1">
        <f t="array" ref="K3513">_xlfn.IFS(ISBLANK(I3513),"FALTANTE",ABS((I3513-$W$8)/$X$8)&gt;1.92,"ATÍPICO",ABS((I3513-$W$8)/$X$8)&lt;=1.92,"NO ATÍPICO")</f>
        <v>NO ATÍPICO</v>
      </c>
      <c r="L3513">
        <f t="shared" si="233"/>
        <v>540982.97</v>
      </c>
      <c r="M3513" t="str">
        <f t="shared" si="233"/>
        <v>ASALARIADO</v>
      </c>
      <c r="N3513">
        <f t="shared" si="234"/>
        <v>29</v>
      </c>
      <c r="O3513" s="19" t="str">
        <f t="shared" si="235"/>
        <v>300k–600k</v>
      </c>
      <c r="P3513" s="19" t="str">
        <f t="shared" si="236"/>
        <v>26-35</v>
      </c>
    </row>
    <row r="3514" spans="1:16" x14ac:dyDescent="0.25">
      <c r="A3514">
        <v>3513</v>
      </c>
      <c r="B3514" t="s">
        <v>9</v>
      </c>
      <c r="C3514">
        <v>399945.97</v>
      </c>
      <c r="D3514" t="s">
        <v>14</v>
      </c>
      <c r="E3514" t="s">
        <v>11</v>
      </c>
      <c r="F3514" t="s">
        <v>12</v>
      </c>
      <c r="G3514" t="s">
        <v>13</v>
      </c>
      <c r="H3514" t="s">
        <v>13</v>
      </c>
      <c r="I3514">
        <v>92</v>
      </c>
      <c r="J3514" t="str" cm="1">
        <f t="array" ref="J3514">_xlfn.IFS(ISBLANK(C3514),"FALTANTE",ABS((C3514-$W$5)/$X$5)&gt;1.96,"ATÍPICO",ABS((C3514-$W$5)/$X$5)&lt;=1.96,"NO ATÍPICO")</f>
        <v>NO ATÍPICO</v>
      </c>
      <c r="K3514" t="str" cm="1">
        <f t="array" ref="K3514">_xlfn.IFS(ISBLANK(I3514),"FALTANTE",ABS((I3514-$W$8)/$X$8)&gt;1.92,"ATÍPICO",ABS((I3514-$W$8)/$X$8)&lt;=1.92,"NO ATÍPICO")</f>
        <v>ATÍPICO</v>
      </c>
      <c r="L3514">
        <f t="shared" si="233"/>
        <v>399945.97</v>
      </c>
      <c r="M3514" t="str">
        <f t="shared" si="233"/>
        <v>PENSIONADOS EN SU PROPIO SISTEMA</v>
      </c>
      <c r="N3514">
        <f t="shared" si="234"/>
        <v>92</v>
      </c>
      <c r="O3514" s="19" t="str">
        <f t="shared" si="235"/>
        <v>300k–600k</v>
      </c>
      <c r="P3514" s="19" t="str">
        <f t="shared" si="236"/>
        <v>56+</v>
      </c>
    </row>
    <row r="3515" spans="1:16" x14ac:dyDescent="0.25">
      <c r="A3515">
        <v>3514</v>
      </c>
      <c r="B3515" t="s">
        <v>9</v>
      </c>
      <c r="C3515">
        <v>470000</v>
      </c>
      <c r="D3515" t="s">
        <v>10</v>
      </c>
      <c r="E3515" t="s">
        <v>16</v>
      </c>
      <c r="F3515" t="s">
        <v>12</v>
      </c>
      <c r="G3515" t="s">
        <v>13</v>
      </c>
      <c r="H3515" t="s">
        <v>13</v>
      </c>
      <c r="I3515">
        <v>39</v>
      </c>
      <c r="J3515" t="str" cm="1">
        <f t="array" ref="J3515">_xlfn.IFS(ISBLANK(C3515),"FALTANTE",ABS((C3515-$W$5)/$X$5)&gt;1.96,"ATÍPICO",ABS((C3515-$W$5)/$X$5)&lt;=1.96,"NO ATÍPICO")</f>
        <v>NO ATÍPICO</v>
      </c>
      <c r="K3515" t="str" cm="1">
        <f t="array" ref="K3515">_xlfn.IFS(ISBLANK(I3515),"FALTANTE",ABS((I3515-$W$8)/$X$8)&gt;1.92,"ATÍPICO",ABS((I3515-$W$8)/$X$8)&lt;=1.92,"NO ATÍPICO")</f>
        <v>NO ATÍPICO</v>
      </c>
      <c r="L3515">
        <f t="shared" si="233"/>
        <v>470000</v>
      </c>
      <c r="M3515" t="str">
        <f t="shared" si="233"/>
        <v>ASALARIADO</v>
      </c>
      <c r="N3515">
        <f t="shared" si="234"/>
        <v>39</v>
      </c>
      <c r="O3515" s="19" t="str">
        <f t="shared" si="235"/>
        <v>300k–600k</v>
      </c>
      <c r="P3515" s="19" t="str">
        <f t="shared" si="236"/>
        <v>36-45</v>
      </c>
    </row>
    <row r="3516" spans="1:16" x14ac:dyDescent="0.25">
      <c r="A3516">
        <v>3515</v>
      </c>
      <c r="B3516" t="s">
        <v>9</v>
      </c>
      <c r="C3516">
        <v>514062</v>
      </c>
      <c r="D3516" t="s">
        <v>18</v>
      </c>
      <c r="E3516" t="s">
        <v>16</v>
      </c>
      <c r="F3516" t="s">
        <v>12</v>
      </c>
      <c r="G3516" t="s">
        <v>13</v>
      </c>
      <c r="H3516" t="s">
        <v>12</v>
      </c>
      <c r="I3516">
        <v>62</v>
      </c>
      <c r="J3516" t="str" cm="1">
        <f t="array" ref="J3516">_xlfn.IFS(ISBLANK(C3516),"FALTANTE",ABS((C3516-$W$5)/$X$5)&gt;1.96,"ATÍPICO",ABS((C3516-$W$5)/$X$5)&lt;=1.96,"NO ATÍPICO")</f>
        <v>NO ATÍPICO</v>
      </c>
      <c r="K3516" t="str" cm="1">
        <f t="array" ref="K3516">_xlfn.IFS(ISBLANK(I3516),"FALTANTE",ABS((I3516-$W$8)/$X$8)&gt;1.92,"ATÍPICO",ABS((I3516-$W$8)/$X$8)&lt;=1.92,"NO ATÍPICO")</f>
        <v>NO ATÍPICO</v>
      </c>
      <c r="L3516">
        <f t="shared" si="233"/>
        <v>514062</v>
      </c>
      <c r="M3516" t="str">
        <f t="shared" si="233"/>
        <v>TRABAJADOR INDEPENDIENTE</v>
      </c>
      <c r="N3516">
        <f t="shared" si="234"/>
        <v>62</v>
      </c>
      <c r="O3516" s="19" t="str">
        <f t="shared" si="235"/>
        <v>300k–600k</v>
      </c>
      <c r="P3516" s="19" t="str">
        <f t="shared" si="236"/>
        <v>56+</v>
      </c>
    </row>
    <row r="3517" spans="1:16" x14ac:dyDescent="0.25">
      <c r="A3517">
        <v>3516</v>
      </c>
      <c r="B3517" t="s">
        <v>15</v>
      </c>
      <c r="C3517">
        <v>278030</v>
      </c>
      <c r="D3517" t="s">
        <v>19</v>
      </c>
      <c r="E3517" t="s">
        <v>16</v>
      </c>
      <c r="F3517" t="s">
        <v>12</v>
      </c>
      <c r="G3517" t="s">
        <v>13</v>
      </c>
      <c r="H3517" t="s">
        <v>13</v>
      </c>
      <c r="I3517">
        <v>69</v>
      </c>
      <c r="J3517" t="str" cm="1">
        <f t="array" ref="J3517">_xlfn.IFS(ISBLANK(C3517),"FALTANTE",ABS((C3517-$W$5)/$X$5)&gt;1.96,"ATÍPICO",ABS((C3517-$W$5)/$X$5)&lt;=1.96,"NO ATÍPICO")</f>
        <v>NO ATÍPICO</v>
      </c>
      <c r="K3517" t="str" cm="1">
        <f t="array" ref="K3517">_xlfn.IFS(ISBLANK(I3517),"FALTANTE",ABS((I3517-$W$8)/$X$8)&gt;1.92,"ATÍPICO",ABS((I3517-$W$8)/$X$8)&lt;=1.92,"NO ATÍPICO")</f>
        <v>NO ATÍPICO</v>
      </c>
      <c r="L3517">
        <f t="shared" si="233"/>
        <v>278030</v>
      </c>
      <c r="M3517" t="str">
        <f t="shared" si="233"/>
        <v>CONVENIOS ESPECIALES DE TRABAJADORES INDEPENDIENTES</v>
      </c>
      <c r="N3517">
        <f t="shared" si="234"/>
        <v>69</v>
      </c>
      <c r="O3517" s="19" t="str">
        <f t="shared" si="235"/>
        <v>0–300k</v>
      </c>
      <c r="P3517" s="19" t="str">
        <f t="shared" si="236"/>
        <v>56+</v>
      </c>
    </row>
    <row r="3518" spans="1:16" x14ac:dyDescent="0.25">
      <c r="A3518">
        <v>3517</v>
      </c>
      <c r="B3518" t="s">
        <v>15</v>
      </c>
      <c r="C3518">
        <v>331181</v>
      </c>
      <c r="D3518" t="s">
        <v>18</v>
      </c>
      <c r="E3518" t="s">
        <v>16</v>
      </c>
      <c r="F3518" t="s">
        <v>12</v>
      </c>
      <c r="G3518" t="s">
        <v>13</v>
      </c>
      <c r="H3518" t="s">
        <v>13</v>
      </c>
      <c r="I3518">
        <v>59</v>
      </c>
      <c r="J3518" t="str" cm="1">
        <f t="array" ref="J3518">_xlfn.IFS(ISBLANK(C3518),"FALTANTE",ABS((C3518-$W$5)/$X$5)&gt;1.96,"ATÍPICO",ABS((C3518-$W$5)/$X$5)&lt;=1.96,"NO ATÍPICO")</f>
        <v>NO ATÍPICO</v>
      </c>
      <c r="K3518" t="str" cm="1">
        <f t="array" ref="K3518">_xlfn.IFS(ISBLANK(I3518),"FALTANTE",ABS((I3518-$W$8)/$X$8)&gt;1.92,"ATÍPICO",ABS((I3518-$W$8)/$X$8)&lt;=1.92,"NO ATÍPICO")</f>
        <v>NO ATÍPICO</v>
      </c>
      <c r="L3518">
        <f t="shared" si="233"/>
        <v>331181</v>
      </c>
      <c r="M3518" t="str">
        <f t="shared" si="233"/>
        <v>TRABAJADOR INDEPENDIENTE</v>
      </c>
      <c r="N3518">
        <f t="shared" si="234"/>
        <v>59</v>
      </c>
      <c r="O3518" s="19" t="str">
        <f t="shared" si="235"/>
        <v>300k–600k</v>
      </c>
      <c r="P3518" s="19" t="str">
        <f t="shared" si="236"/>
        <v>56+</v>
      </c>
    </row>
    <row r="3519" spans="1:16" x14ac:dyDescent="0.25">
      <c r="A3519">
        <v>3518</v>
      </c>
      <c r="B3519" t="s">
        <v>9</v>
      </c>
      <c r="C3519">
        <v>1516000</v>
      </c>
      <c r="D3519" t="s">
        <v>10</v>
      </c>
      <c r="E3519" t="s">
        <v>16</v>
      </c>
      <c r="F3519" t="s">
        <v>12</v>
      </c>
      <c r="G3519" t="s">
        <v>13</v>
      </c>
      <c r="H3519" t="s">
        <v>13</v>
      </c>
      <c r="I3519">
        <v>32</v>
      </c>
      <c r="J3519" t="str" cm="1">
        <f t="array" ref="J3519">_xlfn.IFS(ISBLANK(C3519),"FALTANTE",ABS((C3519-$W$5)/$X$5)&gt;1.96,"ATÍPICO",ABS((C3519-$W$5)/$X$5)&lt;=1.96,"NO ATÍPICO")</f>
        <v>NO ATÍPICO</v>
      </c>
      <c r="K3519" t="str" cm="1">
        <f t="array" ref="K3519">_xlfn.IFS(ISBLANK(I3519),"FALTANTE",ABS((I3519-$W$8)/$X$8)&gt;1.92,"ATÍPICO",ABS((I3519-$W$8)/$X$8)&lt;=1.92,"NO ATÍPICO")</f>
        <v>NO ATÍPICO</v>
      </c>
      <c r="L3519">
        <f t="shared" si="233"/>
        <v>1516000</v>
      </c>
      <c r="M3519" t="str">
        <f t="shared" si="233"/>
        <v>ASALARIADO</v>
      </c>
      <c r="N3519">
        <f t="shared" si="234"/>
        <v>32</v>
      </c>
      <c r="O3519" s="19" t="str">
        <f t="shared" si="235"/>
        <v>1200k+</v>
      </c>
      <c r="P3519" s="19" t="str">
        <f t="shared" si="236"/>
        <v>26-35</v>
      </c>
    </row>
    <row r="3520" spans="1:16" x14ac:dyDescent="0.25">
      <c r="A3520">
        <v>3519</v>
      </c>
      <c r="B3520" t="s">
        <v>15</v>
      </c>
      <c r="C3520">
        <v>298821</v>
      </c>
      <c r="D3520" t="s">
        <v>17</v>
      </c>
      <c r="E3520" t="s">
        <v>16</v>
      </c>
      <c r="F3520" t="s">
        <v>12</v>
      </c>
      <c r="G3520" t="s">
        <v>13</v>
      </c>
      <c r="H3520" t="s">
        <v>13</v>
      </c>
      <c r="I3520">
        <v>47</v>
      </c>
      <c r="J3520" t="str" cm="1">
        <f t="array" ref="J3520">_xlfn.IFS(ISBLANK(C3520),"FALTANTE",ABS((C3520-$W$5)/$X$5)&gt;1.96,"ATÍPICO",ABS((C3520-$W$5)/$X$5)&lt;=1.96,"NO ATÍPICO")</f>
        <v>NO ATÍPICO</v>
      </c>
      <c r="K3520" t="str" cm="1">
        <f t="array" ref="K3520">_xlfn.IFS(ISBLANK(I3520),"FALTANTE",ABS((I3520-$W$8)/$X$8)&gt;1.92,"ATÍPICO",ABS((I3520-$W$8)/$X$8)&lt;=1.92,"NO ATÍPICO")</f>
        <v>NO ATÍPICO</v>
      </c>
      <c r="L3520">
        <f t="shared" si="233"/>
        <v>298821</v>
      </c>
      <c r="M3520" t="str">
        <f t="shared" si="233"/>
        <v>ASEGURADO VOLUNTARIO</v>
      </c>
      <c r="N3520">
        <f t="shared" si="234"/>
        <v>47</v>
      </c>
      <c r="O3520" s="19" t="str">
        <f t="shared" si="235"/>
        <v>0–300k</v>
      </c>
      <c r="P3520" s="19" t="str">
        <f t="shared" si="236"/>
        <v>46-55</v>
      </c>
    </row>
    <row r="3521" spans="1:16" x14ac:dyDescent="0.25">
      <c r="A3521">
        <v>3520</v>
      </c>
      <c r="B3521" t="s">
        <v>9</v>
      </c>
      <c r="C3521">
        <v>550000</v>
      </c>
      <c r="D3521" t="s">
        <v>10</v>
      </c>
      <c r="E3521" t="s">
        <v>16</v>
      </c>
      <c r="F3521" t="s">
        <v>12</v>
      </c>
      <c r="G3521" t="s">
        <v>12</v>
      </c>
      <c r="H3521" t="s">
        <v>13</v>
      </c>
      <c r="I3521">
        <v>31</v>
      </c>
      <c r="J3521" t="str" cm="1">
        <f t="array" ref="J3521">_xlfn.IFS(ISBLANK(C3521),"FALTANTE",ABS((C3521-$W$5)/$X$5)&gt;1.96,"ATÍPICO",ABS((C3521-$W$5)/$X$5)&lt;=1.96,"NO ATÍPICO")</f>
        <v>NO ATÍPICO</v>
      </c>
      <c r="K3521" t="str" cm="1">
        <f t="array" ref="K3521">_xlfn.IFS(ISBLANK(I3521),"FALTANTE",ABS((I3521-$W$8)/$X$8)&gt;1.92,"ATÍPICO",ABS((I3521-$W$8)/$X$8)&lt;=1.92,"NO ATÍPICO")</f>
        <v>NO ATÍPICO</v>
      </c>
      <c r="L3521">
        <f t="shared" si="233"/>
        <v>550000</v>
      </c>
      <c r="M3521" t="str">
        <f t="shared" si="233"/>
        <v>ASALARIADO</v>
      </c>
      <c r="N3521">
        <f t="shared" si="234"/>
        <v>31</v>
      </c>
      <c r="O3521" s="19" t="str">
        <f t="shared" si="235"/>
        <v>300k–600k</v>
      </c>
      <c r="P3521" s="19" t="str">
        <f t="shared" si="236"/>
        <v>26-35</v>
      </c>
    </row>
    <row r="3522" spans="1:16" x14ac:dyDescent="0.25">
      <c r="A3522">
        <v>3521</v>
      </c>
      <c r="B3522" t="s">
        <v>15</v>
      </c>
      <c r="C3522">
        <v>1941122</v>
      </c>
      <c r="D3522" t="s">
        <v>10</v>
      </c>
      <c r="E3522" t="s">
        <v>16</v>
      </c>
      <c r="F3522" t="s">
        <v>12</v>
      </c>
      <c r="G3522" t="s">
        <v>13</v>
      </c>
      <c r="H3522" t="s">
        <v>13</v>
      </c>
      <c r="I3522">
        <v>35</v>
      </c>
      <c r="J3522" t="str" cm="1">
        <f t="array" ref="J3522">_xlfn.IFS(ISBLANK(C3522),"FALTANTE",ABS((C3522-$W$5)/$X$5)&gt;1.96,"ATÍPICO",ABS((C3522-$W$5)/$X$5)&lt;=1.96,"NO ATÍPICO")</f>
        <v>NO ATÍPICO</v>
      </c>
      <c r="K3522" t="str" cm="1">
        <f t="array" ref="K3522">_xlfn.IFS(ISBLANK(I3522),"FALTANTE",ABS((I3522-$W$8)/$X$8)&gt;1.92,"ATÍPICO",ABS((I3522-$W$8)/$X$8)&lt;=1.92,"NO ATÍPICO")</f>
        <v>NO ATÍPICO</v>
      </c>
      <c r="L3522">
        <f t="shared" ref="L3522:M3585" si="237">C3522</f>
        <v>1941122</v>
      </c>
      <c r="M3522" t="str">
        <f t="shared" si="237"/>
        <v>ASALARIADO</v>
      </c>
      <c r="N3522">
        <f t="shared" ref="N3522:N3585" si="238">I3522</f>
        <v>35</v>
      </c>
      <c r="O3522" s="19" t="str">
        <f t="shared" ref="O3522:O3585" si="239">IF(L3522&lt;=300000,"0–300k",IF(L3522&lt;=600000,"300k–600k",IF(L3522&lt;=900000,"600k–900k",IF(L3522&lt;=1200000,"900k–1200k","1200k+"))))</f>
        <v>1200k+</v>
      </c>
      <c r="P3522" s="19" t="str">
        <f t="shared" ref="P3522:P3585" si="240">IF(N3522 &lt;=25,"18-25", IF(N3522&lt;=35,"26-35", IF(N3522 &lt;=45,"36-45", IF(N3522&lt;=55,"46-55","56+"))))</f>
        <v>26-35</v>
      </c>
    </row>
    <row r="3523" spans="1:16" x14ac:dyDescent="0.25">
      <c r="A3523">
        <v>3522</v>
      </c>
      <c r="B3523" t="s">
        <v>9</v>
      </c>
      <c r="C3523">
        <v>520421</v>
      </c>
      <c r="D3523" t="s">
        <v>18</v>
      </c>
      <c r="E3523" t="s">
        <v>16</v>
      </c>
      <c r="F3523" t="s">
        <v>12</v>
      </c>
      <c r="G3523" t="s">
        <v>13</v>
      </c>
      <c r="H3523" t="s">
        <v>12</v>
      </c>
      <c r="I3523">
        <v>58</v>
      </c>
      <c r="J3523" t="str" cm="1">
        <f t="array" ref="J3523">_xlfn.IFS(ISBLANK(C3523),"FALTANTE",ABS((C3523-$W$5)/$X$5)&gt;1.96,"ATÍPICO",ABS((C3523-$W$5)/$X$5)&lt;=1.96,"NO ATÍPICO")</f>
        <v>NO ATÍPICO</v>
      </c>
      <c r="K3523" t="str" cm="1">
        <f t="array" ref="K3523">_xlfn.IFS(ISBLANK(I3523),"FALTANTE",ABS((I3523-$W$8)/$X$8)&gt;1.92,"ATÍPICO",ABS((I3523-$W$8)/$X$8)&lt;=1.92,"NO ATÍPICO")</f>
        <v>NO ATÍPICO</v>
      </c>
      <c r="L3523">
        <f t="shared" si="237"/>
        <v>520421</v>
      </c>
      <c r="M3523" t="str">
        <f t="shared" si="237"/>
        <v>TRABAJADOR INDEPENDIENTE</v>
      </c>
      <c r="N3523">
        <f t="shared" si="238"/>
        <v>58</v>
      </c>
      <c r="O3523" s="19" t="str">
        <f t="shared" si="239"/>
        <v>300k–600k</v>
      </c>
      <c r="P3523" s="19" t="str">
        <f t="shared" si="240"/>
        <v>56+</v>
      </c>
    </row>
    <row r="3524" spans="1:16" x14ac:dyDescent="0.25">
      <c r="A3524">
        <v>3523</v>
      </c>
      <c r="B3524" t="s">
        <v>15</v>
      </c>
      <c r="C3524">
        <v>266312.05</v>
      </c>
      <c r="D3524" t="s">
        <v>10</v>
      </c>
      <c r="E3524" t="s">
        <v>16</v>
      </c>
      <c r="F3524" t="s">
        <v>12</v>
      </c>
      <c r="G3524" t="s">
        <v>13</v>
      </c>
      <c r="H3524" t="s">
        <v>13</v>
      </c>
      <c r="I3524">
        <v>21</v>
      </c>
      <c r="J3524" t="str" cm="1">
        <f t="array" ref="J3524">_xlfn.IFS(ISBLANK(C3524),"FALTANTE",ABS((C3524-$W$5)/$X$5)&gt;1.96,"ATÍPICO",ABS((C3524-$W$5)/$X$5)&lt;=1.96,"NO ATÍPICO")</f>
        <v>NO ATÍPICO</v>
      </c>
      <c r="K3524" t="str" cm="1">
        <f t="array" ref="K3524">_xlfn.IFS(ISBLANK(I3524),"FALTANTE",ABS((I3524-$W$8)/$X$8)&gt;1.92,"ATÍPICO",ABS((I3524-$W$8)/$X$8)&lt;=1.92,"NO ATÍPICO")</f>
        <v>NO ATÍPICO</v>
      </c>
      <c r="L3524">
        <f t="shared" si="237"/>
        <v>266312.05</v>
      </c>
      <c r="M3524" t="str">
        <f t="shared" si="237"/>
        <v>ASALARIADO</v>
      </c>
      <c r="N3524">
        <f t="shared" si="238"/>
        <v>21</v>
      </c>
      <c r="O3524" s="19" t="str">
        <f t="shared" si="239"/>
        <v>0–300k</v>
      </c>
      <c r="P3524" s="19" t="str">
        <f t="shared" si="240"/>
        <v>18-25</v>
      </c>
    </row>
    <row r="3525" spans="1:16" x14ac:dyDescent="0.25">
      <c r="A3525">
        <v>3524</v>
      </c>
      <c r="B3525" t="s">
        <v>9</v>
      </c>
      <c r="C3525">
        <v>2743997</v>
      </c>
      <c r="D3525" t="s">
        <v>10</v>
      </c>
      <c r="E3525" t="s">
        <v>16</v>
      </c>
      <c r="F3525" t="s">
        <v>12</v>
      </c>
      <c r="G3525" t="s">
        <v>13</v>
      </c>
      <c r="H3525" t="s">
        <v>13</v>
      </c>
      <c r="I3525">
        <v>45</v>
      </c>
      <c r="J3525" t="str" cm="1">
        <f t="array" ref="J3525">_xlfn.IFS(ISBLANK(C3525),"FALTANTE",ABS((C3525-$W$5)/$X$5)&gt;1.96,"ATÍPICO",ABS((C3525-$W$5)/$X$5)&lt;=1.96,"NO ATÍPICO")</f>
        <v>ATÍPICO</v>
      </c>
      <c r="K3525" t="str" cm="1">
        <f t="array" ref="K3525">_xlfn.IFS(ISBLANK(I3525),"FALTANTE",ABS((I3525-$W$8)/$X$8)&gt;1.92,"ATÍPICO",ABS((I3525-$W$8)/$X$8)&lt;=1.92,"NO ATÍPICO")</f>
        <v>NO ATÍPICO</v>
      </c>
      <c r="L3525">
        <f t="shared" si="237"/>
        <v>2743997</v>
      </c>
      <c r="M3525" t="str">
        <f t="shared" si="237"/>
        <v>ASALARIADO</v>
      </c>
      <c r="N3525">
        <f t="shared" si="238"/>
        <v>45</v>
      </c>
      <c r="O3525" s="19" t="str">
        <f t="shared" si="239"/>
        <v>1200k+</v>
      </c>
      <c r="P3525" s="19" t="str">
        <f t="shared" si="240"/>
        <v>36-45</v>
      </c>
    </row>
    <row r="3526" spans="1:16" x14ac:dyDescent="0.25">
      <c r="A3526">
        <v>3525</v>
      </c>
      <c r="B3526" t="s">
        <v>15</v>
      </c>
      <c r="C3526">
        <v>1125734.83</v>
      </c>
      <c r="D3526" t="s">
        <v>10</v>
      </c>
      <c r="E3526" t="s">
        <v>11</v>
      </c>
      <c r="F3526" t="s">
        <v>12</v>
      </c>
      <c r="G3526" t="s">
        <v>13</v>
      </c>
      <c r="H3526" t="s">
        <v>13</v>
      </c>
      <c r="I3526">
        <v>47</v>
      </c>
      <c r="J3526" t="str" cm="1">
        <f t="array" ref="J3526">_xlfn.IFS(ISBLANK(C3526),"FALTANTE",ABS((C3526-$W$5)/$X$5)&gt;1.96,"ATÍPICO",ABS((C3526-$W$5)/$X$5)&lt;=1.96,"NO ATÍPICO")</f>
        <v>NO ATÍPICO</v>
      </c>
      <c r="K3526" t="str" cm="1">
        <f t="array" ref="K3526">_xlfn.IFS(ISBLANK(I3526),"FALTANTE",ABS((I3526-$W$8)/$X$8)&gt;1.92,"ATÍPICO",ABS((I3526-$W$8)/$X$8)&lt;=1.92,"NO ATÍPICO")</f>
        <v>NO ATÍPICO</v>
      </c>
      <c r="L3526">
        <f t="shared" si="237"/>
        <v>1125734.83</v>
      </c>
      <c r="M3526" t="str">
        <f t="shared" si="237"/>
        <v>ASALARIADO</v>
      </c>
      <c r="N3526">
        <f t="shared" si="238"/>
        <v>47</v>
      </c>
      <c r="O3526" s="19" t="str">
        <f t="shared" si="239"/>
        <v>900k–1200k</v>
      </c>
      <c r="P3526" s="19" t="str">
        <f t="shared" si="240"/>
        <v>46-55</v>
      </c>
    </row>
    <row r="3527" spans="1:16" x14ac:dyDescent="0.25">
      <c r="A3527">
        <v>3526</v>
      </c>
      <c r="B3527" t="s">
        <v>9</v>
      </c>
      <c r="C3527">
        <v>298270</v>
      </c>
      <c r="D3527" t="s">
        <v>10</v>
      </c>
      <c r="E3527" t="s">
        <v>16</v>
      </c>
      <c r="F3527" t="s">
        <v>12</v>
      </c>
      <c r="G3527" t="s">
        <v>13</v>
      </c>
      <c r="H3527" t="s">
        <v>13</v>
      </c>
      <c r="I3527">
        <v>25</v>
      </c>
      <c r="J3527" t="str" cm="1">
        <f t="array" ref="J3527">_xlfn.IFS(ISBLANK(C3527),"FALTANTE",ABS((C3527-$W$5)/$X$5)&gt;1.96,"ATÍPICO",ABS((C3527-$W$5)/$X$5)&lt;=1.96,"NO ATÍPICO")</f>
        <v>NO ATÍPICO</v>
      </c>
      <c r="K3527" t="str" cm="1">
        <f t="array" ref="K3527">_xlfn.IFS(ISBLANK(I3527),"FALTANTE",ABS((I3527-$W$8)/$X$8)&gt;1.92,"ATÍPICO",ABS((I3527-$W$8)/$X$8)&lt;=1.92,"NO ATÍPICO")</f>
        <v>NO ATÍPICO</v>
      </c>
      <c r="L3527">
        <f t="shared" si="237"/>
        <v>298270</v>
      </c>
      <c r="M3527" t="str">
        <f t="shared" si="237"/>
        <v>ASALARIADO</v>
      </c>
      <c r="N3527">
        <f t="shared" si="238"/>
        <v>25</v>
      </c>
      <c r="O3527" s="19" t="str">
        <f t="shared" si="239"/>
        <v>0–300k</v>
      </c>
      <c r="P3527" s="19" t="str">
        <f t="shared" si="240"/>
        <v>18-25</v>
      </c>
    </row>
    <row r="3528" spans="1:16" x14ac:dyDescent="0.25">
      <c r="A3528">
        <v>3527</v>
      </c>
      <c r="B3528" t="s">
        <v>9</v>
      </c>
      <c r="C3528">
        <v>266400</v>
      </c>
      <c r="D3528" t="s">
        <v>10</v>
      </c>
      <c r="E3528" t="s">
        <v>16</v>
      </c>
      <c r="F3528" t="s">
        <v>12</v>
      </c>
      <c r="G3528" t="s">
        <v>13</v>
      </c>
      <c r="H3528" t="s">
        <v>12</v>
      </c>
      <c r="I3528">
        <v>36</v>
      </c>
      <c r="J3528" t="str" cm="1">
        <f t="array" ref="J3528">_xlfn.IFS(ISBLANK(C3528),"FALTANTE",ABS((C3528-$W$5)/$X$5)&gt;1.96,"ATÍPICO",ABS((C3528-$W$5)/$X$5)&lt;=1.96,"NO ATÍPICO")</f>
        <v>NO ATÍPICO</v>
      </c>
      <c r="K3528" t="str" cm="1">
        <f t="array" ref="K3528">_xlfn.IFS(ISBLANK(I3528),"FALTANTE",ABS((I3528-$W$8)/$X$8)&gt;1.92,"ATÍPICO",ABS((I3528-$W$8)/$X$8)&lt;=1.92,"NO ATÍPICO")</f>
        <v>NO ATÍPICO</v>
      </c>
      <c r="L3528">
        <f t="shared" si="237"/>
        <v>266400</v>
      </c>
      <c r="M3528" t="str">
        <f t="shared" si="237"/>
        <v>ASALARIADO</v>
      </c>
      <c r="N3528">
        <f t="shared" si="238"/>
        <v>36</v>
      </c>
      <c r="O3528" s="19" t="str">
        <f t="shared" si="239"/>
        <v>0–300k</v>
      </c>
      <c r="P3528" s="19" t="str">
        <f t="shared" si="240"/>
        <v>36-45</v>
      </c>
    </row>
    <row r="3529" spans="1:16" x14ac:dyDescent="0.25">
      <c r="A3529">
        <v>3528</v>
      </c>
      <c r="B3529" t="s">
        <v>9</v>
      </c>
      <c r="C3529">
        <v>297046</v>
      </c>
      <c r="D3529" t="s">
        <v>18</v>
      </c>
      <c r="E3529" t="s">
        <v>16</v>
      </c>
      <c r="F3529" t="s">
        <v>12</v>
      </c>
      <c r="G3529" t="s">
        <v>13</v>
      </c>
      <c r="H3529" t="s">
        <v>13</v>
      </c>
      <c r="I3529">
        <v>57</v>
      </c>
      <c r="J3529" t="str" cm="1">
        <f t="array" ref="J3529">_xlfn.IFS(ISBLANK(C3529),"FALTANTE",ABS((C3529-$W$5)/$X$5)&gt;1.96,"ATÍPICO",ABS((C3529-$W$5)/$X$5)&lt;=1.96,"NO ATÍPICO")</f>
        <v>NO ATÍPICO</v>
      </c>
      <c r="K3529" t="str" cm="1">
        <f t="array" ref="K3529">_xlfn.IFS(ISBLANK(I3529),"FALTANTE",ABS((I3529-$W$8)/$X$8)&gt;1.92,"ATÍPICO",ABS((I3529-$W$8)/$X$8)&lt;=1.92,"NO ATÍPICO")</f>
        <v>NO ATÍPICO</v>
      </c>
      <c r="L3529">
        <f t="shared" si="237"/>
        <v>297046</v>
      </c>
      <c r="M3529" t="str">
        <f t="shared" si="237"/>
        <v>TRABAJADOR INDEPENDIENTE</v>
      </c>
      <c r="N3529">
        <f t="shared" si="238"/>
        <v>57</v>
      </c>
      <c r="O3529" s="19" t="str">
        <f t="shared" si="239"/>
        <v>0–300k</v>
      </c>
      <c r="P3529" s="19" t="str">
        <f t="shared" si="240"/>
        <v>56+</v>
      </c>
    </row>
    <row r="3530" spans="1:16" x14ac:dyDescent="0.25">
      <c r="A3530">
        <v>3529</v>
      </c>
      <c r="B3530" t="s">
        <v>9</v>
      </c>
      <c r="C3530">
        <v>103000</v>
      </c>
      <c r="D3530" t="s">
        <v>10</v>
      </c>
      <c r="E3530" t="s">
        <v>16</v>
      </c>
      <c r="F3530" t="s">
        <v>12</v>
      </c>
      <c r="G3530" t="s">
        <v>12</v>
      </c>
      <c r="H3530" t="s">
        <v>12</v>
      </c>
      <c r="I3530">
        <v>37</v>
      </c>
      <c r="J3530" t="str" cm="1">
        <f t="array" ref="J3530">_xlfn.IFS(ISBLANK(C3530),"FALTANTE",ABS((C3530-$W$5)/$X$5)&gt;1.96,"ATÍPICO",ABS((C3530-$W$5)/$X$5)&lt;=1.96,"NO ATÍPICO")</f>
        <v>NO ATÍPICO</v>
      </c>
      <c r="K3530" t="str" cm="1">
        <f t="array" ref="K3530">_xlfn.IFS(ISBLANK(I3530),"FALTANTE",ABS((I3530-$W$8)/$X$8)&gt;1.92,"ATÍPICO",ABS((I3530-$W$8)/$X$8)&lt;=1.92,"NO ATÍPICO")</f>
        <v>NO ATÍPICO</v>
      </c>
      <c r="L3530">
        <f t="shared" si="237"/>
        <v>103000</v>
      </c>
      <c r="M3530" t="str">
        <f t="shared" si="237"/>
        <v>ASALARIADO</v>
      </c>
      <c r="N3530">
        <f t="shared" si="238"/>
        <v>37</v>
      </c>
      <c r="O3530" s="19" t="str">
        <f t="shared" si="239"/>
        <v>0–300k</v>
      </c>
      <c r="P3530" s="19" t="str">
        <f t="shared" si="240"/>
        <v>36-45</v>
      </c>
    </row>
    <row r="3531" spans="1:16" x14ac:dyDescent="0.25">
      <c r="A3531">
        <v>3530</v>
      </c>
      <c r="B3531" t="s">
        <v>9</v>
      </c>
      <c r="C3531">
        <v>746762</v>
      </c>
      <c r="D3531" t="s">
        <v>10</v>
      </c>
      <c r="E3531" t="s">
        <v>11</v>
      </c>
      <c r="F3531" t="s">
        <v>12</v>
      </c>
      <c r="G3531" t="s">
        <v>13</v>
      </c>
      <c r="H3531" t="s">
        <v>13</v>
      </c>
      <c r="I3531">
        <v>33</v>
      </c>
      <c r="J3531" t="str" cm="1">
        <f t="array" ref="J3531">_xlfn.IFS(ISBLANK(C3531),"FALTANTE",ABS((C3531-$W$5)/$X$5)&gt;1.96,"ATÍPICO",ABS((C3531-$W$5)/$X$5)&lt;=1.96,"NO ATÍPICO")</f>
        <v>NO ATÍPICO</v>
      </c>
      <c r="K3531" t="str" cm="1">
        <f t="array" ref="K3531">_xlfn.IFS(ISBLANK(I3531),"FALTANTE",ABS((I3531-$W$8)/$X$8)&gt;1.92,"ATÍPICO",ABS((I3531-$W$8)/$X$8)&lt;=1.92,"NO ATÍPICO")</f>
        <v>NO ATÍPICO</v>
      </c>
      <c r="L3531">
        <f t="shared" si="237"/>
        <v>746762</v>
      </c>
      <c r="M3531" t="str">
        <f t="shared" si="237"/>
        <v>ASALARIADO</v>
      </c>
      <c r="N3531">
        <f t="shared" si="238"/>
        <v>33</v>
      </c>
      <c r="O3531" s="19" t="str">
        <f t="shared" si="239"/>
        <v>600k–900k</v>
      </c>
      <c r="P3531" s="19" t="str">
        <f t="shared" si="240"/>
        <v>26-35</v>
      </c>
    </row>
    <row r="3532" spans="1:16" x14ac:dyDescent="0.25">
      <c r="A3532">
        <v>3531</v>
      </c>
      <c r="B3532" t="s">
        <v>9</v>
      </c>
      <c r="C3532">
        <v>312000</v>
      </c>
      <c r="D3532" t="s">
        <v>10</v>
      </c>
      <c r="E3532" t="s">
        <v>16</v>
      </c>
      <c r="F3532" t="s">
        <v>12</v>
      </c>
      <c r="G3532" t="s">
        <v>13</v>
      </c>
      <c r="H3532" t="s">
        <v>12</v>
      </c>
      <c r="I3532">
        <v>39</v>
      </c>
      <c r="J3532" t="str" cm="1">
        <f t="array" ref="J3532">_xlfn.IFS(ISBLANK(C3532),"FALTANTE",ABS((C3532-$W$5)/$X$5)&gt;1.96,"ATÍPICO",ABS((C3532-$W$5)/$X$5)&lt;=1.96,"NO ATÍPICO")</f>
        <v>NO ATÍPICO</v>
      </c>
      <c r="K3532" t="str" cm="1">
        <f t="array" ref="K3532">_xlfn.IFS(ISBLANK(I3532),"FALTANTE",ABS((I3532-$W$8)/$X$8)&gt;1.92,"ATÍPICO",ABS((I3532-$W$8)/$X$8)&lt;=1.92,"NO ATÍPICO")</f>
        <v>NO ATÍPICO</v>
      </c>
      <c r="L3532">
        <f t="shared" si="237"/>
        <v>312000</v>
      </c>
      <c r="M3532" t="str">
        <f t="shared" si="237"/>
        <v>ASALARIADO</v>
      </c>
      <c r="N3532">
        <f t="shared" si="238"/>
        <v>39</v>
      </c>
      <c r="O3532" s="19" t="str">
        <f t="shared" si="239"/>
        <v>300k–600k</v>
      </c>
      <c r="P3532" s="19" t="str">
        <f t="shared" si="240"/>
        <v>36-45</v>
      </c>
    </row>
    <row r="3533" spans="1:16" x14ac:dyDescent="0.25">
      <c r="A3533">
        <v>3532</v>
      </c>
      <c r="B3533" t="s">
        <v>15</v>
      </c>
      <c r="C3533">
        <v>302470</v>
      </c>
      <c r="D3533" t="s">
        <v>17</v>
      </c>
      <c r="E3533" t="s">
        <v>16</v>
      </c>
      <c r="F3533" t="s">
        <v>12</v>
      </c>
      <c r="G3533" t="s">
        <v>12</v>
      </c>
      <c r="H3533" t="s">
        <v>13</v>
      </c>
      <c r="I3533">
        <v>28</v>
      </c>
      <c r="J3533" t="str" cm="1">
        <f t="array" ref="J3533">_xlfn.IFS(ISBLANK(C3533),"FALTANTE",ABS((C3533-$W$5)/$X$5)&gt;1.96,"ATÍPICO",ABS((C3533-$W$5)/$X$5)&lt;=1.96,"NO ATÍPICO")</f>
        <v>NO ATÍPICO</v>
      </c>
      <c r="K3533" t="str" cm="1">
        <f t="array" ref="K3533">_xlfn.IFS(ISBLANK(I3533),"FALTANTE",ABS((I3533-$W$8)/$X$8)&gt;1.92,"ATÍPICO",ABS((I3533-$W$8)/$X$8)&lt;=1.92,"NO ATÍPICO")</f>
        <v>NO ATÍPICO</v>
      </c>
      <c r="L3533">
        <f t="shared" si="237"/>
        <v>302470</v>
      </c>
      <c r="M3533" t="str">
        <f t="shared" si="237"/>
        <v>ASEGURADO VOLUNTARIO</v>
      </c>
      <c r="N3533">
        <f t="shared" si="238"/>
        <v>28</v>
      </c>
      <c r="O3533" s="19" t="str">
        <f t="shared" si="239"/>
        <v>300k–600k</v>
      </c>
      <c r="P3533" s="19" t="str">
        <f t="shared" si="240"/>
        <v>26-35</v>
      </c>
    </row>
    <row r="3534" spans="1:16" x14ac:dyDescent="0.25">
      <c r="A3534">
        <v>3533</v>
      </c>
      <c r="B3534" t="s">
        <v>9</v>
      </c>
      <c r="C3534">
        <v>242811.62</v>
      </c>
      <c r="D3534" t="s">
        <v>14</v>
      </c>
      <c r="E3534" t="s">
        <v>11</v>
      </c>
      <c r="F3534" t="s">
        <v>12</v>
      </c>
      <c r="G3534" t="s">
        <v>13</v>
      </c>
      <c r="H3534" t="s">
        <v>13</v>
      </c>
      <c r="I3534">
        <v>67</v>
      </c>
      <c r="J3534" t="str" cm="1">
        <f t="array" ref="J3534">_xlfn.IFS(ISBLANK(C3534),"FALTANTE",ABS((C3534-$W$5)/$X$5)&gt;1.96,"ATÍPICO",ABS((C3534-$W$5)/$X$5)&lt;=1.96,"NO ATÍPICO")</f>
        <v>NO ATÍPICO</v>
      </c>
      <c r="K3534" t="str" cm="1">
        <f t="array" ref="K3534">_xlfn.IFS(ISBLANK(I3534),"FALTANTE",ABS((I3534-$W$8)/$X$8)&gt;1.92,"ATÍPICO",ABS((I3534-$W$8)/$X$8)&lt;=1.92,"NO ATÍPICO")</f>
        <v>NO ATÍPICO</v>
      </c>
      <c r="L3534">
        <f t="shared" si="237"/>
        <v>242811.62</v>
      </c>
      <c r="M3534" t="str">
        <f t="shared" si="237"/>
        <v>PENSIONADOS EN SU PROPIO SISTEMA</v>
      </c>
      <c r="N3534">
        <f t="shared" si="238"/>
        <v>67</v>
      </c>
      <c r="O3534" s="19" t="str">
        <f t="shared" si="239"/>
        <v>0–300k</v>
      </c>
      <c r="P3534" s="19" t="str">
        <f t="shared" si="240"/>
        <v>56+</v>
      </c>
    </row>
    <row r="3535" spans="1:16" x14ac:dyDescent="0.25">
      <c r="A3535">
        <v>3534</v>
      </c>
      <c r="B3535" t="s">
        <v>15</v>
      </c>
      <c r="C3535">
        <v>510544</v>
      </c>
      <c r="D3535" t="s">
        <v>10</v>
      </c>
      <c r="E3535" t="s">
        <v>16</v>
      </c>
      <c r="F3535" t="s">
        <v>12</v>
      </c>
      <c r="G3535" t="s">
        <v>13</v>
      </c>
      <c r="H3535" t="s">
        <v>13</v>
      </c>
      <c r="I3535">
        <v>39</v>
      </c>
      <c r="J3535" t="str" cm="1">
        <f t="array" ref="J3535">_xlfn.IFS(ISBLANK(C3535),"FALTANTE",ABS((C3535-$W$5)/$X$5)&gt;1.96,"ATÍPICO",ABS((C3535-$W$5)/$X$5)&lt;=1.96,"NO ATÍPICO")</f>
        <v>NO ATÍPICO</v>
      </c>
      <c r="K3535" t="str" cm="1">
        <f t="array" ref="K3535">_xlfn.IFS(ISBLANK(I3535),"FALTANTE",ABS((I3535-$W$8)/$X$8)&gt;1.92,"ATÍPICO",ABS((I3535-$W$8)/$X$8)&lt;=1.92,"NO ATÍPICO")</f>
        <v>NO ATÍPICO</v>
      </c>
      <c r="L3535">
        <f t="shared" si="237"/>
        <v>510544</v>
      </c>
      <c r="M3535" t="str">
        <f t="shared" si="237"/>
        <v>ASALARIADO</v>
      </c>
      <c r="N3535">
        <f t="shared" si="238"/>
        <v>39</v>
      </c>
      <c r="O3535" s="19" t="str">
        <f t="shared" si="239"/>
        <v>300k–600k</v>
      </c>
      <c r="P3535" s="19" t="str">
        <f t="shared" si="240"/>
        <v>36-45</v>
      </c>
    </row>
    <row r="3536" spans="1:16" x14ac:dyDescent="0.25">
      <c r="A3536">
        <v>3535</v>
      </c>
      <c r="B3536" t="s">
        <v>9</v>
      </c>
      <c r="C3536">
        <v>639148</v>
      </c>
      <c r="D3536" t="s">
        <v>18</v>
      </c>
      <c r="E3536" t="s">
        <v>16</v>
      </c>
      <c r="F3536" t="s">
        <v>12</v>
      </c>
      <c r="G3536" t="s">
        <v>13</v>
      </c>
      <c r="H3536" t="s">
        <v>13</v>
      </c>
      <c r="I3536">
        <v>73</v>
      </c>
      <c r="J3536" t="str" cm="1">
        <f t="array" ref="J3536">_xlfn.IFS(ISBLANK(C3536),"FALTANTE",ABS((C3536-$W$5)/$X$5)&gt;1.96,"ATÍPICO",ABS((C3536-$W$5)/$X$5)&lt;=1.96,"NO ATÍPICO")</f>
        <v>NO ATÍPICO</v>
      </c>
      <c r="K3536" t="str" cm="1">
        <f t="array" ref="K3536">_xlfn.IFS(ISBLANK(I3536),"FALTANTE",ABS((I3536-$W$8)/$X$8)&gt;1.92,"ATÍPICO",ABS((I3536-$W$8)/$X$8)&lt;=1.92,"NO ATÍPICO")</f>
        <v>ATÍPICO</v>
      </c>
      <c r="L3536">
        <f t="shared" si="237"/>
        <v>639148</v>
      </c>
      <c r="M3536" t="str">
        <f t="shared" si="237"/>
        <v>TRABAJADOR INDEPENDIENTE</v>
      </c>
      <c r="N3536">
        <f t="shared" si="238"/>
        <v>73</v>
      </c>
      <c r="O3536" s="19" t="str">
        <f t="shared" si="239"/>
        <v>600k–900k</v>
      </c>
      <c r="P3536" s="19" t="str">
        <f t="shared" si="240"/>
        <v>56+</v>
      </c>
    </row>
    <row r="3537" spans="1:16" x14ac:dyDescent="0.25">
      <c r="A3537">
        <v>3536</v>
      </c>
      <c r="B3537" t="s">
        <v>9</v>
      </c>
      <c r="C3537">
        <v>417679</v>
      </c>
      <c r="D3537" t="s">
        <v>18</v>
      </c>
      <c r="E3537" t="s">
        <v>16</v>
      </c>
      <c r="F3537" t="s">
        <v>12</v>
      </c>
      <c r="G3537" t="s">
        <v>13</v>
      </c>
      <c r="H3537" t="s">
        <v>12</v>
      </c>
      <c r="I3537">
        <v>47</v>
      </c>
      <c r="J3537" t="str" cm="1">
        <f t="array" ref="J3537">_xlfn.IFS(ISBLANK(C3537),"FALTANTE",ABS((C3537-$W$5)/$X$5)&gt;1.96,"ATÍPICO",ABS((C3537-$W$5)/$X$5)&lt;=1.96,"NO ATÍPICO")</f>
        <v>NO ATÍPICO</v>
      </c>
      <c r="K3537" t="str" cm="1">
        <f t="array" ref="K3537">_xlfn.IFS(ISBLANK(I3537),"FALTANTE",ABS((I3537-$W$8)/$X$8)&gt;1.92,"ATÍPICO",ABS((I3537-$W$8)/$X$8)&lt;=1.92,"NO ATÍPICO")</f>
        <v>NO ATÍPICO</v>
      </c>
      <c r="L3537">
        <f t="shared" si="237"/>
        <v>417679</v>
      </c>
      <c r="M3537" t="str">
        <f t="shared" si="237"/>
        <v>TRABAJADOR INDEPENDIENTE</v>
      </c>
      <c r="N3537">
        <f t="shared" si="238"/>
        <v>47</v>
      </c>
      <c r="O3537" s="19" t="str">
        <f t="shared" si="239"/>
        <v>300k–600k</v>
      </c>
      <c r="P3537" s="19" t="str">
        <f t="shared" si="240"/>
        <v>46-55</v>
      </c>
    </row>
    <row r="3538" spans="1:16" x14ac:dyDescent="0.25">
      <c r="A3538">
        <v>3537</v>
      </c>
      <c r="B3538" t="s">
        <v>15</v>
      </c>
      <c r="C3538">
        <v>283144</v>
      </c>
      <c r="D3538" t="s">
        <v>10</v>
      </c>
      <c r="E3538" t="s">
        <v>16</v>
      </c>
      <c r="F3538" t="s">
        <v>12</v>
      </c>
      <c r="G3538" t="s">
        <v>13</v>
      </c>
      <c r="H3538" t="s">
        <v>13</v>
      </c>
      <c r="I3538">
        <v>38</v>
      </c>
      <c r="J3538" t="str" cm="1">
        <f t="array" ref="J3538">_xlfn.IFS(ISBLANK(C3538),"FALTANTE",ABS((C3538-$W$5)/$X$5)&gt;1.96,"ATÍPICO",ABS((C3538-$W$5)/$X$5)&lt;=1.96,"NO ATÍPICO")</f>
        <v>NO ATÍPICO</v>
      </c>
      <c r="K3538" t="str" cm="1">
        <f t="array" ref="K3538">_xlfn.IFS(ISBLANK(I3538),"FALTANTE",ABS((I3538-$W$8)/$X$8)&gt;1.92,"ATÍPICO",ABS((I3538-$W$8)/$X$8)&lt;=1.92,"NO ATÍPICO")</f>
        <v>NO ATÍPICO</v>
      </c>
      <c r="L3538">
        <f t="shared" si="237"/>
        <v>283144</v>
      </c>
      <c r="M3538" t="str">
        <f t="shared" si="237"/>
        <v>ASALARIADO</v>
      </c>
      <c r="N3538">
        <f t="shared" si="238"/>
        <v>38</v>
      </c>
      <c r="O3538" s="19" t="str">
        <f t="shared" si="239"/>
        <v>0–300k</v>
      </c>
      <c r="P3538" s="19" t="str">
        <f t="shared" si="240"/>
        <v>36-45</v>
      </c>
    </row>
    <row r="3539" spans="1:16" x14ac:dyDescent="0.25">
      <c r="A3539">
        <v>3538</v>
      </c>
      <c r="B3539" t="s">
        <v>9</v>
      </c>
      <c r="C3539">
        <v>468729</v>
      </c>
      <c r="D3539" t="s">
        <v>10</v>
      </c>
      <c r="E3539" t="s">
        <v>11</v>
      </c>
      <c r="F3539" t="s">
        <v>12</v>
      </c>
      <c r="G3539" t="s">
        <v>13</v>
      </c>
      <c r="H3539" t="s">
        <v>13</v>
      </c>
      <c r="I3539">
        <v>39</v>
      </c>
      <c r="J3539" t="str" cm="1">
        <f t="array" ref="J3539">_xlfn.IFS(ISBLANK(C3539),"FALTANTE",ABS((C3539-$W$5)/$X$5)&gt;1.96,"ATÍPICO",ABS((C3539-$W$5)/$X$5)&lt;=1.96,"NO ATÍPICO")</f>
        <v>NO ATÍPICO</v>
      </c>
      <c r="K3539" t="str" cm="1">
        <f t="array" ref="K3539">_xlfn.IFS(ISBLANK(I3539),"FALTANTE",ABS((I3539-$W$8)/$X$8)&gt;1.92,"ATÍPICO",ABS((I3539-$W$8)/$X$8)&lt;=1.92,"NO ATÍPICO")</f>
        <v>NO ATÍPICO</v>
      </c>
      <c r="L3539">
        <f t="shared" si="237"/>
        <v>468729</v>
      </c>
      <c r="M3539" t="str">
        <f t="shared" si="237"/>
        <v>ASALARIADO</v>
      </c>
      <c r="N3539">
        <f t="shared" si="238"/>
        <v>39</v>
      </c>
      <c r="O3539" s="19" t="str">
        <f t="shared" si="239"/>
        <v>300k–600k</v>
      </c>
      <c r="P3539" s="19" t="str">
        <f t="shared" si="240"/>
        <v>36-45</v>
      </c>
    </row>
    <row r="3540" spans="1:16" x14ac:dyDescent="0.25">
      <c r="A3540">
        <v>3539</v>
      </c>
      <c r="B3540" t="s">
        <v>9</v>
      </c>
      <c r="C3540">
        <v>413858.99</v>
      </c>
      <c r="D3540" t="s">
        <v>10</v>
      </c>
      <c r="E3540" t="s">
        <v>16</v>
      </c>
      <c r="F3540" t="s">
        <v>12</v>
      </c>
      <c r="G3540" t="s">
        <v>13</v>
      </c>
      <c r="H3540" t="s">
        <v>12</v>
      </c>
      <c r="I3540">
        <v>60</v>
      </c>
      <c r="J3540" t="str" cm="1">
        <f t="array" ref="J3540">_xlfn.IFS(ISBLANK(C3540),"FALTANTE",ABS((C3540-$W$5)/$X$5)&gt;1.96,"ATÍPICO",ABS((C3540-$W$5)/$X$5)&lt;=1.96,"NO ATÍPICO")</f>
        <v>NO ATÍPICO</v>
      </c>
      <c r="K3540" t="str" cm="1">
        <f t="array" ref="K3540">_xlfn.IFS(ISBLANK(I3540),"FALTANTE",ABS((I3540-$W$8)/$X$8)&gt;1.92,"ATÍPICO",ABS((I3540-$W$8)/$X$8)&lt;=1.92,"NO ATÍPICO")</f>
        <v>NO ATÍPICO</v>
      </c>
      <c r="L3540">
        <f t="shared" si="237"/>
        <v>413858.99</v>
      </c>
      <c r="M3540" t="str">
        <f t="shared" si="237"/>
        <v>ASALARIADO</v>
      </c>
      <c r="N3540">
        <f t="shared" si="238"/>
        <v>60</v>
      </c>
      <c r="O3540" s="19" t="str">
        <f t="shared" si="239"/>
        <v>300k–600k</v>
      </c>
      <c r="P3540" s="19" t="str">
        <f t="shared" si="240"/>
        <v>56+</v>
      </c>
    </row>
    <row r="3541" spans="1:16" x14ac:dyDescent="0.25">
      <c r="A3541">
        <v>3540</v>
      </c>
      <c r="B3541" t="s">
        <v>9</v>
      </c>
      <c r="C3541">
        <v>585136.5</v>
      </c>
      <c r="D3541" t="s">
        <v>10</v>
      </c>
      <c r="E3541" t="s">
        <v>11</v>
      </c>
      <c r="F3541" t="s">
        <v>12</v>
      </c>
      <c r="G3541" t="s">
        <v>13</v>
      </c>
      <c r="H3541" t="s">
        <v>13</v>
      </c>
      <c r="I3541">
        <v>30</v>
      </c>
      <c r="J3541" t="str" cm="1">
        <f t="array" ref="J3541">_xlfn.IFS(ISBLANK(C3541),"FALTANTE",ABS((C3541-$W$5)/$X$5)&gt;1.96,"ATÍPICO",ABS((C3541-$W$5)/$X$5)&lt;=1.96,"NO ATÍPICO")</f>
        <v>NO ATÍPICO</v>
      </c>
      <c r="K3541" t="str" cm="1">
        <f t="array" ref="K3541">_xlfn.IFS(ISBLANK(I3541),"FALTANTE",ABS((I3541-$W$8)/$X$8)&gt;1.92,"ATÍPICO",ABS((I3541-$W$8)/$X$8)&lt;=1.92,"NO ATÍPICO")</f>
        <v>NO ATÍPICO</v>
      </c>
      <c r="L3541">
        <f t="shared" si="237"/>
        <v>585136.5</v>
      </c>
      <c r="M3541" t="str">
        <f t="shared" si="237"/>
        <v>ASALARIADO</v>
      </c>
      <c r="N3541">
        <f t="shared" si="238"/>
        <v>30</v>
      </c>
      <c r="O3541" s="19" t="str">
        <f t="shared" si="239"/>
        <v>300k–600k</v>
      </c>
      <c r="P3541" s="19" t="str">
        <f t="shared" si="240"/>
        <v>26-35</v>
      </c>
    </row>
    <row r="3542" spans="1:16" x14ac:dyDescent="0.25">
      <c r="A3542">
        <v>3541</v>
      </c>
      <c r="B3542" t="s">
        <v>15</v>
      </c>
      <c r="C3542">
        <v>11900</v>
      </c>
      <c r="D3542" t="s">
        <v>10</v>
      </c>
      <c r="E3542" t="s">
        <v>16</v>
      </c>
      <c r="F3542" t="s">
        <v>12</v>
      </c>
      <c r="G3542" t="s">
        <v>13</v>
      </c>
      <c r="H3542" t="s">
        <v>13</v>
      </c>
      <c r="I3542">
        <v>45</v>
      </c>
      <c r="J3542" t="str" cm="1">
        <f t="array" ref="J3542">_xlfn.IFS(ISBLANK(C3542),"FALTANTE",ABS((C3542-$W$5)/$X$5)&gt;1.96,"ATÍPICO",ABS((C3542-$W$5)/$X$5)&lt;=1.96,"NO ATÍPICO")</f>
        <v>NO ATÍPICO</v>
      </c>
      <c r="K3542" t="str" cm="1">
        <f t="array" ref="K3542">_xlfn.IFS(ISBLANK(I3542),"FALTANTE",ABS((I3542-$W$8)/$X$8)&gt;1.92,"ATÍPICO",ABS((I3542-$W$8)/$X$8)&lt;=1.92,"NO ATÍPICO")</f>
        <v>NO ATÍPICO</v>
      </c>
      <c r="L3542">
        <f t="shared" si="237"/>
        <v>11900</v>
      </c>
      <c r="M3542" t="str">
        <f t="shared" si="237"/>
        <v>ASALARIADO</v>
      </c>
      <c r="N3542">
        <f t="shared" si="238"/>
        <v>45</v>
      </c>
      <c r="O3542" s="19" t="str">
        <f t="shared" si="239"/>
        <v>0–300k</v>
      </c>
      <c r="P3542" s="19" t="str">
        <f t="shared" si="240"/>
        <v>36-45</v>
      </c>
    </row>
    <row r="3543" spans="1:16" x14ac:dyDescent="0.25">
      <c r="A3543">
        <v>3542</v>
      </c>
      <c r="B3543" t="s">
        <v>9</v>
      </c>
      <c r="C3543">
        <v>371501</v>
      </c>
      <c r="D3543" t="s">
        <v>10</v>
      </c>
      <c r="E3543" t="s">
        <v>16</v>
      </c>
      <c r="F3543" t="s">
        <v>12</v>
      </c>
      <c r="G3543" t="s">
        <v>12</v>
      </c>
      <c r="H3543" t="s">
        <v>13</v>
      </c>
      <c r="I3543">
        <v>59</v>
      </c>
      <c r="J3543" t="str" cm="1">
        <f t="array" ref="J3543">_xlfn.IFS(ISBLANK(C3543),"FALTANTE",ABS((C3543-$W$5)/$X$5)&gt;1.96,"ATÍPICO",ABS((C3543-$W$5)/$X$5)&lt;=1.96,"NO ATÍPICO")</f>
        <v>NO ATÍPICO</v>
      </c>
      <c r="K3543" t="str" cm="1">
        <f t="array" ref="K3543">_xlfn.IFS(ISBLANK(I3543),"FALTANTE",ABS((I3543-$W$8)/$X$8)&gt;1.92,"ATÍPICO",ABS((I3543-$W$8)/$X$8)&lt;=1.92,"NO ATÍPICO")</f>
        <v>NO ATÍPICO</v>
      </c>
      <c r="L3543">
        <f t="shared" si="237"/>
        <v>371501</v>
      </c>
      <c r="M3543" t="str">
        <f t="shared" si="237"/>
        <v>ASALARIADO</v>
      </c>
      <c r="N3543">
        <f t="shared" si="238"/>
        <v>59</v>
      </c>
      <c r="O3543" s="19" t="str">
        <f t="shared" si="239"/>
        <v>300k–600k</v>
      </c>
      <c r="P3543" s="19" t="str">
        <f t="shared" si="240"/>
        <v>56+</v>
      </c>
    </row>
    <row r="3544" spans="1:16" x14ac:dyDescent="0.25">
      <c r="A3544">
        <v>3543</v>
      </c>
      <c r="B3544" t="s">
        <v>9</v>
      </c>
      <c r="C3544">
        <v>639148</v>
      </c>
      <c r="D3544" t="s">
        <v>18</v>
      </c>
      <c r="E3544" t="s">
        <v>16</v>
      </c>
      <c r="F3544" t="s">
        <v>12</v>
      </c>
      <c r="G3544" t="s">
        <v>13</v>
      </c>
      <c r="H3544" t="s">
        <v>12</v>
      </c>
      <c r="I3544">
        <v>66</v>
      </c>
      <c r="J3544" t="str" cm="1">
        <f t="array" ref="J3544">_xlfn.IFS(ISBLANK(C3544),"FALTANTE",ABS((C3544-$W$5)/$X$5)&gt;1.96,"ATÍPICO",ABS((C3544-$W$5)/$X$5)&lt;=1.96,"NO ATÍPICO")</f>
        <v>NO ATÍPICO</v>
      </c>
      <c r="K3544" t="str" cm="1">
        <f t="array" ref="K3544">_xlfn.IFS(ISBLANK(I3544),"FALTANTE",ABS((I3544-$W$8)/$X$8)&gt;1.92,"ATÍPICO",ABS((I3544-$W$8)/$X$8)&lt;=1.92,"NO ATÍPICO")</f>
        <v>NO ATÍPICO</v>
      </c>
      <c r="L3544">
        <f t="shared" si="237"/>
        <v>639148</v>
      </c>
      <c r="M3544" t="str">
        <f t="shared" si="237"/>
        <v>TRABAJADOR INDEPENDIENTE</v>
      </c>
      <c r="N3544">
        <f t="shared" si="238"/>
        <v>66</v>
      </c>
      <c r="O3544" s="19" t="str">
        <f t="shared" si="239"/>
        <v>600k–900k</v>
      </c>
      <c r="P3544" s="19" t="str">
        <f t="shared" si="240"/>
        <v>56+</v>
      </c>
    </row>
    <row r="3545" spans="1:16" x14ac:dyDescent="0.25">
      <c r="A3545">
        <v>3544</v>
      </c>
      <c r="B3545" t="s">
        <v>15</v>
      </c>
      <c r="C3545">
        <v>707308.6</v>
      </c>
      <c r="D3545" t="s">
        <v>10</v>
      </c>
      <c r="E3545" t="s">
        <v>16</v>
      </c>
      <c r="F3545" t="s">
        <v>12</v>
      </c>
      <c r="G3545" t="s">
        <v>13</v>
      </c>
      <c r="H3545" t="s">
        <v>13</v>
      </c>
      <c r="I3545">
        <v>36</v>
      </c>
      <c r="J3545" t="str" cm="1">
        <f t="array" ref="J3545">_xlfn.IFS(ISBLANK(C3545),"FALTANTE",ABS((C3545-$W$5)/$X$5)&gt;1.96,"ATÍPICO",ABS((C3545-$W$5)/$X$5)&lt;=1.96,"NO ATÍPICO")</f>
        <v>NO ATÍPICO</v>
      </c>
      <c r="K3545" t="str" cm="1">
        <f t="array" ref="K3545">_xlfn.IFS(ISBLANK(I3545),"FALTANTE",ABS((I3545-$W$8)/$X$8)&gt;1.92,"ATÍPICO",ABS((I3545-$W$8)/$X$8)&lt;=1.92,"NO ATÍPICO")</f>
        <v>NO ATÍPICO</v>
      </c>
      <c r="L3545">
        <f t="shared" si="237"/>
        <v>707308.6</v>
      </c>
      <c r="M3545" t="str">
        <f t="shared" si="237"/>
        <v>ASALARIADO</v>
      </c>
      <c r="N3545">
        <f t="shared" si="238"/>
        <v>36</v>
      </c>
      <c r="O3545" s="19" t="str">
        <f t="shared" si="239"/>
        <v>600k–900k</v>
      </c>
      <c r="P3545" s="19" t="str">
        <f t="shared" si="240"/>
        <v>36-45</v>
      </c>
    </row>
    <row r="3546" spans="1:16" x14ac:dyDescent="0.25">
      <c r="A3546">
        <v>3545</v>
      </c>
      <c r="B3546" t="s">
        <v>9</v>
      </c>
      <c r="C3546">
        <v>573826</v>
      </c>
      <c r="D3546" t="s">
        <v>17</v>
      </c>
      <c r="E3546" t="s">
        <v>16</v>
      </c>
      <c r="F3546" t="s">
        <v>12</v>
      </c>
      <c r="G3546" t="s">
        <v>12</v>
      </c>
      <c r="H3546" t="s">
        <v>13</v>
      </c>
      <c r="I3546">
        <v>38</v>
      </c>
      <c r="J3546" t="str" cm="1">
        <f t="array" ref="J3546">_xlfn.IFS(ISBLANK(C3546),"FALTANTE",ABS((C3546-$W$5)/$X$5)&gt;1.96,"ATÍPICO",ABS((C3546-$W$5)/$X$5)&lt;=1.96,"NO ATÍPICO")</f>
        <v>NO ATÍPICO</v>
      </c>
      <c r="K3546" t="str" cm="1">
        <f t="array" ref="K3546">_xlfn.IFS(ISBLANK(I3546),"FALTANTE",ABS((I3546-$W$8)/$X$8)&gt;1.92,"ATÍPICO",ABS((I3546-$W$8)/$X$8)&lt;=1.92,"NO ATÍPICO")</f>
        <v>NO ATÍPICO</v>
      </c>
      <c r="L3546">
        <f t="shared" si="237"/>
        <v>573826</v>
      </c>
      <c r="M3546" t="str">
        <f t="shared" si="237"/>
        <v>ASEGURADO VOLUNTARIO</v>
      </c>
      <c r="N3546">
        <f t="shared" si="238"/>
        <v>38</v>
      </c>
      <c r="O3546" s="19" t="str">
        <f t="shared" si="239"/>
        <v>300k–600k</v>
      </c>
      <c r="P3546" s="19" t="str">
        <f t="shared" si="240"/>
        <v>36-45</v>
      </c>
    </row>
    <row r="3547" spans="1:16" x14ac:dyDescent="0.25">
      <c r="A3547">
        <v>3546</v>
      </c>
      <c r="B3547" t="s">
        <v>15</v>
      </c>
      <c r="C3547">
        <v>1355000</v>
      </c>
      <c r="D3547" t="s">
        <v>10</v>
      </c>
      <c r="E3547" t="s">
        <v>16</v>
      </c>
      <c r="F3547" t="s">
        <v>12</v>
      </c>
      <c r="G3547" t="s">
        <v>13</v>
      </c>
      <c r="H3547" t="s">
        <v>13</v>
      </c>
      <c r="I3547">
        <v>43</v>
      </c>
      <c r="J3547" t="str" cm="1">
        <f t="array" ref="J3547">_xlfn.IFS(ISBLANK(C3547),"FALTANTE",ABS((C3547-$W$5)/$X$5)&gt;1.96,"ATÍPICO",ABS((C3547-$W$5)/$X$5)&lt;=1.96,"NO ATÍPICO")</f>
        <v>NO ATÍPICO</v>
      </c>
      <c r="K3547" t="str" cm="1">
        <f t="array" ref="K3547">_xlfn.IFS(ISBLANK(I3547),"FALTANTE",ABS((I3547-$W$8)/$X$8)&gt;1.92,"ATÍPICO",ABS((I3547-$W$8)/$X$8)&lt;=1.92,"NO ATÍPICO")</f>
        <v>NO ATÍPICO</v>
      </c>
      <c r="L3547">
        <f t="shared" si="237"/>
        <v>1355000</v>
      </c>
      <c r="M3547" t="str">
        <f t="shared" si="237"/>
        <v>ASALARIADO</v>
      </c>
      <c r="N3547">
        <f t="shared" si="238"/>
        <v>43</v>
      </c>
      <c r="O3547" s="19" t="str">
        <f t="shared" si="239"/>
        <v>1200k+</v>
      </c>
      <c r="P3547" s="19" t="str">
        <f t="shared" si="240"/>
        <v>36-45</v>
      </c>
    </row>
    <row r="3548" spans="1:16" x14ac:dyDescent="0.25">
      <c r="A3548">
        <v>3547</v>
      </c>
      <c r="B3548" t="s">
        <v>15</v>
      </c>
      <c r="C3548">
        <v>1414474</v>
      </c>
      <c r="D3548" t="s">
        <v>14</v>
      </c>
      <c r="E3548" t="s">
        <v>11</v>
      </c>
      <c r="F3548" t="s">
        <v>12</v>
      </c>
      <c r="G3548" t="s">
        <v>13</v>
      </c>
      <c r="H3548" t="s">
        <v>13</v>
      </c>
      <c r="I3548">
        <v>56</v>
      </c>
      <c r="J3548" t="str" cm="1">
        <f t="array" ref="J3548">_xlfn.IFS(ISBLANK(C3548),"FALTANTE",ABS((C3548-$W$5)/$X$5)&gt;1.96,"ATÍPICO",ABS((C3548-$W$5)/$X$5)&lt;=1.96,"NO ATÍPICO")</f>
        <v>NO ATÍPICO</v>
      </c>
      <c r="K3548" t="str" cm="1">
        <f t="array" ref="K3548">_xlfn.IFS(ISBLANK(I3548),"FALTANTE",ABS((I3548-$W$8)/$X$8)&gt;1.92,"ATÍPICO",ABS((I3548-$W$8)/$X$8)&lt;=1.92,"NO ATÍPICO")</f>
        <v>NO ATÍPICO</v>
      </c>
      <c r="L3548">
        <f t="shared" si="237"/>
        <v>1414474</v>
      </c>
      <c r="M3548" t="str">
        <f t="shared" si="237"/>
        <v>PENSIONADOS EN SU PROPIO SISTEMA</v>
      </c>
      <c r="N3548">
        <f t="shared" si="238"/>
        <v>56</v>
      </c>
      <c r="O3548" s="19" t="str">
        <f t="shared" si="239"/>
        <v>1200k+</v>
      </c>
      <c r="P3548" s="19" t="str">
        <f t="shared" si="240"/>
        <v>56+</v>
      </c>
    </row>
    <row r="3549" spans="1:16" x14ac:dyDescent="0.25">
      <c r="A3549">
        <v>3548</v>
      </c>
      <c r="B3549" t="s">
        <v>9</v>
      </c>
      <c r="C3549">
        <v>297280</v>
      </c>
      <c r="D3549" t="s">
        <v>17</v>
      </c>
      <c r="E3549" t="s">
        <v>16</v>
      </c>
      <c r="F3549" t="s">
        <v>12</v>
      </c>
      <c r="G3549" t="s">
        <v>13</v>
      </c>
      <c r="H3549" t="s">
        <v>13</v>
      </c>
      <c r="I3549">
        <v>64</v>
      </c>
      <c r="J3549" t="str" cm="1">
        <f t="array" ref="J3549">_xlfn.IFS(ISBLANK(C3549),"FALTANTE",ABS((C3549-$W$5)/$X$5)&gt;1.96,"ATÍPICO",ABS((C3549-$W$5)/$X$5)&lt;=1.96,"NO ATÍPICO")</f>
        <v>NO ATÍPICO</v>
      </c>
      <c r="K3549" t="str" cm="1">
        <f t="array" ref="K3549">_xlfn.IFS(ISBLANK(I3549),"FALTANTE",ABS((I3549-$W$8)/$X$8)&gt;1.92,"ATÍPICO",ABS((I3549-$W$8)/$X$8)&lt;=1.92,"NO ATÍPICO")</f>
        <v>NO ATÍPICO</v>
      </c>
      <c r="L3549">
        <f t="shared" si="237"/>
        <v>297280</v>
      </c>
      <c r="M3549" t="str">
        <f t="shared" si="237"/>
        <v>ASEGURADO VOLUNTARIO</v>
      </c>
      <c r="N3549">
        <f t="shared" si="238"/>
        <v>64</v>
      </c>
      <c r="O3549" s="19" t="str">
        <f t="shared" si="239"/>
        <v>0–300k</v>
      </c>
      <c r="P3549" s="19" t="str">
        <f t="shared" si="240"/>
        <v>56+</v>
      </c>
    </row>
    <row r="3550" spans="1:16" x14ac:dyDescent="0.25">
      <c r="A3550">
        <v>3549</v>
      </c>
      <c r="B3550" t="s">
        <v>15</v>
      </c>
      <c r="C3550">
        <v>542430</v>
      </c>
      <c r="D3550" t="s">
        <v>10</v>
      </c>
      <c r="E3550" t="s">
        <v>16</v>
      </c>
      <c r="F3550" t="s">
        <v>12</v>
      </c>
      <c r="G3550" t="s">
        <v>13</v>
      </c>
      <c r="H3550" t="s">
        <v>13</v>
      </c>
      <c r="I3550">
        <v>29</v>
      </c>
      <c r="J3550" t="str" cm="1">
        <f t="array" ref="J3550">_xlfn.IFS(ISBLANK(C3550),"FALTANTE",ABS((C3550-$W$5)/$X$5)&gt;1.96,"ATÍPICO",ABS((C3550-$W$5)/$X$5)&lt;=1.96,"NO ATÍPICO")</f>
        <v>NO ATÍPICO</v>
      </c>
      <c r="K3550" t="str" cm="1">
        <f t="array" ref="K3550">_xlfn.IFS(ISBLANK(I3550),"FALTANTE",ABS((I3550-$W$8)/$X$8)&gt;1.92,"ATÍPICO",ABS((I3550-$W$8)/$X$8)&lt;=1.92,"NO ATÍPICO")</f>
        <v>NO ATÍPICO</v>
      </c>
      <c r="L3550">
        <f t="shared" si="237"/>
        <v>542430</v>
      </c>
      <c r="M3550" t="str">
        <f t="shared" si="237"/>
        <v>ASALARIADO</v>
      </c>
      <c r="N3550">
        <f t="shared" si="238"/>
        <v>29</v>
      </c>
      <c r="O3550" s="19" t="str">
        <f t="shared" si="239"/>
        <v>300k–600k</v>
      </c>
      <c r="P3550" s="19" t="str">
        <f t="shared" si="240"/>
        <v>26-35</v>
      </c>
    </row>
    <row r="3551" spans="1:16" x14ac:dyDescent="0.25">
      <c r="A3551">
        <v>3550</v>
      </c>
      <c r="B3551" t="s">
        <v>9</v>
      </c>
      <c r="C3551">
        <v>1186247.24</v>
      </c>
      <c r="D3551" t="s">
        <v>10</v>
      </c>
      <c r="E3551" t="s">
        <v>16</v>
      </c>
      <c r="F3551" t="s">
        <v>12</v>
      </c>
      <c r="G3551" t="s">
        <v>13</v>
      </c>
      <c r="H3551" t="s">
        <v>13</v>
      </c>
      <c r="I3551">
        <v>58</v>
      </c>
      <c r="J3551" t="str" cm="1">
        <f t="array" ref="J3551">_xlfn.IFS(ISBLANK(C3551),"FALTANTE",ABS((C3551-$W$5)/$X$5)&gt;1.96,"ATÍPICO",ABS((C3551-$W$5)/$X$5)&lt;=1.96,"NO ATÍPICO")</f>
        <v>NO ATÍPICO</v>
      </c>
      <c r="K3551" t="str" cm="1">
        <f t="array" ref="K3551">_xlfn.IFS(ISBLANK(I3551),"FALTANTE",ABS((I3551-$W$8)/$X$8)&gt;1.92,"ATÍPICO",ABS((I3551-$W$8)/$X$8)&lt;=1.92,"NO ATÍPICO")</f>
        <v>NO ATÍPICO</v>
      </c>
      <c r="L3551">
        <f t="shared" si="237"/>
        <v>1186247.24</v>
      </c>
      <c r="M3551" t="str">
        <f t="shared" si="237"/>
        <v>ASALARIADO</v>
      </c>
      <c r="N3551">
        <f t="shared" si="238"/>
        <v>58</v>
      </c>
      <c r="O3551" s="19" t="str">
        <f t="shared" si="239"/>
        <v>900k–1200k</v>
      </c>
      <c r="P3551" s="19" t="str">
        <f t="shared" si="240"/>
        <v>56+</v>
      </c>
    </row>
    <row r="3552" spans="1:16" x14ac:dyDescent="0.25">
      <c r="A3552">
        <v>3551</v>
      </c>
      <c r="B3552" t="s">
        <v>15</v>
      </c>
      <c r="C3552">
        <v>495975</v>
      </c>
      <c r="D3552" t="s">
        <v>18</v>
      </c>
      <c r="E3552" t="s">
        <v>16</v>
      </c>
      <c r="F3552" t="s">
        <v>12</v>
      </c>
      <c r="G3552" t="s">
        <v>13</v>
      </c>
      <c r="H3552" t="s">
        <v>12</v>
      </c>
      <c r="I3552">
        <v>56</v>
      </c>
      <c r="J3552" t="str" cm="1">
        <f t="array" ref="J3552">_xlfn.IFS(ISBLANK(C3552),"FALTANTE",ABS((C3552-$W$5)/$X$5)&gt;1.96,"ATÍPICO",ABS((C3552-$W$5)/$X$5)&lt;=1.96,"NO ATÍPICO")</f>
        <v>NO ATÍPICO</v>
      </c>
      <c r="K3552" t="str" cm="1">
        <f t="array" ref="K3552">_xlfn.IFS(ISBLANK(I3552),"FALTANTE",ABS((I3552-$W$8)/$X$8)&gt;1.92,"ATÍPICO",ABS((I3552-$W$8)/$X$8)&lt;=1.92,"NO ATÍPICO")</f>
        <v>NO ATÍPICO</v>
      </c>
      <c r="L3552">
        <f t="shared" si="237"/>
        <v>495975</v>
      </c>
      <c r="M3552" t="str">
        <f t="shared" si="237"/>
        <v>TRABAJADOR INDEPENDIENTE</v>
      </c>
      <c r="N3552">
        <f t="shared" si="238"/>
        <v>56</v>
      </c>
      <c r="O3552" s="19" t="str">
        <f t="shared" si="239"/>
        <v>300k–600k</v>
      </c>
      <c r="P3552" s="19" t="str">
        <f t="shared" si="240"/>
        <v>56+</v>
      </c>
    </row>
    <row r="3553" spans="1:16" x14ac:dyDescent="0.25">
      <c r="A3553">
        <v>3552</v>
      </c>
      <c r="B3553" t="s">
        <v>9</v>
      </c>
      <c r="C3553">
        <v>490122</v>
      </c>
      <c r="D3553" t="s">
        <v>18</v>
      </c>
      <c r="E3553" t="s">
        <v>16</v>
      </c>
      <c r="F3553" t="s">
        <v>12</v>
      </c>
      <c r="G3553" t="s">
        <v>12</v>
      </c>
      <c r="H3553" t="s">
        <v>12</v>
      </c>
      <c r="I3553">
        <v>45</v>
      </c>
      <c r="J3553" t="str" cm="1">
        <f t="array" ref="J3553">_xlfn.IFS(ISBLANK(C3553),"FALTANTE",ABS((C3553-$W$5)/$X$5)&gt;1.96,"ATÍPICO",ABS((C3553-$W$5)/$X$5)&lt;=1.96,"NO ATÍPICO")</f>
        <v>NO ATÍPICO</v>
      </c>
      <c r="K3553" t="str" cm="1">
        <f t="array" ref="K3553">_xlfn.IFS(ISBLANK(I3553),"FALTANTE",ABS((I3553-$W$8)/$X$8)&gt;1.92,"ATÍPICO",ABS((I3553-$W$8)/$X$8)&lt;=1.92,"NO ATÍPICO")</f>
        <v>NO ATÍPICO</v>
      </c>
      <c r="L3553">
        <f t="shared" si="237"/>
        <v>490122</v>
      </c>
      <c r="M3553" t="str">
        <f t="shared" si="237"/>
        <v>TRABAJADOR INDEPENDIENTE</v>
      </c>
      <c r="N3553">
        <f t="shared" si="238"/>
        <v>45</v>
      </c>
      <c r="O3553" s="19" t="str">
        <f t="shared" si="239"/>
        <v>300k–600k</v>
      </c>
      <c r="P3553" s="19" t="str">
        <f t="shared" si="240"/>
        <v>36-45</v>
      </c>
    </row>
    <row r="3554" spans="1:16" x14ac:dyDescent="0.25">
      <c r="A3554">
        <v>3553</v>
      </c>
      <c r="B3554" t="s">
        <v>15</v>
      </c>
      <c r="C3554">
        <v>358000</v>
      </c>
      <c r="D3554" t="s">
        <v>10</v>
      </c>
      <c r="E3554" t="s">
        <v>16</v>
      </c>
      <c r="F3554" t="s">
        <v>12</v>
      </c>
      <c r="G3554" t="s">
        <v>13</v>
      </c>
      <c r="H3554" t="s">
        <v>12</v>
      </c>
      <c r="I3554">
        <v>35</v>
      </c>
      <c r="J3554" t="str" cm="1">
        <f t="array" ref="J3554">_xlfn.IFS(ISBLANK(C3554),"FALTANTE",ABS((C3554-$W$5)/$X$5)&gt;1.96,"ATÍPICO",ABS((C3554-$W$5)/$X$5)&lt;=1.96,"NO ATÍPICO")</f>
        <v>NO ATÍPICO</v>
      </c>
      <c r="K3554" t="str" cm="1">
        <f t="array" ref="K3554">_xlfn.IFS(ISBLANK(I3554),"FALTANTE",ABS((I3554-$W$8)/$X$8)&gt;1.92,"ATÍPICO",ABS((I3554-$W$8)/$X$8)&lt;=1.92,"NO ATÍPICO")</f>
        <v>NO ATÍPICO</v>
      </c>
      <c r="L3554">
        <f t="shared" si="237"/>
        <v>358000</v>
      </c>
      <c r="M3554" t="str">
        <f t="shared" si="237"/>
        <v>ASALARIADO</v>
      </c>
      <c r="N3554">
        <f t="shared" si="238"/>
        <v>35</v>
      </c>
      <c r="O3554" s="19" t="str">
        <f t="shared" si="239"/>
        <v>300k–600k</v>
      </c>
      <c r="P3554" s="19" t="str">
        <f t="shared" si="240"/>
        <v>26-35</v>
      </c>
    </row>
    <row r="3555" spans="1:16" x14ac:dyDescent="0.25">
      <c r="A3555">
        <v>3554</v>
      </c>
      <c r="B3555" t="s">
        <v>15</v>
      </c>
      <c r="C3555">
        <v>233615</v>
      </c>
      <c r="D3555" t="s">
        <v>10</v>
      </c>
      <c r="E3555" t="s">
        <v>16</v>
      </c>
      <c r="F3555" t="s">
        <v>12</v>
      </c>
      <c r="G3555" t="s">
        <v>13</v>
      </c>
      <c r="H3555" t="s">
        <v>13</v>
      </c>
      <c r="I3555">
        <v>20</v>
      </c>
      <c r="J3555" t="str" cm="1">
        <f t="array" ref="J3555">_xlfn.IFS(ISBLANK(C3555),"FALTANTE",ABS((C3555-$W$5)/$X$5)&gt;1.96,"ATÍPICO",ABS((C3555-$W$5)/$X$5)&lt;=1.96,"NO ATÍPICO")</f>
        <v>NO ATÍPICO</v>
      </c>
      <c r="K3555" t="str" cm="1">
        <f t="array" ref="K3555">_xlfn.IFS(ISBLANK(I3555),"FALTANTE",ABS((I3555-$W$8)/$X$8)&gt;1.92,"ATÍPICO",ABS((I3555-$W$8)/$X$8)&lt;=1.92,"NO ATÍPICO")</f>
        <v>NO ATÍPICO</v>
      </c>
      <c r="L3555">
        <f t="shared" si="237"/>
        <v>233615</v>
      </c>
      <c r="M3555" t="str">
        <f t="shared" si="237"/>
        <v>ASALARIADO</v>
      </c>
      <c r="N3555">
        <f t="shared" si="238"/>
        <v>20</v>
      </c>
      <c r="O3555" s="19" t="str">
        <f t="shared" si="239"/>
        <v>0–300k</v>
      </c>
      <c r="P3555" s="19" t="str">
        <f t="shared" si="240"/>
        <v>18-25</v>
      </c>
    </row>
    <row r="3556" spans="1:16" x14ac:dyDescent="0.25">
      <c r="A3556">
        <v>3555</v>
      </c>
      <c r="B3556" t="s">
        <v>9</v>
      </c>
      <c r="C3556">
        <v>540287.05000000005</v>
      </c>
      <c r="D3556" t="s">
        <v>10</v>
      </c>
      <c r="E3556" t="s">
        <v>16</v>
      </c>
      <c r="F3556" t="s">
        <v>12</v>
      </c>
      <c r="G3556" t="s">
        <v>13</v>
      </c>
      <c r="H3556" t="s">
        <v>13</v>
      </c>
      <c r="I3556">
        <v>40</v>
      </c>
      <c r="J3556" t="str" cm="1">
        <f t="array" ref="J3556">_xlfn.IFS(ISBLANK(C3556),"FALTANTE",ABS((C3556-$W$5)/$X$5)&gt;1.96,"ATÍPICO",ABS((C3556-$W$5)/$X$5)&lt;=1.96,"NO ATÍPICO")</f>
        <v>NO ATÍPICO</v>
      </c>
      <c r="K3556" t="str" cm="1">
        <f t="array" ref="K3556">_xlfn.IFS(ISBLANK(I3556),"FALTANTE",ABS((I3556-$W$8)/$X$8)&gt;1.92,"ATÍPICO",ABS((I3556-$W$8)/$X$8)&lt;=1.92,"NO ATÍPICO")</f>
        <v>NO ATÍPICO</v>
      </c>
      <c r="L3556">
        <f t="shared" si="237"/>
        <v>540287.05000000005</v>
      </c>
      <c r="M3556" t="str">
        <f t="shared" si="237"/>
        <v>ASALARIADO</v>
      </c>
      <c r="N3556">
        <f t="shared" si="238"/>
        <v>40</v>
      </c>
      <c r="O3556" s="19" t="str">
        <f t="shared" si="239"/>
        <v>300k–600k</v>
      </c>
      <c r="P3556" s="19" t="str">
        <f t="shared" si="240"/>
        <v>36-45</v>
      </c>
    </row>
    <row r="3557" spans="1:16" x14ac:dyDescent="0.25">
      <c r="A3557">
        <v>3556</v>
      </c>
      <c r="B3557" t="s">
        <v>15</v>
      </c>
      <c r="C3557">
        <v>862543.82</v>
      </c>
      <c r="D3557" t="s">
        <v>10</v>
      </c>
      <c r="E3557" t="s">
        <v>11</v>
      </c>
      <c r="F3557" t="s">
        <v>12</v>
      </c>
      <c r="G3557" t="s">
        <v>13</v>
      </c>
      <c r="H3557" t="s">
        <v>13</v>
      </c>
      <c r="I3557">
        <v>37</v>
      </c>
      <c r="J3557" t="str" cm="1">
        <f t="array" ref="J3557">_xlfn.IFS(ISBLANK(C3557),"FALTANTE",ABS((C3557-$W$5)/$X$5)&gt;1.96,"ATÍPICO",ABS((C3557-$W$5)/$X$5)&lt;=1.96,"NO ATÍPICO")</f>
        <v>NO ATÍPICO</v>
      </c>
      <c r="K3557" t="str" cm="1">
        <f t="array" ref="K3557">_xlfn.IFS(ISBLANK(I3557),"FALTANTE",ABS((I3557-$W$8)/$X$8)&gt;1.92,"ATÍPICO",ABS((I3557-$W$8)/$X$8)&lt;=1.92,"NO ATÍPICO")</f>
        <v>NO ATÍPICO</v>
      </c>
      <c r="L3557">
        <f t="shared" si="237"/>
        <v>862543.82</v>
      </c>
      <c r="M3557" t="str">
        <f t="shared" si="237"/>
        <v>ASALARIADO</v>
      </c>
      <c r="N3557">
        <f t="shared" si="238"/>
        <v>37</v>
      </c>
      <c r="O3557" s="19" t="str">
        <f t="shared" si="239"/>
        <v>600k–900k</v>
      </c>
      <c r="P3557" s="19" t="str">
        <f t="shared" si="240"/>
        <v>36-45</v>
      </c>
    </row>
    <row r="3558" spans="1:16" x14ac:dyDescent="0.25">
      <c r="A3558">
        <v>3557</v>
      </c>
      <c r="B3558" t="s">
        <v>9</v>
      </c>
      <c r="C3558">
        <v>331181</v>
      </c>
      <c r="D3558" t="s">
        <v>18</v>
      </c>
      <c r="E3558" t="s">
        <v>16</v>
      </c>
      <c r="F3558" t="s">
        <v>12</v>
      </c>
      <c r="G3558" t="s">
        <v>13</v>
      </c>
      <c r="H3558" t="s">
        <v>12</v>
      </c>
      <c r="I3558">
        <v>51</v>
      </c>
      <c r="J3558" t="str" cm="1">
        <f t="array" ref="J3558">_xlfn.IFS(ISBLANK(C3558),"FALTANTE",ABS((C3558-$W$5)/$X$5)&gt;1.96,"ATÍPICO",ABS((C3558-$W$5)/$X$5)&lt;=1.96,"NO ATÍPICO")</f>
        <v>NO ATÍPICO</v>
      </c>
      <c r="K3558" t="str" cm="1">
        <f t="array" ref="K3558">_xlfn.IFS(ISBLANK(I3558),"FALTANTE",ABS((I3558-$W$8)/$X$8)&gt;1.92,"ATÍPICO",ABS((I3558-$W$8)/$X$8)&lt;=1.92,"NO ATÍPICO")</f>
        <v>NO ATÍPICO</v>
      </c>
      <c r="L3558">
        <f t="shared" si="237"/>
        <v>331181</v>
      </c>
      <c r="M3558" t="str">
        <f t="shared" si="237"/>
        <v>TRABAJADOR INDEPENDIENTE</v>
      </c>
      <c r="N3558">
        <f t="shared" si="238"/>
        <v>51</v>
      </c>
      <c r="O3558" s="19" t="str">
        <f t="shared" si="239"/>
        <v>300k–600k</v>
      </c>
      <c r="P3558" s="19" t="str">
        <f t="shared" si="240"/>
        <v>46-55</v>
      </c>
    </row>
    <row r="3559" spans="1:16" x14ac:dyDescent="0.25">
      <c r="A3559">
        <v>3558</v>
      </c>
      <c r="B3559" t="s">
        <v>15</v>
      </c>
      <c r="C3559">
        <v>4805416.75</v>
      </c>
      <c r="D3559" t="s">
        <v>10</v>
      </c>
      <c r="E3559" t="s">
        <v>11</v>
      </c>
      <c r="F3559" t="s">
        <v>12</v>
      </c>
      <c r="G3559" t="s">
        <v>13</v>
      </c>
      <c r="H3559" t="s">
        <v>13</v>
      </c>
      <c r="I3559">
        <v>60</v>
      </c>
      <c r="J3559" t="str" cm="1">
        <f t="array" ref="J3559">_xlfn.IFS(ISBLANK(C3559),"FALTANTE",ABS((C3559-$W$5)/$X$5)&gt;1.96,"ATÍPICO",ABS((C3559-$W$5)/$X$5)&lt;=1.96,"NO ATÍPICO")</f>
        <v>ATÍPICO</v>
      </c>
      <c r="K3559" t="str" cm="1">
        <f t="array" ref="K3559">_xlfn.IFS(ISBLANK(I3559),"FALTANTE",ABS((I3559-$W$8)/$X$8)&gt;1.92,"ATÍPICO",ABS((I3559-$W$8)/$X$8)&lt;=1.92,"NO ATÍPICO")</f>
        <v>NO ATÍPICO</v>
      </c>
      <c r="L3559">
        <f t="shared" si="237"/>
        <v>4805416.75</v>
      </c>
      <c r="M3559" t="str">
        <f t="shared" si="237"/>
        <v>ASALARIADO</v>
      </c>
      <c r="N3559">
        <f t="shared" si="238"/>
        <v>60</v>
      </c>
      <c r="O3559" s="19" t="str">
        <f t="shared" si="239"/>
        <v>1200k+</v>
      </c>
      <c r="P3559" s="19" t="str">
        <f t="shared" si="240"/>
        <v>56+</v>
      </c>
    </row>
    <row r="3560" spans="1:16" x14ac:dyDescent="0.25">
      <c r="A3560">
        <v>3559</v>
      </c>
      <c r="B3560" t="s">
        <v>9</v>
      </c>
      <c r="C3560">
        <v>857231</v>
      </c>
      <c r="D3560" t="s">
        <v>10</v>
      </c>
      <c r="E3560" t="s">
        <v>16</v>
      </c>
      <c r="F3560" t="s">
        <v>12</v>
      </c>
      <c r="G3560" t="s">
        <v>13</v>
      </c>
      <c r="H3560" t="s">
        <v>13</v>
      </c>
      <c r="I3560">
        <v>35</v>
      </c>
      <c r="J3560" t="str" cm="1">
        <f t="array" ref="J3560">_xlfn.IFS(ISBLANK(C3560),"FALTANTE",ABS((C3560-$W$5)/$X$5)&gt;1.96,"ATÍPICO",ABS((C3560-$W$5)/$X$5)&lt;=1.96,"NO ATÍPICO")</f>
        <v>NO ATÍPICO</v>
      </c>
      <c r="K3560" t="str" cm="1">
        <f t="array" ref="K3560">_xlfn.IFS(ISBLANK(I3560),"FALTANTE",ABS((I3560-$W$8)/$X$8)&gt;1.92,"ATÍPICO",ABS((I3560-$W$8)/$X$8)&lt;=1.92,"NO ATÍPICO")</f>
        <v>NO ATÍPICO</v>
      </c>
      <c r="L3560">
        <f t="shared" si="237"/>
        <v>857231</v>
      </c>
      <c r="M3560" t="str">
        <f t="shared" si="237"/>
        <v>ASALARIADO</v>
      </c>
      <c r="N3560">
        <f t="shared" si="238"/>
        <v>35</v>
      </c>
      <c r="O3560" s="19" t="str">
        <f t="shared" si="239"/>
        <v>600k–900k</v>
      </c>
      <c r="P3560" s="19" t="str">
        <f t="shared" si="240"/>
        <v>26-35</v>
      </c>
    </row>
    <row r="3561" spans="1:16" x14ac:dyDescent="0.25">
      <c r="A3561">
        <v>3560</v>
      </c>
      <c r="B3561" t="s">
        <v>15</v>
      </c>
      <c r="C3561">
        <v>297050</v>
      </c>
      <c r="D3561" t="s">
        <v>17</v>
      </c>
      <c r="E3561" t="s">
        <v>16</v>
      </c>
      <c r="F3561" t="s">
        <v>13</v>
      </c>
      <c r="G3561" t="s">
        <v>13</v>
      </c>
      <c r="H3561" t="s">
        <v>12</v>
      </c>
      <c r="I3561">
        <v>27</v>
      </c>
      <c r="J3561" t="str" cm="1">
        <f t="array" ref="J3561">_xlfn.IFS(ISBLANK(C3561),"FALTANTE",ABS((C3561-$W$5)/$X$5)&gt;1.96,"ATÍPICO",ABS((C3561-$W$5)/$X$5)&lt;=1.96,"NO ATÍPICO")</f>
        <v>NO ATÍPICO</v>
      </c>
      <c r="K3561" t="str" cm="1">
        <f t="array" ref="K3561">_xlfn.IFS(ISBLANK(I3561),"FALTANTE",ABS((I3561-$W$8)/$X$8)&gt;1.92,"ATÍPICO",ABS((I3561-$W$8)/$X$8)&lt;=1.92,"NO ATÍPICO")</f>
        <v>NO ATÍPICO</v>
      </c>
      <c r="L3561">
        <f t="shared" si="237"/>
        <v>297050</v>
      </c>
      <c r="M3561" t="str">
        <f t="shared" si="237"/>
        <v>ASEGURADO VOLUNTARIO</v>
      </c>
      <c r="N3561">
        <f t="shared" si="238"/>
        <v>27</v>
      </c>
      <c r="O3561" s="19" t="str">
        <f t="shared" si="239"/>
        <v>0–300k</v>
      </c>
      <c r="P3561" s="19" t="str">
        <f t="shared" si="240"/>
        <v>26-35</v>
      </c>
    </row>
    <row r="3562" spans="1:16" x14ac:dyDescent="0.25">
      <c r="A3562">
        <v>3561</v>
      </c>
      <c r="B3562" t="s">
        <v>15</v>
      </c>
      <c r="C3562">
        <v>541045</v>
      </c>
      <c r="D3562" t="s">
        <v>10</v>
      </c>
      <c r="E3562" t="s">
        <v>16</v>
      </c>
      <c r="F3562" t="s">
        <v>12</v>
      </c>
      <c r="G3562" t="s">
        <v>13</v>
      </c>
      <c r="H3562" t="s">
        <v>13</v>
      </c>
      <c r="I3562">
        <v>28</v>
      </c>
      <c r="J3562" t="str" cm="1">
        <f t="array" ref="J3562">_xlfn.IFS(ISBLANK(C3562),"FALTANTE",ABS((C3562-$W$5)/$X$5)&gt;1.96,"ATÍPICO",ABS((C3562-$W$5)/$X$5)&lt;=1.96,"NO ATÍPICO")</f>
        <v>NO ATÍPICO</v>
      </c>
      <c r="K3562" t="str" cm="1">
        <f t="array" ref="K3562">_xlfn.IFS(ISBLANK(I3562),"FALTANTE",ABS((I3562-$W$8)/$X$8)&gt;1.92,"ATÍPICO",ABS((I3562-$W$8)/$X$8)&lt;=1.92,"NO ATÍPICO")</f>
        <v>NO ATÍPICO</v>
      </c>
      <c r="L3562">
        <f t="shared" si="237"/>
        <v>541045</v>
      </c>
      <c r="M3562" t="str">
        <f t="shared" si="237"/>
        <v>ASALARIADO</v>
      </c>
      <c r="N3562">
        <f t="shared" si="238"/>
        <v>28</v>
      </c>
      <c r="O3562" s="19" t="str">
        <f t="shared" si="239"/>
        <v>300k–600k</v>
      </c>
      <c r="P3562" s="19" t="str">
        <f t="shared" si="240"/>
        <v>26-35</v>
      </c>
    </row>
    <row r="3563" spans="1:16" x14ac:dyDescent="0.25">
      <c r="A3563">
        <v>3562</v>
      </c>
      <c r="B3563" t="s">
        <v>9</v>
      </c>
      <c r="C3563">
        <v>623822</v>
      </c>
      <c r="D3563" t="s">
        <v>10</v>
      </c>
      <c r="E3563" t="s">
        <v>16</v>
      </c>
      <c r="F3563" t="s">
        <v>12</v>
      </c>
      <c r="G3563" t="s">
        <v>13</v>
      </c>
      <c r="H3563" t="s">
        <v>13</v>
      </c>
      <c r="I3563">
        <v>27</v>
      </c>
      <c r="J3563" t="str" cm="1">
        <f t="array" ref="J3563">_xlfn.IFS(ISBLANK(C3563),"FALTANTE",ABS((C3563-$W$5)/$X$5)&gt;1.96,"ATÍPICO",ABS((C3563-$W$5)/$X$5)&lt;=1.96,"NO ATÍPICO")</f>
        <v>NO ATÍPICO</v>
      </c>
      <c r="K3563" t="str" cm="1">
        <f t="array" ref="K3563">_xlfn.IFS(ISBLANK(I3563),"FALTANTE",ABS((I3563-$W$8)/$X$8)&gt;1.92,"ATÍPICO",ABS((I3563-$W$8)/$X$8)&lt;=1.92,"NO ATÍPICO")</f>
        <v>NO ATÍPICO</v>
      </c>
      <c r="L3563">
        <f t="shared" si="237"/>
        <v>623822</v>
      </c>
      <c r="M3563" t="str">
        <f t="shared" si="237"/>
        <v>ASALARIADO</v>
      </c>
      <c r="N3563">
        <f t="shared" si="238"/>
        <v>27</v>
      </c>
      <c r="O3563" s="19" t="str">
        <f t="shared" si="239"/>
        <v>600k–900k</v>
      </c>
      <c r="P3563" s="19" t="str">
        <f t="shared" si="240"/>
        <v>26-35</v>
      </c>
    </row>
    <row r="3564" spans="1:16" x14ac:dyDescent="0.25">
      <c r="A3564">
        <v>3563</v>
      </c>
      <c r="B3564" t="s">
        <v>9</v>
      </c>
      <c r="C3564">
        <v>476987</v>
      </c>
      <c r="D3564" t="s">
        <v>18</v>
      </c>
      <c r="E3564" t="s">
        <v>16</v>
      </c>
      <c r="F3564" t="s">
        <v>12</v>
      </c>
      <c r="G3564" t="s">
        <v>13</v>
      </c>
      <c r="H3564" t="s">
        <v>13</v>
      </c>
      <c r="I3564">
        <v>52</v>
      </c>
      <c r="J3564" t="str" cm="1">
        <f t="array" ref="J3564">_xlfn.IFS(ISBLANK(C3564),"FALTANTE",ABS((C3564-$W$5)/$X$5)&gt;1.96,"ATÍPICO",ABS((C3564-$W$5)/$X$5)&lt;=1.96,"NO ATÍPICO")</f>
        <v>NO ATÍPICO</v>
      </c>
      <c r="K3564" t="str" cm="1">
        <f t="array" ref="K3564">_xlfn.IFS(ISBLANK(I3564),"FALTANTE",ABS((I3564-$W$8)/$X$8)&gt;1.92,"ATÍPICO",ABS((I3564-$W$8)/$X$8)&lt;=1.92,"NO ATÍPICO")</f>
        <v>NO ATÍPICO</v>
      </c>
      <c r="L3564">
        <f t="shared" si="237"/>
        <v>476987</v>
      </c>
      <c r="M3564" t="str">
        <f t="shared" si="237"/>
        <v>TRABAJADOR INDEPENDIENTE</v>
      </c>
      <c r="N3564">
        <f t="shared" si="238"/>
        <v>52</v>
      </c>
      <c r="O3564" s="19" t="str">
        <f t="shared" si="239"/>
        <v>300k–600k</v>
      </c>
      <c r="P3564" s="19" t="str">
        <f t="shared" si="240"/>
        <v>46-55</v>
      </c>
    </row>
    <row r="3565" spans="1:16" x14ac:dyDescent="0.25">
      <c r="A3565">
        <v>3564</v>
      </c>
      <c r="B3565" t="s">
        <v>9</v>
      </c>
      <c r="C3565">
        <v>1976257</v>
      </c>
      <c r="D3565" t="s">
        <v>10</v>
      </c>
      <c r="E3565" t="s">
        <v>11</v>
      </c>
      <c r="F3565" t="s">
        <v>12</v>
      </c>
      <c r="G3565" t="s">
        <v>13</v>
      </c>
      <c r="H3565" t="s">
        <v>13</v>
      </c>
      <c r="I3565">
        <v>56</v>
      </c>
      <c r="J3565" t="str" cm="1">
        <f t="array" ref="J3565">_xlfn.IFS(ISBLANK(C3565),"FALTANTE",ABS((C3565-$W$5)/$X$5)&gt;1.96,"ATÍPICO",ABS((C3565-$W$5)/$X$5)&lt;=1.96,"NO ATÍPICO")</f>
        <v>NO ATÍPICO</v>
      </c>
      <c r="K3565" t="str" cm="1">
        <f t="array" ref="K3565">_xlfn.IFS(ISBLANK(I3565),"FALTANTE",ABS((I3565-$W$8)/$X$8)&gt;1.92,"ATÍPICO",ABS((I3565-$W$8)/$X$8)&lt;=1.92,"NO ATÍPICO")</f>
        <v>NO ATÍPICO</v>
      </c>
      <c r="L3565">
        <f t="shared" si="237"/>
        <v>1976257</v>
      </c>
      <c r="M3565" t="str">
        <f t="shared" si="237"/>
        <v>ASALARIADO</v>
      </c>
      <c r="N3565">
        <f t="shared" si="238"/>
        <v>56</v>
      </c>
      <c r="O3565" s="19" t="str">
        <f t="shared" si="239"/>
        <v>1200k+</v>
      </c>
      <c r="P3565" s="19" t="str">
        <f t="shared" si="240"/>
        <v>56+</v>
      </c>
    </row>
    <row r="3566" spans="1:16" x14ac:dyDescent="0.25">
      <c r="A3566">
        <v>3565</v>
      </c>
      <c r="B3566" t="s">
        <v>15</v>
      </c>
      <c r="C3566">
        <v>361783</v>
      </c>
      <c r="D3566" t="s">
        <v>17</v>
      </c>
      <c r="E3566" t="s">
        <v>16</v>
      </c>
      <c r="F3566" t="s">
        <v>12</v>
      </c>
      <c r="G3566" t="s">
        <v>13</v>
      </c>
      <c r="H3566" t="s">
        <v>12</v>
      </c>
      <c r="I3566">
        <v>52</v>
      </c>
      <c r="J3566" t="str" cm="1">
        <f t="array" ref="J3566">_xlfn.IFS(ISBLANK(C3566),"FALTANTE",ABS((C3566-$W$5)/$X$5)&gt;1.96,"ATÍPICO",ABS((C3566-$W$5)/$X$5)&lt;=1.96,"NO ATÍPICO")</f>
        <v>NO ATÍPICO</v>
      </c>
      <c r="K3566" t="str" cm="1">
        <f t="array" ref="K3566">_xlfn.IFS(ISBLANK(I3566),"FALTANTE",ABS((I3566-$W$8)/$X$8)&gt;1.92,"ATÍPICO",ABS((I3566-$W$8)/$X$8)&lt;=1.92,"NO ATÍPICO")</f>
        <v>NO ATÍPICO</v>
      </c>
      <c r="L3566">
        <f t="shared" si="237"/>
        <v>361783</v>
      </c>
      <c r="M3566" t="str">
        <f t="shared" si="237"/>
        <v>ASEGURADO VOLUNTARIO</v>
      </c>
      <c r="N3566">
        <f t="shared" si="238"/>
        <v>52</v>
      </c>
      <c r="O3566" s="19" t="str">
        <f t="shared" si="239"/>
        <v>300k–600k</v>
      </c>
      <c r="P3566" s="19" t="str">
        <f t="shared" si="240"/>
        <v>46-55</v>
      </c>
    </row>
    <row r="3567" spans="1:16" x14ac:dyDescent="0.25">
      <c r="A3567">
        <v>3566</v>
      </c>
      <c r="B3567" t="s">
        <v>9</v>
      </c>
      <c r="C3567">
        <v>279985.18</v>
      </c>
      <c r="D3567" t="s">
        <v>10</v>
      </c>
      <c r="E3567" t="s">
        <v>16</v>
      </c>
      <c r="F3567" t="s">
        <v>12</v>
      </c>
      <c r="G3567" t="s">
        <v>13</v>
      </c>
      <c r="H3567" t="s">
        <v>13</v>
      </c>
      <c r="I3567">
        <v>37</v>
      </c>
      <c r="J3567" t="str" cm="1">
        <f t="array" ref="J3567">_xlfn.IFS(ISBLANK(C3567),"FALTANTE",ABS((C3567-$W$5)/$X$5)&gt;1.96,"ATÍPICO",ABS((C3567-$W$5)/$X$5)&lt;=1.96,"NO ATÍPICO")</f>
        <v>NO ATÍPICO</v>
      </c>
      <c r="K3567" t="str" cm="1">
        <f t="array" ref="K3567">_xlfn.IFS(ISBLANK(I3567),"FALTANTE",ABS((I3567-$W$8)/$X$8)&gt;1.92,"ATÍPICO",ABS((I3567-$W$8)/$X$8)&lt;=1.92,"NO ATÍPICO")</f>
        <v>NO ATÍPICO</v>
      </c>
      <c r="L3567">
        <f t="shared" si="237"/>
        <v>279985.18</v>
      </c>
      <c r="M3567" t="str">
        <f t="shared" si="237"/>
        <v>ASALARIADO</v>
      </c>
      <c r="N3567">
        <f t="shared" si="238"/>
        <v>37</v>
      </c>
      <c r="O3567" s="19" t="str">
        <f t="shared" si="239"/>
        <v>0–300k</v>
      </c>
      <c r="P3567" s="19" t="str">
        <f t="shared" si="240"/>
        <v>36-45</v>
      </c>
    </row>
    <row r="3568" spans="1:16" x14ac:dyDescent="0.25">
      <c r="A3568">
        <v>3567</v>
      </c>
      <c r="B3568" t="s">
        <v>9</v>
      </c>
      <c r="C3568">
        <v>380000</v>
      </c>
      <c r="D3568" t="s">
        <v>10</v>
      </c>
      <c r="E3568" t="s">
        <v>16</v>
      </c>
      <c r="F3568" t="s">
        <v>12</v>
      </c>
      <c r="G3568" t="s">
        <v>13</v>
      </c>
      <c r="H3568" t="s">
        <v>13</v>
      </c>
      <c r="I3568">
        <v>32</v>
      </c>
      <c r="J3568" t="str" cm="1">
        <f t="array" ref="J3568">_xlfn.IFS(ISBLANK(C3568),"FALTANTE",ABS((C3568-$W$5)/$X$5)&gt;1.96,"ATÍPICO",ABS((C3568-$W$5)/$X$5)&lt;=1.96,"NO ATÍPICO")</f>
        <v>NO ATÍPICO</v>
      </c>
      <c r="K3568" t="str" cm="1">
        <f t="array" ref="K3568">_xlfn.IFS(ISBLANK(I3568),"FALTANTE",ABS((I3568-$W$8)/$X$8)&gt;1.92,"ATÍPICO",ABS((I3568-$W$8)/$X$8)&lt;=1.92,"NO ATÍPICO")</f>
        <v>NO ATÍPICO</v>
      </c>
      <c r="L3568">
        <f t="shared" si="237"/>
        <v>380000</v>
      </c>
      <c r="M3568" t="str">
        <f t="shared" si="237"/>
        <v>ASALARIADO</v>
      </c>
      <c r="N3568">
        <f t="shared" si="238"/>
        <v>32</v>
      </c>
      <c r="O3568" s="19" t="str">
        <f t="shared" si="239"/>
        <v>300k–600k</v>
      </c>
      <c r="P3568" s="19" t="str">
        <f t="shared" si="240"/>
        <v>26-35</v>
      </c>
    </row>
    <row r="3569" spans="1:16" x14ac:dyDescent="0.25">
      <c r="A3569">
        <v>3568</v>
      </c>
      <c r="B3569" t="s">
        <v>9</v>
      </c>
      <c r="C3569">
        <v>4102647.12</v>
      </c>
      <c r="D3569" t="s">
        <v>10</v>
      </c>
      <c r="E3569" t="s">
        <v>16</v>
      </c>
      <c r="F3569" t="s">
        <v>12</v>
      </c>
      <c r="G3569" t="s">
        <v>13</v>
      </c>
      <c r="H3569" t="s">
        <v>13</v>
      </c>
      <c r="I3569">
        <v>34</v>
      </c>
      <c r="J3569" t="str" cm="1">
        <f t="array" ref="J3569">_xlfn.IFS(ISBLANK(C3569),"FALTANTE",ABS((C3569-$W$5)/$X$5)&gt;1.96,"ATÍPICO",ABS((C3569-$W$5)/$X$5)&lt;=1.96,"NO ATÍPICO")</f>
        <v>ATÍPICO</v>
      </c>
      <c r="K3569" t="str" cm="1">
        <f t="array" ref="K3569">_xlfn.IFS(ISBLANK(I3569),"FALTANTE",ABS((I3569-$W$8)/$X$8)&gt;1.92,"ATÍPICO",ABS((I3569-$W$8)/$X$8)&lt;=1.92,"NO ATÍPICO")</f>
        <v>NO ATÍPICO</v>
      </c>
      <c r="L3569">
        <f t="shared" si="237"/>
        <v>4102647.12</v>
      </c>
      <c r="M3569" t="str">
        <f t="shared" si="237"/>
        <v>ASALARIADO</v>
      </c>
      <c r="N3569">
        <f t="shared" si="238"/>
        <v>34</v>
      </c>
      <c r="O3569" s="19" t="str">
        <f t="shared" si="239"/>
        <v>1200k+</v>
      </c>
      <c r="P3569" s="19" t="str">
        <f t="shared" si="240"/>
        <v>26-35</v>
      </c>
    </row>
    <row r="3570" spans="1:16" x14ac:dyDescent="0.25">
      <c r="A3570">
        <v>3569</v>
      </c>
      <c r="B3570" t="s">
        <v>15</v>
      </c>
      <c r="C3570">
        <v>413618.8</v>
      </c>
      <c r="D3570" t="s">
        <v>10</v>
      </c>
      <c r="E3570" t="s">
        <v>16</v>
      </c>
      <c r="F3570" t="s">
        <v>12</v>
      </c>
      <c r="G3570" t="s">
        <v>13</v>
      </c>
      <c r="H3570" t="s">
        <v>13</v>
      </c>
      <c r="I3570">
        <v>35</v>
      </c>
      <c r="J3570" t="str" cm="1">
        <f t="array" ref="J3570">_xlfn.IFS(ISBLANK(C3570),"FALTANTE",ABS((C3570-$W$5)/$X$5)&gt;1.96,"ATÍPICO",ABS((C3570-$W$5)/$X$5)&lt;=1.96,"NO ATÍPICO")</f>
        <v>NO ATÍPICO</v>
      </c>
      <c r="K3570" t="str" cm="1">
        <f t="array" ref="K3570">_xlfn.IFS(ISBLANK(I3570),"FALTANTE",ABS((I3570-$W$8)/$X$8)&gt;1.92,"ATÍPICO",ABS((I3570-$W$8)/$X$8)&lt;=1.92,"NO ATÍPICO")</f>
        <v>NO ATÍPICO</v>
      </c>
      <c r="L3570">
        <f t="shared" si="237"/>
        <v>413618.8</v>
      </c>
      <c r="M3570" t="str">
        <f t="shared" si="237"/>
        <v>ASALARIADO</v>
      </c>
      <c r="N3570">
        <f t="shared" si="238"/>
        <v>35</v>
      </c>
      <c r="O3570" s="19" t="str">
        <f t="shared" si="239"/>
        <v>300k–600k</v>
      </c>
      <c r="P3570" s="19" t="str">
        <f t="shared" si="240"/>
        <v>26-35</v>
      </c>
    </row>
    <row r="3571" spans="1:16" x14ac:dyDescent="0.25">
      <c r="A3571">
        <v>3570</v>
      </c>
      <c r="B3571" t="s">
        <v>9</v>
      </c>
      <c r="C3571">
        <v>295477</v>
      </c>
      <c r="D3571" t="s">
        <v>10</v>
      </c>
      <c r="E3571" t="s">
        <v>11</v>
      </c>
      <c r="F3571" t="s">
        <v>12</v>
      </c>
      <c r="G3571" t="s">
        <v>13</v>
      </c>
      <c r="H3571" t="s">
        <v>13</v>
      </c>
      <c r="I3571">
        <v>28</v>
      </c>
      <c r="J3571" t="str" cm="1">
        <f t="array" ref="J3571">_xlfn.IFS(ISBLANK(C3571),"FALTANTE",ABS((C3571-$W$5)/$X$5)&gt;1.96,"ATÍPICO",ABS((C3571-$W$5)/$X$5)&lt;=1.96,"NO ATÍPICO")</f>
        <v>NO ATÍPICO</v>
      </c>
      <c r="K3571" t="str" cm="1">
        <f t="array" ref="K3571">_xlfn.IFS(ISBLANK(I3571),"FALTANTE",ABS((I3571-$W$8)/$X$8)&gt;1.92,"ATÍPICO",ABS((I3571-$W$8)/$X$8)&lt;=1.92,"NO ATÍPICO")</f>
        <v>NO ATÍPICO</v>
      </c>
      <c r="L3571">
        <f t="shared" si="237"/>
        <v>295477</v>
      </c>
      <c r="M3571" t="str">
        <f t="shared" si="237"/>
        <v>ASALARIADO</v>
      </c>
      <c r="N3571">
        <f t="shared" si="238"/>
        <v>28</v>
      </c>
      <c r="O3571" s="19" t="str">
        <f t="shared" si="239"/>
        <v>0–300k</v>
      </c>
      <c r="P3571" s="19" t="str">
        <f t="shared" si="240"/>
        <v>26-35</v>
      </c>
    </row>
    <row r="3572" spans="1:16" x14ac:dyDescent="0.25">
      <c r="A3572">
        <v>3571</v>
      </c>
      <c r="B3572" t="s">
        <v>9</v>
      </c>
      <c r="C3572">
        <v>300018</v>
      </c>
      <c r="D3572" t="s">
        <v>18</v>
      </c>
      <c r="E3572" t="s">
        <v>16</v>
      </c>
      <c r="F3572" t="s">
        <v>12</v>
      </c>
      <c r="G3572" t="s">
        <v>13</v>
      </c>
      <c r="H3572" t="s">
        <v>13</v>
      </c>
      <c r="I3572">
        <v>61</v>
      </c>
      <c r="J3572" t="str" cm="1">
        <f t="array" ref="J3572">_xlfn.IFS(ISBLANK(C3572),"FALTANTE",ABS((C3572-$W$5)/$X$5)&gt;1.96,"ATÍPICO",ABS((C3572-$W$5)/$X$5)&lt;=1.96,"NO ATÍPICO")</f>
        <v>NO ATÍPICO</v>
      </c>
      <c r="K3572" t="str" cm="1">
        <f t="array" ref="K3572">_xlfn.IFS(ISBLANK(I3572),"FALTANTE",ABS((I3572-$W$8)/$X$8)&gt;1.92,"ATÍPICO",ABS((I3572-$W$8)/$X$8)&lt;=1.92,"NO ATÍPICO")</f>
        <v>NO ATÍPICO</v>
      </c>
      <c r="L3572">
        <f t="shared" si="237"/>
        <v>300018</v>
      </c>
      <c r="M3572" t="str">
        <f t="shared" si="237"/>
        <v>TRABAJADOR INDEPENDIENTE</v>
      </c>
      <c r="N3572">
        <f t="shared" si="238"/>
        <v>61</v>
      </c>
      <c r="O3572" s="19" t="str">
        <f t="shared" si="239"/>
        <v>300k–600k</v>
      </c>
      <c r="P3572" s="19" t="str">
        <f t="shared" si="240"/>
        <v>56+</v>
      </c>
    </row>
    <row r="3573" spans="1:16" x14ac:dyDescent="0.25">
      <c r="A3573">
        <v>3572</v>
      </c>
      <c r="B3573" t="s">
        <v>9</v>
      </c>
      <c r="C3573">
        <v>1700000</v>
      </c>
      <c r="D3573" t="s">
        <v>10</v>
      </c>
      <c r="E3573" t="s">
        <v>16</v>
      </c>
      <c r="F3573" t="s">
        <v>12</v>
      </c>
      <c r="G3573" t="s">
        <v>13</v>
      </c>
      <c r="H3573" t="s">
        <v>13</v>
      </c>
      <c r="I3573">
        <v>45</v>
      </c>
      <c r="J3573" t="str" cm="1">
        <f t="array" ref="J3573">_xlfn.IFS(ISBLANK(C3573),"FALTANTE",ABS((C3573-$W$5)/$X$5)&gt;1.96,"ATÍPICO",ABS((C3573-$W$5)/$X$5)&lt;=1.96,"NO ATÍPICO")</f>
        <v>NO ATÍPICO</v>
      </c>
      <c r="K3573" t="str" cm="1">
        <f t="array" ref="K3573">_xlfn.IFS(ISBLANK(I3573),"FALTANTE",ABS((I3573-$W$8)/$X$8)&gt;1.92,"ATÍPICO",ABS((I3573-$W$8)/$X$8)&lt;=1.92,"NO ATÍPICO")</f>
        <v>NO ATÍPICO</v>
      </c>
      <c r="L3573">
        <f t="shared" si="237"/>
        <v>1700000</v>
      </c>
      <c r="M3573" t="str">
        <f t="shared" si="237"/>
        <v>ASALARIADO</v>
      </c>
      <c r="N3573">
        <f t="shared" si="238"/>
        <v>45</v>
      </c>
      <c r="O3573" s="19" t="str">
        <f t="shared" si="239"/>
        <v>1200k+</v>
      </c>
      <c r="P3573" s="19" t="str">
        <f t="shared" si="240"/>
        <v>36-45</v>
      </c>
    </row>
    <row r="3574" spans="1:16" x14ac:dyDescent="0.25">
      <c r="A3574">
        <v>3573</v>
      </c>
      <c r="B3574" t="s">
        <v>15</v>
      </c>
      <c r="C3574">
        <v>1260977.05</v>
      </c>
      <c r="D3574" t="s">
        <v>10</v>
      </c>
      <c r="E3574" t="s">
        <v>11</v>
      </c>
      <c r="F3574" t="s">
        <v>12</v>
      </c>
      <c r="G3574" t="s">
        <v>13</v>
      </c>
      <c r="H3574" t="s">
        <v>13</v>
      </c>
      <c r="I3574">
        <v>38</v>
      </c>
      <c r="J3574" t="str" cm="1">
        <f t="array" ref="J3574">_xlfn.IFS(ISBLANK(C3574),"FALTANTE",ABS((C3574-$W$5)/$X$5)&gt;1.96,"ATÍPICO",ABS((C3574-$W$5)/$X$5)&lt;=1.96,"NO ATÍPICO")</f>
        <v>NO ATÍPICO</v>
      </c>
      <c r="K3574" t="str" cm="1">
        <f t="array" ref="K3574">_xlfn.IFS(ISBLANK(I3574),"FALTANTE",ABS((I3574-$W$8)/$X$8)&gt;1.92,"ATÍPICO",ABS((I3574-$W$8)/$X$8)&lt;=1.92,"NO ATÍPICO")</f>
        <v>NO ATÍPICO</v>
      </c>
      <c r="L3574">
        <f t="shared" si="237"/>
        <v>1260977.05</v>
      </c>
      <c r="M3574" t="str">
        <f t="shared" si="237"/>
        <v>ASALARIADO</v>
      </c>
      <c r="N3574">
        <f t="shared" si="238"/>
        <v>38</v>
      </c>
      <c r="O3574" s="19" t="str">
        <f t="shared" si="239"/>
        <v>1200k+</v>
      </c>
      <c r="P3574" s="19" t="str">
        <f t="shared" si="240"/>
        <v>36-45</v>
      </c>
    </row>
    <row r="3575" spans="1:16" x14ac:dyDescent="0.25">
      <c r="A3575">
        <v>3574</v>
      </c>
      <c r="B3575" t="s">
        <v>9</v>
      </c>
      <c r="C3575">
        <v>885053.25</v>
      </c>
      <c r="D3575" t="s">
        <v>10</v>
      </c>
      <c r="E3575" t="s">
        <v>11</v>
      </c>
      <c r="F3575" t="s">
        <v>12</v>
      </c>
      <c r="G3575" t="s">
        <v>13</v>
      </c>
      <c r="H3575" t="s">
        <v>13</v>
      </c>
      <c r="I3575">
        <v>35</v>
      </c>
      <c r="J3575" t="str" cm="1">
        <f t="array" ref="J3575">_xlfn.IFS(ISBLANK(C3575),"FALTANTE",ABS((C3575-$W$5)/$X$5)&gt;1.96,"ATÍPICO",ABS((C3575-$W$5)/$X$5)&lt;=1.96,"NO ATÍPICO")</f>
        <v>NO ATÍPICO</v>
      </c>
      <c r="K3575" t="str" cm="1">
        <f t="array" ref="K3575">_xlfn.IFS(ISBLANK(I3575),"FALTANTE",ABS((I3575-$W$8)/$X$8)&gt;1.92,"ATÍPICO",ABS((I3575-$W$8)/$X$8)&lt;=1.92,"NO ATÍPICO")</f>
        <v>NO ATÍPICO</v>
      </c>
      <c r="L3575">
        <f t="shared" si="237"/>
        <v>885053.25</v>
      </c>
      <c r="M3575" t="str">
        <f t="shared" si="237"/>
        <v>ASALARIADO</v>
      </c>
      <c r="N3575">
        <f t="shared" si="238"/>
        <v>35</v>
      </c>
      <c r="O3575" s="19" t="str">
        <f t="shared" si="239"/>
        <v>600k–900k</v>
      </c>
      <c r="P3575" s="19" t="str">
        <f t="shared" si="240"/>
        <v>26-35</v>
      </c>
    </row>
    <row r="3576" spans="1:16" x14ac:dyDescent="0.25">
      <c r="A3576">
        <v>3575</v>
      </c>
      <c r="B3576" t="s">
        <v>15</v>
      </c>
      <c r="C3576">
        <v>722010.7</v>
      </c>
      <c r="D3576" t="s">
        <v>10</v>
      </c>
      <c r="E3576" t="s">
        <v>11</v>
      </c>
      <c r="F3576" t="s">
        <v>12</v>
      </c>
      <c r="G3576" t="s">
        <v>13</v>
      </c>
      <c r="H3576" t="s">
        <v>13</v>
      </c>
      <c r="I3576">
        <v>36</v>
      </c>
      <c r="J3576" t="str" cm="1">
        <f t="array" ref="J3576">_xlfn.IFS(ISBLANK(C3576),"FALTANTE",ABS((C3576-$W$5)/$X$5)&gt;1.96,"ATÍPICO",ABS((C3576-$W$5)/$X$5)&lt;=1.96,"NO ATÍPICO")</f>
        <v>NO ATÍPICO</v>
      </c>
      <c r="K3576" t="str" cm="1">
        <f t="array" ref="K3576">_xlfn.IFS(ISBLANK(I3576),"FALTANTE",ABS((I3576-$W$8)/$X$8)&gt;1.92,"ATÍPICO",ABS((I3576-$W$8)/$X$8)&lt;=1.92,"NO ATÍPICO")</f>
        <v>NO ATÍPICO</v>
      </c>
      <c r="L3576">
        <f t="shared" si="237"/>
        <v>722010.7</v>
      </c>
      <c r="M3576" t="str">
        <f t="shared" si="237"/>
        <v>ASALARIADO</v>
      </c>
      <c r="N3576">
        <f t="shared" si="238"/>
        <v>36</v>
      </c>
      <c r="O3576" s="19" t="str">
        <f t="shared" si="239"/>
        <v>600k–900k</v>
      </c>
      <c r="P3576" s="19" t="str">
        <f t="shared" si="240"/>
        <v>36-45</v>
      </c>
    </row>
    <row r="3577" spans="1:16" x14ac:dyDescent="0.25">
      <c r="A3577">
        <v>3576</v>
      </c>
      <c r="B3577" t="s">
        <v>9</v>
      </c>
      <c r="C3577">
        <v>413166</v>
      </c>
      <c r="D3577" t="s">
        <v>10</v>
      </c>
      <c r="E3577" t="s">
        <v>16</v>
      </c>
      <c r="F3577" t="s">
        <v>12</v>
      </c>
      <c r="G3577" t="s">
        <v>13</v>
      </c>
      <c r="H3577" t="s">
        <v>13</v>
      </c>
      <c r="I3577">
        <v>49</v>
      </c>
      <c r="J3577" t="str" cm="1">
        <f t="array" ref="J3577">_xlfn.IFS(ISBLANK(C3577),"FALTANTE",ABS((C3577-$W$5)/$X$5)&gt;1.96,"ATÍPICO",ABS((C3577-$W$5)/$X$5)&lt;=1.96,"NO ATÍPICO")</f>
        <v>NO ATÍPICO</v>
      </c>
      <c r="K3577" t="str" cm="1">
        <f t="array" ref="K3577">_xlfn.IFS(ISBLANK(I3577),"FALTANTE",ABS((I3577-$W$8)/$X$8)&gt;1.92,"ATÍPICO",ABS((I3577-$W$8)/$X$8)&lt;=1.92,"NO ATÍPICO")</f>
        <v>NO ATÍPICO</v>
      </c>
      <c r="L3577">
        <f t="shared" si="237"/>
        <v>413166</v>
      </c>
      <c r="M3577" t="str">
        <f t="shared" si="237"/>
        <v>ASALARIADO</v>
      </c>
      <c r="N3577">
        <f t="shared" si="238"/>
        <v>49</v>
      </c>
      <c r="O3577" s="19" t="str">
        <f t="shared" si="239"/>
        <v>300k–600k</v>
      </c>
      <c r="P3577" s="19" t="str">
        <f t="shared" si="240"/>
        <v>46-55</v>
      </c>
    </row>
    <row r="3578" spans="1:16" x14ac:dyDescent="0.25">
      <c r="A3578">
        <v>3577</v>
      </c>
      <c r="B3578" t="s">
        <v>15</v>
      </c>
      <c r="C3578">
        <v>356455</v>
      </c>
      <c r="D3578" t="s">
        <v>18</v>
      </c>
      <c r="E3578" t="s">
        <v>16</v>
      </c>
      <c r="F3578" t="s">
        <v>12</v>
      </c>
      <c r="G3578" t="s">
        <v>12</v>
      </c>
      <c r="H3578" t="s">
        <v>12</v>
      </c>
      <c r="I3578">
        <v>52</v>
      </c>
      <c r="J3578" t="str" cm="1">
        <f t="array" ref="J3578">_xlfn.IFS(ISBLANK(C3578),"FALTANTE",ABS((C3578-$W$5)/$X$5)&gt;1.96,"ATÍPICO",ABS((C3578-$W$5)/$X$5)&lt;=1.96,"NO ATÍPICO")</f>
        <v>NO ATÍPICO</v>
      </c>
      <c r="K3578" t="str" cm="1">
        <f t="array" ref="K3578">_xlfn.IFS(ISBLANK(I3578),"FALTANTE",ABS((I3578-$W$8)/$X$8)&gt;1.92,"ATÍPICO",ABS((I3578-$W$8)/$X$8)&lt;=1.92,"NO ATÍPICO")</f>
        <v>NO ATÍPICO</v>
      </c>
      <c r="L3578">
        <f t="shared" si="237"/>
        <v>356455</v>
      </c>
      <c r="M3578" t="str">
        <f t="shared" si="237"/>
        <v>TRABAJADOR INDEPENDIENTE</v>
      </c>
      <c r="N3578">
        <f t="shared" si="238"/>
        <v>52</v>
      </c>
      <c r="O3578" s="19" t="str">
        <f t="shared" si="239"/>
        <v>300k–600k</v>
      </c>
      <c r="P3578" s="19" t="str">
        <f t="shared" si="240"/>
        <v>46-55</v>
      </c>
    </row>
    <row r="3579" spans="1:16" x14ac:dyDescent="0.25">
      <c r="A3579">
        <v>3578</v>
      </c>
      <c r="B3579" t="s">
        <v>15</v>
      </c>
      <c r="C3579">
        <v>300000</v>
      </c>
      <c r="D3579" t="s">
        <v>10</v>
      </c>
      <c r="E3579" t="s">
        <v>16</v>
      </c>
      <c r="F3579" t="s">
        <v>12</v>
      </c>
      <c r="G3579" t="s">
        <v>12</v>
      </c>
      <c r="H3579" t="s">
        <v>13</v>
      </c>
      <c r="I3579">
        <v>41</v>
      </c>
      <c r="J3579" t="str" cm="1">
        <f t="array" ref="J3579">_xlfn.IFS(ISBLANK(C3579),"FALTANTE",ABS((C3579-$W$5)/$X$5)&gt;1.96,"ATÍPICO",ABS((C3579-$W$5)/$X$5)&lt;=1.96,"NO ATÍPICO")</f>
        <v>NO ATÍPICO</v>
      </c>
      <c r="K3579" t="str" cm="1">
        <f t="array" ref="K3579">_xlfn.IFS(ISBLANK(I3579),"FALTANTE",ABS((I3579-$W$8)/$X$8)&gt;1.92,"ATÍPICO",ABS((I3579-$W$8)/$X$8)&lt;=1.92,"NO ATÍPICO")</f>
        <v>NO ATÍPICO</v>
      </c>
      <c r="L3579">
        <f t="shared" si="237"/>
        <v>300000</v>
      </c>
      <c r="M3579" t="str">
        <f t="shared" si="237"/>
        <v>ASALARIADO</v>
      </c>
      <c r="N3579">
        <f t="shared" si="238"/>
        <v>41</v>
      </c>
      <c r="O3579" s="19" t="str">
        <f t="shared" si="239"/>
        <v>0–300k</v>
      </c>
      <c r="P3579" s="19" t="str">
        <f t="shared" si="240"/>
        <v>36-45</v>
      </c>
    </row>
    <row r="3580" spans="1:16" x14ac:dyDescent="0.25">
      <c r="A3580">
        <v>3579</v>
      </c>
      <c r="B3580" t="s">
        <v>15</v>
      </c>
      <c r="C3580">
        <v>1642647</v>
      </c>
      <c r="D3580" t="s">
        <v>14</v>
      </c>
      <c r="E3580" t="s">
        <v>11</v>
      </c>
      <c r="F3580" t="s">
        <v>12</v>
      </c>
      <c r="G3580" t="s">
        <v>13</v>
      </c>
      <c r="H3580" t="s">
        <v>13</v>
      </c>
      <c r="I3580">
        <v>59</v>
      </c>
      <c r="J3580" t="str" cm="1">
        <f t="array" ref="J3580">_xlfn.IFS(ISBLANK(C3580),"FALTANTE",ABS((C3580-$W$5)/$X$5)&gt;1.96,"ATÍPICO",ABS((C3580-$W$5)/$X$5)&lt;=1.96,"NO ATÍPICO")</f>
        <v>NO ATÍPICO</v>
      </c>
      <c r="K3580" t="str" cm="1">
        <f t="array" ref="K3580">_xlfn.IFS(ISBLANK(I3580),"FALTANTE",ABS((I3580-$W$8)/$X$8)&gt;1.92,"ATÍPICO",ABS((I3580-$W$8)/$X$8)&lt;=1.92,"NO ATÍPICO")</f>
        <v>NO ATÍPICO</v>
      </c>
      <c r="L3580">
        <f t="shared" si="237"/>
        <v>1642647</v>
      </c>
      <c r="M3580" t="str">
        <f t="shared" si="237"/>
        <v>PENSIONADOS EN SU PROPIO SISTEMA</v>
      </c>
      <c r="N3580">
        <f t="shared" si="238"/>
        <v>59</v>
      </c>
      <c r="O3580" s="19" t="str">
        <f t="shared" si="239"/>
        <v>1200k+</v>
      </c>
      <c r="P3580" s="19" t="str">
        <f t="shared" si="240"/>
        <v>56+</v>
      </c>
    </row>
    <row r="3581" spans="1:16" x14ac:dyDescent="0.25">
      <c r="A3581">
        <v>3580</v>
      </c>
      <c r="B3581" t="s">
        <v>9</v>
      </c>
      <c r="C3581">
        <v>200000</v>
      </c>
      <c r="D3581" t="s">
        <v>10</v>
      </c>
      <c r="E3581" t="s">
        <v>16</v>
      </c>
      <c r="F3581" t="s">
        <v>12</v>
      </c>
      <c r="G3581" t="s">
        <v>13</v>
      </c>
      <c r="H3581" t="s">
        <v>12</v>
      </c>
      <c r="I3581">
        <v>30</v>
      </c>
      <c r="J3581" t="str" cm="1">
        <f t="array" ref="J3581">_xlfn.IFS(ISBLANK(C3581),"FALTANTE",ABS((C3581-$W$5)/$X$5)&gt;1.96,"ATÍPICO",ABS((C3581-$W$5)/$X$5)&lt;=1.96,"NO ATÍPICO")</f>
        <v>NO ATÍPICO</v>
      </c>
      <c r="K3581" t="str" cm="1">
        <f t="array" ref="K3581">_xlfn.IFS(ISBLANK(I3581),"FALTANTE",ABS((I3581-$W$8)/$X$8)&gt;1.92,"ATÍPICO",ABS((I3581-$W$8)/$X$8)&lt;=1.92,"NO ATÍPICO")</f>
        <v>NO ATÍPICO</v>
      </c>
      <c r="L3581">
        <f t="shared" si="237"/>
        <v>200000</v>
      </c>
      <c r="M3581" t="str">
        <f t="shared" si="237"/>
        <v>ASALARIADO</v>
      </c>
      <c r="N3581">
        <f t="shared" si="238"/>
        <v>30</v>
      </c>
      <c r="O3581" s="19" t="str">
        <f t="shared" si="239"/>
        <v>0–300k</v>
      </c>
      <c r="P3581" s="19" t="str">
        <f t="shared" si="240"/>
        <v>26-35</v>
      </c>
    </row>
    <row r="3582" spans="1:16" x14ac:dyDescent="0.25">
      <c r="A3582">
        <v>3581</v>
      </c>
      <c r="B3582" t="s">
        <v>9</v>
      </c>
      <c r="C3582">
        <v>278030</v>
      </c>
      <c r="D3582" t="s">
        <v>19</v>
      </c>
      <c r="E3582" t="s">
        <v>16</v>
      </c>
      <c r="F3582" t="s">
        <v>12</v>
      </c>
      <c r="G3582" t="s">
        <v>13</v>
      </c>
      <c r="H3582" t="s">
        <v>13</v>
      </c>
      <c r="I3582">
        <v>35</v>
      </c>
      <c r="J3582" t="str" cm="1">
        <f t="array" ref="J3582">_xlfn.IFS(ISBLANK(C3582),"FALTANTE",ABS((C3582-$W$5)/$X$5)&gt;1.96,"ATÍPICO",ABS((C3582-$W$5)/$X$5)&lt;=1.96,"NO ATÍPICO")</f>
        <v>NO ATÍPICO</v>
      </c>
      <c r="K3582" t="str" cm="1">
        <f t="array" ref="K3582">_xlfn.IFS(ISBLANK(I3582),"FALTANTE",ABS((I3582-$W$8)/$X$8)&gt;1.92,"ATÍPICO",ABS((I3582-$W$8)/$X$8)&lt;=1.92,"NO ATÍPICO")</f>
        <v>NO ATÍPICO</v>
      </c>
      <c r="L3582">
        <f t="shared" si="237"/>
        <v>278030</v>
      </c>
      <c r="M3582" t="str">
        <f t="shared" si="237"/>
        <v>CONVENIOS ESPECIALES DE TRABAJADORES INDEPENDIENTES</v>
      </c>
      <c r="N3582">
        <f t="shared" si="238"/>
        <v>35</v>
      </c>
      <c r="O3582" s="19" t="str">
        <f t="shared" si="239"/>
        <v>0–300k</v>
      </c>
      <c r="P3582" s="19" t="str">
        <f t="shared" si="240"/>
        <v>26-35</v>
      </c>
    </row>
    <row r="3583" spans="1:16" x14ac:dyDescent="0.25">
      <c r="A3583">
        <v>3582</v>
      </c>
      <c r="B3583" t="s">
        <v>9</v>
      </c>
      <c r="C3583">
        <v>1184243</v>
      </c>
      <c r="D3583" t="s">
        <v>10</v>
      </c>
      <c r="E3583" t="s">
        <v>11</v>
      </c>
      <c r="F3583" t="s">
        <v>12</v>
      </c>
      <c r="G3583" t="s">
        <v>13</v>
      </c>
      <c r="H3583" t="s">
        <v>12</v>
      </c>
      <c r="I3583">
        <v>37</v>
      </c>
      <c r="J3583" t="str" cm="1">
        <f t="array" ref="J3583">_xlfn.IFS(ISBLANK(C3583),"FALTANTE",ABS((C3583-$W$5)/$X$5)&gt;1.96,"ATÍPICO",ABS((C3583-$W$5)/$X$5)&lt;=1.96,"NO ATÍPICO")</f>
        <v>NO ATÍPICO</v>
      </c>
      <c r="K3583" t="str" cm="1">
        <f t="array" ref="K3583">_xlfn.IFS(ISBLANK(I3583),"FALTANTE",ABS((I3583-$W$8)/$X$8)&gt;1.92,"ATÍPICO",ABS((I3583-$W$8)/$X$8)&lt;=1.92,"NO ATÍPICO")</f>
        <v>NO ATÍPICO</v>
      </c>
      <c r="L3583">
        <f t="shared" si="237"/>
        <v>1184243</v>
      </c>
      <c r="M3583" t="str">
        <f t="shared" si="237"/>
        <v>ASALARIADO</v>
      </c>
      <c r="N3583">
        <f t="shared" si="238"/>
        <v>37</v>
      </c>
      <c r="O3583" s="19" t="str">
        <f t="shared" si="239"/>
        <v>900k–1200k</v>
      </c>
      <c r="P3583" s="19" t="str">
        <f t="shared" si="240"/>
        <v>36-45</v>
      </c>
    </row>
    <row r="3584" spans="1:16" x14ac:dyDescent="0.25">
      <c r="A3584">
        <v>3583</v>
      </c>
      <c r="B3584" t="s">
        <v>15</v>
      </c>
      <c r="C3584">
        <v>1586732.18</v>
      </c>
      <c r="D3584" t="s">
        <v>10</v>
      </c>
      <c r="E3584" t="s">
        <v>11</v>
      </c>
      <c r="F3584" t="s">
        <v>12</v>
      </c>
      <c r="G3584" t="s">
        <v>13</v>
      </c>
      <c r="H3584" t="s">
        <v>13</v>
      </c>
      <c r="I3584">
        <v>70</v>
      </c>
      <c r="J3584" t="str" cm="1">
        <f t="array" ref="J3584">_xlfn.IFS(ISBLANK(C3584),"FALTANTE",ABS((C3584-$W$5)/$X$5)&gt;1.96,"ATÍPICO",ABS((C3584-$W$5)/$X$5)&lt;=1.96,"NO ATÍPICO")</f>
        <v>NO ATÍPICO</v>
      </c>
      <c r="K3584" t="str" cm="1">
        <f t="array" ref="K3584">_xlfn.IFS(ISBLANK(I3584),"FALTANTE",ABS((I3584-$W$8)/$X$8)&gt;1.92,"ATÍPICO",ABS((I3584-$W$8)/$X$8)&lt;=1.92,"NO ATÍPICO")</f>
        <v>ATÍPICO</v>
      </c>
      <c r="L3584">
        <f t="shared" si="237"/>
        <v>1586732.18</v>
      </c>
      <c r="M3584" t="str">
        <f t="shared" si="237"/>
        <v>ASALARIADO</v>
      </c>
      <c r="N3584">
        <f t="shared" si="238"/>
        <v>70</v>
      </c>
      <c r="O3584" s="19" t="str">
        <f t="shared" si="239"/>
        <v>1200k+</v>
      </c>
      <c r="P3584" s="19" t="str">
        <f t="shared" si="240"/>
        <v>56+</v>
      </c>
    </row>
    <row r="3585" spans="1:16" x14ac:dyDescent="0.25">
      <c r="A3585">
        <v>3584</v>
      </c>
      <c r="B3585" t="s">
        <v>9</v>
      </c>
      <c r="C3585">
        <v>100000</v>
      </c>
      <c r="D3585" t="s">
        <v>10</v>
      </c>
      <c r="E3585" t="s">
        <v>16</v>
      </c>
      <c r="F3585" t="s">
        <v>12</v>
      </c>
      <c r="G3585" t="s">
        <v>13</v>
      </c>
      <c r="H3585" t="s">
        <v>12</v>
      </c>
      <c r="I3585">
        <v>41</v>
      </c>
      <c r="J3585" t="str" cm="1">
        <f t="array" ref="J3585">_xlfn.IFS(ISBLANK(C3585),"FALTANTE",ABS((C3585-$W$5)/$X$5)&gt;1.96,"ATÍPICO",ABS((C3585-$W$5)/$X$5)&lt;=1.96,"NO ATÍPICO")</f>
        <v>NO ATÍPICO</v>
      </c>
      <c r="K3585" t="str" cm="1">
        <f t="array" ref="K3585">_xlfn.IFS(ISBLANK(I3585),"FALTANTE",ABS((I3585-$W$8)/$X$8)&gt;1.92,"ATÍPICO",ABS((I3585-$W$8)/$X$8)&lt;=1.92,"NO ATÍPICO")</f>
        <v>NO ATÍPICO</v>
      </c>
      <c r="L3585">
        <f t="shared" si="237"/>
        <v>100000</v>
      </c>
      <c r="M3585" t="str">
        <f t="shared" si="237"/>
        <v>ASALARIADO</v>
      </c>
      <c r="N3585">
        <f t="shared" si="238"/>
        <v>41</v>
      </c>
      <c r="O3585" s="19" t="str">
        <f t="shared" si="239"/>
        <v>0–300k</v>
      </c>
      <c r="P3585" s="19" t="str">
        <f t="shared" si="240"/>
        <v>36-45</v>
      </c>
    </row>
    <row r="3586" spans="1:16" x14ac:dyDescent="0.25">
      <c r="A3586">
        <v>3585</v>
      </c>
      <c r="B3586" t="s">
        <v>9</v>
      </c>
      <c r="C3586">
        <v>1198242.1599999999</v>
      </c>
      <c r="D3586" t="s">
        <v>10</v>
      </c>
      <c r="E3586" t="s">
        <v>16</v>
      </c>
      <c r="F3586" t="s">
        <v>12</v>
      </c>
      <c r="G3586" t="s">
        <v>13</v>
      </c>
      <c r="H3586" t="s">
        <v>13</v>
      </c>
      <c r="I3586">
        <v>28</v>
      </c>
      <c r="J3586" t="str" cm="1">
        <f t="array" ref="J3586">_xlfn.IFS(ISBLANK(C3586),"FALTANTE",ABS((C3586-$W$5)/$X$5)&gt;1.96,"ATÍPICO",ABS((C3586-$W$5)/$X$5)&lt;=1.96,"NO ATÍPICO")</f>
        <v>NO ATÍPICO</v>
      </c>
      <c r="K3586" t="str" cm="1">
        <f t="array" ref="K3586">_xlfn.IFS(ISBLANK(I3586),"FALTANTE",ABS((I3586-$W$8)/$X$8)&gt;1.92,"ATÍPICO",ABS((I3586-$W$8)/$X$8)&lt;=1.92,"NO ATÍPICO")</f>
        <v>NO ATÍPICO</v>
      </c>
      <c r="L3586">
        <f t="shared" ref="L3586:M3649" si="241">C3586</f>
        <v>1198242.1599999999</v>
      </c>
      <c r="M3586" t="str">
        <f t="shared" si="241"/>
        <v>ASALARIADO</v>
      </c>
      <c r="N3586">
        <f t="shared" ref="N3586:N3649" si="242">I3586</f>
        <v>28</v>
      </c>
      <c r="O3586" s="19" t="str">
        <f t="shared" ref="O3586:O3649" si="243">IF(L3586&lt;=300000,"0–300k",IF(L3586&lt;=600000,"300k–600k",IF(L3586&lt;=900000,"600k–900k",IF(L3586&lt;=1200000,"900k–1200k","1200k+"))))</f>
        <v>900k–1200k</v>
      </c>
      <c r="P3586" s="19" t="str">
        <f t="shared" ref="P3586:P3649" si="244">IF(N3586 &lt;=25,"18-25", IF(N3586&lt;=35,"26-35", IF(N3586 &lt;=45,"36-45", IF(N3586&lt;=55,"46-55","56+"))))</f>
        <v>26-35</v>
      </c>
    </row>
    <row r="3587" spans="1:16" x14ac:dyDescent="0.25">
      <c r="A3587">
        <v>3586</v>
      </c>
      <c r="B3587" t="s">
        <v>9</v>
      </c>
      <c r="C3587">
        <v>470162.5</v>
      </c>
      <c r="D3587" t="s">
        <v>10</v>
      </c>
      <c r="E3587" t="s">
        <v>16</v>
      </c>
      <c r="F3587" t="s">
        <v>12</v>
      </c>
      <c r="G3587" t="s">
        <v>13</v>
      </c>
      <c r="H3587" t="s">
        <v>13</v>
      </c>
      <c r="I3587">
        <v>43</v>
      </c>
      <c r="J3587" t="str" cm="1">
        <f t="array" ref="J3587">_xlfn.IFS(ISBLANK(C3587),"FALTANTE",ABS((C3587-$W$5)/$X$5)&gt;1.96,"ATÍPICO",ABS((C3587-$W$5)/$X$5)&lt;=1.96,"NO ATÍPICO")</f>
        <v>NO ATÍPICO</v>
      </c>
      <c r="K3587" t="str" cm="1">
        <f t="array" ref="K3587">_xlfn.IFS(ISBLANK(I3587),"FALTANTE",ABS((I3587-$W$8)/$X$8)&gt;1.92,"ATÍPICO",ABS((I3587-$W$8)/$X$8)&lt;=1.92,"NO ATÍPICO")</f>
        <v>NO ATÍPICO</v>
      </c>
      <c r="L3587">
        <f t="shared" si="241"/>
        <v>470162.5</v>
      </c>
      <c r="M3587" t="str">
        <f t="shared" si="241"/>
        <v>ASALARIADO</v>
      </c>
      <c r="N3587">
        <f t="shared" si="242"/>
        <v>43</v>
      </c>
      <c r="O3587" s="19" t="str">
        <f t="shared" si="243"/>
        <v>300k–600k</v>
      </c>
      <c r="P3587" s="19" t="str">
        <f t="shared" si="244"/>
        <v>36-45</v>
      </c>
    </row>
    <row r="3588" spans="1:16" x14ac:dyDescent="0.25">
      <c r="A3588">
        <v>3587</v>
      </c>
      <c r="B3588" t="s">
        <v>9</v>
      </c>
      <c r="C3588">
        <v>300018</v>
      </c>
      <c r="D3588" t="s">
        <v>18</v>
      </c>
      <c r="E3588" t="s">
        <v>16</v>
      </c>
      <c r="F3588" t="s">
        <v>12</v>
      </c>
      <c r="G3588" t="s">
        <v>13</v>
      </c>
      <c r="H3588" t="s">
        <v>12</v>
      </c>
      <c r="I3588">
        <v>51</v>
      </c>
      <c r="J3588" t="str" cm="1">
        <f t="array" ref="J3588">_xlfn.IFS(ISBLANK(C3588),"FALTANTE",ABS((C3588-$W$5)/$X$5)&gt;1.96,"ATÍPICO",ABS((C3588-$W$5)/$X$5)&lt;=1.96,"NO ATÍPICO")</f>
        <v>NO ATÍPICO</v>
      </c>
      <c r="K3588" t="str" cm="1">
        <f t="array" ref="K3588">_xlfn.IFS(ISBLANK(I3588),"FALTANTE",ABS((I3588-$W$8)/$X$8)&gt;1.92,"ATÍPICO",ABS((I3588-$W$8)/$X$8)&lt;=1.92,"NO ATÍPICO")</f>
        <v>NO ATÍPICO</v>
      </c>
      <c r="L3588">
        <f t="shared" si="241"/>
        <v>300018</v>
      </c>
      <c r="M3588" t="str">
        <f t="shared" si="241"/>
        <v>TRABAJADOR INDEPENDIENTE</v>
      </c>
      <c r="N3588">
        <f t="shared" si="242"/>
        <v>51</v>
      </c>
      <c r="O3588" s="19" t="str">
        <f t="shared" si="243"/>
        <v>300k–600k</v>
      </c>
      <c r="P3588" s="19" t="str">
        <f t="shared" si="244"/>
        <v>46-55</v>
      </c>
    </row>
    <row r="3589" spans="1:16" x14ac:dyDescent="0.25">
      <c r="A3589">
        <v>3588</v>
      </c>
      <c r="B3589" t="s">
        <v>15</v>
      </c>
      <c r="C3589">
        <v>671005</v>
      </c>
      <c r="D3589" t="s">
        <v>10</v>
      </c>
      <c r="E3589" t="s">
        <v>16</v>
      </c>
      <c r="F3589" t="s">
        <v>12</v>
      </c>
      <c r="G3589" t="s">
        <v>13</v>
      </c>
      <c r="H3589" t="s">
        <v>12</v>
      </c>
      <c r="I3589">
        <v>30</v>
      </c>
      <c r="J3589" t="str" cm="1">
        <f t="array" ref="J3589">_xlfn.IFS(ISBLANK(C3589),"FALTANTE",ABS((C3589-$W$5)/$X$5)&gt;1.96,"ATÍPICO",ABS((C3589-$W$5)/$X$5)&lt;=1.96,"NO ATÍPICO")</f>
        <v>NO ATÍPICO</v>
      </c>
      <c r="K3589" t="str" cm="1">
        <f t="array" ref="K3589">_xlfn.IFS(ISBLANK(I3589),"FALTANTE",ABS((I3589-$W$8)/$X$8)&gt;1.92,"ATÍPICO",ABS((I3589-$W$8)/$X$8)&lt;=1.92,"NO ATÍPICO")</f>
        <v>NO ATÍPICO</v>
      </c>
      <c r="L3589">
        <f t="shared" si="241"/>
        <v>671005</v>
      </c>
      <c r="M3589" t="str">
        <f t="shared" si="241"/>
        <v>ASALARIADO</v>
      </c>
      <c r="N3589">
        <f t="shared" si="242"/>
        <v>30</v>
      </c>
      <c r="O3589" s="19" t="str">
        <f t="shared" si="243"/>
        <v>600k–900k</v>
      </c>
      <c r="P3589" s="19" t="str">
        <f t="shared" si="244"/>
        <v>26-35</v>
      </c>
    </row>
    <row r="3590" spans="1:16" x14ac:dyDescent="0.25">
      <c r="A3590">
        <v>3589</v>
      </c>
      <c r="B3590" t="s">
        <v>9</v>
      </c>
      <c r="C3590">
        <v>278030</v>
      </c>
      <c r="D3590" t="s">
        <v>19</v>
      </c>
      <c r="E3590" t="s">
        <v>16</v>
      </c>
      <c r="F3590" t="s">
        <v>12</v>
      </c>
      <c r="G3590" t="s">
        <v>13</v>
      </c>
      <c r="H3590" t="s">
        <v>13</v>
      </c>
      <c r="I3590">
        <v>50</v>
      </c>
      <c r="J3590" t="str" cm="1">
        <f t="array" ref="J3590">_xlfn.IFS(ISBLANK(C3590),"FALTANTE",ABS((C3590-$W$5)/$X$5)&gt;1.96,"ATÍPICO",ABS((C3590-$W$5)/$X$5)&lt;=1.96,"NO ATÍPICO")</f>
        <v>NO ATÍPICO</v>
      </c>
      <c r="K3590" t="str" cm="1">
        <f t="array" ref="K3590">_xlfn.IFS(ISBLANK(I3590),"FALTANTE",ABS((I3590-$W$8)/$X$8)&gt;1.92,"ATÍPICO",ABS((I3590-$W$8)/$X$8)&lt;=1.92,"NO ATÍPICO")</f>
        <v>NO ATÍPICO</v>
      </c>
      <c r="L3590">
        <f t="shared" si="241"/>
        <v>278030</v>
      </c>
      <c r="M3590" t="str">
        <f t="shared" si="241"/>
        <v>CONVENIOS ESPECIALES DE TRABAJADORES INDEPENDIENTES</v>
      </c>
      <c r="N3590">
        <f t="shared" si="242"/>
        <v>50</v>
      </c>
      <c r="O3590" s="19" t="str">
        <f t="shared" si="243"/>
        <v>0–300k</v>
      </c>
      <c r="P3590" s="19" t="str">
        <f t="shared" si="244"/>
        <v>46-55</v>
      </c>
    </row>
    <row r="3591" spans="1:16" x14ac:dyDescent="0.25">
      <c r="A3591">
        <v>3590</v>
      </c>
      <c r="B3591" t="s">
        <v>9</v>
      </c>
      <c r="C3591">
        <v>4039119.56</v>
      </c>
      <c r="D3591" t="s">
        <v>10</v>
      </c>
      <c r="E3591" t="s">
        <v>11</v>
      </c>
      <c r="F3591" t="s">
        <v>12</v>
      </c>
      <c r="G3591" t="s">
        <v>13</v>
      </c>
      <c r="H3591" t="s">
        <v>13</v>
      </c>
      <c r="I3591">
        <v>59</v>
      </c>
      <c r="J3591" t="str" cm="1">
        <f t="array" ref="J3591">_xlfn.IFS(ISBLANK(C3591),"FALTANTE",ABS((C3591-$W$5)/$X$5)&gt;1.96,"ATÍPICO",ABS((C3591-$W$5)/$X$5)&lt;=1.96,"NO ATÍPICO")</f>
        <v>ATÍPICO</v>
      </c>
      <c r="K3591" t="str" cm="1">
        <f t="array" ref="K3591">_xlfn.IFS(ISBLANK(I3591),"FALTANTE",ABS((I3591-$W$8)/$X$8)&gt;1.92,"ATÍPICO",ABS((I3591-$W$8)/$X$8)&lt;=1.92,"NO ATÍPICO")</f>
        <v>NO ATÍPICO</v>
      </c>
      <c r="L3591">
        <f t="shared" si="241"/>
        <v>4039119.56</v>
      </c>
      <c r="M3591" t="str">
        <f t="shared" si="241"/>
        <v>ASALARIADO</v>
      </c>
      <c r="N3591">
        <f t="shared" si="242"/>
        <v>59</v>
      </c>
      <c r="O3591" s="19" t="str">
        <f t="shared" si="243"/>
        <v>1200k+</v>
      </c>
      <c r="P3591" s="19" t="str">
        <f t="shared" si="244"/>
        <v>56+</v>
      </c>
    </row>
    <row r="3592" spans="1:16" x14ac:dyDescent="0.25">
      <c r="A3592">
        <v>3591</v>
      </c>
      <c r="B3592" t="s">
        <v>15</v>
      </c>
      <c r="C3592">
        <v>297046</v>
      </c>
      <c r="D3592" t="s">
        <v>17</v>
      </c>
      <c r="E3592" t="s">
        <v>16</v>
      </c>
      <c r="F3592" t="s">
        <v>12</v>
      </c>
      <c r="G3592" t="s">
        <v>13</v>
      </c>
      <c r="H3592" t="s">
        <v>13</v>
      </c>
      <c r="I3592">
        <v>25</v>
      </c>
      <c r="J3592" t="str" cm="1">
        <f t="array" ref="J3592">_xlfn.IFS(ISBLANK(C3592),"FALTANTE",ABS((C3592-$W$5)/$X$5)&gt;1.96,"ATÍPICO",ABS((C3592-$W$5)/$X$5)&lt;=1.96,"NO ATÍPICO")</f>
        <v>NO ATÍPICO</v>
      </c>
      <c r="K3592" t="str" cm="1">
        <f t="array" ref="K3592">_xlfn.IFS(ISBLANK(I3592),"FALTANTE",ABS((I3592-$W$8)/$X$8)&gt;1.92,"ATÍPICO",ABS((I3592-$W$8)/$X$8)&lt;=1.92,"NO ATÍPICO")</f>
        <v>NO ATÍPICO</v>
      </c>
      <c r="L3592">
        <f t="shared" si="241"/>
        <v>297046</v>
      </c>
      <c r="M3592" t="str">
        <f t="shared" si="241"/>
        <v>ASEGURADO VOLUNTARIO</v>
      </c>
      <c r="N3592">
        <f t="shared" si="242"/>
        <v>25</v>
      </c>
      <c r="O3592" s="19" t="str">
        <f t="shared" si="243"/>
        <v>0–300k</v>
      </c>
      <c r="P3592" s="19" t="str">
        <f t="shared" si="244"/>
        <v>18-25</v>
      </c>
    </row>
    <row r="3593" spans="1:16" x14ac:dyDescent="0.25">
      <c r="A3593">
        <v>3592</v>
      </c>
      <c r="B3593" t="s">
        <v>9</v>
      </c>
      <c r="C3593">
        <v>9720000</v>
      </c>
      <c r="D3593" t="s">
        <v>10</v>
      </c>
      <c r="E3593" t="s">
        <v>16</v>
      </c>
      <c r="F3593" t="s">
        <v>12</v>
      </c>
      <c r="G3593" t="s">
        <v>12</v>
      </c>
      <c r="H3593" t="s">
        <v>13</v>
      </c>
      <c r="I3593">
        <v>38</v>
      </c>
      <c r="J3593" t="str" cm="1">
        <f t="array" ref="J3593">_xlfn.IFS(ISBLANK(C3593),"FALTANTE",ABS((C3593-$W$5)/$X$5)&gt;1.96,"ATÍPICO",ABS((C3593-$W$5)/$X$5)&lt;=1.96,"NO ATÍPICO")</f>
        <v>ATÍPICO</v>
      </c>
      <c r="K3593" t="str" cm="1">
        <f t="array" ref="K3593">_xlfn.IFS(ISBLANK(I3593),"FALTANTE",ABS((I3593-$W$8)/$X$8)&gt;1.92,"ATÍPICO",ABS((I3593-$W$8)/$X$8)&lt;=1.92,"NO ATÍPICO")</f>
        <v>NO ATÍPICO</v>
      </c>
      <c r="L3593">
        <f t="shared" si="241"/>
        <v>9720000</v>
      </c>
      <c r="M3593" t="str">
        <f t="shared" si="241"/>
        <v>ASALARIADO</v>
      </c>
      <c r="N3593">
        <f t="shared" si="242"/>
        <v>38</v>
      </c>
      <c r="O3593" s="19" t="str">
        <f t="shared" si="243"/>
        <v>1200k+</v>
      </c>
      <c r="P3593" s="19" t="str">
        <f t="shared" si="244"/>
        <v>36-45</v>
      </c>
    </row>
    <row r="3594" spans="1:16" x14ac:dyDescent="0.25">
      <c r="A3594">
        <v>3593</v>
      </c>
      <c r="B3594" t="s">
        <v>9</v>
      </c>
      <c r="C3594">
        <v>385347.22</v>
      </c>
      <c r="D3594" t="s">
        <v>10</v>
      </c>
      <c r="E3594" t="s">
        <v>16</v>
      </c>
      <c r="F3594" t="s">
        <v>12</v>
      </c>
      <c r="G3594" t="s">
        <v>13</v>
      </c>
      <c r="H3594" t="s">
        <v>13</v>
      </c>
      <c r="I3594">
        <v>35</v>
      </c>
      <c r="J3594" t="str" cm="1">
        <f t="array" ref="J3594">_xlfn.IFS(ISBLANK(C3594),"FALTANTE",ABS((C3594-$W$5)/$X$5)&gt;1.96,"ATÍPICO",ABS((C3594-$W$5)/$X$5)&lt;=1.96,"NO ATÍPICO")</f>
        <v>NO ATÍPICO</v>
      </c>
      <c r="K3594" t="str" cm="1">
        <f t="array" ref="K3594">_xlfn.IFS(ISBLANK(I3594),"FALTANTE",ABS((I3594-$W$8)/$X$8)&gt;1.92,"ATÍPICO",ABS((I3594-$W$8)/$X$8)&lt;=1.92,"NO ATÍPICO")</f>
        <v>NO ATÍPICO</v>
      </c>
      <c r="L3594">
        <f t="shared" si="241"/>
        <v>385347.22</v>
      </c>
      <c r="M3594" t="str">
        <f t="shared" si="241"/>
        <v>ASALARIADO</v>
      </c>
      <c r="N3594">
        <f t="shared" si="242"/>
        <v>35</v>
      </c>
      <c r="O3594" s="19" t="str">
        <f t="shared" si="243"/>
        <v>300k–600k</v>
      </c>
      <c r="P3594" s="19" t="str">
        <f t="shared" si="244"/>
        <v>26-35</v>
      </c>
    </row>
    <row r="3595" spans="1:16" x14ac:dyDescent="0.25">
      <c r="A3595">
        <v>3594</v>
      </c>
      <c r="B3595" t="s">
        <v>9</v>
      </c>
      <c r="C3595">
        <v>515000</v>
      </c>
      <c r="D3595" t="s">
        <v>10</v>
      </c>
      <c r="E3595" t="s">
        <v>16</v>
      </c>
      <c r="F3595" t="s">
        <v>12</v>
      </c>
      <c r="G3595" t="s">
        <v>13</v>
      </c>
      <c r="H3595" t="s">
        <v>13</v>
      </c>
      <c r="I3595">
        <v>36</v>
      </c>
      <c r="J3595" t="str" cm="1">
        <f t="array" ref="J3595">_xlfn.IFS(ISBLANK(C3595),"FALTANTE",ABS((C3595-$W$5)/$X$5)&gt;1.96,"ATÍPICO",ABS((C3595-$W$5)/$X$5)&lt;=1.96,"NO ATÍPICO")</f>
        <v>NO ATÍPICO</v>
      </c>
      <c r="K3595" t="str" cm="1">
        <f t="array" ref="K3595">_xlfn.IFS(ISBLANK(I3595),"FALTANTE",ABS((I3595-$W$8)/$X$8)&gt;1.92,"ATÍPICO",ABS((I3595-$W$8)/$X$8)&lt;=1.92,"NO ATÍPICO")</f>
        <v>NO ATÍPICO</v>
      </c>
      <c r="L3595">
        <f t="shared" si="241"/>
        <v>515000</v>
      </c>
      <c r="M3595" t="str">
        <f t="shared" si="241"/>
        <v>ASALARIADO</v>
      </c>
      <c r="N3595">
        <f t="shared" si="242"/>
        <v>36</v>
      </c>
      <c r="O3595" s="19" t="str">
        <f t="shared" si="243"/>
        <v>300k–600k</v>
      </c>
      <c r="P3595" s="19" t="str">
        <f t="shared" si="244"/>
        <v>36-45</v>
      </c>
    </row>
    <row r="3596" spans="1:16" x14ac:dyDescent="0.25">
      <c r="A3596">
        <v>3595</v>
      </c>
      <c r="B3596" t="s">
        <v>9</v>
      </c>
      <c r="C3596">
        <v>952625</v>
      </c>
      <c r="D3596" t="s">
        <v>10</v>
      </c>
      <c r="E3596" t="s">
        <v>16</v>
      </c>
      <c r="F3596" t="s">
        <v>12</v>
      </c>
      <c r="G3596" t="s">
        <v>13</v>
      </c>
      <c r="H3596" t="s">
        <v>13</v>
      </c>
      <c r="I3596">
        <v>53</v>
      </c>
      <c r="J3596" t="str" cm="1">
        <f t="array" ref="J3596">_xlfn.IFS(ISBLANK(C3596),"FALTANTE",ABS((C3596-$W$5)/$X$5)&gt;1.96,"ATÍPICO",ABS((C3596-$W$5)/$X$5)&lt;=1.96,"NO ATÍPICO")</f>
        <v>NO ATÍPICO</v>
      </c>
      <c r="K3596" t="str" cm="1">
        <f t="array" ref="K3596">_xlfn.IFS(ISBLANK(I3596),"FALTANTE",ABS((I3596-$W$8)/$X$8)&gt;1.92,"ATÍPICO",ABS((I3596-$W$8)/$X$8)&lt;=1.92,"NO ATÍPICO")</f>
        <v>NO ATÍPICO</v>
      </c>
      <c r="L3596">
        <f t="shared" si="241"/>
        <v>952625</v>
      </c>
      <c r="M3596" t="str">
        <f t="shared" si="241"/>
        <v>ASALARIADO</v>
      </c>
      <c r="N3596">
        <f t="shared" si="242"/>
        <v>53</v>
      </c>
      <c r="O3596" s="19" t="str">
        <f t="shared" si="243"/>
        <v>900k–1200k</v>
      </c>
      <c r="P3596" s="19" t="str">
        <f t="shared" si="244"/>
        <v>46-55</v>
      </c>
    </row>
    <row r="3597" spans="1:16" x14ac:dyDescent="0.25">
      <c r="A3597">
        <v>3596</v>
      </c>
      <c r="B3597" t="s">
        <v>9</v>
      </c>
      <c r="C3597">
        <v>395044.25</v>
      </c>
      <c r="D3597" t="s">
        <v>10</v>
      </c>
      <c r="E3597" t="s">
        <v>11</v>
      </c>
      <c r="F3597" t="s">
        <v>12</v>
      </c>
      <c r="G3597" t="s">
        <v>13</v>
      </c>
      <c r="H3597" t="s">
        <v>13</v>
      </c>
      <c r="I3597">
        <v>56</v>
      </c>
      <c r="J3597" t="str" cm="1">
        <f t="array" ref="J3597">_xlfn.IFS(ISBLANK(C3597),"FALTANTE",ABS((C3597-$W$5)/$X$5)&gt;1.96,"ATÍPICO",ABS((C3597-$W$5)/$X$5)&lt;=1.96,"NO ATÍPICO")</f>
        <v>NO ATÍPICO</v>
      </c>
      <c r="K3597" t="str" cm="1">
        <f t="array" ref="K3597">_xlfn.IFS(ISBLANK(I3597),"FALTANTE",ABS((I3597-$W$8)/$X$8)&gt;1.92,"ATÍPICO",ABS((I3597-$W$8)/$X$8)&lt;=1.92,"NO ATÍPICO")</f>
        <v>NO ATÍPICO</v>
      </c>
      <c r="L3597">
        <f t="shared" si="241"/>
        <v>395044.25</v>
      </c>
      <c r="M3597" t="str">
        <f t="shared" si="241"/>
        <v>ASALARIADO</v>
      </c>
      <c r="N3597">
        <f t="shared" si="242"/>
        <v>56</v>
      </c>
      <c r="O3597" s="19" t="str">
        <f t="shared" si="243"/>
        <v>300k–600k</v>
      </c>
      <c r="P3597" s="19" t="str">
        <f t="shared" si="244"/>
        <v>56+</v>
      </c>
    </row>
    <row r="3598" spans="1:16" x14ac:dyDescent="0.25">
      <c r="A3598">
        <v>3597</v>
      </c>
      <c r="B3598" t="s">
        <v>9</v>
      </c>
      <c r="C3598">
        <v>270000</v>
      </c>
      <c r="D3598" t="s">
        <v>10</v>
      </c>
      <c r="E3598" t="s">
        <v>16</v>
      </c>
      <c r="F3598" t="s">
        <v>12</v>
      </c>
      <c r="G3598" t="s">
        <v>13</v>
      </c>
      <c r="H3598" t="s">
        <v>13</v>
      </c>
      <c r="I3598">
        <v>40</v>
      </c>
      <c r="J3598" t="str" cm="1">
        <f t="array" ref="J3598">_xlfn.IFS(ISBLANK(C3598),"FALTANTE",ABS((C3598-$W$5)/$X$5)&gt;1.96,"ATÍPICO",ABS((C3598-$W$5)/$X$5)&lt;=1.96,"NO ATÍPICO")</f>
        <v>NO ATÍPICO</v>
      </c>
      <c r="K3598" t="str" cm="1">
        <f t="array" ref="K3598">_xlfn.IFS(ISBLANK(I3598),"FALTANTE",ABS((I3598-$W$8)/$X$8)&gt;1.92,"ATÍPICO",ABS((I3598-$W$8)/$X$8)&lt;=1.92,"NO ATÍPICO")</f>
        <v>NO ATÍPICO</v>
      </c>
      <c r="L3598">
        <f t="shared" si="241"/>
        <v>270000</v>
      </c>
      <c r="M3598" t="str">
        <f t="shared" si="241"/>
        <v>ASALARIADO</v>
      </c>
      <c r="N3598">
        <f t="shared" si="242"/>
        <v>40</v>
      </c>
      <c r="O3598" s="19" t="str">
        <f t="shared" si="243"/>
        <v>0–300k</v>
      </c>
      <c r="P3598" s="19" t="str">
        <f t="shared" si="244"/>
        <v>36-45</v>
      </c>
    </row>
    <row r="3599" spans="1:16" x14ac:dyDescent="0.25">
      <c r="A3599">
        <v>3598</v>
      </c>
      <c r="B3599" t="s">
        <v>15</v>
      </c>
      <c r="C3599">
        <v>2586394.5</v>
      </c>
      <c r="D3599" t="s">
        <v>10</v>
      </c>
      <c r="E3599" t="s">
        <v>11</v>
      </c>
      <c r="F3599" t="s">
        <v>12</v>
      </c>
      <c r="G3599" t="s">
        <v>13</v>
      </c>
      <c r="H3599" t="s">
        <v>13</v>
      </c>
      <c r="I3599">
        <v>32</v>
      </c>
      <c r="J3599" t="str" cm="1">
        <f t="array" ref="J3599">_xlfn.IFS(ISBLANK(C3599),"FALTANTE",ABS((C3599-$W$5)/$X$5)&gt;1.96,"ATÍPICO",ABS((C3599-$W$5)/$X$5)&lt;=1.96,"NO ATÍPICO")</f>
        <v>ATÍPICO</v>
      </c>
      <c r="K3599" t="str" cm="1">
        <f t="array" ref="K3599">_xlfn.IFS(ISBLANK(I3599),"FALTANTE",ABS((I3599-$W$8)/$X$8)&gt;1.92,"ATÍPICO",ABS((I3599-$W$8)/$X$8)&lt;=1.92,"NO ATÍPICO")</f>
        <v>NO ATÍPICO</v>
      </c>
      <c r="L3599">
        <f t="shared" si="241"/>
        <v>2586394.5</v>
      </c>
      <c r="M3599" t="str">
        <f t="shared" si="241"/>
        <v>ASALARIADO</v>
      </c>
      <c r="N3599">
        <f t="shared" si="242"/>
        <v>32</v>
      </c>
      <c r="O3599" s="19" t="str">
        <f t="shared" si="243"/>
        <v>1200k+</v>
      </c>
      <c r="P3599" s="19" t="str">
        <f t="shared" si="244"/>
        <v>26-35</v>
      </c>
    </row>
    <row r="3600" spans="1:16" x14ac:dyDescent="0.25">
      <c r="A3600">
        <v>3599</v>
      </c>
      <c r="B3600" t="s">
        <v>9</v>
      </c>
      <c r="C3600">
        <v>302470</v>
      </c>
      <c r="D3600" t="s">
        <v>18</v>
      </c>
      <c r="E3600" t="s">
        <v>16</v>
      </c>
      <c r="F3600" t="s">
        <v>12</v>
      </c>
      <c r="G3600" t="s">
        <v>13</v>
      </c>
      <c r="H3600" t="s">
        <v>13</v>
      </c>
      <c r="I3600">
        <v>53</v>
      </c>
      <c r="J3600" t="str" cm="1">
        <f t="array" ref="J3600">_xlfn.IFS(ISBLANK(C3600),"FALTANTE",ABS((C3600-$W$5)/$X$5)&gt;1.96,"ATÍPICO",ABS((C3600-$W$5)/$X$5)&lt;=1.96,"NO ATÍPICO")</f>
        <v>NO ATÍPICO</v>
      </c>
      <c r="K3600" t="str" cm="1">
        <f t="array" ref="K3600">_xlfn.IFS(ISBLANK(I3600),"FALTANTE",ABS((I3600-$W$8)/$X$8)&gt;1.92,"ATÍPICO",ABS((I3600-$W$8)/$X$8)&lt;=1.92,"NO ATÍPICO")</f>
        <v>NO ATÍPICO</v>
      </c>
      <c r="L3600">
        <f t="shared" si="241"/>
        <v>302470</v>
      </c>
      <c r="M3600" t="str">
        <f t="shared" si="241"/>
        <v>TRABAJADOR INDEPENDIENTE</v>
      </c>
      <c r="N3600">
        <f t="shared" si="242"/>
        <v>53</v>
      </c>
      <c r="O3600" s="19" t="str">
        <f t="shared" si="243"/>
        <v>300k–600k</v>
      </c>
      <c r="P3600" s="19" t="str">
        <f t="shared" si="244"/>
        <v>46-55</v>
      </c>
    </row>
    <row r="3601" spans="1:16" x14ac:dyDescent="0.25">
      <c r="A3601">
        <v>3600</v>
      </c>
      <c r="B3601" t="s">
        <v>15</v>
      </c>
      <c r="C3601">
        <v>731424</v>
      </c>
      <c r="D3601" t="s">
        <v>10</v>
      </c>
      <c r="E3601" t="s">
        <v>11</v>
      </c>
      <c r="F3601" t="s">
        <v>12</v>
      </c>
      <c r="G3601" t="s">
        <v>13</v>
      </c>
      <c r="H3601" t="s">
        <v>12</v>
      </c>
      <c r="I3601">
        <v>28</v>
      </c>
      <c r="J3601" t="str" cm="1">
        <f t="array" ref="J3601">_xlfn.IFS(ISBLANK(C3601),"FALTANTE",ABS((C3601-$W$5)/$X$5)&gt;1.96,"ATÍPICO",ABS((C3601-$W$5)/$X$5)&lt;=1.96,"NO ATÍPICO")</f>
        <v>NO ATÍPICO</v>
      </c>
      <c r="K3601" t="str" cm="1">
        <f t="array" ref="K3601">_xlfn.IFS(ISBLANK(I3601),"FALTANTE",ABS((I3601-$W$8)/$X$8)&gt;1.92,"ATÍPICO",ABS((I3601-$W$8)/$X$8)&lt;=1.92,"NO ATÍPICO")</f>
        <v>NO ATÍPICO</v>
      </c>
      <c r="L3601">
        <f t="shared" si="241"/>
        <v>731424</v>
      </c>
      <c r="M3601" t="str">
        <f t="shared" si="241"/>
        <v>ASALARIADO</v>
      </c>
      <c r="N3601">
        <f t="shared" si="242"/>
        <v>28</v>
      </c>
      <c r="O3601" s="19" t="str">
        <f t="shared" si="243"/>
        <v>600k–900k</v>
      </c>
      <c r="P3601" s="19" t="str">
        <f t="shared" si="244"/>
        <v>26-35</v>
      </c>
    </row>
    <row r="3602" spans="1:16" x14ac:dyDescent="0.25">
      <c r="A3602">
        <v>3601</v>
      </c>
      <c r="B3602" t="s">
        <v>15</v>
      </c>
      <c r="C3602">
        <v>239683.08</v>
      </c>
      <c r="D3602" t="s">
        <v>10</v>
      </c>
      <c r="E3602" t="s">
        <v>16</v>
      </c>
      <c r="F3602" t="s">
        <v>12</v>
      </c>
      <c r="G3602" t="s">
        <v>13</v>
      </c>
      <c r="H3602" t="s">
        <v>13</v>
      </c>
      <c r="I3602">
        <v>38</v>
      </c>
      <c r="J3602" t="str" cm="1">
        <f t="array" ref="J3602">_xlfn.IFS(ISBLANK(C3602),"FALTANTE",ABS((C3602-$W$5)/$X$5)&gt;1.96,"ATÍPICO",ABS((C3602-$W$5)/$X$5)&lt;=1.96,"NO ATÍPICO")</f>
        <v>NO ATÍPICO</v>
      </c>
      <c r="K3602" t="str" cm="1">
        <f t="array" ref="K3602">_xlfn.IFS(ISBLANK(I3602),"FALTANTE",ABS((I3602-$W$8)/$X$8)&gt;1.92,"ATÍPICO",ABS((I3602-$W$8)/$X$8)&lt;=1.92,"NO ATÍPICO")</f>
        <v>NO ATÍPICO</v>
      </c>
      <c r="L3602">
        <f t="shared" si="241"/>
        <v>239683.08</v>
      </c>
      <c r="M3602" t="str">
        <f t="shared" si="241"/>
        <v>ASALARIADO</v>
      </c>
      <c r="N3602">
        <f t="shared" si="242"/>
        <v>38</v>
      </c>
      <c r="O3602" s="19" t="str">
        <f t="shared" si="243"/>
        <v>0–300k</v>
      </c>
      <c r="P3602" s="19" t="str">
        <f t="shared" si="244"/>
        <v>36-45</v>
      </c>
    </row>
    <row r="3603" spans="1:16" x14ac:dyDescent="0.25">
      <c r="A3603">
        <v>3602</v>
      </c>
      <c r="B3603" t="s">
        <v>9</v>
      </c>
      <c r="C3603">
        <v>278030</v>
      </c>
      <c r="D3603" t="s">
        <v>19</v>
      </c>
      <c r="E3603" t="s">
        <v>16</v>
      </c>
      <c r="F3603" t="s">
        <v>12</v>
      </c>
      <c r="G3603" t="s">
        <v>13</v>
      </c>
      <c r="H3603" t="s">
        <v>13</v>
      </c>
      <c r="I3603">
        <v>56</v>
      </c>
      <c r="J3603" t="str" cm="1">
        <f t="array" ref="J3603">_xlfn.IFS(ISBLANK(C3603),"FALTANTE",ABS((C3603-$W$5)/$X$5)&gt;1.96,"ATÍPICO",ABS((C3603-$W$5)/$X$5)&lt;=1.96,"NO ATÍPICO")</f>
        <v>NO ATÍPICO</v>
      </c>
      <c r="K3603" t="str" cm="1">
        <f t="array" ref="K3603">_xlfn.IFS(ISBLANK(I3603),"FALTANTE",ABS((I3603-$W$8)/$X$8)&gt;1.92,"ATÍPICO",ABS((I3603-$W$8)/$X$8)&lt;=1.92,"NO ATÍPICO")</f>
        <v>NO ATÍPICO</v>
      </c>
      <c r="L3603">
        <f t="shared" si="241"/>
        <v>278030</v>
      </c>
      <c r="M3603" t="str">
        <f t="shared" si="241"/>
        <v>CONVENIOS ESPECIALES DE TRABAJADORES INDEPENDIENTES</v>
      </c>
      <c r="N3603">
        <f t="shared" si="242"/>
        <v>56</v>
      </c>
      <c r="O3603" s="19" t="str">
        <f t="shared" si="243"/>
        <v>0–300k</v>
      </c>
      <c r="P3603" s="19" t="str">
        <f t="shared" si="244"/>
        <v>56+</v>
      </c>
    </row>
    <row r="3604" spans="1:16" x14ac:dyDescent="0.25">
      <c r="A3604">
        <v>3603</v>
      </c>
      <c r="B3604" t="s">
        <v>9</v>
      </c>
      <c r="C3604">
        <v>377350.76</v>
      </c>
      <c r="D3604" t="s">
        <v>10</v>
      </c>
      <c r="E3604" t="s">
        <v>16</v>
      </c>
      <c r="F3604" t="s">
        <v>12</v>
      </c>
      <c r="G3604" t="s">
        <v>13</v>
      </c>
      <c r="H3604" t="s">
        <v>13</v>
      </c>
      <c r="I3604">
        <v>35</v>
      </c>
      <c r="J3604" t="str" cm="1">
        <f t="array" ref="J3604">_xlfn.IFS(ISBLANK(C3604),"FALTANTE",ABS((C3604-$W$5)/$X$5)&gt;1.96,"ATÍPICO",ABS((C3604-$W$5)/$X$5)&lt;=1.96,"NO ATÍPICO")</f>
        <v>NO ATÍPICO</v>
      </c>
      <c r="K3604" t="str" cm="1">
        <f t="array" ref="K3604">_xlfn.IFS(ISBLANK(I3604),"FALTANTE",ABS((I3604-$W$8)/$X$8)&gt;1.92,"ATÍPICO",ABS((I3604-$W$8)/$X$8)&lt;=1.92,"NO ATÍPICO")</f>
        <v>NO ATÍPICO</v>
      </c>
      <c r="L3604">
        <f t="shared" si="241"/>
        <v>377350.76</v>
      </c>
      <c r="M3604" t="str">
        <f t="shared" si="241"/>
        <v>ASALARIADO</v>
      </c>
      <c r="N3604">
        <f t="shared" si="242"/>
        <v>35</v>
      </c>
      <c r="O3604" s="19" t="str">
        <f t="shared" si="243"/>
        <v>300k–600k</v>
      </c>
      <c r="P3604" s="19" t="str">
        <f t="shared" si="244"/>
        <v>26-35</v>
      </c>
    </row>
    <row r="3605" spans="1:16" x14ac:dyDescent="0.25">
      <c r="A3605">
        <v>3604</v>
      </c>
      <c r="B3605" t="s">
        <v>15</v>
      </c>
      <c r="C3605">
        <v>297046</v>
      </c>
      <c r="D3605" t="s">
        <v>18</v>
      </c>
      <c r="E3605" t="s">
        <v>16</v>
      </c>
      <c r="F3605" t="s">
        <v>12</v>
      </c>
      <c r="G3605" t="s">
        <v>13</v>
      </c>
      <c r="H3605" t="s">
        <v>12</v>
      </c>
      <c r="I3605">
        <v>38</v>
      </c>
      <c r="J3605" t="str" cm="1">
        <f t="array" ref="J3605">_xlfn.IFS(ISBLANK(C3605),"FALTANTE",ABS((C3605-$W$5)/$X$5)&gt;1.96,"ATÍPICO",ABS((C3605-$W$5)/$X$5)&lt;=1.96,"NO ATÍPICO")</f>
        <v>NO ATÍPICO</v>
      </c>
      <c r="K3605" t="str" cm="1">
        <f t="array" ref="K3605">_xlfn.IFS(ISBLANK(I3605),"FALTANTE",ABS((I3605-$W$8)/$X$8)&gt;1.92,"ATÍPICO",ABS((I3605-$W$8)/$X$8)&lt;=1.92,"NO ATÍPICO")</f>
        <v>NO ATÍPICO</v>
      </c>
      <c r="L3605">
        <f t="shared" si="241"/>
        <v>297046</v>
      </c>
      <c r="M3605" t="str">
        <f t="shared" si="241"/>
        <v>TRABAJADOR INDEPENDIENTE</v>
      </c>
      <c r="N3605">
        <f t="shared" si="242"/>
        <v>38</v>
      </c>
      <c r="O3605" s="19" t="str">
        <f t="shared" si="243"/>
        <v>0–300k</v>
      </c>
      <c r="P3605" s="19" t="str">
        <f t="shared" si="244"/>
        <v>36-45</v>
      </c>
    </row>
    <row r="3606" spans="1:16" x14ac:dyDescent="0.25">
      <c r="A3606">
        <v>3605</v>
      </c>
      <c r="B3606" t="s">
        <v>9</v>
      </c>
      <c r="C3606">
        <v>297046</v>
      </c>
      <c r="D3606" t="s">
        <v>17</v>
      </c>
      <c r="E3606" t="s">
        <v>16</v>
      </c>
      <c r="F3606" t="s">
        <v>12</v>
      </c>
      <c r="G3606" t="s">
        <v>13</v>
      </c>
      <c r="H3606" t="s">
        <v>13</v>
      </c>
      <c r="I3606">
        <v>43</v>
      </c>
      <c r="J3606" t="str" cm="1">
        <f t="array" ref="J3606">_xlfn.IFS(ISBLANK(C3606),"FALTANTE",ABS((C3606-$W$5)/$X$5)&gt;1.96,"ATÍPICO",ABS((C3606-$W$5)/$X$5)&lt;=1.96,"NO ATÍPICO")</f>
        <v>NO ATÍPICO</v>
      </c>
      <c r="K3606" t="str" cm="1">
        <f t="array" ref="K3606">_xlfn.IFS(ISBLANK(I3606),"FALTANTE",ABS((I3606-$W$8)/$X$8)&gt;1.92,"ATÍPICO",ABS((I3606-$W$8)/$X$8)&lt;=1.92,"NO ATÍPICO")</f>
        <v>NO ATÍPICO</v>
      </c>
      <c r="L3606">
        <f t="shared" si="241"/>
        <v>297046</v>
      </c>
      <c r="M3606" t="str">
        <f t="shared" si="241"/>
        <v>ASEGURADO VOLUNTARIO</v>
      </c>
      <c r="N3606">
        <f t="shared" si="242"/>
        <v>43</v>
      </c>
      <c r="O3606" s="19" t="str">
        <f t="shared" si="243"/>
        <v>0–300k</v>
      </c>
      <c r="P3606" s="19" t="str">
        <f t="shared" si="244"/>
        <v>36-45</v>
      </c>
    </row>
    <row r="3607" spans="1:16" x14ac:dyDescent="0.25">
      <c r="A3607">
        <v>3606</v>
      </c>
      <c r="B3607" t="s">
        <v>9</v>
      </c>
      <c r="C3607">
        <v>299441</v>
      </c>
      <c r="D3607" t="s">
        <v>18</v>
      </c>
      <c r="E3607" t="s">
        <v>16</v>
      </c>
      <c r="F3607" t="s">
        <v>12</v>
      </c>
      <c r="G3607" t="s">
        <v>13</v>
      </c>
      <c r="H3607" t="s">
        <v>13</v>
      </c>
      <c r="I3607">
        <v>34</v>
      </c>
      <c r="J3607" t="str" cm="1">
        <f t="array" ref="J3607">_xlfn.IFS(ISBLANK(C3607),"FALTANTE",ABS((C3607-$W$5)/$X$5)&gt;1.96,"ATÍPICO",ABS((C3607-$W$5)/$X$5)&lt;=1.96,"NO ATÍPICO")</f>
        <v>NO ATÍPICO</v>
      </c>
      <c r="K3607" t="str" cm="1">
        <f t="array" ref="K3607">_xlfn.IFS(ISBLANK(I3607),"FALTANTE",ABS((I3607-$W$8)/$X$8)&gt;1.92,"ATÍPICO",ABS((I3607-$W$8)/$X$8)&lt;=1.92,"NO ATÍPICO")</f>
        <v>NO ATÍPICO</v>
      </c>
      <c r="L3607">
        <f t="shared" si="241"/>
        <v>299441</v>
      </c>
      <c r="M3607" t="str">
        <f t="shared" si="241"/>
        <v>TRABAJADOR INDEPENDIENTE</v>
      </c>
      <c r="N3607">
        <f t="shared" si="242"/>
        <v>34</v>
      </c>
      <c r="O3607" s="19" t="str">
        <f t="shared" si="243"/>
        <v>0–300k</v>
      </c>
      <c r="P3607" s="19" t="str">
        <f t="shared" si="244"/>
        <v>26-35</v>
      </c>
    </row>
    <row r="3608" spans="1:16" x14ac:dyDescent="0.25">
      <c r="A3608">
        <v>3607</v>
      </c>
      <c r="B3608" t="s">
        <v>15</v>
      </c>
      <c r="C3608">
        <v>298390</v>
      </c>
      <c r="D3608" t="s">
        <v>17</v>
      </c>
      <c r="E3608" t="s">
        <v>16</v>
      </c>
      <c r="F3608" t="s">
        <v>12</v>
      </c>
      <c r="G3608" t="s">
        <v>13</v>
      </c>
      <c r="H3608" t="s">
        <v>13</v>
      </c>
      <c r="I3608">
        <v>35</v>
      </c>
      <c r="J3608" t="str" cm="1">
        <f t="array" ref="J3608">_xlfn.IFS(ISBLANK(C3608),"FALTANTE",ABS((C3608-$W$5)/$X$5)&gt;1.96,"ATÍPICO",ABS((C3608-$W$5)/$X$5)&lt;=1.96,"NO ATÍPICO")</f>
        <v>NO ATÍPICO</v>
      </c>
      <c r="K3608" t="str" cm="1">
        <f t="array" ref="K3608">_xlfn.IFS(ISBLANK(I3608),"FALTANTE",ABS((I3608-$W$8)/$X$8)&gt;1.92,"ATÍPICO",ABS((I3608-$W$8)/$X$8)&lt;=1.92,"NO ATÍPICO")</f>
        <v>NO ATÍPICO</v>
      </c>
      <c r="L3608">
        <f t="shared" si="241"/>
        <v>298390</v>
      </c>
      <c r="M3608" t="str">
        <f t="shared" si="241"/>
        <v>ASEGURADO VOLUNTARIO</v>
      </c>
      <c r="N3608">
        <f t="shared" si="242"/>
        <v>35</v>
      </c>
      <c r="O3608" s="19" t="str">
        <f t="shared" si="243"/>
        <v>0–300k</v>
      </c>
      <c r="P3608" s="19" t="str">
        <f t="shared" si="244"/>
        <v>26-35</v>
      </c>
    </row>
    <row r="3609" spans="1:16" x14ac:dyDescent="0.25">
      <c r="A3609">
        <v>3608</v>
      </c>
      <c r="B3609" t="s">
        <v>15</v>
      </c>
      <c r="C3609">
        <v>774085</v>
      </c>
      <c r="D3609" t="s">
        <v>10</v>
      </c>
      <c r="E3609" t="s">
        <v>16</v>
      </c>
      <c r="F3609" t="s">
        <v>12</v>
      </c>
      <c r="G3609" t="s">
        <v>13</v>
      </c>
      <c r="H3609" t="s">
        <v>13</v>
      </c>
      <c r="I3609">
        <v>48</v>
      </c>
      <c r="J3609" t="str" cm="1">
        <f t="array" ref="J3609">_xlfn.IFS(ISBLANK(C3609),"FALTANTE",ABS((C3609-$W$5)/$X$5)&gt;1.96,"ATÍPICO",ABS((C3609-$W$5)/$X$5)&lt;=1.96,"NO ATÍPICO")</f>
        <v>NO ATÍPICO</v>
      </c>
      <c r="K3609" t="str" cm="1">
        <f t="array" ref="K3609">_xlfn.IFS(ISBLANK(I3609),"FALTANTE",ABS((I3609-$W$8)/$X$8)&gt;1.92,"ATÍPICO",ABS((I3609-$W$8)/$X$8)&lt;=1.92,"NO ATÍPICO")</f>
        <v>NO ATÍPICO</v>
      </c>
      <c r="L3609">
        <f t="shared" si="241"/>
        <v>774085</v>
      </c>
      <c r="M3609" t="str">
        <f t="shared" si="241"/>
        <v>ASALARIADO</v>
      </c>
      <c r="N3609">
        <f t="shared" si="242"/>
        <v>48</v>
      </c>
      <c r="O3609" s="19" t="str">
        <f t="shared" si="243"/>
        <v>600k–900k</v>
      </c>
      <c r="P3609" s="19" t="str">
        <f t="shared" si="244"/>
        <v>46-55</v>
      </c>
    </row>
    <row r="3610" spans="1:16" x14ac:dyDescent="0.25">
      <c r="A3610">
        <v>3609</v>
      </c>
      <c r="B3610" t="s">
        <v>15</v>
      </c>
      <c r="C3610">
        <v>297502</v>
      </c>
      <c r="D3610" t="s">
        <v>17</v>
      </c>
      <c r="E3610" t="s">
        <v>16</v>
      </c>
      <c r="F3610" t="s">
        <v>12</v>
      </c>
      <c r="G3610" t="s">
        <v>13</v>
      </c>
      <c r="H3610" t="s">
        <v>13</v>
      </c>
      <c r="I3610">
        <v>26</v>
      </c>
      <c r="J3610" t="str" cm="1">
        <f t="array" ref="J3610">_xlfn.IFS(ISBLANK(C3610),"FALTANTE",ABS((C3610-$W$5)/$X$5)&gt;1.96,"ATÍPICO",ABS((C3610-$W$5)/$X$5)&lt;=1.96,"NO ATÍPICO")</f>
        <v>NO ATÍPICO</v>
      </c>
      <c r="K3610" t="str" cm="1">
        <f t="array" ref="K3610">_xlfn.IFS(ISBLANK(I3610),"FALTANTE",ABS((I3610-$W$8)/$X$8)&gt;1.92,"ATÍPICO",ABS((I3610-$W$8)/$X$8)&lt;=1.92,"NO ATÍPICO")</f>
        <v>NO ATÍPICO</v>
      </c>
      <c r="L3610">
        <f t="shared" si="241"/>
        <v>297502</v>
      </c>
      <c r="M3610" t="str">
        <f t="shared" si="241"/>
        <v>ASEGURADO VOLUNTARIO</v>
      </c>
      <c r="N3610">
        <f t="shared" si="242"/>
        <v>26</v>
      </c>
      <c r="O3610" s="19" t="str">
        <f t="shared" si="243"/>
        <v>0–300k</v>
      </c>
      <c r="P3610" s="19" t="str">
        <f t="shared" si="244"/>
        <v>26-35</v>
      </c>
    </row>
    <row r="3611" spans="1:16" x14ac:dyDescent="0.25">
      <c r="A3611">
        <v>3610</v>
      </c>
      <c r="B3611" t="s">
        <v>15</v>
      </c>
      <c r="C3611">
        <v>224002.5</v>
      </c>
      <c r="D3611" t="s">
        <v>10</v>
      </c>
      <c r="E3611" t="s">
        <v>11</v>
      </c>
      <c r="F3611" t="s">
        <v>12</v>
      </c>
      <c r="G3611" t="s">
        <v>13</v>
      </c>
      <c r="H3611" t="s">
        <v>13</v>
      </c>
      <c r="I3611">
        <v>60</v>
      </c>
      <c r="J3611" t="str" cm="1">
        <f t="array" ref="J3611">_xlfn.IFS(ISBLANK(C3611),"FALTANTE",ABS((C3611-$W$5)/$X$5)&gt;1.96,"ATÍPICO",ABS((C3611-$W$5)/$X$5)&lt;=1.96,"NO ATÍPICO")</f>
        <v>NO ATÍPICO</v>
      </c>
      <c r="K3611" t="str" cm="1">
        <f t="array" ref="K3611">_xlfn.IFS(ISBLANK(I3611),"FALTANTE",ABS((I3611-$W$8)/$X$8)&gt;1.92,"ATÍPICO",ABS((I3611-$W$8)/$X$8)&lt;=1.92,"NO ATÍPICO")</f>
        <v>NO ATÍPICO</v>
      </c>
      <c r="L3611">
        <f t="shared" si="241"/>
        <v>224002.5</v>
      </c>
      <c r="M3611" t="str">
        <f t="shared" si="241"/>
        <v>ASALARIADO</v>
      </c>
      <c r="N3611">
        <f t="shared" si="242"/>
        <v>60</v>
      </c>
      <c r="O3611" s="19" t="str">
        <f t="shared" si="243"/>
        <v>0–300k</v>
      </c>
      <c r="P3611" s="19" t="str">
        <f t="shared" si="244"/>
        <v>56+</v>
      </c>
    </row>
    <row r="3612" spans="1:16" x14ac:dyDescent="0.25">
      <c r="A3612">
        <v>3611</v>
      </c>
      <c r="B3612" t="s">
        <v>9</v>
      </c>
      <c r="C3612">
        <v>445567</v>
      </c>
      <c r="D3612" t="s">
        <v>18</v>
      </c>
      <c r="E3612" t="s">
        <v>16</v>
      </c>
      <c r="F3612" t="s">
        <v>12</v>
      </c>
      <c r="G3612" t="s">
        <v>13</v>
      </c>
      <c r="H3612" t="s">
        <v>13</v>
      </c>
      <c r="I3612">
        <v>47</v>
      </c>
      <c r="J3612" t="str" cm="1">
        <f t="array" ref="J3612">_xlfn.IFS(ISBLANK(C3612),"FALTANTE",ABS((C3612-$W$5)/$X$5)&gt;1.96,"ATÍPICO",ABS((C3612-$W$5)/$X$5)&lt;=1.96,"NO ATÍPICO")</f>
        <v>NO ATÍPICO</v>
      </c>
      <c r="K3612" t="str" cm="1">
        <f t="array" ref="K3612">_xlfn.IFS(ISBLANK(I3612),"FALTANTE",ABS((I3612-$W$8)/$X$8)&gt;1.92,"ATÍPICO",ABS((I3612-$W$8)/$X$8)&lt;=1.92,"NO ATÍPICO")</f>
        <v>NO ATÍPICO</v>
      </c>
      <c r="L3612">
        <f t="shared" si="241"/>
        <v>445567</v>
      </c>
      <c r="M3612" t="str">
        <f t="shared" si="241"/>
        <v>TRABAJADOR INDEPENDIENTE</v>
      </c>
      <c r="N3612">
        <f t="shared" si="242"/>
        <v>47</v>
      </c>
      <c r="O3612" s="19" t="str">
        <f t="shared" si="243"/>
        <v>300k–600k</v>
      </c>
      <c r="P3612" s="19" t="str">
        <f t="shared" si="244"/>
        <v>46-55</v>
      </c>
    </row>
    <row r="3613" spans="1:16" x14ac:dyDescent="0.25">
      <c r="A3613">
        <v>3612</v>
      </c>
      <c r="B3613" t="s">
        <v>9</v>
      </c>
      <c r="C3613">
        <v>297058</v>
      </c>
      <c r="D3613" t="s">
        <v>18</v>
      </c>
      <c r="E3613" t="s">
        <v>16</v>
      </c>
      <c r="F3613" t="s">
        <v>12</v>
      </c>
      <c r="G3613" t="s">
        <v>13</v>
      </c>
      <c r="H3613" t="s">
        <v>13</v>
      </c>
      <c r="I3613">
        <v>53</v>
      </c>
      <c r="J3613" t="str" cm="1">
        <f t="array" ref="J3613">_xlfn.IFS(ISBLANK(C3613),"FALTANTE",ABS((C3613-$W$5)/$X$5)&gt;1.96,"ATÍPICO",ABS((C3613-$W$5)/$X$5)&lt;=1.96,"NO ATÍPICO")</f>
        <v>NO ATÍPICO</v>
      </c>
      <c r="K3613" t="str" cm="1">
        <f t="array" ref="K3613">_xlfn.IFS(ISBLANK(I3613),"FALTANTE",ABS((I3613-$W$8)/$X$8)&gt;1.92,"ATÍPICO",ABS((I3613-$W$8)/$X$8)&lt;=1.92,"NO ATÍPICO")</f>
        <v>NO ATÍPICO</v>
      </c>
      <c r="L3613">
        <f t="shared" si="241"/>
        <v>297058</v>
      </c>
      <c r="M3613" t="str">
        <f t="shared" si="241"/>
        <v>TRABAJADOR INDEPENDIENTE</v>
      </c>
      <c r="N3613">
        <f t="shared" si="242"/>
        <v>53</v>
      </c>
      <c r="O3613" s="19" t="str">
        <f t="shared" si="243"/>
        <v>0–300k</v>
      </c>
      <c r="P3613" s="19" t="str">
        <f t="shared" si="244"/>
        <v>46-55</v>
      </c>
    </row>
    <row r="3614" spans="1:16" x14ac:dyDescent="0.25">
      <c r="A3614">
        <v>3613</v>
      </c>
      <c r="B3614" t="s">
        <v>9</v>
      </c>
      <c r="C3614">
        <v>200000</v>
      </c>
      <c r="D3614" t="s">
        <v>10</v>
      </c>
      <c r="E3614" t="s">
        <v>16</v>
      </c>
      <c r="F3614" t="s">
        <v>12</v>
      </c>
      <c r="G3614" t="s">
        <v>13</v>
      </c>
      <c r="H3614" t="s">
        <v>13</v>
      </c>
      <c r="I3614">
        <v>30</v>
      </c>
      <c r="J3614" t="str" cm="1">
        <f t="array" ref="J3614">_xlfn.IFS(ISBLANK(C3614),"FALTANTE",ABS((C3614-$W$5)/$X$5)&gt;1.96,"ATÍPICO",ABS((C3614-$W$5)/$X$5)&lt;=1.96,"NO ATÍPICO")</f>
        <v>NO ATÍPICO</v>
      </c>
      <c r="K3614" t="str" cm="1">
        <f t="array" ref="K3614">_xlfn.IFS(ISBLANK(I3614),"FALTANTE",ABS((I3614-$W$8)/$X$8)&gt;1.92,"ATÍPICO",ABS((I3614-$W$8)/$X$8)&lt;=1.92,"NO ATÍPICO")</f>
        <v>NO ATÍPICO</v>
      </c>
      <c r="L3614">
        <f t="shared" si="241"/>
        <v>200000</v>
      </c>
      <c r="M3614" t="str">
        <f t="shared" si="241"/>
        <v>ASALARIADO</v>
      </c>
      <c r="N3614">
        <f t="shared" si="242"/>
        <v>30</v>
      </c>
      <c r="O3614" s="19" t="str">
        <f t="shared" si="243"/>
        <v>0–300k</v>
      </c>
      <c r="P3614" s="19" t="str">
        <f t="shared" si="244"/>
        <v>26-35</v>
      </c>
    </row>
    <row r="3615" spans="1:16" x14ac:dyDescent="0.25">
      <c r="A3615">
        <v>3614</v>
      </c>
      <c r="B3615" t="s">
        <v>9</v>
      </c>
      <c r="C3615">
        <v>283803.05</v>
      </c>
      <c r="D3615" t="s">
        <v>10</v>
      </c>
      <c r="E3615" t="s">
        <v>16</v>
      </c>
      <c r="F3615" t="s">
        <v>12</v>
      </c>
      <c r="G3615" t="s">
        <v>13</v>
      </c>
      <c r="H3615" t="s">
        <v>13</v>
      </c>
      <c r="I3615">
        <v>19</v>
      </c>
      <c r="J3615" t="str" cm="1">
        <f t="array" ref="J3615">_xlfn.IFS(ISBLANK(C3615),"FALTANTE",ABS((C3615-$W$5)/$X$5)&gt;1.96,"ATÍPICO",ABS((C3615-$W$5)/$X$5)&lt;=1.96,"NO ATÍPICO")</f>
        <v>NO ATÍPICO</v>
      </c>
      <c r="K3615" t="str" cm="1">
        <f t="array" ref="K3615">_xlfn.IFS(ISBLANK(I3615),"FALTANTE",ABS((I3615-$W$8)/$X$8)&gt;1.92,"ATÍPICO",ABS((I3615-$W$8)/$X$8)&lt;=1.92,"NO ATÍPICO")</f>
        <v>NO ATÍPICO</v>
      </c>
      <c r="L3615">
        <f t="shared" si="241"/>
        <v>283803.05</v>
      </c>
      <c r="M3615" t="str">
        <f t="shared" si="241"/>
        <v>ASALARIADO</v>
      </c>
      <c r="N3615">
        <f t="shared" si="242"/>
        <v>19</v>
      </c>
      <c r="O3615" s="19" t="str">
        <f t="shared" si="243"/>
        <v>0–300k</v>
      </c>
      <c r="P3615" s="19" t="str">
        <f t="shared" si="244"/>
        <v>18-25</v>
      </c>
    </row>
    <row r="3616" spans="1:16" x14ac:dyDescent="0.25">
      <c r="A3616">
        <v>3615</v>
      </c>
      <c r="B3616" t="s">
        <v>9</v>
      </c>
      <c r="C3616">
        <v>361590.25</v>
      </c>
      <c r="D3616" t="s">
        <v>10</v>
      </c>
      <c r="E3616" t="s">
        <v>16</v>
      </c>
      <c r="F3616" t="s">
        <v>12</v>
      </c>
      <c r="G3616" t="s">
        <v>13</v>
      </c>
      <c r="H3616" t="s">
        <v>13</v>
      </c>
      <c r="I3616">
        <v>32</v>
      </c>
      <c r="J3616" t="str" cm="1">
        <f t="array" ref="J3616">_xlfn.IFS(ISBLANK(C3616),"FALTANTE",ABS((C3616-$W$5)/$X$5)&gt;1.96,"ATÍPICO",ABS((C3616-$W$5)/$X$5)&lt;=1.96,"NO ATÍPICO")</f>
        <v>NO ATÍPICO</v>
      </c>
      <c r="K3616" t="str" cm="1">
        <f t="array" ref="K3616">_xlfn.IFS(ISBLANK(I3616),"FALTANTE",ABS((I3616-$W$8)/$X$8)&gt;1.92,"ATÍPICO",ABS((I3616-$W$8)/$X$8)&lt;=1.92,"NO ATÍPICO")</f>
        <v>NO ATÍPICO</v>
      </c>
      <c r="L3616">
        <f t="shared" si="241"/>
        <v>361590.25</v>
      </c>
      <c r="M3616" t="str">
        <f t="shared" si="241"/>
        <v>ASALARIADO</v>
      </c>
      <c r="N3616">
        <f t="shared" si="242"/>
        <v>32</v>
      </c>
      <c r="O3616" s="19" t="str">
        <f t="shared" si="243"/>
        <v>300k–600k</v>
      </c>
      <c r="P3616" s="19" t="str">
        <f t="shared" si="244"/>
        <v>26-35</v>
      </c>
    </row>
    <row r="3617" spans="1:16" x14ac:dyDescent="0.25">
      <c r="A3617">
        <v>3616</v>
      </c>
      <c r="B3617" t="s">
        <v>9</v>
      </c>
      <c r="C3617">
        <v>620412.30000000005</v>
      </c>
      <c r="D3617" t="s">
        <v>10</v>
      </c>
      <c r="E3617" t="s">
        <v>11</v>
      </c>
      <c r="F3617" t="s">
        <v>12</v>
      </c>
      <c r="G3617" t="s">
        <v>13</v>
      </c>
      <c r="H3617" t="s">
        <v>13</v>
      </c>
      <c r="I3617">
        <v>54</v>
      </c>
      <c r="J3617" t="str" cm="1">
        <f t="array" ref="J3617">_xlfn.IFS(ISBLANK(C3617),"FALTANTE",ABS((C3617-$W$5)/$X$5)&gt;1.96,"ATÍPICO",ABS((C3617-$W$5)/$X$5)&lt;=1.96,"NO ATÍPICO")</f>
        <v>NO ATÍPICO</v>
      </c>
      <c r="K3617" t="str" cm="1">
        <f t="array" ref="K3617">_xlfn.IFS(ISBLANK(I3617),"FALTANTE",ABS((I3617-$W$8)/$X$8)&gt;1.92,"ATÍPICO",ABS((I3617-$W$8)/$X$8)&lt;=1.92,"NO ATÍPICO")</f>
        <v>NO ATÍPICO</v>
      </c>
      <c r="L3617">
        <f t="shared" si="241"/>
        <v>620412.30000000005</v>
      </c>
      <c r="M3617" t="str">
        <f t="shared" si="241"/>
        <v>ASALARIADO</v>
      </c>
      <c r="N3617">
        <f t="shared" si="242"/>
        <v>54</v>
      </c>
      <c r="O3617" s="19" t="str">
        <f t="shared" si="243"/>
        <v>600k–900k</v>
      </c>
      <c r="P3617" s="19" t="str">
        <f t="shared" si="244"/>
        <v>46-55</v>
      </c>
    </row>
    <row r="3618" spans="1:16" x14ac:dyDescent="0.25">
      <c r="A3618">
        <v>3617</v>
      </c>
      <c r="B3618" t="s">
        <v>9</v>
      </c>
      <c r="C3618">
        <v>278000</v>
      </c>
      <c r="D3618" t="s">
        <v>10</v>
      </c>
      <c r="E3618" t="s">
        <v>16</v>
      </c>
      <c r="F3618" t="s">
        <v>12</v>
      </c>
      <c r="G3618" t="s">
        <v>12</v>
      </c>
      <c r="H3618" t="s">
        <v>12</v>
      </c>
      <c r="I3618">
        <v>37</v>
      </c>
      <c r="J3618" t="str" cm="1">
        <f t="array" ref="J3618">_xlfn.IFS(ISBLANK(C3618),"FALTANTE",ABS((C3618-$W$5)/$X$5)&gt;1.96,"ATÍPICO",ABS((C3618-$W$5)/$X$5)&lt;=1.96,"NO ATÍPICO")</f>
        <v>NO ATÍPICO</v>
      </c>
      <c r="K3618" t="str" cm="1">
        <f t="array" ref="K3618">_xlfn.IFS(ISBLANK(I3618),"FALTANTE",ABS((I3618-$W$8)/$X$8)&gt;1.92,"ATÍPICO",ABS((I3618-$W$8)/$X$8)&lt;=1.92,"NO ATÍPICO")</f>
        <v>NO ATÍPICO</v>
      </c>
      <c r="L3618">
        <f t="shared" si="241"/>
        <v>278000</v>
      </c>
      <c r="M3618" t="str">
        <f t="shared" si="241"/>
        <v>ASALARIADO</v>
      </c>
      <c r="N3618">
        <f t="shared" si="242"/>
        <v>37</v>
      </c>
      <c r="O3618" s="19" t="str">
        <f t="shared" si="243"/>
        <v>0–300k</v>
      </c>
      <c r="P3618" s="19" t="str">
        <f t="shared" si="244"/>
        <v>36-45</v>
      </c>
    </row>
    <row r="3619" spans="1:16" x14ac:dyDescent="0.25">
      <c r="A3619">
        <v>3618</v>
      </c>
      <c r="B3619" t="s">
        <v>9</v>
      </c>
      <c r="C3619">
        <v>492250.24</v>
      </c>
      <c r="D3619" t="s">
        <v>10</v>
      </c>
      <c r="E3619" t="s">
        <v>16</v>
      </c>
      <c r="F3619" t="s">
        <v>12</v>
      </c>
      <c r="G3619" t="s">
        <v>13</v>
      </c>
      <c r="H3619" t="s">
        <v>13</v>
      </c>
      <c r="I3619">
        <v>39</v>
      </c>
      <c r="J3619" t="str" cm="1">
        <f t="array" ref="J3619">_xlfn.IFS(ISBLANK(C3619),"FALTANTE",ABS((C3619-$W$5)/$X$5)&gt;1.96,"ATÍPICO",ABS((C3619-$W$5)/$X$5)&lt;=1.96,"NO ATÍPICO")</f>
        <v>NO ATÍPICO</v>
      </c>
      <c r="K3619" t="str" cm="1">
        <f t="array" ref="K3619">_xlfn.IFS(ISBLANK(I3619),"FALTANTE",ABS((I3619-$W$8)/$X$8)&gt;1.92,"ATÍPICO",ABS((I3619-$W$8)/$X$8)&lt;=1.92,"NO ATÍPICO")</f>
        <v>NO ATÍPICO</v>
      </c>
      <c r="L3619">
        <f t="shared" si="241"/>
        <v>492250.24</v>
      </c>
      <c r="M3619" t="str">
        <f t="shared" si="241"/>
        <v>ASALARIADO</v>
      </c>
      <c r="N3619">
        <f t="shared" si="242"/>
        <v>39</v>
      </c>
      <c r="O3619" s="19" t="str">
        <f t="shared" si="243"/>
        <v>300k–600k</v>
      </c>
      <c r="P3619" s="19" t="str">
        <f t="shared" si="244"/>
        <v>36-45</v>
      </c>
    </row>
    <row r="3620" spans="1:16" x14ac:dyDescent="0.25">
      <c r="A3620">
        <v>3619</v>
      </c>
      <c r="B3620" t="s">
        <v>15</v>
      </c>
      <c r="C3620">
        <v>297046</v>
      </c>
      <c r="D3620" t="s">
        <v>18</v>
      </c>
      <c r="E3620" t="s">
        <v>16</v>
      </c>
      <c r="F3620" t="s">
        <v>12</v>
      </c>
      <c r="G3620" t="s">
        <v>13</v>
      </c>
      <c r="H3620" t="s">
        <v>12</v>
      </c>
      <c r="I3620">
        <v>53</v>
      </c>
      <c r="J3620" t="str" cm="1">
        <f t="array" ref="J3620">_xlfn.IFS(ISBLANK(C3620),"FALTANTE",ABS((C3620-$W$5)/$X$5)&gt;1.96,"ATÍPICO",ABS((C3620-$W$5)/$X$5)&lt;=1.96,"NO ATÍPICO")</f>
        <v>NO ATÍPICO</v>
      </c>
      <c r="K3620" t="str" cm="1">
        <f t="array" ref="K3620">_xlfn.IFS(ISBLANK(I3620),"FALTANTE",ABS((I3620-$W$8)/$X$8)&gt;1.92,"ATÍPICO",ABS((I3620-$W$8)/$X$8)&lt;=1.92,"NO ATÍPICO")</f>
        <v>NO ATÍPICO</v>
      </c>
      <c r="L3620">
        <f t="shared" si="241"/>
        <v>297046</v>
      </c>
      <c r="M3620" t="str">
        <f t="shared" si="241"/>
        <v>TRABAJADOR INDEPENDIENTE</v>
      </c>
      <c r="N3620">
        <f t="shared" si="242"/>
        <v>53</v>
      </c>
      <c r="O3620" s="19" t="str">
        <f t="shared" si="243"/>
        <v>0–300k</v>
      </c>
      <c r="P3620" s="19" t="str">
        <f t="shared" si="244"/>
        <v>46-55</v>
      </c>
    </row>
    <row r="3621" spans="1:16" x14ac:dyDescent="0.25">
      <c r="A3621">
        <v>3620</v>
      </c>
      <c r="B3621" t="s">
        <v>9</v>
      </c>
      <c r="C3621">
        <v>1396054.5</v>
      </c>
      <c r="D3621" t="s">
        <v>10</v>
      </c>
      <c r="E3621" t="s">
        <v>11</v>
      </c>
      <c r="F3621" t="s">
        <v>12</v>
      </c>
      <c r="G3621" t="s">
        <v>13</v>
      </c>
      <c r="H3621" t="s">
        <v>13</v>
      </c>
      <c r="I3621">
        <v>40</v>
      </c>
      <c r="J3621" t="str" cm="1">
        <f t="array" ref="J3621">_xlfn.IFS(ISBLANK(C3621),"FALTANTE",ABS((C3621-$W$5)/$X$5)&gt;1.96,"ATÍPICO",ABS((C3621-$W$5)/$X$5)&lt;=1.96,"NO ATÍPICO")</f>
        <v>NO ATÍPICO</v>
      </c>
      <c r="K3621" t="str" cm="1">
        <f t="array" ref="K3621">_xlfn.IFS(ISBLANK(I3621),"FALTANTE",ABS((I3621-$W$8)/$X$8)&gt;1.92,"ATÍPICO",ABS((I3621-$W$8)/$X$8)&lt;=1.92,"NO ATÍPICO")</f>
        <v>NO ATÍPICO</v>
      </c>
      <c r="L3621">
        <f t="shared" si="241"/>
        <v>1396054.5</v>
      </c>
      <c r="M3621" t="str">
        <f t="shared" si="241"/>
        <v>ASALARIADO</v>
      </c>
      <c r="N3621">
        <f t="shared" si="242"/>
        <v>40</v>
      </c>
      <c r="O3621" s="19" t="str">
        <f t="shared" si="243"/>
        <v>1200k+</v>
      </c>
      <c r="P3621" s="19" t="str">
        <f t="shared" si="244"/>
        <v>36-45</v>
      </c>
    </row>
    <row r="3622" spans="1:16" x14ac:dyDescent="0.25">
      <c r="A3622">
        <v>3621</v>
      </c>
      <c r="B3622" t="s">
        <v>15</v>
      </c>
      <c r="C3622">
        <v>604940</v>
      </c>
      <c r="D3622" t="s">
        <v>18</v>
      </c>
      <c r="E3622" t="s">
        <v>16</v>
      </c>
      <c r="F3622" t="s">
        <v>12</v>
      </c>
      <c r="G3622" t="s">
        <v>13</v>
      </c>
      <c r="H3622" t="s">
        <v>13</v>
      </c>
      <c r="I3622">
        <v>30</v>
      </c>
      <c r="J3622" t="str" cm="1">
        <f t="array" ref="J3622">_xlfn.IFS(ISBLANK(C3622),"FALTANTE",ABS((C3622-$W$5)/$X$5)&gt;1.96,"ATÍPICO",ABS((C3622-$W$5)/$X$5)&lt;=1.96,"NO ATÍPICO")</f>
        <v>NO ATÍPICO</v>
      </c>
      <c r="K3622" t="str" cm="1">
        <f t="array" ref="K3622">_xlfn.IFS(ISBLANK(I3622),"FALTANTE",ABS((I3622-$W$8)/$X$8)&gt;1.92,"ATÍPICO",ABS((I3622-$W$8)/$X$8)&lt;=1.92,"NO ATÍPICO")</f>
        <v>NO ATÍPICO</v>
      </c>
      <c r="L3622">
        <f t="shared" si="241"/>
        <v>604940</v>
      </c>
      <c r="M3622" t="str">
        <f t="shared" si="241"/>
        <v>TRABAJADOR INDEPENDIENTE</v>
      </c>
      <c r="N3622">
        <f t="shared" si="242"/>
        <v>30</v>
      </c>
      <c r="O3622" s="19" t="str">
        <f t="shared" si="243"/>
        <v>600k–900k</v>
      </c>
      <c r="P3622" s="19" t="str">
        <f t="shared" si="244"/>
        <v>26-35</v>
      </c>
    </row>
    <row r="3623" spans="1:16" x14ac:dyDescent="0.25">
      <c r="A3623">
        <v>3622</v>
      </c>
      <c r="B3623" t="s">
        <v>9</v>
      </c>
      <c r="C3623">
        <v>200000</v>
      </c>
      <c r="D3623" t="s">
        <v>10</v>
      </c>
      <c r="E3623" t="s">
        <v>16</v>
      </c>
      <c r="F3623" t="s">
        <v>12</v>
      </c>
      <c r="G3623" t="s">
        <v>13</v>
      </c>
      <c r="H3623" t="s">
        <v>13</v>
      </c>
      <c r="I3623">
        <v>61</v>
      </c>
      <c r="J3623" t="str" cm="1">
        <f t="array" ref="J3623">_xlfn.IFS(ISBLANK(C3623),"FALTANTE",ABS((C3623-$W$5)/$X$5)&gt;1.96,"ATÍPICO",ABS((C3623-$W$5)/$X$5)&lt;=1.96,"NO ATÍPICO")</f>
        <v>NO ATÍPICO</v>
      </c>
      <c r="K3623" t="str" cm="1">
        <f t="array" ref="K3623">_xlfn.IFS(ISBLANK(I3623),"FALTANTE",ABS((I3623-$W$8)/$X$8)&gt;1.92,"ATÍPICO",ABS((I3623-$W$8)/$X$8)&lt;=1.92,"NO ATÍPICO")</f>
        <v>NO ATÍPICO</v>
      </c>
      <c r="L3623">
        <f t="shared" si="241"/>
        <v>200000</v>
      </c>
      <c r="M3623" t="str">
        <f t="shared" si="241"/>
        <v>ASALARIADO</v>
      </c>
      <c r="N3623">
        <f t="shared" si="242"/>
        <v>61</v>
      </c>
      <c r="O3623" s="19" t="str">
        <f t="shared" si="243"/>
        <v>0–300k</v>
      </c>
      <c r="P3623" s="19" t="str">
        <f t="shared" si="244"/>
        <v>56+</v>
      </c>
    </row>
    <row r="3624" spans="1:16" x14ac:dyDescent="0.25">
      <c r="A3624">
        <v>3623</v>
      </c>
      <c r="B3624" t="s">
        <v>15</v>
      </c>
      <c r="C3624">
        <v>592421.67000000004</v>
      </c>
      <c r="D3624" t="s">
        <v>10</v>
      </c>
      <c r="E3624" t="s">
        <v>16</v>
      </c>
      <c r="F3624" t="s">
        <v>12</v>
      </c>
      <c r="G3624" t="s">
        <v>13</v>
      </c>
      <c r="H3624" t="s">
        <v>13</v>
      </c>
      <c r="I3624">
        <v>29</v>
      </c>
      <c r="J3624" t="str" cm="1">
        <f t="array" ref="J3624">_xlfn.IFS(ISBLANK(C3624),"FALTANTE",ABS((C3624-$W$5)/$X$5)&gt;1.96,"ATÍPICO",ABS((C3624-$W$5)/$X$5)&lt;=1.96,"NO ATÍPICO")</f>
        <v>NO ATÍPICO</v>
      </c>
      <c r="K3624" t="str" cm="1">
        <f t="array" ref="K3624">_xlfn.IFS(ISBLANK(I3624),"FALTANTE",ABS((I3624-$W$8)/$X$8)&gt;1.92,"ATÍPICO",ABS((I3624-$W$8)/$X$8)&lt;=1.92,"NO ATÍPICO")</f>
        <v>NO ATÍPICO</v>
      </c>
      <c r="L3624">
        <f t="shared" si="241"/>
        <v>592421.67000000004</v>
      </c>
      <c r="M3624" t="str">
        <f t="shared" si="241"/>
        <v>ASALARIADO</v>
      </c>
      <c r="N3624">
        <f t="shared" si="242"/>
        <v>29</v>
      </c>
      <c r="O3624" s="19" t="str">
        <f t="shared" si="243"/>
        <v>300k–600k</v>
      </c>
      <c r="P3624" s="19" t="str">
        <f t="shared" si="244"/>
        <v>26-35</v>
      </c>
    </row>
    <row r="3625" spans="1:16" x14ac:dyDescent="0.25">
      <c r="A3625">
        <v>3624</v>
      </c>
      <c r="B3625" t="s">
        <v>9</v>
      </c>
      <c r="C3625">
        <v>419680</v>
      </c>
      <c r="D3625" t="s">
        <v>10</v>
      </c>
      <c r="E3625" t="s">
        <v>16</v>
      </c>
      <c r="F3625" t="s">
        <v>12</v>
      </c>
      <c r="G3625" t="s">
        <v>13</v>
      </c>
      <c r="H3625" t="s">
        <v>13</v>
      </c>
      <c r="I3625">
        <v>51</v>
      </c>
      <c r="J3625" t="str" cm="1">
        <f t="array" ref="J3625">_xlfn.IFS(ISBLANK(C3625),"FALTANTE",ABS((C3625-$W$5)/$X$5)&gt;1.96,"ATÍPICO",ABS((C3625-$W$5)/$X$5)&lt;=1.96,"NO ATÍPICO")</f>
        <v>NO ATÍPICO</v>
      </c>
      <c r="K3625" t="str" cm="1">
        <f t="array" ref="K3625">_xlfn.IFS(ISBLANK(I3625),"FALTANTE",ABS((I3625-$W$8)/$X$8)&gt;1.92,"ATÍPICO",ABS((I3625-$W$8)/$X$8)&lt;=1.92,"NO ATÍPICO")</f>
        <v>NO ATÍPICO</v>
      </c>
      <c r="L3625">
        <f t="shared" si="241"/>
        <v>419680</v>
      </c>
      <c r="M3625" t="str">
        <f t="shared" si="241"/>
        <v>ASALARIADO</v>
      </c>
      <c r="N3625">
        <f t="shared" si="242"/>
        <v>51</v>
      </c>
      <c r="O3625" s="19" t="str">
        <f t="shared" si="243"/>
        <v>300k–600k</v>
      </c>
      <c r="P3625" s="19" t="str">
        <f t="shared" si="244"/>
        <v>46-55</v>
      </c>
    </row>
    <row r="3626" spans="1:16" x14ac:dyDescent="0.25">
      <c r="A3626">
        <v>3625</v>
      </c>
      <c r="B3626" t="s">
        <v>9</v>
      </c>
      <c r="C3626">
        <v>2054741</v>
      </c>
      <c r="D3626" t="s">
        <v>10</v>
      </c>
      <c r="E3626" t="s">
        <v>11</v>
      </c>
      <c r="F3626" t="s">
        <v>12</v>
      </c>
      <c r="G3626" t="s">
        <v>13</v>
      </c>
      <c r="H3626" t="s">
        <v>12</v>
      </c>
      <c r="I3626">
        <v>60</v>
      </c>
      <c r="J3626" t="str" cm="1">
        <f t="array" ref="J3626">_xlfn.IFS(ISBLANK(C3626),"FALTANTE",ABS((C3626-$W$5)/$X$5)&gt;1.96,"ATÍPICO",ABS((C3626-$W$5)/$X$5)&lt;=1.96,"NO ATÍPICO")</f>
        <v>NO ATÍPICO</v>
      </c>
      <c r="K3626" t="str" cm="1">
        <f t="array" ref="K3626">_xlfn.IFS(ISBLANK(I3626),"FALTANTE",ABS((I3626-$W$8)/$X$8)&gt;1.92,"ATÍPICO",ABS((I3626-$W$8)/$X$8)&lt;=1.92,"NO ATÍPICO")</f>
        <v>NO ATÍPICO</v>
      </c>
      <c r="L3626">
        <f t="shared" si="241"/>
        <v>2054741</v>
      </c>
      <c r="M3626" t="str">
        <f t="shared" si="241"/>
        <v>ASALARIADO</v>
      </c>
      <c r="N3626">
        <f t="shared" si="242"/>
        <v>60</v>
      </c>
      <c r="O3626" s="19" t="str">
        <f t="shared" si="243"/>
        <v>1200k+</v>
      </c>
      <c r="P3626" s="19" t="str">
        <f t="shared" si="244"/>
        <v>56+</v>
      </c>
    </row>
    <row r="3627" spans="1:16" x14ac:dyDescent="0.25">
      <c r="A3627">
        <v>3626</v>
      </c>
      <c r="B3627" t="s">
        <v>9</v>
      </c>
      <c r="C3627">
        <v>241993.84</v>
      </c>
      <c r="D3627" t="s">
        <v>10</v>
      </c>
      <c r="E3627" t="s">
        <v>11</v>
      </c>
      <c r="F3627" t="s">
        <v>12</v>
      </c>
      <c r="G3627" t="s">
        <v>13</v>
      </c>
      <c r="H3627" t="s">
        <v>13</v>
      </c>
      <c r="I3627">
        <v>36</v>
      </c>
      <c r="J3627" t="str" cm="1">
        <f t="array" ref="J3627">_xlfn.IFS(ISBLANK(C3627),"FALTANTE",ABS((C3627-$W$5)/$X$5)&gt;1.96,"ATÍPICO",ABS((C3627-$W$5)/$X$5)&lt;=1.96,"NO ATÍPICO")</f>
        <v>NO ATÍPICO</v>
      </c>
      <c r="K3627" t="str" cm="1">
        <f t="array" ref="K3627">_xlfn.IFS(ISBLANK(I3627),"FALTANTE",ABS((I3627-$W$8)/$X$8)&gt;1.92,"ATÍPICO",ABS((I3627-$W$8)/$X$8)&lt;=1.92,"NO ATÍPICO")</f>
        <v>NO ATÍPICO</v>
      </c>
      <c r="L3627">
        <f t="shared" si="241"/>
        <v>241993.84</v>
      </c>
      <c r="M3627" t="str">
        <f t="shared" si="241"/>
        <v>ASALARIADO</v>
      </c>
      <c r="N3627">
        <f t="shared" si="242"/>
        <v>36</v>
      </c>
      <c r="O3627" s="19" t="str">
        <f t="shared" si="243"/>
        <v>0–300k</v>
      </c>
      <c r="P3627" s="19" t="str">
        <f t="shared" si="244"/>
        <v>36-45</v>
      </c>
    </row>
    <row r="3628" spans="1:16" x14ac:dyDescent="0.25">
      <c r="A3628">
        <v>3627</v>
      </c>
      <c r="B3628" t="s">
        <v>9</v>
      </c>
      <c r="C3628">
        <v>671573</v>
      </c>
      <c r="D3628" t="s">
        <v>10</v>
      </c>
      <c r="E3628" t="s">
        <v>11</v>
      </c>
      <c r="F3628" t="s">
        <v>12</v>
      </c>
      <c r="G3628" t="s">
        <v>13</v>
      </c>
      <c r="H3628" t="s">
        <v>13</v>
      </c>
      <c r="I3628">
        <v>41</v>
      </c>
      <c r="J3628" t="str" cm="1">
        <f t="array" ref="J3628">_xlfn.IFS(ISBLANK(C3628),"FALTANTE",ABS((C3628-$W$5)/$X$5)&gt;1.96,"ATÍPICO",ABS((C3628-$W$5)/$X$5)&lt;=1.96,"NO ATÍPICO")</f>
        <v>NO ATÍPICO</v>
      </c>
      <c r="K3628" t="str" cm="1">
        <f t="array" ref="K3628">_xlfn.IFS(ISBLANK(I3628),"FALTANTE",ABS((I3628-$W$8)/$X$8)&gt;1.92,"ATÍPICO",ABS((I3628-$W$8)/$X$8)&lt;=1.92,"NO ATÍPICO")</f>
        <v>NO ATÍPICO</v>
      </c>
      <c r="L3628">
        <f t="shared" si="241"/>
        <v>671573</v>
      </c>
      <c r="M3628" t="str">
        <f t="shared" si="241"/>
        <v>ASALARIADO</v>
      </c>
      <c r="N3628">
        <f t="shared" si="242"/>
        <v>41</v>
      </c>
      <c r="O3628" s="19" t="str">
        <f t="shared" si="243"/>
        <v>600k–900k</v>
      </c>
      <c r="P3628" s="19" t="str">
        <f t="shared" si="244"/>
        <v>36-45</v>
      </c>
    </row>
    <row r="3629" spans="1:16" x14ac:dyDescent="0.25">
      <c r="A3629">
        <v>3628</v>
      </c>
      <c r="B3629" t="s">
        <v>15</v>
      </c>
      <c r="C3629">
        <v>278030.99</v>
      </c>
      <c r="D3629" t="s">
        <v>18</v>
      </c>
      <c r="E3629" t="s">
        <v>16</v>
      </c>
      <c r="F3629" t="s">
        <v>12</v>
      </c>
      <c r="G3629" t="s">
        <v>12</v>
      </c>
      <c r="H3629" t="s">
        <v>13</v>
      </c>
      <c r="I3629">
        <v>30</v>
      </c>
      <c r="J3629" t="str" cm="1">
        <f t="array" ref="J3629">_xlfn.IFS(ISBLANK(C3629),"FALTANTE",ABS((C3629-$W$5)/$X$5)&gt;1.96,"ATÍPICO",ABS((C3629-$W$5)/$X$5)&lt;=1.96,"NO ATÍPICO")</f>
        <v>NO ATÍPICO</v>
      </c>
      <c r="K3629" t="str" cm="1">
        <f t="array" ref="K3629">_xlfn.IFS(ISBLANK(I3629),"FALTANTE",ABS((I3629-$W$8)/$X$8)&gt;1.92,"ATÍPICO",ABS((I3629-$W$8)/$X$8)&lt;=1.92,"NO ATÍPICO")</f>
        <v>NO ATÍPICO</v>
      </c>
      <c r="L3629">
        <f t="shared" si="241"/>
        <v>278030.99</v>
      </c>
      <c r="M3629" t="str">
        <f t="shared" si="241"/>
        <v>TRABAJADOR INDEPENDIENTE</v>
      </c>
      <c r="N3629">
        <f t="shared" si="242"/>
        <v>30</v>
      </c>
      <c r="O3629" s="19" t="str">
        <f t="shared" si="243"/>
        <v>0–300k</v>
      </c>
      <c r="P3629" s="19" t="str">
        <f t="shared" si="244"/>
        <v>26-35</v>
      </c>
    </row>
    <row r="3630" spans="1:16" x14ac:dyDescent="0.25">
      <c r="A3630">
        <v>3629</v>
      </c>
      <c r="B3630" t="s">
        <v>9</v>
      </c>
      <c r="C3630">
        <v>1557874</v>
      </c>
      <c r="D3630" t="s">
        <v>10</v>
      </c>
      <c r="E3630" t="s">
        <v>11</v>
      </c>
      <c r="F3630" t="s">
        <v>12</v>
      </c>
      <c r="G3630" t="s">
        <v>13</v>
      </c>
      <c r="H3630" t="s">
        <v>12</v>
      </c>
      <c r="I3630">
        <v>32</v>
      </c>
      <c r="J3630" t="str" cm="1">
        <f t="array" ref="J3630">_xlfn.IFS(ISBLANK(C3630),"FALTANTE",ABS((C3630-$W$5)/$X$5)&gt;1.96,"ATÍPICO",ABS((C3630-$W$5)/$X$5)&lt;=1.96,"NO ATÍPICO")</f>
        <v>NO ATÍPICO</v>
      </c>
      <c r="K3630" t="str" cm="1">
        <f t="array" ref="K3630">_xlfn.IFS(ISBLANK(I3630),"FALTANTE",ABS((I3630-$W$8)/$X$8)&gt;1.92,"ATÍPICO",ABS((I3630-$W$8)/$X$8)&lt;=1.92,"NO ATÍPICO")</f>
        <v>NO ATÍPICO</v>
      </c>
      <c r="L3630">
        <f t="shared" si="241"/>
        <v>1557874</v>
      </c>
      <c r="M3630" t="str">
        <f t="shared" si="241"/>
        <v>ASALARIADO</v>
      </c>
      <c r="N3630">
        <f t="shared" si="242"/>
        <v>32</v>
      </c>
      <c r="O3630" s="19" t="str">
        <f t="shared" si="243"/>
        <v>1200k+</v>
      </c>
      <c r="P3630" s="19" t="str">
        <f t="shared" si="244"/>
        <v>26-35</v>
      </c>
    </row>
    <row r="3631" spans="1:16" x14ac:dyDescent="0.25">
      <c r="A3631">
        <v>3630</v>
      </c>
      <c r="B3631" t="s">
        <v>15</v>
      </c>
      <c r="C3631">
        <v>320979.96999999997</v>
      </c>
      <c r="D3631" t="s">
        <v>10</v>
      </c>
      <c r="E3631" t="s">
        <v>16</v>
      </c>
      <c r="F3631" t="s">
        <v>12</v>
      </c>
      <c r="G3631" t="s">
        <v>13</v>
      </c>
      <c r="H3631" t="s">
        <v>13</v>
      </c>
      <c r="I3631">
        <v>29</v>
      </c>
      <c r="J3631" t="str" cm="1">
        <f t="array" ref="J3631">_xlfn.IFS(ISBLANK(C3631),"FALTANTE",ABS((C3631-$W$5)/$X$5)&gt;1.96,"ATÍPICO",ABS((C3631-$W$5)/$X$5)&lt;=1.96,"NO ATÍPICO")</f>
        <v>NO ATÍPICO</v>
      </c>
      <c r="K3631" t="str" cm="1">
        <f t="array" ref="K3631">_xlfn.IFS(ISBLANK(I3631),"FALTANTE",ABS((I3631-$W$8)/$X$8)&gt;1.92,"ATÍPICO",ABS((I3631-$W$8)/$X$8)&lt;=1.92,"NO ATÍPICO")</f>
        <v>NO ATÍPICO</v>
      </c>
      <c r="L3631">
        <f t="shared" si="241"/>
        <v>320979.96999999997</v>
      </c>
      <c r="M3631" t="str">
        <f t="shared" si="241"/>
        <v>ASALARIADO</v>
      </c>
      <c r="N3631">
        <f t="shared" si="242"/>
        <v>29</v>
      </c>
      <c r="O3631" s="19" t="str">
        <f t="shared" si="243"/>
        <v>300k–600k</v>
      </c>
      <c r="P3631" s="19" t="str">
        <f t="shared" si="244"/>
        <v>26-35</v>
      </c>
    </row>
    <row r="3632" spans="1:16" x14ac:dyDescent="0.25">
      <c r="A3632">
        <v>3631</v>
      </c>
      <c r="B3632" t="s">
        <v>15</v>
      </c>
      <c r="C3632">
        <v>119964</v>
      </c>
      <c r="D3632" t="s">
        <v>10</v>
      </c>
      <c r="E3632" t="s">
        <v>11</v>
      </c>
      <c r="F3632" t="s">
        <v>12</v>
      </c>
      <c r="G3632" t="s">
        <v>13</v>
      </c>
      <c r="H3632" t="s">
        <v>12</v>
      </c>
      <c r="I3632">
        <v>25</v>
      </c>
      <c r="J3632" t="str" cm="1">
        <f t="array" ref="J3632">_xlfn.IFS(ISBLANK(C3632),"FALTANTE",ABS((C3632-$W$5)/$X$5)&gt;1.96,"ATÍPICO",ABS((C3632-$W$5)/$X$5)&lt;=1.96,"NO ATÍPICO")</f>
        <v>NO ATÍPICO</v>
      </c>
      <c r="K3632" t="str" cm="1">
        <f t="array" ref="K3632">_xlfn.IFS(ISBLANK(I3632),"FALTANTE",ABS((I3632-$W$8)/$X$8)&gt;1.92,"ATÍPICO",ABS((I3632-$W$8)/$X$8)&lt;=1.92,"NO ATÍPICO")</f>
        <v>NO ATÍPICO</v>
      </c>
      <c r="L3632">
        <f t="shared" si="241"/>
        <v>119964</v>
      </c>
      <c r="M3632" t="str">
        <f t="shared" si="241"/>
        <v>ASALARIADO</v>
      </c>
      <c r="N3632">
        <f t="shared" si="242"/>
        <v>25</v>
      </c>
      <c r="O3632" s="19" t="str">
        <f t="shared" si="243"/>
        <v>0–300k</v>
      </c>
      <c r="P3632" s="19" t="str">
        <f t="shared" si="244"/>
        <v>18-25</v>
      </c>
    </row>
    <row r="3633" spans="1:16" x14ac:dyDescent="0.25">
      <c r="A3633">
        <v>3632</v>
      </c>
      <c r="B3633" t="s">
        <v>9</v>
      </c>
      <c r="C3633">
        <v>444011.07</v>
      </c>
      <c r="D3633" t="s">
        <v>10</v>
      </c>
      <c r="E3633" t="s">
        <v>16</v>
      </c>
      <c r="F3633" t="s">
        <v>12</v>
      </c>
      <c r="G3633" t="s">
        <v>13</v>
      </c>
      <c r="H3633" t="s">
        <v>13</v>
      </c>
      <c r="I3633">
        <v>23</v>
      </c>
      <c r="J3633" t="str" cm="1">
        <f t="array" ref="J3633">_xlfn.IFS(ISBLANK(C3633),"FALTANTE",ABS((C3633-$W$5)/$X$5)&gt;1.96,"ATÍPICO",ABS((C3633-$W$5)/$X$5)&lt;=1.96,"NO ATÍPICO")</f>
        <v>NO ATÍPICO</v>
      </c>
      <c r="K3633" t="str" cm="1">
        <f t="array" ref="K3633">_xlfn.IFS(ISBLANK(I3633),"FALTANTE",ABS((I3633-$W$8)/$X$8)&gt;1.92,"ATÍPICO",ABS((I3633-$W$8)/$X$8)&lt;=1.92,"NO ATÍPICO")</f>
        <v>NO ATÍPICO</v>
      </c>
      <c r="L3633">
        <f t="shared" si="241"/>
        <v>444011.07</v>
      </c>
      <c r="M3633" t="str">
        <f t="shared" si="241"/>
        <v>ASALARIADO</v>
      </c>
      <c r="N3633">
        <f t="shared" si="242"/>
        <v>23</v>
      </c>
      <c r="O3633" s="19" t="str">
        <f t="shared" si="243"/>
        <v>300k–600k</v>
      </c>
      <c r="P3633" s="19" t="str">
        <f t="shared" si="244"/>
        <v>18-25</v>
      </c>
    </row>
    <row r="3634" spans="1:16" x14ac:dyDescent="0.25">
      <c r="A3634">
        <v>3633</v>
      </c>
      <c r="B3634" t="s">
        <v>9</v>
      </c>
      <c r="C3634">
        <v>391531</v>
      </c>
      <c r="D3634" t="s">
        <v>10</v>
      </c>
      <c r="E3634" t="s">
        <v>16</v>
      </c>
      <c r="F3634" t="s">
        <v>12</v>
      </c>
      <c r="G3634" t="s">
        <v>12</v>
      </c>
      <c r="H3634" t="s">
        <v>13</v>
      </c>
      <c r="I3634">
        <v>41</v>
      </c>
      <c r="J3634" t="str" cm="1">
        <f t="array" ref="J3634">_xlfn.IFS(ISBLANK(C3634),"FALTANTE",ABS((C3634-$W$5)/$X$5)&gt;1.96,"ATÍPICO",ABS((C3634-$W$5)/$X$5)&lt;=1.96,"NO ATÍPICO")</f>
        <v>NO ATÍPICO</v>
      </c>
      <c r="K3634" t="str" cm="1">
        <f t="array" ref="K3634">_xlfn.IFS(ISBLANK(I3634),"FALTANTE",ABS((I3634-$W$8)/$X$8)&gt;1.92,"ATÍPICO",ABS((I3634-$W$8)/$X$8)&lt;=1.92,"NO ATÍPICO")</f>
        <v>NO ATÍPICO</v>
      </c>
      <c r="L3634">
        <f t="shared" si="241"/>
        <v>391531</v>
      </c>
      <c r="M3634" t="str">
        <f t="shared" si="241"/>
        <v>ASALARIADO</v>
      </c>
      <c r="N3634">
        <f t="shared" si="242"/>
        <v>41</v>
      </c>
      <c r="O3634" s="19" t="str">
        <f t="shared" si="243"/>
        <v>300k–600k</v>
      </c>
      <c r="P3634" s="19" t="str">
        <f t="shared" si="244"/>
        <v>36-45</v>
      </c>
    </row>
    <row r="3635" spans="1:16" x14ac:dyDescent="0.25">
      <c r="A3635">
        <v>3634</v>
      </c>
      <c r="B3635" t="s">
        <v>15</v>
      </c>
      <c r="C3635">
        <v>1845577.5</v>
      </c>
      <c r="D3635" t="s">
        <v>10</v>
      </c>
      <c r="E3635" t="s">
        <v>16</v>
      </c>
      <c r="F3635" t="s">
        <v>12</v>
      </c>
      <c r="G3635" t="s">
        <v>12</v>
      </c>
      <c r="H3635" t="s">
        <v>13</v>
      </c>
      <c r="I3635">
        <v>33</v>
      </c>
      <c r="J3635" t="str" cm="1">
        <f t="array" ref="J3635">_xlfn.IFS(ISBLANK(C3635),"FALTANTE",ABS((C3635-$W$5)/$X$5)&gt;1.96,"ATÍPICO",ABS((C3635-$W$5)/$X$5)&lt;=1.96,"NO ATÍPICO")</f>
        <v>NO ATÍPICO</v>
      </c>
      <c r="K3635" t="str" cm="1">
        <f t="array" ref="K3635">_xlfn.IFS(ISBLANK(I3635),"FALTANTE",ABS((I3635-$W$8)/$X$8)&gt;1.92,"ATÍPICO",ABS((I3635-$W$8)/$X$8)&lt;=1.92,"NO ATÍPICO")</f>
        <v>NO ATÍPICO</v>
      </c>
      <c r="L3635">
        <f t="shared" si="241"/>
        <v>1845577.5</v>
      </c>
      <c r="M3635" t="str">
        <f t="shared" si="241"/>
        <v>ASALARIADO</v>
      </c>
      <c r="N3635">
        <f t="shared" si="242"/>
        <v>33</v>
      </c>
      <c r="O3635" s="19" t="str">
        <f t="shared" si="243"/>
        <v>1200k+</v>
      </c>
      <c r="P3635" s="19" t="str">
        <f t="shared" si="244"/>
        <v>26-35</v>
      </c>
    </row>
    <row r="3636" spans="1:16" x14ac:dyDescent="0.25">
      <c r="A3636">
        <v>3635</v>
      </c>
      <c r="B3636" t="s">
        <v>9</v>
      </c>
      <c r="C3636">
        <v>297046</v>
      </c>
      <c r="D3636" t="s">
        <v>18</v>
      </c>
      <c r="E3636" t="s">
        <v>16</v>
      </c>
      <c r="F3636" t="s">
        <v>12</v>
      </c>
      <c r="G3636" t="s">
        <v>13</v>
      </c>
      <c r="H3636" t="s">
        <v>13</v>
      </c>
      <c r="I3636">
        <v>41</v>
      </c>
      <c r="J3636" t="str" cm="1">
        <f t="array" ref="J3636">_xlfn.IFS(ISBLANK(C3636),"FALTANTE",ABS((C3636-$W$5)/$X$5)&gt;1.96,"ATÍPICO",ABS((C3636-$W$5)/$X$5)&lt;=1.96,"NO ATÍPICO")</f>
        <v>NO ATÍPICO</v>
      </c>
      <c r="K3636" t="str" cm="1">
        <f t="array" ref="K3636">_xlfn.IFS(ISBLANK(I3636),"FALTANTE",ABS((I3636-$W$8)/$X$8)&gt;1.92,"ATÍPICO",ABS((I3636-$W$8)/$X$8)&lt;=1.92,"NO ATÍPICO")</f>
        <v>NO ATÍPICO</v>
      </c>
      <c r="L3636">
        <f t="shared" si="241"/>
        <v>297046</v>
      </c>
      <c r="M3636" t="str">
        <f t="shared" si="241"/>
        <v>TRABAJADOR INDEPENDIENTE</v>
      </c>
      <c r="N3636">
        <f t="shared" si="242"/>
        <v>41</v>
      </c>
      <c r="O3636" s="19" t="str">
        <f t="shared" si="243"/>
        <v>0–300k</v>
      </c>
      <c r="P3636" s="19" t="str">
        <f t="shared" si="244"/>
        <v>36-45</v>
      </c>
    </row>
    <row r="3637" spans="1:16" x14ac:dyDescent="0.25">
      <c r="A3637">
        <v>3636</v>
      </c>
      <c r="B3637" t="s">
        <v>9</v>
      </c>
      <c r="C3637">
        <v>299784</v>
      </c>
      <c r="D3637" t="s">
        <v>18</v>
      </c>
      <c r="E3637" t="s">
        <v>16</v>
      </c>
      <c r="F3637" t="s">
        <v>12</v>
      </c>
      <c r="G3637" t="s">
        <v>13</v>
      </c>
      <c r="H3637" t="s">
        <v>13</v>
      </c>
      <c r="I3637">
        <v>33</v>
      </c>
      <c r="J3637" t="str" cm="1">
        <f t="array" ref="J3637">_xlfn.IFS(ISBLANK(C3637),"FALTANTE",ABS((C3637-$W$5)/$X$5)&gt;1.96,"ATÍPICO",ABS((C3637-$W$5)/$X$5)&lt;=1.96,"NO ATÍPICO")</f>
        <v>NO ATÍPICO</v>
      </c>
      <c r="K3637" t="str" cm="1">
        <f t="array" ref="K3637">_xlfn.IFS(ISBLANK(I3637),"FALTANTE",ABS((I3637-$W$8)/$X$8)&gt;1.92,"ATÍPICO",ABS((I3637-$W$8)/$X$8)&lt;=1.92,"NO ATÍPICO")</f>
        <v>NO ATÍPICO</v>
      </c>
      <c r="L3637">
        <f t="shared" si="241"/>
        <v>299784</v>
      </c>
      <c r="M3637" t="str">
        <f t="shared" si="241"/>
        <v>TRABAJADOR INDEPENDIENTE</v>
      </c>
      <c r="N3637">
        <f t="shared" si="242"/>
        <v>33</v>
      </c>
      <c r="O3637" s="19" t="str">
        <f t="shared" si="243"/>
        <v>0–300k</v>
      </c>
      <c r="P3637" s="19" t="str">
        <f t="shared" si="244"/>
        <v>26-35</v>
      </c>
    </row>
    <row r="3638" spans="1:16" x14ac:dyDescent="0.25">
      <c r="A3638">
        <v>3637</v>
      </c>
      <c r="B3638" t="s">
        <v>9</v>
      </c>
      <c r="C3638">
        <v>668500</v>
      </c>
      <c r="D3638" t="s">
        <v>10</v>
      </c>
      <c r="E3638" t="s">
        <v>16</v>
      </c>
      <c r="F3638" t="s">
        <v>12</v>
      </c>
      <c r="G3638" t="s">
        <v>13</v>
      </c>
      <c r="H3638" t="s">
        <v>13</v>
      </c>
      <c r="I3638">
        <v>34</v>
      </c>
      <c r="J3638" t="str" cm="1">
        <f t="array" ref="J3638">_xlfn.IFS(ISBLANK(C3638),"FALTANTE",ABS((C3638-$W$5)/$X$5)&gt;1.96,"ATÍPICO",ABS((C3638-$W$5)/$X$5)&lt;=1.96,"NO ATÍPICO")</f>
        <v>NO ATÍPICO</v>
      </c>
      <c r="K3638" t="str" cm="1">
        <f t="array" ref="K3638">_xlfn.IFS(ISBLANK(I3638),"FALTANTE",ABS((I3638-$W$8)/$X$8)&gt;1.92,"ATÍPICO",ABS((I3638-$W$8)/$X$8)&lt;=1.92,"NO ATÍPICO")</f>
        <v>NO ATÍPICO</v>
      </c>
      <c r="L3638">
        <f t="shared" si="241"/>
        <v>668500</v>
      </c>
      <c r="M3638" t="str">
        <f t="shared" si="241"/>
        <v>ASALARIADO</v>
      </c>
      <c r="N3638">
        <f t="shared" si="242"/>
        <v>34</v>
      </c>
      <c r="O3638" s="19" t="str">
        <f t="shared" si="243"/>
        <v>600k–900k</v>
      </c>
      <c r="P3638" s="19" t="str">
        <f t="shared" si="244"/>
        <v>26-35</v>
      </c>
    </row>
    <row r="3639" spans="1:16" x14ac:dyDescent="0.25">
      <c r="A3639">
        <v>3638</v>
      </c>
      <c r="B3639" t="s">
        <v>15</v>
      </c>
      <c r="C3639">
        <v>278030</v>
      </c>
      <c r="D3639" t="s">
        <v>19</v>
      </c>
      <c r="E3639" t="s">
        <v>16</v>
      </c>
      <c r="F3639" t="s">
        <v>12</v>
      </c>
      <c r="G3639" t="s">
        <v>13</v>
      </c>
      <c r="H3639" t="s">
        <v>13</v>
      </c>
      <c r="I3639">
        <v>32</v>
      </c>
      <c r="J3639" t="str" cm="1">
        <f t="array" ref="J3639">_xlfn.IFS(ISBLANK(C3639),"FALTANTE",ABS((C3639-$W$5)/$X$5)&gt;1.96,"ATÍPICO",ABS((C3639-$W$5)/$X$5)&lt;=1.96,"NO ATÍPICO")</f>
        <v>NO ATÍPICO</v>
      </c>
      <c r="K3639" t="str" cm="1">
        <f t="array" ref="K3639">_xlfn.IFS(ISBLANK(I3639),"FALTANTE",ABS((I3639-$W$8)/$X$8)&gt;1.92,"ATÍPICO",ABS((I3639-$W$8)/$X$8)&lt;=1.92,"NO ATÍPICO")</f>
        <v>NO ATÍPICO</v>
      </c>
      <c r="L3639">
        <f t="shared" si="241"/>
        <v>278030</v>
      </c>
      <c r="M3639" t="str">
        <f t="shared" si="241"/>
        <v>CONVENIOS ESPECIALES DE TRABAJADORES INDEPENDIENTES</v>
      </c>
      <c r="N3639">
        <f t="shared" si="242"/>
        <v>32</v>
      </c>
      <c r="O3639" s="19" t="str">
        <f t="shared" si="243"/>
        <v>0–300k</v>
      </c>
      <c r="P3639" s="19" t="str">
        <f t="shared" si="244"/>
        <v>26-35</v>
      </c>
    </row>
    <row r="3640" spans="1:16" x14ac:dyDescent="0.25">
      <c r="A3640">
        <v>3639</v>
      </c>
      <c r="B3640" t="s">
        <v>15</v>
      </c>
      <c r="C3640">
        <v>507944</v>
      </c>
      <c r="D3640" t="s">
        <v>18</v>
      </c>
      <c r="E3640" t="s">
        <v>16</v>
      </c>
      <c r="F3640" t="s">
        <v>12</v>
      </c>
      <c r="G3640" t="s">
        <v>13</v>
      </c>
      <c r="H3640" t="s">
        <v>12</v>
      </c>
      <c r="I3640">
        <v>77</v>
      </c>
      <c r="J3640" t="str" cm="1">
        <f t="array" ref="J3640">_xlfn.IFS(ISBLANK(C3640),"FALTANTE",ABS((C3640-$W$5)/$X$5)&gt;1.96,"ATÍPICO",ABS((C3640-$W$5)/$X$5)&lt;=1.96,"NO ATÍPICO")</f>
        <v>NO ATÍPICO</v>
      </c>
      <c r="K3640" t="str" cm="1">
        <f t="array" ref="K3640">_xlfn.IFS(ISBLANK(I3640),"FALTANTE",ABS((I3640-$W$8)/$X$8)&gt;1.92,"ATÍPICO",ABS((I3640-$W$8)/$X$8)&lt;=1.92,"NO ATÍPICO")</f>
        <v>ATÍPICO</v>
      </c>
      <c r="L3640">
        <f t="shared" si="241"/>
        <v>507944</v>
      </c>
      <c r="M3640" t="str">
        <f t="shared" si="241"/>
        <v>TRABAJADOR INDEPENDIENTE</v>
      </c>
      <c r="N3640">
        <f t="shared" si="242"/>
        <v>77</v>
      </c>
      <c r="O3640" s="19" t="str">
        <f t="shared" si="243"/>
        <v>300k–600k</v>
      </c>
      <c r="P3640" s="19" t="str">
        <f t="shared" si="244"/>
        <v>56+</v>
      </c>
    </row>
    <row r="3641" spans="1:16" x14ac:dyDescent="0.25">
      <c r="A3641">
        <v>3640</v>
      </c>
      <c r="B3641" t="s">
        <v>15</v>
      </c>
      <c r="C3641">
        <v>300018</v>
      </c>
      <c r="D3641" t="s">
        <v>17</v>
      </c>
      <c r="E3641" t="s">
        <v>16</v>
      </c>
      <c r="F3641" t="s">
        <v>12</v>
      </c>
      <c r="G3641" t="s">
        <v>13</v>
      </c>
      <c r="H3641" t="s">
        <v>13</v>
      </c>
      <c r="I3641">
        <v>57</v>
      </c>
      <c r="J3641" t="str" cm="1">
        <f t="array" ref="J3641">_xlfn.IFS(ISBLANK(C3641),"FALTANTE",ABS((C3641-$W$5)/$X$5)&gt;1.96,"ATÍPICO",ABS((C3641-$W$5)/$X$5)&lt;=1.96,"NO ATÍPICO")</f>
        <v>NO ATÍPICO</v>
      </c>
      <c r="K3641" t="str" cm="1">
        <f t="array" ref="K3641">_xlfn.IFS(ISBLANK(I3641),"FALTANTE",ABS((I3641-$W$8)/$X$8)&gt;1.92,"ATÍPICO",ABS((I3641-$W$8)/$X$8)&lt;=1.92,"NO ATÍPICO")</f>
        <v>NO ATÍPICO</v>
      </c>
      <c r="L3641">
        <f t="shared" si="241"/>
        <v>300018</v>
      </c>
      <c r="M3641" t="str">
        <f t="shared" si="241"/>
        <v>ASEGURADO VOLUNTARIO</v>
      </c>
      <c r="N3641">
        <f t="shared" si="242"/>
        <v>57</v>
      </c>
      <c r="O3641" s="19" t="str">
        <f t="shared" si="243"/>
        <v>300k–600k</v>
      </c>
      <c r="P3641" s="19" t="str">
        <f t="shared" si="244"/>
        <v>56+</v>
      </c>
    </row>
    <row r="3642" spans="1:16" x14ac:dyDescent="0.25">
      <c r="A3642">
        <v>3641</v>
      </c>
      <c r="B3642" t="s">
        <v>15</v>
      </c>
      <c r="C3642">
        <v>367500</v>
      </c>
      <c r="D3642" t="s">
        <v>10</v>
      </c>
      <c r="E3642" t="s">
        <v>16</v>
      </c>
      <c r="F3642" t="s">
        <v>12</v>
      </c>
      <c r="G3642" t="s">
        <v>13</v>
      </c>
      <c r="H3642" t="s">
        <v>13</v>
      </c>
      <c r="I3642">
        <v>54</v>
      </c>
      <c r="J3642" t="str" cm="1">
        <f t="array" ref="J3642">_xlfn.IFS(ISBLANK(C3642),"FALTANTE",ABS((C3642-$W$5)/$X$5)&gt;1.96,"ATÍPICO",ABS((C3642-$W$5)/$X$5)&lt;=1.96,"NO ATÍPICO")</f>
        <v>NO ATÍPICO</v>
      </c>
      <c r="K3642" t="str" cm="1">
        <f t="array" ref="K3642">_xlfn.IFS(ISBLANK(I3642),"FALTANTE",ABS((I3642-$W$8)/$X$8)&gt;1.92,"ATÍPICO",ABS((I3642-$W$8)/$X$8)&lt;=1.92,"NO ATÍPICO")</f>
        <v>NO ATÍPICO</v>
      </c>
      <c r="L3642">
        <f t="shared" si="241"/>
        <v>367500</v>
      </c>
      <c r="M3642" t="str">
        <f t="shared" si="241"/>
        <v>ASALARIADO</v>
      </c>
      <c r="N3642">
        <f t="shared" si="242"/>
        <v>54</v>
      </c>
      <c r="O3642" s="19" t="str">
        <f t="shared" si="243"/>
        <v>300k–600k</v>
      </c>
      <c r="P3642" s="19" t="str">
        <f t="shared" si="244"/>
        <v>46-55</v>
      </c>
    </row>
    <row r="3643" spans="1:16" x14ac:dyDescent="0.25">
      <c r="A3643">
        <v>3642</v>
      </c>
      <c r="B3643" t="s">
        <v>15</v>
      </c>
      <c r="C3643">
        <v>1576048</v>
      </c>
      <c r="D3643" t="s">
        <v>18</v>
      </c>
      <c r="E3643" t="s">
        <v>16</v>
      </c>
      <c r="F3643" t="s">
        <v>12</v>
      </c>
      <c r="G3643" t="s">
        <v>13</v>
      </c>
      <c r="H3643" t="s">
        <v>12</v>
      </c>
      <c r="I3643">
        <v>56</v>
      </c>
      <c r="J3643" t="str" cm="1">
        <f t="array" ref="J3643">_xlfn.IFS(ISBLANK(C3643),"FALTANTE",ABS((C3643-$W$5)/$X$5)&gt;1.96,"ATÍPICO",ABS((C3643-$W$5)/$X$5)&lt;=1.96,"NO ATÍPICO")</f>
        <v>NO ATÍPICO</v>
      </c>
      <c r="K3643" t="str" cm="1">
        <f t="array" ref="K3643">_xlfn.IFS(ISBLANK(I3643),"FALTANTE",ABS((I3643-$W$8)/$X$8)&gt;1.92,"ATÍPICO",ABS((I3643-$W$8)/$X$8)&lt;=1.92,"NO ATÍPICO")</f>
        <v>NO ATÍPICO</v>
      </c>
      <c r="L3643">
        <f t="shared" si="241"/>
        <v>1576048</v>
      </c>
      <c r="M3643" t="str">
        <f t="shared" si="241"/>
        <v>TRABAJADOR INDEPENDIENTE</v>
      </c>
      <c r="N3643">
        <f t="shared" si="242"/>
        <v>56</v>
      </c>
      <c r="O3643" s="19" t="str">
        <f t="shared" si="243"/>
        <v>1200k+</v>
      </c>
      <c r="P3643" s="19" t="str">
        <f t="shared" si="244"/>
        <v>56+</v>
      </c>
    </row>
    <row r="3644" spans="1:16" x14ac:dyDescent="0.25">
      <c r="A3644">
        <v>3643</v>
      </c>
      <c r="B3644" t="s">
        <v>15</v>
      </c>
      <c r="C3644">
        <v>392276</v>
      </c>
      <c r="D3644" t="s">
        <v>10</v>
      </c>
      <c r="E3644" t="s">
        <v>11</v>
      </c>
      <c r="F3644" t="s">
        <v>12</v>
      </c>
      <c r="G3644" t="s">
        <v>13</v>
      </c>
      <c r="H3644" t="s">
        <v>12</v>
      </c>
      <c r="I3644">
        <v>61</v>
      </c>
      <c r="J3644" t="str" cm="1">
        <f t="array" ref="J3644">_xlfn.IFS(ISBLANK(C3644),"FALTANTE",ABS((C3644-$W$5)/$X$5)&gt;1.96,"ATÍPICO",ABS((C3644-$W$5)/$X$5)&lt;=1.96,"NO ATÍPICO")</f>
        <v>NO ATÍPICO</v>
      </c>
      <c r="K3644" t="str" cm="1">
        <f t="array" ref="K3644">_xlfn.IFS(ISBLANK(I3644),"FALTANTE",ABS((I3644-$W$8)/$X$8)&gt;1.92,"ATÍPICO",ABS((I3644-$W$8)/$X$8)&lt;=1.92,"NO ATÍPICO")</f>
        <v>NO ATÍPICO</v>
      </c>
      <c r="L3644">
        <f t="shared" si="241"/>
        <v>392276</v>
      </c>
      <c r="M3644" t="str">
        <f t="shared" si="241"/>
        <v>ASALARIADO</v>
      </c>
      <c r="N3644">
        <f t="shared" si="242"/>
        <v>61</v>
      </c>
      <c r="O3644" s="19" t="str">
        <f t="shared" si="243"/>
        <v>300k–600k</v>
      </c>
      <c r="P3644" s="19" t="str">
        <f t="shared" si="244"/>
        <v>56+</v>
      </c>
    </row>
    <row r="3645" spans="1:16" x14ac:dyDescent="0.25">
      <c r="A3645">
        <v>3644</v>
      </c>
      <c r="B3645" t="s">
        <v>9</v>
      </c>
      <c r="C3645">
        <v>474037</v>
      </c>
      <c r="D3645" t="s">
        <v>10</v>
      </c>
      <c r="E3645" t="s">
        <v>16</v>
      </c>
      <c r="F3645" t="s">
        <v>12</v>
      </c>
      <c r="G3645" t="s">
        <v>13</v>
      </c>
      <c r="H3645" t="s">
        <v>13</v>
      </c>
      <c r="I3645">
        <v>30</v>
      </c>
      <c r="J3645" t="str" cm="1">
        <f t="array" ref="J3645">_xlfn.IFS(ISBLANK(C3645),"FALTANTE",ABS((C3645-$W$5)/$X$5)&gt;1.96,"ATÍPICO",ABS((C3645-$W$5)/$X$5)&lt;=1.96,"NO ATÍPICO")</f>
        <v>NO ATÍPICO</v>
      </c>
      <c r="K3645" t="str" cm="1">
        <f t="array" ref="K3645">_xlfn.IFS(ISBLANK(I3645),"FALTANTE",ABS((I3645-$W$8)/$X$8)&gt;1.92,"ATÍPICO",ABS((I3645-$W$8)/$X$8)&lt;=1.92,"NO ATÍPICO")</f>
        <v>NO ATÍPICO</v>
      </c>
      <c r="L3645">
        <f t="shared" si="241"/>
        <v>474037</v>
      </c>
      <c r="M3645" t="str">
        <f t="shared" si="241"/>
        <v>ASALARIADO</v>
      </c>
      <c r="N3645">
        <f t="shared" si="242"/>
        <v>30</v>
      </c>
      <c r="O3645" s="19" t="str">
        <f t="shared" si="243"/>
        <v>300k–600k</v>
      </c>
      <c r="P3645" s="19" t="str">
        <f t="shared" si="244"/>
        <v>26-35</v>
      </c>
    </row>
    <row r="3646" spans="1:16" x14ac:dyDescent="0.25">
      <c r="A3646">
        <v>3645</v>
      </c>
      <c r="B3646" t="s">
        <v>15</v>
      </c>
      <c r="C3646">
        <v>1494240.1</v>
      </c>
      <c r="D3646" t="s">
        <v>10</v>
      </c>
      <c r="E3646" t="s">
        <v>16</v>
      </c>
      <c r="F3646" t="s">
        <v>12</v>
      </c>
      <c r="G3646" t="s">
        <v>13</v>
      </c>
      <c r="H3646" t="s">
        <v>13</v>
      </c>
      <c r="I3646">
        <v>32</v>
      </c>
      <c r="J3646" t="str" cm="1">
        <f t="array" ref="J3646">_xlfn.IFS(ISBLANK(C3646),"FALTANTE",ABS((C3646-$W$5)/$X$5)&gt;1.96,"ATÍPICO",ABS((C3646-$W$5)/$X$5)&lt;=1.96,"NO ATÍPICO")</f>
        <v>NO ATÍPICO</v>
      </c>
      <c r="K3646" t="str" cm="1">
        <f t="array" ref="K3646">_xlfn.IFS(ISBLANK(I3646),"FALTANTE",ABS((I3646-$W$8)/$X$8)&gt;1.92,"ATÍPICO",ABS((I3646-$W$8)/$X$8)&lt;=1.92,"NO ATÍPICO")</f>
        <v>NO ATÍPICO</v>
      </c>
      <c r="L3646">
        <f t="shared" si="241"/>
        <v>1494240.1</v>
      </c>
      <c r="M3646" t="str">
        <f t="shared" si="241"/>
        <v>ASALARIADO</v>
      </c>
      <c r="N3646">
        <f t="shared" si="242"/>
        <v>32</v>
      </c>
      <c r="O3646" s="19" t="str">
        <f t="shared" si="243"/>
        <v>1200k+</v>
      </c>
      <c r="P3646" s="19" t="str">
        <f t="shared" si="244"/>
        <v>26-35</v>
      </c>
    </row>
    <row r="3647" spans="1:16" x14ac:dyDescent="0.25">
      <c r="A3647">
        <v>3646</v>
      </c>
      <c r="B3647" t="s">
        <v>15</v>
      </c>
      <c r="C3647">
        <v>386136</v>
      </c>
      <c r="D3647" t="s">
        <v>10</v>
      </c>
      <c r="E3647" t="s">
        <v>16</v>
      </c>
      <c r="F3647" t="s">
        <v>12</v>
      </c>
      <c r="G3647" t="s">
        <v>13</v>
      </c>
      <c r="H3647" t="s">
        <v>13</v>
      </c>
      <c r="I3647">
        <v>21</v>
      </c>
      <c r="J3647" t="str" cm="1">
        <f t="array" ref="J3647">_xlfn.IFS(ISBLANK(C3647),"FALTANTE",ABS((C3647-$W$5)/$X$5)&gt;1.96,"ATÍPICO",ABS((C3647-$W$5)/$X$5)&lt;=1.96,"NO ATÍPICO")</f>
        <v>NO ATÍPICO</v>
      </c>
      <c r="K3647" t="str" cm="1">
        <f t="array" ref="K3647">_xlfn.IFS(ISBLANK(I3647),"FALTANTE",ABS((I3647-$W$8)/$X$8)&gt;1.92,"ATÍPICO",ABS((I3647-$W$8)/$X$8)&lt;=1.92,"NO ATÍPICO")</f>
        <v>NO ATÍPICO</v>
      </c>
      <c r="L3647">
        <f t="shared" si="241"/>
        <v>386136</v>
      </c>
      <c r="M3647" t="str">
        <f t="shared" si="241"/>
        <v>ASALARIADO</v>
      </c>
      <c r="N3647">
        <f t="shared" si="242"/>
        <v>21</v>
      </c>
      <c r="O3647" s="19" t="str">
        <f t="shared" si="243"/>
        <v>300k–600k</v>
      </c>
      <c r="P3647" s="19" t="str">
        <f t="shared" si="244"/>
        <v>18-25</v>
      </c>
    </row>
    <row r="3648" spans="1:16" x14ac:dyDescent="0.25">
      <c r="A3648">
        <v>3647</v>
      </c>
      <c r="B3648" t="s">
        <v>9</v>
      </c>
      <c r="C3648">
        <v>390581.32</v>
      </c>
      <c r="D3648" t="s">
        <v>10</v>
      </c>
      <c r="E3648" t="s">
        <v>16</v>
      </c>
      <c r="F3648" t="s">
        <v>12</v>
      </c>
      <c r="G3648" t="s">
        <v>13</v>
      </c>
      <c r="H3648" t="s">
        <v>13</v>
      </c>
      <c r="I3648">
        <v>22</v>
      </c>
      <c r="J3648" t="str" cm="1">
        <f t="array" ref="J3648">_xlfn.IFS(ISBLANK(C3648),"FALTANTE",ABS((C3648-$W$5)/$X$5)&gt;1.96,"ATÍPICO",ABS((C3648-$W$5)/$X$5)&lt;=1.96,"NO ATÍPICO")</f>
        <v>NO ATÍPICO</v>
      </c>
      <c r="K3648" t="str" cm="1">
        <f t="array" ref="K3648">_xlfn.IFS(ISBLANK(I3648),"FALTANTE",ABS((I3648-$W$8)/$X$8)&gt;1.92,"ATÍPICO",ABS((I3648-$W$8)/$X$8)&lt;=1.92,"NO ATÍPICO")</f>
        <v>NO ATÍPICO</v>
      </c>
      <c r="L3648">
        <f t="shared" si="241"/>
        <v>390581.32</v>
      </c>
      <c r="M3648" t="str">
        <f t="shared" si="241"/>
        <v>ASALARIADO</v>
      </c>
      <c r="N3648">
        <f t="shared" si="242"/>
        <v>22</v>
      </c>
      <c r="O3648" s="19" t="str">
        <f t="shared" si="243"/>
        <v>300k–600k</v>
      </c>
      <c r="P3648" s="19" t="str">
        <f t="shared" si="244"/>
        <v>18-25</v>
      </c>
    </row>
    <row r="3649" spans="1:16" x14ac:dyDescent="0.25">
      <c r="A3649">
        <v>3648</v>
      </c>
      <c r="B3649" t="s">
        <v>15</v>
      </c>
      <c r="C3649">
        <v>433902.87</v>
      </c>
      <c r="D3649" t="s">
        <v>10</v>
      </c>
      <c r="E3649" t="s">
        <v>16</v>
      </c>
      <c r="F3649" t="s">
        <v>12</v>
      </c>
      <c r="G3649" t="s">
        <v>13</v>
      </c>
      <c r="H3649" t="s">
        <v>13</v>
      </c>
      <c r="I3649">
        <v>31</v>
      </c>
      <c r="J3649" t="str" cm="1">
        <f t="array" ref="J3649">_xlfn.IFS(ISBLANK(C3649),"FALTANTE",ABS((C3649-$W$5)/$X$5)&gt;1.96,"ATÍPICO",ABS((C3649-$W$5)/$X$5)&lt;=1.96,"NO ATÍPICO")</f>
        <v>NO ATÍPICO</v>
      </c>
      <c r="K3649" t="str" cm="1">
        <f t="array" ref="K3649">_xlfn.IFS(ISBLANK(I3649),"FALTANTE",ABS((I3649-$W$8)/$X$8)&gt;1.92,"ATÍPICO",ABS((I3649-$W$8)/$X$8)&lt;=1.92,"NO ATÍPICO")</f>
        <v>NO ATÍPICO</v>
      </c>
      <c r="L3649">
        <f t="shared" si="241"/>
        <v>433902.87</v>
      </c>
      <c r="M3649" t="str">
        <f t="shared" si="241"/>
        <v>ASALARIADO</v>
      </c>
      <c r="N3649">
        <f t="shared" si="242"/>
        <v>31</v>
      </c>
      <c r="O3649" s="19" t="str">
        <f t="shared" si="243"/>
        <v>300k–600k</v>
      </c>
      <c r="P3649" s="19" t="str">
        <f t="shared" si="244"/>
        <v>26-35</v>
      </c>
    </row>
    <row r="3650" spans="1:16" x14ac:dyDescent="0.25">
      <c r="A3650">
        <v>3649</v>
      </c>
      <c r="B3650" t="s">
        <v>9</v>
      </c>
      <c r="C3650">
        <v>295000</v>
      </c>
      <c r="D3650" t="s">
        <v>10</v>
      </c>
      <c r="E3650" t="s">
        <v>16</v>
      </c>
      <c r="F3650" t="s">
        <v>12</v>
      </c>
      <c r="G3650" t="s">
        <v>13</v>
      </c>
      <c r="H3650" t="s">
        <v>13</v>
      </c>
      <c r="I3650">
        <v>26</v>
      </c>
      <c r="J3650" t="str" cm="1">
        <f t="array" ref="J3650">_xlfn.IFS(ISBLANK(C3650),"FALTANTE",ABS((C3650-$W$5)/$X$5)&gt;1.96,"ATÍPICO",ABS((C3650-$W$5)/$X$5)&lt;=1.96,"NO ATÍPICO")</f>
        <v>NO ATÍPICO</v>
      </c>
      <c r="K3650" t="str" cm="1">
        <f t="array" ref="K3650">_xlfn.IFS(ISBLANK(I3650),"FALTANTE",ABS((I3650-$W$8)/$X$8)&gt;1.92,"ATÍPICO",ABS((I3650-$W$8)/$X$8)&lt;=1.92,"NO ATÍPICO")</f>
        <v>NO ATÍPICO</v>
      </c>
      <c r="L3650">
        <f t="shared" ref="L3650:M3713" si="245">C3650</f>
        <v>295000</v>
      </c>
      <c r="M3650" t="str">
        <f t="shared" si="245"/>
        <v>ASALARIADO</v>
      </c>
      <c r="N3650">
        <f t="shared" ref="N3650:N3713" si="246">I3650</f>
        <v>26</v>
      </c>
      <c r="O3650" s="19" t="str">
        <f t="shared" ref="O3650:O3713" si="247">IF(L3650&lt;=300000,"0–300k",IF(L3650&lt;=600000,"300k–600k",IF(L3650&lt;=900000,"600k–900k",IF(L3650&lt;=1200000,"900k–1200k","1200k+"))))</f>
        <v>0–300k</v>
      </c>
      <c r="P3650" s="19" t="str">
        <f t="shared" ref="P3650:P3713" si="248">IF(N3650 &lt;=25,"18-25", IF(N3650&lt;=35,"26-35", IF(N3650 &lt;=45,"36-45", IF(N3650&lt;=55,"46-55","56+"))))</f>
        <v>26-35</v>
      </c>
    </row>
    <row r="3651" spans="1:16" x14ac:dyDescent="0.25">
      <c r="A3651">
        <v>3650</v>
      </c>
      <c r="B3651" t="s">
        <v>9</v>
      </c>
      <c r="C3651">
        <v>300018</v>
      </c>
      <c r="D3651" t="s">
        <v>18</v>
      </c>
      <c r="E3651" t="s">
        <v>16</v>
      </c>
      <c r="F3651" t="s">
        <v>12</v>
      </c>
      <c r="G3651" t="s">
        <v>13</v>
      </c>
      <c r="H3651" t="s">
        <v>12</v>
      </c>
      <c r="I3651">
        <v>42</v>
      </c>
      <c r="J3651" t="str" cm="1">
        <f t="array" ref="J3651">_xlfn.IFS(ISBLANK(C3651),"FALTANTE",ABS((C3651-$W$5)/$X$5)&gt;1.96,"ATÍPICO",ABS((C3651-$W$5)/$X$5)&lt;=1.96,"NO ATÍPICO")</f>
        <v>NO ATÍPICO</v>
      </c>
      <c r="K3651" t="str" cm="1">
        <f t="array" ref="K3651">_xlfn.IFS(ISBLANK(I3651),"FALTANTE",ABS((I3651-$W$8)/$X$8)&gt;1.92,"ATÍPICO",ABS((I3651-$W$8)/$X$8)&lt;=1.92,"NO ATÍPICO")</f>
        <v>NO ATÍPICO</v>
      </c>
      <c r="L3651">
        <f t="shared" si="245"/>
        <v>300018</v>
      </c>
      <c r="M3651" t="str">
        <f t="shared" si="245"/>
        <v>TRABAJADOR INDEPENDIENTE</v>
      </c>
      <c r="N3651">
        <f t="shared" si="246"/>
        <v>42</v>
      </c>
      <c r="O3651" s="19" t="str">
        <f t="shared" si="247"/>
        <v>300k–600k</v>
      </c>
      <c r="P3651" s="19" t="str">
        <f t="shared" si="248"/>
        <v>36-45</v>
      </c>
    </row>
    <row r="3652" spans="1:16" x14ac:dyDescent="0.25">
      <c r="A3652">
        <v>3651</v>
      </c>
      <c r="B3652" t="s">
        <v>9</v>
      </c>
      <c r="C3652">
        <v>617046.87</v>
      </c>
      <c r="D3652" t="s">
        <v>10</v>
      </c>
      <c r="E3652" t="s">
        <v>16</v>
      </c>
      <c r="F3652" t="s">
        <v>12</v>
      </c>
      <c r="G3652" t="s">
        <v>12</v>
      </c>
      <c r="H3652" t="s">
        <v>13</v>
      </c>
      <c r="I3652">
        <v>23</v>
      </c>
      <c r="J3652" t="str" cm="1">
        <f t="array" ref="J3652">_xlfn.IFS(ISBLANK(C3652),"FALTANTE",ABS((C3652-$W$5)/$X$5)&gt;1.96,"ATÍPICO",ABS((C3652-$W$5)/$X$5)&lt;=1.96,"NO ATÍPICO")</f>
        <v>NO ATÍPICO</v>
      </c>
      <c r="K3652" t="str" cm="1">
        <f t="array" ref="K3652">_xlfn.IFS(ISBLANK(I3652),"FALTANTE",ABS((I3652-$W$8)/$X$8)&gt;1.92,"ATÍPICO",ABS((I3652-$W$8)/$X$8)&lt;=1.92,"NO ATÍPICO")</f>
        <v>NO ATÍPICO</v>
      </c>
      <c r="L3652">
        <f t="shared" si="245"/>
        <v>617046.87</v>
      </c>
      <c r="M3652" t="str">
        <f t="shared" si="245"/>
        <v>ASALARIADO</v>
      </c>
      <c r="N3652">
        <f t="shared" si="246"/>
        <v>23</v>
      </c>
      <c r="O3652" s="19" t="str">
        <f t="shared" si="247"/>
        <v>600k–900k</v>
      </c>
      <c r="P3652" s="19" t="str">
        <f t="shared" si="248"/>
        <v>18-25</v>
      </c>
    </row>
    <row r="3653" spans="1:16" x14ac:dyDescent="0.25">
      <c r="A3653">
        <v>3652</v>
      </c>
      <c r="B3653" t="s">
        <v>15</v>
      </c>
      <c r="C3653">
        <v>650000</v>
      </c>
      <c r="D3653" t="s">
        <v>10</v>
      </c>
      <c r="E3653" t="s">
        <v>16</v>
      </c>
      <c r="F3653" t="s">
        <v>12</v>
      </c>
      <c r="G3653" t="s">
        <v>13</v>
      </c>
      <c r="H3653" t="s">
        <v>13</v>
      </c>
      <c r="I3653">
        <v>27</v>
      </c>
      <c r="J3653" t="str" cm="1">
        <f t="array" ref="J3653">_xlfn.IFS(ISBLANK(C3653),"FALTANTE",ABS((C3653-$W$5)/$X$5)&gt;1.96,"ATÍPICO",ABS((C3653-$W$5)/$X$5)&lt;=1.96,"NO ATÍPICO")</f>
        <v>NO ATÍPICO</v>
      </c>
      <c r="K3653" t="str" cm="1">
        <f t="array" ref="K3653">_xlfn.IFS(ISBLANK(I3653),"FALTANTE",ABS((I3653-$W$8)/$X$8)&gt;1.92,"ATÍPICO",ABS((I3653-$W$8)/$X$8)&lt;=1.92,"NO ATÍPICO")</f>
        <v>NO ATÍPICO</v>
      </c>
      <c r="L3653">
        <f t="shared" si="245"/>
        <v>650000</v>
      </c>
      <c r="M3653" t="str">
        <f t="shared" si="245"/>
        <v>ASALARIADO</v>
      </c>
      <c r="N3653">
        <f t="shared" si="246"/>
        <v>27</v>
      </c>
      <c r="O3653" s="19" t="str">
        <f t="shared" si="247"/>
        <v>600k–900k</v>
      </c>
      <c r="P3653" s="19" t="str">
        <f t="shared" si="248"/>
        <v>26-35</v>
      </c>
    </row>
    <row r="3654" spans="1:16" x14ac:dyDescent="0.25">
      <c r="A3654">
        <v>3653</v>
      </c>
      <c r="B3654" t="s">
        <v>9</v>
      </c>
      <c r="C3654">
        <v>3394970.65</v>
      </c>
      <c r="D3654" t="s">
        <v>10</v>
      </c>
      <c r="E3654" t="s">
        <v>16</v>
      </c>
      <c r="F3654" t="s">
        <v>12</v>
      </c>
      <c r="G3654" t="s">
        <v>13</v>
      </c>
      <c r="H3654" t="s">
        <v>13</v>
      </c>
      <c r="I3654">
        <v>38</v>
      </c>
      <c r="J3654" t="str" cm="1">
        <f t="array" ref="J3654">_xlfn.IFS(ISBLANK(C3654),"FALTANTE",ABS((C3654-$W$5)/$X$5)&gt;1.96,"ATÍPICO",ABS((C3654-$W$5)/$X$5)&lt;=1.96,"NO ATÍPICO")</f>
        <v>ATÍPICO</v>
      </c>
      <c r="K3654" t="str" cm="1">
        <f t="array" ref="K3654">_xlfn.IFS(ISBLANK(I3654),"FALTANTE",ABS((I3654-$W$8)/$X$8)&gt;1.92,"ATÍPICO",ABS((I3654-$W$8)/$X$8)&lt;=1.92,"NO ATÍPICO")</f>
        <v>NO ATÍPICO</v>
      </c>
      <c r="L3654">
        <f t="shared" si="245"/>
        <v>3394970.65</v>
      </c>
      <c r="M3654" t="str">
        <f t="shared" si="245"/>
        <v>ASALARIADO</v>
      </c>
      <c r="N3654">
        <f t="shared" si="246"/>
        <v>38</v>
      </c>
      <c r="O3654" s="19" t="str">
        <f t="shared" si="247"/>
        <v>1200k+</v>
      </c>
      <c r="P3654" s="19" t="str">
        <f t="shared" si="248"/>
        <v>36-45</v>
      </c>
    </row>
    <row r="3655" spans="1:16" x14ac:dyDescent="0.25">
      <c r="A3655">
        <v>3654</v>
      </c>
      <c r="B3655" t="s">
        <v>15</v>
      </c>
      <c r="C3655">
        <v>30995</v>
      </c>
      <c r="D3655" t="s">
        <v>10</v>
      </c>
      <c r="E3655" t="s">
        <v>16</v>
      </c>
      <c r="F3655" t="s">
        <v>12</v>
      </c>
      <c r="G3655" t="s">
        <v>13</v>
      </c>
      <c r="H3655" t="s">
        <v>13</v>
      </c>
      <c r="I3655">
        <v>31</v>
      </c>
      <c r="J3655" t="str" cm="1">
        <f t="array" ref="J3655">_xlfn.IFS(ISBLANK(C3655),"FALTANTE",ABS((C3655-$W$5)/$X$5)&gt;1.96,"ATÍPICO",ABS((C3655-$W$5)/$X$5)&lt;=1.96,"NO ATÍPICO")</f>
        <v>NO ATÍPICO</v>
      </c>
      <c r="K3655" t="str" cm="1">
        <f t="array" ref="K3655">_xlfn.IFS(ISBLANK(I3655),"FALTANTE",ABS((I3655-$W$8)/$X$8)&gt;1.92,"ATÍPICO",ABS((I3655-$W$8)/$X$8)&lt;=1.92,"NO ATÍPICO")</f>
        <v>NO ATÍPICO</v>
      </c>
      <c r="L3655">
        <f t="shared" si="245"/>
        <v>30995</v>
      </c>
      <c r="M3655" t="str">
        <f t="shared" si="245"/>
        <v>ASALARIADO</v>
      </c>
      <c r="N3655">
        <f t="shared" si="246"/>
        <v>31</v>
      </c>
      <c r="O3655" s="19" t="str">
        <f t="shared" si="247"/>
        <v>0–300k</v>
      </c>
      <c r="P3655" s="19" t="str">
        <f t="shared" si="248"/>
        <v>26-35</v>
      </c>
    </row>
    <row r="3656" spans="1:16" x14ac:dyDescent="0.25">
      <c r="A3656">
        <v>3655</v>
      </c>
      <c r="B3656" t="s">
        <v>15</v>
      </c>
      <c r="C3656">
        <v>351950.66</v>
      </c>
      <c r="D3656" t="s">
        <v>10</v>
      </c>
      <c r="E3656" t="s">
        <v>16</v>
      </c>
      <c r="F3656" t="s">
        <v>12</v>
      </c>
      <c r="G3656" t="s">
        <v>12</v>
      </c>
      <c r="H3656" t="s">
        <v>13</v>
      </c>
      <c r="I3656">
        <v>46</v>
      </c>
      <c r="J3656" t="str" cm="1">
        <f t="array" ref="J3656">_xlfn.IFS(ISBLANK(C3656),"FALTANTE",ABS((C3656-$W$5)/$X$5)&gt;1.96,"ATÍPICO",ABS((C3656-$W$5)/$X$5)&lt;=1.96,"NO ATÍPICO")</f>
        <v>NO ATÍPICO</v>
      </c>
      <c r="K3656" t="str" cm="1">
        <f t="array" ref="K3656">_xlfn.IFS(ISBLANK(I3656),"FALTANTE",ABS((I3656-$W$8)/$X$8)&gt;1.92,"ATÍPICO",ABS((I3656-$W$8)/$X$8)&lt;=1.92,"NO ATÍPICO")</f>
        <v>NO ATÍPICO</v>
      </c>
      <c r="L3656">
        <f t="shared" si="245"/>
        <v>351950.66</v>
      </c>
      <c r="M3656" t="str">
        <f t="shared" si="245"/>
        <v>ASALARIADO</v>
      </c>
      <c r="N3656">
        <f t="shared" si="246"/>
        <v>46</v>
      </c>
      <c r="O3656" s="19" t="str">
        <f t="shared" si="247"/>
        <v>300k–600k</v>
      </c>
      <c r="P3656" s="19" t="str">
        <f t="shared" si="248"/>
        <v>46-55</v>
      </c>
    </row>
    <row r="3657" spans="1:16" x14ac:dyDescent="0.25">
      <c r="A3657">
        <v>3656</v>
      </c>
      <c r="B3657" t="s">
        <v>15</v>
      </c>
      <c r="C3657">
        <v>590320</v>
      </c>
      <c r="D3657" t="s">
        <v>10</v>
      </c>
      <c r="E3657" t="s">
        <v>16</v>
      </c>
      <c r="F3657" t="s">
        <v>12</v>
      </c>
      <c r="G3657" t="s">
        <v>13</v>
      </c>
      <c r="H3657" t="s">
        <v>13</v>
      </c>
      <c r="I3657">
        <v>30</v>
      </c>
      <c r="J3657" t="str" cm="1">
        <f t="array" ref="J3657">_xlfn.IFS(ISBLANK(C3657),"FALTANTE",ABS((C3657-$W$5)/$X$5)&gt;1.96,"ATÍPICO",ABS((C3657-$W$5)/$X$5)&lt;=1.96,"NO ATÍPICO")</f>
        <v>NO ATÍPICO</v>
      </c>
      <c r="K3657" t="str" cm="1">
        <f t="array" ref="K3657">_xlfn.IFS(ISBLANK(I3657),"FALTANTE",ABS((I3657-$W$8)/$X$8)&gt;1.92,"ATÍPICO",ABS((I3657-$W$8)/$X$8)&lt;=1.92,"NO ATÍPICO")</f>
        <v>NO ATÍPICO</v>
      </c>
      <c r="L3657">
        <f t="shared" si="245"/>
        <v>590320</v>
      </c>
      <c r="M3657" t="str">
        <f t="shared" si="245"/>
        <v>ASALARIADO</v>
      </c>
      <c r="N3657">
        <f t="shared" si="246"/>
        <v>30</v>
      </c>
      <c r="O3657" s="19" t="str">
        <f t="shared" si="247"/>
        <v>300k–600k</v>
      </c>
      <c r="P3657" s="19" t="str">
        <f t="shared" si="248"/>
        <v>26-35</v>
      </c>
    </row>
    <row r="3658" spans="1:16" x14ac:dyDescent="0.25">
      <c r="A3658">
        <v>3657</v>
      </c>
      <c r="B3658" t="s">
        <v>9</v>
      </c>
      <c r="C3658">
        <v>321054.98</v>
      </c>
      <c r="D3658" t="s">
        <v>10</v>
      </c>
      <c r="E3658" t="s">
        <v>16</v>
      </c>
      <c r="F3658" t="s">
        <v>12</v>
      </c>
      <c r="G3658" t="s">
        <v>13</v>
      </c>
      <c r="H3658" t="s">
        <v>13</v>
      </c>
      <c r="I3658">
        <v>51</v>
      </c>
      <c r="J3658" t="str" cm="1">
        <f t="array" ref="J3658">_xlfn.IFS(ISBLANK(C3658),"FALTANTE",ABS((C3658-$W$5)/$X$5)&gt;1.96,"ATÍPICO",ABS((C3658-$W$5)/$X$5)&lt;=1.96,"NO ATÍPICO")</f>
        <v>NO ATÍPICO</v>
      </c>
      <c r="K3658" t="str" cm="1">
        <f t="array" ref="K3658">_xlfn.IFS(ISBLANK(I3658),"FALTANTE",ABS((I3658-$W$8)/$X$8)&gt;1.92,"ATÍPICO",ABS((I3658-$W$8)/$X$8)&lt;=1.92,"NO ATÍPICO")</f>
        <v>NO ATÍPICO</v>
      </c>
      <c r="L3658">
        <f t="shared" si="245"/>
        <v>321054.98</v>
      </c>
      <c r="M3658" t="str">
        <f t="shared" si="245"/>
        <v>ASALARIADO</v>
      </c>
      <c r="N3658">
        <f t="shared" si="246"/>
        <v>51</v>
      </c>
      <c r="O3658" s="19" t="str">
        <f t="shared" si="247"/>
        <v>300k–600k</v>
      </c>
      <c r="P3658" s="19" t="str">
        <f t="shared" si="248"/>
        <v>46-55</v>
      </c>
    </row>
    <row r="3659" spans="1:16" x14ac:dyDescent="0.25">
      <c r="A3659">
        <v>3658</v>
      </c>
      <c r="B3659" t="s">
        <v>15</v>
      </c>
      <c r="C3659">
        <v>403433.03</v>
      </c>
      <c r="D3659" t="s">
        <v>10</v>
      </c>
      <c r="E3659" t="s">
        <v>16</v>
      </c>
      <c r="F3659" t="s">
        <v>12</v>
      </c>
      <c r="G3659" t="s">
        <v>13</v>
      </c>
      <c r="H3659" t="s">
        <v>12</v>
      </c>
      <c r="I3659">
        <v>26</v>
      </c>
      <c r="J3659" t="str" cm="1">
        <f t="array" ref="J3659">_xlfn.IFS(ISBLANK(C3659),"FALTANTE",ABS((C3659-$W$5)/$X$5)&gt;1.96,"ATÍPICO",ABS((C3659-$W$5)/$X$5)&lt;=1.96,"NO ATÍPICO")</f>
        <v>NO ATÍPICO</v>
      </c>
      <c r="K3659" t="str" cm="1">
        <f t="array" ref="K3659">_xlfn.IFS(ISBLANK(I3659),"FALTANTE",ABS((I3659-$W$8)/$X$8)&gt;1.92,"ATÍPICO",ABS((I3659-$W$8)/$X$8)&lt;=1.92,"NO ATÍPICO")</f>
        <v>NO ATÍPICO</v>
      </c>
      <c r="L3659">
        <f t="shared" si="245"/>
        <v>403433.03</v>
      </c>
      <c r="M3659" t="str">
        <f t="shared" si="245"/>
        <v>ASALARIADO</v>
      </c>
      <c r="N3659">
        <f t="shared" si="246"/>
        <v>26</v>
      </c>
      <c r="O3659" s="19" t="str">
        <f t="shared" si="247"/>
        <v>300k–600k</v>
      </c>
      <c r="P3659" s="19" t="str">
        <f t="shared" si="248"/>
        <v>26-35</v>
      </c>
    </row>
    <row r="3660" spans="1:16" x14ac:dyDescent="0.25">
      <c r="A3660">
        <v>3659</v>
      </c>
      <c r="B3660" t="s">
        <v>9</v>
      </c>
      <c r="C3660">
        <v>400000</v>
      </c>
      <c r="D3660" t="s">
        <v>10</v>
      </c>
      <c r="E3660" t="s">
        <v>16</v>
      </c>
      <c r="F3660" t="s">
        <v>12</v>
      </c>
      <c r="G3660" t="s">
        <v>12</v>
      </c>
      <c r="H3660" t="s">
        <v>13</v>
      </c>
      <c r="I3660">
        <v>30</v>
      </c>
      <c r="J3660" t="str" cm="1">
        <f t="array" ref="J3660">_xlfn.IFS(ISBLANK(C3660),"FALTANTE",ABS((C3660-$W$5)/$X$5)&gt;1.96,"ATÍPICO",ABS((C3660-$W$5)/$X$5)&lt;=1.96,"NO ATÍPICO")</f>
        <v>NO ATÍPICO</v>
      </c>
      <c r="K3660" t="str" cm="1">
        <f t="array" ref="K3660">_xlfn.IFS(ISBLANK(I3660),"FALTANTE",ABS((I3660-$W$8)/$X$8)&gt;1.92,"ATÍPICO",ABS((I3660-$W$8)/$X$8)&lt;=1.92,"NO ATÍPICO")</f>
        <v>NO ATÍPICO</v>
      </c>
      <c r="L3660">
        <f t="shared" si="245"/>
        <v>400000</v>
      </c>
      <c r="M3660" t="str">
        <f t="shared" si="245"/>
        <v>ASALARIADO</v>
      </c>
      <c r="N3660">
        <f t="shared" si="246"/>
        <v>30</v>
      </c>
      <c r="O3660" s="19" t="str">
        <f t="shared" si="247"/>
        <v>300k–600k</v>
      </c>
      <c r="P3660" s="19" t="str">
        <f t="shared" si="248"/>
        <v>26-35</v>
      </c>
    </row>
    <row r="3661" spans="1:16" x14ac:dyDescent="0.25">
      <c r="A3661">
        <v>3660</v>
      </c>
      <c r="B3661" t="s">
        <v>9</v>
      </c>
      <c r="C3661">
        <v>2345522.5</v>
      </c>
      <c r="D3661" t="s">
        <v>10</v>
      </c>
      <c r="E3661" t="s">
        <v>11</v>
      </c>
      <c r="F3661" t="s">
        <v>12</v>
      </c>
      <c r="G3661" t="s">
        <v>13</v>
      </c>
      <c r="H3661" t="s">
        <v>13</v>
      </c>
      <c r="I3661">
        <v>48</v>
      </c>
      <c r="J3661" t="str" cm="1">
        <f t="array" ref="J3661">_xlfn.IFS(ISBLANK(C3661),"FALTANTE",ABS((C3661-$W$5)/$X$5)&gt;1.96,"ATÍPICO",ABS((C3661-$W$5)/$X$5)&lt;=1.96,"NO ATÍPICO")</f>
        <v>ATÍPICO</v>
      </c>
      <c r="K3661" t="str" cm="1">
        <f t="array" ref="K3661">_xlfn.IFS(ISBLANK(I3661),"FALTANTE",ABS((I3661-$W$8)/$X$8)&gt;1.92,"ATÍPICO",ABS((I3661-$W$8)/$X$8)&lt;=1.92,"NO ATÍPICO")</f>
        <v>NO ATÍPICO</v>
      </c>
      <c r="L3661">
        <f t="shared" si="245"/>
        <v>2345522.5</v>
      </c>
      <c r="M3661" t="str">
        <f t="shared" si="245"/>
        <v>ASALARIADO</v>
      </c>
      <c r="N3661">
        <f t="shared" si="246"/>
        <v>48</v>
      </c>
      <c r="O3661" s="19" t="str">
        <f t="shared" si="247"/>
        <v>1200k+</v>
      </c>
      <c r="P3661" s="19" t="str">
        <f t="shared" si="248"/>
        <v>46-55</v>
      </c>
    </row>
    <row r="3662" spans="1:16" x14ac:dyDescent="0.25">
      <c r="A3662">
        <v>3661</v>
      </c>
      <c r="B3662" t="s">
        <v>9</v>
      </c>
      <c r="C3662">
        <v>480577</v>
      </c>
      <c r="D3662" t="s">
        <v>18</v>
      </c>
      <c r="E3662" t="s">
        <v>16</v>
      </c>
      <c r="F3662" t="s">
        <v>12</v>
      </c>
      <c r="G3662" t="s">
        <v>13</v>
      </c>
      <c r="H3662" t="s">
        <v>13</v>
      </c>
      <c r="I3662">
        <v>49</v>
      </c>
      <c r="J3662" t="str" cm="1">
        <f t="array" ref="J3662">_xlfn.IFS(ISBLANK(C3662),"FALTANTE",ABS((C3662-$W$5)/$X$5)&gt;1.96,"ATÍPICO",ABS((C3662-$W$5)/$X$5)&lt;=1.96,"NO ATÍPICO")</f>
        <v>NO ATÍPICO</v>
      </c>
      <c r="K3662" t="str" cm="1">
        <f t="array" ref="K3662">_xlfn.IFS(ISBLANK(I3662),"FALTANTE",ABS((I3662-$W$8)/$X$8)&gt;1.92,"ATÍPICO",ABS((I3662-$W$8)/$X$8)&lt;=1.92,"NO ATÍPICO")</f>
        <v>NO ATÍPICO</v>
      </c>
      <c r="L3662">
        <f t="shared" si="245"/>
        <v>480577</v>
      </c>
      <c r="M3662" t="str">
        <f t="shared" si="245"/>
        <v>TRABAJADOR INDEPENDIENTE</v>
      </c>
      <c r="N3662">
        <f t="shared" si="246"/>
        <v>49</v>
      </c>
      <c r="O3662" s="19" t="str">
        <f t="shared" si="247"/>
        <v>300k–600k</v>
      </c>
      <c r="P3662" s="19" t="str">
        <f t="shared" si="248"/>
        <v>46-55</v>
      </c>
    </row>
    <row r="3663" spans="1:16" x14ac:dyDescent="0.25">
      <c r="A3663">
        <v>3662</v>
      </c>
      <c r="B3663" t="s">
        <v>9</v>
      </c>
      <c r="C3663">
        <v>458437</v>
      </c>
      <c r="D3663" t="s">
        <v>10</v>
      </c>
      <c r="E3663" t="s">
        <v>16</v>
      </c>
      <c r="F3663" t="s">
        <v>12</v>
      </c>
      <c r="G3663" t="s">
        <v>13</v>
      </c>
      <c r="H3663" t="s">
        <v>13</v>
      </c>
      <c r="I3663">
        <v>27</v>
      </c>
      <c r="J3663" t="str" cm="1">
        <f t="array" ref="J3663">_xlfn.IFS(ISBLANK(C3663),"FALTANTE",ABS((C3663-$W$5)/$X$5)&gt;1.96,"ATÍPICO",ABS((C3663-$W$5)/$X$5)&lt;=1.96,"NO ATÍPICO")</f>
        <v>NO ATÍPICO</v>
      </c>
      <c r="K3663" t="str" cm="1">
        <f t="array" ref="K3663">_xlfn.IFS(ISBLANK(I3663),"FALTANTE",ABS((I3663-$W$8)/$X$8)&gt;1.92,"ATÍPICO",ABS((I3663-$W$8)/$X$8)&lt;=1.92,"NO ATÍPICO")</f>
        <v>NO ATÍPICO</v>
      </c>
      <c r="L3663">
        <f t="shared" si="245"/>
        <v>458437</v>
      </c>
      <c r="M3663" t="str">
        <f t="shared" si="245"/>
        <v>ASALARIADO</v>
      </c>
      <c r="N3663">
        <f t="shared" si="246"/>
        <v>27</v>
      </c>
      <c r="O3663" s="19" t="str">
        <f t="shared" si="247"/>
        <v>300k–600k</v>
      </c>
      <c r="P3663" s="19" t="str">
        <f t="shared" si="248"/>
        <v>26-35</v>
      </c>
    </row>
    <row r="3664" spans="1:16" x14ac:dyDescent="0.25">
      <c r="A3664">
        <v>3663</v>
      </c>
      <c r="B3664" t="s">
        <v>15</v>
      </c>
      <c r="C3664">
        <v>314569</v>
      </c>
      <c r="D3664" t="s">
        <v>17</v>
      </c>
      <c r="E3664" t="s">
        <v>16</v>
      </c>
      <c r="F3664" t="s">
        <v>12</v>
      </c>
      <c r="G3664" t="s">
        <v>13</v>
      </c>
      <c r="H3664" t="s">
        <v>13</v>
      </c>
      <c r="I3664">
        <v>61</v>
      </c>
      <c r="J3664" t="str" cm="1">
        <f t="array" ref="J3664">_xlfn.IFS(ISBLANK(C3664),"FALTANTE",ABS((C3664-$W$5)/$X$5)&gt;1.96,"ATÍPICO",ABS((C3664-$W$5)/$X$5)&lt;=1.96,"NO ATÍPICO")</f>
        <v>NO ATÍPICO</v>
      </c>
      <c r="K3664" t="str" cm="1">
        <f t="array" ref="K3664">_xlfn.IFS(ISBLANK(I3664),"FALTANTE",ABS((I3664-$W$8)/$X$8)&gt;1.92,"ATÍPICO",ABS((I3664-$W$8)/$X$8)&lt;=1.92,"NO ATÍPICO")</f>
        <v>NO ATÍPICO</v>
      </c>
      <c r="L3664">
        <f t="shared" si="245"/>
        <v>314569</v>
      </c>
      <c r="M3664" t="str">
        <f t="shared" si="245"/>
        <v>ASEGURADO VOLUNTARIO</v>
      </c>
      <c r="N3664">
        <f t="shared" si="246"/>
        <v>61</v>
      </c>
      <c r="O3664" s="19" t="str">
        <f t="shared" si="247"/>
        <v>300k–600k</v>
      </c>
      <c r="P3664" s="19" t="str">
        <f t="shared" si="248"/>
        <v>56+</v>
      </c>
    </row>
    <row r="3665" spans="1:16" x14ac:dyDescent="0.25">
      <c r="A3665">
        <v>3664</v>
      </c>
      <c r="B3665" t="s">
        <v>9</v>
      </c>
      <c r="C3665">
        <v>84000</v>
      </c>
      <c r="D3665" t="s">
        <v>10</v>
      </c>
      <c r="E3665" t="s">
        <v>16</v>
      </c>
      <c r="F3665" t="s">
        <v>12</v>
      </c>
      <c r="G3665" t="s">
        <v>13</v>
      </c>
      <c r="H3665" t="s">
        <v>12</v>
      </c>
      <c r="I3665">
        <v>32</v>
      </c>
      <c r="J3665" t="str" cm="1">
        <f t="array" ref="J3665">_xlfn.IFS(ISBLANK(C3665),"FALTANTE",ABS((C3665-$W$5)/$X$5)&gt;1.96,"ATÍPICO",ABS((C3665-$W$5)/$X$5)&lt;=1.96,"NO ATÍPICO")</f>
        <v>NO ATÍPICO</v>
      </c>
      <c r="K3665" t="str" cm="1">
        <f t="array" ref="K3665">_xlfn.IFS(ISBLANK(I3665),"FALTANTE",ABS((I3665-$W$8)/$X$8)&gt;1.92,"ATÍPICO",ABS((I3665-$W$8)/$X$8)&lt;=1.92,"NO ATÍPICO")</f>
        <v>NO ATÍPICO</v>
      </c>
      <c r="L3665">
        <f t="shared" si="245"/>
        <v>84000</v>
      </c>
      <c r="M3665" t="str">
        <f t="shared" si="245"/>
        <v>ASALARIADO</v>
      </c>
      <c r="N3665">
        <f t="shared" si="246"/>
        <v>32</v>
      </c>
      <c r="O3665" s="19" t="str">
        <f t="shared" si="247"/>
        <v>0–300k</v>
      </c>
      <c r="P3665" s="19" t="str">
        <f t="shared" si="248"/>
        <v>26-35</v>
      </c>
    </row>
    <row r="3666" spans="1:16" x14ac:dyDescent="0.25">
      <c r="A3666">
        <v>3665</v>
      </c>
      <c r="B3666" t="s">
        <v>15</v>
      </c>
      <c r="C3666">
        <v>297046</v>
      </c>
      <c r="D3666" t="s">
        <v>17</v>
      </c>
      <c r="E3666" t="s">
        <v>16</v>
      </c>
      <c r="F3666" t="s">
        <v>13</v>
      </c>
      <c r="G3666" t="s">
        <v>12</v>
      </c>
      <c r="H3666" t="s">
        <v>12</v>
      </c>
      <c r="I3666">
        <v>20</v>
      </c>
      <c r="J3666" t="str" cm="1">
        <f t="array" ref="J3666">_xlfn.IFS(ISBLANK(C3666),"FALTANTE",ABS((C3666-$W$5)/$X$5)&gt;1.96,"ATÍPICO",ABS((C3666-$W$5)/$X$5)&lt;=1.96,"NO ATÍPICO")</f>
        <v>NO ATÍPICO</v>
      </c>
      <c r="K3666" t="str" cm="1">
        <f t="array" ref="K3666">_xlfn.IFS(ISBLANK(I3666),"FALTANTE",ABS((I3666-$W$8)/$X$8)&gt;1.92,"ATÍPICO",ABS((I3666-$W$8)/$X$8)&lt;=1.92,"NO ATÍPICO")</f>
        <v>NO ATÍPICO</v>
      </c>
      <c r="L3666">
        <f t="shared" si="245"/>
        <v>297046</v>
      </c>
      <c r="M3666" t="str">
        <f t="shared" si="245"/>
        <v>ASEGURADO VOLUNTARIO</v>
      </c>
      <c r="N3666">
        <f t="shared" si="246"/>
        <v>20</v>
      </c>
      <c r="O3666" s="19" t="str">
        <f t="shared" si="247"/>
        <v>0–300k</v>
      </c>
      <c r="P3666" s="19" t="str">
        <f t="shared" si="248"/>
        <v>18-25</v>
      </c>
    </row>
    <row r="3667" spans="1:16" x14ac:dyDescent="0.25">
      <c r="A3667">
        <v>3666</v>
      </c>
      <c r="B3667" t="s">
        <v>15</v>
      </c>
      <c r="C3667">
        <v>464076.6</v>
      </c>
      <c r="D3667" t="s">
        <v>10</v>
      </c>
      <c r="E3667" t="s">
        <v>16</v>
      </c>
      <c r="F3667" t="s">
        <v>12</v>
      </c>
      <c r="G3667" t="s">
        <v>13</v>
      </c>
      <c r="H3667" t="s">
        <v>13</v>
      </c>
      <c r="I3667">
        <v>30</v>
      </c>
      <c r="J3667" t="str" cm="1">
        <f t="array" ref="J3667">_xlfn.IFS(ISBLANK(C3667),"FALTANTE",ABS((C3667-$W$5)/$X$5)&gt;1.96,"ATÍPICO",ABS((C3667-$W$5)/$X$5)&lt;=1.96,"NO ATÍPICO")</f>
        <v>NO ATÍPICO</v>
      </c>
      <c r="K3667" t="str" cm="1">
        <f t="array" ref="K3667">_xlfn.IFS(ISBLANK(I3667),"FALTANTE",ABS((I3667-$W$8)/$X$8)&gt;1.92,"ATÍPICO",ABS((I3667-$W$8)/$X$8)&lt;=1.92,"NO ATÍPICO")</f>
        <v>NO ATÍPICO</v>
      </c>
      <c r="L3667">
        <f t="shared" si="245"/>
        <v>464076.6</v>
      </c>
      <c r="M3667" t="str">
        <f t="shared" si="245"/>
        <v>ASALARIADO</v>
      </c>
      <c r="N3667">
        <f t="shared" si="246"/>
        <v>30</v>
      </c>
      <c r="O3667" s="19" t="str">
        <f t="shared" si="247"/>
        <v>300k–600k</v>
      </c>
      <c r="P3667" s="19" t="str">
        <f t="shared" si="248"/>
        <v>26-35</v>
      </c>
    </row>
    <row r="3668" spans="1:16" x14ac:dyDescent="0.25">
      <c r="A3668">
        <v>3667</v>
      </c>
      <c r="B3668" t="s">
        <v>15</v>
      </c>
      <c r="C3668">
        <v>358976.25</v>
      </c>
      <c r="D3668" t="s">
        <v>10</v>
      </c>
      <c r="E3668" t="s">
        <v>16</v>
      </c>
      <c r="F3668" t="s">
        <v>12</v>
      </c>
      <c r="G3668" t="s">
        <v>13</v>
      </c>
      <c r="H3668" t="s">
        <v>13</v>
      </c>
      <c r="I3668">
        <v>19</v>
      </c>
      <c r="J3668" t="str" cm="1">
        <f t="array" ref="J3668">_xlfn.IFS(ISBLANK(C3668),"FALTANTE",ABS((C3668-$W$5)/$X$5)&gt;1.96,"ATÍPICO",ABS((C3668-$W$5)/$X$5)&lt;=1.96,"NO ATÍPICO")</f>
        <v>NO ATÍPICO</v>
      </c>
      <c r="K3668" t="str" cm="1">
        <f t="array" ref="K3668">_xlfn.IFS(ISBLANK(I3668),"FALTANTE",ABS((I3668-$W$8)/$X$8)&gt;1.92,"ATÍPICO",ABS((I3668-$W$8)/$X$8)&lt;=1.92,"NO ATÍPICO")</f>
        <v>NO ATÍPICO</v>
      </c>
      <c r="L3668">
        <f t="shared" si="245"/>
        <v>358976.25</v>
      </c>
      <c r="M3668" t="str">
        <f t="shared" si="245"/>
        <v>ASALARIADO</v>
      </c>
      <c r="N3668">
        <f t="shared" si="246"/>
        <v>19</v>
      </c>
      <c r="O3668" s="19" t="str">
        <f t="shared" si="247"/>
        <v>300k–600k</v>
      </c>
      <c r="P3668" s="19" t="str">
        <f t="shared" si="248"/>
        <v>18-25</v>
      </c>
    </row>
    <row r="3669" spans="1:16" x14ac:dyDescent="0.25">
      <c r="A3669">
        <v>3668</v>
      </c>
      <c r="B3669" t="s">
        <v>15</v>
      </c>
      <c r="C3669">
        <v>359544.27</v>
      </c>
      <c r="D3669" t="s">
        <v>21</v>
      </c>
      <c r="E3669" t="s">
        <v>16</v>
      </c>
      <c r="F3669" t="s">
        <v>12</v>
      </c>
      <c r="G3669" t="s">
        <v>12</v>
      </c>
      <c r="H3669" t="s">
        <v>13</v>
      </c>
      <c r="I3669">
        <v>29</v>
      </c>
      <c r="J3669" t="str" cm="1">
        <f t="array" ref="J3669">_xlfn.IFS(ISBLANK(C3669),"FALTANTE",ABS((C3669-$W$5)/$X$5)&gt;1.96,"ATÍPICO",ABS((C3669-$W$5)/$X$5)&lt;=1.96,"NO ATÍPICO")</f>
        <v>NO ATÍPICO</v>
      </c>
      <c r="K3669" t="str" cm="1">
        <f t="array" ref="K3669">_xlfn.IFS(ISBLANK(I3669),"FALTANTE",ABS((I3669-$W$8)/$X$8)&gt;1.92,"ATÍPICO",ABS((I3669-$W$8)/$X$8)&lt;=1.92,"NO ATÍPICO")</f>
        <v>NO ATÍPICO</v>
      </c>
      <c r="L3669">
        <f t="shared" si="245"/>
        <v>359544.27</v>
      </c>
      <c r="M3669" t="str">
        <f t="shared" si="245"/>
        <v>CONVENIOS ESPECIALES DE ASEGURADOS VOLUNTARIOS</v>
      </c>
      <c r="N3669">
        <f t="shared" si="246"/>
        <v>29</v>
      </c>
      <c r="O3669" s="19" t="str">
        <f t="shared" si="247"/>
        <v>300k–600k</v>
      </c>
      <c r="P3669" s="19" t="str">
        <f t="shared" si="248"/>
        <v>26-35</v>
      </c>
    </row>
    <row r="3670" spans="1:16" x14ac:dyDescent="0.25">
      <c r="A3670">
        <v>3669</v>
      </c>
      <c r="B3670" t="s">
        <v>9</v>
      </c>
      <c r="C3670">
        <v>278030</v>
      </c>
      <c r="D3670" t="s">
        <v>19</v>
      </c>
      <c r="E3670" t="s">
        <v>16</v>
      </c>
      <c r="F3670" t="s">
        <v>12</v>
      </c>
      <c r="G3670" t="s">
        <v>13</v>
      </c>
      <c r="H3670" t="s">
        <v>13</v>
      </c>
      <c r="I3670">
        <v>43</v>
      </c>
      <c r="J3670" t="str" cm="1">
        <f t="array" ref="J3670">_xlfn.IFS(ISBLANK(C3670),"FALTANTE",ABS((C3670-$W$5)/$X$5)&gt;1.96,"ATÍPICO",ABS((C3670-$W$5)/$X$5)&lt;=1.96,"NO ATÍPICO")</f>
        <v>NO ATÍPICO</v>
      </c>
      <c r="K3670" t="str" cm="1">
        <f t="array" ref="K3670">_xlfn.IFS(ISBLANK(I3670),"FALTANTE",ABS((I3670-$W$8)/$X$8)&gt;1.92,"ATÍPICO",ABS((I3670-$W$8)/$X$8)&lt;=1.92,"NO ATÍPICO")</f>
        <v>NO ATÍPICO</v>
      </c>
      <c r="L3670">
        <f t="shared" si="245"/>
        <v>278030</v>
      </c>
      <c r="M3670" t="str">
        <f t="shared" si="245"/>
        <v>CONVENIOS ESPECIALES DE TRABAJADORES INDEPENDIENTES</v>
      </c>
      <c r="N3670">
        <f t="shared" si="246"/>
        <v>43</v>
      </c>
      <c r="O3670" s="19" t="str">
        <f t="shared" si="247"/>
        <v>0–300k</v>
      </c>
      <c r="P3670" s="19" t="str">
        <f t="shared" si="248"/>
        <v>36-45</v>
      </c>
    </row>
    <row r="3671" spans="1:16" x14ac:dyDescent="0.25">
      <c r="A3671">
        <v>3670</v>
      </c>
      <c r="B3671" t="s">
        <v>9</v>
      </c>
      <c r="C3671">
        <v>212337</v>
      </c>
      <c r="D3671" t="s">
        <v>10</v>
      </c>
      <c r="E3671" t="s">
        <v>16</v>
      </c>
      <c r="F3671" t="s">
        <v>12</v>
      </c>
      <c r="G3671" t="s">
        <v>13</v>
      </c>
      <c r="H3671" t="s">
        <v>12</v>
      </c>
      <c r="I3671">
        <v>31</v>
      </c>
      <c r="J3671" t="str" cm="1">
        <f t="array" ref="J3671">_xlfn.IFS(ISBLANK(C3671),"FALTANTE",ABS((C3671-$W$5)/$X$5)&gt;1.96,"ATÍPICO",ABS((C3671-$W$5)/$X$5)&lt;=1.96,"NO ATÍPICO")</f>
        <v>NO ATÍPICO</v>
      </c>
      <c r="K3671" t="str" cm="1">
        <f t="array" ref="K3671">_xlfn.IFS(ISBLANK(I3671),"FALTANTE",ABS((I3671-$W$8)/$X$8)&gt;1.92,"ATÍPICO",ABS((I3671-$W$8)/$X$8)&lt;=1.92,"NO ATÍPICO")</f>
        <v>NO ATÍPICO</v>
      </c>
      <c r="L3671">
        <f t="shared" si="245"/>
        <v>212337</v>
      </c>
      <c r="M3671" t="str">
        <f t="shared" si="245"/>
        <v>ASALARIADO</v>
      </c>
      <c r="N3671">
        <f t="shared" si="246"/>
        <v>31</v>
      </c>
      <c r="O3671" s="19" t="str">
        <f t="shared" si="247"/>
        <v>0–300k</v>
      </c>
      <c r="P3671" s="19" t="str">
        <f t="shared" si="248"/>
        <v>26-35</v>
      </c>
    </row>
    <row r="3672" spans="1:16" x14ac:dyDescent="0.25">
      <c r="A3672">
        <v>3671</v>
      </c>
      <c r="B3672" t="s">
        <v>9</v>
      </c>
      <c r="C3672">
        <v>79890</v>
      </c>
      <c r="D3672" t="s">
        <v>10</v>
      </c>
      <c r="E3672" t="s">
        <v>16</v>
      </c>
      <c r="F3672" t="s">
        <v>12</v>
      </c>
      <c r="G3672" t="s">
        <v>12</v>
      </c>
      <c r="H3672" t="s">
        <v>13</v>
      </c>
      <c r="I3672">
        <v>53</v>
      </c>
      <c r="J3672" t="str" cm="1">
        <f t="array" ref="J3672">_xlfn.IFS(ISBLANK(C3672),"FALTANTE",ABS((C3672-$W$5)/$X$5)&gt;1.96,"ATÍPICO",ABS((C3672-$W$5)/$X$5)&lt;=1.96,"NO ATÍPICO")</f>
        <v>NO ATÍPICO</v>
      </c>
      <c r="K3672" t="str" cm="1">
        <f t="array" ref="K3672">_xlfn.IFS(ISBLANK(I3672),"FALTANTE",ABS((I3672-$W$8)/$X$8)&gt;1.92,"ATÍPICO",ABS((I3672-$W$8)/$X$8)&lt;=1.92,"NO ATÍPICO")</f>
        <v>NO ATÍPICO</v>
      </c>
      <c r="L3672">
        <f t="shared" si="245"/>
        <v>79890</v>
      </c>
      <c r="M3672" t="str">
        <f t="shared" si="245"/>
        <v>ASALARIADO</v>
      </c>
      <c r="N3672">
        <f t="shared" si="246"/>
        <v>53</v>
      </c>
      <c r="O3672" s="19" t="str">
        <f t="shared" si="247"/>
        <v>0–300k</v>
      </c>
      <c r="P3672" s="19" t="str">
        <f t="shared" si="248"/>
        <v>46-55</v>
      </c>
    </row>
    <row r="3673" spans="1:16" x14ac:dyDescent="0.25">
      <c r="A3673">
        <v>3672</v>
      </c>
      <c r="B3673" t="s">
        <v>9</v>
      </c>
      <c r="C3673">
        <v>278030</v>
      </c>
      <c r="D3673" t="s">
        <v>19</v>
      </c>
      <c r="E3673" t="s">
        <v>16</v>
      </c>
      <c r="F3673" t="s">
        <v>12</v>
      </c>
      <c r="G3673" t="s">
        <v>13</v>
      </c>
      <c r="H3673" t="s">
        <v>13</v>
      </c>
      <c r="I3673">
        <v>44</v>
      </c>
      <c r="J3673" t="str" cm="1">
        <f t="array" ref="J3673">_xlfn.IFS(ISBLANK(C3673),"FALTANTE",ABS((C3673-$W$5)/$X$5)&gt;1.96,"ATÍPICO",ABS((C3673-$W$5)/$X$5)&lt;=1.96,"NO ATÍPICO")</f>
        <v>NO ATÍPICO</v>
      </c>
      <c r="K3673" t="str" cm="1">
        <f t="array" ref="K3673">_xlfn.IFS(ISBLANK(I3673),"FALTANTE",ABS((I3673-$W$8)/$X$8)&gt;1.92,"ATÍPICO",ABS((I3673-$W$8)/$X$8)&lt;=1.92,"NO ATÍPICO")</f>
        <v>NO ATÍPICO</v>
      </c>
      <c r="L3673">
        <f t="shared" si="245"/>
        <v>278030</v>
      </c>
      <c r="M3673" t="str">
        <f t="shared" si="245"/>
        <v>CONVENIOS ESPECIALES DE TRABAJADORES INDEPENDIENTES</v>
      </c>
      <c r="N3673">
        <f t="shared" si="246"/>
        <v>44</v>
      </c>
      <c r="O3673" s="19" t="str">
        <f t="shared" si="247"/>
        <v>0–300k</v>
      </c>
      <c r="P3673" s="19" t="str">
        <f t="shared" si="248"/>
        <v>36-45</v>
      </c>
    </row>
    <row r="3674" spans="1:16" x14ac:dyDescent="0.25">
      <c r="A3674">
        <v>3673</v>
      </c>
      <c r="B3674" t="s">
        <v>15</v>
      </c>
      <c r="C3674">
        <v>630173</v>
      </c>
      <c r="D3674" t="s">
        <v>14</v>
      </c>
      <c r="E3674" t="s">
        <v>11</v>
      </c>
      <c r="F3674" t="s">
        <v>12</v>
      </c>
      <c r="G3674" t="s">
        <v>13</v>
      </c>
      <c r="H3674" t="s">
        <v>13</v>
      </c>
      <c r="I3674">
        <v>75</v>
      </c>
      <c r="J3674" t="str" cm="1">
        <f t="array" ref="J3674">_xlfn.IFS(ISBLANK(C3674),"FALTANTE",ABS((C3674-$W$5)/$X$5)&gt;1.96,"ATÍPICO",ABS((C3674-$W$5)/$X$5)&lt;=1.96,"NO ATÍPICO")</f>
        <v>NO ATÍPICO</v>
      </c>
      <c r="K3674" t="str" cm="1">
        <f t="array" ref="K3674">_xlfn.IFS(ISBLANK(I3674),"FALTANTE",ABS((I3674-$W$8)/$X$8)&gt;1.92,"ATÍPICO",ABS((I3674-$W$8)/$X$8)&lt;=1.92,"NO ATÍPICO")</f>
        <v>ATÍPICO</v>
      </c>
      <c r="L3674">
        <f t="shared" si="245"/>
        <v>630173</v>
      </c>
      <c r="M3674" t="str">
        <f t="shared" si="245"/>
        <v>PENSIONADOS EN SU PROPIO SISTEMA</v>
      </c>
      <c r="N3674">
        <f t="shared" si="246"/>
        <v>75</v>
      </c>
      <c r="O3674" s="19" t="str">
        <f t="shared" si="247"/>
        <v>600k–900k</v>
      </c>
      <c r="P3674" s="19" t="str">
        <f t="shared" si="248"/>
        <v>56+</v>
      </c>
    </row>
    <row r="3675" spans="1:16" x14ac:dyDescent="0.25">
      <c r="A3675">
        <v>3674</v>
      </c>
      <c r="B3675" t="s">
        <v>15</v>
      </c>
      <c r="C3675">
        <v>1041733</v>
      </c>
      <c r="D3675" t="s">
        <v>10</v>
      </c>
      <c r="E3675" t="s">
        <v>11</v>
      </c>
      <c r="F3675" t="s">
        <v>12</v>
      </c>
      <c r="G3675" t="s">
        <v>13</v>
      </c>
      <c r="H3675" t="s">
        <v>12</v>
      </c>
      <c r="I3675">
        <v>37</v>
      </c>
      <c r="J3675" t="str" cm="1">
        <f t="array" ref="J3675">_xlfn.IFS(ISBLANK(C3675),"FALTANTE",ABS((C3675-$W$5)/$X$5)&gt;1.96,"ATÍPICO",ABS((C3675-$W$5)/$X$5)&lt;=1.96,"NO ATÍPICO")</f>
        <v>NO ATÍPICO</v>
      </c>
      <c r="K3675" t="str" cm="1">
        <f t="array" ref="K3675">_xlfn.IFS(ISBLANK(I3675),"FALTANTE",ABS((I3675-$W$8)/$X$8)&gt;1.92,"ATÍPICO",ABS((I3675-$W$8)/$X$8)&lt;=1.92,"NO ATÍPICO")</f>
        <v>NO ATÍPICO</v>
      </c>
      <c r="L3675">
        <f t="shared" si="245"/>
        <v>1041733</v>
      </c>
      <c r="M3675" t="str">
        <f t="shared" si="245"/>
        <v>ASALARIADO</v>
      </c>
      <c r="N3675">
        <f t="shared" si="246"/>
        <v>37</v>
      </c>
      <c r="O3675" s="19" t="str">
        <f t="shared" si="247"/>
        <v>900k–1200k</v>
      </c>
      <c r="P3675" s="19" t="str">
        <f t="shared" si="248"/>
        <v>36-45</v>
      </c>
    </row>
    <row r="3676" spans="1:16" x14ac:dyDescent="0.25">
      <c r="A3676">
        <v>3675</v>
      </c>
      <c r="B3676" t="s">
        <v>15</v>
      </c>
      <c r="C3676">
        <v>440000</v>
      </c>
      <c r="D3676" t="s">
        <v>10</v>
      </c>
      <c r="E3676" t="s">
        <v>16</v>
      </c>
      <c r="F3676" t="s">
        <v>12</v>
      </c>
      <c r="G3676" t="s">
        <v>13</v>
      </c>
      <c r="H3676" t="s">
        <v>13</v>
      </c>
      <c r="I3676">
        <v>32</v>
      </c>
      <c r="J3676" t="str" cm="1">
        <f t="array" ref="J3676">_xlfn.IFS(ISBLANK(C3676),"FALTANTE",ABS((C3676-$W$5)/$X$5)&gt;1.96,"ATÍPICO",ABS((C3676-$W$5)/$X$5)&lt;=1.96,"NO ATÍPICO")</f>
        <v>NO ATÍPICO</v>
      </c>
      <c r="K3676" t="str" cm="1">
        <f t="array" ref="K3676">_xlfn.IFS(ISBLANK(I3676),"FALTANTE",ABS((I3676-$W$8)/$X$8)&gt;1.92,"ATÍPICO",ABS((I3676-$W$8)/$X$8)&lt;=1.92,"NO ATÍPICO")</f>
        <v>NO ATÍPICO</v>
      </c>
      <c r="L3676">
        <f t="shared" si="245"/>
        <v>440000</v>
      </c>
      <c r="M3676" t="str">
        <f t="shared" si="245"/>
        <v>ASALARIADO</v>
      </c>
      <c r="N3676">
        <f t="shared" si="246"/>
        <v>32</v>
      </c>
      <c r="O3676" s="19" t="str">
        <f t="shared" si="247"/>
        <v>300k–600k</v>
      </c>
      <c r="P3676" s="19" t="str">
        <f t="shared" si="248"/>
        <v>26-35</v>
      </c>
    </row>
    <row r="3677" spans="1:16" x14ac:dyDescent="0.25">
      <c r="A3677">
        <v>3676</v>
      </c>
      <c r="B3677" t="s">
        <v>9</v>
      </c>
      <c r="C3677">
        <v>278030</v>
      </c>
      <c r="D3677" t="s">
        <v>17</v>
      </c>
      <c r="E3677" t="s">
        <v>16</v>
      </c>
      <c r="F3677" t="s">
        <v>12</v>
      </c>
      <c r="G3677" t="s">
        <v>13</v>
      </c>
      <c r="H3677" t="s">
        <v>13</v>
      </c>
      <c r="I3677">
        <v>26</v>
      </c>
      <c r="J3677" t="str" cm="1">
        <f t="array" ref="J3677">_xlfn.IFS(ISBLANK(C3677),"FALTANTE",ABS((C3677-$W$5)/$X$5)&gt;1.96,"ATÍPICO",ABS((C3677-$W$5)/$X$5)&lt;=1.96,"NO ATÍPICO")</f>
        <v>NO ATÍPICO</v>
      </c>
      <c r="K3677" t="str" cm="1">
        <f t="array" ref="K3677">_xlfn.IFS(ISBLANK(I3677),"FALTANTE",ABS((I3677-$W$8)/$X$8)&gt;1.92,"ATÍPICO",ABS((I3677-$W$8)/$X$8)&lt;=1.92,"NO ATÍPICO")</f>
        <v>NO ATÍPICO</v>
      </c>
      <c r="L3677">
        <f t="shared" si="245"/>
        <v>278030</v>
      </c>
      <c r="M3677" t="str">
        <f t="shared" si="245"/>
        <v>ASEGURADO VOLUNTARIO</v>
      </c>
      <c r="N3677">
        <f t="shared" si="246"/>
        <v>26</v>
      </c>
      <c r="O3677" s="19" t="str">
        <f t="shared" si="247"/>
        <v>0–300k</v>
      </c>
      <c r="P3677" s="19" t="str">
        <f t="shared" si="248"/>
        <v>26-35</v>
      </c>
    </row>
    <row r="3678" spans="1:16" x14ac:dyDescent="0.25">
      <c r="A3678">
        <v>3677</v>
      </c>
      <c r="B3678" t="s">
        <v>9</v>
      </c>
      <c r="C3678">
        <v>450886</v>
      </c>
      <c r="D3678" t="s">
        <v>18</v>
      </c>
      <c r="E3678" t="s">
        <v>16</v>
      </c>
      <c r="F3678" t="s">
        <v>12</v>
      </c>
      <c r="G3678" t="s">
        <v>13</v>
      </c>
      <c r="H3678" t="s">
        <v>12</v>
      </c>
      <c r="I3678">
        <v>53</v>
      </c>
      <c r="J3678" t="str" cm="1">
        <f t="array" ref="J3678">_xlfn.IFS(ISBLANK(C3678),"FALTANTE",ABS((C3678-$W$5)/$X$5)&gt;1.96,"ATÍPICO",ABS((C3678-$W$5)/$X$5)&lt;=1.96,"NO ATÍPICO")</f>
        <v>NO ATÍPICO</v>
      </c>
      <c r="K3678" t="str" cm="1">
        <f t="array" ref="K3678">_xlfn.IFS(ISBLANK(I3678),"FALTANTE",ABS((I3678-$W$8)/$X$8)&gt;1.92,"ATÍPICO",ABS((I3678-$W$8)/$X$8)&lt;=1.92,"NO ATÍPICO")</f>
        <v>NO ATÍPICO</v>
      </c>
      <c r="L3678">
        <f t="shared" si="245"/>
        <v>450886</v>
      </c>
      <c r="M3678" t="str">
        <f t="shared" si="245"/>
        <v>TRABAJADOR INDEPENDIENTE</v>
      </c>
      <c r="N3678">
        <f t="shared" si="246"/>
        <v>53</v>
      </c>
      <c r="O3678" s="19" t="str">
        <f t="shared" si="247"/>
        <v>300k–600k</v>
      </c>
      <c r="P3678" s="19" t="str">
        <f t="shared" si="248"/>
        <v>46-55</v>
      </c>
    </row>
    <row r="3679" spans="1:16" x14ac:dyDescent="0.25">
      <c r="A3679">
        <v>3678</v>
      </c>
      <c r="B3679" t="s">
        <v>15</v>
      </c>
      <c r="C3679">
        <v>552751.04</v>
      </c>
      <c r="D3679" t="s">
        <v>10</v>
      </c>
      <c r="E3679" t="s">
        <v>16</v>
      </c>
      <c r="F3679" t="s">
        <v>12</v>
      </c>
      <c r="G3679" t="s">
        <v>13</v>
      </c>
      <c r="H3679" t="s">
        <v>13</v>
      </c>
      <c r="I3679">
        <v>27</v>
      </c>
      <c r="J3679" t="str" cm="1">
        <f t="array" ref="J3679">_xlfn.IFS(ISBLANK(C3679),"FALTANTE",ABS((C3679-$W$5)/$X$5)&gt;1.96,"ATÍPICO",ABS((C3679-$W$5)/$X$5)&lt;=1.96,"NO ATÍPICO")</f>
        <v>NO ATÍPICO</v>
      </c>
      <c r="K3679" t="str" cm="1">
        <f t="array" ref="K3679">_xlfn.IFS(ISBLANK(I3679),"FALTANTE",ABS((I3679-$W$8)/$X$8)&gt;1.92,"ATÍPICO",ABS((I3679-$W$8)/$X$8)&lt;=1.92,"NO ATÍPICO")</f>
        <v>NO ATÍPICO</v>
      </c>
      <c r="L3679">
        <f t="shared" si="245"/>
        <v>552751.04</v>
      </c>
      <c r="M3679" t="str">
        <f t="shared" si="245"/>
        <v>ASALARIADO</v>
      </c>
      <c r="N3679">
        <f t="shared" si="246"/>
        <v>27</v>
      </c>
      <c r="O3679" s="19" t="str">
        <f t="shared" si="247"/>
        <v>300k–600k</v>
      </c>
      <c r="P3679" s="19" t="str">
        <f t="shared" si="248"/>
        <v>26-35</v>
      </c>
    </row>
    <row r="3680" spans="1:16" x14ac:dyDescent="0.25">
      <c r="A3680">
        <v>3679</v>
      </c>
      <c r="B3680" t="s">
        <v>9</v>
      </c>
      <c r="C3680">
        <v>346647.79</v>
      </c>
      <c r="D3680" t="s">
        <v>10</v>
      </c>
      <c r="E3680" t="s">
        <v>16</v>
      </c>
      <c r="F3680" t="s">
        <v>12</v>
      </c>
      <c r="G3680" t="s">
        <v>13</v>
      </c>
      <c r="H3680" t="s">
        <v>13</v>
      </c>
      <c r="I3680">
        <v>20</v>
      </c>
      <c r="J3680" t="str" cm="1">
        <f t="array" ref="J3680">_xlfn.IFS(ISBLANK(C3680),"FALTANTE",ABS((C3680-$W$5)/$X$5)&gt;1.96,"ATÍPICO",ABS((C3680-$W$5)/$X$5)&lt;=1.96,"NO ATÍPICO")</f>
        <v>NO ATÍPICO</v>
      </c>
      <c r="K3680" t="str" cm="1">
        <f t="array" ref="K3680">_xlfn.IFS(ISBLANK(I3680),"FALTANTE",ABS((I3680-$W$8)/$X$8)&gt;1.92,"ATÍPICO",ABS((I3680-$W$8)/$X$8)&lt;=1.92,"NO ATÍPICO")</f>
        <v>NO ATÍPICO</v>
      </c>
      <c r="L3680">
        <f t="shared" si="245"/>
        <v>346647.79</v>
      </c>
      <c r="M3680" t="str">
        <f t="shared" si="245"/>
        <v>ASALARIADO</v>
      </c>
      <c r="N3680">
        <f t="shared" si="246"/>
        <v>20</v>
      </c>
      <c r="O3680" s="19" t="str">
        <f t="shared" si="247"/>
        <v>300k–600k</v>
      </c>
      <c r="P3680" s="19" t="str">
        <f t="shared" si="248"/>
        <v>18-25</v>
      </c>
    </row>
    <row r="3681" spans="1:16" x14ac:dyDescent="0.25">
      <c r="A3681">
        <v>3680</v>
      </c>
      <c r="B3681" t="s">
        <v>9</v>
      </c>
      <c r="C3681">
        <v>278030</v>
      </c>
      <c r="D3681" t="s">
        <v>19</v>
      </c>
      <c r="E3681" t="s">
        <v>16</v>
      </c>
      <c r="F3681" t="s">
        <v>12</v>
      </c>
      <c r="G3681" t="s">
        <v>13</v>
      </c>
      <c r="H3681" t="s">
        <v>13</v>
      </c>
      <c r="I3681">
        <v>53</v>
      </c>
      <c r="J3681" t="str" cm="1">
        <f t="array" ref="J3681">_xlfn.IFS(ISBLANK(C3681),"FALTANTE",ABS((C3681-$W$5)/$X$5)&gt;1.96,"ATÍPICO",ABS((C3681-$W$5)/$X$5)&lt;=1.96,"NO ATÍPICO")</f>
        <v>NO ATÍPICO</v>
      </c>
      <c r="K3681" t="str" cm="1">
        <f t="array" ref="K3681">_xlfn.IFS(ISBLANK(I3681),"FALTANTE",ABS((I3681-$W$8)/$X$8)&gt;1.92,"ATÍPICO",ABS((I3681-$W$8)/$X$8)&lt;=1.92,"NO ATÍPICO")</f>
        <v>NO ATÍPICO</v>
      </c>
      <c r="L3681">
        <f t="shared" si="245"/>
        <v>278030</v>
      </c>
      <c r="M3681" t="str">
        <f t="shared" si="245"/>
        <v>CONVENIOS ESPECIALES DE TRABAJADORES INDEPENDIENTES</v>
      </c>
      <c r="N3681">
        <f t="shared" si="246"/>
        <v>53</v>
      </c>
      <c r="O3681" s="19" t="str">
        <f t="shared" si="247"/>
        <v>0–300k</v>
      </c>
      <c r="P3681" s="19" t="str">
        <f t="shared" si="248"/>
        <v>46-55</v>
      </c>
    </row>
    <row r="3682" spans="1:16" x14ac:dyDescent="0.25">
      <c r="A3682">
        <v>3681</v>
      </c>
      <c r="B3682" t="s">
        <v>9</v>
      </c>
      <c r="C3682">
        <v>342027</v>
      </c>
      <c r="D3682" t="s">
        <v>10</v>
      </c>
      <c r="E3682" t="s">
        <v>16</v>
      </c>
      <c r="F3682" t="s">
        <v>12</v>
      </c>
      <c r="G3682" t="s">
        <v>13</v>
      </c>
      <c r="H3682" t="s">
        <v>13</v>
      </c>
      <c r="I3682">
        <v>24</v>
      </c>
      <c r="J3682" t="str" cm="1">
        <f t="array" ref="J3682">_xlfn.IFS(ISBLANK(C3682),"FALTANTE",ABS((C3682-$W$5)/$X$5)&gt;1.96,"ATÍPICO",ABS((C3682-$W$5)/$X$5)&lt;=1.96,"NO ATÍPICO")</f>
        <v>NO ATÍPICO</v>
      </c>
      <c r="K3682" t="str" cm="1">
        <f t="array" ref="K3682">_xlfn.IFS(ISBLANK(I3682),"FALTANTE",ABS((I3682-$W$8)/$X$8)&gt;1.92,"ATÍPICO",ABS((I3682-$W$8)/$X$8)&lt;=1.92,"NO ATÍPICO")</f>
        <v>NO ATÍPICO</v>
      </c>
      <c r="L3682">
        <f t="shared" si="245"/>
        <v>342027</v>
      </c>
      <c r="M3682" t="str">
        <f t="shared" si="245"/>
        <v>ASALARIADO</v>
      </c>
      <c r="N3682">
        <f t="shared" si="246"/>
        <v>24</v>
      </c>
      <c r="O3682" s="19" t="str">
        <f t="shared" si="247"/>
        <v>300k–600k</v>
      </c>
      <c r="P3682" s="19" t="str">
        <f t="shared" si="248"/>
        <v>18-25</v>
      </c>
    </row>
    <row r="3683" spans="1:16" x14ac:dyDescent="0.25">
      <c r="A3683">
        <v>3682</v>
      </c>
      <c r="B3683" t="s">
        <v>9</v>
      </c>
      <c r="C3683">
        <v>405586.5</v>
      </c>
      <c r="D3683" t="s">
        <v>10</v>
      </c>
      <c r="E3683" t="s">
        <v>16</v>
      </c>
      <c r="F3683" t="s">
        <v>12</v>
      </c>
      <c r="G3683" t="s">
        <v>13</v>
      </c>
      <c r="H3683" t="s">
        <v>13</v>
      </c>
      <c r="I3683">
        <v>48</v>
      </c>
      <c r="J3683" t="str" cm="1">
        <f t="array" ref="J3683">_xlfn.IFS(ISBLANK(C3683),"FALTANTE",ABS((C3683-$W$5)/$X$5)&gt;1.96,"ATÍPICO",ABS((C3683-$W$5)/$X$5)&lt;=1.96,"NO ATÍPICO")</f>
        <v>NO ATÍPICO</v>
      </c>
      <c r="K3683" t="str" cm="1">
        <f t="array" ref="K3683">_xlfn.IFS(ISBLANK(I3683),"FALTANTE",ABS((I3683-$W$8)/$X$8)&gt;1.92,"ATÍPICO",ABS((I3683-$W$8)/$X$8)&lt;=1.92,"NO ATÍPICO")</f>
        <v>NO ATÍPICO</v>
      </c>
      <c r="L3683">
        <f t="shared" si="245"/>
        <v>405586.5</v>
      </c>
      <c r="M3683" t="str">
        <f t="shared" si="245"/>
        <v>ASALARIADO</v>
      </c>
      <c r="N3683">
        <f t="shared" si="246"/>
        <v>48</v>
      </c>
      <c r="O3683" s="19" t="str">
        <f t="shared" si="247"/>
        <v>300k–600k</v>
      </c>
      <c r="P3683" s="19" t="str">
        <f t="shared" si="248"/>
        <v>46-55</v>
      </c>
    </row>
    <row r="3684" spans="1:16" x14ac:dyDescent="0.25">
      <c r="A3684">
        <v>3683</v>
      </c>
      <c r="B3684" t="s">
        <v>9</v>
      </c>
      <c r="C3684">
        <v>299647</v>
      </c>
      <c r="D3684" t="s">
        <v>17</v>
      </c>
      <c r="E3684" t="s">
        <v>16</v>
      </c>
      <c r="F3684" t="s">
        <v>12</v>
      </c>
      <c r="G3684" t="s">
        <v>13</v>
      </c>
      <c r="H3684" t="s">
        <v>13</v>
      </c>
      <c r="I3684">
        <v>68</v>
      </c>
      <c r="J3684" t="str" cm="1">
        <f t="array" ref="J3684">_xlfn.IFS(ISBLANK(C3684),"FALTANTE",ABS((C3684-$W$5)/$X$5)&gt;1.96,"ATÍPICO",ABS((C3684-$W$5)/$X$5)&lt;=1.96,"NO ATÍPICO")</f>
        <v>NO ATÍPICO</v>
      </c>
      <c r="K3684" t="str" cm="1">
        <f t="array" ref="K3684">_xlfn.IFS(ISBLANK(I3684),"FALTANTE",ABS((I3684-$W$8)/$X$8)&gt;1.92,"ATÍPICO",ABS((I3684-$W$8)/$X$8)&lt;=1.92,"NO ATÍPICO")</f>
        <v>NO ATÍPICO</v>
      </c>
      <c r="L3684">
        <f t="shared" si="245"/>
        <v>299647</v>
      </c>
      <c r="M3684" t="str">
        <f t="shared" si="245"/>
        <v>ASEGURADO VOLUNTARIO</v>
      </c>
      <c r="N3684">
        <f t="shared" si="246"/>
        <v>68</v>
      </c>
      <c r="O3684" s="19" t="str">
        <f t="shared" si="247"/>
        <v>0–300k</v>
      </c>
      <c r="P3684" s="19" t="str">
        <f t="shared" si="248"/>
        <v>56+</v>
      </c>
    </row>
    <row r="3685" spans="1:16" x14ac:dyDescent="0.25">
      <c r="A3685">
        <v>3684</v>
      </c>
      <c r="B3685" t="s">
        <v>9</v>
      </c>
      <c r="C3685">
        <v>244574.2</v>
      </c>
      <c r="D3685" t="s">
        <v>10</v>
      </c>
      <c r="E3685" t="s">
        <v>16</v>
      </c>
      <c r="F3685" t="s">
        <v>12</v>
      </c>
      <c r="G3685" t="s">
        <v>13</v>
      </c>
      <c r="H3685" t="s">
        <v>13</v>
      </c>
      <c r="I3685">
        <v>42</v>
      </c>
      <c r="J3685" t="str" cm="1">
        <f t="array" ref="J3685">_xlfn.IFS(ISBLANK(C3685),"FALTANTE",ABS((C3685-$W$5)/$X$5)&gt;1.96,"ATÍPICO",ABS((C3685-$W$5)/$X$5)&lt;=1.96,"NO ATÍPICO")</f>
        <v>NO ATÍPICO</v>
      </c>
      <c r="K3685" t="str" cm="1">
        <f t="array" ref="K3685">_xlfn.IFS(ISBLANK(I3685),"FALTANTE",ABS((I3685-$W$8)/$X$8)&gt;1.92,"ATÍPICO",ABS((I3685-$W$8)/$X$8)&lt;=1.92,"NO ATÍPICO")</f>
        <v>NO ATÍPICO</v>
      </c>
      <c r="L3685">
        <f t="shared" si="245"/>
        <v>244574.2</v>
      </c>
      <c r="M3685" t="str">
        <f t="shared" si="245"/>
        <v>ASALARIADO</v>
      </c>
      <c r="N3685">
        <f t="shared" si="246"/>
        <v>42</v>
      </c>
      <c r="O3685" s="19" t="str">
        <f t="shared" si="247"/>
        <v>0–300k</v>
      </c>
      <c r="P3685" s="19" t="str">
        <f t="shared" si="248"/>
        <v>36-45</v>
      </c>
    </row>
    <row r="3686" spans="1:16" x14ac:dyDescent="0.25">
      <c r="A3686">
        <v>3685</v>
      </c>
      <c r="B3686" t="s">
        <v>15</v>
      </c>
      <c r="C3686">
        <v>297050</v>
      </c>
      <c r="D3686" t="s">
        <v>17</v>
      </c>
      <c r="E3686" t="s">
        <v>16</v>
      </c>
      <c r="F3686" t="s">
        <v>12</v>
      </c>
      <c r="G3686" t="s">
        <v>13</v>
      </c>
      <c r="H3686" t="s">
        <v>13</v>
      </c>
      <c r="I3686">
        <v>56</v>
      </c>
      <c r="J3686" t="str" cm="1">
        <f t="array" ref="J3686">_xlfn.IFS(ISBLANK(C3686),"FALTANTE",ABS((C3686-$W$5)/$X$5)&gt;1.96,"ATÍPICO",ABS((C3686-$W$5)/$X$5)&lt;=1.96,"NO ATÍPICO")</f>
        <v>NO ATÍPICO</v>
      </c>
      <c r="K3686" t="str" cm="1">
        <f t="array" ref="K3686">_xlfn.IFS(ISBLANK(I3686),"FALTANTE",ABS((I3686-$W$8)/$X$8)&gt;1.92,"ATÍPICO",ABS((I3686-$W$8)/$X$8)&lt;=1.92,"NO ATÍPICO")</f>
        <v>NO ATÍPICO</v>
      </c>
      <c r="L3686">
        <f t="shared" si="245"/>
        <v>297050</v>
      </c>
      <c r="M3686" t="str">
        <f t="shared" si="245"/>
        <v>ASEGURADO VOLUNTARIO</v>
      </c>
      <c r="N3686">
        <f t="shared" si="246"/>
        <v>56</v>
      </c>
      <c r="O3686" s="19" t="str">
        <f t="shared" si="247"/>
        <v>0–300k</v>
      </c>
      <c r="P3686" s="19" t="str">
        <f t="shared" si="248"/>
        <v>56+</v>
      </c>
    </row>
    <row r="3687" spans="1:16" x14ac:dyDescent="0.25">
      <c r="A3687">
        <v>3686</v>
      </c>
      <c r="B3687" t="s">
        <v>9</v>
      </c>
      <c r="C3687">
        <v>1529247</v>
      </c>
      <c r="D3687" t="s">
        <v>10</v>
      </c>
      <c r="E3687" t="s">
        <v>16</v>
      </c>
      <c r="F3687" t="s">
        <v>12</v>
      </c>
      <c r="G3687" t="s">
        <v>13</v>
      </c>
      <c r="H3687" t="s">
        <v>13</v>
      </c>
      <c r="I3687">
        <v>28</v>
      </c>
      <c r="J3687" t="str" cm="1">
        <f t="array" ref="J3687">_xlfn.IFS(ISBLANK(C3687),"FALTANTE",ABS((C3687-$W$5)/$X$5)&gt;1.96,"ATÍPICO",ABS((C3687-$W$5)/$X$5)&lt;=1.96,"NO ATÍPICO")</f>
        <v>NO ATÍPICO</v>
      </c>
      <c r="K3687" t="str" cm="1">
        <f t="array" ref="K3687">_xlfn.IFS(ISBLANK(I3687),"FALTANTE",ABS((I3687-$W$8)/$X$8)&gt;1.92,"ATÍPICO",ABS((I3687-$W$8)/$X$8)&lt;=1.92,"NO ATÍPICO")</f>
        <v>NO ATÍPICO</v>
      </c>
      <c r="L3687">
        <f t="shared" si="245"/>
        <v>1529247</v>
      </c>
      <c r="M3687" t="str">
        <f t="shared" si="245"/>
        <v>ASALARIADO</v>
      </c>
      <c r="N3687">
        <f t="shared" si="246"/>
        <v>28</v>
      </c>
      <c r="O3687" s="19" t="str">
        <f t="shared" si="247"/>
        <v>1200k+</v>
      </c>
      <c r="P3687" s="19" t="str">
        <f t="shared" si="248"/>
        <v>26-35</v>
      </c>
    </row>
    <row r="3688" spans="1:16" x14ac:dyDescent="0.25">
      <c r="A3688">
        <v>3687</v>
      </c>
      <c r="B3688" t="s">
        <v>9</v>
      </c>
      <c r="C3688">
        <v>200000</v>
      </c>
      <c r="D3688" t="s">
        <v>10</v>
      </c>
      <c r="E3688" t="s">
        <v>16</v>
      </c>
      <c r="F3688" t="s">
        <v>12</v>
      </c>
      <c r="G3688" t="s">
        <v>13</v>
      </c>
      <c r="H3688" t="s">
        <v>12</v>
      </c>
      <c r="I3688">
        <v>34</v>
      </c>
      <c r="J3688" t="str" cm="1">
        <f t="array" ref="J3688">_xlfn.IFS(ISBLANK(C3688),"FALTANTE",ABS((C3688-$W$5)/$X$5)&gt;1.96,"ATÍPICO",ABS((C3688-$W$5)/$X$5)&lt;=1.96,"NO ATÍPICO")</f>
        <v>NO ATÍPICO</v>
      </c>
      <c r="K3688" t="str" cm="1">
        <f t="array" ref="K3688">_xlfn.IFS(ISBLANK(I3688),"FALTANTE",ABS((I3688-$W$8)/$X$8)&gt;1.92,"ATÍPICO",ABS((I3688-$W$8)/$X$8)&lt;=1.92,"NO ATÍPICO")</f>
        <v>NO ATÍPICO</v>
      </c>
      <c r="L3688">
        <f t="shared" si="245"/>
        <v>200000</v>
      </c>
      <c r="M3688" t="str">
        <f t="shared" si="245"/>
        <v>ASALARIADO</v>
      </c>
      <c r="N3688">
        <f t="shared" si="246"/>
        <v>34</v>
      </c>
      <c r="O3688" s="19" t="str">
        <f t="shared" si="247"/>
        <v>0–300k</v>
      </c>
      <c r="P3688" s="19" t="str">
        <f t="shared" si="248"/>
        <v>26-35</v>
      </c>
    </row>
    <row r="3689" spans="1:16" x14ac:dyDescent="0.25">
      <c r="A3689">
        <v>3688</v>
      </c>
      <c r="B3689" t="s">
        <v>15</v>
      </c>
      <c r="C3689">
        <v>1203138</v>
      </c>
      <c r="D3689" t="s">
        <v>10</v>
      </c>
      <c r="E3689" t="s">
        <v>11</v>
      </c>
      <c r="F3689" t="s">
        <v>12</v>
      </c>
      <c r="G3689" t="s">
        <v>13</v>
      </c>
      <c r="H3689" t="s">
        <v>12</v>
      </c>
      <c r="I3689">
        <v>37</v>
      </c>
      <c r="J3689" t="str" cm="1">
        <f t="array" ref="J3689">_xlfn.IFS(ISBLANK(C3689),"FALTANTE",ABS((C3689-$W$5)/$X$5)&gt;1.96,"ATÍPICO",ABS((C3689-$W$5)/$X$5)&lt;=1.96,"NO ATÍPICO")</f>
        <v>NO ATÍPICO</v>
      </c>
      <c r="K3689" t="str" cm="1">
        <f t="array" ref="K3689">_xlfn.IFS(ISBLANK(I3689),"FALTANTE",ABS((I3689-$W$8)/$X$8)&gt;1.92,"ATÍPICO",ABS((I3689-$W$8)/$X$8)&lt;=1.92,"NO ATÍPICO")</f>
        <v>NO ATÍPICO</v>
      </c>
      <c r="L3689">
        <f t="shared" si="245"/>
        <v>1203138</v>
      </c>
      <c r="M3689" t="str">
        <f t="shared" si="245"/>
        <v>ASALARIADO</v>
      </c>
      <c r="N3689">
        <f t="shared" si="246"/>
        <v>37</v>
      </c>
      <c r="O3689" s="19" t="str">
        <f t="shared" si="247"/>
        <v>1200k+</v>
      </c>
      <c r="P3689" s="19" t="str">
        <f t="shared" si="248"/>
        <v>36-45</v>
      </c>
    </row>
    <row r="3690" spans="1:16" x14ac:dyDescent="0.25">
      <c r="A3690">
        <v>3689</v>
      </c>
      <c r="B3690" t="s">
        <v>15</v>
      </c>
      <c r="C3690">
        <v>179772</v>
      </c>
      <c r="D3690" t="s">
        <v>10</v>
      </c>
      <c r="E3690" t="s">
        <v>16</v>
      </c>
      <c r="F3690" t="s">
        <v>12</v>
      </c>
      <c r="G3690" t="s">
        <v>13</v>
      </c>
      <c r="H3690" t="s">
        <v>13</v>
      </c>
      <c r="I3690">
        <v>36</v>
      </c>
      <c r="J3690" t="str" cm="1">
        <f t="array" ref="J3690">_xlfn.IFS(ISBLANK(C3690),"FALTANTE",ABS((C3690-$W$5)/$X$5)&gt;1.96,"ATÍPICO",ABS((C3690-$W$5)/$X$5)&lt;=1.96,"NO ATÍPICO")</f>
        <v>NO ATÍPICO</v>
      </c>
      <c r="K3690" t="str" cm="1">
        <f t="array" ref="K3690">_xlfn.IFS(ISBLANK(I3690),"FALTANTE",ABS((I3690-$W$8)/$X$8)&gt;1.92,"ATÍPICO",ABS((I3690-$W$8)/$X$8)&lt;=1.92,"NO ATÍPICO")</f>
        <v>NO ATÍPICO</v>
      </c>
      <c r="L3690">
        <f t="shared" si="245"/>
        <v>179772</v>
      </c>
      <c r="M3690" t="str">
        <f t="shared" si="245"/>
        <v>ASALARIADO</v>
      </c>
      <c r="N3690">
        <f t="shared" si="246"/>
        <v>36</v>
      </c>
      <c r="O3690" s="19" t="str">
        <f t="shared" si="247"/>
        <v>0–300k</v>
      </c>
      <c r="P3690" s="19" t="str">
        <f t="shared" si="248"/>
        <v>36-45</v>
      </c>
    </row>
    <row r="3691" spans="1:16" x14ac:dyDescent="0.25">
      <c r="A3691">
        <v>3690</v>
      </c>
      <c r="B3691" t="s">
        <v>9</v>
      </c>
      <c r="C3691">
        <v>1159222.2</v>
      </c>
      <c r="D3691" t="s">
        <v>10</v>
      </c>
      <c r="E3691" t="s">
        <v>11</v>
      </c>
      <c r="F3691" t="s">
        <v>12</v>
      </c>
      <c r="G3691" t="s">
        <v>13</v>
      </c>
      <c r="H3691" t="s">
        <v>13</v>
      </c>
      <c r="I3691">
        <v>58</v>
      </c>
      <c r="J3691" t="str" cm="1">
        <f t="array" ref="J3691">_xlfn.IFS(ISBLANK(C3691),"FALTANTE",ABS((C3691-$W$5)/$X$5)&gt;1.96,"ATÍPICO",ABS((C3691-$W$5)/$X$5)&lt;=1.96,"NO ATÍPICO")</f>
        <v>NO ATÍPICO</v>
      </c>
      <c r="K3691" t="str" cm="1">
        <f t="array" ref="K3691">_xlfn.IFS(ISBLANK(I3691),"FALTANTE",ABS((I3691-$W$8)/$X$8)&gt;1.92,"ATÍPICO",ABS((I3691-$W$8)/$X$8)&lt;=1.92,"NO ATÍPICO")</f>
        <v>NO ATÍPICO</v>
      </c>
      <c r="L3691">
        <f t="shared" si="245"/>
        <v>1159222.2</v>
      </c>
      <c r="M3691" t="str">
        <f t="shared" si="245"/>
        <v>ASALARIADO</v>
      </c>
      <c r="N3691">
        <f t="shared" si="246"/>
        <v>58</v>
      </c>
      <c r="O3691" s="19" t="str">
        <f t="shared" si="247"/>
        <v>900k–1200k</v>
      </c>
      <c r="P3691" s="19" t="str">
        <f t="shared" si="248"/>
        <v>56+</v>
      </c>
    </row>
    <row r="3692" spans="1:16" x14ac:dyDescent="0.25">
      <c r="A3692">
        <v>3691</v>
      </c>
      <c r="B3692" t="s">
        <v>9</v>
      </c>
      <c r="C3692">
        <v>960405.5</v>
      </c>
      <c r="D3692" t="s">
        <v>10</v>
      </c>
      <c r="E3692" t="s">
        <v>16</v>
      </c>
      <c r="F3692" t="s">
        <v>12</v>
      </c>
      <c r="G3692" t="s">
        <v>13</v>
      </c>
      <c r="H3692" t="s">
        <v>13</v>
      </c>
      <c r="I3692">
        <v>50</v>
      </c>
      <c r="J3692" t="str" cm="1">
        <f t="array" ref="J3692">_xlfn.IFS(ISBLANK(C3692),"FALTANTE",ABS((C3692-$W$5)/$X$5)&gt;1.96,"ATÍPICO",ABS((C3692-$W$5)/$X$5)&lt;=1.96,"NO ATÍPICO")</f>
        <v>NO ATÍPICO</v>
      </c>
      <c r="K3692" t="str" cm="1">
        <f t="array" ref="K3692">_xlfn.IFS(ISBLANK(I3692),"FALTANTE",ABS((I3692-$W$8)/$X$8)&gt;1.92,"ATÍPICO",ABS((I3692-$W$8)/$X$8)&lt;=1.92,"NO ATÍPICO")</f>
        <v>NO ATÍPICO</v>
      </c>
      <c r="L3692">
        <f t="shared" si="245"/>
        <v>960405.5</v>
      </c>
      <c r="M3692" t="str">
        <f t="shared" si="245"/>
        <v>ASALARIADO</v>
      </c>
      <c r="N3692">
        <f t="shared" si="246"/>
        <v>50</v>
      </c>
      <c r="O3692" s="19" t="str">
        <f t="shared" si="247"/>
        <v>900k–1200k</v>
      </c>
      <c r="P3692" s="19" t="str">
        <f t="shared" si="248"/>
        <v>46-55</v>
      </c>
    </row>
    <row r="3693" spans="1:16" x14ac:dyDescent="0.25">
      <c r="A3693">
        <v>3692</v>
      </c>
      <c r="B3693" t="s">
        <v>15</v>
      </c>
      <c r="C3693">
        <v>297046</v>
      </c>
      <c r="D3693" t="s">
        <v>17</v>
      </c>
      <c r="E3693" t="s">
        <v>16</v>
      </c>
      <c r="F3693" t="s">
        <v>12</v>
      </c>
      <c r="G3693" t="s">
        <v>13</v>
      </c>
      <c r="H3693" t="s">
        <v>13</v>
      </c>
      <c r="I3693">
        <v>52</v>
      </c>
      <c r="J3693" t="str" cm="1">
        <f t="array" ref="J3693">_xlfn.IFS(ISBLANK(C3693),"FALTANTE",ABS((C3693-$W$5)/$X$5)&gt;1.96,"ATÍPICO",ABS((C3693-$W$5)/$X$5)&lt;=1.96,"NO ATÍPICO")</f>
        <v>NO ATÍPICO</v>
      </c>
      <c r="K3693" t="str" cm="1">
        <f t="array" ref="K3693">_xlfn.IFS(ISBLANK(I3693),"FALTANTE",ABS((I3693-$W$8)/$X$8)&gt;1.92,"ATÍPICO",ABS((I3693-$W$8)/$X$8)&lt;=1.92,"NO ATÍPICO")</f>
        <v>NO ATÍPICO</v>
      </c>
      <c r="L3693">
        <f t="shared" si="245"/>
        <v>297046</v>
      </c>
      <c r="M3693" t="str">
        <f t="shared" si="245"/>
        <v>ASEGURADO VOLUNTARIO</v>
      </c>
      <c r="N3693">
        <f t="shared" si="246"/>
        <v>52</v>
      </c>
      <c r="O3693" s="19" t="str">
        <f t="shared" si="247"/>
        <v>0–300k</v>
      </c>
      <c r="P3693" s="19" t="str">
        <f t="shared" si="248"/>
        <v>46-55</v>
      </c>
    </row>
    <row r="3694" spans="1:16" x14ac:dyDescent="0.25">
      <c r="A3694">
        <v>3693</v>
      </c>
      <c r="B3694" t="s">
        <v>9</v>
      </c>
      <c r="C3694">
        <v>297046</v>
      </c>
      <c r="D3694" t="s">
        <v>18</v>
      </c>
      <c r="E3694" t="s">
        <v>16</v>
      </c>
      <c r="F3694" t="s">
        <v>12</v>
      </c>
      <c r="G3694" t="s">
        <v>13</v>
      </c>
      <c r="H3694" t="s">
        <v>12</v>
      </c>
      <c r="I3694">
        <v>33</v>
      </c>
      <c r="J3694" t="str" cm="1">
        <f t="array" ref="J3694">_xlfn.IFS(ISBLANK(C3694),"FALTANTE",ABS((C3694-$W$5)/$X$5)&gt;1.96,"ATÍPICO",ABS((C3694-$W$5)/$X$5)&lt;=1.96,"NO ATÍPICO")</f>
        <v>NO ATÍPICO</v>
      </c>
      <c r="K3694" t="str" cm="1">
        <f t="array" ref="K3694">_xlfn.IFS(ISBLANK(I3694),"FALTANTE",ABS((I3694-$W$8)/$X$8)&gt;1.92,"ATÍPICO",ABS((I3694-$W$8)/$X$8)&lt;=1.92,"NO ATÍPICO")</f>
        <v>NO ATÍPICO</v>
      </c>
      <c r="L3694">
        <f t="shared" si="245"/>
        <v>297046</v>
      </c>
      <c r="M3694" t="str">
        <f t="shared" si="245"/>
        <v>TRABAJADOR INDEPENDIENTE</v>
      </c>
      <c r="N3694">
        <f t="shared" si="246"/>
        <v>33</v>
      </c>
      <c r="O3694" s="19" t="str">
        <f t="shared" si="247"/>
        <v>0–300k</v>
      </c>
      <c r="P3694" s="19" t="str">
        <f t="shared" si="248"/>
        <v>26-35</v>
      </c>
    </row>
    <row r="3695" spans="1:16" x14ac:dyDescent="0.25">
      <c r="A3695">
        <v>3694</v>
      </c>
      <c r="B3695" t="s">
        <v>9</v>
      </c>
      <c r="C3695">
        <v>653778.43000000005</v>
      </c>
      <c r="D3695" t="s">
        <v>10</v>
      </c>
      <c r="E3695" t="s">
        <v>16</v>
      </c>
      <c r="F3695" t="s">
        <v>12</v>
      </c>
      <c r="G3695" t="s">
        <v>13</v>
      </c>
      <c r="H3695" t="s">
        <v>13</v>
      </c>
      <c r="I3695">
        <v>40</v>
      </c>
      <c r="J3695" t="str" cm="1">
        <f t="array" ref="J3695">_xlfn.IFS(ISBLANK(C3695),"FALTANTE",ABS((C3695-$W$5)/$X$5)&gt;1.96,"ATÍPICO",ABS((C3695-$W$5)/$X$5)&lt;=1.96,"NO ATÍPICO")</f>
        <v>NO ATÍPICO</v>
      </c>
      <c r="K3695" t="str" cm="1">
        <f t="array" ref="K3695">_xlfn.IFS(ISBLANK(I3695),"FALTANTE",ABS((I3695-$W$8)/$X$8)&gt;1.92,"ATÍPICO",ABS((I3695-$W$8)/$X$8)&lt;=1.92,"NO ATÍPICO")</f>
        <v>NO ATÍPICO</v>
      </c>
      <c r="L3695">
        <f t="shared" si="245"/>
        <v>653778.43000000005</v>
      </c>
      <c r="M3695" t="str">
        <f t="shared" si="245"/>
        <v>ASALARIADO</v>
      </c>
      <c r="N3695">
        <f t="shared" si="246"/>
        <v>40</v>
      </c>
      <c r="O3695" s="19" t="str">
        <f t="shared" si="247"/>
        <v>600k–900k</v>
      </c>
      <c r="P3695" s="19" t="str">
        <f t="shared" si="248"/>
        <v>36-45</v>
      </c>
    </row>
    <row r="3696" spans="1:16" x14ac:dyDescent="0.25">
      <c r="A3696">
        <v>3695</v>
      </c>
      <c r="B3696" t="s">
        <v>9</v>
      </c>
      <c r="C3696">
        <v>538863.51</v>
      </c>
      <c r="D3696" t="s">
        <v>10</v>
      </c>
      <c r="E3696" t="s">
        <v>16</v>
      </c>
      <c r="F3696" t="s">
        <v>12</v>
      </c>
      <c r="G3696" t="s">
        <v>13</v>
      </c>
      <c r="H3696" t="s">
        <v>13</v>
      </c>
      <c r="I3696">
        <v>21</v>
      </c>
      <c r="J3696" t="str" cm="1">
        <f t="array" ref="J3696">_xlfn.IFS(ISBLANK(C3696),"FALTANTE",ABS((C3696-$W$5)/$X$5)&gt;1.96,"ATÍPICO",ABS((C3696-$W$5)/$X$5)&lt;=1.96,"NO ATÍPICO")</f>
        <v>NO ATÍPICO</v>
      </c>
      <c r="K3696" t="str" cm="1">
        <f t="array" ref="K3696">_xlfn.IFS(ISBLANK(I3696),"FALTANTE",ABS((I3696-$W$8)/$X$8)&gt;1.92,"ATÍPICO",ABS((I3696-$W$8)/$X$8)&lt;=1.92,"NO ATÍPICO")</f>
        <v>NO ATÍPICO</v>
      </c>
      <c r="L3696">
        <f t="shared" si="245"/>
        <v>538863.51</v>
      </c>
      <c r="M3696" t="str">
        <f t="shared" si="245"/>
        <v>ASALARIADO</v>
      </c>
      <c r="N3696">
        <f t="shared" si="246"/>
        <v>21</v>
      </c>
      <c r="O3696" s="19" t="str">
        <f t="shared" si="247"/>
        <v>300k–600k</v>
      </c>
      <c r="P3696" s="19" t="str">
        <f t="shared" si="248"/>
        <v>18-25</v>
      </c>
    </row>
    <row r="3697" spans="1:16" x14ac:dyDescent="0.25">
      <c r="A3697">
        <v>3696</v>
      </c>
      <c r="B3697" t="s">
        <v>9</v>
      </c>
      <c r="C3697">
        <v>499125</v>
      </c>
      <c r="D3697" t="s">
        <v>10</v>
      </c>
      <c r="E3697" t="s">
        <v>16</v>
      </c>
      <c r="F3697" t="s">
        <v>12</v>
      </c>
      <c r="G3697" t="s">
        <v>13</v>
      </c>
      <c r="H3697" t="s">
        <v>12</v>
      </c>
      <c r="I3697">
        <v>47</v>
      </c>
      <c r="J3697" t="str" cm="1">
        <f t="array" ref="J3697">_xlfn.IFS(ISBLANK(C3697),"FALTANTE",ABS((C3697-$W$5)/$X$5)&gt;1.96,"ATÍPICO",ABS((C3697-$W$5)/$X$5)&lt;=1.96,"NO ATÍPICO")</f>
        <v>NO ATÍPICO</v>
      </c>
      <c r="K3697" t="str" cm="1">
        <f t="array" ref="K3697">_xlfn.IFS(ISBLANK(I3697),"FALTANTE",ABS((I3697-$W$8)/$X$8)&gt;1.92,"ATÍPICO",ABS((I3697-$W$8)/$X$8)&lt;=1.92,"NO ATÍPICO")</f>
        <v>NO ATÍPICO</v>
      </c>
      <c r="L3697">
        <f t="shared" si="245"/>
        <v>499125</v>
      </c>
      <c r="M3697" t="str">
        <f t="shared" si="245"/>
        <v>ASALARIADO</v>
      </c>
      <c r="N3697">
        <f t="shared" si="246"/>
        <v>47</v>
      </c>
      <c r="O3697" s="19" t="str">
        <f t="shared" si="247"/>
        <v>300k–600k</v>
      </c>
      <c r="P3697" s="19" t="str">
        <f t="shared" si="248"/>
        <v>46-55</v>
      </c>
    </row>
    <row r="3698" spans="1:16" x14ac:dyDescent="0.25">
      <c r="A3698">
        <v>3697</v>
      </c>
      <c r="B3698" t="s">
        <v>15</v>
      </c>
      <c r="C3698">
        <v>359544.27</v>
      </c>
      <c r="D3698" t="s">
        <v>21</v>
      </c>
      <c r="E3698" t="s">
        <v>16</v>
      </c>
      <c r="F3698" t="s">
        <v>12</v>
      </c>
      <c r="G3698" t="s">
        <v>12</v>
      </c>
      <c r="H3698" t="s">
        <v>13</v>
      </c>
      <c r="I3698">
        <v>47</v>
      </c>
      <c r="J3698" t="str" cm="1">
        <f t="array" ref="J3698">_xlfn.IFS(ISBLANK(C3698),"FALTANTE",ABS((C3698-$W$5)/$X$5)&gt;1.96,"ATÍPICO",ABS((C3698-$W$5)/$X$5)&lt;=1.96,"NO ATÍPICO")</f>
        <v>NO ATÍPICO</v>
      </c>
      <c r="K3698" t="str" cm="1">
        <f t="array" ref="K3698">_xlfn.IFS(ISBLANK(I3698),"FALTANTE",ABS((I3698-$W$8)/$X$8)&gt;1.92,"ATÍPICO",ABS((I3698-$W$8)/$X$8)&lt;=1.92,"NO ATÍPICO")</f>
        <v>NO ATÍPICO</v>
      </c>
      <c r="L3698">
        <f t="shared" si="245"/>
        <v>359544.27</v>
      </c>
      <c r="M3698" t="str">
        <f t="shared" si="245"/>
        <v>CONVENIOS ESPECIALES DE ASEGURADOS VOLUNTARIOS</v>
      </c>
      <c r="N3698">
        <f t="shared" si="246"/>
        <v>47</v>
      </c>
      <c r="O3698" s="19" t="str">
        <f t="shared" si="247"/>
        <v>300k–600k</v>
      </c>
      <c r="P3698" s="19" t="str">
        <f t="shared" si="248"/>
        <v>46-55</v>
      </c>
    </row>
    <row r="3699" spans="1:16" x14ac:dyDescent="0.25">
      <c r="A3699">
        <v>3698</v>
      </c>
      <c r="B3699" t="s">
        <v>15</v>
      </c>
      <c r="C3699">
        <v>960815.8</v>
      </c>
      <c r="D3699" t="s">
        <v>10</v>
      </c>
      <c r="E3699" t="s">
        <v>11</v>
      </c>
      <c r="F3699" t="s">
        <v>12</v>
      </c>
      <c r="G3699" t="s">
        <v>13</v>
      </c>
      <c r="H3699" t="s">
        <v>13</v>
      </c>
      <c r="I3699">
        <v>54</v>
      </c>
      <c r="J3699" t="str" cm="1">
        <f t="array" ref="J3699">_xlfn.IFS(ISBLANK(C3699),"FALTANTE",ABS((C3699-$W$5)/$X$5)&gt;1.96,"ATÍPICO",ABS((C3699-$W$5)/$X$5)&lt;=1.96,"NO ATÍPICO")</f>
        <v>NO ATÍPICO</v>
      </c>
      <c r="K3699" t="str" cm="1">
        <f t="array" ref="K3699">_xlfn.IFS(ISBLANK(I3699),"FALTANTE",ABS((I3699-$W$8)/$X$8)&gt;1.92,"ATÍPICO",ABS((I3699-$W$8)/$X$8)&lt;=1.92,"NO ATÍPICO")</f>
        <v>NO ATÍPICO</v>
      </c>
      <c r="L3699">
        <f t="shared" si="245"/>
        <v>960815.8</v>
      </c>
      <c r="M3699" t="str">
        <f t="shared" si="245"/>
        <v>ASALARIADO</v>
      </c>
      <c r="N3699">
        <f t="shared" si="246"/>
        <v>54</v>
      </c>
      <c r="O3699" s="19" t="str">
        <f t="shared" si="247"/>
        <v>900k–1200k</v>
      </c>
      <c r="P3699" s="19" t="str">
        <f t="shared" si="248"/>
        <v>46-55</v>
      </c>
    </row>
    <row r="3700" spans="1:16" x14ac:dyDescent="0.25">
      <c r="A3700">
        <v>3699</v>
      </c>
      <c r="B3700" t="s">
        <v>15</v>
      </c>
      <c r="C3700">
        <v>445641</v>
      </c>
      <c r="D3700" t="s">
        <v>10</v>
      </c>
      <c r="E3700" t="s">
        <v>11</v>
      </c>
      <c r="F3700" t="s">
        <v>12</v>
      </c>
      <c r="G3700" t="s">
        <v>13</v>
      </c>
      <c r="H3700" t="s">
        <v>12</v>
      </c>
      <c r="I3700">
        <v>41</v>
      </c>
      <c r="J3700" t="str" cm="1">
        <f t="array" ref="J3700">_xlfn.IFS(ISBLANK(C3700),"FALTANTE",ABS((C3700-$W$5)/$X$5)&gt;1.96,"ATÍPICO",ABS((C3700-$W$5)/$X$5)&lt;=1.96,"NO ATÍPICO")</f>
        <v>NO ATÍPICO</v>
      </c>
      <c r="K3700" t="str" cm="1">
        <f t="array" ref="K3700">_xlfn.IFS(ISBLANK(I3700),"FALTANTE",ABS((I3700-$W$8)/$X$8)&gt;1.92,"ATÍPICO",ABS((I3700-$W$8)/$X$8)&lt;=1.92,"NO ATÍPICO")</f>
        <v>NO ATÍPICO</v>
      </c>
      <c r="L3700">
        <f t="shared" si="245"/>
        <v>445641</v>
      </c>
      <c r="M3700" t="str">
        <f t="shared" si="245"/>
        <v>ASALARIADO</v>
      </c>
      <c r="N3700">
        <f t="shared" si="246"/>
        <v>41</v>
      </c>
      <c r="O3700" s="19" t="str">
        <f t="shared" si="247"/>
        <v>300k–600k</v>
      </c>
      <c r="P3700" s="19" t="str">
        <f t="shared" si="248"/>
        <v>36-45</v>
      </c>
    </row>
    <row r="3701" spans="1:16" x14ac:dyDescent="0.25">
      <c r="A3701">
        <v>3700</v>
      </c>
      <c r="B3701" t="s">
        <v>9</v>
      </c>
      <c r="C3701">
        <v>255659</v>
      </c>
      <c r="D3701" t="s">
        <v>10</v>
      </c>
      <c r="E3701" t="s">
        <v>16</v>
      </c>
      <c r="F3701" t="s">
        <v>12</v>
      </c>
      <c r="G3701" t="s">
        <v>12</v>
      </c>
      <c r="H3701" t="s">
        <v>13</v>
      </c>
      <c r="I3701">
        <v>23</v>
      </c>
      <c r="J3701" t="str" cm="1">
        <f t="array" ref="J3701">_xlfn.IFS(ISBLANK(C3701),"FALTANTE",ABS((C3701-$W$5)/$X$5)&gt;1.96,"ATÍPICO",ABS((C3701-$W$5)/$X$5)&lt;=1.96,"NO ATÍPICO")</f>
        <v>NO ATÍPICO</v>
      </c>
      <c r="K3701" t="str" cm="1">
        <f t="array" ref="K3701">_xlfn.IFS(ISBLANK(I3701),"FALTANTE",ABS((I3701-$W$8)/$X$8)&gt;1.92,"ATÍPICO",ABS((I3701-$W$8)/$X$8)&lt;=1.92,"NO ATÍPICO")</f>
        <v>NO ATÍPICO</v>
      </c>
      <c r="L3701">
        <f t="shared" si="245"/>
        <v>255659</v>
      </c>
      <c r="M3701" t="str">
        <f t="shared" si="245"/>
        <v>ASALARIADO</v>
      </c>
      <c r="N3701">
        <f t="shared" si="246"/>
        <v>23</v>
      </c>
      <c r="O3701" s="19" t="str">
        <f t="shared" si="247"/>
        <v>0–300k</v>
      </c>
      <c r="P3701" s="19" t="str">
        <f t="shared" si="248"/>
        <v>18-25</v>
      </c>
    </row>
    <row r="3702" spans="1:16" x14ac:dyDescent="0.25">
      <c r="A3702">
        <v>3701</v>
      </c>
      <c r="B3702" t="s">
        <v>9</v>
      </c>
      <c r="C3702">
        <v>2615121.75</v>
      </c>
      <c r="D3702" t="s">
        <v>10</v>
      </c>
      <c r="E3702" t="s">
        <v>11</v>
      </c>
      <c r="F3702" t="s">
        <v>12</v>
      </c>
      <c r="G3702" t="s">
        <v>13</v>
      </c>
      <c r="H3702" t="s">
        <v>13</v>
      </c>
      <c r="I3702">
        <v>56</v>
      </c>
      <c r="J3702" t="str" cm="1">
        <f t="array" ref="J3702">_xlfn.IFS(ISBLANK(C3702),"FALTANTE",ABS((C3702-$W$5)/$X$5)&gt;1.96,"ATÍPICO",ABS((C3702-$W$5)/$X$5)&lt;=1.96,"NO ATÍPICO")</f>
        <v>ATÍPICO</v>
      </c>
      <c r="K3702" t="str" cm="1">
        <f t="array" ref="K3702">_xlfn.IFS(ISBLANK(I3702),"FALTANTE",ABS((I3702-$W$8)/$X$8)&gt;1.92,"ATÍPICO",ABS((I3702-$W$8)/$X$8)&lt;=1.92,"NO ATÍPICO")</f>
        <v>NO ATÍPICO</v>
      </c>
      <c r="L3702">
        <f t="shared" si="245"/>
        <v>2615121.75</v>
      </c>
      <c r="M3702" t="str">
        <f t="shared" si="245"/>
        <v>ASALARIADO</v>
      </c>
      <c r="N3702">
        <f t="shared" si="246"/>
        <v>56</v>
      </c>
      <c r="O3702" s="19" t="str">
        <f t="shared" si="247"/>
        <v>1200k+</v>
      </c>
      <c r="P3702" s="19" t="str">
        <f t="shared" si="248"/>
        <v>56+</v>
      </c>
    </row>
    <row r="3703" spans="1:16" x14ac:dyDescent="0.25">
      <c r="A3703">
        <v>3702</v>
      </c>
      <c r="B3703" t="s">
        <v>9</v>
      </c>
      <c r="C3703">
        <v>94480</v>
      </c>
      <c r="D3703" t="s">
        <v>10</v>
      </c>
      <c r="E3703" t="s">
        <v>16</v>
      </c>
      <c r="F3703" t="s">
        <v>12</v>
      </c>
      <c r="G3703" t="s">
        <v>13</v>
      </c>
      <c r="H3703" t="s">
        <v>13</v>
      </c>
      <c r="I3703">
        <v>54</v>
      </c>
      <c r="J3703" t="str" cm="1">
        <f t="array" ref="J3703">_xlfn.IFS(ISBLANK(C3703),"FALTANTE",ABS((C3703-$W$5)/$X$5)&gt;1.96,"ATÍPICO",ABS((C3703-$W$5)/$X$5)&lt;=1.96,"NO ATÍPICO")</f>
        <v>NO ATÍPICO</v>
      </c>
      <c r="K3703" t="str" cm="1">
        <f t="array" ref="K3703">_xlfn.IFS(ISBLANK(I3703),"FALTANTE",ABS((I3703-$W$8)/$X$8)&gt;1.92,"ATÍPICO",ABS((I3703-$W$8)/$X$8)&lt;=1.92,"NO ATÍPICO")</f>
        <v>NO ATÍPICO</v>
      </c>
      <c r="L3703">
        <f t="shared" si="245"/>
        <v>94480</v>
      </c>
      <c r="M3703" t="str">
        <f t="shared" si="245"/>
        <v>ASALARIADO</v>
      </c>
      <c r="N3703">
        <f t="shared" si="246"/>
        <v>54</v>
      </c>
      <c r="O3703" s="19" t="str">
        <f t="shared" si="247"/>
        <v>0–300k</v>
      </c>
      <c r="P3703" s="19" t="str">
        <f t="shared" si="248"/>
        <v>46-55</v>
      </c>
    </row>
    <row r="3704" spans="1:16" x14ac:dyDescent="0.25">
      <c r="A3704">
        <v>3703</v>
      </c>
      <c r="B3704" t="s">
        <v>9</v>
      </c>
      <c r="C3704">
        <v>411667</v>
      </c>
      <c r="D3704" t="s">
        <v>10</v>
      </c>
      <c r="E3704" t="s">
        <v>16</v>
      </c>
      <c r="F3704" t="s">
        <v>12</v>
      </c>
      <c r="G3704" t="s">
        <v>13</v>
      </c>
      <c r="H3704" t="s">
        <v>13</v>
      </c>
      <c r="I3704">
        <v>21</v>
      </c>
      <c r="J3704" t="str" cm="1">
        <f t="array" ref="J3704">_xlfn.IFS(ISBLANK(C3704),"FALTANTE",ABS((C3704-$W$5)/$X$5)&gt;1.96,"ATÍPICO",ABS((C3704-$W$5)/$X$5)&lt;=1.96,"NO ATÍPICO")</f>
        <v>NO ATÍPICO</v>
      </c>
      <c r="K3704" t="str" cm="1">
        <f t="array" ref="K3704">_xlfn.IFS(ISBLANK(I3704),"FALTANTE",ABS((I3704-$W$8)/$X$8)&gt;1.92,"ATÍPICO",ABS((I3704-$W$8)/$X$8)&lt;=1.92,"NO ATÍPICO")</f>
        <v>NO ATÍPICO</v>
      </c>
      <c r="L3704">
        <f t="shared" si="245"/>
        <v>411667</v>
      </c>
      <c r="M3704" t="str">
        <f t="shared" si="245"/>
        <v>ASALARIADO</v>
      </c>
      <c r="N3704">
        <f t="shared" si="246"/>
        <v>21</v>
      </c>
      <c r="O3704" s="19" t="str">
        <f t="shared" si="247"/>
        <v>300k–600k</v>
      </c>
      <c r="P3704" s="19" t="str">
        <f t="shared" si="248"/>
        <v>18-25</v>
      </c>
    </row>
    <row r="3705" spans="1:16" x14ac:dyDescent="0.25">
      <c r="A3705">
        <v>3704</v>
      </c>
      <c r="B3705" t="s">
        <v>9</v>
      </c>
      <c r="C3705">
        <v>101489</v>
      </c>
      <c r="D3705" t="s">
        <v>10</v>
      </c>
      <c r="E3705" t="s">
        <v>16</v>
      </c>
      <c r="F3705" t="s">
        <v>12</v>
      </c>
      <c r="G3705" t="s">
        <v>13</v>
      </c>
      <c r="H3705" t="s">
        <v>13</v>
      </c>
      <c r="I3705">
        <v>37</v>
      </c>
      <c r="J3705" t="str" cm="1">
        <f t="array" ref="J3705">_xlfn.IFS(ISBLANK(C3705),"FALTANTE",ABS((C3705-$W$5)/$X$5)&gt;1.96,"ATÍPICO",ABS((C3705-$W$5)/$X$5)&lt;=1.96,"NO ATÍPICO")</f>
        <v>NO ATÍPICO</v>
      </c>
      <c r="K3705" t="str" cm="1">
        <f t="array" ref="K3705">_xlfn.IFS(ISBLANK(I3705),"FALTANTE",ABS((I3705-$W$8)/$X$8)&gt;1.92,"ATÍPICO",ABS((I3705-$W$8)/$X$8)&lt;=1.92,"NO ATÍPICO")</f>
        <v>NO ATÍPICO</v>
      </c>
      <c r="L3705">
        <f t="shared" si="245"/>
        <v>101489</v>
      </c>
      <c r="M3705" t="str">
        <f t="shared" si="245"/>
        <v>ASALARIADO</v>
      </c>
      <c r="N3705">
        <f t="shared" si="246"/>
        <v>37</v>
      </c>
      <c r="O3705" s="19" t="str">
        <f t="shared" si="247"/>
        <v>0–300k</v>
      </c>
      <c r="P3705" s="19" t="str">
        <f t="shared" si="248"/>
        <v>36-45</v>
      </c>
    </row>
    <row r="3706" spans="1:16" x14ac:dyDescent="0.25">
      <c r="A3706">
        <v>3705</v>
      </c>
      <c r="B3706" t="s">
        <v>9</v>
      </c>
      <c r="C3706">
        <v>1017560.5</v>
      </c>
      <c r="D3706" t="s">
        <v>10</v>
      </c>
      <c r="E3706" t="s">
        <v>11</v>
      </c>
      <c r="F3706" t="s">
        <v>12</v>
      </c>
      <c r="G3706" t="s">
        <v>13</v>
      </c>
      <c r="H3706" t="s">
        <v>13</v>
      </c>
      <c r="I3706">
        <v>60</v>
      </c>
      <c r="J3706" t="str" cm="1">
        <f t="array" ref="J3706">_xlfn.IFS(ISBLANK(C3706),"FALTANTE",ABS((C3706-$W$5)/$X$5)&gt;1.96,"ATÍPICO",ABS((C3706-$W$5)/$X$5)&lt;=1.96,"NO ATÍPICO")</f>
        <v>NO ATÍPICO</v>
      </c>
      <c r="K3706" t="str" cm="1">
        <f t="array" ref="K3706">_xlfn.IFS(ISBLANK(I3706),"FALTANTE",ABS((I3706-$W$8)/$X$8)&gt;1.92,"ATÍPICO",ABS((I3706-$W$8)/$X$8)&lt;=1.92,"NO ATÍPICO")</f>
        <v>NO ATÍPICO</v>
      </c>
      <c r="L3706">
        <f t="shared" si="245"/>
        <v>1017560.5</v>
      </c>
      <c r="M3706" t="str">
        <f t="shared" si="245"/>
        <v>ASALARIADO</v>
      </c>
      <c r="N3706">
        <f t="shared" si="246"/>
        <v>60</v>
      </c>
      <c r="O3706" s="19" t="str">
        <f t="shared" si="247"/>
        <v>900k–1200k</v>
      </c>
      <c r="P3706" s="19" t="str">
        <f t="shared" si="248"/>
        <v>56+</v>
      </c>
    </row>
    <row r="3707" spans="1:16" x14ac:dyDescent="0.25">
      <c r="A3707">
        <v>3706</v>
      </c>
      <c r="B3707" t="s">
        <v>9</v>
      </c>
      <c r="C3707">
        <v>753064</v>
      </c>
      <c r="D3707" t="s">
        <v>10</v>
      </c>
      <c r="E3707" t="s">
        <v>11</v>
      </c>
      <c r="F3707" t="s">
        <v>12</v>
      </c>
      <c r="G3707" t="s">
        <v>13</v>
      </c>
      <c r="H3707" t="s">
        <v>12</v>
      </c>
      <c r="I3707">
        <v>53</v>
      </c>
      <c r="J3707" t="str" cm="1">
        <f t="array" ref="J3707">_xlfn.IFS(ISBLANK(C3707),"FALTANTE",ABS((C3707-$W$5)/$X$5)&gt;1.96,"ATÍPICO",ABS((C3707-$W$5)/$X$5)&lt;=1.96,"NO ATÍPICO")</f>
        <v>NO ATÍPICO</v>
      </c>
      <c r="K3707" t="str" cm="1">
        <f t="array" ref="K3707">_xlfn.IFS(ISBLANK(I3707),"FALTANTE",ABS((I3707-$W$8)/$X$8)&gt;1.92,"ATÍPICO",ABS((I3707-$W$8)/$X$8)&lt;=1.92,"NO ATÍPICO")</f>
        <v>NO ATÍPICO</v>
      </c>
      <c r="L3707">
        <f t="shared" si="245"/>
        <v>753064</v>
      </c>
      <c r="M3707" t="str">
        <f t="shared" si="245"/>
        <v>ASALARIADO</v>
      </c>
      <c r="N3707">
        <f t="shared" si="246"/>
        <v>53</v>
      </c>
      <c r="O3707" s="19" t="str">
        <f t="shared" si="247"/>
        <v>600k–900k</v>
      </c>
      <c r="P3707" s="19" t="str">
        <f t="shared" si="248"/>
        <v>46-55</v>
      </c>
    </row>
    <row r="3708" spans="1:16" x14ac:dyDescent="0.25">
      <c r="A3708">
        <v>3707</v>
      </c>
      <c r="B3708" t="s">
        <v>9</v>
      </c>
      <c r="C3708">
        <v>495975</v>
      </c>
      <c r="D3708" t="s">
        <v>18</v>
      </c>
      <c r="E3708" t="s">
        <v>16</v>
      </c>
      <c r="F3708" t="s">
        <v>12</v>
      </c>
      <c r="G3708" t="s">
        <v>13</v>
      </c>
      <c r="H3708" t="s">
        <v>12</v>
      </c>
      <c r="I3708">
        <v>33</v>
      </c>
      <c r="J3708" t="str" cm="1">
        <f t="array" ref="J3708">_xlfn.IFS(ISBLANK(C3708),"FALTANTE",ABS((C3708-$W$5)/$X$5)&gt;1.96,"ATÍPICO",ABS((C3708-$W$5)/$X$5)&lt;=1.96,"NO ATÍPICO")</f>
        <v>NO ATÍPICO</v>
      </c>
      <c r="K3708" t="str" cm="1">
        <f t="array" ref="K3708">_xlfn.IFS(ISBLANK(I3708),"FALTANTE",ABS((I3708-$W$8)/$X$8)&gt;1.92,"ATÍPICO",ABS((I3708-$W$8)/$X$8)&lt;=1.92,"NO ATÍPICO")</f>
        <v>NO ATÍPICO</v>
      </c>
      <c r="L3708">
        <f t="shared" si="245"/>
        <v>495975</v>
      </c>
      <c r="M3708" t="str">
        <f t="shared" si="245"/>
        <v>TRABAJADOR INDEPENDIENTE</v>
      </c>
      <c r="N3708">
        <f t="shared" si="246"/>
        <v>33</v>
      </c>
      <c r="O3708" s="19" t="str">
        <f t="shared" si="247"/>
        <v>300k–600k</v>
      </c>
      <c r="P3708" s="19" t="str">
        <f t="shared" si="248"/>
        <v>26-35</v>
      </c>
    </row>
    <row r="3709" spans="1:16" x14ac:dyDescent="0.25">
      <c r="A3709">
        <v>3708</v>
      </c>
      <c r="B3709" t="s">
        <v>15</v>
      </c>
      <c r="C3709">
        <v>639148</v>
      </c>
      <c r="D3709" t="s">
        <v>18</v>
      </c>
      <c r="E3709" t="s">
        <v>16</v>
      </c>
      <c r="F3709" t="s">
        <v>12</v>
      </c>
      <c r="G3709" t="s">
        <v>13</v>
      </c>
      <c r="H3709" t="s">
        <v>12</v>
      </c>
      <c r="I3709">
        <v>84</v>
      </c>
      <c r="J3709" t="str" cm="1">
        <f t="array" ref="J3709">_xlfn.IFS(ISBLANK(C3709),"FALTANTE",ABS((C3709-$W$5)/$X$5)&gt;1.96,"ATÍPICO",ABS((C3709-$W$5)/$X$5)&lt;=1.96,"NO ATÍPICO")</f>
        <v>NO ATÍPICO</v>
      </c>
      <c r="K3709" t="str" cm="1">
        <f t="array" ref="K3709">_xlfn.IFS(ISBLANK(I3709),"FALTANTE",ABS((I3709-$W$8)/$X$8)&gt;1.92,"ATÍPICO",ABS((I3709-$W$8)/$X$8)&lt;=1.92,"NO ATÍPICO")</f>
        <v>ATÍPICO</v>
      </c>
      <c r="L3709">
        <f t="shared" si="245"/>
        <v>639148</v>
      </c>
      <c r="M3709" t="str">
        <f t="shared" si="245"/>
        <v>TRABAJADOR INDEPENDIENTE</v>
      </c>
      <c r="N3709">
        <f t="shared" si="246"/>
        <v>84</v>
      </c>
      <c r="O3709" s="19" t="str">
        <f t="shared" si="247"/>
        <v>600k–900k</v>
      </c>
      <c r="P3709" s="19" t="str">
        <f t="shared" si="248"/>
        <v>56+</v>
      </c>
    </row>
    <row r="3710" spans="1:16" x14ac:dyDescent="0.25">
      <c r="A3710">
        <v>3709</v>
      </c>
      <c r="B3710" t="s">
        <v>15</v>
      </c>
      <c r="C3710">
        <v>1821145</v>
      </c>
      <c r="D3710" t="s">
        <v>10</v>
      </c>
      <c r="E3710" t="s">
        <v>11</v>
      </c>
      <c r="F3710" t="s">
        <v>12</v>
      </c>
      <c r="G3710" t="s">
        <v>13</v>
      </c>
      <c r="H3710" t="s">
        <v>12</v>
      </c>
      <c r="I3710">
        <v>59</v>
      </c>
      <c r="J3710" t="str" cm="1">
        <f t="array" ref="J3710">_xlfn.IFS(ISBLANK(C3710),"FALTANTE",ABS((C3710-$W$5)/$X$5)&gt;1.96,"ATÍPICO",ABS((C3710-$W$5)/$X$5)&lt;=1.96,"NO ATÍPICO")</f>
        <v>NO ATÍPICO</v>
      </c>
      <c r="K3710" t="str" cm="1">
        <f t="array" ref="K3710">_xlfn.IFS(ISBLANK(I3710),"FALTANTE",ABS((I3710-$W$8)/$X$8)&gt;1.92,"ATÍPICO",ABS((I3710-$W$8)/$X$8)&lt;=1.92,"NO ATÍPICO")</f>
        <v>NO ATÍPICO</v>
      </c>
      <c r="L3710">
        <f t="shared" si="245"/>
        <v>1821145</v>
      </c>
      <c r="M3710" t="str">
        <f t="shared" si="245"/>
        <v>ASALARIADO</v>
      </c>
      <c r="N3710">
        <f t="shared" si="246"/>
        <v>59</v>
      </c>
      <c r="O3710" s="19" t="str">
        <f t="shared" si="247"/>
        <v>1200k+</v>
      </c>
      <c r="P3710" s="19" t="str">
        <f t="shared" si="248"/>
        <v>56+</v>
      </c>
    </row>
    <row r="3711" spans="1:16" x14ac:dyDescent="0.25">
      <c r="A3711">
        <v>3710</v>
      </c>
      <c r="B3711" t="s">
        <v>9</v>
      </c>
      <c r="C3711">
        <v>325000</v>
      </c>
      <c r="D3711" t="s">
        <v>10</v>
      </c>
      <c r="E3711" t="s">
        <v>16</v>
      </c>
      <c r="F3711" t="s">
        <v>12</v>
      </c>
      <c r="G3711" t="s">
        <v>13</v>
      </c>
      <c r="H3711" t="s">
        <v>13</v>
      </c>
      <c r="I3711">
        <v>38</v>
      </c>
      <c r="J3711" t="str" cm="1">
        <f t="array" ref="J3711">_xlfn.IFS(ISBLANK(C3711),"FALTANTE",ABS((C3711-$W$5)/$X$5)&gt;1.96,"ATÍPICO",ABS((C3711-$W$5)/$X$5)&lt;=1.96,"NO ATÍPICO")</f>
        <v>NO ATÍPICO</v>
      </c>
      <c r="K3711" t="str" cm="1">
        <f t="array" ref="K3711">_xlfn.IFS(ISBLANK(I3711),"FALTANTE",ABS((I3711-$W$8)/$X$8)&gt;1.92,"ATÍPICO",ABS((I3711-$W$8)/$X$8)&lt;=1.92,"NO ATÍPICO")</f>
        <v>NO ATÍPICO</v>
      </c>
      <c r="L3711">
        <f t="shared" si="245"/>
        <v>325000</v>
      </c>
      <c r="M3711" t="str">
        <f t="shared" si="245"/>
        <v>ASALARIADO</v>
      </c>
      <c r="N3711">
        <f t="shared" si="246"/>
        <v>38</v>
      </c>
      <c r="O3711" s="19" t="str">
        <f t="shared" si="247"/>
        <v>300k–600k</v>
      </c>
      <c r="P3711" s="19" t="str">
        <f t="shared" si="248"/>
        <v>36-45</v>
      </c>
    </row>
    <row r="3712" spans="1:16" x14ac:dyDescent="0.25">
      <c r="A3712">
        <v>3711</v>
      </c>
      <c r="B3712" t="s">
        <v>9</v>
      </c>
      <c r="C3712">
        <v>278030</v>
      </c>
      <c r="D3712" t="s">
        <v>19</v>
      </c>
      <c r="E3712" t="s">
        <v>16</v>
      </c>
      <c r="F3712" t="s">
        <v>12</v>
      </c>
      <c r="G3712" t="s">
        <v>13</v>
      </c>
      <c r="H3712" t="s">
        <v>13</v>
      </c>
      <c r="I3712">
        <v>49</v>
      </c>
      <c r="J3712" t="str" cm="1">
        <f t="array" ref="J3712">_xlfn.IFS(ISBLANK(C3712),"FALTANTE",ABS((C3712-$W$5)/$X$5)&gt;1.96,"ATÍPICO",ABS((C3712-$W$5)/$X$5)&lt;=1.96,"NO ATÍPICO")</f>
        <v>NO ATÍPICO</v>
      </c>
      <c r="K3712" t="str" cm="1">
        <f t="array" ref="K3712">_xlfn.IFS(ISBLANK(I3712),"FALTANTE",ABS((I3712-$W$8)/$X$8)&gt;1.92,"ATÍPICO",ABS((I3712-$W$8)/$X$8)&lt;=1.92,"NO ATÍPICO")</f>
        <v>NO ATÍPICO</v>
      </c>
      <c r="L3712">
        <f t="shared" si="245"/>
        <v>278030</v>
      </c>
      <c r="M3712" t="str">
        <f t="shared" si="245"/>
        <v>CONVENIOS ESPECIALES DE TRABAJADORES INDEPENDIENTES</v>
      </c>
      <c r="N3712">
        <f t="shared" si="246"/>
        <v>49</v>
      </c>
      <c r="O3712" s="19" t="str">
        <f t="shared" si="247"/>
        <v>0–300k</v>
      </c>
      <c r="P3712" s="19" t="str">
        <f t="shared" si="248"/>
        <v>46-55</v>
      </c>
    </row>
    <row r="3713" spans="1:16" x14ac:dyDescent="0.25">
      <c r="A3713">
        <v>3712</v>
      </c>
      <c r="B3713" t="s">
        <v>9</v>
      </c>
      <c r="C3713">
        <v>979107.34</v>
      </c>
      <c r="D3713" t="s">
        <v>10</v>
      </c>
      <c r="E3713" t="s">
        <v>16</v>
      </c>
      <c r="F3713" t="s">
        <v>12</v>
      </c>
      <c r="G3713" t="s">
        <v>13</v>
      </c>
      <c r="H3713" t="s">
        <v>13</v>
      </c>
      <c r="I3713">
        <v>53</v>
      </c>
      <c r="J3713" t="str" cm="1">
        <f t="array" ref="J3713">_xlfn.IFS(ISBLANK(C3713),"FALTANTE",ABS((C3713-$W$5)/$X$5)&gt;1.96,"ATÍPICO",ABS((C3713-$W$5)/$X$5)&lt;=1.96,"NO ATÍPICO")</f>
        <v>NO ATÍPICO</v>
      </c>
      <c r="K3713" t="str" cm="1">
        <f t="array" ref="K3713">_xlfn.IFS(ISBLANK(I3713),"FALTANTE",ABS((I3713-$W$8)/$X$8)&gt;1.92,"ATÍPICO",ABS((I3713-$W$8)/$X$8)&lt;=1.92,"NO ATÍPICO")</f>
        <v>NO ATÍPICO</v>
      </c>
      <c r="L3713">
        <f t="shared" si="245"/>
        <v>979107.34</v>
      </c>
      <c r="M3713" t="str">
        <f t="shared" si="245"/>
        <v>ASALARIADO</v>
      </c>
      <c r="N3713">
        <f t="shared" si="246"/>
        <v>53</v>
      </c>
      <c r="O3713" s="19" t="str">
        <f t="shared" si="247"/>
        <v>900k–1200k</v>
      </c>
      <c r="P3713" s="19" t="str">
        <f t="shared" si="248"/>
        <v>46-55</v>
      </c>
    </row>
    <row r="3714" spans="1:16" x14ac:dyDescent="0.25">
      <c r="A3714">
        <v>3713</v>
      </c>
      <c r="B3714" t="s">
        <v>9</v>
      </c>
      <c r="C3714">
        <v>297046</v>
      </c>
      <c r="D3714" t="s">
        <v>18</v>
      </c>
      <c r="E3714" t="s">
        <v>16</v>
      </c>
      <c r="F3714" t="s">
        <v>12</v>
      </c>
      <c r="G3714" t="s">
        <v>13</v>
      </c>
      <c r="H3714" t="s">
        <v>13</v>
      </c>
      <c r="I3714">
        <v>39</v>
      </c>
      <c r="J3714" t="str" cm="1">
        <f t="array" ref="J3714">_xlfn.IFS(ISBLANK(C3714),"FALTANTE",ABS((C3714-$W$5)/$X$5)&gt;1.96,"ATÍPICO",ABS((C3714-$W$5)/$X$5)&lt;=1.96,"NO ATÍPICO")</f>
        <v>NO ATÍPICO</v>
      </c>
      <c r="K3714" t="str" cm="1">
        <f t="array" ref="K3714">_xlfn.IFS(ISBLANK(I3714),"FALTANTE",ABS((I3714-$W$8)/$X$8)&gt;1.92,"ATÍPICO",ABS((I3714-$W$8)/$X$8)&lt;=1.92,"NO ATÍPICO")</f>
        <v>NO ATÍPICO</v>
      </c>
      <c r="L3714">
        <f t="shared" ref="L3714:M3777" si="249">C3714</f>
        <v>297046</v>
      </c>
      <c r="M3714" t="str">
        <f t="shared" si="249"/>
        <v>TRABAJADOR INDEPENDIENTE</v>
      </c>
      <c r="N3714">
        <f t="shared" ref="N3714:N3777" si="250">I3714</f>
        <v>39</v>
      </c>
      <c r="O3714" s="19" t="str">
        <f t="shared" ref="O3714:O3777" si="251">IF(L3714&lt;=300000,"0–300k",IF(L3714&lt;=600000,"300k–600k",IF(L3714&lt;=900000,"600k–900k",IF(L3714&lt;=1200000,"900k–1200k","1200k+"))))</f>
        <v>0–300k</v>
      </c>
      <c r="P3714" s="19" t="str">
        <f t="shared" ref="P3714:P3777" si="252">IF(N3714 &lt;=25,"18-25", IF(N3714&lt;=35,"26-35", IF(N3714 &lt;=45,"36-45", IF(N3714&lt;=55,"46-55","56+"))))</f>
        <v>36-45</v>
      </c>
    </row>
    <row r="3715" spans="1:16" x14ac:dyDescent="0.25">
      <c r="A3715">
        <v>3714</v>
      </c>
      <c r="B3715" t="s">
        <v>15</v>
      </c>
      <c r="C3715">
        <v>330278</v>
      </c>
      <c r="D3715" t="s">
        <v>10</v>
      </c>
      <c r="E3715" t="s">
        <v>16</v>
      </c>
      <c r="F3715" t="s">
        <v>12</v>
      </c>
      <c r="G3715" t="s">
        <v>13</v>
      </c>
      <c r="H3715" t="s">
        <v>13</v>
      </c>
      <c r="I3715">
        <v>40</v>
      </c>
      <c r="J3715" t="str" cm="1">
        <f t="array" ref="J3715">_xlfn.IFS(ISBLANK(C3715),"FALTANTE",ABS((C3715-$W$5)/$X$5)&gt;1.96,"ATÍPICO",ABS((C3715-$W$5)/$X$5)&lt;=1.96,"NO ATÍPICO")</f>
        <v>NO ATÍPICO</v>
      </c>
      <c r="K3715" t="str" cm="1">
        <f t="array" ref="K3715">_xlfn.IFS(ISBLANK(I3715),"FALTANTE",ABS((I3715-$W$8)/$X$8)&gt;1.92,"ATÍPICO",ABS((I3715-$W$8)/$X$8)&lt;=1.92,"NO ATÍPICO")</f>
        <v>NO ATÍPICO</v>
      </c>
      <c r="L3715">
        <f t="shared" si="249"/>
        <v>330278</v>
      </c>
      <c r="M3715" t="str">
        <f t="shared" si="249"/>
        <v>ASALARIADO</v>
      </c>
      <c r="N3715">
        <f t="shared" si="250"/>
        <v>40</v>
      </c>
      <c r="O3715" s="19" t="str">
        <f t="shared" si="251"/>
        <v>300k–600k</v>
      </c>
      <c r="P3715" s="19" t="str">
        <f t="shared" si="252"/>
        <v>36-45</v>
      </c>
    </row>
    <row r="3716" spans="1:16" x14ac:dyDescent="0.25">
      <c r="A3716">
        <v>3715</v>
      </c>
      <c r="B3716" t="s">
        <v>9</v>
      </c>
      <c r="C3716">
        <v>476355</v>
      </c>
      <c r="D3716" t="s">
        <v>10</v>
      </c>
      <c r="E3716" t="s">
        <v>16</v>
      </c>
      <c r="F3716" t="s">
        <v>12</v>
      </c>
      <c r="G3716" t="s">
        <v>13</v>
      </c>
      <c r="H3716" t="s">
        <v>13</v>
      </c>
      <c r="I3716">
        <v>48</v>
      </c>
      <c r="J3716" t="str" cm="1">
        <f t="array" ref="J3716">_xlfn.IFS(ISBLANK(C3716),"FALTANTE",ABS((C3716-$W$5)/$X$5)&gt;1.96,"ATÍPICO",ABS((C3716-$W$5)/$X$5)&lt;=1.96,"NO ATÍPICO")</f>
        <v>NO ATÍPICO</v>
      </c>
      <c r="K3716" t="str" cm="1">
        <f t="array" ref="K3716">_xlfn.IFS(ISBLANK(I3716),"FALTANTE",ABS((I3716-$W$8)/$X$8)&gt;1.92,"ATÍPICO",ABS((I3716-$W$8)/$X$8)&lt;=1.92,"NO ATÍPICO")</f>
        <v>NO ATÍPICO</v>
      </c>
      <c r="L3716">
        <f t="shared" si="249"/>
        <v>476355</v>
      </c>
      <c r="M3716" t="str">
        <f t="shared" si="249"/>
        <v>ASALARIADO</v>
      </c>
      <c r="N3716">
        <f t="shared" si="250"/>
        <v>48</v>
      </c>
      <c r="O3716" s="19" t="str">
        <f t="shared" si="251"/>
        <v>300k–600k</v>
      </c>
      <c r="P3716" s="19" t="str">
        <f t="shared" si="252"/>
        <v>46-55</v>
      </c>
    </row>
    <row r="3717" spans="1:16" x14ac:dyDescent="0.25">
      <c r="A3717">
        <v>3716</v>
      </c>
      <c r="B3717" t="s">
        <v>9</v>
      </c>
      <c r="C3717">
        <v>420000</v>
      </c>
      <c r="D3717" t="s">
        <v>10</v>
      </c>
      <c r="E3717" t="s">
        <v>16</v>
      </c>
      <c r="F3717" t="s">
        <v>12</v>
      </c>
      <c r="G3717" t="s">
        <v>13</v>
      </c>
      <c r="H3717" t="s">
        <v>13</v>
      </c>
      <c r="I3717">
        <v>29</v>
      </c>
      <c r="J3717" t="str" cm="1">
        <f t="array" ref="J3717">_xlfn.IFS(ISBLANK(C3717),"FALTANTE",ABS((C3717-$W$5)/$X$5)&gt;1.96,"ATÍPICO",ABS((C3717-$W$5)/$X$5)&lt;=1.96,"NO ATÍPICO")</f>
        <v>NO ATÍPICO</v>
      </c>
      <c r="K3717" t="str" cm="1">
        <f t="array" ref="K3717">_xlfn.IFS(ISBLANK(I3717),"FALTANTE",ABS((I3717-$W$8)/$X$8)&gt;1.92,"ATÍPICO",ABS((I3717-$W$8)/$X$8)&lt;=1.92,"NO ATÍPICO")</f>
        <v>NO ATÍPICO</v>
      </c>
      <c r="L3717">
        <f t="shared" si="249"/>
        <v>420000</v>
      </c>
      <c r="M3717" t="str">
        <f t="shared" si="249"/>
        <v>ASALARIADO</v>
      </c>
      <c r="N3717">
        <f t="shared" si="250"/>
        <v>29</v>
      </c>
      <c r="O3717" s="19" t="str">
        <f t="shared" si="251"/>
        <v>300k–600k</v>
      </c>
      <c r="P3717" s="19" t="str">
        <f t="shared" si="252"/>
        <v>26-35</v>
      </c>
    </row>
    <row r="3718" spans="1:16" x14ac:dyDescent="0.25">
      <c r="A3718">
        <v>3717</v>
      </c>
      <c r="B3718" t="s">
        <v>15</v>
      </c>
      <c r="C3718">
        <v>1333402</v>
      </c>
      <c r="D3718" t="s">
        <v>10</v>
      </c>
      <c r="E3718" t="s">
        <v>11</v>
      </c>
      <c r="F3718" t="s">
        <v>12</v>
      </c>
      <c r="G3718" t="s">
        <v>13</v>
      </c>
      <c r="H3718" t="s">
        <v>13</v>
      </c>
      <c r="I3718">
        <v>39</v>
      </c>
      <c r="J3718" t="str" cm="1">
        <f t="array" ref="J3718">_xlfn.IFS(ISBLANK(C3718),"FALTANTE",ABS((C3718-$W$5)/$X$5)&gt;1.96,"ATÍPICO",ABS((C3718-$W$5)/$X$5)&lt;=1.96,"NO ATÍPICO")</f>
        <v>NO ATÍPICO</v>
      </c>
      <c r="K3718" t="str" cm="1">
        <f t="array" ref="K3718">_xlfn.IFS(ISBLANK(I3718),"FALTANTE",ABS((I3718-$W$8)/$X$8)&gt;1.92,"ATÍPICO",ABS((I3718-$W$8)/$X$8)&lt;=1.92,"NO ATÍPICO")</f>
        <v>NO ATÍPICO</v>
      </c>
      <c r="L3718">
        <f t="shared" si="249"/>
        <v>1333402</v>
      </c>
      <c r="M3718" t="str">
        <f t="shared" si="249"/>
        <v>ASALARIADO</v>
      </c>
      <c r="N3718">
        <f t="shared" si="250"/>
        <v>39</v>
      </c>
      <c r="O3718" s="19" t="str">
        <f t="shared" si="251"/>
        <v>1200k+</v>
      </c>
      <c r="P3718" s="19" t="str">
        <f t="shared" si="252"/>
        <v>36-45</v>
      </c>
    </row>
    <row r="3719" spans="1:16" x14ac:dyDescent="0.25">
      <c r="A3719">
        <v>3718</v>
      </c>
      <c r="B3719" t="s">
        <v>9</v>
      </c>
      <c r="C3719">
        <v>356657</v>
      </c>
      <c r="D3719" t="s">
        <v>17</v>
      </c>
      <c r="E3719" t="s">
        <v>16</v>
      </c>
      <c r="F3719" t="s">
        <v>12</v>
      </c>
      <c r="G3719" t="s">
        <v>13</v>
      </c>
      <c r="H3719" t="s">
        <v>12</v>
      </c>
      <c r="I3719">
        <v>61</v>
      </c>
      <c r="J3719" t="str" cm="1">
        <f t="array" ref="J3719">_xlfn.IFS(ISBLANK(C3719),"FALTANTE",ABS((C3719-$W$5)/$X$5)&gt;1.96,"ATÍPICO",ABS((C3719-$W$5)/$X$5)&lt;=1.96,"NO ATÍPICO")</f>
        <v>NO ATÍPICO</v>
      </c>
      <c r="K3719" t="str" cm="1">
        <f t="array" ref="K3719">_xlfn.IFS(ISBLANK(I3719),"FALTANTE",ABS((I3719-$W$8)/$X$8)&gt;1.92,"ATÍPICO",ABS((I3719-$W$8)/$X$8)&lt;=1.92,"NO ATÍPICO")</f>
        <v>NO ATÍPICO</v>
      </c>
      <c r="L3719">
        <f t="shared" si="249"/>
        <v>356657</v>
      </c>
      <c r="M3719" t="str">
        <f t="shared" si="249"/>
        <v>ASEGURADO VOLUNTARIO</v>
      </c>
      <c r="N3719">
        <f t="shared" si="250"/>
        <v>61</v>
      </c>
      <c r="O3719" s="19" t="str">
        <f t="shared" si="251"/>
        <v>300k–600k</v>
      </c>
      <c r="P3719" s="19" t="str">
        <f t="shared" si="252"/>
        <v>56+</v>
      </c>
    </row>
    <row r="3720" spans="1:16" x14ac:dyDescent="0.25">
      <c r="A3720">
        <v>3719</v>
      </c>
      <c r="B3720" t="s">
        <v>15</v>
      </c>
      <c r="C3720">
        <v>297046</v>
      </c>
      <c r="D3720" t="s">
        <v>17</v>
      </c>
      <c r="E3720" t="s">
        <v>16</v>
      </c>
      <c r="F3720" t="s">
        <v>12</v>
      </c>
      <c r="G3720" t="s">
        <v>12</v>
      </c>
      <c r="H3720" t="s">
        <v>13</v>
      </c>
      <c r="I3720">
        <v>31</v>
      </c>
      <c r="J3720" t="str" cm="1">
        <f t="array" ref="J3720">_xlfn.IFS(ISBLANK(C3720),"FALTANTE",ABS((C3720-$W$5)/$X$5)&gt;1.96,"ATÍPICO",ABS((C3720-$W$5)/$X$5)&lt;=1.96,"NO ATÍPICO")</f>
        <v>NO ATÍPICO</v>
      </c>
      <c r="K3720" t="str" cm="1">
        <f t="array" ref="K3720">_xlfn.IFS(ISBLANK(I3720),"FALTANTE",ABS((I3720-$W$8)/$X$8)&gt;1.92,"ATÍPICO",ABS((I3720-$W$8)/$X$8)&lt;=1.92,"NO ATÍPICO")</f>
        <v>NO ATÍPICO</v>
      </c>
      <c r="L3720">
        <f t="shared" si="249"/>
        <v>297046</v>
      </c>
      <c r="M3720" t="str">
        <f t="shared" si="249"/>
        <v>ASEGURADO VOLUNTARIO</v>
      </c>
      <c r="N3720">
        <f t="shared" si="250"/>
        <v>31</v>
      </c>
      <c r="O3720" s="19" t="str">
        <f t="shared" si="251"/>
        <v>0–300k</v>
      </c>
      <c r="P3720" s="19" t="str">
        <f t="shared" si="252"/>
        <v>26-35</v>
      </c>
    </row>
    <row r="3721" spans="1:16" x14ac:dyDescent="0.25">
      <c r="A3721">
        <v>3720</v>
      </c>
      <c r="B3721" t="s">
        <v>9</v>
      </c>
      <c r="C3721">
        <v>239421</v>
      </c>
      <c r="D3721" t="s">
        <v>10</v>
      </c>
      <c r="E3721" t="s">
        <v>16</v>
      </c>
      <c r="F3721" t="s">
        <v>12</v>
      </c>
      <c r="G3721" t="s">
        <v>12</v>
      </c>
      <c r="H3721" t="s">
        <v>13</v>
      </c>
      <c r="I3721">
        <v>22</v>
      </c>
      <c r="J3721" t="str" cm="1">
        <f t="array" ref="J3721">_xlfn.IFS(ISBLANK(C3721),"FALTANTE",ABS((C3721-$W$5)/$X$5)&gt;1.96,"ATÍPICO",ABS((C3721-$W$5)/$X$5)&lt;=1.96,"NO ATÍPICO")</f>
        <v>NO ATÍPICO</v>
      </c>
      <c r="K3721" t="str" cm="1">
        <f t="array" ref="K3721">_xlfn.IFS(ISBLANK(I3721),"FALTANTE",ABS((I3721-$W$8)/$X$8)&gt;1.92,"ATÍPICO",ABS((I3721-$W$8)/$X$8)&lt;=1.92,"NO ATÍPICO")</f>
        <v>NO ATÍPICO</v>
      </c>
      <c r="L3721">
        <f t="shared" si="249"/>
        <v>239421</v>
      </c>
      <c r="M3721" t="str">
        <f t="shared" si="249"/>
        <v>ASALARIADO</v>
      </c>
      <c r="N3721">
        <f t="shared" si="250"/>
        <v>22</v>
      </c>
      <c r="O3721" s="19" t="str">
        <f t="shared" si="251"/>
        <v>0–300k</v>
      </c>
      <c r="P3721" s="19" t="str">
        <f t="shared" si="252"/>
        <v>18-25</v>
      </c>
    </row>
    <row r="3722" spans="1:16" x14ac:dyDescent="0.25">
      <c r="A3722">
        <v>3721</v>
      </c>
      <c r="B3722" t="s">
        <v>9</v>
      </c>
      <c r="C3722">
        <v>202396.55</v>
      </c>
      <c r="D3722" t="s">
        <v>10</v>
      </c>
      <c r="E3722" t="s">
        <v>16</v>
      </c>
      <c r="F3722" t="s">
        <v>12</v>
      </c>
      <c r="G3722" t="s">
        <v>13</v>
      </c>
      <c r="H3722" t="s">
        <v>13</v>
      </c>
      <c r="I3722">
        <v>36</v>
      </c>
      <c r="J3722" t="str" cm="1">
        <f t="array" ref="J3722">_xlfn.IFS(ISBLANK(C3722),"FALTANTE",ABS((C3722-$W$5)/$X$5)&gt;1.96,"ATÍPICO",ABS((C3722-$W$5)/$X$5)&lt;=1.96,"NO ATÍPICO")</f>
        <v>NO ATÍPICO</v>
      </c>
      <c r="K3722" t="str" cm="1">
        <f t="array" ref="K3722">_xlfn.IFS(ISBLANK(I3722),"FALTANTE",ABS((I3722-$W$8)/$X$8)&gt;1.92,"ATÍPICO",ABS((I3722-$W$8)/$X$8)&lt;=1.92,"NO ATÍPICO")</f>
        <v>NO ATÍPICO</v>
      </c>
      <c r="L3722">
        <f t="shared" si="249"/>
        <v>202396.55</v>
      </c>
      <c r="M3722" t="str">
        <f t="shared" si="249"/>
        <v>ASALARIADO</v>
      </c>
      <c r="N3722">
        <f t="shared" si="250"/>
        <v>36</v>
      </c>
      <c r="O3722" s="19" t="str">
        <f t="shared" si="251"/>
        <v>0–300k</v>
      </c>
      <c r="P3722" s="19" t="str">
        <f t="shared" si="252"/>
        <v>36-45</v>
      </c>
    </row>
    <row r="3723" spans="1:16" x14ac:dyDescent="0.25">
      <c r="A3723">
        <v>3722</v>
      </c>
      <c r="B3723" t="s">
        <v>9</v>
      </c>
      <c r="C3723">
        <v>260000</v>
      </c>
      <c r="D3723" t="s">
        <v>10</v>
      </c>
      <c r="E3723" t="s">
        <v>16</v>
      </c>
      <c r="F3723" t="s">
        <v>12</v>
      </c>
      <c r="G3723" t="s">
        <v>13</v>
      </c>
      <c r="H3723" t="s">
        <v>12</v>
      </c>
      <c r="I3723">
        <v>37</v>
      </c>
      <c r="J3723" t="str" cm="1">
        <f t="array" ref="J3723">_xlfn.IFS(ISBLANK(C3723),"FALTANTE",ABS((C3723-$W$5)/$X$5)&gt;1.96,"ATÍPICO",ABS((C3723-$W$5)/$X$5)&lt;=1.96,"NO ATÍPICO")</f>
        <v>NO ATÍPICO</v>
      </c>
      <c r="K3723" t="str" cm="1">
        <f t="array" ref="K3723">_xlfn.IFS(ISBLANK(I3723),"FALTANTE",ABS((I3723-$W$8)/$X$8)&gt;1.92,"ATÍPICO",ABS((I3723-$W$8)/$X$8)&lt;=1.92,"NO ATÍPICO")</f>
        <v>NO ATÍPICO</v>
      </c>
      <c r="L3723">
        <f t="shared" si="249"/>
        <v>260000</v>
      </c>
      <c r="M3723" t="str">
        <f t="shared" si="249"/>
        <v>ASALARIADO</v>
      </c>
      <c r="N3723">
        <f t="shared" si="250"/>
        <v>37</v>
      </c>
      <c r="O3723" s="19" t="str">
        <f t="shared" si="251"/>
        <v>0–300k</v>
      </c>
      <c r="P3723" s="19" t="str">
        <f t="shared" si="252"/>
        <v>36-45</v>
      </c>
    </row>
    <row r="3724" spans="1:16" x14ac:dyDescent="0.25">
      <c r="A3724">
        <v>3723</v>
      </c>
      <c r="B3724" t="s">
        <v>15</v>
      </c>
      <c r="C3724">
        <v>858032.05</v>
      </c>
      <c r="D3724" t="s">
        <v>10</v>
      </c>
      <c r="E3724" t="s">
        <v>11</v>
      </c>
      <c r="F3724" t="s">
        <v>12</v>
      </c>
      <c r="G3724" t="s">
        <v>13</v>
      </c>
      <c r="H3724" t="s">
        <v>13</v>
      </c>
      <c r="I3724">
        <v>53</v>
      </c>
      <c r="J3724" t="str" cm="1">
        <f t="array" ref="J3724">_xlfn.IFS(ISBLANK(C3724),"FALTANTE",ABS((C3724-$W$5)/$X$5)&gt;1.96,"ATÍPICO",ABS((C3724-$W$5)/$X$5)&lt;=1.96,"NO ATÍPICO")</f>
        <v>NO ATÍPICO</v>
      </c>
      <c r="K3724" t="str" cm="1">
        <f t="array" ref="K3724">_xlfn.IFS(ISBLANK(I3724),"FALTANTE",ABS((I3724-$W$8)/$X$8)&gt;1.92,"ATÍPICO",ABS((I3724-$W$8)/$X$8)&lt;=1.92,"NO ATÍPICO")</f>
        <v>NO ATÍPICO</v>
      </c>
      <c r="L3724">
        <f t="shared" si="249"/>
        <v>858032.05</v>
      </c>
      <c r="M3724" t="str">
        <f t="shared" si="249"/>
        <v>ASALARIADO</v>
      </c>
      <c r="N3724">
        <f t="shared" si="250"/>
        <v>53</v>
      </c>
      <c r="O3724" s="19" t="str">
        <f t="shared" si="251"/>
        <v>600k–900k</v>
      </c>
      <c r="P3724" s="19" t="str">
        <f t="shared" si="252"/>
        <v>46-55</v>
      </c>
    </row>
    <row r="3725" spans="1:16" x14ac:dyDescent="0.25">
      <c r="A3725">
        <v>3724</v>
      </c>
      <c r="B3725" t="s">
        <v>15</v>
      </c>
      <c r="C3725">
        <v>2036556.25</v>
      </c>
      <c r="D3725" t="s">
        <v>10</v>
      </c>
      <c r="E3725" t="s">
        <v>16</v>
      </c>
      <c r="F3725" t="s">
        <v>12</v>
      </c>
      <c r="G3725" t="s">
        <v>13</v>
      </c>
      <c r="H3725" t="s">
        <v>13</v>
      </c>
      <c r="I3725">
        <v>37</v>
      </c>
      <c r="J3725" t="str" cm="1">
        <f t="array" ref="J3725">_xlfn.IFS(ISBLANK(C3725),"FALTANTE",ABS((C3725-$W$5)/$X$5)&gt;1.96,"ATÍPICO",ABS((C3725-$W$5)/$X$5)&lt;=1.96,"NO ATÍPICO")</f>
        <v>NO ATÍPICO</v>
      </c>
      <c r="K3725" t="str" cm="1">
        <f t="array" ref="K3725">_xlfn.IFS(ISBLANK(I3725),"FALTANTE",ABS((I3725-$W$8)/$X$8)&gt;1.92,"ATÍPICO",ABS((I3725-$W$8)/$X$8)&lt;=1.92,"NO ATÍPICO")</f>
        <v>NO ATÍPICO</v>
      </c>
      <c r="L3725">
        <f t="shared" si="249"/>
        <v>2036556.25</v>
      </c>
      <c r="M3725" t="str">
        <f t="shared" si="249"/>
        <v>ASALARIADO</v>
      </c>
      <c r="N3725">
        <f t="shared" si="250"/>
        <v>37</v>
      </c>
      <c r="O3725" s="19" t="str">
        <f t="shared" si="251"/>
        <v>1200k+</v>
      </c>
      <c r="P3725" s="19" t="str">
        <f t="shared" si="252"/>
        <v>36-45</v>
      </c>
    </row>
    <row r="3726" spans="1:16" x14ac:dyDescent="0.25">
      <c r="A3726">
        <v>3725</v>
      </c>
      <c r="B3726" t="s">
        <v>9</v>
      </c>
      <c r="C3726">
        <v>454518</v>
      </c>
      <c r="D3726" t="s">
        <v>10</v>
      </c>
      <c r="E3726" t="s">
        <v>16</v>
      </c>
      <c r="F3726" t="s">
        <v>12</v>
      </c>
      <c r="G3726" t="s">
        <v>13</v>
      </c>
      <c r="H3726" t="s">
        <v>13</v>
      </c>
      <c r="I3726">
        <v>35</v>
      </c>
      <c r="J3726" t="str" cm="1">
        <f t="array" ref="J3726">_xlfn.IFS(ISBLANK(C3726),"FALTANTE",ABS((C3726-$W$5)/$X$5)&gt;1.96,"ATÍPICO",ABS((C3726-$W$5)/$X$5)&lt;=1.96,"NO ATÍPICO")</f>
        <v>NO ATÍPICO</v>
      </c>
      <c r="K3726" t="str" cm="1">
        <f t="array" ref="K3726">_xlfn.IFS(ISBLANK(I3726),"FALTANTE",ABS((I3726-$W$8)/$X$8)&gt;1.92,"ATÍPICO",ABS((I3726-$W$8)/$X$8)&lt;=1.92,"NO ATÍPICO")</f>
        <v>NO ATÍPICO</v>
      </c>
      <c r="L3726">
        <f t="shared" si="249"/>
        <v>454518</v>
      </c>
      <c r="M3726" t="str">
        <f t="shared" si="249"/>
        <v>ASALARIADO</v>
      </c>
      <c r="N3726">
        <f t="shared" si="250"/>
        <v>35</v>
      </c>
      <c r="O3726" s="19" t="str">
        <f t="shared" si="251"/>
        <v>300k–600k</v>
      </c>
      <c r="P3726" s="19" t="str">
        <f t="shared" si="252"/>
        <v>26-35</v>
      </c>
    </row>
    <row r="3727" spans="1:16" x14ac:dyDescent="0.25">
      <c r="A3727">
        <v>3726</v>
      </c>
      <c r="B3727" t="s">
        <v>9</v>
      </c>
      <c r="C3727">
        <v>459616.28</v>
      </c>
      <c r="D3727" t="s">
        <v>10</v>
      </c>
      <c r="E3727" t="s">
        <v>16</v>
      </c>
      <c r="F3727" t="s">
        <v>12</v>
      </c>
      <c r="G3727" t="s">
        <v>13</v>
      </c>
      <c r="H3727" t="s">
        <v>13</v>
      </c>
      <c r="I3727">
        <v>28</v>
      </c>
      <c r="J3727" t="str" cm="1">
        <f t="array" ref="J3727">_xlfn.IFS(ISBLANK(C3727),"FALTANTE",ABS((C3727-$W$5)/$X$5)&gt;1.96,"ATÍPICO",ABS((C3727-$W$5)/$X$5)&lt;=1.96,"NO ATÍPICO")</f>
        <v>NO ATÍPICO</v>
      </c>
      <c r="K3727" t="str" cm="1">
        <f t="array" ref="K3727">_xlfn.IFS(ISBLANK(I3727),"FALTANTE",ABS((I3727-$W$8)/$X$8)&gt;1.92,"ATÍPICO",ABS((I3727-$W$8)/$X$8)&lt;=1.92,"NO ATÍPICO")</f>
        <v>NO ATÍPICO</v>
      </c>
      <c r="L3727">
        <f t="shared" si="249"/>
        <v>459616.28</v>
      </c>
      <c r="M3727" t="str">
        <f t="shared" si="249"/>
        <v>ASALARIADO</v>
      </c>
      <c r="N3727">
        <f t="shared" si="250"/>
        <v>28</v>
      </c>
      <c r="O3727" s="19" t="str">
        <f t="shared" si="251"/>
        <v>300k–600k</v>
      </c>
      <c r="P3727" s="19" t="str">
        <f t="shared" si="252"/>
        <v>26-35</v>
      </c>
    </row>
    <row r="3728" spans="1:16" x14ac:dyDescent="0.25">
      <c r="A3728">
        <v>3727</v>
      </c>
      <c r="B3728" t="s">
        <v>9</v>
      </c>
      <c r="C3728">
        <v>299744</v>
      </c>
      <c r="D3728" t="s">
        <v>18</v>
      </c>
      <c r="E3728" t="s">
        <v>16</v>
      </c>
      <c r="F3728" t="s">
        <v>12</v>
      </c>
      <c r="G3728" t="s">
        <v>13</v>
      </c>
      <c r="H3728" t="s">
        <v>13</v>
      </c>
      <c r="I3728">
        <v>40</v>
      </c>
      <c r="J3728" t="str" cm="1">
        <f t="array" ref="J3728">_xlfn.IFS(ISBLANK(C3728),"FALTANTE",ABS((C3728-$W$5)/$X$5)&gt;1.96,"ATÍPICO",ABS((C3728-$W$5)/$X$5)&lt;=1.96,"NO ATÍPICO")</f>
        <v>NO ATÍPICO</v>
      </c>
      <c r="K3728" t="str" cm="1">
        <f t="array" ref="K3728">_xlfn.IFS(ISBLANK(I3728),"FALTANTE",ABS((I3728-$W$8)/$X$8)&gt;1.92,"ATÍPICO",ABS((I3728-$W$8)/$X$8)&lt;=1.92,"NO ATÍPICO")</f>
        <v>NO ATÍPICO</v>
      </c>
      <c r="L3728">
        <f t="shared" si="249"/>
        <v>299744</v>
      </c>
      <c r="M3728" t="str">
        <f t="shared" si="249"/>
        <v>TRABAJADOR INDEPENDIENTE</v>
      </c>
      <c r="N3728">
        <f t="shared" si="250"/>
        <v>40</v>
      </c>
      <c r="O3728" s="19" t="str">
        <f t="shared" si="251"/>
        <v>0–300k</v>
      </c>
      <c r="P3728" s="19" t="str">
        <f t="shared" si="252"/>
        <v>36-45</v>
      </c>
    </row>
    <row r="3729" spans="1:16" x14ac:dyDescent="0.25">
      <c r="A3729">
        <v>3728</v>
      </c>
      <c r="B3729" t="s">
        <v>9</v>
      </c>
      <c r="C3729">
        <v>2590373.15</v>
      </c>
      <c r="D3729" t="s">
        <v>10</v>
      </c>
      <c r="E3729" t="s">
        <v>11</v>
      </c>
      <c r="F3729" t="s">
        <v>12</v>
      </c>
      <c r="G3729" t="s">
        <v>13</v>
      </c>
      <c r="H3729" t="s">
        <v>13</v>
      </c>
      <c r="I3729">
        <v>56</v>
      </c>
      <c r="J3729" t="str" cm="1">
        <f t="array" ref="J3729">_xlfn.IFS(ISBLANK(C3729),"FALTANTE",ABS((C3729-$W$5)/$X$5)&gt;1.96,"ATÍPICO",ABS((C3729-$W$5)/$X$5)&lt;=1.96,"NO ATÍPICO")</f>
        <v>ATÍPICO</v>
      </c>
      <c r="K3729" t="str" cm="1">
        <f t="array" ref="K3729">_xlfn.IFS(ISBLANK(I3729),"FALTANTE",ABS((I3729-$W$8)/$X$8)&gt;1.92,"ATÍPICO",ABS((I3729-$W$8)/$X$8)&lt;=1.92,"NO ATÍPICO")</f>
        <v>NO ATÍPICO</v>
      </c>
      <c r="L3729">
        <f t="shared" si="249"/>
        <v>2590373.15</v>
      </c>
      <c r="M3729" t="str">
        <f t="shared" si="249"/>
        <v>ASALARIADO</v>
      </c>
      <c r="N3729">
        <f t="shared" si="250"/>
        <v>56</v>
      </c>
      <c r="O3729" s="19" t="str">
        <f t="shared" si="251"/>
        <v>1200k+</v>
      </c>
      <c r="P3729" s="19" t="str">
        <f t="shared" si="252"/>
        <v>56+</v>
      </c>
    </row>
    <row r="3730" spans="1:16" x14ac:dyDescent="0.25">
      <c r="A3730">
        <v>3729</v>
      </c>
      <c r="B3730" t="s">
        <v>9</v>
      </c>
      <c r="C3730">
        <v>551468.9</v>
      </c>
      <c r="D3730" t="s">
        <v>10</v>
      </c>
      <c r="E3730" t="s">
        <v>16</v>
      </c>
      <c r="F3730" t="s">
        <v>12</v>
      </c>
      <c r="G3730" t="s">
        <v>13</v>
      </c>
      <c r="H3730" t="s">
        <v>13</v>
      </c>
      <c r="I3730">
        <v>38</v>
      </c>
      <c r="J3730" t="str" cm="1">
        <f t="array" ref="J3730">_xlfn.IFS(ISBLANK(C3730),"FALTANTE",ABS((C3730-$W$5)/$X$5)&gt;1.96,"ATÍPICO",ABS((C3730-$W$5)/$X$5)&lt;=1.96,"NO ATÍPICO")</f>
        <v>NO ATÍPICO</v>
      </c>
      <c r="K3730" t="str" cm="1">
        <f t="array" ref="K3730">_xlfn.IFS(ISBLANK(I3730),"FALTANTE",ABS((I3730-$W$8)/$X$8)&gt;1.92,"ATÍPICO",ABS((I3730-$W$8)/$X$8)&lt;=1.92,"NO ATÍPICO")</f>
        <v>NO ATÍPICO</v>
      </c>
      <c r="L3730">
        <f t="shared" si="249"/>
        <v>551468.9</v>
      </c>
      <c r="M3730" t="str">
        <f t="shared" si="249"/>
        <v>ASALARIADO</v>
      </c>
      <c r="N3730">
        <f t="shared" si="250"/>
        <v>38</v>
      </c>
      <c r="O3730" s="19" t="str">
        <f t="shared" si="251"/>
        <v>300k–600k</v>
      </c>
      <c r="P3730" s="19" t="str">
        <f t="shared" si="252"/>
        <v>36-45</v>
      </c>
    </row>
    <row r="3731" spans="1:16" x14ac:dyDescent="0.25">
      <c r="A3731">
        <v>3730</v>
      </c>
      <c r="B3731" t="s">
        <v>9</v>
      </c>
      <c r="C3731">
        <v>550000</v>
      </c>
      <c r="D3731" t="s">
        <v>10</v>
      </c>
      <c r="E3731" t="s">
        <v>16</v>
      </c>
      <c r="F3731" t="s">
        <v>12</v>
      </c>
      <c r="G3731" t="s">
        <v>13</v>
      </c>
      <c r="H3731" t="s">
        <v>13</v>
      </c>
      <c r="I3731">
        <v>58</v>
      </c>
      <c r="J3731" t="str" cm="1">
        <f t="array" ref="J3731">_xlfn.IFS(ISBLANK(C3731),"FALTANTE",ABS((C3731-$W$5)/$X$5)&gt;1.96,"ATÍPICO",ABS((C3731-$W$5)/$X$5)&lt;=1.96,"NO ATÍPICO")</f>
        <v>NO ATÍPICO</v>
      </c>
      <c r="K3731" t="str" cm="1">
        <f t="array" ref="K3731">_xlfn.IFS(ISBLANK(I3731),"FALTANTE",ABS((I3731-$W$8)/$X$8)&gt;1.92,"ATÍPICO",ABS((I3731-$W$8)/$X$8)&lt;=1.92,"NO ATÍPICO")</f>
        <v>NO ATÍPICO</v>
      </c>
      <c r="L3731">
        <f t="shared" si="249"/>
        <v>550000</v>
      </c>
      <c r="M3731" t="str">
        <f t="shared" si="249"/>
        <v>ASALARIADO</v>
      </c>
      <c r="N3731">
        <f t="shared" si="250"/>
        <v>58</v>
      </c>
      <c r="O3731" s="19" t="str">
        <f t="shared" si="251"/>
        <v>300k–600k</v>
      </c>
      <c r="P3731" s="19" t="str">
        <f t="shared" si="252"/>
        <v>56+</v>
      </c>
    </row>
    <row r="3732" spans="1:16" x14ac:dyDescent="0.25">
      <c r="A3732">
        <v>3731</v>
      </c>
      <c r="B3732" t="s">
        <v>9</v>
      </c>
      <c r="C3732">
        <v>1182929.8700000001</v>
      </c>
      <c r="D3732" t="s">
        <v>10</v>
      </c>
      <c r="E3732" t="s">
        <v>16</v>
      </c>
      <c r="F3732" t="s">
        <v>12</v>
      </c>
      <c r="G3732" t="s">
        <v>13</v>
      </c>
      <c r="H3732" t="s">
        <v>13</v>
      </c>
      <c r="I3732">
        <v>32</v>
      </c>
      <c r="J3732" t="str" cm="1">
        <f t="array" ref="J3732">_xlfn.IFS(ISBLANK(C3732),"FALTANTE",ABS((C3732-$W$5)/$X$5)&gt;1.96,"ATÍPICO",ABS((C3732-$W$5)/$X$5)&lt;=1.96,"NO ATÍPICO")</f>
        <v>NO ATÍPICO</v>
      </c>
      <c r="K3732" t="str" cm="1">
        <f t="array" ref="K3732">_xlfn.IFS(ISBLANK(I3732),"FALTANTE",ABS((I3732-$W$8)/$X$8)&gt;1.92,"ATÍPICO",ABS((I3732-$W$8)/$X$8)&lt;=1.92,"NO ATÍPICO")</f>
        <v>NO ATÍPICO</v>
      </c>
      <c r="L3732">
        <f t="shared" si="249"/>
        <v>1182929.8700000001</v>
      </c>
      <c r="M3732" t="str">
        <f t="shared" si="249"/>
        <v>ASALARIADO</v>
      </c>
      <c r="N3732">
        <f t="shared" si="250"/>
        <v>32</v>
      </c>
      <c r="O3732" s="19" t="str">
        <f t="shared" si="251"/>
        <v>900k–1200k</v>
      </c>
      <c r="P3732" s="19" t="str">
        <f t="shared" si="252"/>
        <v>26-35</v>
      </c>
    </row>
    <row r="3733" spans="1:16" x14ac:dyDescent="0.25">
      <c r="A3733">
        <v>3732</v>
      </c>
      <c r="B3733" t="s">
        <v>9</v>
      </c>
      <c r="C3733">
        <v>728454.02</v>
      </c>
      <c r="D3733" t="s">
        <v>10</v>
      </c>
      <c r="E3733" t="s">
        <v>16</v>
      </c>
      <c r="F3733" t="s">
        <v>12</v>
      </c>
      <c r="G3733" t="s">
        <v>13</v>
      </c>
      <c r="H3733" t="s">
        <v>13</v>
      </c>
      <c r="I3733">
        <v>35</v>
      </c>
      <c r="J3733" t="str" cm="1">
        <f t="array" ref="J3733">_xlfn.IFS(ISBLANK(C3733),"FALTANTE",ABS((C3733-$W$5)/$X$5)&gt;1.96,"ATÍPICO",ABS((C3733-$W$5)/$X$5)&lt;=1.96,"NO ATÍPICO")</f>
        <v>NO ATÍPICO</v>
      </c>
      <c r="K3733" t="str" cm="1">
        <f t="array" ref="K3733">_xlfn.IFS(ISBLANK(I3733),"FALTANTE",ABS((I3733-$W$8)/$X$8)&gt;1.92,"ATÍPICO",ABS((I3733-$W$8)/$X$8)&lt;=1.92,"NO ATÍPICO")</f>
        <v>NO ATÍPICO</v>
      </c>
      <c r="L3733">
        <f t="shared" si="249"/>
        <v>728454.02</v>
      </c>
      <c r="M3733" t="str">
        <f t="shared" si="249"/>
        <v>ASALARIADO</v>
      </c>
      <c r="N3733">
        <f t="shared" si="250"/>
        <v>35</v>
      </c>
      <c r="O3733" s="19" t="str">
        <f t="shared" si="251"/>
        <v>600k–900k</v>
      </c>
      <c r="P3733" s="19" t="str">
        <f t="shared" si="252"/>
        <v>26-35</v>
      </c>
    </row>
    <row r="3734" spans="1:16" x14ac:dyDescent="0.25">
      <c r="A3734">
        <v>3733</v>
      </c>
      <c r="B3734" t="s">
        <v>9</v>
      </c>
      <c r="C3734">
        <v>533333.32999999996</v>
      </c>
      <c r="D3734" t="s">
        <v>10</v>
      </c>
      <c r="E3734" t="s">
        <v>16</v>
      </c>
      <c r="F3734" t="s">
        <v>12</v>
      </c>
      <c r="G3734" t="s">
        <v>13</v>
      </c>
      <c r="H3734" t="s">
        <v>13</v>
      </c>
      <c r="I3734">
        <v>27</v>
      </c>
      <c r="J3734" t="str" cm="1">
        <f t="array" ref="J3734">_xlfn.IFS(ISBLANK(C3734),"FALTANTE",ABS((C3734-$W$5)/$X$5)&gt;1.96,"ATÍPICO",ABS((C3734-$W$5)/$X$5)&lt;=1.96,"NO ATÍPICO")</f>
        <v>NO ATÍPICO</v>
      </c>
      <c r="K3734" t="str" cm="1">
        <f t="array" ref="K3734">_xlfn.IFS(ISBLANK(I3734),"FALTANTE",ABS((I3734-$W$8)/$X$8)&gt;1.92,"ATÍPICO",ABS((I3734-$W$8)/$X$8)&lt;=1.92,"NO ATÍPICO")</f>
        <v>NO ATÍPICO</v>
      </c>
      <c r="L3734">
        <f t="shared" si="249"/>
        <v>533333.32999999996</v>
      </c>
      <c r="M3734" t="str">
        <f t="shared" si="249"/>
        <v>ASALARIADO</v>
      </c>
      <c r="N3734">
        <f t="shared" si="250"/>
        <v>27</v>
      </c>
      <c r="O3734" s="19" t="str">
        <f t="shared" si="251"/>
        <v>300k–600k</v>
      </c>
      <c r="P3734" s="19" t="str">
        <f t="shared" si="252"/>
        <v>26-35</v>
      </c>
    </row>
    <row r="3735" spans="1:16" x14ac:dyDescent="0.25">
      <c r="A3735">
        <v>3734</v>
      </c>
      <c r="B3735" t="s">
        <v>15</v>
      </c>
      <c r="C3735">
        <v>319879</v>
      </c>
      <c r="D3735" t="s">
        <v>10</v>
      </c>
      <c r="E3735" t="s">
        <v>11</v>
      </c>
      <c r="F3735" t="s">
        <v>12</v>
      </c>
      <c r="G3735" t="s">
        <v>13</v>
      </c>
      <c r="H3735" t="s">
        <v>12</v>
      </c>
      <c r="I3735">
        <v>54</v>
      </c>
      <c r="J3735" t="str" cm="1">
        <f t="array" ref="J3735">_xlfn.IFS(ISBLANK(C3735),"FALTANTE",ABS((C3735-$W$5)/$X$5)&gt;1.96,"ATÍPICO",ABS((C3735-$W$5)/$X$5)&lt;=1.96,"NO ATÍPICO")</f>
        <v>NO ATÍPICO</v>
      </c>
      <c r="K3735" t="str" cm="1">
        <f t="array" ref="K3735">_xlfn.IFS(ISBLANK(I3735),"FALTANTE",ABS((I3735-$W$8)/$X$8)&gt;1.92,"ATÍPICO",ABS((I3735-$W$8)/$X$8)&lt;=1.92,"NO ATÍPICO")</f>
        <v>NO ATÍPICO</v>
      </c>
      <c r="L3735">
        <f t="shared" si="249"/>
        <v>319879</v>
      </c>
      <c r="M3735" t="str">
        <f t="shared" si="249"/>
        <v>ASALARIADO</v>
      </c>
      <c r="N3735">
        <f t="shared" si="250"/>
        <v>54</v>
      </c>
      <c r="O3735" s="19" t="str">
        <f t="shared" si="251"/>
        <v>300k–600k</v>
      </c>
      <c r="P3735" s="19" t="str">
        <f t="shared" si="252"/>
        <v>46-55</v>
      </c>
    </row>
    <row r="3736" spans="1:16" x14ac:dyDescent="0.25">
      <c r="A3736">
        <v>3735</v>
      </c>
      <c r="B3736" t="s">
        <v>9</v>
      </c>
      <c r="C3736">
        <v>32956</v>
      </c>
      <c r="D3736" t="s">
        <v>10</v>
      </c>
      <c r="E3736" t="s">
        <v>16</v>
      </c>
      <c r="F3736" t="s">
        <v>12</v>
      </c>
      <c r="G3736" t="s">
        <v>13</v>
      </c>
      <c r="H3736" t="s">
        <v>13</v>
      </c>
      <c r="I3736">
        <v>22</v>
      </c>
      <c r="J3736" t="str" cm="1">
        <f t="array" ref="J3736">_xlfn.IFS(ISBLANK(C3736),"FALTANTE",ABS((C3736-$W$5)/$X$5)&gt;1.96,"ATÍPICO",ABS((C3736-$W$5)/$X$5)&lt;=1.96,"NO ATÍPICO")</f>
        <v>NO ATÍPICO</v>
      </c>
      <c r="K3736" t="str" cm="1">
        <f t="array" ref="K3736">_xlfn.IFS(ISBLANK(I3736),"FALTANTE",ABS((I3736-$W$8)/$X$8)&gt;1.92,"ATÍPICO",ABS((I3736-$W$8)/$X$8)&lt;=1.92,"NO ATÍPICO")</f>
        <v>NO ATÍPICO</v>
      </c>
      <c r="L3736">
        <f t="shared" si="249"/>
        <v>32956</v>
      </c>
      <c r="M3736" t="str">
        <f t="shared" si="249"/>
        <v>ASALARIADO</v>
      </c>
      <c r="N3736">
        <f t="shared" si="250"/>
        <v>22</v>
      </c>
      <c r="O3736" s="19" t="str">
        <f t="shared" si="251"/>
        <v>0–300k</v>
      </c>
      <c r="P3736" s="19" t="str">
        <f t="shared" si="252"/>
        <v>18-25</v>
      </c>
    </row>
    <row r="3737" spans="1:16" x14ac:dyDescent="0.25">
      <c r="A3737">
        <v>3736</v>
      </c>
      <c r="B3737" t="s">
        <v>9</v>
      </c>
      <c r="C3737">
        <v>450000</v>
      </c>
      <c r="D3737" t="s">
        <v>10</v>
      </c>
      <c r="E3737" t="s">
        <v>16</v>
      </c>
      <c r="F3737" t="s">
        <v>12</v>
      </c>
      <c r="G3737" t="s">
        <v>13</v>
      </c>
      <c r="H3737" t="s">
        <v>13</v>
      </c>
      <c r="I3737">
        <v>24</v>
      </c>
      <c r="J3737" t="str" cm="1">
        <f t="array" ref="J3737">_xlfn.IFS(ISBLANK(C3737),"FALTANTE",ABS((C3737-$W$5)/$X$5)&gt;1.96,"ATÍPICO",ABS((C3737-$W$5)/$X$5)&lt;=1.96,"NO ATÍPICO")</f>
        <v>NO ATÍPICO</v>
      </c>
      <c r="K3737" t="str" cm="1">
        <f t="array" ref="K3737">_xlfn.IFS(ISBLANK(I3737),"FALTANTE",ABS((I3737-$W$8)/$X$8)&gt;1.92,"ATÍPICO",ABS((I3737-$W$8)/$X$8)&lt;=1.92,"NO ATÍPICO")</f>
        <v>NO ATÍPICO</v>
      </c>
      <c r="L3737">
        <f t="shared" si="249"/>
        <v>450000</v>
      </c>
      <c r="M3737" t="str">
        <f t="shared" si="249"/>
        <v>ASALARIADO</v>
      </c>
      <c r="N3737">
        <f t="shared" si="250"/>
        <v>24</v>
      </c>
      <c r="O3737" s="19" t="str">
        <f t="shared" si="251"/>
        <v>300k–600k</v>
      </c>
      <c r="P3737" s="19" t="str">
        <f t="shared" si="252"/>
        <v>18-25</v>
      </c>
    </row>
    <row r="3738" spans="1:16" x14ac:dyDescent="0.25">
      <c r="A3738">
        <v>3737</v>
      </c>
      <c r="B3738" t="s">
        <v>15</v>
      </c>
      <c r="C3738">
        <v>682607.23</v>
      </c>
      <c r="D3738" t="s">
        <v>10</v>
      </c>
      <c r="E3738" t="s">
        <v>16</v>
      </c>
      <c r="F3738" t="s">
        <v>12</v>
      </c>
      <c r="G3738" t="s">
        <v>13</v>
      </c>
      <c r="H3738" t="s">
        <v>12</v>
      </c>
      <c r="I3738">
        <v>28</v>
      </c>
      <c r="J3738" t="str" cm="1">
        <f t="array" ref="J3738">_xlfn.IFS(ISBLANK(C3738),"FALTANTE",ABS((C3738-$W$5)/$X$5)&gt;1.96,"ATÍPICO",ABS((C3738-$W$5)/$X$5)&lt;=1.96,"NO ATÍPICO")</f>
        <v>NO ATÍPICO</v>
      </c>
      <c r="K3738" t="str" cm="1">
        <f t="array" ref="K3738">_xlfn.IFS(ISBLANK(I3738),"FALTANTE",ABS((I3738-$W$8)/$X$8)&gt;1.92,"ATÍPICO",ABS((I3738-$W$8)/$X$8)&lt;=1.92,"NO ATÍPICO")</f>
        <v>NO ATÍPICO</v>
      </c>
      <c r="L3738">
        <f t="shared" si="249"/>
        <v>682607.23</v>
      </c>
      <c r="M3738" t="str">
        <f t="shared" si="249"/>
        <v>ASALARIADO</v>
      </c>
      <c r="N3738">
        <f t="shared" si="250"/>
        <v>28</v>
      </c>
      <c r="O3738" s="19" t="str">
        <f t="shared" si="251"/>
        <v>600k–900k</v>
      </c>
      <c r="P3738" s="19" t="str">
        <f t="shared" si="252"/>
        <v>26-35</v>
      </c>
    </row>
    <row r="3739" spans="1:16" x14ac:dyDescent="0.25">
      <c r="A3739">
        <v>3738</v>
      </c>
      <c r="B3739" t="s">
        <v>15</v>
      </c>
      <c r="C3739">
        <v>1326562</v>
      </c>
      <c r="D3739" t="s">
        <v>14</v>
      </c>
      <c r="E3739" t="s">
        <v>11</v>
      </c>
      <c r="F3739" t="s">
        <v>12</v>
      </c>
      <c r="G3739" t="s">
        <v>13</v>
      </c>
      <c r="H3739" t="s">
        <v>13</v>
      </c>
      <c r="I3739">
        <v>59</v>
      </c>
      <c r="J3739" t="str" cm="1">
        <f t="array" ref="J3739">_xlfn.IFS(ISBLANK(C3739),"FALTANTE",ABS((C3739-$W$5)/$X$5)&gt;1.96,"ATÍPICO",ABS((C3739-$W$5)/$X$5)&lt;=1.96,"NO ATÍPICO")</f>
        <v>NO ATÍPICO</v>
      </c>
      <c r="K3739" t="str" cm="1">
        <f t="array" ref="K3739">_xlfn.IFS(ISBLANK(I3739),"FALTANTE",ABS((I3739-$W$8)/$X$8)&gt;1.92,"ATÍPICO",ABS((I3739-$W$8)/$X$8)&lt;=1.92,"NO ATÍPICO")</f>
        <v>NO ATÍPICO</v>
      </c>
      <c r="L3739">
        <f t="shared" si="249"/>
        <v>1326562</v>
      </c>
      <c r="M3739" t="str">
        <f t="shared" si="249"/>
        <v>PENSIONADOS EN SU PROPIO SISTEMA</v>
      </c>
      <c r="N3739">
        <f t="shared" si="250"/>
        <v>59</v>
      </c>
      <c r="O3739" s="19" t="str">
        <f t="shared" si="251"/>
        <v>1200k+</v>
      </c>
      <c r="P3739" s="19" t="str">
        <f t="shared" si="252"/>
        <v>56+</v>
      </c>
    </row>
    <row r="3740" spans="1:16" x14ac:dyDescent="0.25">
      <c r="A3740">
        <v>3739</v>
      </c>
      <c r="B3740" t="s">
        <v>9</v>
      </c>
      <c r="C3740">
        <v>195000</v>
      </c>
      <c r="D3740" t="s">
        <v>10</v>
      </c>
      <c r="E3740" t="s">
        <v>16</v>
      </c>
      <c r="F3740" t="s">
        <v>12</v>
      </c>
      <c r="G3740" t="s">
        <v>13</v>
      </c>
      <c r="H3740" t="s">
        <v>13</v>
      </c>
      <c r="I3740">
        <v>28</v>
      </c>
      <c r="J3740" t="str" cm="1">
        <f t="array" ref="J3740">_xlfn.IFS(ISBLANK(C3740),"FALTANTE",ABS((C3740-$W$5)/$X$5)&gt;1.96,"ATÍPICO",ABS((C3740-$W$5)/$X$5)&lt;=1.96,"NO ATÍPICO")</f>
        <v>NO ATÍPICO</v>
      </c>
      <c r="K3740" t="str" cm="1">
        <f t="array" ref="K3740">_xlfn.IFS(ISBLANK(I3740),"FALTANTE",ABS((I3740-$W$8)/$X$8)&gt;1.92,"ATÍPICO",ABS((I3740-$W$8)/$X$8)&lt;=1.92,"NO ATÍPICO")</f>
        <v>NO ATÍPICO</v>
      </c>
      <c r="L3740">
        <f t="shared" si="249"/>
        <v>195000</v>
      </c>
      <c r="M3740" t="str">
        <f t="shared" si="249"/>
        <v>ASALARIADO</v>
      </c>
      <c r="N3740">
        <f t="shared" si="250"/>
        <v>28</v>
      </c>
      <c r="O3740" s="19" t="str">
        <f t="shared" si="251"/>
        <v>0–300k</v>
      </c>
      <c r="P3740" s="19" t="str">
        <f t="shared" si="252"/>
        <v>26-35</v>
      </c>
    </row>
    <row r="3741" spans="1:16" x14ac:dyDescent="0.25">
      <c r="A3741">
        <v>3740</v>
      </c>
      <c r="B3741" t="s">
        <v>15</v>
      </c>
      <c r="C3741">
        <v>297046</v>
      </c>
      <c r="D3741" t="s">
        <v>18</v>
      </c>
      <c r="E3741" t="s">
        <v>16</v>
      </c>
      <c r="F3741" t="s">
        <v>12</v>
      </c>
      <c r="G3741" t="s">
        <v>13</v>
      </c>
      <c r="H3741" t="s">
        <v>13</v>
      </c>
      <c r="I3741">
        <v>47</v>
      </c>
      <c r="J3741" t="str" cm="1">
        <f t="array" ref="J3741">_xlfn.IFS(ISBLANK(C3741),"FALTANTE",ABS((C3741-$W$5)/$X$5)&gt;1.96,"ATÍPICO",ABS((C3741-$W$5)/$X$5)&lt;=1.96,"NO ATÍPICO")</f>
        <v>NO ATÍPICO</v>
      </c>
      <c r="K3741" t="str" cm="1">
        <f t="array" ref="K3741">_xlfn.IFS(ISBLANK(I3741),"FALTANTE",ABS((I3741-$W$8)/$X$8)&gt;1.92,"ATÍPICO",ABS((I3741-$W$8)/$X$8)&lt;=1.92,"NO ATÍPICO")</f>
        <v>NO ATÍPICO</v>
      </c>
      <c r="L3741">
        <f t="shared" si="249"/>
        <v>297046</v>
      </c>
      <c r="M3741" t="str">
        <f t="shared" si="249"/>
        <v>TRABAJADOR INDEPENDIENTE</v>
      </c>
      <c r="N3741">
        <f t="shared" si="250"/>
        <v>47</v>
      </c>
      <c r="O3741" s="19" t="str">
        <f t="shared" si="251"/>
        <v>0–300k</v>
      </c>
      <c r="P3741" s="19" t="str">
        <f t="shared" si="252"/>
        <v>46-55</v>
      </c>
    </row>
    <row r="3742" spans="1:16" x14ac:dyDescent="0.25">
      <c r="A3742">
        <v>3741</v>
      </c>
      <c r="B3742" t="s">
        <v>9</v>
      </c>
      <c r="C3742">
        <v>840549</v>
      </c>
      <c r="D3742" t="s">
        <v>10</v>
      </c>
      <c r="E3742" t="s">
        <v>11</v>
      </c>
      <c r="F3742" t="s">
        <v>12</v>
      </c>
      <c r="G3742" t="s">
        <v>13</v>
      </c>
      <c r="H3742" t="s">
        <v>13</v>
      </c>
      <c r="I3742">
        <v>54</v>
      </c>
      <c r="J3742" t="str" cm="1">
        <f t="array" ref="J3742">_xlfn.IFS(ISBLANK(C3742),"FALTANTE",ABS((C3742-$W$5)/$X$5)&gt;1.96,"ATÍPICO",ABS((C3742-$W$5)/$X$5)&lt;=1.96,"NO ATÍPICO")</f>
        <v>NO ATÍPICO</v>
      </c>
      <c r="K3742" t="str" cm="1">
        <f t="array" ref="K3742">_xlfn.IFS(ISBLANK(I3742),"FALTANTE",ABS((I3742-$W$8)/$X$8)&gt;1.92,"ATÍPICO",ABS((I3742-$W$8)/$X$8)&lt;=1.92,"NO ATÍPICO")</f>
        <v>NO ATÍPICO</v>
      </c>
      <c r="L3742">
        <f t="shared" si="249"/>
        <v>840549</v>
      </c>
      <c r="M3742" t="str">
        <f t="shared" si="249"/>
        <v>ASALARIADO</v>
      </c>
      <c r="N3742">
        <f t="shared" si="250"/>
        <v>54</v>
      </c>
      <c r="O3742" s="19" t="str">
        <f t="shared" si="251"/>
        <v>600k–900k</v>
      </c>
      <c r="P3742" s="19" t="str">
        <f t="shared" si="252"/>
        <v>46-55</v>
      </c>
    </row>
    <row r="3743" spans="1:16" x14ac:dyDescent="0.25">
      <c r="A3743">
        <v>3742</v>
      </c>
      <c r="B3743" t="s">
        <v>15</v>
      </c>
      <c r="C3743">
        <v>1343265.5</v>
      </c>
      <c r="D3743" t="s">
        <v>10</v>
      </c>
      <c r="E3743" t="s">
        <v>11</v>
      </c>
      <c r="F3743" t="s">
        <v>12</v>
      </c>
      <c r="G3743" t="s">
        <v>13</v>
      </c>
      <c r="H3743" t="s">
        <v>13</v>
      </c>
      <c r="I3743">
        <v>40</v>
      </c>
      <c r="J3743" t="str" cm="1">
        <f t="array" ref="J3743">_xlfn.IFS(ISBLANK(C3743),"FALTANTE",ABS((C3743-$W$5)/$X$5)&gt;1.96,"ATÍPICO",ABS((C3743-$W$5)/$X$5)&lt;=1.96,"NO ATÍPICO")</f>
        <v>NO ATÍPICO</v>
      </c>
      <c r="K3743" t="str" cm="1">
        <f t="array" ref="K3743">_xlfn.IFS(ISBLANK(I3743),"FALTANTE",ABS((I3743-$W$8)/$X$8)&gt;1.92,"ATÍPICO",ABS((I3743-$W$8)/$X$8)&lt;=1.92,"NO ATÍPICO")</f>
        <v>NO ATÍPICO</v>
      </c>
      <c r="L3743">
        <f t="shared" si="249"/>
        <v>1343265.5</v>
      </c>
      <c r="M3743" t="str">
        <f t="shared" si="249"/>
        <v>ASALARIADO</v>
      </c>
      <c r="N3743">
        <f t="shared" si="250"/>
        <v>40</v>
      </c>
      <c r="O3743" s="19" t="str">
        <f t="shared" si="251"/>
        <v>1200k+</v>
      </c>
      <c r="P3743" s="19" t="str">
        <f t="shared" si="252"/>
        <v>36-45</v>
      </c>
    </row>
    <row r="3744" spans="1:16" x14ac:dyDescent="0.25">
      <c r="A3744">
        <v>3743</v>
      </c>
      <c r="B3744" t="s">
        <v>9</v>
      </c>
      <c r="C3744">
        <v>600000</v>
      </c>
      <c r="D3744" t="s">
        <v>10</v>
      </c>
      <c r="E3744" t="s">
        <v>16</v>
      </c>
      <c r="F3744" t="s">
        <v>12</v>
      </c>
      <c r="G3744" t="s">
        <v>13</v>
      </c>
      <c r="H3744" t="s">
        <v>13</v>
      </c>
      <c r="I3744">
        <v>53</v>
      </c>
      <c r="J3744" t="str" cm="1">
        <f t="array" ref="J3744">_xlfn.IFS(ISBLANK(C3744),"FALTANTE",ABS((C3744-$W$5)/$X$5)&gt;1.96,"ATÍPICO",ABS((C3744-$W$5)/$X$5)&lt;=1.96,"NO ATÍPICO")</f>
        <v>NO ATÍPICO</v>
      </c>
      <c r="K3744" t="str" cm="1">
        <f t="array" ref="K3744">_xlfn.IFS(ISBLANK(I3744),"FALTANTE",ABS((I3744-$W$8)/$X$8)&gt;1.92,"ATÍPICO",ABS((I3744-$W$8)/$X$8)&lt;=1.92,"NO ATÍPICO")</f>
        <v>NO ATÍPICO</v>
      </c>
      <c r="L3744">
        <f t="shared" si="249"/>
        <v>600000</v>
      </c>
      <c r="M3744" t="str">
        <f t="shared" si="249"/>
        <v>ASALARIADO</v>
      </c>
      <c r="N3744">
        <f t="shared" si="250"/>
        <v>53</v>
      </c>
      <c r="O3744" s="19" t="str">
        <f t="shared" si="251"/>
        <v>300k–600k</v>
      </c>
      <c r="P3744" s="19" t="str">
        <f t="shared" si="252"/>
        <v>46-55</v>
      </c>
    </row>
    <row r="3745" spans="1:16" x14ac:dyDescent="0.25">
      <c r="A3745">
        <v>3744</v>
      </c>
      <c r="B3745" t="s">
        <v>9</v>
      </c>
      <c r="C3745">
        <v>795414</v>
      </c>
      <c r="D3745" t="s">
        <v>10</v>
      </c>
      <c r="E3745" t="s">
        <v>16</v>
      </c>
      <c r="F3745" t="s">
        <v>12</v>
      </c>
      <c r="G3745" t="s">
        <v>13</v>
      </c>
      <c r="H3745" t="s">
        <v>13</v>
      </c>
      <c r="I3745">
        <v>22</v>
      </c>
      <c r="J3745" t="str" cm="1">
        <f t="array" ref="J3745">_xlfn.IFS(ISBLANK(C3745),"FALTANTE",ABS((C3745-$W$5)/$X$5)&gt;1.96,"ATÍPICO",ABS((C3745-$W$5)/$X$5)&lt;=1.96,"NO ATÍPICO")</f>
        <v>NO ATÍPICO</v>
      </c>
      <c r="K3745" t="str" cm="1">
        <f t="array" ref="K3745">_xlfn.IFS(ISBLANK(I3745),"FALTANTE",ABS((I3745-$W$8)/$X$8)&gt;1.92,"ATÍPICO",ABS((I3745-$W$8)/$X$8)&lt;=1.92,"NO ATÍPICO")</f>
        <v>NO ATÍPICO</v>
      </c>
      <c r="L3745">
        <f t="shared" si="249"/>
        <v>795414</v>
      </c>
      <c r="M3745" t="str">
        <f t="shared" si="249"/>
        <v>ASALARIADO</v>
      </c>
      <c r="N3745">
        <f t="shared" si="250"/>
        <v>22</v>
      </c>
      <c r="O3745" s="19" t="str">
        <f t="shared" si="251"/>
        <v>600k–900k</v>
      </c>
      <c r="P3745" s="19" t="str">
        <f t="shared" si="252"/>
        <v>18-25</v>
      </c>
    </row>
    <row r="3746" spans="1:16" x14ac:dyDescent="0.25">
      <c r="A3746">
        <v>3745</v>
      </c>
      <c r="B3746" t="s">
        <v>15</v>
      </c>
      <c r="C3746">
        <v>359545</v>
      </c>
      <c r="D3746" t="s">
        <v>10</v>
      </c>
      <c r="E3746" t="s">
        <v>16</v>
      </c>
      <c r="F3746" t="s">
        <v>12</v>
      </c>
      <c r="G3746" t="s">
        <v>13</v>
      </c>
      <c r="H3746" t="s">
        <v>13</v>
      </c>
      <c r="I3746">
        <v>30</v>
      </c>
      <c r="J3746" t="str" cm="1">
        <f t="array" ref="J3746">_xlfn.IFS(ISBLANK(C3746),"FALTANTE",ABS((C3746-$W$5)/$X$5)&gt;1.96,"ATÍPICO",ABS((C3746-$W$5)/$X$5)&lt;=1.96,"NO ATÍPICO")</f>
        <v>NO ATÍPICO</v>
      </c>
      <c r="K3746" t="str" cm="1">
        <f t="array" ref="K3746">_xlfn.IFS(ISBLANK(I3746),"FALTANTE",ABS((I3746-$W$8)/$X$8)&gt;1.92,"ATÍPICO",ABS((I3746-$W$8)/$X$8)&lt;=1.92,"NO ATÍPICO")</f>
        <v>NO ATÍPICO</v>
      </c>
      <c r="L3746">
        <f t="shared" si="249"/>
        <v>359545</v>
      </c>
      <c r="M3746" t="str">
        <f t="shared" si="249"/>
        <v>ASALARIADO</v>
      </c>
      <c r="N3746">
        <f t="shared" si="250"/>
        <v>30</v>
      </c>
      <c r="O3746" s="19" t="str">
        <f t="shared" si="251"/>
        <v>300k–600k</v>
      </c>
      <c r="P3746" s="19" t="str">
        <f t="shared" si="252"/>
        <v>26-35</v>
      </c>
    </row>
    <row r="3747" spans="1:16" x14ac:dyDescent="0.25">
      <c r="A3747">
        <v>3746</v>
      </c>
      <c r="B3747" t="s">
        <v>15</v>
      </c>
      <c r="C3747">
        <v>351185</v>
      </c>
      <c r="D3747" t="s">
        <v>10</v>
      </c>
      <c r="E3747" t="s">
        <v>16</v>
      </c>
      <c r="F3747" t="s">
        <v>12</v>
      </c>
      <c r="G3747" t="s">
        <v>13</v>
      </c>
      <c r="H3747" t="s">
        <v>13</v>
      </c>
      <c r="I3747">
        <v>50</v>
      </c>
      <c r="J3747" t="str" cm="1">
        <f t="array" ref="J3747">_xlfn.IFS(ISBLANK(C3747),"FALTANTE",ABS((C3747-$W$5)/$X$5)&gt;1.96,"ATÍPICO",ABS((C3747-$W$5)/$X$5)&lt;=1.96,"NO ATÍPICO")</f>
        <v>NO ATÍPICO</v>
      </c>
      <c r="K3747" t="str" cm="1">
        <f t="array" ref="K3747">_xlfn.IFS(ISBLANK(I3747),"FALTANTE",ABS((I3747-$W$8)/$X$8)&gt;1.92,"ATÍPICO",ABS((I3747-$W$8)/$X$8)&lt;=1.92,"NO ATÍPICO")</f>
        <v>NO ATÍPICO</v>
      </c>
      <c r="L3747">
        <f t="shared" si="249"/>
        <v>351185</v>
      </c>
      <c r="M3747" t="str">
        <f t="shared" si="249"/>
        <v>ASALARIADO</v>
      </c>
      <c r="N3747">
        <f t="shared" si="250"/>
        <v>50</v>
      </c>
      <c r="O3747" s="19" t="str">
        <f t="shared" si="251"/>
        <v>300k–600k</v>
      </c>
      <c r="P3747" s="19" t="str">
        <f t="shared" si="252"/>
        <v>46-55</v>
      </c>
    </row>
    <row r="3748" spans="1:16" x14ac:dyDescent="0.25">
      <c r="A3748">
        <v>3747</v>
      </c>
      <c r="B3748" t="s">
        <v>9</v>
      </c>
      <c r="C3748">
        <v>395218.86</v>
      </c>
      <c r="D3748" t="s">
        <v>10</v>
      </c>
      <c r="E3748" t="s">
        <v>16</v>
      </c>
      <c r="F3748" t="s">
        <v>12</v>
      </c>
      <c r="G3748" t="s">
        <v>13</v>
      </c>
      <c r="H3748" t="s">
        <v>13</v>
      </c>
      <c r="I3748">
        <v>20</v>
      </c>
      <c r="J3748" t="str" cm="1">
        <f t="array" ref="J3748">_xlfn.IFS(ISBLANK(C3748),"FALTANTE",ABS((C3748-$W$5)/$X$5)&gt;1.96,"ATÍPICO",ABS((C3748-$W$5)/$X$5)&lt;=1.96,"NO ATÍPICO")</f>
        <v>NO ATÍPICO</v>
      </c>
      <c r="K3748" t="str" cm="1">
        <f t="array" ref="K3748">_xlfn.IFS(ISBLANK(I3748),"FALTANTE",ABS((I3748-$W$8)/$X$8)&gt;1.92,"ATÍPICO",ABS((I3748-$W$8)/$X$8)&lt;=1.92,"NO ATÍPICO")</f>
        <v>NO ATÍPICO</v>
      </c>
      <c r="L3748">
        <f t="shared" si="249"/>
        <v>395218.86</v>
      </c>
      <c r="M3748" t="str">
        <f t="shared" si="249"/>
        <v>ASALARIADO</v>
      </c>
      <c r="N3748">
        <f t="shared" si="250"/>
        <v>20</v>
      </c>
      <c r="O3748" s="19" t="str">
        <f t="shared" si="251"/>
        <v>300k–600k</v>
      </c>
      <c r="P3748" s="19" t="str">
        <f t="shared" si="252"/>
        <v>18-25</v>
      </c>
    </row>
    <row r="3749" spans="1:16" x14ac:dyDescent="0.25">
      <c r="A3749">
        <v>3748</v>
      </c>
      <c r="B3749" t="s">
        <v>9</v>
      </c>
      <c r="C3749">
        <v>241119</v>
      </c>
      <c r="D3749" t="s">
        <v>10</v>
      </c>
      <c r="E3749" t="s">
        <v>16</v>
      </c>
      <c r="F3749" t="s">
        <v>12</v>
      </c>
      <c r="G3749" t="s">
        <v>13</v>
      </c>
      <c r="H3749" t="s">
        <v>13</v>
      </c>
      <c r="I3749">
        <v>47</v>
      </c>
      <c r="J3749" t="str" cm="1">
        <f t="array" ref="J3749">_xlfn.IFS(ISBLANK(C3749),"FALTANTE",ABS((C3749-$W$5)/$X$5)&gt;1.96,"ATÍPICO",ABS((C3749-$W$5)/$X$5)&lt;=1.96,"NO ATÍPICO")</f>
        <v>NO ATÍPICO</v>
      </c>
      <c r="K3749" t="str" cm="1">
        <f t="array" ref="K3749">_xlfn.IFS(ISBLANK(I3749),"FALTANTE",ABS((I3749-$W$8)/$X$8)&gt;1.92,"ATÍPICO",ABS((I3749-$W$8)/$X$8)&lt;=1.92,"NO ATÍPICO")</f>
        <v>NO ATÍPICO</v>
      </c>
      <c r="L3749">
        <f t="shared" si="249"/>
        <v>241119</v>
      </c>
      <c r="M3749" t="str">
        <f t="shared" si="249"/>
        <v>ASALARIADO</v>
      </c>
      <c r="N3749">
        <f t="shared" si="250"/>
        <v>47</v>
      </c>
      <c r="O3749" s="19" t="str">
        <f t="shared" si="251"/>
        <v>0–300k</v>
      </c>
      <c r="P3749" s="19" t="str">
        <f t="shared" si="252"/>
        <v>46-55</v>
      </c>
    </row>
    <row r="3750" spans="1:16" x14ac:dyDescent="0.25">
      <c r="A3750">
        <v>3749</v>
      </c>
      <c r="B3750" t="s">
        <v>9</v>
      </c>
      <c r="C3750">
        <v>445567</v>
      </c>
      <c r="D3750" t="s">
        <v>18</v>
      </c>
      <c r="E3750" t="s">
        <v>16</v>
      </c>
      <c r="F3750" t="s">
        <v>12</v>
      </c>
      <c r="G3750" t="s">
        <v>13</v>
      </c>
      <c r="H3750" t="s">
        <v>12</v>
      </c>
      <c r="I3750">
        <v>50</v>
      </c>
      <c r="J3750" t="str" cm="1">
        <f t="array" ref="J3750">_xlfn.IFS(ISBLANK(C3750),"FALTANTE",ABS((C3750-$W$5)/$X$5)&gt;1.96,"ATÍPICO",ABS((C3750-$W$5)/$X$5)&lt;=1.96,"NO ATÍPICO")</f>
        <v>NO ATÍPICO</v>
      </c>
      <c r="K3750" t="str" cm="1">
        <f t="array" ref="K3750">_xlfn.IFS(ISBLANK(I3750),"FALTANTE",ABS((I3750-$W$8)/$X$8)&gt;1.92,"ATÍPICO",ABS((I3750-$W$8)/$X$8)&lt;=1.92,"NO ATÍPICO")</f>
        <v>NO ATÍPICO</v>
      </c>
      <c r="L3750">
        <f t="shared" si="249"/>
        <v>445567</v>
      </c>
      <c r="M3750" t="str">
        <f t="shared" si="249"/>
        <v>TRABAJADOR INDEPENDIENTE</v>
      </c>
      <c r="N3750">
        <f t="shared" si="250"/>
        <v>50</v>
      </c>
      <c r="O3750" s="19" t="str">
        <f t="shared" si="251"/>
        <v>300k–600k</v>
      </c>
      <c r="P3750" s="19" t="str">
        <f t="shared" si="252"/>
        <v>46-55</v>
      </c>
    </row>
    <row r="3751" spans="1:16" x14ac:dyDescent="0.25">
      <c r="A3751">
        <v>3750</v>
      </c>
      <c r="B3751" t="s">
        <v>9</v>
      </c>
      <c r="C3751">
        <v>1116779.8400000001</v>
      </c>
      <c r="D3751" t="s">
        <v>10</v>
      </c>
      <c r="E3751" t="s">
        <v>16</v>
      </c>
      <c r="F3751" t="s">
        <v>12</v>
      </c>
      <c r="G3751" t="s">
        <v>13</v>
      </c>
      <c r="H3751" t="s">
        <v>13</v>
      </c>
      <c r="I3751">
        <v>42</v>
      </c>
      <c r="J3751" t="str" cm="1">
        <f t="array" ref="J3751">_xlfn.IFS(ISBLANK(C3751),"FALTANTE",ABS((C3751-$W$5)/$X$5)&gt;1.96,"ATÍPICO",ABS((C3751-$W$5)/$X$5)&lt;=1.96,"NO ATÍPICO")</f>
        <v>NO ATÍPICO</v>
      </c>
      <c r="K3751" t="str" cm="1">
        <f t="array" ref="K3751">_xlfn.IFS(ISBLANK(I3751),"FALTANTE",ABS((I3751-$W$8)/$X$8)&gt;1.92,"ATÍPICO",ABS((I3751-$W$8)/$X$8)&lt;=1.92,"NO ATÍPICO")</f>
        <v>NO ATÍPICO</v>
      </c>
      <c r="L3751">
        <f t="shared" si="249"/>
        <v>1116779.8400000001</v>
      </c>
      <c r="M3751" t="str">
        <f t="shared" si="249"/>
        <v>ASALARIADO</v>
      </c>
      <c r="N3751">
        <f t="shared" si="250"/>
        <v>42</v>
      </c>
      <c r="O3751" s="19" t="str">
        <f t="shared" si="251"/>
        <v>900k–1200k</v>
      </c>
      <c r="P3751" s="19" t="str">
        <f t="shared" si="252"/>
        <v>36-45</v>
      </c>
    </row>
    <row r="3752" spans="1:16" x14ac:dyDescent="0.25">
      <c r="A3752">
        <v>3751</v>
      </c>
      <c r="B3752" t="s">
        <v>9</v>
      </c>
      <c r="C3752">
        <v>499958.33</v>
      </c>
      <c r="D3752" t="s">
        <v>10</v>
      </c>
      <c r="E3752" t="s">
        <v>16</v>
      </c>
      <c r="F3752" t="s">
        <v>12</v>
      </c>
      <c r="G3752" t="s">
        <v>13</v>
      </c>
      <c r="H3752" t="s">
        <v>13</v>
      </c>
      <c r="I3752">
        <v>27</v>
      </c>
      <c r="J3752" t="str" cm="1">
        <f t="array" ref="J3752">_xlfn.IFS(ISBLANK(C3752),"FALTANTE",ABS((C3752-$W$5)/$X$5)&gt;1.96,"ATÍPICO",ABS((C3752-$W$5)/$X$5)&lt;=1.96,"NO ATÍPICO")</f>
        <v>NO ATÍPICO</v>
      </c>
      <c r="K3752" t="str" cm="1">
        <f t="array" ref="K3752">_xlfn.IFS(ISBLANK(I3752),"FALTANTE",ABS((I3752-$W$8)/$X$8)&gt;1.92,"ATÍPICO",ABS((I3752-$W$8)/$X$8)&lt;=1.92,"NO ATÍPICO")</f>
        <v>NO ATÍPICO</v>
      </c>
      <c r="L3752">
        <f t="shared" si="249"/>
        <v>499958.33</v>
      </c>
      <c r="M3752" t="str">
        <f t="shared" si="249"/>
        <v>ASALARIADO</v>
      </c>
      <c r="N3752">
        <f t="shared" si="250"/>
        <v>27</v>
      </c>
      <c r="O3752" s="19" t="str">
        <f t="shared" si="251"/>
        <v>300k–600k</v>
      </c>
      <c r="P3752" s="19" t="str">
        <f t="shared" si="252"/>
        <v>26-35</v>
      </c>
    </row>
    <row r="3753" spans="1:16" x14ac:dyDescent="0.25">
      <c r="A3753">
        <v>3752</v>
      </c>
      <c r="B3753" t="s">
        <v>15</v>
      </c>
      <c r="C3753">
        <v>250000</v>
      </c>
      <c r="D3753" t="s">
        <v>10</v>
      </c>
      <c r="E3753" t="s">
        <v>16</v>
      </c>
      <c r="F3753" t="s">
        <v>12</v>
      </c>
      <c r="G3753" t="s">
        <v>13</v>
      </c>
      <c r="H3753" t="s">
        <v>13</v>
      </c>
      <c r="I3753">
        <v>29</v>
      </c>
      <c r="J3753" t="str" cm="1">
        <f t="array" ref="J3753">_xlfn.IFS(ISBLANK(C3753),"FALTANTE",ABS((C3753-$W$5)/$X$5)&gt;1.96,"ATÍPICO",ABS((C3753-$W$5)/$X$5)&lt;=1.96,"NO ATÍPICO")</f>
        <v>NO ATÍPICO</v>
      </c>
      <c r="K3753" t="str" cm="1">
        <f t="array" ref="K3753">_xlfn.IFS(ISBLANK(I3753),"FALTANTE",ABS((I3753-$W$8)/$X$8)&gt;1.92,"ATÍPICO",ABS((I3753-$W$8)/$X$8)&lt;=1.92,"NO ATÍPICO")</f>
        <v>NO ATÍPICO</v>
      </c>
      <c r="L3753">
        <f t="shared" si="249"/>
        <v>250000</v>
      </c>
      <c r="M3753" t="str">
        <f t="shared" si="249"/>
        <v>ASALARIADO</v>
      </c>
      <c r="N3753">
        <f t="shared" si="250"/>
        <v>29</v>
      </c>
      <c r="O3753" s="19" t="str">
        <f t="shared" si="251"/>
        <v>0–300k</v>
      </c>
      <c r="P3753" s="19" t="str">
        <f t="shared" si="252"/>
        <v>26-35</v>
      </c>
    </row>
    <row r="3754" spans="1:16" x14ac:dyDescent="0.25">
      <c r="A3754">
        <v>3753</v>
      </c>
      <c r="B3754" t="s">
        <v>9</v>
      </c>
      <c r="C3754">
        <v>314424</v>
      </c>
      <c r="D3754" t="s">
        <v>10</v>
      </c>
      <c r="E3754" t="s">
        <v>16</v>
      </c>
      <c r="F3754" t="s">
        <v>12</v>
      </c>
      <c r="G3754" t="s">
        <v>13</v>
      </c>
      <c r="H3754" t="s">
        <v>13</v>
      </c>
      <c r="I3754">
        <v>24</v>
      </c>
      <c r="J3754" t="str" cm="1">
        <f t="array" ref="J3754">_xlfn.IFS(ISBLANK(C3754),"FALTANTE",ABS((C3754-$W$5)/$X$5)&gt;1.96,"ATÍPICO",ABS((C3754-$W$5)/$X$5)&lt;=1.96,"NO ATÍPICO")</f>
        <v>NO ATÍPICO</v>
      </c>
      <c r="K3754" t="str" cm="1">
        <f t="array" ref="K3754">_xlfn.IFS(ISBLANK(I3754),"FALTANTE",ABS((I3754-$W$8)/$X$8)&gt;1.92,"ATÍPICO",ABS((I3754-$W$8)/$X$8)&lt;=1.92,"NO ATÍPICO")</f>
        <v>NO ATÍPICO</v>
      </c>
      <c r="L3754">
        <f t="shared" si="249"/>
        <v>314424</v>
      </c>
      <c r="M3754" t="str">
        <f t="shared" si="249"/>
        <v>ASALARIADO</v>
      </c>
      <c r="N3754">
        <f t="shared" si="250"/>
        <v>24</v>
      </c>
      <c r="O3754" s="19" t="str">
        <f t="shared" si="251"/>
        <v>300k–600k</v>
      </c>
      <c r="P3754" s="19" t="str">
        <f t="shared" si="252"/>
        <v>18-25</v>
      </c>
    </row>
    <row r="3755" spans="1:16" x14ac:dyDescent="0.25">
      <c r="A3755">
        <v>3754</v>
      </c>
      <c r="B3755" t="s">
        <v>15</v>
      </c>
      <c r="C3755">
        <v>367892</v>
      </c>
      <c r="D3755" t="s">
        <v>10</v>
      </c>
      <c r="E3755" t="s">
        <v>11</v>
      </c>
      <c r="F3755" t="s">
        <v>12</v>
      </c>
      <c r="G3755" t="s">
        <v>13</v>
      </c>
      <c r="H3755" t="s">
        <v>12</v>
      </c>
      <c r="I3755">
        <v>43</v>
      </c>
      <c r="J3755" t="str" cm="1">
        <f t="array" ref="J3755">_xlfn.IFS(ISBLANK(C3755),"FALTANTE",ABS((C3755-$W$5)/$X$5)&gt;1.96,"ATÍPICO",ABS((C3755-$W$5)/$X$5)&lt;=1.96,"NO ATÍPICO")</f>
        <v>NO ATÍPICO</v>
      </c>
      <c r="K3755" t="str" cm="1">
        <f t="array" ref="K3755">_xlfn.IFS(ISBLANK(I3755),"FALTANTE",ABS((I3755-$W$8)/$X$8)&gt;1.92,"ATÍPICO",ABS((I3755-$W$8)/$X$8)&lt;=1.92,"NO ATÍPICO")</f>
        <v>NO ATÍPICO</v>
      </c>
      <c r="L3755">
        <f t="shared" si="249"/>
        <v>367892</v>
      </c>
      <c r="M3755" t="str">
        <f t="shared" si="249"/>
        <v>ASALARIADO</v>
      </c>
      <c r="N3755">
        <f t="shared" si="250"/>
        <v>43</v>
      </c>
      <c r="O3755" s="19" t="str">
        <f t="shared" si="251"/>
        <v>300k–600k</v>
      </c>
      <c r="P3755" s="19" t="str">
        <f t="shared" si="252"/>
        <v>36-45</v>
      </c>
    </row>
    <row r="3756" spans="1:16" x14ac:dyDescent="0.25">
      <c r="A3756">
        <v>3755</v>
      </c>
      <c r="B3756" t="s">
        <v>9</v>
      </c>
      <c r="C3756">
        <v>361180.29</v>
      </c>
      <c r="D3756" t="s">
        <v>10</v>
      </c>
      <c r="E3756" t="s">
        <v>11</v>
      </c>
      <c r="F3756" t="s">
        <v>12</v>
      </c>
      <c r="G3756" t="s">
        <v>13</v>
      </c>
      <c r="H3756" t="s">
        <v>13</v>
      </c>
      <c r="I3756">
        <v>28</v>
      </c>
      <c r="J3756" t="str" cm="1">
        <f t="array" ref="J3756">_xlfn.IFS(ISBLANK(C3756),"FALTANTE",ABS((C3756-$W$5)/$X$5)&gt;1.96,"ATÍPICO",ABS((C3756-$W$5)/$X$5)&lt;=1.96,"NO ATÍPICO")</f>
        <v>NO ATÍPICO</v>
      </c>
      <c r="K3756" t="str" cm="1">
        <f t="array" ref="K3756">_xlfn.IFS(ISBLANK(I3756),"FALTANTE",ABS((I3756-$W$8)/$X$8)&gt;1.92,"ATÍPICO",ABS((I3756-$W$8)/$X$8)&lt;=1.92,"NO ATÍPICO")</f>
        <v>NO ATÍPICO</v>
      </c>
      <c r="L3756">
        <f t="shared" si="249"/>
        <v>361180.29</v>
      </c>
      <c r="M3756" t="str">
        <f t="shared" si="249"/>
        <v>ASALARIADO</v>
      </c>
      <c r="N3756">
        <f t="shared" si="250"/>
        <v>28</v>
      </c>
      <c r="O3756" s="19" t="str">
        <f t="shared" si="251"/>
        <v>300k–600k</v>
      </c>
      <c r="P3756" s="19" t="str">
        <f t="shared" si="252"/>
        <v>26-35</v>
      </c>
    </row>
    <row r="3757" spans="1:16" x14ac:dyDescent="0.25">
      <c r="A3757">
        <v>3756</v>
      </c>
      <c r="B3757" t="s">
        <v>9</v>
      </c>
      <c r="C3757">
        <v>330000</v>
      </c>
      <c r="D3757" t="s">
        <v>10</v>
      </c>
      <c r="E3757" t="s">
        <v>16</v>
      </c>
      <c r="F3757" t="s">
        <v>12</v>
      </c>
      <c r="G3757" t="s">
        <v>13</v>
      </c>
      <c r="H3757" t="s">
        <v>13</v>
      </c>
      <c r="I3757">
        <v>33</v>
      </c>
      <c r="J3757" t="str" cm="1">
        <f t="array" ref="J3757">_xlfn.IFS(ISBLANK(C3757),"FALTANTE",ABS((C3757-$W$5)/$X$5)&gt;1.96,"ATÍPICO",ABS((C3757-$W$5)/$X$5)&lt;=1.96,"NO ATÍPICO")</f>
        <v>NO ATÍPICO</v>
      </c>
      <c r="K3757" t="str" cm="1">
        <f t="array" ref="K3757">_xlfn.IFS(ISBLANK(I3757),"FALTANTE",ABS((I3757-$W$8)/$X$8)&gt;1.92,"ATÍPICO",ABS((I3757-$W$8)/$X$8)&lt;=1.92,"NO ATÍPICO")</f>
        <v>NO ATÍPICO</v>
      </c>
      <c r="L3757">
        <f t="shared" si="249"/>
        <v>330000</v>
      </c>
      <c r="M3757" t="str">
        <f t="shared" si="249"/>
        <v>ASALARIADO</v>
      </c>
      <c r="N3757">
        <f t="shared" si="250"/>
        <v>33</v>
      </c>
      <c r="O3757" s="19" t="str">
        <f t="shared" si="251"/>
        <v>300k–600k</v>
      </c>
      <c r="P3757" s="19" t="str">
        <f t="shared" si="252"/>
        <v>26-35</v>
      </c>
    </row>
    <row r="3758" spans="1:16" x14ac:dyDescent="0.25">
      <c r="A3758">
        <v>3757</v>
      </c>
      <c r="B3758" t="s">
        <v>15</v>
      </c>
      <c r="C3758">
        <v>359544.27</v>
      </c>
      <c r="D3758" t="s">
        <v>21</v>
      </c>
      <c r="E3758" t="s">
        <v>16</v>
      </c>
      <c r="F3758" t="s">
        <v>12</v>
      </c>
      <c r="G3758" t="s">
        <v>12</v>
      </c>
      <c r="H3758" t="s">
        <v>13</v>
      </c>
      <c r="I3758">
        <v>40</v>
      </c>
      <c r="J3758" t="str" cm="1">
        <f t="array" ref="J3758">_xlfn.IFS(ISBLANK(C3758),"FALTANTE",ABS((C3758-$W$5)/$X$5)&gt;1.96,"ATÍPICO",ABS((C3758-$W$5)/$X$5)&lt;=1.96,"NO ATÍPICO")</f>
        <v>NO ATÍPICO</v>
      </c>
      <c r="K3758" t="str" cm="1">
        <f t="array" ref="K3758">_xlfn.IFS(ISBLANK(I3758),"FALTANTE",ABS((I3758-$W$8)/$X$8)&gt;1.92,"ATÍPICO",ABS((I3758-$W$8)/$X$8)&lt;=1.92,"NO ATÍPICO")</f>
        <v>NO ATÍPICO</v>
      </c>
      <c r="L3758">
        <f t="shared" si="249"/>
        <v>359544.27</v>
      </c>
      <c r="M3758" t="str">
        <f t="shared" si="249"/>
        <v>CONVENIOS ESPECIALES DE ASEGURADOS VOLUNTARIOS</v>
      </c>
      <c r="N3758">
        <f t="shared" si="250"/>
        <v>40</v>
      </c>
      <c r="O3758" s="19" t="str">
        <f t="shared" si="251"/>
        <v>300k–600k</v>
      </c>
      <c r="P3758" s="19" t="str">
        <f t="shared" si="252"/>
        <v>36-45</v>
      </c>
    </row>
    <row r="3759" spans="1:16" x14ac:dyDescent="0.25">
      <c r="A3759">
        <v>3758</v>
      </c>
      <c r="B3759" t="s">
        <v>15</v>
      </c>
      <c r="C3759">
        <v>204800</v>
      </c>
      <c r="D3759" t="s">
        <v>10</v>
      </c>
      <c r="E3759" t="s">
        <v>16</v>
      </c>
      <c r="F3759" t="s">
        <v>12</v>
      </c>
      <c r="G3759" t="s">
        <v>13</v>
      </c>
      <c r="H3759" t="s">
        <v>12</v>
      </c>
      <c r="I3759">
        <v>31</v>
      </c>
      <c r="J3759" t="str" cm="1">
        <f t="array" ref="J3759">_xlfn.IFS(ISBLANK(C3759),"FALTANTE",ABS((C3759-$W$5)/$X$5)&gt;1.96,"ATÍPICO",ABS((C3759-$W$5)/$X$5)&lt;=1.96,"NO ATÍPICO")</f>
        <v>NO ATÍPICO</v>
      </c>
      <c r="K3759" t="str" cm="1">
        <f t="array" ref="K3759">_xlfn.IFS(ISBLANK(I3759),"FALTANTE",ABS((I3759-$W$8)/$X$8)&gt;1.92,"ATÍPICO",ABS((I3759-$W$8)/$X$8)&lt;=1.92,"NO ATÍPICO")</f>
        <v>NO ATÍPICO</v>
      </c>
      <c r="L3759">
        <f t="shared" si="249"/>
        <v>204800</v>
      </c>
      <c r="M3759" t="str">
        <f t="shared" si="249"/>
        <v>ASALARIADO</v>
      </c>
      <c r="N3759">
        <f t="shared" si="250"/>
        <v>31</v>
      </c>
      <c r="O3759" s="19" t="str">
        <f t="shared" si="251"/>
        <v>0–300k</v>
      </c>
      <c r="P3759" s="19" t="str">
        <f t="shared" si="252"/>
        <v>26-35</v>
      </c>
    </row>
    <row r="3760" spans="1:16" x14ac:dyDescent="0.25">
      <c r="A3760">
        <v>3759</v>
      </c>
      <c r="B3760" t="s">
        <v>9</v>
      </c>
      <c r="C3760">
        <v>553159.81000000006</v>
      </c>
      <c r="D3760" t="s">
        <v>10</v>
      </c>
      <c r="E3760" t="s">
        <v>16</v>
      </c>
      <c r="F3760" t="s">
        <v>12</v>
      </c>
      <c r="G3760" t="s">
        <v>13</v>
      </c>
      <c r="H3760" t="s">
        <v>13</v>
      </c>
      <c r="I3760">
        <v>21</v>
      </c>
      <c r="J3760" t="str" cm="1">
        <f t="array" ref="J3760">_xlfn.IFS(ISBLANK(C3760),"FALTANTE",ABS((C3760-$W$5)/$X$5)&gt;1.96,"ATÍPICO",ABS((C3760-$W$5)/$X$5)&lt;=1.96,"NO ATÍPICO")</f>
        <v>NO ATÍPICO</v>
      </c>
      <c r="K3760" t="str" cm="1">
        <f t="array" ref="K3760">_xlfn.IFS(ISBLANK(I3760),"FALTANTE",ABS((I3760-$W$8)/$X$8)&gt;1.92,"ATÍPICO",ABS((I3760-$W$8)/$X$8)&lt;=1.92,"NO ATÍPICO")</f>
        <v>NO ATÍPICO</v>
      </c>
      <c r="L3760">
        <f t="shared" si="249"/>
        <v>553159.81000000006</v>
      </c>
      <c r="M3760" t="str">
        <f t="shared" si="249"/>
        <v>ASALARIADO</v>
      </c>
      <c r="N3760">
        <f t="shared" si="250"/>
        <v>21</v>
      </c>
      <c r="O3760" s="19" t="str">
        <f t="shared" si="251"/>
        <v>300k–600k</v>
      </c>
      <c r="P3760" s="19" t="str">
        <f t="shared" si="252"/>
        <v>18-25</v>
      </c>
    </row>
    <row r="3761" spans="1:16" x14ac:dyDescent="0.25">
      <c r="A3761">
        <v>3760</v>
      </c>
      <c r="B3761" t="s">
        <v>9</v>
      </c>
      <c r="C3761">
        <v>370000</v>
      </c>
      <c r="D3761" t="s">
        <v>10</v>
      </c>
      <c r="E3761" t="s">
        <v>16</v>
      </c>
      <c r="F3761" t="s">
        <v>12</v>
      </c>
      <c r="G3761" t="s">
        <v>13</v>
      </c>
      <c r="H3761" t="s">
        <v>13</v>
      </c>
      <c r="I3761">
        <v>21</v>
      </c>
      <c r="J3761" t="str" cm="1">
        <f t="array" ref="J3761">_xlfn.IFS(ISBLANK(C3761),"FALTANTE",ABS((C3761-$W$5)/$X$5)&gt;1.96,"ATÍPICO",ABS((C3761-$W$5)/$X$5)&lt;=1.96,"NO ATÍPICO")</f>
        <v>NO ATÍPICO</v>
      </c>
      <c r="K3761" t="str" cm="1">
        <f t="array" ref="K3761">_xlfn.IFS(ISBLANK(I3761),"FALTANTE",ABS((I3761-$W$8)/$X$8)&gt;1.92,"ATÍPICO",ABS((I3761-$W$8)/$X$8)&lt;=1.92,"NO ATÍPICO")</f>
        <v>NO ATÍPICO</v>
      </c>
      <c r="L3761">
        <f t="shared" si="249"/>
        <v>370000</v>
      </c>
      <c r="M3761" t="str">
        <f t="shared" si="249"/>
        <v>ASALARIADO</v>
      </c>
      <c r="N3761">
        <f t="shared" si="250"/>
        <v>21</v>
      </c>
      <c r="O3761" s="19" t="str">
        <f t="shared" si="251"/>
        <v>300k–600k</v>
      </c>
      <c r="P3761" s="19" t="str">
        <f t="shared" si="252"/>
        <v>18-25</v>
      </c>
    </row>
    <row r="3762" spans="1:16" x14ac:dyDescent="0.25">
      <c r="A3762">
        <v>3761</v>
      </c>
      <c r="B3762" t="s">
        <v>15</v>
      </c>
      <c r="C3762">
        <v>640745.43999999994</v>
      </c>
      <c r="D3762" t="s">
        <v>10</v>
      </c>
      <c r="E3762" t="s">
        <v>16</v>
      </c>
      <c r="F3762" t="s">
        <v>12</v>
      </c>
      <c r="G3762" t="s">
        <v>13</v>
      </c>
      <c r="H3762" t="s">
        <v>13</v>
      </c>
      <c r="I3762">
        <v>43</v>
      </c>
      <c r="J3762" t="str" cm="1">
        <f t="array" ref="J3762">_xlfn.IFS(ISBLANK(C3762),"FALTANTE",ABS((C3762-$W$5)/$X$5)&gt;1.96,"ATÍPICO",ABS((C3762-$W$5)/$X$5)&lt;=1.96,"NO ATÍPICO")</f>
        <v>NO ATÍPICO</v>
      </c>
      <c r="K3762" t="str" cm="1">
        <f t="array" ref="K3762">_xlfn.IFS(ISBLANK(I3762),"FALTANTE",ABS((I3762-$W$8)/$X$8)&gt;1.92,"ATÍPICO",ABS((I3762-$W$8)/$X$8)&lt;=1.92,"NO ATÍPICO")</f>
        <v>NO ATÍPICO</v>
      </c>
      <c r="L3762">
        <f t="shared" si="249"/>
        <v>640745.43999999994</v>
      </c>
      <c r="M3762" t="str">
        <f t="shared" si="249"/>
        <v>ASALARIADO</v>
      </c>
      <c r="N3762">
        <f t="shared" si="250"/>
        <v>43</v>
      </c>
      <c r="O3762" s="19" t="str">
        <f t="shared" si="251"/>
        <v>600k–900k</v>
      </c>
      <c r="P3762" s="19" t="str">
        <f t="shared" si="252"/>
        <v>36-45</v>
      </c>
    </row>
    <row r="3763" spans="1:16" x14ac:dyDescent="0.25">
      <c r="A3763">
        <v>3762</v>
      </c>
      <c r="B3763" t="s">
        <v>9</v>
      </c>
      <c r="C3763">
        <v>3081665</v>
      </c>
      <c r="D3763" t="s">
        <v>10</v>
      </c>
      <c r="E3763" t="s">
        <v>11</v>
      </c>
      <c r="F3763" t="s">
        <v>12</v>
      </c>
      <c r="G3763" t="s">
        <v>13</v>
      </c>
      <c r="H3763" t="s">
        <v>13</v>
      </c>
      <c r="I3763">
        <v>52</v>
      </c>
      <c r="J3763" t="str" cm="1">
        <f t="array" ref="J3763">_xlfn.IFS(ISBLANK(C3763),"FALTANTE",ABS((C3763-$W$5)/$X$5)&gt;1.96,"ATÍPICO",ABS((C3763-$W$5)/$X$5)&lt;=1.96,"NO ATÍPICO")</f>
        <v>ATÍPICO</v>
      </c>
      <c r="K3763" t="str" cm="1">
        <f t="array" ref="K3763">_xlfn.IFS(ISBLANK(I3763),"FALTANTE",ABS((I3763-$W$8)/$X$8)&gt;1.92,"ATÍPICO",ABS((I3763-$W$8)/$X$8)&lt;=1.92,"NO ATÍPICO")</f>
        <v>NO ATÍPICO</v>
      </c>
      <c r="L3763">
        <f t="shared" si="249"/>
        <v>3081665</v>
      </c>
      <c r="M3763" t="str">
        <f t="shared" si="249"/>
        <v>ASALARIADO</v>
      </c>
      <c r="N3763">
        <f t="shared" si="250"/>
        <v>52</v>
      </c>
      <c r="O3763" s="19" t="str">
        <f t="shared" si="251"/>
        <v>1200k+</v>
      </c>
      <c r="P3763" s="19" t="str">
        <f t="shared" si="252"/>
        <v>46-55</v>
      </c>
    </row>
    <row r="3764" spans="1:16" x14ac:dyDescent="0.25">
      <c r="A3764">
        <v>3763</v>
      </c>
      <c r="B3764" t="s">
        <v>9</v>
      </c>
      <c r="C3764">
        <v>486069</v>
      </c>
      <c r="D3764" t="s">
        <v>18</v>
      </c>
      <c r="E3764" t="s">
        <v>16</v>
      </c>
      <c r="F3764" t="s">
        <v>12</v>
      </c>
      <c r="G3764" t="s">
        <v>13</v>
      </c>
      <c r="H3764" t="s">
        <v>12</v>
      </c>
      <c r="I3764">
        <v>48</v>
      </c>
      <c r="J3764" t="str" cm="1">
        <f t="array" ref="J3764">_xlfn.IFS(ISBLANK(C3764),"FALTANTE",ABS((C3764-$W$5)/$X$5)&gt;1.96,"ATÍPICO",ABS((C3764-$W$5)/$X$5)&lt;=1.96,"NO ATÍPICO")</f>
        <v>NO ATÍPICO</v>
      </c>
      <c r="K3764" t="str" cm="1">
        <f t="array" ref="K3764">_xlfn.IFS(ISBLANK(I3764),"FALTANTE",ABS((I3764-$W$8)/$X$8)&gt;1.92,"ATÍPICO",ABS((I3764-$W$8)/$X$8)&lt;=1.92,"NO ATÍPICO")</f>
        <v>NO ATÍPICO</v>
      </c>
      <c r="L3764">
        <f t="shared" si="249"/>
        <v>486069</v>
      </c>
      <c r="M3764" t="str">
        <f t="shared" si="249"/>
        <v>TRABAJADOR INDEPENDIENTE</v>
      </c>
      <c r="N3764">
        <f t="shared" si="250"/>
        <v>48</v>
      </c>
      <c r="O3764" s="19" t="str">
        <f t="shared" si="251"/>
        <v>300k–600k</v>
      </c>
      <c r="P3764" s="19" t="str">
        <f t="shared" si="252"/>
        <v>46-55</v>
      </c>
    </row>
    <row r="3765" spans="1:16" x14ac:dyDescent="0.25">
      <c r="A3765">
        <v>3764</v>
      </c>
      <c r="B3765" t="s">
        <v>15</v>
      </c>
      <c r="C3765">
        <v>100900</v>
      </c>
      <c r="D3765" t="s">
        <v>10</v>
      </c>
      <c r="E3765" t="s">
        <v>16</v>
      </c>
      <c r="F3765" t="s">
        <v>12</v>
      </c>
      <c r="G3765" t="s">
        <v>12</v>
      </c>
      <c r="H3765" t="s">
        <v>13</v>
      </c>
      <c r="I3765">
        <v>62</v>
      </c>
      <c r="J3765" t="str" cm="1">
        <f t="array" ref="J3765">_xlfn.IFS(ISBLANK(C3765),"FALTANTE",ABS((C3765-$W$5)/$X$5)&gt;1.96,"ATÍPICO",ABS((C3765-$W$5)/$X$5)&lt;=1.96,"NO ATÍPICO")</f>
        <v>NO ATÍPICO</v>
      </c>
      <c r="K3765" t="str" cm="1">
        <f t="array" ref="K3765">_xlfn.IFS(ISBLANK(I3765),"FALTANTE",ABS((I3765-$W$8)/$X$8)&gt;1.92,"ATÍPICO",ABS((I3765-$W$8)/$X$8)&lt;=1.92,"NO ATÍPICO")</f>
        <v>NO ATÍPICO</v>
      </c>
      <c r="L3765">
        <f t="shared" si="249"/>
        <v>100900</v>
      </c>
      <c r="M3765" t="str">
        <f t="shared" si="249"/>
        <v>ASALARIADO</v>
      </c>
      <c r="N3765">
        <f t="shared" si="250"/>
        <v>62</v>
      </c>
      <c r="O3765" s="19" t="str">
        <f t="shared" si="251"/>
        <v>0–300k</v>
      </c>
      <c r="P3765" s="19" t="str">
        <f t="shared" si="252"/>
        <v>56+</v>
      </c>
    </row>
    <row r="3766" spans="1:16" x14ac:dyDescent="0.25">
      <c r="A3766">
        <v>3765</v>
      </c>
      <c r="B3766" t="s">
        <v>15</v>
      </c>
      <c r="C3766">
        <v>158920</v>
      </c>
      <c r="D3766" t="s">
        <v>10</v>
      </c>
      <c r="E3766" t="s">
        <v>16</v>
      </c>
      <c r="F3766" t="s">
        <v>12</v>
      </c>
      <c r="G3766" t="s">
        <v>13</v>
      </c>
      <c r="H3766" t="s">
        <v>13</v>
      </c>
      <c r="I3766">
        <v>39</v>
      </c>
      <c r="J3766" t="str" cm="1">
        <f t="array" ref="J3766">_xlfn.IFS(ISBLANK(C3766),"FALTANTE",ABS((C3766-$W$5)/$X$5)&gt;1.96,"ATÍPICO",ABS((C3766-$W$5)/$X$5)&lt;=1.96,"NO ATÍPICO")</f>
        <v>NO ATÍPICO</v>
      </c>
      <c r="K3766" t="str" cm="1">
        <f t="array" ref="K3766">_xlfn.IFS(ISBLANK(I3766),"FALTANTE",ABS((I3766-$W$8)/$X$8)&gt;1.92,"ATÍPICO",ABS((I3766-$W$8)/$X$8)&lt;=1.92,"NO ATÍPICO")</f>
        <v>NO ATÍPICO</v>
      </c>
      <c r="L3766">
        <f t="shared" si="249"/>
        <v>158920</v>
      </c>
      <c r="M3766" t="str">
        <f t="shared" si="249"/>
        <v>ASALARIADO</v>
      </c>
      <c r="N3766">
        <f t="shared" si="250"/>
        <v>39</v>
      </c>
      <c r="O3766" s="19" t="str">
        <f t="shared" si="251"/>
        <v>0–300k</v>
      </c>
      <c r="P3766" s="19" t="str">
        <f t="shared" si="252"/>
        <v>36-45</v>
      </c>
    </row>
    <row r="3767" spans="1:16" x14ac:dyDescent="0.25">
      <c r="A3767">
        <v>3766</v>
      </c>
      <c r="B3767" t="s">
        <v>9</v>
      </c>
      <c r="C3767">
        <v>297046</v>
      </c>
      <c r="D3767" t="s">
        <v>17</v>
      </c>
      <c r="E3767" t="s">
        <v>16</v>
      </c>
      <c r="F3767" t="s">
        <v>12</v>
      </c>
      <c r="G3767" t="s">
        <v>12</v>
      </c>
      <c r="H3767" t="s">
        <v>13</v>
      </c>
      <c r="I3767">
        <v>50</v>
      </c>
      <c r="J3767" t="str" cm="1">
        <f t="array" ref="J3767">_xlfn.IFS(ISBLANK(C3767),"FALTANTE",ABS((C3767-$W$5)/$X$5)&gt;1.96,"ATÍPICO",ABS((C3767-$W$5)/$X$5)&lt;=1.96,"NO ATÍPICO")</f>
        <v>NO ATÍPICO</v>
      </c>
      <c r="K3767" t="str" cm="1">
        <f t="array" ref="K3767">_xlfn.IFS(ISBLANK(I3767),"FALTANTE",ABS((I3767-$W$8)/$X$8)&gt;1.92,"ATÍPICO",ABS((I3767-$W$8)/$X$8)&lt;=1.92,"NO ATÍPICO")</f>
        <v>NO ATÍPICO</v>
      </c>
      <c r="L3767">
        <f t="shared" si="249"/>
        <v>297046</v>
      </c>
      <c r="M3767" t="str">
        <f t="shared" si="249"/>
        <v>ASEGURADO VOLUNTARIO</v>
      </c>
      <c r="N3767">
        <f t="shared" si="250"/>
        <v>50</v>
      </c>
      <c r="O3767" s="19" t="str">
        <f t="shared" si="251"/>
        <v>0–300k</v>
      </c>
      <c r="P3767" s="19" t="str">
        <f t="shared" si="252"/>
        <v>46-55</v>
      </c>
    </row>
    <row r="3768" spans="1:16" x14ac:dyDescent="0.25">
      <c r="A3768">
        <v>3767</v>
      </c>
      <c r="B3768" t="s">
        <v>15</v>
      </c>
      <c r="C3768">
        <v>297046</v>
      </c>
      <c r="D3768" t="s">
        <v>18</v>
      </c>
      <c r="E3768" t="s">
        <v>16</v>
      </c>
      <c r="F3768" t="s">
        <v>12</v>
      </c>
      <c r="G3768" t="s">
        <v>13</v>
      </c>
      <c r="H3768" t="s">
        <v>12</v>
      </c>
      <c r="I3768">
        <v>39</v>
      </c>
      <c r="J3768" t="str" cm="1">
        <f t="array" ref="J3768">_xlfn.IFS(ISBLANK(C3768),"FALTANTE",ABS((C3768-$W$5)/$X$5)&gt;1.96,"ATÍPICO",ABS((C3768-$W$5)/$X$5)&lt;=1.96,"NO ATÍPICO")</f>
        <v>NO ATÍPICO</v>
      </c>
      <c r="K3768" t="str" cm="1">
        <f t="array" ref="K3768">_xlfn.IFS(ISBLANK(I3768),"FALTANTE",ABS((I3768-$W$8)/$X$8)&gt;1.92,"ATÍPICO",ABS((I3768-$W$8)/$X$8)&lt;=1.92,"NO ATÍPICO")</f>
        <v>NO ATÍPICO</v>
      </c>
      <c r="L3768">
        <f t="shared" si="249"/>
        <v>297046</v>
      </c>
      <c r="M3768" t="str">
        <f t="shared" si="249"/>
        <v>TRABAJADOR INDEPENDIENTE</v>
      </c>
      <c r="N3768">
        <f t="shared" si="250"/>
        <v>39</v>
      </c>
      <c r="O3768" s="19" t="str">
        <f t="shared" si="251"/>
        <v>0–300k</v>
      </c>
      <c r="P3768" s="19" t="str">
        <f t="shared" si="252"/>
        <v>36-45</v>
      </c>
    </row>
    <row r="3769" spans="1:16" x14ac:dyDescent="0.25">
      <c r="A3769">
        <v>3768</v>
      </c>
      <c r="B3769" t="s">
        <v>15</v>
      </c>
      <c r="C3769">
        <v>248558.8</v>
      </c>
      <c r="D3769" t="s">
        <v>10</v>
      </c>
      <c r="E3769" t="s">
        <v>16</v>
      </c>
      <c r="F3769" t="s">
        <v>12</v>
      </c>
      <c r="G3769" t="s">
        <v>13</v>
      </c>
      <c r="H3769" t="s">
        <v>13</v>
      </c>
      <c r="I3769">
        <v>23</v>
      </c>
      <c r="J3769" t="str" cm="1">
        <f t="array" ref="J3769">_xlfn.IFS(ISBLANK(C3769),"FALTANTE",ABS((C3769-$W$5)/$X$5)&gt;1.96,"ATÍPICO",ABS((C3769-$W$5)/$X$5)&lt;=1.96,"NO ATÍPICO")</f>
        <v>NO ATÍPICO</v>
      </c>
      <c r="K3769" t="str" cm="1">
        <f t="array" ref="K3769">_xlfn.IFS(ISBLANK(I3769),"FALTANTE",ABS((I3769-$W$8)/$X$8)&gt;1.92,"ATÍPICO",ABS((I3769-$W$8)/$X$8)&lt;=1.92,"NO ATÍPICO")</f>
        <v>NO ATÍPICO</v>
      </c>
      <c r="L3769">
        <f t="shared" si="249"/>
        <v>248558.8</v>
      </c>
      <c r="M3769" t="str">
        <f t="shared" si="249"/>
        <v>ASALARIADO</v>
      </c>
      <c r="N3769">
        <f t="shared" si="250"/>
        <v>23</v>
      </c>
      <c r="O3769" s="19" t="str">
        <f t="shared" si="251"/>
        <v>0–300k</v>
      </c>
      <c r="P3769" s="19" t="str">
        <f t="shared" si="252"/>
        <v>18-25</v>
      </c>
    </row>
    <row r="3770" spans="1:16" x14ac:dyDescent="0.25">
      <c r="A3770">
        <v>3769</v>
      </c>
      <c r="B3770" t="s">
        <v>9</v>
      </c>
      <c r="C3770">
        <v>300000</v>
      </c>
      <c r="D3770" t="s">
        <v>10</v>
      </c>
      <c r="E3770" t="s">
        <v>16</v>
      </c>
      <c r="F3770" t="s">
        <v>12</v>
      </c>
      <c r="G3770" t="s">
        <v>13</v>
      </c>
      <c r="H3770" t="s">
        <v>13</v>
      </c>
      <c r="I3770">
        <v>22</v>
      </c>
      <c r="J3770" t="str" cm="1">
        <f t="array" ref="J3770">_xlfn.IFS(ISBLANK(C3770),"FALTANTE",ABS((C3770-$W$5)/$X$5)&gt;1.96,"ATÍPICO",ABS((C3770-$W$5)/$X$5)&lt;=1.96,"NO ATÍPICO")</f>
        <v>NO ATÍPICO</v>
      </c>
      <c r="K3770" t="str" cm="1">
        <f t="array" ref="K3770">_xlfn.IFS(ISBLANK(I3770),"FALTANTE",ABS((I3770-$W$8)/$X$8)&gt;1.92,"ATÍPICO",ABS((I3770-$W$8)/$X$8)&lt;=1.92,"NO ATÍPICO")</f>
        <v>NO ATÍPICO</v>
      </c>
      <c r="L3770">
        <f t="shared" si="249"/>
        <v>300000</v>
      </c>
      <c r="M3770" t="str">
        <f t="shared" si="249"/>
        <v>ASALARIADO</v>
      </c>
      <c r="N3770">
        <f t="shared" si="250"/>
        <v>22</v>
      </c>
      <c r="O3770" s="19" t="str">
        <f t="shared" si="251"/>
        <v>0–300k</v>
      </c>
      <c r="P3770" s="19" t="str">
        <f t="shared" si="252"/>
        <v>18-25</v>
      </c>
    </row>
    <row r="3771" spans="1:16" x14ac:dyDescent="0.25">
      <c r="A3771">
        <v>3770</v>
      </c>
      <c r="B3771" t="s">
        <v>9</v>
      </c>
      <c r="C3771">
        <v>71904.240000000005</v>
      </c>
      <c r="D3771" t="s">
        <v>10</v>
      </c>
      <c r="E3771" t="s">
        <v>16</v>
      </c>
      <c r="F3771" t="s">
        <v>12</v>
      </c>
      <c r="G3771" t="s">
        <v>13</v>
      </c>
      <c r="H3771" t="s">
        <v>13</v>
      </c>
      <c r="I3771">
        <v>47</v>
      </c>
      <c r="J3771" t="str" cm="1">
        <f t="array" ref="J3771">_xlfn.IFS(ISBLANK(C3771),"FALTANTE",ABS((C3771-$W$5)/$X$5)&gt;1.96,"ATÍPICO",ABS((C3771-$W$5)/$X$5)&lt;=1.96,"NO ATÍPICO")</f>
        <v>NO ATÍPICO</v>
      </c>
      <c r="K3771" t="str" cm="1">
        <f t="array" ref="K3771">_xlfn.IFS(ISBLANK(I3771),"FALTANTE",ABS((I3771-$W$8)/$X$8)&gt;1.92,"ATÍPICO",ABS((I3771-$W$8)/$X$8)&lt;=1.92,"NO ATÍPICO")</f>
        <v>NO ATÍPICO</v>
      </c>
      <c r="L3771">
        <f t="shared" si="249"/>
        <v>71904.240000000005</v>
      </c>
      <c r="M3771" t="str">
        <f t="shared" si="249"/>
        <v>ASALARIADO</v>
      </c>
      <c r="N3771">
        <f t="shared" si="250"/>
        <v>47</v>
      </c>
      <c r="O3771" s="19" t="str">
        <f t="shared" si="251"/>
        <v>0–300k</v>
      </c>
      <c r="P3771" s="19" t="str">
        <f t="shared" si="252"/>
        <v>46-55</v>
      </c>
    </row>
    <row r="3772" spans="1:16" x14ac:dyDescent="0.25">
      <c r="A3772">
        <v>3771</v>
      </c>
      <c r="B3772" t="s">
        <v>9</v>
      </c>
      <c r="C3772">
        <v>1450000</v>
      </c>
      <c r="D3772" t="s">
        <v>10</v>
      </c>
      <c r="E3772" t="s">
        <v>16</v>
      </c>
      <c r="F3772" t="s">
        <v>12</v>
      </c>
      <c r="G3772" t="s">
        <v>13</v>
      </c>
      <c r="H3772" t="s">
        <v>13</v>
      </c>
      <c r="I3772">
        <v>40</v>
      </c>
      <c r="J3772" t="str" cm="1">
        <f t="array" ref="J3772">_xlfn.IFS(ISBLANK(C3772),"FALTANTE",ABS((C3772-$W$5)/$X$5)&gt;1.96,"ATÍPICO",ABS((C3772-$W$5)/$X$5)&lt;=1.96,"NO ATÍPICO")</f>
        <v>NO ATÍPICO</v>
      </c>
      <c r="K3772" t="str" cm="1">
        <f t="array" ref="K3772">_xlfn.IFS(ISBLANK(I3772),"FALTANTE",ABS((I3772-$W$8)/$X$8)&gt;1.92,"ATÍPICO",ABS((I3772-$W$8)/$X$8)&lt;=1.92,"NO ATÍPICO")</f>
        <v>NO ATÍPICO</v>
      </c>
      <c r="L3772">
        <f t="shared" si="249"/>
        <v>1450000</v>
      </c>
      <c r="M3772" t="str">
        <f t="shared" si="249"/>
        <v>ASALARIADO</v>
      </c>
      <c r="N3772">
        <f t="shared" si="250"/>
        <v>40</v>
      </c>
      <c r="O3772" s="19" t="str">
        <f t="shared" si="251"/>
        <v>1200k+</v>
      </c>
      <c r="P3772" s="19" t="str">
        <f t="shared" si="252"/>
        <v>36-45</v>
      </c>
    </row>
    <row r="3773" spans="1:16" x14ac:dyDescent="0.25">
      <c r="A3773">
        <v>3772</v>
      </c>
      <c r="B3773" t="s">
        <v>15</v>
      </c>
      <c r="C3773">
        <v>297046</v>
      </c>
      <c r="D3773" t="s">
        <v>18</v>
      </c>
      <c r="E3773" t="s">
        <v>16</v>
      </c>
      <c r="F3773" t="s">
        <v>12</v>
      </c>
      <c r="G3773" t="s">
        <v>12</v>
      </c>
      <c r="H3773" t="s">
        <v>13</v>
      </c>
      <c r="I3773">
        <v>48</v>
      </c>
      <c r="J3773" t="str" cm="1">
        <f t="array" ref="J3773">_xlfn.IFS(ISBLANK(C3773),"FALTANTE",ABS((C3773-$W$5)/$X$5)&gt;1.96,"ATÍPICO",ABS((C3773-$W$5)/$X$5)&lt;=1.96,"NO ATÍPICO")</f>
        <v>NO ATÍPICO</v>
      </c>
      <c r="K3773" t="str" cm="1">
        <f t="array" ref="K3773">_xlfn.IFS(ISBLANK(I3773),"FALTANTE",ABS((I3773-$W$8)/$X$8)&gt;1.92,"ATÍPICO",ABS((I3773-$W$8)/$X$8)&lt;=1.92,"NO ATÍPICO")</f>
        <v>NO ATÍPICO</v>
      </c>
      <c r="L3773">
        <f t="shared" si="249"/>
        <v>297046</v>
      </c>
      <c r="M3773" t="str">
        <f t="shared" si="249"/>
        <v>TRABAJADOR INDEPENDIENTE</v>
      </c>
      <c r="N3773">
        <f t="shared" si="250"/>
        <v>48</v>
      </c>
      <c r="O3773" s="19" t="str">
        <f t="shared" si="251"/>
        <v>0–300k</v>
      </c>
      <c r="P3773" s="19" t="str">
        <f t="shared" si="252"/>
        <v>46-55</v>
      </c>
    </row>
    <row r="3774" spans="1:16" x14ac:dyDescent="0.25">
      <c r="A3774">
        <v>3773</v>
      </c>
      <c r="B3774" t="s">
        <v>9</v>
      </c>
      <c r="C3774">
        <v>343798</v>
      </c>
      <c r="D3774" t="s">
        <v>10</v>
      </c>
      <c r="E3774" t="s">
        <v>16</v>
      </c>
      <c r="F3774" t="s">
        <v>12</v>
      </c>
      <c r="G3774" t="s">
        <v>13</v>
      </c>
      <c r="H3774" t="s">
        <v>13</v>
      </c>
      <c r="I3774">
        <v>62</v>
      </c>
      <c r="J3774" t="str" cm="1">
        <f t="array" ref="J3774">_xlfn.IFS(ISBLANK(C3774),"FALTANTE",ABS((C3774-$W$5)/$X$5)&gt;1.96,"ATÍPICO",ABS((C3774-$W$5)/$X$5)&lt;=1.96,"NO ATÍPICO")</f>
        <v>NO ATÍPICO</v>
      </c>
      <c r="K3774" t="str" cm="1">
        <f t="array" ref="K3774">_xlfn.IFS(ISBLANK(I3774),"FALTANTE",ABS((I3774-$W$8)/$X$8)&gt;1.92,"ATÍPICO",ABS((I3774-$W$8)/$X$8)&lt;=1.92,"NO ATÍPICO")</f>
        <v>NO ATÍPICO</v>
      </c>
      <c r="L3774">
        <f t="shared" si="249"/>
        <v>343798</v>
      </c>
      <c r="M3774" t="str">
        <f t="shared" si="249"/>
        <v>ASALARIADO</v>
      </c>
      <c r="N3774">
        <f t="shared" si="250"/>
        <v>62</v>
      </c>
      <c r="O3774" s="19" t="str">
        <f t="shared" si="251"/>
        <v>300k–600k</v>
      </c>
      <c r="P3774" s="19" t="str">
        <f t="shared" si="252"/>
        <v>56+</v>
      </c>
    </row>
    <row r="3775" spans="1:16" x14ac:dyDescent="0.25">
      <c r="A3775">
        <v>3774</v>
      </c>
      <c r="B3775" t="s">
        <v>9</v>
      </c>
      <c r="C3775">
        <v>927301.89</v>
      </c>
      <c r="D3775" t="s">
        <v>10</v>
      </c>
      <c r="E3775" t="s">
        <v>11</v>
      </c>
      <c r="F3775" t="s">
        <v>12</v>
      </c>
      <c r="G3775" t="s">
        <v>13</v>
      </c>
      <c r="H3775" t="s">
        <v>13</v>
      </c>
      <c r="I3775">
        <v>37</v>
      </c>
      <c r="J3775" t="str" cm="1">
        <f t="array" ref="J3775">_xlfn.IFS(ISBLANK(C3775),"FALTANTE",ABS((C3775-$W$5)/$X$5)&gt;1.96,"ATÍPICO",ABS((C3775-$W$5)/$X$5)&lt;=1.96,"NO ATÍPICO")</f>
        <v>NO ATÍPICO</v>
      </c>
      <c r="K3775" t="str" cm="1">
        <f t="array" ref="K3775">_xlfn.IFS(ISBLANK(I3775),"FALTANTE",ABS((I3775-$W$8)/$X$8)&gt;1.92,"ATÍPICO",ABS((I3775-$W$8)/$X$8)&lt;=1.92,"NO ATÍPICO")</f>
        <v>NO ATÍPICO</v>
      </c>
      <c r="L3775">
        <f t="shared" si="249"/>
        <v>927301.89</v>
      </c>
      <c r="M3775" t="str">
        <f t="shared" si="249"/>
        <v>ASALARIADO</v>
      </c>
      <c r="N3775">
        <f t="shared" si="250"/>
        <v>37</v>
      </c>
      <c r="O3775" s="19" t="str">
        <f t="shared" si="251"/>
        <v>900k–1200k</v>
      </c>
      <c r="P3775" s="19" t="str">
        <f t="shared" si="252"/>
        <v>36-45</v>
      </c>
    </row>
    <row r="3776" spans="1:16" x14ac:dyDescent="0.25">
      <c r="A3776">
        <v>3775</v>
      </c>
      <c r="B3776" t="s">
        <v>9</v>
      </c>
      <c r="C3776">
        <v>670455.76</v>
      </c>
      <c r="D3776" t="s">
        <v>10</v>
      </c>
      <c r="E3776" t="s">
        <v>16</v>
      </c>
      <c r="F3776" t="s">
        <v>12</v>
      </c>
      <c r="G3776" t="s">
        <v>13</v>
      </c>
      <c r="H3776" t="s">
        <v>13</v>
      </c>
      <c r="I3776">
        <v>33</v>
      </c>
      <c r="J3776" t="str" cm="1">
        <f t="array" ref="J3776">_xlfn.IFS(ISBLANK(C3776),"FALTANTE",ABS((C3776-$W$5)/$X$5)&gt;1.96,"ATÍPICO",ABS((C3776-$W$5)/$X$5)&lt;=1.96,"NO ATÍPICO")</f>
        <v>NO ATÍPICO</v>
      </c>
      <c r="K3776" t="str" cm="1">
        <f t="array" ref="K3776">_xlfn.IFS(ISBLANK(I3776),"FALTANTE",ABS((I3776-$W$8)/$X$8)&gt;1.92,"ATÍPICO",ABS((I3776-$W$8)/$X$8)&lt;=1.92,"NO ATÍPICO")</f>
        <v>NO ATÍPICO</v>
      </c>
      <c r="L3776">
        <f t="shared" si="249"/>
        <v>670455.76</v>
      </c>
      <c r="M3776" t="str">
        <f t="shared" si="249"/>
        <v>ASALARIADO</v>
      </c>
      <c r="N3776">
        <f t="shared" si="250"/>
        <v>33</v>
      </c>
      <c r="O3776" s="19" t="str">
        <f t="shared" si="251"/>
        <v>600k–900k</v>
      </c>
      <c r="P3776" s="19" t="str">
        <f t="shared" si="252"/>
        <v>26-35</v>
      </c>
    </row>
    <row r="3777" spans="1:16" x14ac:dyDescent="0.25">
      <c r="A3777">
        <v>3776</v>
      </c>
      <c r="B3777" t="s">
        <v>9</v>
      </c>
      <c r="C3777">
        <v>559022.46</v>
      </c>
      <c r="D3777" t="s">
        <v>10</v>
      </c>
      <c r="E3777" t="s">
        <v>16</v>
      </c>
      <c r="F3777" t="s">
        <v>12</v>
      </c>
      <c r="G3777" t="s">
        <v>13</v>
      </c>
      <c r="H3777" t="s">
        <v>13</v>
      </c>
      <c r="I3777">
        <v>38</v>
      </c>
      <c r="J3777" t="str" cm="1">
        <f t="array" ref="J3777">_xlfn.IFS(ISBLANK(C3777),"FALTANTE",ABS((C3777-$W$5)/$X$5)&gt;1.96,"ATÍPICO",ABS((C3777-$W$5)/$X$5)&lt;=1.96,"NO ATÍPICO")</f>
        <v>NO ATÍPICO</v>
      </c>
      <c r="K3777" t="str" cm="1">
        <f t="array" ref="K3777">_xlfn.IFS(ISBLANK(I3777),"FALTANTE",ABS((I3777-$W$8)/$X$8)&gt;1.92,"ATÍPICO",ABS((I3777-$W$8)/$X$8)&lt;=1.92,"NO ATÍPICO")</f>
        <v>NO ATÍPICO</v>
      </c>
      <c r="L3777">
        <f t="shared" si="249"/>
        <v>559022.46</v>
      </c>
      <c r="M3777" t="str">
        <f t="shared" si="249"/>
        <v>ASALARIADO</v>
      </c>
      <c r="N3777">
        <f t="shared" si="250"/>
        <v>38</v>
      </c>
      <c r="O3777" s="19" t="str">
        <f t="shared" si="251"/>
        <v>300k–600k</v>
      </c>
      <c r="P3777" s="19" t="str">
        <f t="shared" si="252"/>
        <v>36-45</v>
      </c>
    </row>
    <row r="3778" spans="1:16" x14ac:dyDescent="0.25">
      <c r="A3778">
        <v>3777</v>
      </c>
      <c r="B3778" t="s">
        <v>9</v>
      </c>
      <c r="C3778">
        <v>581009</v>
      </c>
      <c r="D3778" t="s">
        <v>10</v>
      </c>
      <c r="E3778" t="s">
        <v>16</v>
      </c>
      <c r="F3778" t="s">
        <v>12</v>
      </c>
      <c r="G3778" t="s">
        <v>13</v>
      </c>
      <c r="H3778" t="s">
        <v>13</v>
      </c>
      <c r="I3778">
        <v>49</v>
      </c>
      <c r="J3778" t="str" cm="1">
        <f t="array" ref="J3778">_xlfn.IFS(ISBLANK(C3778),"FALTANTE",ABS((C3778-$W$5)/$X$5)&gt;1.96,"ATÍPICO",ABS((C3778-$W$5)/$X$5)&lt;=1.96,"NO ATÍPICO")</f>
        <v>NO ATÍPICO</v>
      </c>
      <c r="K3778" t="str" cm="1">
        <f t="array" ref="K3778">_xlfn.IFS(ISBLANK(I3778),"FALTANTE",ABS((I3778-$W$8)/$X$8)&gt;1.92,"ATÍPICO",ABS((I3778-$W$8)/$X$8)&lt;=1.92,"NO ATÍPICO")</f>
        <v>NO ATÍPICO</v>
      </c>
      <c r="L3778">
        <f t="shared" ref="L3778:M3841" si="253">C3778</f>
        <v>581009</v>
      </c>
      <c r="M3778" t="str">
        <f t="shared" si="253"/>
        <v>ASALARIADO</v>
      </c>
      <c r="N3778">
        <f t="shared" ref="N3778:N3841" si="254">I3778</f>
        <v>49</v>
      </c>
      <c r="O3778" s="19" t="str">
        <f t="shared" ref="O3778:O3841" si="255">IF(L3778&lt;=300000,"0–300k",IF(L3778&lt;=600000,"300k–600k",IF(L3778&lt;=900000,"600k–900k",IF(L3778&lt;=1200000,"900k–1200k","1200k+"))))</f>
        <v>300k–600k</v>
      </c>
      <c r="P3778" s="19" t="str">
        <f t="shared" ref="P3778:P3841" si="256">IF(N3778 &lt;=25,"18-25", IF(N3778&lt;=35,"26-35", IF(N3778 &lt;=45,"36-45", IF(N3778&lt;=55,"46-55","56+"))))</f>
        <v>46-55</v>
      </c>
    </row>
    <row r="3779" spans="1:16" x14ac:dyDescent="0.25">
      <c r="A3779">
        <v>3778</v>
      </c>
      <c r="B3779" t="s">
        <v>15</v>
      </c>
      <c r="C3779">
        <v>1608290</v>
      </c>
      <c r="D3779" t="s">
        <v>10</v>
      </c>
      <c r="E3779" t="s">
        <v>11</v>
      </c>
      <c r="F3779" t="s">
        <v>12</v>
      </c>
      <c r="G3779" t="s">
        <v>13</v>
      </c>
      <c r="H3779" t="s">
        <v>13</v>
      </c>
      <c r="I3779">
        <v>36</v>
      </c>
      <c r="J3779" t="str" cm="1">
        <f t="array" ref="J3779">_xlfn.IFS(ISBLANK(C3779),"FALTANTE",ABS((C3779-$W$5)/$X$5)&gt;1.96,"ATÍPICO",ABS((C3779-$W$5)/$X$5)&lt;=1.96,"NO ATÍPICO")</f>
        <v>NO ATÍPICO</v>
      </c>
      <c r="K3779" t="str" cm="1">
        <f t="array" ref="K3779">_xlfn.IFS(ISBLANK(I3779),"FALTANTE",ABS((I3779-$W$8)/$X$8)&gt;1.92,"ATÍPICO",ABS((I3779-$W$8)/$X$8)&lt;=1.92,"NO ATÍPICO")</f>
        <v>NO ATÍPICO</v>
      </c>
      <c r="L3779">
        <f t="shared" si="253"/>
        <v>1608290</v>
      </c>
      <c r="M3779" t="str">
        <f t="shared" si="253"/>
        <v>ASALARIADO</v>
      </c>
      <c r="N3779">
        <f t="shared" si="254"/>
        <v>36</v>
      </c>
      <c r="O3779" s="19" t="str">
        <f t="shared" si="255"/>
        <v>1200k+</v>
      </c>
      <c r="P3779" s="19" t="str">
        <f t="shared" si="256"/>
        <v>36-45</v>
      </c>
    </row>
    <row r="3780" spans="1:16" x14ac:dyDescent="0.25">
      <c r="A3780">
        <v>3779</v>
      </c>
      <c r="B3780" t="s">
        <v>15</v>
      </c>
      <c r="C3780">
        <v>1168690</v>
      </c>
      <c r="D3780" t="s">
        <v>10</v>
      </c>
      <c r="E3780" t="s">
        <v>16</v>
      </c>
      <c r="F3780" t="s">
        <v>12</v>
      </c>
      <c r="G3780" t="s">
        <v>12</v>
      </c>
      <c r="H3780" t="s">
        <v>13</v>
      </c>
      <c r="I3780">
        <v>54</v>
      </c>
      <c r="J3780" t="str" cm="1">
        <f t="array" ref="J3780">_xlfn.IFS(ISBLANK(C3780),"FALTANTE",ABS((C3780-$W$5)/$X$5)&gt;1.96,"ATÍPICO",ABS((C3780-$W$5)/$X$5)&lt;=1.96,"NO ATÍPICO")</f>
        <v>NO ATÍPICO</v>
      </c>
      <c r="K3780" t="str" cm="1">
        <f t="array" ref="K3780">_xlfn.IFS(ISBLANK(I3780),"FALTANTE",ABS((I3780-$W$8)/$X$8)&gt;1.92,"ATÍPICO",ABS((I3780-$W$8)/$X$8)&lt;=1.92,"NO ATÍPICO")</f>
        <v>NO ATÍPICO</v>
      </c>
      <c r="L3780">
        <f t="shared" si="253"/>
        <v>1168690</v>
      </c>
      <c r="M3780" t="str">
        <f t="shared" si="253"/>
        <v>ASALARIADO</v>
      </c>
      <c r="N3780">
        <f t="shared" si="254"/>
        <v>54</v>
      </c>
      <c r="O3780" s="19" t="str">
        <f t="shared" si="255"/>
        <v>900k–1200k</v>
      </c>
      <c r="P3780" s="19" t="str">
        <f t="shared" si="256"/>
        <v>46-55</v>
      </c>
    </row>
    <row r="3781" spans="1:16" x14ac:dyDescent="0.25">
      <c r="A3781">
        <v>3780</v>
      </c>
      <c r="B3781" t="s">
        <v>15</v>
      </c>
      <c r="C3781">
        <v>1109001.29</v>
      </c>
      <c r="D3781" t="s">
        <v>10</v>
      </c>
      <c r="E3781" t="s">
        <v>16</v>
      </c>
      <c r="F3781" t="s">
        <v>12</v>
      </c>
      <c r="G3781" t="s">
        <v>13</v>
      </c>
      <c r="H3781" t="s">
        <v>13</v>
      </c>
      <c r="I3781">
        <v>49</v>
      </c>
      <c r="J3781" t="str" cm="1">
        <f t="array" ref="J3781">_xlfn.IFS(ISBLANK(C3781),"FALTANTE",ABS((C3781-$W$5)/$X$5)&gt;1.96,"ATÍPICO",ABS((C3781-$W$5)/$X$5)&lt;=1.96,"NO ATÍPICO")</f>
        <v>NO ATÍPICO</v>
      </c>
      <c r="K3781" t="str" cm="1">
        <f t="array" ref="K3781">_xlfn.IFS(ISBLANK(I3781),"FALTANTE",ABS((I3781-$W$8)/$X$8)&gt;1.92,"ATÍPICO",ABS((I3781-$W$8)/$X$8)&lt;=1.92,"NO ATÍPICO")</f>
        <v>NO ATÍPICO</v>
      </c>
      <c r="L3781">
        <f t="shared" si="253"/>
        <v>1109001.29</v>
      </c>
      <c r="M3781" t="str">
        <f t="shared" si="253"/>
        <v>ASALARIADO</v>
      </c>
      <c r="N3781">
        <f t="shared" si="254"/>
        <v>49</v>
      </c>
      <c r="O3781" s="19" t="str">
        <f t="shared" si="255"/>
        <v>900k–1200k</v>
      </c>
      <c r="P3781" s="19" t="str">
        <f t="shared" si="256"/>
        <v>46-55</v>
      </c>
    </row>
    <row r="3782" spans="1:16" x14ac:dyDescent="0.25">
      <c r="A3782">
        <v>3781</v>
      </c>
      <c r="B3782" t="s">
        <v>9</v>
      </c>
      <c r="C3782">
        <v>409616.24</v>
      </c>
      <c r="D3782" t="s">
        <v>10</v>
      </c>
      <c r="E3782" t="s">
        <v>16</v>
      </c>
      <c r="F3782" t="s">
        <v>12</v>
      </c>
      <c r="G3782" t="s">
        <v>13</v>
      </c>
      <c r="H3782" t="s">
        <v>13</v>
      </c>
      <c r="I3782">
        <v>57</v>
      </c>
      <c r="J3782" t="str" cm="1">
        <f t="array" ref="J3782">_xlfn.IFS(ISBLANK(C3782),"FALTANTE",ABS((C3782-$W$5)/$X$5)&gt;1.96,"ATÍPICO",ABS((C3782-$W$5)/$X$5)&lt;=1.96,"NO ATÍPICO")</f>
        <v>NO ATÍPICO</v>
      </c>
      <c r="K3782" t="str" cm="1">
        <f t="array" ref="K3782">_xlfn.IFS(ISBLANK(I3782),"FALTANTE",ABS((I3782-$W$8)/$X$8)&gt;1.92,"ATÍPICO",ABS((I3782-$W$8)/$X$8)&lt;=1.92,"NO ATÍPICO")</f>
        <v>NO ATÍPICO</v>
      </c>
      <c r="L3782">
        <f t="shared" si="253"/>
        <v>409616.24</v>
      </c>
      <c r="M3782" t="str">
        <f t="shared" si="253"/>
        <v>ASALARIADO</v>
      </c>
      <c r="N3782">
        <f t="shared" si="254"/>
        <v>57</v>
      </c>
      <c r="O3782" s="19" t="str">
        <f t="shared" si="255"/>
        <v>300k–600k</v>
      </c>
      <c r="P3782" s="19" t="str">
        <f t="shared" si="256"/>
        <v>56+</v>
      </c>
    </row>
    <row r="3783" spans="1:16" x14ac:dyDescent="0.25">
      <c r="A3783">
        <v>3782</v>
      </c>
      <c r="B3783" t="s">
        <v>15</v>
      </c>
      <c r="C3783">
        <v>184000</v>
      </c>
      <c r="D3783" t="s">
        <v>10</v>
      </c>
      <c r="E3783" t="s">
        <v>16</v>
      </c>
      <c r="F3783" t="s">
        <v>12</v>
      </c>
      <c r="G3783" t="s">
        <v>13</v>
      </c>
      <c r="H3783" t="s">
        <v>13</v>
      </c>
      <c r="I3783">
        <v>53</v>
      </c>
      <c r="J3783" t="str" cm="1">
        <f t="array" ref="J3783">_xlfn.IFS(ISBLANK(C3783),"FALTANTE",ABS((C3783-$W$5)/$X$5)&gt;1.96,"ATÍPICO",ABS((C3783-$W$5)/$X$5)&lt;=1.96,"NO ATÍPICO")</f>
        <v>NO ATÍPICO</v>
      </c>
      <c r="K3783" t="str" cm="1">
        <f t="array" ref="K3783">_xlfn.IFS(ISBLANK(I3783),"FALTANTE",ABS((I3783-$W$8)/$X$8)&gt;1.92,"ATÍPICO",ABS((I3783-$W$8)/$X$8)&lt;=1.92,"NO ATÍPICO")</f>
        <v>NO ATÍPICO</v>
      </c>
      <c r="L3783">
        <f t="shared" si="253"/>
        <v>184000</v>
      </c>
      <c r="M3783" t="str">
        <f t="shared" si="253"/>
        <v>ASALARIADO</v>
      </c>
      <c r="N3783">
        <f t="shared" si="254"/>
        <v>53</v>
      </c>
      <c r="O3783" s="19" t="str">
        <f t="shared" si="255"/>
        <v>0–300k</v>
      </c>
      <c r="P3783" s="19" t="str">
        <f t="shared" si="256"/>
        <v>46-55</v>
      </c>
    </row>
    <row r="3784" spans="1:16" x14ac:dyDescent="0.25">
      <c r="A3784">
        <v>3783</v>
      </c>
      <c r="B3784" t="s">
        <v>9</v>
      </c>
      <c r="C3784">
        <v>113333</v>
      </c>
      <c r="D3784" t="s">
        <v>10</v>
      </c>
      <c r="E3784" t="s">
        <v>16</v>
      </c>
      <c r="F3784" t="s">
        <v>12</v>
      </c>
      <c r="G3784" t="s">
        <v>13</v>
      </c>
      <c r="H3784" t="s">
        <v>13</v>
      </c>
      <c r="I3784">
        <v>38</v>
      </c>
      <c r="J3784" t="str" cm="1">
        <f t="array" ref="J3784">_xlfn.IFS(ISBLANK(C3784),"FALTANTE",ABS((C3784-$W$5)/$X$5)&gt;1.96,"ATÍPICO",ABS((C3784-$W$5)/$X$5)&lt;=1.96,"NO ATÍPICO")</f>
        <v>NO ATÍPICO</v>
      </c>
      <c r="K3784" t="str" cm="1">
        <f t="array" ref="K3784">_xlfn.IFS(ISBLANK(I3784),"FALTANTE",ABS((I3784-$W$8)/$X$8)&gt;1.92,"ATÍPICO",ABS((I3784-$W$8)/$X$8)&lt;=1.92,"NO ATÍPICO")</f>
        <v>NO ATÍPICO</v>
      </c>
      <c r="L3784">
        <f t="shared" si="253"/>
        <v>113333</v>
      </c>
      <c r="M3784" t="str">
        <f t="shared" si="253"/>
        <v>ASALARIADO</v>
      </c>
      <c r="N3784">
        <f t="shared" si="254"/>
        <v>38</v>
      </c>
      <c r="O3784" s="19" t="str">
        <f t="shared" si="255"/>
        <v>0–300k</v>
      </c>
      <c r="P3784" s="19" t="str">
        <f t="shared" si="256"/>
        <v>36-45</v>
      </c>
    </row>
    <row r="3785" spans="1:16" x14ac:dyDescent="0.25">
      <c r="A3785">
        <v>3784</v>
      </c>
      <c r="B3785" t="s">
        <v>9</v>
      </c>
      <c r="C3785">
        <v>278030</v>
      </c>
      <c r="D3785" t="s">
        <v>18</v>
      </c>
      <c r="E3785" t="s">
        <v>16</v>
      </c>
      <c r="F3785" t="s">
        <v>12</v>
      </c>
      <c r="G3785" t="s">
        <v>13</v>
      </c>
      <c r="H3785" t="s">
        <v>13</v>
      </c>
      <c r="I3785">
        <v>24</v>
      </c>
      <c r="J3785" t="str" cm="1">
        <f t="array" ref="J3785">_xlfn.IFS(ISBLANK(C3785),"FALTANTE",ABS((C3785-$W$5)/$X$5)&gt;1.96,"ATÍPICO",ABS((C3785-$W$5)/$X$5)&lt;=1.96,"NO ATÍPICO")</f>
        <v>NO ATÍPICO</v>
      </c>
      <c r="K3785" t="str" cm="1">
        <f t="array" ref="K3785">_xlfn.IFS(ISBLANK(I3785),"FALTANTE",ABS((I3785-$W$8)/$X$8)&gt;1.92,"ATÍPICO",ABS((I3785-$W$8)/$X$8)&lt;=1.92,"NO ATÍPICO")</f>
        <v>NO ATÍPICO</v>
      </c>
      <c r="L3785">
        <f t="shared" si="253"/>
        <v>278030</v>
      </c>
      <c r="M3785" t="str">
        <f t="shared" si="253"/>
        <v>TRABAJADOR INDEPENDIENTE</v>
      </c>
      <c r="N3785">
        <f t="shared" si="254"/>
        <v>24</v>
      </c>
      <c r="O3785" s="19" t="str">
        <f t="shared" si="255"/>
        <v>0–300k</v>
      </c>
      <c r="P3785" s="19" t="str">
        <f t="shared" si="256"/>
        <v>18-25</v>
      </c>
    </row>
    <row r="3786" spans="1:16" x14ac:dyDescent="0.25">
      <c r="A3786">
        <v>3785</v>
      </c>
      <c r="B3786" t="s">
        <v>9</v>
      </c>
      <c r="C3786">
        <v>297046</v>
      </c>
      <c r="D3786" t="s">
        <v>18</v>
      </c>
      <c r="E3786" t="s">
        <v>16</v>
      </c>
      <c r="F3786" t="s">
        <v>12</v>
      </c>
      <c r="G3786" t="s">
        <v>13</v>
      </c>
      <c r="H3786" t="s">
        <v>13</v>
      </c>
      <c r="I3786">
        <v>60</v>
      </c>
      <c r="J3786" t="str" cm="1">
        <f t="array" ref="J3786">_xlfn.IFS(ISBLANK(C3786),"FALTANTE",ABS((C3786-$W$5)/$X$5)&gt;1.96,"ATÍPICO",ABS((C3786-$W$5)/$X$5)&lt;=1.96,"NO ATÍPICO")</f>
        <v>NO ATÍPICO</v>
      </c>
      <c r="K3786" t="str" cm="1">
        <f t="array" ref="K3786">_xlfn.IFS(ISBLANK(I3786),"FALTANTE",ABS((I3786-$W$8)/$X$8)&gt;1.92,"ATÍPICO",ABS((I3786-$W$8)/$X$8)&lt;=1.92,"NO ATÍPICO")</f>
        <v>NO ATÍPICO</v>
      </c>
      <c r="L3786">
        <f t="shared" si="253"/>
        <v>297046</v>
      </c>
      <c r="M3786" t="str">
        <f t="shared" si="253"/>
        <v>TRABAJADOR INDEPENDIENTE</v>
      </c>
      <c r="N3786">
        <f t="shared" si="254"/>
        <v>60</v>
      </c>
      <c r="O3786" s="19" t="str">
        <f t="shared" si="255"/>
        <v>0–300k</v>
      </c>
      <c r="P3786" s="19" t="str">
        <f t="shared" si="256"/>
        <v>56+</v>
      </c>
    </row>
    <row r="3787" spans="1:16" x14ac:dyDescent="0.25">
      <c r="A3787">
        <v>3786</v>
      </c>
      <c r="B3787" t="s">
        <v>15</v>
      </c>
      <c r="C3787">
        <v>707680.19</v>
      </c>
      <c r="D3787" t="s">
        <v>10</v>
      </c>
      <c r="E3787" t="s">
        <v>16</v>
      </c>
      <c r="F3787" t="s">
        <v>12</v>
      </c>
      <c r="G3787" t="s">
        <v>13</v>
      </c>
      <c r="H3787" t="s">
        <v>13</v>
      </c>
      <c r="I3787">
        <v>19</v>
      </c>
      <c r="J3787" t="str" cm="1">
        <f t="array" ref="J3787">_xlfn.IFS(ISBLANK(C3787),"FALTANTE",ABS((C3787-$W$5)/$X$5)&gt;1.96,"ATÍPICO",ABS((C3787-$W$5)/$X$5)&lt;=1.96,"NO ATÍPICO")</f>
        <v>NO ATÍPICO</v>
      </c>
      <c r="K3787" t="str" cm="1">
        <f t="array" ref="K3787">_xlfn.IFS(ISBLANK(I3787),"FALTANTE",ABS((I3787-$W$8)/$X$8)&gt;1.92,"ATÍPICO",ABS((I3787-$W$8)/$X$8)&lt;=1.92,"NO ATÍPICO")</f>
        <v>NO ATÍPICO</v>
      </c>
      <c r="L3787">
        <f t="shared" si="253"/>
        <v>707680.19</v>
      </c>
      <c r="M3787" t="str">
        <f t="shared" si="253"/>
        <v>ASALARIADO</v>
      </c>
      <c r="N3787">
        <f t="shared" si="254"/>
        <v>19</v>
      </c>
      <c r="O3787" s="19" t="str">
        <f t="shared" si="255"/>
        <v>600k–900k</v>
      </c>
      <c r="P3787" s="19" t="str">
        <f t="shared" si="256"/>
        <v>18-25</v>
      </c>
    </row>
    <row r="3788" spans="1:16" x14ac:dyDescent="0.25">
      <c r="A3788">
        <v>3787</v>
      </c>
      <c r="B3788" t="s">
        <v>15</v>
      </c>
      <c r="C3788">
        <v>361811</v>
      </c>
      <c r="D3788" t="s">
        <v>18</v>
      </c>
      <c r="E3788" t="s">
        <v>16</v>
      </c>
      <c r="F3788" t="s">
        <v>12</v>
      </c>
      <c r="G3788" t="s">
        <v>13</v>
      </c>
      <c r="H3788" t="s">
        <v>13</v>
      </c>
      <c r="I3788">
        <v>48</v>
      </c>
      <c r="J3788" t="str" cm="1">
        <f t="array" ref="J3788">_xlfn.IFS(ISBLANK(C3788),"FALTANTE",ABS((C3788-$W$5)/$X$5)&gt;1.96,"ATÍPICO",ABS((C3788-$W$5)/$X$5)&lt;=1.96,"NO ATÍPICO")</f>
        <v>NO ATÍPICO</v>
      </c>
      <c r="K3788" t="str" cm="1">
        <f t="array" ref="K3788">_xlfn.IFS(ISBLANK(I3788),"FALTANTE",ABS((I3788-$W$8)/$X$8)&gt;1.92,"ATÍPICO",ABS((I3788-$W$8)/$X$8)&lt;=1.92,"NO ATÍPICO")</f>
        <v>NO ATÍPICO</v>
      </c>
      <c r="L3788">
        <f t="shared" si="253"/>
        <v>361811</v>
      </c>
      <c r="M3788" t="str">
        <f t="shared" si="253"/>
        <v>TRABAJADOR INDEPENDIENTE</v>
      </c>
      <c r="N3788">
        <f t="shared" si="254"/>
        <v>48</v>
      </c>
      <c r="O3788" s="19" t="str">
        <f t="shared" si="255"/>
        <v>300k–600k</v>
      </c>
      <c r="P3788" s="19" t="str">
        <f t="shared" si="256"/>
        <v>46-55</v>
      </c>
    </row>
    <row r="3789" spans="1:16" x14ac:dyDescent="0.25">
      <c r="A3789">
        <v>3788</v>
      </c>
      <c r="B3789" t="s">
        <v>15</v>
      </c>
      <c r="C3789">
        <v>350158.37</v>
      </c>
      <c r="D3789" t="s">
        <v>10</v>
      </c>
      <c r="E3789" t="s">
        <v>16</v>
      </c>
      <c r="F3789" t="s">
        <v>12</v>
      </c>
      <c r="G3789" t="s">
        <v>13</v>
      </c>
      <c r="H3789" t="s">
        <v>13</v>
      </c>
      <c r="I3789">
        <v>36</v>
      </c>
      <c r="J3789" t="str" cm="1">
        <f t="array" ref="J3789">_xlfn.IFS(ISBLANK(C3789),"FALTANTE",ABS((C3789-$W$5)/$X$5)&gt;1.96,"ATÍPICO",ABS((C3789-$W$5)/$X$5)&lt;=1.96,"NO ATÍPICO")</f>
        <v>NO ATÍPICO</v>
      </c>
      <c r="K3789" t="str" cm="1">
        <f t="array" ref="K3789">_xlfn.IFS(ISBLANK(I3789),"FALTANTE",ABS((I3789-$W$8)/$X$8)&gt;1.92,"ATÍPICO",ABS((I3789-$W$8)/$X$8)&lt;=1.92,"NO ATÍPICO")</f>
        <v>NO ATÍPICO</v>
      </c>
      <c r="L3789">
        <f t="shared" si="253"/>
        <v>350158.37</v>
      </c>
      <c r="M3789" t="str">
        <f t="shared" si="253"/>
        <v>ASALARIADO</v>
      </c>
      <c r="N3789">
        <f t="shared" si="254"/>
        <v>36</v>
      </c>
      <c r="O3789" s="19" t="str">
        <f t="shared" si="255"/>
        <v>300k–600k</v>
      </c>
      <c r="P3789" s="19" t="str">
        <f t="shared" si="256"/>
        <v>36-45</v>
      </c>
    </row>
    <row r="3790" spans="1:16" x14ac:dyDescent="0.25">
      <c r="A3790">
        <v>3789</v>
      </c>
      <c r="B3790" t="s">
        <v>9</v>
      </c>
      <c r="C3790">
        <v>459101.7</v>
      </c>
      <c r="D3790" t="s">
        <v>14</v>
      </c>
      <c r="E3790" t="s">
        <v>11</v>
      </c>
      <c r="F3790" t="s">
        <v>12</v>
      </c>
      <c r="G3790" t="s">
        <v>13</v>
      </c>
      <c r="H3790" t="s">
        <v>13</v>
      </c>
      <c r="I3790">
        <v>65</v>
      </c>
      <c r="J3790" t="str" cm="1">
        <f t="array" ref="J3790">_xlfn.IFS(ISBLANK(C3790),"FALTANTE",ABS((C3790-$W$5)/$X$5)&gt;1.96,"ATÍPICO",ABS((C3790-$W$5)/$X$5)&lt;=1.96,"NO ATÍPICO")</f>
        <v>NO ATÍPICO</v>
      </c>
      <c r="K3790" t="str" cm="1">
        <f t="array" ref="K3790">_xlfn.IFS(ISBLANK(I3790),"FALTANTE",ABS((I3790-$W$8)/$X$8)&gt;1.92,"ATÍPICO",ABS((I3790-$W$8)/$X$8)&lt;=1.92,"NO ATÍPICO")</f>
        <v>NO ATÍPICO</v>
      </c>
      <c r="L3790">
        <f t="shared" si="253"/>
        <v>459101.7</v>
      </c>
      <c r="M3790" t="str">
        <f t="shared" si="253"/>
        <v>PENSIONADOS EN SU PROPIO SISTEMA</v>
      </c>
      <c r="N3790">
        <f t="shared" si="254"/>
        <v>65</v>
      </c>
      <c r="O3790" s="19" t="str">
        <f t="shared" si="255"/>
        <v>300k–600k</v>
      </c>
      <c r="P3790" s="19" t="str">
        <f t="shared" si="256"/>
        <v>56+</v>
      </c>
    </row>
    <row r="3791" spans="1:16" x14ac:dyDescent="0.25">
      <c r="A3791">
        <v>3790</v>
      </c>
      <c r="B3791" t="s">
        <v>9</v>
      </c>
      <c r="C3791">
        <v>2369994</v>
      </c>
      <c r="D3791" t="s">
        <v>10</v>
      </c>
      <c r="E3791" t="s">
        <v>11</v>
      </c>
      <c r="F3791" t="s">
        <v>12</v>
      </c>
      <c r="G3791" t="s">
        <v>13</v>
      </c>
      <c r="H3791" t="s">
        <v>13</v>
      </c>
      <c r="I3791">
        <v>59</v>
      </c>
      <c r="J3791" t="str" cm="1">
        <f t="array" ref="J3791">_xlfn.IFS(ISBLANK(C3791),"FALTANTE",ABS((C3791-$W$5)/$X$5)&gt;1.96,"ATÍPICO",ABS((C3791-$W$5)/$X$5)&lt;=1.96,"NO ATÍPICO")</f>
        <v>ATÍPICO</v>
      </c>
      <c r="K3791" t="str" cm="1">
        <f t="array" ref="K3791">_xlfn.IFS(ISBLANK(I3791),"FALTANTE",ABS((I3791-$W$8)/$X$8)&gt;1.92,"ATÍPICO",ABS((I3791-$W$8)/$X$8)&lt;=1.92,"NO ATÍPICO")</f>
        <v>NO ATÍPICO</v>
      </c>
      <c r="L3791">
        <f t="shared" si="253"/>
        <v>2369994</v>
      </c>
      <c r="M3791" t="str">
        <f t="shared" si="253"/>
        <v>ASALARIADO</v>
      </c>
      <c r="N3791">
        <f t="shared" si="254"/>
        <v>59</v>
      </c>
      <c r="O3791" s="19" t="str">
        <f t="shared" si="255"/>
        <v>1200k+</v>
      </c>
      <c r="P3791" s="19" t="str">
        <f t="shared" si="256"/>
        <v>56+</v>
      </c>
    </row>
    <row r="3792" spans="1:16" x14ac:dyDescent="0.25">
      <c r="A3792">
        <v>3791</v>
      </c>
      <c r="B3792" t="s">
        <v>9</v>
      </c>
      <c r="C3792">
        <v>340000</v>
      </c>
      <c r="D3792" t="s">
        <v>10</v>
      </c>
      <c r="E3792" t="s">
        <v>16</v>
      </c>
      <c r="F3792" t="s">
        <v>12</v>
      </c>
      <c r="G3792" t="s">
        <v>12</v>
      </c>
      <c r="H3792" t="s">
        <v>12</v>
      </c>
      <c r="I3792">
        <v>43</v>
      </c>
      <c r="J3792" t="str" cm="1">
        <f t="array" ref="J3792">_xlfn.IFS(ISBLANK(C3792),"FALTANTE",ABS((C3792-$W$5)/$X$5)&gt;1.96,"ATÍPICO",ABS((C3792-$W$5)/$X$5)&lt;=1.96,"NO ATÍPICO")</f>
        <v>NO ATÍPICO</v>
      </c>
      <c r="K3792" t="str" cm="1">
        <f t="array" ref="K3792">_xlfn.IFS(ISBLANK(I3792),"FALTANTE",ABS((I3792-$W$8)/$X$8)&gt;1.92,"ATÍPICO",ABS((I3792-$W$8)/$X$8)&lt;=1.92,"NO ATÍPICO")</f>
        <v>NO ATÍPICO</v>
      </c>
      <c r="L3792">
        <f t="shared" si="253"/>
        <v>340000</v>
      </c>
      <c r="M3792" t="str">
        <f t="shared" si="253"/>
        <v>ASALARIADO</v>
      </c>
      <c r="N3792">
        <f t="shared" si="254"/>
        <v>43</v>
      </c>
      <c r="O3792" s="19" t="str">
        <f t="shared" si="255"/>
        <v>300k–600k</v>
      </c>
      <c r="P3792" s="19" t="str">
        <f t="shared" si="256"/>
        <v>36-45</v>
      </c>
    </row>
    <row r="3793" spans="1:16" x14ac:dyDescent="0.25">
      <c r="A3793">
        <v>3792</v>
      </c>
      <c r="B3793" t="s">
        <v>15</v>
      </c>
      <c r="C3793">
        <v>284340</v>
      </c>
      <c r="D3793" t="s">
        <v>10</v>
      </c>
      <c r="E3793" t="s">
        <v>16</v>
      </c>
      <c r="F3793" t="s">
        <v>12</v>
      </c>
      <c r="G3793" t="s">
        <v>13</v>
      </c>
      <c r="H3793" t="s">
        <v>13</v>
      </c>
      <c r="I3793">
        <v>20</v>
      </c>
      <c r="J3793" t="str" cm="1">
        <f t="array" ref="J3793">_xlfn.IFS(ISBLANK(C3793),"FALTANTE",ABS((C3793-$W$5)/$X$5)&gt;1.96,"ATÍPICO",ABS((C3793-$W$5)/$X$5)&lt;=1.96,"NO ATÍPICO")</f>
        <v>NO ATÍPICO</v>
      </c>
      <c r="K3793" t="str" cm="1">
        <f t="array" ref="K3793">_xlfn.IFS(ISBLANK(I3793),"FALTANTE",ABS((I3793-$W$8)/$X$8)&gt;1.92,"ATÍPICO",ABS((I3793-$W$8)/$X$8)&lt;=1.92,"NO ATÍPICO")</f>
        <v>NO ATÍPICO</v>
      </c>
      <c r="L3793">
        <f t="shared" si="253"/>
        <v>284340</v>
      </c>
      <c r="M3793" t="str">
        <f t="shared" si="253"/>
        <v>ASALARIADO</v>
      </c>
      <c r="N3793">
        <f t="shared" si="254"/>
        <v>20</v>
      </c>
      <c r="O3793" s="19" t="str">
        <f t="shared" si="255"/>
        <v>0–300k</v>
      </c>
      <c r="P3793" s="19" t="str">
        <f t="shared" si="256"/>
        <v>18-25</v>
      </c>
    </row>
    <row r="3794" spans="1:16" x14ac:dyDescent="0.25">
      <c r="A3794">
        <v>3793</v>
      </c>
      <c r="B3794" t="s">
        <v>15</v>
      </c>
      <c r="C3794">
        <v>1927866</v>
      </c>
      <c r="D3794" t="s">
        <v>14</v>
      </c>
      <c r="E3794" t="s">
        <v>11</v>
      </c>
      <c r="F3794" t="s">
        <v>12</v>
      </c>
      <c r="G3794" t="s">
        <v>13</v>
      </c>
      <c r="H3794" t="s">
        <v>13</v>
      </c>
      <c r="I3794">
        <v>70</v>
      </c>
      <c r="J3794" t="str" cm="1">
        <f t="array" ref="J3794">_xlfn.IFS(ISBLANK(C3794),"FALTANTE",ABS((C3794-$W$5)/$X$5)&gt;1.96,"ATÍPICO",ABS((C3794-$W$5)/$X$5)&lt;=1.96,"NO ATÍPICO")</f>
        <v>NO ATÍPICO</v>
      </c>
      <c r="K3794" t="str" cm="1">
        <f t="array" ref="K3794">_xlfn.IFS(ISBLANK(I3794),"FALTANTE",ABS((I3794-$W$8)/$X$8)&gt;1.92,"ATÍPICO",ABS((I3794-$W$8)/$X$8)&lt;=1.92,"NO ATÍPICO")</f>
        <v>ATÍPICO</v>
      </c>
      <c r="L3794">
        <f t="shared" si="253"/>
        <v>1927866</v>
      </c>
      <c r="M3794" t="str">
        <f t="shared" si="253"/>
        <v>PENSIONADOS EN SU PROPIO SISTEMA</v>
      </c>
      <c r="N3794">
        <f t="shared" si="254"/>
        <v>70</v>
      </c>
      <c r="O3794" s="19" t="str">
        <f t="shared" si="255"/>
        <v>1200k+</v>
      </c>
      <c r="P3794" s="19" t="str">
        <f t="shared" si="256"/>
        <v>56+</v>
      </c>
    </row>
    <row r="3795" spans="1:16" x14ac:dyDescent="0.25">
      <c r="A3795">
        <v>3794</v>
      </c>
      <c r="B3795" t="s">
        <v>9</v>
      </c>
      <c r="C3795">
        <v>465906.4</v>
      </c>
      <c r="D3795" t="s">
        <v>10</v>
      </c>
      <c r="E3795" t="s">
        <v>16</v>
      </c>
      <c r="F3795" t="s">
        <v>12</v>
      </c>
      <c r="G3795" t="s">
        <v>13</v>
      </c>
      <c r="H3795" t="s">
        <v>13</v>
      </c>
      <c r="I3795">
        <v>27</v>
      </c>
      <c r="J3795" t="str" cm="1">
        <f t="array" ref="J3795">_xlfn.IFS(ISBLANK(C3795),"FALTANTE",ABS((C3795-$W$5)/$X$5)&gt;1.96,"ATÍPICO",ABS((C3795-$W$5)/$X$5)&lt;=1.96,"NO ATÍPICO")</f>
        <v>NO ATÍPICO</v>
      </c>
      <c r="K3795" t="str" cm="1">
        <f t="array" ref="K3795">_xlfn.IFS(ISBLANK(I3795),"FALTANTE",ABS((I3795-$W$8)/$X$8)&gt;1.92,"ATÍPICO",ABS((I3795-$W$8)/$X$8)&lt;=1.92,"NO ATÍPICO")</f>
        <v>NO ATÍPICO</v>
      </c>
      <c r="L3795">
        <f t="shared" si="253"/>
        <v>465906.4</v>
      </c>
      <c r="M3795" t="str">
        <f t="shared" si="253"/>
        <v>ASALARIADO</v>
      </c>
      <c r="N3795">
        <f t="shared" si="254"/>
        <v>27</v>
      </c>
      <c r="O3795" s="19" t="str">
        <f t="shared" si="255"/>
        <v>300k–600k</v>
      </c>
      <c r="P3795" s="19" t="str">
        <f t="shared" si="256"/>
        <v>26-35</v>
      </c>
    </row>
    <row r="3796" spans="1:16" x14ac:dyDescent="0.25">
      <c r="A3796">
        <v>3795</v>
      </c>
      <c r="B3796" t="s">
        <v>15</v>
      </c>
      <c r="C3796">
        <v>297044.99</v>
      </c>
      <c r="D3796" t="s">
        <v>19</v>
      </c>
      <c r="E3796" t="s">
        <v>16</v>
      </c>
      <c r="F3796" t="s">
        <v>12</v>
      </c>
      <c r="G3796" t="s">
        <v>12</v>
      </c>
      <c r="H3796" t="s">
        <v>13</v>
      </c>
      <c r="I3796">
        <v>56</v>
      </c>
      <c r="J3796" t="str" cm="1">
        <f t="array" ref="J3796">_xlfn.IFS(ISBLANK(C3796),"FALTANTE",ABS((C3796-$W$5)/$X$5)&gt;1.96,"ATÍPICO",ABS((C3796-$W$5)/$X$5)&lt;=1.96,"NO ATÍPICO")</f>
        <v>NO ATÍPICO</v>
      </c>
      <c r="K3796" t="str" cm="1">
        <f t="array" ref="K3796">_xlfn.IFS(ISBLANK(I3796),"FALTANTE",ABS((I3796-$W$8)/$X$8)&gt;1.92,"ATÍPICO",ABS((I3796-$W$8)/$X$8)&lt;=1.92,"NO ATÍPICO")</f>
        <v>NO ATÍPICO</v>
      </c>
      <c r="L3796">
        <f t="shared" si="253"/>
        <v>297044.99</v>
      </c>
      <c r="M3796" t="str">
        <f t="shared" si="253"/>
        <v>CONVENIOS ESPECIALES DE TRABAJADORES INDEPENDIENTES</v>
      </c>
      <c r="N3796">
        <f t="shared" si="254"/>
        <v>56</v>
      </c>
      <c r="O3796" s="19" t="str">
        <f t="shared" si="255"/>
        <v>0–300k</v>
      </c>
      <c r="P3796" s="19" t="str">
        <f t="shared" si="256"/>
        <v>56+</v>
      </c>
    </row>
    <row r="3797" spans="1:16" x14ac:dyDescent="0.25">
      <c r="A3797">
        <v>3796</v>
      </c>
      <c r="B3797" t="s">
        <v>9</v>
      </c>
      <c r="C3797">
        <v>400000</v>
      </c>
      <c r="D3797" t="s">
        <v>10</v>
      </c>
      <c r="E3797" t="s">
        <v>16</v>
      </c>
      <c r="F3797" t="s">
        <v>12</v>
      </c>
      <c r="G3797" t="s">
        <v>13</v>
      </c>
      <c r="H3797" t="s">
        <v>13</v>
      </c>
      <c r="I3797">
        <v>43</v>
      </c>
      <c r="J3797" t="str" cm="1">
        <f t="array" ref="J3797">_xlfn.IFS(ISBLANK(C3797),"FALTANTE",ABS((C3797-$W$5)/$X$5)&gt;1.96,"ATÍPICO",ABS((C3797-$W$5)/$X$5)&lt;=1.96,"NO ATÍPICO")</f>
        <v>NO ATÍPICO</v>
      </c>
      <c r="K3797" t="str" cm="1">
        <f t="array" ref="K3797">_xlfn.IFS(ISBLANK(I3797),"FALTANTE",ABS((I3797-$W$8)/$X$8)&gt;1.92,"ATÍPICO",ABS((I3797-$W$8)/$X$8)&lt;=1.92,"NO ATÍPICO")</f>
        <v>NO ATÍPICO</v>
      </c>
      <c r="L3797">
        <f t="shared" si="253"/>
        <v>400000</v>
      </c>
      <c r="M3797" t="str">
        <f t="shared" si="253"/>
        <v>ASALARIADO</v>
      </c>
      <c r="N3797">
        <f t="shared" si="254"/>
        <v>43</v>
      </c>
      <c r="O3797" s="19" t="str">
        <f t="shared" si="255"/>
        <v>300k–600k</v>
      </c>
      <c r="P3797" s="19" t="str">
        <f t="shared" si="256"/>
        <v>36-45</v>
      </c>
    </row>
    <row r="3798" spans="1:16" x14ac:dyDescent="0.25">
      <c r="A3798">
        <v>3797</v>
      </c>
      <c r="B3798" t="s">
        <v>9</v>
      </c>
      <c r="C3798">
        <v>297046</v>
      </c>
      <c r="D3798" t="s">
        <v>17</v>
      </c>
      <c r="E3798" t="s">
        <v>16</v>
      </c>
      <c r="F3798" t="s">
        <v>12</v>
      </c>
      <c r="G3798" t="s">
        <v>13</v>
      </c>
      <c r="H3798" t="s">
        <v>13</v>
      </c>
      <c r="I3798">
        <v>26</v>
      </c>
      <c r="J3798" t="str" cm="1">
        <f t="array" ref="J3798">_xlfn.IFS(ISBLANK(C3798),"FALTANTE",ABS((C3798-$W$5)/$X$5)&gt;1.96,"ATÍPICO",ABS((C3798-$W$5)/$X$5)&lt;=1.96,"NO ATÍPICO")</f>
        <v>NO ATÍPICO</v>
      </c>
      <c r="K3798" t="str" cm="1">
        <f t="array" ref="K3798">_xlfn.IFS(ISBLANK(I3798),"FALTANTE",ABS((I3798-$W$8)/$X$8)&gt;1.92,"ATÍPICO",ABS((I3798-$W$8)/$X$8)&lt;=1.92,"NO ATÍPICO")</f>
        <v>NO ATÍPICO</v>
      </c>
      <c r="L3798">
        <f t="shared" si="253"/>
        <v>297046</v>
      </c>
      <c r="M3798" t="str">
        <f t="shared" si="253"/>
        <v>ASEGURADO VOLUNTARIO</v>
      </c>
      <c r="N3798">
        <f t="shared" si="254"/>
        <v>26</v>
      </c>
      <c r="O3798" s="19" t="str">
        <f t="shared" si="255"/>
        <v>0–300k</v>
      </c>
      <c r="P3798" s="19" t="str">
        <f t="shared" si="256"/>
        <v>26-35</v>
      </c>
    </row>
    <row r="3799" spans="1:16" x14ac:dyDescent="0.25">
      <c r="A3799">
        <v>3798</v>
      </c>
      <c r="B3799" t="s">
        <v>9</v>
      </c>
      <c r="C3799">
        <v>278030</v>
      </c>
      <c r="D3799" t="s">
        <v>17</v>
      </c>
      <c r="E3799" t="s">
        <v>16</v>
      </c>
      <c r="F3799" t="s">
        <v>12</v>
      </c>
      <c r="G3799" t="s">
        <v>13</v>
      </c>
      <c r="H3799" t="s">
        <v>12</v>
      </c>
      <c r="I3799">
        <v>29</v>
      </c>
      <c r="J3799" t="str" cm="1">
        <f t="array" ref="J3799">_xlfn.IFS(ISBLANK(C3799),"FALTANTE",ABS((C3799-$W$5)/$X$5)&gt;1.96,"ATÍPICO",ABS((C3799-$W$5)/$X$5)&lt;=1.96,"NO ATÍPICO")</f>
        <v>NO ATÍPICO</v>
      </c>
      <c r="K3799" t="str" cm="1">
        <f t="array" ref="K3799">_xlfn.IFS(ISBLANK(I3799),"FALTANTE",ABS((I3799-$W$8)/$X$8)&gt;1.92,"ATÍPICO",ABS((I3799-$W$8)/$X$8)&lt;=1.92,"NO ATÍPICO")</f>
        <v>NO ATÍPICO</v>
      </c>
      <c r="L3799">
        <f t="shared" si="253"/>
        <v>278030</v>
      </c>
      <c r="M3799" t="str">
        <f t="shared" si="253"/>
        <v>ASEGURADO VOLUNTARIO</v>
      </c>
      <c r="N3799">
        <f t="shared" si="254"/>
        <v>29</v>
      </c>
      <c r="O3799" s="19" t="str">
        <f t="shared" si="255"/>
        <v>0–300k</v>
      </c>
      <c r="P3799" s="19" t="str">
        <f t="shared" si="256"/>
        <v>26-35</v>
      </c>
    </row>
    <row r="3800" spans="1:16" x14ac:dyDescent="0.25">
      <c r="A3800">
        <v>3799</v>
      </c>
      <c r="B3800" t="s">
        <v>15</v>
      </c>
      <c r="C3800">
        <v>404467</v>
      </c>
      <c r="D3800" t="s">
        <v>17</v>
      </c>
      <c r="E3800" t="s">
        <v>16</v>
      </c>
      <c r="F3800" t="s">
        <v>12</v>
      </c>
      <c r="G3800" t="s">
        <v>12</v>
      </c>
      <c r="H3800" t="s">
        <v>13</v>
      </c>
      <c r="I3800">
        <v>63</v>
      </c>
      <c r="J3800" t="str" cm="1">
        <f t="array" ref="J3800">_xlfn.IFS(ISBLANK(C3800),"FALTANTE",ABS((C3800-$W$5)/$X$5)&gt;1.96,"ATÍPICO",ABS((C3800-$W$5)/$X$5)&lt;=1.96,"NO ATÍPICO")</f>
        <v>NO ATÍPICO</v>
      </c>
      <c r="K3800" t="str" cm="1">
        <f t="array" ref="K3800">_xlfn.IFS(ISBLANK(I3800),"FALTANTE",ABS((I3800-$W$8)/$X$8)&gt;1.92,"ATÍPICO",ABS((I3800-$W$8)/$X$8)&lt;=1.92,"NO ATÍPICO")</f>
        <v>NO ATÍPICO</v>
      </c>
      <c r="L3800">
        <f t="shared" si="253"/>
        <v>404467</v>
      </c>
      <c r="M3800" t="str">
        <f t="shared" si="253"/>
        <v>ASEGURADO VOLUNTARIO</v>
      </c>
      <c r="N3800">
        <f t="shared" si="254"/>
        <v>63</v>
      </c>
      <c r="O3800" s="19" t="str">
        <f t="shared" si="255"/>
        <v>300k–600k</v>
      </c>
      <c r="P3800" s="19" t="str">
        <f t="shared" si="256"/>
        <v>56+</v>
      </c>
    </row>
    <row r="3801" spans="1:16" x14ac:dyDescent="0.25">
      <c r="A3801">
        <v>3800</v>
      </c>
      <c r="B3801" t="s">
        <v>15</v>
      </c>
      <c r="C3801">
        <v>954415.34</v>
      </c>
      <c r="D3801" t="s">
        <v>10</v>
      </c>
      <c r="E3801" t="s">
        <v>16</v>
      </c>
      <c r="F3801" t="s">
        <v>12</v>
      </c>
      <c r="G3801" t="s">
        <v>13</v>
      </c>
      <c r="H3801" t="s">
        <v>13</v>
      </c>
      <c r="I3801">
        <v>29</v>
      </c>
      <c r="J3801" t="str" cm="1">
        <f t="array" ref="J3801">_xlfn.IFS(ISBLANK(C3801),"FALTANTE",ABS((C3801-$W$5)/$X$5)&gt;1.96,"ATÍPICO",ABS((C3801-$W$5)/$X$5)&lt;=1.96,"NO ATÍPICO")</f>
        <v>NO ATÍPICO</v>
      </c>
      <c r="K3801" t="str" cm="1">
        <f t="array" ref="K3801">_xlfn.IFS(ISBLANK(I3801),"FALTANTE",ABS((I3801-$W$8)/$X$8)&gt;1.92,"ATÍPICO",ABS((I3801-$W$8)/$X$8)&lt;=1.92,"NO ATÍPICO")</f>
        <v>NO ATÍPICO</v>
      </c>
      <c r="L3801">
        <f t="shared" si="253"/>
        <v>954415.34</v>
      </c>
      <c r="M3801" t="str">
        <f t="shared" si="253"/>
        <v>ASALARIADO</v>
      </c>
      <c r="N3801">
        <f t="shared" si="254"/>
        <v>29</v>
      </c>
      <c r="O3801" s="19" t="str">
        <f t="shared" si="255"/>
        <v>900k–1200k</v>
      </c>
      <c r="P3801" s="19" t="str">
        <f t="shared" si="256"/>
        <v>26-35</v>
      </c>
    </row>
    <row r="3802" spans="1:16" x14ac:dyDescent="0.25">
      <c r="A3802">
        <v>3801</v>
      </c>
      <c r="B3802" t="s">
        <v>9</v>
      </c>
      <c r="C3802">
        <v>494792</v>
      </c>
      <c r="D3802" t="s">
        <v>10</v>
      </c>
      <c r="E3802" t="s">
        <v>16</v>
      </c>
      <c r="F3802" t="s">
        <v>12</v>
      </c>
      <c r="G3802" t="s">
        <v>13</v>
      </c>
      <c r="H3802" t="s">
        <v>13</v>
      </c>
      <c r="I3802">
        <v>28</v>
      </c>
      <c r="J3802" t="str" cm="1">
        <f t="array" ref="J3802">_xlfn.IFS(ISBLANK(C3802),"FALTANTE",ABS((C3802-$W$5)/$X$5)&gt;1.96,"ATÍPICO",ABS((C3802-$W$5)/$X$5)&lt;=1.96,"NO ATÍPICO")</f>
        <v>NO ATÍPICO</v>
      </c>
      <c r="K3802" t="str" cm="1">
        <f t="array" ref="K3802">_xlfn.IFS(ISBLANK(I3802),"FALTANTE",ABS((I3802-$W$8)/$X$8)&gt;1.92,"ATÍPICO",ABS((I3802-$W$8)/$X$8)&lt;=1.92,"NO ATÍPICO")</f>
        <v>NO ATÍPICO</v>
      </c>
      <c r="L3802">
        <f t="shared" si="253"/>
        <v>494792</v>
      </c>
      <c r="M3802" t="str">
        <f t="shared" si="253"/>
        <v>ASALARIADO</v>
      </c>
      <c r="N3802">
        <f t="shared" si="254"/>
        <v>28</v>
      </c>
      <c r="O3802" s="19" t="str">
        <f t="shared" si="255"/>
        <v>300k–600k</v>
      </c>
      <c r="P3802" s="19" t="str">
        <f t="shared" si="256"/>
        <v>26-35</v>
      </c>
    </row>
    <row r="3803" spans="1:16" x14ac:dyDescent="0.25">
      <c r="A3803">
        <v>3802</v>
      </c>
      <c r="B3803" t="s">
        <v>9</v>
      </c>
      <c r="C3803">
        <v>405798</v>
      </c>
      <c r="D3803" t="s">
        <v>17</v>
      </c>
      <c r="E3803" t="s">
        <v>16</v>
      </c>
      <c r="F3803" t="s">
        <v>12</v>
      </c>
      <c r="G3803" t="s">
        <v>13</v>
      </c>
      <c r="H3803" t="s">
        <v>13</v>
      </c>
      <c r="I3803">
        <v>35</v>
      </c>
      <c r="J3803" t="str" cm="1">
        <f t="array" ref="J3803">_xlfn.IFS(ISBLANK(C3803),"FALTANTE",ABS((C3803-$W$5)/$X$5)&gt;1.96,"ATÍPICO",ABS((C3803-$W$5)/$X$5)&lt;=1.96,"NO ATÍPICO")</f>
        <v>NO ATÍPICO</v>
      </c>
      <c r="K3803" t="str" cm="1">
        <f t="array" ref="K3803">_xlfn.IFS(ISBLANK(I3803),"FALTANTE",ABS((I3803-$W$8)/$X$8)&gt;1.92,"ATÍPICO",ABS((I3803-$W$8)/$X$8)&lt;=1.92,"NO ATÍPICO")</f>
        <v>NO ATÍPICO</v>
      </c>
      <c r="L3803">
        <f t="shared" si="253"/>
        <v>405798</v>
      </c>
      <c r="M3803" t="str">
        <f t="shared" si="253"/>
        <v>ASEGURADO VOLUNTARIO</v>
      </c>
      <c r="N3803">
        <f t="shared" si="254"/>
        <v>35</v>
      </c>
      <c r="O3803" s="19" t="str">
        <f t="shared" si="255"/>
        <v>300k–600k</v>
      </c>
      <c r="P3803" s="19" t="str">
        <f t="shared" si="256"/>
        <v>26-35</v>
      </c>
    </row>
    <row r="3804" spans="1:16" x14ac:dyDescent="0.25">
      <c r="A3804">
        <v>3803</v>
      </c>
      <c r="B3804" t="s">
        <v>15</v>
      </c>
      <c r="C3804">
        <v>274453.13</v>
      </c>
      <c r="D3804" t="s">
        <v>10</v>
      </c>
      <c r="E3804" t="s">
        <v>16</v>
      </c>
      <c r="F3804" t="s">
        <v>12</v>
      </c>
      <c r="G3804" t="s">
        <v>13</v>
      </c>
      <c r="H3804" t="s">
        <v>13</v>
      </c>
      <c r="I3804">
        <v>31</v>
      </c>
      <c r="J3804" t="str" cm="1">
        <f t="array" ref="J3804">_xlfn.IFS(ISBLANK(C3804),"FALTANTE",ABS((C3804-$W$5)/$X$5)&gt;1.96,"ATÍPICO",ABS((C3804-$W$5)/$X$5)&lt;=1.96,"NO ATÍPICO")</f>
        <v>NO ATÍPICO</v>
      </c>
      <c r="K3804" t="str" cm="1">
        <f t="array" ref="K3804">_xlfn.IFS(ISBLANK(I3804),"FALTANTE",ABS((I3804-$W$8)/$X$8)&gt;1.92,"ATÍPICO",ABS((I3804-$W$8)/$X$8)&lt;=1.92,"NO ATÍPICO")</f>
        <v>NO ATÍPICO</v>
      </c>
      <c r="L3804">
        <f t="shared" si="253"/>
        <v>274453.13</v>
      </c>
      <c r="M3804" t="str">
        <f t="shared" si="253"/>
        <v>ASALARIADO</v>
      </c>
      <c r="N3804">
        <f t="shared" si="254"/>
        <v>31</v>
      </c>
      <c r="O3804" s="19" t="str">
        <f t="shared" si="255"/>
        <v>0–300k</v>
      </c>
      <c r="P3804" s="19" t="str">
        <f t="shared" si="256"/>
        <v>26-35</v>
      </c>
    </row>
    <row r="3805" spans="1:16" x14ac:dyDescent="0.25">
      <c r="A3805">
        <v>3804</v>
      </c>
      <c r="B3805" t="s">
        <v>9</v>
      </c>
      <c r="C3805">
        <v>411350</v>
      </c>
      <c r="D3805" t="s">
        <v>10</v>
      </c>
      <c r="E3805" t="s">
        <v>16</v>
      </c>
      <c r="F3805" t="s">
        <v>12</v>
      </c>
      <c r="G3805" t="s">
        <v>13</v>
      </c>
      <c r="H3805" t="s">
        <v>13</v>
      </c>
      <c r="I3805">
        <v>24</v>
      </c>
      <c r="J3805" t="str" cm="1">
        <f t="array" ref="J3805">_xlfn.IFS(ISBLANK(C3805),"FALTANTE",ABS((C3805-$W$5)/$X$5)&gt;1.96,"ATÍPICO",ABS((C3805-$W$5)/$X$5)&lt;=1.96,"NO ATÍPICO")</f>
        <v>NO ATÍPICO</v>
      </c>
      <c r="K3805" t="str" cm="1">
        <f t="array" ref="K3805">_xlfn.IFS(ISBLANK(I3805),"FALTANTE",ABS((I3805-$W$8)/$X$8)&gt;1.92,"ATÍPICO",ABS((I3805-$W$8)/$X$8)&lt;=1.92,"NO ATÍPICO")</f>
        <v>NO ATÍPICO</v>
      </c>
      <c r="L3805">
        <f t="shared" si="253"/>
        <v>411350</v>
      </c>
      <c r="M3805" t="str">
        <f t="shared" si="253"/>
        <v>ASALARIADO</v>
      </c>
      <c r="N3805">
        <f t="shared" si="254"/>
        <v>24</v>
      </c>
      <c r="O3805" s="19" t="str">
        <f t="shared" si="255"/>
        <v>300k–600k</v>
      </c>
      <c r="P3805" s="19" t="str">
        <f t="shared" si="256"/>
        <v>18-25</v>
      </c>
    </row>
    <row r="3806" spans="1:16" x14ac:dyDescent="0.25">
      <c r="A3806">
        <v>3805</v>
      </c>
      <c r="B3806" t="s">
        <v>15</v>
      </c>
      <c r="C3806">
        <v>1586316</v>
      </c>
      <c r="D3806" t="s">
        <v>10</v>
      </c>
      <c r="E3806" t="s">
        <v>11</v>
      </c>
      <c r="F3806" t="s">
        <v>12</v>
      </c>
      <c r="G3806" t="s">
        <v>13</v>
      </c>
      <c r="H3806" t="s">
        <v>12</v>
      </c>
      <c r="I3806">
        <v>39</v>
      </c>
      <c r="J3806" t="str" cm="1">
        <f t="array" ref="J3806">_xlfn.IFS(ISBLANK(C3806),"FALTANTE",ABS((C3806-$W$5)/$X$5)&gt;1.96,"ATÍPICO",ABS((C3806-$W$5)/$X$5)&lt;=1.96,"NO ATÍPICO")</f>
        <v>NO ATÍPICO</v>
      </c>
      <c r="K3806" t="str" cm="1">
        <f t="array" ref="K3806">_xlfn.IFS(ISBLANK(I3806),"FALTANTE",ABS((I3806-$W$8)/$X$8)&gt;1.92,"ATÍPICO",ABS((I3806-$W$8)/$X$8)&lt;=1.92,"NO ATÍPICO")</f>
        <v>NO ATÍPICO</v>
      </c>
      <c r="L3806">
        <f t="shared" si="253"/>
        <v>1586316</v>
      </c>
      <c r="M3806" t="str">
        <f t="shared" si="253"/>
        <v>ASALARIADO</v>
      </c>
      <c r="N3806">
        <f t="shared" si="254"/>
        <v>39</v>
      </c>
      <c r="O3806" s="19" t="str">
        <f t="shared" si="255"/>
        <v>1200k+</v>
      </c>
      <c r="P3806" s="19" t="str">
        <f t="shared" si="256"/>
        <v>36-45</v>
      </c>
    </row>
    <row r="3807" spans="1:16" x14ac:dyDescent="0.25">
      <c r="A3807">
        <v>3806</v>
      </c>
      <c r="B3807" t="s">
        <v>15</v>
      </c>
      <c r="C3807">
        <v>221483.33</v>
      </c>
      <c r="D3807" t="s">
        <v>10</v>
      </c>
      <c r="E3807" t="s">
        <v>16</v>
      </c>
      <c r="F3807" t="s">
        <v>12</v>
      </c>
      <c r="G3807" t="s">
        <v>13</v>
      </c>
      <c r="H3807" t="s">
        <v>13</v>
      </c>
      <c r="I3807">
        <v>25</v>
      </c>
      <c r="J3807" t="str" cm="1">
        <f t="array" ref="J3807">_xlfn.IFS(ISBLANK(C3807),"FALTANTE",ABS((C3807-$W$5)/$X$5)&gt;1.96,"ATÍPICO",ABS((C3807-$W$5)/$X$5)&lt;=1.96,"NO ATÍPICO")</f>
        <v>NO ATÍPICO</v>
      </c>
      <c r="K3807" t="str" cm="1">
        <f t="array" ref="K3807">_xlfn.IFS(ISBLANK(I3807),"FALTANTE",ABS((I3807-$W$8)/$X$8)&gt;1.92,"ATÍPICO",ABS((I3807-$W$8)/$X$8)&lt;=1.92,"NO ATÍPICO")</f>
        <v>NO ATÍPICO</v>
      </c>
      <c r="L3807">
        <f t="shared" si="253"/>
        <v>221483.33</v>
      </c>
      <c r="M3807" t="str">
        <f t="shared" si="253"/>
        <v>ASALARIADO</v>
      </c>
      <c r="N3807">
        <f t="shared" si="254"/>
        <v>25</v>
      </c>
      <c r="O3807" s="19" t="str">
        <f t="shared" si="255"/>
        <v>0–300k</v>
      </c>
      <c r="P3807" s="19" t="str">
        <f t="shared" si="256"/>
        <v>18-25</v>
      </c>
    </row>
    <row r="3808" spans="1:16" x14ac:dyDescent="0.25">
      <c r="A3808">
        <v>3807</v>
      </c>
      <c r="B3808" t="s">
        <v>15</v>
      </c>
      <c r="C3808">
        <v>297046</v>
      </c>
      <c r="D3808" t="s">
        <v>17</v>
      </c>
      <c r="E3808" t="s">
        <v>16</v>
      </c>
      <c r="F3808" t="s">
        <v>12</v>
      </c>
      <c r="G3808" t="s">
        <v>12</v>
      </c>
      <c r="H3808" t="s">
        <v>13</v>
      </c>
      <c r="I3808">
        <v>32</v>
      </c>
      <c r="J3808" t="str" cm="1">
        <f t="array" ref="J3808">_xlfn.IFS(ISBLANK(C3808),"FALTANTE",ABS((C3808-$W$5)/$X$5)&gt;1.96,"ATÍPICO",ABS((C3808-$W$5)/$X$5)&lt;=1.96,"NO ATÍPICO")</f>
        <v>NO ATÍPICO</v>
      </c>
      <c r="K3808" t="str" cm="1">
        <f t="array" ref="K3808">_xlfn.IFS(ISBLANK(I3808),"FALTANTE",ABS((I3808-$W$8)/$X$8)&gt;1.92,"ATÍPICO",ABS((I3808-$W$8)/$X$8)&lt;=1.92,"NO ATÍPICO")</f>
        <v>NO ATÍPICO</v>
      </c>
      <c r="L3808">
        <f t="shared" si="253"/>
        <v>297046</v>
      </c>
      <c r="M3808" t="str">
        <f t="shared" si="253"/>
        <v>ASEGURADO VOLUNTARIO</v>
      </c>
      <c r="N3808">
        <f t="shared" si="254"/>
        <v>32</v>
      </c>
      <c r="O3808" s="19" t="str">
        <f t="shared" si="255"/>
        <v>0–300k</v>
      </c>
      <c r="P3808" s="19" t="str">
        <f t="shared" si="256"/>
        <v>26-35</v>
      </c>
    </row>
    <row r="3809" spans="1:16" x14ac:dyDescent="0.25">
      <c r="A3809">
        <v>3808</v>
      </c>
      <c r="B3809" t="s">
        <v>15</v>
      </c>
      <c r="C3809">
        <v>355311.73</v>
      </c>
      <c r="D3809" t="s">
        <v>10</v>
      </c>
      <c r="E3809" t="s">
        <v>11</v>
      </c>
      <c r="F3809" t="s">
        <v>12</v>
      </c>
      <c r="G3809" t="s">
        <v>13</v>
      </c>
      <c r="H3809" t="s">
        <v>13</v>
      </c>
      <c r="I3809">
        <v>51</v>
      </c>
      <c r="J3809" t="str" cm="1">
        <f t="array" ref="J3809">_xlfn.IFS(ISBLANK(C3809),"FALTANTE",ABS((C3809-$W$5)/$X$5)&gt;1.96,"ATÍPICO",ABS((C3809-$W$5)/$X$5)&lt;=1.96,"NO ATÍPICO")</f>
        <v>NO ATÍPICO</v>
      </c>
      <c r="K3809" t="str" cm="1">
        <f t="array" ref="K3809">_xlfn.IFS(ISBLANK(I3809),"FALTANTE",ABS((I3809-$W$8)/$X$8)&gt;1.92,"ATÍPICO",ABS((I3809-$W$8)/$X$8)&lt;=1.92,"NO ATÍPICO")</f>
        <v>NO ATÍPICO</v>
      </c>
      <c r="L3809">
        <f t="shared" si="253"/>
        <v>355311.73</v>
      </c>
      <c r="M3809" t="str">
        <f t="shared" si="253"/>
        <v>ASALARIADO</v>
      </c>
      <c r="N3809">
        <f t="shared" si="254"/>
        <v>51</v>
      </c>
      <c r="O3809" s="19" t="str">
        <f t="shared" si="255"/>
        <v>300k–600k</v>
      </c>
      <c r="P3809" s="19" t="str">
        <f t="shared" si="256"/>
        <v>46-55</v>
      </c>
    </row>
    <row r="3810" spans="1:16" x14ac:dyDescent="0.25">
      <c r="A3810">
        <v>3809</v>
      </c>
      <c r="B3810" t="s">
        <v>9</v>
      </c>
      <c r="C3810">
        <v>632709.64</v>
      </c>
      <c r="D3810" t="s">
        <v>10</v>
      </c>
      <c r="E3810" t="s">
        <v>16</v>
      </c>
      <c r="F3810" t="s">
        <v>12</v>
      </c>
      <c r="G3810" t="s">
        <v>13</v>
      </c>
      <c r="H3810" t="s">
        <v>13</v>
      </c>
      <c r="I3810">
        <v>20</v>
      </c>
      <c r="J3810" t="str" cm="1">
        <f t="array" ref="J3810">_xlfn.IFS(ISBLANK(C3810),"FALTANTE",ABS((C3810-$W$5)/$X$5)&gt;1.96,"ATÍPICO",ABS((C3810-$W$5)/$X$5)&lt;=1.96,"NO ATÍPICO")</f>
        <v>NO ATÍPICO</v>
      </c>
      <c r="K3810" t="str" cm="1">
        <f t="array" ref="K3810">_xlfn.IFS(ISBLANK(I3810),"FALTANTE",ABS((I3810-$W$8)/$X$8)&gt;1.92,"ATÍPICO",ABS((I3810-$W$8)/$X$8)&lt;=1.92,"NO ATÍPICO")</f>
        <v>NO ATÍPICO</v>
      </c>
      <c r="L3810">
        <f t="shared" si="253"/>
        <v>632709.64</v>
      </c>
      <c r="M3810" t="str">
        <f t="shared" si="253"/>
        <v>ASALARIADO</v>
      </c>
      <c r="N3810">
        <f t="shared" si="254"/>
        <v>20</v>
      </c>
      <c r="O3810" s="19" t="str">
        <f t="shared" si="255"/>
        <v>600k–900k</v>
      </c>
      <c r="P3810" s="19" t="str">
        <f t="shared" si="256"/>
        <v>18-25</v>
      </c>
    </row>
    <row r="3811" spans="1:16" x14ac:dyDescent="0.25">
      <c r="A3811">
        <v>3810</v>
      </c>
      <c r="B3811" t="s">
        <v>9</v>
      </c>
      <c r="C3811">
        <v>305152</v>
      </c>
      <c r="D3811" t="s">
        <v>18</v>
      </c>
      <c r="E3811" t="s">
        <v>16</v>
      </c>
      <c r="F3811" t="s">
        <v>12</v>
      </c>
      <c r="G3811" t="s">
        <v>13</v>
      </c>
      <c r="H3811" t="s">
        <v>12</v>
      </c>
      <c r="I3811">
        <v>41</v>
      </c>
      <c r="J3811" t="str" cm="1">
        <f t="array" ref="J3811">_xlfn.IFS(ISBLANK(C3811),"FALTANTE",ABS((C3811-$W$5)/$X$5)&gt;1.96,"ATÍPICO",ABS((C3811-$W$5)/$X$5)&lt;=1.96,"NO ATÍPICO")</f>
        <v>NO ATÍPICO</v>
      </c>
      <c r="K3811" t="str" cm="1">
        <f t="array" ref="K3811">_xlfn.IFS(ISBLANK(I3811),"FALTANTE",ABS((I3811-$W$8)/$X$8)&gt;1.92,"ATÍPICO",ABS((I3811-$W$8)/$X$8)&lt;=1.92,"NO ATÍPICO")</f>
        <v>NO ATÍPICO</v>
      </c>
      <c r="L3811">
        <f t="shared" si="253"/>
        <v>305152</v>
      </c>
      <c r="M3811" t="str">
        <f t="shared" si="253"/>
        <v>TRABAJADOR INDEPENDIENTE</v>
      </c>
      <c r="N3811">
        <f t="shared" si="254"/>
        <v>41</v>
      </c>
      <c r="O3811" s="19" t="str">
        <f t="shared" si="255"/>
        <v>300k–600k</v>
      </c>
      <c r="P3811" s="19" t="str">
        <f t="shared" si="256"/>
        <v>36-45</v>
      </c>
    </row>
    <row r="3812" spans="1:16" x14ac:dyDescent="0.25">
      <c r="A3812">
        <v>3811</v>
      </c>
      <c r="B3812" t="s">
        <v>9</v>
      </c>
      <c r="C3812">
        <v>347514</v>
      </c>
      <c r="D3812" t="s">
        <v>10</v>
      </c>
      <c r="E3812" t="s">
        <v>16</v>
      </c>
      <c r="F3812" t="s">
        <v>12</v>
      </c>
      <c r="G3812" t="s">
        <v>13</v>
      </c>
      <c r="H3812" t="s">
        <v>12</v>
      </c>
      <c r="I3812">
        <v>32</v>
      </c>
      <c r="J3812" t="str" cm="1">
        <f t="array" ref="J3812">_xlfn.IFS(ISBLANK(C3812),"FALTANTE",ABS((C3812-$W$5)/$X$5)&gt;1.96,"ATÍPICO",ABS((C3812-$W$5)/$X$5)&lt;=1.96,"NO ATÍPICO")</f>
        <v>NO ATÍPICO</v>
      </c>
      <c r="K3812" t="str" cm="1">
        <f t="array" ref="K3812">_xlfn.IFS(ISBLANK(I3812),"FALTANTE",ABS((I3812-$W$8)/$X$8)&gt;1.92,"ATÍPICO",ABS((I3812-$W$8)/$X$8)&lt;=1.92,"NO ATÍPICO")</f>
        <v>NO ATÍPICO</v>
      </c>
      <c r="L3812">
        <f t="shared" si="253"/>
        <v>347514</v>
      </c>
      <c r="M3812" t="str">
        <f t="shared" si="253"/>
        <v>ASALARIADO</v>
      </c>
      <c r="N3812">
        <f t="shared" si="254"/>
        <v>32</v>
      </c>
      <c r="O3812" s="19" t="str">
        <f t="shared" si="255"/>
        <v>300k–600k</v>
      </c>
      <c r="P3812" s="19" t="str">
        <f t="shared" si="256"/>
        <v>26-35</v>
      </c>
    </row>
    <row r="3813" spans="1:16" x14ac:dyDescent="0.25">
      <c r="A3813">
        <v>3812</v>
      </c>
      <c r="B3813" t="s">
        <v>15</v>
      </c>
      <c r="C3813">
        <v>461827</v>
      </c>
      <c r="D3813" t="s">
        <v>18</v>
      </c>
      <c r="E3813" t="s">
        <v>16</v>
      </c>
      <c r="F3813" t="s">
        <v>12</v>
      </c>
      <c r="G3813" t="s">
        <v>13</v>
      </c>
      <c r="H3813" t="s">
        <v>13</v>
      </c>
      <c r="I3813">
        <v>52</v>
      </c>
      <c r="J3813" t="str" cm="1">
        <f t="array" ref="J3813">_xlfn.IFS(ISBLANK(C3813),"FALTANTE",ABS((C3813-$W$5)/$X$5)&gt;1.96,"ATÍPICO",ABS((C3813-$W$5)/$X$5)&lt;=1.96,"NO ATÍPICO")</f>
        <v>NO ATÍPICO</v>
      </c>
      <c r="K3813" t="str" cm="1">
        <f t="array" ref="K3813">_xlfn.IFS(ISBLANK(I3813),"FALTANTE",ABS((I3813-$W$8)/$X$8)&gt;1.92,"ATÍPICO",ABS((I3813-$W$8)/$X$8)&lt;=1.92,"NO ATÍPICO")</f>
        <v>NO ATÍPICO</v>
      </c>
      <c r="L3813">
        <f t="shared" si="253"/>
        <v>461827</v>
      </c>
      <c r="M3813" t="str">
        <f t="shared" si="253"/>
        <v>TRABAJADOR INDEPENDIENTE</v>
      </c>
      <c r="N3813">
        <f t="shared" si="254"/>
        <v>52</v>
      </c>
      <c r="O3813" s="19" t="str">
        <f t="shared" si="255"/>
        <v>300k–600k</v>
      </c>
      <c r="P3813" s="19" t="str">
        <f t="shared" si="256"/>
        <v>46-55</v>
      </c>
    </row>
    <row r="3814" spans="1:16" x14ac:dyDescent="0.25">
      <c r="A3814">
        <v>3813</v>
      </c>
      <c r="B3814" t="s">
        <v>9</v>
      </c>
      <c r="C3814">
        <v>297050</v>
      </c>
      <c r="D3814" t="s">
        <v>18</v>
      </c>
      <c r="E3814" t="s">
        <v>16</v>
      </c>
      <c r="F3814" t="s">
        <v>12</v>
      </c>
      <c r="G3814" t="s">
        <v>13</v>
      </c>
      <c r="H3814" t="s">
        <v>12</v>
      </c>
      <c r="I3814">
        <v>29</v>
      </c>
      <c r="J3814" t="str" cm="1">
        <f t="array" ref="J3814">_xlfn.IFS(ISBLANK(C3814),"FALTANTE",ABS((C3814-$W$5)/$X$5)&gt;1.96,"ATÍPICO",ABS((C3814-$W$5)/$X$5)&lt;=1.96,"NO ATÍPICO")</f>
        <v>NO ATÍPICO</v>
      </c>
      <c r="K3814" t="str" cm="1">
        <f t="array" ref="K3814">_xlfn.IFS(ISBLANK(I3814),"FALTANTE",ABS((I3814-$W$8)/$X$8)&gt;1.92,"ATÍPICO",ABS((I3814-$W$8)/$X$8)&lt;=1.92,"NO ATÍPICO")</f>
        <v>NO ATÍPICO</v>
      </c>
      <c r="L3814">
        <f t="shared" si="253"/>
        <v>297050</v>
      </c>
      <c r="M3814" t="str">
        <f t="shared" si="253"/>
        <v>TRABAJADOR INDEPENDIENTE</v>
      </c>
      <c r="N3814">
        <f t="shared" si="254"/>
        <v>29</v>
      </c>
      <c r="O3814" s="19" t="str">
        <f t="shared" si="255"/>
        <v>0–300k</v>
      </c>
      <c r="P3814" s="19" t="str">
        <f t="shared" si="256"/>
        <v>26-35</v>
      </c>
    </row>
    <row r="3815" spans="1:16" x14ac:dyDescent="0.25">
      <c r="A3815">
        <v>3814</v>
      </c>
      <c r="B3815" t="s">
        <v>15</v>
      </c>
      <c r="C3815">
        <v>740950</v>
      </c>
      <c r="D3815" t="s">
        <v>10</v>
      </c>
      <c r="E3815" t="s">
        <v>16</v>
      </c>
      <c r="F3815" t="s">
        <v>12</v>
      </c>
      <c r="G3815" t="s">
        <v>13</v>
      </c>
      <c r="H3815" t="s">
        <v>12</v>
      </c>
      <c r="I3815">
        <v>27</v>
      </c>
      <c r="J3815" t="str" cm="1">
        <f t="array" ref="J3815">_xlfn.IFS(ISBLANK(C3815),"FALTANTE",ABS((C3815-$W$5)/$X$5)&gt;1.96,"ATÍPICO",ABS((C3815-$W$5)/$X$5)&lt;=1.96,"NO ATÍPICO")</f>
        <v>NO ATÍPICO</v>
      </c>
      <c r="K3815" t="str" cm="1">
        <f t="array" ref="K3815">_xlfn.IFS(ISBLANK(I3815),"FALTANTE",ABS((I3815-$W$8)/$X$8)&gt;1.92,"ATÍPICO",ABS((I3815-$W$8)/$X$8)&lt;=1.92,"NO ATÍPICO")</f>
        <v>NO ATÍPICO</v>
      </c>
      <c r="L3815">
        <f t="shared" si="253"/>
        <v>740950</v>
      </c>
      <c r="M3815" t="str">
        <f t="shared" si="253"/>
        <v>ASALARIADO</v>
      </c>
      <c r="N3815">
        <f t="shared" si="254"/>
        <v>27</v>
      </c>
      <c r="O3815" s="19" t="str">
        <f t="shared" si="255"/>
        <v>600k–900k</v>
      </c>
      <c r="P3815" s="19" t="str">
        <f t="shared" si="256"/>
        <v>26-35</v>
      </c>
    </row>
    <row r="3816" spans="1:16" x14ac:dyDescent="0.25">
      <c r="A3816">
        <v>3815</v>
      </c>
      <c r="B3816" t="s">
        <v>15</v>
      </c>
      <c r="C3816">
        <v>457581</v>
      </c>
      <c r="D3816" t="s">
        <v>10</v>
      </c>
      <c r="E3816" t="s">
        <v>11</v>
      </c>
      <c r="F3816" t="s">
        <v>12</v>
      </c>
      <c r="G3816" t="s">
        <v>13</v>
      </c>
      <c r="H3816" t="s">
        <v>12</v>
      </c>
      <c r="I3816">
        <v>26</v>
      </c>
      <c r="J3816" t="str" cm="1">
        <f t="array" ref="J3816">_xlfn.IFS(ISBLANK(C3816),"FALTANTE",ABS((C3816-$W$5)/$X$5)&gt;1.96,"ATÍPICO",ABS((C3816-$W$5)/$X$5)&lt;=1.96,"NO ATÍPICO")</f>
        <v>NO ATÍPICO</v>
      </c>
      <c r="K3816" t="str" cm="1">
        <f t="array" ref="K3816">_xlfn.IFS(ISBLANK(I3816),"FALTANTE",ABS((I3816-$W$8)/$X$8)&gt;1.92,"ATÍPICO",ABS((I3816-$W$8)/$X$8)&lt;=1.92,"NO ATÍPICO")</f>
        <v>NO ATÍPICO</v>
      </c>
      <c r="L3816">
        <f t="shared" si="253"/>
        <v>457581</v>
      </c>
      <c r="M3816" t="str">
        <f t="shared" si="253"/>
        <v>ASALARIADO</v>
      </c>
      <c r="N3816">
        <f t="shared" si="254"/>
        <v>26</v>
      </c>
      <c r="O3816" s="19" t="str">
        <f t="shared" si="255"/>
        <v>300k–600k</v>
      </c>
      <c r="P3816" s="19" t="str">
        <f t="shared" si="256"/>
        <v>26-35</v>
      </c>
    </row>
    <row r="3817" spans="1:16" x14ac:dyDescent="0.25">
      <c r="A3817">
        <v>3816</v>
      </c>
      <c r="B3817" t="s">
        <v>15</v>
      </c>
      <c r="C3817">
        <v>800000</v>
      </c>
      <c r="D3817" t="s">
        <v>10</v>
      </c>
      <c r="E3817" t="s">
        <v>16</v>
      </c>
      <c r="F3817" t="s">
        <v>12</v>
      </c>
      <c r="G3817" t="s">
        <v>13</v>
      </c>
      <c r="H3817" t="s">
        <v>13</v>
      </c>
      <c r="I3817">
        <v>31</v>
      </c>
      <c r="J3817" t="str" cm="1">
        <f t="array" ref="J3817">_xlfn.IFS(ISBLANK(C3817),"FALTANTE",ABS((C3817-$W$5)/$X$5)&gt;1.96,"ATÍPICO",ABS((C3817-$W$5)/$X$5)&lt;=1.96,"NO ATÍPICO")</f>
        <v>NO ATÍPICO</v>
      </c>
      <c r="K3817" t="str" cm="1">
        <f t="array" ref="K3817">_xlfn.IFS(ISBLANK(I3817),"FALTANTE",ABS((I3817-$W$8)/$X$8)&gt;1.92,"ATÍPICO",ABS((I3817-$W$8)/$X$8)&lt;=1.92,"NO ATÍPICO")</f>
        <v>NO ATÍPICO</v>
      </c>
      <c r="L3817">
        <f t="shared" si="253"/>
        <v>800000</v>
      </c>
      <c r="M3817" t="str">
        <f t="shared" si="253"/>
        <v>ASALARIADO</v>
      </c>
      <c r="N3817">
        <f t="shared" si="254"/>
        <v>31</v>
      </c>
      <c r="O3817" s="19" t="str">
        <f t="shared" si="255"/>
        <v>600k–900k</v>
      </c>
      <c r="P3817" s="19" t="str">
        <f t="shared" si="256"/>
        <v>26-35</v>
      </c>
    </row>
    <row r="3818" spans="1:16" x14ac:dyDescent="0.25">
      <c r="A3818">
        <v>3817</v>
      </c>
      <c r="B3818" t="s">
        <v>9</v>
      </c>
      <c r="C3818">
        <v>1725596</v>
      </c>
      <c r="D3818" t="s">
        <v>14</v>
      </c>
      <c r="E3818" t="s">
        <v>11</v>
      </c>
      <c r="F3818" t="s">
        <v>12</v>
      </c>
      <c r="G3818" t="s">
        <v>13</v>
      </c>
      <c r="H3818" t="s">
        <v>13</v>
      </c>
      <c r="I3818">
        <v>59</v>
      </c>
      <c r="J3818" t="str" cm="1">
        <f t="array" ref="J3818">_xlfn.IFS(ISBLANK(C3818),"FALTANTE",ABS((C3818-$W$5)/$X$5)&gt;1.96,"ATÍPICO",ABS((C3818-$W$5)/$X$5)&lt;=1.96,"NO ATÍPICO")</f>
        <v>NO ATÍPICO</v>
      </c>
      <c r="K3818" t="str" cm="1">
        <f t="array" ref="K3818">_xlfn.IFS(ISBLANK(I3818),"FALTANTE",ABS((I3818-$W$8)/$X$8)&gt;1.92,"ATÍPICO",ABS((I3818-$W$8)/$X$8)&lt;=1.92,"NO ATÍPICO")</f>
        <v>NO ATÍPICO</v>
      </c>
      <c r="L3818">
        <f t="shared" si="253"/>
        <v>1725596</v>
      </c>
      <c r="M3818" t="str">
        <f t="shared" si="253"/>
        <v>PENSIONADOS EN SU PROPIO SISTEMA</v>
      </c>
      <c r="N3818">
        <f t="shared" si="254"/>
        <v>59</v>
      </c>
      <c r="O3818" s="19" t="str">
        <f t="shared" si="255"/>
        <v>1200k+</v>
      </c>
      <c r="P3818" s="19" t="str">
        <f t="shared" si="256"/>
        <v>56+</v>
      </c>
    </row>
    <row r="3819" spans="1:16" x14ac:dyDescent="0.25">
      <c r="A3819">
        <v>3818</v>
      </c>
      <c r="B3819" t="s">
        <v>15</v>
      </c>
      <c r="C3819">
        <v>322000</v>
      </c>
      <c r="D3819" t="s">
        <v>10</v>
      </c>
      <c r="E3819" t="s">
        <v>16</v>
      </c>
      <c r="F3819" t="s">
        <v>12</v>
      </c>
      <c r="G3819" t="s">
        <v>12</v>
      </c>
      <c r="H3819" t="s">
        <v>12</v>
      </c>
      <c r="I3819">
        <v>57</v>
      </c>
      <c r="J3819" t="str" cm="1">
        <f t="array" ref="J3819">_xlfn.IFS(ISBLANK(C3819),"FALTANTE",ABS((C3819-$W$5)/$X$5)&gt;1.96,"ATÍPICO",ABS((C3819-$W$5)/$X$5)&lt;=1.96,"NO ATÍPICO")</f>
        <v>NO ATÍPICO</v>
      </c>
      <c r="K3819" t="str" cm="1">
        <f t="array" ref="K3819">_xlfn.IFS(ISBLANK(I3819),"FALTANTE",ABS((I3819-$W$8)/$X$8)&gt;1.92,"ATÍPICO",ABS((I3819-$W$8)/$X$8)&lt;=1.92,"NO ATÍPICO")</f>
        <v>NO ATÍPICO</v>
      </c>
      <c r="L3819">
        <f t="shared" si="253"/>
        <v>322000</v>
      </c>
      <c r="M3819" t="str">
        <f t="shared" si="253"/>
        <v>ASALARIADO</v>
      </c>
      <c r="N3819">
        <f t="shared" si="254"/>
        <v>57</v>
      </c>
      <c r="O3819" s="19" t="str">
        <f t="shared" si="255"/>
        <v>300k–600k</v>
      </c>
      <c r="P3819" s="19" t="str">
        <f t="shared" si="256"/>
        <v>56+</v>
      </c>
    </row>
    <row r="3820" spans="1:16" x14ac:dyDescent="0.25">
      <c r="A3820">
        <v>3819</v>
      </c>
      <c r="B3820" t="s">
        <v>15</v>
      </c>
      <c r="C3820">
        <v>1099684.5</v>
      </c>
      <c r="D3820" t="s">
        <v>10</v>
      </c>
      <c r="E3820" t="s">
        <v>11</v>
      </c>
      <c r="F3820" t="s">
        <v>12</v>
      </c>
      <c r="G3820" t="s">
        <v>13</v>
      </c>
      <c r="H3820" t="s">
        <v>13</v>
      </c>
      <c r="I3820">
        <v>27</v>
      </c>
      <c r="J3820" t="str" cm="1">
        <f t="array" ref="J3820">_xlfn.IFS(ISBLANK(C3820),"FALTANTE",ABS((C3820-$W$5)/$X$5)&gt;1.96,"ATÍPICO",ABS((C3820-$W$5)/$X$5)&lt;=1.96,"NO ATÍPICO")</f>
        <v>NO ATÍPICO</v>
      </c>
      <c r="K3820" t="str" cm="1">
        <f t="array" ref="K3820">_xlfn.IFS(ISBLANK(I3820),"FALTANTE",ABS((I3820-$W$8)/$X$8)&gt;1.92,"ATÍPICO",ABS((I3820-$W$8)/$X$8)&lt;=1.92,"NO ATÍPICO")</f>
        <v>NO ATÍPICO</v>
      </c>
      <c r="L3820">
        <f t="shared" si="253"/>
        <v>1099684.5</v>
      </c>
      <c r="M3820" t="str">
        <f t="shared" si="253"/>
        <v>ASALARIADO</v>
      </c>
      <c r="N3820">
        <f t="shared" si="254"/>
        <v>27</v>
      </c>
      <c r="O3820" s="19" t="str">
        <f t="shared" si="255"/>
        <v>900k–1200k</v>
      </c>
      <c r="P3820" s="19" t="str">
        <f t="shared" si="256"/>
        <v>26-35</v>
      </c>
    </row>
    <row r="3821" spans="1:16" x14ac:dyDescent="0.25">
      <c r="A3821">
        <v>3820</v>
      </c>
      <c r="B3821" t="s">
        <v>9</v>
      </c>
      <c r="C3821">
        <v>278030</v>
      </c>
      <c r="D3821" t="s">
        <v>19</v>
      </c>
      <c r="E3821" t="s">
        <v>16</v>
      </c>
      <c r="F3821" t="s">
        <v>12</v>
      </c>
      <c r="G3821" t="s">
        <v>13</v>
      </c>
      <c r="H3821" t="s">
        <v>13</v>
      </c>
      <c r="I3821">
        <v>57</v>
      </c>
      <c r="J3821" t="str" cm="1">
        <f t="array" ref="J3821">_xlfn.IFS(ISBLANK(C3821),"FALTANTE",ABS((C3821-$W$5)/$X$5)&gt;1.96,"ATÍPICO",ABS((C3821-$W$5)/$X$5)&lt;=1.96,"NO ATÍPICO")</f>
        <v>NO ATÍPICO</v>
      </c>
      <c r="K3821" t="str" cm="1">
        <f t="array" ref="K3821">_xlfn.IFS(ISBLANK(I3821),"FALTANTE",ABS((I3821-$W$8)/$X$8)&gt;1.92,"ATÍPICO",ABS((I3821-$W$8)/$X$8)&lt;=1.92,"NO ATÍPICO")</f>
        <v>NO ATÍPICO</v>
      </c>
      <c r="L3821">
        <f t="shared" si="253"/>
        <v>278030</v>
      </c>
      <c r="M3821" t="str">
        <f t="shared" si="253"/>
        <v>CONVENIOS ESPECIALES DE TRABAJADORES INDEPENDIENTES</v>
      </c>
      <c r="N3821">
        <f t="shared" si="254"/>
        <v>57</v>
      </c>
      <c r="O3821" s="19" t="str">
        <f t="shared" si="255"/>
        <v>0–300k</v>
      </c>
      <c r="P3821" s="19" t="str">
        <f t="shared" si="256"/>
        <v>56+</v>
      </c>
    </row>
    <row r="3822" spans="1:16" x14ac:dyDescent="0.25">
      <c r="A3822">
        <v>3821</v>
      </c>
      <c r="B3822" t="s">
        <v>15</v>
      </c>
      <c r="C3822">
        <v>427677</v>
      </c>
      <c r="D3822" t="s">
        <v>14</v>
      </c>
      <c r="E3822" t="s">
        <v>11</v>
      </c>
      <c r="F3822" t="s">
        <v>12</v>
      </c>
      <c r="G3822" t="s">
        <v>13</v>
      </c>
      <c r="H3822" t="s">
        <v>13</v>
      </c>
      <c r="I3822">
        <v>78</v>
      </c>
      <c r="J3822" t="str" cm="1">
        <f t="array" ref="J3822">_xlfn.IFS(ISBLANK(C3822),"FALTANTE",ABS((C3822-$W$5)/$X$5)&gt;1.96,"ATÍPICO",ABS((C3822-$W$5)/$X$5)&lt;=1.96,"NO ATÍPICO")</f>
        <v>NO ATÍPICO</v>
      </c>
      <c r="K3822" t="str" cm="1">
        <f t="array" ref="K3822">_xlfn.IFS(ISBLANK(I3822),"FALTANTE",ABS((I3822-$W$8)/$X$8)&gt;1.92,"ATÍPICO",ABS((I3822-$W$8)/$X$8)&lt;=1.92,"NO ATÍPICO")</f>
        <v>ATÍPICO</v>
      </c>
      <c r="L3822">
        <f t="shared" si="253"/>
        <v>427677</v>
      </c>
      <c r="M3822" t="str">
        <f t="shared" si="253"/>
        <v>PENSIONADOS EN SU PROPIO SISTEMA</v>
      </c>
      <c r="N3822">
        <f t="shared" si="254"/>
        <v>78</v>
      </c>
      <c r="O3822" s="19" t="str">
        <f t="shared" si="255"/>
        <v>300k–600k</v>
      </c>
      <c r="P3822" s="19" t="str">
        <f t="shared" si="256"/>
        <v>56+</v>
      </c>
    </row>
    <row r="3823" spans="1:16" x14ac:dyDescent="0.25">
      <c r="A3823">
        <v>3822</v>
      </c>
      <c r="B3823" t="s">
        <v>9</v>
      </c>
      <c r="C3823">
        <v>408034</v>
      </c>
      <c r="D3823" t="s">
        <v>10</v>
      </c>
      <c r="E3823" t="s">
        <v>16</v>
      </c>
      <c r="F3823" t="s">
        <v>12</v>
      </c>
      <c r="G3823" t="s">
        <v>12</v>
      </c>
      <c r="H3823" t="s">
        <v>13</v>
      </c>
      <c r="I3823">
        <v>57</v>
      </c>
      <c r="J3823" t="str" cm="1">
        <f t="array" ref="J3823">_xlfn.IFS(ISBLANK(C3823),"FALTANTE",ABS((C3823-$W$5)/$X$5)&gt;1.96,"ATÍPICO",ABS((C3823-$W$5)/$X$5)&lt;=1.96,"NO ATÍPICO")</f>
        <v>NO ATÍPICO</v>
      </c>
      <c r="K3823" t="str" cm="1">
        <f t="array" ref="K3823">_xlfn.IFS(ISBLANK(I3823),"FALTANTE",ABS((I3823-$W$8)/$X$8)&gt;1.92,"ATÍPICO",ABS((I3823-$W$8)/$X$8)&lt;=1.92,"NO ATÍPICO")</f>
        <v>NO ATÍPICO</v>
      </c>
      <c r="L3823">
        <f t="shared" si="253"/>
        <v>408034</v>
      </c>
      <c r="M3823" t="str">
        <f t="shared" si="253"/>
        <v>ASALARIADO</v>
      </c>
      <c r="N3823">
        <f t="shared" si="254"/>
        <v>57</v>
      </c>
      <c r="O3823" s="19" t="str">
        <f t="shared" si="255"/>
        <v>300k–600k</v>
      </c>
      <c r="P3823" s="19" t="str">
        <f t="shared" si="256"/>
        <v>56+</v>
      </c>
    </row>
    <row r="3824" spans="1:16" x14ac:dyDescent="0.25">
      <c r="A3824">
        <v>3823</v>
      </c>
      <c r="B3824" t="s">
        <v>15</v>
      </c>
      <c r="C3824">
        <v>1120000</v>
      </c>
      <c r="D3824" t="s">
        <v>10</v>
      </c>
      <c r="E3824" t="s">
        <v>16</v>
      </c>
      <c r="F3824" t="s">
        <v>12</v>
      </c>
      <c r="G3824" t="s">
        <v>13</v>
      </c>
      <c r="H3824" t="s">
        <v>13</v>
      </c>
      <c r="I3824">
        <v>52</v>
      </c>
      <c r="J3824" t="str" cm="1">
        <f t="array" ref="J3824">_xlfn.IFS(ISBLANK(C3824),"FALTANTE",ABS((C3824-$W$5)/$X$5)&gt;1.96,"ATÍPICO",ABS((C3824-$W$5)/$X$5)&lt;=1.96,"NO ATÍPICO")</f>
        <v>NO ATÍPICO</v>
      </c>
      <c r="K3824" t="str" cm="1">
        <f t="array" ref="K3824">_xlfn.IFS(ISBLANK(I3824),"FALTANTE",ABS((I3824-$W$8)/$X$8)&gt;1.92,"ATÍPICO",ABS((I3824-$W$8)/$X$8)&lt;=1.92,"NO ATÍPICO")</f>
        <v>NO ATÍPICO</v>
      </c>
      <c r="L3824">
        <f t="shared" si="253"/>
        <v>1120000</v>
      </c>
      <c r="M3824" t="str">
        <f t="shared" si="253"/>
        <v>ASALARIADO</v>
      </c>
      <c r="N3824">
        <f t="shared" si="254"/>
        <v>52</v>
      </c>
      <c r="O3824" s="19" t="str">
        <f t="shared" si="255"/>
        <v>900k–1200k</v>
      </c>
      <c r="P3824" s="19" t="str">
        <f t="shared" si="256"/>
        <v>46-55</v>
      </c>
    </row>
    <row r="3825" spans="1:16" x14ac:dyDescent="0.25">
      <c r="A3825">
        <v>3824</v>
      </c>
      <c r="B3825" t="s">
        <v>15</v>
      </c>
      <c r="C3825">
        <v>639148</v>
      </c>
      <c r="D3825" t="s">
        <v>18</v>
      </c>
      <c r="E3825" t="s">
        <v>16</v>
      </c>
      <c r="F3825" t="s">
        <v>12</v>
      </c>
      <c r="G3825" t="s">
        <v>12</v>
      </c>
      <c r="H3825" t="s">
        <v>12</v>
      </c>
      <c r="I3825">
        <v>56</v>
      </c>
      <c r="J3825" t="str" cm="1">
        <f t="array" ref="J3825">_xlfn.IFS(ISBLANK(C3825),"FALTANTE",ABS((C3825-$W$5)/$X$5)&gt;1.96,"ATÍPICO",ABS((C3825-$W$5)/$X$5)&lt;=1.96,"NO ATÍPICO")</f>
        <v>NO ATÍPICO</v>
      </c>
      <c r="K3825" t="str" cm="1">
        <f t="array" ref="K3825">_xlfn.IFS(ISBLANK(I3825),"FALTANTE",ABS((I3825-$W$8)/$X$8)&gt;1.92,"ATÍPICO",ABS((I3825-$W$8)/$X$8)&lt;=1.92,"NO ATÍPICO")</f>
        <v>NO ATÍPICO</v>
      </c>
      <c r="L3825">
        <f t="shared" si="253"/>
        <v>639148</v>
      </c>
      <c r="M3825" t="str">
        <f t="shared" si="253"/>
        <v>TRABAJADOR INDEPENDIENTE</v>
      </c>
      <c r="N3825">
        <f t="shared" si="254"/>
        <v>56</v>
      </c>
      <c r="O3825" s="19" t="str">
        <f t="shared" si="255"/>
        <v>600k–900k</v>
      </c>
      <c r="P3825" s="19" t="str">
        <f t="shared" si="256"/>
        <v>56+</v>
      </c>
    </row>
    <row r="3826" spans="1:16" x14ac:dyDescent="0.25">
      <c r="A3826">
        <v>3825</v>
      </c>
      <c r="B3826" t="s">
        <v>9</v>
      </c>
      <c r="C3826">
        <v>838750.29</v>
      </c>
      <c r="D3826" t="s">
        <v>10</v>
      </c>
      <c r="E3826" t="s">
        <v>16</v>
      </c>
      <c r="F3826" t="s">
        <v>12</v>
      </c>
      <c r="G3826" t="s">
        <v>13</v>
      </c>
      <c r="H3826" t="s">
        <v>13</v>
      </c>
      <c r="I3826">
        <v>26</v>
      </c>
      <c r="J3826" t="str" cm="1">
        <f t="array" ref="J3826">_xlfn.IFS(ISBLANK(C3826),"FALTANTE",ABS((C3826-$W$5)/$X$5)&gt;1.96,"ATÍPICO",ABS((C3826-$W$5)/$X$5)&lt;=1.96,"NO ATÍPICO")</f>
        <v>NO ATÍPICO</v>
      </c>
      <c r="K3826" t="str" cm="1">
        <f t="array" ref="K3826">_xlfn.IFS(ISBLANK(I3826),"FALTANTE",ABS((I3826-$W$8)/$X$8)&gt;1.92,"ATÍPICO",ABS((I3826-$W$8)/$X$8)&lt;=1.92,"NO ATÍPICO")</f>
        <v>NO ATÍPICO</v>
      </c>
      <c r="L3826">
        <f t="shared" si="253"/>
        <v>838750.29</v>
      </c>
      <c r="M3826" t="str">
        <f t="shared" si="253"/>
        <v>ASALARIADO</v>
      </c>
      <c r="N3826">
        <f t="shared" si="254"/>
        <v>26</v>
      </c>
      <c r="O3826" s="19" t="str">
        <f t="shared" si="255"/>
        <v>600k–900k</v>
      </c>
      <c r="P3826" s="19" t="str">
        <f t="shared" si="256"/>
        <v>26-35</v>
      </c>
    </row>
    <row r="3827" spans="1:16" x14ac:dyDescent="0.25">
      <c r="A3827">
        <v>3826</v>
      </c>
      <c r="B3827" t="s">
        <v>15</v>
      </c>
      <c r="C3827">
        <v>564821.48</v>
      </c>
      <c r="D3827" t="s">
        <v>14</v>
      </c>
      <c r="E3827" t="s">
        <v>11</v>
      </c>
      <c r="F3827" t="s">
        <v>12</v>
      </c>
      <c r="G3827" t="s">
        <v>13</v>
      </c>
      <c r="H3827" t="s">
        <v>13</v>
      </c>
      <c r="I3827">
        <v>58</v>
      </c>
      <c r="J3827" t="str" cm="1">
        <f t="array" ref="J3827">_xlfn.IFS(ISBLANK(C3827),"FALTANTE",ABS((C3827-$W$5)/$X$5)&gt;1.96,"ATÍPICO",ABS((C3827-$W$5)/$X$5)&lt;=1.96,"NO ATÍPICO")</f>
        <v>NO ATÍPICO</v>
      </c>
      <c r="K3827" t="str" cm="1">
        <f t="array" ref="K3827">_xlfn.IFS(ISBLANK(I3827),"FALTANTE",ABS((I3827-$W$8)/$X$8)&gt;1.92,"ATÍPICO",ABS((I3827-$W$8)/$X$8)&lt;=1.92,"NO ATÍPICO")</f>
        <v>NO ATÍPICO</v>
      </c>
      <c r="L3827">
        <f t="shared" si="253"/>
        <v>564821.48</v>
      </c>
      <c r="M3827" t="str">
        <f t="shared" si="253"/>
        <v>PENSIONADOS EN SU PROPIO SISTEMA</v>
      </c>
      <c r="N3827">
        <f t="shared" si="254"/>
        <v>58</v>
      </c>
      <c r="O3827" s="19" t="str">
        <f t="shared" si="255"/>
        <v>300k–600k</v>
      </c>
      <c r="P3827" s="19" t="str">
        <f t="shared" si="256"/>
        <v>56+</v>
      </c>
    </row>
    <row r="3828" spans="1:16" x14ac:dyDescent="0.25">
      <c r="A3828">
        <v>3827</v>
      </c>
      <c r="B3828" t="s">
        <v>9</v>
      </c>
      <c r="C3828">
        <v>788174.72</v>
      </c>
      <c r="D3828" t="s">
        <v>10</v>
      </c>
      <c r="E3828" t="s">
        <v>16</v>
      </c>
      <c r="F3828" t="s">
        <v>12</v>
      </c>
      <c r="G3828" t="s">
        <v>13</v>
      </c>
      <c r="H3828" t="s">
        <v>13</v>
      </c>
      <c r="I3828">
        <v>20</v>
      </c>
      <c r="J3828" t="str" cm="1">
        <f t="array" ref="J3828">_xlfn.IFS(ISBLANK(C3828),"FALTANTE",ABS((C3828-$W$5)/$X$5)&gt;1.96,"ATÍPICO",ABS((C3828-$W$5)/$X$5)&lt;=1.96,"NO ATÍPICO")</f>
        <v>NO ATÍPICO</v>
      </c>
      <c r="K3828" t="str" cm="1">
        <f t="array" ref="K3828">_xlfn.IFS(ISBLANK(I3828),"FALTANTE",ABS((I3828-$W$8)/$X$8)&gt;1.92,"ATÍPICO",ABS((I3828-$W$8)/$X$8)&lt;=1.92,"NO ATÍPICO")</f>
        <v>NO ATÍPICO</v>
      </c>
      <c r="L3828">
        <f t="shared" si="253"/>
        <v>788174.72</v>
      </c>
      <c r="M3828" t="str">
        <f t="shared" si="253"/>
        <v>ASALARIADO</v>
      </c>
      <c r="N3828">
        <f t="shared" si="254"/>
        <v>20</v>
      </c>
      <c r="O3828" s="19" t="str">
        <f t="shared" si="255"/>
        <v>600k–900k</v>
      </c>
      <c r="P3828" s="19" t="str">
        <f t="shared" si="256"/>
        <v>18-25</v>
      </c>
    </row>
    <row r="3829" spans="1:16" x14ac:dyDescent="0.25">
      <c r="A3829">
        <v>3828</v>
      </c>
      <c r="B3829" t="s">
        <v>15</v>
      </c>
      <c r="C3829">
        <v>420405</v>
      </c>
      <c r="D3829" t="s">
        <v>10</v>
      </c>
      <c r="E3829" t="s">
        <v>11</v>
      </c>
      <c r="F3829" t="s">
        <v>12</v>
      </c>
      <c r="G3829" t="s">
        <v>13</v>
      </c>
      <c r="H3829" t="s">
        <v>13</v>
      </c>
      <c r="I3829">
        <v>21</v>
      </c>
      <c r="J3829" t="str" cm="1">
        <f t="array" ref="J3829">_xlfn.IFS(ISBLANK(C3829),"FALTANTE",ABS((C3829-$W$5)/$X$5)&gt;1.96,"ATÍPICO",ABS((C3829-$W$5)/$X$5)&lt;=1.96,"NO ATÍPICO")</f>
        <v>NO ATÍPICO</v>
      </c>
      <c r="K3829" t="str" cm="1">
        <f t="array" ref="K3829">_xlfn.IFS(ISBLANK(I3829),"FALTANTE",ABS((I3829-$W$8)/$X$8)&gt;1.92,"ATÍPICO",ABS((I3829-$W$8)/$X$8)&lt;=1.92,"NO ATÍPICO")</f>
        <v>NO ATÍPICO</v>
      </c>
      <c r="L3829">
        <f t="shared" si="253"/>
        <v>420405</v>
      </c>
      <c r="M3829" t="str">
        <f t="shared" si="253"/>
        <v>ASALARIADO</v>
      </c>
      <c r="N3829">
        <f t="shared" si="254"/>
        <v>21</v>
      </c>
      <c r="O3829" s="19" t="str">
        <f t="shared" si="255"/>
        <v>300k–600k</v>
      </c>
      <c r="P3829" s="19" t="str">
        <f t="shared" si="256"/>
        <v>18-25</v>
      </c>
    </row>
    <row r="3830" spans="1:16" x14ac:dyDescent="0.25">
      <c r="A3830">
        <v>3829</v>
      </c>
      <c r="B3830" t="s">
        <v>15</v>
      </c>
      <c r="C3830">
        <v>933264</v>
      </c>
      <c r="D3830" t="s">
        <v>18</v>
      </c>
      <c r="E3830" t="s">
        <v>16</v>
      </c>
      <c r="F3830" t="s">
        <v>12</v>
      </c>
      <c r="G3830" t="s">
        <v>13</v>
      </c>
      <c r="H3830" t="s">
        <v>12</v>
      </c>
      <c r="I3830">
        <v>40</v>
      </c>
      <c r="J3830" t="str" cm="1">
        <f t="array" ref="J3830">_xlfn.IFS(ISBLANK(C3830),"FALTANTE",ABS((C3830-$W$5)/$X$5)&gt;1.96,"ATÍPICO",ABS((C3830-$W$5)/$X$5)&lt;=1.96,"NO ATÍPICO")</f>
        <v>NO ATÍPICO</v>
      </c>
      <c r="K3830" t="str" cm="1">
        <f t="array" ref="K3830">_xlfn.IFS(ISBLANK(I3830),"FALTANTE",ABS((I3830-$W$8)/$X$8)&gt;1.92,"ATÍPICO",ABS((I3830-$W$8)/$X$8)&lt;=1.92,"NO ATÍPICO")</f>
        <v>NO ATÍPICO</v>
      </c>
      <c r="L3830">
        <f t="shared" si="253"/>
        <v>933264</v>
      </c>
      <c r="M3830" t="str">
        <f t="shared" si="253"/>
        <v>TRABAJADOR INDEPENDIENTE</v>
      </c>
      <c r="N3830">
        <f t="shared" si="254"/>
        <v>40</v>
      </c>
      <c r="O3830" s="19" t="str">
        <f t="shared" si="255"/>
        <v>900k–1200k</v>
      </c>
      <c r="P3830" s="19" t="str">
        <f t="shared" si="256"/>
        <v>36-45</v>
      </c>
    </row>
    <row r="3831" spans="1:16" x14ac:dyDescent="0.25">
      <c r="A3831">
        <v>3830</v>
      </c>
      <c r="B3831" t="s">
        <v>15</v>
      </c>
      <c r="C3831">
        <v>1454350</v>
      </c>
      <c r="D3831" t="s">
        <v>10</v>
      </c>
      <c r="E3831" t="s">
        <v>16</v>
      </c>
      <c r="F3831" t="s">
        <v>12</v>
      </c>
      <c r="G3831" t="s">
        <v>13</v>
      </c>
      <c r="H3831" t="s">
        <v>13</v>
      </c>
      <c r="I3831">
        <v>36</v>
      </c>
      <c r="J3831" t="str" cm="1">
        <f t="array" ref="J3831">_xlfn.IFS(ISBLANK(C3831),"FALTANTE",ABS((C3831-$W$5)/$X$5)&gt;1.96,"ATÍPICO",ABS((C3831-$W$5)/$X$5)&lt;=1.96,"NO ATÍPICO")</f>
        <v>NO ATÍPICO</v>
      </c>
      <c r="K3831" t="str" cm="1">
        <f t="array" ref="K3831">_xlfn.IFS(ISBLANK(I3831),"FALTANTE",ABS((I3831-$W$8)/$X$8)&gt;1.92,"ATÍPICO",ABS((I3831-$W$8)/$X$8)&lt;=1.92,"NO ATÍPICO")</f>
        <v>NO ATÍPICO</v>
      </c>
      <c r="L3831">
        <f t="shared" si="253"/>
        <v>1454350</v>
      </c>
      <c r="M3831" t="str">
        <f t="shared" si="253"/>
        <v>ASALARIADO</v>
      </c>
      <c r="N3831">
        <f t="shared" si="254"/>
        <v>36</v>
      </c>
      <c r="O3831" s="19" t="str">
        <f t="shared" si="255"/>
        <v>1200k+</v>
      </c>
      <c r="P3831" s="19" t="str">
        <f t="shared" si="256"/>
        <v>36-45</v>
      </c>
    </row>
    <row r="3832" spans="1:16" x14ac:dyDescent="0.25">
      <c r="A3832">
        <v>3831</v>
      </c>
      <c r="B3832" t="s">
        <v>15</v>
      </c>
      <c r="C3832">
        <v>280000</v>
      </c>
      <c r="D3832" t="s">
        <v>17</v>
      </c>
      <c r="E3832" t="s">
        <v>16</v>
      </c>
      <c r="F3832" t="s">
        <v>12</v>
      </c>
      <c r="G3832" t="s">
        <v>13</v>
      </c>
      <c r="H3832" t="s">
        <v>13</v>
      </c>
      <c r="I3832">
        <v>33</v>
      </c>
      <c r="J3832" t="str" cm="1">
        <f t="array" ref="J3832">_xlfn.IFS(ISBLANK(C3832),"FALTANTE",ABS((C3832-$W$5)/$X$5)&gt;1.96,"ATÍPICO",ABS((C3832-$W$5)/$X$5)&lt;=1.96,"NO ATÍPICO")</f>
        <v>NO ATÍPICO</v>
      </c>
      <c r="K3832" t="str" cm="1">
        <f t="array" ref="K3832">_xlfn.IFS(ISBLANK(I3832),"FALTANTE",ABS((I3832-$W$8)/$X$8)&gt;1.92,"ATÍPICO",ABS((I3832-$W$8)/$X$8)&lt;=1.92,"NO ATÍPICO")</f>
        <v>NO ATÍPICO</v>
      </c>
      <c r="L3832">
        <f t="shared" si="253"/>
        <v>280000</v>
      </c>
      <c r="M3832" t="str">
        <f t="shared" si="253"/>
        <v>ASEGURADO VOLUNTARIO</v>
      </c>
      <c r="N3832">
        <f t="shared" si="254"/>
        <v>33</v>
      </c>
      <c r="O3832" s="19" t="str">
        <f t="shared" si="255"/>
        <v>0–300k</v>
      </c>
      <c r="P3832" s="19" t="str">
        <f t="shared" si="256"/>
        <v>26-35</v>
      </c>
    </row>
    <row r="3833" spans="1:16" x14ac:dyDescent="0.25">
      <c r="A3833">
        <v>3832</v>
      </c>
      <c r="B3833" t="s">
        <v>15</v>
      </c>
      <c r="C3833">
        <v>39884.97</v>
      </c>
      <c r="D3833" t="s">
        <v>10</v>
      </c>
      <c r="E3833" t="s">
        <v>11</v>
      </c>
      <c r="F3833" t="s">
        <v>12</v>
      </c>
      <c r="G3833" t="s">
        <v>13</v>
      </c>
      <c r="H3833" t="s">
        <v>13</v>
      </c>
      <c r="I3833">
        <v>28</v>
      </c>
      <c r="J3833" t="str" cm="1">
        <f t="array" ref="J3833">_xlfn.IFS(ISBLANK(C3833),"FALTANTE",ABS((C3833-$W$5)/$X$5)&gt;1.96,"ATÍPICO",ABS((C3833-$W$5)/$X$5)&lt;=1.96,"NO ATÍPICO")</f>
        <v>NO ATÍPICO</v>
      </c>
      <c r="K3833" t="str" cm="1">
        <f t="array" ref="K3833">_xlfn.IFS(ISBLANK(I3833),"FALTANTE",ABS((I3833-$W$8)/$X$8)&gt;1.92,"ATÍPICO",ABS((I3833-$W$8)/$X$8)&lt;=1.92,"NO ATÍPICO")</f>
        <v>NO ATÍPICO</v>
      </c>
      <c r="L3833">
        <f t="shared" si="253"/>
        <v>39884.97</v>
      </c>
      <c r="M3833" t="str">
        <f t="shared" si="253"/>
        <v>ASALARIADO</v>
      </c>
      <c r="N3833">
        <f t="shared" si="254"/>
        <v>28</v>
      </c>
      <c r="O3833" s="19" t="str">
        <f t="shared" si="255"/>
        <v>0–300k</v>
      </c>
      <c r="P3833" s="19" t="str">
        <f t="shared" si="256"/>
        <v>26-35</v>
      </c>
    </row>
    <row r="3834" spans="1:16" x14ac:dyDescent="0.25">
      <c r="A3834">
        <v>3833</v>
      </c>
      <c r="B3834" t="s">
        <v>9</v>
      </c>
      <c r="C3834">
        <v>809513.38</v>
      </c>
      <c r="D3834" t="s">
        <v>10</v>
      </c>
      <c r="E3834" t="s">
        <v>16</v>
      </c>
      <c r="F3834" t="s">
        <v>12</v>
      </c>
      <c r="G3834" t="s">
        <v>13</v>
      </c>
      <c r="H3834" t="s">
        <v>13</v>
      </c>
      <c r="I3834">
        <v>36</v>
      </c>
      <c r="J3834" t="str" cm="1">
        <f t="array" ref="J3834">_xlfn.IFS(ISBLANK(C3834),"FALTANTE",ABS((C3834-$W$5)/$X$5)&gt;1.96,"ATÍPICO",ABS((C3834-$W$5)/$X$5)&lt;=1.96,"NO ATÍPICO")</f>
        <v>NO ATÍPICO</v>
      </c>
      <c r="K3834" t="str" cm="1">
        <f t="array" ref="K3834">_xlfn.IFS(ISBLANK(I3834),"FALTANTE",ABS((I3834-$W$8)/$X$8)&gt;1.92,"ATÍPICO",ABS((I3834-$W$8)/$X$8)&lt;=1.92,"NO ATÍPICO")</f>
        <v>NO ATÍPICO</v>
      </c>
      <c r="L3834">
        <f t="shared" si="253"/>
        <v>809513.38</v>
      </c>
      <c r="M3834" t="str">
        <f t="shared" si="253"/>
        <v>ASALARIADO</v>
      </c>
      <c r="N3834">
        <f t="shared" si="254"/>
        <v>36</v>
      </c>
      <c r="O3834" s="19" t="str">
        <f t="shared" si="255"/>
        <v>600k–900k</v>
      </c>
      <c r="P3834" s="19" t="str">
        <f t="shared" si="256"/>
        <v>36-45</v>
      </c>
    </row>
    <row r="3835" spans="1:16" x14ac:dyDescent="0.25">
      <c r="A3835">
        <v>3834</v>
      </c>
      <c r="B3835" t="s">
        <v>9</v>
      </c>
      <c r="C3835">
        <v>190140</v>
      </c>
      <c r="D3835" t="s">
        <v>10</v>
      </c>
      <c r="E3835" t="s">
        <v>16</v>
      </c>
      <c r="F3835" t="s">
        <v>12</v>
      </c>
      <c r="G3835" t="s">
        <v>12</v>
      </c>
      <c r="H3835" t="s">
        <v>13</v>
      </c>
      <c r="I3835">
        <v>31</v>
      </c>
      <c r="J3835" t="str" cm="1">
        <f t="array" ref="J3835">_xlfn.IFS(ISBLANK(C3835),"FALTANTE",ABS((C3835-$W$5)/$X$5)&gt;1.96,"ATÍPICO",ABS((C3835-$W$5)/$X$5)&lt;=1.96,"NO ATÍPICO")</f>
        <v>NO ATÍPICO</v>
      </c>
      <c r="K3835" t="str" cm="1">
        <f t="array" ref="K3835">_xlfn.IFS(ISBLANK(I3835),"FALTANTE",ABS((I3835-$W$8)/$X$8)&gt;1.92,"ATÍPICO",ABS((I3835-$W$8)/$X$8)&lt;=1.92,"NO ATÍPICO")</f>
        <v>NO ATÍPICO</v>
      </c>
      <c r="L3835">
        <f t="shared" si="253"/>
        <v>190140</v>
      </c>
      <c r="M3835" t="str">
        <f t="shared" si="253"/>
        <v>ASALARIADO</v>
      </c>
      <c r="N3835">
        <f t="shared" si="254"/>
        <v>31</v>
      </c>
      <c r="O3835" s="19" t="str">
        <f t="shared" si="255"/>
        <v>0–300k</v>
      </c>
      <c r="P3835" s="19" t="str">
        <f t="shared" si="256"/>
        <v>26-35</v>
      </c>
    </row>
    <row r="3836" spans="1:16" x14ac:dyDescent="0.25">
      <c r="A3836">
        <v>3835</v>
      </c>
      <c r="B3836" t="s">
        <v>9</v>
      </c>
      <c r="C3836">
        <v>297045</v>
      </c>
      <c r="D3836" t="s">
        <v>17</v>
      </c>
      <c r="E3836" t="s">
        <v>16</v>
      </c>
      <c r="F3836" t="s">
        <v>12</v>
      </c>
      <c r="G3836" t="s">
        <v>13</v>
      </c>
      <c r="H3836" t="s">
        <v>13</v>
      </c>
      <c r="I3836">
        <v>52</v>
      </c>
      <c r="J3836" t="str" cm="1">
        <f t="array" ref="J3836">_xlfn.IFS(ISBLANK(C3836),"FALTANTE",ABS((C3836-$W$5)/$X$5)&gt;1.96,"ATÍPICO",ABS((C3836-$W$5)/$X$5)&lt;=1.96,"NO ATÍPICO")</f>
        <v>NO ATÍPICO</v>
      </c>
      <c r="K3836" t="str" cm="1">
        <f t="array" ref="K3836">_xlfn.IFS(ISBLANK(I3836),"FALTANTE",ABS((I3836-$W$8)/$X$8)&gt;1.92,"ATÍPICO",ABS((I3836-$W$8)/$X$8)&lt;=1.92,"NO ATÍPICO")</f>
        <v>NO ATÍPICO</v>
      </c>
      <c r="L3836">
        <f t="shared" si="253"/>
        <v>297045</v>
      </c>
      <c r="M3836" t="str">
        <f t="shared" si="253"/>
        <v>ASEGURADO VOLUNTARIO</v>
      </c>
      <c r="N3836">
        <f t="shared" si="254"/>
        <v>52</v>
      </c>
      <c r="O3836" s="19" t="str">
        <f t="shared" si="255"/>
        <v>0–300k</v>
      </c>
      <c r="P3836" s="19" t="str">
        <f t="shared" si="256"/>
        <v>46-55</v>
      </c>
    </row>
    <row r="3837" spans="1:16" x14ac:dyDescent="0.25">
      <c r="A3837">
        <v>3836</v>
      </c>
      <c r="B3837" t="s">
        <v>9</v>
      </c>
      <c r="C3837">
        <v>468380.06</v>
      </c>
      <c r="D3837" t="s">
        <v>10</v>
      </c>
      <c r="E3837" t="s">
        <v>16</v>
      </c>
      <c r="F3837" t="s">
        <v>12</v>
      </c>
      <c r="G3837" t="s">
        <v>13</v>
      </c>
      <c r="H3837" t="s">
        <v>13</v>
      </c>
      <c r="I3837">
        <v>61</v>
      </c>
      <c r="J3837" t="str" cm="1">
        <f t="array" ref="J3837">_xlfn.IFS(ISBLANK(C3837),"FALTANTE",ABS((C3837-$W$5)/$X$5)&gt;1.96,"ATÍPICO",ABS((C3837-$W$5)/$X$5)&lt;=1.96,"NO ATÍPICO")</f>
        <v>NO ATÍPICO</v>
      </c>
      <c r="K3837" t="str" cm="1">
        <f t="array" ref="K3837">_xlfn.IFS(ISBLANK(I3837),"FALTANTE",ABS((I3837-$W$8)/$X$8)&gt;1.92,"ATÍPICO",ABS((I3837-$W$8)/$X$8)&lt;=1.92,"NO ATÍPICO")</f>
        <v>NO ATÍPICO</v>
      </c>
      <c r="L3837">
        <f t="shared" si="253"/>
        <v>468380.06</v>
      </c>
      <c r="M3837" t="str">
        <f t="shared" si="253"/>
        <v>ASALARIADO</v>
      </c>
      <c r="N3837">
        <f t="shared" si="254"/>
        <v>61</v>
      </c>
      <c r="O3837" s="19" t="str">
        <f t="shared" si="255"/>
        <v>300k–600k</v>
      </c>
      <c r="P3837" s="19" t="str">
        <f t="shared" si="256"/>
        <v>56+</v>
      </c>
    </row>
    <row r="3838" spans="1:16" x14ac:dyDescent="0.25">
      <c r="A3838">
        <v>3837</v>
      </c>
      <c r="B3838" t="s">
        <v>9</v>
      </c>
      <c r="C3838">
        <v>628752.38</v>
      </c>
      <c r="D3838" t="s">
        <v>10</v>
      </c>
      <c r="E3838" t="s">
        <v>16</v>
      </c>
      <c r="F3838" t="s">
        <v>12</v>
      </c>
      <c r="G3838" t="s">
        <v>13</v>
      </c>
      <c r="H3838" t="s">
        <v>13</v>
      </c>
      <c r="I3838">
        <v>29</v>
      </c>
      <c r="J3838" t="str" cm="1">
        <f t="array" ref="J3838">_xlfn.IFS(ISBLANK(C3838),"FALTANTE",ABS((C3838-$W$5)/$X$5)&gt;1.96,"ATÍPICO",ABS((C3838-$W$5)/$X$5)&lt;=1.96,"NO ATÍPICO")</f>
        <v>NO ATÍPICO</v>
      </c>
      <c r="K3838" t="str" cm="1">
        <f t="array" ref="K3838">_xlfn.IFS(ISBLANK(I3838),"FALTANTE",ABS((I3838-$W$8)/$X$8)&gt;1.92,"ATÍPICO",ABS((I3838-$W$8)/$X$8)&lt;=1.92,"NO ATÍPICO")</f>
        <v>NO ATÍPICO</v>
      </c>
      <c r="L3838">
        <f t="shared" si="253"/>
        <v>628752.38</v>
      </c>
      <c r="M3838" t="str">
        <f t="shared" si="253"/>
        <v>ASALARIADO</v>
      </c>
      <c r="N3838">
        <f t="shared" si="254"/>
        <v>29</v>
      </c>
      <c r="O3838" s="19" t="str">
        <f t="shared" si="255"/>
        <v>600k–900k</v>
      </c>
      <c r="P3838" s="19" t="str">
        <f t="shared" si="256"/>
        <v>26-35</v>
      </c>
    </row>
    <row r="3839" spans="1:16" x14ac:dyDescent="0.25">
      <c r="A3839">
        <v>3838</v>
      </c>
      <c r="B3839" t="s">
        <v>15</v>
      </c>
      <c r="C3839">
        <v>781283.24</v>
      </c>
      <c r="D3839" t="s">
        <v>10</v>
      </c>
      <c r="E3839" t="s">
        <v>11</v>
      </c>
      <c r="F3839" t="s">
        <v>12</v>
      </c>
      <c r="G3839" t="s">
        <v>13</v>
      </c>
      <c r="H3839" t="s">
        <v>13</v>
      </c>
      <c r="I3839">
        <v>30</v>
      </c>
      <c r="J3839" t="str" cm="1">
        <f t="array" ref="J3839">_xlfn.IFS(ISBLANK(C3839),"FALTANTE",ABS((C3839-$W$5)/$X$5)&gt;1.96,"ATÍPICO",ABS((C3839-$W$5)/$X$5)&lt;=1.96,"NO ATÍPICO")</f>
        <v>NO ATÍPICO</v>
      </c>
      <c r="K3839" t="str" cm="1">
        <f t="array" ref="K3839">_xlfn.IFS(ISBLANK(I3839),"FALTANTE",ABS((I3839-$W$8)/$X$8)&gt;1.92,"ATÍPICO",ABS((I3839-$W$8)/$X$8)&lt;=1.92,"NO ATÍPICO")</f>
        <v>NO ATÍPICO</v>
      </c>
      <c r="L3839">
        <f t="shared" si="253"/>
        <v>781283.24</v>
      </c>
      <c r="M3839" t="str">
        <f t="shared" si="253"/>
        <v>ASALARIADO</v>
      </c>
      <c r="N3839">
        <f t="shared" si="254"/>
        <v>30</v>
      </c>
      <c r="O3839" s="19" t="str">
        <f t="shared" si="255"/>
        <v>600k–900k</v>
      </c>
      <c r="P3839" s="19" t="str">
        <f t="shared" si="256"/>
        <v>26-35</v>
      </c>
    </row>
    <row r="3840" spans="1:16" x14ac:dyDescent="0.25">
      <c r="A3840">
        <v>3839</v>
      </c>
      <c r="B3840" t="s">
        <v>15</v>
      </c>
      <c r="C3840">
        <v>4364464.75</v>
      </c>
      <c r="D3840" t="s">
        <v>10</v>
      </c>
      <c r="E3840" t="s">
        <v>11</v>
      </c>
      <c r="F3840" t="s">
        <v>12</v>
      </c>
      <c r="G3840" t="s">
        <v>13</v>
      </c>
      <c r="H3840" t="s">
        <v>13</v>
      </c>
      <c r="I3840">
        <v>39</v>
      </c>
      <c r="J3840" t="str" cm="1">
        <f t="array" ref="J3840">_xlfn.IFS(ISBLANK(C3840),"FALTANTE",ABS((C3840-$W$5)/$X$5)&gt;1.96,"ATÍPICO",ABS((C3840-$W$5)/$X$5)&lt;=1.96,"NO ATÍPICO")</f>
        <v>ATÍPICO</v>
      </c>
      <c r="K3840" t="str" cm="1">
        <f t="array" ref="K3840">_xlfn.IFS(ISBLANK(I3840),"FALTANTE",ABS((I3840-$W$8)/$X$8)&gt;1.92,"ATÍPICO",ABS((I3840-$W$8)/$X$8)&lt;=1.92,"NO ATÍPICO")</f>
        <v>NO ATÍPICO</v>
      </c>
      <c r="L3840">
        <f t="shared" si="253"/>
        <v>4364464.75</v>
      </c>
      <c r="M3840" t="str">
        <f t="shared" si="253"/>
        <v>ASALARIADO</v>
      </c>
      <c r="N3840">
        <f t="shared" si="254"/>
        <v>39</v>
      </c>
      <c r="O3840" s="19" t="str">
        <f t="shared" si="255"/>
        <v>1200k+</v>
      </c>
      <c r="P3840" s="19" t="str">
        <f t="shared" si="256"/>
        <v>36-45</v>
      </c>
    </row>
    <row r="3841" spans="1:16" x14ac:dyDescent="0.25">
      <c r="A3841">
        <v>3840</v>
      </c>
      <c r="B3841" t="s">
        <v>9</v>
      </c>
      <c r="C3841">
        <v>493736.09</v>
      </c>
      <c r="D3841" t="s">
        <v>10</v>
      </c>
      <c r="E3841" t="s">
        <v>16</v>
      </c>
      <c r="F3841" t="s">
        <v>12</v>
      </c>
      <c r="G3841" t="s">
        <v>12</v>
      </c>
      <c r="H3841" t="s">
        <v>13</v>
      </c>
      <c r="I3841">
        <v>31</v>
      </c>
      <c r="J3841" t="str" cm="1">
        <f t="array" ref="J3841">_xlfn.IFS(ISBLANK(C3841),"FALTANTE",ABS((C3841-$W$5)/$X$5)&gt;1.96,"ATÍPICO",ABS((C3841-$W$5)/$X$5)&lt;=1.96,"NO ATÍPICO")</f>
        <v>NO ATÍPICO</v>
      </c>
      <c r="K3841" t="str" cm="1">
        <f t="array" ref="K3841">_xlfn.IFS(ISBLANK(I3841),"FALTANTE",ABS((I3841-$W$8)/$X$8)&gt;1.92,"ATÍPICO",ABS((I3841-$W$8)/$X$8)&lt;=1.92,"NO ATÍPICO")</f>
        <v>NO ATÍPICO</v>
      </c>
      <c r="L3841">
        <f t="shared" si="253"/>
        <v>493736.09</v>
      </c>
      <c r="M3841" t="str">
        <f t="shared" si="253"/>
        <v>ASALARIADO</v>
      </c>
      <c r="N3841">
        <f t="shared" si="254"/>
        <v>31</v>
      </c>
      <c r="O3841" s="19" t="str">
        <f t="shared" si="255"/>
        <v>300k–600k</v>
      </c>
      <c r="P3841" s="19" t="str">
        <f t="shared" si="256"/>
        <v>26-35</v>
      </c>
    </row>
    <row r="3842" spans="1:16" x14ac:dyDescent="0.25">
      <c r="A3842">
        <v>3841</v>
      </c>
      <c r="B3842" t="s">
        <v>9</v>
      </c>
      <c r="C3842">
        <v>914000</v>
      </c>
      <c r="D3842" t="s">
        <v>10</v>
      </c>
      <c r="E3842" t="s">
        <v>16</v>
      </c>
      <c r="F3842" t="s">
        <v>12</v>
      </c>
      <c r="G3842" t="s">
        <v>13</v>
      </c>
      <c r="H3842" t="s">
        <v>13</v>
      </c>
      <c r="I3842">
        <v>27</v>
      </c>
      <c r="J3842" t="str" cm="1">
        <f t="array" ref="J3842">_xlfn.IFS(ISBLANK(C3842),"FALTANTE",ABS((C3842-$W$5)/$X$5)&gt;1.96,"ATÍPICO",ABS((C3842-$W$5)/$X$5)&lt;=1.96,"NO ATÍPICO")</f>
        <v>NO ATÍPICO</v>
      </c>
      <c r="K3842" t="str" cm="1">
        <f t="array" ref="K3842">_xlfn.IFS(ISBLANK(I3842),"FALTANTE",ABS((I3842-$W$8)/$X$8)&gt;1.92,"ATÍPICO",ABS((I3842-$W$8)/$X$8)&lt;=1.92,"NO ATÍPICO")</f>
        <v>NO ATÍPICO</v>
      </c>
      <c r="L3842">
        <f t="shared" ref="L3842:M3905" si="257">C3842</f>
        <v>914000</v>
      </c>
      <c r="M3842" t="str">
        <f t="shared" si="257"/>
        <v>ASALARIADO</v>
      </c>
      <c r="N3842">
        <f t="shared" ref="N3842:N3905" si="258">I3842</f>
        <v>27</v>
      </c>
      <c r="O3842" s="19" t="str">
        <f t="shared" ref="O3842:O3905" si="259">IF(L3842&lt;=300000,"0–300k",IF(L3842&lt;=600000,"300k–600k",IF(L3842&lt;=900000,"600k–900k",IF(L3842&lt;=1200000,"900k–1200k","1200k+"))))</f>
        <v>900k–1200k</v>
      </c>
      <c r="P3842" s="19" t="str">
        <f t="shared" ref="P3842:P3905" si="260">IF(N3842 &lt;=25,"18-25", IF(N3842&lt;=35,"26-35", IF(N3842 &lt;=45,"36-45", IF(N3842&lt;=55,"46-55","56+"))))</f>
        <v>26-35</v>
      </c>
    </row>
    <row r="3843" spans="1:16" x14ac:dyDescent="0.25">
      <c r="A3843">
        <v>3842</v>
      </c>
      <c r="B3843" t="s">
        <v>9</v>
      </c>
      <c r="C3843">
        <v>278030</v>
      </c>
      <c r="D3843" t="s">
        <v>19</v>
      </c>
      <c r="E3843" t="s">
        <v>16</v>
      </c>
      <c r="F3843" t="s">
        <v>12</v>
      </c>
      <c r="G3843" t="s">
        <v>13</v>
      </c>
      <c r="H3843" t="s">
        <v>13</v>
      </c>
      <c r="I3843">
        <v>34</v>
      </c>
      <c r="J3843" t="str" cm="1">
        <f t="array" ref="J3843">_xlfn.IFS(ISBLANK(C3843),"FALTANTE",ABS((C3843-$W$5)/$X$5)&gt;1.96,"ATÍPICO",ABS((C3843-$W$5)/$X$5)&lt;=1.96,"NO ATÍPICO")</f>
        <v>NO ATÍPICO</v>
      </c>
      <c r="K3843" t="str" cm="1">
        <f t="array" ref="K3843">_xlfn.IFS(ISBLANK(I3843),"FALTANTE",ABS((I3843-$W$8)/$X$8)&gt;1.92,"ATÍPICO",ABS((I3843-$W$8)/$X$8)&lt;=1.92,"NO ATÍPICO")</f>
        <v>NO ATÍPICO</v>
      </c>
      <c r="L3843">
        <f t="shared" si="257"/>
        <v>278030</v>
      </c>
      <c r="M3843" t="str">
        <f t="shared" si="257"/>
        <v>CONVENIOS ESPECIALES DE TRABAJADORES INDEPENDIENTES</v>
      </c>
      <c r="N3843">
        <f t="shared" si="258"/>
        <v>34</v>
      </c>
      <c r="O3843" s="19" t="str">
        <f t="shared" si="259"/>
        <v>0–300k</v>
      </c>
      <c r="P3843" s="19" t="str">
        <f t="shared" si="260"/>
        <v>26-35</v>
      </c>
    </row>
    <row r="3844" spans="1:16" x14ac:dyDescent="0.25">
      <c r="A3844">
        <v>3843</v>
      </c>
      <c r="B3844" t="s">
        <v>15</v>
      </c>
      <c r="C3844">
        <v>1192788</v>
      </c>
      <c r="D3844" t="s">
        <v>14</v>
      </c>
      <c r="E3844" t="s">
        <v>11</v>
      </c>
      <c r="F3844" t="s">
        <v>12</v>
      </c>
      <c r="G3844" t="s">
        <v>13</v>
      </c>
      <c r="H3844" t="s">
        <v>13</v>
      </c>
      <c r="I3844">
        <v>71</v>
      </c>
      <c r="J3844" t="str" cm="1">
        <f t="array" ref="J3844">_xlfn.IFS(ISBLANK(C3844),"FALTANTE",ABS((C3844-$W$5)/$X$5)&gt;1.96,"ATÍPICO",ABS((C3844-$W$5)/$X$5)&lt;=1.96,"NO ATÍPICO")</f>
        <v>NO ATÍPICO</v>
      </c>
      <c r="K3844" t="str" cm="1">
        <f t="array" ref="K3844">_xlfn.IFS(ISBLANK(I3844),"FALTANTE",ABS((I3844-$W$8)/$X$8)&gt;1.92,"ATÍPICO",ABS((I3844-$W$8)/$X$8)&lt;=1.92,"NO ATÍPICO")</f>
        <v>ATÍPICO</v>
      </c>
      <c r="L3844">
        <f t="shared" si="257"/>
        <v>1192788</v>
      </c>
      <c r="M3844" t="str">
        <f t="shared" si="257"/>
        <v>PENSIONADOS EN SU PROPIO SISTEMA</v>
      </c>
      <c r="N3844">
        <f t="shared" si="258"/>
        <v>71</v>
      </c>
      <c r="O3844" s="19" t="str">
        <f t="shared" si="259"/>
        <v>900k–1200k</v>
      </c>
      <c r="P3844" s="19" t="str">
        <f t="shared" si="260"/>
        <v>56+</v>
      </c>
    </row>
    <row r="3845" spans="1:16" x14ac:dyDescent="0.25">
      <c r="A3845">
        <v>3844</v>
      </c>
      <c r="B3845" t="s">
        <v>15</v>
      </c>
      <c r="C3845">
        <v>1203125</v>
      </c>
      <c r="D3845" t="s">
        <v>10</v>
      </c>
      <c r="E3845" t="s">
        <v>16</v>
      </c>
      <c r="F3845" t="s">
        <v>12</v>
      </c>
      <c r="G3845" t="s">
        <v>13</v>
      </c>
      <c r="H3845" t="s">
        <v>13</v>
      </c>
      <c r="I3845">
        <v>35</v>
      </c>
      <c r="J3845" t="str" cm="1">
        <f t="array" ref="J3845">_xlfn.IFS(ISBLANK(C3845),"FALTANTE",ABS((C3845-$W$5)/$X$5)&gt;1.96,"ATÍPICO",ABS((C3845-$W$5)/$X$5)&lt;=1.96,"NO ATÍPICO")</f>
        <v>NO ATÍPICO</v>
      </c>
      <c r="K3845" t="str" cm="1">
        <f t="array" ref="K3845">_xlfn.IFS(ISBLANK(I3845),"FALTANTE",ABS((I3845-$W$8)/$X$8)&gt;1.92,"ATÍPICO",ABS((I3845-$W$8)/$X$8)&lt;=1.92,"NO ATÍPICO")</f>
        <v>NO ATÍPICO</v>
      </c>
      <c r="L3845">
        <f t="shared" si="257"/>
        <v>1203125</v>
      </c>
      <c r="M3845" t="str">
        <f t="shared" si="257"/>
        <v>ASALARIADO</v>
      </c>
      <c r="N3845">
        <f t="shared" si="258"/>
        <v>35</v>
      </c>
      <c r="O3845" s="19" t="str">
        <f t="shared" si="259"/>
        <v>1200k+</v>
      </c>
      <c r="P3845" s="19" t="str">
        <f t="shared" si="260"/>
        <v>26-35</v>
      </c>
    </row>
    <row r="3846" spans="1:16" x14ac:dyDescent="0.25">
      <c r="A3846">
        <v>3845</v>
      </c>
      <c r="B3846" t="s">
        <v>15</v>
      </c>
      <c r="C3846">
        <v>405871</v>
      </c>
      <c r="D3846" t="s">
        <v>18</v>
      </c>
      <c r="E3846" t="s">
        <v>16</v>
      </c>
      <c r="F3846" t="s">
        <v>12</v>
      </c>
      <c r="G3846" t="s">
        <v>13</v>
      </c>
      <c r="H3846" t="s">
        <v>13</v>
      </c>
      <c r="I3846">
        <v>67</v>
      </c>
      <c r="J3846" t="str" cm="1">
        <f t="array" ref="J3846">_xlfn.IFS(ISBLANK(C3846),"FALTANTE",ABS((C3846-$W$5)/$X$5)&gt;1.96,"ATÍPICO",ABS((C3846-$W$5)/$X$5)&lt;=1.96,"NO ATÍPICO")</f>
        <v>NO ATÍPICO</v>
      </c>
      <c r="K3846" t="str" cm="1">
        <f t="array" ref="K3846">_xlfn.IFS(ISBLANK(I3846),"FALTANTE",ABS((I3846-$W$8)/$X$8)&gt;1.92,"ATÍPICO",ABS((I3846-$W$8)/$X$8)&lt;=1.92,"NO ATÍPICO")</f>
        <v>NO ATÍPICO</v>
      </c>
      <c r="L3846">
        <f t="shared" si="257"/>
        <v>405871</v>
      </c>
      <c r="M3846" t="str">
        <f t="shared" si="257"/>
        <v>TRABAJADOR INDEPENDIENTE</v>
      </c>
      <c r="N3846">
        <f t="shared" si="258"/>
        <v>67</v>
      </c>
      <c r="O3846" s="19" t="str">
        <f t="shared" si="259"/>
        <v>300k–600k</v>
      </c>
      <c r="P3846" s="19" t="str">
        <f t="shared" si="260"/>
        <v>56+</v>
      </c>
    </row>
    <row r="3847" spans="1:16" x14ac:dyDescent="0.25">
      <c r="A3847">
        <v>3846</v>
      </c>
      <c r="B3847" t="s">
        <v>9</v>
      </c>
      <c r="C3847">
        <v>641216.5</v>
      </c>
      <c r="D3847" t="s">
        <v>10</v>
      </c>
      <c r="E3847" t="s">
        <v>16</v>
      </c>
      <c r="F3847" t="s">
        <v>12</v>
      </c>
      <c r="G3847" t="s">
        <v>13</v>
      </c>
      <c r="H3847" t="s">
        <v>13</v>
      </c>
      <c r="I3847">
        <v>28</v>
      </c>
      <c r="J3847" t="str" cm="1">
        <f t="array" ref="J3847">_xlfn.IFS(ISBLANK(C3847),"FALTANTE",ABS((C3847-$W$5)/$X$5)&gt;1.96,"ATÍPICO",ABS((C3847-$W$5)/$X$5)&lt;=1.96,"NO ATÍPICO")</f>
        <v>NO ATÍPICO</v>
      </c>
      <c r="K3847" t="str" cm="1">
        <f t="array" ref="K3847">_xlfn.IFS(ISBLANK(I3847),"FALTANTE",ABS((I3847-$W$8)/$X$8)&gt;1.92,"ATÍPICO",ABS((I3847-$W$8)/$X$8)&lt;=1.92,"NO ATÍPICO")</f>
        <v>NO ATÍPICO</v>
      </c>
      <c r="L3847">
        <f t="shared" si="257"/>
        <v>641216.5</v>
      </c>
      <c r="M3847" t="str">
        <f t="shared" si="257"/>
        <v>ASALARIADO</v>
      </c>
      <c r="N3847">
        <f t="shared" si="258"/>
        <v>28</v>
      </c>
      <c r="O3847" s="19" t="str">
        <f t="shared" si="259"/>
        <v>600k–900k</v>
      </c>
      <c r="P3847" s="19" t="str">
        <f t="shared" si="260"/>
        <v>26-35</v>
      </c>
    </row>
    <row r="3848" spans="1:16" x14ac:dyDescent="0.25">
      <c r="A3848">
        <v>3847</v>
      </c>
      <c r="B3848" t="s">
        <v>9</v>
      </c>
      <c r="C3848">
        <v>310000</v>
      </c>
      <c r="D3848" t="s">
        <v>10</v>
      </c>
      <c r="E3848" t="s">
        <v>16</v>
      </c>
      <c r="F3848" t="s">
        <v>12</v>
      </c>
      <c r="G3848" t="s">
        <v>13</v>
      </c>
      <c r="H3848" t="s">
        <v>13</v>
      </c>
      <c r="I3848">
        <v>28</v>
      </c>
      <c r="J3848" t="str" cm="1">
        <f t="array" ref="J3848">_xlfn.IFS(ISBLANK(C3848),"FALTANTE",ABS((C3848-$W$5)/$X$5)&gt;1.96,"ATÍPICO",ABS((C3848-$W$5)/$X$5)&lt;=1.96,"NO ATÍPICO")</f>
        <v>NO ATÍPICO</v>
      </c>
      <c r="K3848" t="str" cm="1">
        <f t="array" ref="K3848">_xlfn.IFS(ISBLANK(I3848),"FALTANTE",ABS((I3848-$W$8)/$X$8)&gt;1.92,"ATÍPICO",ABS((I3848-$W$8)/$X$8)&lt;=1.92,"NO ATÍPICO")</f>
        <v>NO ATÍPICO</v>
      </c>
      <c r="L3848">
        <f t="shared" si="257"/>
        <v>310000</v>
      </c>
      <c r="M3848" t="str">
        <f t="shared" si="257"/>
        <v>ASALARIADO</v>
      </c>
      <c r="N3848">
        <f t="shared" si="258"/>
        <v>28</v>
      </c>
      <c r="O3848" s="19" t="str">
        <f t="shared" si="259"/>
        <v>300k–600k</v>
      </c>
      <c r="P3848" s="19" t="str">
        <f t="shared" si="260"/>
        <v>26-35</v>
      </c>
    </row>
    <row r="3849" spans="1:16" x14ac:dyDescent="0.25">
      <c r="A3849">
        <v>3848</v>
      </c>
      <c r="B3849" t="s">
        <v>9</v>
      </c>
      <c r="C3849">
        <v>613320</v>
      </c>
      <c r="D3849" t="s">
        <v>21</v>
      </c>
      <c r="E3849" t="s">
        <v>16</v>
      </c>
      <c r="F3849" t="s">
        <v>12</v>
      </c>
      <c r="G3849" t="s">
        <v>12</v>
      </c>
      <c r="H3849" t="s">
        <v>13</v>
      </c>
      <c r="I3849">
        <v>72</v>
      </c>
      <c r="J3849" t="str" cm="1">
        <f t="array" ref="J3849">_xlfn.IFS(ISBLANK(C3849),"FALTANTE",ABS((C3849-$W$5)/$X$5)&gt;1.96,"ATÍPICO",ABS((C3849-$W$5)/$X$5)&lt;=1.96,"NO ATÍPICO")</f>
        <v>NO ATÍPICO</v>
      </c>
      <c r="K3849" t="str" cm="1">
        <f t="array" ref="K3849">_xlfn.IFS(ISBLANK(I3849),"FALTANTE",ABS((I3849-$W$8)/$X$8)&gt;1.92,"ATÍPICO",ABS((I3849-$W$8)/$X$8)&lt;=1.92,"NO ATÍPICO")</f>
        <v>ATÍPICO</v>
      </c>
      <c r="L3849">
        <f t="shared" si="257"/>
        <v>613320</v>
      </c>
      <c r="M3849" t="str">
        <f t="shared" si="257"/>
        <v>CONVENIOS ESPECIALES DE ASEGURADOS VOLUNTARIOS</v>
      </c>
      <c r="N3849">
        <f t="shared" si="258"/>
        <v>72</v>
      </c>
      <c r="O3849" s="19" t="str">
        <f t="shared" si="259"/>
        <v>600k–900k</v>
      </c>
      <c r="P3849" s="19" t="str">
        <f t="shared" si="260"/>
        <v>56+</v>
      </c>
    </row>
    <row r="3850" spans="1:16" x14ac:dyDescent="0.25">
      <c r="A3850">
        <v>3849</v>
      </c>
      <c r="B3850" t="s">
        <v>9</v>
      </c>
      <c r="C3850">
        <v>276964.47999999998</v>
      </c>
      <c r="D3850" t="s">
        <v>10</v>
      </c>
      <c r="E3850" t="s">
        <v>16</v>
      </c>
      <c r="F3850" t="s">
        <v>12</v>
      </c>
      <c r="G3850" t="s">
        <v>12</v>
      </c>
      <c r="H3850" t="s">
        <v>12</v>
      </c>
      <c r="I3850">
        <v>28</v>
      </c>
      <c r="J3850" t="str" cm="1">
        <f t="array" ref="J3850">_xlfn.IFS(ISBLANK(C3850),"FALTANTE",ABS((C3850-$W$5)/$X$5)&gt;1.96,"ATÍPICO",ABS((C3850-$W$5)/$X$5)&lt;=1.96,"NO ATÍPICO")</f>
        <v>NO ATÍPICO</v>
      </c>
      <c r="K3850" t="str" cm="1">
        <f t="array" ref="K3850">_xlfn.IFS(ISBLANK(I3850),"FALTANTE",ABS((I3850-$W$8)/$X$8)&gt;1.92,"ATÍPICO",ABS((I3850-$W$8)/$X$8)&lt;=1.92,"NO ATÍPICO")</f>
        <v>NO ATÍPICO</v>
      </c>
      <c r="L3850">
        <f t="shared" si="257"/>
        <v>276964.47999999998</v>
      </c>
      <c r="M3850" t="str">
        <f t="shared" si="257"/>
        <v>ASALARIADO</v>
      </c>
      <c r="N3850">
        <f t="shared" si="258"/>
        <v>28</v>
      </c>
      <c r="O3850" s="19" t="str">
        <f t="shared" si="259"/>
        <v>0–300k</v>
      </c>
      <c r="P3850" s="19" t="str">
        <f t="shared" si="260"/>
        <v>26-35</v>
      </c>
    </row>
    <row r="3851" spans="1:16" x14ac:dyDescent="0.25">
      <c r="A3851">
        <v>3850</v>
      </c>
      <c r="B3851" t="s">
        <v>9</v>
      </c>
      <c r="C3851">
        <v>449750</v>
      </c>
      <c r="D3851" t="s">
        <v>10</v>
      </c>
      <c r="E3851" t="s">
        <v>16</v>
      </c>
      <c r="F3851" t="s">
        <v>12</v>
      </c>
      <c r="G3851" t="s">
        <v>13</v>
      </c>
      <c r="H3851" t="s">
        <v>13</v>
      </c>
      <c r="I3851">
        <v>28</v>
      </c>
      <c r="J3851" t="str" cm="1">
        <f t="array" ref="J3851">_xlfn.IFS(ISBLANK(C3851),"FALTANTE",ABS((C3851-$W$5)/$X$5)&gt;1.96,"ATÍPICO",ABS((C3851-$W$5)/$X$5)&lt;=1.96,"NO ATÍPICO")</f>
        <v>NO ATÍPICO</v>
      </c>
      <c r="K3851" t="str" cm="1">
        <f t="array" ref="K3851">_xlfn.IFS(ISBLANK(I3851),"FALTANTE",ABS((I3851-$W$8)/$X$8)&gt;1.92,"ATÍPICO",ABS((I3851-$W$8)/$X$8)&lt;=1.92,"NO ATÍPICO")</f>
        <v>NO ATÍPICO</v>
      </c>
      <c r="L3851">
        <f t="shared" si="257"/>
        <v>449750</v>
      </c>
      <c r="M3851" t="str">
        <f t="shared" si="257"/>
        <v>ASALARIADO</v>
      </c>
      <c r="N3851">
        <f t="shared" si="258"/>
        <v>28</v>
      </c>
      <c r="O3851" s="19" t="str">
        <f t="shared" si="259"/>
        <v>300k–600k</v>
      </c>
      <c r="P3851" s="19" t="str">
        <f t="shared" si="260"/>
        <v>26-35</v>
      </c>
    </row>
    <row r="3852" spans="1:16" x14ac:dyDescent="0.25">
      <c r="A3852">
        <v>3851</v>
      </c>
      <c r="B3852" t="s">
        <v>9</v>
      </c>
      <c r="C3852">
        <v>887689.45</v>
      </c>
      <c r="D3852" t="s">
        <v>10</v>
      </c>
      <c r="E3852" t="s">
        <v>11</v>
      </c>
      <c r="F3852" t="s">
        <v>12</v>
      </c>
      <c r="G3852" t="s">
        <v>13</v>
      </c>
      <c r="H3852" t="s">
        <v>13</v>
      </c>
      <c r="I3852">
        <v>29</v>
      </c>
      <c r="J3852" t="str" cm="1">
        <f t="array" ref="J3852">_xlfn.IFS(ISBLANK(C3852),"FALTANTE",ABS((C3852-$W$5)/$X$5)&gt;1.96,"ATÍPICO",ABS((C3852-$W$5)/$X$5)&lt;=1.96,"NO ATÍPICO")</f>
        <v>NO ATÍPICO</v>
      </c>
      <c r="K3852" t="str" cm="1">
        <f t="array" ref="K3852">_xlfn.IFS(ISBLANK(I3852),"FALTANTE",ABS((I3852-$W$8)/$X$8)&gt;1.92,"ATÍPICO",ABS((I3852-$W$8)/$X$8)&lt;=1.92,"NO ATÍPICO")</f>
        <v>NO ATÍPICO</v>
      </c>
      <c r="L3852">
        <f t="shared" si="257"/>
        <v>887689.45</v>
      </c>
      <c r="M3852" t="str">
        <f t="shared" si="257"/>
        <v>ASALARIADO</v>
      </c>
      <c r="N3852">
        <f t="shared" si="258"/>
        <v>29</v>
      </c>
      <c r="O3852" s="19" t="str">
        <f t="shared" si="259"/>
        <v>600k–900k</v>
      </c>
      <c r="P3852" s="19" t="str">
        <f t="shared" si="260"/>
        <v>26-35</v>
      </c>
    </row>
    <row r="3853" spans="1:16" x14ac:dyDescent="0.25">
      <c r="A3853">
        <v>3852</v>
      </c>
      <c r="B3853" t="s">
        <v>15</v>
      </c>
      <c r="C3853">
        <v>729230.7</v>
      </c>
      <c r="D3853" t="s">
        <v>10</v>
      </c>
      <c r="E3853" t="s">
        <v>11</v>
      </c>
      <c r="F3853" t="s">
        <v>12</v>
      </c>
      <c r="G3853" t="s">
        <v>13</v>
      </c>
      <c r="H3853" t="s">
        <v>13</v>
      </c>
      <c r="I3853">
        <v>27</v>
      </c>
      <c r="J3853" t="str" cm="1">
        <f t="array" ref="J3853">_xlfn.IFS(ISBLANK(C3853),"FALTANTE",ABS((C3853-$W$5)/$X$5)&gt;1.96,"ATÍPICO",ABS((C3853-$W$5)/$X$5)&lt;=1.96,"NO ATÍPICO")</f>
        <v>NO ATÍPICO</v>
      </c>
      <c r="K3853" t="str" cm="1">
        <f t="array" ref="K3853">_xlfn.IFS(ISBLANK(I3853),"FALTANTE",ABS((I3853-$W$8)/$X$8)&gt;1.92,"ATÍPICO",ABS((I3853-$W$8)/$X$8)&lt;=1.92,"NO ATÍPICO")</f>
        <v>NO ATÍPICO</v>
      </c>
      <c r="L3853">
        <f t="shared" si="257"/>
        <v>729230.7</v>
      </c>
      <c r="M3853" t="str">
        <f t="shared" si="257"/>
        <v>ASALARIADO</v>
      </c>
      <c r="N3853">
        <f t="shared" si="258"/>
        <v>27</v>
      </c>
      <c r="O3853" s="19" t="str">
        <f t="shared" si="259"/>
        <v>600k–900k</v>
      </c>
      <c r="P3853" s="19" t="str">
        <f t="shared" si="260"/>
        <v>26-35</v>
      </c>
    </row>
    <row r="3854" spans="1:16" x14ac:dyDescent="0.25">
      <c r="A3854">
        <v>3853</v>
      </c>
      <c r="B3854" t="s">
        <v>9</v>
      </c>
      <c r="C3854">
        <v>388492</v>
      </c>
      <c r="D3854" t="s">
        <v>10</v>
      </c>
      <c r="E3854" t="s">
        <v>16</v>
      </c>
      <c r="F3854" t="s">
        <v>12</v>
      </c>
      <c r="G3854" t="s">
        <v>13</v>
      </c>
      <c r="H3854" t="s">
        <v>13</v>
      </c>
      <c r="I3854">
        <v>21</v>
      </c>
      <c r="J3854" t="str" cm="1">
        <f t="array" ref="J3854">_xlfn.IFS(ISBLANK(C3854),"FALTANTE",ABS((C3854-$W$5)/$X$5)&gt;1.96,"ATÍPICO",ABS((C3854-$W$5)/$X$5)&lt;=1.96,"NO ATÍPICO")</f>
        <v>NO ATÍPICO</v>
      </c>
      <c r="K3854" t="str" cm="1">
        <f t="array" ref="K3854">_xlfn.IFS(ISBLANK(I3854),"FALTANTE",ABS((I3854-$W$8)/$X$8)&gt;1.92,"ATÍPICO",ABS((I3854-$W$8)/$X$8)&lt;=1.92,"NO ATÍPICO")</f>
        <v>NO ATÍPICO</v>
      </c>
      <c r="L3854">
        <f t="shared" si="257"/>
        <v>388492</v>
      </c>
      <c r="M3854" t="str">
        <f t="shared" si="257"/>
        <v>ASALARIADO</v>
      </c>
      <c r="N3854">
        <f t="shared" si="258"/>
        <v>21</v>
      </c>
      <c r="O3854" s="19" t="str">
        <f t="shared" si="259"/>
        <v>300k–600k</v>
      </c>
      <c r="P3854" s="19" t="str">
        <f t="shared" si="260"/>
        <v>18-25</v>
      </c>
    </row>
    <row r="3855" spans="1:16" x14ac:dyDescent="0.25">
      <c r="A3855">
        <v>3854</v>
      </c>
      <c r="B3855" t="s">
        <v>9</v>
      </c>
      <c r="C3855">
        <v>396286</v>
      </c>
      <c r="D3855" t="s">
        <v>10</v>
      </c>
      <c r="E3855" t="s">
        <v>16</v>
      </c>
      <c r="F3855" t="s">
        <v>12</v>
      </c>
      <c r="G3855" t="s">
        <v>13</v>
      </c>
      <c r="H3855" t="s">
        <v>13</v>
      </c>
      <c r="I3855">
        <v>37</v>
      </c>
      <c r="J3855" t="str" cm="1">
        <f t="array" ref="J3855">_xlfn.IFS(ISBLANK(C3855),"FALTANTE",ABS((C3855-$W$5)/$X$5)&gt;1.96,"ATÍPICO",ABS((C3855-$W$5)/$X$5)&lt;=1.96,"NO ATÍPICO")</f>
        <v>NO ATÍPICO</v>
      </c>
      <c r="K3855" t="str" cm="1">
        <f t="array" ref="K3855">_xlfn.IFS(ISBLANK(I3855),"FALTANTE",ABS((I3855-$W$8)/$X$8)&gt;1.92,"ATÍPICO",ABS((I3855-$W$8)/$X$8)&lt;=1.92,"NO ATÍPICO")</f>
        <v>NO ATÍPICO</v>
      </c>
      <c r="L3855">
        <f t="shared" si="257"/>
        <v>396286</v>
      </c>
      <c r="M3855" t="str">
        <f t="shared" si="257"/>
        <v>ASALARIADO</v>
      </c>
      <c r="N3855">
        <f t="shared" si="258"/>
        <v>37</v>
      </c>
      <c r="O3855" s="19" t="str">
        <f t="shared" si="259"/>
        <v>300k–600k</v>
      </c>
      <c r="P3855" s="19" t="str">
        <f t="shared" si="260"/>
        <v>36-45</v>
      </c>
    </row>
    <row r="3856" spans="1:16" x14ac:dyDescent="0.25">
      <c r="A3856">
        <v>3855</v>
      </c>
      <c r="B3856" t="s">
        <v>15</v>
      </c>
      <c r="C3856">
        <v>1386388</v>
      </c>
      <c r="D3856" t="s">
        <v>14</v>
      </c>
      <c r="E3856" t="s">
        <v>11</v>
      </c>
      <c r="F3856" t="s">
        <v>12</v>
      </c>
      <c r="G3856" t="s">
        <v>13</v>
      </c>
      <c r="H3856" t="s">
        <v>13</v>
      </c>
      <c r="I3856">
        <v>75</v>
      </c>
      <c r="J3856" t="str" cm="1">
        <f t="array" ref="J3856">_xlfn.IFS(ISBLANK(C3856),"FALTANTE",ABS((C3856-$W$5)/$X$5)&gt;1.96,"ATÍPICO",ABS((C3856-$W$5)/$X$5)&lt;=1.96,"NO ATÍPICO")</f>
        <v>NO ATÍPICO</v>
      </c>
      <c r="K3856" t="str" cm="1">
        <f t="array" ref="K3856">_xlfn.IFS(ISBLANK(I3856),"FALTANTE",ABS((I3856-$W$8)/$X$8)&gt;1.92,"ATÍPICO",ABS((I3856-$W$8)/$X$8)&lt;=1.92,"NO ATÍPICO")</f>
        <v>ATÍPICO</v>
      </c>
      <c r="L3856">
        <f t="shared" si="257"/>
        <v>1386388</v>
      </c>
      <c r="M3856" t="str">
        <f t="shared" si="257"/>
        <v>PENSIONADOS EN SU PROPIO SISTEMA</v>
      </c>
      <c r="N3856">
        <f t="shared" si="258"/>
        <v>75</v>
      </c>
      <c r="O3856" s="19" t="str">
        <f t="shared" si="259"/>
        <v>1200k+</v>
      </c>
      <c r="P3856" s="19" t="str">
        <f t="shared" si="260"/>
        <v>56+</v>
      </c>
    </row>
    <row r="3857" spans="1:16" x14ac:dyDescent="0.25">
      <c r="A3857">
        <v>3856</v>
      </c>
      <c r="B3857" t="s">
        <v>15</v>
      </c>
      <c r="C3857">
        <v>983308</v>
      </c>
      <c r="D3857" t="s">
        <v>10</v>
      </c>
      <c r="E3857" t="s">
        <v>16</v>
      </c>
      <c r="F3857" t="s">
        <v>12</v>
      </c>
      <c r="G3857" t="s">
        <v>13</v>
      </c>
      <c r="H3857" t="s">
        <v>13</v>
      </c>
      <c r="I3857">
        <v>27</v>
      </c>
      <c r="J3857" t="str" cm="1">
        <f t="array" ref="J3857">_xlfn.IFS(ISBLANK(C3857),"FALTANTE",ABS((C3857-$W$5)/$X$5)&gt;1.96,"ATÍPICO",ABS((C3857-$W$5)/$X$5)&lt;=1.96,"NO ATÍPICO")</f>
        <v>NO ATÍPICO</v>
      </c>
      <c r="K3857" t="str" cm="1">
        <f t="array" ref="K3857">_xlfn.IFS(ISBLANK(I3857),"FALTANTE",ABS((I3857-$W$8)/$X$8)&gt;1.92,"ATÍPICO",ABS((I3857-$W$8)/$X$8)&lt;=1.92,"NO ATÍPICO")</f>
        <v>NO ATÍPICO</v>
      </c>
      <c r="L3857">
        <f t="shared" si="257"/>
        <v>983308</v>
      </c>
      <c r="M3857" t="str">
        <f t="shared" si="257"/>
        <v>ASALARIADO</v>
      </c>
      <c r="N3857">
        <f t="shared" si="258"/>
        <v>27</v>
      </c>
      <c r="O3857" s="19" t="str">
        <f t="shared" si="259"/>
        <v>900k–1200k</v>
      </c>
      <c r="P3857" s="19" t="str">
        <f t="shared" si="260"/>
        <v>26-35</v>
      </c>
    </row>
    <row r="3858" spans="1:16" x14ac:dyDescent="0.25">
      <c r="A3858">
        <v>3857</v>
      </c>
      <c r="B3858" t="s">
        <v>9</v>
      </c>
      <c r="C3858">
        <v>1007583</v>
      </c>
      <c r="D3858" t="s">
        <v>18</v>
      </c>
      <c r="E3858" t="s">
        <v>16</v>
      </c>
      <c r="F3858" t="s">
        <v>12</v>
      </c>
      <c r="G3858" t="s">
        <v>13</v>
      </c>
      <c r="H3858" t="s">
        <v>13</v>
      </c>
      <c r="I3858">
        <v>76</v>
      </c>
      <c r="J3858" t="str" cm="1">
        <f t="array" ref="J3858">_xlfn.IFS(ISBLANK(C3858),"FALTANTE",ABS((C3858-$W$5)/$X$5)&gt;1.96,"ATÍPICO",ABS((C3858-$W$5)/$X$5)&lt;=1.96,"NO ATÍPICO")</f>
        <v>NO ATÍPICO</v>
      </c>
      <c r="K3858" t="str" cm="1">
        <f t="array" ref="K3858">_xlfn.IFS(ISBLANK(I3858),"FALTANTE",ABS((I3858-$W$8)/$X$8)&gt;1.92,"ATÍPICO",ABS((I3858-$W$8)/$X$8)&lt;=1.92,"NO ATÍPICO")</f>
        <v>ATÍPICO</v>
      </c>
      <c r="L3858">
        <f t="shared" si="257"/>
        <v>1007583</v>
      </c>
      <c r="M3858" t="str">
        <f t="shared" si="257"/>
        <v>TRABAJADOR INDEPENDIENTE</v>
      </c>
      <c r="N3858">
        <f t="shared" si="258"/>
        <v>76</v>
      </c>
      <c r="O3858" s="19" t="str">
        <f t="shared" si="259"/>
        <v>900k–1200k</v>
      </c>
      <c r="P3858" s="19" t="str">
        <f t="shared" si="260"/>
        <v>56+</v>
      </c>
    </row>
    <row r="3859" spans="1:16" x14ac:dyDescent="0.25">
      <c r="A3859">
        <v>3858</v>
      </c>
      <c r="B3859" t="s">
        <v>15</v>
      </c>
      <c r="C3859">
        <v>1104599</v>
      </c>
      <c r="D3859" t="s">
        <v>10</v>
      </c>
      <c r="E3859" t="s">
        <v>11</v>
      </c>
      <c r="F3859" t="s">
        <v>12</v>
      </c>
      <c r="G3859" t="s">
        <v>13</v>
      </c>
      <c r="H3859" t="s">
        <v>13</v>
      </c>
      <c r="I3859">
        <v>50</v>
      </c>
      <c r="J3859" t="str" cm="1">
        <f t="array" ref="J3859">_xlfn.IFS(ISBLANK(C3859),"FALTANTE",ABS((C3859-$W$5)/$X$5)&gt;1.96,"ATÍPICO",ABS((C3859-$W$5)/$X$5)&lt;=1.96,"NO ATÍPICO")</f>
        <v>NO ATÍPICO</v>
      </c>
      <c r="K3859" t="str" cm="1">
        <f t="array" ref="K3859">_xlfn.IFS(ISBLANK(I3859),"FALTANTE",ABS((I3859-$W$8)/$X$8)&gt;1.92,"ATÍPICO",ABS((I3859-$W$8)/$X$8)&lt;=1.92,"NO ATÍPICO")</f>
        <v>NO ATÍPICO</v>
      </c>
      <c r="L3859">
        <f t="shared" si="257"/>
        <v>1104599</v>
      </c>
      <c r="M3859" t="str">
        <f t="shared" si="257"/>
        <v>ASALARIADO</v>
      </c>
      <c r="N3859">
        <f t="shared" si="258"/>
        <v>50</v>
      </c>
      <c r="O3859" s="19" t="str">
        <f t="shared" si="259"/>
        <v>900k–1200k</v>
      </c>
      <c r="P3859" s="19" t="str">
        <f t="shared" si="260"/>
        <v>46-55</v>
      </c>
    </row>
    <row r="3860" spans="1:16" x14ac:dyDescent="0.25">
      <c r="A3860">
        <v>3859</v>
      </c>
      <c r="B3860" t="s">
        <v>9</v>
      </c>
      <c r="C3860">
        <v>350605.15</v>
      </c>
      <c r="D3860" t="s">
        <v>10</v>
      </c>
      <c r="E3860" t="s">
        <v>16</v>
      </c>
      <c r="F3860" t="s">
        <v>12</v>
      </c>
      <c r="G3860" t="s">
        <v>13</v>
      </c>
      <c r="H3860" t="s">
        <v>13</v>
      </c>
      <c r="I3860">
        <v>31</v>
      </c>
      <c r="J3860" t="str" cm="1">
        <f t="array" ref="J3860">_xlfn.IFS(ISBLANK(C3860),"FALTANTE",ABS((C3860-$W$5)/$X$5)&gt;1.96,"ATÍPICO",ABS((C3860-$W$5)/$X$5)&lt;=1.96,"NO ATÍPICO")</f>
        <v>NO ATÍPICO</v>
      </c>
      <c r="K3860" t="str" cm="1">
        <f t="array" ref="K3860">_xlfn.IFS(ISBLANK(I3860),"FALTANTE",ABS((I3860-$W$8)/$X$8)&gt;1.92,"ATÍPICO",ABS((I3860-$W$8)/$X$8)&lt;=1.92,"NO ATÍPICO")</f>
        <v>NO ATÍPICO</v>
      </c>
      <c r="L3860">
        <f t="shared" si="257"/>
        <v>350605.15</v>
      </c>
      <c r="M3860" t="str">
        <f t="shared" si="257"/>
        <v>ASALARIADO</v>
      </c>
      <c r="N3860">
        <f t="shared" si="258"/>
        <v>31</v>
      </c>
      <c r="O3860" s="19" t="str">
        <f t="shared" si="259"/>
        <v>300k–600k</v>
      </c>
      <c r="P3860" s="19" t="str">
        <f t="shared" si="260"/>
        <v>26-35</v>
      </c>
    </row>
    <row r="3861" spans="1:16" x14ac:dyDescent="0.25">
      <c r="A3861">
        <v>3860</v>
      </c>
      <c r="B3861" t="s">
        <v>9</v>
      </c>
      <c r="C3861">
        <v>348749.4</v>
      </c>
      <c r="D3861" t="s">
        <v>10</v>
      </c>
      <c r="E3861" t="s">
        <v>16</v>
      </c>
      <c r="F3861" t="s">
        <v>12</v>
      </c>
      <c r="G3861" t="s">
        <v>13</v>
      </c>
      <c r="H3861" t="s">
        <v>13</v>
      </c>
      <c r="I3861">
        <v>55</v>
      </c>
      <c r="J3861" t="str" cm="1">
        <f t="array" ref="J3861">_xlfn.IFS(ISBLANK(C3861),"FALTANTE",ABS((C3861-$W$5)/$X$5)&gt;1.96,"ATÍPICO",ABS((C3861-$W$5)/$X$5)&lt;=1.96,"NO ATÍPICO")</f>
        <v>NO ATÍPICO</v>
      </c>
      <c r="K3861" t="str" cm="1">
        <f t="array" ref="K3861">_xlfn.IFS(ISBLANK(I3861),"FALTANTE",ABS((I3861-$W$8)/$X$8)&gt;1.92,"ATÍPICO",ABS((I3861-$W$8)/$X$8)&lt;=1.92,"NO ATÍPICO")</f>
        <v>NO ATÍPICO</v>
      </c>
      <c r="L3861">
        <f t="shared" si="257"/>
        <v>348749.4</v>
      </c>
      <c r="M3861" t="str">
        <f t="shared" si="257"/>
        <v>ASALARIADO</v>
      </c>
      <c r="N3861">
        <f t="shared" si="258"/>
        <v>55</v>
      </c>
      <c r="O3861" s="19" t="str">
        <f t="shared" si="259"/>
        <v>300k–600k</v>
      </c>
      <c r="P3861" s="19" t="str">
        <f t="shared" si="260"/>
        <v>46-55</v>
      </c>
    </row>
    <row r="3862" spans="1:16" x14ac:dyDescent="0.25">
      <c r="A3862">
        <v>3861</v>
      </c>
      <c r="B3862" t="s">
        <v>9</v>
      </c>
      <c r="C3862">
        <v>299784</v>
      </c>
      <c r="D3862" t="s">
        <v>18</v>
      </c>
      <c r="E3862" t="s">
        <v>16</v>
      </c>
      <c r="F3862" t="s">
        <v>12</v>
      </c>
      <c r="G3862" t="s">
        <v>13</v>
      </c>
      <c r="H3862" t="s">
        <v>13</v>
      </c>
      <c r="I3862">
        <v>56</v>
      </c>
      <c r="J3862" t="str" cm="1">
        <f t="array" ref="J3862">_xlfn.IFS(ISBLANK(C3862),"FALTANTE",ABS((C3862-$W$5)/$X$5)&gt;1.96,"ATÍPICO",ABS((C3862-$W$5)/$X$5)&lt;=1.96,"NO ATÍPICO")</f>
        <v>NO ATÍPICO</v>
      </c>
      <c r="K3862" t="str" cm="1">
        <f t="array" ref="K3862">_xlfn.IFS(ISBLANK(I3862),"FALTANTE",ABS((I3862-$W$8)/$X$8)&gt;1.92,"ATÍPICO",ABS((I3862-$W$8)/$X$8)&lt;=1.92,"NO ATÍPICO")</f>
        <v>NO ATÍPICO</v>
      </c>
      <c r="L3862">
        <f t="shared" si="257"/>
        <v>299784</v>
      </c>
      <c r="M3862" t="str">
        <f t="shared" si="257"/>
        <v>TRABAJADOR INDEPENDIENTE</v>
      </c>
      <c r="N3862">
        <f t="shared" si="258"/>
        <v>56</v>
      </c>
      <c r="O3862" s="19" t="str">
        <f t="shared" si="259"/>
        <v>0–300k</v>
      </c>
      <c r="P3862" s="19" t="str">
        <f t="shared" si="260"/>
        <v>56+</v>
      </c>
    </row>
    <row r="3863" spans="1:16" x14ac:dyDescent="0.25">
      <c r="A3863">
        <v>3862</v>
      </c>
      <c r="B3863" t="s">
        <v>15</v>
      </c>
      <c r="C3863">
        <v>540083</v>
      </c>
      <c r="D3863" t="s">
        <v>18</v>
      </c>
      <c r="E3863" t="s">
        <v>16</v>
      </c>
      <c r="F3863" t="s">
        <v>12</v>
      </c>
      <c r="G3863" t="s">
        <v>12</v>
      </c>
      <c r="H3863" t="s">
        <v>12</v>
      </c>
      <c r="I3863">
        <v>55</v>
      </c>
      <c r="J3863" t="str" cm="1">
        <f t="array" ref="J3863">_xlfn.IFS(ISBLANK(C3863),"FALTANTE",ABS((C3863-$W$5)/$X$5)&gt;1.96,"ATÍPICO",ABS((C3863-$W$5)/$X$5)&lt;=1.96,"NO ATÍPICO")</f>
        <v>NO ATÍPICO</v>
      </c>
      <c r="K3863" t="str" cm="1">
        <f t="array" ref="K3863">_xlfn.IFS(ISBLANK(I3863),"FALTANTE",ABS((I3863-$W$8)/$X$8)&gt;1.92,"ATÍPICO",ABS((I3863-$W$8)/$X$8)&lt;=1.92,"NO ATÍPICO")</f>
        <v>NO ATÍPICO</v>
      </c>
      <c r="L3863">
        <f t="shared" si="257"/>
        <v>540083</v>
      </c>
      <c r="M3863" t="str">
        <f t="shared" si="257"/>
        <v>TRABAJADOR INDEPENDIENTE</v>
      </c>
      <c r="N3863">
        <f t="shared" si="258"/>
        <v>55</v>
      </c>
      <c r="O3863" s="19" t="str">
        <f t="shared" si="259"/>
        <v>300k–600k</v>
      </c>
      <c r="P3863" s="19" t="str">
        <f t="shared" si="260"/>
        <v>46-55</v>
      </c>
    </row>
    <row r="3864" spans="1:16" x14ac:dyDescent="0.25">
      <c r="A3864">
        <v>3863</v>
      </c>
      <c r="B3864" t="s">
        <v>9</v>
      </c>
      <c r="C3864">
        <v>991228.7</v>
      </c>
      <c r="D3864" t="s">
        <v>10</v>
      </c>
      <c r="E3864" t="s">
        <v>16</v>
      </c>
      <c r="F3864" t="s">
        <v>12</v>
      </c>
      <c r="G3864" t="s">
        <v>13</v>
      </c>
      <c r="H3864" t="s">
        <v>13</v>
      </c>
      <c r="I3864">
        <v>44</v>
      </c>
      <c r="J3864" t="str" cm="1">
        <f t="array" ref="J3864">_xlfn.IFS(ISBLANK(C3864),"FALTANTE",ABS((C3864-$W$5)/$X$5)&gt;1.96,"ATÍPICO",ABS((C3864-$W$5)/$X$5)&lt;=1.96,"NO ATÍPICO")</f>
        <v>NO ATÍPICO</v>
      </c>
      <c r="K3864" t="str" cm="1">
        <f t="array" ref="K3864">_xlfn.IFS(ISBLANK(I3864),"FALTANTE",ABS((I3864-$W$8)/$X$8)&gt;1.92,"ATÍPICO",ABS((I3864-$W$8)/$X$8)&lt;=1.92,"NO ATÍPICO")</f>
        <v>NO ATÍPICO</v>
      </c>
      <c r="L3864">
        <f t="shared" si="257"/>
        <v>991228.7</v>
      </c>
      <c r="M3864" t="str">
        <f t="shared" si="257"/>
        <v>ASALARIADO</v>
      </c>
      <c r="N3864">
        <f t="shared" si="258"/>
        <v>44</v>
      </c>
      <c r="O3864" s="19" t="str">
        <f t="shared" si="259"/>
        <v>900k–1200k</v>
      </c>
      <c r="P3864" s="19" t="str">
        <f t="shared" si="260"/>
        <v>36-45</v>
      </c>
    </row>
    <row r="3865" spans="1:16" x14ac:dyDescent="0.25">
      <c r="A3865">
        <v>3864</v>
      </c>
      <c r="B3865" t="s">
        <v>9</v>
      </c>
      <c r="C3865">
        <v>278030</v>
      </c>
      <c r="D3865" t="s">
        <v>19</v>
      </c>
      <c r="E3865" t="s">
        <v>16</v>
      </c>
      <c r="F3865" t="s">
        <v>12</v>
      </c>
      <c r="G3865" t="s">
        <v>13</v>
      </c>
      <c r="H3865" t="s">
        <v>13</v>
      </c>
      <c r="I3865">
        <v>49</v>
      </c>
      <c r="J3865" t="str" cm="1">
        <f t="array" ref="J3865">_xlfn.IFS(ISBLANK(C3865),"FALTANTE",ABS((C3865-$W$5)/$X$5)&gt;1.96,"ATÍPICO",ABS((C3865-$W$5)/$X$5)&lt;=1.96,"NO ATÍPICO")</f>
        <v>NO ATÍPICO</v>
      </c>
      <c r="K3865" t="str" cm="1">
        <f t="array" ref="K3865">_xlfn.IFS(ISBLANK(I3865),"FALTANTE",ABS((I3865-$W$8)/$X$8)&gt;1.92,"ATÍPICO",ABS((I3865-$W$8)/$X$8)&lt;=1.92,"NO ATÍPICO")</f>
        <v>NO ATÍPICO</v>
      </c>
      <c r="L3865">
        <f t="shared" si="257"/>
        <v>278030</v>
      </c>
      <c r="M3865" t="str">
        <f t="shared" si="257"/>
        <v>CONVENIOS ESPECIALES DE TRABAJADORES INDEPENDIENTES</v>
      </c>
      <c r="N3865">
        <f t="shared" si="258"/>
        <v>49</v>
      </c>
      <c r="O3865" s="19" t="str">
        <f t="shared" si="259"/>
        <v>0–300k</v>
      </c>
      <c r="P3865" s="19" t="str">
        <f t="shared" si="260"/>
        <v>46-55</v>
      </c>
    </row>
    <row r="3866" spans="1:16" x14ac:dyDescent="0.25">
      <c r="A3866">
        <v>3865</v>
      </c>
      <c r="B3866" t="s">
        <v>15</v>
      </c>
      <c r="C3866">
        <v>306545</v>
      </c>
      <c r="D3866" t="s">
        <v>10</v>
      </c>
      <c r="E3866" t="s">
        <v>11</v>
      </c>
      <c r="F3866" t="s">
        <v>12</v>
      </c>
      <c r="G3866" t="s">
        <v>13</v>
      </c>
      <c r="H3866" t="s">
        <v>12</v>
      </c>
      <c r="I3866">
        <v>39</v>
      </c>
      <c r="J3866" t="str" cm="1">
        <f t="array" ref="J3866">_xlfn.IFS(ISBLANK(C3866),"FALTANTE",ABS((C3866-$W$5)/$X$5)&gt;1.96,"ATÍPICO",ABS((C3866-$W$5)/$X$5)&lt;=1.96,"NO ATÍPICO")</f>
        <v>NO ATÍPICO</v>
      </c>
      <c r="K3866" t="str" cm="1">
        <f t="array" ref="K3866">_xlfn.IFS(ISBLANK(I3866),"FALTANTE",ABS((I3866-$W$8)/$X$8)&gt;1.92,"ATÍPICO",ABS((I3866-$W$8)/$X$8)&lt;=1.92,"NO ATÍPICO")</f>
        <v>NO ATÍPICO</v>
      </c>
      <c r="L3866">
        <f t="shared" si="257"/>
        <v>306545</v>
      </c>
      <c r="M3866" t="str">
        <f t="shared" si="257"/>
        <v>ASALARIADO</v>
      </c>
      <c r="N3866">
        <f t="shared" si="258"/>
        <v>39</v>
      </c>
      <c r="O3866" s="19" t="str">
        <f t="shared" si="259"/>
        <v>300k–600k</v>
      </c>
      <c r="P3866" s="19" t="str">
        <f t="shared" si="260"/>
        <v>36-45</v>
      </c>
    </row>
    <row r="3867" spans="1:16" x14ac:dyDescent="0.25">
      <c r="A3867">
        <v>3866</v>
      </c>
      <c r="B3867" t="s">
        <v>9</v>
      </c>
      <c r="C3867">
        <v>639121.35</v>
      </c>
      <c r="D3867" t="s">
        <v>10</v>
      </c>
      <c r="E3867" t="s">
        <v>16</v>
      </c>
      <c r="F3867" t="s">
        <v>12</v>
      </c>
      <c r="G3867" t="s">
        <v>13</v>
      </c>
      <c r="H3867" t="s">
        <v>13</v>
      </c>
      <c r="I3867">
        <v>36</v>
      </c>
      <c r="J3867" t="str" cm="1">
        <f t="array" ref="J3867">_xlfn.IFS(ISBLANK(C3867),"FALTANTE",ABS((C3867-$W$5)/$X$5)&gt;1.96,"ATÍPICO",ABS((C3867-$W$5)/$X$5)&lt;=1.96,"NO ATÍPICO")</f>
        <v>NO ATÍPICO</v>
      </c>
      <c r="K3867" t="str" cm="1">
        <f t="array" ref="K3867">_xlfn.IFS(ISBLANK(I3867),"FALTANTE",ABS((I3867-$W$8)/$X$8)&gt;1.92,"ATÍPICO",ABS((I3867-$W$8)/$X$8)&lt;=1.92,"NO ATÍPICO")</f>
        <v>NO ATÍPICO</v>
      </c>
      <c r="L3867">
        <f t="shared" si="257"/>
        <v>639121.35</v>
      </c>
      <c r="M3867" t="str">
        <f t="shared" si="257"/>
        <v>ASALARIADO</v>
      </c>
      <c r="N3867">
        <f t="shared" si="258"/>
        <v>36</v>
      </c>
      <c r="O3867" s="19" t="str">
        <f t="shared" si="259"/>
        <v>600k–900k</v>
      </c>
      <c r="P3867" s="19" t="str">
        <f t="shared" si="260"/>
        <v>36-45</v>
      </c>
    </row>
    <row r="3868" spans="1:16" x14ac:dyDescent="0.25">
      <c r="A3868">
        <v>3867</v>
      </c>
      <c r="B3868" t="s">
        <v>9</v>
      </c>
      <c r="C3868">
        <v>422514.14</v>
      </c>
      <c r="D3868" t="s">
        <v>10</v>
      </c>
      <c r="E3868" t="s">
        <v>16</v>
      </c>
      <c r="F3868" t="s">
        <v>12</v>
      </c>
      <c r="G3868" t="s">
        <v>13</v>
      </c>
      <c r="H3868" t="s">
        <v>13</v>
      </c>
      <c r="I3868">
        <v>33</v>
      </c>
      <c r="J3868" t="str" cm="1">
        <f t="array" ref="J3868">_xlfn.IFS(ISBLANK(C3868),"FALTANTE",ABS((C3868-$W$5)/$X$5)&gt;1.96,"ATÍPICO",ABS((C3868-$W$5)/$X$5)&lt;=1.96,"NO ATÍPICO")</f>
        <v>NO ATÍPICO</v>
      </c>
      <c r="K3868" t="str" cm="1">
        <f t="array" ref="K3868">_xlfn.IFS(ISBLANK(I3868),"FALTANTE",ABS((I3868-$W$8)/$X$8)&gt;1.92,"ATÍPICO",ABS((I3868-$W$8)/$X$8)&lt;=1.92,"NO ATÍPICO")</f>
        <v>NO ATÍPICO</v>
      </c>
      <c r="L3868">
        <f t="shared" si="257"/>
        <v>422514.14</v>
      </c>
      <c r="M3868" t="str">
        <f t="shared" si="257"/>
        <v>ASALARIADO</v>
      </c>
      <c r="N3868">
        <f t="shared" si="258"/>
        <v>33</v>
      </c>
      <c r="O3868" s="19" t="str">
        <f t="shared" si="259"/>
        <v>300k–600k</v>
      </c>
      <c r="P3868" s="19" t="str">
        <f t="shared" si="260"/>
        <v>26-35</v>
      </c>
    </row>
    <row r="3869" spans="1:16" x14ac:dyDescent="0.25">
      <c r="A3869">
        <v>3868</v>
      </c>
      <c r="B3869" t="s">
        <v>9</v>
      </c>
      <c r="C3869">
        <v>639148</v>
      </c>
      <c r="D3869" t="s">
        <v>18</v>
      </c>
      <c r="E3869" t="s">
        <v>16</v>
      </c>
      <c r="F3869" t="s">
        <v>12</v>
      </c>
      <c r="G3869" t="s">
        <v>13</v>
      </c>
      <c r="H3869" t="s">
        <v>13</v>
      </c>
      <c r="I3869">
        <v>61</v>
      </c>
      <c r="J3869" t="str" cm="1">
        <f t="array" ref="J3869">_xlfn.IFS(ISBLANK(C3869),"FALTANTE",ABS((C3869-$W$5)/$X$5)&gt;1.96,"ATÍPICO",ABS((C3869-$W$5)/$X$5)&lt;=1.96,"NO ATÍPICO")</f>
        <v>NO ATÍPICO</v>
      </c>
      <c r="K3869" t="str" cm="1">
        <f t="array" ref="K3869">_xlfn.IFS(ISBLANK(I3869),"FALTANTE",ABS((I3869-$W$8)/$X$8)&gt;1.92,"ATÍPICO",ABS((I3869-$W$8)/$X$8)&lt;=1.92,"NO ATÍPICO")</f>
        <v>NO ATÍPICO</v>
      </c>
      <c r="L3869">
        <f t="shared" si="257"/>
        <v>639148</v>
      </c>
      <c r="M3869" t="str">
        <f t="shared" si="257"/>
        <v>TRABAJADOR INDEPENDIENTE</v>
      </c>
      <c r="N3869">
        <f t="shared" si="258"/>
        <v>61</v>
      </c>
      <c r="O3869" s="19" t="str">
        <f t="shared" si="259"/>
        <v>600k–900k</v>
      </c>
      <c r="P3869" s="19" t="str">
        <f t="shared" si="260"/>
        <v>56+</v>
      </c>
    </row>
    <row r="3870" spans="1:16" x14ac:dyDescent="0.25">
      <c r="A3870">
        <v>3869</v>
      </c>
      <c r="B3870" t="s">
        <v>15</v>
      </c>
      <c r="C3870">
        <v>438762.65</v>
      </c>
      <c r="D3870" t="s">
        <v>10</v>
      </c>
      <c r="E3870" t="s">
        <v>16</v>
      </c>
      <c r="F3870" t="s">
        <v>12</v>
      </c>
      <c r="G3870" t="s">
        <v>13</v>
      </c>
      <c r="H3870" t="s">
        <v>12</v>
      </c>
      <c r="I3870">
        <v>24</v>
      </c>
      <c r="J3870" t="str" cm="1">
        <f t="array" ref="J3870">_xlfn.IFS(ISBLANK(C3870),"FALTANTE",ABS((C3870-$W$5)/$X$5)&gt;1.96,"ATÍPICO",ABS((C3870-$W$5)/$X$5)&lt;=1.96,"NO ATÍPICO")</f>
        <v>NO ATÍPICO</v>
      </c>
      <c r="K3870" t="str" cm="1">
        <f t="array" ref="K3870">_xlfn.IFS(ISBLANK(I3870),"FALTANTE",ABS((I3870-$W$8)/$X$8)&gt;1.92,"ATÍPICO",ABS((I3870-$W$8)/$X$8)&lt;=1.92,"NO ATÍPICO")</f>
        <v>NO ATÍPICO</v>
      </c>
      <c r="L3870">
        <f t="shared" si="257"/>
        <v>438762.65</v>
      </c>
      <c r="M3870" t="str">
        <f t="shared" si="257"/>
        <v>ASALARIADO</v>
      </c>
      <c r="N3870">
        <f t="shared" si="258"/>
        <v>24</v>
      </c>
      <c r="O3870" s="19" t="str">
        <f t="shared" si="259"/>
        <v>300k–600k</v>
      </c>
      <c r="P3870" s="19" t="str">
        <f t="shared" si="260"/>
        <v>18-25</v>
      </c>
    </row>
    <row r="3871" spans="1:16" x14ac:dyDescent="0.25">
      <c r="A3871">
        <v>3870</v>
      </c>
      <c r="B3871" t="s">
        <v>9</v>
      </c>
      <c r="C3871">
        <v>940646.55</v>
      </c>
      <c r="D3871" t="s">
        <v>10</v>
      </c>
      <c r="E3871" t="s">
        <v>16</v>
      </c>
      <c r="F3871" t="s">
        <v>12</v>
      </c>
      <c r="G3871" t="s">
        <v>13</v>
      </c>
      <c r="H3871" t="s">
        <v>13</v>
      </c>
      <c r="I3871">
        <v>55</v>
      </c>
      <c r="J3871" t="str" cm="1">
        <f t="array" ref="J3871">_xlfn.IFS(ISBLANK(C3871),"FALTANTE",ABS((C3871-$W$5)/$X$5)&gt;1.96,"ATÍPICO",ABS((C3871-$W$5)/$X$5)&lt;=1.96,"NO ATÍPICO")</f>
        <v>NO ATÍPICO</v>
      </c>
      <c r="K3871" t="str" cm="1">
        <f t="array" ref="K3871">_xlfn.IFS(ISBLANK(I3871),"FALTANTE",ABS((I3871-$W$8)/$X$8)&gt;1.92,"ATÍPICO",ABS((I3871-$W$8)/$X$8)&lt;=1.92,"NO ATÍPICO")</f>
        <v>NO ATÍPICO</v>
      </c>
      <c r="L3871">
        <f t="shared" si="257"/>
        <v>940646.55</v>
      </c>
      <c r="M3871" t="str">
        <f t="shared" si="257"/>
        <v>ASALARIADO</v>
      </c>
      <c r="N3871">
        <f t="shared" si="258"/>
        <v>55</v>
      </c>
      <c r="O3871" s="19" t="str">
        <f t="shared" si="259"/>
        <v>900k–1200k</v>
      </c>
      <c r="P3871" s="19" t="str">
        <f t="shared" si="260"/>
        <v>46-55</v>
      </c>
    </row>
    <row r="3872" spans="1:16" x14ac:dyDescent="0.25">
      <c r="A3872">
        <v>3871</v>
      </c>
      <c r="B3872" t="s">
        <v>9</v>
      </c>
      <c r="C3872">
        <v>298248.25</v>
      </c>
      <c r="D3872" t="s">
        <v>10</v>
      </c>
      <c r="E3872" t="s">
        <v>16</v>
      </c>
      <c r="F3872" t="s">
        <v>12</v>
      </c>
      <c r="G3872" t="s">
        <v>13</v>
      </c>
      <c r="H3872" t="s">
        <v>13</v>
      </c>
      <c r="I3872">
        <v>26</v>
      </c>
      <c r="J3872" t="str" cm="1">
        <f t="array" ref="J3872">_xlfn.IFS(ISBLANK(C3872),"FALTANTE",ABS((C3872-$W$5)/$X$5)&gt;1.96,"ATÍPICO",ABS((C3872-$W$5)/$X$5)&lt;=1.96,"NO ATÍPICO")</f>
        <v>NO ATÍPICO</v>
      </c>
      <c r="K3872" t="str" cm="1">
        <f t="array" ref="K3872">_xlfn.IFS(ISBLANK(I3872),"FALTANTE",ABS((I3872-$W$8)/$X$8)&gt;1.92,"ATÍPICO",ABS((I3872-$W$8)/$X$8)&lt;=1.92,"NO ATÍPICO")</f>
        <v>NO ATÍPICO</v>
      </c>
      <c r="L3872">
        <f t="shared" si="257"/>
        <v>298248.25</v>
      </c>
      <c r="M3872" t="str">
        <f t="shared" si="257"/>
        <v>ASALARIADO</v>
      </c>
      <c r="N3872">
        <f t="shared" si="258"/>
        <v>26</v>
      </c>
      <c r="O3872" s="19" t="str">
        <f t="shared" si="259"/>
        <v>0–300k</v>
      </c>
      <c r="P3872" s="19" t="str">
        <f t="shared" si="260"/>
        <v>26-35</v>
      </c>
    </row>
    <row r="3873" spans="1:16" x14ac:dyDescent="0.25">
      <c r="A3873">
        <v>3872</v>
      </c>
      <c r="B3873" t="s">
        <v>9</v>
      </c>
      <c r="C3873">
        <v>450513.01</v>
      </c>
      <c r="D3873" t="s">
        <v>10</v>
      </c>
      <c r="E3873" t="s">
        <v>11</v>
      </c>
      <c r="F3873" t="s">
        <v>12</v>
      </c>
      <c r="G3873" t="s">
        <v>13</v>
      </c>
      <c r="H3873" t="s">
        <v>13</v>
      </c>
      <c r="I3873">
        <v>39</v>
      </c>
      <c r="J3873" t="str" cm="1">
        <f t="array" ref="J3873">_xlfn.IFS(ISBLANK(C3873),"FALTANTE",ABS((C3873-$W$5)/$X$5)&gt;1.96,"ATÍPICO",ABS((C3873-$W$5)/$X$5)&lt;=1.96,"NO ATÍPICO")</f>
        <v>NO ATÍPICO</v>
      </c>
      <c r="K3873" t="str" cm="1">
        <f t="array" ref="K3873">_xlfn.IFS(ISBLANK(I3873),"FALTANTE",ABS((I3873-$W$8)/$X$8)&gt;1.92,"ATÍPICO",ABS((I3873-$W$8)/$X$8)&lt;=1.92,"NO ATÍPICO")</f>
        <v>NO ATÍPICO</v>
      </c>
      <c r="L3873">
        <f t="shared" si="257"/>
        <v>450513.01</v>
      </c>
      <c r="M3873" t="str">
        <f t="shared" si="257"/>
        <v>ASALARIADO</v>
      </c>
      <c r="N3873">
        <f t="shared" si="258"/>
        <v>39</v>
      </c>
      <c r="O3873" s="19" t="str">
        <f t="shared" si="259"/>
        <v>300k–600k</v>
      </c>
      <c r="P3873" s="19" t="str">
        <f t="shared" si="260"/>
        <v>36-45</v>
      </c>
    </row>
    <row r="3874" spans="1:16" x14ac:dyDescent="0.25">
      <c r="A3874">
        <v>3873</v>
      </c>
      <c r="B3874" t="s">
        <v>9</v>
      </c>
      <c r="C3874">
        <v>1213949</v>
      </c>
      <c r="D3874" t="s">
        <v>10</v>
      </c>
      <c r="E3874" t="s">
        <v>11</v>
      </c>
      <c r="F3874" t="s">
        <v>12</v>
      </c>
      <c r="G3874" t="s">
        <v>13</v>
      </c>
      <c r="H3874" t="s">
        <v>13</v>
      </c>
      <c r="I3874">
        <v>41</v>
      </c>
      <c r="J3874" t="str" cm="1">
        <f t="array" ref="J3874">_xlfn.IFS(ISBLANK(C3874),"FALTANTE",ABS((C3874-$W$5)/$X$5)&gt;1.96,"ATÍPICO",ABS((C3874-$W$5)/$X$5)&lt;=1.96,"NO ATÍPICO")</f>
        <v>NO ATÍPICO</v>
      </c>
      <c r="K3874" t="str" cm="1">
        <f t="array" ref="K3874">_xlfn.IFS(ISBLANK(I3874),"FALTANTE",ABS((I3874-$W$8)/$X$8)&gt;1.92,"ATÍPICO",ABS((I3874-$W$8)/$X$8)&lt;=1.92,"NO ATÍPICO")</f>
        <v>NO ATÍPICO</v>
      </c>
      <c r="L3874">
        <f t="shared" si="257"/>
        <v>1213949</v>
      </c>
      <c r="M3874" t="str">
        <f t="shared" si="257"/>
        <v>ASALARIADO</v>
      </c>
      <c r="N3874">
        <f t="shared" si="258"/>
        <v>41</v>
      </c>
      <c r="O3874" s="19" t="str">
        <f t="shared" si="259"/>
        <v>1200k+</v>
      </c>
      <c r="P3874" s="19" t="str">
        <f t="shared" si="260"/>
        <v>36-45</v>
      </c>
    </row>
    <row r="3875" spans="1:16" x14ac:dyDescent="0.25">
      <c r="A3875">
        <v>3874</v>
      </c>
      <c r="B3875" t="s">
        <v>9</v>
      </c>
      <c r="C3875">
        <v>377729.94</v>
      </c>
      <c r="D3875" t="s">
        <v>10</v>
      </c>
      <c r="E3875" t="s">
        <v>16</v>
      </c>
      <c r="F3875" t="s">
        <v>12</v>
      </c>
      <c r="G3875" t="s">
        <v>13</v>
      </c>
      <c r="H3875" t="s">
        <v>13</v>
      </c>
      <c r="I3875">
        <v>36</v>
      </c>
      <c r="J3875" t="str" cm="1">
        <f t="array" ref="J3875">_xlfn.IFS(ISBLANK(C3875),"FALTANTE",ABS((C3875-$W$5)/$X$5)&gt;1.96,"ATÍPICO",ABS((C3875-$W$5)/$X$5)&lt;=1.96,"NO ATÍPICO")</f>
        <v>NO ATÍPICO</v>
      </c>
      <c r="K3875" t="str" cm="1">
        <f t="array" ref="K3875">_xlfn.IFS(ISBLANK(I3875),"FALTANTE",ABS((I3875-$W$8)/$X$8)&gt;1.92,"ATÍPICO",ABS((I3875-$W$8)/$X$8)&lt;=1.92,"NO ATÍPICO")</f>
        <v>NO ATÍPICO</v>
      </c>
      <c r="L3875">
        <f t="shared" si="257"/>
        <v>377729.94</v>
      </c>
      <c r="M3875" t="str">
        <f t="shared" si="257"/>
        <v>ASALARIADO</v>
      </c>
      <c r="N3875">
        <f t="shared" si="258"/>
        <v>36</v>
      </c>
      <c r="O3875" s="19" t="str">
        <f t="shared" si="259"/>
        <v>300k–600k</v>
      </c>
      <c r="P3875" s="19" t="str">
        <f t="shared" si="260"/>
        <v>36-45</v>
      </c>
    </row>
    <row r="3876" spans="1:16" x14ac:dyDescent="0.25">
      <c r="A3876">
        <v>3875</v>
      </c>
      <c r="B3876" t="s">
        <v>15</v>
      </c>
      <c r="C3876">
        <v>1605450</v>
      </c>
      <c r="D3876" t="s">
        <v>10</v>
      </c>
      <c r="E3876" t="s">
        <v>16</v>
      </c>
      <c r="F3876" t="s">
        <v>12</v>
      </c>
      <c r="G3876" t="s">
        <v>13</v>
      </c>
      <c r="H3876" t="s">
        <v>13</v>
      </c>
      <c r="I3876">
        <v>38</v>
      </c>
      <c r="J3876" t="str" cm="1">
        <f t="array" ref="J3876">_xlfn.IFS(ISBLANK(C3876),"FALTANTE",ABS((C3876-$W$5)/$X$5)&gt;1.96,"ATÍPICO",ABS((C3876-$W$5)/$X$5)&lt;=1.96,"NO ATÍPICO")</f>
        <v>NO ATÍPICO</v>
      </c>
      <c r="K3876" t="str" cm="1">
        <f t="array" ref="K3876">_xlfn.IFS(ISBLANK(I3876),"FALTANTE",ABS((I3876-$W$8)/$X$8)&gt;1.92,"ATÍPICO",ABS((I3876-$W$8)/$X$8)&lt;=1.92,"NO ATÍPICO")</f>
        <v>NO ATÍPICO</v>
      </c>
      <c r="L3876">
        <f t="shared" si="257"/>
        <v>1605450</v>
      </c>
      <c r="M3876" t="str">
        <f t="shared" si="257"/>
        <v>ASALARIADO</v>
      </c>
      <c r="N3876">
        <f t="shared" si="258"/>
        <v>38</v>
      </c>
      <c r="O3876" s="19" t="str">
        <f t="shared" si="259"/>
        <v>1200k+</v>
      </c>
      <c r="P3876" s="19" t="str">
        <f t="shared" si="260"/>
        <v>36-45</v>
      </c>
    </row>
    <row r="3877" spans="1:16" x14ac:dyDescent="0.25">
      <c r="A3877">
        <v>3876</v>
      </c>
      <c r="B3877" t="s">
        <v>9</v>
      </c>
      <c r="C3877">
        <v>297102</v>
      </c>
      <c r="D3877" t="s">
        <v>18</v>
      </c>
      <c r="E3877" t="s">
        <v>16</v>
      </c>
      <c r="F3877" t="s">
        <v>12</v>
      </c>
      <c r="G3877" t="s">
        <v>13</v>
      </c>
      <c r="H3877" t="s">
        <v>12</v>
      </c>
      <c r="I3877">
        <v>64</v>
      </c>
      <c r="J3877" t="str" cm="1">
        <f t="array" ref="J3877">_xlfn.IFS(ISBLANK(C3877),"FALTANTE",ABS((C3877-$W$5)/$X$5)&gt;1.96,"ATÍPICO",ABS((C3877-$W$5)/$X$5)&lt;=1.96,"NO ATÍPICO")</f>
        <v>NO ATÍPICO</v>
      </c>
      <c r="K3877" t="str" cm="1">
        <f t="array" ref="K3877">_xlfn.IFS(ISBLANK(I3877),"FALTANTE",ABS((I3877-$W$8)/$X$8)&gt;1.92,"ATÍPICO",ABS((I3877-$W$8)/$X$8)&lt;=1.92,"NO ATÍPICO")</f>
        <v>NO ATÍPICO</v>
      </c>
      <c r="L3877">
        <f t="shared" si="257"/>
        <v>297102</v>
      </c>
      <c r="M3877" t="str">
        <f t="shared" si="257"/>
        <v>TRABAJADOR INDEPENDIENTE</v>
      </c>
      <c r="N3877">
        <f t="shared" si="258"/>
        <v>64</v>
      </c>
      <c r="O3877" s="19" t="str">
        <f t="shared" si="259"/>
        <v>0–300k</v>
      </c>
      <c r="P3877" s="19" t="str">
        <f t="shared" si="260"/>
        <v>56+</v>
      </c>
    </row>
    <row r="3878" spans="1:16" x14ac:dyDescent="0.25">
      <c r="A3878">
        <v>3877</v>
      </c>
      <c r="B3878" t="s">
        <v>9</v>
      </c>
      <c r="C3878">
        <v>391637.5</v>
      </c>
      <c r="D3878" t="s">
        <v>10</v>
      </c>
      <c r="E3878" t="s">
        <v>16</v>
      </c>
      <c r="F3878" t="s">
        <v>12</v>
      </c>
      <c r="G3878" t="s">
        <v>13</v>
      </c>
      <c r="H3878" t="s">
        <v>13</v>
      </c>
      <c r="I3878">
        <v>49</v>
      </c>
      <c r="J3878" t="str" cm="1">
        <f t="array" ref="J3878">_xlfn.IFS(ISBLANK(C3878),"FALTANTE",ABS((C3878-$W$5)/$X$5)&gt;1.96,"ATÍPICO",ABS((C3878-$W$5)/$X$5)&lt;=1.96,"NO ATÍPICO")</f>
        <v>NO ATÍPICO</v>
      </c>
      <c r="K3878" t="str" cm="1">
        <f t="array" ref="K3878">_xlfn.IFS(ISBLANK(I3878),"FALTANTE",ABS((I3878-$W$8)/$X$8)&gt;1.92,"ATÍPICO",ABS((I3878-$W$8)/$X$8)&lt;=1.92,"NO ATÍPICO")</f>
        <v>NO ATÍPICO</v>
      </c>
      <c r="L3878">
        <f t="shared" si="257"/>
        <v>391637.5</v>
      </c>
      <c r="M3878" t="str">
        <f t="shared" si="257"/>
        <v>ASALARIADO</v>
      </c>
      <c r="N3878">
        <f t="shared" si="258"/>
        <v>49</v>
      </c>
      <c r="O3878" s="19" t="str">
        <f t="shared" si="259"/>
        <v>300k–600k</v>
      </c>
      <c r="P3878" s="19" t="str">
        <f t="shared" si="260"/>
        <v>46-55</v>
      </c>
    </row>
    <row r="3879" spans="1:16" x14ac:dyDescent="0.25">
      <c r="A3879">
        <v>3878</v>
      </c>
      <c r="B3879" t="s">
        <v>9</v>
      </c>
      <c r="C3879">
        <v>317719</v>
      </c>
      <c r="D3879" t="s">
        <v>17</v>
      </c>
      <c r="E3879" t="s">
        <v>16</v>
      </c>
      <c r="F3879" t="s">
        <v>12</v>
      </c>
      <c r="G3879" t="s">
        <v>12</v>
      </c>
      <c r="H3879" t="s">
        <v>13</v>
      </c>
      <c r="I3879">
        <v>34</v>
      </c>
      <c r="J3879" t="str" cm="1">
        <f t="array" ref="J3879">_xlfn.IFS(ISBLANK(C3879),"FALTANTE",ABS((C3879-$W$5)/$X$5)&gt;1.96,"ATÍPICO",ABS((C3879-$W$5)/$X$5)&lt;=1.96,"NO ATÍPICO")</f>
        <v>NO ATÍPICO</v>
      </c>
      <c r="K3879" t="str" cm="1">
        <f t="array" ref="K3879">_xlfn.IFS(ISBLANK(I3879),"FALTANTE",ABS((I3879-$W$8)/$X$8)&gt;1.92,"ATÍPICO",ABS((I3879-$W$8)/$X$8)&lt;=1.92,"NO ATÍPICO")</f>
        <v>NO ATÍPICO</v>
      </c>
      <c r="L3879">
        <f t="shared" si="257"/>
        <v>317719</v>
      </c>
      <c r="M3879" t="str">
        <f t="shared" si="257"/>
        <v>ASEGURADO VOLUNTARIO</v>
      </c>
      <c r="N3879">
        <f t="shared" si="258"/>
        <v>34</v>
      </c>
      <c r="O3879" s="19" t="str">
        <f t="shared" si="259"/>
        <v>300k–600k</v>
      </c>
      <c r="P3879" s="19" t="str">
        <f t="shared" si="260"/>
        <v>26-35</v>
      </c>
    </row>
    <row r="3880" spans="1:16" x14ac:dyDescent="0.25">
      <c r="A3880">
        <v>3879</v>
      </c>
      <c r="B3880" t="s">
        <v>15</v>
      </c>
      <c r="C3880">
        <v>1161829.5</v>
      </c>
      <c r="D3880" t="s">
        <v>10</v>
      </c>
      <c r="E3880" t="s">
        <v>11</v>
      </c>
      <c r="F3880" t="s">
        <v>12</v>
      </c>
      <c r="G3880" t="s">
        <v>13</v>
      </c>
      <c r="H3880" t="s">
        <v>13</v>
      </c>
      <c r="I3880">
        <v>32</v>
      </c>
      <c r="J3880" t="str" cm="1">
        <f t="array" ref="J3880">_xlfn.IFS(ISBLANK(C3880),"FALTANTE",ABS((C3880-$W$5)/$X$5)&gt;1.96,"ATÍPICO",ABS((C3880-$W$5)/$X$5)&lt;=1.96,"NO ATÍPICO")</f>
        <v>NO ATÍPICO</v>
      </c>
      <c r="K3880" t="str" cm="1">
        <f t="array" ref="K3880">_xlfn.IFS(ISBLANK(I3880),"FALTANTE",ABS((I3880-$W$8)/$X$8)&gt;1.92,"ATÍPICO",ABS((I3880-$W$8)/$X$8)&lt;=1.92,"NO ATÍPICO")</f>
        <v>NO ATÍPICO</v>
      </c>
      <c r="L3880">
        <f t="shared" si="257"/>
        <v>1161829.5</v>
      </c>
      <c r="M3880" t="str">
        <f t="shared" si="257"/>
        <v>ASALARIADO</v>
      </c>
      <c r="N3880">
        <f t="shared" si="258"/>
        <v>32</v>
      </c>
      <c r="O3880" s="19" t="str">
        <f t="shared" si="259"/>
        <v>900k–1200k</v>
      </c>
      <c r="P3880" s="19" t="str">
        <f t="shared" si="260"/>
        <v>26-35</v>
      </c>
    </row>
    <row r="3881" spans="1:16" x14ac:dyDescent="0.25">
      <c r="A3881">
        <v>3880</v>
      </c>
      <c r="B3881" t="s">
        <v>15</v>
      </c>
      <c r="C3881">
        <v>297050</v>
      </c>
      <c r="D3881" t="s">
        <v>17</v>
      </c>
      <c r="E3881" t="s">
        <v>16</v>
      </c>
      <c r="F3881" t="s">
        <v>12</v>
      </c>
      <c r="G3881" t="s">
        <v>13</v>
      </c>
      <c r="H3881" t="s">
        <v>13</v>
      </c>
      <c r="I3881">
        <v>55</v>
      </c>
      <c r="J3881" t="str" cm="1">
        <f t="array" ref="J3881">_xlfn.IFS(ISBLANK(C3881),"FALTANTE",ABS((C3881-$W$5)/$X$5)&gt;1.96,"ATÍPICO",ABS((C3881-$W$5)/$X$5)&lt;=1.96,"NO ATÍPICO")</f>
        <v>NO ATÍPICO</v>
      </c>
      <c r="K3881" t="str" cm="1">
        <f t="array" ref="K3881">_xlfn.IFS(ISBLANK(I3881),"FALTANTE",ABS((I3881-$W$8)/$X$8)&gt;1.92,"ATÍPICO",ABS((I3881-$W$8)/$X$8)&lt;=1.92,"NO ATÍPICO")</f>
        <v>NO ATÍPICO</v>
      </c>
      <c r="L3881">
        <f t="shared" si="257"/>
        <v>297050</v>
      </c>
      <c r="M3881" t="str">
        <f t="shared" si="257"/>
        <v>ASEGURADO VOLUNTARIO</v>
      </c>
      <c r="N3881">
        <f t="shared" si="258"/>
        <v>55</v>
      </c>
      <c r="O3881" s="19" t="str">
        <f t="shared" si="259"/>
        <v>0–300k</v>
      </c>
      <c r="P3881" s="19" t="str">
        <f t="shared" si="260"/>
        <v>46-55</v>
      </c>
    </row>
    <row r="3882" spans="1:16" x14ac:dyDescent="0.25">
      <c r="A3882">
        <v>3881</v>
      </c>
      <c r="B3882" t="s">
        <v>9</v>
      </c>
      <c r="C3882">
        <v>1117420.3</v>
      </c>
      <c r="D3882" t="s">
        <v>10</v>
      </c>
      <c r="E3882" t="s">
        <v>16</v>
      </c>
      <c r="F3882" t="s">
        <v>12</v>
      </c>
      <c r="G3882" t="s">
        <v>13</v>
      </c>
      <c r="H3882" t="s">
        <v>13</v>
      </c>
      <c r="I3882">
        <v>52</v>
      </c>
      <c r="J3882" t="str" cm="1">
        <f t="array" ref="J3882">_xlfn.IFS(ISBLANK(C3882),"FALTANTE",ABS((C3882-$W$5)/$X$5)&gt;1.96,"ATÍPICO",ABS((C3882-$W$5)/$X$5)&lt;=1.96,"NO ATÍPICO")</f>
        <v>NO ATÍPICO</v>
      </c>
      <c r="K3882" t="str" cm="1">
        <f t="array" ref="K3882">_xlfn.IFS(ISBLANK(I3882),"FALTANTE",ABS((I3882-$W$8)/$X$8)&gt;1.92,"ATÍPICO",ABS((I3882-$W$8)/$X$8)&lt;=1.92,"NO ATÍPICO")</f>
        <v>NO ATÍPICO</v>
      </c>
      <c r="L3882">
        <f t="shared" si="257"/>
        <v>1117420.3</v>
      </c>
      <c r="M3882" t="str">
        <f t="shared" si="257"/>
        <v>ASALARIADO</v>
      </c>
      <c r="N3882">
        <f t="shared" si="258"/>
        <v>52</v>
      </c>
      <c r="O3882" s="19" t="str">
        <f t="shared" si="259"/>
        <v>900k–1200k</v>
      </c>
      <c r="P3882" s="19" t="str">
        <f t="shared" si="260"/>
        <v>46-55</v>
      </c>
    </row>
    <row r="3883" spans="1:16" x14ac:dyDescent="0.25">
      <c r="A3883">
        <v>3882</v>
      </c>
      <c r="B3883" t="s">
        <v>9</v>
      </c>
      <c r="C3883">
        <v>472721.91999999998</v>
      </c>
      <c r="D3883" t="s">
        <v>10</v>
      </c>
      <c r="E3883" t="s">
        <v>16</v>
      </c>
      <c r="F3883" t="s">
        <v>12</v>
      </c>
      <c r="G3883" t="s">
        <v>13</v>
      </c>
      <c r="H3883" t="s">
        <v>13</v>
      </c>
      <c r="I3883">
        <v>60</v>
      </c>
      <c r="J3883" t="str" cm="1">
        <f t="array" ref="J3883">_xlfn.IFS(ISBLANK(C3883),"FALTANTE",ABS((C3883-$W$5)/$X$5)&gt;1.96,"ATÍPICO",ABS((C3883-$W$5)/$X$5)&lt;=1.96,"NO ATÍPICO")</f>
        <v>NO ATÍPICO</v>
      </c>
      <c r="K3883" t="str" cm="1">
        <f t="array" ref="K3883">_xlfn.IFS(ISBLANK(I3883),"FALTANTE",ABS((I3883-$W$8)/$X$8)&gt;1.92,"ATÍPICO",ABS((I3883-$W$8)/$X$8)&lt;=1.92,"NO ATÍPICO")</f>
        <v>NO ATÍPICO</v>
      </c>
      <c r="L3883">
        <f t="shared" si="257"/>
        <v>472721.91999999998</v>
      </c>
      <c r="M3883" t="str">
        <f t="shared" si="257"/>
        <v>ASALARIADO</v>
      </c>
      <c r="N3883">
        <f t="shared" si="258"/>
        <v>60</v>
      </c>
      <c r="O3883" s="19" t="str">
        <f t="shared" si="259"/>
        <v>300k–600k</v>
      </c>
      <c r="P3883" s="19" t="str">
        <f t="shared" si="260"/>
        <v>56+</v>
      </c>
    </row>
    <row r="3884" spans="1:16" x14ac:dyDescent="0.25">
      <c r="A3884">
        <v>3883</v>
      </c>
      <c r="B3884" t="s">
        <v>15</v>
      </c>
      <c r="C3884">
        <v>300018</v>
      </c>
      <c r="D3884" t="s">
        <v>17</v>
      </c>
      <c r="E3884" t="s">
        <v>16</v>
      </c>
      <c r="F3884" t="s">
        <v>12</v>
      </c>
      <c r="G3884" t="s">
        <v>13</v>
      </c>
      <c r="H3884" t="s">
        <v>13</v>
      </c>
      <c r="I3884">
        <v>55</v>
      </c>
      <c r="J3884" t="str" cm="1">
        <f t="array" ref="J3884">_xlfn.IFS(ISBLANK(C3884),"FALTANTE",ABS((C3884-$W$5)/$X$5)&gt;1.96,"ATÍPICO",ABS((C3884-$W$5)/$X$5)&lt;=1.96,"NO ATÍPICO")</f>
        <v>NO ATÍPICO</v>
      </c>
      <c r="K3884" t="str" cm="1">
        <f t="array" ref="K3884">_xlfn.IFS(ISBLANK(I3884),"FALTANTE",ABS((I3884-$W$8)/$X$8)&gt;1.92,"ATÍPICO",ABS((I3884-$W$8)/$X$8)&lt;=1.92,"NO ATÍPICO")</f>
        <v>NO ATÍPICO</v>
      </c>
      <c r="L3884">
        <f t="shared" si="257"/>
        <v>300018</v>
      </c>
      <c r="M3884" t="str">
        <f t="shared" si="257"/>
        <v>ASEGURADO VOLUNTARIO</v>
      </c>
      <c r="N3884">
        <f t="shared" si="258"/>
        <v>55</v>
      </c>
      <c r="O3884" s="19" t="str">
        <f t="shared" si="259"/>
        <v>300k–600k</v>
      </c>
      <c r="P3884" s="19" t="str">
        <f t="shared" si="260"/>
        <v>46-55</v>
      </c>
    </row>
    <row r="3885" spans="1:16" x14ac:dyDescent="0.25">
      <c r="A3885">
        <v>3884</v>
      </c>
      <c r="B3885" t="s">
        <v>9</v>
      </c>
      <c r="C3885">
        <v>235200</v>
      </c>
      <c r="D3885" t="s">
        <v>10</v>
      </c>
      <c r="E3885" t="s">
        <v>16</v>
      </c>
      <c r="F3885" t="s">
        <v>12</v>
      </c>
      <c r="G3885" t="s">
        <v>13</v>
      </c>
      <c r="H3885" t="s">
        <v>12</v>
      </c>
      <c r="I3885">
        <v>24</v>
      </c>
      <c r="J3885" t="str" cm="1">
        <f t="array" ref="J3885">_xlfn.IFS(ISBLANK(C3885),"FALTANTE",ABS((C3885-$W$5)/$X$5)&gt;1.96,"ATÍPICO",ABS((C3885-$W$5)/$X$5)&lt;=1.96,"NO ATÍPICO")</f>
        <v>NO ATÍPICO</v>
      </c>
      <c r="K3885" t="str" cm="1">
        <f t="array" ref="K3885">_xlfn.IFS(ISBLANK(I3885),"FALTANTE",ABS((I3885-$W$8)/$X$8)&gt;1.92,"ATÍPICO",ABS((I3885-$W$8)/$X$8)&lt;=1.92,"NO ATÍPICO")</f>
        <v>NO ATÍPICO</v>
      </c>
      <c r="L3885">
        <f t="shared" si="257"/>
        <v>235200</v>
      </c>
      <c r="M3885" t="str">
        <f t="shared" si="257"/>
        <v>ASALARIADO</v>
      </c>
      <c r="N3885">
        <f t="shared" si="258"/>
        <v>24</v>
      </c>
      <c r="O3885" s="19" t="str">
        <f t="shared" si="259"/>
        <v>0–300k</v>
      </c>
      <c r="P3885" s="19" t="str">
        <f t="shared" si="260"/>
        <v>18-25</v>
      </c>
    </row>
    <row r="3886" spans="1:16" x14ac:dyDescent="0.25">
      <c r="A3886">
        <v>3885</v>
      </c>
      <c r="B3886" t="s">
        <v>15</v>
      </c>
      <c r="C3886">
        <v>180000</v>
      </c>
      <c r="D3886" t="s">
        <v>10</v>
      </c>
      <c r="E3886" t="s">
        <v>16</v>
      </c>
      <c r="F3886" t="s">
        <v>12</v>
      </c>
      <c r="G3886" t="s">
        <v>12</v>
      </c>
      <c r="H3886" t="s">
        <v>13</v>
      </c>
      <c r="I3886">
        <v>30</v>
      </c>
      <c r="J3886" t="str" cm="1">
        <f t="array" ref="J3886">_xlfn.IFS(ISBLANK(C3886),"FALTANTE",ABS((C3886-$W$5)/$X$5)&gt;1.96,"ATÍPICO",ABS((C3886-$W$5)/$X$5)&lt;=1.96,"NO ATÍPICO")</f>
        <v>NO ATÍPICO</v>
      </c>
      <c r="K3886" t="str" cm="1">
        <f t="array" ref="K3886">_xlfn.IFS(ISBLANK(I3886),"FALTANTE",ABS((I3886-$W$8)/$X$8)&gt;1.92,"ATÍPICO",ABS((I3886-$W$8)/$X$8)&lt;=1.92,"NO ATÍPICO")</f>
        <v>NO ATÍPICO</v>
      </c>
      <c r="L3886">
        <f t="shared" si="257"/>
        <v>180000</v>
      </c>
      <c r="M3886" t="str">
        <f t="shared" si="257"/>
        <v>ASALARIADO</v>
      </c>
      <c r="N3886">
        <f t="shared" si="258"/>
        <v>30</v>
      </c>
      <c r="O3886" s="19" t="str">
        <f t="shared" si="259"/>
        <v>0–300k</v>
      </c>
      <c r="P3886" s="19" t="str">
        <f t="shared" si="260"/>
        <v>26-35</v>
      </c>
    </row>
    <row r="3887" spans="1:16" x14ac:dyDescent="0.25">
      <c r="A3887">
        <v>3886</v>
      </c>
      <c r="B3887" t="s">
        <v>9</v>
      </c>
      <c r="C3887">
        <v>639148</v>
      </c>
      <c r="D3887" t="s">
        <v>18</v>
      </c>
      <c r="E3887" t="s">
        <v>16</v>
      </c>
      <c r="F3887" t="s">
        <v>12</v>
      </c>
      <c r="G3887" t="s">
        <v>13</v>
      </c>
      <c r="H3887" t="s">
        <v>13</v>
      </c>
      <c r="I3887">
        <v>58</v>
      </c>
      <c r="J3887" t="str" cm="1">
        <f t="array" ref="J3887">_xlfn.IFS(ISBLANK(C3887),"FALTANTE",ABS((C3887-$W$5)/$X$5)&gt;1.96,"ATÍPICO",ABS((C3887-$W$5)/$X$5)&lt;=1.96,"NO ATÍPICO")</f>
        <v>NO ATÍPICO</v>
      </c>
      <c r="K3887" t="str" cm="1">
        <f t="array" ref="K3887">_xlfn.IFS(ISBLANK(I3887),"FALTANTE",ABS((I3887-$W$8)/$X$8)&gt;1.92,"ATÍPICO",ABS((I3887-$W$8)/$X$8)&lt;=1.92,"NO ATÍPICO")</f>
        <v>NO ATÍPICO</v>
      </c>
      <c r="L3887">
        <f t="shared" si="257"/>
        <v>639148</v>
      </c>
      <c r="M3887" t="str">
        <f t="shared" si="257"/>
        <v>TRABAJADOR INDEPENDIENTE</v>
      </c>
      <c r="N3887">
        <f t="shared" si="258"/>
        <v>58</v>
      </c>
      <c r="O3887" s="19" t="str">
        <f t="shared" si="259"/>
        <v>600k–900k</v>
      </c>
      <c r="P3887" s="19" t="str">
        <f t="shared" si="260"/>
        <v>56+</v>
      </c>
    </row>
    <row r="3888" spans="1:16" x14ac:dyDescent="0.25">
      <c r="A3888">
        <v>3887</v>
      </c>
      <c r="B3888" t="s">
        <v>15</v>
      </c>
      <c r="C3888">
        <v>1461535</v>
      </c>
      <c r="D3888" t="s">
        <v>14</v>
      </c>
      <c r="E3888" t="s">
        <v>11</v>
      </c>
      <c r="F3888" t="s">
        <v>12</v>
      </c>
      <c r="G3888" t="s">
        <v>13</v>
      </c>
      <c r="H3888" t="s">
        <v>13</v>
      </c>
      <c r="I3888">
        <v>55</v>
      </c>
      <c r="J3888" t="str" cm="1">
        <f t="array" ref="J3888">_xlfn.IFS(ISBLANK(C3888),"FALTANTE",ABS((C3888-$W$5)/$X$5)&gt;1.96,"ATÍPICO",ABS((C3888-$W$5)/$X$5)&lt;=1.96,"NO ATÍPICO")</f>
        <v>NO ATÍPICO</v>
      </c>
      <c r="K3888" t="str" cm="1">
        <f t="array" ref="K3888">_xlfn.IFS(ISBLANK(I3888),"FALTANTE",ABS((I3888-$W$8)/$X$8)&gt;1.92,"ATÍPICO",ABS((I3888-$W$8)/$X$8)&lt;=1.92,"NO ATÍPICO")</f>
        <v>NO ATÍPICO</v>
      </c>
      <c r="L3888">
        <f t="shared" si="257"/>
        <v>1461535</v>
      </c>
      <c r="M3888" t="str">
        <f t="shared" si="257"/>
        <v>PENSIONADOS EN SU PROPIO SISTEMA</v>
      </c>
      <c r="N3888">
        <f t="shared" si="258"/>
        <v>55</v>
      </c>
      <c r="O3888" s="19" t="str">
        <f t="shared" si="259"/>
        <v>1200k+</v>
      </c>
      <c r="P3888" s="19" t="str">
        <f t="shared" si="260"/>
        <v>46-55</v>
      </c>
    </row>
    <row r="3889" spans="1:16" x14ac:dyDescent="0.25">
      <c r="A3889">
        <v>3888</v>
      </c>
      <c r="B3889" t="s">
        <v>15</v>
      </c>
      <c r="C3889">
        <v>297046</v>
      </c>
      <c r="D3889" t="s">
        <v>17</v>
      </c>
      <c r="E3889" t="s">
        <v>16</v>
      </c>
      <c r="F3889" t="s">
        <v>12</v>
      </c>
      <c r="G3889" t="s">
        <v>13</v>
      </c>
      <c r="H3889" t="s">
        <v>13</v>
      </c>
      <c r="I3889">
        <v>60</v>
      </c>
      <c r="J3889" t="str" cm="1">
        <f t="array" ref="J3889">_xlfn.IFS(ISBLANK(C3889),"FALTANTE",ABS((C3889-$W$5)/$X$5)&gt;1.96,"ATÍPICO",ABS((C3889-$W$5)/$X$5)&lt;=1.96,"NO ATÍPICO")</f>
        <v>NO ATÍPICO</v>
      </c>
      <c r="K3889" t="str" cm="1">
        <f t="array" ref="K3889">_xlfn.IFS(ISBLANK(I3889),"FALTANTE",ABS((I3889-$W$8)/$X$8)&gt;1.92,"ATÍPICO",ABS((I3889-$W$8)/$X$8)&lt;=1.92,"NO ATÍPICO")</f>
        <v>NO ATÍPICO</v>
      </c>
      <c r="L3889">
        <f t="shared" si="257"/>
        <v>297046</v>
      </c>
      <c r="M3889" t="str">
        <f t="shared" si="257"/>
        <v>ASEGURADO VOLUNTARIO</v>
      </c>
      <c r="N3889">
        <f t="shared" si="258"/>
        <v>60</v>
      </c>
      <c r="O3889" s="19" t="str">
        <f t="shared" si="259"/>
        <v>0–300k</v>
      </c>
      <c r="P3889" s="19" t="str">
        <f t="shared" si="260"/>
        <v>56+</v>
      </c>
    </row>
    <row r="3890" spans="1:16" x14ac:dyDescent="0.25">
      <c r="A3890">
        <v>3889</v>
      </c>
      <c r="B3890" t="s">
        <v>9</v>
      </c>
      <c r="C3890">
        <v>208067.25</v>
      </c>
      <c r="D3890" t="s">
        <v>10</v>
      </c>
      <c r="E3890" t="s">
        <v>11</v>
      </c>
      <c r="F3890" t="s">
        <v>12</v>
      </c>
      <c r="G3890" t="s">
        <v>13</v>
      </c>
      <c r="H3890" t="s">
        <v>13</v>
      </c>
      <c r="I3890">
        <v>46</v>
      </c>
      <c r="J3890" t="str" cm="1">
        <f t="array" ref="J3890">_xlfn.IFS(ISBLANK(C3890),"FALTANTE",ABS((C3890-$W$5)/$X$5)&gt;1.96,"ATÍPICO",ABS((C3890-$W$5)/$X$5)&lt;=1.96,"NO ATÍPICO")</f>
        <v>NO ATÍPICO</v>
      </c>
      <c r="K3890" t="str" cm="1">
        <f t="array" ref="K3890">_xlfn.IFS(ISBLANK(I3890),"FALTANTE",ABS((I3890-$W$8)/$X$8)&gt;1.92,"ATÍPICO",ABS((I3890-$W$8)/$X$8)&lt;=1.92,"NO ATÍPICO")</f>
        <v>NO ATÍPICO</v>
      </c>
      <c r="L3890">
        <f t="shared" si="257"/>
        <v>208067.25</v>
      </c>
      <c r="M3890" t="str">
        <f t="shared" si="257"/>
        <v>ASALARIADO</v>
      </c>
      <c r="N3890">
        <f t="shared" si="258"/>
        <v>46</v>
      </c>
      <c r="O3890" s="19" t="str">
        <f t="shared" si="259"/>
        <v>0–300k</v>
      </c>
      <c r="P3890" s="19" t="str">
        <f t="shared" si="260"/>
        <v>46-55</v>
      </c>
    </row>
    <row r="3891" spans="1:16" x14ac:dyDescent="0.25">
      <c r="A3891">
        <v>3890</v>
      </c>
      <c r="B3891" t="s">
        <v>15</v>
      </c>
      <c r="C3891">
        <v>260000</v>
      </c>
      <c r="D3891" t="s">
        <v>10</v>
      </c>
      <c r="E3891" t="s">
        <v>16</v>
      </c>
      <c r="F3891" t="s">
        <v>12</v>
      </c>
      <c r="G3891" t="s">
        <v>13</v>
      </c>
      <c r="H3891" t="s">
        <v>13</v>
      </c>
      <c r="I3891">
        <v>29</v>
      </c>
      <c r="J3891" t="str" cm="1">
        <f t="array" ref="J3891">_xlfn.IFS(ISBLANK(C3891),"FALTANTE",ABS((C3891-$W$5)/$X$5)&gt;1.96,"ATÍPICO",ABS((C3891-$W$5)/$X$5)&lt;=1.96,"NO ATÍPICO")</f>
        <v>NO ATÍPICO</v>
      </c>
      <c r="K3891" t="str" cm="1">
        <f t="array" ref="K3891">_xlfn.IFS(ISBLANK(I3891),"FALTANTE",ABS((I3891-$W$8)/$X$8)&gt;1.92,"ATÍPICO",ABS((I3891-$W$8)/$X$8)&lt;=1.92,"NO ATÍPICO")</f>
        <v>NO ATÍPICO</v>
      </c>
      <c r="L3891">
        <f t="shared" si="257"/>
        <v>260000</v>
      </c>
      <c r="M3891" t="str">
        <f t="shared" si="257"/>
        <v>ASALARIADO</v>
      </c>
      <c r="N3891">
        <f t="shared" si="258"/>
        <v>29</v>
      </c>
      <c r="O3891" s="19" t="str">
        <f t="shared" si="259"/>
        <v>0–300k</v>
      </c>
      <c r="P3891" s="19" t="str">
        <f t="shared" si="260"/>
        <v>26-35</v>
      </c>
    </row>
    <row r="3892" spans="1:16" x14ac:dyDescent="0.25">
      <c r="A3892">
        <v>3891</v>
      </c>
      <c r="B3892" t="s">
        <v>9</v>
      </c>
      <c r="C3892">
        <v>274969.43</v>
      </c>
      <c r="D3892" t="s">
        <v>10</v>
      </c>
      <c r="E3892" t="s">
        <v>16</v>
      </c>
      <c r="F3892" t="s">
        <v>12</v>
      </c>
      <c r="G3892" t="s">
        <v>13</v>
      </c>
      <c r="H3892" t="s">
        <v>13</v>
      </c>
      <c r="I3892">
        <v>31</v>
      </c>
      <c r="J3892" t="str" cm="1">
        <f t="array" ref="J3892">_xlfn.IFS(ISBLANK(C3892),"FALTANTE",ABS((C3892-$W$5)/$X$5)&gt;1.96,"ATÍPICO",ABS((C3892-$W$5)/$X$5)&lt;=1.96,"NO ATÍPICO")</f>
        <v>NO ATÍPICO</v>
      </c>
      <c r="K3892" t="str" cm="1">
        <f t="array" ref="K3892">_xlfn.IFS(ISBLANK(I3892),"FALTANTE",ABS((I3892-$W$8)/$X$8)&gt;1.92,"ATÍPICO",ABS((I3892-$W$8)/$X$8)&lt;=1.92,"NO ATÍPICO")</f>
        <v>NO ATÍPICO</v>
      </c>
      <c r="L3892">
        <f t="shared" si="257"/>
        <v>274969.43</v>
      </c>
      <c r="M3892" t="str">
        <f t="shared" si="257"/>
        <v>ASALARIADO</v>
      </c>
      <c r="N3892">
        <f t="shared" si="258"/>
        <v>31</v>
      </c>
      <c r="O3892" s="19" t="str">
        <f t="shared" si="259"/>
        <v>0–300k</v>
      </c>
      <c r="P3892" s="19" t="str">
        <f t="shared" si="260"/>
        <v>26-35</v>
      </c>
    </row>
    <row r="3893" spans="1:16" x14ac:dyDescent="0.25">
      <c r="A3893">
        <v>3892</v>
      </c>
      <c r="B3893" t="s">
        <v>9</v>
      </c>
      <c r="C3893">
        <v>1392687.83</v>
      </c>
      <c r="D3893" t="s">
        <v>10</v>
      </c>
      <c r="E3893" t="s">
        <v>16</v>
      </c>
      <c r="F3893" t="s">
        <v>12</v>
      </c>
      <c r="G3893" t="s">
        <v>13</v>
      </c>
      <c r="H3893" t="s">
        <v>13</v>
      </c>
      <c r="I3893">
        <v>55</v>
      </c>
      <c r="J3893" t="str" cm="1">
        <f t="array" ref="J3893">_xlfn.IFS(ISBLANK(C3893),"FALTANTE",ABS((C3893-$W$5)/$X$5)&gt;1.96,"ATÍPICO",ABS((C3893-$W$5)/$X$5)&lt;=1.96,"NO ATÍPICO")</f>
        <v>NO ATÍPICO</v>
      </c>
      <c r="K3893" t="str" cm="1">
        <f t="array" ref="K3893">_xlfn.IFS(ISBLANK(I3893),"FALTANTE",ABS((I3893-$W$8)/$X$8)&gt;1.92,"ATÍPICO",ABS((I3893-$W$8)/$X$8)&lt;=1.92,"NO ATÍPICO")</f>
        <v>NO ATÍPICO</v>
      </c>
      <c r="L3893">
        <f t="shared" si="257"/>
        <v>1392687.83</v>
      </c>
      <c r="M3893" t="str">
        <f t="shared" si="257"/>
        <v>ASALARIADO</v>
      </c>
      <c r="N3893">
        <f t="shared" si="258"/>
        <v>55</v>
      </c>
      <c r="O3893" s="19" t="str">
        <f t="shared" si="259"/>
        <v>1200k+</v>
      </c>
      <c r="P3893" s="19" t="str">
        <f t="shared" si="260"/>
        <v>46-55</v>
      </c>
    </row>
    <row r="3894" spans="1:16" x14ac:dyDescent="0.25">
      <c r="A3894">
        <v>3893</v>
      </c>
      <c r="B3894" t="s">
        <v>9</v>
      </c>
      <c r="C3894">
        <v>546354</v>
      </c>
      <c r="D3894" t="s">
        <v>18</v>
      </c>
      <c r="E3894" t="s">
        <v>16</v>
      </c>
      <c r="F3894" t="s">
        <v>12</v>
      </c>
      <c r="G3894" t="s">
        <v>12</v>
      </c>
      <c r="H3894" t="s">
        <v>12</v>
      </c>
      <c r="I3894">
        <v>81</v>
      </c>
      <c r="J3894" t="str" cm="1">
        <f t="array" ref="J3894">_xlfn.IFS(ISBLANK(C3894),"FALTANTE",ABS((C3894-$W$5)/$X$5)&gt;1.96,"ATÍPICO",ABS((C3894-$W$5)/$X$5)&lt;=1.96,"NO ATÍPICO")</f>
        <v>NO ATÍPICO</v>
      </c>
      <c r="K3894" t="str" cm="1">
        <f t="array" ref="K3894">_xlfn.IFS(ISBLANK(I3894),"FALTANTE",ABS((I3894-$W$8)/$X$8)&gt;1.92,"ATÍPICO",ABS((I3894-$W$8)/$X$8)&lt;=1.92,"NO ATÍPICO")</f>
        <v>ATÍPICO</v>
      </c>
      <c r="L3894">
        <f t="shared" si="257"/>
        <v>546354</v>
      </c>
      <c r="M3894" t="str">
        <f t="shared" si="257"/>
        <v>TRABAJADOR INDEPENDIENTE</v>
      </c>
      <c r="N3894">
        <f t="shared" si="258"/>
        <v>81</v>
      </c>
      <c r="O3894" s="19" t="str">
        <f t="shared" si="259"/>
        <v>300k–600k</v>
      </c>
      <c r="P3894" s="19" t="str">
        <f t="shared" si="260"/>
        <v>56+</v>
      </c>
    </row>
    <row r="3895" spans="1:16" x14ac:dyDescent="0.25">
      <c r="A3895">
        <v>3894</v>
      </c>
      <c r="B3895" t="s">
        <v>15</v>
      </c>
      <c r="C3895">
        <v>297046</v>
      </c>
      <c r="D3895" t="s">
        <v>17</v>
      </c>
      <c r="E3895" t="s">
        <v>16</v>
      </c>
      <c r="F3895" t="s">
        <v>13</v>
      </c>
      <c r="G3895" t="s">
        <v>13</v>
      </c>
      <c r="H3895" t="s">
        <v>13</v>
      </c>
      <c r="I3895">
        <v>52</v>
      </c>
      <c r="J3895" t="str" cm="1">
        <f t="array" ref="J3895">_xlfn.IFS(ISBLANK(C3895),"FALTANTE",ABS((C3895-$W$5)/$X$5)&gt;1.96,"ATÍPICO",ABS((C3895-$W$5)/$X$5)&lt;=1.96,"NO ATÍPICO")</f>
        <v>NO ATÍPICO</v>
      </c>
      <c r="K3895" t="str" cm="1">
        <f t="array" ref="K3895">_xlfn.IFS(ISBLANK(I3895),"FALTANTE",ABS((I3895-$W$8)/$X$8)&gt;1.92,"ATÍPICO",ABS((I3895-$W$8)/$X$8)&lt;=1.92,"NO ATÍPICO")</f>
        <v>NO ATÍPICO</v>
      </c>
      <c r="L3895">
        <f t="shared" si="257"/>
        <v>297046</v>
      </c>
      <c r="M3895" t="str">
        <f t="shared" si="257"/>
        <v>ASEGURADO VOLUNTARIO</v>
      </c>
      <c r="N3895">
        <f t="shared" si="258"/>
        <v>52</v>
      </c>
      <c r="O3895" s="19" t="str">
        <f t="shared" si="259"/>
        <v>0–300k</v>
      </c>
      <c r="P3895" s="19" t="str">
        <f t="shared" si="260"/>
        <v>46-55</v>
      </c>
    </row>
    <row r="3896" spans="1:16" x14ac:dyDescent="0.25">
      <c r="A3896">
        <v>3895</v>
      </c>
      <c r="B3896" t="s">
        <v>9</v>
      </c>
      <c r="C3896">
        <v>459260</v>
      </c>
      <c r="D3896" t="s">
        <v>10</v>
      </c>
      <c r="E3896" t="s">
        <v>16</v>
      </c>
      <c r="F3896" t="s">
        <v>12</v>
      </c>
      <c r="G3896" t="s">
        <v>13</v>
      </c>
      <c r="H3896" t="s">
        <v>13</v>
      </c>
      <c r="I3896">
        <v>37</v>
      </c>
      <c r="J3896" t="str" cm="1">
        <f t="array" ref="J3896">_xlfn.IFS(ISBLANK(C3896),"FALTANTE",ABS((C3896-$W$5)/$X$5)&gt;1.96,"ATÍPICO",ABS((C3896-$W$5)/$X$5)&lt;=1.96,"NO ATÍPICO")</f>
        <v>NO ATÍPICO</v>
      </c>
      <c r="K3896" t="str" cm="1">
        <f t="array" ref="K3896">_xlfn.IFS(ISBLANK(I3896),"FALTANTE",ABS((I3896-$W$8)/$X$8)&gt;1.92,"ATÍPICO",ABS((I3896-$W$8)/$X$8)&lt;=1.92,"NO ATÍPICO")</f>
        <v>NO ATÍPICO</v>
      </c>
      <c r="L3896">
        <f t="shared" si="257"/>
        <v>459260</v>
      </c>
      <c r="M3896" t="str">
        <f t="shared" si="257"/>
        <v>ASALARIADO</v>
      </c>
      <c r="N3896">
        <f t="shared" si="258"/>
        <v>37</v>
      </c>
      <c r="O3896" s="19" t="str">
        <f t="shared" si="259"/>
        <v>300k–600k</v>
      </c>
      <c r="P3896" s="19" t="str">
        <f t="shared" si="260"/>
        <v>36-45</v>
      </c>
    </row>
    <row r="3897" spans="1:16" x14ac:dyDescent="0.25">
      <c r="A3897">
        <v>3896</v>
      </c>
      <c r="B3897" t="s">
        <v>9</v>
      </c>
      <c r="C3897">
        <v>721709.3</v>
      </c>
      <c r="D3897" t="s">
        <v>10</v>
      </c>
      <c r="E3897" t="s">
        <v>11</v>
      </c>
      <c r="F3897" t="s">
        <v>12</v>
      </c>
      <c r="G3897" t="s">
        <v>13</v>
      </c>
      <c r="H3897" t="s">
        <v>13</v>
      </c>
      <c r="I3897">
        <v>45</v>
      </c>
      <c r="J3897" t="str" cm="1">
        <f t="array" ref="J3897">_xlfn.IFS(ISBLANK(C3897),"FALTANTE",ABS((C3897-$W$5)/$X$5)&gt;1.96,"ATÍPICO",ABS((C3897-$W$5)/$X$5)&lt;=1.96,"NO ATÍPICO")</f>
        <v>NO ATÍPICO</v>
      </c>
      <c r="K3897" t="str" cm="1">
        <f t="array" ref="K3897">_xlfn.IFS(ISBLANK(I3897),"FALTANTE",ABS((I3897-$W$8)/$X$8)&gt;1.92,"ATÍPICO",ABS((I3897-$W$8)/$X$8)&lt;=1.92,"NO ATÍPICO")</f>
        <v>NO ATÍPICO</v>
      </c>
      <c r="L3897">
        <f t="shared" si="257"/>
        <v>721709.3</v>
      </c>
      <c r="M3897" t="str">
        <f t="shared" si="257"/>
        <v>ASALARIADO</v>
      </c>
      <c r="N3897">
        <f t="shared" si="258"/>
        <v>45</v>
      </c>
      <c r="O3897" s="19" t="str">
        <f t="shared" si="259"/>
        <v>600k–900k</v>
      </c>
      <c r="P3897" s="19" t="str">
        <f t="shared" si="260"/>
        <v>36-45</v>
      </c>
    </row>
    <row r="3898" spans="1:16" x14ac:dyDescent="0.25">
      <c r="A3898">
        <v>3897</v>
      </c>
      <c r="B3898" t="s">
        <v>15</v>
      </c>
      <c r="C3898">
        <v>465877</v>
      </c>
      <c r="D3898" t="s">
        <v>10</v>
      </c>
      <c r="E3898" t="s">
        <v>16</v>
      </c>
      <c r="F3898" t="s">
        <v>12</v>
      </c>
      <c r="G3898" t="s">
        <v>13</v>
      </c>
      <c r="H3898" t="s">
        <v>12</v>
      </c>
      <c r="I3898">
        <v>36</v>
      </c>
      <c r="J3898" t="str" cm="1">
        <f t="array" ref="J3898">_xlfn.IFS(ISBLANK(C3898),"FALTANTE",ABS((C3898-$W$5)/$X$5)&gt;1.96,"ATÍPICO",ABS((C3898-$W$5)/$X$5)&lt;=1.96,"NO ATÍPICO")</f>
        <v>NO ATÍPICO</v>
      </c>
      <c r="K3898" t="str" cm="1">
        <f t="array" ref="K3898">_xlfn.IFS(ISBLANK(I3898),"FALTANTE",ABS((I3898-$W$8)/$X$8)&gt;1.92,"ATÍPICO",ABS((I3898-$W$8)/$X$8)&lt;=1.92,"NO ATÍPICO")</f>
        <v>NO ATÍPICO</v>
      </c>
      <c r="L3898">
        <f t="shared" si="257"/>
        <v>465877</v>
      </c>
      <c r="M3898" t="str">
        <f t="shared" si="257"/>
        <v>ASALARIADO</v>
      </c>
      <c r="N3898">
        <f t="shared" si="258"/>
        <v>36</v>
      </c>
      <c r="O3898" s="19" t="str">
        <f t="shared" si="259"/>
        <v>300k–600k</v>
      </c>
      <c r="P3898" s="19" t="str">
        <f t="shared" si="260"/>
        <v>36-45</v>
      </c>
    </row>
    <row r="3899" spans="1:16" x14ac:dyDescent="0.25">
      <c r="A3899">
        <v>3898</v>
      </c>
      <c r="B3899" t="s">
        <v>15</v>
      </c>
      <c r="C3899">
        <v>658917</v>
      </c>
      <c r="D3899" t="s">
        <v>10</v>
      </c>
      <c r="E3899" t="s">
        <v>11</v>
      </c>
      <c r="F3899" t="s">
        <v>12</v>
      </c>
      <c r="G3899" t="s">
        <v>13</v>
      </c>
      <c r="H3899" t="s">
        <v>12</v>
      </c>
      <c r="I3899">
        <v>36</v>
      </c>
      <c r="J3899" t="str" cm="1">
        <f t="array" ref="J3899">_xlfn.IFS(ISBLANK(C3899),"FALTANTE",ABS((C3899-$W$5)/$X$5)&gt;1.96,"ATÍPICO",ABS((C3899-$W$5)/$X$5)&lt;=1.96,"NO ATÍPICO")</f>
        <v>NO ATÍPICO</v>
      </c>
      <c r="K3899" t="str" cm="1">
        <f t="array" ref="K3899">_xlfn.IFS(ISBLANK(I3899),"FALTANTE",ABS((I3899-$W$8)/$X$8)&gt;1.92,"ATÍPICO",ABS((I3899-$W$8)/$X$8)&lt;=1.92,"NO ATÍPICO")</f>
        <v>NO ATÍPICO</v>
      </c>
      <c r="L3899">
        <f t="shared" si="257"/>
        <v>658917</v>
      </c>
      <c r="M3899" t="str">
        <f t="shared" si="257"/>
        <v>ASALARIADO</v>
      </c>
      <c r="N3899">
        <f t="shared" si="258"/>
        <v>36</v>
      </c>
      <c r="O3899" s="19" t="str">
        <f t="shared" si="259"/>
        <v>600k–900k</v>
      </c>
      <c r="P3899" s="19" t="str">
        <f t="shared" si="260"/>
        <v>36-45</v>
      </c>
    </row>
    <row r="3900" spans="1:16" x14ac:dyDescent="0.25">
      <c r="A3900">
        <v>3899</v>
      </c>
      <c r="B3900" t="s">
        <v>9</v>
      </c>
      <c r="C3900">
        <v>2658295.4300000002</v>
      </c>
      <c r="D3900" t="s">
        <v>10</v>
      </c>
      <c r="E3900" t="s">
        <v>16</v>
      </c>
      <c r="F3900" t="s">
        <v>12</v>
      </c>
      <c r="G3900" t="s">
        <v>12</v>
      </c>
      <c r="H3900" t="s">
        <v>13</v>
      </c>
      <c r="I3900">
        <v>30</v>
      </c>
      <c r="J3900" t="str" cm="1">
        <f t="array" ref="J3900">_xlfn.IFS(ISBLANK(C3900),"FALTANTE",ABS((C3900-$W$5)/$X$5)&gt;1.96,"ATÍPICO",ABS((C3900-$W$5)/$X$5)&lt;=1.96,"NO ATÍPICO")</f>
        <v>ATÍPICO</v>
      </c>
      <c r="K3900" t="str" cm="1">
        <f t="array" ref="K3900">_xlfn.IFS(ISBLANK(I3900),"FALTANTE",ABS((I3900-$W$8)/$X$8)&gt;1.92,"ATÍPICO",ABS((I3900-$W$8)/$X$8)&lt;=1.92,"NO ATÍPICO")</f>
        <v>NO ATÍPICO</v>
      </c>
      <c r="L3900">
        <f t="shared" si="257"/>
        <v>2658295.4300000002</v>
      </c>
      <c r="M3900" t="str">
        <f t="shared" si="257"/>
        <v>ASALARIADO</v>
      </c>
      <c r="N3900">
        <f t="shared" si="258"/>
        <v>30</v>
      </c>
      <c r="O3900" s="19" t="str">
        <f t="shared" si="259"/>
        <v>1200k+</v>
      </c>
      <c r="P3900" s="19" t="str">
        <f t="shared" si="260"/>
        <v>26-35</v>
      </c>
    </row>
    <row r="3901" spans="1:16" x14ac:dyDescent="0.25">
      <c r="A3901">
        <v>3900</v>
      </c>
      <c r="B3901" t="s">
        <v>9</v>
      </c>
      <c r="C3901">
        <v>583221.81999999995</v>
      </c>
      <c r="D3901" t="s">
        <v>10</v>
      </c>
      <c r="E3901" t="s">
        <v>16</v>
      </c>
      <c r="F3901" t="s">
        <v>12</v>
      </c>
      <c r="G3901" t="s">
        <v>12</v>
      </c>
      <c r="H3901" t="s">
        <v>13</v>
      </c>
      <c r="I3901">
        <v>53</v>
      </c>
      <c r="J3901" t="str" cm="1">
        <f t="array" ref="J3901">_xlfn.IFS(ISBLANK(C3901),"FALTANTE",ABS((C3901-$W$5)/$X$5)&gt;1.96,"ATÍPICO",ABS((C3901-$W$5)/$X$5)&lt;=1.96,"NO ATÍPICO")</f>
        <v>NO ATÍPICO</v>
      </c>
      <c r="K3901" t="str" cm="1">
        <f t="array" ref="K3901">_xlfn.IFS(ISBLANK(I3901),"FALTANTE",ABS((I3901-$W$8)/$X$8)&gt;1.92,"ATÍPICO",ABS((I3901-$W$8)/$X$8)&lt;=1.92,"NO ATÍPICO")</f>
        <v>NO ATÍPICO</v>
      </c>
      <c r="L3901">
        <f t="shared" si="257"/>
        <v>583221.81999999995</v>
      </c>
      <c r="M3901" t="str">
        <f t="shared" si="257"/>
        <v>ASALARIADO</v>
      </c>
      <c r="N3901">
        <f t="shared" si="258"/>
        <v>53</v>
      </c>
      <c r="O3901" s="19" t="str">
        <f t="shared" si="259"/>
        <v>300k–600k</v>
      </c>
      <c r="P3901" s="19" t="str">
        <f t="shared" si="260"/>
        <v>46-55</v>
      </c>
    </row>
    <row r="3902" spans="1:16" x14ac:dyDescent="0.25">
      <c r="A3902">
        <v>3901</v>
      </c>
      <c r="B3902" t="s">
        <v>9</v>
      </c>
      <c r="C3902">
        <v>297046</v>
      </c>
      <c r="D3902" t="s">
        <v>18</v>
      </c>
      <c r="E3902" t="s">
        <v>16</v>
      </c>
      <c r="F3902" t="s">
        <v>12</v>
      </c>
      <c r="G3902" t="s">
        <v>13</v>
      </c>
      <c r="H3902" t="s">
        <v>13</v>
      </c>
      <c r="I3902">
        <v>32</v>
      </c>
      <c r="J3902" t="str" cm="1">
        <f t="array" ref="J3902">_xlfn.IFS(ISBLANK(C3902),"FALTANTE",ABS((C3902-$W$5)/$X$5)&gt;1.96,"ATÍPICO",ABS((C3902-$W$5)/$X$5)&lt;=1.96,"NO ATÍPICO")</f>
        <v>NO ATÍPICO</v>
      </c>
      <c r="K3902" t="str" cm="1">
        <f t="array" ref="K3902">_xlfn.IFS(ISBLANK(I3902),"FALTANTE",ABS((I3902-$W$8)/$X$8)&gt;1.92,"ATÍPICO",ABS((I3902-$W$8)/$X$8)&lt;=1.92,"NO ATÍPICO")</f>
        <v>NO ATÍPICO</v>
      </c>
      <c r="L3902">
        <f t="shared" si="257"/>
        <v>297046</v>
      </c>
      <c r="M3902" t="str">
        <f t="shared" si="257"/>
        <v>TRABAJADOR INDEPENDIENTE</v>
      </c>
      <c r="N3902">
        <f t="shared" si="258"/>
        <v>32</v>
      </c>
      <c r="O3902" s="19" t="str">
        <f t="shared" si="259"/>
        <v>0–300k</v>
      </c>
      <c r="P3902" s="19" t="str">
        <f t="shared" si="260"/>
        <v>26-35</v>
      </c>
    </row>
    <row r="3903" spans="1:16" x14ac:dyDescent="0.25">
      <c r="A3903">
        <v>3902</v>
      </c>
      <c r="B3903" t="s">
        <v>15</v>
      </c>
      <c r="C3903">
        <v>572000</v>
      </c>
      <c r="D3903" t="s">
        <v>10</v>
      </c>
      <c r="E3903" t="s">
        <v>16</v>
      </c>
      <c r="F3903" t="s">
        <v>12</v>
      </c>
      <c r="G3903" t="s">
        <v>13</v>
      </c>
      <c r="H3903" t="s">
        <v>13</v>
      </c>
      <c r="I3903">
        <v>50</v>
      </c>
      <c r="J3903" t="str" cm="1">
        <f t="array" ref="J3903">_xlfn.IFS(ISBLANK(C3903),"FALTANTE",ABS((C3903-$W$5)/$X$5)&gt;1.96,"ATÍPICO",ABS((C3903-$W$5)/$X$5)&lt;=1.96,"NO ATÍPICO")</f>
        <v>NO ATÍPICO</v>
      </c>
      <c r="K3903" t="str" cm="1">
        <f t="array" ref="K3903">_xlfn.IFS(ISBLANK(I3903),"FALTANTE",ABS((I3903-$W$8)/$X$8)&gt;1.92,"ATÍPICO",ABS((I3903-$W$8)/$X$8)&lt;=1.92,"NO ATÍPICO")</f>
        <v>NO ATÍPICO</v>
      </c>
      <c r="L3903">
        <f t="shared" si="257"/>
        <v>572000</v>
      </c>
      <c r="M3903" t="str">
        <f t="shared" si="257"/>
        <v>ASALARIADO</v>
      </c>
      <c r="N3903">
        <f t="shared" si="258"/>
        <v>50</v>
      </c>
      <c r="O3903" s="19" t="str">
        <f t="shared" si="259"/>
        <v>300k–600k</v>
      </c>
      <c r="P3903" s="19" t="str">
        <f t="shared" si="260"/>
        <v>46-55</v>
      </c>
    </row>
    <row r="3904" spans="1:16" x14ac:dyDescent="0.25">
      <c r="A3904">
        <v>3903</v>
      </c>
      <c r="B3904" t="s">
        <v>9</v>
      </c>
      <c r="C3904">
        <v>705100</v>
      </c>
      <c r="D3904" t="s">
        <v>10</v>
      </c>
      <c r="E3904" t="s">
        <v>16</v>
      </c>
      <c r="F3904" t="s">
        <v>12</v>
      </c>
      <c r="G3904" t="s">
        <v>13</v>
      </c>
      <c r="H3904" t="s">
        <v>13</v>
      </c>
      <c r="I3904">
        <v>64</v>
      </c>
      <c r="J3904" t="str" cm="1">
        <f t="array" ref="J3904">_xlfn.IFS(ISBLANK(C3904),"FALTANTE",ABS((C3904-$W$5)/$X$5)&gt;1.96,"ATÍPICO",ABS((C3904-$W$5)/$X$5)&lt;=1.96,"NO ATÍPICO")</f>
        <v>NO ATÍPICO</v>
      </c>
      <c r="K3904" t="str" cm="1">
        <f t="array" ref="K3904">_xlfn.IFS(ISBLANK(I3904),"FALTANTE",ABS((I3904-$W$8)/$X$8)&gt;1.92,"ATÍPICO",ABS((I3904-$W$8)/$X$8)&lt;=1.92,"NO ATÍPICO")</f>
        <v>NO ATÍPICO</v>
      </c>
      <c r="L3904">
        <f t="shared" si="257"/>
        <v>705100</v>
      </c>
      <c r="M3904" t="str">
        <f t="shared" si="257"/>
        <v>ASALARIADO</v>
      </c>
      <c r="N3904">
        <f t="shared" si="258"/>
        <v>64</v>
      </c>
      <c r="O3904" s="19" t="str">
        <f t="shared" si="259"/>
        <v>600k–900k</v>
      </c>
      <c r="P3904" s="19" t="str">
        <f t="shared" si="260"/>
        <v>56+</v>
      </c>
    </row>
    <row r="3905" spans="1:16" x14ac:dyDescent="0.25">
      <c r="A3905">
        <v>3904</v>
      </c>
      <c r="B3905" t="s">
        <v>9</v>
      </c>
      <c r="C3905">
        <v>366181.5</v>
      </c>
      <c r="D3905" t="s">
        <v>10</v>
      </c>
      <c r="E3905" t="s">
        <v>16</v>
      </c>
      <c r="F3905" t="s">
        <v>12</v>
      </c>
      <c r="G3905" t="s">
        <v>13</v>
      </c>
      <c r="H3905" t="s">
        <v>13</v>
      </c>
      <c r="I3905">
        <v>33</v>
      </c>
      <c r="J3905" t="str" cm="1">
        <f t="array" ref="J3905">_xlfn.IFS(ISBLANK(C3905),"FALTANTE",ABS((C3905-$W$5)/$X$5)&gt;1.96,"ATÍPICO",ABS((C3905-$W$5)/$X$5)&lt;=1.96,"NO ATÍPICO")</f>
        <v>NO ATÍPICO</v>
      </c>
      <c r="K3905" t="str" cm="1">
        <f t="array" ref="K3905">_xlfn.IFS(ISBLANK(I3905),"FALTANTE",ABS((I3905-$W$8)/$X$8)&gt;1.92,"ATÍPICO",ABS((I3905-$W$8)/$X$8)&lt;=1.92,"NO ATÍPICO")</f>
        <v>NO ATÍPICO</v>
      </c>
      <c r="L3905">
        <f t="shared" si="257"/>
        <v>366181.5</v>
      </c>
      <c r="M3905" t="str">
        <f t="shared" si="257"/>
        <v>ASALARIADO</v>
      </c>
      <c r="N3905">
        <f t="shared" si="258"/>
        <v>33</v>
      </c>
      <c r="O3905" s="19" t="str">
        <f t="shared" si="259"/>
        <v>300k–600k</v>
      </c>
      <c r="P3905" s="19" t="str">
        <f t="shared" si="260"/>
        <v>26-35</v>
      </c>
    </row>
    <row r="3906" spans="1:16" x14ac:dyDescent="0.25">
      <c r="A3906">
        <v>3905</v>
      </c>
      <c r="B3906" t="s">
        <v>9</v>
      </c>
      <c r="C3906">
        <v>639148</v>
      </c>
      <c r="D3906" t="s">
        <v>18</v>
      </c>
      <c r="E3906" t="s">
        <v>16</v>
      </c>
      <c r="F3906" t="s">
        <v>12</v>
      </c>
      <c r="G3906" t="s">
        <v>13</v>
      </c>
      <c r="H3906" t="s">
        <v>12</v>
      </c>
      <c r="I3906">
        <v>41</v>
      </c>
      <c r="J3906" t="str" cm="1">
        <f t="array" ref="J3906">_xlfn.IFS(ISBLANK(C3906),"FALTANTE",ABS((C3906-$W$5)/$X$5)&gt;1.96,"ATÍPICO",ABS((C3906-$W$5)/$X$5)&lt;=1.96,"NO ATÍPICO")</f>
        <v>NO ATÍPICO</v>
      </c>
      <c r="K3906" t="str" cm="1">
        <f t="array" ref="K3906">_xlfn.IFS(ISBLANK(I3906),"FALTANTE",ABS((I3906-$W$8)/$X$8)&gt;1.92,"ATÍPICO",ABS((I3906-$W$8)/$X$8)&lt;=1.92,"NO ATÍPICO")</f>
        <v>NO ATÍPICO</v>
      </c>
      <c r="L3906">
        <f t="shared" ref="L3906:M3969" si="261">C3906</f>
        <v>639148</v>
      </c>
      <c r="M3906" t="str">
        <f t="shared" si="261"/>
        <v>TRABAJADOR INDEPENDIENTE</v>
      </c>
      <c r="N3906">
        <f t="shared" ref="N3906:N3969" si="262">I3906</f>
        <v>41</v>
      </c>
      <c r="O3906" s="19" t="str">
        <f t="shared" ref="O3906:O3969" si="263">IF(L3906&lt;=300000,"0–300k",IF(L3906&lt;=600000,"300k–600k",IF(L3906&lt;=900000,"600k–900k",IF(L3906&lt;=1200000,"900k–1200k","1200k+"))))</f>
        <v>600k–900k</v>
      </c>
      <c r="P3906" s="19" t="str">
        <f t="shared" ref="P3906:P3969" si="264">IF(N3906 &lt;=25,"18-25", IF(N3906&lt;=35,"26-35", IF(N3906 &lt;=45,"36-45", IF(N3906&lt;=55,"46-55","56+"))))</f>
        <v>36-45</v>
      </c>
    </row>
    <row r="3907" spans="1:16" x14ac:dyDescent="0.25">
      <c r="A3907">
        <v>3906</v>
      </c>
      <c r="B3907" t="s">
        <v>9</v>
      </c>
      <c r="C3907">
        <v>883100</v>
      </c>
      <c r="D3907" t="s">
        <v>10</v>
      </c>
      <c r="E3907" t="s">
        <v>11</v>
      </c>
      <c r="F3907" t="s">
        <v>12</v>
      </c>
      <c r="G3907" t="s">
        <v>13</v>
      </c>
      <c r="H3907" t="s">
        <v>13</v>
      </c>
      <c r="I3907">
        <v>48</v>
      </c>
      <c r="J3907" t="str" cm="1">
        <f t="array" ref="J3907">_xlfn.IFS(ISBLANK(C3907),"FALTANTE",ABS((C3907-$W$5)/$X$5)&gt;1.96,"ATÍPICO",ABS((C3907-$W$5)/$X$5)&lt;=1.96,"NO ATÍPICO")</f>
        <v>NO ATÍPICO</v>
      </c>
      <c r="K3907" t="str" cm="1">
        <f t="array" ref="K3907">_xlfn.IFS(ISBLANK(I3907),"FALTANTE",ABS((I3907-$W$8)/$X$8)&gt;1.92,"ATÍPICO",ABS((I3907-$W$8)/$X$8)&lt;=1.92,"NO ATÍPICO")</f>
        <v>NO ATÍPICO</v>
      </c>
      <c r="L3907">
        <f t="shared" si="261"/>
        <v>883100</v>
      </c>
      <c r="M3907" t="str">
        <f t="shared" si="261"/>
        <v>ASALARIADO</v>
      </c>
      <c r="N3907">
        <f t="shared" si="262"/>
        <v>48</v>
      </c>
      <c r="O3907" s="19" t="str">
        <f t="shared" si="263"/>
        <v>600k–900k</v>
      </c>
      <c r="P3907" s="19" t="str">
        <f t="shared" si="264"/>
        <v>46-55</v>
      </c>
    </row>
    <row r="3908" spans="1:16" x14ac:dyDescent="0.25">
      <c r="A3908">
        <v>3907</v>
      </c>
      <c r="B3908" t="s">
        <v>15</v>
      </c>
      <c r="C3908">
        <v>634458.85</v>
      </c>
      <c r="D3908" t="s">
        <v>10</v>
      </c>
      <c r="E3908" t="s">
        <v>11</v>
      </c>
      <c r="F3908" t="s">
        <v>12</v>
      </c>
      <c r="G3908" t="s">
        <v>13</v>
      </c>
      <c r="H3908" t="s">
        <v>13</v>
      </c>
      <c r="I3908">
        <v>37</v>
      </c>
      <c r="J3908" t="str" cm="1">
        <f t="array" ref="J3908">_xlfn.IFS(ISBLANK(C3908),"FALTANTE",ABS((C3908-$W$5)/$X$5)&gt;1.96,"ATÍPICO",ABS((C3908-$W$5)/$X$5)&lt;=1.96,"NO ATÍPICO")</f>
        <v>NO ATÍPICO</v>
      </c>
      <c r="K3908" t="str" cm="1">
        <f t="array" ref="K3908">_xlfn.IFS(ISBLANK(I3908),"FALTANTE",ABS((I3908-$W$8)/$X$8)&gt;1.92,"ATÍPICO",ABS((I3908-$W$8)/$X$8)&lt;=1.92,"NO ATÍPICO")</f>
        <v>NO ATÍPICO</v>
      </c>
      <c r="L3908">
        <f t="shared" si="261"/>
        <v>634458.85</v>
      </c>
      <c r="M3908" t="str">
        <f t="shared" si="261"/>
        <v>ASALARIADO</v>
      </c>
      <c r="N3908">
        <f t="shared" si="262"/>
        <v>37</v>
      </c>
      <c r="O3908" s="19" t="str">
        <f t="shared" si="263"/>
        <v>600k–900k</v>
      </c>
      <c r="P3908" s="19" t="str">
        <f t="shared" si="264"/>
        <v>36-45</v>
      </c>
    </row>
    <row r="3909" spans="1:16" x14ac:dyDescent="0.25">
      <c r="A3909">
        <v>3908</v>
      </c>
      <c r="B3909" t="s">
        <v>9</v>
      </c>
      <c r="C3909">
        <v>700000</v>
      </c>
      <c r="D3909" t="s">
        <v>10</v>
      </c>
      <c r="E3909" t="s">
        <v>16</v>
      </c>
      <c r="F3909" t="s">
        <v>12</v>
      </c>
      <c r="G3909" t="s">
        <v>13</v>
      </c>
      <c r="H3909" t="s">
        <v>13</v>
      </c>
      <c r="I3909">
        <v>46</v>
      </c>
      <c r="J3909" t="str" cm="1">
        <f t="array" ref="J3909">_xlfn.IFS(ISBLANK(C3909),"FALTANTE",ABS((C3909-$W$5)/$X$5)&gt;1.96,"ATÍPICO",ABS((C3909-$W$5)/$X$5)&lt;=1.96,"NO ATÍPICO")</f>
        <v>NO ATÍPICO</v>
      </c>
      <c r="K3909" t="str" cm="1">
        <f t="array" ref="K3909">_xlfn.IFS(ISBLANK(I3909),"FALTANTE",ABS((I3909-$W$8)/$X$8)&gt;1.92,"ATÍPICO",ABS((I3909-$W$8)/$X$8)&lt;=1.92,"NO ATÍPICO")</f>
        <v>NO ATÍPICO</v>
      </c>
      <c r="L3909">
        <f t="shared" si="261"/>
        <v>700000</v>
      </c>
      <c r="M3909" t="str">
        <f t="shared" si="261"/>
        <v>ASALARIADO</v>
      </c>
      <c r="N3909">
        <f t="shared" si="262"/>
        <v>46</v>
      </c>
      <c r="O3909" s="19" t="str">
        <f t="shared" si="263"/>
        <v>600k–900k</v>
      </c>
      <c r="P3909" s="19" t="str">
        <f t="shared" si="264"/>
        <v>46-55</v>
      </c>
    </row>
    <row r="3910" spans="1:16" x14ac:dyDescent="0.25">
      <c r="A3910">
        <v>3909</v>
      </c>
      <c r="B3910" t="s">
        <v>9</v>
      </c>
      <c r="C3910">
        <v>583859.75</v>
      </c>
      <c r="D3910" t="s">
        <v>10</v>
      </c>
      <c r="E3910" t="s">
        <v>16</v>
      </c>
      <c r="F3910" t="s">
        <v>12</v>
      </c>
      <c r="G3910" t="s">
        <v>13</v>
      </c>
      <c r="H3910" t="s">
        <v>13</v>
      </c>
      <c r="I3910">
        <v>62</v>
      </c>
      <c r="J3910" t="str" cm="1">
        <f t="array" ref="J3910">_xlfn.IFS(ISBLANK(C3910),"FALTANTE",ABS((C3910-$W$5)/$X$5)&gt;1.96,"ATÍPICO",ABS((C3910-$W$5)/$X$5)&lt;=1.96,"NO ATÍPICO")</f>
        <v>NO ATÍPICO</v>
      </c>
      <c r="K3910" t="str" cm="1">
        <f t="array" ref="K3910">_xlfn.IFS(ISBLANK(I3910),"FALTANTE",ABS((I3910-$W$8)/$X$8)&gt;1.92,"ATÍPICO",ABS((I3910-$W$8)/$X$8)&lt;=1.92,"NO ATÍPICO")</f>
        <v>NO ATÍPICO</v>
      </c>
      <c r="L3910">
        <f t="shared" si="261"/>
        <v>583859.75</v>
      </c>
      <c r="M3910" t="str">
        <f t="shared" si="261"/>
        <v>ASALARIADO</v>
      </c>
      <c r="N3910">
        <f t="shared" si="262"/>
        <v>62</v>
      </c>
      <c r="O3910" s="19" t="str">
        <f t="shared" si="263"/>
        <v>300k–600k</v>
      </c>
      <c r="P3910" s="19" t="str">
        <f t="shared" si="264"/>
        <v>56+</v>
      </c>
    </row>
    <row r="3911" spans="1:16" x14ac:dyDescent="0.25">
      <c r="A3911">
        <v>3910</v>
      </c>
      <c r="B3911" t="s">
        <v>15</v>
      </c>
      <c r="C3911">
        <v>649238.17000000004</v>
      </c>
      <c r="D3911" t="s">
        <v>10</v>
      </c>
      <c r="E3911" t="s">
        <v>16</v>
      </c>
      <c r="F3911" t="s">
        <v>12</v>
      </c>
      <c r="G3911" t="s">
        <v>13</v>
      </c>
      <c r="H3911" t="s">
        <v>13</v>
      </c>
      <c r="I3911">
        <v>27</v>
      </c>
      <c r="J3911" t="str" cm="1">
        <f t="array" ref="J3911">_xlfn.IFS(ISBLANK(C3911),"FALTANTE",ABS((C3911-$W$5)/$X$5)&gt;1.96,"ATÍPICO",ABS((C3911-$W$5)/$X$5)&lt;=1.96,"NO ATÍPICO")</f>
        <v>NO ATÍPICO</v>
      </c>
      <c r="K3911" t="str" cm="1">
        <f t="array" ref="K3911">_xlfn.IFS(ISBLANK(I3911),"FALTANTE",ABS((I3911-$W$8)/$X$8)&gt;1.92,"ATÍPICO",ABS((I3911-$W$8)/$X$8)&lt;=1.92,"NO ATÍPICO")</f>
        <v>NO ATÍPICO</v>
      </c>
      <c r="L3911">
        <f t="shared" si="261"/>
        <v>649238.17000000004</v>
      </c>
      <c r="M3911" t="str">
        <f t="shared" si="261"/>
        <v>ASALARIADO</v>
      </c>
      <c r="N3911">
        <f t="shared" si="262"/>
        <v>27</v>
      </c>
      <c r="O3911" s="19" t="str">
        <f t="shared" si="263"/>
        <v>600k–900k</v>
      </c>
      <c r="P3911" s="19" t="str">
        <f t="shared" si="264"/>
        <v>26-35</v>
      </c>
    </row>
    <row r="3912" spans="1:16" x14ac:dyDescent="0.25">
      <c r="A3912">
        <v>3911</v>
      </c>
      <c r="B3912" t="s">
        <v>15</v>
      </c>
      <c r="C3912">
        <v>1341939</v>
      </c>
      <c r="D3912" t="s">
        <v>14</v>
      </c>
      <c r="E3912" t="s">
        <v>11</v>
      </c>
      <c r="F3912" t="s">
        <v>12</v>
      </c>
      <c r="G3912" t="s">
        <v>13</v>
      </c>
      <c r="H3912" t="s">
        <v>13</v>
      </c>
      <c r="I3912">
        <v>76</v>
      </c>
      <c r="J3912" t="str" cm="1">
        <f t="array" ref="J3912">_xlfn.IFS(ISBLANK(C3912),"FALTANTE",ABS((C3912-$W$5)/$X$5)&gt;1.96,"ATÍPICO",ABS((C3912-$W$5)/$X$5)&lt;=1.96,"NO ATÍPICO")</f>
        <v>NO ATÍPICO</v>
      </c>
      <c r="K3912" t="str" cm="1">
        <f t="array" ref="K3912">_xlfn.IFS(ISBLANK(I3912),"FALTANTE",ABS((I3912-$W$8)/$X$8)&gt;1.92,"ATÍPICO",ABS((I3912-$W$8)/$X$8)&lt;=1.92,"NO ATÍPICO")</f>
        <v>ATÍPICO</v>
      </c>
      <c r="L3912">
        <f t="shared" si="261"/>
        <v>1341939</v>
      </c>
      <c r="M3912" t="str">
        <f t="shared" si="261"/>
        <v>PENSIONADOS EN SU PROPIO SISTEMA</v>
      </c>
      <c r="N3912">
        <f t="shared" si="262"/>
        <v>76</v>
      </c>
      <c r="O3912" s="19" t="str">
        <f t="shared" si="263"/>
        <v>1200k+</v>
      </c>
      <c r="P3912" s="19" t="str">
        <f t="shared" si="264"/>
        <v>56+</v>
      </c>
    </row>
    <row r="3913" spans="1:16" x14ac:dyDescent="0.25">
      <c r="A3913">
        <v>3912</v>
      </c>
      <c r="B3913" t="s">
        <v>15</v>
      </c>
      <c r="C3913">
        <v>170248</v>
      </c>
      <c r="D3913" t="s">
        <v>10</v>
      </c>
      <c r="E3913" t="s">
        <v>16</v>
      </c>
      <c r="F3913" t="s">
        <v>12</v>
      </c>
      <c r="G3913" t="s">
        <v>13</v>
      </c>
      <c r="H3913" t="s">
        <v>13</v>
      </c>
      <c r="I3913">
        <v>20</v>
      </c>
      <c r="J3913" t="str" cm="1">
        <f t="array" ref="J3913">_xlfn.IFS(ISBLANK(C3913),"FALTANTE",ABS((C3913-$W$5)/$X$5)&gt;1.96,"ATÍPICO",ABS((C3913-$W$5)/$X$5)&lt;=1.96,"NO ATÍPICO")</f>
        <v>NO ATÍPICO</v>
      </c>
      <c r="K3913" t="str" cm="1">
        <f t="array" ref="K3913">_xlfn.IFS(ISBLANK(I3913),"FALTANTE",ABS((I3913-$W$8)/$X$8)&gt;1.92,"ATÍPICO",ABS((I3913-$W$8)/$X$8)&lt;=1.92,"NO ATÍPICO")</f>
        <v>NO ATÍPICO</v>
      </c>
      <c r="L3913">
        <f t="shared" si="261"/>
        <v>170248</v>
      </c>
      <c r="M3913" t="str">
        <f t="shared" si="261"/>
        <v>ASALARIADO</v>
      </c>
      <c r="N3913">
        <f t="shared" si="262"/>
        <v>20</v>
      </c>
      <c r="O3913" s="19" t="str">
        <f t="shared" si="263"/>
        <v>0–300k</v>
      </c>
      <c r="P3913" s="19" t="str">
        <f t="shared" si="264"/>
        <v>18-25</v>
      </c>
    </row>
    <row r="3914" spans="1:16" x14ac:dyDescent="0.25">
      <c r="A3914">
        <v>3913</v>
      </c>
      <c r="B3914" t="s">
        <v>9</v>
      </c>
      <c r="C3914">
        <v>301566</v>
      </c>
      <c r="D3914" t="s">
        <v>17</v>
      </c>
      <c r="E3914" t="s">
        <v>16</v>
      </c>
      <c r="F3914" t="s">
        <v>12</v>
      </c>
      <c r="G3914" t="s">
        <v>13</v>
      </c>
      <c r="H3914" t="s">
        <v>12</v>
      </c>
      <c r="I3914">
        <v>26</v>
      </c>
      <c r="J3914" t="str" cm="1">
        <f t="array" ref="J3914">_xlfn.IFS(ISBLANK(C3914),"FALTANTE",ABS((C3914-$W$5)/$X$5)&gt;1.96,"ATÍPICO",ABS((C3914-$W$5)/$X$5)&lt;=1.96,"NO ATÍPICO")</f>
        <v>NO ATÍPICO</v>
      </c>
      <c r="K3914" t="str" cm="1">
        <f t="array" ref="K3914">_xlfn.IFS(ISBLANK(I3914),"FALTANTE",ABS((I3914-$W$8)/$X$8)&gt;1.92,"ATÍPICO",ABS((I3914-$W$8)/$X$8)&lt;=1.92,"NO ATÍPICO")</f>
        <v>NO ATÍPICO</v>
      </c>
      <c r="L3914">
        <f t="shared" si="261"/>
        <v>301566</v>
      </c>
      <c r="M3914" t="str">
        <f t="shared" si="261"/>
        <v>ASEGURADO VOLUNTARIO</v>
      </c>
      <c r="N3914">
        <f t="shared" si="262"/>
        <v>26</v>
      </c>
      <c r="O3914" s="19" t="str">
        <f t="shared" si="263"/>
        <v>300k–600k</v>
      </c>
      <c r="P3914" s="19" t="str">
        <f t="shared" si="264"/>
        <v>26-35</v>
      </c>
    </row>
    <row r="3915" spans="1:16" x14ac:dyDescent="0.25">
      <c r="A3915">
        <v>3914</v>
      </c>
      <c r="B3915" t="s">
        <v>9</v>
      </c>
      <c r="C3915">
        <v>326841</v>
      </c>
      <c r="D3915" t="s">
        <v>18</v>
      </c>
      <c r="E3915" t="s">
        <v>16</v>
      </c>
      <c r="F3915" t="s">
        <v>12</v>
      </c>
      <c r="G3915" t="s">
        <v>13</v>
      </c>
      <c r="H3915" t="s">
        <v>12</v>
      </c>
      <c r="I3915">
        <v>51</v>
      </c>
      <c r="J3915" t="str" cm="1">
        <f t="array" ref="J3915">_xlfn.IFS(ISBLANK(C3915),"FALTANTE",ABS((C3915-$W$5)/$X$5)&gt;1.96,"ATÍPICO",ABS((C3915-$W$5)/$X$5)&lt;=1.96,"NO ATÍPICO")</f>
        <v>NO ATÍPICO</v>
      </c>
      <c r="K3915" t="str" cm="1">
        <f t="array" ref="K3915">_xlfn.IFS(ISBLANK(I3915),"FALTANTE",ABS((I3915-$W$8)/$X$8)&gt;1.92,"ATÍPICO",ABS((I3915-$W$8)/$X$8)&lt;=1.92,"NO ATÍPICO")</f>
        <v>NO ATÍPICO</v>
      </c>
      <c r="L3915">
        <f t="shared" si="261"/>
        <v>326841</v>
      </c>
      <c r="M3915" t="str">
        <f t="shared" si="261"/>
        <v>TRABAJADOR INDEPENDIENTE</v>
      </c>
      <c r="N3915">
        <f t="shared" si="262"/>
        <v>51</v>
      </c>
      <c r="O3915" s="19" t="str">
        <f t="shared" si="263"/>
        <v>300k–600k</v>
      </c>
      <c r="P3915" s="19" t="str">
        <f t="shared" si="264"/>
        <v>46-55</v>
      </c>
    </row>
    <row r="3916" spans="1:16" x14ac:dyDescent="0.25">
      <c r="A3916">
        <v>3915</v>
      </c>
      <c r="B3916" t="s">
        <v>9</v>
      </c>
      <c r="C3916">
        <v>260561</v>
      </c>
      <c r="D3916" t="s">
        <v>10</v>
      </c>
      <c r="E3916" t="s">
        <v>16</v>
      </c>
      <c r="F3916" t="s">
        <v>12</v>
      </c>
      <c r="G3916" t="s">
        <v>13</v>
      </c>
      <c r="H3916" t="s">
        <v>13</v>
      </c>
      <c r="I3916">
        <v>52</v>
      </c>
      <c r="J3916" t="str" cm="1">
        <f t="array" ref="J3916">_xlfn.IFS(ISBLANK(C3916),"FALTANTE",ABS((C3916-$W$5)/$X$5)&gt;1.96,"ATÍPICO",ABS((C3916-$W$5)/$X$5)&lt;=1.96,"NO ATÍPICO")</f>
        <v>NO ATÍPICO</v>
      </c>
      <c r="K3916" t="str" cm="1">
        <f t="array" ref="K3916">_xlfn.IFS(ISBLANK(I3916),"FALTANTE",ABS((I3916-$W$8)/$X$8)&gt;1.92,"ATÍPICO",ABS((I3916-$W$8)/$X$8)&lt;=1.92,"NO ATÍPICO")</f>
        <v>NO ATÍPICO</v>
      </c>
      <c r="L3916">
        <f t="shared" si="261"/>
        <v>260561</v>
      </c>
      <c r="M3916" t="str">
        <f t="shared" si="261"/>
        <v>ASALARIADO</v>
      </c>
      <c r="N3916">
        <f t="shared" si="262"/>
        <v>52</v>
      </c>
      <c r="O3916" s="19" t="str">
        <f t="shared" si="263"/>
        <v>0–300k</v>
      </c>
      <c r="P3916" s="19" t="str">
        <f t="shared" si="264"/>
        <v>46-55</v>
      </c>
    </row>
    <row r="3917" spans="1:16" x14ac:dyDescent="0.25">
      <c r="A3917">
        <v>3916</v>
      </c>
      <c r="B3917" t="s">
        <v>9</v>
      </c>
      <c r="C3917">
        <v>478496</v>
      </c>
      <c r="D3917" t="s">
        <v>18</v>
      </c>
      <c r="E3917" t="s">
        <v>16</v>
      </c>
      <c r="F3917" t="s">
        <v>12</v>
      </c>
      <c r="G3917" t="s">
        <v>13</v>
      </c>
      <c r="H3917" t="s">
        <v>13</v>
      </c>
      <c r="I3917">
        <v>31</v>
      </c>
      <c r="J3917" t="str" cm="1">
        <f t="array" ref="J3917">_xlfn.IFS(ISBLANK(C3917),"FALTANTE",ABS((C3917-$W$5)/$X$5)&gt;1.96,"ATÍPICO",ABS((C3917-$W$5)/$X$5)&lt;=1.96,"NO ATÍPICO")</f>
        <v>NO ATÍPICO</v>
      </c>
      <c r="K3917" t="str" cm="1">
        <f t="array" ref="K3917">_xlfn.IFS(ISBLANK(I3917),"FALTANTE",ABS((I3917-$W$8)/$X$8)&gt;1.92,"ATÍPICO",ABS((I3917-$W$8)/$X$8)&lt;=1.92,"NO ATÍPICO")</f>
        <v>NO ATÍPICO</v>
      </c>
      <c r="L3917">
        <f t="shared" si="261"/>
        <v>478496</v>
      </c>
      <c r="M3917" t="str">
        <f t="shared" si="261"/>
        <v>TRABAJADOR INDEPENDIENTE</v>
      </c>
      <c r="N3917">
        <f t="shared" si="262"/>
        <v>31</v>
      </c>
      <c r="O3917" s="19" t="str">
        <f t="shared" si="263"/>
        <v>300k–600k</v>
      </c>
      <c r="P3917" s="19" t="str">
        <f t="shared" si="264"/>
        <v>26-35</v>
      </c>
    </row>
    <row r="3918" spans="1:16" x14ac:dyDescent="0.25">
      <c r="A3918">
        <v>3917</v>
      </c>
      <c r="B3918" t="s">
        <v>9</v>
      </c>
      <c r="C3918">
        <v>297046</v>
      </c>
      <c r="D3918" t="s">
        <v>17</v>
      </c>
      <c r="E3918" t="s">
        <v>16</v>
      </c>
      <c r="F3918" t="s">
        <v>12</v>
      </c>
      <c r="G3918" t="s">
        <v>13</v>
      </c>
      <c r="H3918" t="s">
        <v>13</v>
      </c>
      <c r="I3918">
        <v>59</v>
      </c>
      <c r="J3918" t="str" cm="1">
        <f t="array" ref="J3918">_xlfn.IFS(ISBLANK(C3918),"FALTANTE",ABS((C3918-$W$5)/$X$5)&gt;1.96,"ATÍPICO",ABS((C3918-$W$5)/$X$5)&lt;=1.96,"NO ATÍPICO")</f>
        <v>NO ATÍPICO</v>
      </c>
      <c r="K3918" t="str" cm="1">
        <f t="array" ref="K3918">_xlfn.IFS(ISBLANK(I3918),"FALTANTE",ABS((I3918-$W$8)/$X$8)&gt;1.92,"ATÍPICO",ABS((I3918-$W$8)/$X$8)&lt;=1.92,"NO ATÍPICO")</f>
        <v>NO ATÍPICO</v>
      </c>
      <c r="L3918">
        <f t="shared" si="261"/>
        <v>297046</v>
      </c>
      <c r="M3918" t="str">
        <f t="shared" si="261"/>
        <v>ASEGURADO VOLUNTARIO</v>
      </c>
      <c r="N3918">
        <f t="shared" si="262"/>
        <v>59</v>
      </c>
      <c r="O3918" s="19" t="str">
        <f t="shared" si="263"/>
        <v>0–300k</v>
      </c>
      <c r="P3918" s="19" t="str">
        <f t="shared" si="264"/>
        <v>56+</v>
      </c>
    </row>
    <row r="3919" spans="1:16" x14ac:dyDescent="0.25">
      <c r="A3919">
        <v>3918</v>
      </c>
      <c r="B3919" t="s">
        <v>15</v>
      </c>
      <c r="C3919">
        <v>360000</v>
      </c>
      <c r="D3919" t="s">
        <v>10</v>
      </c>
      <c r="E3919" t="s">
        <v>16</v>
      </c>
      <c r="F3919" t="s">
        <v>12</v>
      </c>
      <c r="G3919" t="s">
        <v>13</v>
      </c>
      <c r="H3919" t="s">
        <v>13</v>
      </c>
      <c r="I3919">
        <v>23</v>
      </c>
      <c r="J3919" t="str" cm="1">
        <f t="array" ref="J3919">_xlfn.IFS(ISBLANK(C3919),"FALTANTE",ABS((C3919-$W$5)/$X$5)&gt;1.96,"ATÍPICO",ABS((C3919-$W$5)/$X$5)&lt;=1.96,"NO ATÍPICO")</f>
        <v>NO ATÍPICO</v>
      </c>
      <c r="K3919" t="str" cm="1">
        <f t="array" ref="K3919">_xlfn.IFS(ISBLANK(I3919),"FALTANTE",ABS((I3919-$W$8)/$X$8)&gt;1.92,"ATÍPICO",ABS((I3919-$W$8)/$X$8)&lt;=1.92,"NO ATÍPICO")</f>
        <v>NO ATÍPICO</v>
      </c>
      <c r="L3919">
        <f t="shared" si="261"/>
        <v>360000</v>
      </c>
      <c r="M3919" t="str">
        <f t="shared" si="261"/>
        <v>ASALARIADO</v>
      </c>
      <c r="N3919">
        <f t="shared" si="262"/>
        <v>23</v>
      </c>
      <c r="O3919" s="19" t="str">
        <f t="shared" si="263"/>
        <v>300k–600k</v>
      </c>
      <c r="P3919" s="19" t="str">
        <f t="shared" si="264"/>
        <v>18-25</v>
      </c>
    </row>
    <row r="3920" spans="1:16" x14ac:dyDescent="0.25">
      <c r="A3920">
        <v>3919</v>
      </c>
      <c r="B3920" t="s">
        <v>15</v>
      </c>
      <c r="C3920">
        <v>297046</v>
      </c>
      <c r="D3920" t="s">
        <v>17</v>
      </c>
      <c r="E3920" t="s">
        <v>16</v>
      </c>
      <c r="F3920" t="s">
        <v>12</v>
      </c>
      <c r="G3920" t="s">
        <v>13</v>
      </c>
      <c r="H3920" t="s">
        <v>13</v>
      </c>
      <c r="I3920">
        <v>43</v>
      </c>
      <c r="J3920" t="str" cm="1">
        <f t="array" ref="J3920">_xlfn.IFS(ISBLANK(C3920),"FALTANTE",ABS((C3920-$W$5)/$X$5)&gt;1.96,"ATÍPICO",ABS((C3920-$W$5)/$X$5)&lt;=1.96,"NO ATÍPICO")</f>
        <v>NO ATÍPICO</v>
      </c>
      <c r="K3920" t="str" cm="1">
        <f t="array" ref="K3920">_xlfn.IFS(ISBLANK(I3920),"FALTANTE",ABS((I3920-$W$8)/$X$8)&gt;1.92,"ATÍPICO",ABS((I3920-$W$8)/$X$8)&lt;=1.92,"NO ATÍPICO")</f>
        <v>NO ATÍPICO</v>
      </c>
      <c r="L3920">
        <f t="shared" si="261"/>
        <v>297046</v>
      </c>
      <c r="M3920" t="str">
        <f t="shared" si="261"/>
        <v>ASEGURADO VOLUNTARIO</v>
      </c>
      <c r="N3920">
        <f t="shared" si="262"/>
        <v>43</v>
      </c>
      <c r="O3920" s="19" t="str">
        <f t="shared" si="263"/>
        <v>0–300k</v>
      </c>
      <c r="P3920" s="19" t="str">
        <f t="shared" si="264"/>
        <v>36-45</v>
      </c>
    </row>
    <row r="3921" spans="1:16" x14ac:dyDescent="0.25">
      <c r="A3921">
        <v>3920</v>
      </c>
      <c r="B3921" t="s">
        <v>9</v>
      </c>
      <c r="C3921">
        <v>10</v>
      </c>
      <c r="D3921" t="s">
        <v>10</v>
      </c>
      <c r="E3921" t="s">
        <v>16</v>
      </c>
      <c r="F3921" t="s">
        <v>12</v>
      </c>
      <c r="G3921" t="s">
        <v>13</v>
      </c>
      <c r="H3921" t="s">
        <v>13</v>
      </c>
      <c r="I3921">
        <v>42</v>
      </c>
      <c r="J3921" t="str" cm="1">
        <f t="array" ref="J3921">_xlfn.IFS(ISBLANK(C3921),"FALTANTE",ABS((C3921-$W$5)/$X$5)&gt;1.96,"ATÍPICO",ABS((C3921-$W$5)/$X$5)&lt;=1.96,"NO ATÍPICO")</f>
        <v>NO ATÍPICO</v>
      </c>
      <c r="K3921" t="str" cm="1">
        <f t="array" ref="K3921">_xlfn.IFS(ISBLANK(I3921),"FALTANTE",ABS((I3921-$W$8)/$X$8)&gt;1.92,"ATÍPICO",ABS((I3921-$W$8)/$X$8)&lt;=1.92,"NO ATÍPICO")</f>
        <v>NO ATÍPICO</v>
      </c>
      <c r="L3921">
        <f t="shared" si="261"/>
        <v>10</v>
      </c>
      <c r="M3921" t="str">
        <f t="shared" si="261"/>
        <v>ASALARIADO</v>
      </c>
      <c r="N3921">
        <f t="shared" si="262"/>
        <v>42</v>
      </c>
      <c r="O3921" s="19" t="str">
        <f t="shared" si="263"/>
        <v>0–300k</v>
      </c>
      <c r="P3921" s="19" t="str">
        <f t="shared" si="264"/>
        <v>36-45</v>
      </c>
    </row>
    <row r="3922" spans="1:16" x14ac:dyDescent="0.25">
      <c r="A3922">
        <v>3921</v>
      </c>
      <c r="B3922" t="s">
        <v>9</v>
      </c>
      <c r="C3922">
        <v>310124</v>
      </c>
      <c r="D3922" t="s">
        <v>18</v>
      </c>
      <c r="E3922" t="s">
        <v>16</v>
      </c>
      <c r="F3922" t="s">
        <v>12</v>
      </c>
      <c r="G3922" t="s">
        <v>12</v>
      </c>
      <c r="H3922" t="s">
        <v>12</v>
      </c>
      <c r="I3922">
        <v>48</v>
      </c>
      <c r="J3922" t="str" cm="1">
        <f t="array" ref="J3922">_xlfn.IFS(ISBLANK(C3922),"FALTANTE",ABS((C3922-$W$5)/$X$5)&gt;1.96,"ATÍPICO",ABS((C3922-$W$5)/$X$5)&lt;=1.96,"NO ATÍPICO")</f>
        <v>NO ATÍPICO</v>
      </c>
      <c r="K3922" t="str" cm="1">
        <f t="array" ref="K3922">_xlfn.IFS(ISBLANK(I3922),"FALTANTE",ABS((I3922-$W$8)/$X$8)&gt;1.92,"ATÍPICO",ABS((I3922-$W$8)/$X$8)&lt;=1.92,"NO ATÍPICO")</f>
        <v>NO ATÍPICO</v>
      </c>
      <c r="L3922">
        <f t="shared" si="261"/>
        <v>310124</v>
      </c>
      <c r="M3922" t="str">
        <f t="shared" si="261"/>
        <v>TRABAJADOR INDEPENDIENTE</v>
      </c>
      <c r="N3922">
        <f t="shared" si="262"/>
        <v>48</v>
      </c>
      <c r="O3922" s="19" t="str">
        <f t="shared" si="263"/>
        <v>300k–600k</v>
      </c>
      <c r="P3922" s="19" t="str">
        <f t="shared" si="264"/>
        <v>46-55</v>
      </c>
    </row>
    <row r="3923" spans="1:16" x14ac:dyDescent="0.25">
      <c r="A3923">
        <v>3922</v>
      </c>
      <c r="B3923" t="s">
        <v>9</v>
      </c>
      <c r="C3923">
        <v>148800</v>
      </c>
      <c r="D3923" t="s">
        <v>10</v>
      </c>
      <c r="E3923" t="s">
        <v>16</v>
      </c>
      <c r="F3923" t="s">
        <v>12</v>
      </c>
      <c r="G3923" t="s">
        <v>13</v>
      </c>
      <c r="H3923" t="s">
        <v>13</v>
      </c>
      <c r="I3923">
        <v>54</v>
      </c>
      <c r="J3923" t="str" cm="1">
        <f t="array" ref="J3923">_xlfn.IFS(ISBLANK(C3923),"FALTANTE",ABS((C3923-$W$5)/$X$5)&gt;1.96,"ATÍPICO",ABS((C3923-$W$5)/$X$5)&lt;=1.96,"NO ATÍPICO")</f>
        <v>NO ATÍPICO</v>
      </c>
      <c r="K3923" t="str" cm="1">
        <f t="array" ref="K3923">_xlfn.IFS(ISBLANK(I3923),"FALTANTE",ABS((I3923-$W$8)/$X$8)&gt;1.92,"ATÍPICO",ABS((I3923-$W$8)/$X$8)&lt;=1.92,"NO ATÍPICO")</f>
        <v>NO ATÍPICO</v>
      </c>
      <c r="L3923">
        <f t="shared" si="261"/>
        <v>148800</v>
      </c>
      <c r="M3923" t="str">
        <f t="shared" si="261"/>
        <v>ASALARIADO</v>
      </c>
      <c r="N3923">
        <f t="shared" si="262"/>
        <v>54</v>
      </c>
      <c r="O3923" s="19" t="str">
        <f t="shared" si="263"/>
        <v>0–300k</v>
      </c>
      <c r="P3923" s="19" t="str">
        <f t="shared" si="264"/>
        <v>46-55</v>
      </c>
    </row>
    <row r="3924" spans="1:16" x14ac:dyDescent="0.25">
      <c r="A3924">
        <v>3923</v>
      </c>
      <c r="B3924" t="s">
        <v>9</v>
      </c>
      <c r="C3924">
        <v>192600</v>
      </c>
      <c r="D3924" t="s">
        <v>10</v>
      </c>
      <c r="E3924" t="s">
        <v>16</v>
      </c>
      <c r="F3924" t="s">
        <v>12</v>
      </c>
      <c r="G3924" t="s">
        <v>12</v>
      </c>
      <c r="H3924" t="s">
        <v>12</v>
      </c>
      <c r="I3924">
        <v>48</v>
      </c>
      <c r="J3924" t="str" cm="1">
        <f t="array" ref="J3924">_xlfn.IFS(ISBLANK(C3924),"FALTANTE",ABS((C3924-$W$5)/$X$5)&gt;1.96,"ATÍPICO",ABS((C3924-$W$5)/$X$5)&lt;=1.96,"NO ATÍPICO")</f>
        <v>NO ATÍPICO</v>
      </c>
      <c r="K3924" t="str" cm="1">
        <f t="array" ref="K3924">_xlfn.IFS(ISBLANK(I3924),"FALTANTE",ABS((I3924-$W$8)/$X$8)&gt;1.92,"ATÍPICO",ABS((I3924-$W$8)/$X$8)&lt;=1.92,"NO ATÍPICO")</f>
        <v>NO ATÍPICO</v>
      </c>
      <c r="L3924">
        <f t="shared" si="261"/>
        <v>192600</v>
      </c>
      <c r="M3924" t="str">
        <f t="shared" si="261"/>
        <v>ASALARIADO</v>
      </c>
      <c r="N3924">
        <f t="shared" si="262"/>
        <v>48</v>
      </c>
      <c r="O3924" s="19" t="str">
        <f t="shared" si="263"/>
        <v>0–300k</v>
      </c>
      <c r="P3924" s="19" t="str">
        <f t="shared" si="264"/>
        <v>46-55</v>
      </c>
    </row>
    <row r="3925" spans="1:16" x14ac:dyDescent="0.25">
      <c r="A3925">
        <v>3924</v>
      </c>
      <c r="B3925" t="s">
        <v>9</v>
      </c>
      <c r="C3925">
        <v>305704</v>
      </c>
      <c r="D3925" t="s">
        <v>18</v>
      </c>
      <c r="E3925" t="s">
        <v>16</v>
      </c>
      <c r="F3925" t="s">
        <v>12</v>
      </c>
      <c r="G3925" t="s">
        <v>13</v>
      </c>
      <c r="H3925" t="s">
        <v>12</v>
      </c>
      <c r="I3925">
        <v>42</v>
      </c>
      <c r="J3925" t="str" cm="1">
        <f t="array" ref="J3925">_xlfn.IFS(ISBLANK(C3925),"FALTANTE",ABS((C3925-$W$5)/$X$5)&gt;1.96,"ATÍPICO",ABS((C3925-$W$5)/$X$5)&lt;=1.96,"NO ATÍPICO")</f>
        <v>NO ATÍPICO</v>
      </c>
      <c r="K3925" t="str" cm="1">
        <f t="array" ref="K3925">_xlfn.IFS(ISBLANK(I3925),"FALTANTE",ABS((I3925-$W$8)/$X$8)&gt;1.92,"ATÍPICO",ABS((I3925-$W$8)/$X$8)&lt;=1.92,"NO ATÍPICO")</f>
        <v>NO ATÍPICO</v>
      </c>
      <c r="L3925">
        <f t="shared" si="261"/>
        <v>305704</v>
      </c>
      <c r="M3925" t="str">
        <f t="shared" si="261"/>
        <v>TRABAJADOR INDEPENDIENTE</v>
      </c>
      <c r="N3925">
        <f t="shared" si="262"/>
        <v>42</v>
      </c>
      <c r="O3925" s="19" t="str">
        <f t="shared" si="263"/>
        <v>300k–600k</v>
      </c>
      <c r="P3925" s="19" t="str">
        <f t="shared" si="264"/>
        <v>36-45</v>
      </c>
    </row>
    <row r="3926" spans="1:16" x14ac:dyDescent="0.25">
      <c r="A3926">
        <v>3925</v>
      </c>
      <c r="B3926" t="s">
        <v>9</v>
      </c>
      <c r="C3926">
        <v>297046</v>
      </c>
      <c r="D3926" t="s">
        <v>17</v>
      </c>
      <c r="E3926" t="s">
        <v>16</v>
      </c>
      <c r="F3926" t="s">
        <v>12</v>
      </c>
      <c r="G3926" t="s">
        <v>13</v>
      </c>
      <c r="H3926" t="s">
        <v>13</v>
      </c>
      <c r="I3926">
        <v>48</v>
      </c>
      <c r="J3926" t="str" cm="1">
        <f t="array" ref="J3926">_xlfn.IFS(ISBLANK(C3926),"FALTANTE",ABS((C3926-$W$5)/$X$5)&gt;1.96,"ATÍPICO",ABS((C3926-$W$5)/$X$5)&lt;=1.96,"NO ATÍPICO")</f>
        <v>NO ATÍPICO</v>
      </c>
      <c r="K3926" t="str" cm="1">
        <f t="array" ref="K3926">_xlfn.IFS(ISBLANK(I3926),"FALTANTE",ABS((I3926-$W$8)/$X$8)&gt;1.92,"ATÍPICO",ABS((I3926-$W$8)/$X$8)&lt;=1.92,"NO ATÍPICO")</f>
        <v>NO ATÍPICO</v>
      </c>
      <c r="L3926">
        <f t="shared" si="261"/>
        <v>297046</v>
      </c>
      <c r="M3926" t="str">
        <f t="shared" si="261"/>
        <v>ASEGURADO VOLUNTARIO</v>
      </c>
      <c r="N3926">
        <f t="shared" si="262"/>
        <v>48</v>
      </c>
      <c r="O3926" s="19" t="str">
        <f t="shared" si="263"/>
        <v>0–300k</v>
      </c>
      <c r="P3926" s="19" t="str">
        <f t="shared" si="264"/>
        <v>46-55</v>
      </c>
    </row>
    <row r="3927" spans="1:16" x14ac:dyDescent="0.25">
      <c r="A3927">
        <v>3926</v>
      </c>
      <c r="B3927" t="s">
        <v>9</v>
      </c>
      <c r="C3927">
        <v>1481119.18</v>
      </c>
      <c r="D3927" t="s">
        <v>10</v>
      </c>
      <c r="E3927" t="s">
        <v>16</v>
      </c>
      <c r="F3927" t="s">
        <v>12</v>
      </c>
      <c r="G3927" t="s">
        <v>13</v>
      </c>
      <c r="H3927" t="s">
        <v>13</v>
      </c>
      <c r="I3927">
        <v>29</v>
      </c>
      <c r="J3927" t="str" cm="1">
        <f t="array" ref="J3927">_xlfn.IFS(ISBLANK(C3927),"FALTANTE",ABS((C3927-$W$5)/$X$5)&gt;1.96,"ATÍPICO",ABS((C3927-$W$5)/$X$5)&lt;=1.96,"NO ATÍPICO")</f>
        <v>NO ATÍPICO</v>
      </c>
      <c r="K3927" t="str" cm="1">
        <f t="array" ref="K3927">_xlfn.IFS(ISBLANK(I3927),"FALTANTE",ABS((I3927-$W$8)/$X$8)&gt;1.92,"ATÍPICO",ABS((I3927-$W$8)/$X$8)&lt;=1.92,"NO ATÍPICO")</f>
        <v>NO ATÍPICO</v>
      </c>
      <c r="L3927">
        <f t="shared" si="261"/>
        <v>1481119.18</v>
      </c>
      <c r="M3927" t="str">
        <f t="shared" si="261"/>
        <v>ASALARIADO</v>
      </c>
      <c r="N3927">
        <f t="shared" si="262"/>
        <v>29</v>
      </c>
      <c r="O3927" s="19" t="str">
        <f t="shared" si="263"/>
        <v>1200k+</v>
      </c>
      <c r="P3927" s="19" t="str">
        <f t="shared" si="264"/>
        <v>26-35</v>
      </c>
    </row>
    <row r="3928" spans="1:16" x14ac:dyDescent="0.25">
      <c r="A3928">
        <v>3927</v>
      </c>
      <c r="B3928" t="s">
        <v>15</v>
      </c>
      <c r="C3928">
        <v>220000</v>
      </c>
      <c r="D3928" t="s">
        <v>10</v>
      </c>
      <c r="E3928" t="s">
        <v>16</v>
      </c>
      <c r="F3928" t="s">
        <v>12</v>
      </c>
      <c r="G3928" t="s">
        <v>13</v>
      </c>
      <c r="H3928" t="s">
        <v>13</v>
      </c>
      <c r="I3928">
        <v>58</v>
      </c>
      <c r="J3928" t="str" cm="1">
        <f t="array" ref="J3928">_xlfn.IFS(ISBLANK(C3928),"FALTANTE",ABS((C3928-$W$5)/$X$5)&gt;1.96,"ATÍPICO",ABS((C3928-$W$5)/$X$5)&lt;=1.96,"NO ATÍPICO")</f>
        <v>NO ATÍPICO</v>
      </c>
      <c r="K3928" t="str" cm="1">
        <f t="array" ref="K3928">_xlfn.IFS(ISBLANK(I3928),"FALTANTE",ABS((I3928-$W$8)/$X$8)&gt;1.92,"ATÍPICO",ABS((I3928-$W$8)/$X$8)&lt;=1.92,"NO ATÍPICO")</f>
        <v>NO ATÍPICO</v>
      </c>
      <c r="L3928">
        <f t="shared" si="261"/>
        <v>220000</v>
      </c>
      <c r="M3928" t="str">
        <f t="shared" si="261"/>
        <v>ASALARIADO</v>
      </c>
      <c r="N3928">
        <f t="shared" si="262"/>
        <v>58</v>
      </c>
      <c r="O3928" s="19" t="str">
        <f t="shared" si="263"/>
        <v>0–300k</v>
      </c>
      <c r="P3928" s="19" t="str">
        <f t="shared" si="264"/>
        <v>56+</v>
      </c>
    </row>
    <row r="3929" spans="1:16" x14ac:dyDescent="0.25">
      <c r="A3929">
        <v>3928</v>
      </c>
      <c r="B3929" t="s">
        <v>15</v>
      </c>
      <c r="C3929">
        <v>856546</v>
      </c>
      <c r="D3929" t="s">
        <v>10</v>
      </c>
      <c r="E3929" t="s">
        <v>11</v>
      </c>
      <c r="F3929" t="s">
        <v>12</v>
      </c>
      <c r="G3929" t="s">
        <v>13</v>
      </c>
      <c r="H3929" t="s">
        <v>13</v>
      </c>
      <c r="I3929">
        <v>36</v>
      </c>
      <c r="J3929" t="str" cm="1">
        <f t="array" ref="J3929">_xlfn.IFS(ISBLANK(C3929),"FALTANTE",ABS((C3929-$W$5)/$X$5)&gt;1.96,"ATÍPICO",ABS((C3929-$W$5)/$X$5)&lt;=1.96,"NO ATÍPICO")</f>
        <v>NO ATÍPICO</v>
      </c>
      <c r="K3929" t="str" cm="1">
        <f t="array" ref="K3929">_xlfn.IFS(ISBLANK(I3929),"FALTANTE",ABS((I3929-$W$8)/$X$8)&gt;1.92,"ATÍPICO",ABS((I3929-$W$8)/$X$8)&lt;=1.92,"NO ATÍPICO")</f>
        <v>NO ATÍPICO</v>
      </c>
      <c r="L3929">
        <f t="shared" si="261"/>
        <v>856546</v>
      </c>
      <c r="M3929" t="str">
        <f t="shared" si="261"/>
        <v>ASALARIADO</v>
      </c>
      <c r="N3929">
        <f t="shared" si="262"/>
        <v>36</v>
      </c>
      <c r="O3929" s="19" t="str">
        <f t="shared" si="263"/>
        <v>600k–900k</v>
      </c>
      <c r="P3929" s="19" t="str">
        <f t="shared" si="264"/>
        <v>36-45</v>
      </c>
    </row>
    <row r="3930" spans="1:16" x14ac:dyDescent="0.25">
      <c r="A3930">
        <v>3929</v>
      </c>
      <c r="B3930" t="s">
        <v>15</v>
      </c>
      <c r="C3930">
        <v>358640</v>
      </c>
      <c r="D3930" t="s">
        <v>18</v>
      </c>
      <c r="E3930" t="s">
        <v>16</v>
      </c>
      <c r="F3930" t="s">
        <v>12</v>
      </c>
      <c r="G3930" t="s">
        <v>13</v>
      </c>
      <c r="H3930" t="s">
        <v>12</v>
      </c>
      <c r="I3930">
        <v>24</v>
      </c>
      <c r="J3930" t="str" cm="1">
        <f t="array" ref="J3930">_xlfn.IFS(ISBLANK(C3930),"FALTANTE",ABS((C3930-$W$5)/$X$5)&gt;1.96,"ATÍPICO",ABS((C3930-$W$5)/$X$5)&lt;=1.96,"NO ATÍPICO")</f>
        <v>NO ATÍPICO</v>
      </c>
      <c r="K3930" t="str" cm="1">
        <f t="array" ref="K3930">_xlfn.IFS(ISBLANK(I3930),"FALTANTE",ABS((I3930-$W$8)/$X$8)&gt;1.92,"ATÍPICO",ABS((I3930-$W$8)/$X$8)&lt;=1.92,"NO ATÍPICO")</f>
        <v>NO ATÍPICO</v>
      </c>
      <c r="L3930">
        <f t="shared" si="261"/>
        <v>358640</v>
      </c>
      <c r="M3930" t="str">
        <f t="shared" si="261"/>
        <v>TRABAJADOR INDEPENDIENTE</v>
      </c>
      <c r="N3930">
        <f t="shared" si="262"/>
        <v>24</v>
      </c>
      <c r="O3930" s="19" t="str">
        <f t="shared" si="263"/>
        <v>300k–600k</v>
      </c>
      <c r="P3930" s="19" t="str">
        <f t="shared" si="264"/>
        <v>18-25</v>
      </c>
    </row>
    <row r="3931" spans="1:16" x14ac:dyDescent="0.25">
      <c r="A3931">
        <v>3930</v>
      </c>
      <c r="B3931" t="s">
        <v>9</v>
      </c>
      <c r="C3931">
        <v>345000</v>
      </c>
      <c r="D3931" t="s">
        <v>10</v>
      </c>
      <c r="E3931" t="s">
        <v>16</v>
      </c>
      <c r="F3931" t="s">
        <v>12</v>
      </c>
      <c r="G3931" t="s">
        <v>13</v>
      </c>
      <c r="H3931" t="s">
        <v>13</v>
      </c>
      <c r="I3931">
        <v>62</v>
      </c>
      <c r="J3931" t="str" cm="1">
        <f t="array" ref="J3931">_xlfn.IFS(ISBLANK(C3931),"FALTANTE",ABS((C3931-$W$5)/$X$5)&gt;1.96,"ATÍPICO",ABS((C3931-$W$5)/$X$5)&lt;=1.96,"NO ATÍPICO")</f>
        <v>NO ATÍPICO</v>
      </c>
      <c r="K3931" t="str" cm="1">
        <f t="array" ref="K3931">_xlfn.IFS(ISBLANK(I3931),"FALTANTE",ABS((I3931-$W$8)/$X$8)&gt;1.92,"ATÍPICO",ABS((I3931-$W$8)/$X$8)&lt;=1.92,"NO ATÍPICO")</f>
        <v>NO ATÍPICO</v>
      </c>
      <c r="L3931">
        <f t="shared" si="261"/>
        <v>345000</v>
      </c>
      <c r="M3931" t="str">
        <f t="shared" si="261"/>
        <v>ASALARIADO</v>
      </c>
      <c r="N3931">
        <f t="shared" si="262"/>
        <v>62</v>
      </c>
      <c r="O3931" s="19" t="str">
        <f t="shared" si="263"/>
        <v>300k–600k</v>
      </c>
      <c r="P3931" s="19" t="str">
        <f t="shared" si="264"/>
        <v>56+</v>
      </c>
    </row>
    <row r="3932" spans="1:16" x14ac:dyDescent="0.25">
      <c r="A3932">
        <v>3931</v>
      </c>
      <c r="B3932" t="s">
        <v>9</v>
      </c>
      <c r="C3932">
        <v>292400</v>
      </c>
      <c r="D3932" t="s">
        <v>10</v>
      </c>
      <c r="E3932" t="s">
        <v>16</v>
      </c>
      <c r="F3932" t="s">
        <v>12</v>
      </c>
      <c r="G3932" t="s">
        <v>13</v>
      </c>
      <c r="H3932" t="s">
        <v>13</v>
      </c>
      <c r="I3932">
        <v>34</v>
      </c>
      <c r="J3932" t="str" cm="1">
        <f t="array" ref="J3932">_xlfn.IFS(ISBLANK(C3932),"FALTANTE",ABS((C3932-$W$5)/$X$5)&gt;1.96,"ATÍPICO",ABS((C3932-$W$5)/$X$5)&lt;=1.96,"NO ATÍPICO")</f>
        <v>NO ATÍPICO</v>
      </c>
      <c r="K3932" t="str" cm="1">
        <f t="array" ref="K3932">_xlfn.IFS(ISBLANK(I3932),"FALTANTE",ABS((I3932-$W$8)/$X$8)&gt;1.92,"ATÍPICO",ABS((I3932-$W$8)/$X$8)&lt;=1.92,"NO ATÍPICO")</f>
        <v>NO ATÍPICO</v>
      </c>
      <c r="L3932">
        <f t="shared" si="261"/>
        <v>292400</v>
      </c>
      <c r="M3932" t="str">
        <f t="shared" si="261"/>
        <v>ASALARIADO</v>
      </c>
      <c r="N3932">
        <f t="shared" si="262"/>
        <v>34</v>
      </c>
      <c r="O3932" s="19" t="str">
        <f t="shared" si="263"/>
        <v>0–300k</v>
      </c>
      <c r="P3932" s="19" t="str">
        <f t="shared" si="264"/>
        <v>26-35</v>
      </c>
    </row>
    <row r="3933" spans="1:16" x14ac:dyDescent="0.25">
      <c r="A3933">
        <v>3932</v>
      </c>
      <c r="B3933" t="s">
        <v>15</v>
      </c>
      <c r="C3933">
        <v>445400</v>
      </c>
      <c r="D3933" t="s">
        <v>10</v>
      </c>
      <c r="E3933" t="s">
        <v>11</v>
      </c>
      <c r="F3933" t="s">
        <v>12</v>
      </c>
      <c r="G3933" t="s">
        <v>13</v>
      </c>
      <c r="H3933" t="s">
        <v>12</v>
      </c>
      <c r="I3933">
        <v>52</v>
      </c>
      <c r="J3933" t="str" cm="1">
        <f t="array" ref="J3933">_xlfn.IFS(ISBLANK(C3933),"FALTANTE",ABS((C3933-$W$5)/$X$5)&gt;1.96,"ATÍPICO",ABS((C3933-$W$5)/$X$5)&lt;=1.96,"NO ATÍPICO")</f>
        <v>NO ATÍPICO</v>
      </c>
      <c r="K3933" t="str" cm="1">
        <f t="array" ref="K3933">_xlfn.IFS(ISBLANK(I3933),"FALTANTE",ABS((I3933-$W$8)/$X$8)&gt;1.92,"ATÍPICO",ABS((I3933-$W$8)/$X$8)&lt;=1.92,"NO ATÍPICO")</f>
        <v>NO ATÍPICO</v>
      </c>
      <c r="L3933">
        <f t="shared" si="261"/>
        <v>445400</v>
      </c>
      <c r="M3933" t="str">
        <f t="shared" si="261"/>
        <v>ASALARIADO</v>
      </c>
      <c r="N3933">
        <f t="shared" si="262"/>
        <v>52</v>
      </c>
      <c r="O3933" s="19" t="str">
        <f t="shared" si="263"/>
        <v>300k–600k</v>
      </c>
      <c r="P3933" s="19" t="str">
        <f t="shared" si="264"/>
        <v>46-55</v>
      </c>
    </row>
    <row r="3934" spans="1:16" x14ac:dyDescent="0.25">
      <c r="A3934">
        <v>3933</v>
      </c>
      <c r="B3934" t="s">
        <v>9</v>
      </c>
      <c r="C3934">
        <v>300000</v>
      </c>
      <c r="D3934" t="s">
        <v>10</v>
      </c>
      <c r="E3934" t="s">
        <v>16</v>
      </c>
      <c r="F3934" t="s">
        <v>12</v>
      </c>
      <c r="G3934" t="s">
        <v>13</v>
      </c>
      <c r="H3934" t="s">
        <v>13</v>
      </c>
      <c r="I3934">
        <v>50</v>
      </c>
      <c r="J3934" t="str" cm="1">
        <f t="array" ref="J3934">_xlfn.IFS(ISBLANK(C3934),"FALTANTE",ABS((C3934-$W$5)/$X$5)&gt;1.96,"ATÍPICO",ABS((C3934-$W$5)/$X$5)&lt;=1.96,"NO ATÍPICO")</f>
        <v>NO ATÍPICO</v>
      </c>
      <c r="K3934" t="str" cm="1">
        <f t="array" ref="K3934">_xlfn.IFS(ISBLANK(I3934),"FALTANTE",ABS((I3934-$W$8)/$X$8)&gt;1.92,"ATÍPICO",ABS((I3934-$W$8)/$X$8)&lt;=1.92,"NO ATÍPICO")</f>
        <v>NO ATÍPICO</v>
      </c>
      <c r="L3934">
        <f t="shared" si="261"/>
        <v>300000</v>
      </c>
      <c r="M3934" t="str">
        <f t="shared" si="261"/>
        <v>ASALARIADO</v>
      </c>
      <c r="N3934">
        <f t="shared" si="262"/>
        <v>50</v>
      </c>
      <c r="O3934" s="19" t="str">
        <f t="shared" si="263"/>
        <v>0–300k</v>
      </c>
      <c r="P3934" s="19" t="str">
        <f t="shared" si="264"/>
        <v>46-55</v>
      </c>
    </row>
    <row r="3935" spans="1:16" x14ac:dyDescent="0.25">
      <c r="A3935">
        <v>3934</v>
      </c>
      <c r="B3935" t="s">
        <v>15</v>
      </c>
      <c r="C3935">
        <v>343391</v>
      </c>
      <c r="D3935" t="s">
        <v>10</v>
      </c>
      <c r="E3935" t="s">
        <v>16</v>
      </c>
      <c r="F3935" t="s">
        <v>12</v>
      </c>
      <c r="G3935" t="s">
        <v>13</v>
      </c>
      <c r="H3935" t="s">
        <v>13</v>
      </c>
      <c r="I3935">
        <v>40</v>
      </c>
      <c r="J3935" t="str" cm="1">
        <f t="array" ref="J3935">_xlfn.IFS(ISBLANK(C3935),"FALTANTE",ABS((C3935-$W$5)/$X$5)&gt;1.96,"ATÍPICO",ABS((C3935-$W$5)/$X$5)&lt;=1.96,"NO ATÍPICO")</f>
        <v>NO ATÍPICO</v>
      </c>
      <c r="K3935" t="str" cm="1">
        <f t="array" ref="K3935">_xlfn.IFS(ISBLANK(I3935),"FALTANTE",ABS((I3935-$W$8)/$X$8)&gt;1.92,"ATÍPICO",ABS((I3935-$W$8)/$X$8)&lt;=1.92,"NO ATÍPICO")</f>
        <v>NO ATÍPICO</v>
      </c>
      <c r="L3935">
        <f t="shared" si="261"/>
        <v>343391</v>
      </c>
      <c r="M3935" t="str">
        <f t="shared" si="261"/>
        <v>ASALARIADO</v>
      </c>
      <c r="N3935">
        <f t="shared" si="262"/>
        <v>40</v>
      </c>
      <c r="O3935" s="19" t="str">
        <f t="shared" si="263"/>
        <v>300k–600k</v>
      </c>
      <c r="P3935" s="19" t="str">
        <f t="shared" si="264"/>
        <v>36-45</v>
      </c>
    </row>
    <row r="3936" spans="1:16" x14ac:dyDescent="0.25">
      <c r="A3936">
        <v>3935</v>
      </c>
      <c r="B3936" t="s">
        <v>9</v>
      </c>
      <c r="C3936">
        <v>64275.12</v>
      </c>
      <c r="D3936" t="s">
        <v>10</v>
      </c>
      <c r="E3936" t="s">
        <v>16</v>
      </c>
      <c r="F3936" t="s">
        <v>12</v>
      </c>
      <c r="G3936" t="s">
        <v>13</v>
      </c>
      <c r="H3936" t="s">
        <v>13</v>
      </c>
      <c r="I3936">
        <v>31</v>
      </c>
      <c r="J3936" t="str" cm="1">
        <f t="array" ref="J3936">_xlfn.IFS(ISBLANK(C3936),"FALTANTE",ABS((C3936-$W$5)/$X$5)&gt;1.96,"ATÍPICO",ABS((C3936-$W$5)/$X$5)&lt;=1.96,"NO ATÍPICO")</f>
        <v>NO ATÍPICO</v>
      </c>
      <c r="K3936" t="str" cm="1">
        <f t="array" ref="K3936">_xlfn.IFS(ISBLANK(I3936),"FALTANTE",ABS((I3936-$W$8)/$X$8)&gt;1.92,"ATÍPICO",ABS((I3936-$W$8)/$X$8)&lt;=1.92,"NO ATÍPICO")</f>
        <v>NO ATÍPICO</v>
      </c>
      <c r="L3936">
        <f t="shared" si="261"/>
        <v>64275.12</v>
      </c>
      <c r="M3936" t="str">
        <f t="shared" si="261"/>
        <v>ASALARIADO</v>
      </c>
      <c r="N3936">
        <f t="shared" si="262"/>
        <v>31</v>
      </c>
      <c r="O3936" s="19" t="str">
        <f t="shared" si="263"/>
        <v>0–300k</v>
      </c>
      <c r="P3936" s="19" t="str">
        <f t="shared" si="264"/>
        <v>26-35</v>
      </c>
    </row>
    <row r="3937" spans="1:16" x14ac:dyDescent="0.25">
      <c r="A3937">
        <v>3936</v>
      </c>
      <c r="B3937" t="s">
        <v>9</v>
      </c>
      <c r="C3937">
        <v>278030</v>
      </c>
      <c r="D3937" t="s">
        <v>19</v>
      </c>
      <c r="E3937" t="s">
        <v>16</v>
      </c>
      <c r="F3937" t="s">
        <v>12</v>
      </c>
      <c r="G3937" t="s">
        <v>13</v>
      </c>
      <c r="H3937" t="s">
        <v>13</v>
      </c>
      <c r="I3937">
        <v>42</v>
      </c>
      <c r="J3937" t="str" cm="1">
        <f t="array" ref="J3937">_xlfn.IFS(ISBLANK(C3937),"FALTANTE",ABS((C3937-$W$5)/$X$5)&gt;1.96,"ATÍPICO",ABS((C3937-$W$5)/$X$5)&lt;=1.96,"NO ATÍPICO")</f>
        <v>NO ATÍPICO</v>
      </c>
      <c r="K3937" t="str" cm="1">
        <f t="array" ref="K3937">_xlfn.IFS(ISBLANK(I3937),"FALTANTE",ABS((I3937-$W$8)/$X$8)&gt;1.92,"ATÍPICO",ABS((I3937-$W$8)/$X$8)&lt;=1.92,"NO ATÍPICO")</f>
        <v>NO ATÍPICO</v>
      </c>
      <c r="L3937">
        <f t="shared" si="261"/>
        <v>278030</v>
      </c>
      <c r="M3937" t="str">
        <f t="shared" si="261"/>
        <v>CONVENIOS ESPECIALES DE TRABAJADORES INDEPENDIENTES</v>
      </c>
      <c r="N3937">
        <f t="shared" si="262"/>
        <v>42</v>
      </c>
      <c r="O3937" s="19" t="str">
        <f t="shared" si="263"/>
        <v>0–300k</v>
      </c>
      <c r="P3937" s="19" t="str">
        <f t="shared" si="264"/>
        <v>36-45</v>
      </c>
    </row>
    <row r="3938" spans="1:16" x14ac:dyDescent="0.25">
      <c r="A3938">
        <v>3937</v>
      </c>
      <c r="B3938" t="s">
        <v>9</v>
      </c>
      <c r="C3938">
        <v>367154.08</v>
      </c>
      <c r="D3938" t="s">
        <v>10</v>
      </c>
      <c r="E3938" t="s">
        <v>16</v>
      </c>
      <c r="F3938" t="s">
        <v>12</v>
      </c>
      <c r="G3938" t="s">
        <v>13</v>
      </c>
      <c r="H3938" t="s">
        <v>12</v>
      </c>
      <c r="I3938">
        <v>58</v>
      </c>
      <c r="J3938" t="str" cm="1">
        <f t="array" ref="J3938">_xlfn.IFS(ISBLANK(C3938),"FALTANTE",ABS((C3938-$W$5)/$X$5)&gt;1.96,"ATÍPICO",ABS((C3938-$W$5)/$X$5)&lt;=1.96,"NO ATÍPICO")</f>
        <v>NO ATÍPICO</v>
      </c>
      <c r="K3938" t="str" cm="1">
        <f t="array" ref="K3938">_xlfn.IFS(ISBLANK(I3938),"FALTANTE",ABS((I3938-$W$8)/$X$8)&gt;1.92,"ATÍPICO",ABS((I3938-$W$8)/$X$8)&lt;=1.92,"NO ATÍPICO")</f>
        <v>NO ATÍPICO</v>
      </c>
      <c r="L3938">
        <f t="shared" si="261"/>
        <v>367154.08</v>
      </c>
      <c r="M3938" t="str">
        <f t="shared" si="261"/>
        <v>ASALARIADO</v>
      </c>
      <c r="N3938">
        <f t="shared" si="262"/>
        <v>58</v>
      </c>
      <c r="O3938" s="19" t="str">
        <f t="shared" si="263"/>
        <v>300k–600k</v>
      </c>
      <c r="P3938" s="19" t="str">
        <f t="shared" si="264"/>
        <v>56+</v>
      </c>
    </row>
    <row r="3939" spans="1:16" x14ac:dyDescent="0.25">
      <c r="A3939">
        <v>3938</v>
      </c>
      <c r="B3939" t="s">
        <v>15</v>
      </c>
      <c r="C3939">
        <v>508158.5</v>
      </c>
      <c r="D3939" t="s">
        <v>10</v>
      </c>
      <c r="E3939" t="s">
        <v>11</v>
      </c>
      <c r="F3939" t="s">
        <v>12</v>
      </c>
      <c r="G3939" t="s">
        <v>13</v>
      </c>
      <c r="H3939" t="s">
        <v>13</v>
      </c>
      <c r="I3939">
        <v>27</v>
      </c>
      <c r="J3939" t="str" cm="1">
        <f t="array" ref="J3939">_xlfn.IFS(ISBLANK(C3939),"FALTANTE",ABS((C3939-$W$5)/$X$5)&gt;1.96,"ATÍPICO",ABS((C3939-$W$5)/$X$5)&lt;=1.96,"NO ATÍPICO")</f>
        <v>NO ATÍPICO</v>
      </c>
      <c r="K3939" t="str" cm="1">
        <f t="array" ref="K3939">_xlfn.IFS(ISBLANK(I3939),"FALTANTE",ABS((I3939-$W$8)/$X$8)&gt;1.92,"ATÍPICO",ABS((I3939-$W$8)/$X$8)&lt;=1.92,"NO ATÍPICO")</f>
        <v>NO ATÍPICO</v>
      </c>
      <c r="L3939">
        <f t="shared" si="261"/>
        <v>508158.5</v>
      </c>
      <c r="M3939" t="str">
        <f t="shared" si="261"/>
        <v>ASALARIADO</v>
      </c>
      <c r="N3939">
        <f t="shared" si="262"/>
        <v>27</v>
      </c>
      <c r="O3939" s="19" t="str">
        <f t="shared" si="263"/>
        <v>300k–600k</v>
      </c>
      <c r="P3939" s="19" t="str">
        <f t="shared" si="264"/>
        <v>26-35</v>
      </c>
    </row>
    <row r="3940" spans="1:16" x14ac:dyDescent="0.25">
      <c r="A3940">
        <v>3939</v>
      </c>
      <c r="B3940" t="s">
        <v>15</v>
      </c>
      <c r="C3940">
        <v>138000</v>
      </c>
      <c r="D3940" t="s">
        <v>10</v>
      </c>
      <c r="E3940" t="s">
        <v>16</v>
      </c>
      <c r="F3940" t="s">
        <v>12</v>
      </c>
      <c r="G3940" t="s">
        <v>12</v>
      </c>
      <c r="H3940" t="s">
        <v>12</v>
      </c>
      <c r="I3940">
        <v>59</v>
      </c>
      <c r="J3940" t="str" cm="1">
        <f t="array" ref="J3940">_xlfn.IFS(ISBLANK(C3940),"FALTANTE",ABS((C3940-$W$5)/$X$5)&gt;1.96,"ATÍPICO",ABS((C3940-$W$5)/$X$5)&lt;=1.96,"NO ATÍPICO")</f>
        <v>NO ATÍPICO</v>
      </c>
      <c r="K3940" t="str" cm="1">
        <f t="array" ref="K3940">_xlfn.IFS(ISBLANK(I3940),"FALTANTE",ABS((I3940-$W$8)/$X$8)&gt;1.92,"ATÍPICO",ABS((I3940-$W$8)/$X$8)&lt;=1.92,"NO ATÍPICO")</f>
        <v>NO ATÍPICO</v>
      </c>
      <c r="L3940">
        <f t="shared" si="261"/>
        <v>138000</v>
      </c>
      <c r="M3940" t="str">
        <f t="shared" si="261"/>
        <v>ASALARIADO</v>
      </c>
      <c r="N3940">
        <f t="shared" si="262"/>
        <v>59</v>
      </c>
      <c r="O3940" s="19" t="str">
        <f t="shared" si="263"/>
        <v>0–300k</v>
      </c>
      <c r="P3940" s="19" t="str">
        <f t="shared" si="264"/>
        <v>56+</v>
      </c>
    </row>
    <row r="3941" spans="1:16" x14ac:dyDescent="0.25">
      <c r="A3941">
        <v>3940</v>
      </c>
      <c r="B3941" t="s">
        <v>9</v>
      </c>
      <c r="C3941">
        <v>53261.99</v>
      </c>
      <c r="D3941" t="s">
        <v>10</v>
      </c>
      <c r="E3941" t="s">
        <v>16</v>
      </c>
      <c r="F3941" t="s">
        <v>12</v>
      </c>
      <c r="G3941" t="s">
        <v>13</v>
      </c>
      <c r="H3941" t="s">
        <v>13</v>
      </c>
      <c r="I3941">
        <v>26</v>
      </c>
      <c r="J3941" t="str" cm="1">
        <f t="array" ref="J3941">_xlfn.IFS(ISBLANK(C3941),"FALTANTE",ABS((C3941-$W$5)/$X$5)&gt;1.96,"ATÍPICO",ABS((C3941-$W$5)/$X$5)&lt;=1.96,"NO ATÍPICO")</f>
        <v>NO ATÍPICO</v>
      </c>
      <c r="K3941" t="str" cm="1">
        <f t="array" ref="K3941">_xlfn.IFS(ISBLANK(I3941),"FALTANTE",ABS((I3941-$W$8)/$X$8)&gt;1.92,"ATÍPICO",ABS((I3941-$W$8)/$X$8)&lt;=1.92,"NO ATÍPICO")</f>
        <v>NO ATÍPICO</v>
      </c>
      <c r="L3941">
        <f t="shared" si="261"/>
        <v>53261.99</v>
      </c>
      <c r="M3941" t="str">
        <f t="shared" si="261"/>
        <v>ASALARIADO</v>
      </c>
      <c r="N3941">
        <f t="shared" si="262"/>
        <v>26</v>
      </c>
      <c r="O3941" s="19" t="str">
        <f t="shared" si="263"/>
        <v>0–300k</v>
      </c>
      <c r="P3941" s="19" t="str">
        <f t="shared" si="264"/>
        <v>26-35</v>
      </c>
    </row>
    <row r="3942" spans="1:16" x14ac:dyDescent="0.25">
      <c r="A3942">
        <v>3941</v>
      </c>
      <c r="B3942" t="s">
        <v>15</v>
      </c>
      <c r="C3942">
        <v>1787275</v>
      </c>
      <c r="D3942" t="s">
        <v>14</v>
      </c>
      <c r="E3942" t="s">
        <v>11</v>
      </c>
      <c r="F3942" t="s">
        <v>12</v>
      </c>
      <c r="G3942" t="s">
        <v>13</v>
      </c>
      <c r="H3942" t="s">
        <v>13</v>
      </c>
      <c r="I3942">
        <v>67</v>
      </c>
      <c r="J3942" t="str" cm="1">
        <f t="array" ref="J3942">_xlfn.IFS(ISBLANK(C3942),"FALTANTE",ABS((C3942-$W$5)/$X$5)&gt;1.96,"ATÍPICO",ABS((C3942-$W$5)/$X$5)&lt;=1.96,"NO ATÍPICO")</f>
        <v>NO ATÍPICO</v>
      </c>
      <c r="K3942" t="str" cm="1">
        <f t="array" ref="K3942">_xlfn.IFS(ISBLANK(I3942),"FALTANTE",ABS((I3942-$W$8)/$X$8)&gt;1.92,"ATÍPICO",ABS((I3942-$W$8)/$X$8)&lt;=1.92,"NO ATÍPICO")</f>
        <v>NO ATÍPICO</v>
      </c>
      <c r="L3942">
        <f t="shared" si="261"/>
        <v>1787275</v>
      </c>
      <c r="M3942" t="str">
        <f t="shared" si="261"/>
        <v>PENSIONADOS EN SU PROPIO SISTEMA</v>
      </c>
      <c r="N3942">
        <f t="shared" si="262"/>
        <v>67</v>
      </c>
      <c r="O3942" s="19" t="str">
        <f t="shared" si="263"/>
        <v>1200k+</v>
      </c>
      <c r="P3942" s="19" t="str">
        <f t="shared" si="264"/>
        <v>56+</v>
      </c>
    </row>
    <row r="3943" spans="1:16" x14ac:dyDescent="0.25">
      <c r="A3943">
        <v>3942</v>
      </c>
      <c r="B3943" t="s">
        <v>15</v>
      </c>
      <c r="C3943">
        <v>475269</v>
      </c>
      <c r="D3943" t="s">
        <v>18</v>
      </c>
      <c r="E3943" t="s">
        <v>16</v>
      </c>
      <c r="F3943" t="s">
        <v>12</v>
      </c>
      <c r="G3943" t="s">
        <v>13</v>
      </c>
      <c r="H3943" t="s">
        <v>12</v>
      </c>
      <c r="I3943">
        <v>64</v>
      </c>
      <c r="J3943" t="str" cm="1">
        <f t="array" ref="J3943">_xlfn.IFS(ISBLANK(C3943),"FALTANTE",ABS((C3943-$W$5)/$X$5)&gt;1.96,"ATÍPICO",ABS((C3943-$W$5)/$X$5)&lt;=1.96,"NO ATÍPICO")</f>
        <v>NO ATÍPICO</v>
      </c>
      <c r="K3943" t="str" cm="1">
        <f t="array" ref="K3943">_xlfn.IFS(ISBLANK(I3943),"FALTANTE",ABS((I3943-$W$8)/$X$8)&gt;1.92,"ATÍPICO",ABS((I3943-$W$8)/$X$8)&lt;=1.92,"NO ATÍPICO")</f>
        <v>NO ATÍPICO</v>
      </c>
      <c r="L3943">
        <f t="shared" si="261"/>
        <v>475269</v>
      </c>
      <c r="M3943" t="str">
        <f t="shared" si="261"/>
        <v>TRABAJADOR INDEPENDIENTE</v>
      </c>
      <c r="N3943">
        <f t="shared" si="262"/>
        <v>64</v>
      </c>
      <c r="O3943" s="19" t="str">
        <f t="shared" si="263"/>
        <v>300k–600k</v>
      </c>
      <c r="P3943" s="19" t="str">
        <f t="shared" si="264"/>
        <v>56+</v>
      </c>
    </row>
    <row r="3944" spans="1:16" x14ac:dyDescent="0.25">
      <c r="A3944">
        <v>3943</v>
      </c>
      <c r="B3944" t="s">
        <v>15</v>
      </c>
      <c r="C3944">
        <v>1955324</v>
      </c>
      <c r="D3944" t="s">
        <v>10</v>
      </c>
      <c r="E3944" t="s">
        <v>11</v>
      </c>
      <c r="F3944" t="s">
        <v>12</v>
      </c>
      <c r="G3944" t="s">
        <v>13</v>
      </c>
      <c r="H3944" t="s">
        <v>12</v>
      </c>
      <c r="I3944">
        <v>37</v>
      </c>
      <c r="J3944" t="str" cm="1">
        <f t="array" ref="J3944">_xlfn.IFS(ISBLANK(C3944),"FALTANTE",ABS((C3944-$W$5)/$X$5)&gt;1.96,"ATÍPICO",ABS((C3944-$W$5)/$X$5)&lt;=1.96,"NO ATÍPICO")</f>
        <v>NO ATÍPICO</v>
      </c>
      <c r="K3944" t="str" cm="1">
        <f t="array" ref="K3944">_xlfn.IFS(ISBLANK(I3944),"FALTANTE",ABS((I3944-$W$8)/$X$8)&gt;1.92,"ATÍPICO",ABS((I3944-$W$8)/$X$8)&lt;=1.92,"NO ATÍPICO")</f>
        <v>NO ATÍPICO</v>
      </c>
      <c r="L3944">
        <f t="shared" si="261"/>
        <v>1955324</v>
      </c>
      <c r="M3944" t="str">
        <f t="shared" si="261"/>
        <v>ASALARIADO</v>
      </c>
      <c r="N3944">
        <f t="shared" si="262"/>
        <v>37</v>
      </c>
      <c r="O3944" s="19" t="str">
        <f t="shared" si="263"/>
        <v>1200k+</v>
      </c>
      <c r="P3944" s="19" t="str">
        <f t="shared" si="264"/>
        <v>36-45</v>
      </c>
    </row>
    <row r="3945" spans="1:16" x14ac:dyDescent="0.25">
      <c r="A3945">
        <v>3944</v>
      </c>
      <c r="B3945" t="s">
        <v>9</v>
      </c>
      <c r="C3945">
        <v>4348062</v>
      </c>
      <c r="D3945" t="s">
        <v>10</v>
      </c>
      <c r="E3945" t="s">
        <v>16</v>
      </c>
      <c r="F3945" t="s">
        <v>12</v>
      </c>
      <c r="G3945" t="s">
        <v>13</v>
      </c>
      <c r="H3945" t="s">
        <v>13</v>
      </c>
      <c r="I3945">
        <v>43</v>
      </c>
      <c r="J3945" t="str" cm="1">
        <f t="array" ref="J3945">_xlfn.IFS(ISBLANK(C3945),"FALTANTE",ABS((C3945-$W$5)/$X$5)&gt;1.96,"ATÍPICO",ABS((C3945-$W$5)/$X$5)&lt;=1.96,"NO ATÍPICO")</f>
        <v>ATÍPICO</v>
      </c>
      <c r="K3945" t="str" cm="1">
        <f t="array" ref="K3945">_xlfn.IFS(ISBLANK(I3945),"FALTANTE",ABS((I3945-$W$8)/$X$8)&gt;1.92,"ATÍPICO",ABS((I3945-$W$8)/$X$8)&lt;=1.92,"NO ATÍPICO")</f>
        <v>NO ATÍPICO</v>
      </c>
      <c r="L3945">
        <f t="shared" si="261"/>
        <v>4348062</v>
      </c>
      <c r="M3945" t="str">
        <f t="shared" si="261"/>
        <v>ASALARIADO</v>
      </c>
      <c r="N3945">
        <f t="shared" si="262"/>
        <v>43</v>
      </c>
      <c r="O3945" s="19" t="str">
        <f t="shared" si="263"/>
        <v>1200k+</v>
      </c>
      <c r="P3945" s="19" t="str">
        <f t="shared" si="264"/>
        <v>36-45</v>
      </c>
    </row>
    <row r="3946" spans="1:16" x14ac:dyDescent="0.25">
      <c r="A3946">
        <v>3945</v>
      </c>
      <c r="B3946" t="s">
        <v>15</v>
      </c>
      <c r="C3946">
        <v>278030</v>
      </c>
      <c r="D3946" t="s">
        <v>19</v>
      </c>
      <c r="E3946" t="s">
        <v>16</v>
      </c>
      <c r="F3946" t="s">
        <v>12</v>
      </c>
      <c r="G3946" t="s">
        <v>13</v>
      </c>
      <c r="H3946" t="s">
        <v>13</v>
      </c>
      <c r="I3946">
        <v>24</v>
      </c>
      <c r="J3946" t="str" cm="1">
        <f t="array" ref="J3946">_xlfn.IFS(ISBLANK(C3946),"FALTANTE",ABS((C3946-$W$5)/$X$5)&gt;1.96,"ATÍPICO",ABS((C3946-$W$5)/$X$5)&lt;=1.96,"NO ATÍPICO")</f>
        <v>NO ATÍPICO</v>
      </c>
      <c r="K3946" t="str" cm="1">
        <f t="array" ref="K3946">_xlfn.IFS(ISBLANK(I3946),"FALTANTE",ABS((I3946-$W$8)/$X$8)&gt;1.92,"ATÍPICO",ABS((I3946-$W$8)/$X$8)&lt;=1.92,"NO ATÍPICO")</f>
        <v>NO ATÍPICO</v>
      </c>
      <c r="L3946">
        <f t="shared" si="261"/>
        <v>278030</v>
      </c>
      <c r="M3946" t="str">
        <f t="shared" si="261"/>
        <v>CONVENIOS ESPECIALES DE TRABAJADORES INDEPENDIENTES</v>
      </c>
      <c r="N3946">
        <f t="shared" si="262"/>
        <v>24</v>
      </c>
      <c r="O3946" s="19" t="str">
        <f t="shared" si="263"/>
        <v>0–300k</v>
      </c>
      <c r="P3946" s="19" t="str">
        <f t="shared" si="264"/>
        <v>18-25</v>
      </c>
    </row>
    <row r="3947" spans="1:16" x14ac:dyDescent="0.25">
      <c r="A3947">
        <v>3946</v>
      </c>
      <c r="B3947" t="s">
        <v>9</v>
      </c>
      <c r="C3947">
        <v>278030</v>
      </c>
      <c r="D3947" t="s">
        <v>19</v>
      </c>
      <c r="E3947" t="s">
        <v>16</v>
      </c>
      <c r="F3947" t="s">
        <v>12</v>
      </c>
      <c r="G3947" t="s">
        <v>13</v>
      </c>
      <c r="H3947" t="s">
        <v>13</v>
      </c>
      <c r="I3947">
        <v>28</v>
      </c>
      <c r="J3947" t="str" cm="1">
        <f t="array" ref="J3947">_xlfn.IFS(ISBLANK(C3947),"FALTANTE",ABS((C3947-$W$5)/$X$5)&gt;1.96,"ATÍPICO",ABS((C3947-$W$5)/$X$5)&lt;=1.96,"NO ATÍPICO")</f>
        <v>NO ATÍPICO</v>
      </c>
      <c r="K3947" t="str" cm="1">
        <f t="array" ref="K3947">_xlfn.IFS(ISBLANK(I3947),"FALTANTE",ABS((I3947-$W$8)/$X$8)&gt;1.92,"ATÍPICO",ABS((I3947-$W$8)/$X$8)&lt;=1.92,"NO ATÍPICO")</f>
        <v>NO ATÍPICO</v>
      </c>
      <c r="L3947">
        <f t="shared" si="261"/>
        <v>278030</v>
      </c>
      <c r="M3947" t="str">
        <f t="shared" si="261"/>
        <v>CONVENIOS ESPECIALES DE TRABAJADORES INDEPENDIENTES</v>
      </c>
      <c r="N3947">
        <f t="shared" si="262"/>
        <v>28</v>
      </c>
      <c r="O3947" s="19" t="str">
        <f t="shared" si="263"/>
        <v>0–300k</v>
      </c>
      <c r="P3947" s="19" t="str">
        <f t="shared" si="264"/>
        <v>26-35</v>
      </c>
    </row>
    <row r="3948" spans="1:16" x14ac:dyDescent="0.25">
      <c r="A3948">
        <v>3947</v>
      </c>
      <c r="B3948" t="s">
        <v>9</v>
      </c>
      <c r="C3948">
        <v>297062</v>
      </c>
      <c r="D3948" t="s">
        <v>18</v>
      </c>
      <c r="E3948" t="s">
        <v>16</v>
      </c>
      <c r="F3948" t="s">
        <v>12</v>
      </c>
      <c r="G3948" t="s">
        <v>12</v>
      </c>
      <c r="H3948" t="s">
        <v>12</v>
      </c>
      <c r="I3948">
        <v>46</v>
      </c>
      <c r="J3948" t="str" cm="1">
        <f t="array" ref="J3948">_xlfn.IFS(ISBLANK(C3948),"FALTANTE",ABS((C3948-$W$5)/$X$5)&gt;1.96,"ATÍPICO",ABS((C3948-$W$5)/$X$5)&lt;=1.96,"NO ATÍPICO")</f>
        <v>NO ATÍPICO</v>
      </c>
      <c r="K3948" t="str" cm="1">
        <f t="array" ref="K3948">_xlfn.IFS(ISBLANK(I3948),"FALTANTE",ABS((I3948-$W$8)/$X$8)&gt;1.92,"ATÍPICO",ABS((I3948-$W$8)/$X$8)&lt;=1.92,"NO ATÍPICO")</f>
        <v>NO ATÍPICO</v>
      </c>
      <c r="L3948">
        <f t="shared" si="261"/>
        <v>297062</v>
      </c>
      <c r="M3948" t="str">
        <f t="shared" si="261"/>
        <v>TRABAJADOR INDEPENDIENTE</v>
      </c>
      <c r="N3948">
        <f t="shared" si="262"/>
        <v>46</v>
      </c>
      <c r="O3948" s="19" t="str">
        <f t="shared" si="263"/>
        <v>0–300k</v>
      </c>
      <c r="P3948" s="19" t="str">
        <f t="shared" si="264"/>
        <v>46-55</v>
      </c>
    </row>
    <row r="3949" spans="1:16" x14ac:dyDescent="0.25">
      <c r="A3949">
        <v>3948</v>
      </c>
      <c r="B3949" t="s">
        <v>15</v>
      </c>
      <c r="C3949">
        <v>433430</v>
      </c>
      <c r="D3949" t="s">
        <v>10</v>
      </c>
      <c r="E3949" t="s">
        <v>11</v>
      </c>
      <c r="F3949" t="s">
        <v>12</v>
      </c>
      <c r="G3949" t="s">
        <v>13</v>
      </c>
      <c r="H3949" t="s">
        <v>12</v>
      </c>
      <c r="I3949">
        <v>48</v>
      </c>
      <c r="J3949" t="str" cm="1">
        <f t="array" ref="J3949">_xlfn.IFS(ISBLANK(C3949),"FALTANTE",ABS((C3949-$W$5)/$X$5)&gt;1.96,"ATÍPICO",ABS((C3949-$W$5)/$X$5)&lt;=1.96,"NO ATÍPICO")</f>
        <v>NO ATÍPICO</v>
      </c>
      <c r="K3949" t="str" cm="1">
        <f t="array" ref="K3949">_xlfn.IFS(ISBLANK(I3949),"FALTANTE",ABS((I3949-$W$8)/$X$8)&gt;1.92,"ATÍPICO",ABS((I3949-$W$8)/$X$8)&lt;=1.92,"NO ATÍPICO")</f>
        <v>NO ATÍPICO</v>
      </c>
      <c r="L3949">
        <f t="shared" si="261"/>
        <v>433430</v>
      </c>
      <c r="M3949" t="str">
        <f t="shared" si="261"/>
        <v>ASALARIADO</v>
      </c>
      <c r="N3949">
        <f t="shared" si="262"/>
        <v>48</v>
      </c>
      <c r="O3949" s="19" t="str">
        <f t="shared" si="263"/>
        <v>300k–600k</v>
      </c>
      <c r="P3949" s="19" t="str">
        <f t="shared" si="264"/>
        <v>46-55</v>
      </c>
    </row>
    <row r="3950" spans="1:16" x14ac:dyDescent="0.25">
      <c r="A3950">
        <v>3949</v>
      </c>
      <c r="B3950" t="s">
        <v>15</v>
      </c>
      <c r="C3950">
        <v>220000</v>
      </c>
      <c r="D3950" t="s">
        <v>10</v>
      </c>
      <c r="E3950" t="s">
        <v>16</v>
      </c>
      <c r="F3950" t="s">
        <v>12</v>
      </c>
      <c r="G3950" t="s">
        <v>13</v>
      </c>
      <c r="H3950" t="s">
        <v>13</v>
      </c>
      <c r="I3950">
        <v>20</v>
      </c>
      <c r="J3950" t="str" cm="1">
        <f t="array" ref="J3950">_xlfn.IFS(ISBLANK(C3950),"FALTANTE",ABS((C3950-$W$5)/$X$5)&gt;1.96,"ATÍPICO",ABS((C3950-$W$5)/$X$5)&lt;=1.96,"NO ATÍPICO")</f>
        <v>NO ATÍPICO</v>
      </c>
      <c r="K3950" t="str" cm="1">
        <f t="array" ref="K3950">_xlfn.IFS(ISBLANK(I3950),"FALTANTE",ABS((I3950-$W$8)/$X$8)&gt;1.92,"ATÍPICO",ABS((I3950-$W$8)/$X$8)&lt;=1.92,"NO ATÍPICO")</f>
        <v>NO ATÍPICO</v>
      </c>
      <c r="L3950">
        <f t="shared" si="261"/>
        <v>220000</v>
      </c>
      <c r="M3950" t="str">
        <f t="shared" si="261"/>
        <v>ASALARIADO</v>
      </c>
      <c r="N3950">
        <f t="shared" si="262"/>
        <v>20</v>
      </c>
      <c r="O3950" s="19" t="str">
        <f t="shared" si="263"/>
        <v>0–300k</v>
      </c>
      <c r="P3950" s="19" t="str">
        <f t="shared" si="264"/>
        <v>18-25</v>
      </c>
    </row>
    <row r="3951" spans="1:16" x14ac:dyDescent="0.25">
      <c r="A3951">
        <v>3950</v>
      </c>
      <c r="B3951" t="s">
        <v>9</v>
      </c>
      <c r="C3951">
        <v>202390</v>
      </c>
      <c r="D3951" t="s">
        <v>10</v>
      </c>
      <c r="E3951" t="s">
        <v>16</v>
      </c>
      <c r="F3951" t="s">
        <v>12</v>
      </c>
      <c r="G3951" t="s">
        <v>12</v>
      </c>
      <c r="H3951" t="s">
        <v>12</v>
      </c>
      <c r="I3951">
        <v>19</v>
      </c>
      <c r="J3951" t="str" cm="1">
        <f t="array" ref="J3951">_xlfn.IFS(ISBLANK(C3951),"FALTANTE",ABS((C3951-$W$5)/$X$5)&gt;1.96,"ATÍPICO",ABS((C3951-$W$5)/$X$5)&lt;=1.96,"NO ATÍPICO")</f>
        <v>NO ATÍPICO</v>
      </c>
      <c r="K3951" t="str" cm="1">
        <f t="array" ref="K3951">_xlfn.IFS(ISBLANK(I3951),"FALTANTE",ABS((I3951-$W$8)/$X$8)&gt;1.92,"ATÍPICO",ABS((I3951-$W$8)/$X$8)&lt;=1.92,"NO ATÍPICO")</f>
        <v>NO ATÍPICO</v>
      </c>
      <c r="L3951">
        <f t="shared" si="261"/>
        <v>202390</v>
      </c>
      <c r="M3951" t="str">
        <f t="shared" si="261"/>
        <v>ASALARIADO</v>
      </c>
      <c r="N3951">
        <f t="shared" si="262"/>
        <v>19</v>
      </c>
      <c r="O3951" s="19" t="str">
        <f t="shared" si="263"/>
        <v>0–300k</v>
      </c>
      <c r="P3951" s="19" t="str">
        <f t="shared" si="264"/>
        <v>18-25</v>
      </c>
    </row>
    <row r="3952" spans="1:16" x14ac:dyDescent="0.25">
      <c r="A3952">
        <v>3951</v>
      </c>
      <c r="B3952" t="s">
        <v>9</v>
      </c>
      <c r="C3952">
        <v>721233.92000000004</v>
      </c>
      <c r="D3952" t="s">
        <v>10</v>
      </c>
      <c r="E3952" t="s">
        <v>16</v>
      </c>
      <c r="F3952" t="s">
        <v>12</v>
      </c>
      <c r="G3952" t="s">
        <v>13</v>
      </c>
      <c r="H3952" t="s">
        <v>13</v>
      </c>
      <c r="I3952">
        <v>27</v>
      </c>
      <c r="J3952" t="str" cm="1">
        <f t="array" ref="J3952">_xlfn.IFS(ISBLANK(C3952),"FALTANTE",ABS((C3952-$W$5)/$X$5)&gt;1.96,"ATÍPICO",ABS((C3952-$W$5)/$X$5)&lt;=1.96,"NO ATÍPICO")</f>
        <v>NO ATÍPICO</v>
      </c>
      <c r="K3952" t="str" cm="1">
        <f t="array" ref="K3952">_xlfn.IFS(ISBLANK(I3952),"FALTANTE",ABS((I3952-$W$8)/$X$8)&gt;1.92,"ATÍPICO",ABS((I3952-$W$8)/$X$8)&lt;=1.92,"NO ATÍPICO")</f>
        <v>NO ATÍPICO</v>
      </c>
      <c r="L3952">
        <f t="shared" si="261"/>
        <v>721233.92000000004</v>
      </c>
      <c r="M3952" t="str">
        <f t="shared" si="261"/>
        <v>ASALARIADO</v>
      </c>
      <c r="N3952">
        <f t="shared" si="262"/>
        <v>27</v>
      </c>
      <c r="O3952" s="19" t="str">
        <f t="shared" si="263"/>
        <v>600k–900k</v>
      </c>
      <c r="P3952" s="19" t="str">
        <f t="shared" si="264"/>
        <v>26-35</v>
      </c>
    </row>
    <row r="3953" spans="1:16" x14ac:dyDescent="0.25">
      <c r="A3953">
        <v>3952</v>
      </c>
      <c r="B3953" t="s">
        <v>9</v>
      </c>
      <c r="C3953">
        <v>255000</v>
      </c>
      <c r="D3953" t="s">
        <v>10</v>
      </c>
      <c r="E3953" t="s">
        <v>16</v>
      </c>
      <c r="F3953" t="s">
        <v>12</v>
      </c>
      <c r="G3953" t="s">
        <v>12</v>
      </c>
      <c r="H3953" t="s">
        <v>13</v>
      </c>
      <c r="I3953">
        <v>34</v>
      </c>
      <c r="J3953" t="str" cm="1">
        <f t="array" ref="J3953">_xlfn.IFS(ISBLANK(C3953),"FALTANTE",ABS((C3953-$W$5)/$X$5)&gt;1.96,"ATÍPICO",ABS((C3953-$W$5)/$X$5)&lt;=1.96,"NO ATÍPICO")</f>
        <v>NO ATÍPICO</v>
      </c>
      <c r="K3953" t="str" cm="1">
        <f t="array" ref="K3953">_xlfn.IFS(ISBLANK(I3953),"FALTANTE",ABS((I3953-$W$8)/$X$8)&gt;1.92,"ATÍPICO",ABS((I3953-$W$8)/$X$8)&lt;=1.92,"NO ATÍPICO")</f>
        <v>NO ATÍPICO</v>
      </c>
      <c r="L3953">
        <f t="shared" si="261"/>
        <v>255000</v>
      </c>
      <c r="M3953" t="str">
        <f t="shared" si="261"/>
        <v>ASALARIADO</v>
      </c>
      <c r="N3953">
        <f t="shared" si="262"/>
        <v>34</v>
      </c>
      <c r="O3953" s="19" t="str">
        <f t="shared" si="263"/>
        <v>0–300k</v>
      </c>
      <c r="P3953" s="19" t="str">
        <f t="shared" si="264"/>
        <v>26-35</v>
      </c>
    </row>
    <row r="3954" spans="1:16" x14ac:dyDescent="0.25">
      <c r="A3954">
        <v>3953</v>
      </c>
      <c r="B3954" t="s">
        <v>9</v>
      </c>
      <c r="C3954">
        <v>728571.8</v>
      </c>
      <c r="D3954" t="s">
        <v>10</v>
      </c>
      <c r="E3954" t="s">
        <v>11</v>
      </c>
      <c r="F3954" t="s">
        <v>12</v>
      </c>
      <c r="G3954" t="s">
        <v>13</v>
      </c>
      <c r="H3954" t="s">
        <v>13</v>
      </c>
      <c r="I3954">
        <v>38</v>
      </c>
      <c r="J3954" t="str" cm="1">
        <f t="array" ref="J3954">_xlfn.IFS(ISBLANK(C3954),"FALTANTE",ABS((C3954-$W$5)/$X$5)&gt;1.96,"ATÍPICO",ABS((C3954-$W$5)/$X$5)&lt;=1.96,"NO ATÍPICO")</f>
        <v>NO ATÍPICO</v>
      </c>
      <c r="K3954" t="str" cm="1">
        <f t="array" ref="K3954">_xlfn.IFS(ISBLANK(I3954),"FALTANTE",ABS((I3954-$W$8)/$X$8)&gt;1.92,"ATÍPICO",ABS((I3954-$W$8)/$X$8)&lt;=1.92,"NO ATÍPICO")</f>
        <v>NO ATÍPICO</v>
      </c>
      <c r="L3954">
        <f t="shared" si="261"/>
        <v>728571.8</v>
      </c>
      <c r="M3954" t="str">
        <f t="shared" si="261"/>
        <v>ASALARIADO</v>
      </c>
      <c r="N3954">
        <f t="shared" si="262"/>
        <v>38</v>
      </c>
      <c r="O3954" s="19" t="str">
        <f t="shared" si="263"/>
        <v>600k–900k</v>
      </c>
      <c r="P3954" s="19" t="str">
        <f t="shared" si="264"/>
        <v>36-45</v>
      </c>
    </row>
    <row r="3955" spans="1:16" x14ac:dyDescent="0.25">
      <c r="A3955">
        <v>3954</v>
      </c>
      <c r="B3955" t="s">
        <v>9</v>
      </c>
      <c r="C3955">
        <v>950000</v>
      </c>
      <c r="D3955" t="s">
        <v>10</v>
      </c>
      <c r="E3955" t="s">
        <v>16</v>
      </c>
      <c r="F3955" t="s">
        <v>12</v>
      </c>
      <c r="G3955" t="s">
        <v>13</v>
      </c>
      <c r="H3955" t="s">
        <v>13</v>
      </c>
      <c r="I3955">
        <v>41</v>
      </c>
      <c r="J3955" t="str" cm="1">
        <f t="array" ref="J3955">_xlfn.IFS(ISBLANK(C3955),"FALTANTE",ABS((C3955-$W$5)/$X$5)&gt;1.96,"ATÍPICO",ABS((C3955-$W$5)/$X$5)&lt;=1.96,"NO ATÍPICO")</f>
        <v>NO ATÍPICO</v>
      </c>
      <c r="K3955" t="str" cm="1">
        <f t="array" ref="K3955">_xlfn.IFS(ISBLANK(I3955),"FALTANTE",ABS((I3955-$W$8)/$X$8)&gt;1.92,"ATÍPICO",ABS((I3955-$W$8)/$X$8)&lt;=1.92,"NO ATÍPICO")</f>
        <v>NO ATÍPICO</v>
      </c>
      <c r="L3955">
        <f t="shared" si="261"/>
        <v>950000</v>
      </c>
      <c r="M3955" t="str">
        <f t="shared" si="261"/>
        <v>ASALARIADO</v>
      </c>
      <c r="N3955">
        <f t="shared" si="262"/>
        <v>41</v>
      </c>
      <c r="O3955" s="19" t="str">
        <f t="shared" si="263"/>
        <v>900k–1200k</v>
      </c>
      <c r="P3955" s="19" t="str">
        <f t="shared" si="264"/>
        <v>36-45</v>
      </c>
    </row>
    <row r="3956" spans="1:16" x14ac:dyDescent="0.25">
      <c r="A3956">
        <v>3955</v>
      </c>
      <c r="B3956" t="s">
        <v>15</v>
      </c>
      <c r="C3956">
        <v>964738.22</v>
      </c>
      <c r="D3956" t="s">
        <v>10</v>
      </c>
      <c r="E3956" t="s">
        <v>16</v>
      </c>
      <c r="F3956" t="s">
        <v>12</v>
      </c>
      <c r="G3956" t="s">
        <v>13</v>
      </c>
      <c r="H3956" t="s">
        <v>13</v>
      </c>
      <c r="I3956">
        <v>35</v>
      </c>
      <c r="J3956" t="str" cm="1">
        <f t="array" ref="J3956">_xlfn.IFS(ISBLANK(C3956),"FALTANTE",ABS((C3956-$W$5)/$X$5)&gt;1.96,"ATÍPICO",ABS((C3956-$W$5)/$X$5)&lt;=1.96,"NO ATÍPICO")</f>
        <v>NO ATÍPICO</v>
      </c>
      <c r="K3956" t="str" cm="1">
        <f t="array" ref="K3956">_xlfn.IFS(ISBLANK(I3956),"FALTANTE",ABS((I3956-$W$8)/$X$8)&gt;1.92,"ATÍPICO",ABS((I3956-$W$8)/$X$8)&lt;=1.92,"NO ATÍPICO")</f>
        <v>NO ATÍPICO</v>
      </c>
      <c r="L3956">
        <f t="shared" si="261"/>
        <v>964738.22</v>
      </c>
      <c r="M3956" t="str">
        <f t="shared" si="261"/>
        <v>ASALARIADO</v>
      </c>
      <c r="N3956">
        <f t="shared" si="262"/>
        <v>35</v>
      </c>
      <c r="O3956" s="19" t="str">
        <f t="shared" si="263"/>
        <v>900k–1200k</v>
      </c>
      <c r="P3956" s="19" t="str">
        <f t="shared" si="264"/>
        <v>26-35</v>
      </c>
    </row>
    <row r="3957" spans="1:16" x14ac:dyDescent="0.25">
      <c r="A3957">
        <v>3956</v>
      </c>
      <c r="B3957" t="s">
        <v>9</v>
      </c>
      <c r="C3957">
        <v>510415.15</v>
      </c>
      <c r="D3957" t="s">
        <v>10</v>
      </c>
      <c r="E3957" t="s">
        <v>16</v>
      </c>
      <c r="F3957" t="s">
        <v>12</v>
      </c>
      <c r="G3957" t="s">
        <v>13</v>
      </c>
      <c r="H3957" t="s">
        <v>13</v>
      </c>
      <c r="I3957">
        <v>34</v>
      </c>
      <c r="J3957" t="str" cm="1">
        <f t="array" ref="J3957">_xlfn.IFS(ISBLANK(C3957),"FALTANTE",ABS((C3957-$W$5)/$X$5)&gt;1.96,"ATÍPICO",ABS((C3957-$W$5)/$X$5)&lt;=1.96,"NO ATÍPICO")</f>
        <v>NO ATÍPICO</v>
      </c>
      <c r="K3957" t="str" cm="1">
        <f t="array" ref="K3957">_xlfn.IFS(ISBLANK(I3957),"FALTANTE",ABS((I3957-$W$8)/$X$8)&gt;1.92,"ATÍPICO",ABS((I3957-$W$8)/$X$8)&lt;=1.92,"NO ATÍPICO")</f>
        <v>NO ATÍPICO</v>
      </c>
      <c r="L3957">
        <f t="shared" si="261"/>
        <v>510415.15</v>
      </c>
      <c r="M3957" t="str">
        <f t="shared" si="261"/>
        <v>ASALARIADO</v>
      </c>
      <c r="N3957">
        <f t="shared" si="262"/>
        <v>34</v>
      </c>
      <c r="O3957" s="19" t="str">
        <f t="shared" si="263"/>
        <v>300k–600k</v>
      </c>
      <c r="P3957" s="19" t="str">
        <f t="shared" si="264"/>
        <v>26-35</v>
      </c>
    </row>
    <row r="3958" spans="1:16" x14ac:dyDescent="0.25">
      <c r="A3958">
        <v>3957</v>
      </c>
      <c r="B3958" t="s">
        <v>9</v>
      </c>
      <c r="C3958">
        <v>183865</v>
      </c>
      <c r="D3958" t="s">
        <v>10</v>
      </c>
      <c r="E3958" t="s">
        <v>16</v>
      </c>
      <c r="F3958" t="s">
        <v>12</v>
      </c>
      <c r="G3958" t="s">
        <v>13</v>
      </c>
      <c r="H3958" t="s">
        <v>13</v>
      </c>
      <c r="I3958">
        <v>21</v>
      </c>
      <c r="J3958" t="str" cm="1">
        <f t="array" ref="J3958">_xlfn.IFS(ISBLANK(C3958),"FALTANTE",ABS((C3958-$W$5)/$X$5)&gt;1.96,"ATÍPICO",ABS((C3958-$W$5)/$X$5)&lt;=1.96,"NO ATÍPICO")</f>
        <v>NO ATÍPICO</v>
      </c>
      <c r="K3958" t="str" cm="1">
        <f t="array" ref="K3958">_xlfn.IFS(ISBLANK(I3958),"FALTANTE",ABS((I3958-$W$8)/$X$8)&gt;1.92,"ATÍPICO",ABS((I3958-$W$8)/$X$8)&lt;=1.92,"NO ATÍPICO")</f>
        <v>NO ATÍPICO</v>
      </c>
      <c r="L3958">
        <f t="shared" si="261"/>
        <v>183865</v>
      </c>
      <c r="M3958" t="str">
        <f t="shared" si="261"/>
        <v>ASALARIADO</v>
      </c>
      <c r="N3958">
        <f t="shared" si="262"/>
        <v>21</v>
      </c>
      <c r="O3958" s="19" t="str">
        <f t="shared" si="263"/>
        <v>0–300k</v>
      </c>
      <c r="P3958" s="19" t="str">
        <f t="shared" si="264"/>
        <v>18-25</v>
      </c>
    </row>
    <row r="3959" spans="1:16" x14ac:dyDescent="0.25">
      <c r="A3959">
        <v>3958</v>
      </c>
      <c r="B3959" t="s">
        <v>9</v>
      </c>
      <c r="C3959">
        <v>1470000</v>
      </c>
      <c r="D3959" t="s">
        <v>10</v>
      </c>
      <c r="E3959" t="s">
        <v>16</v>
      </c>
      <c r="F3959" t="s">
        <v>12</v>
      </c>
      <c r="G3959" t="s">
        <v>12</v>
      </c>
      <c r="H3959" t="s">
        <v>12</v>
      </c>
      <c r="I3959">
        <v>55</v>
      </c>
      <c r="J3959" t="str" cm="1">
        <f t="array" ref="J3959">_xlfn.IFS(ISBLANK(C3959),"FALTANTE",ABS((C3959-$W$5)/$X$5)&gt;1.96,"ATÍPICO",ABS((C3959-$W$5)/$X$5)&lt;=1.96,"NO ATÍPICO")</f>
        <v>NO ATÍPICO</v>
      </c>
      <c r="K3959" t="str" cm="1">
        <f t="array" ref="K3959">_xlfn.IFS(ISBLANK(I3959),"FALTANTE",ABS((I3959-$W$8)/$X$8)&gt;1.92,"ATÍPICO",ABS((I3959-$W$8)/$X$8)&lt;=1.92,"NO ATÍPICO")</f>
        <v>NO ATÍPICO</v>
      </c>
      <c r="L3959">
        <f t="shared" si="261"/>
        <v>1470000</v>
      </c>
      <c r="M3959" t="str">
        <f t="shared" si="261"/>
        <v>ASALARIADO</v>
      </c>
      <c r="N3959">
        <f t="shared" si="262"/>
        <v>55</v>
      </c>
      <c r="O3959" s="19" t="str">
        <f t="shared" si="263"/>
        <v>1200k+</v>
      </c>
      <c r="P3959" s="19" t="str">
        <f t="shared" si="264"/>
        <v>46-55</v>
      </c>
    </row>
    <row r="3960" spans="1:16" x14ac:dyDescent="0.25">
      <c r="A3960">
        <v>3959</v>
      </c>
      <c r="B3960" t="s">
        <v>15</v>
      </c>
      <c r="C3960">
        <v>200000</v>
      </c>
      <c r="D3960" t="s">
        <v>10</v>
      </c>
      <c r="E3960" t="s">
        <v>16</v>
      </c>
      <c r="F3960" t="s">
        <v>12</v>
      </c>
      <c r="G3960" t="s">
        <v>13</v>
      </c>
      <c r="H3960" t="s">
        <v>13</v>
      </c>
      <c r="I3960">
        <v>27</v>
      </c>
      <c r="J3960" t="str" cm="1">
        <f t="array" ref="J3960">_xlfn.IFS(ISBLANK(C3960),"FALTANTE",ABS((C3960-$W$5)/$X$5)&gt;1.96,"ATÍPICO",ABS((C3960-$W$5)/$X$5)&lt;=1.96,"NO ATÍPICO")</f>
        <v>NO ATÍPICO</v>
      </c>
      <c r="K3960" t="str" cm="1">
        <f t="array" ref="K3960">_xlfn.IFS(ISBLANK(I3960),"FALTANTE",ABS((I3960-$W$8)/$X$8)&gt;1.92,"ATÍPICO",ABS((I3960-$W$8)/$X$8)&lt;=1.92,"NO ATÍPICO")</f>
        <v>NO ATÍPICO</v>
      </c>
      <c r="L3960">
        <f t="shared" si="261"/>
        <v>200000</v>
      </c>
      <c r="M3960" t="str">
        <f t="shared" si="261"/>
        <v>ASALARIADO</v>
      </c>
      <c r="N3960">
        <f t="shared" si="262"/>
        <v>27</v>
      </c>
      <c r="O3960" s="19" t="str">
        <f t="shared" si="263"/>
        <v>0–300k</v>
      </c>
      <c r="P3960" s="19" t="str">
        <f t="shared" si="264"/>
        <v>26-35</v>
      </c>
    </row>
    <row r="3961" spans="1:16" x14ac:dyDescent="0.25">
      <c r="A3961">
        <v>3960</v>
      </c>
      <c r="B3961" t="s">
        <v>15</v>
      </c>
      <c r="C3961">
        <v>344981</v>
      </c>
      <c r="D3961" t="s">
        <v>10</v>
      </c>
      <c r="E3961" t="s">
        <v>16</v>
      </c>
      <c r="F3961" t="s">
        <v>12</v>
      </c>
      <c r="G3961" t="s">
        <v>13</v>
      </c>
      <c r="H3961" t="s">
        <v>13</v>
      </c>
      <c r="I3961">
        <v>35</v>
      </c>
      <c r="J3961" t="str" cm="1">
        <f t="array" ref="J3961">_xlfn.IFS(ISBLANK(C3961),"FALTANTE",ABS((C3961-$W$5)/$X$5)&gt;1.96,"ATÍPICO",ABS((C3961-$W$5)/$X$5)&lt;=1.96,"NO ATÍPICO")</f>
        <v>NO ATÍPICO</v>
      </c>
      <c r="K3961" t="str" cm="1">
        <f t="array" ref="K3961">_xlfn.IFS(ISBLANK(I3961),"FALTANTE",ABS((I3961-$W$8)/$X$8)&gt;1.92,"ATÍPICO",ABS((I3961-$W$8)/$X$8)&lt;=1.92,"NO ATÍPICO")</f>
        <v>NO ATÍPICO</v>
      </c>
      <c r="L3961">
        <f t="shared" si="261"/>
        <v>344981</v>
      </c>
      <c r="M3961" t="str">
        <f t="shared" si="261"/>
        <v>ASALARIADO</v>
      </c>
      <c r="N3961">
        <f t="shared" si="262"/>
        <v>35</v>
      </c>
      <c r="O3961" s="19" t="str">
        <f t="shared" si="263"/>
        <v>300k–600k</v>
      </c>
      <c r="P3961" s="19" t="str">
        <f t="shared" si="264"/>
        <v>26-35</v>
      </c>
    </row>
    <row r="3962" spans="1:16" x14ac:dyDescent="0.25">
      <c r="A3962">
        <v>3961</v>
      </c>
      <c r="B3962" t="s">
        <v>15</v>
      </c>
      <c r="C3962">
        <v>1332630</v>
      </c>
      <c r="D3962" t="s">
        <v>10</v>
      </c>
      <c r="E3962" t="s">
        <v>11</v>
      </c>
      <c r="F3962" t="s">
        <v>12</v>
      </c>
      <c r="G3962" t="s">
        <v>13</v>
      </c>
      <c r="H3962" t="s">
        <v>12</v>
      </c>
      <c r="I3962">
        <v>42</v>
      </c>
      <c r="J3962" t="str" cm="1">
        <f t="array" ref="J3962">_xlfn.IFS(ISBLANK(C3962),"FALTANTE",ABS((C3962-$W$5)/$X$5)&gt;1.96,"ATÍPICO",ABS((C3962-$W$5)/$X$5)&lt;=1.96,"NO ATÍPICO")</f>
        <v>NO ATÍPICO</v>
      </c>
      <c r="K3962" t="str" cm="1">
        <f t="array" ref="K3962">_xlfn.IFS(ISBLANK(I3962),"FALTANTE",ABS((I3962-$W$8)/$X$8)&gt;1.92,"ATÍPICO",ABS((I3962-$W$8)/$X$8)&lt;=1.92,"NO ATÍPICO")</f>
        <v>NO ATÍPICO</v>
      </c>
      <c r="L3962">
        <f t="shared" si="261"/>
        <v>1332630</v>
      </c>
      <c r="M3962" t="str">
        <f t="shared" si="261"/>
        <v>ASALARIADO</v>
      </c>
      <c r="N3962">
        <f t="shared" si="262"/>
        <v>42</v>
      </c>
      <c r="O3962" s="19" t="str">
        <f t="shared" si="263"/>
        <v>1200k+</v>
      </c>
      <c r="P3962" s="19" t="str">
        <f t="shared" si="264"/>
        <v>36-45</v>
      </c>
    </row>
    <row r="3963" spans="1:16" x14ac:dyDescent="0.25">
      <c r="A3963">
        <v>3962</v>
      </c>
      <c r="B3963" t="s">
        <v>9</v>
      </c>
      <c r="C3963">
        <v>612532.43999999994</v>
      </c>
      <c r="D3963" t="s">
        <v>14</v>
      </c>
      <c r="E3963" t="s">
        <v>11</v>
      </c>
      <c r="F3963" t="s">
        <v>12</v>
      </c>
      <c r="G3963" t="s">
        <v>13</v>
      </c>
      <c r="H3963" t="s">
        <v>13</v>
      </c>
      <c r="I3963">
        <v>67</v>
      </c>
      <c r="J3963" t="str" cm="1">
        <f t="array" ref="J3963">_xlfn.IFS(ISBLANK(C3963),"FALTANTE",ABS((C3963-$W$5)/$X$5)&gt;1.96,"ATÍPICO",ABS((C3963-$W$5)/$X$5)&lt;=1.96,"NO ATÍPICO")</f>
        <v>NO ATÍPICO</v>
      </c>
      <c r="K3963" t="str" cm="1">
        <f t="array" ref="K3963">_xlfn.IFS(ISBLANK(I3963),"FALTANTE",ABS((I3963-$W$8)/$X$8)&gt;1.92,"ATÍPICO",ABS((I3963-$W$8)/$X$8)&lt;=1.92,"NO ATÍPICO")</f>
        <v>NO ATÍPICO</v>
      </c>
      <c r="L3963">
        <f t="shared" si="261"/>
        <v>612532.43999999994</v>
      </c>
      <c r="M3963" t="str">
        <f t="shared" si="261"/>
        <v>PENSIONADOS EN SU PROPIO SISTEMA</v>
      </c>
      <c r="N3963">
        <f t="shared" si="262"/>
        <v>67</v>
      </c>
      <c r="O3963" s="19" t="str">
        <f t="shared" si="263"/>
        <v>600k–900k</v>
      </c>
      <c r="P3963" s="19" t="str">
        <f t="shared" si="264"/>
        <v>56+</v>
      </c>
    </row>
    <row r="3964" spans="1:16" x14ac:dyDescent="0.25">
      <c r="A3964">
        <v>3963</v>
      </c>
      <c r="B3964" t="s">
        <v>15</v>
      </c>
      <c r="C3964">
        <v>355145</v>
      </c>
      <c r="D3964" t="s">
        <v>10</v>
      </c>
      <c r="E3964" t="s">
        <v>11</v>
      </c>
      <c r="F3964" t="s">
        <v>12</v>
      </c>
      <c r="G3964" t="s">
        <v>13</v>
      </c>
      <c r="H3964" t="s">
        <v>13</v>
      </c>
      <c r="I3964">
        <v>42</v>
      </c>
      <c r="J3964" t="str" cm="1">
        <f t="array" ref="J3964">_xlfn.IFS(ISBLANK(C3964),"FALTANTE",ABS((C3964-$W$5)/$X$5)&gt;1.96,"ATÍPICO",ABS((C3964-$W$5)/$X$5)&lt;=1.96,"NO ATÍPICO")</f>
        <v>NO ATÍPICO</v>
      </c>
      <c r="K3964" t="str" cm="1">
        <f t="array" ref="K3964">_xlfn.IFS(ISBLANK(I3964),"FALTANTE",ABS((I3964-$W$8)/$X$8)&gt;1.92,"ATÍPICO",ABS((I3964-$W$8)/$X$8)&lt;=1.92,"NO ATÍPICO")</f>
        <v>NO ATÍPICO</v>
      </c>
      <c r="L3964">
        <f t="shared" si="261"/>
        <v>355145</v>
      </c>
      <c r="M3964" t="str">
        <f t="shared" si="261"/>
        <v>ASALARIADO</v>
      </c>
      <c r="N3964">
        <f t="shared" si="262"/>
        <v>42</v>
      </c>
      <c r="O3964" s="19" t="str">
        <f t="shared" si="263"/>
        <v>300k–600k</v>
      </c>
      <c r="P3964" s="19" t="str">
        <f t="shared" si="264"/>
        <v>36-45</v>
      </c>
    </row>
    <row r="3965" spans="1:16" x14ac:dyDescent="0.25">
      <c r="A3965">
        <v>3964</v>
      </c>
      <c r="B3965" t="s">
        <v>15</v>
      </c>
      <c r="C3965">
        <v>346474.5</v>
      </c>
      <c r="D3965" t="s">
        <v>10</v>
      </c>
      <c r="E3965" t="s">
        <v>16</v>
      </c>
      <c r="F3965" t="s">
        <v>12</v>
      </c>
      <c r="G3965" t="s">
        <v>13</v>
      </c>
      <c r="H3965" t="s">
        <v>12</v>
      </c>
      <c r="I3965">
        <v>30</v>
      </c>
      <c r="J3965" t="str" cm="1">
        <f t="array" ref="J3965">_xlfn.IFS(ISBLANK(C3965),"FALTANTE",ABS((C3965-$W$5)/$X$5)&gt;1.96,"ATÍPICO",ABS((C3965-$W$5)/$X$5)&lt;=1.96,"NO ATÍPICO")</f>
        <v>NO ATÍPICO</v>
      </c>
      <c r="K3965" t="str" cm="1">
        <f t="array" ref="K3965">_xlfn.IFS(ISBLANK(I3965),"FALTANTE",ABS((I3965-$W$8)/$X$8)&gt;1.92,"ATÍPICO",ABS((I3965-$W$8)/$X$8)&lt;=1.92,"NO ATÍPICO")</f>
        <v>NO ATÍPICO</v>
      </c>
      <c r="L3965">
        <f t="shared" si="261"/>
        <v>346474.5</v>
      </c>
      <c r="M3965" t="str">
        <f t="shared" si="261"/>
        <v>ASALARIADO</v>
      </c>
      <c r="N3965">
        <f t="shared" si="262"/>
        <v>30</v>
      </c>
      <c r="O3965" s="19" t="str">
        <f t="shared" si="263"/>
        <v>300k–600k</v>
      </c>
      <c r="P3965" s="19" t="str">
        <f t="shared" si="264"/>
        <v>26-35</v>
      </c>
    </row>
    <row r="3966" spans="1:16" x14ac:dyDescent="0.25">
      <c r="A3966">
        <v>3965</v>
      </c>
      <c r="B3966" t="s">
        <v>9</v>
      </c>
      <c r="C3966">
        <v>2380634</v>
      </c>
      <c r="D3966" t="s">
        <v>10</v>
      </c>
      <c r="E3966" t="s">
        <v>16</v>
      </c>
      <c r="F3966" t="s">
        <v>12</v>
      </c>
      <c r="G3966" t="s">
        <v>13</v>
      </c>
      <c r="H3966" t="s">
        <v>13</v>
      </c>
      <c r="I3966">
        <v>36</v>
      </c>
      <c r="J3966" t="str" cm="1">
        <f t="array" ref="J3966">_xlfn.IFS(ISBLANK(C3966),"FALTANTE",ABS((C3966-$W$5)/$X$5)&gt;1.96,"ATÍPICO",ABS((C3966-$W$5)/$X$5)&lt;=1.96,"NO ATÍPICO")</f>
        <v>ATÍPICO</v>
      </c>
      <c r="K3966" t="str" cm="1">
        <f t="array" ref="K3966">_xlfn.IFS(ISBLANK(I3966),"FALTANTE",ABS((I3966-$W$8)/$X$8)&gt;1.92,"ATÍPICO",ABS((I3966-$W$8)/$X$8)&lt;=1.92,"NO ATÍPICO")</f>
        <v>NO ATÍPICO</v>
      </c>
      <c r="L3966">
        <f t="shared" si="261"/>
        <v>2380634</v>
      </c>
      <c r="M3966" t="str">
        <f t="shared" si="261"/>
        <v>ASALARIADO</v>
      </c>
      <c r="N3966">
        <f t="shared" si="262"/>
        <v>36</v>
      </c>
      <c r="O3966" s="19" t="str">
        <f t="shared" si="263"/>
        <v>1200k+</v>
      </c>
      <c r="P3966" s="19" t="str">
        <f t="shared" si="264"/>
        <v>36-45</v>
      </c>
    </row>
    <row r="3967" spans="1:16" x14ac:dyDescent="0.25">
      <c r="A3967">
        <v>3966</v>
      </c>
      <c r="B3967" t="s">
        <v>9</v>
      </c>
      <c r="C3967">
        <v>366350</v>
      </c>
      <c r="D3967" t="s">
        <v>10</v>
      </c>
      <c r="E3967" t="s">
        <v>16</v>
      </c>
      <c r="F3967" t="s">
        <v>12</v>
      </c>
      <c r="G3967" t="s">
        <v>12</v>
      </c>
      <c r="H3967" t="s">
        <v>13</v>
      </c>
      <c r="I3967">
        <v>35</v>
      </c>
      <c r="J3967" t="str" cm="1">
        <f t="array" ref="J3967">_xlfn.IFS(ISBLANK(C3967),"FALTANTE",ABS((C3967-$W$5)/$X$5)&gt;1.96,"ATÍPICO",ABS((C3967-$W$5)/$X$5)&lt;=1.96,"NO ATÍPICO")</f>
        <v>NO ATÍPICO</v>
      </c>
      <c r="K3967" t="str" cm="1">
        <f t="array" ref="K3967">_xlfn.IFS(ISBLANK(I3967),"FALTANTE",ABS((I3967-$W$8)/$X$8)&gt;1.92,"ATÍPICO",ABS((I3967-$W$8)/$X$8)&lt;=1.92,"NO ATÍPICO")</f>
        <v>NO ATÍPICO</v>
      </c>
      <c r="L3967">
        <f t="shared" si="261"/>
        <v>366350</v>
      </c>
      <c r="M3967" t="str">
        <f t="shared" si="261"/>
        <v>ASALARIADO</v>
      </c>
      <c r="N3967">
        <f t="shared" si="262"/>
        <v>35</v>
      </c>
      <c r="O3967" s="19" t="str">
        <f t="shared" si="263"/>
        <v>300k–600k</v>
      </c>
      <c r="P3967" s="19" t="str">
        <f t="shared" si="264"/>
        <v>26-35</v>
      </c>
    </row>
    <row r="3968" spans="1:16" x14ac:dyDescent="0.25">
      <c r="A3968">
        <v>3967</v>
      </c>
      <c r="B3968" t="s">
        <v>9</v>
      </c>
      <c r="C3968">
        <v>420716.74</v>
      </c>
      <c r="D3968" t="s">
        <v>10</v>
      </c>
      <c r="E3968" t="s">
        <v>16</v>
      </c>
      <c r="F3968" t="s">
        <v>12</v>
      </c>
      <c r="G3968" t="s">
        <v>13</v>
      </c>
      <c r="H3968" t="s">
        <v>13</v>
      </c>
      <c r="I3968">
        <v>34</v>
      </c>
      <c r="J3968" t="str" cm="1">
        <f t="array" ref="J3968">_xlfn.IFS(ISBLANK(C3968),"FALTANTE",ABS((C3968-$W$5)/$X$5)&gt;1.96,"ATÍPICO",ABS((C3968-$W$5)/$X$5)&lt;=1.96,"NO ATÍPICO")</f>
        <v>NO ATÍPICO</v>
      </c>
      <c r="K3968" t="str" cm="1">
        <f t="array" ref="K3968">_xlfn.IFS(ISBLANK(I3968),"FALTANTE",ABS((I3968-$W$8)/$X$8)&gt;1.92,"ATÍPICO",ABS((I3968-$W$8)/$X$8)&lt;=1.92,"NO ATÍPICO")</f>
        <v>NO ATÍPICO</v>
      </c>
      <c r="L3968">
        <f t="shared" si="261"/>
        <v>420716.74</v>
      </c>
      <c r="M3968" t="str">
        <f t="shared" si="261"/>
        <v>ASALARIADO</v>
      </c>
      <c r="N3968">
        <f t="shared" si="262"/>
        <v>34</v>
      </c>
      <c r="O3968" s="19" t="str">
        <f t="shared" si="263"/>
        <v>300k–600k</v>
      </c>
      <c r="P3968" s="19" t="str">
        <f t="shared" si="264"/>
        <v>26-35</v>
      </c>
    </row>
    <row r="3969" spans="1:16" x14ac:dyDescent="0.25">
      <c r="A3969">
        <v>3968</v>
      </c>
      <c r="B3969" t="s">
        <v>15</v>
      </c>
      <c r="C3969">
        <v>175000</v>
      </c>
      <c r="D3969" t="s">
        <v>10</v>
      </c>
      <c r="E3969" t="s">
        <v>16</v>
      </c>
      <c r="F3969" t="s">
        <v>12</v>
      </c>
      <c r="G3969" t="s">
        <v>13</v>
      </c>
      <c r="H3969" t="s">
        <v>12</v>
      </c>
      <c r="I3969">
        <v>40</v>
      </c>
      <c r="J3969" t="str" cm="1">
        <f t="array" ref="J3969">_xlfn.IFS(ISBLANK(C3969),"FALTANTE",ABS((C3969-$W$5)/$X$5)&gt;1.96,"ATÍPICO",ABS((C3969-$W$5)/$X$5)&lt;=1.96,"NO ATÍPICO")</f>
        <v>NO ATÍPICO</v>
      </c>
      <c r="K3969" t="str" cm="1">
        <f t="array" ref="K3969">_xlfn.IFS(ISBLANK(I3969),"FALTANTE",ABS((I3969-$W$8)/$X$8)&gt;1.92,"ATÍPICO",ABS((I3969-$W$8)/$X$8)&lt;=1.92,"NO ATÍPICO")</f>
        <v>NO ATÍPICO</v>
      </c>
      <c r="L3969">
        <f t="shared" si="261"/>
        <v>175000</v>
      </c>
      <c r="M3969" t="str">
        <f t="shared" si="261"/>
        <v>ASALARIADO</v>
      </c>
      <c r="N3969">
        <f t="shared" si="262"/>
        <v>40</v>
      </c>
      <c r="O3969" s="19" t="str">
        <f t="shared" si="263"/>
        <v>0–300k</v>
      </c>
      <c r="P3969" s="19" t="str">
        <f t="shared" si="264"/>
        <v>36-45</v>
      </c>
    </row>
    <row r="3970" spans="1:16" x14ac:dyDescent="0.25">
      <c r="A3970">
        <v>3969</v>
      </c>
      <c r="B3970" t="s">
        <v>9</v>
      </c>
      <c r="C3970">
        <v>278030.99</v>
      </c>
      <c r="D3970" t="s">
        <v>19</v>
      </c>
      <c r="E3970" t="s">
        <v>16</v>
      </c>
      <c r="F3970" t="s">
        <v>12</v>
      </c>
      <c r="G3970" t="s">
        <v>13</v>
      </c>
      <c r="H3970" t="s">
        <v>13</v>
      </c>
      <c r="I3970">
        <v>44</v>
      </c>
      <c r="J3970" t="str" cm="1">
        <f t="array" ref="J3970">_xlfn.IFS(ISBLANK(C3970),"FALTANTE",ABS((C3970-$W$5)/$X$5)&gt;1.96,"ATÍPICO",ABS((C3970-$W$5)/$X$5)&lt;=1.96,"NO ATÍPICO")</f>
        <v>NO ATÍPICO</v>
      </c>
      <c r="K3970" t="str" cm="1">
        <f t="array" ref="K3970">_xlfn.IFS(ISBLANK(I3970),"FALTANTE",ABS((I3970-$W$8)/$X$8)&gt;1.92,"ATÍPICO",ABS((I3970-$W$8)/$X$8)&lt;=1.92,"NO ATÍPICO")</f>
        <v>NO ATÍPICO</v>
      </c>
      <c r="L3970">
        <f t="shared" ref="L3970:L4033" si="265">C3970</f>
        <v>278030.99</v>
      </c>
      <c r="M3970" t="str">
        <f t="shared" ref="M3970:M4033" si="266">D3970</f>
        <v>CONVENIOS ESPECIALES DE TRABAJADORES INDEPENDIENTES</v>
      </c>
      <c r="N3970">
        <f t="shared" ref="N3970:N4033" si="267">I3970</f>
        <v>44</v>
      </c>
      <c r="O3970" s="19" t="str">
        <f t="shared" ref="O3970:O4033" si="268">IF(L3970&lt;=300000,"0–300k",IF(L3970&lt;=600000,"300k–600k",IF(L3970&lt;=900000,"600k–900k",IF(L3970&lt;=1200000,"900k–1200k","1200k+"))))</f>
        <v>0–300k</v>
      </c>
      <c r="P3970" s="19" t="str">
        <f t="shared" ref="P3970:P4033" si="269">IF(N3970 &lt;=25,"18-25", IF(N3970&lt;=35,"26-35", IF(N3970 &lt;=45,"36-45", IF(N3970&lt;=55,"46-55","56+"))))</f>
        <v>36-45</v>
      </c>
    </row>
    <row r="3971" spans="1:16" x14ac:dyDescent="0.25">
      <c r="A3971">
        <v>3970</v>
      </c>
      <c r="B3971" t="s">
        <v>9</v>
      </c>
      <c r="C3971">
        <v>971125</v>
      </c>
      <c r="D3971" t="s">
        <v>10</v>
      </c>
      <c r="E3971" t="s">
        <v>16</v>
      </c>
      <c r="F3971" t="s">
        <v>12</v>
      </c>
      <c r="G3971" t="s">
        <v>13</v>
      </c>
      <c r="H3971" t="s">
        <v>13</v>
      </c>
      <c r="I3971">
        <v>30</v>
      </c>
      <c r="J3971" t="str" cm="1">
        <f t="array" ref="J3971">_xlfn.IFS(ISBLANK(C3971),"FALTANTE",ABS((C3971-$W$5)/$X$5)&gt;1.96,"ATÍPICO",ABS((C3971-$W$5)/$X$5)&lt;=1.96,"NO ATÍPICO")</f>
        <v>NO ATÍPICO</v>
      </c>
      <c r="K3971" t="str" cm="1">
        <f t="array" ref="K3971">_xlfn.IFS(ISBLANK(I3971),"FALTANTE",ABS((I3971-$W$8)/$X$8)&gt;1.92,"ATÍPICO",ABS((I3971-$W$8)/$X$8)&lt;=1.92,"NO ATÍPICO")</f>
        <v>NO ATÍPICO</v>
      </c>
      <c r="L3971">
        <f t="shared" si="265"/>
        <v>971125</v>
      </c>
      <c r="M3971" t="str">
        <f t="shared" si="266"/>
        <v>ASALARIADO</v>
      </c>
      <c r="N3971">
        <f t="shared" si="267"/>
        <v>30</v>
      </c>
      <c r="O3971" s="19" t="str">
        <f t="shared" si="268"/>
        <v>900k–1200k</v>
      </c>
      <c r="P3971" s="19" t="str">
        <f t="shared" si="269"/>
        <v>26-35</v>
      </c>
    </row>
    <row r="3972" spans="1:16" x14ac:dyDescent="0.25">
      <c r="A3972">
        <v>3971</v>
      </c>
      <c r="B3972" t="s">
        <v>15</v>
      </c>
      <c r="C3972">
        <v>190413.08</v>
      </c>
      <c r="D3972" t="s">
        <v>10</v>
      </c>
      <c r="E3972" t="s">
        <v>16</v>
      </c>
      <c r="F3972" t="s">
        <v>12</v>
      </c>
      <c r="G3972" t="s">
        <v>13</v>
      </c>
      <c r="H3972" t="s">
        <v>13</v>
      </c>
      <c r="I3972">
        <v>20</v>
      </c>
      <c r="J3972" t="str" cm="1">
        <f t="array" ref="J3972">_xlfn.IFS(ISBLANK(C3972),"FALTANTE",ABS((C3972-$W$5)/$X$5)&gt;1.96,"ATÍPICO",ABS((C3972-$W$5)/$X$5)&lt;=1.96,"NO ATÍPICO")</f>
        <v>NO ATÍPICO</v>
      </c>
      <c r="K3972" t="str" cm="1">
        <f t="array" ref="K3972">_xlfn.IFS(ISBLANK(I3972),"FALTANTE",ABS((I3972-$W$8)/$X$8)&gt;1.92,"ATÍPICO",ABS((I3972-$W$8)/$X$8)&lt;=1.92,"NO ATÍPICO")</f>
        <v>NO ATÍPICO</v>
      </c>
      <c r="L3972">
        <f t="shared" si="265"/>
        <v>190413.08</v>
      </c>
      <c r="M3972" t="str">
        <f t="shared" si="266"/>
        <v>ASALARIADO</v>
      </c>
      <c r="N3972">
        <f t="shared" si="267"/>
        <v>20</v>
      </c>
      <c r="O3972" s="19" t="str">
        <f t="shared" si="268"/>
        <v>0–300k</v>
      </c>
      <c r="P3972" s="19" t="str">
        <f t="shared" si="269"/>
        <v>18-25</v>
      </c>
    </row>
    <row r="3973" spans="1:16" x14ac:dyDescent="0.25">
      <c r="A3973">
        <v>3972</v>
      </c>
      <c r="B3973" t="s">
        <v>9</v>
      </c>
      <c r="C3973">
        <v>1682812</v>
      </c>
      <c r="D3973" t="s">
        <v>10</v>
      </c>
      <c r="E3973" t="s">
        <v>11</v>
      </c>
      <c r="F3973" t="s">
        <v>12</v>
      </c>
      <c r="G3973" t="s">
        <v>13</v>
      </c>
      <c r="H3973" t="s">
        <v>12</v>
      </c>
      <c r="I3973">
        <v>46</v>
      </c>
      <c r="J3973" t="str" cm="1">
        <f t="array" ref="J3973">_xlfn.IFS(ISBLANK(C3973),"FALTANTE",ABS((C3973-$W$5)/$X$5)&gt;1.96,"ATÍPICO",ABS((C3973-$W$5)/$X$5)&lt;=1.96,"NO ATÍPICO")</f>
        <v>NO ATÍPICO</v>
      </c>
      <c r="K3973" t="str" cm="1">
        <f t="array" ref="K3973">_xlfn.IFS(ISBLANK(I3973),"FALTANTE",ABS((I3973-$W$8)/$X$8)&gt;1.92,"ATÍPICO",ABS((I3973-$W$8)/$X$8)&lt;=1.92,"NO ATÍPICO")</f>
        <v>NO ATÍPICO</v>
      </c>
      <c r="L3973">
        <f t="shared" si="265"/>
        <v>1682812</v>
      </c>
      <c r="M3973" t="str">
        <f t="shared" si="266"/>
        <v>ASALARIADO</v>
      </c>
      <c r="N3973">
        <f t="shared" si="267"/>
        <v>46</v>
      </c>
      <c r="O3973" s="19" t="str">
        <f t="shared" si="268"/>
        <v>1200k+</v>
      </c>
      <c r="P3973" s="19" t="str">
        <f t="shared" si="269"/>
        <v>46-55</v>
      </c>
    </row>
    <row r="3974" spans="1:16" x14ac:dyDescent="0.25">
      <c r="A3974">
        <v>3973</v>
      </c>
      <c r="B3974" t="s">
        <v>15</v>
      </c>
      <c r="C3974">
        <v>483156.54</v>
      </c>
      <c r="D3974" t="s">
        <v>10</v>
      </c>
      <c r="E3974" t="s">
        <v>16</v>
      </c>
      <c r="F3974" t="s">
        <v>12</v>
      </c>
      <c r="G3974" t="s">
        <v>13</v>
      </c>
      <c r="H3974" t="s">
        <v>13</v>
      </c>
      <c r="I3974">
        <v>41</v>
      </c>
      <c r="J3974" t="str" cm="1">
        <f t="array" ref="J3974">_xlfn.IFS(ISBLANK(C3974),"FALTANTE",ABS((C3974-$W$5)/$X$5)&gt;1.96,"ATÍPICO",ABS((C3974-$W$5)/$X$5)&lt;=1.96,"NO ATÍPICO")</f>
        <v>NO ATÍPICO</v>
      </c>
      <c r="K3974" t="str" cm="1">
        <f t="array" ref="K3974">_xlfn.IFS(ISBLANK(I3974),"FALTANTE",ABS((I3974-$W$8)/$X$8)&gt;1.92,"ATÍPICO",ABS((I3974-$W$8)/$X$8)&lt;=1.92,"NO ATÍPICO")</f>
        <v>NO ATÍPICO</v>
      </c>
      <c r="L3974">
        <f t="shared" si="265"/>
        <v>483156.54</v>
      </c>
      <c r="M3974" t="str">
        <f t="shared" si="266"/>
        <v>ASALARIADO</v>
      </c>
      <c r="N3974">
        <f t="shared" si="267"/>
        <v>41</v>
      </c>
      <c r="O3974" s="19" t="str">
        <f t="shared" si="268"/>
        <v>300k–600k</v>
      </c>
      <c r="P3974" s="19" t="str">
        <f t="shared" si="269"/>
        <v>36-45</v>
      </c>
    </row>
    <row r="3975" spans="1:16" x14ac:dyDescent="0.25">
      <c r="A3975">
        <v>3974</v>
      </c>
      <c r="B3975" t="s">
        <v>15</v>
      </c>
      <c r="C3975">
        <v>567792</v>
      </c>
      <c r="D3975" t="s">
        <v>10</v>
      </c>
      <c r="E3975" t="s">
        <v>11</v>
      </c>
      <c r="F3975" t="s">
        <v>12</v>
      </c>
      <c r="G3975" t="s">
        <v>13</v>
      </c>
      <c r="H3975" t="s">
        <v>12</v>
      </c>
      <c r="I3975">
        <v>51</v>
      </c>
      <c r="J3975" t="str" cm="1">
        <f t="array" ref="J3975">_xlfn.IFS(ISBLANK(C3975),"FALTANTE",ABS((C3975-$W$5)/$X$5)&gt;1.96,"ATÍPICO",ABS((C3975-$W$5)/$X$5)&lt;=1.96,"NO ATÍPICO")</f>
        <v>NO ATÍPICO</v>
      </c>
      <c r="K3975" t="str" cm="1">
        <f t="array" ref="K3975">_xlfn.IFS(ISBLANK(I3975),"FALTANTE",ABS((I3975-$W$8)/$X$8)&gt;1.92,"ATÍPICO",ABS((I3975-$W$8)/$X$8)&lt;=1.92,"NO ATÍPICO")</f>
        <v>NO ATÍPICO</v>
      </c>
      <c r="L3975">
        <f t="shared" si="265"/>
        <v>567792</v>
      </c>
      <c r="M3975" t="str">
        <f t="shared" si="266"/>
        <v>ASALARIADO</v>
      </c>
      <c r="N3975">
        <f t="shared" si="267"/>
        <v>51</v>
      </c>
      <c r="O3975" s="19" t="str">
        <f t="shared" si="268"/>
        <v>300k–600k</v>
      </c>
      <c r="P3975" s="19" t="str">
        <f t="shared" si="269"/>
        <v>46-55</v>
      </c>
    </row>
    <row r="3976" spans="1:16" x14ac:dyDescent="0.25">
      <c r="A3976">
        <v>3975</v>
      </c>
      <c r="B3976" t="s">
        <v>15</v>
      </c>
      <c r="C3976">
        <v>216627</v>
      </c>
      <c r="D3976" t="s">
        <v>10</v>
      </c>
      <c r="E3976" t="s">
        <v>16</v>
      </c>
      <c r="F3976" t="s">
        <v>12</v>
      </c>
      <c r="G3976" t="s">
        <v>13</v>
      </c>
      <c r="H3976" t="s">
        <v>13</v>
      </c>
      <c r="I3976">
        <v>42</v>
      </c>
      <c r="J3976" t="str" cm="1">
        <f t="array" ref="J3976">_xlfn.IFS(ISBLANK(C3976),"FALTANTE",ABS((C3976-$W$5)/$X$5)&gt;1.96,"ATÍPICO",ABS((C3976-$W$5)/$X$5)&lt;=1.96,"NO ATÍPICO")</f>
        <v>NO ATÍPICO</v>
      </c>
      <c r="K3976" t="str" cm="1">
        <f t="array" ref="K3976">_xlfn.IFS(ISBLANK(I3976),"FALTANTE",ABS((I3976-$W$8)/$X$8)&gt;1.92,"ATÍPICO",ABS((I3976-$W$8)/$X$8)&lt;=1.92,"NO ATÍPICO")</f>
        <v>NO ATÍPICO</v>
      </c>
      <c r="L3976">
        <f t="shared" si="265"/>
        <v>216627</v>
      </c>
      <c r="M3976" t="str">
        <f t="shared" si="266"/>
        <v>ASALARIADO</v>
      </c>
      <c r="N3976">
        <f t="shared" si="267"/>
        <v>42</v>
      </c>
      <c r="O3976" s="19" t="str">
        <f t="shared" si="268"/>
        <v>0–300k</v>
      </c>
      <c r="P3976" s="19" t="str">
        <f t="shared" si="269"/>
        <v>36-45</v>
      </c>
    </row>
    <row r="3977" spans="1:16" x14ac:dyDescent="0.25">
      <c r="A3977">
        <v>3976</v>
      </c>
      <c r="B3977" t="s">
        <v>15</v>
      </c>
      <c r="C3977">
        <v>297045</v>
      </c>
      <c r="D3977" t="s">
        <v>17</v>
      </c>
      <c r="E3977" t="s">
        <v>16</v>
      </c>
      <c r="F3977" t="s">
        <v>12</v>
      </c>
      <c r="G3977" t="s">
        <v>12</v>
      </c>
      <c r="H3977" t="s">
        <v>13</v>
      </c>
      <c r="I3977">
        <v>27</v>
      </c>
      <c r="J3977" t="str" cm="1">
        <f t="array" ref="J3977">_xlfn.IFS(ISBLANK(C3977),"FALTANTE",ABS((C3977-$W$5)/$X$5)&gt;1.96,"ATÍPICO",ABS((C3977-$W$5)/$X$5)&lt;=1.96,"NO ATÍPICO")</f>
        <v>NO ATÍPICO</v>
      </c>
      <c r="K3977" t="str" cm="1">
        <f t="array" ref="K3977">_xlfn.IFS(ISBLANK(I3977),"FALTANTE",ABS((I3977-$W$8)/$X$8)&gt;1.92,"ATÍPICO",ABS((I3977-$W$8)/$X$8)&lt;=1.92,"NO ATÍPICO")</f>
        <v>NO ATÍPICO</v>
      </c>
      <c r="L3977">
        <f t="shared" si="265"/>
        <v>297045</v>
      </c>
      <c r="M3977" t="str">
        <f t="shared" si="266"/>
        <v>ASEGURADO VOLUNTARIO</v>
      </c>
      <c r="N3977">
        <f t="shared" si="267"/>
        <v>27</v>
      </c>
      <c r="O3977" s="19" t="str">
        <f t="shared" si="268"/>
        <v>0–300k</v>
      </c>
      <c r="P3977" s="19" t="str">
        <f t="shared" si="269"/>
        <v>26-35</v>
      </c>
    </row>
    <row r="3978" spans="1:16" x14ac:dyDescent="0.25">
      <c r="A3978">
        <v>3977</v>
      </c>
      <c r="B3978" t="s">
        <v>15</v>
      </c>
      <c r="C3978">
        <v>833130.24</v>
      </c>
      <c r="D3978" t="s">
        <v>10</v>
      </c>
      <c r="E3978" t="s">
        <v>16</v>
      </c>
      <c r="F3978" t="s">
        <v>12</v>
      </c>
      <c r="G3978" t="s">
        <v>13</v>
      </c>
      <c r="H3978" t="s">
        <v>13</v>
      </c>
      <c r="I3978">
        <v>26</v>
      </c>
      <c r="J3978" t="str" cm="1">
        <f t="array" ref="J3978">_xlfn.IFS(ISBLANK(C3978),"FALTANTE",ABS((C3978-$W$5)/$X$5)&gt;1.96,"ATÍPICO",ABS((C3978-$W$5)/$X$5)&lt;=1.96,"NO ATÍPICO")</f>
        <v>NO ATÍPICO</v>
      </c>
      <c r="K3978" t="str" cm="1">
        <f t="array" ref="K3978">_xlfn.IFS(ISBLANK(I3978),"FALTANTE",ABS((I3978-$W$8)/$X$8)&gt;1.92,"ATÍPICO",ABS((I3978-$W$8)/$X$8)&lt;=1.92,"NO ATÍPICO")</f>
        <v>NO ATÍPICO</v>
      </c>
      <c r="L3978">
        <f t="shared" si="265"/>
        <v>833130.24</v>
      </c>
      <c r="M3978" t="str">
        <f t="shared" si="266"/>
        <v>ASALARIADO</v>
      </c>
      <c r="N3978">
        <f t="shared" si="267"/>
        <v>26</v>
      </c>
      <c r="O3978" s="19" t="str">
        <f t="shared" si="268"/>
        <v>600k–900k</v>
      </c>
      <c r="P3978" s="19" t="str">
        <f t="shared" si="269"/>
        <v>26-35</v>
      </c>
    </row>
    <row r="3979" spans="1:16" x14ac:dyDescent="0.25">
      <c r="A3979">
        <v>3978</v>
      </c>
      <c r="B3979" t="s">
        <v>15</v>
      </c>
      <c r="C3979">
        <v>278030</v>
      </c>
      <c r="D3979" t="s">
        <v>17</v>
      </c>
      <c r="E3979" t="s">
        <v>16</v>
      </c>
      <c r="F3979" t="s">
        <v>12</v>
      </c>
      <c r="G3979" t="s">
        <v>13</v>
      </c>
      <c r="H3979" t="s">
        <v>13</v>
      </c>
      <c r="I3979">
        <v>33</v>
      </c>
      <c r="J3979" t="str" cm="1">
        <f t="array" ref="J3979">_xlfn.IFS(ISBLANK(C3979),"FALTANTE",ABS((C3979-$W$5)/$X$5)&gt;1.96,"ATÍPICO",ABS((C3979-$W$5)/$X$5)&lt;=1.96,"NO ATÍPICO")</f>
        <v>NO ATÍPICO</v>
      </c>
      <c r="K3979" t="str" cm="1">
        <f t="array" ref="K3979">_xlfn.IFS(ISBLANK(I3979),"FALTANTE",ABS((I3979-$W$8)/$X$8)&gt;1.92,"ATÍPICO",ABS((I3979-$W$8)/$X$8)&lt;=1.92,"NO ATÍPICO")</f>
        <v>NO ATÍPICO</v>
      </c>
      <c r="L3979">
        <f t="shared" si="265"/>
        <v>278030</v>
      </c>
      <c r="M3979" t="str">
        <f t="shared" si="266"/>
        <v>ASEGURADO VOLUNTARIO</v>
      </c>
      <c r="N3979">
        <f t="shared" si="267"/>
        <v>33</v>
      </c>
      <c r="O3979" s="19" t="str">
        <f t="shared" si="268"/>
        <v>0–300k</v>
      </c>
      <c r="P3979" s="19" t="str">
        <f t="shared" si="269"/>
        <v>26-35</v>
      </c>
    </row>
    <row r="3980" spans="1:16" x14ac:dyDescent="0.25">
      <c r="A3980">
        <v>3979</v>
      </c>
      <c r="B3980" t="s">
        <v>9</v>
      </c>
      <c r="C3980">
        <v>326749</v>
      </c>
      <c r="D3980" t="s">
        <v>18</v>
      </c>
      <c r="E3980" t="s">
        <v>16</v>
      </c>
      <c r="F3980" t="s">
        <v>12</v>
      </c>
      <c r="G3980" t="s">
        <v>13</v>
      </c>
      <c r="H3980" t="s">
        <v>13</v>
      </c>
      <c r="I3980">
        <v>51</v>
      </c>
      <c r="J3980" t="str" cm="1">
        <f t="array" ref="J3980">_xlfn.IFS(ISBLANK(C3980),"FALTANTE",ABS((C3980-$W$5)/$X$5)&gt;1.96,"ATÍPICO",ABS((C3980-$W$5)/$X$5)&lt;=1.96,"NO ATÍPICO")</f>
        <v>NO ATÍPICO</v>
      </c>
      <c r="K3980" t="str" cm="1">
        <f t="array" ref="K3980">_xlfn.IFS(ISBLANK(I3980),"FALTANTE",ABS((I3980-$W$8)/$X$8)&gt;1.92,"ATÍPICO",ABS((I3980-$W$8)/$X$8)&lt;=1.92,"NO ATÍPICO")</f>
        <v>NO ATÍPICO</v>
      </c>
      <c r="L3980">
        <f t="shared" si="265"/>
        <v>326749</v>
      </c>
      <c r="M3980" t="str">
        <f t="shared" si="266"/>
        <v>TRABAJADOR INDEPENDIENTE</v>
      </c>
      <c r="N3980">
        <f t="shared" si="267"/>
        <v>51</v>
      </c>
      <c r="O3980" s="19" t="str">
        <f t="shared" si="268"/>
        <v>300k–600k</v>
      </c>
      <c r="P3980" s="19" t="str">
        <f t="shared" si="269"/>
        <v>46-55</v>
      </c>
    </row>
    <row r="3981" spans="1:16" x14ac:dyDescent="0.25">
      <c r="A3981">
        <v>3980</v>
      </c>
      <c r="B3981" t="s">
        <v>9</v>
      </c>
      <c r="C3981">
        <v>367410</v>
      </c>
      <c r="D3981" t="s">
        <v>10</v>
      </c>
      <c r="E3981" t="s">
        <v>11</v>
      </c>
      <c r="F3981" t="s">
        <v>12</v>
      </c>
      <c r="G3981" t="s">
        <v>13</v>
      </c>
      <c r="H3981" t="s">
        <v>12</v>
      </c>
      <c r="I3981">
        <v>57</v>
      </c>
      <c r="J3981" t="str" cm="1">
        <f t="array" ref="J3981">_xlfn.IFS(ISBLANK(C3981),"FALTANTE",ABS((C3981-$W$5)/$X$5)&gt;1.96,"ATÍPICO",ABS((C3981-$W$5)/$X$5)&lt;=1.96,"NO ATÍPICO")</f>
        <v>NO ATÍPICO</v>
      </c>
      <c r="K3981" t="str" cm="1">
        <f t="array" ref="K3981">_xlfn.IFS(ISBLANK(I3981),"FALTANTE",ABS((I3981-$W$8)/$X$8)&gt;1.92,"ATÍPICO",ABS((I3981-$W$8)/$X$8)&lt;=1.92,"NO ATÍPICO")</f>
        <v>NO ATÍPICO</v>
      </c>
      <c r="L3981">
        <f t="shared" si="265"/>
        <v>367410</v>
      </c>
      <c r="M3981" t="str">
        <f t="shared" si="266"/>
        <v>ASALARIADO</v>
      </c>
      <c r="N3981">
        <f t="shared" si="267"/>
        <v>57</v>
      </c>
      <c r="O3981" s="19" t="str">
        <f t="shared" si="268"/>
        <v>300k–600k</v>
      </c>
      <c r="P3981" s="19" t="str">
        <f t="shared" si="269"/>
        <v>56+</v>
      </c>
    </row>
    <row r="3982" spans="1:16" x14ac:dyDescent="0.25">
      <c r="A3982">
        <v>3981</v>
      </c>
      <c r="B3982" t="s">
        <v>9</v>
      </c>
      <c r="C3982">
        <v>1011737</v>
      </c>
      <c r="D3982" t="s">
        <v>10</v>
      </c>
      <c r="E3982" t="s">
        <v>11</v>
      </c>
      <c r="F3982" t="s">
        <v>12</v>
      </c>
      <c r="G3982" t="s">
        <v>13</v>
      </c>
      <c r="H3982" t="s">
        <v>13</v>
      </c>
      <c r="I3982">
        <v>48</v>
      </c>
      <c r="J3982" t="str" cm="1">
        <f t="array" ref="J3982">_xlfn.IFS(ISBLANK(C3982),"FALTANTE",ABS((C3982-$W$5)/$X$5)&gt;1.96,"ATÍPICO",ABS((C3982-$W$5)/$X$5)&lt;=1.96,"NO ATÍPICO")</f>
        <v>NO ATÍPICO</v>
      </c>
      <c r="K3982" t="str" cm="1">
        <f t="array" ref="K3982">_xlfn.IFS(ISBLANK(I3982),"FALTANTE",ABS((I3982-$W$8)/$X$8)&gt;1.92,"ATÍPICO",ABS((I3982-$W$8)/$X$8)&lt;=1.92,"NO ATÍPICO")</f>
        <v>NO ATÍPICO</v>
      </c>
      <c r="L3982">
        <f t="shared" si="265"/>
        <v>1011737</v>
      </c>
      <c r="M3982" t="str">
        <f t="shared" si="266"/>
        <v>ASALARIADO</v>
      </c>
      <c r="N3982">
        <f t="shared" si="267"/>
        <v>48</v>
      </c>
      <c r="O3982" s="19" t="str">
        <f t="shared" si="268"/>
        <v>900k–1200k</v>
      </c>
      <c r="P3982" s="19" t="str">
        <f t="shared" si="269"/>
        <v>46-55</v>
      </c>
    </row>
    <row r="3983" spans="1:16" x14ac:dyDescent="0.25">
      <c r="A3983">
        <v>3982</v>
      </c>
      <c r="B3983" t="s">
        <v>15</v>
      </c>
      <c r="C3983">
        <v>595614.09</v>
      </c>
      <c r="D3983" t="s">
        <v>10</v>
      </c>
      <c r="E3983" t="s">
        <v>16</v>
      </c>
      <c r="F3983" t="s">
        <v>12</v>
      </c>
      <c r="G3983" t="s">
        <v>13</v>
      </c>
      <c r="H3983" t="s">
        <v>13</v>
      </c>
      <c r="I3983">
        <v>21</v>
      </c>
      <c r="J3983" t="str" cm="1">
        <f t="array" ref="J3983">_xlfn.IFS(ISBLANK(C3983),"FALTANTE",ABS((C3983-$W$5)/$X$5)&gt;1.96,"ATÍPICO",ABS((C3983-$W$5)/$X$5)&lt;=1.96,"NO ATÍPICO")</f>
        <v>NO ATÍPICO</v>
      </c>
      <c r="K3983" t="str" cm="1">
        <f t="array" ref="K3983">_xlfn.IFS(ISBLANK(I3983),"FALTANTE",ABS((I3983-$W$8)/$X$8)&gt;1.92,"ATÍPICO",ABS((I3983-$W$8)/$X$8)&lt;=1.92,"NO ATÍPICO")</f>
        <v>NO ATÍPICO</v>
      </c>
      <c r="L3983">
        <f t="shared" si="265"/>
        <v>595614.09</v>
      </c>
      <c r="M3983" t="str">
        <f t="shared" si="266"/>
        <v>ASALARIADO</v>
      </c>
      <c r="N3983">
        <f t="shared" si="267"/>
        <v>21</v>
      </c>
      <c r="O3983" s="19" t="str">
        <f t="shared" si="268"/>
        <v>300k–600k</v>
      </c>
      <c r="P3983" s="19" t="str">
        <f t="shared" si="269"/>
        <v>18-25</v>
      </c>
    </row>
    <row r="3984" spans="1:16" x14ac:dyDescent="0.25">
      <c r="A3984">
        <v>3983</v>
      </c>
      <c r="B3984" t="s">
        <v>9</v>
      </c>
      <c r="C3984">
        <v>736585.85</v>
      </c>
      <c r="D3984" t="s">
        <v>10</v>
      </c>
      <c r="E3984" t="s">
        <v>16</v>
      </c>
      <c r="F3984" t="s">
        <v>12</v>
      </c>
      <c r="G3984" t="s">
        <v>13</v>
      </c>
      <c r="H3984" t="s">
        <v>13</v>
      </c>
      <c r="I3984">
        <v>36</v>
      </c>
      <c r="J3984" t="str" cm="1">
        <f t="array" ref="J3984">_xlfn.IFS(ISBLANK(C3984),"FALTANTE",ABS((C3984-$W$5)/$X$5)&gt;1.96,"ATÍPICO",ABS((C3984-$W$5)/$X$5)&lt;=1.96,"NO ATÍPICO")</f>
        <v>NO ATÍPICO</v>
      </c>
      <c r="K3984" t="str" cm="1">
        <f t="array" ref="K3984">_xlfn.IFS(ISBLANK(I3984),"FALTANTE",ABS((I3984-$W$8)/$X$8)&gt;1.92,"ATÍPICO",ABS((I3984-$W$8)/$X$8)&lt;=1.92,"NO ATÍPICO")</f>
        <v>NO ATÍPICO</v>
      </c>
      <c r="L3984">
        <f t="shared" si="265"/>
        <v>736585.85</v>
      </c>
      <c r="M3984" t="str">
        <f t="shared" si="266"/>
        <v>ASALARIADO</v>
      </c>
      <c r="N3984">
        <f t="shared" si="267"/>
        <v>36</v>
      </c>
      <c r="O3984" s="19" t="str">
        <f t="shared" si="268"/>
        <v>600k–900k</v>
      </c>
      <c r="P3984" s="19" t="str">
        <f t="shared" si="269"/>
        <v>36-45</v>
      </c>
    </row>
    <row r="3985" spans="1:16" x14ac:dyDescent="0.25">
      <c r="A3985">
        <v>3984</v>
      </c>
      <c r="B3985" t="s">
        <v>9</v>
      </c>
      <c r="C3985">
        <v>477796.63</v>
      </c>
      <c r="D3985" t="s">
        <v>10</v>
      </c>
      <c r="E3985" t="s">
        <v>11</v>
      </c>
      <c r="F3985" t="s">
        <v>12</v>
      </c>
      <c r="G3985" t="s">
        <v>13</v>
      </c>
      <c r="H3985" t="s">
        <v>13</v>
      </c>
      <c r="I3985">
        <v>36</v>
      </c>
      <c r="J3985" t="str" cm="1">
        <f t="array" ref="J3985">_xlfn.IFS(ISBLANK(C3985),"FALTANTE",ABS((C3985-$W$5)/$X$5)&gt;1.96,"ATÍPICO",ABS((C3985-$W$5)/$X$5)&lt;=1.96,"NO ATÍPICO")</f>
        <v>NO ATÍPICO</v>
      </c>
      <c r="K3985" t="str" cm="1">
        <f t="array" ref="K3985">_xlfn.IFS(ISBLANK(I3985),"FALTANTE",ABS((I3985-$W$8)/$X$8)&gt;1.92,"ATÍPICO",ABS((I3985-$W$8)/$X$8)&lt;=1.92,"NO ATÍPICO")</f>
        <v>NO ATÍPICO</v>
      </c>
      <c r="L3985">
        <f t="shared" si="265"/>
        <v>477796.63</v>
      </c>
      <c r="M3985" t="str">
        <f t="shared" si="266"/>
        <v>ASALARIADO</v>
      </c>
      <c r="N3985">
        <f t="shared" si="267"/>
        <v>36</v>
      </c>
      <c r="O3985" s="19" t="str">
        <f t="shared" si="268"/>
        <v>300k–600k</v>
      </c>
      <c r="P3985" s="19" t="str">
        <f t="shared" si="269"/>
        <v>36-45</v>
      </c>
    </row>
    <row r="3986" spans="1:16" x14ac:dyDescent="0.25">
      <c r="A3986">
        <v>3985</v>
      </c>
      <c r="B3986" t="s">
        <v>15</v>
      </c>
      <c r="C3986">
        <v>445567</v>
      </c>
      <c r="D3986" t="s">
        <v>18</v>
      </c>
      <c r="E3986" t="s">
        <v>16</v>
      </c>
      <c r="F3986" t="s">
        <v>12</v>
      </c>
      <c r="G3986" t="s">
        <v>13</v>
      </c>
      <c r="H3986" t="s">
        <v>12</v>
      </c>
      <c r="I3986">
        <v>51</v>
      </c>
      <c r="J3986" t="str" cm="1">
        <f t="array" ref="J3986">_xlfn.IFS(ISBLANK(C3986),"FALTANTE",ABS((C3986-$W$5)/$X$5)&gt;1.96,"ATÍPICO",ABS((C3986-$W$5)/$X$5)&lt;=1.96,"NO ATÍPICO")</f>
        <v>NO ATÍPICO</v>
      </c>
      <c r="K3986" t="str" cm="1">
        <f t="array" ref="K3986">_xlfn.IFS(ISBLANK(I3986),"FALTANTE",ABS((I3986-$W$8)/$X$8)&gt;1.92,"ATÍPICO",ABS((I3986-$W$8)/$X$8)&lt;=1.92,"NO ATÍPICO")</f>
        <v>NO ATÍPICO</v>
      </c>
      <c r="L3986">
        <f t="shared" si="265"/>
        <v>445567</v>
      </c>
      <c r="M3986" t="str">
        <f t="shared" si="266"/>
        <v>TRABAJADOR INDEPENDIENTE</v>
      </c>
      <c r="N3986">
        <f t="shared" si="267"/>
        <v>51</v>
      </c>
      <c r="O3986" s="19" t="str">
        <f t="shared" si="268"/>
        <v>300k–600k</v>
      </c>
      <c r="P3986" s="19" t="str">
        <f t="shared" si="269"/>
        <v>46-55</v>
      </c>
    </row>
    <row r="3987" spans="1:16" x14ac:dyDescent="0.25">
      <c r="A3987">
        <v>3986</v>
      </c>
      <c r="B3987" t="s">
        <v>9</v>
      </c>
      <c r="C3987">
        <v>284281</v>
      </c>
      <c r="D3987" t="s">
        <v>17</v>
      </c>
      <c r="E3987" t="s">
        <v>16</v>
      </c>
      <c r="F3987" t="s">
        <v>13</v>
      </c>
      <c r="G3987" t="s">
        <v>13</v>
      </c>
      <c r="H3987" t="s">
        <v>13</v>
      </c>
      <c r="I3987">
        <v>30</v>
      </c>
      <c r="J3987" t="str" cm="1">
        <f t="array" ref="J3987">_xlfn.IFS(ISBLANK(C3987),"FALTANTE",ABS((C3987-$W$5)/$X$5)&gt;1.96,"ATÍPICO",ABS((C3987-$W$5)/$X$5)&lt;=1.96,"NO ATÍPICO")</f>
        <v>NO ATÍPICO</v>
      </c>
      <c r="K3987" t="str" cm="1">
        <f t="array" ref="K3987">_xlfn.IFS(ISBLANK(I3987),"FALTANTE",ABS((I3987-$W$8)/$X$8)&gt;1.92,"ATÍPICO",ABS((I3987-$W$8)/$X$8)&lt;=1.92,"NO ATÍPICO")</f>
        <v>NO ATÍPICO</v>
      </c>
      <c r="L3987">
        <f t="shared" si="265"/>
        <v>284281</v>
      </c>
      <c r="M3987" t="str">
        <f t="shared" si="266"/>
        <v>ASEGURADO VOLUNTARIO</v>
      </c>
      <c r="N3987">
        <f t="shared" si="267"/>
        <v>30</v>
      </c>
      <c r="O3987" s="19" t="str">
        <f t="shared" si="268"/>
        <v>0–300k</v>
      </c>
      <c r="P3987" s="19" t="str">
        <f t="shared" si="269"/>
        <v>26-35</v>
      </c>
    </row>
    <row r="3988" spans="1:16" x14ac:dyDescent="0.25">
      <c r="A3988">
        <v>3987</v>
      </c>
      <c r="B3988" t="s">
        <v>9</v>
      </c>
      <c r="C3988">
        <v>3591705.08</v>
      </c>
      <c r="D3988" t="s">
        <v>10</v>
      </c>
      <c r="E3988" t="s">
        <v>16</v>
      </c>
      <c r="F3988" t="s">
        <v>12</v>
      </c>
      <c r="G3988" t="s">
        <v>13</v>
      </c>
      <c r="H3988" t="s">
        <v>13</v>
      </c>
      <c r="I3988">
        <v>36</v>
      </c>
      <c r="J3988" t="str" cm="1">
        <f t="array" ref="J3988">_xlfn.IFS(ISBLANK(C3988),"FALTANTE",ABS((C3988-$W$5)/$X$5)&gt;1.96,"ATÍPICO",ABS((C3988-$W$5)/$X$5)&lt;=1.96,"NO ATÍPICO")</f>
        <v>ATÍPICO</v>
      </c>
      <c r="K3988" t="str" cm="1">
        <f t="array" ref="K3988">_xlfn.IFS(ISBLANK(I3988),"FALTANTE",ABS((I3988-$W$8)/$X$8)&gt;1.92,"ATÍPICO",ABS((I3988-$W$8)/$X$8)&lt;=1.92,"NO ATÍPICO")</f>
        <v>NO ATÍPICO</v>
      </c>
      <c r="L3988">
        <f t="shared" si="265"/>
        <v>3591705.08</v>
      </c>
      <c r="M3988" t="str">
        <f t="shared" si="266"/>
        <v>ASALARIADO</v>
      </c>
      <c r="N3988">
        <f t="shared" si="267"/>
        <v>36</v>
      </c>
      <c r="O3988" s="19" t="str">
        <f t="shared" si="268"/>
        <v>1200k+</v>
      </c>
      <c r="P3988" s="19" t="str">
        <f t="shared" si="269"/>
        <v>36-45</v>
      </c>
    </row>
    <row r="3989" spans="1:16" x14ac:dyDescent="0.25">
      <c r="A3989">
        <v>3988</v>
      </c>
      <c r="B3989" t="s">
        <v>15</v>
      </c>
      <c r="C3989">
        <v>358246.66</v>
      </c>
      <c r="D3989" t="s">
        <v>10</v>
      </c>
      <c r="E3989" t="s">
        <v>16</v>
      </c>
      <c r="F3989" t="s">
        <v>12</v>
      </c>
      <c r="G3989" t="s">
        <v>13</v>
      </c>
      <c r="H3989" t="s">
        <v>13</v>
      </c>
      <c r="I3989">
        <v>28</v>
      </c>
      <c r="J3989" t="str" cm="1">
        <f t="array" ref="J3989">_xlfn.IFS(ISBLANK(C3989),"FALTANTE",ABS((C3989-$W$5)/$X$5)&gt;1.96,"ATÍPICO",ABS((C3989-$W$5)/$X$5)&lt;=1.96,"NO ATÍPICO")</f>
        <v>NO ATÍPICO</v>
      </c>
      <c r="K3989" t="str" cm="1">
        <f t="array" ref="K3989">_xlfn.IFS(ISBLANK(I3989),"FALTANTE",ABS((I3989-$W$8)/$X$8)&gt;1.92,"ATÍPICO",ABS((I3989-$W$8)/$X$8)&lt;=1.92,"NO ATÍPICO")</f>
        <v>NO ATÍPICO</v>
      </c>
      <c r="L3989">
        <f t="shared" si="265"/>
        <v>358246.66</v>
      </c>
      <c r="M3989" t="str">
        <f t="shared" si="266"/>
        <v>ASALARIADO</v>
      </c>
      <c r="N3989">
        <f t="shared" si="267"/>
        <v>28</v>
      </c>
      <c r="O3989" s="19" t="str">
        <f t="shared" si="268"/>
        <v>300k–600k</v>
      </c>
      <c r="P3989" s="19" t="str">
        <f t="shared" si="269"/>
        <v>26-35</v>
      </c>
    </row>
    <row r="3990" spans="1:16" x14ac:dyDescent="0.25">
      <c r="A3990">
        <v>3989</v>
      </c>
      <c r="B3990" t="s">
        <v>9</v>
      </c>
      <c r="C3990">
        <v>297163</v>
      </c>
      <c r="D3990" t="s">
        <v>17</v>
      </c>
      <c r="E3990" t="s">
        <v>16</v>
      </c>
      <c r="F3990" t="s">
        <v>12</v>
      </c>
      <c r="G3990" t="s">
        <v>13</v>
      </c>
      <c r="H3990" t="s">
        <v>13</v>
      </c>
      <c r="I3990">
        <v>37</v>
      </c>
      <c r="J3990" t="str" cm="1">
        <f t="array" ref="J3990">_xlfn.IFS(ISBLANK(C3990),"FALTANTE",ABS((C3990-$W$5)/$X$5)&gt;1.96,"ATÍPICO",ABS((C3990-$W$5)/$X$5)&lt;=1.96,"NO ATÍPICO")</f>
        <v>NO ATÍPICO</v>
      </c>
      <c r="K3990" t="str" cm="1">
        <f t="array" ref="K3990">_xlfn.IFS(ISBLANK(I3990),"FALTANTE",ABS((I3990-$W$8)/$X$8)&gt;1.92,"ATÍPICO",ABS((I3990-$W$8)/$X$8)&lt;=1.92,"NO ATÍPICO")</f>
        <v>NO ATÍPICO</v>
      </c>
      <c r="L3990">
        <f t="shared" si="265"/>
        <v>297163</v>
      </c>
      <c r="M3990" t="str">
        <f t="shared" si="266"/>
        <v>ASEGURADO VOLUNTARIO</v>
      </c>
      <c r="N3990">
        <f t="shared" si="267"/>
        <v>37</v>
      </c>
      <c r="O3990" s="19" t="str">
        <f t="shared" si="268"/>
        <v>0–300k</v>
      </c>
      <c r="P3990" s="19" t="str">
        <f t="shared" si="269"/>
        <v>36-45</v>
      </c>
    </row>
    <row r="3991" spans="1:16" x14ac:dyDescent="0.25">
      <c r="A3991">
        <v>3990</v>
      </c>
      <c r="B3991" t="s">
        <v>9</v>
      </c>
      <c r="C3991">
        <v>360000</v>
      </c>
      <c r="D3991" t="s">
        <v>10</v>
      </c>
      <c r="E3991" t="s">
        <v>16</v>
      </c>
      <c r="F3991" t="s">
        <v>12</v>
      </c>
      <c r="G3991" t="s">
        <v>13</v>
      </c>
      <c r="H3991" t="s">
        <v>13</v>
      </c>
      <c r="I3991">
        <v>54</v>
      </c>
      <c r="J3991" t="str" cm="1">
        <f t="array" ref="J3991">_xlfn.IFS(ISBLANK(C3991),"FALTANTE",ABS((C3991-$W$5)/$X$5)&gt;1.96,"ATÍPICO",ABS((C3991-$W$5)/$X$5)&lt;=1.96,"NO ATÍPICO")</f>
        <v>NO ATÍPICO</v>
      </c>
      <c r="K3991" t="str" cm="1">
        <f t="array" ref="K3991">_xlfn.IFS(ISBLANK(I3991),"FALTANTE",ABS((I3991-$W$8)/$X$8)&gt;1.92,"ATÍPICO",ABS((I3991-$W$8)/$X$8)&lt;=1.92,"NO ATÍPICO")</f>
        <v>NO ATÍPICO</v>
      </c>
      <c r="L3991">
        <f t="shared" si="265"/>
        <v>360000</v>
      </c>
      <c r="M3991" t="str">
        <f t="shared" si="266"/>
        <v>ASALARIADO</v>
      </c>
      <c r="N3991">
        <f t="shared" si="267"/>
        <v>54</v>
      </c>
      <c r="O3991" s="19" t="str">
        <f t="shared" si="268"/>
        <v>300k–600k</v>
      </c>
      <c r="P3991" s="19" t="str">
        <f t="shared" si="269"/>
        <v>46-55</v>
      </c>
    </row>
    <row r="3992" spans="1:16" x14ac:dyDescent="0.25">
      <c r="A3992">
        <v>3991</v>
      </c>
      <c r="B3992" t="s">
        <v>15</v>
      </c>
      <c r="C3992">
        <v>30000</v>
      </c>
      <c r="D3992" t="s">
        <v>10</v>
      </c>
      <c r="E3992" t="s">
        <v>16</v>
      </c>
      <c r="F3992" t="s">
        <v>12</v>
      </c>
      <c r="G3992" t="s">
        <v>12</v>
      </c>
      <c r="H3992" t="s">
        <v>13</v>
      </c>
      <c r="I3992">
        <v>40</v>
      </c>
      <c r="J3992" t="str" cm="1">
        <f t="array" ref="J3992">_xlfn.IFS(ISBLANK(C3992),"FALTANTE",ABS((C3992-$W$5)/$X$5)&gt;1.96,"ATÍPICO",ABS((C3992-$W$5)/$X$5)&lt;=1.96,"NO ATÍPICO")</f>
        <v>NO ATÍPICO</v>
      </c>
      <c r="K3992" t="str" cm="1">
        <f t="array" ref="K3992">_xlfn.IFS(ISBLANK(I3992),"FALTANTE",ABS((I3992-$W$8)/$X$8)&gt;1.92,"ATÍPICO",ABS((I3992-$W$8)/$X$8)&lt;=1.92,"NO ATÍPICO")</f>
        <v>NO ATÍPICO</v>
      </c>
      <c r="L3992">
        <f t="shared" si="265"/>
        <v>30000</v>
      </c>
      <c r="M3992" t="str">
        <f t="shared" si="266"/>
        <v>ASALARIADO</v>
      </c>
      <c r="N3992">
        <f t="shared" si="267"/>
        <v>40</v>
      </c>
      <c r="O3992" s="19" t="str">
        <f t="shared" si="268"/>
        <v>0–300k</v>
      </c>
      <c r="P3992" s="19" t="str">
        <f t="shared" si="269"/>
        <v>36-45</v>
      </c>
    </row>
    <row r="3993" spans="1:16" x14ac:dyDescent="0.25">
      <c r="A3993">
        <v>3992</v>
      </c>
      <c r="B3993" t="s">
        <v>15</v>
      </c>
      <c r="C3993">
        <v>164853.32999999999</v>
      </c>
      <c r="D3993" t="s">
        <v>10</v>
      </c>
      <c r="E3993" t="s">
        <v>16</v>
      </c>
      <c r="F3993" t="s">
        <v>12</v>
      </c>
      <c r="G3993" t="s">
        <v>13</v>
      </c>
      <c r="H3993" t="s">
        <v>13</v>
      </c>
      <c r="I3993">
        <v>25</v>
      </c>
      <c r="J3993" t="str" cm="1">
        <f t="array" ref="J3993">_xlfn.IFS(ISBLANK(C3993),"FALTANTE",ABS((C3993-$W$5)/$X$5)&gt;1.96,"ATÍPICO",ABS((C3993-$W$5)/$X$5)&lt;=1.96,"NO ATÍPICO")</f>
        <v>NO ATÍPICO</v>
      </c>
      <c r="K3993" t="str" cm="1">
        <f t="array" ref="K3993">_xlfn.IFS(ISBLANK(I3993),"FALTANTE",ABS((I3993-$W$8)/$X$8)&gt;1.92,"ATÍPICO",ABS((I3993-$W$8)/$X$8)&lt;=1.92,"NO ATÍPICO")</f>
        <v>NO ATÍPICO</v>
      </c>
      <c r="L3993">
        <f t="shared" si="265"/>
        <v>164853.32999999999</v>
      </c>
      <c r="M3993" t="str">
        <f t="shared" si="266"/>
        <v>ASALARIADO</v>
      </c>
      <c r="N3993">
        <f t="shared" si="267"/>
        <v>25</v>
      </c>
      <c r="O3993" s="19" t="str">
        <f t="shared" si="268"/>
        <v>0–300k</v>
      </c>
      <c r="P3993" s="19" t="str">
        <f t="shared" si="269"/>
        <v>18-25</v>
      </c>
    </row>
    <row r="3994" spans="1:16" x14ac:dyDescent="0.25">
      <c r="A3994">
        <v>3993</v>
      </c>
      <c r="B3994" t="s">
        <v>15</v>
      </c>
      <c r="C3994">
        <v>867373.5</v>
      </c>
      <c r="D3994" t="s">
        <v>10</v>
      </c>
      <c r="E3994" t="s">
        <v>11</v>
      </c>
      <c r="F3994" t="s">
        <v>12</v>
      </c>
      <c r="G3994" t="s">
        <v>13</v>
      </c>
      <c r="H3994" t="s">
        <v>13</v>
      </c>
      <c r="I3994">
        <v>32</v>
      </c>
      <c r="J3994" t="str" cm="1">
        <f t="array" ref="J3994">_xlfn.IFS(ISBLANK(C3994),"FALTANTE",ABS((C3994-$W$5)/$X$5)&gt;1.96,"ATÍPICO",ABS((C3994-$W$5)/$X$5)&lt;=1.96,"NO ATÍPICO")</f>
        <v>NO ATÍPICO</v>
      </c>
      <c r="K3994" t="str" cm="1">
        <f t="array" ref="K3994">_xlfn.IFS(ISBLANK(I3994),"FALTANTE",ABS((I3994-$W$8)/$X$8)&gt;1.92,"ATÍPICO",ABS((I3994-$W$8)/$X$8)&lt;=1.92,"NO ATÍPICO")</f>
        <v>NO ATÍPICO</v>
      </c>
      <c r="L3994">
        <f t="shared" si="265"/>
        <v>867373.5</v>
      </c>
      <c r="M3994" t="str">
        <f t="shared" si="266"/>
        <v>ASALARIADO</v>
      </c>
      <c r="N3994">
        <f t="shared" si="267"/>
        <v>32</v>
      </c>
      <c r="O3994" s="19" t="str">
        <f t="shared" si="268"/>
        <v>600k–900k</v>
      </c>
      <c r="P3994" s="19" t="str">
        <f t="shared" si="269"/>
        <v>26-35</v>
      </c>
    </row>
    <row r="3995" spans="1:16" x14ac:dyDescent="0.25">
      <c r="A3995">
        <v>3994</v>
      </c>
      <c r="B3995" t="s">
        <v>15</v>
      </c>
      <c r="C3995">
        <v>1301692.07</v>
      </c>
      <c r="D3995" t="s">
        <v>10</v>
      </c>
      <c r="E3995" t="s">
        <v>16</v>
      </c>
      <c r="F3995" t="s">
        <v>12</v>
      </c>
      <c r="G3995" t="s">
        <v>13</v>
      </c>
      <c r="H3995" t="s">
        <v>13</v>
      </c>
      <c r="I3995">
        <v>40</v>
      </c>
      <c r="J3995" t="str" cm="1">
        <f t="array" ref="J3995">_xlfn.IFS(ISBLANK(C3995),"FALTANTE",ABS((C3995-$W$5)/$X$5)&gt;1.96,"ATÍPICO",ABS((C3995-$W$5)/$X$5)&lt;=1.96,"NO ATÍPICO")</f>
        <v>NO ATÍPICO</v>
      </c>
      <c r="K3995" t="str" cm="1">
        <f t="array" ref="K3995">_xlfn.IFS(ISBLANK(I3995),"FALTANTE",ABS((I3995-$W$8)/$X$8)&gt;1.92,"ATÍPICO",ABS((I3995-$W$8)/$X$8)&lt;=1.92,"NO ATÍPICO")</f>
        <v>NO ATÍPICO</v>
      </c>
      <c r="L3995">
        <f t="shared" si="265"/>
        <v>1301692.07</v>
      </c>
      <c r="M3995" t="str">
        <f t="shared" si="266"/>
        <v>ASALARIADO</v>
      </c>
      <c r="N3995">
        <f t="shared" si="267"/>
        <v>40</v>
      </c>
      <c r="O3995" s="19" t="str">
        <f t="shared" si="268"/>
        <v>1200k+</v>
      </c>
      <c r="P3995" s="19" t="str">
        <f t="shared" si="269"/>
        <v>36-45</v>
      </c>
    </row>
    <row r="3996" spans="1:16" x14ac:dyDescent="0.25">
      <c r="A3996">
        <v>3995</v>
      </c>
      <c r="B3996" t="s">
        <v>15</v>
      </c>
      <c r="C3996">
        <v>382400</v>
      </c>
      <c r="D3996" t="s">
        <v>10</v>
      </c>
      <c r="E3996" t="s">
        <v>16</v>
      </c>
      <c r="F3996" t="s">
        <v>12</v>
      </c>
      <c r="G3996" t="s">
        <v>13</v>
      </c>
      <c r="H3996" t="s">
        <v>13</v>
      </c>
      <c r="I3996">
        <v>35</v>
      </c>
      <c r="J3996" t="str" cm="1">
        <f t="array" ref="J3996">_xlfn.IFS(ISBLANK(C3996),"FALTANTE",ABS((C3996-$W$5)/$X$5)&gt;1.96,"ATÍPICO",ABS((C3996-$W$5)/$X$5)&lt;=1.96,"NO ATÍPICO")</f>
        <v>NO ATÍPICO</v>
      </c>
      <c r="K3996" t="str" cm="1">
        <f t="array" ref="K3996">_xlfn.IFS(ISBLANK(I3996),"FALTANTE",ABS((I3996-$W$8)/$X$8)&gt;1.92,"ATÍPICO",ABS((I3996-$W$8)/$X$8)&lt;=1.92,"NO ATÍPICO")</f>
        <v>NO ATÍPICO</v>
      </c>
      <c r="L3996">
        <f t="shared" si="265"/>
        <v>382400</v>
      </c>
      <c r="M3996" t="str">
        <f t="shared" si="266"/>
        <v>ASALARIADO</v>
      </c>
      <c r="N3996">
        <f t="shared" si="267"/>
        <v>35</v>
      </c>
      <c r="O3996" s="19" t="str">
        <f t="shared" si="268"/>
        <v>300k–600k</v>
      </c>
      <c r="P3996" s="19" t="str">
        <f t="shared" si="269"/>
        <v>26-35</v>
      </c>
    </row>
    <row r="3997" spans="1:16" x14ac:dyDescent="0.25">
      <c r="A3997">
        <v>3996</v>
      </c>
      <c r="B3997" t="s">
        <v>9</v>
      </c>
      <c r="C3997">
        <v>423687.09</v>
      </c>
      <c r="D3997" t="s">
        <v>10</v>
      </c>
      <c r="E3997" t="s">
        <v>16</v>
      </c>
      <c r="F3997" t="s">
        <v>12</v>
      </c>
      <c r="G3997" t="s">
        <v>13</v>
      </c>
      <c r="H3997" t="s">
        <v>13</v>
      </c>
      <c r="I3997">
        <v>52</v>
      </c>
      <c r="J3997" t="str" cm="1">
        <f t="array" ref="J3997">_xlfn.IFS(ISBLANK(C3997),"FALTANTE",ABS((C3997-$W$5)/$X$5)&gt;1.96,"ATÍPICO",ABS((C3997-$W$5)/$X$5)&lt;=1.96,"NO ATÍPICO")</f>
        <v>NO ATÍPICO</v>
      </c>
      <c r="K3997" t="str" cm="1">
        <f t="array" ref="K3997">_xlfn.IFS(ISBLANK(I3997),"FALTANTE",ABS((I3997-$W$8)/$X$8)&gt;1.92,"ATÍPICO",ABS((I3997-$W$8)/$X$8)&lt;=1.92,"NO ATÍPICO")</f>
        <v>NO ATÍPICO</v>
      </c>
      <c r="L3997">
        <f t="shared" si="265"/>
        <v>423687.09</v>
      </c>
      <c r="M3997" t="str">
        <f t="shared" si="266"/>
        <v>ASALARIADO</v>
      </c>
      <c r="N3997">
        <f t="shared" si="267"/>
        <v>52</v>
      </c>
      <c r="O3997" s="19" t="str">
        <f t="shared" si="268"/>
        <v>300k–600k</v>
      </c>
      <c r="P3997" s="19" t="str">
        <f t="shared" si="269"/>
        <v>46-55</v>
      </c>
    </row>
    <row r="3998" spans="1:16" x14ac:dyDescent="0.25">
      <c r="A3998">
        <v>3997</v>
      </c>
      <c r="B3998" t="s">
        <v>9</v>
      </c>
      <c r="C3998">
        <v>342028</v>
      </c>
      <c r="D3998" t="s">
        <v>10</v>
      </c>
      <c r="E3998" t="s">
        <v>16</v>
      </c>
      <c r="F3998" t="s">
        <v>12</v>
      </c>
      <c r="G3998" t="s">
        <v>13</v>
      </c>
      <c r="H3998" t="s">
        <v>13</v>
      </c>
      <c r="I3998">
        <v>24</v>
      </c>
      <c r="J3998" t="str" cm="1">
        <f t="array" ref="J3998">_xlfn.IFS(ISBLANK(C3998),"FALTANTE",ABS((C3998-$W$5)/$X$5)&gt;1.96,"ATÍPICO",ABS((C3998-$W$5)/$X$5)&lt;=1.96,"NO ATÍPICO")</f>
        <v>NO ATÍPICO</v>
      </c>
      <c r="K3998" t="str" cm="1">
        <f t="array" ref="K3998">_xlfn.IFS(ISBLANK(I3998),"FALTANTE",ABS((I3998-$W$8)/$X$8)&gt;1.92,"ATÍPICO",ABS((I3998-$W$8)/$X$8)&lt;=1.92,"NO ATÍPICO")</f>
        <v>NO ATÍPICO</v>
      </c>
      <c r="L3998">
        <f t="shared" si="265"/>
        <v>342028</v>
      </c>
      <c r="M3998" t="str">
        <f t="shared" si="266"/>
        <v>ASALARIADO</v>
      </c>
      <c r="N3998">
        <f t="shared" si="267"/>
        <v>24</v>
      </c>
      <c r="O3998" s="19" t="str">
        <f t="shared" si="268"/>
        <v>300k–600k</v>
      </c>
      <c r="P3998" s="19" t="str">
        <f t="shared" si="269"/>
        <v>18-25</v>
      </c>
    </row>
    <row r="3999" spans="1:16" x14ac:dyDescent="0.25">
      <c r="A3999">
        <v>3998</v>
      </c>
      <c r="B3999" t="s">
        <v>9</v>
      </c>
      <c r="C3999">
        <v>300018</v>
      </c>
      <c r="D3999" t="s">
        <v>18</v>
      </c>
      <c r="E3999" t="s">
        <v>16</v>
      </c>
      <c r="F3999" t="s">
        <v>12</v>
      </c>
      <c r="G3999" t="s">
        <v>13</v>
      </c>
      <c r="H3999" t="s">
        <v>12</v>
      </c>
      <c r="I3999">
        <v>46</v>
      </c>
      <c r="J3999" t="str" cm="1">
        <f t="array" ref="J3999">_xlfn.IFS(ISBLANK(C3999),"FALTANTE",ABS((C3999-$W$5)/$X$5)&gt;1.96,"ATÍPICO",ABS((C3999-$W$5)/$X$5)&lt;=1.96,"NO ATÍPICO")</f>
        <v>NO ATÍPICO</v>
      </c>
      <c r="K3999" t="str" cm="1">
        <f t="array" ref="K3999">_xlfn.IFS(ISBLANK(I3999),"FALTANTE",ABS((I3999-$W$8)/$X$8)&gt;1.92,"ATÍPICO",ABS((I3999-$W$8)/$X$8)&lt;=1.92,"NO ATÍPICO")</f>
        <v>NO ATÍPICO</v>
      </c>
      <c r="L3999">
        <f t="shared" si="265"/>
        <v>300018</v>
      </c>
      <c r="M3999" t="str">
        <f t="shared" si="266"/>
        <v>TRABAJADOR INDEPENDIENTE</v>
      </c>
      <c r="N3999">
        <f t="shared" si="267"/>
        <v>46</v>
      </c>
      <c r="O3999" s="19" t="str">
        <f t="shared" si="268"/>
        <v>300k–600k</v>
      </c>
      <c r="P3999" s="19" t="str">
        <f t="shared" si="269"/>
        <v>46-55</v>
      </c>
    </row>
    <row r="4000" spans="1:16" x14ac:dyDescent="0.25">
      <c r="A4000">
        <v>3999</v>
      </c>
      <c r="B4000" t="s">
        <v>15</v>
      </c>
      <c r="C4000">
        <v>981847.5</v>
      </c>
      <c r="D4000" t="s">
        <v>10</v>
      </c>
      <c r="E4000" t="s">
        <v>16</v>
      </c>
      <c r="F4000" t="s">
        <v>12</v>
      </c>
      <c r="G4000" t="s">
        <v>13</v>
      </c>
      <c r="H4000" t="s">
        <v>13</v>
      </c>
      <c r="I4000">
        <v>34</v>
      </c>
      <c r="J4000" t="str" cm="1">
        <f t="array" ref="J4000">_xlfn.IFS(ISBLANK(C4000),"FALTANTE",ABS((C4000-$W$5)/$X$5)&gt;1.96,"ATÍPICO",ABS((C4000-$W$5)/$X$5)&lt;=1.96,"NO ATÍPICO")</f>
        <v>NO ATÍPICO</v>
      </c>
      <c r="K4000" t="str" cm="1">
        <f t="array" ref="K4000">_xlfn.IFS(ISBLANK(I4000),"FALTANTE",ABS((I4000-$W$8)/$X$8)&gt;1.92,"ATÍPICO",ABS((I4000-$W$8)/$X$8)&lt;=1.92,"NO ATÍPICO")</f>
        <v>NO ATÍPICO</v>
      </c>
      <c r="L4000">
        <f t="shared" si="265"/>
        <v>981847.5</v>
      </c>
      <c r="M4000" t="str">
        <f t="shared" si="266"/>
        <v>ASALARIADO</v>
      </c>
      <c r="N4000">
        <f t="shared" si="267"/>
        <v>34</v>
      </c>
      <c r="O4000" s="19" t="str">
        <f t="shared" si="268"/>
        <v>900k–1200k</v>
      </c>
      <c r="P4000" s="19" t="str">
        <f t="shared" si="269"/>
        <v>26-35</v>
      </c>
    </row>
    <row r="4001" spans="1:16" x14ac:dyDescent="0.25">
      <c r="A4001">
        <v>4000</v>
      </c>
      <c r="B4001" t="s">
        <v>15</v>
      </c>
      <c r="C4001">
        <v>602132.81000000006</v>
      </c>
      <c r="D4001" t="s">
        <v>10</v>
      </c>
      <c r="E4001" t="s">
        <v>16</v>
      </c>
      <c r="F4001" t="s">
        <v>12</v>
      </c>
      <c r="G4001" t="s">
        <v>13</v>
      </c>
      <c r="H4001" t="s">
        <v>13</v>
      </c>
      <c r="I4001">
        <v>23</v>
      </c>
      <c r="J4001" t="str" cm="1">
        <f t="array" ref="J4001">_xlfn.IFS(ISBLANK(C4001),"FALTANTE",ABS((C4001-$W$5)/$X$5)&gt;1.96,"ATÍPICO",ABS((C4001-$W$5)/$X$5)&lt;=1.96,"NO ATÍPICO")</f>
        <v>NO ATÍPICO</v>
      </c>
      <c r="K4001" t="str" cm="1">
        <f t="array" ref="K4001">_xlfn.IFS(ISBLANK(I4001),"FALTANTE",ABS((I4001-$W$8)/$X$8)&gt;1.92,"ATÍPICO",ABS((I4001-$W$8)/$X$8)&lt;=1.92,"NO ATÍPICO")</f>
        <v>NO ATÍPICO</v>
      </c>
      <c r="L4001">
        <f t="shared" si="265"/>
        <v>602132.81000000006</v>
      </c>
      <c r="M4001" t="str">
        <f t="shared" si="266"/>
        <v>ASALARIADO</v>
      </c>
      <c r="N4001">
        <f t="shared" si="267"/>
        <v>23</v>
      </c>
      <c r="O4001" s="19" t="str">
        <f t="shared" si="268"/>
        <v>600k–900k</v>
      </c>
      <c r="P4001" s="19" t="str">
        <f t="shared" si="269"/>
        <v>18-25</v>
      </c>
    </row>
    <row r="4002" spans="1:16" x14ac:dyDescent="0.25">
      <c r="A4002">
        <v>4001</v>
      </c>
      <c r="B4002" t="s">
        <v>9</v>
      </c>
      <c r="C4002">
        <v>357501.47</v>
      </c>
      <c r="D4002" t="s">
        <v>10</v>
      </c>
      <c r="E4002" t="s">
        <v>16</v>
      </c>
      <c r="F4002" t="s">
        <v>12</v>
      </c>
      <c r="G4002" t="s">
        <v>12</v>
      </c>
      <c r="H4002" t="s">
        <v>13</v>
      </c>
      <c r="I4002">
        <v>31</v>
      </c>
      <c r="J4002" t="str" cm="1">
        <f t="array" ref="J4002">_xlfn.IFS(ISBLANK(C4002),"FALTANTE",ABS((C4002-$W$5)/$X$5)&gt;1.96,"ATÍPICO",ABS((C4002-$W$5)/$X$5)&lt;=1.96,"NO ATÍPICO")</f>
        <v>NO ATÍPICO</v>
      </c>
      <c r="K4002" t="str" cm="1">
        <f t="array" ref="K4002">_xlfn.IFS(ISBLANK(I4002),"FALTANTE",ABS((I4002-$W$8)/$X$8)&gt;1.92,"ATÍPICO",ABS((I4002-$W$8)/$X$8)&lt;=1.92,"NO ATÍPICO")</f>
        <v>NO ATÍPICO</v>
      </c>
      <c r="L4002">
        <f t="shared" si="265"/>
        <v>357501.47</v>
      </c>
      <c r="M4002" t="str">
        <f t="shared" si="266"/>
        <v>ASALARIADO</v>
      </c>
      <c r="N4002">
        <f t="shared" si="267"/>
        <v>31</v>
      </c>
      <c r="O4002" s="19" t="str">
        <f t="shared" si="268"/>
        <v>300k–600k</v>
      </c>
      <c r="P4002" s="19" t="str">
        <f t="shared" si="269"/>
        <v>26-35</v>
      </c>
    </row>
    <row r="4003" spans="1:16" x14ac:dyDescent="0.25">
      <c r="A4003">
        <v>4002</v>
      </c>
      <c r="B4003" t="s">
        <v>9</v>
      </c>
      <c r="C4003">
        <v>278030</v>
      </c>
      <c r="D4003" t="s">
        <v>18</v>
      </c>
      <c r="E4003" t="s">
        <v>16</v>
      </c>
      <c r="F4003" t="s">
        <v>12</v>
      </c>
      <c r="G4003" t="s">
        <v>13</v>
      </c>
      <c r="H4003" t="s">
        <v>13</v>
      </c>
      <c r="I4003">
        <v>30</v>
      </c>
      <c r="J4003" t="str" cm="1">
        <f t="array" ref="J4003">_xlfn.IFS(ISBLANK(C4003),"FALTANTE",ABS((C4003-$W$5)/$X$5)&gt;1.96,"ATÍPICO",ABS((C4003-$W$5)/$X$5)&lt;=1.96,"NO ATÍPICO")</f>
        <v>NO ATÍPICO</v>
      </c>
      <c r="K4003" t="str" cm="1">
        <f t="array" ref="K4003">_xlfn.IFS(ISBLANK(I4003),"FALTANTE",ABS((I4003-$W$8)/$X$8)&gt;1.92,"ATÍPICO",ABS((I4003-$W$8)/$X$8)&lt;=1.92,"NO ATÍPICO")</f>
        <v>NO ATÍPICO</v>
      </c>
      <c r="L4003">
        <f t="shared" si="265"/>
        <v>278030</v>
      </c>
      <c r="M4003" t="str">
        <f t="shared" si="266"/>
        <v>TRABAJADOR INDEPENDIENTE</v>
      </c>
      <c r="N4003">
        <f t="shared" si="267"/>
        <v>30</v>
      </c>
      <c r="O4003" s="19" t="str">
        <f t="shared" si="268"/>
        <v>0–300k</v>
      </c>
      <c r="P4003" s="19" t="str">
        <f t="shared" si="269"/>
        <v>26-35</v>
      </c>
    </row>
    <row r="4004" spans="1:16" x14ac:dyDescent="0.25">
      <c r="A4004">
        <v>4003</v>
      </c>
      <c r="B4004" t="s">
        <v>9</v>
      </c>
      <c r="C4004">
        <v>396946.3</v>
      </c>
      <c r="D4004" t="s">
        <v>10</v>
      </c>
      <c r="E4004" t="s">
        <v>11</v>
      </c>
      <c r="F4004" t="s">
        <v>12</v>
      </c>
      <c r="G4004" t="s">
        <v>13</v>
      </c>
      <c r="H4004" t="s">
        <v>13</v>
      </c>
      <c r="I4004">
        <v>58</v>
      </c>
      <c r="J4004" t="str" cm="1">
        <f t="array" ref="J4004">_xlfn.IFS(ISBLANK(C4004),"FALTANTE",ABS((C4004-$W$5)/$X$5)&gt;1.96,"ATÍPICO",ABS((C4004-$W$5)/$X$5)&lt;=1.96,"NO ATÍPICO")</f>
        <v>NO ATÍPICO</v>
      </c>
      <c r="K4004" t="str" cm="1">
        <f t="array" ref="K4004">_xlfn.IFS(ISBLANK(I4004),"FALTANTE",ABS((I4004-$W$8)/$X$8)&gt;1.92,"ATÍPICO",ABS((I4004-$W$8)/$X$8)&lt;=1.92,"NO ATÍPICO")</f>
        <v>NO ATÍPICO</v>
      </c>
      <c r="L4004">
        <f t="shared" si="265"/>
        <v>396946.3</v>
      </c>
      <c r="M4004" t="str">
        <f t="shared" si="266"/>
        <v>ASALARIADO</v>
      </c>
      <c r="N4004">
        <f t="shared" si="267"/>
        <v>58</v>
      </c>
      <c r="O4004" s="19" t="str">
        <f t="shared" si="268"/>
        <v>300k–600k</v>
      </c>
      <c r="P4004" s="19" t="str">
        <f t="shared" si="269"/>
        <v>56+</v>
      </c>
    </row>
    <row r="4005" spans="1:16" x14ac:dyDescent="0.25">
      <c r="A4005">
        <v>4004</v>
      </c>
      <c r="B4005" t="s">
        <v>15</v>
      </c>
      <c r="C4005">
        <v>550668.84</v>
      </c>
      <c r="D4005" t="s">
        <v>10</v>
      </c>
      <c r="E4005" t="s">
        <v>16</v>
      </c>
      <c r="F4005" t="s">
        <v>12</v>
      </c>
      <c r="G4005" t="s">
        <v>13</v>
      </c>
      <c r="H4005" t="s">
        <v>13</v>
      </c>
      <c r="I4005">
        <v>23</v>
      </c>
      <c r="J4005" t="str" cm="1">
        <f t="array" ref="J4005">_xlfn.IFS(ISBLANK(C4005),"FALTANTE",ABS((C4005-$W$5)/$X$5)&gt;1.96,"ATÍPICO",ABS((C4005-$W$5)/$X$5)&lt;=1.96,"NO ATÍPICO")</f>
        <v>NO ATÍPICO</v>
      </c>
      <c r="K4005" t="str" cm="1">
        <f t="array" ref="K4005">_xlfn.IFS(ISBLANK(I4005),"FALTANTE",ABS((I4005-$W$8)/$X$8)&gt;1.92,"ATÍPICO",ABS((I4005-$W$8)/$X$8)&lt;=1.92,"NO ATÍPICO")</f>
        <v>NO ATÍPICO</v>
      </c>
      <c r="L4005">
        <f t="shared" si="265"/>
        <v>550668.84</v>
      </c>
      <c r="M4005" t="str">
        <f t="shared" si="266"/>
        <v>ASALARIADO</v>
      </c>
      <c r="N4005">
        <f t="shared" si="267"/>
        <v>23</v>
      </c>
      <c r="O4005" s="19" t="str">
        <f t="shared" si="268"/>
        <v>300k–600k</v>
      </c>
      <c r="P4005" s="19" t="str">
        <f t="shared" si="269"/>
        <v>18-25</v>
      </c>
    </row>
    <row r="4006" spans="1:16" x14ac:dyDescent="0.25">
      <c r="A4006">
        <v>4005</v>
      </c>
      <c r="B4006" t="s">
        <v>9</v>
      </c>
      <c r="C4006">
        <v>403983</v>
      </c>
      <c r="D4006" t="s">
        <v>18</v>
      </c>
      <c r="E4006" t="s">
        <v>16</v>
      </c>
      <c r="F4006" t="s">
        <v>12</v>
      </c>
      <c r="G4006" t="s">
        <v>12</v>
      </c>
      <c r="H4006" t="s">
        <v>12</v>
      </c>
      <c r="I4006">
        <v>54</v>
      </c>
      <c r="J4006" t="str" cm="1">
        <f t="array" ref="J4006">_xlfn.IFS(ISBLANK(C4006),"FALTANTE",ABS((C4006-$W$5)/$X$5)&gt;1.96,"ATÍPICO",ABS((C4006-$W$5)/$X$5)&lt;=1.96,"NO ATÍPICO")</f>
        <v>NO ATÍPICO</v>
      </c>
      <c r="K4006" t="str" cm="1">
        <f t="array" ref="K4006">_xlfn.IFS(ISBLANK(I4006),"FALTANTE",ABS((I4006-$W$8)/$X$8)&gt;1.92,"ATÍPICO",ABS((I4006-$W$8)/$X$8)&lt;=1.92,"NO ATÍPICO")</f>
        <v>NO ATÍPICO</v>
      </c>
      <c r="L4006">
        <f t="shared" si="265"/>
        <v>403983</v>
      </c>
      <c r="M4006" t="str">
        <f t="shared" si="266"/>
        <v>TRABAJADOR INDEPENDIENTE</v>
      </c>
      <c r="N4006">
        <f t="shared" si="267"/>
        <v>54</v>
      </c>
      <c r="O4006" s="19" t="str">
        <f t="shared" si="268"/>
        <v>300k–600k</v>
      </c>
      <c r="P4006" s="19" t="str">
        <f t="shared" si="269"/>
        <v>46-55</v>
      </c>
    </row>
    <row r="4007" spans="1:16" x14ac:dyDescent="0.25">
      <c r="A4007">
        <v>4006</v>
      </c>
      <c r="B4007" t="s">
        <v>9</v>
      </c>
      <c r="C4007">
        <v>359809.91</v>
      </c>
      <c r="D4007" t="s">
        <v>10</v>
      </c>
      <c r="E4007" t="s">
        <v>16</v>
      </c>
      <c r="F4007" t="s">
        <v>12</v>
      </c>
      <c r="G4007" t="s">
        <v>13</v>
      </c>
      <c r="H4007" t="s">
        <v>13</v>
      </c>
      <c r="I4007">
        <v>24</v>
      </c>
      <c r="J4007" t="str" cm="1">
        <f t="array" ref="J4007">_xlfn.IFS(ISBLANK(C4007),"FALTANTE",ABS((C4007-$W$5)/$X$5)&gt;1.96,"ATÍPICO",ABS((C4007-$W$5)/$X$5)&lt;=1.96,"NO ATÍPICO")</f>
        <v>NO ATÍPICO</v>
      </c>
      <c r="K4007" t="str" cm="1">
        <f t="array" ref="K4007">_xlfn.IFS(ISBLANK(I4007),"FALTANTE",ABS((I4007-$W$8)/$X$8)&gt;1.92,"ATÍPICO",ABS((I4007-$W$8)/$X$8)&lt;=1.92,"NO ATÍPICO")</f>
        <v>NO ATÍPICO</v>
      </c>
      <c r="L4007">
        <f t="shared" si="265"/>
        <v>359809.91</v>
      </c>
      <c r="M4007" t="str">
        <f t="shared" si="266"/>
        <v>ASALARIADO</v>
      </c>
      <c r="N4007">
        <f t="shared" si="267"/>
        <v>24</v>
      </c>
      <c r="O4007" s="19" t="str">
        <f t="shared" si="268"/>
        <v>300k–600k</v>
      </c>
      <c r="P4007" s="19" t="str">
        <f t="shared" si="269"/>
        <v>18-25</v>
      </c>
    </row>
    <row r="4008" spans="1:16" x14ac:dyDescent="0.25">
      <c r="A4008">
        <v>4007</v>
      </c>
      <c r="B4008" t="s">
        <v>15</v>
      </c>
      <c r="C4008">
        <v>297045</v>
      </c>
      <c r="D4008" t="s">
        <v>17</v>
      </c>
      <c r="E4008" t="s">
        <v>16</v>
      </c>
      <c r="F4008" t="s">
        <v>12</v>
      </c>
      <c r="G4008" t="s">
        <v>12</v>
      </c>
      <c r="H4008" t="s">
        <v>12</v>
      </c>
      <c r="I4008">
        <v>58</v>
      </c>
      <c r="J4008" t="str" cm="1">
        <f t="array" ref="J4008">_xlfn.IFS(ISBLANK(C4008),"FALTANTE",ABS((C4008-$W$5)/$X$5)&gt;1.96,"ATÍPICO",ABS((C4008-$W$5)/$X$5)&lt;=1.96,"NO ATÍPICO")</f>
        <v>NO ATÍPICO</v>
      </c>
      <c r="K4008" t="str" cm="1">
        <f t="array" ref="K4008">_xlfn.IFS(ISBLANK(I4008),"FALTANTE",ABS((I4008-$W$8)/$X$8)&gt;1.92,"ATÍPICO",ABS((I4008-$W$8)/$X$8)&lt;=1.92,"NO ATÍPICO")</f>
        <v>NO ATÍPICO</v>
      </c>
      <c r="L4008">
        <f t="shared" si="265"/>
        <v>297045</v>
      </c>
      <c r="M4008" t="str">
        <f t="shared" si="266"/>
        <v>ASEGURADO VOLUNTARIO</v>
      </c>
      <c r="N4008">
        <f t="shared" si="267"/>
        <v>58</v>
      </c>
      <c r="O4008" s="19" t="str">
        <f t="shared" si="268"/>
        <v>0–300k</v>
      </c>
      <c r="P4008" s="19" t="str">
        <f t="shared" si="269"/>
        <v>56+</v>
      </c>
    </row>
    <row r="4009" spans="1:16" x14ac:dyDescent="0.25">
      <c r="A4009">
        <v>4008</v>
      </c>
      <c r="B4009" t="s">
        <v>15</v>
      </c>
      <c r="C4009">
        <v>300018</v>
      </c>
      <c r="D4009" t="s">
        <v>17</v>
      </c>
      <c r="E4009" t="s">
        <v>16</v>
      </c>
      <c r="F4009" t="s">
        <v>12</v>
      </c>
      <c r="G4009" t="s">
        <v>13</v>
      </c>
      <c r="H4009" t="s">
        <v>13</v>
      </c>
      <c r="I4009">
        <v>58</v>
      </c>
      <c r="J4009" t="str" cm="1">
        <f t="array" ref="J4009">_xlfn.IFS(ISBLANK(C4009),"FALTANTE",ABS((C4009-$W$5)/$X$5)&gt;1.96,"ATÍPICO",ABS((C4009-$W$5)/$X$5)&lt;=1.96,"NO ATÍPICO")</f>
        <v>NO ATÍPICO</v>
      </c>
      <c r="K4009" t="str" cm="1">
        <f t="array" ref="K4009">_xlfn.IFS(ISBLANK(I4009),"FALTANTE",ABS((I4009-$W$8)/$X$8)&gt;1.92,"ATÍPICO",ABS((I4009-$W$8)/$X$8)&lt;=1.92,"NO ATÍPICO")</f>
        <v>NO ATÍPICO</v>
      </c>
      <c r="L4009">
        <f t="shared" si="265"/>
        <v>300018</v>
      </c>
      <c r="M4009" t="str">
        <f t="shared" si="266"/>
        <v>ASEGURADO VOLUNTARIO</v>
      </c>
      <c r="N4009">
        <f t="shared" si="267"/>
        <v>58</v>
      </c>
      <c r="O4009" s="19" t="str">
        <f t="shared" si="268"/>
        <v>300k–600k</v>
      </c>
      <c r="P4009" s="19" t="str">
        <f t="shared" si="269"/>
        <v>56+</v>
      </c>
    </row>
    <row r="4010" spans="1:16" x14ac:dyDescent="0.25">
      <c r="A4010">
        <v>4009</v>
      </c>
      <c r="B4010" t="s">
        <v>9</v>
      </c>
      <c r="C4010">
        <v>200518.6</v>
      </c>
      <c r="D4010" t="s">
        <v>14</v>
      </c>
      <c r="E4010" t="s">
        <v>11</v>
      </c>
      <c r="F4010" t="s">
        <v>12</v>
      </c>
      <c r="G4010" t="s">
        <v>13</v>
      </c>
      <c r="H4010" t="s">
        <v>13</v>
      </c>
      <c r="I4010">
        <v>40</v>
      </c>
      <c r="J4010" t="str" cm="1">
        <f t="array" ref="J4010">_xlfn.IFS(ISBLANK(C4010),"FALTANTE",ABS((C4010-$W$5)/$X$5)&gt;1.96,"ATÍPICO",ABS((C4010-$W$5)/$X$5)&lt;=1.96,"NO ATÍPICO")</f>
        <v>NO ATÍPICO</v>
      </c>
      <c r="K4010" t="str" cm="1">
        <f t="array" ref="K4010">_xlfn.IFS(ISBLANK(I4010),"FALTANTE",ABS((I4010-$W$8)/$X$8)&gt;1.92,"ATÍPICO",ABS((I4010-$W$8)/$X$8)&lt;=1.92,"NO ATÍPICO")</f>
        <v>NO ATÍPICO</v>
      </c>
      <c r="L4010">
        <f t="shared" si="265"/>
        <v>200518.6</v>
      </c>
      <c r="M4010" t="str">
        <f t="shared" si="266"/>
        <v>PENSIONADOS EN SU PROPIO SISTEMA</v>
      </c>
      <c r="N4010">
        <f t="shared" si="267"/>
        <v>40</v>
      </c>
      <c r="O4010" s="19" t="str">
        <f t="shared" si="268"/>
        <v>0–300k</v>
      </c>
      <c r="P4010" s="19" t="str">
        <f t="shared" si="269"/>
        <v>36-45</v>
      </c>
    </row>
    <row r="4011" spans="1:16" x14ac:dyDescent="0.25">
      <c r="A4011">
        <v>4010</v>
      </c>
      <c r="B4011" t="s">
        <v>15</v>
      </c>
      <c r="C4011">
        <v>1690006.94</v>
      </c>
      <c r="D4011" t="s">
        <v>10</v>
      </c>
      <c r="E4011" t="s">
        <v>16</v>
      </c>
      <c r="F4011" t="s">
        <v>12</v>
      </c>
      <c r="G4011" t="s">
        <v>13</v>
      </c>
      <c r="H4011" t="s">
        <v>13</v>
      </c>
      <c r="I4011">
        <v>45</v>
      </c>
      <c r="J4011" t="str" cm="1">
        <f t="array" ref="J4011">_xlfn.IFS(ISBLANK(C4011),"FALTANTE",ABS((C4011-$W$5)/$X$5)&gt;1.96,"ATÍPICO",ABS((C4011-$W$5)/$X$5)&lt;=1.96,"NO ATÍPICO")</f>
        <v>NO ATÍPICO</v>
      </c>
      <c r="K4011" t="str" cm="1">
        <f t="array" ref="K4011">_xlfn.IFS(ISBLANK(I4011),"FALTANTE",ABS((I4011-$W$8)/$X$8)&gt;1.92,"ATÍPICO",ABS((I4011-$W$8)/$X$8)&lt;=1.92,"NO ATÍPICO")</f>
        <v>NO ATÍPICO</v>
      </c>
      <c r="L4011">
        <f t="shared" si="265"/>
        <v>1690006.94</v>
      </c>
      <c r="M4011" t="str">
        <f t="shared" si="266"/>
        <v>ASALARIADO</v>
      </c>
      <c r="N4011">
        <f t="shared" si="267"/>
        <v>45</v>
      </c>
      <c r="O4011" s="19" t="str">
        <f t="shared" si="268"/>
        <v>1200k+</v>
      </c>
      <c r="P4011" s="19" t="str">
        <f t="shared" si="269"/>
        <v>36-45</v>
      </c>
    </row>
    <row r="4012" spans="1:16" x14ac:dyDescent="0.25">
      <c r="A4012">
        <v>4011</v>
      </c>
      <c r="B4012" t="s">
        <v>9</v>
      </c>
      <c r="C4012">
        <v>297046</v>
      </c>
      <c r="D4012" t="s">
        <v>17</v>
      </c>
      <c r="E4012" t="s">
        <v>16</v>
      </c>
      <c r="F4012" t="s">
        <v>12</v>
      </c>
      <c r="G4012" t="s">
        <v>13</v>
      </c>
      <c r="H4012" t="s">
        <v>13</v>
      </c>
      <c r="I4012">
        <v>35</v>
      </c>
      <c r="J4012" t="str" cm="1">
        <f t="array" ref="J4012">_xlfn.IFS(ISBLANK(C4012),"FALTANTE",ABS((C4012-$W$5)/$X$5)&gt;1.96,"ATÍPICO",ABS((C4012-$W$5)/$X$5)&lt;=1.96,"NO ATÍPICO")</f>
        <v>NO ATÍPICO</v>
      </c>
      <c r="K4012" t="str" cm="1">
        <f t="array" ref="K4012">_xlfn.IFS(ISBLANK(I4012),"FALTANTE",ABS((I4012-$W$8)/$X$8)&gt;1.92,"ATÍPICO",ABS((I4012-$W$8)/$X$8)&lt;=1.92,"NO ATÍPICO")</f>
        <v>NO ATÍPICO</v>
      </c>
      <c r="L4012">
        <f t="shared" si="265"/>
        <v>297046</v>
      </c>
      <c r="M4012" t="str">
        <f t="shared" si="266"/>
        <v>ASEGURADO VOLUNTARIO</v>
      </c>
      <c r="N4012">
        <f t="shared" si="267"/>
        <v>35</v>
      </c>
      <c r="O4012" s="19" t="str">
        <f t="shared" si="268"/>
        <v>0–300k</v>
      </c>
      <c r="P4012" s="19" t="str">
        <f t="shared" si="269"/>
        <v>26-35</v>
      </c>
    </row>
    <row r="4013" spans="1:16" x14ac:dyDescent="0.25">
      <c r="A4013">
        <v>4012</v>
      </c>
      <c r="B4013" t="s">
        <v>15</v>
      </c>
      <c r="C4013">
        <v>1739958</v>
      </c>
      <c r="D4013" t="s">
        <v>10</v>
      </c>
      <c r="E4013" t="s">
        <v>11</v>
      </c>
      <c r="F4013" t="s">
        <v>12</v>
      </c>
      <c r="G4013" t="s">
        <v>13</v>
      </c>
      <c r="H4013" t="s">
        <v>13</v>
      </c>
      <c r="I4013">
        <v>43</v>
      </c>
      <c r="J4013" t="str" cm="1">
        <f t="array" ref="J4013">_xlfn.IFS(ISBLANK(C4013),"FALTANTE",ABS((C4013-$W$5)/$X$5)&gt;1.96,"ATÍPICO",ABS((C4013-$W$5)/$X$5)&lt;=1.96,"NO ATÍPICO")</f>
        <v>NO ATÍPICO</v>
      </c>
      <c r="K4013" t="str" cm="1">
        <f t="array" ref="K4013">_xlfn.IFS(ISBLANK(I4013),"FALTANTE",ABS((I4013-$W$8)/$X$8)&gt;1.92,"ATÍPICO",ABS((I4013-$W$8)/$X$8)&lt;=1.92,"NO ATÍPICO")</f>
        <v>NO ATÍPICO</v>
      </c>
      <c r="L4013">
        <f t="shared" si="265"/>
        <v>1739958</v>
      </c>
      <c r="M4013" t="str">
        <f t="shared" si="266"/>
        <v>ASALARIADO</v>
      </c>
      <c r="N4013">
        <f t="shared" si="267"/>
        <v>43</v>
      </c>
      <c r="O4013" s="19" t="str">
        <f t="shared" si="268"/>
        <v>1200k+</v>
      </c>
      <c r="P4013" s="19" t="str">
        <f t="shared" si="269"/>
        <v>36-45</v>
      </c>
    </row>
    <row r="4014" spans="1:16" x14ac:dyDescent="0.25">
      <c r="A4014">
        <v>4013</v>
      </c>
      <c r="B4014" t="s">
        <v>9</v>
      </c>
      <c r="C4014">
        <v>420359.27</v>
      </c>
      <c r="D4014" t="s">
        <v>10</v>
      </c>
      <c r="E4014" t="s">
        <v>16</v>
      </c>
      <c r="F4014" t="s">
        <v>12</v>
      </c>
      <c r="G4014" t="s">
        <v>13</v>
      </c>
      <c r="H4014" t="s">
        <v>13</v>
      </c>
      <c r="I4014">
        <v>48</v>
      </c>
      <c r="J4014" t="str" cm="1">
        <f t="array" ref="J4014">_xlfn.IFS(ISBLANK(C4014),"FALTANTE",ABS((C4014-$W$5)/$X$5)&gt;1.96,"ATÍPICO",ABS((C4014-$W$5)/$X$5)&lt;=1.96,"NO ATÍPICO")</f>
        <v>NO ATÍPICO</v>
      </c>
      <c r="K4014" t="str" cm="1">
        <f t="array" ref="K4014">_xlfn.IFS(ISBLANK(I4014),"FALTANTE",ABS((I4014-$W$8)/$X$8)&gt;1.92,"ATÍPICO",ABS((I4014-$W$8)/$X$8)&lt;=1.92,"NO ATÍPICO")</f>
        <v>NO ATÍPICO</v>
      </c>
      <c r="L4014">
        <f t="shared" si="265"/>
        <v>420359.27</v>
      </c>
      <c r="M4014" t="str">
        <f t="shared" si="266"/>
        <v>ASALARIADO</v>
      </c>
      <c r="N4014">
        <f t="shared" si="267"/>
        <v>48</v>
      </c>
      <c r="O4014" s="19" t="str">
        <f t="shared" si="268"/>
        <v>300k–600k</v>
      </c>
      <c r="P4014" s="19" t="str">
        <f t="shared" si="269"/>
        <v>46-55</v>
      </c>
    </row>
    <row r="4015" spans="1:16" x14ac:dyDescent="0.25">
      <c r="A4015">
        <v>4014</v>
      </c>
      <c r="B4015" t="s">
        <v>9</v>
      </c>
      <c r="C4015">
        <v>841178</v>
      </c>
      <c r="D4015" t="s">
        <v>10</v>
      </c>
      <c r="E4015" t="s">
        <v>11</v>
      </c>
      <c r="F4015" t="s">
        <v>12</v>
      </c>
      <c r="G4015" t="s">
        <v>13</v>
      </c>
      <c r="H4015" t="s">
        <v>13</v>
      </c>
      <c r="I4015">
        <v>46</v>
      </c>
      <c r="J4015" t="str" cm="1">
        <f t="array" ref="J4015">_xlfn.IFS(ISBLANK(C4015),"FALTANTE",ABS((C4015-$W$5)/$X$5)&gt;1.96,"ATÍPICO",ABS((C4015-$W$5)/$X$5)&lt;=1.96,"NO ATÍPICO")</f>
        <v>NO ATÍPICO</v>
      </c>
      <c r="K4015" t="str" cm="1">
        <f t="array" ref="K4015">_xlfn.IFS(ISBLANK(I4015),"FALTANTE",ABS((I4015-$W$8)/$X$8)&gt;1.92,"ATÍPICO",ABS((I4015-$W$8)/$X$8)&lt;=1.92,"NO ATÍPICO")</f>
        <v>NO ATÍPICO</v>
      </c>
      <c r="L4015">
        <f t="shared" si="265"/>
        <v>841178</v>
      </c>
      <c r="M4015" t="str">
        <f t="shared" si="266"/>
        <v>ASALARIADO</v>
      </c>
      <c r="N4015">
        <f t="shared" si="267"/>
        <v>46</v>
      </c>
      <c r="O4015" s="19" t="str">
        <f t="shared" si="268"/>
        <v>600k–900k</v>
      </c>
      <c r="P4015" s="19" t="str">
        <f t="shared" si="269"/>
        <v>46-55</v>
      </c>
    </row>
    <row r="4016" spans="1:16" x14ac:dyDescent="0.25">
      <c r="A4016">
        <v>4015</v>
      </c>
      <c r="B4016" t="s">
        <v>9</v>
      </c>
      <c r="C4016">
        <v>1778646</v>
      </c>
      <c r="D4016" t="s">
        <v>10</v>
      </c>
      <c r="E4016" t="s">
        <v>16</v>
      </c>
      <c r="F4016" t="s">
        <v>12</v>
      </c>
      <c r="G4016" t="s">
        <v>13</v>
      </c>
      <c r="H4016" t="s">
        <v>13</v>
      </c>
      <c r="I4016">
        <v>33</v>
      </c>
      <c r="J4016" t="str" cm="1">
        <f t="array" ref="J4016">_xlfn.IFS(ISBLANK(C4016),"FALTANTE",ABS((C4016-$W$5)/$X$5)&gt;1.96,"ATÍPICO",ABS((C4016-$W$5)/$X$5)&lt;=1.96,"NO ATÍPICO")</f>
        <v>NO ATÍPICO</v>
      </c>
      <c r="K4016" t="str" cm="1">
        <f t="array" ref="K4016">_xlfn.IFS(ISBLANK(I4016),"FALTANTE",ABS((I4016-$W$8)/$X$8)&gt;1.92,"ATÍPICO",ABS((I4016-$W$8)/$X$8)&lt;=1.92,"NO ATÍPICO")</f>
        <v>NO ATÍPICO</v>
      </c>
      <c r="L4016">
        <f t="shared" si="265"/>
        <v>1778646</v>
      </c>
      <c r="M4016" t="str">
        <f t="shared" si="266"/>
        <v>ASALARIADO</v>
      </c>
      <c r="N4016">
        <f t="shared" si="267"/>
        <v>33</v>
      </c>
      <c r="O4016" s="19" t="str">
        <f t="shared" si="268"/>
        <v>1200k+</v>
      </c>
      <c r="P4016" s="19" t="str">
        <f t="shared" si="269"/>
        <v>26-35</v>
      </c>
    </row>
    <row r="4017" spans="1:16" x14ac:dyDescent="0.25">
      <c r="A4017">
        <v>4016</v>
      </c>
      <c r="B4017" t="s">
        <v>15</v>
      </c>
      <c r="C4017">
        <v>979284</v>
      </c>
      <c r="D4017" t="s">
        <v>14</v>
      </c>
      <c r="E4017" t="s">
        <v>11</v>
      </c>
      <c r="F4017" t="s">
        <v>12</v>
      </c>
      <c r="G4017" t="s">
        <v>13</v>
      </c>
      <c r="H4017" t="s">
        <v>13</v>
      </c>
      <c r="I4017">
        <v>63</v>
      </c>
      <c r="J4017" t="str" cm="1">
        <f t="array" ref="J4017">_xlfn.IFS(ISBLANK(C4017),"FALTANTE",ABS((C4017-$W$5)/$X$5)&gt;1.96,"ATÍPICO",ABS((C4017-$W$5)/$X$5)&lt;=1.96,"NO ATÍPICO")</f>
        <v>NO ATÍPICO</v>
      </c>
      <c r="K4017" t="str" cm="1">
        <f t="array" ref="K4017">_xlfn.IFS(ISBLANK(I4017),"FALTANTE",ABS((I4017-$W$8)/$X$8)&gt;1.92,"ATÍPICO",ABS((I4017-$W$8)/$X$8)&lt;=1.92,"NO ATÍPICO")</f>
        <v>NO ATÍPICO</v>
      </c>
      <c r="L4017">
        <f t="shared" si="265"/>
        <v>979284</v>
      </c>
      <c r="M4017" t="str">
        <f t="shared" si="266"/>
        <v>PENSIONADOS EN SU PROPIO SISTEMA</v>
      </c>
      <c r="N4017">
        <f t="shared" si="267"/>
        <v>63</v>
      </c>
      <c r="O4017" s="19" t="str">
        <f t="shared" si="268"/>
        <v>900k–1200k</v>
      </c>
      <c r="P4017" s="19" t="str">
        <f t="shared" si="269"/>
        <v>56+</v>
      </c>
    </row>
    <row r="4018" spans="1:16" x14ac:dyDescent="0.25">
      <c r="A4018">
        <v>4017</v>
      </c>
      <c r="B4018" t="s">
        <v>15</v>
      </c>
      <c r="C4018">
        <v>206000</v>
      </c>
      <c r="D4018" t="s">
        <v>10</v>
      </c>
      <c r="E4018" t="s">
        <v>16</v>
      </c>
      <c r="F4018" t="s">
        <v>12</v>
      </c>
      <c r="G4018" t="s">
        <v>12</v>
      </c>
      <c r="H4018" t="s">
        <v>13</v>
      </c>
      <c r="I4018">
        <v>34</v>
      </c>
      <c r="J4018" t="str" cm="1">
        <f t="array" ref="J4018">_xlfn.IFS(ISBLANK(C4018),"FALTANTE",ABS((C4018-$W$5)/$X$5)&gt;1.96,"ATÍPICO",ABS((C4018-$W$5)/$X$5)&lt;=1.96,"NO ATÍPICO")</f>
        <v>NO ATÍPICO</v>
      </c>
      <c r="K4018" t="str" cm="1">
        <f t="array" ref="K4018">_xlfn.IFS(ISBLANK(I4018),"FALTANTE",ABS((I4018-$W$8)/$X$8)&gt;1.92,"ATÍPICO",ABS((I4018-$W$8)/$X$8)&lt;=1.92,"NO ATÍPICO")</f>
        <v>NO ATÍPICO</v>
      </c>
      <c r="L4018">
        <f t="shared" si="265"/>
        <v>206000</v>
      </c>
      <c r="M4018" t="str">
        <f t="shared" si="266"/>
        <v>ASALARIADO</v>
      </c>
      <c r="N4018">
        <f t="shared" si="267"/>
        <v>34</v>
      </c>
      <c r="O4018" s="19" t="str">
        <f t="shared" si="268"/>
        <v>0–300k</v>
      </c>
      <c r="P4018" s="19" t="str">
        <f t="shared" si="269"/>
        <v>26-35</v>
      </c>
    </row>
    <row r="4019" spans="1:16" x14ac:dyDescent="0.25">
      <c r="A4019">
        <v>4018</v>
      </c>
      <c r="B4019" t="s">
        <v>9</v>
      </c>
      <c r="C4019">
        <v>109259.63</v>
      </c>
      <c r="D4019" t="s">
        <v>10</v>
      </c>
      <c r="E4019" t="s">
        <v>16</v>
      </c>
      <c r="F4019" t="s">
        <v>12</v>
      </c>
      <c r="G4019" t="s">
        <v>13</v>
      </c>
      <c r="H4019" t="s">
        <v>12</v>
      </c>
      <c r="I4019">
        <v>23</v>
      </c>
      <c r="J4019" t="str" cm="1">
        <f t="array" ref="J4019">_xlfn.IFS(ISBLANK(C4019),"FALTANTE",ABS((C4019-$W$5)/$X$5)&gt;1.96,"ATÍPICO",ABS((C4019-$W$5)/$X$5)&lt;=1.96,"NO ATÍPICO")</f>
        <v>NO ATÍPICO</v>
      </c>
      <c r="K4019" t="str" cm="1">
        <f t="array" ref="K4019">_xlfn.IFS(ISBLANK(I4019),"FALTANTE",ABS((I4019-$W$8)/$X$8)&gt;1.92,"ATÍPICO",ABS((I4019-$W$8)/$X$8)&lt;=1.92,"NO ATÍPICO")</f>
        <v>NO ATÍPICO</v>
      </c>
      <c r="L4019">
        <f t="shared" si="265"/>
        <v>109259.63</v>
      </c>
      <c r="M4019" t="str">
        <f t="shared" si="266"/>
        <v>ASALARIADO</v>
      </c>
      <c r="N4019">
        <f t="shared" si="267"/>
        <v>23</v>
      </c>
      <c r="O4019" s="19" t="str">
        <f t="shared" si="268"/>
        <v>0–300k</v>
      </c>
      <c r="P4019" s="19" t="str">
        <f t="shared" si="269"/>
        <v>18-25</v>
      </c>
    </row>
    <row r="4020" spans="1:16" x14ac:dyDescent="0.25">
      <c r="A4020">
        <v>4019</v>
      </c>
      <c r="B4020" t="s">
        <v>9</v>
      </c>
      <c r="C4020">
        <v>378297</v>
      </c>
      <c r="D4020" t="s">
        <v>14</v>
      </c>
      <c r="E4020" t="s">
        <v>11</v>
      </c>
      <c r="F4020" t="s">
        <v>12</v>
      </c>
      <c r="G4020" t="s">
        <v>13</v>
      </c>
      <c r="H4020" t="s">
        <v>13</v>
      </c>
      <c r="I4020">
        <v>71</v>
      </c>
      <c r="J4020" t="str" cm="1">
        <f t="array" ref="J4020">_xlfn.IFS(ISBLANK(C4020),"FALTANTE",ABS((C4020-$W$5)/$X$5)&gt;1.96,"ATÍPICO",ABS((C4020-$W$5)/$X$5)&lt;=1.96,"NO ATÍPICO")</f>
        <v>NO ATÍPICO</v>
      </c>
      <c r="K4020" t="str" cm="1">
        <f t="array" ref="K4020">_xlfn.IFS(ISBLANK(I4020),"FALTANTE",ABS((I4020-$W$8)/$X$8)&gt;1.92,"ATÍPICO",ABS((I4020-$W$8)/$X$8)&lt;=1.92,"NO ATÍPICO")</f>
        <v>ATÍPICO</v>
      </c>
      <c r="L4020">
        <f t="shared" si="265"/>
        <v>378297</v>
      </c>
      <c r="M4020" t="str">
        <f t="shared" si="266"/>
        <v>PENSIONADOS EN SU PROPIO SISTEMA</v>
      </c>
      <c r="N4020">
        <f t="shared" si="267"/>
        <v>71</v>
      </c>
      <c r="O4020" s="19" t="str">
        <f t="shared" si="268"/>
        <v>300k–600k</v>
      </c>
      <c r="P4020" s="19" t="str">
        <f t="shared" si="269"/>
        <v>56+</v>
      </c>
    </row>
    <row r="4021" spans="1:16" x14ac:dyDescent="0.25">
      <c r="A4021">
        <v>4020</v>
      </c>
      <c r="B4021" t="s">
        <v>9</v>
      </c>
      <c r="C4021">
        <v>336445.2</v>
      </c>
      <c r="D4021" t="s">
        <v>10</v>
      </c>
      <c r="E4021" t="s">
        <v>16</v>
      </c>
      <c r="F4021" t="s">
        <v>12</v>
      </c>
      <c r="G4021" t="s">
        <v>13</v>
      </c>
      <c r="H4021" t="s">
        <v>12</v>
      </c>
      <c r="I4021">
        <v>31</v>
      </c>
      <c r="J4021" t="str" cm="1">
        <f t="array" ref="J4021">_xlfn.IFS(ISBLANK(C4021),"FALTANTE",ABS((C4021-$W$5)/$X$5)&gt;1.96,"ATÍPICO",ABS((C4021-$W$5)/$X$5)&lt;=1.96,"NO ATÍPICO")</f>
        <v>NO ATÍPICO</v>
      </c>
      <c r="K4021" t="str" cm="1">
        <f t="array" ref="K4021">_xlfn.IFS(ISBLANK(I4021),"FALTANTE",ABS((I4021-$W$8)/$X$8)&gt;1.92,"ATÍPICO",ABS((I4021-$W$8)/$X$8)&lt;=1.92,"NO ATÍPICO")</f>
        <v>NO ATÍPICO</v>
      </c>
      <c r="L4021">
        <f t="shared" si="265"/>
        <v>336445.2</v>
      </c>
      <c r="M4021" t="str">
        <f t="shared" si="266"/>
        <v>ASALARIADO</v>
      </c>
      <c r="N4021">
        <f t="shared" si="267"/>
        <v>31</v>
      </c>
      <c r="O4021" s="19" t="str">
        <f t="shared" si="268"/>
        <v>300k–600k</v>
      </c>
      <c r="P4021" s="19" t="str">
        <f t="shared" si="269"/>
        <v>26-35</v>
      </c>
    </row>
    <row r="4022" spans="1:16" x14ac:dyDescent="0.25">
      <c r="A4022">
        <v>4021</v>
      </c>
      <c r="B4022" t="s">
        <v>9</v>
      </c>
      <c r="C4022">
        <v>278030</v>
      </c>
      <c r="D4022" t="s">
        <v>19</v>
      </c>
      <c r="E4022" t="s">
        <v>16</v>
      </c>
      <c r="F4022" t="s">
        <v>12</v>
      </c>
      <c r="G4022" t="s">
        <v>13</v>
      </c>
      <c r="H4022" t="s">
        <v>13</v>
      </c>
      <c r="I4022">
        <v>65</v>
      </c>
      <c r="J4022" t="str" cm="1">
        <f t="array" ref="J4022">_xlfn.IFS(ISBLANK(C4022),"FALTANTE",ABS((C4022-$W$5)/$X$5)&gt;1.96,"ATÍPICO",ABS((C4022-$W$5)/$X$5)&lt;=1.96,"NO ATÍPICO")</f>
        <v>NO ATÍPICO</v>
      </c>
      <c r="K4022" t="str" cm="1">
        <f t="array" ref="K4022">_xlfn.IFS(ISBLANK(I4022),"FALTANTE",ABS((I4022-$W$8)/$X$8)&gt;1.92,"ATÍPICO",ABS((I4022-$W$8)/$X$8)&lt;=1.92,"NO ATÍPICO")</f>
        <v>NO ATÍPICO</v>
      </c>
      <c r="L4022">
        <f t="shared" si="265"/>
        <v>278030</v>
      </c>
      <c r="M4022" t="str">
        <f t="shared" si="266"/>
        <v>CONVENIOS ESPECIALES DE TRABAJADORES INDEPENDIENTES</v>
      </c>
      <c r="N4022">
        <f t="shared" si="267"/>
        <v>65</v>
      </c>
      <c r="O4022" s="19" t="str">
        <f t="shared" si="268"/>
        <v>0–300k</v>
      </c>
      <c r="P4022" s="19" t="str">
        <f t="shared" si="269"/>
        <v>56+</v>
      </c>
    </row>
    <row r="4023" spans="1:16" x14ac:dyDescent="0.25">
      <c r="A4023">
        <v>4022</v>
      </c>
      <c r="B4023" t="s">
        <v>9</v>
      </c>
      <c r="C4023">
        <v>500000</v>
      </c>
      <c r="D4023" t="s">
        <v>10</v>
      </c>
      <c r="E4023" t="s">
        <v>16</v>
      </c>
      <c r="F4023" t="s">
        <v>12</v>
      </c>
      <c r="G4023" t="s">
        <v>12</v>
      </c>
      <c r="H4023" t="s">
        <v>13</v>
      </c>
      <c r="I4023">
        <v>38</v>
      </c>
      <c r="J4023" t="str" cm="1">
        <f t="array" ref="J4023">_xlfn.IFS(ISBLANK(C4023),"FALTANTE",ABS((C4023-$W$5)/$X$5)&gt;1.96,"ATÍPICO",ABS((C4023-$W$5)/$X$5)&lt;=1.96,"NO ATÍPICO")</f>
        <v>NO ATÍPICO</v>
      </c>
      <c r="K4023" t="str" cm="1">
        <f t="array" ref="K4023">_xlfn.IFS(ISBLANK(I4023),"FALTANTE",ABS((I4023-$W$8)/$X$8)&gt;1.92,"ATÍPICO",ABS((I4023-$W$8)/$X$8)&lt;=1.92,"NO ATÍPICO")</f>
        <v>NO ATÍPICO</v>
      </c>
      <c r="L4023">
        <f t="shared" si="265"/>
        <v>500000</v>
      </c>
      <c r="M4023" t="str">
        <f t="shared" si="266"/>
        <v>ASALARIADO</v>
      </c>
      <c r="N4023">
        <f t="shared" si="267"/>
        <v>38</v>
      </c>
      <c r="O4023" s="19" t="str">
        <f t="shared" si="268"/>
        <v>300k–600k</v>
      </c>
      <c r="P4023" s="19" t="str">
        <f t="shared" si="269"/>
        <v>36-45</v>
      </c>
    </row>
    <row r="4024" spans="1:16" x14ac:dyDescent="0.25">
      <c r="A4024">
        <v>4023</v>
      </c>
      <c r="B4024" t="s">
        <v>9</v>
      </c>
      <c r="C4024">
        <v>516550</v>
      </c>
      <c r="D4024" t="s">
        <v>10</v>
      </c>
      <c r="E4024" t="s">
        <v>16</v>
      </c>
      <c r="F4024" t="s">
        <v>12</v>
      </c>
      <c r="G4024" t="s">
        <v>12</v>
      </c>
      <c r="H4024" t="s">
        <v>13</v>
      </c>
      <c r="I4024">
        <v>31</v>
      </c>
      <c r="J4024" t="str" cm="1">
        <f t="array" ref="J4024">_xlfn.IFS(ISBLANK(C4024),"FALTANTE",ABS((C4024-$W$5)/$X$5)&gt;1.96,"ATÍPICO",ABS((C4024-$W$5)/$X$5)&lt;=1.96,"NO ATÍPICO")</f>
        <v>NO ATÍPICO</v>
      </c>
      <c r="K4024" t="str" cm="1">
        <f t="array" ref="K4024">_xlfn.IFS(ISBLANK(I4024),"FALTANTE",ABS((I4024-$W$8)/$X$8)&gt;1.92,"ATÍPICO",ABS((I4024-$W$8)/$X$8)&lt;=1.92,"NO ATÍPICO")</f>
        <v>NO ATÍPICO</v>
      </c>
      <c r="L4024">
        <f t="shared" si="265"/>
        <v>516550</v>
      </c>
      <c r="M4024" t="str">
        <f t="shared" si="266"/>
        <v>ASALARIADO</v>
      </c>
      <c r="N4024">
        <f t="shared" si="267"/>
        <v>31</v>
      </c>
      <c r="O4024" s="19" t="str">
        <f t="shared" si="268"/>
        <v>300k–600k</v>
      </c>
      <c r="P4024" s="19" t="str">
        <f t="shared" si="269"/>
        <v>26-35</v>
      </c>
    </row>
    <row r="4025" spans="1:16" x14ac:dyDescent="0.25">
      <c r="A4025">
        <v>4024</v>
      </c>
      <c r="B4025" t="s">
        <v>9</v>
      </c>
      <c r="C4025">
        <v>406045.76</v>
      </c>
      <c r="D4025" t="s">
        <v>10</v>
      </c>
      <c r="E4025" t="s">
        <v>16</v>
      </c>
      <c r="F4025" t="s">
        <v>12</v>
      </c>
      <c r="G4025" t="s">
        <v>12</v>
      </c>
      <c r="H4025" t="s">
        <v>13</v>
      </c>
      <c r="I4025">
        <v>49</v>
      </c>
      <c r="J4025" t="str" cm="1">
        <f t="array" ref="J4025">_xlfn.IFS(ISBLANK(C4025),"FALTANTE",ABS((C4025-$W$5)/$X$5)&gt;1.96,"ATÍPICO",ABS((C4025-$W$5)/$X$5)&lt;=1.96,"NO ATÍPICO")</f>
        <v>NO ATÍPICO</v>
      </c>
      <c r="K4025" t="str" cm="1">
        <f t="array" ref="K4025">_xlfn.IFS(ISBLANK(I4025),"FALTANTE",ABS((I4025-$W$8)/$X$8)&gt;1.92,"ATÍPICO",ABS((I4025-$W$8)/$X$8)&lt;=1.92,"NO ATÍPICO")</f>
        <v>NO ATÍPICO</v>
      </c>
      <c r="L4025">
        <f t="shared" si="265"/>
        <v>406045.76</v>
      </c>
      <c r="M4025" t="str">
        <f t="shared" si="266"/>
        <v>ASALARIADO</v>
      </c>
      <c r="N4025">
        <f t="shared" si="267"/>
        <v>49</v>
      </c>
      <c r="O4025" s="19" t="str">
        <f t="shared" si="268"/>
        <v>300k–600k</v>
      </c>
      <c r="P4025" s="19" t="str">
        <f t="shared" si="269"/>
        <v>46-55</v>
      </c>
    </row>
    <row r="4026" spans="1:16" x14ac:dyDescent="0.25">
      <c r="A4026">
        <v>4025</v>
      </c>
      <c r="B4026" t="s">
        <v>9</v>
      </c>
      <c r="C4026">
        <v>7214352.2000000002</v>
      </c>
      <c r="D4026" t="s">
        <v>10</v>
      </c>
      <c r="E4026" t="s">
        <v>11</v>
      </c>
      <c r="F4026" t="s">
        <v>12</v>
      </c>
      <c r="G4026" t="s">
        <v>13</v>
      </c>
      <c r="H4026" t="s">
        <v>13</v>
      </c>
      <c r="I4026">
        <v>55</v>
      </c>
      <c r="J4026" t="str" cm="1">
        <f t="array" ref="J4026">_xlfn.IFS(ISBLANK(C4026),"FALTANTE",ABS((C4026-$W$5)/$X$5)&gt;1.96,"ATÍPICO",ABS((C4026-$W$5)/$X$5)&lt;=1.96,"NO ATÍPICO")</f>
        <v>ATÍPICO</v>
      </c>
      <c r="K4026" t="str" cm="1">
        <f t="array" ref="K4026">_xlfn.IFS(ISBLANK(I4026),"FALTANTE",ABS((I4026-$W$8)/$X$8)&gt;1.92,"ATÍPICO",ABS((I4026-$W$8)/$X$8)&lt;=1.92,"NO ATÍPICO")</f>
        <v>NO ATÍPICO</v>
      </c>
      <c r="L4026">
        <f t="shared" si="265"/>
        <v>7214352.2000000002</v>
      </c>
      <c r="M4026" t="str">
        <f t="shared" si="266"/>
        <v>ASALARIADO</v>
      </c>
      <c r="N4026">
        <f t="shared" si="267"/>
        <v>55</v>
      </c>
      <c r="O4026" s="19" t="str">
        <f t="shared" si="268"/>
        <v>1200k+</v>
      </c>
      <c r="P4026" s="19" t="str">
        <f t="shared" si="269"/>
        <v>46-55</v>
      </c>
    </row>
    <row r="4027" spans="1:16" x14ac:dyDescent="0.25">
      <c r="A4027">
        <v>4026</v>
      </c>
      <c r="B4027" t="s">
        <v>9</v>
      </c>
      <c r="C4027">
        <v>423168</v>
      </c>
      <c r="D4027" t="s">
        <v>10</v>
      </c>
      <c r="E4027" t="s">
        <v>16</v>
      </c>
      <c r="F4027" t="s">
        <v>12</v>
      </c>
      <c r="G4027" t="s">
        <v>13</v>
      </c>
      <c r="H4027" t="s">
        <v>13</v>
      </c>
      <c r="I4027">
        <v>21</v>
      </c>
      <c r="J4027" t="str" cm="1">
        <f t="array" ref="J4027">_xlfn.IFS(ISBLANK(C4027),"FALTANTE",ABS((C4027-$W$5)/$X$5)&gt;1.96,"ATÍPICO",ABS((C4027-$W$5)/$X$5)&lt;=1.96,"NO ATÍPICO")</f>
        <v>NO ATÍPICO</v>
      </c>
      <c r="K4027" t="str" cm="1">
        <f t="array" ref="K4027">_xlfn.IFS(ISBLANK(I4027),"FALTANTE",ABS((I4027-$W$8)/$X$8)&gt;1.92,"ATÍPICO",ABS((I4027-$W$8)/$X$8)&lt;=1.92,"NO ATÍPICO")</f>
        <v>NO ATÍPICO</v>
      </c>
      <c r="L4027">
        <f t="shared" si="265"/>
        <v>423168</v>
      </c>
      <c r="M4027" t="str">
        <f t="shared" si="266"/>
        <v>ASALARIADO</v>
      </c>
      <c r="N4027">
        <f t="shared" si="267"/>
        <v>21</v>
      </c>
      <c r="O4027" s="19" t="str">
        <f t="shared" si="268"/>
        <v>300k–600k</v>
      </c>
      <c r="P4027" s="19" t="str">
        <f t="shared" si="269"/>
        <v>18-25</v>
      </c>
    </row>
    <row r="4028" spans="1:16" x14ac:dyDescent="0.25">
      <c r="A4028">
        <v>4027</v>
      </c>
      <c r="B4028" t="s">
        <v>15</v>
      </c>
      <c r="C4028">
        <v>278030.99</v>
      </c>
      <c r="D4028" t="s">
        <v>17</v>
      </c>
      <c r="E4028" t="s">
        <v>16</v>
      </c>
      <c r="F4028" t="s">
        <v>12</v>
      </c>
      <c r="G4028" t="s">
        <v>13</v>
      </c>
      <c r="H4028" t="s">
        <v>13</v>
      </c>
      <c r="I4028">
        <v>42</v>
      </c>
      <c r="J4028" t="str" cm="1">
        <f t="array" ref="J4028">_xlfn.IFS(ISBLANK(C4028),"FALTANTE",ABS((C4028-$W$5)/$X$5)&gt;1.96,"ATÍPICO",ABS((C4028-$W$5)/$X$5)&lt;=1.96,"NO ATÍPICO")</f>
        <v>NO ATÍPICO</v>
      </c>
      <c r="K4028" t="str" cm="1">
        <f t="array" ref="K4028">_xlfn.IFS(ISBLANK(I4028),"FALTANTE",ABS((I4028-$W$8)/$X$8)&gt;1.92,"ATÍPICO",ABS((I4028-$W$8)/$X$8)&lt;=1.92,"NO ATÍPICO")</f>
        <v>NO ATÍPICO</v>
      </c>
      <c r="L4028">
        <f t="shared" si="265"/>
        <v>278030.99</v>
      </c>
      <c r="M4028" t="str">
        <f t="shared" si="266"/>
        <v>ASEGURADO VOLUNTARIO</v>
      </c>
      <c r="N4028">
        <f t="shared" si="267"/>
        <v>42</v>
      </c>
      <c r="O4028" s="19" t="str">
        <f t="shared" si="268"/>
        <v>0–300k</v>
      </c>
      <c r="P4028" s="19" t="str">
        <f t="shared" si="269"/>
        <v>36-45</v>
      </c>
    </row>
    <row r="4029" spans="1:16" x14ac:dyDescent="0.25">
      <c r="A4029">
        <v>4028</v>
      </c>
      <c r="B4029" t="s">
        <v>15</v>
      </c>
      <c r="C4029">
        <v>284460.38</v>
      </c>
      <c r="D4029" t="s">
        <v>10</v>
      </c>
      <c r="E4029" t="s">
        <v>16</v>
      </c>
      <c r="F4029" t="s">
        <v>12</v>
      </c>
      <c r="G4029" t="s">
        <v>13</v>
      </c>
      <c r="H4029" t="s">
        <v>13</v>
      </c>
      <c r="I4029">
        <v>34</v>
      </c>
      <c r="J4029" t="str" cm="1">
        <f t="array" ref="J4029">_xlfn.IFS(ISBLANK(C4029),"FALTANTE",ABS((C4029-$W$5)/$X$5)&gt;1.96,"ATÍPICO",ABS((C4029-$W$5)/$X$5)&lt;=1.96,"NO ATÍPICO")</f>
        <v>NO ATÍPICO</v>
      </c>
      <c r="K4029" t="str" cm="1">
        <f t="array" ref="K4029">_xlfn.IFS(ISBLANK(I4029),"FALTANTE",ABS((I4029-$W$8)/$X$8)&gt;1.92,"ATÍPICO",ABS((I4029-$W$8)/$X$8)&lt;=1.92,"NO ATÍPICO")</f>
        <v>NO ATÍPICO</v>
      </c>
      <c r="L4029">
        <f t="shared" si="265"/>
        <v>284460.38</v>
      </c>
      <c r="M4029" t="str">
        <f t="shared" si="266"/>
        <v>ASALARIADO</v>
      </c>
      <c r="N4029">
        <f t="shared" si="267"/>
        <v>34</v>
      </c>
      <c r="O4029" s="19" t="str">
        <f t="shared" si="268"/>
        <v>0–300k</v>
      </c>
      <c r="P4029" s="19" t="str">
        <f t="shared" si="269"/>
        <v>26-35</v>
      </c>
    </row>
    <row r="4030" spans="1:16" x14ac:dyDescent="0.25">
      <c r="A4030">
        <v>4029</v>
      </c>
      <c r="B4030" t="s">
        <v>9</v>
      </c>
      <c r="C4030">
        <v>510949.44</v>
      </c>
      <c r="D4030" t="s">
        <v>10</v>
      </c>
      <c r="E4030" t="s">
        <v>16</v>
      </c>
      <c r="F4030" t="s">
        <v>12</v>
      </c>
      <c r="G4030" t="s">
        <v>13</v>
      </c>
      <c r="H4030" t="s">
        <v>13</v>
      </c>
      <c r="I4030">
        <v>38</v>
      </c>
      <c r="J4030" t="str" cm="1">
        <f t="array" ref="J4030">_xlfn.IFS(ISBLANK(C4030),"FALTANTE",ABS((C4030-$W$5)/$X$5)&gt;1.96,"ATÍPICO",ABS((C4030-$W$5)/$X$5)&lt;=1.96,"NO ATÍPICO")</f>
        <v>NO ATÍPICO</v>
      </c>
      <c r="K4030" t="str" cm="1">
        <f t="array" ref="K4030">_xlfn.IFS(ISBLANK(I4030),"FALTANTE",ABS((I4030-$W$8)/$X$8)&gt;1.92,"ATÍPICO",ABS((I4030-$W$8)/$X$8)&lt;=1.92,"NO ATÍPICO")</f>
        <v>NO ATÍPICO</v>
      </c>
      <c r="L4030">
        <f t="shared" si="265"/>
        <v>510949.44</v>
      </c>
      <c r="M4030" t="str">
        <f t="shared" si="266"/>
        <v>ASALARIADO</v>
      </c>
      <c r="N4030">
        <f t="shared" si="267"/>
        <v>38</v>
      </c>
      <c r="O4030" s="19" t="str">
        <f t="shared" si="268"/>
        <v>300k–600k</v>
      </c>
      <c r="P4030" s="19" t="str">
        <f t="shared" si="269"/>
        <v>36-45</v>
      </c>
    </row>
    <row r="4031" spans="1:16" x14ac:dyDescent="0.25">
      <c r="A4031">
        <v>4030</v>
      </c>
      <c r="B4031" t="s">
        <v>15</v>
      </c>
      <c r="C4031">
        <v>622677.26</v>
      </c>
      <c r="D4031" t="s">
        <v>10</v>
      </c>
      <c r="E4031" t="s">
        <v>11</v>
      </c>
      <c r="F4031" t="s">
        <v>12</v>
      </c>
      <c r="G4031" t="s">
        <v>13</v>
      </c>
      <c r="H4031" t="s">
        <v>13</v>
      </c>
      <c r="I4031">
        <v>31</v>
      </c>
      <c r="J4031" t="str" cm="1">
        <f t="array" ref="J4031">_xlfn.IFS(ISBLANK(C4031),"FALTANTE",ABS((C4031-$W$5)/$X$5)&gt;1.96,"ATÍPICO",ABS((C4031-$W$5)/$X$5)&lt;=1.96,"NO ATÍPICO")</f>
        <v>NO ATÍPICO</v>
      </c>
      <c r="K4031" t="str" cm="1">
        <f t="array" ref="K4031">_xlfn.IFS(ISBLANK(I4031),"FALTANTE",ABS((I4031-$W$8)/$X$8)&gt;1.92,"ATÍPICO",ABS((I4031-$W$8)/$X$8)&lt;=1.92,"NO ATÍPICO")</f>
        <v>NO ATÍPICO</v>
      </c>
      <c r="L4031">
        <f t="shared" si="265"/>
        <v>622677.26</v>
      </c>
      <c r="M4031" t="str">
        <f t="shared" si="266"/>
        <v>ASALARIADO</v>
      </c>
      <c r="N4031">
        <f t="shared" si="267"/>
        <v>31</v>
      </c>
      <c r="O4031" s="19" t="str">
        <f t="shared" si="268"/>
        <v>600k–900k</v>
      </c>
      <c r="P4031" s="19" t="str">
        <f t="shared" si="269"/>
        <v>26-35</v>
      </c>
    </row>
    <row r="4032" spans="1:16" x14ac:dyDescent="0.25">
      <c r="A4032">
        <v>4031</v>
      </c>
      <c r="B4032" t="s">
        <v>9</v>
      </c>
      <c r="C4032">
        <v>578406.36</v>
      </c>
      <c r="D4032" t="s">
        <v>10</v>
      </c>
      <c r="E4032" t="s">
        <v>11</v>
      </c>
      <c r="F4032" t="s">
        <v>12</v>
      </c>
      <c r="G4032" t="s">
        <v>13</v>
      </c>
      <c r="H4032" t="s">
        <v>13</v>
      </c>
      <c r="I4032">
        <v>28</v>
      </c>
      <c r="J4032" t="str" cm="1">
        <f t="array" ref="J4032">_xlfn.IFS(ISBLANK(C4032),"FALTANTE",ABS((C4032-$W$5)/$X$5)&gt;1.96,"ATÍPICO",ABS((C4032-$W$5)/$X$5)&lt;=1.96,"NO ATÍPICO")</f>
        <v>NO ATÍPICO</v>
      </c>
      <c r="K4032" t="str" cm="1">
        <f t="array" ref="K4032">_xlfn.IFS(ISBLANK(I4032),"FALTANTE",ABS((I4032-$W$8)/$X$8)&gt;1.92,"ATÍPICO",ABS((I4032-$W$8)/$X$8)&lt;=1.92,"NO ATÍPICO")</f>
        <v>NO ATÍPICO</v>
      </c>
      <c r="L4032">
        <f t="shared" si="265"/>
        <v>578406.36</v>
      </c>
      <c r="M4032" t="str">
        <f t="shared" si="266"/>
        <v>ASALARIADO</v>
      </c>
      <c r="N4032">
        <f t="shared" si="267"/>
        <v>28</v>
      </c>
      <c r="O4032" s="19" t="str">
        <f t="shared" si="268"/>
        <v>300k–600k</v>
      </c>
      <c r="P4032" s="19" t="str">
        <f t="shared" si="269"/>
        <v>26-35</v>
      </c>
    </row>
    <row r="4033" spans="1:16" x14ac:dyDescent="0.25">
      <c r="A4033">
        <v>4032</v>
      </c>
      <c r="B4033" t="s">
        <v>9</v>
      </c>
      <c r="C4033">
        <v>383231</v>
      </c>
      <c r="D4033" t="s">
        <v>10</v>
      </c>
      <c r="E4033" t="s">
        <v>11</v>
      </c>
      <c r="F4033" t="s">
        <v>12</v>
      </c>
      <c r="G4033" t="s">
        <v>13</v>
      </c>
      <c r="H4033" t="s">
        <v>13</v>
      </c>
      <c r="I4033">
        <v>23</v>
      </c>
      <c r="J4033" t="str" cm="1">
        <f t="array" ref="J4033">_xlfn.IFS(ISBLANK(C4033),"FALTANTE",ABS((C4033-$W$5)/$X$5)&gt;1.96,"ATÍPICO",ABS((C4033-$W$5)/$X$5)&lt;=1.96,"NO ATÍPICO")</f>
        <v>NO ATÍPICO</v>
      </c>
      <c r="K4033" t="str" cm="1">
        <f t="array" ref="K4033">_xlfn.IFS(ISBLANK(I4033),"FALTANTE",ABS((I4033-$W$8)/$X$8)&gt;1.92,"ATÍPICO",ABS((I4033-$W$8)/$X$8)&lt;=1.92,"NO ATÍPICO")</f>
        <v>NO ATÍPICO</v>
      </c>
      <c r="L4033">
        <f t="shared" si="265"/>
        <v>383231</v>
      </c>
      <c r="M4033" t="str">
        <f t="shared" si="266"/>
        <v>ASALARIADO</v>
      </c>
      <c r="N4033">
        <f t="shared" si="267"/>
        <v>23</v>
      </c>
      <c r="O4033" s="19" t="str">
        <f t="shared" si="268"/>
        <v>300k–600k</v>
      </c>
      <c r="P4033" s="19" t="str">
        <f t="shared" si="269"/>
        <v>18-25</v>
      </c>
    </row>
    <row r="4034" spans="1:16" x14ac:dyDescent="0.25">
      <c r="A4034">
        <v>4033</v>
      </c>
      <c r="B4034" t="s">
        <v>9</v>
      </c>
      <c r="C4034">
        <v>415668.65</v>
      </c>
      <c r="D4034" t="s">
        <v>10</v>
      </c>
      <c r="E4034" t="s">
        <v>16</v>
      </c>
      <c r="F4034" t="s">
        <v>12</v>
      </c>
      <c r="G4034" t="s">
        <v>12</v>
      </c>
      <c r="H4034" t="s">
        <v>13</v>
      </c>
      <c r="I4034">
        <v>58</v>
      </c>
      <c r="J4034" t="str" cm="1">
        <f t="array" ref="J4034">_xlfn.IFS(ISBLANK(C4034),"FALTANTE",ABS((C4034-$W$5)/$X$5)&gt;1.96,"ATÍPICO",ABS((C4034-$W$5)/$X$5)&lt;=1.96,"NO ATÍPICO")</f>
        <v>NO ATÍPICO</v>
      </c>
      <c r="K4034" t="str" cm="1">
        <f t="array" ref="K4034">_xlfn.IFS(ISBLANK(I4034),"FALTANTE",ABS((I4034-$W$8)/$X$8)&gt;1.92,"ATÍPICO",ABS((I4034-$W$8)/$X$8)&lt;=1.92,"NO ATÍPICO")</f>
        <v>NO ATÍPICO</v>
      </c>
      <c r="L4034">
        <f t="shared" ref="L4034:M4097" si="270">C4034</f>
        <v>415668.65</v>
      </c>
      <c r="M4034" t="str">
        <f t="shared" si="270"/>
        <v>ASALARIADO</v>
      </c>
      <c r="N4034">
        <f t="shared" ref="N4034:N4097" si="271">I4034</f>
        <v>58</v>
      </c>
      <c r="O4034" s="19" t="str">
        <f t="shared" ref="O4034:O4097" si="272">IF(L4034&lt;=300000,"0–300k",IF(L4034&lt;=600000,"300k–600k",IF(L4034&lt;=900000,"600k–900k",IF(L4034&lt;=1200000,"900k–1200k","1200k+"))))</f>
        <v>300k–600k</v>
      </c>
      <c r="P4034" s="19" t="str">
        <f t="shared" ref="P4034:P4097" si="273">IF(N4034 &lt;=25,"18-25", IF(N4034&lt;=35,"26-35", IF(N4034 &lt;=45,"36-45", IF(N4034&lt;=55,"46-55","56+"))))</f>
        <v>56+</v>
      </c>
    </row>
    <row r="4035" spans="1:16" x14ac:dyDescent="0.25">
      <c r="A4035">
        <v>4034</v>
      </c>
      <c r="B4035" t="s">
        <v>15</v>
      </c>
      <c r="C4035">
        <v>948047</v>
      </c>
      <c r="D4035" t="s">
        <v>10</v>
      </c>
      <c r="E4035" t="s">
        <v>11</v>
      </c>
      <c r="F4035" t="s">
        <v>12</v>
      </c>
      <c r="G4035" t="s">
        <v>13</v>
      </c>
      <c r="H4035" t="s">
        <v>12</v>
      </c>
      <c r="I4035">
        <v>32</v>
      </c>
      <c r="J4035" t="str" cm="1">
        <f t="array" ref="J4035">_xlfn.IFS(ISBLANK(C4035),"FALTANTE",ABS((C4035-$W$5)/$X$5)&gt;1.96,"ATÍPICO",ABS((C4035-$W$5)/$X$5)&lt;=1.96,"NO ATÍPICO")</f>
        <v>NO ATÍPICO</v>
      </c>
      <c r="K4035" t="str" cm="1">
        <f t="array" ref="K4035">_xlfn.IFS(ISBLANK(I4035),"FALTANTE",ABS((I4035-$W$8)/$X$8)&gt;1.92,"ATÍPICO",ABS((I4035-$W$8)/$X$8)&lt;=1.92,"NO ATÍPICO")</f>
        <v>NO ATÍPICO</v>
      </c>
      <c r="L4035">
        <f t="shared" si="270"/>
        <v>948047</v>
      </c>
      <c r="M4035" t="str">
        <f t="shared" si="270"/>
        <v>ASALARIADO</v>
      </c>
      <c r="N4035">
        <f t="shared" si="271"/>
        <v>32</v>
      </c>
      <c r="O4035" s="19" t="str">
        <f t="shared" si="272"/>
        <v>900k–1200k</v>
      </c>
      <c r="P4035" s="19" t="str">
        <f t="shared" si="273"/>
        <v>26-35</v>
      </c>
    </row>
    <row r="4036" spans="1:16" x14ac:dyDescent="0.25">
      <c r="A4036">
        <v>4035</v>
      </c>
      <c r="B4036" t="s">
        <v>9</v>
      </c>
      <c r="C4036">
        <v>343391</v>
      </c>
      <c r="D4036" t="s">
        <v>10</v>
      </c>
      <c r="E4036" t="s">
        <v>16</v>
      </c>
      <c r="F4036" t="s">
        <v>12</v>
      </c>
      <c r="G4036" t="s">
        <v>13</v>
      </c>
      <c r="H4036" t="s">
        <v>13</v>
      </c>
      <c r="I4036">
        <v>48</v>
      </c>
      <c r="J4036" t="str" cm="1">
        <f t="array" ref="J4036">_xlfn.IFS(ISBLANK(C4036),"FALTANTE",ABS((C4036-$W$5)/$X$5)&gt;1.96,"ATÍPICO",ABS((C4036-$W$5)/$X$5)&lt;=1.96,"NO ATÍPICO")</f>
        <v>NO ATÍPICO</v>
      </c>
      <c r="K4036" t="str" cm="1">
        <f t="array" ref="K4036">_xlfn.IFS(ISBLANK(I4036),"FALTANTE",ABS((I4036-$W$8)/$X$8)&gt;1.92,"ATÍPICO",ABS((I4036-$W$8)/$X$8)&lt;=1.92,"NO ATÍPICO")</f>
        <v>NO ATÍPICO</v>
      </c>
      <c r="L4036">
        <f t="shared" si="270"/>
        <v>343391</v>
      </c>
      <c r="M4036" t="str">
        <f t="shared" si="270"/>
        <v>ASALARIADO</v>
      </c>
      <c r="N4036">
        <f t="shared" si="271"/>
        <v>48</v>
      </c>
      <c r="O4036" s="19" t="str">
        <f t="shared" si="272"/>
        <v>300k–600k</v>
      </c>
      <c r="P4036" s="19" t="str">
        <f t="shared" si="273"/>
        <v>46-55</v>
      </c>
    </row>
    <row r="4037" spans="1:16" x14ac:dyDescent="0.25">
      <c r="A4037">
        <v>4036</v>
      </c>
      <c r="B4037" t="s">
        <v>15</v>
      </c>
      <c r="C4037">
        <v>320000</v>
      </c>
      <c r="D4037" t="s">
        <v>10</v>
      </c>
      <c r="E4037" t="s">
        <v>16</v>
      </c>
      <c r="F4037" t="s">
        <v>12</v>
      </c>
      <c r="G4037" t="s">
        <v>13</v>
      </c>
      <c r="H4037" t="s">
        <v>13</v>
      </c>
      <c r="I4037">
        <v>69</v>
      </c>
      <c r="J4037" t="str" cm="1">
        <f t="array" ref="J4037">_xlfn.IFS(ISBLANK(C4037),"FALTANTE",ABS((C4037-$W$5)/$X$5)&gt;1.96,"ATÍPICO",ABS((C4037-$W$5)/$X$5)&lt;=1.96,"NO ATÍPICO")</f>
        <v>NO ATÍPICO</v>
      </c>
      <c r="K4037" t="str" cm="1">
        <f t="array" ref="K4037">_xlfn.IFS(ISBLANK(I4037),"FALTANTE",ABS((I4037-$W$8)/$X$8)&gt;1.92,"ATÍPICO",ABS((I4037-$W$8)/$X$8)&lt;=1.92,"NO ATÍPICO")</f>
        <v>NO ATÍPICO</v>
      </c>
      <c r="L4037">
        <f t="shared" si="270"/>
        <v>320000</v>
      </c>
      <c r="M4037" t="str">
        <f t="shared" si="270"/>
        <v>ASALARIADO</v>
      </c>
      <c r="N4037">
        <f t="shared" si="271"/>
        <v>69</v>
      </c>
      <c r="O4037" s="19" t="str">
        <f t="shared" si="272"/>
        <v>300k–600k</v>
      </c>
      <c r="P4037" s="19" t="str">
        <f t="shared" si="273"/>
        <v>56+</v>
      </c>
    </row>
    <row r="4038" spans="1:16" x14ac:dyDescent="0.25">
      <c r="A4038">
        <v>4037</v>
      </c>
      <c r="B4038" t="s">
        <v>15</v>
      </c>
      <c r="C4038">
        <v>840000</v>
      </c>
      <c r="D4038" t="s">
        <v>10</v>
      </c>
      <c r="E4038" t="s">
        <v>16</v>
      </c>
      <c r="F4038" t="s">
        <v>12</v>
      </c>
      <c r="G4038" t="s">
        <v>13</v>
      </c>
      <c r="H4038" t="s">
        <v>13</v>
      </c>
      <c r="I4038">
        <v>29</v>
      </c>
      <c r="J4038" t="str" cm="1">
        <f t="array" ref="J4038">_xlfn.IFS(ISBLANK(C4038),"FALTANTE",ABS((C4038-$W$5)/$X$5)&gt;1.96,"ATÍPICO",ABS((C4038-$W$5)/$X$5)&lt;=1.96,"NO ATÍPICO")</f>
        <v>NO ATÍPICO</v>
      </c>
      <c r="K4038" t="str" cm="1">
        <f t="array" ref="K4038">_xlfn.IFS(ISBLANK(I4038),"FALTANTE",ABS((I4038-$W$8)/$X$8)&gt;1.92,"ATÍPICO",ABS((I4038-$W$8)/$X$8)&lt;=1.92,"NO ATÍPICO")</f>
        <v>NO ATÍPICO</v>
      </c>
      <c r="L4038">
        <f t="shared" si="270"/>
        <v>840000</v>
      </c>
      <c r="M4038" t="str">
        <f t="shared" si="270"/>
        <v>ASALARIADO</v>
      </c>
      <c r="N4038">
        <f t="shared" si="271"/>
        <v>29</v>
      </c>
      <c r="O4038" s="19" t="str">
        <f t="shared" si="272"/>
        <v>600k–900k</v>
      </c>
      <c r="P4038" s="19" t="str">
        <f t="shared" si="273"/>
        <v>26-35</v>
      </c>
    </row>
    <row r="4039" spans="1:16" x14ac:dyDescent="0.25">
      <c r="A4039">
        <v>4038</v>
      </c>
      <c r="B4039" t="s">
        <v>9</v>
      </c>
      <c r="C4039">
        <v>371173.26</v>
      </c>
      <c r="D4039" t="s">
        <v>10</v>
      </c>
      <c r="E4039" t="s">
        <v>16</v>
      </c>
      <c r="F4039" t="s">
        <v>12</v>
      </c>
      <c r="G4039" t="s">
        <v>13</v>
      </c>
      <c r="H4039" t="s">
        <v>13</v>
      </c>
      <c r="I4039">
        <v>31</v>
      </c>
      <c r="J4039" t="str" cm="1">
        <f t="array" ref="J4039">_xlfn.IFS(ISBLANK(C4039),"FALTANTE",ABS((C4039-$W$5)/$X$5)&gt;1.96,"ATÍPICO",ABS((C4039-$W$5)/$X$5)&lt;=1.96,"NO ATÍPICO")</f>
        <v>NO ATÍPICO</v>
      </c>
      <c r="K4039" t="str" cm="1">
        <f t="array" ref="K4039">_xlfn.IFS(ISBLANK(I4039),"FALTANTE",ABS((I4039-$W$8)/$X$8)&gt;1.92,"ATÍPICO",ABS((I4039-$W$8)/$X$8)&lt;=1.92,"NO ATÍPICO")</f>
        <v>NO ATÍPICO</v>
      </c>
      <c r="L4039">
        <f t="shared" si="270"/>
        <v>371173.26</v>
      </c>
      <c r="M4039" t="str">
        <f t="shared" si="270"/>
        <v>ASALARIADO</v>
      </c>
      <c r="N4039">
        <f t="shared" si="271"/>
        <v>31</v>
      </c>
      <c r="O4039" s="19" t="str">
        <f t="shared" si="272"/>
        <v>300k–600k</v>
      </c>
      <c r="P4039" s="19" t="str">
        <f t="shared" si="273"/>
        <v>26-35</v>
      </c>
    </row>
    <row r="4040" spans="1:16" x14ac:dyDescent="0.25">
      <c r="A4040">
        <v>4039</v>
      </c>
      <c r="B4040" t="s">
        <v>9</v>
      </c>
      <c r="C4040">
        <v>570368</v>
      </c>
      <c r="D4040" t="s">
        <v>10</v>
      </c>
      <c r="E4040" t="s">
        <v>16</v>
      </c>
      <c r="F4040" t="s">
        <v>12</v>
      </c>
      <c r="G4040" t="s">
        <v>13</v>
      </c>
      <c r="H4040" t="s">
        <v>13</v>
      </c>
      <c r="I4040">
        <v>33</v>
      </c>
      <c r="J4040" t="str" cm="1">
        <f t="array" ref="J4040">_xlfn.IFS(ISBLANK(C4040),"FALTANTE",ABS((C4040-$W$5)/$X$5)&gt;1.96,"ATÍPICO",ABS((C4040-$W$5)/$X$5)&lt;=1.96,"NO ATÍPICO")</f>
        <v>NO ATÍPICO</v>
      </c>
      <c r="K4040" t="str" cm="1">
        <f t="array" ref="K4040">_xlfn.IFS(ISBLANK(I4040),"FALTANTE",ABS((I4040-$W$8)/$X$8)&gt;1.92,"ATÍPICO",ABS((I4040-$W$8)/$X$8)&lt;=1.92,"NO ATÍPICO")</f>
        <v>NO ATÍPICO</v>
      </c>
      <c r="L4040">
        <f t="shared" si="270"/>
        <v>570368</v>
      </c>
      <c r="M4040" t="str">
        <f t="shared" si="270"/>
        <v>ASALARIADO</v>
      </c>
      <c r="N4040">
        <f t="shared" si="271"/>
        <v>33</v>
      </c>
      <c r="O4040" s="19" t="str">
        <f t="shared" si="272"/>
        <v>300k–600k</v>
      </c>
      <c r="P4040" s="19" t="str">
        <f t="shared" si="273"/>
        <v>26-35</v>
      </c>
    </row>
    <row r="4041" spans="1:16" x14ac:dyDescent="0.25">
      <c r="A4041">
        <v>4040</v>
      </c>
      <c r="B4041" t="s">
        <v>15</v>
      </c>
      <c r="C4041">
        <v>1206489.07</v>
      </c>
      <c r="D4041" t="s">
        <v>10</v>
      </c>
      <c r="E4041" t="s">
        <v>16</v>
      </c>
      <c r="F4041" t="s">
        <v>12</v>
      </c>
      <c r="G4041" t="s">
        <v>13</v>
      </c>
      <c r="H4041" t="s">
        <v>13</v>
      </c>
      <c r="I4041">
        <v>29</v>
      </c>
      <c r="J4041" t="str" cm="1">
        <f t="array" ref="J4041">_xlfn.IFS(ISBLANK(C4041),"FALTANTE",ABS((C4041-$W$5)/$X$5)&gt;1.96,"ATÍPICO",ABS((C4041-$W$5)/$X$5)&lt;=1.96,"NO ATÍPICO")</f>
        <v>NO ATÍPICO</v>
      </c>
      <c r="K4041" t="str" cm="1">
        <f t="array" ref="K4041">_xlfn.IFS(ISBLANK(I4041),"FALTANTE",ABS((I4041-$W$8)/$X$8)&gt;1.92,"ATÍPICO",ABS((I4041-$W$8)/$X$8)&lt;=1.92,"NO ATÍPICO")</f>
        <v>NO ATÍPICO</v>
      </c>
      <c r="L4041">
        <f t="shared" si="270"/>
        <v>1206489.07</v>
      </c>
      <c r="M4041" t="str">
        <f t="shared" si="270"/>
        <v>ASALARIADO</v>
      </c>
      <c r="N4041">
        <f t="shared" si="271"/>
        <v>29</v>
      </c>
      <c r="O4041" s="19" t="str">
        <f t="shared" si="272"/>
        <v>1200k+</v>
      </c>
      <c r="P4041" s="19" t="str">
        <f t="shared" si="273"/>
        <v>26-35</v>
      </c>
    </row>
    <row r="4042" spans="1:16" x14ac:dyDescent="0.25">
      <c r="A4042">
        <v>4041</v>
      </c>
      <c r="B4042" t="s">
        <v>9</v>
      </c>
      <c r="C4042">
        <v>143537.5</v>
      </c>
      <c r="D4042" t="s">
        <v>10</v>
      </c>
      <c r="E4042" t="s">
        <v>16</v>
      </c>
      <c r="F4042" t="s">
        <v>12</v>
      </c>
      <c r="G4042" t="s">
        <v>13</v>
      </c>
      <c r="H4042" t="s">
        <v>13</v>
      </c>
      <c r="I4042">
        <v>31</v>
      </c>
      <c r="J4042" t="str" cm="1">
        <f t="array" ref="J4042">_xlfn.IFS(ISBLANK(C4042),"FALTANTE",ABS((C4042-$W$5)/$X$5)&gt;1.96,"ATÍPICO",ABS((C4042-$W$5)/$X$5)&lt;=1.96,"NO ATÍPICO")</f>
        <v>NO ATÍPICO</v>
      </c>
      <c r="K4042" t="str" cm="1">
        <f t="array" ref="K4042">_xlfn.IFS(ISBLANK(I4042),"FALTANTE",ABS((I4042-$W$8)/$X$8)&gt;1.92,"ATÍPICO",ABS((I4042-$W$8)/$X$8)&lt;=1.92,"NO ATÍPICO")</f>
        <v>NO ATÍPICO</v>
      </c>
      <c r="L4042">
        <f t="shared" si="270"/>
        <v>143537.5</v>
      </c>
      <c r="M4042" t="str">
        <f t="shared" si="270"/>
        <v>ASALARIADO</v>
      </c>
      <c r="N4042">
        <f t="shared" si="271"/>
        <v>31</v>
      </c>
      <c r="O4042" s="19" t="str">
        <f t="shared" si="272"/>
        <v>0–300k</v>
      </c>
      <c r="P4042" s="19" t="str">
        <f t="shared" si="273"/>
        <v>26-35</v>
      </c>
    </row>
    <row r="4043" spans="1:16" x14ac:dyDescent="0.25">
      <c r="A4043">
        <v>4042</v>
      </c>
      <c r="B4043" t="s">
        <v>9</v>
      </c>
      <c r="C4043">
        <v>450000</v>
      </c>
      <c r="D4043" t="s">
        <v>10</v>
      </c>
      <c r="E4043" t="s">
        <v>16</v>
      </c>
      <c r="F4043" t="s">
        <v>12</v>
      </c>
      <c r="G4043" t="s">
        <v>12</v>
      </c>
      <c r="H4043" t="s">
        <v>13</v>
      </c>
      <c r="I4043">
        <v>39</v>
      </c>
      <c r="J4043" t="str" cm="1">
        <f t="array" ref="J4043">_xlfn.IFS(ISBLANK(C4043),"FALTANTE",ABS((C4043-$W$5)/$X$5)&gt;1.96,"ATÍPICO",ABS((C4043-$W$5)/$X$5)&lt;=1.96,"NO ATÍPICO")</f>
        <v>NO ATÍPICO</v>
      </c>
      <c r="K4043" t="str" cm="1">
        <f t="array" ref="K4043">_xlfn.IFS(ISBLANK(I4043),"FALTANTE",ABS((I4043-$W$8)/$X$8)&gt;1.92,"ATÍPICO",ABS((I4043-$W$8)/$X$8)&lt;=1.92,"NO ATÍPICO")</f>
        <v>NO ATÍPICO</v>
      </c>
      <c r="L4043">
        <f t="shared" si="270"/>
        <v>450000</v>
      </c>
      <c r="M4043" t="str">
        <f t="shared" si="270"/>
        <v>ASALARIADO</v>
      </c>
      <c r="N4043">
        <f t="shared" si="271"/>
        <v>39</v>
      </c>
      <c r="O4043" s="19" t="str">
        <f t="shared" si="272"/>
        <v>300k–600k</v>
      </c>
      <c r="P4043" s="19" t="str">
        <f t="shared" si="273"/>
        <v>36-45</v>
      </c>
    </row>
    <row r="4044" spans="1:16" x14ac:dyDescent="0.25">
      <c r="A4044">
        <v>4043</v>
      </c>
      <c r="B4044" t="s">
        <v>9</v>
      </c>
      <c r="C4044">
        <v>297046</v>
      </c>
      <c r="D4044" t="s">
        <v>17</v>
      </c>
      <c r="E4044" t="s">
        <v>16</v>
      </c>
      <c r="F4044" t="s">
        <v>12</v>
      </c>
      <c r="G4044" t="s">
        <v>13</v>
      </c>
      <c r="H4044" t="s">
        <v>13</v>
      </c>
      <c r="I4044">
        <v>64</v>
      </c>
      <c r="J4044" t="str" cm="1">
        <f t="array" ref="J4044">_xlfn.IFS(ISBLANK(C4044),"FALTANTE",ABS((C4044-$W$5)/$X$5)&gt;1.96,"ATÍPICO",ABS((C4044-$W$5)/$X$5)&lt;=1.96,"NO ATÍPICO")</f>
        <v>NO ATÍPICO</v>
      </c>
      <c r="K4044" t="str" cm="1">
        <f t="array" ref="K4044">_xlfn.IFS(ISBLANK(I4044),"FALTANTE",ABS((I4044-$W$8)/$X$8)&gt;1.92,"ATÍPICO",ABS((I4044-$W$8)/$X$8)&lt;=1.92,"NO ATÍPICO")</f>
        <v>NO ATÍPICO</v>
      </c>
      <c r="L4044">
        <f t="shared" si="270"/>
        <v>297046</v>
      </c>
      <c r="M4044" t="str">
        <f t="shared" si="270"/>
        <v>ASEGURADO VOLUNTARIO</v>
      </c>
      <c r="N4044">
        <f t="shared" si="271"/>
        <v>64</v>
      </c>
      <c r="O4044" s="19" t="str">
        <f t="shared" si="272"/>
        <v>0–300k</v>
      </c>
      <c r="P4044" s="19" t="str">
        <f t="shared" si="273"/>
        <v>56+</v>
      </c>
    </row>
    <row r="4045" spans="1:16" x14ac:dyDescent="0.25">
      <c r="A4045">
        <v>4044</v>
      </c>
      <c r="B4045" t="s">
        <v>9</v>
      </c>
      <c r="C4045">
        <v>45500</v>
      </c>
      <c r="D4045" t="s">
        <v>10</v>
      </c>
      <c r="E4045" t="s">
        <v>16</v>
      </c>
      <c r="F4045" t="s">
        <v>12</v>
      </c>
      <c r="G4045" t="s">
        <v>12</v>
      </c>
      <c r="H4045" t="s">
        <v>13</v>
      </c>
      <c r="I4045">
        <v>41</v>
      </c>
      <c r="J4045" t="str" cm="1">
        <f t="array" ref="J4045">_xlfn.IFS(ISBLANK(C4045),"FALTANTE",ABS((C4045-$W$5)/$X$5)&gt;1.96,"ATÍPICO",ABS((C4045-$W$5)/$X$5)&lt;=1.96,"NO ATÍPICO")</f>
        <v>NO ATÍPICO</v>
      </c>
      <c r="K4045" t="str" cm="1">
        <f t="array" ref="K4045">_xlfn.IFS(ISBLANK(I4045),"FALTANTE",ABS((I4045-$W$8)/$X$8)&gt;1.92,"ATÍPICO",ABS((I4045-$W$8)/$X$8)&lt;=1.92,"NO ATÍPICO")</f>
        <v>NO ATÍPICO</v>
      </c>
      <c r="L4045">
        <f t="shared" si="270"/>
        <v>45500</v>
      </c>
      <c r="M4045" t="str">
        <f t="shared" si="270"/>
        <v>ASALARIADO</v>
      </c>
      <c r="N4045">
        <f t="shared" si="271"/>
        <v>41</v>
      </c>
      <c r="O4045" s="19" t="str">
        <f t="shared" si="272"/>
        <v>0–300k</v>
      </c>
      <c r="P4045" s="19" t="str">
        <f t="shared" si="273"/>
        <v>36-45</v>
      </c>
    </row>
    <row r="4046" spans="1:16" x14ac:dyDescent="0.25">
      <c r="A4046">
        <v>4045</v>
      </c>
      <c r="B4046" t="s">
        <v>9</v>
      </c>
      <c r="C4046">
        <v>310740</v>
      </c>
      <c r="D4046" t="s">
        <v>10</v>
      </c>
      <c r="E4046" t="s">
        <v>16</v>
      </c>
      <c r="F4046" t="s">
        <v>12</v>
      </c>
      <c r="G4046" t="s">
        <v>13</v>
      </c>
      <c r="H4046" t="s">
        <v>13</v>
      </c>
      <c r="I4046">
        <v>39</v>
      </c>
      <c r="J4046" t="str" cm="1">
        <f t="array" ref="J4046">_xlfn.IFS(ISBLANK(C4046),"FALTANTE",ABS((C4046-$W$5)/$X$5)&gt;1.96,"ATÍPICO",ABS((C4046-$W$5)/$X$5)&lt;=1.96,"NO ATÍPICO")</f>
        <v>NO ATÍPICO</v>
      </c>
      <c r="K4046" t="str" cm="1">
        <f t="array" ref="K4046">_xlfn.IFS(ISBLANK(I4046),"FALTANTE",ABS((I4046-$W$8)/$X$8)&gt;1.92,"ATÍPICO",ABS((I4046-$W$8)/$X$8)&lt;=1.92,"NO ATÍPICO")</f>
        <v>NO ATÍPICO</v>
      </c>
      <c r="L4046">
        <f t="shared" si="270"/>
        <v>310740</v>
      </c>
      <c r="M4046" t="str">
        <f t="shared" si="270"/>
        <v>ASALARIADO</v>
      </c>
      <c r="N4046">
        <f t="shared" si="271"/>
        <v>39</v>
      </c>
      <c r="O4046" s="19" t="str">
        <f t="shared" si="272"/>
        <v>300k–600k</v>
      </c>
      <c r="P4046" s="19" t="str">
        <f t="shared" si="273"/>
        <v>36-45</v>
      </c>
    </row>
    <row r="4047" spans="1:16" x14ac:dyDescent="0.25">
      <c r="A4047">
        <v>4046</v>
      </c>
      <c r="B4047" t="s">
        <v>15</v>
      </c>
      <c r="C4047">
        <v>1739889.52</v>
      </c>
      <c r="D4047" t="s">
        <v>10</v>
      </c>
      <c r="E4047" t="s">
        <v>11</v>
      </c>
      <c r="F4047" t="s">
        <v>12</v>
      </c>
      <c r="G4047" t="s">
        <v>13</v>
      </c>
      <c r="H4047" t="s">
        <v>13</v>
      </c>
      <c r="I4047">
        <v>38</v>
      </c>
      <c r="J4047" t="str" cm="1">
        <f t="array" ref="J4047">_xlfn.IFS(ISBLANK(C4047),"FALTANTE",ABS((C4047-$W$5)/$X$5)&gt;1.96,"ATÍPICO",ABS((C4047-$W$5)/$X$5)&lt;=1.96,"NO ATÍPICO")</f>
        <v>NO ATÍPICO</v>
      </c>
      <c r="K4047" t="str" cm="1">
        <f t="array" ref="K4047">_xlfn.IFS(ISBLANK(I4047),"FALTANTE",ABS((I4047-$W$8)/$X$8)&gt;1.92,"ATÍPICO",ABS((I4047-$W$8)/$X$8)&lt;=1.92,"NO ATÍPICO")</f>
        <v>NO ATÍPICO</v>
      </c>
      <c r="L4047">
        <f t="shared" si="270"/>
        <v>1739889.52</v>
      </c>
      <c r="M4047" t="str">
        <f t="shared" si="270"/>
        <v>ASALARIADO</v>
      </c>
      <c r="N4047">
        <f t="shared" si="271"/>
        <v>38</v>
      </c>
      <c r="O4047" s="19" t="str">
        <f t="shared" si="272"/>
        <v>1200k+</v>
      </c>
      <c r="P4047" s="19" t="str">
        <f t="shared" si="273"/>
        <v>36-45</v>
      </c>
    </row>
    <row r="4048" spans="1:16" x14ac:dyDescent="0.25">
      <c r="A4048">
        <v>4047</v>
      </c>
      <c r="B4048" t="s">
        <v>15</v>
      </c>
      <c r="C4048">
        <v>4453.22</v>
      </c>
      <c r="D4048" t="s">
        <v>10</v>
      </c>
      <c r="E4048" t="s">
        <v>11</v>
      </c>
      <c r="F4048" t="s">
        <v>12</v>
      </c>
      <c r="G4048" t="s">
        <v>13</v>
      </c>
      <c r="H4048" t="s">
        <v>13</v>
      </c>
      <c r="I4048">
        <v>24</v>
      </c>
      <c r="J4048" t="str" cm="1">
        <f t="array" ref="J4048">_xlfn.IFS(ISBLANK(C4048),"FALTANTE",ABS((C4048-$W$5)/$X$5)&gt;1.96,"ATÍPICO",ABS((C4048-$W$5)/$X$5)&lt;=1.96,"NO ATÍPICO")</f>
        <v>NO ATÍPICO</v>
      </c>
      <c r="K4048" t="str" cm="1">
        <f t="array" ref="K4048">_xlfn.IFS(ISBLANK(I4048),"FALTANTE",ABS((I4048-$W$8)/$X$8)&gt;1.92,"ATÍPICO",ABS((I4048-$W$8)/$X$8)&lt;=1.92,"NO ATÍPICO")</f>
        <v>NO ATÍPICO</v>
      </c>
      <c r="L4048">
        <f t="shared" si="270"/>
        <v>4453.22</v>
      </c>
      <c r="M4048" t="str">
        <f t="shared" si="270"/>
        <v>ASALARIADO</v>
      </c>
      <c r="N4048">
        <f t="shared" si="271"/>
        <v>24</v>
      </c>
      <c r="O4048" s="19" t="str">
        <f t="shared" si="272"/>
        <v>0–300k</v>
      </c>
      <c r="P4048" s="19" t="str">
        <f t="shared" si="273"/>
        <v>18-25</v>
      </c>
    </row>
    <row r="4049" spans="1:16" x14ac:dyDescent="0.25">
      <c r="A4049">
        <v>4048</v>
      </c>
      <c r="B4049" t="s">
        <v>9</v>
      </c>
      <c r="C4049">
        <v>845279</v>
      </c>
      <c r="D4049" t="s">
        <v>10</v>
      </c>
      <c r="E4049" t="s">
        <v>16</v>
      </c>
      <c r="F4049" t="s">
        <v>12</v>
      </c>
      <c r="G4049" t="s">
        <v>13</v>
      </c>
      <c r="H4049" t="s">
        <v>13</v>
      </c>
      <c r="I4049">
        <v>41</v>
      </c>
      <c r="J4049" t="str" cm="1">
        <f t="array" ref="J4049">_xlfn.IFS(ISBLANK(C4049),"FALTANTE",ABS((C4049-$W$5)/$X$5)&gt;1.96,"ATÍPICO",ABS((C4049-$W$5)/$X$5)&lt;=1.96,"NO ATÍPICO")</f>
        <v>NO ATÍPICO</v>
      </c>
      <c r="K4049" t="str" cm="1">
        <f t="array" ref="K4049">_xlfn.IFS(ISBLANK(I4049),"FALTANTE",ABS((I4049-$W$8)/$X$8)&gt;1.92,"ATÍPICO",ABS((I4049-$W$8)/$X$8)&lt;=1.92,"NO ATÍPICO")</f>
        <v>NO ATÍPICO</v>
      </c>
      <c r="L4049">
        <f t="shared" si="270"/>
        <v>845279</v>
      </c>
      <c r="M4049" t="str">
        <f t="shared" si="270"/>
        <v>ASALARIADO</v>
      </c>
      <c r="N4049">
        <f t="shared" si="271"/>
        <v>41</v>
      </c>
      <c r="O4049" s="19" t="str">
        <f t="shared" si="272"/>
        <v>600k–900k</v>
      </c>
      <c r="P4049" s="19" t="str">
        <f t="shared" si="273"/>
        <v>36-45</v>
      </c>
    </row>
    <row r="4050" spans="1:16" x14ac:dyDescent="0.25">
      <c r="A4050">
        <v>4049</v>
      </c>
      <c r="B4050" t="s">
        <v>15</v>
      </c>
      <c r="C4050">
        <v>222000</v>
      </c>
      <c r="D4050" t="s">
        <v>10</v>
      </c>
      <c r="E4050" t="s">
        <v>16</v>
      </c>
      <c r="F4050" t="s">
        <v>12</v>
      </c>
      <c r="G4050" t="s">
        <v>13</v>
      </c>
      <c r="H4050" t="s">
        <v>13</v>
      </c>
      <c r="I4050">
        <v>61</v>
      </c>
      <c r="J4050" t="str" cm="1">
        <f t="array" ref="J4050">_xlfn.IFS(ISBLANK(C4050),"FALTANTE",ABS((C4050-$W$5)/$X$5)&gt;1.96,"ATÍPICO",ABS((C4050-$W$5)/$X$5)&lt;=1.96,"NO ATÍPICO")</f>
        <v>NO ATÍPICO</v>
      </c>
      <c r="K4050" t="str" cm="1">
        <f t="array" ref="K4050">_xlfn.IFS(ISBLANK(I4050),"FALTANTE",ABS((I4050-$W$8)/$X$8)&gt;1.92,"ATÍPICO",ABS((I4050-$W$8)/$X$8)&lt;=1.92,"NO ATÍPICO")</f>
        <v>NO ATÍPICO</v>
      </c>
      <c r="L4050">
        <f t="shared" si="270"/>
        <v>222000</v>
      </c>
      <c r="M4050" t="str">
        <f t="shared" si="270"/>
        <v>ASALARIADO</v>
      </c>
      <c r="N4050">
        <f t="shared" si="271"/>
        <v>61</v>
      </c>
      <c r="O4050" s="19" t="str">
        <f t="shared" si="272"/>
        <v>0–300k</v>
      </c>
      <c r="P4050" s="19" t="str">
        <f t="shared" si="273"/>
        <v>56+</v>
      </c>
    </row>
    <row r="4051" spans="1:16" x14ac:dyDescent="0.25">
      <c r="A4051">
        <v>4050</v>
      </c>
      <c r="B4051" t="s">
        <v>9</v>
      </c>
      <c r="C4051">
        <v>350672.26</v>
      </c>
      <c r="D4051" t="s">
        <v>10</v>
      </c>
      <c r="E4051" t="s">
        <v>16</v>
      </c>
      <c r="F4051" t="s">
        <v>12</v>
      </c>
      <c r="G4051" t="s">
        <v>13</v>
      </c>
      <c r="H4051" t="s">
        <v>13</v>
      </c>
      <c r="I4051">
        <v>34</v>
      </c>
      <c r="J4051" t="str" cm="1">
        <f t="array" ref="J4051">_xlfn.IFS(ISBLANK(C4051),"FALTANTE",ABS((C4051-$W$5)/$X$5)&gt;1.96,"ATÍPICO",ABS((C4051-$W$5)/$X$5)&lt;=1.96,"NO ATÍPICO")</f>
        <v>NO ATÍPICO</v>
      </c>
      <c r="K4051" t="str" cm="1">
        <f t="array" ref="K4051">_xlfn.IFS(ISBLANK(I4051),"FALTANTE",ABS((I4051-$W$8)/$X$8)&gt;1.92,"ATÍPICO",ABS((I4051-$W$8)/$X$8)&lt;=1.92,"NO ATÍPICO")</f>
        <v>NO ATÍPICO</v>
      </c>
      <c r="L4051">
        <f t="shared" si="270"/>
        <v>350672.26</v>
      </c>
      <c r="M4051" t="str">
        <f t="shared" si="270"/>
        <v>ASALARIADO</v>
      </c>
      <c r="N4051">
        <f t="shared" si="271"/>
        <v>34</v>
      </c>
      <c r="O4051" s="19" t="str">
        <f t="shared" si="272"/>
        <v>300k–600k</v>
      </c>
      <c r="P4051" s="19" t="str">
        <f t="shared" si="273"/>
        <v>26-35</v>
      </c>
    </row>
    <row r="4052" spans="1:16" x14ac:dyDescent="0.25">
      <c r="A4052">
        <v>4051</v>
      </c>
      <c r="B4052" t="s">
        <v>9</v>
      </c>
      <c r="C4052">
        <v>782348.4</v>
      </c>
      <c r="D4052" t="s">
        <v>10</v>
      </c>
      <c r="E4052" t="s">
        <v>16</v>
      </c>
      <c r="F4052" t="s">
        <v>12</v>
      </c>
      <c r="G4052" t="s">
        <v>13</v>
      </c>
      <c r="H4052" t="s">
        <v>13</v>
      </c>
      <c r="I4052">
        <v>27</v>
      </c>
      <c r="J4052" t="str" cm="1">
        <f t="array" ref="J4052">_xlfn.IFS(ISBLANK(C4052),"FALTANTE",ABS((C4052-$W$5)/$X$5)&gt;1.96,"ATÍPICO",ABS((C4052-$W$5)/$X$5)&lt;=1.96,"NO ATÍPICO")</f>
        <v>NO ATÍPICO</v>
      </c>
      <c r="K4052" t="str" cm="1">
        <f t="array" ref="K4052">_xlfn.IFS(ISBLANK(I4052),"FALTANTE",ABS((I4052-$W$8)/$X$8)&gt;1.92,"ATÍPICO",ABS((I4052-$W$8)/$X$8)&lt;=1.92,"NO ATÍPICO")</f>
        <v>NO ATÍPICO</v>
      </c>
      <c r="L4052">
        <f t="shared" si="270"/>
        <v>782348.4</v>
      </c>
      <c r="M4052" t="str">
        <f t="shared" si="270"/>
        <v>ASALARIADO</v>
      </c>
      <c r="N4052">
        <f t="shared" si="271"/>
        <v>27</v>
      </c>
      <c r="O4052" s="19" t="str">
        <f t="shared" si="272"/>
        <v>600k–900k</v>
      </c>
      <c r="P4052" s="19" t="str">
        <f t="shared" si="273"/>
        <v>26-35</v>
      </c>
    </row>
    <row r="4053" spans="1:16" x14ac:dyDescent="0.25">
      <c r="A4053">
        <v>4052</v>
      </c>
      <c r="B4053" t="s">
        <v>9</v>
      </c>
      <c r="C4053">
        <v>278030</v>
      </c>
      <c r="D4053" t="s">
        <v>19</v>
      </c>
      <c r="E4053" t="s">
        <v>16</v>
      </c>
      <c r="F4053" t="s">
        <v>12</v>
      </c>
      <c r="G4053" t="s">
        <v>13</v>
      </c>
      <c r="H4053" t="s">
        <v>13</v>
      </c>
      <c r="I4053">
        <v>57</v>
      </c>
      <c r="J4053" t="str" cm="1">
        <f t="array" ref="J4053">_xlfn.IFS(ISBLANK(C4053),"FALTANTE",ABS((C4053-$W$5)/$X$5)&gt;1.96,"ATÍPICO",ABS((C4053-$W$5)/$X$5)&lt;=1.96,"NO ATÍPICO")</f>
        <v>NO ATÍPICO</v>
      </c>
      <c r="K4053" t="str" cm="1">
        <f t="array" ref="K4053">_xlfn.IFS(ISBLANK(I4053),"FALTANTE",ABS((I4053-$W$8)/$X$8)&gt;1.92,"ATÍPICO",ABS((I4053-$W$8)/$X$8)&lt;=1.92,"NO ATÍPICO")</f>
        <v>NO ATÍPICO</v>
      </c>
      <c r="L4053">
        <f t="shared" si="270"/>
        <v>278030</v>
      </c>
      <c r="M4053" t="str">
        <f t="shared" si="270"/>
        <v>CONVENIOS ESPECIALES DE TRABAJADORES INDEPENDIENTES</v>
      </c>
      <c r="N4053">
        <f t="shared" si="271"/>
        <v>57</v>
      </c>
      <c r="O4053" s="19" t="str">
        <f t="shared" si="272"/>
        <v>0–300k</v>
      </c>
      <c r="P4053" s="19" t="str">
        <f t="shared" si="273"/>
        <v>56+</v>
      </c>
    </row>
    <row r="4054" spans="1:16" x14ac:dyDescent="0.25">
      <c r="A4054">
        <v>4053</v>
      </c>
      <c r="B4054" t="s">
        <v>15</v>
      </c>
      <c r="C4054">
        <v>269309.07</v>
      </c>
      <c r="D4054" t="s">
        <v>10</v>
      </c>
      <c r="E4054" t="s">
        <v>11</v>
      </c>
      <c r="F4054" t="s">
        <v>12</v>
      </c>
      <c r="G4054" t="s">
        <v>13</v>
      </c>
      <c r="H4054" t="s">
        <v>13</v>
      </c>
      <c r="I4054">
        <v>28</v>
      </c>
      <c r="J4054" t="str" cm="1">
        <f t="array" ref="J4054">_xlfn.IFS(ISBLANK(C4054),"FALTANTE",ABS((C4054-$W$5)/$X$5)&gt;1.96,"ATÍPICO",ABS((C4054-$W$5)/$X$5)&lt;=1.96,"NO ATÍPICO")</f>
        <v>NO ATÍPICO</v>
      </c>
      <c r="K4054" t="str" cm="1">
        <f t="array" ref="K4054">_xlfn.IFS(ISBLANK(I4054),"FALTANTE",ABS((I4054-$W$8)/$X$8)&gt;1.92,"ATÍPICO",ABS((I4054-$W$8)/$X$8)&lt;=1.92,"NO ATÍPICO")</f>
        <v>NO ATÍPICO</v>
      </c>
      <c r="L4054">
        <f t="shared" si="270"/>
        <v>269309.07</v>
      </c>
      <c r="M4054" t="str">
        <f t="shared" si="270"/>
        <v>ASALARIADO</v>
      </c>
      <c r="N4054">
        <f t="shared" si="271"/>
        <v>28</v>
      </c>
      <c r="O4054" s="19" t="str">
        <f t="shared" si="272"/>
        <v>0–300k</v>
      </c>
      <c r="P4054" s="19" t="str">
        <f t="shared" si="273"/>
        <v>26-35</v>
      </c>
    </row>
    <row r="4055" spans="1:16" x14ac:dyDescent="0.25">
      <c r="A4055">
        <v>4054</v>
      </c>
      <c r="B4055" t="s">
        <v>15</v>
      </c>
      <c r="C4055">
        <v>742483</v>
      </c>
      <c r="D4055" t="s">
        <v>18</v>
      </c>
      <c r="E4055" t="s">
        <v>16</v>
      </c>
      <c r="F4055" t="s">
        <v>12</v>
      </c>
      <c r="G4055" t="s">
        <v>13</v>
      </c>
      <c r="H4055" t="s">
        <v>13</v>
      </c>
      <c r="I4055">
        <v>50</v>
      </c>
      <c r="J4055" t="str" cm="1">
        <f t="array" ref="J4055">_xlfn.IFS(ISBLANK(C4055),"FALTANTE",ABS((C4055-$W$5)/$X$5)&gt;1.96,"ATÍPICO",ABS((C4055-$W$5)/$X$5)&lt;=1.96,"NO ATÍPICO")</f>
        <v>NO ATÍPICO</v>
      </c>
      <c r="K4055" t="str" cm="1">
        <f t="array" ref="K4055">_xlfn.IFS(ISBLANK(I4055),"FALTANTE",ABS((I4055-$W$8)/$X$8)&gt;1.92,"ATÍPICO",ABS((I4055-$W$8)/$X$8)&lt;=1.92,"NO ATÍPICO")</f>
        <v>NO ATÍPICO</v>
      </c>
      <c r="L4055">
        <f t="shared" si="270"/>
        <v>742483</v>
      </c>
      <c r="M4055" t="str">
        <f t="shared" si="270"/>
        <v>TRABAJADOR INDEPENDIENTE</v>
      </c>
      <c r="N4055">
        <f t="shared" si="271"/>
        <v>50</v>
      </c>
      <c r="O4055" s="19" t="str">
        <f t="shared" si="272"/>
        <v>600k–900k</v>
      </c>
      <c r="P4055" s="19" t="str">
        <f t="shared" si="273"/>
        <v>46-55</v>
      </c>
    </row>
    <row r="4056" spans="1:16" x14ac:dyDescent="0.25">
      <c r="A4056">
        <v>4055</v>
      </c>
      <c r="B4056" t="s">
        <v>9</v>
      </c>
      <c r="C4056">
        <v>566297</v>
      </c>
      <c r="D4056" t="s">
        <v>18</v>
      </c>
      <c r="E4056" t="s">
        <v>16</v>
      </c>
      <c r="F4056" t="s">
        <v>12</v>
      </c>
      <c r="G4056" t="s">
        <v>13</v>
      </c>
      <c r="H4056" t="s">
        <v>12</v>
      </c>
      <c r="I4056">
        <v>42</v>
      </c>
      <c r="J4056" t="str" cm="1">
        <f t="array" ref="J4056">_xlfn.IFS(ISBLANK(C4056),"FALTANTE",ABS((C4056-$W$5)/$X$5)&gt;1.96,"ATÍPICO",ABS((C4056-$W$5)/$X$5)&lt;=1.96,"NO ATÍPICO")</f>
        <v>NO ATÍPICO</v>
      </c>
      <c r="K4056" t="str" cm="1">
        <f t="array" ref="K4056">_xlfn.IFS(ISBLANK(I4056),"FALTANTE",ABS((I4056-$W$8)/$X$8)&gt;1.92,"ATÍPICO",ABS((I4056-$W$8)/$X$8)&lt;=1.92,"NO ATÍPICO")</f>
        <v>NO ATÍPICO</v>
      </c>
      <c r="L4056">
        <f t="shared" si="270"/>
        <v>566297</v>
      </c>
      <c r="M4056" t="str">
        <f t="shared" si="270"/>
        <v>TRABAJADOR INDEPENDIENTE</v>
      </c>
      <c r="N4056">
        <f t="shared" si="271"/>
        <v>42</v>
      </c>
      <c r="O4056" s="19" t="str">
        <f t="shared" si="272"/>
        <v>300k–600k</v>
      </c>
      <c r="P4056" s="19" t="str">
        <f t="shared" si="273"/>
        <v>36-45</v>
      </c>
    </row>
    <row r="4057" spans="1:16" x14ac:dyDescent="0.25">
      <c r="A4057">
        <v>4056</v>
      </c>
      <c r="B4057" t="s">
        <v>9</v>
      </c>
      <c r="C4057">
        <v>816719</v>
      </c>
      <c r="D4057" t="s">
        <v>10</v>
      </c>
      <c r="E4057" t="s">
        <v>11</v>
      </c>
      <c r="F4057" t="s">
        <v>12</v>
      </c>
      <c r="G4057" t="s">
        <v>13</v>
      </c>
      <c r="H4057" t="s">
        <v>13</v>
      </c>
      <c r="I4057">
        <v>56</v>
      </c>
      <c r="J4057" t="str" cm="1">
        <f t="array" ref="J4057">_xlfn.IFS(ISBLANK(C4057),"FALTANTE",ABS((C4057-$W$5)/$X$5)&gt;1.96,"ATÍPICO",ABS((C4057-$W$5)/$X$5)&lt;=1.96,"NO ATÍPICO")</f>
        <v>NO ATÍPICO</v>
      </c>
      <c r="K4057" t="str" cm="1">
        <f t="array" ref="K4057">_xlfn.IFS(ISBLANK(I4057),"FALTANTE",ABS((I4057-$W$8)/$X$8)&gt;1.92,"ATÍPICO",ABS((I4057-$W$8)/$X$8)&lt;=1.92,"NO ATÍPICO")</f>
        <v>NO ATÍPICO</v>
      </c>
      <c r="L4057">
        <f t="shared" si="270"/>
        <v>816719</v>
      </c>
      <c r="M4057" t="str">
        <f t="shared" si="270"/>
        <v>ASALARIADO</v>
      </c>
      <c r="N4057">
        <f t="shared" si="271"/>
        <v>56</v>
      </c>
      <c r="O4057" s="19" t="str">
        <f t="shared" si="272"/>
        <v>600k–900k</v>
      </c>
      <c r="P4057" s="19" t="str">
        <f t="shared" si="273"/>
        <v>56+</v>
      </c>
    </row>
    <row r="4058" spans="1:16" x14ac:dyDescent="0.25">
      <c r="A4058">
        <v>4057</v>
      </c>
      <c r="B4058" t="s">
        <v>9</v>
      </c>
      <c r="C4058">
        <v>818075.21</v>
      </c>
      <c r="D4058" t="s">
        <v>14</v>
      </c>
      <c r="E4058" t="s">
        <v>11</v>
      </c>
      <c r="F4058" t="s">
        <v>12</v>
      </c>
      <c r="G4058" t="s">
        <v>13</v>
      </c>
      <c r="H4058" t="s">
        <v>13</v>
      </c>
      <c r="I4058">
        <v>81</v>
      </c>
      <c r="J4058" t="str" cm="1">
        <f t="array" ref="J4058">_xlfn.IFS(ISBLANK(C4058),"FALTANTE",ABS((C4058-$W$5)/$X$5)&gt;1.96,"ATÍPICO",ABS((C4058-$W$5)/$X$5)&lt;=1.96,"NO ATÍPICO")</f>
        <v>NO ATÍPICO</v>
      </c>
      <c r="K4058" t="str" cm="1">
        <f t="array" ref="K4058">_xlfn.IFS(ISBLANK(I4058),"FALTANTE",ABS((I4058-$W$8)/$X$8)&gt;1.92,"ATÍPICO",ABS((I4058-$W$8)/$X$8)&lt;=1.92,"NO ATÍPICO")</f>
        <v>ATÍPICO</v>
      </c>
      <c r="L4058">
        <f t="shared" si="270"/>
        <v>818075.21</v>
      </c>
      <c r="M4058" t="str">
        <f t="shared" si="270"/>
        <v>PENSIONADOS EN SU PROPIO SISTEMA</v>
      </c>
      <c r="N4058">
        <f t="shared" si="271"/>
        <v>81</v>
      </c>
      <c r="O4058" s="19" t="str">
        <f t="shared" si="272"/>
        <v>600k–900k</v>
      </c>
      <c r="P4058" s="19" t="str">
        <f t="shared" si="273"/>
        <v>56+</v>
      </c>
    </row>
    <row r="4059" spans="1:16" x14ac:dyDescent="0.25">
      <c r="A4059">
        <v>4058</v>
      </c>
      <c r="B4059" t="s">
        <v>15</v>
      </c>
      <c r="C4059">
        <v>312500</v>
      </c>
      <c r="D4059" t="s">
        <v>10</v>
      </c>
      <c r="E4059" t="s">
        <v>16</v>
      </c>
      <c r="F4059" t="s">
        <v>12</v>
      </c>
      <c r="G4059" t="s">
        <v>13</v>
      </c>
      <c r="H4059" t="s">
        <v>13</v>
      </c>
      <c r="I4059">
        <v>38</v>
      </c>
      <c r="J4059" t="str" cm="1">
        <f t="array" ref="J4059">_xlfn.IFS(ISBLANK(C4059),"FALTANTE",ABS((C4059-$W$5)/$X$5)&gt;1.96,"ATÍPICO",ABS((C4059-$W$5)/$X$5)&lt;=1.96,"NO ATÍPICO")</f>
        <v>NO ATÍPICO</v>
      </c>
      <c r="K4059" t="str" cm="1">
        <f t="array" ref="K4059">_xlfn.IFS(ISBLANK(I4059),"FALTANTE",ABS((I4059-$W$8)/$X$8)&gt;1.92,"ATÍPICO",ABS((I4059-$W$8)/$X$8)&lt;=1.92,"NO ATÍPICO")</f>
        <v>NO ATÍPICO</v>
      </c>
      <c r="L4059">
        <f t="shared" si="270"/>
        <v>312500</v>
      </c>
      <c r="M4059" t="str">
        <f t="shared" si="270"/>
        <v>ASALARIADO</v>
      </c>
      <c r="N4059">
        <f t="shared" si="271"/>
        <v>38</v>
      </c>
      <c r="O4059" s="19" t="str">
        <f t="shared" si="272"/>
        <v>300k–600k</v>
      </c>
      <c r="P4059" s="19" t="str">
        <f t="shared" si="273"/>
        <v>36-45</v>
      </c>
    </row>
    <row r="4060" spans="1:16" x14ac:dyDescent="0.25">
      <c r="A4060">
        <v>4059</v>
      </c>
      <c r="B4060" t="s">
        <v>9</v>
      </c>
      <c r="C4060">
        <v>278030</v>
      </c>
      <c r="D4060" t="s">
        <v>19</v>
      </c>
      <c r="E4060" t="s">
        <v>16</v>
      </c>
      <c r="F4060" t="s">
        <v>12</v>
      </c>
      <c r="G4060" t="s">
        <v>13</v>
      </c>
      <c r="H4060" t="s">
        <v>13</v>
      </c>
      <c r="I4060">
        <v>32</v>
      </c>
      <c r="J4060" t="str" cm="1">
        <f t="array" ref="J4060">_xlfn.IFS(ISBLANK(C4060),"FALTANTE",ABS((C4060-$W$5)/$X$5)&gt;1.96,"ATÍPICO",ABS((C4060-$W$5)/$X$5)&lt;=1.96,"NO ATÍPICO")</f>
        <v>NO ATÍPICO</v>
      </c>
      <c r="K4060" t="str" cm="1">
        <f t="array" ref="K4060">_xlfn.IFS(ISBLANK(I4060),"FALTANTE",ABS((I4060-$W$8)/$X$8)&gt;1.92,"ATÍPICO",ABS((I4060-$W$8)/$X$8)&lt;=1.92,"NO ATÍPICO")</f>
        <v>NO ATÍPICO</v>
      </c>
      <c r="L4060">
        <f t="shared" si="270"/>
        <v>278030</v>
      </c>
      <c r="M4060" t="str">
        <f t="shared" si="270"/>
        <v>CONVENIOS ESPECIALES DE TRABAJADORES INDEPENDIENTES</v>
      </c>
      <c r="N4060">
        <f t="shared" si="271"/>
        <v>32</v>
      </c>
      <c r="O4060" s="19" t="str">
        <f t="shared" si="272"/>
        <v>0–300k</v>
      </c>
      <c r="P4060" s="19" t="str">
        <f t="shared" si="273"/>
        <v>26-35</v>
      </c>
    </row>
    <row r="4061" spans="1:16" x14ac:dyDescent="0.25">
      <c r="A4061">
        <v>4060</v>
      </c>
      <c r="B4061" t="s">
        <v>9</v>
      </c>
      <c r="C4061">
        <v>354060.87</v>
      </c>
      <c r="D4061" t="s">
        <v>10</v>
      </c>
      <c r="E4061" t="s">
        <v>16</v>
      </c>
      <c r="F4061" t="s">
        <v>12</v>
      </c>
      <c r="G4061" t="s">
        <v>13</v>
      </c>
      <c r="H4061" t="s">
        <v>13</v>
      </c>
      <c r="I4061">
        <v>36</v>
      </c>
      <c r="J4061" t="str" cm="1">
        <f t="array" ref="J4061">_xlfn.IFS(ISBLANK(C4061),"FALTANTE",ABS((C4061-$W$5)/$X$5)&gt;1.96,"ATÍPICO",ABS((C4061-$W$5)/$X$5)&lt;=1.96,"NO ATÍPICO")</f>
        <v>NO ATÍPICO</v>
      </c>
      <c r="K4061" t="str" cm="1">
        <f t="array" ref="K4061">_xlfn.IFS(ISBLANK(I4061),"FALTANTE",ABS((I4061-$W$8)/$X$8)&gt;1.92,"ATÍPICO",ABS((I4061-$W$8)/$X$8)&lt;=1.92,"NO ATÍPICO")</f>
        <v>NO ATÍPICO</v>
      </c>
      <c r="L4061">
        <f t="shared" si="270"/>
        <v>354060.87</v>
      </c>
      <c r="M4061" t="str">
        <f t="shared" si="270"/>
        <v>ASALARIADO</v>
      </c>
      <c r="N4061">
        <f t="shared" si="271"/>
        <v>36</v>
      </c>
      <c r="O4061" s="19" t="str">
        <f t="shared" si="272"/>
        <v>300k–600k</v>
      </c>
      <c r="P4061" s="19" t="str">
        <f t="shared" si="273"/>
        <v>36-45</v>
      </c>
    </row>
    <row r="4062" spans="1:16" x14ac:dyDescent="0.25">
      <c r="A4062">
        <v>4061</v>
      </c>
      <c r="B4062" t="s">
        <v>9</v>
      </c>
      <c r="C4062">
        <v>585035.6</v>
      </c>
      <c r="D4062" t="s">
        <v>10</v>
      </c>
      <c r="E4062" t="s">
        <v>11</v>
      </c>
      <c r="F4062" t="s">
        <v>12</v>
      </c>
      <c r="G4062" t="s">
        <v>13</v>
      </c>
      <c r="H4062" t="s">
        <v>13</v>
      </c>
      <c r="I4062">
        <v>31</v>
      </c>
      <c r="J4062" t="str" cm="1">
        <f t="array" ref="J4062">_xlfn.IFS(ISBLANK(C4062),"FALTANTE",ABS((C4062-$W$5)/$X$5)&gt;1.96,"ATÍPICO",ABS((C4062-$W$5)/$X$5)&lt;=1.96,"NO ATÍPICO")</f>
        <v>NO ATÍPICO</v>
      </c>
      <c r="K4062" t="str" cm="1">
        <f t="array" ref="K4062">_xlfn.IFS(ISBLANK(I4062),"FALTANTE",ABS((I4062-$W$8)/$X$8)&gt;1.92,"ATÍPICO",ABS((I4062-$W$8)/$X$8)&lt;=1.92,"NO ATÍPICO")</f>
        <v>NO ATÍPICO</v>
      </c>
      <c r="L4062">
        <f t="shared" si="270"/>
        <v>585035.6</v>
      </c>
      <c r="M4062" t="str">
        <f t="shared" si="270"/>
        <v>ASALARIADO</v>
      </c>
      <c r="N4062">
        <f t="shared" si="271"/>
        <v>31</v>
      </c>
      <c r="O4062" s="19" t="str">
        <f t="shared" si="272"/>
        <v>300k–600k</v>
      </c>
      <c r="P4062" s="19" t="str">
        <f t="shared" si="273"/>
        <v>26-35</v>
      </c>
    </row>
    <row r="4063" spans="1:16" x14ac:dyDescent="0.25">
      <c r="A4063">
        <v>4062</v>
      </c>
      <c r="B4063" t="s">
        <v>9</v>
      </c>
      <c r="C4063">
        <v>120498.44</v>
      </c>
      <c r="D4063" t="s">
        <v>10</v>
      </c>
      <c r="E4063" t="s">
        <v>16</v>
      </c>
      <c r="F4063" t="s">
        <v>12</v>
      </c>
      <c r="G4063" t="s">
        <v>13</v>
      </c>
      <c r="H4063" t="s">
        <v>13</v>
      </c>
      <c r="I4063">
        <v>23</v>
      </c>
      <c r="J4063" t="str" cm="1">
        <f t="array" ref="J4063">_xlfn.IFS(ISBLANK(C4063),"FALTANTE",ABS((C4063-$W$5)/$X$5)&gt;1.96,"ATÍPICO",ABS((C4063-$W$5)/$X$5)&lt;=1.96,"NO ATÍPICO")</f>
        <v>NO ATÍPICO</v>
      </c>
      <c r="K4063" t="str" cm="1">
        <f t="array" ref="K4063">_xlfn.IFS(ISBLANK(I4063),"FALTANTE",ABS((I4063-$W$8)/$X$8)&gt;1.92,"ATÍPICO",ABS((I4063-$W$8)/$X$8)&lt;=1.92,"NO ATÍPICO")</f>
        <v>NO ATÍPICO</v>
      </c>
      <c r="L4063">
        <f t="shared" si="270"/>
        <v>120498.44</v>
      </c>
      <c r="M4063" t="str">
        <f t="shared" si="270"/>
        <v>ASALARIADO</v>
      </c>
      <c r="N4063">
        <f t="shared" si="271"/>
        <v>23</v>
      </c>
      <c r="O4063" s="19" t="str">
        <f t="shared" si="272"/>
        <v>0–300k</v>
      </c>
      <c r="P4063" s="19" t="str">
        <f t="shared" si="273"/>
        <v>18-25</v>
      </c>
    </row>
    <row r="4064" spans="1:16" x14ac:dyDescent="0.25">
      <c r="A4064">
        <v>4063</v>
      </c>
      <c r="B4064" t="s">
        <v>9</v>
      </c>
      <c r="C4064">
        <v>728961.19</v>
      </c>
      <c r="D4064" t="s">
        <v>10</v>
      </c>
      <c r="E4064" t="s">
        <v>16</v>
      </c>
      <c r="F4064" t="s">
        <v>12</v>
      </c>
      <c r="G4064" t="s">
        <v>13</v>
      </c>
      <c r="H4064" t="s">
        <v>13</v>
      </c>
      <c r="I4064">
        <v>35</v>
      </c>
      <c r="J4064" t="str" cm="1">
        <f t="array" ref="J4064">_xlfn.IFS(ISBLANK(C4064),"FALTANTE",ABS((C4064-$W$5)/$X$5)&gt;1.96,"ATÍPICO",ABS((C4064-$W$5)/$X$5)&lt;=1.96,"NO ATÍPICO")</f>
        <v>NO ATÍPICO</v>
      </c>
      <c r="K4064" t="str" cm="1">
        <f t="array" ref="K4064">_xlfn.IFS(ISBLANK(I4064),"FALTANTE",ABS((I4064-$W$8)/$X$8)&gt;1.92,"ATÍPICO",ABS((I4064-$W$8)/$X$8)&lt;=1.92,"NO ATÍPICO")</f>
        <v>NO ATÍPICO</v>
      </c>
      <c r="L4064">
        <f t="shared" si="270"/>
        <v>728961.19</v>
      </c>
      <c r="M4064" t="str">
        <f t="shared" si="270"/>
        <v>ASALARIADO</v>
      </c>
      <c r="N4064">
        <f t="shared" si="271"/>
        <v>35</v>
      </c>
      <c r="O4064" s="19" t="str">
        <f t="shared" si="272"/>
        <v>600k–900k</v>
      </c>
      <c r="P4064" s="19" t="str">
        <f t="shared" si="273"/>
        <v>26-35</v>
      </c>
    </row>
    <row r="4065" spans="1:16" x14ac:dyDescent="0.25">
      <c r="A4065">
        <v>4064</v>
      </c>
      <c r="B4065" t="s">
        <v>9</v>
      </c>
      <c r="C4065">
        <v>787001</v>
      </c>
      <c r="D4065" t="s">
        <v>10</v>
      </c>
      <c r="E4065" t="s">
        <v>16</v>
      </c>
      <c r="F4065" t="s">
        <v>12</v>
      </c>
      <c r="G4065" t="s">
        <v>13</v>
      </c>
      <c r="H4065" t="s">
        <v>13</v>
      </c>
      <c r="I4065">
        <v>39</v>
      </c>
      <c r="J4065" t="str" cm="1">
        <f t="array" ref="J4065">_xlfn.IFS(ISBLANK(C4065),"FALTANTE",ABS((C4065-$W$5)/$X$5)&gt;1.96,"ATÍPICO",ABS((C4065-$W$5)/$X$5)&lt;=1.96,"NO ATÍPICO")</f>
        <v>NO ATÍPICO</v>
      </c>
      <c r="K4065" t="str" cm="1">
        <f t="array" ref="K4065">_xlfn.IFS(ISBLANK(I4065),"FALTANTE",ABS((I4065-$W$8)/$X$8)&gt;1.92,"ATÍPICO",ABS((I4065-$W$8)/$X$8)&lt;=1.92,"NO ATÍPICO")</f>
        <v>NO ATÍPICO</v>
      </c>
      <c r="L4065">
        <f t="shared" si="270"/>
        <v>787001</v>
      </c>
      <c r="M4065" t="str">
        <f t="shared" si="270"/>
        <v>ASALARIADO</v>
      </c>
      <c r="N4065">
        <f t="shared" si="271"/>
        <v>39</v>
      </c>
      <c r="O4065" s="19" t="str">
        <f t="shared" si="272"/>
        <v>600k–900k</v>
      </c>
      <c r="P4065" s="19" t="str">
        <f t="shared" si="273"/>
        <v>36-45</v>
      </c>
    </row>
    <row r="4066" spans="1:16" x14ac:dyDescent="0.25">
      <c r="A4066">
        <v>4065</v>
      </c>
      <c r="B4066" t="s">
        <v>9</v>
      </c>
      <c r="C4066">
        <v>589997</v>
      </c>
      <c r="D4066" t="s">
        <v>10</v>
      </c>
      <c r="E4066" t="s">
        <v>11</v>
      </c>
      <c r="F4066" t="s">
        <v>12</v>
      </c>
      <c r="G4066" t="s">
        <v>13</v>
      </c>
      <c r="H4066" t="s">
        <v>13</v>
      </c>
      <c r="I4066">
        <v>48</v>
      </c>
      <c r="J4066" t="str" cm="1">
        <f t="array" ref="J4066">_xlfn.IFS(ISBLANK(C4066),"FALTANTE",ABS((C4066-$W$5)/$X$5)&gt;1.96,"ATÍPICO",ABS((C4066-$W$5)/$X$5)&lt;=1.96,"NO ATÍPICO")</f>
        <v>NO ATÍPICO</v>
      </c>
      <c r="K4066" t="str" cm="1">
        <f t="array" ref="K4066">_xlfn.IFS(ISBLANK(I4066),"FALTANTE",ABS((I4066-$W$8)/$X$8)&gt;1.92,"ATÍPICO",ABS((I4066-$W$8)/$X$8)&lt;=1.92,"NO ATÍPICO")</f>
        <v>NO ATÍPICO</v>
      </c>
      <c r="L4066">
        <f t="shared" si="270"/>
        <v>589997</v>
      </c>
      <c r="M4066" t="str">
        <f t="shared" si="270"/>
        <v>ASALARIADO</v>
      </c>
      <c r="N4066">
        <f t="shared" si="271"/>
        <v>48</v>
      </c>
      <c r="O4066" s="19" t="str">
        <f t="shared" si="272"/>
        <v>300k–600k</v>
      </c>
      <c r="P4066" s="19" t="str">
        <f t="shared" si="273"/>
        <v>46-55</v>
      </c>
    </row>
    <row r="4067" spans="1:16" x14ac:dyDescent="0.25">
      <c r="A4067">
        <v>4066</v>
      </c>
      <c r="B4067" t="s">
        <v>15</v>
      </c>
      <c r="C4067">
        <v>278031</v>
      </c>
      <c r="D4067" t="s">
        <v>18</v>
      </c>
      <c r="E4067" t="s">
        <v>16</v>
      </c>
      <c r="F4067" t="s">
        <v>12</v>
      </c>
      <c r="G4067" t="s">
        <v>13</v>
      </c>
      <c r="H4067" t="s">
        <v>13</v>
      </c>
      <c r="I4067">
        <v>51</v>
      </c>
      <c r="J4067" t="str" cm="1">
        <f t="array" ref="J4067">_xlfn.IFS(ISBLANK(C4067),"FALTANTE",ABS((C4067-$W$5)/$X$5)&gt;1.96,"ATÍPICO",ABS((C4067-$W$5)/$X$5)&lt;=1.96,"NO ATÍPICO")</f>
        <v>NO ATÍPICO</v>
      </c>
      <c r="K4067" t="str" cm="1">
        <f t="array" ref="K4067">_xlfn.IFS(ISBLANK(I4067),"FALTANTE",ABS((I4067-$W$8)/$X$8)&gt;1.92,"ATÍPICO",ABS((I4067-$W$8)/$X$8)&lt;=1.92,"NO ATÍPICO")</f>
        <v>NO ATÍPICO</v>
      </c>
      <c r="L4067">
        <f t="shared" si="270"/>
        <v>278031</v>
      </c>
      <c r="M4067" t="str">
        <f t="shared" si="270"/>
        <v>TRABAJADOR INDEPENDIENTE</v>
      </c>
      <c r="N4067">
        <f t="shared" si="271"/>
        <v>51</v>
      </c>
      <c r="O4067" s="19" t="str">
        <f t="shared" si="272"/>
        <v>0–300k</v>
      </c>
      <c r="P4067" s="19" t="str">
        <f t="shared" si="273"/>
        <v>46-55</v>
      </c>
    </row>
    <row r="4068" spans="1:16" x14ac:dyDescent="0.25">
      <c r="A4068">
        <v>4067</v>
      </c>
      <c r="B4068" t="s">
        <v>9</v>
      </c>
      <c r="C4068">
        <v>450368.88</v>
      </c>
      <c r="D4068" t="s">
        <v>10</v>
      </c>
      <c r="E4068" t="s">
        <v>16</v>
      </c>
      <c r="F4068" t="s">
        <v>12</v>
      </c>
      <c r="G4068" t="s">
        <v>13</v>
      </c>
      <c r="H4068" t="s">
        <v>13</v>
      </c>
      <c r="I4068">
        <v>26</v>
      </c>
      <c r="J4068" t="str" cm="1">
        <f t="array" ref="J4068">_xlfn.IFS(ISBLANK(C4068),"FALTANTE",ABS((C4068-$W$5)/$X$5)&gt;1.96,"ATÍPICO",ABS((C4068-$W$5)/$X$5)&lt;=1.96,"NO ATÍPICO")</f>
        <v>NO ATÍPICO</v>
      </c>
      <c r="K4068" t="str" cm="1">
        <f t="array" ref="K4068">_xlfn.IFS(ISBLANK(I4068),"FALTANTE",ABS((I4068-$W$8)/$X$8)&gt;1.92,"ATÍPICO",ABS((I4068-$W$8)/$X$8)&lt;=1.92,"NO ATÍPICO")</f>
        <v>NO ATÍPICO</v>
      </c>
      <c r="L4068">
        <f t="shared" si="270"/>
        <v>450368.88</v>
      </c>
      <c r="M4068" t="str">
        <f t="shared" si="270"/>
        <v>ASALARIADO</v>
      </c>
      <c r="N4068">
        <f t="shared" si="271"/>
        <v>26</v>
      </c>
      <c r="O4068" s="19" t="str">
        <f t="shared" si="272"/>
        <v>300k–600k</v>
      </c>
      <c r="P4068" s="19" t="str">
        <f t="shared" si="273"/>
        <v>26-35</v>
      </c>
    </row>
    <row r="4069" spans="1:16" x14ac:dyDescent="0.25">
      <c r="A4069">
        <v>4068</v>
      </c>
      <c r="B4069" t="s">
        <v>9</v>
      </c>
      <c r="C4069">
        <v>800000</v>
      </c>
      <c r="D4069" t="s">
        <v>10</v>
      </c>
      <c r="E4069" t="s">
        <v>16</v>
      </c>
      <c r="F4069" t="s">
        <v>12</v>
      </c>
      <c r="G4069" t="s">
        <v>13</v>
      </c>
      <c r="H4069" t="s">
        <v>13</v>
      </c>
      <c r="I4069">
        <v>26</v>
      </c>
      <c r="J4069" t="str" cm="1">
        <f t="array" ref="J4069">_xlfn.IFS(ISBLANK(C4069),"FALTANTE",ABS((C4069-$W$5)/$X$5)&gt;1.96,"ATÍPICO",ABS((C4069-$W$5)/$X$5)&lt;=1.96,"NO ATÍPICO")</f>
        <v>NO ATÍPICO</v>
      </c>
      <c r="K4069" t="str" cm="1">
        <f t="array" ref="K4069">_xlfn.IFS(ISBLANK(I4069),"FALTANTE",ABS((I4069-$W$8)/$X$8)&gt;1.92,"ATÍPICO",ABS((I4069-$W$8)/$X$8)&lt;=1.92,"NO ATÍPICO")</f>
        <v>NO ATÍPICO</v>
      </c>
      <c r="L4069">
        <f t="shared" si="270"/>
        <v>800000</v>
      </c>
      <c r="M4069" t="str">
        <f t="shared" si="270"/>
        <v>ASALARIADO</v>
      </c>
      <c r="N4069">
        <f t="shared" si="271"/>
        <v>26</v>
      </c>
      <c r="O4069" s="19" t="str">
        <f t="shared" si="272"/>
        <v>600k–900k</v>
      </c>
      <c r="P4069" s="19" t="str">
        <f t="shared" si="273"/>
        <v>26-35</v>
      </c>
    </row>
    <row r="4070" spans="1:16" x14ac:dyDescent="0.25">
      <c r="A4070">
        <v>4069</v>
      </c>
      <c r="B4070" t="s">
        <v>9</v>
      </c>
      <c r="C4070">
        <v>394263</v>
      </c>
      <c r="D4070" t="s">
        <v>18</v>
      </c>
      <c r="E4070" t="s">
        <v>16</v>
      </c>
      <c r="F4070" t="s">
        <v>12</v>
      </c>
      <c r="G4070" t="s">
        <v>12</v>
      </c>
      <c r="H4070" t="s">
        <v>12</v>
      </c>
      <c r="I4070">
        <v>51</v>
      </c>
      <c r="J4070" t="str" cm="1">
        <f t="array" ref="J4070">_xlfn.IFS(ISBLANK(C4070),"FALTANTE",ABS((C4070-$W$5)/$X$5)&gt;1.96,"ATÍPICO",ABS((C4070-$W$5)/$X$5)&lt;=1.96,"NO ATÍPICO")</f>
        <v>NO ATÍPICO</v>
      </c>
      <c r="K4070" t="str" cm="1">
        <f t="array" ref="K4070">_xlfn.IFS(ISBLANK(I4070),"FALTANTE",ABS((I4070-$W$8)/$X$8)&gt;1.92,"ATÍPICO",ABS((I4070-$W$8)/$X$8)&lt;=1.92,"NO ATÍPICO")</f>
        <v>NO ATÍPICO</v>
      </c>
      <c r="L4070">
        <f t="shared" si="270"/>
        <v>394263</v>
      </c>
      <c r="M4070" t="str">
        <f t="shared" si="270"/>
        <v>TRABAJADOR INDEPENDIENTE</v>
      </c>
      <c r="N4070">
        <f t="shared" si="271"/>
        <v>51</v>
      </c>
      <c r="O4070" s="19" t="str">
        <f t="shared" si="272"/>
        <v>300k–600k</v>
      </c>
      <c r="P4070" s="19" t="str">
        <f t="shared" si="273"/>
        <v>46-55</v>
      </c>
    </row>
    <row r="4071" spans="1:16" x14ac:dyDescent="0.25">
      <c r="A4071">
        <v>4070</v>
      </c>
      <c r="B4071" t="s">
        <v>9</v>
      </c>
      <c r="C4071">
        <v>145210</v>
      </c>
      <c r="D4071" t="s">
        <v>10</v>
      </c>
      <c r="E4071" t="s">
        <v>16</v>
      </c>
      <c r="F4071" t="s">
        <v>12</v>
      </c>
      <c r="G4071" t="s">
        <v>13</v>
      </c>
      <c r="H4071" t="s">
        <v>12</v>
      </c>
      <c r="I4071">
        <v>23</v>
      </c>
      <c r="J4071" t="str" cm="1">
        <f t="array" ref="J4071">_xlfn.IFS(ISBLANK(C4071),"FALTANTE",ABS((C4071-$W$5)/$X$5)&gt;1.96,"ATÍPICO",ABS((C4071-$W$5)/$X$5)&lt;=1.96,"NO ATÍPICO")</f>
        <v>NO ATÍPICO</v>
      </c>
      <c r="K4071" t="str" cm="1">
        <f t="array" ref="K4071">_xlfn.IFS(ISBLANK(I4071),"FALTANTE",ABS((I4071-$W$8)/$X$8)&gt;1.92,"ATÍPICO",ABS((I4071-$W$8)/$X$8)&lt;=1.92,"NO ATÍPICO")</f>
        <v>NO ATÍPICO</v>
      </c>
      <c r="L4071">
        <f t="shared" si="270"/>
        <v>145210</v>
      </c>
      <c r="M4071" t="str">
        <f t="shared" si="270"/>
        <v>ASALARIADO</v>
      </c>
      <c r="N4071">
        <f t="shared" si="271"/>
        <v>23</v>
      </c>
      <c r="O4071" s="19" t="str">
        <f t="shared" si="272"/>
        <v>0–300k</v>
      </c>
      <c r="P4071" s="19" t="str">
        <f t="shared" si="273"/>
        <v>18-25</v>
      </c>
    </row>
    <row r="4072" spans="1:16" x14ac:dyDescent="0.25">
      <c r="A4072">
        <v>4071</v>
      </c>
      <c r="B4072" t="s">
        <v>9</v>
      </c>
      <c r="C4072">
        <v>381127</v>
      </c>
      <c r="D4072" t="s">
        <v>10</v>
      </c>
      <c r="E4072" t="s">
        <v>16</v>
      </c>
      <c r="F4072" t="s">
        <v>12</v>
      </c>
      <c r="G4072" t="s">
        <v>13</v>
      </c>
      <c r="H4072" t="s">
        <v>13</v>
      </c>
      <c r="I4072">
        <v>21</v>
      </c>
      <c r="J4072" t="str" cm="1">
        <f t="array" ref="J4072">_xlfn.IFS(ISBLANK(C4072),"FALTANTE",ABS((C4072-$W$5)/$X$5)&gt;1.96,"ATÍPICO",ABS((C4072-$W$5)/$X$5)&lt;=1.96,"NO ATÍPICO")</f>
        <v>NO ATÍPICO</v>
      </c>
      <c r="K4072" t="str" cm="1">
        <f t="array" ref="K4072">_xlfn.IFS(ISBLANK(I4072),"FALTANTE",ABS((I4072-$W$8)/$X$8)&gt;1.92,"ATÍPICO",ABS((I4072-$W$8)/$X$8)&lt;=1.92,"NO ATÍPICO")</f>
        <v>NO ATÍPICO</v>
      </c>
      <c r="L4072">
        <f t="shared" si="270"/>
        <v>381127</v>
      </c>
      <c r="M4072" t="str">
        <f t="shared" si="270"/>
        <v>ASALARIADO</v>
      </c>
      <c r="N4072">
        <f t="shared" si="271"/>
        <v>21</v>
      </c>
      <c r="O4072" s="19" t="str">
        <f t="shared" si="272"/>
        <v>300k–600k</v>
      </c>
      <c r="P4072" s="19" t="str">
        <f t="shared" si="273"/>
        <v>18-25</v>
      </c>
    </row>
    <row r="4073" spans="1:16" x14ac:dyDescent="0.25">
      <c r="A4073">
        <v>4072</v>
      </c>
      <c r="B4073" t="s">
        <v>9</v>
      </c>
      <c r="C4073">
        <v>674607.4</v>
      </c>
      <c r="D4073" t="s">
        <v>10</v>
      </c>
      <c r="E4073" t="s">
        <v>11</v>
      </c>
      <c r="F4073" t="s">
        <v>12</v>
      </c>
      <c r="G4073" t="s">
        <v>13</v>
      </c>
      <c r="H4073" t="s">
        <v>13</v>
      </c>
      <c r="I4073">
        <v>64</v>
      </c>
      <c r="J4073" t="str" cm="1">
        <f t="array" ref="J4073">_xlfn.IFS(ISBLANK(C4073),"FALTANTE",ABS((C4073-$W$5)/$X$5)&gt;1.96,"ATÍPICO",ABS((C4073-$W$5)/$X$5)&lt;=1.96,"NO ATÍPICO")</f>
        <v>NO ATÍPICO</v>
      </c>
      <c r="K4073" t="str" cm="1">
        <f t="array" ref="K4073">_xlfn.IFS(ISBLANK(I4073),"FALTANTE",ABS((I4073-$W$8)/$X$8)&gt;1.92,"ATÍPICO",ABS((I4073-$W$8)/$X$8)&lt;=1.92,"NO ATÍPICO")</f>
        <v>NO ATÍPICO</v>
      </c>
      <c r="L4073">
        <f t="shared" si="270"/>
        <v>674607.4</v>
      </c>
      <c r="M4073" t="str">
        <f t="shared" si="270"/>
        <v>ASALARIADO</v>
      </c>
      <c r="N4073">
        <f t="shared" si="271"/>
        <v>64</v>
      </c>
      <c r="O4073" s="19" t="str">
        <f t="shared" si="272"/>
        <v>600k–900k</v>
      </c>
      <c r="P4073" s="19" t="str">
        <f t="shared" si="273"/>
        <v>56+</v>
      </c>
    </row>
    <row r="4074" spans="1:16" x14ac:dyDescent="0.25">
      <c r="A4074">
        <v>4073</v>
      </c>
      <c r="B4074" t="s">
        <v>9</v>
      </c>
      <c r="C4074">
        <v>60000</v>
      </c>
      <c r="D4074" t="s">
        <v>10</v>
      </c>
      <c r="E4074" t="s">
        <v>16</v>
      </c>
      <c r="F4074" t="s">
        <v>12</v>
      </c>
      <c r="G4074" t="s">
        <v>13</v>
      </c>
      <c r="H4074" t="s">
        <v>12</v>
      </c>
      <c r="I4074">
        <v>56</v>
      </c>
      <c r="J4074" t="str" cm="1">
        <f t="array" ref="J4074">_xlfn.IFS(ISBLANK(C4074),"FALTANTE",ABS((C4074-$W$5)/$X$5)&gt;1.96,"ATÍPICO",ABS((C4074-$W$5)/$X$5)&lt;=1.96,"NO ATÍPICO")</f>
        <v>NO ATÍPICO</v>
      </c>
      <c r="K4074" t="str" cm="1">
        <f t="array" ref="K4074">_xlfn.IFS(ISBLANK(I4074),"FALTANTE",ABS((I4074-$W$8)/$X$8)&gt;1.92,"ATÍPICO",ABS((I4074-$W$8)/$X$8)&lt;=1.92,"NO ATÍPICO")</f>
        <v>NO ATÍPICO</v>
      </c>
      <c r="L4074">
        <f t="shared" si="270"/>
        <v>60000</v>
      </c>
      <c r="M4074" t="str">
        <f t="shared" si="270"/>
        <v>ASALARIADO</v>
      </c>
      <c r="N4074">
        <f t="shared" si="271"/>
        <v>56</v>
      </c>
      <c r="O4074" s="19" t="str">
        <f t="shared" si="272"/>
        <v>0–300k</v>
      </c>
      <c r="P4074" s="19" t="str">
        <f t="shared" si="273"/>
        <v>56+</v>
      </c>
    </row>
    <row r="4075" spans="1:16" x14ac:dyDescent="0.25">
      <c r="A4075">
        <v>4074</v>
      </c>
      <c r="B4075" t="s">
        <v>9</v>
      </c>
      <c r="C4075">
        <v>278030</v>
      </c>
      <c r="D4075" t="s">
        <v>19</v>
      </c>
      <c r="E4075" t="s">
        <v>16</v>
      </c>
      <c r="F4075" t="s">
        <v>12</v>
      </c>
      <c r="G4075" t="s">
        <v>13</v>
      </c>
      <c r="H4075" t="s">
        <v>13</v>
      </c>
      <c r="I4075">
        <v>62</v>
      </c>
      <c r="J4075" t="str" cm="1">
        <f t="array" ref="J4075">_xlfn.IFS(ISBLANK(C4075),"FALTANTE",ABS((C4075-$W$5)/$X$5)&gt;1.96,"ATÍPICO",ABS((C4075-$W$5)/$X$5)&lt;=1.96,"NO ATÍPICO")</f>
        <v>NO ATÍPICO</v>
      </c>
      <c r="K4075" t="str" cm="1">
        <f t="array" ref="K4075">_xlfn.IFS(ISBLANK(I4075),"FALTANTE",ABS((I4075-$W$8)/$X$8)&gt;1.92,"ATÍPICO",ABS((I4075-$W$8)/$X$8)&lt;=1.92,"NO ATÍPICO")</f>
        <v>NO ATÍPICO</v>
      </c>
      <c r="L4075">
        <f t="shared" si="270"/>
        <v>278030</v>
      </c>
      <c r="M4075" t="str">
        <f t="shared" si="270"/>
        <v>CONVENIOS ESPECIALES DE TRABAJADORES INDEPENDIENTES</v>
      </c>
      <c r="N4075">
        <f t="shared" si="271"/>
        <v>62</v>
      </c>
      <c r="O4075" s="19" t="str">
        <f t="shared" si="272"/>
        <v>0–300k</v>
      </c>
      <c r="P4075" s="19" t="str">
        <f t="shared" si="273"/>
        <v>56+</v>
      </c>
    </row>
    <row r="4076" spans="1:16" x14ac:dyDescent="0.25">
      <c r="A4076">
        <v>4075</v>
      </c>
      <c r="B4076" t="s">
        <v>9</v>
      </c>
      <c r="C4076">
        <v>594092</v>
      </c>
      <c r="D4076" t="s">
        <v>18</v>
      </c>
      <c r="E4076" t="s">
        <v>16</v>
      </c>
      <c r="F4076" t="s">
        <v>12</v>
      </c>
      <c r="G4076" t="s">
        <v>13</v>
      </c>
      <c r="H4076" t="s">
        <v>13</v>
      </c>
      <c r="I4076">
        <v>41</v>
      </c>
      <c r="J4076" t="str" cm="1">
        <f t="array" ref="J4076">_xlfn.IFS(ISBLANK(C4076),"FALTANTE",ABS((C4076-$W$5)/$X$5)&gt;1.96,"ATÍPICO",ABS((C4076-$W$5)/$X$5)&lt;=1.96,"NO ATÍPICO")</f>
        <v>NO ATÍPICO</v>
      </c>
      <c r="K4076" t="str" cm="1">
        <f t="array" ref="K4076">_xlfn.IFS(ISBLANK(I4076),"FALTANTE",ABS((I4076-$W$8)/$X$8)&gt;1.92,"ATÍPICO",ABS((I4076-$W$8)/$X$8)&lt;=1.92,"NO ATÍPICO")</f>
        <v>NO ATÍPICO</v>
      </c>
      <c r="L4076">
        <f t="shared" si="270"/>
        <v>594092</v>
      </c>
      <c r="M4076" t="str">
        <f t="shared" si="270"/>
        <v>TRABAJADOR INDEPENDIENTE</v>
      </c>
      <c r="N4076">
        <f t="shared" si="271"/>
        <v>41</v>
      </c>
      <c r="O4076" s="19" t="str">
        <f t="shared" si="272"/>
        <v>300k–600k</v>
      </c>
      <c r="P4076" s="19" t="str">
        <f t="shared" si="273"/>
        <v>36-45</v>
      </c>
    </row>
    <row r="4077" spans="1:16" x14ac:dyDescent="0.25">
      <c r="A4077">
        <v>4076</v>
      </c>
      <c r="B4077" t="s">
        <v>15</v>
      </c>
      <c r="C4077">
        <v>438521</v>
      </c>
      <c r="D4077" t="s">
        <v>14</v>
      </c>
      <c r="E4077" t="s">
        <v>11</v>
      </c>
      <c r="F4077" t="s">
        <v>12</v>
      </c>
      <c r="G4077" t="s">
        <v>13</v>
      </c>
      <c r="H4077" t="s">
        <v>13</v>
      </c>
      <c r="I4077">
        <v>86</v>
      </c>
      <c r="J4077" t="str" cm="1">
        <f t="array" ref="J4077">_xlfn.IFS(ISBLANK(C4077),"FALTANTE",ABS((C4077-$W$5)/$X$5)&gt;1.96,"ATÍPICO",ABS((C4077-$W$5)/$X$5)&lt;=1.96,"NO ATÍPICO")</f>
        <v>NO ATÍPICO</v>
      </c>
      <c r="K4077" t="str" cm="1">
        <f t="array" ref="K4077">_xlfn.IFS(ISBLANK(I4077),"FALTANTE",ABS((I4077-$W$8)/$X$8)&gt;1.92,"ATÍPICO",ABS((I4077-$W$8)/$X$8)&lt;=1.92,"NO ATÍPICO")</f>
        <v>ATÍPICO</v>
      </c>
      <c r="L4077">
        <f t="shared" si="270"/>
        <v>438521</v>
      </c>
      <c r="M4077" t="str">
        <f t="shared" si="270"/>
        <v>PENSIONADOS EN SU PROPIO SISTEMA</v>
      </c>
      <c r="N4077">
        <f t="shared" si="271"/>
        <v>86</v>
      </c>
      <c r="O4077" s="19" t="str">
        <f t="shared" si="272"/>
        <v>300k–600k</v>
      </c>
      <c r="P4077" s="19" t="str">
        <f t="shared" si="273"/>
        <v>56+</v>
      </c>
    </row>
    <row r="4078" spans="1:16" x14ac:dyDescent="0.25">
      <c r="A4078">
        <v>4077</v>
      </c>
      <c r="B4078" t="s">
        <v>9</v>
      </c>
      <c r="C4078">
        <v>527053.81999999995</v>
      </c>
      <c r="D4078" t="s">
        <v>10</v>
      </c>
      <c r="E4078" t="s">
        <v>16</v>
      </c>
      <c r="F4078" t="s">
        <v>12</v>
      </c>
      <c r="G4078" t="s">
        <v>13</v>
      </c>
      <c r="H4078" t="s">
        <v>13</v>
      </c>
      <c r="I4078">
        <v>40</v>
      </c>
      <c r="J4078" t="str" cm="1">
        <f t="array" ref="J4078">_xlfn.IFS(ISBLANK(C4078),"FALTANTE",ABS((C4078-$W$5)/$X$5)&gt;1.96,"ATÍPICO",ABS((C4078-$W$5)/$X$5)&lt;=1.96,"NO ATÍPICO")</f>
        <v>NO ATÍPICO</v>
      </c>
      <c r="K4078" t="str" cm="1">
        <f t="array" ref="K4078">_xlfn.IFS(ISBLANK(I4078),"FALTANTE",ABS((I4078-$W$8)/$X$8)&gt;1.92,"ATÍPICO",ABS((I4078-$W$8)/$X$8)&lt;=1.92,"NO ATÍPICO")</f>
        <v>NO ATÍPICO</v>
      </c>
      <c r="L4078">
        <f t="shared" si="270"/>
        <v>527053.81999999995</v>
      </c>
      <c r="M4078" t="str">
        <f t="shared" si="270"/>
        <v>ASALARIADO</v>
      </c>
      <c r="N4078">
        <f t="shared" si="271"/>
        <v>40</v>
      </c>
      <c r="O4078" s="19" t="str">
        <f t="shared" si="272"/>
        <v>300k–600k</v>
      </c>
      <c r="P4078" s="19" t="str">
        <f t="shared" si="273"/>
        <v>36-45</v>
      </c>
    </row>
    <row r="4079" spans="1:16" x14ac:dyDescent="0.25">
      <c r="A4079">
        <v>4078</v>
      </c>
      <c r="B4079" t="s">
        <v>15</v>
      </c>
      <c r="C4079">
        <v>528600.52</v>
      </c>
      <c r="D4079" t="s">
        <v>10</v>
      </c>
      <c r="E4079" t="s">
        <v>16</v>
      </c>
      <c r="F4079" t="s">
        <v>12</v>
      </c>
      <c r="G4079" t="s">
        <v>13</v>
      </c>
      <c r="H4079" t="s">
        <v>13</v>
      </c>
      <c r="I4079">
        <v>59</v>
      </c>
      <c r="J4079" t="str" cm="1">
        <f t="array" ref="J4079">_xlfn.IFS(ISBLANK(C4079),"FALTANTE",ABS((C4079-$W$5)/$X$5)&gt;1.96,"ATÍPICO",ABS((C4079-$W$5)/$X$5)&lt;=1.96,"NO ATÍPICO")</f>
        <v>NO ATÍPICO</v>
      </c>
      <c r="K4079" t="str" cm="1">
        <f t="array" ref="K4079">_xlfn.IFS(ISBLANK(I4079),"FALTANTE",ABS((I4079-$W$8)/$X$8)&gt;1.92,"ATÍPICO",ABS((I4079-$W$8)/$X$8)&lt;=1.92,"NO ATÍPICO")</f>
        <v>NO ATÍPICO</v>
      </c>
      <c r="L4079">
        <f t="shared" si="270"/>
        <v>528600.52</v>
      </c>
      <c r="M4079" t="str">
        <f t="shared" si="270"/>
        <v>ASALARIADO</v>
      </c>
      <c r="N4079">
        <f t="shared" si="271"/>
        <v>59</v>
      </c>
      <c r="O4079" s="19" t="str">
        <f t="shared" si="272"/>
        <v>300k–600k</v>
      </c>
      <c r="P4079" s="19" t="str">
        <f t="shared" si="273"/>
        <v>56+</v>
      </c>
    </row>
    <row r="4080" spans="1:16" x14ac:dyDescent="0.25">
      <c r="A4080">
        <v>4079</v>
      </c>
      <c r="B4080" t="s">
        <v>15</v>
      </c>
      <c r="C4080">
        <v>447030.7</v>
      </c>
      <c r="D4080" t="s">
        <v>10</v>
      </c>
      <c r="E4080" t="s">
        <v>11</v>
      </c>
      <c r="F4080" t="s">
        <v>12</v>
      </c>
      <c r="G4080" t="s">
        <v>13</v>
      </c>
      <c r="H4080" t="s">
        <v>13</v>
      </c>
      <c r="I4080">
        <v>29</v>
      </c>
      <c r="J4080" t="str" cm="1">
        <f t="array" ref="J4080">_xlfn.IFS(ISBLANK(C4080),"FALTANTE",ABS((C4080-$W$5)/$X$5)&gt;1.96,"ATÍPICO",ABS((C4080-$W$5)/$X$5)&lt;=1.96,"NO ATÍPICO")</f>
        <v>NO ATÍPICO</v>
      </c>
      <c r="K4080" t="str" cm="1">
        <f t="array" ref="K4080">_xlfn.IFS(ISBLANK(I4080),"FALTANTE",ABS((I4080-$W$8)/$X$8)&gt;1.92,"ATÍPICO",ABS((I4080-$W$8)/$X$8)&lt;=1.92,"NO ATÍPICO")</f>
        <v>NO ATÍPICO</v>
      </c>
      <c r="L4080">
        <f t="shared" si="270"/>
        <v>447030.7</v>
      </c>
      <c r="M4080" t="str">
        <f t="shared" si="270"/>
        <v>ASALARIADO</v>
      </c>
      <c r="N4080">
        <f t="shared" si="271"/>
        <v>29</v>
      </c>
      <c r="O4080" s="19" t="str">
        <f t="shared" si="272"/>
        <v>300k–600k</v>
      </c>
      <c r="P4080" s="19" t="str">
        <f t="shared" si="273"/>
        <v>26-35</v>
      </c>
    </row>
    <row r="4081" spans="1:16" x14ac:dyDescent="0.25">
      <c r="A4081">
        <v>4080</v>
      </c>
      <c r="B4081" t="s">
        <v>9</v>
      </c>
      <c r="C4081">
        <v>67307.199999999997</v>
      </c>
      <c r="D4081" t="s">
        <v>10</v>
      </c>
      <c r="E4081" t="s">
        <v>16</v>
      </c>
      <c r="F4081" t="s">
        <v>12</v>
      </c>
      <c r="G4081" t="s">
        <v>13</v>
      </c>
      <c r="H4081" t="s">
        <v>13</v>
      </c>
      <c r="I4081">
        <v>33</v>
      </c>
      <c r="J4081" t="str" cm="1">
        <f t="array" ref="J4081">_xlfn.IFS(ISBLANK(C4081),"FALTANTE",ABS((C4081-$W$5)/$X$5)&gt;1.96,"ATÍPICO",ABS((C4081-$W$5)/$X$5)&lt;=1.96,"NO ATÍPICO")</f>
        <v>NO ATÍPICO</v>
      </c>
      <c r="K4081" t="str" cm="1">
        <f t="array" ref="K4081">_xlfn.IFS(ISBLANK(I4081),"FALTANTE",ABS((I4081-$W$8)/$X$8)&gt;1.92,"ATÍPICO",ABS((I4081-$W$8)/$X$8)&lt;=1.92,"NO ATÍPICO")</f>
        <v>NO ATÍPICO</v>
      </c>
      <c r="L4081">
        <f t="shared" si="270"/>
        <v>67307.199999999997</v>
      </c>
      <c r="M4081" t="str">
        <f t="shared" si="270"/>
        <v>ASALARIADO</v>
      </c>
      <c r="N4081">
        <f t="shared" si="271"/>
        <v>33</v>
      </c>
      <c r="O4081" s="19" t="str">
        <f t="shared" si="272"/>
        <v>0–300k</v>
      </c>
      <c r="P4081" s="19" t="str">
        <f t="shared" si="273"/>
        <v>26-35</v>
      </c>
    </row>
    <row r="4082" spans="1:16" x14ac:dyDescent="0.25">
      <c r="A4082">
        <v>4081</v>
      </c>
      <c r="B4082" t="s">
        <v>15</v>
      </c>
      <c r="C4082">
        <v>2849858.1</v>
      </c>
      <c r="D4082" t="s">
        <v>10</v>
      </c>
      <c r="E4082" t="s">
        <v>11</v>
      </c>
      <c r="F4082" t="s">
        <v>12</v>
      </c>
      <c r="G4082" t="s">
        <v>13</v>
      </c>
      <c r="H4082" t="s">
        <v>13</v>
      </c>
      <c r="I4082">
        <v>58</v>
      </c>
      <c r="J4082" t="str" cm="1">
        <f t="array" ref="J4082">_xlfn.IFS(ISBLANK(C4082),"FALTANTE",ABS((C4082-$W$5)/$X$5)&gt;1.96,"ATÍPICO",ABS((C4082-$W$5)/$X$5)&lt;=1.96,"NO ATÍPICO")</f>
        <v>ATÍPICO</v>
      </c>
      <c r="K4082" t="str" cm="1">
        <f t="array" ref="K4082">_xlfn.IFS(ISBLANK(I4082),"FALTANTE",ABS((I4082-$W$8)/$X$8)&gt;1.92,"ATÍPICO",ABS((I4082-$W$8)/$X$8)&lt;=1.92,"NO ATÍPICO")</f>
        <v>NO ATÍPICO</v>
      </c>
      <c r="L4082">
        <f t="shared" si="270"/>
        <v>2849858.1</v>
      </c>
      <c r="M4082" t="str">
        <f t="shared" si="270"/>
        <v>ASALARIADO</v>
      </c>
      <c r="N4082">
        <f t="shared" si="271"/>
        <v>58</v>
      </c>
      <c r="O4082" s="19" t="str">
        <f t="shared" si="272"/>
        <v>1200k+</v>
      </c>
      <c r="P4082" s="19" t="str">
        <f t="shared" si="273"/>
        <v>56+</v>
      </c>
    </row>
    <row r="4083" spans="1:16" x14ac:dyDescent="0.25">
      <c r="A4083">
        <v>4082</v>
      </c>
      <c r="B4083" t="s">
        <v>9</v>
      </c>
      <c r="C4083">
        <v>701516.48</v>
      </c>
      <c r="D4083" t="s">
        <v>10</v>
      </c>
      <c r="E4083" t="s">
        <v>16</v>
      </c>
      <c r="F4083" t="s">
        <v>12</v>
      </c>
      <c r="G4083" t="s">
        <v>13</v>
      </c>
      <c r="H4083" t="s">
        <v>13</v>
      </c>
      <c r="I4083">
        <v>38</v>
      </c>
      <c r="J4083" t="str" cm="1">
        <f t="array" ref="J4083">_xlfn.IFS(ISBLANK(C4083),"FALTANTE",ABS((C4083-$W$5)/$X$5)&gt;1.96,"ATÍPICO",ABS((C4083-$W$5)/$X$5)&lt;=1.96,"NO ATÍPICO")</f>
        <v>NO ATÍPICO</v>
      </c>
      <c r="K4083" t="str" cm="1">
        <f t="array" ref="K4083">_xlfn.IFS(ISBLANK(I4083),"FALTANTE",ABS((I4083-$W$8)/$X$8)&gt;1.92,"ATÍPICO",ABS((I4083-$W$8)/$X$8)&lt;=1.92,"NO ATÍPICO")</f>
        <v>NO ATÍPICO</v>
      </c>
      <c r="L4083">
        <f t="shared" si="270"/>
        <v>701516.48</v>
      </c>
      <c r="M4083" t="str">
        <f t="shared" si="270"/>
        <v>ASALARIADO</v>
      </c>
      <c r="N4083">
        <f t="shared" si="271"/>
        <v>38</v>
      </c>
      <c r="O4083" s="19" t="str">
        <f t="shared" si="272"/>
        <v>600k–900k</v>
      </c>
      <c r="P4083" s="19" t="str">
        <f t="shared" si="273"/>
        <v>36-45</v>
      </c>
    </row>
    <row r="4084" spans="1:16" x14ac:dyDescent="0.25">
      <c r="A4084">
        <v>4083</v>
      </c>
      <c r="B4084" t="s">
        <v>9</v>
      </c>
      <c r="C4084">
        <v>278030</v>
      </c>
      <c r="D4084" t="s">
        <v>19</v>
      </c>
      <c r="E4084" t="s">
        <v>16</v>
      </c>
      <c r="F4084" t="s">
        <v>12</v>
      </c>
      <c r="G4084" t="s">
        <v>13</v>
      </c>
      <c r="H4084" t="s">
        <v>13</v>
      </c>
      <c r="I4084">
        <v>49</v>
      </c>
      <c r="J4084" t="str" cm="1">
        <f t="array" ref="J4084">_xlfn.IFS(ISBLANK(C4084),"FALTANTE",ABS((C4084-$W$5)/$X$5)&gt;1.96,"ATÍPICO",ABS((C4084-$W$5)/$X$5)&lt;=1.96,"NO ATÍPICO")</f>
        <v>NO ATÍPICO</v>
      </c>
      <c r="K4084" t="str" cm="1">
        <f t="array" ref="K4084">_xlfn.IFS(ISBLANK(I4084),"FALTANTE",ABS((I4084-$W$8)/$X$8)&gt;1.92,"ATÍPICO",ABS((I4084-$W$8)/$X$8)&lt;=1.92,"NO ATÍPICO")</f>
        <v>NO ATÍPICO</v>
      </c>
      <c r="L4084">
        <f t="shared" si="270"/>
        <v>278030</v>
      </c>
      <c r="M4084" t="str">
        <f t="shared" si="270"/>
        <v>CONVENIOS ESPECIALES DE TRABAJADORES INDEPENDIENTES</v>
      </c>
      <c r="N4084">
        <f t="shared" si="271"/>
        <v>49</v>
      </c>
      <c r="O4084" s="19" t="str">
        <f t="shared" si="272"/>
        <v>0–300k</v>
      </c>
      <c r="P4084" s="19" t="str">
        <f t="shared" si="273"/>
        <v>46-55</v>
      </c>
    </row>
    <row r="4085" spans="1:16" x14ac:dyDescent="0.25">
      <c r="A4085">
        <v>4084</v>
      </c>
      <c r="B4085" t="s">
        <v>9</v>
      </c>
      <c r="C4085">
        <v>114590</v>
      </c>
      <c r="D4085" t="s">
        <v>10</v>
      </c>
      <c r="E4085" t="s">
        <v>16</v>
      </c>
      <c r="F4085" t="s">
        <v>12</v>
      </c>
      <c r="G4085" t="s">
        <v>13</v>
      </c>
      <c r="H4085" t="s">
        <v>13</v>
      </c>
      <c r="I4085">
        <v>40</v>
      </c>
      <c r="J4085" t="str" cm="1">
        <f t="array" ref="J4085">_xlfn.IFS(ISBLANK(C4085),"FALTANTE",ABS((C4085-$W$5)/$X$5)&gt;1.96,"ATÍPICO",ABS((C4085-$W$5)/$X$5)&lt;=1.96,"NO ATÍPICO")</f>
        <v>NO ATÍPICO</v>
      </c>
      <c r="K4085" t="str" cm="1">
        <f t="array" ref="K4085">_xlfn.IFS(ISBLANK(I4085),"FALTANTE",ABS((I4085-$W$8)/$X$8)&gt;1.92,"ATÍPICO",ABS((I4085-$W$8)/$X$8)&lt;=1.92,"NO ATÍPICO")</f>
        <v>NO ATÍPICO</v>
      </c>
      <c r="L4085">
        <f t="shared" si="270"/>
        <v>114590</v>
      </c>
      <c r="M4085" t="str">
        <f t="shared" si="270"/>
        <v>ASALARIADO</v>
      </c>
      <c r="N4085">
        <f t="shared" si="271"/>
        <v>40</v>
      </c>
      <c r="O4085" s="19" t="str">
        <f t="shared" si="272"/>
        <v>0–300k</v>
      </c>
      <c r="P4085" s="19" t="str">
        <f t="shared" si="273"/>
        <v>36-45</v>
      </c>
    </row>
    <row r="4086" spans="1:16" x14ac:dyDescent="0.25">
      <c r="A4086">
        <v>4085</v>
      </c>
      <c r="B4086" t="s">
        <v>15</v>
      </c>
      <c r="C4086">
        <v>586357</v>
      </c>
      <c r="D4086" t="s">
        <v>14</v>
      </c>
      <c r="E4086" t="s">
        <v>11</v>
      </c>
      <c r="F4086" t="s">
        <v>12</v>
      </c>
      <c r="G4086" t="s">
        <v>13</v>
      </c>
      <c r="H4086" t="s">
        <v>13</v>
      </c>
      <c r="I4086">
        <v>87</v>
      </c>
      <c r="J4086" t="str" cm="1">
        <f t="array" ref="J4086">_xlfn.IFS(ISBLANK(C4086),"FALTANTE",ABS((C4086-$W$5)/$X$5)&gt;1.96,"ATÍPICO",ABS((C4086-$W$5)/$X$5)&lt;=1.96,"NO ATÍPICO")</f>
        <v>NO ATÍPICO</v>
      </c>
      <c r="K4086" t="str" cm="1">
        <f t="array" ref="K4086">_xlfn.IFS(ISBLANK(I4086),"FALTANTE",ABS((I4086-$W$8)/$X$8)&gt;1.92,"ATÍPICO",ABS((I4086-$W$8)/$X$8)&lt;=1.92,"NO ATÍPICO")</f>
        <v>ATÍPICO</v>
      </c>
      <c r="L4086">
        <f t="shared" si="270"/>
        <v>586357</v>
      </c>
      <c r="M4086" t="str">
        <f t="shared" si="270"/>
        <v>PENSIONADOS EN SU PROPIO SISTEMA</v>
      </c>
      <c r="N4086">
        <f t="shared" si="271"/>
        <v>87</v>
      </c>
      <c r="O4086" s="19" t="str">
        <f t="shared" si="272"/>
        <v>300k–600k</v>
      </c>
      <c r="P4086" s="19" t="str">
        <f t="shared" si="273"/>
        <v>56+</v>
      </c>
    </row>
    <row r="4087" spans="1:16" x14ac:dyDescent="0.25">
      <c r="A4087">
        <v>4086</v>
      </c>
      <c r="B4087" t="s">
        <v>15</v>
      </c>
      <c r="C4087">
        <v>41860.550000000003</v>
      </c>
      <c r="D4087" t="s">
        <v>10</v>
      </c>
      <c r="E4087" t="s">
        <v>16</v>
      </c>
      <c r="F4087" t="s">
        <v>12</v>
      </c>
      <c r="G4087" t="s">
        <v>12</v>
      </c>
      <c r="H4087" t="s">
        <v>13</v>
      </c>
      <c r="I4087">
        <v>39</v>
      </c>
      <c r="J4087" t="str" cm="1">
        <f t="array" ref="J4087">_xlfn.IFS(ISBLANK(C4087),"FALTANTE",ABS((C4087-$W$5)/$X$5)&gt;1.96,"ATÍPICO",ABS((C4087-$W$5)/$X$5)&lt;=1.96,"NO ATÍPICO")</f>
        <v>NO ATÍPICO</v>
      </c>
      <c r="K4087" t="str" cm="1">
        <f t="array" ref="K4087">_xlfn.IFS(ISBLANK(I4087),"FALTANTE",ABS((I4087-$W$8)/$X$8)&gt;1.92,"ATÍPICO",ABS((I4087-$W$8)/$X$8)&lt;=1.92,"NO ATÍPICO")</f>
        <v>NO ATÍPICO</v>
      </c>
      <c r="L4087">
        <f t="shared" si="270"/>
        <v>41860.550000000003</v>
      </c>
      <c r="M4087" t="str">
        <f t="shared" si="270"/>
        <v>ASALARIADO</v>
      </c>
      <c r="N4087">
        <f t="shared" si="271"/>
        <v>39</v>
      </c>
      <c r="O4087" s="19" t="str">
        <f t="shared" si="272"/>
        <v>0–300k</v>
      </c>
      <c r="P4087" s="19" t="str">
        <f t="shared" si="273"/>
        <v>36-45</v>
      </c>
    </row>
    <row r="4088" spans="1:16" x14ac:dyDescent="0.25">
      <c r="A4088">
        <v>4087</v>
      </c>
      <c r="B4088" t="s">
        <v>9</v>
      </c>
      <c r="C4088">
        <v>385000</v>
      </c>
      <c r="D4088" t="s">
        <v>10</v>
      </c>
      <c r="E4088" t="s">
        <v>16</v>
      </c>
      <c r="F4088" t="s">
        <v>12</v>
      </c>
      <c r="G4088" t="s">
        <v>13</v>
      </c>
      <c r="H4088" t="s">
        <v>13</v>
      </c>
      <c r="I4088">
        <v>46</v>
      </c>
      <c r="J4088" t="str" cm="1">
        <f t="array" ref="J4088">_xlfn.IFS(ISBLANK(C4088),"FALTANTE",ABS((C4088-$W$5)/$X$5)&gt;1.96,"ATÍPICO",ABS((C4088-$W$5)/$X$5)&lt;=1.96,"NO ATÍPICO")</f>
        <v>NO ATÍPICO</v>
      </c>
      <c r="K4088" t="str" cm="1">
        <f t="array" ref="K4088">_xlfn.IFS(ISBLANK(I4088),"FALTANTE",ABS((I4088-$W$8)/$X$8)&gt;1.92,"ATÍPICO",ABS((I4088-$W$8)/$X$8)&lt;=1.92,"NO ATÍPICO")</f>
        <v>NO ATÍPICO</v>
      </c>
      <c r="L4088">
        <f t="shared" si="270"/>
        <v>385000</v>
      </c>
      <c r="M4088" t="str">
        <f t="shared" si="270"/>
        <v>ASALARIADO</v>
      </c>
      <c r="N4088">
        <f t="shared" si="271"/>
        <v>46</v>
      </c>
      <c r="O4088" s="19" t="str">
        <f t="shared" si="272"/>
        <v>300k–600k</v>
      </c>
      <c r="P4088" s="19" t="str">
        <f t="shared" si="273"/>
        <v>46-55</v>
      </c>
    </row>
    <row r="4089" spans="1:16" x14ac:dyDescent="0.25">
      <c r="A4089">
        <v>4088</v>
      </c>
      <c r="B4089" t="s">
        <v>9</v>
      </c>
      <c r="C4089">
        <v>373320</v>
      </c>
      <c r="D4089" t="s">
        <v>10</v>
      </c>
      <c r="E4089" t="s">
        <v>16</v>
      </c>
      <c r="F4089" t="s">
        <v>12</v>
      </c>
      <c r="G4089" t="s">
        <v>13</v>
      </c>
      <c r="H4089" t="s">
        <v>13</v>
      </c>
      <c r="I4089">
        <v>47</v>
      </c>
      <c r="J4089" t="str" cm="1">
        <f t="array" ref="J4089">_xlfn.IFS(ISBLANK(C4089),"FALTANTE",ABS((C4089-$W$5)/$X$5)&gt;1.96,"ATÍPICO",ABS((C4089-$W$5)/$X$5)&lt;=1.96,"NO ATÍPICO")</f>
        <v>NO ATÍPICO</v>
      </c>
      <c r="K4089" t="str" cm="1">
        <f t="array" ref="K4089">_xlfn.IFS(ISBLANK(I4089),"FALTANTE",ABS((I4089-$W$8)/$X$8)&gt;1.92,"ATÍPICO",ABS((I4089-$W$8)/$X$8)&lt;=1.92,"NO ATÍPICO")</f>
        <v>NO ATÍPICO</v>
      </c>
      <c r="L4089">
        <f t="shared" si="270"/>
        <v>373320</v>
      </c>
      <c r="M4089" t="str">
        <f t="shared" si="270"/>
        <v>ASALARIADO</v>
      </c>
      <c r="N4089">
        <f t="shared" si="271"/>
        <v>47</v>
      </c>
      <c r="O4089" s="19" t="str">
        <f t="shared" si="272"/>
        <v>300k–600k</v>
      </c>
      <c r="P4089" s="19" t="str">
        <f t="shared" si="273"/>
        <v>46-55</v>
      </c>
    </row>
    <row r="4090" spans="1:16" x14ac:dyDescent="0.25">
      <c r="A4090">
        <v>4089</v>
      </c>
      <c r="B4090" t="s">
        <v>9</v>
      </c>
      <c r="C4090">
        <v>356455</v>
      </c>
      <c r="D4090" t="s">
        <v>18</v>
      </c>
      <c r="E4090" t="s">
        <v>16</v>
      </c>
      <c r="F4090" t="s">
        <v>12</v>
      </c>
      <c r="G4090" t="s">
        <v>13</v>
      </c>
      <c r="H4090" t="s">
        <v>12</v>
      </c>
      <c r="I4090">
        <v>50</v>
      </c>
      <c r="J4090" t="str" cm="1">
        <f t="array" ref="J4090">_xlfn.IFS(ISBLANK(C4090),"FALTANTE",ABS((C4090-$W$5)/$X$5)&gt;1.96,"ATÍPICO",ABS((C4090-$W$5)/$X$5)&lt;=1.96,"NO ATÍPICO")</f>
        <v>NO ATÍPICO</v>
      </c>
      <c r="K4090" t="str" cm="1">
        <f t="array" ref="K4090">_xlfn.IFS(ISBLANK(I4090),"FALTANTE",ABS((I4090-$W$8)/$X$8)&gt;1.92,"ATÍPICO",ABS((I4090-$W$8)/$X$8)&lt;=1.92,"NO ATÍPICO")</f>
        <v>NO ATÍPICO</v>
      </c>
      <c r="L4090">
        <f t="shared" si="270"/>
        <v>356455</v>
      </c>
      <c r="M4090" t="str">
        <f t="shared" si="270"/>
        <v>TRABAJADOR INDEPENDIENTE</v>
      </c>
      <c r="N4090">
        <f t="shared" si="271"/>
        <v>50</v>
      </c>
      <c r="O4090" s="19" t="str">
        <f t="shared" si="272"/>
        <v>300k–600k</v>
      </c>
      <c r="P4090" s="19" t="str">
        <f t="shared" si="273"/>
        <v>46-55</v>
      </c>
    </row>
    <row r="4091" spans="1:16" x14ac:dyDescent="0.25">
      <c r="A4091">
        <v>4090</v>
      </c>
      <c r="B4091" t="s">
        <v>15</v>
      </c>
      <c r="C4091">
        <v>383932.5</v>
      </c>
      <c r="D4091" t="s">
        <v>10</v>
      </c>
      <c r="E4091" t="s">
        <v>16</v>
      </c>
      <c r="F4091" t="s">
        <v>12</v>
      </c>
      <c r="G4091" t="s">
        <v>13</v>
      </c>
      <c r="H4091" t="s">
        <v>13</v>
      </c>
      <c r="I4091">
        <v>27</v>
      </c>
      <c r="J4091" t="str" cm="1">
        <f t="array" ref="J4091">_xlfn.IFS(ISBLANK(C4091),"FALTANTE",ABS((C4091-$W$5)/$X$5)&gt;1.96,"ATÍPICO",ABS((C4091-$W$5)/$X$5)&lt;=1.96,"NO ATÍPICO")</f>
        <v>NO ATÍPICO</v>
      </c>
      <c r="K4091" t="str" cm="1">
        <f t="array" ref="K4091">_xlfn.IFS(ISBLANK(I4091),"FALTANTE",ABS((I4091-$W$8)/$X$8)&gt;1.92,"ATÍPICO",ABS((I4091-$W$8)/$X$8)&lt;=1.92,"NO ATÍPICO")</f>
        <v>NO ATÍPICO</v>
      </c>
      <c r="L4091">
        <f t="shared" si="270"/>
        <v>383932.5</v>
      </c>
      <c r="M4091" t="str">
        <f t="shared" si="270"/>
        <v>ASALARIADO</v>
      </c>
      <c r="N4091">
        <f t="shared" si="271"/>
        <v>27</v>
      </c>
      <c r="O4091" s="19" t="str">
        <f t="shared" si="272"/>
        <v>300k–600k</v>
      </c>
      <c r="P4091" s="19" t="str">
        <f t="shared" si="273"/>
        <v>26-35</v>
      </c>
    </row>
    <row r="4092" spans="1:16" x14ac:dyDescent="0.25">
      <c r="A4092">
        <v>4091</v>
      </c>
      <c r="B4092" t="s">
        <v>15</v>
      </c>
      <c r="C4092">
        <v>432394.93</v>
      </c>
      <c r="D4092" t="s">
        <v>10</v>
      </c>
      <c r="E4092" t="s">
        <v>16</v>
      </c>
      <c r="F4092" t="s">
        <v>12</v>
      </c>
      <c r="G4092" t="s">
        <v>13</v>
      </c>
      <c r="H4092" t="s">
        <v>13</v>
      </c>
      <c r="I4092">
        <v>25</v>
      </c>
      <c r="J4092" t="str" cm="1">
        <f t="array" ref="J4092">_xlfn.IFS(ISBLANK(C4092),"FALTANTE",ABS((C4092-$W$5)/$X$5)&gt;1.96,"ATÍPICO",ABS((C4092-$W$5)/$X$5)&lt;=1.96,"NO ATÍPICO")</f>
        <v>NO ATÍPICO</v>
      </c>
      <c r="K4092" t="str" cm="1">
        <f t="array" ref="K4092">_xlfn.IFS(ISBLANK(I4092),"FALTANTE",ABS((I4092-$W$8)/$X$8)&gt;1.92,"ATÍPICO",ABS((I4092-$W$8)/$X$8)&lt;=1.92,"NO ATÍPICO")</f>
        <v>NO ATÍPICO</v>
      </c>
      <c r="L4092">
        <f t="shared" si="270"/>
        <v>432394.93</v>
      </c>
      <c r="M4092" t="str">
        <f t="shared" si="270"/>
        <v>ASALARIADO</v>
      </c>
      <c r="N4092">
        <f t="shared" si="271"/>
        <v>25</v>
      </c>
      <c r="O4092" s="19" t="str">
        <f t="shared" si="272"/>
        <v>300k–600k</v>
      </c>
      <c r="P4092" s="19" t="str">
        <f t="shared" si="273"/>
        <v>18-25</v>
      </c>
    </row>
    <row r="4093" spans="1:16" x14ac:dyDescent="0.25">
      <c r="A4093">
        <v>4092</v>
      </c>
      <c r="B4093" t="s">
        <v>15</v>
      </c>
      <c r="C4093">
        <v>347675</v>
      </c>
      <c r="D4093" t="s">
        <v>10</v>
      </c>
      <c r="E4093" t="s">
        <v>16</v>
      </c>
      <c r="F4093" t="s">
        <v>12</v>
      </c>
      <c r="G4093" t="s">
        <v>13</v>
      </c>
      <c r="H4093" t="s">
        <v>13</v>
      </c>
      <c r="I4093">
        <v>36</v>
      </c>
      <c r="J4093" t="str" cm="1">
        <f t="array" ref="J4093">_xlfn.IFS(ISBLANK(C4093),"FALTANTE",ABS((C4093-$W$5)/$X$5)&gt;1.96,"ATÍPICO",ABS((C4093-$W$5)/$X$5)&lt;=1.96,"NO ATÍPICO")</f>
        <v>NO ATÍPICO</v>
      </c>
      <c r="K4093" t="str" cm="1">
        <f t="array" ref="K4093">_xlfn.IFS(ISBLANK(I4093),"FALTANTE",ABS((I4093-$W$8)/$X$8)&gt;1.92,"ATÍPICO",ABS((I4093-$W$8)/$X$8)&lt;=1.92,"NO ATÍPICO")</f>
        <v>NO ATÍPICO</v>
      </c>
      <c r="L4093">
        <f t="shared" si="270"/>
        <v>347675</v>
      </c>
      <c r="M4093" t="str">
        <f t="shared" si="270"/>
        <v>ASALARIADO</v>
      </c>
      <c r="N4093">
        <f t="shared" si="271"/>
        <v>36</v>
      </c>
      <c r="O4093" s="19" t="str">
        <f t="shared" si="272"/>
        <v>300k–600k</v>
      </c>
      <c r="P4093" s="19" t="str">
        <f t="shared" si="273"/>
        <v>36-45</v>
      </c>
    </row>
    <row r="4094" spans="1:16" x14ac:dyDescent="0.25">
      <c r="A4094">
        <v>4093</v>
      </c>
      <c r="B4094" t="s">
        <v>15</v>
      </c>
      <c r="C4094">
        <v>297045</v>
      </c>
      <c r="D4094" t="s">
        <v>17</v>
      </c>
      <c r="E4094" t="s">
        <v>16</v>
      </c>
      <c r="F4094" t="s">
        <v>12</v>
      </c>
      <c r="G4094" t="s">
        <v>12</v>
      </c>
      <c r="H4094" t="s">
        <v>13</v>
      </c>
      <c r="I4094">
        <v>39</v>
      </c>
      <c r="J4094" t="str" cm="1">
        <f t="array" ref="J4094">_xlfn.IFS(ISBLANK(C4094),"FALTANTE",ABS((C4094-$W$5)/$X$5)&gt;1.96,"ATÍPICO",ABS((C4094-$W$5)/$X$5)&lt;=1.96,"NO ATÍPICO")</f>
        <v>NO ATÍPICO</v>
      </c>
      <c r="K4094" t="str" cm="1">
        <f t="array" ref="K4094">_xlfn.IFS(ISBLANK(I4094),"FALTANTE",ABS((I4094-$W$8)/$X$8)&gt;1.92,"ATÍPICO",ABS((I4094-$W$8)/$X$8)&lt;=1.92,"NO ATÍPICO")</f>
        <v>NO ATÍPICO</v>
      </c>
      <c r="L4094">
        <f t="shared" si="270"/>
        <v>297045</v>
      </c>
      <c r="M4094" t="str">
        <f t="shared" si="270"/>
        <v>ASEGURADO VOLUNTARIO</v>
      </c>
      <c r="N4094">
        <f t="shared" si="271"/>
        <v>39</v>
      </c>
      <c r="O4094" s="19" t="str">
        <f t="shared" si="272"/>
        <v>0–300k</v>
      </c>
      <c r="P4094" s="19" t="str">
        <f t="shared" si="273"/>
        <v>36-45</v>
      </c>
    </row>
    <row r="4095" spans="1:16" x14ac:dyDescent="0.25">
      <c r="A4095">
        <v>4094</v>
      </c>
      <c r="B4095" t="s">
        <v>9</v>
      </c>
      <c r="C4095">
        <v>305704</v>
      </c>
      <c r="D4095" t="s">
        <v>17</v>
      </c>
      <c r="E4095" t="s">
        <v>16</v>
      </c>
      <c r="F4095" t="s">
        <v>12</v>
      </c>
      <c r="G4095" t="s">
        <v>13</v>
      </c>
      <c r="H4095" t="s">
        <v>13</v>
      </c>
      <c r="I4095">
        <v>34</v>
      </c>
      <c r="J4095" t="str" cm="1">
        <f t="array" ref="J4095">_xlfn.IFS(ISBLANK(C4095),"FALTANTE",ABS((C4095-$W$5)/$X$5)&gt;1.96,"ATÍPICO",ABS((C4095-$W$5)/$X$5)&lt;=1.96,"NO ATÍPICO")</f>
        <v>NO ATÍPICO</v>
      </c>
      <c r="K4095" t="str" cm="1">
        <f t="array" ref="K4095">_xlfn.IFS(ISBLANK(I4095),"FALTANTE",ABS((I4095-$W$8)/$X$8)&gt;1.92,"ATÍPICO",ABS((I4095-$W$8)/$X$8)&lt;=1.92,"NO ATÍPICO")</f>
        <v>NO ATÍPICO</v>
      </c>
      <c r="L4095">
        <f t="shared" si="270"/>
        <v>305704</v>
      </c>
      <c r="M4095" t="str">
        <f t="shared" si="270"/>
        <v>ASEGURADO VOLUNTARIO</v>
      </c>
      <c r="N4095">
        <f t="shared" si="271"/>
        <v>34</v>
      </c>
      <c r="O4095" s="19" t="str">
        <f t="shared" si="272"/>
        <v>300k–600k</v>
      </c>
      <c r="P4095" s="19" t="str">
        <f t="shared" si="273"/>
        <v>26-35</v>
      </c>
    </row>
    <row r="4096" spans="1:16" x14ac:dyDescent="0.25">
      <c r="A4096">
        <v>4095</v>
      </c>
      <c r="B4096" t="s">
        <v>9</v>
      </c>
      <c r="C4096">
        <v>2586422</v>
      </c>
      <c r="D4096" t="s">
        <v>10</v>
      </c>
      <c r="E4096" t="s">
        <v>11</v>
      </c>
      <c r="F4096" t="s">
        <v>12</v>
      </c>
      <c r="G4096" t="s">
        <v>13</v>
      </c>
      <c r="H4096" t="s">
        <v>13</v>
      </c>
      <c r="I4096">
        <v>43</v>
      </c>
      <c r="J4096" t="str" cm="1">
        <f t="array" ref="J4096">_xlfn.IFS(ISBLANK(C4096),"FALTANTE",ABS((C4096-$W$5)/$X$5)&gt;1.96,"ATÍPICO",ABS((C4096-$W$5)/$X$5)&lt;=1.96,"NO ATÍPICO")</f>
        <v>ATÍPICO</v>
      </c>
      <c r="K4096" t="str" cm="1">
        <f t="array" ref="K4096">_xlfn.IFS(ISBLANK(I4096),"FALTANTE",ABS((I4096-$W$8)/$X$8)&gt;1.92,"ATÍPICO",ABS((I4096-$W$8)/$X$8)&lt;=1.92,"NO ATÍPICO")</f>
        <v>NO ATÍPICO</v>
      </c>
      <c r="L4096">
        <f t="shared" si="270"/>
        <v>2586422</v>
      </c>
      <c r="M4096" t="str">
        <f t="shared" si="270"/>
        <v>ASALARIADO</v>
      </c>
      <c r="N4096">
        <f t="shared" si="271"/>
        <v>43</v>
      </c>
      <c r="O4096" s="19" t="str">
        <f t="shared" si="272"/>
        <v>1200k+</v>
      </c>
      <c r="P4096" s="19" t="str">
        <f t="shared" si="273"/>
        <v>36-45</v>
      </c>
    </row>
    <row r="4097" spans="1:16" x14ac:dyDescent="0.25">
      <c r="A4097">
        <v>4096</v>
      </c>
      <c r="B4097" t="s">
        <v>9</v>
      </c>
      <c r="C4097">
        <v>106000</v>
      </c>
      <c r="D4097" t="s">
        <v>10</v>
      </c>
      <c r="E4097" t="s">
        <v>16</v>
      </c>
      <c r="F4097" t="s">
        <v>12</v>
      </c>
      <c r="G4097" t="s">
        <v>13</v>
      </c>
      <c r="H4097" t="s">
        <v>13</v>
      </c>
      <c r="I4097">
        <v>22</v>
      </c>
      <c r="J4097" t="str" cm="1">
        <f t="array" ref="J4097">_xlfn.IFS(ISBLANK(C4097),"FALTANTE",ABS((C4097-$W$5)/$X$5)&gt;1.96,"ATÍPICO",ABS((C4097-$W$5)/$X$5)&lt;=1.96,"NO ATÍPICO")</f>
        <v>NO ATÍPICO</v>
      </c>
      <c r="K4097" t="str" cm="1">
        <f t="array" ref="K4097">_xlfn.IFS(ISBLANK(I4097),"FALTANTE",ABS((I4097-$W$8)/$X$8)&gt;1.92,"ATÍPICO",ABS((I4097-$W$8)/$X$8)&lt;=1.92,"NO ATÍPICO")</f>
        <v>NO ATÍPICO</v>
      </c>
      <c r="L4097">
        <f t="shared" si="270"/>
        <v>106000</v>
      </c>
      <c r="M4097" t="str">
        <f t="shared" si="270"/>
        <v>ASALARIADO</v>
      </c>
      <c r="N4097">
        <f t="shared" si="271"/>
        <v>22</v>
      </c>
      <c r="O4097" s="19" t="str">
        <f t="shared" si="272"/>
        <v>0–300k</v>
      </c>
      <c r="P4097" s="19" t="str">
        <f t="shared" si="273"/>
        <v>18-25</v>
      </c>
    </row>
    <row r="4098" spans="1:16" x14ac:dyDescent="0.25">
      <c r="A4098">
        <v>4097</v>
      </c>
      <c r="B4098" t="s">
        <v>15</v>
      </c>
      <c r="C4098">
        <v>201666.67</v>
      </c>
      <c r="D4098" t="s">
        <v>10</v>
      </c>
      <c r="E4098" t="s">
        <v>16</v>
      </c>
      <c r="F4098" t="s">
        <v>12</v>
      </c>
      <c r="G4098" t="s">
        <v>12</v>
      </c>
      <c r="H4098" t="s">
        <v>13</v>
      </c>
      <c r="I4098">
        <v>49</v>
      </c>
      <c r="J4098" t="str" cm="1">
        <f t="array" ref="J4098">_xlfn.IFS(ISBLANK(C4098),"FALTANTE",ABS((C4098-$W$5)/$X$5)&gt;1.96,"ATÍPICO",ABS((C4098-$W$5)/$X$5)&lt;=1.96,"NO ATÍPICO")</f>
        <v>NO ATÍPICO</v>
      </c>
      <c r="K4098" t="str" cm="1">
        <f t="array" ref="K4098">_xlfn.IFS(ISBLANK(I4098),"FALTANTE",ABS((I4098-$W$8)/$X$8)&gt;1.92,"ATÍPICO",ABS((I4098-$W$8)/$X$8)&lt;=1.92,"NO ATÍPICO")</f>
        <v>NO ATÍPICO</v>
      </c>
      <c r="L4098">
        <f t="shared" ref="L4098:M4161" si="274">C4098</f>
        <v>201666.67</v>
      </c>
      <c r="M4098" t="str">
        <f t="shared" si="274"/>
        <v>ASALARIADO</v>
      </c>
      <c r="N4098">
        <f t="shared" ref="N4098:N4161" si="275">I4098</f>
        <v>49</v>
      </c>
      <c r="O4098" s="19" t="str">
        <f t="shared" ref="O4098:O4161" si="276">IF(L4098&lt;=300000,"0–300k",IF(L4098&lt;=600000,"300k–600k",IF(L4098&lt;=900000,"600k–900k",IF(L4098&lt;=1200000,"900k–1200k","1200k+"))))</f>
        <v>0–300k</v>
      </c>
      <c r="P4098" s="19" t="str">
        <f t="shared" ref="P4098:P4161" si="277">IF(N4098 &lt;=25,"18-25", IF(N4098&lt;=35,"26-35", IF(N4098 &lt;=45,"36-45", IF(N4098&lt;=55,"46-55","56+"))))</f>
        <v>46-55</v>
      </c>
    </row>
    <row r="4099" spans="1:16" x14ac:dyDescent="0.25">
      <c r="A4099">
        <v>4098</v>
      </c>
      <c r="B4099" t="s">
        <v>15</v>
      </c>
      <c r="C4099">
        <v>523886</v>
      </c>
      <c r="D4099" t="s">
        <v>18</v>
      </c>
      <c r="E4099" t="s">
        <v>16</v>
      </c>
      <c r="F4099" t="s">
        <v>12</v>
      </c>
      <c r="G4099" t="s">
        <v>13</v>
      </c>
      <c r="H4099" t="s">
        <v>13</v>
      </c>
      <c r="I4099">
        <v>23</v>
      </c>
      <c r="J4099" t="str" cm="1">
        <f t="array" ref="J4099">_xlfn.IFS(ISBLANK(C4099),"FALTANTE",ABS((C4099-$W$5)/$X$5)&gt;1.96,"ATÍPICO",ABS((C4099-$W$5)/$X$5)&lt;=1.96,"NO ATÍPICO")</f>
        <v>NO ATÍPICO</v>
      </c>
      <c r="K4099" t="str" cm="1">
        <f t="array" ref="K4099">_xlfn.IFS(ISBLANK(I4099),"FALTANTE",ABS((I4099-$W$8)/$X$8)&gt;1.92,"ATÍPICO",ABS((I4099-$W$8)/$X$8)&lt;=1.92,"NO ATÍPICO")</f>
        <v>NO ATÍPICO</v>
      </c>
      <c r="L4099">
        <f t="shared" si="274"/>
        <v>523886</v>
      </c>
      <c r="M4099" t="str">
        <f t="shared" si="274"/>
        <v>TRABAJADOR INDEPENDIENTE</v>
      </c>
      <c r="N4099">
        <f t="shared" si="275"/>
        <v>23</v>
      </c>
      <c r="O4099" s="19" t="str">
        <f t="shared" si="276"/>
        <v>300k–600k</v>
      </c>
      <c r="P4099" s="19" t="str">
        <f t="shared" si="277"/>
        <v>18-25</v>
      </c>
    </row>
    <row r="4100" spans="1:16" x14ac:dyDescent="0.25">
      <c r="A4100">
        <v>4099</v>
      </c>
      <c r="B4100" t="s">
        <v>15</v>
      </c>
      <c r="C4100">
        <v>329720</v>
      </c>
      <c r="D4100" t="s">
        <v>17</v>
      </c>
      <c r="E4100" t="s">
        <v>16</v>
      </c>
      <c r="F4100" t="s">
        <v>12</v>
      </c>
      <c r="G4100" t="s">
        <v>12</v>
      </c>
      <c r="H4100" t="s">
        <v>13</v>
      </c>
      <c r="I4100">
        <v>64</v>
      </c>
      <c r="J4100" t="str" cm="1">
        <f t="array" ref="J4100">_xlfn.IFS(ISBLANK(C4100),"FALTANTE",ABS((C4100-$W$5)/$X$5)&gt;1.96,"ATÍPICO",ABS((C4100-$W$5)/$X$5)&lt;=1.96,"NO ATÍPICO")</f>
        <v>NO ATÍPICO</v>
      </c>
      <c r="K4100" t="str" cm="1">
        <f t="array" ref="K4100">_xlfn.IFS(ISBLANK(I4100),"FALTANTE",ABS((I4100-$W$8)/$X$8)&gt;1.92,"ATÍPICO",ABS((I4100-$W$8)/$X$8)&lt;=1.92,"NO ATÍPICO")</f>
        <v>NO ATÍPICO</v>
      </c>
      <c r="L4100">
        <f t="shared" si="274"/>
        <v>329720</v>
      </c>
      <c r="M4100" t="str">
        <f t="shared" si="274"/>
        <v>ASEGURADO VOLUNTARIO</v>
      </c>
      <c r="N4100">
        <f t="shared" si="275"/>
        <v>64</v>
      </c>
      <c r="O4100" s="19" t="str">
        <f t="shared" si="276"/>
        <v>300k–600k</v>
      </c>
      <c r="P4100" s="19" t="str">
        <f t="shared" si="277"/>
        <v>56+</v>
      </c>
    </row>
    <row r="4101" spans="1:16" x14ac:dyDescent="0.25">
      <c r="A4101">
        <v>4100</v>
      </c>
      <c r="B4101" t="s">
        <v>9</v>
      </c>
      <c r="C4101">
        <v>623672</v>
      </c>
      <c r="D4101" t="s">
        <v>10</v>
      </c>
      <c r="E4101" t="s">
        <v>16</v>
      </c>
      <c r="F4101" t="s">
        <v>12</v>
      </c>
      <c r="G4101" t="s">
        <v>13</v>
      </c>
      <c r="H4101" t="s">
        <v>13</v>
      </c>
      <c r="I4101">
        <v>51</v>
      </c>
      <c r="J4101" t="str" cm="1">
        <f t="array" ref="J4101">_xlfn.IFS(ISBLANK(C4101),"FALTANTE",ABS((C4101-$W$5)/$X$5)&gt;1.96,"ATÍPICO",ABS((C4101-$W$5)/$X$5)&lt;=1.96,"NO ATÍPICO")</f>
        <v>NO ATÍPICO</v>
      </c>
      <c r="K4101" t="str" cm="1">
        <f t="array" ref="K4101">_xlfn.IFS(ISBLANK(I4101),"FALTANTE",ABS((I4101-$W$8)/$X$8)&gt;1.92,"ATÍPICO",ABS((I4101-$W$8)/$X$8)&lt;=1.92,"NO ATÍPICO")</f>
        <v>NO ATÍPICO</v>
      </c>
      <c r="L4101">
        <f t="shared" si="274"/>
        <v>623672</v>
      </c>
      <c r="M4101" t="str">
        <f t="shared" si="274"/>
        <v>ASALARIADO</v>
      </c>
      <c r="N4101">
        <f t="shared" si="275"/>
        <v>51</v>
      </c>
      <c r="O4101" s="19" t="str">
        <f t="shared" si="276"/>
        <v>600k–900k</v>
      </c>
      <c r="P4101" s="19" t="str">
        <f t="shared" si="277"/>
        <v>46-55</v>
      </c>
    </row>
    <row r="4102" spans="1:16" x14ac:dyDescent="0.25">
      <c r="A4102">
        <v>4101</v>
      </c>
      <c r="B4102" t="s">
        <v>15</v>
      </c>
      <c r="C4102">
        <v>2389642.9</v>
      </c>
      <c r="D4102" t="s">
        <v>14</v>
      </c>
      <c r="E4102" t="s">
        <v>11</v>
      </c>
      <c r="F4102" t="s">
        <v>12</v>
      </c>
      <c r="G4102" t="s">
        <v>13</v>
      </c>
      <c r="H4102" t="s">
        <v>13</v>
      </c>
      <c r="I4102">
        <v>85</v>
      </c>
      <c r="J4102" t="str" cm="1">
        <f t="array" ref="J4102">_xlfn.IFS(ISBLANK(C4102),"FALTANTE",ABS((C4102-$W$5)/$X$5)&gt;1.96,"ATÍPICO",ABS((C4102-$W$5)/$X$5)&lt;=1.96,"NO ATÍPICO")</f>
        <v>ATÍPICO</v>
      </c>
      <c r="K4102" t="str" cm="1">
        <f t="array" ref="K4102">_xlfn.IFS(ISBLANK(I4102),"FALTANTE",ABS((I4102-$W$8)/$X$8)&gt;1.92,"ATÍPICO",ABS((I4102-$W$8)/$X$8)&lt;=1.92,"NO ATÍPICO")</f>
        <v>ATÍPICO</v>
      </c>
      <c r="L4102">
        <f t="shared" si="274"/>
        <v>2389642.9</v>
      </c>
      <c r="M4102" t="str">
        <f t="shared" si="274"/>
        <v>PENSIONADOS EN SU PROPIO SISTEMA</v>
      </c>
      <c r="N4102">
        <f t="shared" si="275"/>
        <v>85</v>
      </c>
      <c r="O4102" s="19" t="str">
        <f t="shared" si="276"/>
        <v>1200k+</v>
      </c>
      <c r="P4102" s="19" t="str">
        <f t="shared" si="277"/>
        <v>56+</v>
      </c>
    </row>
    <row r="4103" spans="1:16" x14ac:dyDescent="0.25">
      <c r="A4103">
        <v>4102</v>
      </c>
      <c r="B4103" t="s">
        <v>9</v>
      </c>
      <c r="C4103">
        <v>322916.59999999998</v>
      </c>
      <c r="D4103" t="s">
        <v>10</v>
      </c>
      <c r="E4103" t="s">
        <v>16</v>
      </c>
      <c r="F4103" t="s">
        <v>12</v>
      </c>
      <c r="G4103" t="s">
        <v>13</v>
      </c>
      <c r="H4103" t="s">
        <v>12</v>
      </c>
      <c r="I4103">
        <v>39</v>
      </c>
      <c r="J4103" t="str" cm="1">
        <f t="array" ref="J4103">_xlfn.IFS(ISBLANK(C4103),"FALTANTE",ABS((C4103-$W$5)/$X$5)&gt;1.96,"ATÍPICO",ABS((C4103-$W$5)/$X$5)&lt;=1.96,"NO ATÍPICO")</f>
        <v>NO ATÍPICO</v>
      </c>
      <c r="K4103" t="str" cm="1">
        <f t="array" ref="K4103">_xlfn.IFS(ISBLANK(I4103),"FALTANTE",ABS((I4103-$W$8)/$X$8)&gt;1.92,"ATÍPICO",ABS((I4103-$W$8)/$X$8)&lt;=1.92,"NO ATÍPICO")</f>
        <v>NO ATÍPICO</v>
      </c>
      <c r="L4103">
        <f t="shared" si="274"/>
        <v>322916.59999999998</v>
      </c>
      <c r="M4103" t="str">
        <f t="shared" si="274"/>
        <v>ASALARIADO</v>
      </c>
      <c r="N4103">
        <f t="shared" si="275"/>
        <v>39</v>
      </c>
      <c r="O4103" s="19" t="str">
        <f t="shared" si="276"/>
        <v>300k–600k</v>
      </c>
      <c r="P4103" s="19" t="str">
        <f t="shared" si="277"/>
        <v>36-45</v>
      </c>
    </row>
    <row r="4104" spans="1:16" x14ac:dyDescent="0.25">
      <c r="A4104">
        <v>4103</v>
      </c>
      <c r="B4104" t="s">
        <v>15</v>
      </c>
      <c r="C4104">
        <v>299206</v>
      </c>
      <c r="D4104" t="s">
        <v>10</v>
      </c>
      <c r="E4104" t="s">
        <v>16</v>
      </c>
      <c r="F4104" t="s">
        <v>12</v>
      </c>
      <c r="G4104" t="s">
        <v>13</v>
      </c>
      <c r="H4104" t="s">
        <v>13</v>
      </c>
      <c r="I4104">
        <v>39</v>
      </c>
      <c r="J4104" t="str" cm="1">
        <f t="array" ref="J4104">_xlfn.IFS(ISBLANK(C4104),"FALTANTE",ABS((C4104-$W$5)/$X$5)&gt;1.96,"ATÍPICO",ABS((C4104-$W$5)/$X$5)&lt;=1.96,"NO ATÍPICO")</f>
        <v>NO ATÍPICO</v>
      </c>
      <c r="K4104" t="str" cm="1">
        <f t="array" ref="K4104">_xlfn.IFS(ISBLANK(I4104),"FALTANTE",ABS((I4104-$W$8)/$X$8)&gt;1.92,"ATÍPICO",ABS((I4104-$W$8)/$X$8)&lt;=1.92,"NO ATÍPICO")</f>
        <v>NO ATÍPICO</v>
      </c>
      <c r="L4104">
        <f t="shared" si="274"/>
        <v>299206</v>
      </c>
      <c r="M4104" t="str">
        <f t="shared" si="274"/>
        <v>ASALARIADO</v>
      </c>
      <c r="N4104">
        <f t="shared" si="275"/>
        <v>39</v>
      </c>
      <c r="O4104" s="19" t="str">
        <f t="shared" si="276"/>
        <v>0–300k</v>
      </c>
      <c r="P4104" s="19" t="str">
        <f t="shared" si="277"/>
        <v>36-45</v>
      </c>
    </row>
    <row r="4105" spans="1:16" x14ac:dyDescent="0.25">
      <c r="A4105">
        <v>4104</v>
      </c>
      <c r="B4105" t="s">
        <v>9</v>
      </c>
      <c r="C4105">
        <v>445761.76</v>
      </c>
      <c r="D4105" t="s">
        <v>10</v>
      </c>
      <c r="E4105" t="s">
        <v>16</v>
      </c>
      <c r="F4105" t="s">
        <v>12</v>
      </c>
      <c r="G4105" t="s">
        <v>13</v>
      </c>
      <c r="H4105" t="s">
        <v>13</v>
      </c>
      <c r="I4105">
        <v>30</v>
      </c>
      <c r="J4105" t="str" cm="1">
        <f t="array" ref="J4105">_xlfn.IFS(ISBLANK(C4105),"FALTANTE",ABS((C4105-$W$5)/$X$5)&gt;1.96,"ATÍPICO",ABS((C4105-$W$5)/$X$5)&lt;=1.96,"NO ATÍPICO")</f>
        <v>NO ATÍPICO</v>
      </c>
      <c r="K4105" t="str" cm="1">
        <f t="array" ref="K4105">_xlfn.IFS(ISBLANK(I4105),"FALTANTE",ABS((I4105-$W$8)/$X$8)&gt;1.92,"ATÍPICO",ABS((I4105-$W$8)/$X$8)&lt;=1.92,"NO ATÍPICO")</f>
        <v>NO ATÍPICO</v>
      </c>
      <c r="L4105">
        <f t="shared" si="274"/>
        <v>445761.76</v>
      </c>
      <c r="M4105" t="str">
        <f t="shared" si="274"/>
        <v>ASALARIADO</v>
      </c>
      <c r="N4105">
        <f t="shared" si="275"/>
        <v>30</v>
      </c>
      <c r="O4105" s="19" t="str">
        <f t="shared" si="276"/>
        <v>300k–600k</v>
      </c>
      <c r="P4105" s="19" t="str">
        <f t="shared" si="277"/>
        <v>26-35</v>
      </c>
    </row>
    <row r="4106" spans="1:16" x14ac:dyDescent="0.25">
      <c r="A4106">
        <v>4105</v>
      </c>
      <c r="B4106" t="s">
        <v>9</v>
      </c>
      <c r="C4106">
        <v>297046</v>
      </c>
      <c r="D4106" t="s">
        <v>17</v>
      </c>
      <c r="E4106" t="s">
        <v>16</v>
      </c>
      <c r="F4106" t="s">
        <v>12</v>
      </c>
      <c r="G4106" t="s">
        <v>13</v>
      </c>
      <c r="H4106" t="s">
        <v>13</v>
      </c>
      <c r="I4106">
        <v>61</v>
      </c>
      <c r="J4106" t="str" cm="1">
        <f t="array" ref="J4106">_xlfn.IFS(ISBLANK(C4106),"FALTANTE",ABS((C4106-$W$5)/$X$5)&gt;1.96,"ATÍPICO",ABS((C4106-$W$5)/$X$5)&lt;=1.96,"NO ATÍPICO")</f>
        <v>NO ATÍPICO</v>
      </c>
      <c r="K4106" t="str" cm="1">
        <f t="array" ref="K4106">_xlfn.IFS(ISBLANK(I4106),"FALTANTE",ABS((I4106-$W$8)/$X$8)&gt;1.92,"ATÍPICO",ABS((I4106-$W$8)/$X$8)&lt;=1.92,"NO ATÍPICO")</f>
        <v>NO ATÍPICO</v>
      </c>
      <c r="L4106">
        <f t="shared" si="274"/>
        <v>297046</v>
      </c>
      <c r="M4106" t="str">
        <f t="shared" si="274"/>
        <v>ASEGURADO VOLUNTARIO</v>
      </c>
      <c r="N4106">
        <f t="shared" si="275"/>
        <v>61</v>
      </c>
      <c r="O4106" s="19" t="str">
        <f t="shared" si="276"/>
        <v>0–300k</v>
      </c>
      <c r="P4106" s="19" t="str">
        <f t="shared" si="277"/>
        <v>56+</v>
      </c>
    </row>
    <row r="4107" spans="1:16" x14ac:dyDescent="0.25">
      <c r="A4107">
        <v>4106</v>
      </c>
      <c r="B4107" t="s">
        <v>15</v>
      </c>
      <c r="C4107">
        <v>390833.33</v>
      </c>
      <c r="D4107" t="s">
        <v>10</v>
      </c>
      <c r="E4107" t="s">
        <v>16</v>
      </c>
      <c r="F4107" t="s">
        <v>12</v>
      </c>
      <c r="G4107" t="s">
        <v>13</v>
      </c>
      <c r="H4107" t="s">
        <v>13</v>
      </c>
      <c r="I4107">
        <v>41</v>
      </c>
      <c r="J4107" t="str" cm="1">
        <f t="array" ref="J4107">_xlfn.IFS(ISBLANK(C4107),"FALTANTE",ABS((C4107-$W$5)/$X$5)&gt;1.96,"ATÍPICO",ABS((C4107-$W$5)/$X$5)&lt;=1.96,"NO ATÍPICO")</f>
        <v>NO ATÍPICO</v>
      </c>
      <c r="K4107" t="str" cm="1">
        <f t="array" ref="K4107">_xlfn.IFS(ISBLANK(I4107),"FALTANTE",ABS((I4107-$W$8)/$X$8)&gt;1.92,"ATÍPICO",ABS((I4107-$W$8)/$X$8)&lt;=1.92,"NO ATÍPICO")</f>
        <v>NO ATÍPICO</v>
      </c>
      <c r="L4107">
        <f t="shared" si="274"/>
        <v>390833.33</v>
      </c>
      <c r="M4107" t="str">
        <f t="shared" si="274"/>
        <v>ASALARIADO</v>
      </c>
      <c r="N4107">
        <f t="shared" si="275"/>
        <v>41</v>
      </c>
      <c r="O4107" s="19" t="str">
        <f t="shared" si="276"/>
        <v>300k–600k</v>
      </c>
      <c r="P4107" s="19" t="str">
        <f t="shared" si="277"/>
        <v>36-45</v>
      </c>
    </row>
    <row r="4108" spans="1:16" x14ac:dyDescent="0.25">
      <c r="A4108">
        <v>4107</v>
      </c>
      <c r="B4108" t="s">
        <v>15</v>
      </c>
      <c r="C4108">
        <v>29700</v>
      </c>
      <c r="D4108" t="s">
        <v>10</v>
      </c>
      <c r="E4108" t="s">
        <v>16</v>
      </c>
      <c r="F4108" t="s">
        <v>12</v>
      </c>
      <c r="G4108" t="s">
        <v>13</v>
      </c>
      <c r="H4108" t="s">
        <v>13</v>
      </c>
      <c r="I4108">
        <v>29</v>
      </c>
      <c r="J4108" t="str" cm="1">
        <f t="array" ref="J4108">_xlfn.IFS(ISBLANK(C4108),"FALTANTE",ABS((C4108-$W$5)/$X$5)&gt;1.96,"ATÍPICO",ABS((C4108-$W$5)/$X$5)&lt;=1.96,"NO ATÍPICO")</f>
        <v>NO ATÍPICO</v>
      </c>
      <c r="K4108" t="str" cm="1">
        <f t="array" ref="K4108">_xlfn.IFS(ISBLANK(I4108),"FALTANTE",ABS((I4108-$W$8)/$X$8)&gt;1.92,"ATÍPICO",ABS((I4108-$W$8)/$X$8)&lt;=1.92,"NO ATÍPICO")</f>
        <v>NO ATÍPICO</v>
      </c>
      <c r="L4108">
        <f t="shared" si="274"/>
        <v>29700</v>
      </c>
      <c r="M4108" t="str">
        <f t="shared" si="274"/>
        <v>ASALARIADO</v>
      </c>
      <c r="N4108">
        <f t="shared" si="275"/>
        <v>29</v>
      </c>
      <c r="O4108" s="19" t="str">
        <f t="shared" si="276"/>
        <v>0–300k</v>
      </c>
      <c r="P4108" s="19" t="str">
        <f t="shared" si="277"/>
        <v>26-35</v>
      </c>
    </row>
    <row r="4109" spans="1:16" x14ac:dyDescent="0.25">
      <c r="A4109">
        <v>4108</v>
      </c>
      <c r="B4109" t="s">
        <v>15</v>
      </c>
      <c r="C4109">
        <v>1186398.1599999999</v>
      </c>
      <c r="D4109" t="s">
        <v>10</v>
      </c>
      <c r="E4109" t="s">
        <v>16</v>
      </c>
      <c r="F4109" t="s">
        <v>12</v>
      </c>
      <c r="G4109" t="s">
        <v>13</v>
      </c>
      <c r="H4109" t="s">
        <v>13</v>
      </c>
      <c r="I4109">
        <v>41</v>
      </c>
      <c r="J4109" t="str" cm="1">
        <f t="array" ref="J4109">_xlfn.IFS(ISBLANK(C4109),"FALTANTE",ABS((C4109-$W$5)/$X$5)&gt;1.96,"ATÍPICO",ABS((C4109-$W$5)/$X$5)&lt;=1.96,"NO ATÍPICO")</f>
        <v>NO ATÍPICO</v>
      </c>
      <c r="K4109" t="str" cm="1">
        <f t="array" ref="K4109">_xlfn.IFS(ISBLANK(I4109),"FALTANTE",ABS((I4109-$W$8)/$X$8)&gt;1.92,"ATÍPICO",ABS((I4109-$W$8)/$X$8)&lt;=1.92,"NO ATÍPICO")</f>
        <v>NO ATÍPICO</v>
      </c>
      <c r="L4109">
        <f t="shared" si="274"/>
        <v>1186398.1599999999</v>
      </c>
      <c r="M4109" t="str">
        <f t="shared" si="274"/>
        <v>ASALARIADO</v>
      </c>
      <c r="N4109">
        <f t="shared" si="275"/>
        <v>41</v>
      </c>
      <c r="O4109" s="19" t="str">
        <f t="shared" si="276"/>
        <v>900k–1200k</v>
      </c>
      <c r="P4109" s="19" t="str">
        <f t="shared" si="277"/>
        <v>36-45</v>
      </c>
    </row>
    <row r="4110" spans="1:16" x14ac:dyDescent="0.25">
      <c r="A4110">
        <v>4109</v>
      </c>
      <c r="B4110" t="s">
        <v>15</v>
      </c>
      <c r="C4110">
        <v>839613</v>
      </c>
      <c r="D4110" t="s">
        <v>10</v>
      </c>
      <c r="E4110" t="s">
        <v>16</v>
      </c>
      <c r="F4110" t="s">
        <v>12</v>
      </c>
      <c r="G4110" t="s">
        <v>12</v>
      </c>
      <c r="H4110" t="s">
        <v>13</v>
      </c>
      <c r="I4110">
        <v>29</v>
      </c>
      <c r="J4110" t="str" cm="1">
        <f t="array" ref="J4110">_xlfn.IFS(ISBLANK(C4110),"FALTANTE",ABS((C4110-$W$5)/$X$5)&gt;1.96,"ATÍPICO",ABS((C4110-$W$5)/$X$5)&lt;=1.96,"NO ATÍPICO")</f>
        <v>NO ATÍPICO</v>
      </c>
      <c r="K4110" t="str" cm="1">
        <f t="array" ref="K4110">_xlfn.IFS(ISBLANK(I4110),"FALTANTE",ABS((I4110-$W$8)/$X$8)&gt;1.92,"ATÍPICO",ABS((I4110-$W$8)/$X$8)&lt;=1.92,"NO ATÍPICO")</f>
        <v>NO ATÍPICO</v>
      </c>
      <c r="L4110">
        <f t="shared" si="274"/>
        <v>839613</v>
      </c>
      <c r="M4110" t="str">
        <f t="shared" si="274"/>
        <v>ASALARIADO</v>
      </c>
      <c r="N4110">
        <f t="shared" si="275"/>
        <v>29</v>
      </c>
      <c r="O4110" s="19" t="str">
        <f t="shared" si="276"/>
        <v>600k–900k</v>
      </c>
      <c r="P4110" s="19" t="str">
        <f t="shared" si="277"/>
        <v>26-35</v>
      </c>
    </row>
    <row r="4111" spans="1:16" x14ac:dyDescent="0.25">
      <c r="A4111">
        <v>4110</v>
      </c>
      <c r="B4111" t="s">
        <v>15</v>
      </c>
      <c r="C4111">
        <v>1125420</v>
      </c>
      <c r="D4111" t="s">
        <v>10</v>
      </c>
      <c r="E4111" t="s">
        <v>11</v>
      </c>
      <c r="F4111" t="s">
        <v>12</v>
      </c>
      <c r="G4111" t="s">
        <v>13</v>
      </c>
      <c r="H4111" t="s">
        <v>12</v>
      </c>
      <c r="I4111">
        <v>29</v>
      </c>
      <c r="J4111" t="str" cm="1">
        <f t="array" ref="J4111">_xlfn.IFS(ISBLANK(C4111),"FALTANTE",ABS((C4111-$W$5)/$X$5)&gt;1.96,"ATÍPICO",ABS((C4111-$W$5)/$X$5)&lt;=1.96,"NO ATÍPICO")</f>
        <v>NO ATÍPICO</v>
      </c>
      <c r="K4111" t="str" cm="1">
        <f t="array" ref="K4111">_xlfn.IFS(ISBLANK(I4111),"FALTANTE",ABS((I4111-$W$8)/$X$8)&gt;1.92,"ATÍPICO",ABS((I4111-$W$8)/$X$8)&lt;=1.92,"NO ATÍPICO")</f>
        <v>NO ATÍPICO</v>
      </c>
      <c r="L4111">
        <f t="shared" si="274"/>
        <v>1125420</v>
      </c>
      <c r="M4111" t="str">
        <f t="shared" si="274"/>
        <v>ASALARIADO</v>
      </c>
      <c r="N4111">
        <f t="shared" si="275"/>
        <v>29</v>
      </c>
      <c r="O4111" s="19" t="str">
        <f t="shared" si="276"/>
        <v>900k–1200k</v>
      </c>
      <c r="P4111" s="19" t="str">
        <f t="shared" si="277"/>
        <v>26-35</v>
      </c>
    </row>
    <row r="4112" spans="1:16" x14ac:dyDescent="0.25">
      <c r="A4112">
        <v>4111</v>
      </c>
      <c r="B4112" t="s">
        <v>15</v>
      </c>
      <c r="C4112">
        <v>432600</v>
      </c>
      <c r="D4112" t="s">
        <v>10</v>
      </c>
      <c r="E4112" t="s">
        <v>16</v>
      </c>
      <c r="F4112" t="s">
        <v>12</v>
      </c>
      <c r="G4112" t="s">
        <v>13</v>
      </c>
      <c r="H4112" t="s">
        <v>12</v>
      </c>
      <c r="I4112">
        <v>59</v>
      </c>
      <c r="J4112" t="str" cm="1">
        <f t="array" ref="J4112">_xlfn.IFS(ISBLANK(C4112),"FALTANTE",ABS((C4112-$W$5)/$X$5)&gt;1.96,"ATÍPICO",ABS((C4112-$W$5)/$X$5)&lt;=1.96,"NO ATÍPICO")</f>
        <v>NO ATÍPICO</v>
      </c>
      <c r="K4112" t="str" cm="1">
        <f t="array" ref="K4112">_xlfn.IFS(ISBLANK(I4112),"FALTANTE",ABS((I4112-$W$8)/$X$8)&gt;1.92,"ATÍPICO",ABS((I4112-$W$8)/$X$8)&lt;=1.92,"NO ATÍPICO")</f>
        <v>NO ATÍPICO</v>
      </c>
      <c r="L4112">
        <f t="shared" si="274"/>
        <v>432600</v>
      </c>
      <c r="M4112" t="str">
        <f t="shared" si="274"/>
        <v>ASALARIADO</v>
      </c>
      <c r="N4112">
        <f t="shared" si="275"/>
        <v>59</v>
      </c>
      <c r="O4112" s="19" t="str">
        <f t="shared" si="276"/>
        <v>300k–600k</v>
      </c>
      <c r="P4112" s="19" t="str">
        <f t="shared" si="277"/>
        <v>56+</v>
      </c>
    </row>
    <row r="4113" spans="1:16" x14ac:dyDescent="0.25">
      <c r="A4113">
        <v>4112</v>
      </c>
      <c r="B4113" t="s">
        <v>9</v>
      </c>
      <c r="C4113">
        <v>403983</v>
      </c>
      <c r="D4113" t="s">
        <v>18</v>
      </c>
      <c r="E4113" t="s">
        <v>16</v>
      </c>
      <c r="F4113" t="s">
        <v>12</v>
      </c>
      <c r="G4113" t="s">
        <v>13</v>
      </c>
      <c r="H4113" t="s">
        <v>13</v>
      </c>
      <c r="I4113">
        <v>53</v>
      </c>
      <c r="J4113" t="str" cm="1">
        <f t="array" ref="J4113">_xlfn.IFS(ISBLANK(C4113),"FALTANTE",ABS((C4113-$W$5)/$X$5)&gt;1.96,"ATÍPICO",ABS((C4113-$W$5)/$X$5)&lt;=1.96,"NO ATÍPICO")</f>
        <v>NO ATÍPICO</v>
      </c>
      <c r="K4113" t="str" cm="1">
        <f t="array" ref="K4113">_xlfn.IFS(ISBLANK(I4113),"FALTANTE",ABS((I4113-$W$8)/$X$8)&gt;1.92,"ATÍPICO",ABS((I4113-$W$8)/$X$8)&lt;=1.92,"NO ATÍPICO")</f>
        <v>NO ATÍPICO</v>
      </c>
      <c r="L4113">
        <f t="shared" si="274"/>
        <v>403983</v>
      </c>
      <c r="M4113" t="str">
        <f t="shared" si="274"/>
        <v>TRABAJADOR INDEPENDIENTE</v>
      </c>
      <c r="N4113">
        <f t="shared" si="275"/>
        <v>53</v>
      </c>
      <c r="O4113" s="19" t="str">
        <f t="shared" si="276"/>
        <v>300k–600k</v>
      </c>
      <c r="P4113" s="19" t="str">
        <f t="shared" si="277"/>
        <v>46-55</v>
      </c>
    </row>
    <row r="4114" spans="1:16" x14ac:dyDescent="0.25">
      <c r="A4114">
        <v>4113</v>
      </c>
      <c r="B4114" t="s">
        <v>15</v>
      </c>
      <c r="C4114">
        <v>340000</v>
      </c>
      <c r="D4114" t="s">
        <v>10</v>
      </c>
      <c r="E4114" t="s">
        <v>16</v>
      </c>
      <c r="F4114" t="s">
        <v>12</v>
      </c>
      <c r="G4114" t="s">
        <v>13</v>
      </c>
      <c r="H4114" t="s">
        <v>12</v>
      </c>
      <c r="I4114">
        <v>43</v>
      </c>
      <c r="J4114" t="str" cm="1">
        <f t="array" ref="J4114">_xlfn.IFS(ISBLANK(C4114),"FALTANTE",ABS((C4114-$W$5)/$X$5)&gt;1.96,"ATÍPICO",ABS((C4114-$W$5)/$X$5)&lt;=1.96,"NO ATÍPICO")</f>
        <v>NO ATÍPICO</v>
      </c>
      <c r="K4114" t="str" cm="1">
        <f t="array" ref="K4114">_xlfn.IFS(ISBLANK(I4114),"FALTANTE",ABS((I4114-$W$8)/$X$8)&gt;1.92,"ATÍPICO",ABS((I4114-$W$8)/$X$8)&lt;=1.92,"NO ATÍPICO")</f>
        <v>NO ATÍPICO</v>
      </c>
      <c r="L4114">
        <f t="shared" si="274"/>
        <v>340000</v>
      </c>
      <c r="M4114" t="str">
        <f t="shared" si="274"/>
        <v>ASALARIADO</v>
      </c>
      <c r="N4114">
        <f t="shared" si="275"/>
        <v>43</v>
      </c>
      <c r="O4114" s="19" t="str">
        <f t="shared" si="276"/>
        <v>300k–600k</v>
      </c>
      <c r="P4114" s="19" t="str">
        <f t="shared" si="277"/>
        <v>36-45</v>
      </c>
    </row>
    <row r="4115" spans="1:16" x14ac:dyDescent="0.25">
      <c r="A4115">
        <v>4114</v>
      </c>
      <c r="B4115" t="s">
        <v>15</v>
      </c>
      <c r="C4115">
        <v>1221960.4099999999</v>
      </c>
      <c r="D4115" t="s">
        <v>10</v>
      </c>
      <c r="E4115" t="s">
        <v>11</v>
      </c>
      <c r="F4115" t="s">
        <v>12</v>
      </c>
      <c r="G4115" t="s">
        <v>13</v>
      </c>
      <c r="H4115" t="s">
        <v>13</v>
      </c>
      <c r="I4115">
        <v>42</v>
      </c>
      <c r="J4115" t="str" cm="1">
        <f t="array" ref="J4115">_xlfn.IFS(ISBLANK(C4115),"FALTANTE",ABS((C4115-$W$5)/$X$5)&gt;1.96,"ATÍPICO",ABS((C4115-$W$5)/$X$5)&lt;=1.96,"NO ATÍPICO")</f>
        <v>NO ATÍPICO</v>
      </c>
      <c r="K4115" t="str" cm="1">
        <f t="array" ref="K4115">_xlfn.IFS(ISBLANK(I4115),"FALTANTE",ABS((I4115-$W$8)/$X$8)&gt;1.92,"ATÍPICO",ABS((I4115-$W$8)/$X$8)&lt;=1.92,"NO ATÍPICO")</f>
        <v>NO ATÍPICO</v>
      </c>
      <c r="L4115">
        <f t="shared" si="274"/>
        <v>1221960.4099999999</v>
      </c>
      <c r="M4115" t="str">
        <f t="shared" si="274"/>
        <v>ASALARIADO</v>
      </c>
      <c r="N4115">
        <f t="shared" si="275"/>
        <v>42</v>
      </c>
      <c r="O4115" s="19" t="str">
        <f t="shared" si="276"/>
        <v>1200k+</v>
      </c>
      <c r="P4115" s="19" t="str">
        <f t="shared" si="277"/>
        <v>36-45</v>
      </c>
    </row>
    <row r="4116" spans="1:16" x14ac:dyDescent="0.25">
      <c r="A4116">
        <v>4115</v>
      </c>
      <c r="B4116" t="s">
        <v>15</v>
      </c>
      <c r="C4116">
        <v>399934</v>
      </c>
      <c r="D4116" t="s">
        <v>10</v>
      </c>
      <c r="E4116" t="s">
        <v>11</v>
      </c>
      <c r="F4116" t="s">
        <v>12</v>
      </c>
      <c r="G4116" t="s">
        <v>13</v>
      </c>
      <c r="H4116" t="s">
        <v>12</v>
      </c>
      <c r="I4116">
        <v>36</v>
      </c>
      <c r="J4116" t="str" cm="1">
        <f t="array" ref="J4116">_xlfn.IFS(ISBLANK(C4116),"FALTANTE",ABS((C4116-$W$5)/$X$5)&gt;1.96,"ATÍPICO",ABS((C4116-$W$5)/$X$5)&lt;=1.96,"NO ATÍPICO")</f>
        <v>NO ATÍPICO</v>
      </c>
      <c r="K4116" t="str" cm="1">
        <f t="array" ref="K4116">_xlfn.IFS(ISBLANK(I4116),"FALTANTE",ABS((I4116-$W$8)/$X$8)&gt;1.92,"ATÍPICO",ABS((I4116-$W$8)/$X$8)&lt;=1.92,"NO ATÍPICO")</f>
        <v>NO ATÍPICO</v>
      </c>
      <c r="L4116">
        <f t="shared" si="274"/>
        <v>399934</v>
      </c>
      <c r="M4116" t="str">
        <f t="shared" si="274"/>
        <v>ASALARIADO</v>
      </c>
      <c r="N4116">
        <f t="shared" si="275"/>
        <v>36</v>
      </c>
      <c r="O4116" s="19" t="str">
        <f t="shared" si="276"/>
        <v>300k–600k</v>
      </c>
      <c r="P4116" s="19" t="str">
        <f t="shared" si="277"/>
        <v>36-45</v>
      </c>
    </row>
    <row r="4117" spans="1:16" x14ac:dyDescent="0.25">
      <c r="A4117">
        <v>4116</v>
      </c>
      <c r="B4117" t="s">
        <v>9</v>
      </c>
      <c r="C4117">
        <v>205570</v>
      </c>
      <c r="D4117" t="s">
        <v>10</v>
      </c>
      <c r="E4117" t="s">
        <v>16</v>
      </c>
      <c r="F4117" t="s">
        <v>12</v>
      </c>
      <c r="G4117" t="s">
        <v>13</v>
      </c>
      <c r="H4117" t="s">
        <v>13</v>
      </c>
      <c r="I4117">
        <v>38</v>
      </c>
      <c r="J4117" t="str" cm="1">
        <f t="array" ref="J4117">_xlfn.IFS(ISBLANK(C4117),"FALTANTE",ABS((C4117-$W$5)/$X$5)&gt;1.96,"ATÍPICO",ABS((C4117-$W$5)/$X$5)&lt;=1.96,"NO ATÍPICO")</f>
        <v>NO ATÍPICO</v>
      </c>
      <c r="K4117" t="str" cm="1">
        <f t="array" ref="K4117">_xlfn.IFS(ISBLANK(I4117),"FALTANTE",ABS((I4117-$W$8)/$X$8)&gt;1.92,"ATÍPICO",ABS((I4117-$W$8)/$X$8)&lt;=1.92,"NO ATÍPICO")</f>
        <v>NO ATÍPICO</v>
      </c>
      <c r="L4117">
        <f t="shared" si="274"/>
        <v>205570</v>
      </c>
      <c r="M4117" t="str">
        <f t="shared" si="274"/>
        <v>ASALARIADO</v>
      </c>
      <c r="N4117">
        <f t="shared" si="275"/>
        <v>38</v>
      </c>
      <c r="O4117" s="19" t="str">
        <f t="shared" si="276"/>
        <v>0–300k</v>
      </c>
      <c r="P4117" s="19" t="str">
        <f t="shared" si="277"/>
        <v>36-45</v>
      </c>
    </row>
    <row r="4118" spans="1:16" x14ac:dyDescent="0.25">
      <c r="A4118">
        <v>4117</v>
      </c>
      <c r="B4118" t="s">
        <v>15</v>
      </c>
      <c r="C4118">
        <v>300018</v>
      </c>
      <c r="D4118" t="s">
        <v>17</v>
      </c>
      <c r="E4118" t="s">
        <v>16</v>
      </c>
      <c r="F4118" t="s">
        <v>12</v>
      </c>
      <c r="G4118" t="s">
        <v>13</v>
      </c>
      <c r="H4118" t="s">
        <v>13</v>
      </c>
      <c r="I4118">
        <v>34</v>
      </c>
      <c r="J4118" t="str" cm="1">
        <f t="array" ref="J4118">_xlfn.IFS(ISBLANK(C4118),"FALTANTE",ABS((C4118-$W$5)/$X$5)&gt;1.96,"ATÍPICO",ABS((C4118-$W$5)/$X$5)&lt;=1.96,"NO ATÍPICO")</f>
        <v>NO ATÍPICO</v>
      </c>
      <c r="K4118" t="str" cm="1">
        <f t="array" ref="K4118">_xlfn.IFS(ISBLANK(I4118),"FALTANTE",ABS((I4118-$W$8)/$X$8)&gt;1.92,"ATÍPICO",ABS((I4118-$W$8)/$X$8)&lt;=1.92,"NO ATÍPICO")</f>
        <v>NO ATÍPICO</v>
      </c>
      <c r="L4118">
        <f t="shared" si="274"/>
        <v>300018</v>
      </c>
      <c r="M4118" t="str">
        <f t="shared" si="274"/>
        <v>ASEGURADO VOLUNTARIO</v>
      </c>
      <c r="N4118">
        <f t="shared" si="275"/>
        <v>34</v>
      </c>
      <c r="O4118" s="19" t="str">
        <f t="shared" si="276"/>
        <v>300k–600k</v>
      </c>
      <c r="P4118" s="19" t="str">
        <f t="shared" si="277"/>
        <v>26-35</v>
      </c>
    </row>
    <row r="4119" spans="1:16" x14ac:dyDescent="0.25">
      <c r="A4119">
        <v>4118</v>
      </c>
      <c r="B4119" t="s">
        <v>15</v>
      </c>
      <c r="C4119">
        <v>386161</v>
      </c>
      <c r="D4119" t="s">
        <v>18</v>
      </c>
      <c r="E4119" t="s">
        <v>16</v>
      </c>
      <c r="F4119" t="s">
        <v>12</v>
      </c>
      <c r="G4119" t="s">
        <v>13</v>
      </c>
      <c r="H4119" t="s">
        <v>12</v>
      </c>
      <c r="I4119">
        <v>47</v>
      </c>
      <c r="J4119" t="str" cm="1">
        <f t="array" ref="J4119">_xlfn.IFS(ISBLANK(C4119),"FALTANTE",ABS((C4119-$W$5)/$X$5)&gt;1.96,"ATÍPICO",ABS((C4119-$W$5)/$X$5)&lt;=1.96,"NO ATÍPICO")</f>
        <v>NO ATÍPICO</v>
      </c>
      <c r="K4119" t="str" cm="1">
        <f t="array" ref="K4119">_xlfn.IFS(ISBLANK(I4119),"FALTANTE",ABS((I4119-$W$8)/$X$8)&gt;1.92,"ATÍPICO",ABS((I4119-$W$8)/$X$8)&lt;=1.92,"NO ATÍPICO")</f>
        <v>NO ATÍPICO</v>
      </c>
      <c r="L4119">
        <f t="shared" si="274"/>
        <v>386161</v>
      </c>
      <c r="M4119" t="str">
        <f t="shared" si="274"/>
        <v>TRABAJADOR INDEPENDIENTE</v>
      </c>
      <c r="N4119">
        <f t="shared" si="275"/>
        <v>47</v>
      </c>
      <c r="O4119" s="19" t="str">
        <f t="shared" si="276"/>
        <v>300k–600k</v>
      </c>
      <c r="P4119" s="19" t="str">
        <f t="shared" si="277"/>
        <v>46-55</v>
      </c>
    </row>
    <row r="4120" spans="1:16" x14ac:dyDescent="0.25">
      <c r="A4120">
        <v>4119</v>
      </c>
      <c r="B4120" t="s">
        <v>9</v>
      </c>
      <c r="C4120">
        <v>144000</v>
      </c>
      <c r="D4120" t="s">
        <v>10</v>
      </c>
      <c r="E4120" t="s">
        <v>16</v>
      </c>
      <c r="F4120" t="s">
        <v>12</v>
      </c>
      <c r="G4120" t="s">
        <v>13</v>
      </c>
      <c r="H4120" t="s">
        <v>13</v>
      </c>
      <c r="I4120">
        <v>35</v>
      </c>
      <c r="J4120" t="str" cm="1">
        <f t="array" ref="J4120">_xlfn.IFS(ISBLANK(C4120),"FALTANTE",ABS((C4120-$W$5)/$X$5)&gt;1.96,"ATÍPICO",ABS((C4120-$W$5)/$X$5)&lt;=1.96,"NO ATÍPICO")</f>
        <v>NO ATÍPICO</v>
      </c>
      <c r="K4120" t="str" cm="1">
        <f t="array" ref="K4120">_xlfn.IFS(ISBLANK(I4120),"FALTANTE",ABS((I4120-$W$8)/$X$8)&gt;1.92,"ATÍPICO",ABS((I4120-$W$8)/$X$8)&lt;=1.92,"NO ATÍPICO")</f>
        <v>NO ATÍPICO</v>
      </c>
      <c r="L4120">
        <f t="shared" si="274"/>
        <v>144000</v>
      </c>
      <c r="M4120" t="str">
        <f t="shared" si="274"/>
        <v>ASALARIADO</v>
      </c>
      <c r="N4120">
        <f t="shared" si="275"/>
        <v>35</v>
      </c>
      <c r="O4120" s="19" t="str">
        <f t="shared" si="276"/>
        <v>0–300k</v>
      </c>
      <c r="P4120" s="19" t="str">
        <f t="shared" si="277"/>
        <v>26-35</v>
      </c>
    </row>
    <row r="4121" spans="1:16" x14ac:dyDescent="0.25">
      <c r="A4121">
        <v>4120</v>
      </c>
      <c r="B4121" t="s">
        <v>9</v>
      </c>
      <c r="C4121">
        <v>394526</v>
      </c>
      <c r="D4121" t="s">
        <v>18</v>
      </c>
      <c r="E4121" t="s">
        <v>16</v>
      </c>
      <c r="F4121" t="s">
        <v>12</v>
      </c>
      <c r="G4121" t="s">
        <v>13</v>
      </c>
      <c r="H4121" t="s">
        <v>12</v>
      </c>
      <c r="I4121">
        <v>48</v>
      </c>
      <c r="J4121" t="str" cm="1">
        <f t="array" ref="J4121">_xlfn.IFS(ISBLANK(C4121),"FALTANTE",ABS((C4121-$W$5)/$X$5)&gt;1.96,"ATÍPICO",ABS((C4121-$W$5)/$X$5)&lt;=1.96,"NO ATÍPICO")</f>
        <v>NO ATÍPICO</v>
      </c>
      <c r="K4121" t="str" cm="1">
        <f t="array" ref="K4121">_xlfn.IFS(ISBLANK(I4121),"FALTANTE",ABS((I4121-$W$8)/$X$8)&gt;1.92,"ATÍPICO",ABS((I4121-$W$8)/$X$8)&lt;=1.92,"NO ATÍPICO")</f>
        <v>NO ATÍPICO</v>
      </c>
      <c r="L4121">
        <f t="shared" si="274"/>
        <v>394526</v>
      </c>
      <c r="M4121" t="str">
        <f t="shared" si="274"/>
        <v>TRABAJADOR INDEPENDIENTE</v>
      </c>
      <c r="N4121">
        <f t="shared" si="275"/>
        <v>48</v>
      </c>
      <c r="O4121" s="19" t="str">
        <f t="shared" si="276"/>
        <v>300k–600k</v>
      </c>
      <c r="P4121" s="19" t="str">
        <f t="shared" si="277"/>
        <v>46-55</v>
      </c>
    </row>
    <row r="4122" spans="1:16" x14ac:dyDescent="0.25">
      <c r="A4122">
        <v>4121</v>
      </c>
      <c r="B4122" t="s">
        <v>15</v>
      </c>
      <c r="C4122">
        <v>540083</v>
      </c>
      <c r="D4122" t="s">
        <v>18</v>
      </c>
      <c r="E4122" t="s">
        <v>16</v>
      </c>
      <c r="F4122" t="s">
        <v>12</v>
      </c>
      <c r="G4122" t="s">
        <v>13</v>
      </c>
      <c r="H4122" t="s">
        <v>12</v>
      </c>
      <c r="I4122">
        <v>41</v>
      </c>
      <c r="J4122" t="str" cm="1">
        <f t="array" ref="J4122">_xlfn.IFS(ISBLANK(C4122),"FALTANTE",ABS((C4122-$W$5)/$X$5)&gt;1.96,"ATÍPICO",ABS((C4122-$W$5)/$X$5)&lt;=1.96,"NO ATÍPICO")</f>
        <v>NO ATÍPICO</v>
      </c>
      <c r="K4122" t="str" cm="1">
        <f t="array" ref="K4122">_xlfn.IFS(ISBLANK(I4122),"FALTANTE",ABS((I4122-$W$8)/$X$8)&gt;1.92,"ATÍPICO",ABS((I4122-$W$8)/$X$8)&lt;=1.92,"NO ATÍPICO")</f>
        <v>NO ATÍPICO</v>
      </c>
      <c r="L4122">
        <f t="shared" si="274"/>
        <v>540083</v>
      </c>
      <c r="M4122" t="str">
        <f t="shared" si="274"/>
        <v>TRABAJADOR INDEPENDIENTE</v>
      </c>
      <c r="N4122">
        <f t="shared" si="275"/>
        <v>41</v>
      </c>
      <c r="O4122" s="19" t="str">
        <f t="shared" si="276"/>
        <v>300k–600k</v>
      </c>
      <c r="P4122" s="19" t="str">
        <f t="shared" si="277"/>
        <v>36-45</v>
      </c>
    </row>
    <row r="4123" spans="1:16" x14ac:dyDescent="0.25">
      <c r="A4123">
        <v>4122</v>
      </c>
      <c r="B4123" t="s">
        <v>9</v>
      </c>
      <c r="C4123">
        <v>280000</v>
      </c>
      <c r="D4123" t="s">
        <v>10</v>
      </c>
      <c r="E4123" t="s">
        <v>16</v>
      </c>
      <c r="F4123" t="s">
        <v>12</v>
      </c>
      <c r="G4123" t="s">
        <v>12</v>
      </c>
      <c r="H4123" t="s">
        <v>13</v>
      </c>
      <c r="I4123">
        <v>26</v>
      </c>
      <c r="J4123" t="str" cm="1">
        <f t="array" ref="J4123">_xlfn.IFS(ISBLANK(C4123),"FALTANTE",ABS((C4123-$W$5)/$X$5)&gt;1.96,"ATÍPICO",ABS((C4123-$W$5)/$X$5)&lt;=1.96,"NO ATÍPICO")</f>
        <v>NO ATÍPICO</v>
      </c>
      <c r="K4123" t="str" cm="1">
        <f t="array" ref="K4123">_xlfn.IFS(ISBLANK(I4123),"FALTANTE",ABS((I4123-$W$8)/$X$8)&gt;1.92,"ATÍPICO",ABS((I4123-$W$8)/$X$8)&lt;=1.92,"NO ATÍPICO")</f>
        <v>NO ATÍPICO</v>
      </c>
      <c r="L4123">
        <f t="shared" si="274"/>
        <v>280000</v>
      </c>
      <c r="M4123" t="str">
        <f t="shared" si="274"/>
        <v>ASALARIADO</v>
      </c>
      <c r="N4123">
        <f t="shared" si="275"/>
        <v>26</v>
      </c>
      <c r="O4123" s="19" t="str">
        <f t="shared" si="276"/>
        <v>0–300k</v>
      </c>
      <c r="P4123" s="19" t="str">
        <f t="shared" si="277"/>
        <v>26-35</v>
      </c>
    </row>
    <row r="4124" spans="1:16" x14ac:dyDescent="0.25">
      <c r="A4124">
        <v>4123</v>
      </c>
      <c r="B4124" t="s">
        <v>9</v>
      </c>
      <c r="C4124">
        <v>350000</v>
      </c>
      <c r="D4124" t="s">
        <v>10</v>
      </c>
      <c r="E4124" t="s">
        <v>16</v>
      </c>
      <c r="F4124" t="s">
        <v>12</v>
      </c>
      <c r="G4124" t="s">
        <v>13</v>
      </c>
      <c r="H4124" t="s">
        <v>13</v>
      </c>
      <c r="I4124">
        <v>25</v>
      </c>
      <c r="J4124" t="str" cm="1">
        <f t="array" ref="J4124">_xlfn.IFS(ISBLANK(C4124),"FALTANTE",ABS((C4124-$W$5)/$X$5)&gt;1.96,"ATÍPICO",ABS((C4124-$W$5)/$X$5)&lt;=1.96,"NO ATÍPICO")</f>
        <v>NO ATÍPICO</v>
      </c>
      <c r="K4124" t="str" cm="1">
        <f t="array" ref="K4124">_xlfn.IFS(ISBLANK(I4124),"FALTANTE",ABS((I4124-$W$8)/$X$8)&gt;1.92,"ATÍPICO",ABS((I4124-$W$8)/$X$8)&lt;=1.92,"NO ATÍPICO")</f>
        <v>NO ATÍPICO</v>
      </c>
      <c r="L4124">
        <f t="shared" si="274"/>
        <v>350000</v>
      </c>
      <c r="M4124" t="str">
        <f t="shared" si="274"/>
        <v>ASALARIADO</v>
      </c>
      <c r="N4124">
        <f t="shared" si="275"/>
        <v>25</v>
      </c>
      <c r="O4124" s="19" t="str">
        <f t="shared" si="276"/>
        <v>300k–600k</v>
      </c>
      <c r="P4124" s="19" t="str">
        <f t="shared" si="277"/>
        <v>18-25</v>
      </c>
    </row>
    <row r="4125" spans="1:16" x14ac:dyDescent="0.25">
      <c r="A4125">
        <v>4124</v>
      </c>
      <c r="B4125" t="s">
        <v>15</v>
      </c>
      <c r="C4125">
        <v>382000</v>
      </c>
      <c r="D4125" t="s">
        <v>10</v>
      </c>
      <c r="E4125" t="s">
        <v>16</v>
      </c>
      <c r="F4125" t="s">
        <v>12</v>
      </c>
      <c r="G4125" t="s">
        <v>13</v>
      </c>
      <c r="H4125" t="s">
        <v>13</v>
      </c>
      <c r="I4125">
        <v>20</v>
      </c>
      <c r="J4125" t="str" cm="1">
        <f t="array" ref="J4125">_xlfn.IFS(ISBLANK(C4125),"FALTANTE",ABS((C4125-$W$5)/$X$5)&gt;1.96,"ATÍPICO",ABS((C4125-$W$5)/$X$5)&lt;=1.96,"NO ATÍPICO")</f>
        <v>NO ATÍPICO</v>
      </c>
      <c r="K4125" t="str" cm="1">
        <f t="array" ref="K4125">_xlfn.IFS(ISBLANK(I4125),"FALTANTE",ABS((I4125-$W$8)/$X$8)&gt;1.92,"ATÍPICO",ABS((I4125-$W$8)/$X$8)&lt;=1.92,"NO ATÍPICO")</f>
        <v>NO ATÍPICO</v>
      </c>
      <c r="L4125">
        <f t="shared" si="274"/>
        <v>382000</v>
      </c>
      <c r="M4125" t="str">
        <f t="shared" si="274"/>
        <v>ASALARIADO</v>
      </c>
      <c r="N4125">
        <f t="shared" si="275"/>
        <v>20</v>
      </c>
      <c r="O4125" s="19" t="str">
        <f t="shared" si="276"/>
        <v>300k–600k</v>
      </c>
      <c r="P4125" s="19" t="str">
        <f t="shared" si="277"/>
        <v>18-25</v>
      </c>
    </row>
    <row r="4126" spans="1:16" x14ac:dyDescent="0.25">
      <c r="A4126">
        <v>4125</v>
      </c>
      <c r="B4126" t="s">
        <v>9</v>
      </c>
      <c r="C4126">
        <v>933124</v>
      </c>
      <c r="D4126" t="s">
        <v>18</v>
      </c>
      <c r="E4126" t="s">
        <v>16</v>
      </c>
      <c r="F4126" t="s">
        <v>12</v>
      </c>
      <c r="G4126" t="s">
        <v>13</v>
      </c>
      <c r="H4126" t="s">
        <v>13</v>
      </c>
      <c r="I4126">
        <v>49</v>
      </c>
      <c r="J4126" t="str" cm="1">
        <f t="array" ref="J4126">_xlfn.IFS(ISBLANK(C4126),"FALTANTE",ABS((C4126-$W$5)/$X$5)&gt;1.96,"ATÍPICO",ABS((C4126-$W$5)/$X$5)&lt;=1.96,"NO ATÍPICO")</f>
        <v>NO ATÍPICO</v>
      </c>
      <c r="K4126" t="str" cm="1">
        <f t="array" ref="K4126">_xlfn.IFS(ISBLANK(I4126),"FALTANTE",ABS((I4126-$W$8)/$X$8)&gt;1.92,"ATÍPICO",ABS((I4126-$W$8)/$X$8)&lt;=1.92,"NO ATÍPICO")</f>
        <v>NO ATÍPICO</v>
      </c>
      <c r="L4126">
        <f t="shared" si="274"/>
        <v>933124</v>
      </c>
      <c r="M4126" t="str">
        <f t="shared" si="274"/>
        <v>TRABAJADOR INDEPENDIENTE</v>
      </c>
      <c r="N4126">
        <f t="shared" si="275"/>
        <v>49</v>
      </c>
      <c r="O4126" s="19" t="str">
        <f t="shared" si="276"/>
        <v>900k–1200k</v>
      </c>
      <c r="P4126" s="19" t="str">
        <f t="shared" si="277"/>
        <v>46-55</v>
      </c>
    </row>
    <row r="4127" spans="1:16" x14ac:dyDescent="0.25">
      <c r="A4127">
        <v>4126</v>
      </c>
      <c r="B4127" t="s">
        <v>15</v>
      </c>
      <c r="C4127">
        <v>865457.02</v>
      </c>
      <c r="D4127" t="s">
        <v>10</v>
      </c>
      <c r="E4127" t="s">
        <v>11</v>
      </c>
      <c r="F4127" t="s">
        <v>12</v>
      </c>
      <c r="G4127" t="s">
        <v>13</v>
      </c>
      <c r="H4127" t="s">
        <v>13</v>
      </c>
      <c r="I4127">
        <v>42</v>
      </c>
      <c r="J4127" t="str" cm="1">
        <f t="array" ref="J4127">_xlfn.IFS(ISBLANK(C4127),"FALTANTE",ABS((C4127-$W$5)/$X$5)&gt;1.96,"ATÍPICO",ABS((C4127-$W$5)/$X$5)&lt;=1.96,"NO ATÍPICO")</f>
        <v>NO ATÍPICO</v>
      </c>
      <c r="K4127" t="str" cm="1">
        <f t="array" ref="K4127">_xlfn.IFS(ISBLANK(I4127),"FALTANTE",ABS((I4127-$W$8)/$X$8)&gt;1.92,"ATÍPICO",ABS((I4127-$W$8)/$X$8)&lt;=1.92,"NO ATÍPICO")</f>
        <v>NO ATÍPICO</v>
      </c>
      <c r="L4127">
        <f t="shared" si="274"/>
        <v>865457.02</v>
      </c>
      <c r="M4127" t="str">
        <f t="shared" si="274"/>
        <v>ASALARIADO</v>
      </c>
      <c r="N4127">
        <f t="shared" si="275"/>
        <v>42</v>
      </c>
      <c r="O4127" s="19" t="str">
        <f t="shared" si="276"/>
        <v>600k–900k</v>
      </c>
      <c r="P4127" s="19" t="str">
        <f t="shared" si="277"/>
        <v>36-45</v>
      </c>
    </row>
    <row r="4128" spans="1:16" x14ac:dyDescent="0.25">
      <c r="A4128">
        <v>4127</v>
      </c>
      <c r="B4128" t="s">
        <v>15</v>
      </c>
      <c r="C4128">
        <v>399967</v>
      </c>
      <c r="D4128" t="s">
        <v>14</v>
      </c>
      <c r="E4128" t="s">
        <v>11</v>
      </c>
      <c r="F4128" t="s">
        <v>12</v>
      </c>
      <c r="G4128" t="s">
        <v>13</v>
      </c>
      <c r="H4128" t="s">
        <v>13</v>
      </c>
      <c r="I4128">
        <v>82</v>
      </c>
      <c r="J4128" t="str" cm="1">
        <f t="array" ref="J4128">_xlfn.IFS(ISBLANK(C4128),"FALTANTE",ABS((C4128-$W$5)/$X$5)&gt;1.96,"ATÍPICO",ABS((C4128-$W$5)/$X$5)&lt;=1.96,"NO ATÍPICO")</f>
        <v>NO ATÍPICO</v>
      </c>
      <c r="K4128" t="str" cm="1">
        <f t="array" ref="K4128">_xlfn.IFS(ISBLANK(I4128),"FALTANTE",ABS((I4128-$W$8)/$X$8)&gt;1.92,"ATÍPICO",ABS((I4128-$W$8)/$X$8)&lt;=1.92,"NO ATÍPICO")</f>
        <v>ATÍPICO</v>
      </c>
      <c r="L4128">
        <f t="shared" si="274"/>
        <v>399967</v>
      </c>
      <c r="M4128" t="str">
        <f t="shared" si="274"/>
        <v>PENSIONADOS EN SU PROPIO SISTEMA</v>
      </c>
      <c r="N4128">
        <f t="shared" si="275"/>
        <v>82</v>
      </c>
      <c r="O4128" s="19" t="str">
        <f t="shared" si="276"/>
        <v>300k–600k</v>
      </c>
      <c r="P4128" s="19" t="str">
        <f t="shared" si="277"/>
        <v>56+</v>
      </c>
    </row>
    <row r="4129" spans="1:16" x14ac:dyDescent="0.25">
      <c r="A4129">
        <v>4128</v>
      </c>
      <c r="B4129" t="s">
        <v>9</v>
      </c>
      <c r="C4129">
        <v>436800</v>
      </c>
      <c r="D4129" t="s">
        <v>10</v>
      </c>
      <c r="E4129" t="s">
        <v>16</v>
      </c>
      <c r="F4129" t="s">
        <v>12</v>
      </c>
      <c r="G4129" t="s">
        <v>13</v>
      </c>
      <c r="H4129" t="s">
        <v>13</v>
      </c>
      <c r="I4129">
        <v>53</v>
      </c>
      <c r="J4129" t="str" cm="1">
        <f t="array" ref="J4129">_xlfn.IFS(ISBLANK(C4129),"FALTANTE",ABS((C4129-$W$5)/$X$5)&gt;1.96,"ATÍPICO",ABS((C4129-$W$5)/$X$5)&lt;=1.96,"NO ATÍPICO")</f>
        <v>NO ATÍPICO</v>
      </c>
      <c r="K4129" t="str" cm="1">
        <f t="array" ref="K4129">_xlfn.IFS(ISBLANK(I4129),"FALTANTE",ABS((I4129-$W$8)/$X$8)&gt;1.92,"ATÍPICO",ABS((I4129-$W$8)/$X$8)&lt;=1.92,"NO ATÍPICO")</f>
        <v>NO ATÍPICO</v>
      </c>
      <c r="L4129">
        <f t="shared" si="274"/>
        <v>436800</v>
      </c>
      <c r="M4129" t="str">
        <f t="shared" si="274"/>
        <v>ASALARIADO</v>
      </c>
      <c r="N4129">
        <f t="shared" si="275"/>
        <v>53</v>
      </c>
      <c r="O4129" s="19" t="str">
        <f t="shared" si="276"/>
        <v>300k–600k</v>
      </c>
      <c r="P4129" s="19" t="str">
        <f t="shared" si="277"/>
        <v>46-55</v>
      </c>
    </row>
    <row r="4130" spans="1:16" x14ac:dyDescent="0.25">
      <c r="A4130">
        <v>4129</v>
      </c>
      <c r="B4130" t="s">
        <v>9</v>
      </c>
      <c r="C4130">
        <v>437896</v>
      </c>
      <c r="D4130" t="s">
        <v>18</v>
      </c>
      <c r="E4130" t="s">
        <v>16</v>
      </c>
      <c r="F4130" t="s">
        <v>12</v>
      </c>
      <c r="G4130" t="s">
        <v>13</v>
      </c>
      <c r="H4130" t="s">
        <v>13</v>
      </c>
      <c r="I4130">
        <v>39</v>
      </c>
      <c r="J4130" t="str" cm="1">
        <f t="array" ref="J4130">_xlfn.IFS(ISBLANK(C4130),"FALTANTE",ABS((C4130-$W$5)/$X$5)&gt;1.96,"ATÍPICO",ABS((C4130-$W$5)/$X$5)&lt;=1.96,"NO ATÍPICO")</f>
        <v>NO ATÍPICO</v>
      </c>
      <c r="K4130" t="str" cm="1">
        <f t="array" ref="K4130">_xlfn.IFS(ISBLANK(I4130),"FALTANTE",ABS((I4130-$W$8)/$X$8)&gt;1.92,"ATÍPICO",ABS((I4130-$W$8)/$X$8)&lt;=1.92,"NO ATÍPICO")</f>
        <v>NO ATÍPICO</v>
      </c>
      <c r="L4130">
        <f t="shared" si="274"/>
        <v>437896</v>
      </c>
      <c r="M4130" t="str">
        <f t="shared" si="274"/>
        <v>TRABAJADOR INDEPENDIENTE</v>
      </c>
      <c r="N4130">
        <f t="shared" si="275"/>
        <v>39</v>
      </c>
      <c r="O4130" s="19" t="str">
        <f t="shared" si="276"/>
        <v>300k–600k</v>
      </c>
      <c r="P4130" s="19" t="str">
        <f t="shared" si="277"/>
        <v>36-45</v>
      </c>
    </row>
    <row r="4131" spans="1:16" x14ac:dyDescent="0.25">
      <c r="A4131">
        <v>4130</v>
      </c>
      <c r="B4131" t="s">
        <v>9</v>
      </c>
      <c r="C4131">
        <v>297046</v>
      </c>
      <c r="D4131" t="s">
        <v>18</v>
      </c>
      <c r="E4131" t="s">
        <v>16</v>
      </c>
      <c r="F4131" t="s">
        <v>12</v>
      </c>
      <c r="G4131" t="s">
        <v>13</v>
      </c>
      <c r="H4131" t="s">
        <v>13</v>
      </c>
      <c r="I4131">
        <v>54</v>
      </c>
      <c r="J4131" t="str" cm="1">
        <f t="array" ref="J4131">_xlfn.IFS(ISBLANK(C4131),"FALTANTE",ABS((C4131-$W$5)/$X$5)&gt;1.96,"ATÍPICO",ABS((C4131-$W$5)/$X$5)&lt;=1.96,"NO ATÍPICO")</f>
        <v>NO ATÍPICO</v>
      </c>
      <c r="K4131" t="str" cm="1">
        <f t="array" ref="K4131">_xlfn.IFS(ISBLANK(I4131),"FALTANTE",ABS((I4131-$W$8)/$X$8)&gt;1.92,"ATÍPICO",ABS((I4131-$W$8)/$X$8)&lt;=1.92,"NO ATÍPICO")</f>
        <v>NO ATÍPICO</v>
      </c>
      <c r="L4131">
        <f t="shared" si="274"/>
        <v>297046</v>
      </c>
      <c r="M4131" t="str">
        <f t="shared" si="274"/>
        <v>TRABAJADOR INDEPENDIENTE</v>
      </c>
      <c r="N4131">
        <f t="shared" si="275"/>
        <v>54</v>
      </c>
      <c r="O4131" s="19" t="str">
        <f t="shared" si="276"/>
        <v>0–300k</v>
      </c>
      <c r="P4131" s="19" t="str">
        <f t="shared" si="277"/>
        <v>46-55</v>
      </c>
    </row>
    <row r="4132" spans="1:16" x14ac:dyDescent="0.25">
      <c r="A4132">
        <v>4131</v>
      </c>
      <c r="B4132" t="s">
        <v>15</v>
      </c>
      <c r="C4132">
        <v>720408.6</v>
      </c>
      <c r="D4132" t="s">
        <v>10</v>
      </c>
      <c r="E4132" t="s">
        <v>11</v>
      </c>
      <c r="F4132" t="s">
        <v>12</v>
      </c>
      <c r="G4132" t="s">
        <v>13</v>
      </c>
      <c r="H4132" t="s">
        <v>13</v>
      </c>
      <c r="I4132">
        <v>45</v>
      </c>
      <c r="J4132" t="str" cm="1">
        <f t="array" ref="J4132">_xlfn.IFS(ISBLANK(C4132),"FALTANTE",ABS((C4132-$W$5)/$X$5)&gt;1.96,"ATÍPICO",ABS((C4132-$W$5)/$X$5)&lt;=1.96,"NO ATÍPICO")</f>
        <v>NO ATÍPICO</v>
      </c>
      <c r="K4132" t="str" cm="1">
        <f t="array" ref="K4132">_xlfn.IFS(ISBLANK(I4132),"FALTANTE",ABS((I4132-$W$8)/$X$8)&gt;1.92,"ATÍPICO",ABS((I4132-$W$8)/$X$8)&lt;=1.92,"NO ATÍPICO")</f>
        <v>NO ATÍPICO</v>
      </c>
      <c r="L4132">
        <f t="shared" si="274"/>
        <v>720408.6</v>
      </c>
      <c r="M4132" t="str">
        <f t="shared" si="274"/>
        <v>ASALARIADO</v>
      </c>
      <c r="N4132">
        <f t="shared" si="275"/>
        <v>45</v>
      </c>
      <c r="O4132" s="19" t="str">
        <f t="shared" si="276"/>
        <v>600k–900k</v>
      </c>
      <c r="P4132" s="19" t="str">
        <f t="shared" si="277"/>
        <v>36-45</v>
      </c>
    </row>
    <row r="4133" spans="1:16" x14ac:dyDescent="0.25">
      <c r="A4133">
        <v>4132</v>
      </c>
      <c r="B4133" t="s">
        <v>9</v>
      </c>
      <c r="C4133">
        <v>301184</v>
      </c>
      <c r="D4133" t="s">
        <v>10</v>
      </c>
      <c r="E4133" t="s">
        <v>16</v>
      </c>
      <c r="F4133" t="s">
        <v>12</v>
      </c>
      <c r="G4133" t="s">
        <v>13</v>
      </c>
      <c r="H4133" t="s">
        <v>13</v>
      </c>
      <c r="I4133">
        <v>46</v>
      </c>
      <c r="J4133" t="str" cm="1">
        <f t="array" ref="J4133">_xlfn.IFS(ISBLANK(C4133),"FALTANTE",ABS((C4133-$W$5)/$X$5)&gt;1.96,"ATÍPICO",ABS((C4133-$W$5)/$X$5)&lt;=1.96,"NO ATÍPICO")</f>
        <v>NO ATÍPICO</v>
      </c>
      <c r="K4133" t="str" cm="1">
        <f t="array" ref="K4133">_xlfn.IFS(ISBLANK(I4133),"FALTANTE",ABS((I4133-$W$8)/$X$8)&gt;1.92,"ATÍPICO",ABS((I4133-$W$8)/$X$8)&lt;=1.92,"NO ATÍPICO")</f>
        <v>NO ATÍPICO</v>
      </c>
      <c r="L4133">
        <f t="shared" si="274"/>
        <v>301184</v>
      </c>
      <c r="M4133" t="str">
        <f t="shared" si="274"/>
        <v>ASALARIADO</v>
      </c>
      <c r="N4133">
        <f t="shared" si="275"/>
        <v>46</v>
      </c>
      <c r="O4133" s="19" t="str">
        <f t="shared" si="276"/>
        <v>300k–600k</v>
      </c>
      <c r="P4133" s="19" t="str">
        <f t="shared" si="277"/>
        <v>46-55</v>
      </c>
    </row>
    <row r="4134" spans="1:16" x14ac:dyDescent="0.25">
      <c r="A4134">
        <v>4133</v>
      </c>
      <c r="B4134" t="s">
        <v>9</v>
      </c>
      <c r="C4134">
        <v>230000</v>
      </c>
      <c r="D4134" t="s">
        <v>10</v>
      </c>
      <c r="E4134" t="s">
        <v>16</v>
      </c>
      <c r="F4134" t="s">
        <v>12</v>
      </c>
      <c r="G4134" t="s">
        <v>13</v>
      </c>
      <c r="H4134" t="s">
        <v>12</v>
      </c>
      <c r="I4134">
        <v>60</v>
      </c>
      <c r="J4134" t="str" cm="1">
        <f t="array" ref="J4134">_xlfn.IFS(ISBLANK(C4134),"FALTANTE",ABS((C4134-$W$5)/$X$5)&gt;1.96,"ATÍPICO",ABS((C4134-$W$5)/$X$5)&lt;=1.96,"NO ATÍPICO")</f>
        <v>NO ATÍPICO</v>
      </c>
      <c r="K4134" t="str" cm="1">
        <f t="array" ref="K4134">_xlfn.IFS(ISBLANK(I4134),"FALTANTE",ABS((I4134-$W$8)/$X$8)&gt;1.92,"ATÍPICO",ABS((I4134-$W$8)/$X$8)&lt;=1.92,"NO ATÍPICO")</f>
        <v>NO ATÍPICO</v>
      </c>
      <c r="L4134">
        <f t="shared" si="274"/>
        <v>230000</v>
      </c>
      <c r="M4134" t="str">
        <f t="shared" si="274"/>
        <v>ASALARIADO</v>
      </c>
      <c r="N4134">
        <f t="shared" si="275"/>
        <v>60</v>
      </c>
      <c r="O4134" s="19" t="str">
        <f t="shared" si="276"/>
        <v>0–300k</v>
      </c>
      <c r="P4134" s="19" t="str">
        <f t="shared" si="277"/>
        <v>56+</v>
      </c>
    </row>
    <row r="4135" spans="1:16" x14ac:dyDescent="0.25">
      <c r="A4135">
        <v>4134</v>
      </c>
      <c r="B4135" t="s">
        <v>15</v>
      </c>
      <c r="C4135">
        <v>639148</v>
      </c>
      <c r="D4135" t="s">
        <v>18</v>
      </c>
      <c r="E4135" t="s">
        <v>16</v>
      </c>
      <c r="F4135" t="s">
        <v>12</v>
      </c>
      <c r="G4135" t="s">
        <v>13</v>
      </c>
      <c r="H4135" t="s">
        <v>13</v>
      </c>
      <c r="I4135">
        <v>60</v>
      </c>
      <c r="J4135" t="str" cm="1">
        <f t="array" ref="J4135">_xlfn.IFS(ISBLANK(C4135),"FALTANTE",ABS((C4135-$W$5)/$X$5)&gt;1.96,"ATÍPICO",ABS((C4135-$W$5)/$X$5)&lt;=1.96,"NO ATÍPICO")</f>
        <v>NO ATÍPICO</v>
      </c>
      <c r="K4135" t="str" cm="1">
        <f t="array" ref="K4135">_xlfn.IFS(ISBLANK(I4135),"FALTANTE",ABS((I4135-$W$8)/$X$8)&gt;1.92,"ATÍPICO",ABS((I4135-$W$8)/$X$8)&lt;=1.92,"NO ATÍPICO")</f>
        <v>NO ATÍPICO</v>
      </c>
      <c r="L4135">
        <f t="shared" si="274"/>
        <v>639148</v>
      </c>
      <c r="M4135" t="str">
        <f t="shared" si="274"/>
        <v>TRABAJADOR INDEPENDIENTE</v>
      </c>
      <c r="N4135">
        <f t="shared" si="275"/>
        <v>60</v>
      </c>
      <c r="O4135" s="19" t="str">
        <f t="shared" si="276"/>
        <v>600k–900k</v>
      </c>
      <c r="P4135" s="19" t="str">
        <f t="shared" si="277"/>
        <v>56+</v>
      </c>
    </row>
    <row r="4136" spans="1:16" x14ac:dyDescent="0.25">
      <c r="A4136">
        <v>4135</v>
      </c>
      <c r="B4136" t="s">
        <v>15</v>
      </c>
      <c r="C4136">
        <v>470713.7</v>
      </c>
      <c r="D4136" t="s">
        <v>10</v>
      </c>
      <c r="E4136" t="s">
        <v>16</v>
      </c>
      <c r="F4136" t="s">
        <v>12</v>
      </c>
      <c r="G4136" t="s">
        <v>13</v>
      </c>
      <c r="H4136" t="s">
        <v>12</v>
      </c>
      <c r="I4136">
        <v>36</v>
      </c>
      <c r="J4136" t="str" cm="1">
        <f t="array" ref="J4136">_xlfn.IFS(ISBLANK(C4136),"FALTANTE",ABS((C4136-$W$5)/$X$5)&gt;1.96,"ATÍPICO",ABS((C4136-$W$5)/$X$5)&lt;=1.96,"NO ATÍPICO")</f>
        <v>NO ATÍPICO</v>
      </c>
      <c r="K4136" t="str" cm="1">
        <f t="array" ref="K4136">_xlfn.IFS(ISBLANK(I4136),"FALTANTE",ABS((I4136-$W$8)/$X$8)&gt;1.92,"ATÍPICO",ABS((I4136-$W$8)/$X$8)&lt;=1.92,"NO ATÍPICO")</f>
        <v>NO ATÍPICO</v>
      </c>
      <c r="L4136">
        <f t="shared" si="274"/>
        <v>470713.7</v>
      </c>
      <c r="M4136" t="str">
        <f t="shared" si="274"/>
        <v>ASALARIADO</v>
      </c>
      <c r="N4136">
        <f t="shared" si="275"/>
        <v>36</v>
      </c>
      <c r="O4136" s="19" t="str">
        <f t="shared" si="276"/>
        <v>300k–600k</v>
      </c>
      <c r="P4136" s="19" t="str">
        <f t="shared" si="277"/>
        <v>36-45</v>
      </c>
    </row>
    <row r="4137" spans="1:16" x14ac:dyDescent="0.25">
      <c r="A4137">
        <v>4136</v>
      </c>
      <c r="B4137" t="s">
        <v>9</v>
      </c>
      <c r="C4137">
        <v>298482</v>
      </c>
      <c r="D4137" t="s">
        <v>18</v>
      </c>
      <c r="E4137" t="s">
        <v>16</v>
      </c>
      <c r="F4137" t="s">
        <v>12</v>
      </c>
      <c r="G4137" t="s">
        <v>13</v>
      </c>
      <c r="H4137" t="s">
        <v>13</v>
      </c>
      <c r="I4137">
        <v>28</v>
      </c>
      <c r="J4137" t="str" cm="1">
        <f t="array" ref="J4137">_xlfn.IFS(ISBLANK(C4137),"FALTANTE",ABS((C4137-$W$5)/$X$5)&gt;1.96,"ATÍPICO",ABS((C4137-$W$5)/$X$5)&lt;=1.96,"NO ATÍPICO")</f>
        <v>NO ATÍPICO</v>
      </c>
      <c r="K4137" t="str" cm="1">
        <f t="array" ref="K4137">_xlfn.IFS(ISBLANK(I4137),"FALTANTE",ABS((I4137-$W$8)/$X$8)&gt;1.92,"ATÍPICO",ABS((I4137-$W$8)/$X$8)&lt;=1.92,"NO ATÍPICO")</f>
        <v>NO ATÍPICO</v>
      </c>
      <c r="L4137">
        <f t="shared" si="274"/>
        <v>298482</v>
      </c>
      <c r="M4137" t="str">
        <f t="shared" si="274"/>
        <v>TRABAJADOR INDEPENDIENTE</v>
      </c>
      <c r="N4137">
        <f t="shared" si="275"/>
        <v>28</v>
      </c>
      <c r="O4137" s="19" t="str">
        <f t="shared" si="276"/>
        <v>0–300k</v>
      </c>
      <c r="P4137" s="19" t="str">
        <f t="shared" si="277"/>
        <v>26-35</v>
      </c>
    </row>
    <row r="4138" spans="1:16" x14ac:dyDescent="0.25">
      <c r="A4138">
        <v>4137</v>
      </c>
      <c r="B4138" t="s">
        <v>9</v>
      </c>
      <c r="C4138">
        <v>294661.86</v>
      </c>
      <c r="D4138" t="s">
        <v>10</v>
      </c>
      <c r="E4138" t="s">
        <v>16</v>
      </c>
      <c r="F4138" t="s">
        <v>12</v>
      </c>
      <c r="G4138" t="s">
        <v>13</v>
      </c>
      <c r="H4138" t="s">
        <v>13</v>
      </c>
      <c r="I4138">
        <v>25</v>
      </c>
      <c r="J4138" t="str" cm="1">
        <f t="array" ref="J4138">_xlfn.IFS(ISBLANK(C4138),"FALTANTE",ABS((C4138-$W$5)/$X$5)&gt;1.96,"ATÍPICO",ABS((C4138-$W$5)/$X$5)&lt;=1.96,"NO ATÍPICO")</f>
        <v>NO ATÍPICO</v>
      </c>
      <c r="K4138" t="str" cm="1">
        <f t="array" ref="K4138">_xlfn.IFS(ISBLANK(I4138),"FALTANTE",ABS((I4138-$W$8)/$X$8)&gt;1.92,"ATÍPICO",ABS((I4138-$W$8)/$X$8)&lt;=1.92,"NO ATÍPICO")</f>
        <v>NO ATÍPICO</v>
      </c>
      <c r="L4138">
        <f t="shared" si="274"/>
        <v>294661.86</v>
      </c>
      <c r="M4138" t="str">
        <f t="shared" si="274"/>
        <v>ASALARIADO</v>
      </c>
      <c r="N4138">
        <f t="shared" si="275"/>
        <v>25</v>
      </c>
      <c r="O4138" s="19" t="str">
        <f t="shared" si="276"/>
        <v>0–300k</v>
      </c>
      <c r="P4138" s="19" t="str">
        <f t="shared" si="277"/>
        <v>18-25</v>
      </c>
    </row>
    <row r="4139" spans="1:16" x14ac:dyDescent="0.25">
      <c r="A4139">
        <v>4138</v>
      </c>
      <c r="B4139" t="s">
        <v>9</v>
      </c>
      <c r="C4139">
        <v>431178</v>
      </c>
      <c r="D4139" t="s">
        <v>10</v>
      </c>
      <c r="E4139" t="s">
        <v>16</v>
      </c>
      <c r="F4139" t="s">
        <v>12</v>
      </c>
      <c r="G4139" t="s">
        <v>13</v>
      </c>
      <c r="H4139" t="s">
        <v>13</v>
      </c>
      <c r="I4139">
        <v>56</v>
      </c>
      <c r="J4139" t="str" cm="1">
        <f t="array" ref="J4139">_xlfn.IFS(ISBLANK(C4139),"FALTANTE",ABS((C4139-$W$5)/$X$5)&gt;1.96,"ATÍPICO",ABS((C4139-$W$5)/$X$5)&lt;=1.96,"NO ATÍPICO")</f>
        <v>NO ATÍPICO</v>
      </c>
      <c r="K4139" t="str" cm="1">
        <f t="array" ref="K4139">_xlfn.IFS(ISBLANK(I4139),"FALTANTE",ABS((I4139-$W$8)/$X$8)&gt;1.92,"ATÍPICO",ABS((I4139-$W$8)/$X$8)&lt;=1.92,"NO ATÍPICO")</f>
        <v>NO ATÍPICO</v>
      </c>
      <c r="L4139">
        <f t="shared" si="274"/>
        <v>431178</v>
      </c>
      <c r="M4139" t="str">
        <f t="shared" si="274"/>
        <v>ASALARIADO</v>
      </c>
      <c r="N4139">
        <f t="shared" si="275"/>
        <v>56</v>
      </c>
      <c r="O4139" s="19" t="str">
        <f t="shared" si="276"/>
        <v>300k–600k</v>
      </c>
      <c r="P4139" s="19" t="str">
        <f t="shared" si="277"/>
        <v>56+</v>
      </c>
    </row>
    <row r="4140" spans="1:16" x14ac:dyDescent="0.25">
      <c r="A4140">
        <v>4139</v>
      </c>
      <c r="B4140" t="s">
        <v>15</v>
      </c>
      <c r="C4140">
        <v>278035</v>
      </c>
      <c r="D4140" t="s">
        <v>17</v>
      </c>
      <c r="E4140" t="s">
        <v>16</v>
      </c>
      <c r="F4140" t="s">
        <v>12</v>
      </c>
      <c r="G4140" t="s">
        <v>13</v>
      </c>
      <c r="H4140" t="s">
        <v>13</v>
      </c>
      <c r="I4140">
        <v>49</v>
      </c>
      <c r="J4140" t="str" cm="1">
        <f t="array" ref="J4140">_xlfn.IFS(ISBLANK(C4140),"FALTANTE",ABS((C4140-$W$5)/$X$5)&gt;1.96,"ATÍPICO",ABS((C4140-$W$5)/$X$5)&lt;=1.96,"NO ATÍPICO")</f>
        <v>NO ATÍPICO</v>
      </c>
      <c r="K4140" t="str" cm="1">
        <f t="array" ref="K4140">_xlfn.IFS(ISBLANK(I4140),"FALTANTE",ABS((I4140-$W$8)/$X$8)&gt;1.92,"ATÍPICO",ABS((I4140-$W$8)/$X$8)&lt;=1.92,"NO ATÍPICO")</f>
        <v>NO ATÍPICO</v>
      </c>
      <c r="L4140">
        <f t="shared" si="274"/>
        <v>278035</v>
      </c>
      <c r="M4140" t="str">
        <f t="shared" si="274"/>
        <v>ASEGURADO VOLUNTARIO</v>
      </c>
      <c r="N4140">
        <f t="shared" si="275"/>
        <v>49</v>
      </c>
      <c r="O4140" s="19" t="str">
        <f t="shared" si="276"/>
        <v>0–300k</v>
      </c>
      <c r="P4140" s="19" t="str">
        <f t="shared" si="277"/>
        <v>46-55</v>
      </c>
    </row>
    <row r="4141" spans="1:16" x14ac:dyDescent="0.25">
      <c r="A4141">
        <v>4140</v>
      </c>
      <c r="B4141" t="s">
        <v>15</v>
      </c>
      <c r="C4141">
        <v>628333</v>
      </c>
      <c r="D4141" t="s">
        <v>10</v>
      </c>
      <c r="E4141" t="s">
        <v>16</v>
      </c>
      <c r="F4141" t="s">
        <v>12</v>
      </c>
      <c r="G4141" t="s">
        <v>13</v>
      </c>
      <c r="H4141" t="s">
        <v>13</v>
      </c>
      <c r="I4141">
        <v>32</v>
      </c>
      <c r="J4141" t="str" cm="1">
        <f t="array" ref="J4141">_xlfn.IFS(ISBLANK(C4141),"FALTANTE",ABS((C4141-$W$5)/$X$5)&gt;1.96,"ATÍPICO",ABS((C4141-$W$5)/$X$5)&lt;=1.96,"NO ATÍPICO")</f>
        <v>NO ATÍPICO</v>
      </c>
      <c r="K4141" t="str" cm="1">
        <f t="array" ref="K4141">_xlfn.IFS(ISBLANK(I4141),"FALTANTE",ABS((I4141-$W$8)/$X$8)&gt;1.92,"ATÍPICO",ABS((I4141-$W$8)/$X$8)&lt;=1.92,"NO ATÍPICO")</f>
        <v>NO ATÍPICO</v>
      </c>
      <c r="L4141">
        <f t="shared" si="274"/>
        <v>628333</v>
      </c>
      <c r="M4141" t="str">
        <f t="shared" si="274"/>
        <v>ASALARIADO</v>
      </c>
      <c r="N4141">
        <f t="shared" si="275"/>
        <v>32</v>
      </c>
      <c r="O4141" s="19" t="str">
        <f t="shared" si="276"/>
        <v>600k–900k</v>
      </c>
      <c r="P4141" s="19" t="str">
        <f t="shared" si="277"/>
        <v>26-35</v>
      </c>
    </row>
    <row r="4142" spans="1:16" x14ac:dyDescent="0.25">
      <c r="A4142">
        <v>4141</v>
      </c>
      <c r="B4142" t="s">
        <v>15</v>
      </c>
      <c r="C4142">
        <v>526107.13</v>
      </c>
      <c r="D4142" t="s">
        <v>10</v>
      </c>
      <c r="E4142" t="s">
        <v>11</v>
      </c>
      <c r="F4142" t="s">
        <v>12</v>
      </c>
      <c r="G4142" t="s">
        <v>13</v>
      </c>
      <c r="H4142" t="s">
        <v>13</v>
      </c>
      <c r="I4142">
        <v>37</v>
      </c>
      <c r="J4142" t="str" cm="1">
        <f t="array" ref="J4142">_xlfn.IFS(ISBLANK(C4142),"FALTANTE",ABS((C4142-$W$5)/$X$5)&gt;1.96,"ATÍPICO",ABS((C4142-$W$5)/$X$5)&lt;=1.96,"NO ATÍPICO")</f>
        <v>NO ATÍPICO</v>
      </c>
      <c r="K4142" t="str" cm="1">
        <f t="array" ref="K4142">_xlfn.IFS(ISBLANK(I4142),"FALTANTE",ABS((I4142-$W$8)/$X$8)&gt;1.92,"ATÍPICO",ABS((I4142-$W$8)/$X$8)&lt;=1.92,"NO ATÍPICO")</f>
        <v>NO ATÍPICO</v>
      </c>
      <c r="L4142">
        <f t="shared" si="274"/>
        <v>526107.13</v>
      </c>
      <c r="M4142" t="str">
        <f t="shared" si="274"/>
        <v>ASALARIADO</v>
      </c>
      <c r="N4142">
        <f t="shared" si="275"/>
        <v>37</v>
      </c>
      <c r="O4142" s="19" t="str">
        <f t="shared" si="276"/>
        <v>300k–600k</v>
      </c>
      <c r="P4142" s="19" t="str">
        <f t="shared" si="277"/>
        <v>36-45</v>
      </c>
    </row>
    <row r="4143" spans="1:16" x14ac:dyDescent="0.25">
      <c r="A4143">
        <v>4142</v>
      </c>
      <c r="B4143" t="s">
        <v>15</v>
      </c>
      <c r="C4143">
        <v>278030</v>
      </c>
      <c r="D4143" t="s">
        <v>19</v>
      </c>
      <c r="E4143" t="s">
        <v>16</v>
      </c>
      <c r="F4143" t="s">
        <v>12</v>
      </c>
      <c r="G4143" t="s">
        <v>13</v>
      </c>
      <c r="H4143" t="s">
        <v>13</v>
      </c>
      <c r="I4143">
        <v>47</v>
      </c>
      <c r="J4143" t="str" cm="1">
        <f t="array" ref="J4143">_xlfn.IFS(ISBLANK(C4143),"FALTANTE",ABS((C4143-$W$5)/$X$5)&gt;1.96,"ATÍPICO",ABS((C4143-$W$5)/$X$5)&lt;=1.96,"NO ATÍPICO")</f>
        <v>NO ATÍPICO</v>
      </c>
      <c r="K4143" t="str" cm="1">
        <f t="array" ref="K4143">_xlfn.IFS(ISBLANK(I4143),"FALTANTE",ABS((I4143-$W$8)/$X$8)&gt;1.92,"ATÍPICO",ABS((I4143-$W$8)/$X$8)&lt;=1.92,"NO ATÍPICO")</f>
        <v>NO ATÍPICO</v>
      </c>
      <c r="L4143">
        <f t="shared" si="274"/>
        <v>278030</v>
      </c>
      <c r="M4143" t="str">
        <f t="shared" si="274"/>
        <v>CONVENIOS ESPECIALES DE TRABAJADORES INDEPENDIENTES</v>
      </c>
      <c r="N4143">
        <f t="shared" si="275"/>
        <v>47</v>
      </c>
      <c r="O4143" s="19" t="str">
        <f t="shared" si="276"/>
        <v>0–300k</v>
      </c>
      <c r="P4143" s="19" t="str">
        <f t="shared" si="277"/>
        <v>46-55</v>
      </c>
    </row>
    <row r="4144" spans="1:16" x14ac:dyDescent="0.25">
      <c r="A4144">
        <v>4143</v>
      </c>
      <c r="B4144" t="s">
        <v>15</v>
      </c>
      <c r="C4144">
        <v>471872</v>
      </c>
      <c r="D4144" t="s">
        <v>10</v>
      </c>
      <c r="E4144" t="s">
        <v>11</v>
      </c>
      <c r="F4144" t="s">
        <v>12</v>
      </c>
      <c r="G4144" t="s">
        <v>13</v>
      </c>
      <c r="H4144" t="s">
        <v>12</v>
      </c>
      <c r="I4144">
        <v>33</v>
      </c>
      <c r="J4144" t="str" cm="1">
        <f t="array" ref="J4144">_xlfn.IFS(ISBLANK(C4144),"FALTANTE",ABS((C4144-$W$5)/$X$5)&gt;1.96,"ATÍPICO",ABS((C4144-$W$5)/$X$5)&lt;=1.96,"NO ATÍPICO")</f>
        <v>NO ATÍPICO</v>
      </c>
      <c r="K4144" t="str" cm="1">
        <f t="array" ref="K4144">_xlfn.IFS(ISBLANK(I4144),"FALTANTE",ABS((I4144-$W$8)/$X$8)&gt;1.92,"ATÍPICO",ABS((I4144-$W$8)/$X$8)&lt;=1.92,"NO ATÍPICO")</f>
        <v>NO ATÍPICO</v>
      </c>
      <c r="L4144">
        <f t="shared" si="274"/>
        <v>471872</v>
      </c>
      <c r="M4144" t="str">
        <f t="shared" si="274"/>
        <v>ASALARIADO</v>
      </c>
      <c r="N4144">
        <f t="shared" si="275"/>
        <v>33</v>
      </c>
      <c r="O4144" s="19" t="str">
        <f t="shared" si="276"/>
        <v>300k–600k</v>
      </c>
      <c r="P4144" s="19" t="str">
        <f t="shared" si="277"/>
        <v>26-35</v>
      </c>
    </row>
    <row r="4145" spans="1:16" x14ac:dyDescent="0.25">
      <c r="A4145">
        <v>4144</v>
      </c>
      <c r="B4145" t="s">
        <v>15</v>
      </c>
      <c r="C4145">
        <v>1416053</v>
      </c>
      <c r="D4145" t="s">
        <v>14</v>
      </c>
      <c r="E4145" t="s">
        <v>11</v>
      </c>
      <c r="F4145" t="s">
        <v>12</v>
      </c>
      <c r="G4145" t="s">
        <v>13</v>
      </c>
      <c r="H4145" t="s">
        <v>13</v>
      </c>
      <c r="I4145">
        <v>50</v>
      </c>
      <c r="J4145" t="str" cm="1">
        <f t="array" ref="J4145">_xlfn.IFS(ISBLANK(C4145),"FALTANTE",ABS((C4145-$W$5)/$X$5)&gt;1.96,"ATÍPICO",ABS((C4145-$W$5)/$X$5)&lt;=1.96,"NO ATÍPICO")</f>
        <v>NO ATÍPICO</v>
      </c>
      <c r="K4145" t="str" cm="1">
        <f t="array" ref="K4145">_xlfn.IFS(ISBLANK(I4145),"FALTANTE",ABS((I4145-$W$8)/$X$8)&gt;1.92,"ATÍPICO",ABS((I4145-$W$8)/$X$8)&lt;=1.92,"NO ATÍPICO")</f>
        <v>NO ATÍPICO</v>
      </c>
      <c r="L4145">
        <f t="shared" si="274"/>
        <v>1416053</v>
      </c>
      <c r="M4145" t="str">
        <f t="shared" si="274"/>
        <v>PENSIONADOS EN SU PROPIO SISTEMA</v>
      </c>
      <c r="N4145">
        <f t="shared" si="275"/>
        <v>50</v>
      </c>
      <c r="O4145" s="19" t="str">
        <f t="shared" si="276"/>
        <v>1200k+</v>
      </c>
      <c r="P4145" s="19" t="str">
        <f t="shared" si="277"/>
        <v>46-55</v>
      </c>
    </row>
    <row r="4146" spans="1:16" x14ac:dyDescent="0.25">
      <c r="A4146">
        <v>4145</v>
      </c>
      <c r="B4146" t="s">
        <v>9</v>
      </c>
      <c r="C4146">
        <v>1017377.98</v>
      </c>
      <c r="D4146" t="s">
        <v>10</v>
      </c>
      <c r="E4146" t="s">
        <v>16</v>
      </c>
      <c r="F4146" t="s">
        <v>12</v>
      </c>
      <c r="G4146" t="s">
        <v>13</v>
      </c>
      <c r="H4146" t="s">
        <v>13</v>
      </c>
      <c r="I4146">
        <v>48</v>
      </c>
      <c r="J4146" t="str" cm="1">
        <f t="array" ref="J4146">_xlfn.IFS(ISBLANK(C4146),"FALTANTE",ABS((C4146-$W$5)/$X$5)&gt;1.96,"ATÍPICO",ABS((C4146-$W$5)/$X$5)&lt;=1.96,"NO ATÍPICO")</f>
        <v>NO ATÍPICO</v>
      </c>
      <c r="K4146" t="str" cm="1">
        <f t="array" ref="K4146">_xlfn.IFS(ISBLANK(I4146),"FALTANTE",ABS((I4146-$W$8)/$X$8)&gt;1.92,"ATÍPICO",ABS((I4146-$W$8)/$X$8)&lt;=1.92,"NO ATÍPICO")</f>
        <v>NO ATÍPICO</v>
      </c>
      <c r="L4146">
        <f t="shared" si="274"/>
        <v>1017377.98</v>
      </c>
      <c r="M4146" t="str">
        <f t="shared" si="274"/>
        <v>ASALARIADO</v>
      </c>
      <c r="N4146">
        <f t="shared" si="275"/>
        <v>48</v>
      </c>
      <c r="O4146" s="19" t="str">
        <f t="shared" si="276"/>
        <v>900k–1200k</v>
      </c>
      <c r="P4146" s="19" t="str">
        <f t="shared" si="277"/>
        <v>46-55</v>
      </c>
    </row>
    <row r="4147" spans="1:16" x14ac:dyDescent="0.25">
      <c r="A4147">
        <v>4146</v>
      </c>
      <c r="B4147" t="s">
        <v>15</v>
      </c>
      <c r="C4147">
        <v>159787.23000000001</v>
      </c>
      <c r="D4147" t="s">
        <v>10</v>
      </c>
      <c r="E4147" t="s">
        <v>16</v>
      </c>
      <c r="F4147" t="s">
        <v>12</v>
      </c>
      <c r="G4147" t="s">
        <v>13</v>
      </c>
      <c r="H4147" t="s">
        <v>13</v>
      </c>
      <c r="I4147">
        <v>42</v>
      </c>
      <c r="J4147" t="str" cm="1">
        <f t="array" ref="J4147">_xlfn.IFS(ISBLANK(C4147),"FALTANTE",ABS((C4147-$W$5)/$X$5)&gt;1.96,"ATÍPICO",ABS((C4147-$W$5)/$X$5)&lt;=1.96,"NO ATÍPICO")</f>
        <v>NO ATÍPICO</v>
      </c>
      <c r="K4147" t="str" cm="1">
        <f t="array" ref="K4147">_xlfn.IFS(ISBLANK(I4147),"FALTANTE",ABS((I4147-$W$8)/$X$8)&gt;1.92,"ATÍPICO",ABS((I4147-$W$8)/$X$8)&lt;=1.92,"NO ATÍPICO")</f>
        <v>NO ATÍPICO</v>
      </c>
      <c r="L4147">
        <f t="shared" si="274"/>
        <v>159787.23000000001</v>
      </c>
      <c r="M4147" t="str">
        <f t="shared" si="274"/>
        <v>ASALARIADO</v>
      </c>
      <c r="N4147">
        <f t="shared" si="275"/>
        <v>42</v>
      </c>
      <c r="O4147" s="19" t="str">
        <f t="shared" si="276"/>
        <v>0–300k</v>
      </c>
      <c r="P4147" s="19" t="str">
        <f t="shared" si="277"/>
        <v>36-45</v>
      </c>
    </row>
    <row r="4148" spans="1:16" x14ac:dyDescent="0.25">
      <c r="A4148">
        <v>4147</v>
      </c>
      <c r="B4148" t="s">
        <v>15</v>
      </c>
      <c r="C4148">
        <v>561950</v>
      </c>
      <c r="D4148" t="s">
        <v>10</v>
      </c>
      <c r="E4148" t="s">
        <v>11</v>
      </c>
      <c r="F4148" t="s">
        <v>12</v>
      </c>
      <c r="G4148" t="s">
        <v>13</v>
      </c>
      <c r="H4148" t="s">
        <v>12</v>
      </c>
      <c r="I4148">
        <v>32</v>
      </c>
      <c r="J4148" t="str" cm="1">
        <f t="array" ref="J4148">_xlfn.IFS(ISBLANK(C4148),"FALTANTE",ABS((C4148-$W$5)/$X$5)&gt;1.96,"ATÍPICO",ABS((C4148-$W$5)/$X$5)&lt;=1.96,"NO ATÍPICO")</f>
        <v>NO ATÍPICO</v>
      </c>
      <c r="K4148" t="str" cm="1">
        <f t="array" ref="K4148">_xlfn.IFS(ISBLANK(I4148),"FALTANTE",ABS((I4148-$W$8)/$X$8)&gt;1.92,"ATÍPICO",ABS((I4148-$W$8)/$X$8)&lt;=1.92,"NO ATÍPICO")</f>
        <v>NO ATÍPICO</v>
      </c>
      <c r="L4148">
        <f t="shared" si="274"/>
        <v>561950</v>
      </c>
      <c r="M4148" t="str">
        <f t="shared" si="274"/>
        <v>ASALARIADO</v>
      </c>
      <c r="N4148">
        <f t="shared" si="275"/>
        <v>32</v>
      </c>
      <c r="O4148" s="19" t="str">
        <f t="shared" si="276"/>
        <v>300k–600k</v>
      </c>
      <c r="P4148" s="19" t="str">
        <f t="shared" si="277"/>
        <v>26-35</v>
      </c>
    </row>
    <row r="4149" spans="1:16" x14ac:dyDescent="0.25">
      <c r="A4149">
        <v>4148</v>
      </c>
      <c r="B4149" t="s">
        <v>9</v>
      </c>
      <c r="C4149">
        <v>500000</v>
      </c>
      <c r="D4149" t="s">
        <v>10</v>
      </c>
      <c r="E4149" t="s">
        <v>16</v>
      </c>
      <c r="F4149" t="s">
        <v>12</v>
      </c>
      <c r="G4149" t="s">
        <v>12</v>
      </c>
      <c r="H4149" t="s">
        <v>13</v>
      </c>
      <c r="I4149">
        <v>29</v>
      </c>
      <c r="J4149" t="str" cm="1">
        <f t="array" ref="J4149">_xlfn.IFS(ISBLANK(C4149),"FALTANTE",ABS((C4149-$W$5)/$X$5)&gt;1.96,"ATÍPICO",ABS((C4149-$W$5)/$X$5)&lt;=1.96,"NO ATÍPICO")</f>
        <v>NO ATÍPICO</v>
      </c>
      <c r="K4149" t="str" cm="1">
        <f t="array" ref="K4149">_xlfn.IFS(ISBLANK(I4149),"FALTANTE",ABS((I4149-$W$8)/$X$8)&gt;1.92,"ATÍPICO",ABS((I4149-$W$8)/$X$8)&lt;=1.92,"NO ATÍPICO")</f>
        <v>NO ATÍPICO</v>
      </c>
      <c r="L4149">
        <f t="shared" si="274"/>
        <v>500000</v>
      </c>
      <c r="M4149" t="str">
        <f t="shared" si="274"/>
        <v>ASALARIADO</v>
      </c>
      <c r="N4149">
        <f t="shared" si="275"/>
        <v>29</v>
      </c>
      <c r="O4149" s="19" t="str">
        <f t="shared" si="276"/>
        <v>300k–600k</v>
      </c>
      <c r="P4149" s="19" t="str">
        <f t="shared" si="277"/>
        <v>26-35</v>
      </c>
    </row>
    <row r="4150" spans="1:16" x14ac:dyDescent="0.25">
      <c r="A4150">
        <v>4149</v>
      </c>
      <c r="B4150" t="s">
        <v>9</v>
      </c>
      <c r="C4150">
        <v>895921</v>
      </c>
      <c r="D4150" t="s">
        <v>10</v>
      </c>
      <c r="E4150" t="s">
        <v>16</v>
      </c>
      <c r="F4150" t="s">
        <v>12</v>
      </c>
      <c r="G4150" t="s">
        <v>13</v>
      </c>
      <c r="H4150" t="s">
        <v>13</v>
      </c>
      <c r="I4150">
        <v>24</v>
      </c>
      <c r="J4150" t="str" cm="1">
        <f t="array" ref="J4150">_xlfn.IFS(ISBLANK(C4150),"FALTANTE",ABS((C4150-$W$5)/$X$5)&gt;1.96,"ATÍPICO",ABS((C4150-$W$5)/$X$5)&lt;=1.96,"NO ATÍPICO")</f>
        <v>NO ATÍPICO</v>
      </c>
      <c r="K4150" t="str" cm="1">
        <f t="array" ref="K4150">_xlfn.IFS(ISBLANK(I4150),"FALTANTE",ABS((I4150-$W$8)/$X$8)&gt;1.92,"ATÍPICO",ABS((I4150-$W$8)/$X$8)&lt;=1.92,"NO ATÍPICO")</f>
        <v>NO ATÍPICO</v>
      </c>
      <c r="L4150">
        <f t="shared" si="274"/>
        <v>895921</v>
      </c>
      <c r="M4150" t="str">
        <f t="shared" si="274"/>
        <v>ASALARIADO</v>
      </c>
      <c r="N4150">
        <f t="shared" si="275"/>
        <v>24</v>
      </c>
      <c r="O4150" s="19" t="str">
        <f t="shared" si="276"/>
        <v>600k–900k</v>
      </c>
      <c r="P4150" s="19" t="str">
        <f t="shared" si="277"/>
        <v>18-25</v>
      </c>
    </row>
    <row r="4151" spans="1:16" x14ac:dyDescent="0.25">
      <c r="A4151">
        <v>4150</v>
      </c>
      <c r="B4151" t="s">
        <v>15</v>
      </c>
      <c r="C4151">
        <v>278030</v>
      </c>
      <c r="D4151" t="s">
        <v>17</v>
      </c>
      <c r="E4151" t="s">
        <v>16</v>
      </c>
      <c r="F4151" t="s">
        <v>12</v>
      </c>
      <c r="G4151" t="s">
        <v>12</v>
      </c>
      <c r="H4151" t="s">
        <v>13</v>
      </c>
      <c r="I4151">
        <v>29</v>
      </c>
      <c r="J4151" t="str" cm="1">
        <f t="array" ref="J4151">_xlfn.IFS(ISBLANK(C4151),"FALTANTE",ABS((C4151-$W$5)/$X$5)&gt;1.96,"ATÍPICO",ABS((C4151-$W$5)/$X$5)&lt;=1.96,"NO ATÍPICO")</f>
        <v>NO ATÍPICO</v>
      </c>
      <c r="K4151" t="str" cm="1">
        <f t="array" ref="K4151">_xlfn.IFS(ISBLANK(I4151),"FALTANTE",ABS((I4151-$W$8)/$X$8)&gt;1.92,"ATÍPICO",ABS((I4151-$W$8)/$X$8)&lt;=1.92,"NO ATÍPICO")</f>
        <v>NO ATÍPICO</v>
      </c>
      <c r="L4151">
        <f t="shared" si="274"/>
        <v>278030</v>
      </c>
      <c r="M4151" t="str">
        <f t="shared" si="274"/>
        <v>ASEGURADO VOLUNTARIO</v>
      </c>
      <c r="N4151">
        <f t="shared" si="275"/>
        <v>29</v>
      </c>
      <c r="O4151" s="19" t="str">
        <f t="shared" si="276"/>
        <v>0–300k</v>
      </c>
      <c r="P4151" s="19" t="str">
        <f t="shared" si="277"/>
        <v>26-35</v>
      </c>
    </row>
    <row r="4152" spans="1:16" x14ac:dyDescent="0.25">
      <c r="A4152">
        <v>4151</v>
      </c>
      <c r="B4152" t="s">
        <v>9</v>
      </c>
      <c r="C4152">
        <v>534683</v>
      </c>
      <c r="D4152" t="s">
        <v>18</v>
      </c>
      <c r="E4152" t="s">
        <v>16</v>
      </c>
      <c r="F4152" t="s">
        <v>12</v>
      </c>
      <c r="G4152" t="s">
        <v>12</v>
      </c>
      <c r="H4152" t="s">
        <v>12</v>
      </c>
      <c r="I4152">
        <v>37</v>
      </c>
      <c r="J4152" t="str" cm="1">
        <f t="array" ref="J4152">_xlfn.IFS(ISBLANK(C4152),"FALTANTE",ABS((C4152-$W$5)/$X$5)&gt;1.96,"ATÍPICO",ABS((C4152-$W$5)/$X$5)&lt;=1.96,"NO ATÍPICO")</f>
        <v>NO ATÍPICO</v>
      </c>
      <c r="K4152" t="str" cm="1">
        <f t="array" ref="K4152">_xlfn.IFS(ISBLANK(I4152),"FALTANTE",ABS((I4152-$W$8)/$X$8)&gt;1.92,"ATÍPICO",ABS((I4152-$W$8)/$X$8)&lt;=1.92,"NO ATÍPICO")</f>
        <v>NO ATÍPICO</v>
      </c>
      <c r="L4152">
        <f t="shared" si="274"/>
        <v>534683</v>
      </c>
      <c r="M4152" t="str">
        <f t="shared" si="274"/>
        <v>TRABAJADOR INDEPENDIENTE</v>
      </c>
      <c r="N4152">
        <f t="shared" si="275"/>
        <v>37</v>
      </c>
      <c r="O4152" s="19" t="str">
        <f t="shared" si="276"/>
        <v>300k–600k</v>
      </c>
      <c r="P4152" s="19" t="str">
        <f t="shared" si="277"/>
        <v>36-45</v>
      </c>
    </row>
    <row r="4153" spans="1:16" x14ac:dyDescent="0.25">
      <c r="A4153">
        <v>4152</v>
      </c>
      <c r="B4153" t="s">
        <v>9</v>
      </c>
      <c r="C4153">
        <v>263305</v>
      </c>
      <c r="D4153" t="s">
        <v>10</v>
      </c>
      <c r="E4153" t="s">
        <v>16</v>
      </c>
      <c r="F4153" t="s">
        <v>12</v>
      </c>
      <c r="G4153" t="s">
        <v>13</v>
      </c>
      <c r="H4153" t="s">
        <v>12</v>
      </c>
      <c r="I4153">
        <v>34</v>
      </c>
      <c r="J4153" t="str" cm="1">
        <f t="array" ref="J4153">_xlfn.IFS(ISBLANK(C4153),"FALTANTE",ABS((C4153-$W$5)/$X$5)&gt;1.96,"ATÍPICO",ABS((C4153-$W$5)/$X$5)&lt;=1.96,"NO ATÍPICO")</f>
        <v>NO ATÍPICO</v>
      </c>
      <c r="K4153" t="str" cm="1">
        <f t="array" ref="K4153">_xlfn.IFS(ISBLANK(I4153),"FALTANTE",ABS((I4153-$W$8)/$X$8)&gt;1.92,"ATÍPICO",ABS((I4153-$W$8)/$X$8)&lt;=1.92,"NO ATÍPICO")</f>
        <v>NO ATÍPICO</v>
      </c>
      <c r="L4153">
        <f t="shared" si="274"/>
        <v>263305</v>
      </c>
      <c r="M4153" t="str">
        <f t="shared" si="274"/>
        <v>ASALARIADO</v>
      </c>
      <c r="N4153">
        <f t="shared" si="275"/>
        <v>34</v>
      </c>
      <c r="O4153" s="19" t="str">
        <f t="shared" si="276"/>
        <v>0–300k</v>
      </c>
      <c r="P4153" s="19" t="str">
        <f t="shared" si="277"/>
        <v>26-35</v>
      </c>
    </row>
    <row r="4154" spans="1:16" x14ac:dyDescent="0.25">
      <c r="A4154">
        <v>4153</v>
      </c>
      <c r="B4154" t="s">
        <v>9</v>
      </c>
      <c r="C4154">
        <v>359544.27</v>
      </c>
      <c r="D4154" t="s">
        <v>21</v>
      </c>
      <c r="E4154" t="s">
        <v>16</v>
      </c>
      <c r="F4154" t="s">
        <v>12</v>
      </c>
      <c r="G4154" t="s">
        <v>12</v>
      </c>
      <c r="H4154" t="s">
        <v>13</v>
      </c>
      <c r="I4154">
        <v>20</v>
      </c>
      <c r="J4154" t="str" cm="1">
        <f t="array" ref="J4154">_xlfn.IFS(ISBLANK(C4154),"FALTANTE",ABS((C4154-$W$5)/$X$5)&gt;1.96,"ATÍPICO",ABS((C4154-$W$5)/$X$5)&lt;=1.96,"NO ATÍPICO")</f>
        <v>NO ATÍPICO</v>
      </c>
      <c r="K4154" t="str" cm="1">
        <f t="array" ref="K4154">_xlfn.IFS(ISBLANK(I4154),"FALTANTE",ABS((I4154-$W$8)/$X$8)&gt;1.92,"ATÍPICO",ABS((I4154-$W$8)/$X$8)&lt;=1.92,"NO ATÍPICO")</f>
        <v>NO ATÍPICO</v>
      </c>
      <c r="L4154">
        <f t="shared" si="274"/>
        <v>359544.27</v>
      </c>
      <c r="M4154" t="str">
        <f t="shared" si="274"/>
        <v>CONVENIOS ESPECIALES DE ASEGURADOS VOLUNTARIOS</v>
      </c>
      <c r="N4154">
        <f t="shared" si="275"/>
        <v>20</v>
      </c>
      <c r="O4154" s="19" t="str">
        <f t="shared" si="276"/>
        <v>300k–600k</v>
      </c>
      <c r="P4154" s="19" t="str">
        <f t="shared" si="277"/>
        <v>18-25</v>
      </c>
    </row>
    <row r="4155" spans="1:16" x14ac:dyDescent="0.25">
      <c r="A4155">
        <v>4154</v>
      </c>
      <c r="B4155" t="s">
        <v>9</v>
      </c>
      <c r="C4155">
        <v>331059</v>
      </c>
      <c r="D4155" t="s">
        <v>18</v>
      </c>
      <c r="E4155" t="s">
        <v>16</v>
      </c>
      <c r="F4155" t="s">
        <v>12</v>
      </c>
      <c r="G4155" t="s">
        <v>13</v>
      </c>
      <c r="H4155" t="s">
        <v>12</v>
      </c>
      <c r="I4155">
        <v>45</v>
      </c>
      <c r="J4155" t="str" cm="1">
        <f t="array" ref="J4155">_xlfn.IFS(ISBLANK(C4155),"FALTANTE",ABS((C4155-$W$5)/$X$5)&gt;1.96,"ATÍPICO",ABS((C4155-$W$5)/$X$5)&lt;=1.96,"NO ATÍPICO")</f>
        <v>NO ATÍPICO</v>
      </c>
      <c r="K4155" t="str" cm="1">
        <f t="array" ref="K4155">_xlfn.IFS(ISBLANK(I4155),"FALTANTE",ABS((I4155-$W$8)/$X$8)&gt;1.92,"ATÍPICO",ABS((I4155-$W$8)/$X$8)&lt;=1.92,"NO ATÍPICO")</f>
        <v>NO ATÍPICO</v>
      </c>
      <c r="L4155">
        <f t="shared" si="274"/>
        <v>331059</v>
      </c>
      <c r="M4155" t="str">
        <f t="shared" si="274"/>
        <v>TRABAJADOR INDEPENDIENTE</v>
      </c>
      <c r="N4155">
        <f t="shared" si="275"/>
        <v>45</v>
      </c>
      <c r="O4155" s="19" t="str">
        <f t="shared" si="276"/>
        <v>300k–600k</v>
      </c>
      <c r="P4155" s="19" t="str">
        <f t="shared" si="277"/>
        <v>36-45</v>
      </c>
    </row>
    <row r="4156" spans="1:16" x14ac:dyDescent="0.25">
      <c r="A4156">
        <v>4155</v>
      </c>
      <c r="B4156" t="s">
        <v>15</v>
      </c>
      <c r="C4156">
        <v>1226666.67</v>
      </c>
      <c r="D4156" t="s">
        <v>10</v>
      </c>
      <c r="E4156" t="s">
        <v>16</v>
      </c>
      <c r="F4156" t="s">
        <v>12</v>
      </c>
      <c r="G4156" t="s">
        <v>13</v>
      </c>
      <c r="H4156" t="s">
        <v>13</v>
      </c>
      <c r="I4156">
        <v>26</v>
      </c>
      <c r="J4156" t="str" cm="1">
        <f t="array" ref="J4156">_xlfn.IFS(ISBLANK(C4156),"FALTANTE",ABS((C4156-$W$5)/$X$5)&gt;1.96,"ATÍPICO",ABS((C4156-$W$5)/$X$5)&lt;=1.96,"NO ATÍPICO")</f>
        <v>NO ATÍPICO</v>
      </c>
      <c r="K4156" t="str" cm="1">
        <f t="array" ref="K4156">_xlfn.IFS(ISBLANK(I4156),"FALTANTE",ABS((I4156-$W$8)/$X$8)&gt;1.92,"ATÍPICO",ABS((I4156-$W$8)/$X$8)&lt;=1.92,"NO ATÍPICO")</f>
        <v>NO ATÍPICO</v>
      </c>
      <c r="L4156">
        <f t="shared" si="274"/>
        <v>1226666.67</v>
      </c>
      <c r="M4156" t="str">
        <f t="shared" si="274"/>
        <v>ASALARIADO</v>
      </c>
      <c r="N4156">
        <f t="shared" si="275"/>
        <v>26</v>
      </c>
      <c r="O4156" s="19" t="str">
        <f t="shared" si="276"/>
        <v>1200k+</v>
      </c>
      <c r="P4156" s="19" t="str">
        <f t="shared" si="277"/>
        <v>26-35</v>
      </c>
    </row>
    <row r="4157" spans="1:16" x14ac:dyDescent="0.25">
      <c r="A4157">
        <v>4156</v>
      </c>
      <c r="B4157" t="s">
        <v>15</v>
      </c>
      <c r="C4157">
        <v>750000</v>
      </c>
      <c r="D4157" t="s">
        <v>10</v>
      </c>
      <c r="E4157" t="s">
        <v>16</v>
      </c>
      <c r="F4157" t="s">
        <v>12</v>
      </c>
      <c r="G4157" t="s">
        <v>13</v>
      </c>
      <c r="H4157" t="s">
        <v>13</v>
      </c>
      <c r="I4157">
        <v>35</v>
      </c>
      <c r="J4157" t="str" cm="1">
        <f t="array" ref="J4157">_xlfn.IFS(ISBLANK(C4157),"FALTANTE",ABS((C4157-$W$5)/$X$5)&gt;1.96,"ATÍPICO",ABS((C4157-$W$5)/$X$5)&lt;=1.96,"NO ATÍPICO")</f>
        <v>NO ATÍPICO</v>
      </c>
      <c r="K4157" t="str" cm="1">
        <f t="array" ref="K4157">_xlfn.IFS(ISBLANK(I4157),"FALTANTE",ABS((I4157-$W$8)/$X$8)&gt;1.92,"ATÍPICO",ABS((I4157-$W$8)/$X$8)&lt;=1.92,"NO ATÍPICO")</f>
        <v>NO ATÍPICO</v>
      </c>
      <c r="L4157">
        <f t="shared" si="274"/>
        <v>750000</v>
      </c>
      <c r="M4157" t="str">
        <f t="shared" si="274"/>
        <v>ASALARIADO</v>
      </c>
      <c r="N4157">
        <f t="shared" si="275"/>
        <v>35</v>
      </c>
      <c r="O4157" s="19" t="str">
        <f t="shared" si="276"/>
        <v>600k–900k</v>
      </c>
      <c r="P4157" s="19" t="str">
        <f t="shared" si="277"/>
        <v>26-35</v>
      </c>
    </row>
    <row r="4158" spans="1:16" x14ac:dyDescent="0.25">
      <c r="A4158">
        <v>4157</v>
      </c>
      <c r="B4158" t="s">
        <v>9</v>
      </c>
      <c r="C4158">
        <v>433710</v>
      </c>
      <c r="D4158" t="s">
        <v>10</v>
      </c>
      <c r="E4158" t="s">
        <v>16</v>
      </c>
      <c r="F4158" t="s">
        <v>12</v>
      </c>
      <c r="G4158" t="s">
        <v>13</v>
      </c>
      <c r="H4158" t="s">
        <v>13</v>
      </c>
      <c r="I4158">
        <v>60</v>
      </c>
      <c r="J4158" t="str" cm="1">
        <f t="array" ref="J4158">_xlfn.IFS(ISBLANK(C4158),"FALTANTE",ABS((C4158-$W$5)/$X$5)&gt;1.96,"ATÍPICO",ABS((C4158-$W$5)/$X$5)&lt;=1.96,"NO ATÍPICO")</f>
        <v>NO ATÍPICO</v>
      </c>
      <c r="K4158" t="str" cm="1">
        <f t="array" ref="K4158">_xlfn.IFS(ISBLANK(I4158),"FALTANTE",ABS((I4158-$W$8)/$X$8)&gt;1.92,"ATÍPICO",ABS((I4158-$W$8)/$X$8)&lt;=1.92,"NO ATÍPICO")</f>
        <v>NO ATÍPICO</v>
      </c>
      <c r="L4158">
        <f t="shared" si="274"/>
        <v>433710</v>
      </c>
      <c r="M4158" t="str">
        <f t="shared" si="274"/>
        <v>ASALARIADO</v>
      </c>
      <c r="N4158">
        <f t="shared" si="275"/>
        <v>60</v>
      </c>
      <c r="O4158" s="19" t="str">
        <f t="shared" si="276"/>
        <v>300k–600k</v>
      </c>
      <c r="P4158" s="19" t="str">
        <f t="shared" si="277"/>
        <v>56+</v>
      </c>
    </row>
    <row r="4159" spans="1:16" x14ac:dyDescent="0.25">
      <c r="A4159">
        <v>4158</v>
      </c>
      <c r="B4159" t="s">
        <v>9</v>
      </c>
      <c r="C4159">
        <v>540083</v>
      </c>
      <c r="D4159" t="s">
        <v>18</v>
      </c>
      <c r="E4159" t="s">
        <v>16</v>
      </c>
      <c r="F4159" t="s">
        <v>12</v>
      </c>
      <c r="G4159" t="s">
        <v>13</v>
      </c>
      <c r="H4159" t="s">
        <v>12</v>
      </c>
      <c r="I4159">
        <v>54</v>
      </c>
      <c r="J4159" t="str" cm="1">
        <f t="array" ref="J4159">_xlfn.IFS(ISBLANK(C4159),"FALTANTE",ABS((C4159-$W$5)/$X$5)&gt;1.96,"ATÍPICO",ABS((C4159-$W$5)/$X$5)&lt;=1.96,"NO ATÍPICO")</f>
        <v>NO ATÍPICO</v>
      </c>
      <c r="K4159" t="str" cm="1">
        <f t="array" ref="K4159">_xlfn.IFS(ISBLANK(I4159),"FALTANTE",ABS((I4159-$W$8)/$X$8)&gt;1.92,"ATÍPICO",ABS((I4159-$W$8)/$X$8)&lt;=1.92,"NO ATÍPICO")</f>
        <v>NO ATÍPICO</v>
      </c>
      <c r="L4159">
        <f t="shared" si="274"/>
        <v>540083</v>
      </c>
      <c r="M4159" t="str">
        <f t="shared" si="274"/>
        <v>TRABAJADOR INDEPENDIENTE</v>
      </c>
      <c r="N4159">
        <f t="shared" si="275"/>
        <v>54</v>
      </c>
      <c r="O4159" s="19" t="str">
        <f t="shared" si="276"/>
        <v>300k–600k</v>
      </c>
      <c r="P4159" s="19" t="str">
        <f t="shared" si="277"/>
        <v>46-55</v>
      </c>
    </row>
    <row r="4160" spans="1:16" x14ac:dyDescent="0.25">
      <c r="A4160">
        <v>4159</v>
      </c>
      <c r="B4160" t="s">
        <v>9</v>
      </c>
      <c r="C4160">
        <v>575195.69999999995</v>
      </c>
      <c r="D4160" t="s">
        <v>10</v>
      </c>
      <c r="E4160" t="s">
        <v>16</v>
      </c>
      <c r="F4160" t="s">
        <v>12</v>
      </c>
      <c r="G4160" t="s">
        <v>13</v>
      </c>
      <c r="H4160" t="s">
        <v>13</v>
      </c>
      <c r="I4160">
        <v>26</v>
      </c>
      <c r="J4160" t="str" cm="1">
        <f t="array" ref="J4160">_xlfn.IFS(ISBLANK(C4160),"FALTANTE",ABS((C4160-$W$5)/$X$5)&gt;1.96,"ATÍPICO",ABS((C4160-$W$5)/$X$5)&lt;=1.96,"NO ATÍPICO")</f>
        <v>NO ATÍPICO</v>
      </c>
      <c r="K4160" t="str" cm="1">
        <f t="array" ref="K4160">_xlfn.IFS(ISBLANK(I4160),"FALTANTE",ABS((I4160-$W$8)/$X$8)&gt;1.92,"ATÍPICO",ABS((I4160-$W$8)/$X$8)&lt;=1.92,"NO ATÍPICO")</f>
        <v>NO ATÍPICO</v>
      </c>
      <c r="L4160">
        <f t="shared" si="274"/>
        <v>575195.69999999995</v>
      </c>
      <c r="M4160" t="str">
        <f t="shared" si="274"/>
        <v>ASALARIADO</v>
      </c>
      <c r="N4160">
        <f t="shared" si="275"/>
        <v>26</v>
      </c>
      <c r="O4160" s="19" t="str">
        <f t="shared" si="276"/>
        <v>300k–600k</v>
      </c>
      <c r="P4160" s="19" t="str">
        <f t="shared" si="277"/>
        <v>26-35</v>
      </c>
    </row>
    <row r="4161" spans="1:16" x14ac:dyDescent="0.25">
      <c r="A4161">
        <v>4160</v>
      </c>
      <c r="B4161" t="s">
        <v>9</v>
      </c>
      <c r="C4161">
        <v>660110</v>
      </c>
      <c r="D4161" t="s">
        <v>10</v>
      </c>
      <c r="E4161" t="s">
        <v>16</v>
      </c>
      <c r="F4161" t="s">
        <v>12</v>
      </c>
      <c r="G4161" t="s">
        <v>13</v>
      </c>
      <c r="H4161" t="s">
        <v>13</v>
      </c>
      <c r="I4161">
        <v>54</v>
      </c>
      <c r="J4161" t="str" cm="1">
        <f t="array" ref="J4161">_xlfn.IFS(ISBLANK(C4161),"FALTANTE",ABS((C4161-$W$5)/$X$5)&gt;1.96,"ATÍPICO",ABS((C4161-$W$5)/$X$5)&lt;=1.96,"NO ATÍPICO")</f>
        <v>NO ATÍPICO</v>
      </c>
      <c r="K4161" t="str" cm="1">
        <f t="array" ref="K4161">_xlfn.IFS(ISBLANK(I4161),"FALTANTE",ABS((I4161-$W$8)/$X$8)&gt;1.92,"ATÍPICO",ABS((I4161-$W$8)/$X$8)&lt;=1.92,"NO ATÍPICO")</f>
        <v>NO ATÍPICO</v>
      </c>
      <c r="L4161">
        <f t="shared" si="274"/>
        <v>660110</v>
      </c>
      <c r="M4161" t="str">
        <f t="shared" si="274"/>
        <v>ASALARIADO</v>
      </c>
      <c r="N4161">
        <f t="shared" si="275"/>
        <v>54</v>
      </c>
      <c r="O4161" s="19" t="str">
        <f t="shared" si="276"/>
        <v>600k–900k</v>
      </c>
      <c r="P4161" s="19" t="str">
        <f t="shared" si="277"/>
        <v>46-55</v>
      </c>
    </row>
    <row r="4162" spans="1:16" x14ac:dyDescent="0.25">
      <c r="A4162">
        <v>4161</v>
      </c>
      <c r="B4162" t="s">
        <v>9</v>
      </c>
      <c r="C4162">
        <v>344000</v>
      </c>
      <c r="D4162" t="s">
        <v>10</v>
      </c>
      <c r="E4162" t="s">
        <v>16</v>
      </c>
      <c r="F4162" t="s">
        <v>12</v>
      </c>
      <c r="G4162" t="s">
        <v>13</v>
      </c>
      <c r="H4162" t="s">
        <v>13</v>
      </c>
      <c r="I4162">
        <v>33</v>
      </c>
      <c r="J4162" t="str" cm="1">
        <f t="array" ref="J4162">_xlfn.IFS(ISBLANK(C4162),"FALTANTE",ABS((C4162-$W$5)/$X$5)&gt;1.96,"ATÍPICO",ABS((C4162-$W$5)/$X$5)&lt;=1.96,"NO ATÍPICO")</f>
        <v>NO ATÍPICO</v>
      </c>
      <c r="K4162" t="str" cm="1">
        <f t="array" ref="K4162">_xlfn.IFS(ISBLANK(I4162),"FALTANTE",ABS((I4162-$W$8)/$X$8)&gt;1.92,"ATÍPICO",ABS((I4162-$W$8)/$X$8)&lt;=1.92,"NO ATÍPICO")</f>
        <v>NO ATÍPICO</v>
      </c>
      <c r="L4162">
        <f t="shared" ref="L4162:M4225" si="278">C4162</f>
        <v>344000</v>
      </c>
      <c r="M4162" t="str">
        <f t="shared" si="278"/>
        <v>ASALARIADO</v>
      </c>
      <c r="N4162">
        <f t="shared" ref="N4162:N4225" si="279">I4162</f>
        <v>33</v>
      </c>
      <c r="O4162" s="19" t="str">
        <f t="shared" ref="O4162:O4225" si="280">IF(L4162&lt;=300000,"0–300k",IF(L4162&lt;=600000,"300k–600k",IF(L4162&lt;=900000,"600k–900k",IF(L4162&lt;=1200000,"900k–1200k","1200k+"))))</f>
        <v>300k–600k</v>
      </c>
      <c r="P4162" s="19" t="str">
        <f t="shared" ref="P4162:P4225" si="281">IF(N4162 &lt;=25,"18-25", IF(N4162&lt;=35,"26-35", IF(N4162 &lt;=45,"36-45", IF(N4162&lt;=55,"46-55","56+"))))</f>
        <v>26-35</v>
      </c>
    </row>
    <row r="4163" spans="1:16" x14ac:dyDescent="0.25">
      <c r="A4163">
        <v>4162</v>
      </c>
      <c r="B4163" t="s">
        <v>15</v>
      </c>
      <c r="C4163">
        <v>1201546.2</v>
      </c>
      <c r="D4163" t="s">
        <v>10</v>
      </c>
      <c r="E4163" t="s">
        <v>11</v>
      </c>
      <c r="F4163" t="s">
        <v>12</v>
      </c>
      <c r="G4163" t="s">
        <v>13</v>
      </c>
      <c r="H4163" t="s">
        <v>13</v>
      </c>
      <c r="I4163">
        <v>28</v>
      </c>
      <c r="J4163" t="str" cm="1">
        <f t="array" ref="J4163">_xlfn.IFS(ISBLANK(C4163),"FALTANTE",ABS((C4163-$W$5)/$X$5)&gt;1.96,"ATÍPICO",ABS((C4163-$W$5)/$X$5)&lt;=1.96,"NO ATÍPICO")</f>
        <v>NO ATÍPICO</v>
      </c>
      <c r="K4163" t="str" cm="1">
        <f t="array" ref="K4163">_xlfn.IFS(ISBLANK(I4163),"FALTANTE",ABS((I4163-$W$8)/$X$8)&gt;1.92,"ATÍPICO",ABS((I4163-$W$8)/$X$8)&lt;=1.92,"NO ATÍPICO")</f>
        <v>NO ATÍPICO</v>
      </c>
      <c r="L4163">
        <f t="shared" si="278"/>
        <v>1201546.2</v>
      </c>
      <c r="M4163" t="str">
        <f t="shared" si="278"/>
        <v>ASALARIADO</v>
      </c>
      <c r="N4163">
        <f t="shared" si="279"/>
        <v>28</v>
      </c>
      <c r="O4163" s="19" t="str">
        <f t="shared" si="280"/>
        <v>1200k+</v>
      </c>
      <c r="P4163" s="19" t="str">
        <f t="shared" si="281"/>
        <v>26-35</v>
      </c>
    </row>
    <row r="4164" spans="1:16" x14ac:dyDescent="0.25">
      <c r="A4164">
        <v>4163</v>
      </c>
      <c r="B4164" t="s">
        <v>15</v>
      </c>
      <c r="C4164">
        <v>429500</v>
      </c>
      <c r="D4164" t="s">
        <v>10</v>
      </c>
      <c r="E4164" t="s">
        <v>16</v>
      </c>
      <c r="F4164" t="s">
        <v>12</v>
      </c>
      <c r="G4164" t="s">
        <v>13</v>
      </c>
      <c r="H4164" t="s">
        <v>13</v>
      </c>
      <c r="I4164">
        <v>53</v>
      </c>
      <c r="J4164" t="str" cm="1">
        <f t="array" ref="J4164">_xlfn.IFS(ISBLANK(C4164),"FALTANTE",ABS((C4164-$W$5)/$X$5)&gt;1.96,"ATÍPICO",ABS((C4164-$W$5)/$X$5)&lt;=1.96,"NO ATÍPICO")</f>
        <v>NO ATÍPICO</v>
      </c>
      <c r="K4164" t="str" cm="1">
        <f t="array" ref="K4164">_xlfn.IFS(ISBLANK(I4164),"FALTANTE",ABS((I4164-$W$8)/$X$8)&gt;1.92,"ATÍPICO",ABS((I4164-$W$8)/$X$8)&lt;=1.92,"NO ATÍPICO")</f>
        <v>NO ATÍPICO</v>
      </c>
      <c r="L4164">
        <f t="shared" si="278"/>
        <v>429500</v>
      </c>
      <c r="M4164" t="str">
        <f t="shared" si="278"/>
        <v>ASALARIADO</v>
      </c>
      <c r="N4164">
        <f t="shared" si="279"/>
        <v>53</v>
      </c>
      <c r="O4164" s="19" t="str">
        <f t="shared" si="280"/>
        <v>300k–600k</v>
      </c>
      <c r="P4164" s="19" t="str">
        <f t="shared" si="281"/>
        <v>46-55</v>
      </c>
    </row>
    <row r="4165" spans="1:16" x14ac:dyDescent="0.25">
      <c r="A4165">
        <v>4164</v>
      </c>
      <c r="B4165" t="s">
        <v>9</v>
      </c>
      <c r="C4165">
        <v>78000</v>
      </c>
      <c r="D4165" t="s">
        <v>10</v>
      </c>
      <c r="E4165" t="s">
        <v>16</v>
      </c>
      <c r="F4165" t="s">
        <v>12</v>
      </c>
      <c r="G4165" t="s">
        <v>13</v>
      </c>
      <c r="H4165" t="s">
        <v>12</v>
      </c>
      <c r="I4165">
        <v>31</v>
      </c>
      <c r="J4165" t="str" cm="1">
        <f t="array" ref="J4165">_xlfn.IFS(ISBLANK(C4165),"FALTANTE",ABS((C4165-$W$5)/$X$5)&gt;1.96,"ATÍPICO",ABS((C4165-$W$5)/$X$5)&lt;=1.96,"NO ATÍPICO")</f>
        <v>NO ATÍPICO</v>
      </c>
      <c r="K4165" t="str" cm="1">
        <f t="array" ref="K4165">_xlfn.IFS(ISBLANK(I4165),"FALTANTE",ABS((I4165-$W$8)/$X$8)&gt;1.92,"ATÍPICO",ABS((I4165-$W$8)/$X$8)&lt;=1.92,"NO ATÍPICO")</f>
        <v>NO ATÍPICO</v>
      </c>
      <c r="L4165">
        <f t="shared" si="278"/>
        <v>78000</v>
      </c>
      <c r="M4165" t="str">
        <f t="shared" si="278"/>
        <v>ASALARIADO</v>
      </c>
      <c r="N4165">
        <f t="shared" si="279"/>
        <v>31</v>
      </c>
      <c r="O4165" s="19" t="str">
        <f t="shared" si="280"/>
        <v>0–300k</v>
      </c>
      <c r="P4165" s="19" t="str">
        <f t="shared" si="281"/>
        <v>26-35</v>
      </c>
    </row>
    <row r="4166" spans="1:16" x14ac:dyDescent="0.25">
      <c r="A4166">
        <v>4165</v>
      </c>
      <c r="B4166" t="s">
        <v>9</v>
      </c>
      <c r="C4166">
        <v>318620</v>
      </c>
      <c r="D4166" t="s">
        <v>10</v>
      </c>
      <c r="E4166" t="s">
        <v>16</v>
      </c>
      <c r="F4166" t="s">
        <v>12</v>
      </c>
      <c r="G4166" t="s">
        <v>13</v>
      </c>
      <c r="H4166" t="s">
        <v>13</v>
      </c>
      <c r="I4166">
        <v>60</v>
      </c>
      <c r="J4166" t="str" cm="1">
        <f t="array" ref="J4166">_xlfn.IFS(ISBLANK(C4166),"FALTANTE",ABS((C4166-$W$5)/$X$5)&gt;1.96,"ATÍPICO",ABS((C4166-$W$5)/$X$5)&lt;=1.96,"NO ATÍPICO")</f>
        <v>NO ATÍPICO</v>
      </c>
      <c r="K4166" t="str" cm="1">
        <f t="array" ref="K4166">_xlfn.IFS(ISBLANK(I4166),"FALTANTE",ABS((I4166-$W$8)/$X$8)&gt;1.92,"ATÍPICO",ABS((I4166-$W$8)/$X$8)&lt;=1.92,"NO ATÍPICO")</f>
        <v>NO ATÍPICO</v>
      </c>
      <c r="L4166">
        <f t="shared" si="278"/>
        <v>318620</v>
      </c>
      <c r="M4166" t="str">
        <f t="shared" si="278"/>
        <v>ASALARIADO</v>
      </c>
      <c r="N4166">
        <f t="shared" si="279"/>
        <v>60</v>
      </c>
      <c r="O4166" s="19" t="str">
        <f t="shared" si="280"/>
        <v>300k–600k</v>
      </c>
      <c r="P4166" s="19" t="str">
        <f t="shared" si="281"/>
        <v>56+</v>
      </c>
    </row>
    <row r="4167" spans="1:16" x14ac:dyDescent="0.25">
      <c r="A4167">
        <v>4166</v>
      </c>
      <c r="B4167" t="s">
        <v>9</v>
      </c>
      <c r="C4167">
        <v>326035</v>
      </c>
      <c r="D4167" t="s">
        <v>14</v>
      </c>
      <c r="E4167" t="s">
        <v>11</v>
      </c>
      <c r="F4167" t="s">
        <v>12</v>
      </c>
      <c r="G4167" t="s">
        <v>13</v>
      </c>
      <c r="H4167" t="s">
        <v>13</v>
      </c>
      <c r="I4167">
        <v>67</v>
      </c>
      <c r="J4167" t="str" cm="1">
        <f t="array" ref="J4167">_xlfn.IFS(ISBLANK(C4167),"FALTANTE",ABS((C4167-$W$5)/$X$5)&gt;1.96,"ATÍPICO",ABS((C4167-$W$5)/$X$5)&lt;=1.96,"NO ATÍPICO")</f>
        <v>NO ATÍPICO</v>
      </c>
      <c r="K4167" t="str" cm="1">
        <f t="array" ref="K4167">_xlfn.IFS(ISBLANK(I4167),"FALTANTE",ABS((I4167-$W$8)/$X$8)&gt;1.92,"ATÍPICO",ABS((I4167-$W$8)/$X$8)&lt;=1.92,"NO ATÍPICO")</f>
        <v>NO ATÍPICO</v>
      </c>
      <c r="L4167">
        <f t="shared" si="278"/>
        <v>326035</v>
      </c>
      <c r="M4167" t="str">
        <f t="shared" si="278"/>
        <v>PENSIONADOS EN SU PROPIO SISTEMA</v>
      </c>
      <c r="N4167">
        <f t="shared" si="279"/>
        <v>67</v>
      </c>
      <c r="O4167" s="19" t="str">
        <f t="shared" si="280"/>
        <v>300k–600k</v>
      </c>
      <c r="P4167" s="19" t="str">
        <f t="shared" si="281"/>
        <v>56+</v>
      </c>
    </row>
    <row r="4168" spans="1:16" x14ac:dyDescent="0.25">
      <c r="A4168">
        <v>4167</v>
      </c>
      <c r="B4168" t="s">
        <v>9</v>
      </c>
      <c r="C4168">
        <v>73502.649999999994</v>
      </c>
      <c r="D4168" t="s">
        <v>10</v>
      </c>
      <c r="E4168" t="s">
        <v>16</v>
      </c>
      <c r="F4168" t="s">
        <v>12</v>
      </c>
      <c r="G4168" t="s">
        <v>12</v>
      </c>
      <c r="H4168" t="s">
        <v>13</v>
      </c>
      <c r="I4168">
        <v>41</v>
      </c>
      <c r="J4168" t="str" cm="1">
        <f t="array" ref="J4168">_xlfn.IFS(ISBLANK(C4168),"FALTANTE",ABS((C4168-$W$5)/$X$5)&gt;1.96,"ATÍPICO",ABS((C4168-$W$5)/$X$5)&lt;=1.96,"NO ATÍPICO")</f>
        <v>NO ATÍPICO</v>
      </c>
      <c r="K4168" t="str" cm="1">
        <f t="array" ref="K4168">_xlfn.IFS(ISBLANK(I4168),"FALTANTE",ABS((I4168-$W$8)/$X$8)&gt;1.92,"ATÍPICO",ABS((I4168-$W$8)/$X$8)&lt;=1.92,"NO ATÍPICO")</f>
        <v>NO ATÍPICO</v>
      </c>
      <c r="L4168">
        <f t="shared" si="278"/>
        <v>73502.649999999994</v>
      </c>
      <c r="M4168" t="str">
        <f t="shared" si="278"/>
        <v>ASALARIADO</v>
      </c>
      <c r="N4168">
        <f t="shared" si="279"/>
        <v>41</v>
      </c>
      <c r="O4168" s="19" t="str">
        <f t="shared" si="280"/>
        <v>0–300k</v>
      </c>
      <c r="P4168" s="19" t="str">
        <f t="shared" si="281"/>
        <v>36-45</v>
      </c>
    </row>
    <row r="4169" spans="1:16" x14ac:dyDescent="0.25">
      <c r="A4169">
        <v>4168</v>
      </c>
      <c r="B4169" t="s">
        <v>15</v>
      </c>
      <c r="C4169">
        <v>297429</v>
      </c>
      <c r="D4169" t="s">
        <v>17</v>
      </c>
      <c r="E4169" t="s">
        <v>16</v>
      </c>
      <c r="F4169" t="s">
        <v>12</v>
      </c>
      <c r="G4169" t="s">
        <v>12</v>
      </c>
      <c r="H4169" t="s">
        <v>12</v>
      </c>
      <c r="I4169">
        <v>38</v>
      </c>
      <c r="J4169" t="str" cm="1">
        <f t="array" ref="J4169">_xlfn.IFS(ISBLANK(C4169),"FALTANTE",ABS((C4169-$W$5)/$X$5)&gt;1.96,"ATÍPICO",ABS((C4169-$W$5)/$X$5)&lt;=1.96,"NO ATÍPICO")</f>
        <v>NO ATÍPICO</v>
      </c>
      <c r="K4169" t="str" cm="1">
        <f t="array" ref="K4169">_xlfn.IFS(ISBLANK(I4169),"FALTANTE",ABS((I4169-$W$8)/$X$8)&gt;1.92,"ATÍPICO",ABS((I4169-$W$8)/$X$8)&lt;=1.92,"NO ATÍPICO")</f>
        <v>NO ATÍPICO</v>
      </c>
      <c r="L4169">
        <f t="shared" si="278"/>
        <v>297429</v>
      </c>
      <c r="M4169" t="str">
        <f t="shared" si="278"/>
        <v>ASEGURADO VOLUNTARIO</v>
      </c>
      <c r="N4169">
        <f t="shared" si="279"/>
        <v>38</v>
      </c>
      <c r="O4169" s="19" t="str">
        <f t="shared" si="280"/>
        <v>0–300k</v>
      </c>
      <c r="P4169" s="19" t="str">
        <f t="shared" si="281"/>
        <v>36-45</v>
      </c>
    </row>
    <row r="4170" spans="1:16" x14ac:dyDescent="0.25">
      <c r="A4170">
        <v>4169</v>
      </c>
      <c r="B4170" t="s">
        <v>9</v>
      </c>
      <c r="C4170">
        <v>104226</v>
      </c>
      <c r="D4170" t="s">
        <v>10</v>
      </c>
      <c r="E4170" t="s">
        <v>16</v>
      </c>
      <c r="F4170" t="s">
        <v>12</v>
      </c>
      <c r="G4170" t="s">
        <v>13</v>
      </c>
      <c r="H4170" t="s">
        <v>13</v>
      </c>
      <c r="I4170">
        <v>22</v>
      </c>
      <c r="J4170" t="str" cm="1">
        <f t="array" ref="J4170">_xlfn.IFS(ISBLANK(C4170),"FALTANTE",ABS((C4170-$W$5)/$X$5)&gt;1.96,"ATÍPICO",ABS((C4170-$W$5)/$X$5)&lt;=1.96,"NO ATÍPICO")</f>
        <v>NO ATÍPICO</v>
      </c>
      <c r="K4170" t="str" cm="1">
        <f t="array" ref="K4170">_xlfn.IFS(ISBLANK(I4170),"FALTANTE",ABS((I4170-$W$8)/$X$8)&gt;1.92,"ATÍPICO",ABS((I4170-$W$8)/$X$8)&lt;=1.92,"NO ATÍPICO")</f>
        <v>NO ATÍPICO</v>
      </c>
      <c r="L4170">
        <f t="shared" si="278"/>
        <v>104226</v>
      </c>
      <c r="M4170" t="str">
        <f t="shared" si="278"/>
        <v>ASALARIADO</v>
      </c>
      <c r="N4170">
        <f t="shared" si="279"/>
        <v>22</v>
      </c>
      <c r="O4170" s="19" t="str">
        <f t="shared" si="280"/>
        <v>0–300k</v>
      </c>
      <c r="P4170" s="19" t="str">
        <f t="shared" si="281"/>
        <v>18-25</v>
      </c>
    </row>
    <row r="4171" spans="1:16" x14ac:dyDescent="0.25">
      <c r="A4171">
        <v>4170</v>
      </c>
      <c r="B4171" t="s">
        <v>15</v>
      </c>
      <c r="C4171">
        <v>316043</v>
      </c>
      <c r="D4171" t="s">
        <v>10</v>
      </c>
      <c r="E4171" t="s">
        <v>11</v>
      </c>
      <c r="F4171" t="s">
        <v>12</v>
      </c>
      <c r="G4171" t="s">
        <v>13</v>
      </c>
      <c r="H4171" t="s">
        <v>13</v>
      </c>
      <c r="I4171">
        <v>49</v>
      </c>
      <c r="J4171" t="str" cm="1">
        <f t="array" ref="J4171">_xlfn.IFS(ISBLANK(C4171),"FALTANTE",ABS((C4171-$W$5)/$X$5)&gt;1.96,"ATÍPICO",ABS((C4171-$W$5)/$X$5)&lt;=1.96,"NO ATÍPICO")</f>
        <v>NO ATÍPICO</v>
      </c>
      <c r="K4171" t="str" cm="1">
        <f t="array" ref="K4171">_xlfn.IFS(ISBLANK(I4171),"FALTANTE",ABS((I4171-$W$8)/$X$8)&gt;1.92,"ATÍPICO",ABS((I4171-$W$8)/$X$8)&lt;=1.92,"NO ATÍPICO")</f>
        <v>NO ATÍPICO</v>
      </c>
      <c r="L4171">
        <f t="shared" si="278"/>
        <v>316043</v>
      </c>
      <c r="M4171" t="str">
        <f t="shared" si="278"/>
        <v>ASALARIADO</v>
      </c>
      <c r="N4171">
        <f t="shared" si="279"/>
        <v>49</v>
      </c>
      <c r="O4171" s="19" t="str">
        <f t="shared" si="280"/>
        <v>300k–600k</v>
      </c>
      <c r="P4171" s="19" t="str">
        <f t="shared" si="281"/>
        <v>46-55</v>
      </c>
    </row>
    <row r="4172" spans="1:16" x14ac:dyDescent="0.25">
      <c r="A4172">
        <v>4171</v>
      </c>
      <c r="B4172" t="s">
        <v>9</v>
      </c>
      <c r="C4172">
        <v>829677.14</v>
      </c>
      <c r="D4172" t="s">
        <v>10</v>
      </c>
      <c r="E4172" t="s">
        <v>11</v>
      </c>
      <c r="F4172" t="s">
        <v>12</v>
      </c>
      <c r="G4172" t="s">
        <v>13</v>
      </c>
      <c r="H4172" t="s">
        <v>13</v>
      </c>
      <c r="I4172">
        <v>47</v>
      </c>
      <c r="J4172" t="str" cm="1">
        <f t="array" ref="J4172">_xlfn.IFS(ISBLANK(C4172),"FALTANTE",ABS((C4172-$W$5)/$X$5)&gt;1.96,"ATÍPICO",ABS((C4172-$W$5)/$X$5)&lt;=1.96,"NO ATÍPICO")</f>
        <v>NO ATÍPICO</v>
      </c>
      <c r="K4172" t="str" cm="1">
        <f t="array" ref="K4172">_xlfn.IFS(ISBLANK(I4172),"FALTANTE",ABS((I4172-$W$8)/$X$8)&gt;1.92,"ATÍPICO",ABS((I4172-$W$8)/$X$8)&lt;=1.92,"NO ATÍPICO")</f>
        <v>NO ATÍPICO</v>
      </c>
      <c r="L4172">
        <f t="shared" si="278"/>
        <v>829677.14</v>
      </c>
      <c r="M4172" t="str">
        <f t="shared" si="278"/>
        <v>ASALARIADO</v>
      </c>
      <c r="N4172">
        <f t="shared" si="279"/>
        <v>47</v>
      </c>
      <c r="O4172" s="19" t="str">
        <f t="shared" si="280"/>
        <v>600k–900k</v>
      </c>
      <c r="P4172" s="19" t="str">
        <f t="shared" si="281"/>
        <v>46-55</v>
      </c>
    </row>
    <row r="4173" spans="1:16" x14ac:dyDescent="0.25">
      <c r="A4173">
        <v>4172</v>
      </c>
      <c r="B4173" t="s">
        <v>15</v>
      </c>
      <c r="C4173">
        <v>522807.1</v>
      </c>
      <c r="D4173" t="s">
        <v>14</v>
      </c>
      <c r="E4173" t="s">
        <v>11</v>
      </c>
      <c r="F4173" t="s">
        <v>12</v>
      </c>
      <c r="G4173" t="s">
        <v>13</v>
      </c>
      <c r="H4173" t="s">
        <v>13</v>
      </c>
      <c r="I4173">
        <v>70</v>
      </c>
      <c r="J4173" t="str" cm="1">
        <f t="array" ref="J4173">_xlfn.IFS(ISBLANK(C4173),"FALTANTE",ABS((C4173-$W$5)/$X$5)&gt;1.96,"ATÍPICO",ABS((C4173-$W$5)/$X$5)&lt;=1.96,"NO ATÍPICO")</f>
        <v>NO ATÍPICO</v>
      </c>
      <c r="K4173" t="str" cm="1">
        <f t="array" ref="K4173">_xlfn.IFS(ISBLANK(I4173),"FALTANTE",ABS((I4173-$W$8)/$X$8)&gt;1.92,"ATÍPICO",ABS((I4173-$W$8)/$X$8)&lt;=1.92,"NO ATÍPICO")</f>
        <v>ATÍPICO</v>
      </c>
      <c r="L4173">
        <f t="shared" si="278"/>
        <v>522807.1</v>
      </c>
      <c r="M4173" t="str">
        <f t="shared" si="278"/>
        <v>PENSIONADOS EN SU PROPIO SISTEMA</v>
      </c>
      <c r="N4173">
        <f t="shared" si="279"/>
        <v>70</v>
      </c>
      <c r="O4173" s="19" t="str">
        <f t="shared" si="280"/>
        <v>300k–600k</v>
      </c>
      <c r="P4173" s="19" t="str">
        <f t="shared" si="281"/>
        <v>56+</v>
      </c>
    </row>
    <row r="4174" spans="1:16" x14ac:dyDescent="0.25">
      <c r="A4174">
        <v>4173</v>
      </c>
      <c r="B4174" t="s">
        <v>9</v>
      </c>
      <c r="C4174">
        <v>299441</v>
      </c>
      <c r="D4174" t="s">
        <v>17</v>
      </c>
      <c r="E4174" t="s">
        <v>16</v>
      </c>
      <c r="F4174" t="s">
        <v>12</v>
      </c>
      <c r="G4174" t="s">
        <v>12</v>
      </c>
      <c r="H4174" t="s">
        <v>13</v>
      </c>
      <c r="I4174">
        <v>35</v>
      </c>
      <c r="J4174" t="str" cm="1">
        <f t="array" ref="J4174">_xlfn.IFS(ISBLANK(C4174),"FALTANTE",ABS((C4174-$W$5)/$X$5)&gt;1.96,"ATÍPICO",ABS((C4174-$W$5)/$X$5)&lt;=1.96,"NO ATÍPICO")</f>
        <v>NO ATÍPICO</v>
      </c>
      <c r="K4174" t="str" cm="1">
        <f t="array" ref="K4174">_xlfn.IFS(ISBLANK(I4174),"FALTANTE",ABS((I4174-$W$8)/$X$8)&gt;1.92,"ATÍPICO",ABS((I4174-$W$8)/$X$8)&lt;=1.92,"NO ATÍPICO")</f>
        <v>NO ATÍPICO</v>
      </c>
      <c r="L4174">
        <f t="shared" si="278"/>
        <v>299441</v>
      </c>
      <c r="M4174" t="str">
        <f t="shared" si="278"/>
        <v>ASEGURADO VOLUNTARIO</v>
      </c>
      <c r="N4174">
        <f t="shared" si="279"/>
        <v>35</v>
      </c>
      <c r="O4174" s="19" t="str">
        <f t="shared" si="280"/>
        <v>0–300k</v>
      </c>
      <c r="P4174" s="19" t="str">
        <f t="shared" si="281"/>
        <v>26-35</v>
      </c>
    </row>
    <row r="4175" spans="1:16" x14ac:dyDescent="0.25">
      <c r="A4175">
        <v>4174</v>
      </c>
      <c r="B4175" t="s">
        <v>15</v>
      </c>
      <c r="C4175">
        <v>1594950</v>
      </c>
      <c r="D4175" t="s">
        <v>10</v>
      </c>
      <c r="E4175" t="s">
        <v>16</v>
      </c>
      <c r="F4175" t="s">
        <v>12</v>
      </c>
      <c r="G4175" t="s">
        <v>13</v>
      </c>
      <c r="H4175" t="s">
        <v>13</v>
      </c>
      <c r="I4175">
        <v>32</v>
      </c>
      <c r="J4175" t="str" cm="1">
        <f t="array" ref="J4175">_xlfn.IFS(ISBLANK(C4175),"FALTANTE",ABS((C4175-$W$5)/$X$5)&gt;1.96,"ATÍPICO",ABS((C4175-$W$5)/$X$5)&lt;=1.96,"NO ATÍPICO")</f>
        <v>NO ATÍPICO</v>
      </c>
      <c r="K4175" t="str" cm="1">
        <f t="array" ref="K4175">_xlfn.IFS(ISBLANK(I4175),"FALTANTE",ABS((I4175-$W$8)/$X$8)&gt;1.92,"ATÍPICO",ABS((I4175-$W$8)/$X$8)&lt;=1.92,"NO ATÍPICO")</f>
        <v>NO ATÍPICO</v>
      </c>
      <c r="L4175">
        <f t="shared" si="278"/>
        <v>1594950</v>
      </c>
      <c r="M4175" t="str">
        <f t="shared" si="278"/>
        <v>ASALARIADO</v>
      </c>
      <c r="N4175">
        <f t="shared" si="279"/>
        <v>32</v>
      </c>
      <c r="O4175" s="19" t="str">
        <f t="shared" si="280"/>
        <v>1200k+</v>
      </c>
      <c r="P4175" s="19" t="str">
        <f t="shared" si="281"/>
        <v>26-35</v>
      </c>
    </row>
    <row r="4176" spans="1:16" x14ac:dyDescent="0.25">
      <c r="A4176">
        <v>4175</v>
      </c>
      <c r="B4176" t="s">
        <v>9</v>
      </c>
      <c r="C4176">
        <v>417317.4</v>
      </c>
      <c r="D4176" t="s">
        <v>10</v>
      </c>
      <c r="E4176" t="s">
        <v>16</v>
      </c>
      <c r="F4176" t="s">
        <v>12</v>
      </c>
      <c r="G4176" t="s">
        <v>12</v>
      </c>
      <c r="H4176" t="s">
        <v>13</v>
      </c>
      <c r="I4176">
        <v>32</v>
      </c>
      <c r="J4176" t="str" cm="1">
        <f t="array" ref="J4176">_xlfn.IFS(ISBLANK(C4176),"FALTANTE",ABS((C4176-$W$5)/$X$5)&gt;1.96,"ATÍPICO",ABS((C4176-$W$5)/$X$5)&lt;=1.96,"NO ATÍPICO")</f>
        <v>NO ATÍPICO</v>
      </c>
      <c r="K4176" t="str" cm="1">
        <f t="array" ref="K4176">_xlfn.IFS(ISBLANK(I4176),"FALTANTE",ABS((I4176-$W$8)/$X$8)&gt;1.92,"ATÍPICO",ABS((I4176-$W$8)/$X$8)&lt;=1.92,"NO ATÍPICO")</f>
        <v>NO ATÍPICO</v>
      </c>
      <c r="L4176">
        <f t="shared" si="278"/>
        <v>417317.4</v>
      </c>
      <c r="M4176" t="str">
        <f t="shared" si="278"/>
        <v>ASALARIADO</v>
      </c>
      <c r="N4176">
        <f t="shared" si="279"/>
        <v>32</v>
      </c>
      <c r="O4176" s="19" t="str">
        <f t="shared" si="280"/>
        <v>300k–600k</v>
      </c>
      <c r="P4176" s="19" t="str">
        <f t="shared" si="281"/>
        <v>26-35</v>
      </c>
    </row>
    <row r="4177" spans="1:16" x14ac:dyDescent="0.25">
      <c r="A4177">
        <v>4176</v>
      </c>
      <c r="B4177" t="s">
        <v>9</v>
      </c>
      <c r="C4177">
        <v>428852.94</v>
      </c>
      <c r="D4177" t="s">
        <v>10</v>
      </c>
      <c r="E4177" t="s">
        <v>16</v>
      </c>
      <c r="F4177" t="s">
        <v>12</v>
      </c>
      <c r="G4177" t="s">
        <v>12</v>
      </c>
      <c r="H4177" t="s">
        <v>13</v>
      </c>
      <c r="I4177">
        <v>32</v>
      </c>
      <c r="J4177" t="str" cm="1">
        <f t="array" ref="J4177">_xlfn.IFS(ISBLANK(C4177),"FALTANTE",ABS((C4177-$W$5)/$X$5)&gt;1.96,"ATÍPICO",ABS((C4177-$W$5)/$X$5)&lt;=1.96,"NO ATÍPICO")</f>
        <v>NO ATÍPICO</v>
      </c>
      <c r="K4177" t="str" cm="1">
        <f t="array" ref="K4177">_xlfn.IFS(ISBLANK(I4177),"FALTANTE",ABS((I4177-$W$8)/$X$8)&gt;1.92,"ATÍPICO",ABS((I4177-$W$8)/$X$8)&lt;=1.92,"NO ATÍPICO")</f>
        <v>NO ATÍPICO</v>
      </c>
      <c r="L4177">
        <f t="shared" si="278"/>
        <v>428852.94</v>
      </c>
      <c r="M4177" t="str">
        <f t="shared" si="278"/>
        <v>ASALARIADO</v>
      </c>
      <c r="N4177">
        <f t="shared" si="279"/>
        <v>32</v>
      </c>
      <c r="O4177" s="19" t="str">
        <f t="shared" si="280"/>
        <v>300k–600k</v>
      </c>
      <c r="P4177" s="19" t="str">
        <f t="shared" si="281"/>
        <v>26-35</v>
      </c>
    </row>
    <row r="4178" spans="1:16" x14ac:dyDescent="0.25">
      <c r="A4178">
        <v>4177</v>
      </c>
      <c r="B4178" t="s">
        <v>9</v>
      </c>
      <c r="C4178">
        <v>359544.27</v>
      </c>
      <c r="D4178" t="s">
        <v>21</v>
      </c>
      <c r="E4178" t="s">
        <v>16</v>
      </c>
      <c r="F4178" t="s">
        <v>12</v>
      </c>
      <c r="G4178" t="s">
        <v>12</v>
      </c>
      <c r="H4178" t="s">
        <v>13</v>
      </c>
      <c r="I4178">
        <v>61</v>
      </c>
      <c r="J4178" t="str" cm="1">
        <f t="array" ref="J4178">_xlfn.IFS(ISBLANK(C4178),"FALTANTE",ABS((C4178-$W$5)/$X$5)&gt;1.96,"ATÍPICO",ABS((C4178-$W$5)/$X$5)&lt;=1.96,"NO ATÍPICO")</f>
        <v>NO ATÍPICO</v>
      </c>
      <c r="K4178" t="str" cm="1">
        <f t="array" ref="K4178">_xlfn.IFS(ISBLANK(I4178),"FALTANTE",ABS((I4178-$W$8)/$X$8)&gt;1.92,"ATÍPICO",ABS((I4178-$W$8)/$X$8)&lt;=1.92,"NO ATÍPICO")</f>
        <v>NO ATÍPICO</v>
      </c>
      <c r="L4178">
        <f t="shared" si="278"/>
        <v>359544.27</v>
      </c>
      <c r="M4178" t="str">
        <f t="shared" si="278"/>
        <v>CONVENIOS ESPECIALES DE ASEGURADOS VOLUNTARIOS</v>
      </c>
      <c r="N4178">
        <f t="shared" si="279"/>
        <v>61</v>
      </c>
      <c r="O4178" s="19" t="str">
        <f t="shared" si="280"/>
        <v>300k–600k</v>
      </c>
      <c r="P4178" s="19" t="str">
        <f t="shared" si="281"/>
        <v>56+</v>
      </c>
    </row>
    <row r="4179" spans="1:16" x14ac:dyDescent="0.25">
      <c r="A4179">
        <v>4178</v>
      </c>
      <c r="B4179" t="s">
        <v>9</v>
      </c>
      <c r="C4179">
        <v>141509.48000000001</v>
      </c>
      <c r="D4179" t="s">
        <v>14</v>
      </c>
      <c r="E4179" t="s">
        <v>11</v>
      </c>
      <c r="F4179" t="s">
        <v>12</v>
      </c>
      <c r="G4179" t="s">
        <v>13</v>
      </c>
      <c r="H4179" t="s">
        <v>13</v>
      </c>
      <c r="I4179">
        <v>93</v>
      </c>
      <c r="J4179" t="str" cm="1">
        <f t="array" ref="J4179">_xlfn.IFS(ISBLANK(C4179),"FALTANTE",ABS((C4179-$W$5)/$X$5)&gt;1.96,"ATÍPICO",ABS((C4179-$W$5)/$X$5)&lt;=1.96,"NO ATÍPICO")</f>
        <v>NO ATÍPICO</v>
      </c>
      <c r="K4179" t="str" cm="1">
        <f t="array" ref="K4179">_xlfn.IFS(ISBLANK(I4179),"FALTANTE",ABS((I4179-$W$8)/$X$8)&gt;1.92,"ATÍPICO",ABS((I4179-$W$8)/$X$8)&lt;=1.92,"NO ATÍPICO")</f>
        <v>ATÍPICO</v>
      </c>
      <c r="L4179">
        <f t="shared" si="278"/>
        <v>141509.48000000001</v>
      </c>
      <c r="M4179" t="str">
        <f t="shared" si="278"/>
        <v>PENSIONADOS EN SU PROPIO SISTEMA</v>
      </c>
      <c r="N4179">
        <f t="shared" si="279"/>
        <v>93</v>
      </c>
      <c r="O4179" s="19" t="str">
        <f t="shared" si="280"/>
        <v>0–300k</v>
      </c>
      <c r="P4179" s="19" t="str">
        <f t="shared" si="281"/>
        <v>56+</v>
      </c>
    </row>
    <row r="4180" spans="1:16" x14ac:dyDescent="0.25">
      <c r="A4180">
        <v>4179</v>
      </c>
      <c r="B4180" t="s">
        <v>9</v>
      </c>
      <c r="C4180">
        <v>480445</v>
      </c>
      <c r="D4180" t="s">
        <v>10</v>
      </c>
      <c r="E4180" t="s">
        <v>11</v>
      </c>
      <c r="F4180" t="s">
        <v>12</v>
      </c>
      <c r="G4180" t="s">
        <v>13</v>
      </c>
      <c r="H4180" t="s">
        <v>13</v>
      </c>
      <c r="I4180">
        <v>44</v>
      </c>
      <c r="J4180" t="str" cm="1">
        <f t="array" ref="J4180">_xlfn.IFS(ISBLANK(C4180),"FALTANTE",ABS((C4180-$W$5)/$X$5)&gt;1.96,"ATÍPICO",ABS((C4180-$W$5)/$X$5)&lt;=1.96,"NO ATÍPICO")</f>
        <v>NO ATÍPICO</v>
      </c>
      <c r="K4180" t="str" cm="1">
        <f t="array" ref="K4180">_xlfn.IFS(ISBLANK(I4180),"FALTANTE",ABS((I4180-$W$8)/$X$8)&gt;1.92,"ATÍPICO",ABS((I4180-$W$8)/$X$8)&lt;=1.92,"NO ATÍPICO")</f>
        <v>NO ATÍPICO</v>
      </c>
      <c r="L4180">
        <f t="shared" si="278"/>
        <v>480445</v>
      </c>
      <c r="M4180" t="str">
        <f t="shared" si="278"/>
        <v>ASALARIADO</v>
      </c>
      <c r="N4180">
        <f t="shared" si="279"/>
        <v>44</v>
      </c>
      <c r="O4180" s="19" t="str">
        <f t="shared" si="280"/>
        <v>300k–600k</v>
      </c>
      <c r="P4180" s="19" t="str">
        <f t="shared" si="281"/>
        <v>36-45</v>
      </c>
    </row>
    <row r="4181" spans="1:16" x14ac:dyDescent="0.25">
      <c r="A4181">
        <v>4180</v>
      </c>
      <c r="B4181" t="s">
        <v>15</v>
      </c>
      <c r="C4181">
        <v>300000</v>
      </c>
      <c r="D4181" t="s">
        <v>10</v>
      </c>
      <c r="E4181" t="s">
        <v>16</v>
      </c>
      <c r="F4181" t="s">
        <v>12</v>
      </c>
      <c r="G4181" t="s">
        <v>13</v>
      </c>
      <c r="H4181" t="s">
        <v>12</v>
      </c>
      <c r="I4181">
        <v>43</v>
      </c>
      <c r="J4181" t="str" cm="1">
        <f t="array" ref="J4181">_xlfn.IFS(ISBLANK(C4181),"FALTANTE",ABS((C4181-$W$5)/$X$5)&gt;1.96,"ATÍPICO",ABS((C4181-$W$5)/$X$5)&lt;=1.96,"NO ATÍPICO")</f>
        <v>NO ATÍPICO</v>
      </c>
      <c r="K4181" t="str" cm="1">
        <f t="array" ref="K4181">_xlfn.IFS(ISBLANK(I4181),"FALTANTE",ABS((I4181-$W$8)/$X$8)&gt;1.92,"ATÍPICO",ABS((I4181-$W$8)/$X$8)&lt;=1.92,"NO ATÍPICO")</f>
        <v>NO ATÍPICO</v>
      </c>
      <c r="L4181">
        <f t="shared" si="278"/>
        <v>300000</v>
      </c>
      <c r="M4181" t="str">
        <f t="shared" si="278"/>
        <v>ASALARIADO</v>
      </c>
      <c r="N4181">
        <f t="shared" si="279"/>
        <v>43</v>
      </c>
      <c r="O4181" s="19" t="str">
        <f t="shared" si="280"/>
        <v>0–300k</v>
      </c>
      <c r="P4181" s="19" t="str">
        <f t="shared" si="281"/>
        <v>36-45</v>
      </c>
    </row>
    <row r="4182" spans="1:16" x14ac:dyDescent="0.25">
      <c r="A4182">
        <v>4181</v>
      </c>
      <c r="B4182" t="s">
        <v>9</v>
      </c>
      <c r="C4182">
        <v>417493.72</v>
      </c>
      <c r="D4182" t="s">
        <v>10</v>
      </c>
      <c r="E4182" t="s">
        <v>16</v>
      </c>
      <c r="F4182" t="s">
        <v>12</v>
      </c>
      <c r="G4182" t="s">
        <v>12</v>
      </c>
      <c r="H4182" t="s">
        <v>13</v>
      </c>
      <c r="I4182">
        <v>57</v>
      </c>
      <c r="J4182" t="str" cm="1">
        <f t="array" ref="J4182">_xlfn.IFS(ISBLANK(C4182),"FALTANTE",ABS((C4182-$W$5)/$X$5)&gt;1.96,"ATÍPICO",ABS((C4182-$W$5)/$X$5)&lt;=1.96,"NO ATÍPICO")</f>
        <v>NO ATÍPICO</v>
      </c>
      <c r="K4182" t="str" cm="1">
        <f t="array" ref="K4182">_xlfn.IFS(ISBLANK(I4182),"FALTANTE",ABS((I4182-$W$8)/$X$8)&gt;1.92,"ATÍPICO",ABS((I4182-$W$8)/$X$8)&lt;=1.92,"NO ATÍPICO")</f>
        <v>NO ATÍPICO</v>
      </c>
      <c r="L4182">
        <f t="shared" si="278"/>
        <v>417493.72</v>
      </c>
      <c r="M4182" t="str">
        <f t="shared" si="278"/>
        <v>ASALARIADO</v>
      </c>
      <c r="N4182">
        <f t="shared" si="279"/>
        <v>57</v>
      </c>
      <c r="O4182" s="19" t="str">
        <f t="shared" si="280"/>
        <v>300k–600k</v>
      </c>
      <c r="P4182" s="19" t="str">
        <f t="shared" si="281"/>
        <v>56+</v>
      </c>
    </row>
    <row r="4183" spans="1:16" x14ac:dyDescent="0.25">
      <c r="A4183">
        <v>4182</v>
      </c>
      <c r="B4183" t="s">
        <v>9</v>
      </c>
      <c r="C4183">
        <v>1709162</v>
      </c>
      <c r="D4183" t="s">
        <v>10</v>
      </c>
      <c r="E4183" t="s">
        <v>11</v>
      </c>
      <c r="F4183" t="s">
        <v>12</v>
      </c>
      <c r="G4183" t="s">
        <v>13</v>
      </c>
      <c r="H4183" t="s">
        <v>12</v>
      </c>
      <c r="I4183">
        <v>45</v>
      </c>
      <c r="J4183" t="str" cm="1">
        <f t="array" ref="J4183">_xlfn.IFS(ISBLANK(C4183),"FALTANTE",ABS((C4183-$W$5)/$X$5)&gt;1.96,"ATÍPICO",ABS((C4183-$W$5)/$X$5)&lt;=1.96,"NO ATÍPICO")</f>
        <v>NO ATÍPICO</v>
      </c>
      <c r="K4183" t="str" cm="1">
        <f t="array" ref="K4183">_xlfn.IFS(ISBLANK(I4183),"FALTANTE",ABS((I4183-$W$8)/$X$8)&gt;1.92,"ATÍPICO",ABS((I4183-$W$8)/$X$8)&lt;=1.92,"NO ATÍPICO")</f>
        <v>NO ATÍPICO</v>
      </c>
      <c r="L4183">
        <f t="shared" si="278"/>
        <v>1709162</v>
      </c>
      <c r="M4183" t="str">
        <f t="shared" si="278"/>
        <v>ASALARIADO</v>
      </c>
      <c r="N4183">
        <f t="shared" si="279"/>
        <v>45</v>
      </c>
      <c r="O4183" s="19" t="str">
        <f t="shared" si="280"/>
        <v>1200k+</v>
      </c>
      <c r="P4183" s="19" t="str">
        <f t="shared" si="281"/>
        <v>36-45</v>
      </c>
    </row>
    <row r="4184" spans="1:16" x14ac:dyDescent="0.25">
      <c r="A4184">
        <v>4183</v>
      </c>
      <c r="B4184" t="s">
        <v>9</v>
      </c>
      <c r="C4184">
        <v>999555</v>
      </c>
      <c r="D4184" t="s">
        <v>10</v>
      </c>
      <c r="E4184" t="s">
        <v>11</v>
      </c>
      <c r="F4184" t="s">
        <v>12</v>
      </c>
      <c r="G4184" t="s">
        <v>13</v>
      </c>
      <c r="H4184" t="s">
        <v>13</v>
      </c>
      <c r="I4184">
        <v>35</v>
      </c>
      <c r="J4184" t="str" cm="1">
        <f t="array" ref="J4184">_xlfn.IFS(ISBLANK(C4184),"FALTANTE",ABS((C4184-$W$5)/$X$5)&gt;1.96,"ATÍPICO",ABS((C4184-$W$5)/$X$5)&lt;=1.96,"NO ATÍPICO")</f>
        <v>NO ATÍPICO</v>
      </c>
      <c r="K4184" t="str" cm="1">
        <f t="array" ref="K4184">_xlfn.IFS(ISBLANK(I4184),"FALTANTE",ABS((I4184-$W$8)/$X$8)&gt;1.92,"ATÍPICO",ABS((I4184-$W$8)/$X$8)&lt;=1.92,"NO ATÍPICO")</f>
        <v>NO ATÍPICO</v>
      </c>
      <c r="L4184">
        <f t="shared" si="278"/>
        <v>999555</v>
      </c>
      <c r="M4184" t="str">
        <f t="shared" si="278"/>
        <v>ASALARIADO</v>
      </c>
      <c r="N4184">
        <f t="shared" si="279"/>
        <v>35</v>
      </c>
      <c r="O4184" s="19" t="str">
        <f t="shared" si="280"/>
        <v>900k–1200k</v>
      </c>
      <c r="P4184" s="19" t="str">
        <f t="shared" si="281"/>
        <v>26-35</v>
      </c>
    </row>
    <row r="4185" spans="1:16" x14ac:dyDescent="0.25">
      <c r="A4185">
        <v>4184</v>
      </c>
      <c r="B4185" t="s">
        <v>9</v>
      </c>
      <c r="C4185">
        <v>546926.74</v>
      </c>
      <c r="D4185" t="s">
        <v>10</v>
      </c>
      <c r="E4185" t="s">
        <v>16</v>
      </c>
      <c r="F4185" t="s">
        <v>12</v>
      </c>
      <c r="G4185" t="s">
        <v>13</v>
      </c>
      <c r="H4185" t="s">
        <v>13</v>
      </c>
      <c r="I4185">
        <v>28</v>
      </c>
      <c r="J4185" t="str" cm="1">
        <f t="array" ref="J4185">_xlfn.IFS(ISBLANK(C4185),"FALTANTE",ABS((C4185-$W$5)/$X$5)&gt;1.96,"ATÍPICO",ABS((C4185-$W$5)/$X$5)&lt;=1.96,"NO ATÍPICO")</f>
        <v>NO ATÍPICO</v>
      </c>
      <c r="K4185" t="str" cm="1">
        <f t="array" ref="K4185">_xlfn.IFS(ISBLANK(I4185),"FALTANTE",ABS((I4185-$W$8)/$X$8)&gt;1.92,"ATÍPICO",ABS((I4185-$W$8)/$X$8)&lt;=1.92,"NO ATÍPICO")</f>
        <v>NO ATÍPICO</v>
      </c>
      <c r="L4185">
        <f t="shared" si="278"/>
        <v>546926.74</v>
      </c>
      <c r="M4185" t="str">
        <f t="shared" si="278"/>
        <v>ASALARIADO</v>
      </c>
      <c r="N4185">
        <f t="shared" si="279"/>
        <v>28</v>
      </c>
      <c r="O4185" s="19" t="str">
        <f t="shared" si="280"/>
        <v>300k–600k</v>
      </c>
      <c r="P4185" s="19" t="str">
        <f t="shared" si="281"/>
        <v>26-35</v>
      </c>
    </row>
    <row r="4186" spans="1:16" x14ac:dyDescent="0.25">
      <c r="A4186">
        <v>4185</v>
      </c>
      <c r="B4186" t="s">
        <v>9</v>
      </c>
      <c r="C4186">
        <v>2000000</v>
      </c>
      <c r="D4186" t="s">
        <v>10</v>
      </c>
      <c r="E4186" t="s">
        <v>16</v>
      </c>
      <c r="F4186" t="s">
        <v>12</v>
      </c>
      <c r="G4186" t="s">
        <v>13</v>
      </c>
      <c r="H4186" t="s">
        <v>13</v>
      </c>
      <c r="I4186">
        <v>39</v>
      </c>
      <c r="J4186" t="str" cm="1">
        <f t="array" ref="J4186">_xlfn.IFS(ISBLANK(C4186),"FALTANTE",ABS((C4186-$W$5)/$X$5)&gt;1.96,"ATÍPICO",ABS((C4186-$W$5)/$X$5)&lt;=1.96,"NO ATÍPICO")</f>
        <v>NO ATÍPICO</v>
      </c>
      <c r="K4186" t="str" cm="1">
        <f t="array" ref="K4186">_xlfn.IFS(ISBLANK(I4186),"FALTANTE",ABS((I4186-$W$8)/$X$8)&gt;1.92,"ATÍPICO",ABS((I4186-$W$8)/$X$8)&lt;=1.92,"NO ATÍPICO")</f>
        <v>NO ATÍPICO</v>
      </c>
      <c r="L4186">
        <f t="shared" si="278"/>
        <v>2000000</v>
      </c>
      <c r="M4186" t="str">
        <f t="shared" si="278"/>
        <v>ASALARIADO</v>
      </c>
      <c r="N4186">
        <f t="shared" si="279"/>
        <v>39</v>
      </c>
      <c r="O4186" s="19" t="str">
        <f t="shared" si="280"/>
        <v>1200k+</v>
      </c>
      <c r="P4186" s="19" t="str">
        <f t="shared" si="281"/>
        <v>36-45</v>
      </c>
    </row>
    <row r="4187" spans="1:16" x14ac:dyDescent="0.25">
      <c r="A4187">
        <v>4186</v>
      </c>
      <c r="B4187" t="s">
        <v>9</v>
      </c>
      <c r="C4187">
        <v>674614</v>
      </c>
      <c r="D4187" t="s">
        <v>10</v>
      </c>
      <c r="E4187" t="s">
        <v>11</v>
      </c>
      <c r="F4187" t="s">
        <v>12</v>
      </c>
      <c r="G4187" t="s">
        <v>13</v>
      </c>
      <c r="H4187" t="s">
        <v>13</v>
      </c>
      <c r="I4187">
        <v>61</v>
      </c>
      <c r="J4187" t="str" cm="1">
        <f t="array" ref="J4187">_xlfn.IFS(ISBLANK(C4187),"FALTANTE",ABS((C4187-$W$5)/$X$5)&gt;1.96,"ATÍPICO",ABS((C4187-$W$5)/$X$5)&lt;=1.96,"NO ATÍPICO")</f>
        <v>NO ATÍPICO</v>
      </c>
      <c r="K4187" t="str" cm="1">
        <f t="array" ref="K4187">_xlfn.IFS(ISBLANK(I4187),"FALTANTE",ABS((I4187-$W$8)/$X$8)&gt;1.92,"ATÍPICO",ABS((I4187-$W$8)/$X$8)&lt;=1.92,"NO ATÍPICO")</f>
        <v>NO ATÍPICO</v>
      </c>
      <c r="L4187">
        <f t="shared" si="278"/>
        <v>674614</v>
      </c>
      <c r="M4187" t="str">
        <f t="shared" si="278"/>
        <v>ASALARIADO</v>
      </c>
      <c r="N4187">
        <f t="shared" si="279"/>
        <v>61</v>
      </c>
      <c r="O4187" s="19" t="str">
        <f t="shared" si="280"/>
        <v>600k–900k</v>
      </c>
      <c r="P4187" s="19" t="str">
        <f t="shared" si="281"/>
        <v>56+</v>
      </c>
    </row>
    <row r="4188" spans="1:16" x14ac:dyDescent="0.25">
      <c r="A4188">
        <v>4187</v>
      </c>
      <c r="B4188" t="s">
        <v>9</v>
      </c>
      <c r="C4188">
        <v>358876</v>
      </c>
      <c r="D4188" t="s">
        <v>10</v>
      </c>
      <c r="E4188" t="s">
        <v>16</v>
      </c>
      <c r="F4188" t="s">
        <v>12</v>
      </c>
      <c r="G4188" t="s">
        <v>13</v>
      </c>
      <c r="H4188" t="s">
        <v>13</v>
      </c>
      <c r="I4188">
        <v>28</v>
      </c>
      <c r="J4188" t="str" cm="1">
        <f t="array" ref="J4188">_xlfn.IFS(ISBLANK(C4188),"FALTANTE",ABS((C4188-$W$5)/$X$5)&gt;1.96,"ATÍPICO",ABS((C4188-$W$5)/$X$5)&lt;=1.96,"NO ATÍPICO")</f>
        <v>NO ATÍPICO</v>
      </c>
      <c r="K4188" t="str" cm="1">
        <f t="array" ref="K4188">_xlfn.IFS(ISBLANK(I4188),"FALTANTE",ABS((I4188-$W$8)/$X$8)&gt;1.92,"ATÍPICO",ABS((I4188-$W$8)/$X$8)&lt;=1.92,"NO ATÍPICO")</f>
        <v>NO ATÍPICO</v>
      </c>
      <c r="L4188">
        <f t="shared" si="278"/>
        <v>358876</v>
      </c>
      <c r="M4188" t="str">
        <f t="shared" si="278"/>
        <v>ASALARIADO</v>
      </c>
      <c r="N4188">
        <f t="shared" si="279"/>
        <v>28</v>
      </c>
      <c r="O4188" s="19" t="str">
        <f t="shared" si="280"/>
        <v>300k–600k</v>
      </c>
      <c r="P4188" s="19" t="str">
        <f t="shared" si="281"/>
        <v>26-35</v>
      </c>
    </row>
    <row r="4189" spans="1:16" x14ac:dyDescent="0.25">
      <c r="A4189">
        <v>4188</v>
      </c>
      <c r="B4189" t="s">
        <v>9</v>
      </c>
      <c r="C4189">
        <v>886478.2</v>
      </c>
      <c r="D4189" t="s">
        <v>10</v>
      </c>
      <c r="E4189" t="s">
        <v>11</v>
      </c>
      <c r="F4189" t="s">
        <v>12</v>
      </c>
      <c r="G4189" t="s">
        <v>13</v>
      </c>
      <c r="H4189" t="s">
        <v>13</v>
      </c>
      <c r="I4189">
        <v>35</v>
      </c>
      <c r="J4189" t="str" cm="1">
        <f t="array" ref="J4189">_xlfn.IFS(ISBLANK(C4189),"FALTANTE",ABS((C4189-$W$5)/$X$5)&gt;1.96,"ATÍPICO",ABS((C4189-$W$5)/$X$5)&lt;=1.96,"NO ATÍPICO")</f>
        <v>NO ATÍPICO</v>
      </c>
      <c r="K4189" t="str" cm="1">
        <f t="array" ref="K4189">_xlfn.IFS(ISBLANK(I4189),"FALTANTE",ABS((I4189-$W$8)/$X$8)&gt;1.92,"ATÍPICO",ABS((I4189-$W$8)/$X$8)&lt;=1.92,"NO ATÍPICO")</f>
        <v>NO ATÍPICO</v>
      </c>
      <c r="L4189">
        <f t="shared" si="278"/>
        <v>886478.2</v>
      </c>
      <c r="M4189" t="str">
        <f t="shared" si="278"/>
        <v>ASALARIADO</v>
      </c>
      <c r="N4189">
        <f t="shared" si="279"/>
        <v>35</v>
      </c>
      <c r="O4189" s="19" t="str">
        <f t="shared" si="280"/>
        <v>600k–900k</v>
      </c>
      <c r="P4189" s="19" t="str">
        <f t="shared" si="281"/>
        <v>26-35</v>
      </c>
    </row>
    <row r="4190" spans="1:16" x14ac:dyDescent="0.25">
      <c r="A4190">
        <v>4189</v>
      </c>
      <c r="B4190" t="s">
        <v>9</v>
      </c>
      <c r="C4190">
        <v>540083</v>
      </c>
      <c r="D4190" t="s">
        <v>18</v>
      </c>
      <c r="E4190" t="s">
        <v>16</v>
      </c>
      <c r="F4190" t="s">
        <v>12</v>
      </c>
      <c r="G4190" t="s">
        <v>12</v>
      </c>
      <c r="H4190" t="s">
        <v>12</v>
      </c>
      <c r="I4190">
        <v>47</v>
      </c>
      <c r="J4190" t="str" cm="1">
        <f t="array" ref="J4190">_xlfn.IFS(ISBLANK(C4190),"FALTANTE",ABS((C4190-$W$5)/$X$5)&gt;1.96,"ATÍPICO",ABS((C4190-$W$5)/$X$5)&lt;=1.96,"NO ATÍPICO")</f>
        <v>NO ATÍPICO</v>
      </c>
      <c r="K4190" t="str" cm="1">
        <f t="array" ref="K4190">_xlfn.IFS(ISBLANK(I4190),"FALTANTE",ABS((I4190-$W$8)/$X$8)&gt;1.92,"ATÍPICO",ABS((I4190-$W$8)/$X$8)&lt;=1.92,"NO ATÍPICO")</f>
        <v>NO ATÍPICO</v>
      </c>
      <c r="L4190">
        <f t="shared" si="278"/>
        <v>540083</v>
      </c>
      <c r="M4190" t="str">
        <f t="shared" si="278"/>
        <v>TRABAJADOR INDEPENDIENTE</v>
      </c>
      <c r="N4190">
        <f t="shared" si="279"/>
        <v>47</v>
      </c>
      <c r="O4190" s="19" t="str">
        <f t="shared" si="280"/>
        <v>300k–600k</v>
      </c>
      <c r="P4190" s="19" t="str">
        <f t="shared" si="281"/>
        <v>46-55</v>
      </c>
    </row>
    <row r="4191" spans="1:16" x14ac:dyDescent="0.25">
      <c r="A4191">
        <v>4190</v>
      </c>
      <c r="B4191" t="s">
        <v>15</v>
      </c>
      <c r="C4191">
        <v>483037.91</v>
      </c>
      <c r="D4191" t="s">
        <v>14</v>
      </c>
      <c r="E4191" t="s">
        <v>11</v>
      </c>
      <c r="F4191" t="s">
        <v>12</v>
      </c>
      <c r="G4191" t="s">
        <v>13</v>
      </c>
      <c r="H4191" t="s">
        <v>13</v>
      </c>
      <c r="I4191">
        <v>84</v>
      </c>
      <c r="J4191" t="str" cm="1">
        <f t="array" ref="J4191">_xlfn.IFS(ISBLANK(C4191),"FALTANTE",ABS((C4191-$W$5)/$X$5)&gt;1.96,"ATÍPICO",ABS((C4191-$W$5)/$X$5)&lt;=1.96,"NO ATÍPICO")</f>
        <v>NO ATÍPICO</v>
      </c>
      <c r="K4191" t="str" cm="1">
        <f t="array" ref="K4191">_xlfn.IFS(ISBLANK(I4191),"FALTANTE",ABS((I4191-$W$8)/$X$8)&gt;1.92,"ATÍPICO",ABS((I4191-$W$8)/$X$8)&lt;=1.92,"NO ATÍPICO")</f>
        <v>ATÍPICO</v>
      </c>
      <c r="L4191">
        <f t="shared" si="278"/>
        <v>483037.91</v>
      </c>
      <c r="M4191" t="str">
        <f t="shared" si="278"/>
        <v>PENSIONADOS EN SU PROPIO SISTEMA</v>
      </c>
      <c r="N4191">
        <f t="shared" si="279"/>
        <v>84</v>
      </c>
      <c r="O4191" s="19" t="str">
        <f t="shared" si="280"/>
        <v>300k–600k</v>
      </c>
      <c r="P4191" s="19" t="str">
        <f t="shared" si="281"/>
        <v>56+</v>
      </c>
    </row>
    <row r="4192" spans="1:16" x14ac:dyDescent="0.25">
      <c r="A4192">
        <v>4191</v>
      </c>
      <c r="B4192" t="s">
        <v>15</v>
      </c>
      <c r="C4192">
        <v>385548</v>
      </c>
      <c r="D4192" t="s">
        <v>18</v>
      </c>
      <c r="E4192" t="s">
        <v>16</v>
      </c>
      <c r="F4192" t="s">
        <v>12</v>
      </c>
      <c r="G4192" t="s">
        <v>13</v>
      </c>
      <c r="H4192" t="s">
        <v>13</v>
      </c>
      <c r="I4192">
        <v>62</v>
      </c>
      <c r="J4192" t="str" cm="1">
        <f t="array" ref="J4192">_xlfn.IFS(ISBLANK(C4192),"FALTANTE",ABS((C4192-$W$5)/$X$5)&gt;1.96,"ATÍPICO",ABS((C4192-$W$5)/$X$5)&lt;=1.96,"NO ATÍPICO")</f>
        <v>NO ATÍPICO</v>
      </c>
      <c r="K4192" t="str" cm="1">
        <f t="array" ref="K4192">_xlfn.IFS(ISBLANK(I4192),"FALTANTE",ABS((I4192-$W$8)/$X$8)&gt;1.92,"ATÍPICO",ABS((I4192-$W$8)/$X$8)&lt;=1.92,"NO ATÍPICO")</f>
        <v>NO ATÍPICO</v>
      </c>
      <c r="L4192">
        <f t="shared" si="278"/>
        <v>385548</v>
      </c>
      <c r="M4192" t="str">
        <f t="shared" si="278"/>
        <v>TRABAJADOR INDEPENDIENTE</v>
      </c>
      <c r="N4192">
        <f t="shared" si="279"/>
        <v>62</v>
      </c>
      <c r="O4192" s="19" t="str">
        <f t="shared" si="280"/>
        <v>300k–600k</v>
      </c>
      <c r="P4192" s="19" t="str">
        <f t="shared" si="281"/>
        <v>56+</v>
      </c>
    </row>
    <row r="4193" spans="1:16" x14ac:dyDescent="0.25">
      <c r="A4193">
        <v>4192</v>
      </c>
      <c r="B4193" t="s">
        <v>9</v>
      </c>
      <c r="C4193">
        <v>2870715.1</v>
      </c>
      <c r="D4193" t="s">
        <v>10</v>
      </c>
      <c r="E4193" t="s">
        <v>11</v>
      </c>
      <c r="F4193" t="s">
        <v>12</v>
      </c>
      <c r="G4193" t="s">
        <v>13</v>
      </c>
      <c r="H4193" t="s">
        <v>13</v>
      </c>
      <c r="I4193">
        <v>57</v>
      </c>
      <c r="J4193" t="str" cm="1">
        <f t="array" ref="J4193">_xlfn.IFS(ISBLANK(C4193),"FALTANTE",ABS((C4193-$W$5)/$X$5)&gt;1.96,"ATÍPICO",ABS((C4193-$W$5)/$X$5)&lt;=1.96,"NO ATÍPICO")</f>
        <v>ATÍPICO</v>
      </c>
      <c r="K4193" t="str" cm="1">
        <f t="array" ref="K4193">_xlfn.IFS(ISBLANK(I4193),"FALTANTE",ABS((I4193-$W$8)/$X$8)&gt;1.92,"ATÍPICO",ABS((I4193-$W$8)/$X$8)&lt;=1.92,"NO ATÍPICO")</f>
        <v>NO ATÍPICO</v>
      </c>
      <c r="L4193">
        <f t="shared" si="278"/>
        <v>2870715.1</v>
      </c>
      <c r="M4193" t="str">
        <f t="shared" si="278"/>
        <v>ASALARIADO</v>
      </c>
      <c r="N4193">
        <f t="shared" si="279"/>
        <v>57</v>
      </c>
      <c r="O4193" s="19" t="str">
        <f t="shared" si="280"/>
        <v>1200k+</v>
      </c>
      <c r="P4193" s="19" t="str">
        <f t="shared" si="281"/>
        <v>56+</v>
      </c>
    </row>
    <row r="4194" spans="1:16" x14ac:dyDescent="0.25">
      <c r="A4194">
        <v>4193</v>
      </c>
      <c r="B4194" t="s">
        <v>15</v>
      </c>
      <c r="C4194">
        <v>297044</v>
      </c>
      <c r="D4194" t="s">
        <v>19</v>
      </c>
      <c r="E4194" t="s">
        <v>16</v>
      </c>
      <c r="F4194" t="s">
        <v>12</v>
      </c>
      <c r="G4194" t="s">
        <v>13</v>
      </c>
      <c r="H4194" t="s">
        <v>13</v>
      </c>
      <c r="I4194">
        <v>55</v>
      </c>
      <c r="J4194" t="str" cm="1">
        <f t="array" ref="J4194">_xlfn.IFS(ISBLANK(C4194),"FALTANTE",ABS((C4194-$W$5)/$X$5)&gt;1.96,"ATÍPICO",ABS((C4194-$W$5)/$X$5)&lt;=1.96,"NO ATÍPICO")</f>
        <v>NO ATÍPICO</v>
      </c>
      <c r="K4194" t="str" cm="1">
        <f t="array" ref="K4194">_xlfn.IFS(ISBLANK(I4194),"FALTANTE",ABS((I4194-$W$8)/$X$8)&gt;1.92,"ATÍPICO",ABS((I4194-$W$8)/$X$8)&lt;=1.92,"NO ATÍPICO")</f>
        <v>NO ATÍPICO</v>
      </c>
      <c r="L4194">
        <f t="shared" si="278"/>
        <v>297044</v>
      </c>
      <c r="M4194" t="str">
        <f t="shared" si="278"/>
        <v>CONVENIOS ESPECIALES DE TRABAJADORES INDEPENDIENTES</v>
      </c>
      <c r="N4194">
        <f t="shared" si="279"/>
        <v>55</v>
      </c>
      <c r="O4194" s="19" t="str">
        <f t="shared" si="280"/>
        <v>0–300k</v>
      </c>
      <c r="P4194" s="19" t="str">
        <f t="shared" si="281"/>
        <v>46-55</v>
      </c>
    </row>
    <row r="4195" spans="1:16" x14ac:dyDescent="0.25">
      <c r="A4195">
        <v>4194</v>
      </c>
      <c r="B4195" t="s">
        <v>15</v>
      </c>
      <c r="C4195">
        <v>302470</v>
      </c>
      <c r="D4195" t="s">
        <v>18</v>
      </c>
      <c r="E4195" t="s">
        <v>16</v>
      </c>
      <c r="F4195" t="s">
        <v>12</v>
      </c>
      <c r="G4195" t="s">
        <v>13</v>
      </c>
      <c r="H4195" t="s">
        <v>13</v>
      </c>
      <c r="I4195">
        <v>24</v>
      </c>
      <c r="J4195" t="str" cm="1">
        <f t="array" ref="J4195">_xlfn.IFS(ISBLANK(C4195),"FALTANTE",ABS((C4195-$W$5)/$X$5)&gt;1.96,"ATÍPICO",ABS((C4195-$W$5)/$X$5)&lt;=1.96,"NO ATÍPICO")</f>
        <v>NO ATÍPICO</v>
      </c>
      <c r="K4195" t="str" cm="1">
        <f t="array" ref="K4195">_xlfn.IFS(ISBLANK(I4195),"FALTANTE",ABS((I4195-$W$8)/$X$8)&gt;1.92,"ATÍPICO",ABS((I4195-$W$8)/$X$8)&lt;=1.92,"NO ATÍPICO")</f>
        <v>NO ATÍPICO</v>
      </c>
      <c r="L4195">
        <f t="shared" si="278"/>
        <v>302470</v>
      </c>
      <c r="M4195" t="str">
        <f t="shared" si="278"/>
        <v>TRABAJADOR INDEPENDIENTE</v>
      </c>
      <c r="N4195">
        <f t="shared" si="279"/>
        <v>24</v>
      </c>
      <c r="O4195" s="19" t="str">
        <f t="shared" si="280"/>
        <v>300k–600k</v>
      </c>
      <c r="P4195" s="19" t="str">
        <f t="shared" si="281"/>
        <v>18-25</v>
      </c>
    </row>
    <row r="4196" spans="1:16" x14ac:dyDescent="0.25">
      <c r="A4196">
        <v>4195</v>
      </c>
      <c r="B4196" t="s">
        <v>15</v>
      </c>
      <c r="C4196">
        <v>297045</v>
      </c>
      <c r="D4196" t="s">
        <v>18</v>
      </c>
      <c r="E4196" t="s">
        <v>16</v>
      </c>
      <c r="F4196" t="s">
        <v>12</v>
      </c>
      <c r="G4196" t="s">
        <v>13</v>
      </c>
      <c r="H4196" t="s">
        <v>13</v>
      </c>
      <c r="I4196">
        <v>63</v>
      </c>
      <c r="J4196" t="str" cm="1">
        <f t="array" ref="J4196">_xlfn.IFS(ISBLANK(C4196),"FALTANTE",ABS((C4196-$W$5)/$X$5)&gt;1.96,"ATÍPICO",ABS((C4196-$W$5)/$X$5)&lt;=1.96,"NO ATÍPICO")</f>
        <v>NO ATÍPICO</v>
      </c>
      <c r="K4196" t="str" cm="1">
        <f t="array" ref="K4196">_xlfn.IFS(ISBLANK(I4196),"FALTANTE",ABS((I4196-$W$8)/$X$8)&gt;1.92,"ATÍPICO",ABS((I4196-$W$8)/$X$8)&lt;=1.92,"NO ATÍPICO")</f>
        <v>NO ATÍPICO</v>
      </c>
      <c r="L4196">
        <f t="shared" si="278"/>
        <v>297045</v>
      </c>
      <c r="M4196" t="str">
        <f t="shared" si="278"/>
        <v>TRABAJADOR INDEPENDIENTE</v>
      </c>
      <c r="N4196">
        <f t="shared" si="279"/>
        <v>63</v>
      </c>
      <c r="O4196" s="19" t="str">
        <f t="shared" si="280"/>
        <v>0–300k</v>
      </c>
      <c r="P4196" s="19" t="str">
        <f t="shared" si="281"/>
        <v>56+</v>
      </c>
    </row>
    <row r="4197" spans="1:16" x14ac:dyDescent="0.25">
      <c r="A4197">
        <v>4196</v>
      </c>
      <c r="B4197" t="s">
        <v>15</v>
      </c>
      <c r="C4197">
        <v>441000</v>
      </c>
      <c r="D4197" t="s">
        <v>10</v>
      </c>
      <c r="E4197" t="s">
        <v>16</v>
      </c>
      <c r="F4197" t="s">
        <v>12</v>
      </c>
      <c r="G4197" t="s">
        <v>13</v>
      </c>
      <c r="H4197" t="s">
        <v>13</v>
      </c>
      <c r="I4197">
        <v>22</v>
      </c>
      <c r="J4197" t="str" cm="1">
        <f t="array" ref="J4197">_xlfn.IFS(ISBLANK(C4197),"FALTANTE",ABS((C4197-$W$5)/$X$5)&gt;1.96,"ATÍPICO",ABS((C4197-$W$5)/$X$5)&lt;=1.96,"NO ATÍPICO")</f>
        <v>NO ATÍPICO</v>
      </c>
      <c r="K4197" t="str" cm="1">
        <f t="array" ref="K4197">_xlfn.IFS(ISBLANK(I4197),"FALTANTE",ABS((I4197-$W$8)/$X$8)&gt;1.92,"ATÍPICO",ABS((I4197-$W$8)/$X$8)&lt;=1.92,"NO ATÍPICO")</f>
        <v>NO ATÍPICO</v>
      </c>
      <c r="L4197">
        <f t="shared" si="278"/>
        <v>441000</v>
      </c>
      <c r="M4197" t="str">
        <f t="shared" si="278"/>
        <v>ASALARIADO</v>
      </c>
      <c r="N4197">
        <f t="shared" si="279"/>
        <v>22</v>
      </c>
      <c r="O4197" s="19" t="str">
        <f t="shared" si="280"/>
        <v>300k–600k</v>
      </c>
      <c r="P4197" s="19" t="str">
        <f t="shared" si="281"/>
        <v>18-25</v>
      </c>
    </row>
    <row r="4198" spans="1:16" x14ac:dyDescent="0.25">
      <c r="A4198">
        <v>4197</v>
      </c>
      <c r="B4198" t="s">
        <v>15</v>
      </c>
      <c r="C4198">
        <v>181917</v>
      </c>
      <c r="D4198" t="s">
        <v>10</v>
      </c>
      <c r="E4198" t="s">
        <v>16</v>
      </c>
      <c r="F4198" t="s">
        <v>12</v>
      </c>
      <c r="G4198" t="s">
        <v>13</v>
      </c>
      <c r="H4198" t="s">
        <v>13</v>
      </c>
      <c r="I4198">
        <v>53</v>
      </c>
      <c r="J4198" t="str" cm="1">
        <f t="array" ref="J4198">_xlfn.IFS(ISBLANK(C4198),"FALTANTE",ABS((C4198-$W$5)/$X$5)&gt;1.96,"ATÍPICO",ABS((C4198-$W$5)/$X$5)&lt;=1.96,"NO ATÍPICO")</f>
        <v>NO ATÍPICO</v>
      </c>
      <c r="K4198" t="str" cm="1">
        <f t="array" ref="K4198">_xlfn.IFS(ISBLANK(I4198),"FALTANTE",ABS((I4198-$W$8)/$X$8)&gt;1.92,"ATÍPICO",ABS((I4198-$W$8)/$X$8)&lt;=1.92,"NO ATÍPICO")</f>
        <v>NO ATÍPICO</v>
      </c>
      <c r="L4198">
        <f t="shared" si="278"/>
        <v>181917</v>
      </c>
      <c r="M4198" t="str">
        <f t="shared" si="278"/>
        <v>ASALARIADO</v>
      </c>
      <c r="N4198">
        <f t="shared" si="279"/>
        <v>53</v>
      </c>
      <c r="O4198" s="19" t="str">
        <f t="shared" si="280"/>
        <v>0–300k</v>
      </c>
      <c r="P4198" s="19" t="str">
        <f t="shared" si="281"/>
        <v>46-55</v>
      </c>
    </row>
    <row r="4199" spans="1:16" x14ac:dyDescent="0.25">
      <c r="A4199">
        <v>4198</v>
      </c>
      <c r="B4199" t="s">
        <v>9</v>
      </c>
      <c r="C4199">
        <v>297045</v>
      </c>
      <c r="D4199" t="s">
        <v>18</v>
      </c>
      <c r="E4199" t="s">
        <v>16</v>
      </c>
      <c r="F4199" t="s">
        <v>12</v>
      </c>
      <c r="G4199" t="s">
        <v>13</v>
      </c>
      <c r="H4199" t="s">
        <v>13</v>
      </c>
      <c r="I4199">
        <v>34</v>
      </c>
      <c r="J4199" t="str" cm="1">
        <f t="array" ref="J4199">_xlfn.IFS(ISBLANK(C4199),"FALTANTE",ABS((C4199-$W$5)/$X$5)&gt;1.96,"ATÍPICO",ABS((C4199-$W$5)/$X$5)&lt;=1.96,"NO ATÍPICO")</f>
        <v>NO ATÍPICO</v>
      </c>
      <c r="K4199" t="str" cm="1">
        <f t="array" ref="K4199">_xlfn.IFS(ISBLANK(I4199),"FALTANTE",ABS((I4199-$W$8)/$X$8)&gt;1.92,"ATÍPICO",ABS((I4199-$W$8)/$X$8)&lt;=1.92,"NO ATÍPICO")</f>
        <v>NO ATÍPICO</v>
      </c>
      <c r="L4199">
        <f t="shared" si="278"/>
        <v>297045</v>
      </c>
      <c r="M4199" t="str">
        <f t="shared" si="278"/>
        <v>TRABAJADOR INDEPENDIENTE</v>
      </c>
      <c r="N4199">
        <f t="shared" si="279"/>
        <v>34</v>
      </c>
      <c r="O4199" s="19" t="str">
        <f t="shared" si="280"/>
        <v>0–300k</v>
      </c>
      <c r="P4199" s="19" t="str">
        <f t="shared" si="281"/>
        <v>26-35</v>
      </c>
    </row>
    <row r="4200" spans="1:16" x14ac:dyDescent="0.25">
      <c r="A4200">
        <v>4199</v>
      </c>
      <c r="B4200" t="s">
        <v>9</v>
      </c>
      <c r="C4200">
        <v>486648.56</v>
      </c>
      <c r="D4200" t="s">
        <v>10</v>
      </c>
      <c r="E4200" t="s">
        <v>16</v>
      </c>
      <c r="F4200" t="s">
        <v>12</v>
      </c>
      <c r="G4200" t="s">
        <v>13</v>
      </c>
      <c r="H4200" t="s">
        <v>13</v>
      </c>
      <c r="I4200">
        <v>39</v>
      </c>
      <c r="J4200" t="str" cm="1">
        <f t="array" ref="J4200">_xlfn.IFS(ISBLANK(C4200),"FALTANTE",ABS((C4200-$W$5)/$X$5)&gt;1.96,"ATÍPICO",ABS((C4200-$W$5)/$X$5)&lt;=1.96,"NO ATÍPICO")</f>
        <v>NO ATÍPICO</v>
      </c>
      <c r="K4200" t="str" cm="1">
        <f t="array" ref="K4200">_xlfn.IFS(ISBLANK(I4200),"FALTANTE",ABS((I4200-$W$8)/$X$8)&gt;1.92,"ATÍPICO",ABS((I4200-$W$8)/$X$8)&lt;=1.92,"NO ATÍPICO")</f>
        <v>NO ATÍPICO</v>
      </c>
      <c r="L4200">
        <f t="shared" si="278"/>
        <v>486648.56</v>
      </c>
      <c r="M4200" t="str">
        <f t="shared" si="278"/>
        <v>ASALARIADO</v>
      </c>
      <c r="N4200">
        <f t="shared" si="279"/>
        <v>39</v>
      </c>
      <c r="O4200" s="19" t="str">
        <f t="shared" si="280"/>
        <v>300k–600k</v>
      </c>
      <c r="P4200" s="19" t="str">
        <f t="shared" si="281"/>
        <v>36-45</v>
      </c>
    </row>
    <row r="4201" spans="1:16" x14ac:dyDescent="0.25">
      <c r="A4201">
        <v>4200</v>
      </c>
      <c r="B4201" t="s">
        <v>9</v>
      </c>
      <c r="C4201">
        <v>359544.27</v>
      </c>
      <c r="D4201" t="s">
        <v>21</v>
      </c>
      <c r="E4201" t="s">
        <v>16</v>
      </c>
      <c r="F4201" t="s">
        <v>12</v>
      </c>
      <c r="G4201" t="s">
        <v>12</v>
      </c>
      <c r="H4201" t="s">
        <v>13</v>
      </c>
      <c r="I4201">
        <v>38</v>
      </c>
      <c r="J4201" t="str" cm="1">
        <f t="array" ref="J4201">_xlfn.IFS(ISBLANK(C4201),"FALTANTE",ABS((C4201-$W$5)/$X$5)&gt;1.96,"ATÍPICO",ABS((C4201-$W$5)/$X$5)&lt;=1.96,"NO ATÍPICO")</f>
        <v>NO ATÍPICO</v>
      </c>
      <c r="K4201" t="str" cm="1">
        <f t="array" ref="K4201">_xlfn.IFS(ISBLANK(I4201),"FALTANTE",ABS((I4201-$W$8)/$X$8)&gt;1.92,"ATÍPICO",ABS((I4201-$W$8)/$X$8)&lt;=1.92,"NO ATÍPICO")</f>
        <v>NO ATÍPICO</v>
      </c>
      <c r="L4201">
        <f t="shared" si="278"/>
        <v>359544.27</v>
      </c>
      <c r="M4201" t="str">
        <f t="shared" si="278"/>
        <v>CONVENIOS ESPECIALES DE ASEGURADOS VOLUNTARIOS</v>
      </c>
      <c r="N4201">
        <f t="shared" si="279"/>
        <v>38</v>
      </c>
      <c r="O4201" s="19" t="str">
        <f t="shared" si="280"/>
        <v>300k–600k</v>
      </c>
      <c r="P4201" s="19" t="str">
        <f t="shared" si="281"/>
        <v>36-45</v>
      </c>
    </row>
    <row r="4202" spans="1:16" x14ac:dyDescent="0.25">
      <c r="A4202">
        <v>4201</v>
      </c>
      <c r="B4202" t="s">
        <v>9</v>
      </c>
      <c r="C4202">
        <v>346897.4</v>
      </c>
      <c r="D4202" t="s">
        <v>10</v>
      </c>
      <c r="E4202" t="s">
        <v>16</v>
      </c>
      <c r="F4202" t="s">
        <v>12</v>
      </c>
      <c r="G4202" t="s">
        <v>13</v>
      </c>
      <c r="H4202" t="s">
        <v>13</v>
      </c>
      <c r="I4202">
        <v>21</v>
      </c>
      <c r="J4202" t="str" cm="1">
        <f t="array" ref="J4202">_xlfn.IFS(ISBLANK(C4202),"FALTANTE",ABS((C4202-$W$5)/$X$5)&gt;1.96,"ATÍPICO",ABS((C4202-$W$5)/$X$5)&lt;=1.96,"NO ATÍPICO")</f>
        <v>NO ATÍPICO</v>
      </c>
      <c r="K4202" t="str" cm="1">
        <f t="array" ref="K4202">_xlfn.IFS(ISBLANK(I4202),"FALTANTE",ABS((I4202-$W$8)/$X$8)&gt;1.92,"ATÍPICO",ABS((I4202-$W$8)/$X$8)&lt;=1.92,"NO ATÍPICO")</f>
        <v>NO ATÍPICO</v>
      </c>
      <c r="L4202">
        <f t="shared" si="278"/>
        <v>346897.4</v>
      </c>
      <c r="M4202" t="str">
        <f t="shared" si="278"/>
        <v>ASALARIADO</v>
      </c>
      <c r="N4202">
        <f t="shared" si="279"/>
        <v>21</v>
      </c>
      <c r="O4202" s="19" t="str">
        <f t="shared" si="280"/>
        <v>300k–600k</v>
      </c>
      <c r="P4202" s="19" t="str">
        <f t="shared" si="281"/>
        <v>18-25</v>
      </c>
    </row>
    <row r="4203" spans="1:16" x14ac:dyDescent="0.25">
      <c r="A4203">
        <v>4202</v>
      </c>
      <c r="B4203" t="s">
        <v>15</v>
      </c>
      <c r="C4203">
        <v>278030</v>
      </c>
      <c r="D4203" t="s">
        <v>18</v>
      </c>
      <c r="E4203" t="s">
        <v>16</v>
      </c>
      <c r="F4203" t="s">
        <v>12</v>
      </c>
      <c r="G4203" t="s">
        <v>13</v>
      </c>
      <c r="H4203" t="s">
        <v>13</v>
      </c>
      <c r="I4203">
        <v>54</v>
      </c>
      <c r="J4203" t="str" cm="1">
        <f t="array" ref="J4203">_xlfn.IFS(ISBLANK(C4203),"FALTANTE",ABS((C4203-$W$5)/$X$5)&gt;1.96,"ATÍPICO",ABS((C4203-$W$5)/$X$5)&lt;=1.96,"NO ATÍPICO")</f>
        <v>NO ATÍPICO</v>
      </c>
      <c r="K4203" t="str" cm="1">
        <f t="array" ref="K4203">_xlfn.IFS(ISBLANK(I4203),"FALTANTE",ABS((I4203-$W$8)/$X$8)&gt;1.92,"ATÍPICO",ABS((I4203-$W$8)/$X$8)&lt;=1.92,"NO ATÍPICO")</f>
        <v>NO ATÍPICO</v>
      </c>
      <c r="L4203">
        <f t="shared" si="278"/>
        <v>278030</v>
      </c>
      <c r="M4203" t="str">
        <f t="shared" si="278"/>
        <v>TRABAJADOR INDEPENDIENTE</v>
      </c>
      <c r="N4203">
        <f t="shared" si="279"/>
        <v>54</v>
      </c>
      <c r="O4203" s="19" t="str">
        <f t="shared" si="280"/>
        <v>0–300k</v>
      </c>
      <c r="P4203" s="19" t="str">
        <f t="shared" si="281"/>
        <v>46-55</v>
      </c>
    </row>
    <row r="4204" spans="1:16" x14ac:dyDescent="0.25">
      <c r="A4204">
        <v>4203</v>
      </c>
      <c r="B4204" t="s">
        <v>9</v>
      </c>
      <c r="C4204">
        <v>846723.45</v>
      </c>
      <c r="D4204" t="s">
        <v>10</v>
      </c>
      <c r="E4204" t="s">
        <v>16</v>
      </c>
      <c r="F4204" t="s">
        <v>12</v>
      </c>
      <c r="G4204" t="s">
        <v>13</v>
      </c>
      <c r="H4204" t="s">
        <v>13</v>
      </c>
      <c r="I4204">
        <v>35</v>
      </c>
      <c r="J4204" t="str" cm="1">
        <f t="array" ref="J4204">_xlfn.IFS(ISBLANK(C4204),"FALTANTE",ABS((C4204-$W$5)/$X$5)&gt;1.96,"ATÍPICO",ABS((C4204-$W$5)/$X$5)&lt;=1.96,"NO ATÍPICO")</f>
        <v>NO ATÍPICO</v>
      </c>
      <c r="K4204" t="str" cm="1">
        <f t="array" ref="K4204">_xlfn.IFS(ISBLANK(I4204),"FALTANTE",ABS((I4204-$W$8)/$X$8)&gt;1.92,"ATÍPICO",ABS((I4204-$W$8)/$X$8)&lt;=1.92,"NO ATÍPICO")</f>
        <v>NO ATÍPICO</v>
      </c>
      <c r="L4204">
        <f t="shared" si="278"/>
        <v>846723.45</v>
      </c>
      <c r="M4204" t="str">
        <f t="shared" si="278"/>
        <v>ASALARIADO</v>
      </c>
      <c r="N4204">
        <f t="shared" si="279"/>
        <v>35</v>
      </c>
      <c r="O4204" s="19" t="str">
        <f t="shared" si="280"/>
        <v>600k–900k</v>
      </c>
      <c r="P4204" s="19" t="str">
        <f t="shared" si="281"/>
        <v>26-35</v>
      </c>
    </row>
    <row r="4205" spans="1:16" x14ac:dyDescent="0.25">
      <c r="A4205">
        <v>4204</v>
      </c>
      <c r="B4205" t="s">
        <v>9</v>
      </c>
      <c r="C4205">
        <v>300018</v>
      </c>
      <c r="D4205" t="s">
        <v>17</v>
      </c>
      <c r="E4205" t="s">
        <v>16</v>
      </c>
      <c r="F4205" t="s">
        <v>12</v>
      </c>
      <c r="G4205" t="s">
        <v>13</v>
      </c>
      <c r="H4205" t="s">
        <v>13</v>
      </c>
      <c r="I4205">
        <v>64</v>
      </c>
      <c r="J4205" t="str" cm="1">
        <f t="array" ref="J4205">_xlfn.IFS(ISBLANK(C4205),"FALTANTE",ABS((C4205-$W$5)/$X$5)&gt;1.96,"ATÍPICO",ABS((C4205-$W$5)/$X$5)&lt;=1.96,"NO ATÍPICO")</f>
        <v>NO ATÍPICO</v>
      </c>
      <c r="K4205" t="str" cm="1">
        <f t="array" ref="K4205">_xlfn.IFS(ISBLANK(I4205),"FALTANTE",ABS((I4205-$W$8)/$X$8)&gt;1.92,"ATÍPICO",ABS((I4205-$W$8)/$X$8)&lt;=1.92,"NO ATÍPICO")</f>
        <v>NO ATÍPICO</v>
      </c>
      <c r="L4205">
        <f t="shared" si="278"/>
        <v>300018</v>
      </c>
      <c r="M4205" t="str">
        <f t="shared" si="278"/>
        <v>ASEGURADO VOLUNTARIO</v>
      </c>
      <c r="N4205">
        <f t="shared" si="279"/>
        <v>64</v>
      </c>
      <c r="O4205" s="19" t="str">
        <f t="shared" si="280"/>
        <v>300k–600k</v>
      </c>
      <c r="P4205" s="19" t="str">
        <f t="shared" si="281"/>
        <v>56+</v>
      </c>
    </row>
    <row r="4206" spans="1:16" x14ac:dyDescent="0.25">
      <c r="A4206">
        <v>4205</v>
      </c>
      <c r="B4206" t="s">
        <v>15</v>
      </c>
      <c r="C4206">
        <v>169507</v>
      </c>
      <c r="D4206" t="s">
        <v>10</v>
      </c>
      <c r="E4206" t="s">
        <v>16</v>
      </c>
      <c r="F4206" t="s">
        <v>12</v>
      </c>
      <c r="G4206" t="s">
        <v>12</v>
      </c>
      <c r="H4206" t="s">
        <v>13</v>
      </c>
      <c r="I4206">
        <v>53</v>
      </c>
      <c r="J4206" t="str" cm="1">
        <f t="array" ref="J4206">_xlfn.IFS(ISBLANK(C4206),"FALTANTE",ABS((C4206-$W$5)/$X$5)&gt;1.96,"ATÍPICO",ABS((C4206-$W$5)/$X$5)&lt;=1.96,"NO ATÍPICO")</f>
        <v>NO ATÍPICO</v>
      </c>
      <c r="K4206" t="str" cm="1">
        <f t="array" ref="K4206">_xlfn.IFS(ISBLANK(I4206),"FALTANTE",ABS((I4206-$W$8)/$X$8)&gt;1.92,"ATÍPICO",ABS((I4206-$W$8)/$X$8)&lt;=1.92,"NO ATÍPICO")</f>
        <v>NO ATÍPICO</v>
      </c>
      <c r="L4206">
        <f t="shared" si="278"/>
        <v>169507</v>
      </c>
      <c r="M4206" t="str">
        <f t="shared" si="278"/>
        <v>ASALARIADO</v>
      </c>
      <c r="N4206">
        <f t="shared" si="279"/>
        <v>53</v>
      </c>
      <c r="O4206" s="19" t="str">
        <f t="shared" si="280"/>
        <v>0–300k</v>
      </c>
      <c r="P4206" s="19" t="str">
        <f t="shared" si="281"/>
        <v>46-55</v>
      </c>
    </row>
    <row r="4207" spans="1:16" x14ac:dyDescent="0.25">
      <c r="A4207">
        <v>4206</v>
      </c>
      <c r="B4207" t="s">
        <v>9</v>
      </c>
      <c r="C4207">
        <v>302982</v>
      </c>
      <c r="D4207" t="s">
        <v>18</v>
      </c>
      <c r="E4207" t="s">
        <v>16</v>
      </c>
      <c r="F4207" t="s">
        <v>12</v>
      </c>
      <c r="G4207" t="s">
        <v>13</v>
      </c>
      <c r="H4207" t="s">
        <v>13</v>
      </c>
      <c r="I4207">
        <v>63</v>
      </c>
      <c r="J4207" t="str" cm="1">
        <f t="array" ref="J4207">_xlfn.IFS(ISBLANK(C4207),"FALTANTE",ABS((C4207-$W$5)/$X$5)&gt;1.96,"ATÍPICO",ABS((C4207-$W$5)/$X$5)&lt;=1.96,"NO ATÍPICO")</f>
        <v>NO ATÍPICO</v>
      </c>
      <c r="K4207" t="str" cm="1">
        <f t="array" ref="K4207">_xlfn.IFS(ISBLANK(I4207),"FALTANTE",ABS((I4207-$W$8)/$X$8)&gt;1.92,"ATÍPICO",ABS((I4207-$W$8)/$X$8)&lt;=1.92,"NO ATÍPICO")</f>
        <v>NO ATÍPICO</v>
      </c>
      <c r="L4207">
        <f t="shared" si="278"/>
        <v>302982</v>
      </c>
      <c r="M4207" t="str">
        <f t="shared" si="278"/>
        <v>TRABAJADOR INDEPENDIENTE</v>
      </c>
      <c r="N4207">
        <f t="shared" si="279"/>
        <v>63</v>
      </c>
      <c r="O4207" s="19" t="str">
        <f t="shared" si="280"/>
        <v>300k–600k</v>
      </c>
      <c r="P4207" s="19" t="str">
        <f t="shared" si="281"/>
        <v>56+</v>
      </c>
    </row>
    <row r="4208" spans="1:16" x14ac:dyDescent="0.25">
      <c r="A4208">
        <v>4207</v>
      </c>
      <c r="B4208" t="s">
        <v>9</v>
      </c>
      <c r="C4208">
        <v>428571.43</v>
      </c>
      <c r="D4208" t="s">
        <v>10</v>
      </c>
      <c r="E4208" t="s">
        <v>16</v>
      </c>
      <c r="F4208" t="s">
        <v>12</v>
      </c>
      <c r="G4208" t="s">
        <v>13</v>
      </c>
      <c r="H4208" t="s">
        <v>13</v>
      </c>
      <c r="I4208">
        <v>34</v>
      </c>
      <c r="J4208" t="str" cm="1">
        <f t="array" ref="J4208">_xlfn.IFS(ISBLANK(C4208),"FALTANTE",ABS((C4208-$W$5)/$X$5)&gt;1.96,"ATÍPICO",ABS((C4208-$W$5)/$X$5)&lt;=1.96,"NO ATÍPICO")</f>
        <v>NO ATÍPICO</v>
      </c>
      <c r="K4208" t="str" cm="1">
        <f t="array" ref="K4208">_xlfn.IFS(ISBLANK(I4208),"FALTANTE",ABS((I4208-$W$8)/$X$8)&gt;1.92,"ATÍPICO",ABS((I4208-$W$8)/$X$8)&lt;=1.92,"NO ATÍPICO")</f>
        <v>NO ATÍPICO</v>
      </c>
      <c r="L4208">
        <f t="shared" si="278"/>
        <v>428571.43</v>
      </c>
      <c r="M4208" t="str">
        <f t="shared" si="278"/>
        <v>ASALARIADO</v>
      </c>
      <c r="N4208">
        <f t="shared" si="279"/>
        <v>34</v>
      </c>
      <c r="O4208" s="19" t="str">
        <f t="shared" si="280"/>
        <v>300k–600k</v>
      </c>
      <c r="P4208" s="19" t="str">
        <f t="shared" si="281"/>
        <v>26-35</v>
      </c>
    </row>
    <row r="4209" spans="1:16" x14ac:dyDescent="0.25">
      <c r="A4209">
        <v>4208</v>
      </c>
      <c r="B4209" t="s">
        <v>9</v>
      </c>
      <c r="C4209">
        <v>418466</v>
      </c>
      <c r="D4209" t="s">
        <v>10</v>
      </c>
      <c r="E4209" t="s">
        <v>16</v>
      </c>
      <c r="F4209" t="s">
        <v>12</v>
      </c>
      <c r="G4209" t="s">
        <v>13</v>
      </c>
      <c r="H4209" t="s">
        <v>13</v>
      </c>
      <c r="I4209">
        <v>40</v>
      </c>
      <c r="J4209" t="str" cm="1">
        <f t="array" ref="J4209">_xlfn.IFS(ISBLANK(C4209),"FALTANTE",ABS((C4209-$W$5)/$X$5)&gt;1.96,"ATÍPICO",ABS((C4209-$W$5)/$X$5)&lt;=1.96,"NO ATÍPICO")</f>
        <v>NO ATÍPICO</v>
      </c>
      <c r="K4209" t="str" cm="1">
        <f t="array" ref="K4209">_xlfn.IFS(ISBLANK(I4209),"FALTANTE",ABS((I4209-$W$8)/$X$8)&gt;1.92,"ATÍPICO",ABS((I4209-$W$8)/$X$8)&lt;=1.92,"NO ATÍPICO")</f>
        <v>NO ATÍPICO</v>
      </c>
      <c r="L4209">
        <f t="shared" si="278"/>
        <v>418466</v>
      </c>
      <c r="M4209" t="str">
        <f t="shared" si="278"/>
        <v>ASALARIADO</v>
      </c>
      <c r="N4209">
        <f t="shared" si="279"/>
        <v>40</v>
      </c>
      <c r="O4209" s="19" t="str">
        <f t="shared" si="280"/>
        <v>300k–600k</v>
      </c>
      <c r="P4209" s="19" t="str">
        <f t="shared" si="281"/>
        <v>36-45</v>
      </c>
    </row>
    <row r="4210" spans="1:16" x14ac:dyDescent="0.25">
      <c r="A4210">
        <v>4209</v>
      </c>
      <c r="B4210" t="s">
        <v>9</v>
      </c>
      <c r="C4210">
        <v>407937</v>
      </c>
      <c r="D4210" t="s">
        <v>10</v>
      </c>
      <c r="E4210" t="s">
        <v>16</v>
      </c>
      <c r="F4210" t="s">
        <v>12</v>
      </c>
      <c r="G4210" t="s">
        <v>13</v>
      </c>
      <c r="H4210" t="s">
        <v>13</v>
      </c>
      <c r="I4210">
        <v>34</v>
      </c>
      <c r="J4210" t="str" cm="1">
        <f t="array" ref="J4210">_xlfn.IFS(ISBLANK(C4210),"FALTANTE",ABS((C4210-$W$5)/$X$5)&gt;1.96,"ATÍPICO",ABS((C4210-$W$5)/$X$5)&lt;=1.96,"NO ATÍPICO")</f>
        <v>NO ATÍPICO</v>
      </c>
      <c r="K4210" t="str" cm="1">
        <f t="array" ref="K4210">_xlfn.IFS(ISBLANK(I4210),"FALTANTE",ABS((I4210-$W$8)/$X$8)&gt;1.92,"ATÍPICO",ABS((I4210-$W$8)/$X$8)&lt;=1.92,"NO ATÍPICO")</f>
        <v>NO ATÍPICO</v>
      </c>
      <c r="L4210">
        <f t="shared" si="278"/>
        <v>407937</v>
      </c>
      <c r="M4210" t="str">
        <f t="shared" si="278"/>
        <v>ASALARIADO</v>
      </c>
      <c r="N4210">
        <f t="shared" si="279"/>
        <v>34</v>
      </c>
      <c r="O4210" s="19" t="str">
        <f t="shared" si="280"/>
        <v>300k–600k</v>
      </c>
      <c r="P4210" s="19" t="str">
        <f t="shared" si="281"/>
        <v>26-35</v>
      </c>
    </row>
    <row r="4211" spans="1:16" x14ac:dyDescent="0.25">
      <c r="A4211">
        <v>4210</v>
      </c>
      <c r="B4211" t="s">
        <v>9</v>
      </c>
      <c r="C4211">
        <v>461380</v>
      </c>
      <c r="D4211" t="s">
        <v>10</v>
      </c>
      <c r="E4211" t="s">
        <v>16</v>
      </c>
      <c r="F4211" t="s">
        <v>12</v>
      </c>
      <c r="G4211" t="s">
        <v>13</v>
      </c>
      <c r="H4211" t="s">
        <v>13</v>
      </c>
      <c r="I4211">
        <v>30</v>
      </c>
      <c r="J4211" t="str" cm="1">
        <f t="array" ref="J4211">_xlfn.IFS(ISBLANK(C4211),"FALTANTE",ABS((C4211-$W$5)/$X$5)&gt;1.96,"ATÍPICO",ABS((C4211-$W$5)/$X$5)&lt;=1.96,"NO ATÍPICO")</f>
        <v>NO ATÍPICO</v>
      </c>
      <c r="K4211" t="str" cm="1">
        <f t="array" ref="K4211">_xlfn.IFS(ISBLANK(I4211),"FALTANTE",ABS((I4211-$W$8)/$X$8)&gt;1.92,"ATÍPICO",ABS((I4211-$W$8)/$X$8)&lt;=1.92,"NO ATÍPICO")</f>
        <v>NO ATÍPICO</v>
      </c>
      <c r="L4211">
        <f t="shared" si="278"/>
        <v>461380</v>
      </c>
      <c r="M4211" t="str">
        <f t="shared" si="278"/>
        <v>ASALARIADO</v>
      </c>
      <c r="N4211">
        <f t="shared" si="279"/>
        <v>30</v>
      </c>
      <c r="O4211" s="19" t="str">
        <f t="shared" si="280"/>
        <v>300k–600k</v>
      </c>
      <c r="P4211" s="19" t="str">
        <f t="shared" si="281"/>
        <v>26-35</v>
      </c>
    </row>
    <row r="4212" spans="1:16" x14ac:dyDescent="0.25">
      <c r="A4212">
        <v>4211</v>
      </c>
      <c r="B4212" t="s">
        <v>9</v>
      </c>
      <c r="C4212">
        <v>746235</v>
      </c>
      <c r="D4212" t="s">
        <v>10</v>
      </c>
      <c r="E4212" t="s">
        <v>16</v>
      </c>
      <c r="F4212" t="s">
        <v>12</v>
      </c>
      <c r="G4212" t="s">
        <v>13</v>
      </c>
      <c r="H4212" t="s">
        <v>13</v>
      </c>
      <c r="I4212">
        <v>49</v>
      </c>
      <c r="J4212" t="str" cm="1">
        <f t="array" ref="J4212">_xlfn.IFS(ISBLANK(C4212),"FALTANTE",ABS((C4212-$W$5)/$X$5)&gt;1.96,"ATÍPICO",ABS((C4212-$W$5)/$X$5)&lt;=1.96,"NO ATÍPICO")</f>
        <v>NO ATÍPICO</v>
      </c>
      <c r="K4212" t="str" cm="1">
        <f t="array" ref="K4212">_xlfn.IFS(ISBLANK(I4212),"FALTANTE",ABS((I4212-$W$8)/$X$8)&gt;1.92,"ATÍPICO",ABS((I4212-$W$8)/$X$8)&lt;=1.92,"NO ATÍPICO")</f>
        <v>NO ATÍPICO</v>
      </c>
      <c r="L4212">
        <f t="shared" si="278"/>
        <v>746235</v>
      </c>
      <c r="M4212" t="str">
        <f t="shared" si="278"/>
        <v>ASALARIADO</v>
      </c>
      <c r="N4212">
        <f t="shared" si="279"/>
        <v>49</v>
      </c>
      <c r="O4212" s="19" t="str">
        <f t="shared" si="280"/>
        <v>600k–900k</v>
      </c>
      <c r="P4212" s="19" t="str">
        <f t="shared" si="281"/>
        <v>46-55</v>
      </c>
    </row>
    <row r="4213" spans="1:16" x14ac:dyDescent="0.25">
      <c r="A4213">
        <v>4212</v>
      </c>
      <c r="B4213" t="s">
        <v>9</v>
      </c>
      <c r="C4213">
        <v>1041833.32</v>
      </c>
      <c r="D4213" t="s">
        <v>10</v>
      </c>
      <c r="E4213" t="s">
        <v>11</v>
      </c>
      <c r="F4213" t="s">
        <v>12</v>
      </c>
      <c r="G4213" t="s">
        <v>13</v>
      </c>
      <c r="H4213" t="s">
        <v>13</v>
      </c>
      <c r="I4213">
        <v>60</v>
      </c>
      <c r="J4213" t="str" cm="1">
        <f t="array" ref="J4213">_xlfn.IFS(ISBLANK(C4213),"FALTANTE",ABS((C4213-$W$5)/$X$5)&gt;1.96,"ATÍPICO",ABS((C4213-$W$5)/$X$5)&lt;=1.96,"NO ATÍPICO")</f>
        <v>NO ATÍPICO</v>
      </c>
      <c r="K4213" t="str" cm="1">
        <f t="array" ref="K4213">_xlfn.IFS(ISBLANK(I4213),"FALTANTE",ABS((I4213-$W$8)/$X$8)&gt;1.92,"ATÍPICO",ABS((I4213-$W$8)/$X$8)&lt;=1.92,"NO ATÍPICO")</f>
        <v>NO ATÍPICO</v>
      </c>
      <c r="L4213">
        <f t="shared" si="278"/>
        <v>1041833.32</v>
      </c>
      <c r="M4213" t="str">
        <f t="shared" si="278"/>
        <v>ASALARIADO</v>
      </c>
      <c r="N4213">
        <f t="shared" si="279"/>
        <v>60</v>
      </c>
      <c r="O4213" s="19" t="str">
        <f t="shared" si="280"/>
        <v>900k–1200k</v>
      </c>
      <c r="P4213" s="19" t="str">
        <f t="shared" si="281"/>
        <v>56+</v>
      </c>
    </row>
    <row r="4214" spans="1:16" x14ac:dyDescent="0.25">
      <c r="A4214">
        <v>4213</v>
      </c>
      <c r="B4214" t="s">
        <v>9</v>
      </c>
      <c r="C4214">
        <v>324047</v>
      </c>
      <c r="D4214" t="s">
        <v>18</v>
      </c>
      <c r="E4214" t="s">
        <v>16</v>
      </c>
      <c r="F4214" t="s">
        <v>13</v>
      </c>
      <c r="G4214" t="s">
        <v>13</v>
      </c>
      <c r="H4214" t="s">
        <v>13</v>
      </c>
      <c r="I4214">
        <v>65</v>
      </c>
      <c r="J4214" t="str" cm="1">
        <f t="array" ref="J4214">_xlfn.IFS(ISBLANK(C4214),"FALTANTE",ABS((C4214-$W$5)/$X$5)&gt;1.96,"ATÍPICO",ABS((C4214-$W$5)/$X$5)&lt;=1.96,"NO ATÍPICO")</f>
        <v>NO ATÍPICO</v>
      </c>
      <c r="K4214" t="str" cm="1">
        <f t="array" ref="K4214">_xlfn.IFS(ISBLANK(I4214),"FALTANTE",ABS((I4214-$W$8)/$X$8)&gt;1.92,"ATÍPICO",ABS((I4214-$W$8)/$X$8)&lt;=1.92,"NO ATÍPICO")</f>
        <v>NO ATÍPICO</v>
      </c>
      <c r="L4214">
        <f t="shared" si="278"/>
        <v>324047</v>
      </c>
      <c r="M4214" t="str">
        <f t="shared" si="278"/>
        <v>TRABAJADOR INDEPENDIENTE</v>
      </c>
      <c r="N4214">
        <f t="shared" si="279"/>
        <v>65</v>
      </c>
      <c r="O4214" s="19" t="str">
        <f t="shared" si="280"/>
        <v>300k–600k</v>
      </c>
      <c r="P4214" s="19" t="str">
        <f t="shared" si="281"/>
        <v>56+</v>
      </c>
    </row>
    <row r="4215" spans="1:16" x14ac:dyDescent="0.25">
      <c r="A4215">
        <v>4214</v>
      </c>
      <c r="B4215" t="s">
        <v>15</v>
      </c>
      <c r="C4215">
        <v>1482778.51</v>
      </c>
      <c r="D4215" t="s">
        <v>10</v>
      </c>
      <c r="E4215" t="s">
        <v>16</v>
      </c>
      <c r="F4215" t="s">
        <v>12</v>
      </c>
      <c r="G4215" t="s">
        <v>13</v>
      </c>
      <c r="H4215" t="s">
        <v>12</v>
      </c>
      <c r="I4215">
        <v>37</v>
      </c>
      <c r="J4215" t="str" cm="1">
        <f t="array" ref="J4215">_xlfn.IFS(ISBLANK(C4215),"FALTANTE",ABS((C4215-$W$5)/$X$5)&gt;1.96,"ATÍPICO",ABS((C4215-$W$5)/$X$5)&lt;=1.96,"NO ATÍPICO")</f>
        <v>NO ATÍPICO</v>
      </c>
      <c r="K4215" t="str" cm="1">
        <f t="array" ref="K4215">_xlfn.IFS(ISBLANK(I4215),"FALTANTE",ABS((I4215-$W$8)/$X$8)&gt;1.92,"ATÍPICO",ABS((I4215-$W$8)/$X$8)&lt;=1.92,"NO ATÍPICO")</f>
        <v>NO ATÍPICO</v>
      </c>
      <c r="L4215">
        <f t="shared" si="278"/>
        <v>1482778.51</v>
      </c>
      <c r="M4215" t="str">
        <f t="shared" si="278"/>
        <v>ASALARIADO</v>
      </c>
      <c r="N4215">
        <f t="shared" si="279"/>
        <v>37</v>
      </c>
      <c r="O4215" s="19" t="str">
        <f t="shared" si="280"/>
        <v>1200k+</v>
      </c>
      <c r="P4215" s="19" t="str">
        <f t="shared" si="281"/>
        <v>36-45</v>
      </c>
    </row>
    <row r="4216" spans="1:16" x14ac:dyDescent="0.25">
      <c r="A4216">
        <v>4215</v>
      </c>
      <c r="B4216" t="s">
        <v>9</v>
      </c>
      <c r="C4216">
        <v>620245</v>
      </c>
      <c r="D4216" t="s">
        <v>18</v>
      </c>
      <c r="E4216" t="s">
        <v>16</v>
      </c>
      <c r="F4216" t="s">
        <v>12</v>
      </c>
      <c r="G4216" t="s">
        <v>13</v>
      </c>
      <c r="H4216" t="s">
        <v>13</v>
      </c>
      <c r="I4216">
        <v>45</v>
      </c>
      <c r="J4216" t="str" cm="1">
        <f t="array" ref="J4216">_xlfn.IFS(ISBLANK(C4216),"FALTANTE",ABS((C4216-$W$5)/$X$5)&gt;1.96,"ATÍPICO",ABS((C4216-$W$5)/$X$5)&lt;=1.96,"NO ATÍPICO")</f>
        <v>NO ATÍPICO</v>
      </c>
      <c r="K4216" t="str" cm="1">
        <f t="array" ref="K4216">_xlfn.IFS(ISBLANK(I4216),"FALTANTE",ABS((I4216-$W$8)/$X$8)&gt;1.92,"ATÍPICO",ABS((I4216-$W$8)/$X$8)&lt;=1.92,"NO ATÍPICO")</f>
        <v>NO ATÍPICO</v>
      </c>
      <c r="L4216">
        <f t="shared" si="278"/>
        <v>620245</v>
      </c>
      <c r="M4216" t="str">
        <f t="shared" si="278"/>
        <v>TRABAJADOR INDEPENDIENTE</v>
      </c>
      <c r="N4216">
        <f t="shared" si="279"/>
        <v>45</v>
      </c>
      <c r="O4216" s="19" t="str">
        <f t="shared" si="280"/>
        <v>600k–900k</v>
      </c>
      <c r="P4216" s="19" t="str">
        <f t="shared" si="281"/>
        <v>36-45</v>
      </c>
    </row>
    <row r="4217" spans="1:16" x14ac:dyDescent="0.25">
      <c r="A4217">
        <v>4216</v>
      </c>
      <c r="B4217" t="s">
        <v>9</v>
      </c>
      <c r="C4217">
        <v>37500</v>
      </c>
      <c r="D4217" t="s">
        <v>10</v>
      </c>
      <c r="E4217" t="s">
        <v>16</v>
      </c>
      <c r="F4217" t="s">
        <v>12</v>
      </c>
      <c r="G4217" t="s">
        <v>13</v>
      </c>
      <c r="H4217" t="s">
        <v>12</v>
      </c>
      <c r="I4217">
        <v>47</v>
      </c>
      <c r="J4217" t="str" cm="1">
        <f t="array" ref="J4217">_xlfn.IFS(ISBLANK(C4217),"FALTANTE",ABS((C4217-$W$5)/$X$5)&gt;1.96,"ATÍPICO",ABS((C4217-$W$5)/$X$5)&lt;=1.96,"NO ATÍPICO")</f>
        <v>NO ATÍPICO</v>
      </c>
      <c r="K4217" t="str" cm="1">
        <f t="array" ref="K4217">_xlfn.IFS(ISBLANK(I4217),"FALTANTE",ABS((I4217-$W$8)/$X$8)&gt;1.92,"ATÍPICO",ABS((I4217-$W$8)/$X$8)&lt;=1.92,"NO ATÍPICO")</f>
        <v>NO ATÍPICO</v>
      </c>
      <c r="L4217">
        <f t="shared" si="278"/>
        <v>37500</v>
      </c>
      <c r="M4217" t="str">
        <f t="shared" si="278"/>
        <v>ASALARIADO</v>
      </c>
      <c r="N4217">
        <f t="shared" si="279"/>
        <v>47</v>
      </c>
      <c r="O4217" s="19" t="str">
        <f t="shared" si="280"/>
        <v>0–300k</v>
      </c>
      <c r="P4217" s="19" t="str">
        <f t="shared" si="281"/>
        <v>46-55</v>
      </c>
    </row>
    <row r="4218" spans="1:16" x14ac:dyDescent="0.25">
      <c r="A4218">
        <v>4217</v>
      </c>
      <c r="B4218" t="s">
        <v>15</v>
      </c>
      <c r="C4218">
        <v>297045</v>
      </c>
      <c r="D4218" t="s">
        <v>17</v>
      </c>
      <c r="E4218" t="s">
        <v>16</v>
      </c>
      <c r="F4218" t="s">
        <v>12</v>
      </c>
      <c r="G4218" t="s">
        <v>13</v>
      </c>
      <c r="H4218" t="s">
        <v>12</v>
      </c>
      <c r="I4218">
        <v>48</v>
      </c>
      <c r="J4218" t="str" cm="1">
        <f t="array" ref="J4218">_xlfn.IFS(ISBLANK(C4218),"FALTANTE",ABS((C4218-$W$5)/$X$5)&gt;1.96,"ATÍPICO",ABS((C4218-$W$5)/$X$5)&lt;=1.96,"NO ATÍPICO")</f>
        <v>NO ATÍPICO</v>
      </c>
      <c r="K4218" t="str" cm="1">
        <f t="array" ref="K4218">_xlfn.IFS(ISBLANK(I4218),"FALTANTE",ABS((I4218-$W$8)/$X$8)&gt;1.92,"ATÍPICO",ABS((I4218-$W$8)/$X$8)&lt;=1.92,"NO ATÍPICO")</f>
        <v>NO ATÍPICO</v>
      </c>
      <c r="L4218">
        <f t="shared" si="278"/>
        <v>297045</v>
      </c>
      <c r="M4218" t="str">
        <f t="shared" si="278"/>
        <v>ASEGURADO VOLUNTARIO</v>
      </c>
      <c r="N4218">
        <f t="shared" si="279"/>
        <v>48</v>
      </c>
      <c r="O4218" s="19" t="str">
        <f t="shared" si="280"/>
        <v>0–300k</v>
      </c>
      <c r="P4218" s="19" t="str">
        <f t="shared" si="281"/>
        <v>46-55</v>
      </c>
    </row>
    <row r="4219" spans="1:16" x14ac:dyDescent="0.25">
      <c r="A4219">
        <v>4218</v>
      </c>
      <c r="B4219" t="s">
        <v>9</v>
      </c>
      <c r="C4219">
        <v>1810740.4</v>
      </c>
      <c r="D4219" t="s">
        <v>10</v>
      </c>
      <c r="E4219" t="s">
        <v>11</v>
      </c>
      <c r="F4219" t="s">
        <v>12</v>
      </c>
      <c r="G4219" t="s">
        <v>13</v>
      </c>
      <c r="H4219" t="s">
        <v>13</v>
      </c>
      <c r="I4219">
        <v>55</v>
      </c>
      <c r="J4219" t="str" cm="1">
        <f t="array" ref="J4219">_xlfn.IFS(ISBLANK(C4219),"FALTANTE",ABS((C4219-$W$5)/$X$5)&gt;1.96,"ATÍPICO",ABS((C4219-$W$5)/$X$5)&lt;=1.96,"NO ATÍPICO")</f>
        <v>NO ATÍPICO</v>
      </c>
      <c r="K4219" t="str" cm="1">
        <f t="array" ref="K4219">_xlfn.IFS(ISBLANK(I4219),"FALTANTE",ABS((I4219-$W$8)/$X$8)&gt;1.92,"ATÍPICO",ABS((I4219-$W$8)/$X$8)&lt;=1.92,"NO ATÍPICO")</f>
        <v>NO ATÍPICO</v>
      </c>
      <c r="L4219">
        <f t="shared" si="278"/>
        <v>1810740.4</v>
      </c>
      <c r="M4219" t="str">
        <f t="shared" si="278"/>
        <v>ASALARIADO</v>
      </c>
      <c r="N4219">
        <f t="shared" si="279"/>
        <v>55</v>
      </c>
      <c r="O4219" s="19" t="str">
        <f t="shared" si="280"/>
        <v>1200k+</v>
      </c>
      <c r="P4219" s="19" t="str">
        <f t="shared" si="281"/>
        <v>46-55</v>
      </c>
    </row>
    <row r="4220" spans="1:16" x14ac:dyDescent="0.25">
      <c r="A4220">
        <v>4219</v>
      </c>
      <c r="B4220" t="s">
        <v>9</v>
      </c>
      <c r="C4220">
        <v>8850000</v>
      </c>
      <c r="D4220" t="s">
        <v>10</v>
      </c>
      <c r="E4220" t="s">
        <v>16</v>
      </c>
      <c r="F4220" t="s">
        <v>12</v>
      </c>
      <c r="G4220" t="s">
        <v>13</v>
      </c>
      <c r="H4220" t="s">
        <v>13</v>
      </c>
      <c r="I4220">
        <v>41</v>
      </c>
      <c r="J4220" t="str" cm="1">
        <f t="array" ref="J4220">_xlfn.IFS(ISBLANK(C4220),"FALTANTE",ABS((C4220-$W$5)/$X$5)&gt;1.96,"ATÍPICO",ABS((C4220-$W$5)/$X$5)&lt;=1.96,"NO ATÍPICO")</f>
        <v>ATÍPICO</v>
      </c>
      <c r="K4220" t="str" cm="1">
        <f t="array" ref="K4220">_xlfn.IFS(ISBLANK(I4220),"FALTANTE",ABS((I4220-$W$8)/$X$8)&gt;1.92,"ATÍPICO",ABS((I4220-$W$8)/$X$8)&lt;=1.92,"NO ATÍPICO")</f>
        <v>NO ATÍPICO</v>
      </c>
      <c r="L4220">
        <f t="shared" si="278"/>
        <v>8850000</v>
      </c>
      <c r="M4220" t="str">
        <f t="shared" si="278"/>
        <v>ASALARIADO</v>
      </c>
      <c r="N4220">
        <f t="shared" si="279"/>
        <v>41</v>
      </c>
      <c r="O4220" s="19" t="str">
        <f t="shared" si="280"/>
        <v>1200k+</v>
      </c>
      <c r="P4220" s="19" t="str">
        <f t="shared" si="281"/>
        <v>36-45</v>
      </c>
    </row>
    <row r="4221" spans="1:16" x14ac:dyDescent="0.25">
      <c r="A4221">
        <v>4220</v>
      </c>
      <c r="B4221" t="s">
        <v>15</v>
      </c>
      <c r="C4221">
        <v>955676</v>
      </c>
      <c r="D4221" t="s">
        <v>18</v>
      </c>
      <c r="E4221" t="s">
        <v>16</v>
      </c>
      <c r="F4221" t="s">
        <v>12</v>
      </c>
      <c r="G4221" t="s">
        <v>13</v>
      </c>
      <c r="H4221" t="s">
        <v>13</v>
      </c>
      <c r="I4221">
        <v>38</v>
      </c>
      <c r="J4221" t="str" cm="1">
        <f t="array" ref="J4221">_xlfn.IFS(ISBLANK(C4221),"FALTANTE",ABS((C4221-$W$5)/$X$5)&gt;1.96,"ATÍPICO",ABS((C4221-$W$5)/$X$5)&lt;=1.96,"NO ATÍPICO")</f>
        <v>NO ATÍPICO</v>
      </c>
      <c r="K4221" t="str" cm="1">
        <f t="array" ref="K4221">_xlfn.IFS(ISBLANK(I4221),"FALTANTE",ABS((I4221-$W$8)/$X$8)&gt;1.92,"ATÍPICO",ABS((I4221-$W$8)/$X$8)&lt;=1.92,"NO ATÍPICO")</f>
        <v>NO ATÍPICO</v>
      </c>
      <c r="L4221">
        <f t="shared" si="278"/>
        <v>955676</v>
      </c>
      <c r="M4221" t="str">
        <f t="shared" si="278"/>
        <v>TRABAJADOR INDEPENDIENTE</v>
      </c>
      <c r="N4221">
        <f t="shared" si="279"/>
        <v>38</v>
      </c>
      <c r="O4221" s="19" t="str">
        <f t="shared" si="280"/>
        <v>900k–1200k</v>
      </c>
      <c r="P4221" s="19" t="str">
        <f t="shared" si="281"/>
        <v>36-45</v>
      </c>
    </row>
    <row r="4222" spans="1:16" x14ac:dyDescent="0.25">
      <c r="A4222">
        <v>4221</v>
      </c>
      <c r="B4222" t="s">
        <v>9</v>
      </c>
      <c r="C4222">
        <v>278030</v>
      </c>
      <c r="D4222" t="s">
        <v>19</v>
      </c>
      <c r="E4222" t="s">
        <v>16</v>
      </c>
      <c r="F4222" t="s">
        <v>12</v>
      </c>
      <c r="G4222" t="s">
        <v>13</v>
      </c>
      <c r="H4222" t="s">
        <v>13</v>
      </c>
      <c r="I4222">
        <v>68</v>
      </c>
      <c r="J4222" t="str" cm="1">
        <f t="array" ref="J4222">_xlfn.IFS(ISBLANK(C4222),"FALTANTE",ABS((C4222-$W$5)/$X$5)&gt;1.96,"ATÍPICO",ABS((C4222-$W$5)/$X$5)&lt;=1.96,"NO ATÍPICO")</f>
        <v>NO ATÍPICO</v>
      </c>
      <c r="K4222" t="str" cm="1">
        <f t="array" ref="K4222">_xlfn.IFS(ISBLANK(I4222),"FALTANTE",ABS((I4222-$W$8)/$X$8)&gt;1.92,"ATÍPICO",ABS((I4222-$W$8)/$X$8)&lt;=1.92,"NO ATÍPICO")</f>
        <v>NO ATÍPICO</v>
      </c>
      <c r="L4222">
        <f t="shared" si="278"/>
        <v>278030</v>
      </c>
      <c r="M4222" t="str">
        <f t="shared" si="278"/>
        <v>CONVENIOS ESPECIALES DE TRABAJADORES INDEPENDIENTES</v>
      </c>
      <c r="N4222">
        <f t="shared" si="279"/>
        <v>68</v>
      </c>
      <c r="O4222" s="19" t="str">
        <f t="shared" si="280"/>
        <v>0–300k</v>
      </c>
      <c r="P4222" s="19" t="str">
        <f t="shared" si="281"/>
        <v>56+</v>
      </c>
    </row>
    <row r="4223" spans="1:16" x14ac:dyDescent="0.25">
      <c r="A4223">
        <v>4222</v>
      </c>
      <c r="B4223" t="s">
        <v>9</v>
      </c>
      <c r="C4223">
        <v>301502.2</v>
      </c>
      <c r="D4223" t="s">
        <v>10</v>
      </c>
      <c r="E4223" t="s">
        <v>16</v>
      </c>
      <c r="F4223" t="s">
        <v>12</v>
      </c>
      <c r="G4223" t="s">
        <v>13</v>
      </c>
      <c r="H4223" t="s">
        <v>13</v>
      </c>
      <c r="I4223">
        <v>29</v>
      </c>
      <c r="J4223" t="str" cm="1">
        <f t="array" ref="J4223">_xlfn.IFS(ISBLANK(C4223),"FALTANTE",ABS((C4223-$W$5)/$X$5)&gt;1.96,"ATÍPICO",ABS((C4223-$W$5)/$X$5)&lt;=1.96,"NO ATÍPICO")</f>
        <v>NO ATÍPICO</v>
      </c>
      <c r="K4223" t="str" cm="1">
        <f t="array" ref="K4223">_xlfn.IFS(ISBLANK(I4223),"FALTANTE",ABS((I4223-$W$8)/$X$8)&gt;1.92,"ATÍPICO",ABS((I4223-$W$8)/$X$8)&lt;=1.92,"NO ATÍPICO")</f>
        <v>NO ATÍPICO</v>
      </c>
      <c r="L4223">
        <f t="shared" si="278"/>
        <v>301502.2</v>
      </c>
      <c r="M4223" t="str">
        <f t="shared" si="278"/>
        <v>ASALARIADO</v>
      </c>
      <c r="N4223">
        <f t="shared" si="279"/>
        <v>29</v>
      </c>
      <c r="O4223" s="19" t="str">
        <f t="shared" si="280"/>
        <v>300k–600k</v>
      </c>
      <c r="P4223" s="19" t="str">
        <f t="shared" si="281"/>
        <v>26-35</v>
      </c>
    </row>
    <row r="4224" spans="1:16" x14ac:dyDescent="0.25">
      <c r="A4224">
        <v>4223</v>
      </c>
      <c r="B4224" t="s">
        <v>9</v>
      </c>
      <c r="C4224">
        <v>1331200</v>
      </c>
      <c r="D4224" t="s">
        <v>10</v>
      </c>
      <c r="E4224" t="s">
        <v>16</v>
      </c>
      <c r="F4224" t="s">
        <v>12</v>
      </c>
      <c r="G4224" t="s">
        <v>13</v>
      </c>
      <c r="H4224" t="s">
        <v>13</v>
      </c>
      <c r="I4224">
        <v>31</v>
      </c>
      <c r="J4224" t="str" cm="1">
        <f t="array" ref="J4224">_xlfn.IFS(ISBLANK(C4224),"FALTANTE",ABS((C4224-$W$5)/$X$5)&gt;1.96,"ATÍPICO",ABS((C4224-$W$5)/$X$5)&lt;=1.96,"NO ATÍPICO")</f>
        <v>NO ATÍPICO</v>
      </c>
      <c r="K4224" t="str" cm="1">
        <f t="array" ref="K4224">_xlfn.IFS(ISBLANK(I4224),"FALTANTE",ABS((I4224-$W$8)/$X$8)&gt;1.92,"ATÍPICO",ABS((I4224-$W$8)/$X$8)&lt;=1.92,"NO ATÍPICO")</f>
        <v>NO ATÍPICO</v>
      </c>
      <c r="L4224">
        <f t="shared" si="278"/>
        <v>1331200</v>
      </c>
      <c r="M4224" t="str">
        <f t="shared" si="278"/>
        <v>ASALARIADO</v>
      </c>
      <c r="N4224">
        <f t="shared" si="279"/>
        <v>31</v>
      </c>
      <c r="O4224" s="19" t="str">
        <f t="shared" si="280"/>
        <v>1200k+</v>
      </c>
      <c r="P4224" s="19" t="str">
        <f t="shared" si="281"/>
        <v>26-35</v>
      </c>
    </row>
    <row r="4225" spans="1:16" x14ac:dyDescent="0.25">
      <c r="A4225">
        <v>4224</v>
      </c>
      <c r="B4225" t="s">
        <v>15</v>
      </c>
      <c r="C4225">
        <v>368052.97</v>
      </c>
      <c r="D4225" t="s">
        <v>10</v>
      </c>
      <c r="E4225" t="s">
        <v>16</v>
      </c>
      <c r="F4225" t="s">
        <v>12</v>
      </c>
      <c r="G4225" t="s">
        <v>13</v>
      </c>
      <c r="H4225" t="s">
        <v>13</v>
      </c>
      <c r="I4225">
        <v>37</v>
      </c>
      <c r="J4225" t="str" cm="1">
        <f t="array" ref="J4225">_xlfn.IFS(ISBLANK(C4225),"FALTANTE",ABS((C4225-$W$5)/$X$5)&gt;1.96,"ATÍPICO",ABS((C4225-$W$5)/$X$5)&lt;=1.96,"NO ATÍPICO")</f>
        <v>NO ATÍPICO</v>
      </c>
      <c r="K4225" t="str" cm="1">
        <f t="array" ref="K4225">_xlfn.IFS(ISBLANK(I4225),"FALTANTE",ABS((I4225-$W$8)/$X$8)&gt;1.92,"ATÍPICO",ABS((I4225-$W$8)/$X$8)&lt;=1.92,"NO ATÍPICO")</f>
        <v>NO ATÍPICO</v>
      </c>
      <c r="L4225">
        <f t="shared" si="278"/>
        <v>368052.97</v>
      </c>
      <c r="M4225" t="str">
        <f t="shared" si="278"/>
        <v>ASALARIADO</v>
      </c>
      <c r="N4225">
        <f t="shared" si="279"/>
        <v>37</v>
      </c>
      <c r="O4225" s="19" t="str">
        <f t="shared" si="280"/>
        <v>300k–600k</v>
      </c>
      <c r="P4225" s="19" t="str">
        <f t="shared" si="281"/>
        <v>36-45</v>
      </c>
    </row>
    <row r="4226" spans="1:16" x14ac:dyDescent="0.25">
      <c r="A4226">
        <v>4225</v>
      </c>
      <c r="B4226" t="s">
        <v>9</v>
      </c>
      <c r="C4226">
        <v>65000</v>
      </c>
      <c r="D4226" t="s">
        <v>10</v>
      </c>
      <c r="E4226" t="s">
        <v>16</v>
      </c>
      <c r="F4226" t="s">
        <v>12</v>
      </c>
      <c r="G4226" t="s">
        <v>12</v>
      </c>
      <c r="H4226" t="s">
        <v>13</v>
      </c>
      <c r="I4226">
        <v>33</v>
      </c>
      <c r="J4226" t="str" cm="1">
        <f t="array" ref="J4226">_xlfn.IFS(ISBLANK(C4226),"FALTANTE",ABS((C4226-$W$5)/$X$5)&gt;1.96,"ATÍPICO",ABS((C4226-$W$5)/$X$5)&lt;=1.96,"NO ATÍPICO")</f>
        <v>NO ATÍPICO</v>
      </c>
      <c r="K4226" t="str" cm="1">
        <f t="array" ref="K4226">_xlfn.IFS(ISBLANK(I4226),"FALTANTE",ABS((I4226-$W$8)/$X$8)&gt;1.92,"ATÍPICO",ABS((I4226-$W$8)/$X$8)&lt;=1.92,"NO ATÍPICO")</f>
        <v>NO ATÍPICO</v>
      </c>
      <c r="L4226">
        <f t="shared" ref="L4226:M4289" si="282">C4226</f>
        <v>65000</v>
      </c>
      <c r="M4226" t="str">
        <f t="shared" si="282"/>
        <v>ASALARIADO</v>
      </c>
      <c r="N4226">
        <f t="shared" ref="N4226:N4289" si="283">I4226</f>
        <v>33</v>
      </c>
      <c r="O4226" s="19" t="str">
        <f t="shared" ref="O4226:O4289" si="284">IF(L4226&lt;=300000,"0–300k",IF(L4226&lt;=600000,"300k–600k",IF(L4226&lt;=900000,"600k–900k",IF(L4226&lt;=1200000,"900k–1200k","1200k+"))))</f>
        <v>0–300k</v>
      </c>
      <c r="P4226" s="19" t="str">
        <f t="shared" ref="P4226:P4289" si="285">IF(N4226 &lt;=25,"18-25", IF(N4226&lt;=35,"26-35", IF(N4226 &lt;=45,"36-45", IF(N4226&lt;=55,"46-55","56+"))))</f>
        <v>26-35</v>
      </c>
    </row>
    <row r="4227" spans="1:16" x14ac:dyDescent="0.25">
      <c r="A4227">
        <v>4226</v>
      </c>
      <c r="B4227" t="s">
        <v>15</v>
      </c>
      <c r="C4227">
        <v>4770580</v>
      </c>
      <c r="D4227" t="s">
        <v>14</v>
      </c>
      <c r="E4227" t="s">
        <v>11</v>
      </c>
      <c r="F4227" t="s">
        <v>12</v>
      </c>
      <c r="G4227" t="s">
        <v>13</v>
      </c>
      <c r="H4227" t="s">
        <v>13</v>
      </c>
      <c r="I4227">
        <v>82</v>
      </c>
      <c r="J4227" t="str" cm="1">
        <f t="array" ref="J4227">_xlfn.IFS(ISBLANK(C4227),"FALTANTE",ABS((C4227-$W$5)/$X$5)&gt;1.96,"ATÍPICO",ABS((C4227-$W$5)/$X$5)&lt;=1.96,"NO ATÍPICO")</f>
        <v>ATÍPICO</v>
      </c>
      <c r="K4227" t="str" cm="1">
        <f t="array" ref="K4227">_xlfn.IFS(ISBLANK(I4227),"FALTANTE",ABS((I4227-$W$8)/$X$8)&gt;1.92,"ATÍPICO",ABS((I4227-$W$8)/$X$8)&lt;=1.92,"NO ATÍPICO")</f>
        <v>ATÍPICO</v>
      </c>
      <c r="L4227">
        <f t="shared" si="282"/>
        <v>4770580</v>
      </c>
      <c r="M4227" t="str">
        <f t="shared" si="282"/>
        <v>PENSIONADOS EN SU PROPIO SISTEMA</v>
      </c>
      <c r="N4227">
        <f t="shared" si="283"/>
        <v>82</v>
      </c>
      <c r="O4227" s="19" t="str">
        <f t="shared" si="284"/>
        <v>1200k+</v>
      </c>
      <c r="P4227" s="19" t="str">
        <f t="shared" si="285"/>
        <v>56+</v>
      </c>
    </row>
    <row r="4228" spans="1:16" x14ac:dyDescent="0.25">
      <c r="A4228">
        <v>4227</v>
      </c>
      <c r="B4228" t="s">
        <v>9</v>
      </c>
      <c r="C4228">
        <v>1320594.4099999999</v>
      </c>
      <c r="D4228" t="s">
        <v>10</v>
      </c>
      <c r="E4228" t="s">
        <v>16</v>
      </c>
      <c r="F4228" t="s">
        <v>12</v>
      </c>
      <c r="G4228" t="s">
        <v>13</v>
      </c>
      <c r="H4228" t="s">
        <v>13</v>
      </c>
      <c r="I4228">
        <v>26</v>
      </c>
      <c r="J4228" t="str" cm="1">
        <f t="array" ref="J4228">_xlfn.IFS(ISBLANK(C4228),"FALTANTE",ABS((C4228-$W$5)/$X$5)&gt;1.96,"ATÍPICO",ABS((C4228-$W$5)/$X$5)&lt;=1.96,"NO ATÍPICO")</f>
        <v>NO ATÍPICO</v>
      </c>
      <c r="K4228" t="str" cm="1">
        <f t="array" ref="K4228">_xlfn.IFS(ISBLANK(I4228),"FALTANTE",ABS((I4228-$W$8)/$X$8)&gt;1.92,"ATÍPICO",ABS((I4228-$W$8)/$X$8)&lt;=1.92,"NO ATÍPICO")</f>
        <v>NO ATÍPICO</v>
      </c>
      <c r="L4228">
        <f t="shared" si="282"/>
        <v>1320594.4099999999</v>
      </c>
      <c r="M4228" t="str">
        <f t="shared" si="282"/>
        <v>ASALARIADO</v>
      </c>
      <c r="N4228">
        <f t="shared" si="283"/>
        <v>26</v>
      </c>
      <c r="O4228" s="19" t="str">
        <f t="shared" si="284"/>
        <v>1200k+</v>
      </c>
      <c r="P4228" s="19" t="str">
        <f t="shared" si="285"/>
        <v>26-35</v>
      </c>
    </row>
    <row r="4229" spans="1:16" x14ac:dyDescent="0.25">
      <c r="A4229">
        <v>4228</v>
      </c>
      <c r="B4229" t="s">
        <v>9</v>
      </c>
      <c r="C4229">
        <v>349825</v>
      </c>
      <c r="D4229" t="s">
        <v>10</v>
      </c>
      <c r="E4229" t="s">
        <v>16</v>
      </c>
      <c r="F4229" t="s">
        <v>12</v>
      </c>
      <c r="G4229" t="s">
        <v>13</v>
      </c>
      <c r="H4229" t="s">
        <v>13</v>
      </c>
      <c r="I4229">
        <v>55</v>
      </c>
      <c r="J4229" t="str" cm="1">
        <f t="array" ref="J4229">_xlfn.IFS(ISBLANK(C4229),"FALTANTE",ABS((C4229-$W$5)/$X$5)&gt;1.96,"ATÍPICO",ABS((C4229-$W$5)/$X$5)&lt;=1.96,"NO ATÍPICO")</f>
        <v>NO ATÍPICO</v>
      </c>
      <c r="K4229" t="str" cm="1">
        <f t="array" ref="K4229">_xlfn.IFS(ISBLANK(I4229),"FALTANTE",ABS((I4229-$W$8)/$X$8)&gt;1.92,"ATÍPICO",ABS((I4229-$W$8)/$X$8)&lt;=1.92,"NO ATÍPICO")</f>
        <v>NO ATÍPICO</v>
      </c>
      <c r="L4229">
        <f t="shared" si="282"/>
        <v>349825</v>
      </c>
      <c r="M4229" t="str">
        <f t="shared" si="282"/>
        <v>ASALARIADO</v>
      </c>
      <c r="N4229">
        <f t="shared" si="283"/>
        <v>55</v>
      </c>
      <c r="O4229" s="19" t="str">
        <f t="shared" si="284"/>
        <v>300k–600k</v>
      </c>
      <c r="P4229" s="19" t="str">
        <f t="shared" si="285"/>
        <v>46-55</v>
      </c>
    </row>
    <row r="4230" spans="1:16" x14ac:dyDescent="0.25">
      <c r="A4230">
        <v>4229</v>
      </c>
      <c r="B4230" t="s">
        <v>15</v>
      </c>
      <c r="C4230">
        <v>410881.45</v>
      </c>
      <c r="D4230" t="s">
        <v>10</v>
      </c>
      <c r="E4230" t="s">
        <v>16</v>
      </c>
      <c r="F4230" t="s">
        <v>12</v>
      </c>
      <c r="G4230" t="s">
        <v>13</v>
      </c>
      <c r="H4230" t="s">
        <v>13</v>
      </c>
      <c r="I4230">
        <v>45</v>
      </c>
      <c r="J4230" t="str" cm="1">
        <f t="array" ref="J4230">_xlfn.IFS(ISBLANK(C4230),"FALTANTE",ABS((C4230-$W$5)/$X$5)&gt;1.96,"ATÍPICO",ABS((C4230-$W$5)/$X$5)&lt;=1.96,"NO ATÍPICO")</f>
        <v>NO ATÍPICO</v>
      </c>
      <c r="K4230" t="str" cm="1">
        <f t="array" ref="K4230">_xlfn.IFS(ISBLANK(I4230),"FALTANTE",ABS((I4230-$W$8)/$X$8)&gt;1.92,"ATÍPICO",ABS((I4230-$W$8)/$X$8)&lt;=1.92,"NO ATÍPICO")</f>
        <v>NO ATÍPICO</v>
      </c>
      <c r="L4230">
        <f t="shared" si="282"/>
        <v>410881.45</v>
      </c>
      <c r="M4230" t="str">
        <f t="shared" si="282"/>
        <v>ASALARIADO</v>
      </c>
      <c r="N4230">
        <f t="shared" si="283"/>
        <v>45</v>
      </c>
      <c r="O4230" s="19" t="str">
        <f t="shared" si="284"/>
        <v>300k–600k</v>
      </c>
      <c r="P4230" s="19" t="str">
        <f t="shared" si="285"/>
        <v>36-45</v>
      </c>
    </row>
    <row r="4231" spans="1:16" x14ac:dyDescent="0.25">
      <c r="A4231">
        <v>4230</v>
      </c>
      <c r="B4231" t="s">
        <v>9</v>
      </c>
      <c r="C4231">
        <v>600000</v>
      </c>
      <c r="D4231" t="s">
        <v>10</v>
      </c>
      <c r="E4231" t="s">
        <v>16</v>
      </c>
      <c r="F4231" t="s">
        <v>12</v>
      </c>
      <c r="G4231" t="s">
        <v>13</v>
      </c>
      <c r="H4231" t="s">
        <v>12</v>
      </c>
      <c r="I4231">
        <v>28</v>
      </c>
      <c r="J4231" t="str" cm="1">
        <f t="array" ref="J4231">_xlfn.IFS(ISBLANK(C4231),"FALTANTE",ABS((C4231-$W$5)/$X$5)&gt;1.96,"ATÍPICO",ABS((C4231-$W$5)/$X$5)&lt;=1.96,"NO ATÍPICO")</f>
        <v>NO ATÍPICO</v>
      </c>
      <c r="K4231" t="str" cm="1">
        <f t="array" ref="K4231">_xlfn.IFS(ISBLANK(I4231),"FALTANTE",ABS((I4231-$W$8)/$X$8)&gt;1.92,"ATÍPICO",ABS((I4231-$W$8)/$X$8)&lt;=1.92,"NO ATÍPICO")</f>
        <v>NO ATÍPICO</v>
      </c>
      <c r="L4231">
        <f t="shared" si="282"/>
        <v>600000</v>
      </c>
      <c r="M4231" t="str">
        <f t="shared" si="282"/>
        <v>ASALARIADO</v>
      </c>
      <c r="N4231">
        <f t="shared" si="283"/>
        <v>28</v>
      </c>
      <c r="O4231" s="19" t="str">
        <f t="shared" si="284"/>
        <v>300k–600k</v>
      </c>
      <c r="P4231" s="19" t="str">
        <f t="shared" si="285"/>
        <v>26-35</v>
      </c>
    </row>
    <row r="4232" spans="1:16" x14ac:dyDescent="0.25">
      <c r="A4232">
        <v>4231</v>
      </c>
      <c r="B4232" t="s">
        <v>15</v>
      </c>
      <c r="C4232">
        <v>631000</v>
      </c>
      <c r="D4232" t="s">
        <v>10</v>
      </c>
      <c r="E4232" t="s">
        <v>16</v>
      </c>
      <c r="F4232" t="s">
        <v>12</v>
      </c>
      <c r="G4232" t="s">
        <v>13</v>
      </c>
      <c r="H4232" t="s">
        <v>13</v>
      </c>
      <c r="I4232">
        <v>32</v>
      </c>
      <c r="J4232" t="str" cm="1">
        <f t="array" ref="J4232">_xlfn.IFS(ISBLANK(C4232),"FALTANTE",ABS((C4232-$W$5)/$X$5)&gt;1.96,"ATÍPICO",ABS((C4232-$W$5)/$X$5)&lt;=1.96,"NO ATÍPICO")</f>
        <v>NO ATÍPICO</v>
      </c>
      <c r="K4232" t="str" cm="1">
        <f t="array" ref="K4232">_xlfn.IFS(ISBLANK(I4232),"FALTANTE",ABS((I4232-$W$8)/$X$8)&gt;1.92,"ATÍPICO",ABS((I4232-$W$8)/$X$8)&lt;=1.92,"NO ATÍPICO")</f>
        <v>NO ATÍPICO</v>
      </c>
      <c r="L4232">
        <f t="shared" si="282"/>
        <v>631000</v>
      </c>
      <c r="M4232" t="str">
        <f t="shared" si="282"/>
        <v>ASALARIADO</v>
      </c>
      <c r="N4232">
        <f t="shared" si="283"/>
        <v>32</v>
      </c>
      <c r="O4232" s="19" t="str">
        <f t="shared" si="284"/>
        <v>600k–900k</v>
      </c>
      <c r="P4232" s="19" t="str">
        <f t="shared" si="285"/>
        <v>26-35</v>
      </c>
    </row>
    <row r="4233" spans="1:16" x14ac:dyDescent="0.25">
      <c r="A4233">
        <v>4232</v>
      </c>
      <c r="B4233" t="s">
        <v>9</v>
      </c>
      <c r="C4233">
        <v>1873201.89</v>
      </c>
      <c r="D4233" t="s">
        <v>10</v>
      </c>
      <c r="E4233" t="s">
        <v>16</v>
      </c>
      <c r="F4233" t="s">
        <v>12</v>
      </c>
      <c r="G4233" t="s">
        <v>13</v>
      </c>
      <c r="H4233" t="s">
        <v>13</v>
      </c>
      <c r="I4233">
        <v>49</v>
      </c>
      <c r="J4233" t="str" cm="1">
        <f t="array" ref="J4233">_xlfn.IFS(ISBLANK(C4233),"FALTANTE",ABS((C4233-$W$5)/$X$5)&gt;1.96,"ATÍPICO",ABS((C4233-$W$5)/$X$5)&lt;=1.96,"NO ATÍPICO")</f>
        <v>NO ATÍPICO</v>
      </c>
      <c r="K4233" t="str" cm="1">
        <f t="array" ref="K4233">_xlfn.IFS(ISBLANK(I4233),"FALTANTE",ABS((I4233-$W$8)/$X$8)&gt;1.92,"ATÍPICO",ABS((I4233-$W$8)/$X$8)&lt;=1.92,"NO ATÍPICO")</f>
        <v>NO ATÍPICO</v>
      </c>
      <c r="L4233">
        <f t="shared" si="282"/>
        <v>1873201.89</v>
      </c>
      <c r="M4233" t="str">
        <f t="shared" si="282"/>
        <v>ASALARIADO</v>
      </c>
      <c r="N4233">
        <f t="shared" si="283"/>
        <v>49</v>
      </c>
      <c r="O4233" s="19" t="str">
        <f t="shared" si="284"/>
        <v>1200k+</v>
      </c>
      <c r="P4233" s="19" t="str">
        <f t="shared" si="285"/>
        <v>46-55</v>
      </c>
    </row>
    <row r="4234" spans="1:16" x14ac:dyDescent="0.25">
      <c r="A4234">
        <v>4233</v>
      </c>
      <c r="B4234" t="s">
        <v>15</v>
      </c>
      <c r="C4234">
        <v>875386</v>
      </c>
      <c r="D4234" t="s">
        <v>14</v>
      </c>
      <c r="E4234" t="s">
        <v>11</v>
      </c>
      <c r="F4234" t="s">
        <v>12</v>
      </c>
      <c r="G4234" t="s">
        <v>13</v>
      </c>
      <c r="H4234" t="s">
        <v>13</v>
      </c>
      <c r="I4234">
        <v>70</v>
      </c>
      <c r="J4234" t="str" cm="1">
        <f t="array" ref="J4234">_xlfn.IFS(ISBLANK(C4234),"FALTANTE",ABS((C4234-$W$5)/$X$5)&gt;1.96,"ATÍPICO",ABS((C4234-$W$5)/$X$5)&lt;=1.96,"NO ATÍPICO")</f>
        <v>NO ATÍPICO</v>
      </c>
      <c r="K4234" t="str" cm="1">
        <f t="array" ref="K4234">_xlfn.IFS(ISBLANK(I4234),"FALTANTE",ABS((I4234-$W$8)/$X$8)&gt;1.92,"ATÍPICO",ABS((I4234-$W$8)/$X$8)&lt;=1.92,"NO ATÍPICO")</f>
        <v>ATÍPICO</v>
      </c>
      <c r="L4234">
        <f t="shared" si="282"/>
        <v>875386</v>
      </c>
      <c r="M4234" t="str">
        <f t="shared" si="282"/>
        <v>PENSIONADOS EN SU PROPIO SISTEMA</v>
      </c>
      <c r="N4234">
        <f t="shared" si="283"/>
        <v>70</v>
      </c>
      <c r="O4234" s="19" t="str">
        <f t="shared" si="284"/>
        <v>600k–900k</v>
      </c>
      <c r="P4234" s="19" t="str">
        <f t="shared" si="285"/>
        <v>56+</v>
      </c>
    </row>
    <row r="4235" spans="1:16" x14ac:dyDescent="0.25">
      <c r="A4235">
        <v>4234</v>
      </c>
      <c r="B4235" t="s">
        <v>9</v>
      </c>
      <c r="C4235">
        <v>325000</v>
      </c>
      <c r="D4235" t="s">
        <v>10</v>
      </c>
      <c r="E4235" t="s">
        <v>16</v>
      </c>
      <c r="F4235" t="s">
        <v>12</v>
      </c>
      <c r="G4235" t="s">
        <v>13</v>
      </c>
      <c r="H4235" t="s">
        <v>13</v>
      </c>
      <c r="I4235">
        <v>55</v>
      </c>
      <c r="J4235" t="str" cm="1">
        <f t="array" ref="J4235">_xlfn.IFS(ISBLANK(C4235),"FALTANTE",ABS((C4235-$W$5)/$X$5)&gt;1.96,"ATÍPICO",ABS((C4235-$W$5)/$X$5)&lt;=1.96,"NO ATÍPICO")</f>
        <v>NO ATÍPICO</v>
      </c>
      <c r="K4235" t="str" cm="1">
        <f t="array" ref="K4235">_xlfn.IFS(ISBLANK(I4235),"FALTANTE",ABS((I4235-$W$8)/$X$8)&gt;1.92,"ATÍPICO",ABS((I4235-$W$8)/$X$8)&lt;=1.92,"NO ATÍPICO")</f>
        <v>NO ATÍPICO</v>
      </c>
      <c r="L4235">
        <f t="shared" si="282"/>
        <v>325000</v>
      </c>
      <c r="M4235" t="str">
        <f t="shared" si="282"/>
        <v>ASALARIADO</v>
      </c>
      <c r="N4235">
        <f t="shared" si="283"/>
        <v>55</v>
      </c>
      <c r="O4235" s="19" t="str">
        <f t="shared" si="284"/>
        <v>300k–600k</v>
      </c>
      <c r="P4235" s="19" t="str">
        <f t="shared" si="285"/>
        <v>46-55</v>
      </c>
    </row>
    <row r="4236" spans="1:16" x14ac:dyDescent="0.25">
      <c r="A4236">
        <v>4235</v>
      </c>
      <c r="B4236" t="s">
        <v>9</v>
      </c>
      <c r="C4236">
        <v>300018</v>
      </c>
      <c r="D4236" t="s">
        <v>18</v>
      </c>
      <c r="E4236" t="s">
        <v>16</v>
      </c>
      <c r="F4236" t="s">
        <v>12</v>
      </c>
      <c r="G4236" t="s">
        <v>13</v>
      </c>
      <c r="H4236" t="s">
        <v>13</v>
      </c>
      <c r="I4236">
        <v>38</v>
      </c>
      <c r="J4236" t="str" cm="1">
        <f t="array" ref="J4236">_xlfn.IFS(ISBLANK(C4236),"FALTANTE",ABS((C4236-$W$5)/$X$5)&gt;1.96,"ATÍPICO",ABS((C4236-$W$5)/$X$5)&lt;=1.96,"NO ATÍPICO")</f>
        <v>NO ATÍPICO</v>
      </c>
      <c r="K4236" t="str" cm="1">
        <f t="array" ref="K4236">_xlfn.IFS(ISBLANK(I4236),"FALTANTE",ABS((I4236-$W$8)/$X$8)&gt;1.92,"ATÍPICO",ABS((I4236-$W$8)/$X$8)&lt;=1.92,"NO ATÍPICO")</f>
        <v>NO ATÍPICO</v>
      </c>
      <c r="L4236">
        <f t="shared" si="282"/>
        <v>300018</v>
      </c>
      <c r="M4236" t="str">
        <f t="shared" si="282"/>
        <v>TRABAJADOR INDEPENDIENTE</v>
      </c>
      <c r="N4236">
        <f t="shared" si="283"/>
        <v>38</v>
      </c>
      <c r="O4236" s="19" t="str">
        <f t="shared" si="284"/>
        <v>300k–600k</v>
      </c>
      <c r="P4236" s="19" t="str">
        <f t="shared" si="285"/>
        <v>36-45</v>
      </c>
    </row>
    <row r="4237" spans="1:16" x14ac:dyDescent="0.25">
      <c r="A4237">
        <v>4236</v>
      </c>
      <c r="B4237" t="s">
        <v>15</v>
      </c>
      <c r="C4237">
        <v>326749</v>
      </c>
      <c r="D4237" t="s">
        <v>18</v>
      </c>
      <c r="E4237" t="s">
        <v>16</v>
      </c>
      <c r="F4237" t="s">
        <v>12</v>
      </c>
      <c r="G4237" t="s">
        <v>13</v>
      </c>
      <c r="H4237" t="s">
        <v>12</v>
      </c>
      <c r="I4237">
        <v>34</v>
      </c>
      <c r="J4237" t="str" cm="1">
        <f t="array" ref="J4237">_xlfn.IFS(ISBLANK(C4237),"FALTANTE",ABS((C4237-$W$5)/$X$5)&gt;1.96,"ATÍPICO",ABS((C4237-$W$5)/$X$5)&lt;=1.96,"NO ATÍPICO")</f>
        <v>NO ATÍPICO</v>
      </c>
      <c r="K4237" t="str" cm="1">
        <f t="array" ref="K4237">_xlfn.IFS(ISBLANK(I4237),"FALTANTE",ABS((I4237-$W$8)/$X$8)&gt;1.92,"ATÍPICO",ABS((I4237-$W$8)/$X$8)&lt;=1.92,"NO ATÍPICO")</f>
        <v>NO ATÍPICO</v>
      </c>
      <c r="L4237">
        <f t="shared" si="282"/>
        <v>326749</v>
      </c>
      <c r="M4237" t="str">
        <f t="shared" si="282"/>
        <v>TRABAJADOR INDEPENDIENTE</v>
      </c>
      <c r="N4237">
        <f t="shared" si="283"/>
        <v>34</v>
      </c>
      <c r="O4237" s="19" t="str">
        <f t="shared" si="284"/>
        <v>300k–600k</v>
      </c>
      <c r="P4237" s="19" t="str">
        <f t="shared" si="285"/>
        <v>26-35</v>
      </c>
    </row>
    <row r="4238" spans="1:16" x14ac:dyDescent="0.25">
      <c r="A4238">
        <v>4237</v>
      </c>
      <c r="B4238" t="s">
        <v>15</v>
      </c>
      <c r="C4238">
        <v>355310.4</v>
      </c>
      <c r="D4238" t="s">
        <v>10</v>
      </c>
      <c r="E4238" t="s">
        <v>16</v>
      </c>
      <c r="F4238" t="s">
        <v>12</v>
      </c>
      <c r="G4238" t="s">
        <v>13</v>
      </c>
      <c r="H4238" t="s">
        <v>13</v>
      </c>
      <c r="I4238">
        <v>22</v>
      </c>
      <c r="J4238" t="str" cm="1">
        <f t="array" ref="J4238">_xlfn.IFS(ISBLANK(C4238),"FALTANTE",ABS((C4238-$W$5)/$X$5)&gt;1.96,"ATÍPICO",ABS((C4238-$W$5)/$X$5)&lt;=1.96,"NO ATÍPICO")</f>
        <v>NO ATÍPICO</v>
      </c>
      <c r="K4238" t="str" cm="1">
        <f t="array" ref="K4238">_xlfn.IFS(ISBLANK(I4238),"FALTANTE",ABS((I4238-$W$8)/$X$8)&gt;1.92,"ATÍPICO",ABS((I4238-$W$8)/$X$8)&lt;=1.92,"NO ATÍPICO")</f>
        <v>NO ATÍPICO</v>
      </c>
      <c r="L4238">
        <f t="shared" si="282"/>
        <v>355310.4</v>
      </c>
      <c r="M4238" t="str">
        <f t="shared" si="282"/>
        <v>ASALARIADO</v>
      </c>
      <c r="N4238">
        <f t="shared" si="283"/>
        <v>22</v>
      </c>
      <c r="O4238" s="19" t="str">
        <f t="shared" si="284"/>
        <v>300k–600k</v>
      </c>
      <c r="P4238" s="19" t="str">
        <f t="shared" si="285"/>
        <v>18-25</v>
      </c>
    </row>
    <row r="4239" spans="1:16" x14ac:dyDescent="0.25">
      <c r="A4239">
        <v>4238</v>
      </c>
      <c r="B4239" t="s">
        <v>9</v>
      </c>
      <c r="C4239">
        <v>278030</v>
      </c>
      <c r="D4239" t="s">
        <v>19</v>
      </c>
      <c r="E4239" t="s">
        <v>16</v>
      </c>
      <c r="F4239" t="s">
        <v>12</v>
      </c>
      <c r="G4239" t="s">
        <v>13</v>
      </c>
      <c r="H4239" t="s">
        <v>13</v>
      </c>
      <c r="I4239">
        <v>49</v>
      </c>
      <c r="J4239" t="str" cm="1">
        <f t="array" ref="J4239">_xlfn.IFS(ISBLANK(C4239),"FALTANTE",ABS((C4239-$W$5)/$X$5)&gt;1.96,"ATÍPICO",ABS((C4239-$W$5)/$X$5)&lt;=1.96,"NO ATÍPICO")</f>
        <v>NO ATÍPICO</v>
      </c>
      <c r="K4239" t="str" cm="1">
        <f t="array" ref="K4239">_xlfn.IFS(ISBLANK(I4239),"FALTANTE",ABS((I4239-$W$8)/$X$8)&gt;1.92,"ATÍPICO",ABS((I4239-$W$8)/$X$8)&lt;=1.92,"NO ATÍPICO")</f>
        <v>NO ATÍPICO</v>
      </c>
      <c r="L4239">
        <f t="shared" si="282"/>
        <v>278030</v>
      </c>
      <c r="M4239" t="str">
        <f t="shared" si="282"/>
        <v>CONVENIOS ESPECIALES DE TRABAJADORES INDEPENDIENTES</v>
      </c>
      <c r="N4239">
        <f t="shared" si="283"/>
        <v>49</v>
      </c>
      <c r="O4239" s="19" t="str">
        <f t="shared" si="284"/>
        <v>0–300k</v>
      </c>
      <c r="P4239" s="19" t="str">
        <f t="shared" si="285"/>
        <v>46-55</v>
      </c>
    </row>
    <row r="4240" spans="1:16" x14ac:dyDescent="0.25">
      <c r="A4240">
        <v>4239</v>
      </c>
      <c r="B4240" t="s">
        <v>9</v>
      </c>
      <c r="C4240">
        <v>2471513.6</v>
      </c>
      <c r="D4240" t="s">
        <v>10</v>
      </c>
      <c r="E4240" t="s">
        <v>11</v>
      </c>
      <c r="F4240" t="s">
        <v>12</v>
      </c>
      <c r="G4240" t="s">
        <v>13</v>
      </c>
      <c r="H4240" t="s">
        <v>13</v>
      </c>
      <c r="I4240">
        <v>56</v>
      </c>
      <c r="J4240" t="str" cm="1">
        <f t="array" ref="J4240">_xlfn.IFS(ISBLANK(C4240),"FALTANTE",ABS((C4240-$W$5)/$X$5)&gt;1.96,"ATÍPICO",ABS((C4240-$W$5)/$X$5)&lt;=1.96,"NO ATÍPICO")</f>
        <v>ATÍPICO</v>
      </c>
      <c r="K4240" t="str" cm="1">
        <f t="array" ref="K4240">_xlfn.IFS(ISBLANK(I4240),"FALTANTE",ABS((I4240-$W$8)/$X$8)&gt;1.92,"ATÍPICO",ABS((I4240-$W$8)/$X$8)&lt;=1.92,"NO ATÍPICO")</f>
        <v>NO ATÍPICO</v>
      </c>
      <c r="L4240">
        <f t="shared" si="282"/>
        <v>2471513.6</v>
      </c>
      <c r="M4240" t="str">
        <f t="shared" si="282"/>
        <v>ASALARIADO</v>
      </c>
      <c r="N4240">
        <f t="shared" si="283"/>
        <v>56</v>
      </c>
      <c r="O4240" s="19" t="str">
        <f t="shared" si="284"/>
        <v>1200k+</v>
      </c>
      <c r="P4240" s="19" t="str">
        <f t="shared" si="285"/>
        <v>56+</v>
      </c>
    </row>
    <row r="4241" spans="1:16" x14ac:dyDescent="0.25">
      <c r="A4241">
        <v>4240</v>
      </c>
      <c r="B4241" t="s">
        <v>9</v>
      </c>
      <c r="C4241">
        <v>297046</v>
      </c>
      <c r="D4241" t="s">
        <v>18</v>
      </c>
      <c r="E4241" t="s">
        <v>16</v>
      </c>
      <c r="F4241" t="s">
        <v>12</v>
      </c>
      <c r="G4241" t="s">
        <v>13</v>
      </c>
      <c r="H4241" t="s">
        <v>12</v>
      </c>
      <c r="I4241">
        <v>35</v>
      </c>
      <c r="J4241" t="str" cm="1">
        <f t="array" ref="J4241">_xlfn.IFS(ISBLANK(C4241),"FALTANTE",ABS((C4241-$W$5)/$X$5)&gt;1.96,"ATÍPICO",ABS((C4241-$W$5)/$X$5)&lt;=1.96,"NO ATÍPICO")</f>
        <v>NO ATÍPICO</v>
      </c>
      <c r="K4241" t="str" cm="1">
        <f t="array" ref="K4241">_xlfn.IFS(ISBLANK(I4241),"FALTANTE",ABS((I4241-$W$8)/$X$8)&gt;1.92,"ATÍPICO",ABS((I4241-$W$8)/$X$8)&lt;=1.92,"NO ATÍPICO")</f>
        <v>NO ATÍPICO</v>
      </c>
      <c r="L4241">
        <f t="shared" si="282"/>
        <v>297046</v>
      </c>
      <c r="M4241" t="str">
        <f t="shared" si="282"/>
        <v>TRABAJADOR INDEPENDIENTE</v>
      </c>
      <c r="N4241">
        <f t="shared" si="283"/>
        <v>35</v>
      </c>
      <c r="O4241" s="19" t="str">
        <f t="shared" si="284"/>
        <v>0–300k</v>
      </c>
      <c r="P4241" s="19" t="str">
        <f t="shared" si="285"/>
        <v>26-35</v>
      </c>
    </row>
    <row r="4242" spans="1:16" x14ac:dyDescent="0.25">
      <c r="A4242">
        <v>4241</v>
      </c>
      <c r="B4242" t="s">
        <v>9</v>
      </c>
      <c r="C4242">
        <v>300018</v>
      </c>
      <c r="D4242" t="s">
        <v>17</v>
      </c>
      <c r="E4242" t="s">
        <v>16</v>
      </c>
      <c r="F4242" t="s">
        <v>12</v>
      </c>
      <c r="G4242" t="s">
        <v>13</v>
      </c>
      <c r="H4242" t="s">
        <v>13</v>
      </c>
      <c r="I4242">
        <v>68</v>
      </c>
      <c r="J4242" t="str" cm="1">
        <f t="array" ref="J4242">_xlfn.IFS(ISBLANK(C4242),"FALTANTE",ABS((C4242-$W$5)/$X$5)&gt;1.96,"ATÍPICO",ABS((C4242-$W$5)/$X$5)&lt;=1.96,"NO ATÍPICO")</f>
        <v>NO ATÍPICO</v>
      </c>
      <c r="K4242" t="str" cm="1">
        <f t="array" ref="K4242">_xlfn.IFS(ISBLANK(I4242),"FALTANTE",ABS((I4242-$W$8)/$X$8)&gt;1.92,"ATÍPICO",ABS((I4242-$W$8)/$X$8)&lt;=1.92,"NO ATÍPICO")</f>
        <v>NO ATÍPICO</v>
      </c>
      <c r="L4242">
        <f t="shared" si="282"/>
        <v>300018</v>
      </c>
      <c r="M4242" t="str">
        <f t="shared" si="282"/>
        <v>ASEGURADO VOLUNTARIO</v>
      </c>
      <c r="N4242">
        <f t="shared" si="283"/>
        <v>68</v>
      </c>
      <c r="O4242" s="19" t="str">
        <f t="shared" si="284"/>
        <v>300k–600k</v>
      </c>
      <c r="P4242" s="19" t="str">
        <f t="shared" si="285"/>
        <v>56+</v>
      </c>
    </row>
    <row r="4243" spans="1:16" x14ac:dyDescent="0.25">
      <c r="A4243">
        <v>4242</v>
      </c>
      <c r="B4243" t="s">
        <v>15</v>
      </c>
      <c r="C4243">
        <v>72107</v>
      </c>
      <c r="D4243" t="s">
        <v>10</v>
      </c>
      <c r="E4243" t="s">
        <v>16</v>
      </c>
      <c r="F4243" t="s">
        <v>12</v>
      </c>
      <c r="G4243" t="s">
        <v>13</v>
      </c>
      <c r="H4243" t="s">
        <v>12</v>
      </c>
      <c r="I4243">
        <v>24</v>
      </c>
      <c r="J4243" t="str" cm="1">
        <f t="array" ref="J4243">_xlfn.IFS(ISBLANK(C4243),"FALTANTE",ABS((C4243-$W$5)/$X$5)&gt;1.96,"ATÍPICO",ABS((C4243-$W$5)/$X$5)&lt;=1.96,"NO ATÍPICO")</f>
        <v>NO ATÍPICO</v>
      </c>
      <c r="K4243" t="str" cm="1">
        <f t="array" ref="K4243">_xlfn.IFS(ISBLANK(I4243),"FALTANTE",ABS((I4243-$W$8)/$X$8)&gt;1.92,"ATÍPICO",ABS((I4243-$W$8)/$X$8)&lt;=1.92,"NO ATÍPICO")</f>
        <v>NO ATÍPICO</v>
      </c>
      <c r="L4243">
        <f t="shared" si="282"/>
        <v>72107</v>
      </c>
      <c r="M4243" t="str">
        <f t="shared" si="282"/>
        <v>ASALARIADO</v>
      </c>
      <c r="N4243">
        <f t="shared" si="283"/>
        <v>24</v>
      </c>
      <c r="O4243" s="19" t="str">
        <f t="shared" si="284"/>
        <v>0–300k</v>
      </c>
      <c r="P4243" s="19" t="str">
        <f t="shared" si="285"/>
        <v>18-25</v>
      </c>
    </row>
    <row r="4244" spans="1:16" x14ac:dyDescent="0.25">
      <c r="A4244">
        <v>4243</v>
      </c>
      <c r="B4244" t="s">
        <v>15</v>
      </c>
      <c r="C4244">
        <v>348503</v>
      </c>
      <c r="D4244" t="s">
        <v>10</v>
      </c>
      <c r="E4244" t="s">
        <v>16</v>
      </c>
      <c r="F4244" t="s">
        <v>12</v>
      </c>
      <c r="G4244" t="s">
        <v>13</v>
      </c>
      <c r="H4244" t="s">
        <v>13</v>
      </c>
      <c r="I4244">
        <v>41</v>
      </c>
      <c r="J4244" t="str" cm="1">
        <f t="array" ref="J4244">_xlfn.IFS(ISBLANK(C4244),"FALTANTE",ABS((C4244-$W$5)/$X$5)&gt;1.96,"ATÍPICO",ABS((C4244-$W$5)/$X$5)&lt;=1.96,"NO ATÍPICO")</f>
        <v>NO ATÍPICO</v>
      </c>
      <c r="K4244" t="str" cm="1">
        <f t="array" ref="K4244">_xlfn.IFS(ISBLANK(I4244),"FALTANTE",ABS((I4244-$W$8)/$X$8)&gt;1.92,"ATÍPICO",ABS((I4244-$W$8)/$X$8)&lt;=1.92,"NO ATÍPICO")</f>
        <v>NO ATÍPICO</v>
      </c>
      <c r="L4244">
        <f t="shared" si="282"/>
        <v>348503</v>
      </c>
      <c r="M4244" t="str">
        <f t="shared" si="282"/>
        <v>ASALARIADO</v>
      </c>
      <c r="N4244">
        <f t="shared" si="283"/>
        <v>41</v>
      </c>
      <c r="O4244" s="19" t="str">
        <f t="shared" si="284"/>
        <v>300k–600k</v>
      </c>
      <c r="P4244" s="19" t="str">
        <f t="shared" si="285"/>
        <v>36-45</v>
      </c>
    </row>
    <row r="4245" spans="1:16" x14ac:dyDescent="0.25">
      <c r="A4245">
        <v>4244</v>
      </c>
      <c r="B4245" t="s">
        <v>9</v>
      </c>
      <c r="C4245">
        <v>642383</v>
      </c>
      <c r="D4245" t="s">
        <v>10</v>
      </c>
      <c r="E4245" t="s">
        <v>11</v>
      </c>
      <c r="F4245" t="s">
        <v>12</v>
      </c>
      <c r="G4245" t="s">
        <v>13</v>
      </c>
      <c r="H4245" t="s">
        <v>13</v>
      </c>
      <c r="I4245">
        <v>27</v>
      </c>
      <c r="J4245" t="str" cm="1">
        <f t="array" ref="J4245">_xlfn.IFS(ISBLANK(C4245),"FALTANTE",ABS((C4245-$W$5)/$X$5)&gt;1.96,"ATÍPICO",ABS((C4245-$W$5)/$X$5)&lt;=1.96,"NO ATÍPICO")</f>
        <v>NO ATÍPICO</v>
      </c>
      <c r="K4245" t="str" cm="1">
        <f t="array" ref="K4245">_xlfn.IFS(ISBLANK(I4245),"FALTANTE",ABS((I4245-$W$8)/$X$8)&gt;1.92,"ATÍPICO",ABS((I4245-$W$8)/$X$8)&lt;=1.92,"NO ATÍPICO")</f>
        <v>NO ATÍPICO</v>
      </c>
      <c r="L4245">
        <f t="shared" si="282"/>
        <v>642383</v>
      </c>
      <c r="M4245" t="str">
        <f t="shared" si="282"/>
        <v>ASALARIADO</v>
      </c>
      <c r="N4245">
        <f t="shared" si="283"/>
        <v>27</v>
      </c>
      <c r="O4245" s="19" t="str">
        <f t="shared" si="284"/>
        <v>600k–900k</v>
      </c>
      <c r="P4245" s="19" t="str">
        <f t="shared" si="285"/>
        <v>26-35</v>
      </c>
    </row>
    <row r="4246" spans="1:16" x14ac:dyDescent="0.25">
      <c r="A4246">
        <v>4245</v>
      </c>
      <c r="B4246" t="s">
        <v>15</v>
      </c>
      <c r="C4246">
        <v>218508.48</v>
      </c>
      <c r="D4246" t="s">
        <v>10</v>
      </c>
      <c r="E4246" t="s">
        <v>16</v>
      </c>
      <c r="F4246" t="s">
        <v>12</v>
      </c>
      <c r="G4246" t="s">
        <v>12</v>
      </c>
      <c r="H4246" t="s">
        <v>12</v>
      </c>
      <c r="I4246">
        <v>49</v>
      </c>
      <c r="J4246" t="str" cm="1">
        <f t="array" ref="J4246">_xlfn.IFS(ISBLANK(C4246),"FALTANTE",ABS((C4246-$W$5)/$X$5)&gt;1.96,"ATÍPICO",ABS((C4246-$W$5)/$X$5)&lt;=1.96,"NO ATÍPICO")</f>
        <v>NO ATÍPICO</v>
      </c>
      <c r="K4246" t="str" cm="1">
        <f t="array" ref="K4246">_xlfn.IFS(ISBLANK(I4246),"FALTANTE",ABS((I4246-$W$8)/$X$8)&gt;1.92,"ATÍPICO",ABS((I4246-$W$8)/$X$8)&lt;=1.92,"NO ATÍPICO")</f>
        <v>NO ATÍPICO</v>
      </c>
      <c r="L4246">
        <f t="shared" si="282"/>
        <v>218508.48</v>
      </c>
      <c r="M4246" t="str">
        <f t="shared" si="282"/>
        <v>ASALARIADO</v>
      </c>
      <c r="N4246">
        <f t="shared" si="283"/>
        <v>49</v>
      </c>
      <c r="O4246" s="19" t="str">
        <f t="shared" si="284"/>
        <v>0–300k</v>
      </c>
      <c r="P4246" s="19" t="str">
        <f t="shared" si="285"/>
        <v>46-55</v>
      </c>
    </row>
    <row r="4247" spans="1:16" x14ac:dyDescent="0.25">
      <c r="A4247">
        <v>4246</v>
      </c>
      <c r="B4247" t="s">
        <v>9</v>
      </c>
      <c r="C4247">
        <v>650000.12</v>
      </c>
      <c r="D4247" t="s">
        <v>10</v>
      </c>
      <c r="E4247" t="s">
        <v>16</v>
      </c>
      <c r="F4247" t="s">
        <v>12</v>
      </c>
      <c r="G4247" t="s">
        <v>13</v>
      </c>
      <c r="H4247" t="s">
        <v>13</v>
      </c>
      <c r="I4247">
        <v>27</v>
      </c>
      <c r="J4247" t="str" cm="1">
        <f t="array" ref="J4247">_xlfn.IFS(ISBLANK(C4247),"FALTANTE",ABS((C4247-$W$5)/$X$5)&gt;1.96,"ATÍPICO",ABS((C4247-$W$5)/$X$5)&lt;=1.96,"NO ATÍPICO")</f>
        <v>NO ATÍPICO</v>
      </c>
      <c r="K4247" t="str" cm="1">
        <f t="array" ref="K4247">_xlfn.IFS(ISBLANK(I4247),"FALTANTE",ABS((I4247-$W$8)/$X$8)&gt;1.92,"ATÍPICO",ABS((I4247-$W$8)/$X$8)&lt;=1.92,"NO ATÍPICO")</f>
        <v>NO ATÍPICO</v>
      </c>
      <c r="L4247">
        <f t="shared" si="282"/>
        <v>650000.12</v>
      </c>
      <c r="M4247" t="str">
        <f t="shared" si="282"/>
        <v>ASALARIADO</v>
      </c>
      <c r="N4247">
        <f t="shared" si="283"/>
        <v>27</v>
      </c>
      <c r="O4247" s="19" t="str">
        <f t="shared" si="284"/>
        <v>600k–900k</v>
      </c>
      <c r="P4247" s="19" t="str">
        <f t="shared" si="285"/>
        <v>26-35</v>
      </c>
    </row>
    <row r="4248" spans="1:16" x14ac:dyDescent="0.25">
      <c r="A4248">
        <v>4247</v>
      </c>
      <c r="B4248" t="s">
        <v>9</v>
      </c>
      <c r="C4248">
        <v>406358</v>
      </c>
      <c r="D4248" t="s">
        <v>18</v>
      </c>
      <c r="E4248" t="s">
        <v>16</v>
      </c>
      <c r="F4248" t="s">
        <v>12</v>
      </c>
      <c r="G4248" t="s">
        <v>13</v>
      </c>
      <c r="H4248" t="s">
        <v>12</v>
      </c>
      <c r="I4248">
        <v>60</v>
      </c>
      <c r="J4248" t="str" cm="1">
        <f t="array" ref="J4248">_xlfn.IFS(ISBLANK(C4248),"FALTANTE",ABS((C4248-$W$5)/$X$5)&gt;1.96,"ATÍPICO",ABS((C4248-$W$5)/$X$5)&lt;=1.96,"NO ATÍPICO")</f>
        <v>NO ATÍPICO</v>
      </c>
      <c r="K4248" t="str" cm="1">
        <f t="array" ref="K4248">_xlfn.IFS(ISBLANK(I4248),"FALTANTE",ABS((I4248-$W$8)/$X$8)&gt;1.92,"ATÍPICO",ABS((I4248-$W$8)/$X$8)&lt;=1.92,"NO ATÍPICO")</f>
        <v>NO ATÍPICO</v>
      </c>
      <c r="L4248">
        <f t="shared" si="282"/>
        <v>406358</v>
      </c>
      <c r="M4248" t="str">
        <f t="shared" si="282"/>
        <v>TRABAJADOR INDEPENDIENTE</v>
      </c>
      <c r="N4248">
        <f t="shared" si="283"/>
        <v>60</v>
      </c>
      <c r="O4248" s="19" t="str">
        <f t="shared" si="284"/>
        <v>300k–600k</v>
      </c>
      <c r="P4248" s="19" t="str">
        <f t="shared" si="285"/>
        <v>56+</v>
      </c>
    </row>
    <row r="4249" spans="1:16" x14ac:dyDescent="0.25">
      <c r="A4249">
        <v>4248</v>
      </c>
      <c r="B4249" t="s">
        <v>9</v>
      </c>
      <c r="C4249">
        <v>100000</v>
      </c>
      <c r="D4249" t="s">
        <v>10</v>
      </c>
      <c r="E4249" t="s">
        <v>16</v>
      </c>
      <c r="F4249" t="s">
        <v>12</v>
      </c>
      <c r="G4249" t="s">
        <v>13</v>
      </c>
      <c r="H4249" t="s">
        <v>13</v>
      </c>
      <c r="I4249">
        <v>56</v>
      </c>
      <c r="J4249" t="str" cm="1">
        <f t="array" ref="J4249">_xlfn.IFS(ISBLANK(C4249),"FALTANTE",ABS((C4249-$W$5)/$X$5)&gt;1.96,"ATÍPICO",ABS((C4249-$W$5)/$X$5)&lt;=1.96,"NO ATÍPICO")</f>
        <v>NO ATÍPICO</v>
      </c>
      <c r="K4249" t="str" cm="1">
        <f t="array" ref="K4249">_xlfn.IFS(ISBLANK(I4249),"FALTANTE",ABS((I4249-$W$8)/$X$8)&gt;1.92,"ATÍPICO",ABS((I4249-$W$8)/$X$8)&lt;=1.92,"NO ATÍPICO")</f>
        <v>NO ATÍPICO</v>
      </c>
      <c r="L4249">
        <f t="shared" si="282"/>
        <v>100000</v>
      </c>
      <c r="M4249" t="str">
        <f t="shared" si="282"/>
        <v>ASALARIADO</v>
      </c>
      <c r="N4249">
        <f t="shared" si="283"/>
        <v>56</v>
      </c>
      <c r="O4249" s="19" t="str">
        <f t="shared" si="284"/>
        <v>0–300k</v>
      </c>
      <c r="P4249" s="19" t="str">
        <f t="shared" si="285"/>
        <v>56+</v>
      </c>
    </row>
    <row r="4250" spans="1:16" x14ac:dyDescent="0.25">
      <c r="A4250">
        <v>4249</v>
      </c>
      <c r="B4250" t="s">
        <v>9</v>
      </c>
      <c r="C4250">
        <v>171013.5</v>
      </c>
      <c r="D4250" t="s">
        <v>10</v>
      </c>
      <c r="E4250" t="s">
        <v>16</v>
      </c>
      <c r="F4250" t="s">
        <v>12</v>
      </c>
      <c r="G4250" t="s">
        <v>13</v>
      </c>
      <c r="H4250" t="s">
        <v>13</v>
      </c>
      <c r="I4250">
        <v>24</v>
      </c>
      <c r="J4250" t="str" cm="1">
        <f t="array" ref="J4250">_xlfn.IFS(ISBLANK(C4250),"FALTANTE",ABS((C4250-$W$5)/$X$5)&gt;1.96,"ATÍPICO",ABS((C4250-$W$5)/$X$5)&lt;=1.96,"NO ATÍPICO")</f>
        <v>NO ATÍPICO</v>
      </c>
      <c r="K4250" t="str" cm="1">
        <f t="array" ref="K4250">_xlfn.IFS(ISBLANK(I4250),"FALTANTE",ABS((I4250-$W$8)/$X$8)&gt;1.92,"ATÍPICO",ABS((I4250-$W$8)/$X$8)&lt;=1.92,"NO ATÍPICO")</f>
        <v>NO ATÍPICO</v>
      </c>
      <c r="L4250">
        <f t="shared" si="282"/>
        <v>171013.5</v>
      </c>
      <c r="M4250" t="str">
        <f t="shared" si="282"/>
        <v>ASALARIADO</v>
      </c>
      <c r="N4250">
        <f t="shared" si="283"/>
        <v>24</v>
      </c>
      <c r="O4250" s="19" t="str">
        <f t="shared" si="284"/>
        <v>0–300k</v>
      </c>
      <c r="P4250" s="19" t="str">
        <f t="shared" si="285"/>
        <v>18-25</v>
      </c>
    </row>
    <row r="4251" spans="1:16" x14ac:dyDescent="0.25">
      <c r="A4251">
        <v>4250</v>
      </c>
      <c r="B4251" t="s">
        <v>15</v>
      </c>
      <c r="C4251">
        <v>999660.5</v>
      </c>
      <c r="D4251" t="s">
        <v>10</v>
      </c>
      <c r="E4251" t="s">
        <v>16</v>
      </c>
      <c r="F4251" t="s">
        <v>12</v>
      </c>
      <c r="G4251" t="s">
        <v>12</v>
      </c>
      <c r="H4251" t="s">
        <v>13</v>
      </c>
      <c r="I4251">
        <v>30</v>
      </c>
      <c r="J4251" t="str" cm="1">
        <f t="array" ref="J4251">_xlfn.IFS(ISBLANK(C4251),"FALTANTE",ABS((C4251-$W$5)/$X$5)&gt;1.96,"ATÍPICO",ABS((C4251-$W$5)/$X$5)&lt;=1.96,"NO ATÍPICO")</f>
        <v>NO ATÍPICO</v>
      </c>
      <c r="K4251" t="str" cm="1">
        <f t="array" ref="K4251">_xlfn.IFS(ISBLANK(I4251),"FALTANTE",ABS((I4251-$W$8)/$X$8)&gt;1.92,"ATÍPICO",ABS((I4251-$W$8)/$X$8)&lt;=1.92,"NO ATÍPICO")</f>
        <v>NO ATÍPICO</v>
      </c>
      <c r="L4251">
        <f t="shared" si="282"/>
        <v>999660.5</v>
      </c>
      <c r="M4251" t="str">
        <f t="shared" si="282"/>
        <v>ASALARIADO</v>
      </c>
      <c r="N4251">
        <f t="shared" si="283"/>
        <v>30</v>
      </c>
      <c r="O4251" s="19" t="str">
        <f t="shared" si="284"/>
        <v>900k–1200k</v>
      </c>
      <c r="P4251" s="19" t="str">
        <f t="shared" si="285"/>
        <v>26-35</v>
      </c>
    </row>
    <row r="4252" spans="1:16" x14ac:dyDescent="0.25">
      <c r="A4252">
        <v>4251</v>
      </c>
      <c r="B4252" t="s">
        <v>9</v>
      </c>
      <c r="C4252">
        <v>370517.81</v>
      </c>
      <c r="D4252" t="s">
        <v>10</v>
      </c>
      <c r="E4252" t="s">
        <v>16</v>
      </c>
      <c r="F4252" t="s">
        <v>12</v>
      </c>
      <c r="G4252" t="s">
        <v>13</v>
      </c>
      <c r="H4252" t="s">
        <v>13</v>
      </c>
      <c r="I4252">
        <v>28</v>
      </c>
      <c r="J4252" t="str" cm="1">
        <f t="array" ref="J4252">_xlfn.IFS(ISBLANK(C4252),"FALTANTE",ABS((C4252-$W$5)/$X$5)&gt;1.96,"ATÍPICO",ABS((C4252-$W$5)/$X$5)&lt;=1.96,"NO ATÍPICO")</f>
        <v>NO ATÍPICO</v>
      </c>
      <c r="K4252" t="str" cm="1">
        <f t="array" ref="K4252">_xlfn.IFS(ISBLANK(I4252),"FALTANTE",ABS((I4252-$W$8)/$X$8)&gt;1.92,"ATÍPICO",ABS((I4252-$W$8)/$X$8)&lt;=1.92,"NO ATÍPICO")</f>
        <v>NO ATÍPICO</v>
      </c>
      <c r="L4252">
        <f t="shared" si="282"/>
        <v>370517.81</v>
      </c>
      <c r="M4252" t="str">
        <f t="shared" si="282"/>
        <v>ASALARIADO</v>
      </c>
      <c r="N4252">
        <f t="shared" si="283"/>
        <v>28</v>
      </c>
      <c r="O4252" s="19" t="str">
        <f t="shared" si="284"/>
        <v>300k–600k</v>
      </c>
      <c r="P4252" s="19" t="str">
        <f t="shared" si="285"/>
        <v>26-35</v>
      </c>
    </row>
    <row r="4253" spans="1:16" x14ac:dyDescent="0.25">
      <c r="A4253">
        <v>4252</v>
      </c>
      <c r="B4253" t="s">
        <v>9</v>
      </c>
      <c r="C4253">
        <v>478473.57</v>
      </c>
      <c r="D4253" t="s">
        <v>10</v>
      </c>
      <c r="E4253" t="s">
        <v>16</v>
      </c>
      <c r="F4253" t="s">
        <v>12</v>
      </c>
      <c r="G4253" t="s">
        <v>13</v>
      </c>
      <c r="H4253" t="s">
        <v>13</v>
      </c>
      <c r="I4253">
        <v>26</v>
      </c>
      <c r="J4253" t="str" cm="1">
        <f t="array" ref="J4253">_xlfn.IFS(ISBLANK(C4253),"FALTANTE",ABS((C4253-$W$5)/$X$5)&gt;1.96,"ATÍPICO",ABS((C4253-$W$5)/$X$5)&lt;=1.96,"NO ATÍPICO")</f>
        <v>NO ATÍPICO</v>
      </c>
      <c r="K4253" t="str" cm="1">
        <f t="array" ref="K4253">_xlfn.IFS(ISBLANK(I4253),"FALTANTE",ABS((I4253-$W$8)/$X$8)&gt;1.92,"ATÍPICO",ABS((I4253-$W$8)/$X$8)&lt;=1.92,"NO ATÍPICO")</f>
        <v>NO ATÍPICO</v>
      </c>
      <c r="L4253">
        <f t="shared" si="282"/>
        <v>478473.57</v>
      </c>
      <c r="M4253" t="str">
        <f t="shared" si="282"/>
        <v>ASALARIADO</v>
      </c>
      <c r="N4253">
        <f t="shared" si="283"/>
        <v>26</v>
      </c>
      <c r="O4253" s="19" t="str">
        <f t="shared" si="284"/>
        <v>300k–600k</v>
      </c>
      <c r="P4253" s="19" t="str">
        <f t="shared" si="285"/>
        <v>26-35</v>
      </c>
    </row>
    <row r="4254" spans="1:16" x14ac:dyDescent="0.25">
      <c r="A4254">
        <v>4253</v>
      </c>
      <c r="B4254" t="s">
        <v>15</v>
      </c>
      <c r="C4254">
        <v>488864.43</v>
      </c>
      <c r="D4254" t="s">
        <v>10</v>
      </c>
      <c r="E4254" t="s">
        <v>11</v>
      </c>
      <c r="F4254" t="s">
        <v>12</v>
      </c>
      <c r="G4254" t="s">
        <v>13</v>
      </c>
      <c r="H4254" t="s">
        <v>13</v>
      </c>
      <c r="I4254">
        <v>25</v>
      </c>
      <c r="J4254" t="str" cm="1">
        <f t="array" ref="J4254">_xlfn.IFS(ISBLANK(C4254),"FALTANTE",ABS((C4254-$W$5)/$X$5)&gt;1.96,"ATÍPICO",ABS((C4254-$W$5)/$X$5)&lt;=1.96,"NO ATÍPICO")</f>
        <v>NO ATÍPICO</v>
      </c>
      <c r="K4254" t="str" cm="1">
        <f t="array" ref="K4254">_xlfn.IFS(ISBLANK(I4254),"FALTANTE",ABS((I4254-$W$8)/$X$8)&gt;1.92,"ATÍPICO",ABS((I4254-$W$8)/$X$8)&lt;=1.92,"NO ATÍPICO")</f>
        <v>NO ATÍPICO</v>
      </c>
      <c r="L4254">
        <f t="shared" si="282"/>
        <v>488864.43</v>
      </c>
      <c r="M4254" t="str">
        <f t="shared" si="282"/>
        <v>ASALARIADO</v>
      </c>
      <c r="N4254">
        <f t="shared" si="283"/>
        <v>25</v>
      </c>
      <c r="O4254" s="19" t="str">
        <f t="shared" si="284"/>
        <v>300k–600k</v>
      </c>
      <c r="P4254" s="19" t="str">
        <f t="shared" si="285"/>
        <v>18-25</v>
      </c>
    </row>
    <row r="4255" spans="1:16" x14ac:dyDescent="0.25">
      <c r="A4255">
        <v>4254</v>
      </c>
      <c r="B4255" t="s">
        <v>9</v>
      </c>
      <c r="C4255">
        <v>440625</v>
      </c>
      <c r="D4255" t="s">
        <v>10</v>
      </c>
      <c r="E4255" t="s">
        <v>16</v>
      </c>
      <c r="F4255" t="s">
        <v>12</v>
      </c>
      <c r="G4255" t="s">
        <v>13</v>
      </c>
      <c r="H4255" t="s">
        <v>13</v>
      </c>
      <c r="I4255">
        <v>26</v>
      </c>
      <c r="J4255" t="str" cm="1">
        <f t="array" ref="J4255">_xlfn.IFS(ISBLANK(C4255),"FALTANTE",ABS((C4255-$W$5)/$X$5)&gt;1.96,"ATÍPICO",ABS((C4255-$W$5)/$X$5)&lt;=1.96,"NO ATÍPICO")</f>
        <v>NO ATÍPICO</v>
      </c>
      <c r="K4255" t="str" cm="1">
        <f t="array" ref="K4255">_xlfn.IFS(ISBLANK(I4255),"FALTANTE",ABS((I4255-$W$8)/$X$8)&gt;1.92,"ATÍPICO",ABS((I4255-$W$8)/$X$8)&lt;=1.92,"NO ATÍPICO")</f>
        <v>NO ATÍPICO</v>
      </c>
      <c r="L4255">
        <f t="shared" si="282"/>
        <v>440625</v>
      </c>
      <c r="M4255" t="str">
        <f t="shared" si="282"/>
        <v>ASALARIADO</v>
      </c>
      <c r="N4255">
        <f t="shared" si="283"/>
        <v>26</v>
      </c>
      <c r="O4255" s="19" t="str">
        <f t="shared" si="284"/>
        <v>300k–600k</v>
      </c>
      <c r="P4255" s="19" t="str">
        <f t="shared" si="285"/>
        <v>26-35</v>
      </c>
    </row>
    <row r="4256" spans="1:16" x14ac:dyDescent="0.25">
      <c r="A4256">
        <v>4255</v>
      </c>
      <c r="B4256" t="s">
        <v>9</v>
      </c>
      <c r="C4256">
        <v>323266.27</v>
      </c>
      <c r="D4256" t="s">
        <v>10</v>
      </c>
      <c r="E4256" t="s">
        <v>16</v>
      </c>
      <c r="F4256" t="s">
        <v>12</v>
      </c>
      <c r="G4256" t="s">
        <v>13</v>
      </c>
      <c r="H4256" t="s">
        <v>13</v>
      </c>
      <c r="I4256">
        <v>26</v>
      </c>
      <c r="J4256" t="str" cm="1">
        <f t="array" ref="J4256">_xlfn.IFS(ISBLANK(C4256),"FALTANTE",ABS((C4256-$W$5)/$X$5)&gt;1.96,"ATÍPICO",ABS((C4256-$W$5)/$X$5)&lt;=1.96,"NO ATÍPICO")</f>
        <v>NO ATÍPICO</v>
      </c>
      <c r="K4256" t="str" cm="1">
        <f t="array" ref="K4256">_xlfn.IFS(ISBLANK(I4256),"FALTANTE",ABS((I4256-$W$8)/$X$8)&gt;1.92,"ATÍPICO",ABS((I4256-$W$8)/$X$8)&lt;=1.92,"NO ATÍPICO")</f>
        <v>NO ATÍPICO</v>
      </c>
      <c r="L4256">
        <f t="shared" si="282"/>
        <v>323266.27</v>
      </c>
      <c r="M4256" t="str">
        <f t="shared" si="282"/>
        <v>ASALARIADO</v>
      </c>
      <c r="N4256">
        <f t="shared" si="283"/>
        <v>26</v>
      </c>
      <c r="O4256" s="19" t="str">
        <f t="shared" si="284"/>
        <v>300k–600k</v>
      </c>
      <c r="P4256" s="19" t="str">
        <f t="shared" si="285"/>
        <v>26-35</v>
      </c>
    </row>
    <row r="4257" spans="1:16" x14ac:dyDescent="0.25">
      <c r="A4257">
        <v>4256</v>
      </c>
      <c r="B4257" t="s">
        <v>9</v>
      </c>
      <c r="C4257">
        <v>525000</v>
      </c>
      <c r="D4257" t="s">
        <v>10</v>
      </c>
      <c r="E4257" t="s">
        <v>16</v>
      </c>
      <c r="F4257" t="s">
        <v>12</v>
      </c>
      <c r="G4257" t="s">
        <v>13</v>
      </c>
      <c r="H4257" t="s">
        <v>13</v>
      </c>
      <c r="I4257">
        <v>66</v>
      </c>
      <c r="J4257" t="str" cm="1">
        <f t="array" ref="J4257">_xlfn.IFS(ISBLANK(C4257),"FALTANTE",ABS((C4257-$W$5)/$X$5)&gt;1.96,"ATÍPICO",ABS((C4257-$W$5)/$X$5)&lt;=1.96,"NO ATÍPICO")</f>
        <v>NO ATÍPICO</v>
      </c>
      <c r="K4257" t="str" cm="1">
        <f t="array" ref="K4257">_xlfn.IFS(ISBLANK(I4257),"FALTANTE",ABS((I4257-$W$8)/$X$8)&gt;1.92,"ATÍPICO",ABS((I4257-$W$8)/$X$8)&lt;=1.92,"NO ATÍPICO")</f>
        <v>NO ATÍPICO</v>
      </c>
      <c r="L4257">
        <f t="shared" si="282"/>
        <v>525000</v>
      </c>
      <c r="M4257" t="str">
        <f t="shared" si="282"/>
        <v>ASALARIADO</v>
      </c>
      <c r="N4257">
        <f t="shared" si="283"/>
        <v>66</v>
      </c>
      <c r="O4257" s="19" t="str">
        <f t="shared" si="284"/>
        <v>300k–600k</v>
      </c>
      <c r="P4257" s="19" t="str">
        <f t="shared" si="285"/>
        <v>56+</v>
      </c>
    </row>
    <row r="4258" spans="1:16" x14ac:dyDescent="0.25">
      <c r="A4258">
        <v>4257</v>
      </c>
      <c r="B4258" t="s">
        <v>15</v>
      </c>
      <c r="C4258">
        <v>297045</v>
      </c>
      <c r="D4258" t="s">
        <v>17</v>
      </c>
      <c r="E4258" t="s">
        <v>16</v>
      </c>
      <c r="F4258" t="s">
        <v>12</v>
      </c>
      <c r="G4258" t="s">
        <v>13</v>
      </c>
      <c r="H4258" t="s">
        <v>13</v>
      </c>
      <c r="I4258">
        <v>53</v>
      </c>
      <c r="J4258" t="str" cm="1">
        <f t="array" ref="J4258">_xlfn.IFS(ISBLANK(C4258),"FALTANTE",ABS((C4258-$W$5)/$X$5)&gt;1.96,"ATÍPICO",ABS((C4258-$W$5)/$X$5)&lt;=1.96,"NO ATÍPICO")</f>
        <v>NO ATÍPICO</v>
      </c>
      <c r="K4258" t="str" cm="1">
        <f t="array" ref="K4258">_xlfn.IFS(ISBLANK(I4258),"FALTANTE",ABS((I4258-$W$8)/$X$8)&gt;1.92,"ATÍPICO",ABS((I4258-$W$8)/$X$8)&lt;=1.92,"NO ATÍPICO")</f>
        <v>NO ATÍPICO</v>
      </c>
      <c r="L4258">
        <f t="shared" si="282"/>
        <v>297045</v>
      </c>
      <c r="M4258" t="str">
        <f t="shared" si="282"/>
        <v>ASEGURADO VOLUNTARIO</v>
      </c>
      <c r="N4258">
        <f t="shared" si="283"/>
        <v>53</v>
      </c>
      <c r="O4258" s="19" t="str">
        <f t="shared" si="284"/>
        <v>0–300k</v>
      </c>
      <c r="P4258" s="19" t="str">
        <f t="shared" si="285"/>
        <v>46-55</v>
      </c>
    </row>
    <row r="4259" spans="1:16" x14ac:dyDescent="0.25">
      <c r="A4259">
        <v>4258</v>
      </c>
      <c r="B4259" t="s">
        <v>9</v>
      </c>
      <c r="C4259">
        <v>366445.56</v>
      </c>
      <c r="D4259" t="s">
        <v>10</v>
      </c>
      <c r="E4259" t="s">
        <v>16</v>
      </c>
      <c r="F4259" t="s">
        <v>12</v>
      </c>
      <c r="G4259" t="s">
        <v>13</v>
      </c>
      <c r="H4259" t="s">
        <v>13</v>
      </c>
      <c r="I4259">
        <v>40</v>
      </c>
      <c r="J4259" t="str" cm="1">
        <f t="array" ref="J4259">_xlfn.IFS(ISBLANK(C4259),"FALTANTE",ABS((C4259-$W$5)/$X$5)&gt;1.96,"ATÍPICO",ABS((C4259-$W$5)/$X$5)&lt;=1.96,"NO ATÍPICO")</f>
        <v>NO ATÍPICO</v>
      </c>
      <c r="K4259" t="str" cm="1">
        <f t="array" ref="K4259">_xlfn.IFS(ISBLANK(I4259),"FALTANTE",ABS((I4259-$W$8)/$X$8)&gt;1.92,"ATÍPICO",ABS((I4259-$W$8)/$X$8)&lt;=1.92,"NO ATÍPICO")</f>
        <v>NO ATÍPICO</v>
      </c>
      <c r="L4259">
        <f t="shared" si="282"/>
        <v>366445.56</v>
      </c>
      <c r="M4259" t="str">
        <f t="shared" si="282"/>
        <v>ASALARIADO</v>
      </c>
      <c r="N4259">
        <f t="shared" si="283"/>
        <v>40</v>
      </c>
      <c r="O4259" s="19" t="str">
        <f t="shared" si="284"/>
        <v>300k–600k</v>
      </c>
      <c r="P4259" s="19" t="str">
        <f t="shared" si="285"/>
        <v>36-45</v>
      </c>
    </row>
    <row r="4260" spans="1:16" x14ac:dyDescent="0.25">
      <c r="A4260">
        <v>4259</v>
      </c>
      <c r="B4260" t="s">
        <v>9</v>
      </c>
      <c r="C4260">
        <v>297586</v>
      </c>
      <c r="D4260" t="s">
        <v>17</v>
      </c>
      <c r="E4260" t="s">
        <v>16</v>
      </c>
      <c r="F4260" t="s">
        <v>12</v>
      </c>
      <c r="G4260" t="s">
        <v>12</v>
      </c>
      <c r="H4260" t="s">
        <v>13</v>
      </c>
      <c r="I4260">
        <v>61</v>
      </c>
      <c r="J4260" t="str" cm="1">
        <f t="array" ref="J4260">_xlfn.IFS(ISBLANK(C4260),"FALTANTE",ABS((C4260-$W$5)/$X$5)&gt;1.96,"ATÍPICO",ABS((C4260-$W$5)/$X$5)&lt;=1.96,"NO ATÍPICO")</f>
        <v>NO ATÍPICO</v>
      </c>
      <c r="K4260" t="str" cm="1">
        <f t="array" ref="K4260">_xlfn.IFS(ISBLANK(I4260),"FALTANTE",ABS((I4260-$W$8)/$X$8)&gt;1.92,"ATÍPICO",ABS((I4260-$W$8)/$X$8)&lt;=1.92,"NO ATÍPICO")</f>
        <v>NO ATÍPICO</v>
      </c>
      <c r="L4260">
        <f t="shared" si="282"/>
        <v>297586</v>
      </c>
      <c r="M4260" t="str">
        <f t="shared" si="282"/>
        <v>ASEGURADO VOLUNTARIO</v>
      </c>
      <c r="N4260">
        <f t="shared" si="283"/>
        <v>61</v>
      </c>
      <c r="O4260" s="19" t="str">
        <f t="shared" si="284"/>
        <v>0–300k</v>
      </c>
      <c r="P4260" s="19" t="str">
        <f t="shared" si="285"/>
        <v>56+</v>
      </c>
    </row>
    <row r="4261" spans="1:16" x14ac:dyDescent="0.25">
      <c r="A4261">
        <v>4260</v>
      </c>
      <c r="B4261" t="s">
        <v>15</v>
      </c>
      <c r="C4261">
        <v>1216185</v>
      </c>
      <c r="D4261" t="s">
        <v>10</v>
      </c>
      <c r="E4261" t="s">
        <v>11</v>
      </c>
      <c r="F4261" t="s">
        <v>12</v>
      </c>
      <c r="G4261" t="s">
        <v>13</v>
      </c>
      <c r="H4261" t="s">
        <v>12</v>
      </c>
      <c r="I4261">
        <v>45</v>
      </c>
      <c r="J4261" t="str" cm="1">
        <f t="array" ref="J4261">_xlfn.IFS(ISBLANK(C4261),"FALTANTE",ABS((C4261-$W$5)/$X$5)&gt;1.96,"ATÍPICO",ABS((C4261-$W$5)/$X$5)&lt;=1.96,"NO ATÍPICO")</f>
        <v>NO ATÍPICO</v>
      </c>
      <c r="K4261" t="str" cm="1">
        <f t="array" ref="K4261">_xlfn.IFS(ISBLANK(I4261),"FALTANTE",ABS((I4261-$W$8)/$X$8)&gt;1.92,"ATÍPICO",ABS((I4261-$W$8)/$X$8)&lt;=1.92,"NO ATÍPICO")</f>
        <v>NO ATÍPICO</v>
      </c>
      <c r="L4261">
        <f t="shared" si="282"/>
        <v>1216185</v>
      </c>
      <c r="M4261" t="str">
        <f t="shared" si="282"/>
        <v>ASALARIADO</v>
      </c>
      <c r="N4261">
        <f t="shared" si="283"/>
        <v>45</v>
      </c>
      <c r="O4261" s="19" t="str">
        <f t="shared" si="284"/>
        <v>1200k+</v>
      </c>
      <c r="P4261" s="19" t="str">
        <f t="shared" si="285"/>
        <v>36-45</v>
      </c>
    </row>
    <row r="4262" spans="1:16" x14ac:dyDescent="0.25">
      <c r="A4262">
        <v>4261</v>
      </c>
      <c r="B4262" t="s">
        <v>9</v>
      </c>
      <c r="C4262">
        <v>575208.32999999996</v>
      </c>
      <c r="D4262" t="s">
        <v>10</v>
      </c>
      <c r="E4262" t="s">
        <v>16</v>
      </c>
      <c r="F4262" t="s">
        <v>12</v>
      </c>
      <c r="G4262" t="s">
        <v>13</v>
      </c>
      <c r="H4262" t="s">
        <v>13</v>
      </c>
      <c r="I4262">
        <v>24</v>
      </c>
      <c r="J4262" t="str" cm="1">
        <f t="array" ref="J4262">_xlfn.IFS(ISBLANK(C4262),"FALTANTE",ABS((C4262-$W$5)/$X$5)&gt;1.96,"ATÍPICO",ABS((C4262-$W$5)/$X$5)&lt;=1.96,"NO ATÍPICO")</f>
        <v>NO ATÍPICO</v>
      </c>
      <c r="K4262" t="str" cm="1">
        <f t="array" ref="K4262">_xlfn.IFS(ISBLANK(I4262),"FALTANTE",ABS((I4262-$W$8)/$X$8)&gt;1.92,"ATÍPICO",ABS((I4262-$W$8)/$X$8)&lt;=1.92,"NO ATÍPICO")</f>
        <v>NO ATÍPICO</v>
      </c>
      <c r="L4262">
        <f t="shared" si="282"/>
        <v>575208.32999999996</v>
      </c>
      <c r="M4262" t="str">
        <f t="shared" si="282"/>
        <v>ASALARIADO</v>
      </c>
      <c r="N4262">
        <f t="shared" si="283"/>
        <v>24</v>
      </c>
      <c r="O4262" s="19" t="str">
        <f t="shared" si="284"/>
        <v>300k–600k</v>
      </c>
      <c r="P4262" s="19" t="str">
        <f t="shared" si="285"/>
        <v>18-25</v>
      </c>
    </row>
    <row r="4263" spans="1:16" x14ac:dyDescent="0.25">
      <c r="A4263">
        <v>4262</v>
      </c>
      <c r="B4263" t="s">
        <v>15</v>
      </c>
      <c r="C4263">
        <v>297046</v>
      </c>
      <c r="D4263" t="s">
        <v>17</v>
      </c>
      <c r="E4263" t="s">
        <v>16</v>
      </c>
      <c r="F4263" t="s">
        <v>12</v>
      </c>
      <c r="G4263" t="s">
        <v>12</v>
      </c>
      <c r="H4263" t="s">
        <v>13</v>
      </c>
      <c r="I4263">
        <v>59</v>
      </c>
      <c r="J4263" t="str" cm="1">
        <f t="array" ref="J4263">_xlfn.IFS(ISBLANK(C4263),"FALTANTE",ABS((C4263-$W$5)/$X$5)&gt;1.96,"ATÍPICO",ABS((C4263-$W$5)/$X$5)&lt;=1.96,"NO ATÍPICO")</f>
        <v>NO ATÍPICO</v>
      </c>
      <c r="K4263" t="str" cm="1">
        <f t="array" ref="K4263">_xlfn.IFS(ISBLANK(I4263),"FALTANTE",ABS((I4263-$W$8)/$X$8)&gt;1.92,"ATÍPICO",ABS((I4263-$W$8)/$X$8)&lt;=1.92,"NO ATÍPICO")</f>
        <v>NO ATÍPICO</v>
      </c>
      <c r="L4263">
        <f t="shared" si="282"/>
        <v>297046</v>
      </c>
      <c r="M4263" t="str">
        <f t="shared" si="282"/>
        <v>ASEGURADO VOLUNTARIO</v>
      </c>
      <c r="N4263">
        <f t="shared" si="283"/>
        <v>59</v>
      </c>
      <c r="O4263" s="19" t="str">
        <f t="shared" si="284"/>
        <v>0–300k</v>
      </c>
      <c r="P4263" s="19" t="str">
        <f t="shared" si="285"/>
        <v>56+</v>
      </c>
    </row>
    <row r="4264" spans="1:16" x14ac:dyDescent="0.25">
      <c r="A4264">
        <v>4263</v>
      </c>
      <c r="B4264" t="s">
        <v>15</v>
      </c>
      <c r="C4264">
        <v>705273</v>
      </c>
      <c r="D4264" t="s">
        <v>10</v>
      </c>
      <c r="E4264" t="s">
        <v>16</v>
      </c>
      <c r="F4264" t="s">
        <v>12</v>
      </c>
      <c r="G4264" t="s">
        <v>13</v>
      </c>
      <c r="H4264" t="s">
        <v>13</v>
      </c>
      <c r="I4264">
        <v>45</v>
      </c>
      <c r="J4264" t="str" cm="1">
        <f t="array" ref="J4264">_xlfn.IFS(ISBLANK(C4264),"FALTANTE",ABS((C4264-$W$5)/$X$5)&gt;1.96,"ATÍPICO",ABS((C4264-$W$5)/$X$5)&lt;=1.96,"NO ATÍPICO")</f>
        <v>NO ATÍPICO</v>
      </c>
      <c r="K4264" t="str" cm="1">
        <f t="array" ref="K4264">_xlfn.IFS(ISBLANK(I4264),"FALTANTE",ABS((I4264-$W$8)/$X$8)&gt;1.92,"ATÍPICO",ABS((I4264-$W$8)/$X$8)&lt;=1.92,"NO ATÍPICO")</f>
        <v>NO ATÍPICO</v>
      </c>
      <c r="L4264">
        <f t="shared" si="282"/>
        <v>705273</v>
      </c>
      <c r="M4264" t="str">
        <f t="shared" si="282"/>
        <v>ASALARIADO</v>
      </c>
      <c r="N4264">
        <f t="shared" si="283"/>
        <v>45</v>
      </c>
      <c r="O4264" s="19" t="str">
        <f t="shared" si="284"/>
        <v>600k–900k</v>
      </c>
      <c r="P4264" s="19" t="str">
        <f t="shared" si="285"/>
        <v>36-45</v>
      </c>
    </row>
    <row r="4265" spans="1:16" x14ac:dyDescent="0.25">
      <c r="A4265">
        <v>4264</v>
      </c>
      <c r="B4265" t="s">
        <v>15</v>
      </c>
      <c r="C4265">
        <v>889687.5</v>
      </c>
      <c r="D4265" t="s">
        <v>10</v>
      </c>
      <c r="E4265" t="s">
        <v>16</v>
      </c>
      <c r="F4265" t="s">
        <v>12</v>
      </c>
      <c r="G4265" t="s">
        <v>13</v>
      </c>
      <c r="H4265" t="s">
        <v>13</v>
      </c>
      <c r="I4265">
        <v>31</v>
      </c>
      <c r="J4265" t="str" cm="1">
        <f t="array" ref="J4265">_xlfn.IFS(ISBLANK(C4265),"FALTANTE",ABS((C4265-$W$5)/$X$5)&gt;1.96,"ATÍPICO",ABS((C4265-$W$5)/$X$5)&lt;=1.96,"NO ATÍPICO")</f>
        <v>NO ATÍPICO</v>
      </c>
      <c r="K4265" t="str" cm="1">
        <f t="array" ref="K4265">_xlfn.IFS(ISBLANK(I4265),"FALTANTE",ABS((I4265-$W$8)/$X$8)&gt;1.92,"ATÍPICO",ABS((I4265-$W$8)/$X$8)&lt;=1.92,"NO ATÍPICO")</f>
        <v>NO ATÍPICO</v>
      </c>
      <c r="L4265">
        <f t="shared" si="282"/>
        <v>889687.5</v>
      </c>
      <c r="M4265" t="str">
        <f t="shared" si="282"/>
        <v>ASALARIADO</v>
      </c>
      <c r="N4265">
        <f t="shared" si="283"/>
        <v>31</v>
      </c>
      <c r="O4265" s="19" t="str">
        <f t="shared" si="284"/>
        <v>600k–900k</v>
      </c>
      <c r="P4265" s="19" t="str">
        <f t="shared" si="285"/>
        <v>26-35</v>
      </c>
    </row>
    <row r="4266" spans="1:16" x14ac:dyDescent="0.25">
      <c r="A4266">
        <v>4265</v>
      </c>
      <c r="B4266" t="s">
        <v>9</v>
      </c>
      <c r="C4266">
        <v>452193</v>
      </c>
      <c r="D4266" t="s">
        <v>18</v>
      </c>
      <c r="E4266" t="s">
        <v>16</v>
      </c>
      <c r="F4266" t="s">
        <v>12</v>
      </c>
      <c r="G4266" t="s">
        <v>13</v>
      </c>
      <c r="H4266" t="s">
        <v>13</v>
      </c>
      <c r="I4266">
        <v>58</v>
      </c>
      <c r="J4266" t="str" cm="1">
        <f t="array" ref="J4266">_xlfn.IFS(ISBLANK(C4266),"FALTANTE",ABS((C4266-$W$5)/$X$5)&gt;1.96,"ATÍPICO",ABS((C4266-$W$5)/$X$5)&lt;=1.96,"NO ATÍPICO")</f>
        <v>NO ATÍPICO</v>
      </c>
      <c r="K4266" t="str" cm="1">
        <f t="array" ref="K4266">_xlfn.IFS(ISBLANK(I4266),"FALTANTE",ABS((I4266-$W$8)/$X$8)&gt;1.92,"ATÍPICO",ABS((I4266-$W$8)/$X$8)&lt;=1.92,"NO ATÍPICO")</f>
        <v>NO ATÍPICO</v>
      </c>
      <c r="L4266">
        <f t="shared" si="282"/>
        <v>452193</v>
      </c>
      <c r="M4266" t="str">
        <f t="shared" si="282"/>
        <v>TRABAJADOR INDEPENDIENTE</v>
      </c>
      <c r="N4266">
        <f t="shared" si="283"/>
        <v>58</v>
      </c>
      <c r="O4266" s="19" t="str">
        <f t="shared" si="284"/>
        <v>300k–600k</v>
      </c>
      <c r="P4266" s="19" t="str">
        <f t="shared" si="285"/>
        <v>56+</v>
      </c>
    </row>
    <row r="4267" spans="1:16" x14ac:dyDescent="0.25">
      <c r="A4267">
        <v>4266</v>
      </c>
      <c r="B4267" t="s">
        <v>15</v>
      </c>
      <c r="C4267">
        <v>367748</v>
      </c>
      <c r="D4267" t="s">
        <v>18</v>
      </c>
      <c r="E4267" t="s">
        <v>16</v>
      </c>
      <c r="F4267" t="s">
        <v>12</v>
      </c>
      <c r="G4267" t="s">
        <v>13</v>
      </c>
      <c r="H4267" t="s">
        <v>13</v>
      </c>
      <c r="I4267">
        <v>34</v>
      </c>
      <c r="J4267" t="str" cm="1">
        <f t="array" ref="J4267">_xlfn.IFS(ISBLANK(C4267),"FALTANTE",ABS((C4267-$W$5)/$X$5)&gt;1.96,"ATÍPICO",ABS((C4267-$W$5)/$X$5)&lt;=1.96,"NO ATÍPICO")</f>
        <v>NO ATÍPICO</v>
      </c>
      <c r="K4267" t="str" cm="1">
        <f t="array" ref="K4267">_xlfn.IFS(ISBLANK(I4267),"FALTANTE",ABS((I4267-$W$8)/$X$8)&gt;1.92,"ATÍPICO",ABS((I4267-$W$8)/$X$8)&lt;=1.92,"NO ATÍPICO")</f>
        <v>NO ATÍPICO</v>
      </c>
      <c r="L4267">
        <f t="shared" si="282"/>
        <v>367748</v>
      </c>
      <c r="M4267" t="str">
        <f t="shared" si="282"/>
        <v>TRABAJADOR INDEPENDIENTE</v>
      </c>
      <c r="N4267">
        <f t="shared" si="283"/>
        <v>34</v>
      </c>
      <c r="O4267" s="19" t="str">
        <f t="shared" si="284"/>
        <v>300k–600k</v>
      </c>
      <c r="P4267" s="19" t="str">
        <f t="shared" si="285"/>
        <v>26-35</v>
      </c>
    </row>
    <row r="4268" spans="1:16" x14ac:dyDescent="0.25">
      <c r="A4268">
        <v>4267</v>
      </c>
      <c r="B4268" t="s">
        <v>15</v>
      </c>
      <c r="C4268">
        <v>336000</v>
      </c>
      <c r="D4268" t="s">
        <v>10</v>
      </c>
      <c r="E4268" t="s">
        <v>16</v>
      </c>
      <c r="F4268" t="s">
        <v>12</v>
      </c>
      <c r="G4268" t="s">
        <v>13</v>
      </c>
      <c r="H4268" t="s">
        <v>13</v>
      </c>
      <c r="I4268">
        <v>26</v>
      </c>
      <c r="J4268" t="str" cm="1">
        <f t="array" ref="J4268">_xlfn.IFS(ISBLANK(C4268),"FALTANTE",ABS((C4268-$W$5)/$X$5)&gt;1.96,"ATÍPICO",ABS((C4268-$W$5)/$X$5)&lt;=1.96,"NO ATÍPICO")</f>
        <v>NO ATÍPICO</v>
      </c>
      <c r="K4268" t="str" cm="1">
        <f t="array" ref="K4268">_xlfn.IFS(ISBLANK(I4268),"FALTANTE",ABS((I4268-$W$8)/$X$8)&gt;1.92,"ATÍPICO",ABS((I4268-$W$8)/$X$8)&lt;=1.92,"NO ATÍPICO")</f>
        <v>NO ATÍPICO</v>
      </c>
      <c r="L4268">
        <f t="shared" si="282"/>
        <v>336000</v>
      </c>
      <c r="M4268" t="str">
        <f t="shared" si="282"/>
        <v>ASALARIADO</v>
      </c>
      <c r="N4268">
        <f t="shared" si="283"/>
        <v>26</v>
      </c>
      <c r="O4268" s="19" t="str">
        <f t="shared" si="284"/>
        <v>300k–600k</v>
      </c>
      <c r="P4268" s="19" t="str">
        <f t="shared" si="285"/>
        <v>26-35</v>
      </c>
    </row>
    <row r="4269" spans="1:16" x14ac:dyDescent="0.25">
      <c r="A4269">
        <v>4268</v>
      </c>
      <c r="B4269" t="s">
        <v>9</v>
      </c>
      <c r="C4269">
        <v>419817.69</v>
      </c>
      <c r="D4269" t="s">
        <v>10</v>
      </c>
      <c r="E4269" t="s">
        <v>16</v>
      </c>
      <c r="F4269" t="s">
        <v>12</v>
      </c>
      <c r="G4269" t="s">
        <v>12</v>
      </c>
      <c r="H4269" t="s">
        <v>13</v>
      </c>
      <c r="I4269">
        <v>26</v>
      </c>
      <c r="J4269" t="str" cm="1">
        <f t="array" ref="J4269">_xlfn.IFS(ISBLANK(C4269),"FALTANTE",ABS((C4269-$W$5)/$X$5)&gt;1.96,"ATÍPICO",ABS((C4269-$W$5)/$X$5)&lt;=1.96,"NO ATÍPICO")</f>
        <v>NO ATÍPICO</v>
      </c>
      <c r="K4269" t="str" cm="1">
        <f t="array" ref="K4269">_xlfn.IFS(ISBLANK(I4269),"FALTANTE",ABS((I4269-$W$8)/$X$8)&gt;1.92,"ATÍPICO",ABS((I4269-$W$8)/$X$8)&lt;=1.92,"NO ATÍPICO")</f>
        <v>NO ATÍPICO</v>
      </c>
      <c r="L4269">
        <f t="shared" si="282"/>
        <v>419817.69</v>
      </c>
      <c r="M4269" t="str">
        <f t="shared" si="282"/>
        <v>ASALARIADO</v>
      </c>
      <c r="N4269">
        <f t="shared" si="283"/>
        <v>26</v>
      </c>
      <c r="O4269" s="19" t="str">
        <f t="shared" si="284"/>
        <v>300k–600k</v>
      </c>
      <c r="P4269" s="19" t="str">
        <f t="shared" si="285"/>
        <v>26-35</v>
      </c>
    </row>
    <row r="4270" spans="1:16" x14ac:dyDescent="0.25">
      <c r="A4270">
        <v>4269</v>
      </c>
      <c r="B4270" t="s">
        <v>9</v>
      </c>
      <c r="C4270">
        <v>404468.75</v>
      </c>
      <c r="D4270" t="s">
        <v>10</v>
      </c>
      <c r="E4270" t="s">
        <v>16</v>
      </c>
      <c r="F4270" t="s">
        <v>12</v>
      </c>
      <c r="G4270" t="s">
        <v>13</v>
      </c>
      <c r="H4270" t="s">
        <v>13</v>
      </c>
      <c r="I4270">
        <v>28</v>
      </c>
      <c r="J4270" t="str" cm="1">
        <f t="array" ref="J4270">_xlfn.IFS(ISBLANK(C4270),"FALTANTE",ABS((C4270-$W$5)/$X$5)&gt;1.96,"ATÍPICO",ABS((C4270-$W$5)/$X$5)&lt;=1.96,"NO ATÍPICO")</f>
        <v>NO ATÍPICO</v>
      </c>
      <c r="K4270" t="str" cm="1">
        <f t="array" ref="K4270">_xlfn.IFS(ISBLANK(I4270),"FALTANTE",ABS((I4270-$W$8)/$X$8)&gt;1.92,"ATÍPICO",ABS((I4270-$W$8)/$X$8)&lt;=1.92,"NO ATÍPICO")</f>
        <v>NO ATÍPICO</v>
      </c>
      <c r="L4270">
        <f t="shared" si="282"/>
        <v>404468.75</v>
      </c>
      <c r="M4270" t="str">
        <f t="shared" si="282"/>
        <v>ASALARIADO</v>
      </c>
      <c r="N4270">
        <f t="shared" si="283"/>
        <v>28</v>
      </c>
      <c r="O4270" s="19" t="str">
        <f t="shared" si="284"/>
        <v>300k–600k</v>
      </c>
      <c r="P4270" s="19" t="str">
        <f t="shared" si="285"/>
        <v>26-35</v>
      </c>
    </row>
    <row r="4271" spans="1:16" x14ac:dyDescent="0.25">
      <c r="A4271">
        <v>4270</v>
      </c>
      <c r="B4271" t="s">
        <v>9</v>
      </c>
      <c r="C4271">
        <v>279111</v>
      </c>
      <c r="D4271" t="s">
        <v>17</v>
      </c>
      <c r="E4271" t="s">
        <v>16</v>
      </c>
      <c r="F4271" t="s">
        <v>12</v>
      </c>
      <c r="G4271" t="s">
        <v>13</v>
      </c>
      <c r="H4271" t="s">
        <v>13</v>
      </c>
      <c r="I4271">
        <v>61</v>
      </c>
      <c r="J4271" t="str" cm="1">
        <f t="array" ref="J4271">_xlfn.IFS(ISBLANK(C4271),"FALTANTE",ABS((C4271-$W$5)/$X$5)&gt;1.96,"ATÍPICO",ABS((C4271-$W$5)/$X$5)&lt;=1.96,"NO ATÍPICO")</f>
        <v>NO ATÍPICO</v>
      </c>
      <c r="K4271" t="str" cm="1">
        <f t="array" ref="K4271">_xlfn.IFS(ISBLANK(I4271),"FALTANTE",ABS((I4271-$W$8)/$X$8)&gt;1.92,"ATÍPICO",ABS((I4271-$W$8)/$X$8)&lt;=1.92,"NO ATÍPICO")</f>
        <v>NO ATÍPICO</v>
      </c>
      <c r="L4271">
        <f t="shared" si="282"/>
        <v>279111</v>
      </c>
      <c r="M4271" t="str">
        <f t="shared" si="282"/>
        <v>ASEGURADO VOLUNTARIO</v>
      </c>
      <c r="N4271">
        <f t="shared" si="283"/>
        <v>61</v>
      </c>
      <c r="O4271" s="19" t="str">
        <f t="shared" si="284"/>
        <v>0–300k</v>
      </c>
      <c r="P4271" s="19" t="str">
        <f t="shared" si="285"/>
        <v>56+</v>
      </c>
    </row>
    <row r="4272" spans="1:16" x14ac:dyDescent="0.25">
      <c r="A4272">
        <v>4271</v>
      </c>
      <c r="B4272" t="s">
        <v>9</v>
      </c>
      <c r="C4272">
        <v>778719</v>
      </c>
      <c r="D4272" t="s">
        <v>17</v>
      </c>
      <c r="E4272" t="s">
        <v>16</v>
      </c>
      <c r="F4272" t="s">
        <v>12</v>
      </c>
      <c r="G4272" t="s">
        <v>12</v>
      </c>
      <c r="H4272" t="s">
        <v>13</v>
      </c>
      <c r="I4272">
        <v>79</v>
      </c>
      <c r="J4272" t="str" cm="1">
        <f t="array" ref="J4272">_xlfn.IFS(ISBLANK(C4272),"FALTANTE",ABS((C4272-$W$5)/$X$5)&gt;1.96,"ATÍPICO",ABS((C4272-$W$5)/$X$5)&lt;=1.96,"NO ATÍPICO")</f>
        <v>NO ATÍPICO</v>
      </c>
      <c r="K4272" t="str" cm="1">
        <f t="array" ref="K4272">_xlfn.IFS(ISBLANK(I4272),"FALTANTE",ABS((I4272-$W$8)/$X$8)&gt;1.92,"ATÍPICO",ABS((I4272-$W$8)/$X$8)&lt;=1.92,"NO ATÍPICO")</f>
        <v>ATÍPICO</v>
      </c>
      <c r="L4272">
        <f t="shared" si="282"/>
        <v>778719</v>
      </c>
      <c r="M4272" t="str">
        <f t="shared" si="282"/>
        <v>ASEGURADO VOLUNTARIO</v>
      </c>
      <c r="N4272">
        <f t="shared" si="283"/>
        <v>79</v>
      </c>
      <c r="O4272" s="19" t="str">
        <f t="shared" si="284"/>
        <v>600k–900k</v>
      </c>
      <c r="P4272" s="19" t="str">
        <f t="shared" si="285"/>
        <v>56+</v>
      </c>
    </row>
    <row r="4273" spans="1:16" x14ac:dyDescent="0.25">
      <c r="A4273">
        <v>4272</v>
      </c>
      <c r="B4273" t="s">
        <v>15</v>
      </c>
      <c r="C4273">
        <v>600000</v>
      </c>
      <c r="D4273" t="s">
        <v>10</v>
      </c>
      <c r="E4273" t="s">
        <v>16</v>
      </c>
      <c r="F4273" t="s">
        <v>12</v>
      </c>
      <c r="G4273" t="s">
        <v>13</v>
      </c>
      <c r="H4273" t="s">
        <v>13</v>
      </c>
      <c r="I4273">
        <v>40</v>
      </c>
      <c r="J4273" t="str" cm="1">
        <f t="array" ref="J4273">_xlfn.IFS(ISBLANK(C4273),"FALTANTE",ABS((C4273-$W$5)/$X$5)&gt;1.96,"ATÍPICO",ABS((C4273-$W$5)/$X$5)&lt;=1.96,"NO ATÍPICO")</f>
        <v>NO ATÍPICO</v>
      </c>
      <c r="K4273" t="str" cm="1">
        <f t="array" ref="K4273">_xlfn.IFS(ISBLANK(I4273),"FALTANTE",ABS((I4273-$W$8)/$X$8)&gt;1.92,"ATÍPICO",ABS((I4273-$W$8)/$X$8)&lt;=1.92,"NO ATÍPICO")</f>
        <v>NO ATÍPICO</v>
      </c>
      <c r="L4273">
        <f t="shared" si="282"/>
        <v>600000</v>
      </c>
      <c r="M4273" t="str">
        <f t="shared" si="282"/>
        <v>ASALARIADO</v>
      </c>
      <c r="N4273">
        <f t="shared" si="283"/>
        <v>40</v>
      </c>
      <c r="O4273" s="19" t="str">
        <f t="shared" si="284"/>
        <v>300k–600k</v>
      </c>
      <c r="P4273" s="19" t="str">
        <f t="shared" si="285"/>
        <v>36-45</v>
      </c>
    </row>
    <row r="4274" spans="1:16" x14ac:dyDescent="0.25">
      <c r="A4274">
        <v>4273</v>
      </c>
      <c r="B4274" t="s">
        <v>9</v>
      </c>
      <c r="C4274">
        <v>800000</v>
      </c>
      <c r="D4274" t="s">
        <v>10</v>
      </c>
      <c r="E4274" t="s">
        <v>16</v>
      </c>
      <c r="F4274" t="s">
        <v>12</v>
      </c>
      <c r="G4274" t="s">
        <v>13</v>
      </c>
      <c r="H4274" t="s">
        <v>13</v>
      </c>
      <c r="I4274">
        <v>27</v>
      </c>
      <c r="J4274" t="str" cm="1">
        <f t="array" ref="J4274">_xlfn.IFS(ISBLANK(C4274),"FALTANTE",ABS((C4274-$W$5)/$X$5)&gt;1.96,"ATÍPICO",ABS((C4274-$W$5)/$X$5)&lt;=1.96,"NO ATÍPICO")</f>
        <v>NO ATÍPICO</v>
      </c>
      <c r="K4274" t="str" cm="1">
        <f t="array" ref="K4274">_xlfn.IFS(ISBLANK(I4274),"FALTANTE",ABS((I4274-$W$8)/$X$8)&gt;1.92,"ATÍPICO",ABS((I4274-$W$8)/$X$8)&lt;=1.92,"NO ATÍPICO")</f>
        <v>NO ATÍPICO</v>
      </c>
      <c r="L4274">
        <f t="shared" si="282"/>
        <v>800000</v>
      </c>
      <c r="M4274" t="str">
        <f t="shared" si="282"/>
        <v>ASALARIADO</v>
      </c>
      <c r="N4274">
        <f t="shared" si="283"/>
        <v>27</v>
      </c>
      <c r="O4274" s="19" t="str">
        <f t="shared" si="284"/>
        <v>600k–900k</v>
      </c>
      <c r="P4274" s="19" t="str">
        <f t="shared" si="285"/>
        <v>26-35</v>
      </c>
    </row>
    <row r="4275" spans="1:16" x14ac:dyDescent="0.25">
      <c r="A4275">
        <v>4274</v>
      </c>
      <c r="B4275" t="s">
        <v>9</v>
      </c>
      <c r="C4275">
        <v>439012</v>
      </c>
      <c r="D4275" t="s">
        <v>10</v>
      </c>
      <c r="E4275" t="s">
        <v>16</v>
      </c>
      <c r="F4275" t="s">
        <v>12</v>
      </c>
      <c r="G4275" t="s">
        <v>12</v>
      </c>
      <c r="H4275" t="s">
        <v>13</v>
      </c>
      <c r="I4275">
        <v>28</v>
      </c>
      <c r="J4275" t="str" cm="1">
        <f t="array" ref="J4275">_xlfn.IFS(ISBLANK(C4275),"FALTANTE",ABS((C4275-$W$5)/$X$5)&gt;1.96,"ATÍPICO",ABS((C4275-$W$5)/$X$5)&lt;=1.96,"NO ATÍPICO")</f>
        <v>NO ATÍPICO</v>
      </c>
      <c r="K4275" t="str" cm="1">
        <f t="array" ref="K4275">_xlfn.IFS(ISBLANK(I4275),"FALTANTE",ABS((I4275-$W$8)/$X$8)&gt;1.92,"ATÍPICO",ABS((I4275-$W$8)/$X$8)&lt;=1.92,"NO ATÍPICO")</f>
        <v>NO ATÍPICO</v>
      </c>
      <c r="L4275">
        <f t="shared" si="282"/>
        <v>439012</v>
      </c>
      <c r="M4275" t="str">
        <f t="shared" si="282"/>
        <v>ASALARIADO</v>
      </c>
      <c r="N4275">
        <f t="shared" si="283"/>
        <v>28</v>
      </c>
      <c r="O4275" s="19" t="str">
        <f t="shared" si="284"/>
        <v>300k–600k</v>
      </c>
      <c r="P4275" s="19" t="str">
        <f t="shared" si="285"/>
        <v>26-35</v>
      </c>
    </row>
    <row r="4276" spans="1:16" x14ac:dyDescent="0.25">
      <c r="A4276">
        <v>4275</v>
      </c>
      <c r="B4276" t="s">
        <v>15</v>
      </c>
      <c r="C4276">
        <v>657814.80000000005</v>
      </c>
      <c r="D4276" t="s">
        <v>10</v>
      </c>
      <c r="E4276" t="s">
        <v>16</v>
      </c>
      <c r="F4276" t="s">
        <v>12</v>
      </c>
      <c r="G4276" t="s">
        <v>13</v>
      </c>
      <c r="H4276" t="s">
        <v>13</v>
      </c>
      <c r="I4276">
        <v>38</v>
      </c>
      <c r="J4276" t="str" cm="1">
        <f t="array" ref="J4276">_xlfn.IFS(ISBLANK(C4276),"FALTANTE",ABS((C4276-$W$5)/$X$5)&gt;1.96,"ATÍPICO",ABS((C4276-$W$5)/$X$5)&lt;=1.96,"NO ATÍPICO")</f>
        <v>NO ATÍPICO</v>
      </c>
      <c r="K4276" t="str" cm="1">
        <f t="array" ref="K4276">_xlfn.IFS(ISBLANK(I4276),"FALTANTE",ABS((I4276-$W$8)/$X$8)&gt;1.92,"ATÍPICO",ABS((I4276-$W$8)/$X$8)&lt;=1.92,"NO ATÍPICO")</f>
        <v>NO ATÍPICO</v>
      </c>
      <c r="L4276">
        <f t="shared" si="282"/>
        <v>657814.80000000005</v>
      </c>
      <c r="M4276" t="str">
        <f t="shared" si="282"/>
        <v>ASALARIADO</v>
      </c>
      <c r="N4276">
        <f t="shared" si="283"/>
        <v>38</v>
      </c>
      <c r="O4276" s="19" t="str">
        <f t="shared" si="284"/>
        <v>600k–900k</v>
      </c>
      <c r="P4276" s="19" t="str">
        <f t="shared" si="285"/>
        <v>36-45</v>
      </c>
    </row>
    <row r="4277" spans="1:16" x14ac:dyDescent="0.25">
      <c r="A4277">
        <v>4276</v>
      </c>
      <c r="B4277" t="s">
        <v>9</v>
      </c>
      <c r="C4277">
        <v>361976.88</v>
      </c>
      <c r="D4277" t="s">
        <v>10</v>
      </c>
      <c r="E4277" t="s">
        <v>16</v>
      </c>
      <c r="F4277" t="s">
        <v>12</v>
      </c>
      <c r="G4277" t="s">
        <v>13</v>
      </c>
      <c r="H4277" t="s">
        <v>13</v>
      </c>
      <c r="I4277">
        <v>60</v>
      </c>
      <c r="J4277" t="str" cm="1">
        <f t="array" ref="J4277">_xlfn.IFS(ISBLANK(C4277),"FALTANTE",ABS((C4277-$W$5)/$X$5)&gt;1.96,"ATÍPICO",ABS((C4277-$W$5)/$X$5)&lt;=1.96,"NO ATÍPICO")</f>
        <v>NO ATÍPICO</v>
      </c>
      <c r="K4277" t="str" cm="1">
        <f t="array" ref="K4277">_xlfn.IFS(ISBLANK(I4277),"FALTANTE",ABS((I4277-$W$8)/$X$8)&gt;1.92,"ATÍPICO",ABS((I4277-$W$8)/$X$8)&lt;=1.92,"NO ATÍPICO")</f>
        <v>NO ATÍPICO</v>
      </c>
      <c r="L4277">
        <f t="shared" si="282"/>
        <v>361976.88</v>
      </c>
      <c r="M4277" t="str">
        <f t="shared" si="282"/>
        <v>ASALARIADO</v>
      </c>
      <c r="N4277">
        <f t="shared" si="283"/>
        <v>60</v>
      </c>
      <c r="O4277" s="19" t="str">
        <f t="shared" si="284"/>
        <v>300k–600k</v>
      </c>
      <c r="P4277" s="19" t="str">
        <f t="shared" si="285"/>
        <v>56+</v>
      </c>
    </row>
    <row r="4278" spans="1:16" x14ac:dyDescent="0.25">
      <c r="A4278">
        <v>4277</v>
      </c>
      <c r="B4278" t="s">
        <v>9</v>
      </c>
      <c r="C4278">
        <v>307891.19</v>
      </c>
      <c r="D4278" t="s">
        <v>10</v>
      </c>
      <c r="E4278" t="s">
        <v>16</v>
      </c>
      <c r="F4278" t="s">
        <v>12</v>
      </c>
      <c r="G4278" t="s">
        <v>13</v>
      </c>
      <c r="H4278" t="s">
        <v>13</v>
      </c>
      <c r="I4278">
        <v>30</v>
      </c>
      <c r="J4278" t="str" cm="1">
        <f t="array" ref="J4278">_xlfn.IFS(ISBLANK(C4278),"FALTANTE",ABS((C4278-$W$5)/$X$5)&gt;1.96,"ATÍPICO",ABS((C4278-$W$5)/$X$5)&lt;=1.96,"NO ATÍPICO")</f>
        <v>NO ATÍPICO</v>
      </c>
      <c r="K4278" t="str" cm="1">
        <f t="array" ref="K4278">_xlfn.IFS(ISBLANK(I4278),"FALTANTE",ABS((I4278-$W$8)/$X$8)&gt;1.92,"ATÍPICO",ABS((I4278-$W$8)/$X$8)&lt;=1.92,"NO ATÍPICO")</f>
        <v>NO ATÍPICO</v>
      </c>
      <c r="L4278">
        <f t="shared" si="282"/>
        <v>307891.19</v>
      </c>
      <c r="M4278" t="str">
        <f t="shared" si="282"/>
        <v>ASALARIADO</v>
      </c>
      <c r="N4278">
        <f t="shared" si="283"/>
        <v>30</v>
      </c>
      <c r="O4278" s="19" t="str">
        <f t="shared" si="284"/>
        <v>300k–600k</v>
      </c>
      <c r="P4278" s="19" t="str">
        <f t="shared" si="285"/>
        <v>26-35</v>
      </c>
    </row>
    <row r="4279" spans="1:16" x14ac:dyDescent="0.25">
      <c r="A4279">
        <v>4278</v>
      </c>
      <c r="B4279" t="s">
        <v>9</v>
      </c>
      <c r="C4279">
        <v>403463</v>
      </c>
      <c r="D4279" t="s">
        <v>10</v>
      </c>
      <c r="E4279" t="s">
        <v>16</v>
      </c>
      <c r="F4279" t="s">
        <v>12</v>
      </c>
      <c r="G4279" t="s">
        <v>12</v>
      </c>
      <c r="H4279" t="s">
        <v>13</v>
      </c>
      <c r="I4279">
        <v>32</v>
      </c>
      <c r="J4279" t="str" cm="1">
        <f t="array" ref="J4279">_xlfn.IFS(ISBLANK(C4279),"FALTANTE",ABS((C4279-$W$5)/$X$5)&gt;1.96,"ATÍPICO",ABS((C4279-$W$5)/$X$5)&lt;=1.96,"NO ATÍPICO")</f>
        <v>NO ATÍPICO</v>
      </c>
      <c r="K4279" t="str" cm="1">
        <f t="array" ref="K4279">_xlfn.IFS(ISBLANK(I4279),"FALTANTE",ABS((I4279-$W$8)/$X$8)&gt;1.92,"ATÍPICO",ABS((I4279-$W$8)/$X$8)&lt;=1.92,"NO ATÍPICO")</f>
        <v>NO ATÍPICO</v>
      </c>
      <c r="L4279">
        <f t="shared" si="282"/>
        <v>403463</v>
      </c>
      <c r="M4279" t="str">
        <f t="shared" si="282"/>
        <v>ASALARIADO</v>
      </c>
      <c r="N4279">
        <f t="shared" si="283"/>
        <v>32</v>
      </c>
      <c r="O4279" s="19" t="str">
        <f t="shared" si="284"/>
        <v>300k–600k</v>
      </c>
      <c r="P4279" s="19" t="str">
        <f t="shared" si="285"/>
        <v>26-35</v>
      </c>
    </row>
    <row r="4280" spans="1:16" x14ac:dyDescent="0.25">
      <c r="A4280">
        <v>4279</v>
      </c>
      <c r="B4280" t="s">
        <v>9</v>
      </c>
      <c r="C4280">
        <v>1632939</v>
      </c>
      <c r="D4280" t="s">
        <v>10</v>
      </c>
      <c r="E4280" t="s">
        <v>11</v>
      </c>
      <c r="F4280" t="s">
        <v>12</v>
      </c>
      <c r="G4280" t="s">
        <v>13</v>
      </c>
      <c r="H4280" t="s">
        <v>13</v>
      </c>
      <c r="I4280">
        <v>58</v>
      </c>
      <c r="J4280" t="str" cm="1">
        <f t="array" ref="J4280">_xlfn.IFS(ISBLANK(C4280),"FALTANTE",ABS((C4280-$W$5)/$X$5)&gt;1.96,"ATÍPICO",ABS((C4280-$W$5)/$X$5)&lt;=1.96,"NO ATÍPICO")</f>
        <v>NO ATÍPICO</v>
      </c>
      <c r="K4280" t="str" cm="1">
        <f t="array" ref="K4280">_xlfn.IFS(ISBLANK(I4280),"FALTANTE",ABS((I4280-$W$8)/$X$8)&gt;1.92,"ATÍPICO",ABS((I4280-$W$8)/$X$8)&lt;=1.92,"NO ATÍPICO")</f>
        <v>NO ATÍPICO</v>
      </c>
      <c r="L4280">
        <f t="shared" si="282"/>
        <v>1632939</v>
      </c>
      <c r="M4280" t="str">
        <f t="shared" si="282"/>
        <v>ASALARIADO</v>
      </c>
      <c r="N4280">
        <f t="shared" si="283"/>
        <v>58</v>
      </c>
      <c r="O4280" s="19" t="str">
        <f t="shared" si="284"/>
        <v>1200k+</v>
      </c>
      <c r="P4280" s="19" t="str">
        <f t="shared" si="285"/>
        <v>56+</v>
      </c>
    </row>
    <row r="4281" spans="1:16" x14ac:dyDescent="0.25">
      <c r="A4281">
        <v>4280</v>
      </c>
      <c r="B4281" t="s">
        <v>9</v>
      </c>
      <c r="C4281">
        <v>360420</v>
      </c>
      <c r="D4281" t="s">
        <v>18</v>
      </c>
      <c r="E4281" t="s">
        <v>16</v>
      </c>
      <c r="F4281" t="s">
        <v>12</v>
      </c>
      <c r="G4281" t="s">
        <v>13</v>
      </c>
      <c r="H4281" t="s">
        <v>13</v>
      </c>
      <c r="I4281">
        <v>48</v>
      </c>
      <c r="J4281" t="str" cm="1">
        <f t="array" ref="J4281">_xlfn.IFS(ISBLANK(C4281),"FALTANTE",ABS((C4281-$W$5)/$X$5)&gt;1.96,"ATÍPICO",ABS((C4281-$W$5)/$X$5)&lt;=1.96,"NO ATÍPICO")</f>
        <v>NO ATÍPICO</v>
      </c>
      <c r="K4281" t="str" cm="1">
        <f t="array" ref="K4281">_xlfn.IFS(ISBLANK(I4281),"FALTANTE",ABS((I4281-$W$8)/$X$8)&gt;1.92,"ATÍPICO",ABS((I4281-$W$8)/$X$8)&lt;=1.92,"NO ATÍPICO")</f>
        <v>NO ATÍPICO</v>
      </c>
      <c r="L4281">
        <f t="shared" si="282"/>
        <v>360420</v>
      </c>
      <c r="M4281" t="str">
        <f t="shared" si="282"/>
        <v>TRABAJADOR INDEPENDIENTE</v>
      </c>
      <c r="N4281">
        <f t="shared" si="283"/>
        <v>48</v>
      </c>
      <c r="O4281" s="19" t="str">
        <f t="shared" si="284"/>
        <v>300k–600k</v>
      </c>
      <c r="P4281" s="19" t="str">
        <f t="shared" si="285"/>
        <v>46-55</v>
      </c>
    </row>
    <row r="4282" spans="1:16" x14ac:dyDescent="0.25">
      <c r="A4282">
        <v>4281</v>
      </c>
      <c r="B4282" t="s">
        <v>9</v>
      </c>
      <c r="C4282">
        <v>425043.83</v>
      </c>
      <c r="D4282" t="s">
        <v>10</v>
      </c>
      <c r="E4282" t="s">
        <v>16</v>
      </c>
      <c r="F4282" t="s">
        <v>12</v>
      </c>
      <c r="G4282" t="s">
        <v>12</v>
      </c>
      <c r="H4282" t="s">
        <v>13</v>
      </c>
      <c r="I4282">
        <v>23</v>
      </c>
      <c r="J4282" t="str" cm="1">
        <f t="array" ref="J4282">_xlfn.IFS(ISBLANK(C4282),"FALTANTE",ABS((C4282-$W$5)/$X$5)&gt;1.96,"ATÍPICO",ABS((C4282-$W$5)/$X$5)&lt;=1.96,"NO ATÍPICO")</f>
        <v>NO ATÍPICO</v>
      </c>
      <c r="K4282" t="str" cm="1">
        <f t="array" ref="K4282">_xlfn.IFS(ISBLANK(I4282),"FALTANTE",ABS((I4282-$W$8)/$X$8)&gt;1.92,"ATÍPICO",ABS((I4282-$W$8)/$X$8)&lt;=1.92,"NO ATÍPICO")</f>
        <v>NO ATÍPICO</v>
      </c>
      <c r="L4282">
        <f t="shared" si="282"/>
        <v>425043.83</v>
      </c>
      <c r="M4282" t="str">
        <f t="shared" si="282"/>
        <v>ASALARIADO</v>
      </c>
      <c r="N4282">
        <f t="shared" si="283"/>
        <v>23</v>
      </c>
      <c r="O4282" s="19" t="str">
        <f t="shared" si="284"/>
        <v>300k–600k</v>
      </c>
      <c r="P4282" s="19" t="str">
        <f t="shared" si="285"/>
        <v>18-25</v>
      </c>
    </row>
    <row r="4283" spans="1:16" x14ac:dyDescent="0.25">
      <c r="A4283">
        <v>4282</v>
      </c>
      <c r="B4283" t="s">
        <v>9</v>
      </c>
      <c r="C4283">
        <v>204000</v>
      </c>
      <c r="D4283" t="s">
        <v>10</v>
      </c>
      <c r="E4283" t="s">
        <v>16</v>
      </c>
      <c r="F4283" t="s">
        <v>12</v>
      </c>
      <c r="G4283" t="s">
        <v>13</v>
      </c>
      <c r="H4283" t="s">
        <v>13</v>
      </c>
      <c r="I4283">
        <v>27</v>
      </c>
      <c r="J4283" t="str" cm="1">
        <f t="array" ref="J4283">_xlfn.IFS(ISBLANK(C4283),"FALTANTE",ABS((C4283-$W$5)/$X$5)&gt;1.96,"ATÍPICO",ABS((C4283-$W$5)/$X$5)&lt;=1.96,"NO ATÍPICO")</f>
        <v>NO ATÍPICO</v>
      </c>
      <c r="K4283" t="str" cm="1">
        <f t="array" ref="K4283">_xlfn.IFS(ISBLANK(I4283),"FALTANTE",ABS((I4283-$W$8)/$X$8)&gt;1.92,"ATÍPICO",ABS((I4283-$W$8)/$X$8)&lt;=1.92,"NO ATÍPICO")</f>
        <v>NO ATÍPICO</v>
      </c>
      <c r="L4283">
        <f t="shared" si="282"/>
        <v>204000</v>
      </c>
      <c r="M4283" t="str">
        <f t="shared" si="282"/>
        <v>ASALARIADO</v>
      </c>
      <c r="N4283">
        <f t="shared" si="283"/>
        <v>27</v>
      </c>
      <c r="O4283" s="19" t="str">
        <f t="shared" si="284"/>
        <v>0–300k</v>
      </c>
      <c r="P4283" s="19" t="str">
        <f t="shared" si="285"/>
        <v>26-35</v>
      </c>
    </row>
    <row r="4284" spans="1:16" x14ac:dyDescent="0.25">
      <c r="A4284">
        <v>4283</v>
      </c>
      <c r="B4284" t="s">
        <v>15</v>
      </c>
      <c r="C4284">
        <v>330000</v>
      </c>
      <c r="D4284" t="s">
        <v>10</v>
      </c>
      <c r="E4284" t="s">
        <v>11</v>
      </c>
      <c r="F4284" t="s">
        <v>12</v>
      </c>
      <c r="G4284" t="s">
        <v>13</v>
      </c>
      <c r="H4284" t="s">
        <v>13</v>
      </c>
      <c r="I4284">
        <v>35</v>
      </c>
      <c r="J4284" t="str" cm="1">
        <f t="array" ref="J4284">_xlfn.IFS(ISBLANK(C4284),"FALTANTE",ABS((C4284-$W$5)/$X$5)&gt;1.96,"ATÍPICO",ABS((C4284-$W$5)/$X$5)&lt;=1.96,"NO ATÍPICO")</f>
        <v>NO ATÍPICO</v>
      </c>
      <c r="K4284" t="str" cm="1">
        <f t="array" ref="K4284">_xlfn.IFS(ISBLANK(I4284),"FALTANTE",ABS((I4284-$W$8)/$X$8)&gt;1.92,"ATÍPICO",ABS((I4284-$W$8)/$X$8)&lt;=1.92,"NO ATÍPICO")</f>
        <v>NO ATÍPICO</v>
      </c>
      <c r="L4284">
        <f t="shared" si="282"/>
        <v>330000</v>
      </c>
      <c r="M4284" t="str">
        <f t="shared" si="282"/>
        <v>ASALARIADO</v>
      </c>
      <c r="N4284">
        <f t="shared" si="283"/>
        <v>35</v>
      </c>
      <c r="O4284" s="19" t="str">
        <f t="shared" si="284"/>
        <v>300k–600k</v>
      </c>
      <c r="P4284" s="19" t="str">
        <f t="shared" si="285"/>
        <v>26-35</v>
      </c>
    </row>
    <row r="4285" spans="1:16" x14ac:dyDescent="0.25">
      <c r="A4285">
        <v>4284</v>
      </c>
      <c r="B4285" t="s">
        <v>9</v>
      </c>
      <c r="C4285">
        <v>150000</v>
      </c>
      <c r="D4285" t="s">
        <v>10</v>
      </c>
      <c r="E4285" t="s">
        <v>16</v>
      </c>
      <c r="F4285" t="s">
        <v>12</v>
      </c>
      <c r="G4285" t="s">
        <v>13</v>
      </c>
      <c r="H4285" t="s">
        <v>13</v>
      </c>
      <c r="I4285">
        <v>36</v>
      </c>
      <c r="J4285" t="str" cm="1">
        <f t="array" ref="J4285">_xlfn.IFS(ISBLANK(C4285),"FALTANTE",ABS((C4285-$W$5)/$X$5)&gt;1.96,"ATÍPICO",ABS((C4285-$W$5)/$X$5)&lt;=1.96,"NO ATÍPICO")</f>
        <v>NO ATÍPICO</v>
      </c>
      <c r="K4285" t="str" cm="1">
        <f t="array" ref="K4285">_xlfn.IFS(ISBLANK(I4285),"FALTANTE",ABS((I4285-$W$8)/$X$8)&gt;1.92,"ATÍPICO",ABS((I4285-$W$8)/$X$8)&lt;=1.92,"NO ATÍPICO")</f>
        <v>NO ATÍPICO</v>
      </c>
      <c r="L4285">
        <f t="shared" si="282"/>
        <v>150000</v>
      </c>
      <c r="M4285" t="str">
        <f t="shared" si="282"/>
        <v>ASALARIADO</v>
      </c>
      <c r="N4285">
        <f t="shared" si="283"/>
        <v>36</v>
      </c>
      <c r="O4285" s="19" t="str">
        <f t="shared" si="284"/>
        <v>0–300k</v>
      </c>
      <c r="P4285" s="19" t="str">
        <f t="shared" si="285"/>
        <v>36-45</v>
      </c>
    </row>
    <row r="4286" spans="1:16" x14ac:dyDescent="0.25">
      <c r="A4286">
        <v>4285</v>
      </c>
      <c r="B4286" t="s">
        <v>15</v>
      </c>
      <c r="C4286">
        <v>362274</v>
      </c>
      <c r="D4286" t="s">
        <v>10</v>
      </c>
      <c r="E4286" t="s">
        <v>11</v>
      </c>
      <c r="F4286" t="s">
        <v>12</v>
      </c>
      <c r="G4286" t="s">
        <v>13</v>
      </c>
      <c r="H4286" t="s">
        <v>13</v>
      </c>
      <c r="I4286">
        <v>36</v>
      </c>
      <c r="J4286" t="str" cm="1">
        <f t="array" ref="J4286">_xlfn.IFS(ISBLANK(C4286),"FALTANTE",ABS((C4286-$W$5)/$X$5)&gt;1.96,"ATÍPICO",ABS((C4286-$W$5)/$X$5)&lt;=1.96,"NO ATÍPICO")</f>
        <v>NO ATÍPICO</v>
      </c>
      <c r="K4286" t="str" cm="1">
        <f t="array" ref="K4286">_xlfn.IFS(ISBLANK(I4286),"FALTANTE",ABS((I4286-$W$8)/$X$8)&gt;1.92,"ATÍPICO",ABS((I4286-$W$8)/$X$8)&lt;=1.92,"NO ATÍPICO")</f>
        <v>NO ATÍPICO</v>
      </c>
      <c r="L4286">
        <f t="shared" si="282"/>
        <v>362274</v>
      </c>
      <c r="M4286" t="str">
        <f t="shared" si="282"/>
        <v>ASALARIADO</v>
      </c>
      <c r="N4286">
        <f t="shared" si="283"/>
        <v>36</v>
      </c>
      <c r="O4286" s="19" t="str">
        <f t="shared" si="284"/>
        <v>300k–600k</v>
      </c>
      <c r="P4286" s="19" t="str">
        <f t="shared" si="285"/>
        <v>36-45</v>
      </c>
    </row>
    <row r="4287" spans="1:16" x14ac:dyDescent="0.25">
      <c r="A4287">
        <v>4286</v>
      </c>
      <c r="B4287" t="s">
        <v>9</v>
      </c>
      <c r="C4287">
        <v>79749</v>
      </c>
      <c r="D4287" t="s">
        <v>10</v>
      </c>
      <c r="E4287" t="s">
        <v>16</v>
      </c>
      <c r="F4287" t="s">
        <v>12</v>
      </c>
      <c r="G4287" t="s">
        <v>13</v>
      </c>
      <c r="H4287" t="s">
        <v>13</v>
      </c>
      <c r="I4287">
        <v>42</v>
      </c>
      <c r="J4287" t="str" cm="1">
        <f t="array" ref="J4287">_xlfn.IFS(ISBLANK(C4287),"FALTANTE",ABS((C4287-$W$5)/$X$5)&gt;1.96,"ATÍPICO",ABS((C4287-$W$5)/$X$5)&lt;=1.96,"NO ATÍPICO")</f>
        <v>NO ATÍPICO</v>
      </c>
      <c r="K4287" t="str" cm="1">
        <f t="array" ref="K4287">_xlfn.IFS(ISBLANK(I4287),"FALTANTE",ABS((I4287-$W$8)/$X$8)&gt;1.92,"ATÍPICO",ABS((I4287-$W$8)/$X$8)&lt;=1.92,"NO ATÍPICO")</f>
        <v>NO ATÍPICO</v>
      </c>
      <c r="L4287">
        <f t="shared" si="282"/>
        <v>79749</v>
      </c>
      <c r="M4287" t="str">
        <f t="shared" si="282"/>
        <v>ASALARIADO</v>
      </c>
      <c r="N4287">
        <f t="shared" si="283"/>
        <v>42</v>
      </c>
      <c r="O4287" s="19" t="str">
        <f t="shared" si="284"/>
        <v>0–300k</v>
      </c>
      <c r="P4287" s="19" t="str">
        <f t="shared" si="285"/>
        <v>36-45</v>
      </c>
    </row>
    <row r="4288" spans="1:16" x14ac:dyDescent="0.25">
      <c r="A4288">
        <v>4287</v>
      </c>
      <c r="B4288" t="s">
        <v>15</v>
      </c>
      <c r="C4288">
        <v>1777096.7</v>
      </c>
      <c r="D4288" t="s">
        <v>10</v>
      </c>
      <c r="E4288" t="s">
        <v>11</v>
      </c>
      <c r="F4288" t="s">
        <v>12</v>
      </c>
      <c r="G4288" t="s">
        <v>13</v>
      </c>
      <c r="H4288" t="s">
        <v>13</v>
      </c>
      <c r="I4288">
        <v>39</v>
      </c>
      <c r="J4288" t="str" cm="1">
        <f t="array" ref="J4288">_xlfn.IFS(ISBLANK(C4288),"FALTANTE",ABS((C4288-$W$5)/$X$5)&gt;1.96,"ATÍPICO",ABS((C4288-$W$5)/$X$5)&lt;=1.96,"NO ATÍPICO")</f>
        <v>NO ATÍPICO</v>
      </c>
      <c r="K4288" t="str" cm="1">
        <f t="array" ref="K4288">_xlfn.IFS(ISBLANK(I4288),"FALTANTE",ABS((I4288-$W$8)/$X$8)&gt;1.92,"ATÍPICO",ABS((I4288-$W$8)/$X$8)&lt;=1.92,"NO ATÍPICO")</f>
        <v>NO ATÍPICO</v>
      </c>
      <c r="L4288">
        <f t="shared" si="282"/>
        <v>1777096.7</v>
      </c>
      <c r="M4288" t="str">
        <f t="shared" si="282"/>
        <v>ASALARIADO</v>
      </c>
      <c r="N4288">
        <f t="shared" si="283"/>
        <v>39</v>
      </c>
      <c r="O4288" s="19" t="str">
        <f t="shared" si="284"/>
        <v>1200k+</v>
      </c>
      <c r="P4288" s="19" t="str">
        <f t="shared" si="285"/>
        <v>36-45</v>
      </c>
    </row>
    <row r="4289" spans="1:16" x14ac:dyDescent="0.25">
      <c r="A4289">
        <v>4288</v>
      </c>
      <c r="B4289" t="s">
        <v>9</v>
      </c>
      <c r="C4289">
        <v>297045</v>
      </c>
      <c r="D4289" t="s">
        <v>17</v>
      </c>
      <c r="E4289" t="s">
        <v>16</v>
      </c>
      <c r="F4289" t="s">
        <v>12</v>
      </c>
      <c r="G4289" t="s">
        <v>13</v>
      </c>
      <c r="H4289" t="s">
        <v>13</v>
      </c>
      <c r="I4289">
        <v>49</v>
      </c>
      <c r="J4289" t="str" cm="1">
        <f t="array" ref="J4289">_xlfn.IFS(ISBLANK(C4289),"FALTANTE",ABS((C4289-$W$5)/$X$5)&gt;1.96,"ATÍPICO",ABS((C4289-$W$5)/$X$5)&lt;=1.96,"NO ATÍPICO")</f>
        <v>NO ATÍPICO</v>
      </c>
      <c r="K4289" t="str" cm="1">
        <f t="array" ref="K4289">_xlfn.IFS(ISBLANK(I4289),"FALTANTE",ABS((I4289-$W$8)/$X$8)&gt;1.92,"ATÍPICO",ABS((I4289-$W$8)/$X$8)&lt;=1.92,"NO ATÍPICO")</f>
        <v>NO ATÍPICO</v>
      </c>
      <c r="L4289">
        <f t="shared" si="282"/>
        <v>297045</v>
      </c>
      <c r="M4289" t="str">
        <f t="shared" si="282"/>
        <v>ASEGURADO VOLUNTARIO</v>
      </c>
      <c r="N4289">
        <f t="shared" si="283"/>
        <v>49</v>
      </c>
      <c r="O4289" s="19" t="str">
        <f t="shared" si="284"/>
        <v>0–300k</v>
      </c>
      <c r="P4289" s="19" t="str">
        <f t="shared" si="285"/>
        <v>46-55</v>
      </c>
    </row>
    <row r="4290" spans="1:16" x14ac:dyDescent="0.25">
      <c r="A4290">
        <v>4289</v>
      </c>
      <c r="B4290" t="s">
        <v>15</v>
      </c>
      <c r="C4290">
        <v>1751423.3</v>
      </c>
      <c r="D4290" t="s">
        <v>10</v>
      </c>
      <c r="E4290" t="s">
        <v>11</v>
      </c>
      <c r="F4290" t="s">
        <v>12</v>
      </c>
      <c r="G4290" t="s">
        <v>13</v>
      </c>
      <c r="H4290" t="s">
        <v>13</v>
      </c>
      <c r="I4290">
        <v>57</v>
      </c>
      <c r="J4290" t="str" cm="1">
        <f t="array" ref="J4290">_xlfn.IFS(ISBLANK(C4290),"FALTANTE",ABS((C4290-$W$5)/$X$5)&gt;1.96,"ATÍPICO",ABS((C4290-$W$5)/$X$5)&lt;=1.96,"NO ATÍPICO")</f>
        <v>NO ATÍPICO</v>
      </c>
      <c r="K4290" t="str" cm="1">
        <f t="array" ref="K4290">_xlfn.IFS(ISBLANK(I4290),"FALTANTE",ABS((I4290-$W$8)/$X$8)&gt;1.92,"ATÍPICO",ABS((I4290-$W$8)/$X$8)&lt;=1.92,"NO ATÍPICO")</f>
        <v>NO ATÍPICO</v>
      </c>
      <c r="L4290">
        <f t="shared" ref="L4290:M4353" si="286">C4290</f>
        <v>1751423.3</v>
      </c>
      <c r="M4290" t="str">
        <f t="shared" si="286"/>
        <v>ASALARIADO</v>
      </c>
      <c r="N4290">
        <f t="shared" ref="N4290:N4353" si="287">I4290</f>
        <v>57</v>
      </c>
      <c r="O4290" s="19" t="str">
        <f t="shared" ref="O4290:O4353" si="288">IF(L4290&lt;=300000,"0–300k",IF(L4290&lt;=600000,"300k–600k",IF(L4290&lt;=900000,"600k–900k",IF(L4290&lt;=1200000,"900k–1200k","1200k+"))))</f>
        <v>1200k+</v>
      </c>
      <c r="P4290" s="19" t="str">
        <f t="shared" ref="P4290:P4353" si="289">IF(N4290 &lt;=25,"18-25", IF(N4290&lt;=35,"26-35", IF(N4290 &lt;=45,"36-45", IF(N4290&lt;=55,"46-55","56+"))))</f>
        <v>56+</v>
      </c>
    </row>
    <row r="4291" spans="1:16" x14ac:dyDescent="0.25">
      <c r="A4291">
        <v>4290</v>
      </c>
      <c r="B4291" t="s">
        <v>9</v>
      </c>
      <c r="C4291">
        <v>634480</v>
      </c>
      <c r="D4291" t="s">
        <v>10</v>
      </c>
      <c r="E4291" t="s">
        <v>16</v>
      </c>
      <c r="F4291" t="s">
        <v>12</v>
      </c>
      <c r="G4291" t="s">
        <v>13</v>
      </c>
      <c r="H4291" t="s">
        <v>13</v>
      </c>
      <c r="I4291">
        <v>38</v>
      </c>
      <c r="J4291" t="str" cm="1">
        <f t="array" ref="J4291">_xlfn.IFS(ISBLANK(C4291),"FALTANTE",ABS((C4291-$W$5)/$X$5)&gt;1.96,"ATÍPICO",ABS((C4291-$W$5)/$X$5)&lt;=1.96,"NO ATÍPICO")</f>
        <v>NO ATÍPICO</v>
      </c>
      <c r="K4291" t="str" cm="1">
        <f t="array" ref="K4291">_xlfn.IFS(ISBLANK(I4291),"FALTANTE",ABS((I4291-$W$8)/$X$8)&gt;1.92,"ATÍPICO",ABS((I4291-$W$8)/$X$8)&lt;=1.92,"NO ATÍPICO")</f>
        <v>NO ATÍPICO</v>
      </c>
      <c r="L4291">
        <f t="shared" si="286"/>
        <v>634480</v>
      </c>
      <c r="M4291" t="str">
        <f t="shared" si="286"/>
        <v>ASALARIADO</v>
      </c>
      <c r="N4291">
        <f t="shared" si="287"/>
        <v>38</v>
      </c>
      <c r="O4291" s="19" t="str">
        <f t="shared" si="288"/>
        <v>600k–900k</v>
      </c>
      <c r="P4291" s="19" t="str">
        <f t="shared" si="289"/>
        <v>36-45</v>
      </c>
    </row>
    <row r="4292" spans="1:16" x14ac:dyDescent="0.25">
      <c r="A4292">
        <v>4291</v>
      </c>
      <c r="B4292" t="s">
        <v>9</v>
      </c>
      <c r="C4292">
        <v>445567</v>
      </c>
      <c r="D4292" t="s">
        <v>18</v>
      </c>
      <c r="E4292" t="s">
        <v>16</v>
      </c>
      <c r="F4292" t="s">
        <v>12</v>
      </c>
      <c r="G4292" t="s">
        <v>13</v>
      </c>
      <c r="H4292" t="s">
        <v>13</v>
      </c>
      <c r="I4292">
        <v>49</v>
      </c>
      <c r="J4292" t="str" cm="1">
        <f t="array" ref="J4292">_xlfn.IFS(ISBLANK(C4292),"FALTANTE",ABS((C4292-$W$5)/$X$5)&gt;1.96,"ATÍPICO",ABS((C4292-$W$5)/$X$5)&lt;=1.96,"NO ATÍPICO")</f>
        <v>NO ATÍPICO</v>
      </c>
      <c r="K4292" t="str" cm="1">
        <f t="array" ref="K4292">_xlfn.IFS(ISBLANK(I4292),"FALTANTE",ABS((I4292-$W$8)/$X$8)&gt;1.92,"ATÍPICO",ABS((I4292-$W$8)/$X$8)&lt;=1.92,"NO ATÍPICO")</f>
        <v>NO ATÍPICO</v>
      </c>
      <c r="L4292">
        <f t="shared" si="286"/>
        <v>445567</v>
      </c>
      <c r="M4292" t="str">
        <f t="shared" si="286"/>
        <v>TRABAJADOR INDEPENDIENTE</v>
      </c>
      <c r="N4292">
        <f t="shared" si="287"/>
        <v>49</v>
      </c>
      <c r="O4292" s="19" t="str">
        <f t="shared" si="288"/>
        <v>300k–600k</v>
      </c>
      <c r="P4292" s="19" t="str">
        <f t="shared" si="289"/>
        <v>46-55</v>
      </c>
    </row>
    <row r="4293" spans="1:16" x14ac:dyDescent="0.25">
      <c r="A4293">
        <v>4292</v>
      </c>
      <c r="B4293" t="s">
        <v>15</v>
      </c>
      <c r="C4293">
        <v>359544.28</v>
      </c>
      <c r="D4293" t="s">
        <v>10</v>
      </c>
      <c r="E4293" t="s">
        <v>16</v>
      </c>
      <c r="F4293" t="s">
        <v>12</v>
      </c>
      <c r="G4293" t="s">
        <v>13</v>
      </c>
      <c r="H4293" t="s">
        <v>12</v>
      </c>
      <c r="I4293">
        <v>29</v>
      </c>
      <c r="J4293" t="str" cm="1">
        <f t="array" ref="J4293">_xlfn.IFS(ISBLANK(C4293),"FALTANTE",ABS((C4293-$W$5)/$X$5)&gt;1.96,"ATÍPICO",ABS((C4293-$W$5)/$X$5)&lt;=1.96,"NO ATÍPICO")</f>
        <v>NO ATÍPICO</v>
      </c>
      <c r="K4293" t="str" cm="1">
        <f t="array" ref="K4293">_xlfn.IFS(ISBLANK(I4293),"FALTANTE",ABS((I4293-$W$8)/$X$8)&gt;1.92,"ATÍPICO",ABS((I4293-$W$8)/$X$8)&lt;=1.92,"NO ATÍPICO")</f>
        <v>NO ATÍPICO</v>
      </c>
      <c r="L4293">
        <f t="shared" si="286"/>
        <v>359544.28</v>
      </c>
      <c r="M4293" t="str">
        <f t="shared" si="286"/>
        <v>ASALARIADO</v>
      </c>
      <c r="N4293">
        <f t="shared" si="287"/>
        <v>29</v>
      </c>
      <c r="O4293" s="19" t="str">
        <f t="shared" si="288"/>
        <v>300k–600k</v>
      </c>
      <c r="P4293" s="19" t="str">
        <f t="shared" si="289"/>
        <v>26-35</v>
      </c>
    </row>
    <row r="4294" spans="1:16" x14ac:dyDescent="0.25">
      <c r="A4294">
        <v>4293</v>
      </c>
      <c r="B4294" t="s">
        <v>9</v>
      </c>
      <c r="C4294">
        <v>315617</v>
      </c>
      <c r="D4294" t="s">
        <v>17</v>
      </c>
      <c r="E4294" t="s">
        <v>16</v>
      </c>
      <c r="F4294" t="s">
        <v>12</v>
      </c>
      <c r="G4294" t="s">
        <v>13</v>
      </c>
      <c r="H4294" t="s">
        <v>13</v>
      </c>
      <c r="I4294">
        <v>64</v>
      </c>
      <c r="J4294" t="str" cm="1">
        <f t="array" ref="J4294">_xlfn.IFS(ISBLANK(C4294),"FALTANTE",ABS((C4294-$W$5)/$X$5)&gt;1.96,"ATÍPICO",ABS((C4294-$W$5)/$X$5)&lt;=1.96,"NO ATÍPICO")</f>
        <v>NO ATÍPICO</v>
      </c>
      <c r="K4294" t="str" cm="1">
        <f t="array" ref="K4294">_xlfn.IFS(ISBLANK(I4294),"FALTANTE",ABS((I4294-$W$8)/$X$8)&gt;1.92,"ATÍPICO",ABS((I4294-$W$8)/$X$8)&lt;=1.92,"NO ATÍPICO")</f>
        <v>NO ATÍPICO</v>
      </c>
      <c r="L4294">
        <f t="shared" si="286"/>
        <v>315617</v>
      </c>
      <c r="M4294" t="str">
        <f t="shared" si="286"/>
        <v>ASEGURADO VOLUNTARIO</v>
      </c>
      <c r="N4294">
        <f t="shared" si="287"/>
        <v>64</v>
      </c>
      <c r="O4294" s="19" t="str">
        <f t="shared" si="288"/>
        <v>300k–600k</v>
      </c>
      <c r="P4294" s="19" t="str">
        <f t="shared" si="289"/>
        <v>56+</v>
      </c>
    </row>
    <row r="4295" spans="1:16" x14ac:dyDescent="0.25">
      <c r="A4295">
        <v>4294</v>
      </c>
      <c r="B4295" t="s">
        <v>9</v>
      </c>
      <c r="C4295">
        <v>182777.43</v>
      </c>
      <c r="D4295" t="s">
        <v>10</v>
      </c>
      <c r="E4295" t="s">
        <v>16</v>
      </c>
      <c r="F4295" t="s">
        <v>12</v>
      </c>
      <c r="G4295" t="s">
        <v>13</v>
      </c>
      <c r="H4295" t="s">
        <v>13</v>
      </c>
      <c r="I4295">
        <v>42</v>
      </c>
      <c r="J4295" t="str" cm="1">
        <f t="array" ref="J4295">_xlfn.IFS(ISBLANK(C4295),"FALTANTE",ABS((C4295-$W$5)/$X$5)&gt;1.96,"ATÍPICO",ABS((C4295-$W$5)/$X$5)&lt;=1.96,"NO ATÍPICO")</f>
        <v>NO ATÍPICO</v>
      </c>
      <c r="K4295" t="str" cm="1">
        <f t="array" ref="K4295">_xlfn.IFS(ISBLANK(I4295),"FALTANTE",ABS((I4295-$W$8)/$X$8)&gt;1.92,"ATÍPICO",ABS((I4295-$W$8)/$X$8)&lt;=1.92,"NO ATÍPICO")</f>
        <v>NO ATÍPICO</v>
      </c>
      <c r="L4295">
        <f t="shared" si="286"/>
        <v>182777.43</v>
      </c>
      <c r="M4295" t="str">
        <f t="shared" si="286"/>
        <v>ASALARIADO</v>
      </c>
      <c r="N4295">
        <f t="shared" si="287"/>
        <v>42</v>
      </c>
      <c r="O4295" s="19" t="str">
        <f t="shared" si="288"/>
        <v>0–300k</v>
      </c>
      <c r="P4295" s="19" t="str">
        <f t="shared" si="289"/>
        <v>36-45</v>
      </c>
    </row>
    <row r="4296" spans="1:16" x14ac:dyDescent="0.25">
      <c r="A4296">
        <v>4295</v>
      </c>
      <c r="B4296" t="s">
        <v>15</v>
      </c>
      <c r="C4296">
        <v>338686</v>
      </c>
      <c r="D4296" t="s">
        <v>10</v>
      </c>
      <c r="E4296" t="s">
        <v>16</v>
      </c>
      <c r="F4296" t="s">
        <v>12</v>
      </c>
      <c r="G4296" t="s">
        <v>12</v>
      </c>
      <c r="H4296" t="s">
        <v>13</v>
      </c>
      <c r="I4296">
        <v>33</v>
      </c>
      <c r="J4296" t="str" cm="1">
        <f t="array" ref="J4296">_xlfn.IFS(ISBLANK(C4296),"FALTANTE",ABS((C4296-$W$5)/$X$5)&gt;1.96,"ATÍPICO",ABS((C4296-$W$5)/$X$5)&lt;=1.96,"NO ATÍPICO")</f>
        <v>NO ATÍPICO</v>
      </c>
      <c r="K4296" t="str" cm="1">
        <f t="array" ref="K4296">_xlfn.IFS(ISBLANK(I4296),"FALTANTE",ABS((I4296-$W$8)/$X$8)&gt;1.92,"ATÍPICO",ABS((I4296-$W$8)/$X$8)&lt;=1.92,"NO ATÍPICO")</f>
        <v>NO ATÍPICO</v>
      </c>
      <c r="L4296">
        <f t="shared" si="286"/>
        <v>338686</v>
      </c>
      <c r="M4296" t="str">
        <f t="shared" si="286"/>
        <v>ASALARIADO</v>
      </c>
      <c r="N4296">
        <f t="shared" si="287"/>
        <v>33</v>
      </c>
      <c r="O4296" s="19" t="str">
        <f t="shared" si="288"/>
        <v>300k–600k</v>
      </c>
      <c r="P4296" s="19" t="str">
        <f t="shared" si="289"/>
        <v>26-35</v>
      </c>
    </row>
    <row r="4297" spans="1:16" x14ac:dyDescent="0.25">
      <c r="A4297">
        <v>4296</v>
      </c>
      <c r="B4297" t="s">
        <v>9</v>
      </c>
      <c r="C4297">
        <v>200000</v>
      </c>
      <c r="D4297" t="s">
        <v>10</v>
      </c>
      <c r="E4297" t="s">
        <v>16</v>
      </c>
      <c r="F4297" t="s">
        <v>12</v>
      </c>
      <c r="G4297" t="s">
        <v>12</v>
      </c>
      <c r="H4297" t="s">
        <v>12</v>
      </c>
      <c r="I4297">
        <v>27</v>
      </c>
      <c r="J4297" t="str" cm="1">
        <f t="array" ref="J4297">_xlfn.IFS(ISBLANK(C4297),"FALTANTE",ABS((C4297-$W$5)/$X$5)&gt;1.96,"ATÍPICO",ABS((C4297-$W$5)/$X$5)&lt;=1.96,"NO ATÍPICO")</f>
        <v>NO ATÍPICO</v>
      </c>
      <c r="K4297" t="str" cm="1">
        <f t="array" ref="K4297">_xlfn.IFS(ISBLANK(I4297),"FALTANTE",ABS((I4297-$W$8)/$X$8)&gt;1.92,"ATÍPICO",ABS((I4297-$W$8)/$X$8)&lt;=1.92,"NO ATÍPICO")</f>
        <v>NO ATÍPICO</v>
      </c>
      <c r="L4297">
        <f t="shared" si="286"/>
        <v>200000</v>
      </c>
      <c r="M4297" t="str">
        <f t="shared" si="286"/>
        <v>ASALARIADO</v>
      </c>
      <c r="N4297">
        <f t="shared" si="287"/>
        <v>27</v>
      </c>
      <c r="O4297" s="19" t="str">
        <f t="shared" si="288"/>
        <v>0–300k</v>
      </c>
      <c r="P4297" s="19" t="str">
        <f t="shared" si="289"/>
        <v>26-35</v>
      </c>
    </row>
    <row r="4298" spans="1:16" x14ac:dyDescent="0.25">
      <c r="A4298">
        <v>4297</v>
      </c>
      <c r="B4298" t="s">
        <v>15</v>
      </c>
      <c r="C4298">
        <v>969577</v>
      </c>
      <c r="D4298" t="s">
        <v>10</v>
      </c>
      <c r="E4298" t="s">
        <v>11</v>
      </c>
      <c r="F4298" t="s">
        <v>12</v>
      </c>
      <c r="G4298" t="s">
        <v>13</v>
      </c>
      <c r="H4298" t="s">
        <v>12</v>
      </c>
      <c r="I4298">
        <v>44</v>
      </c>
      <c r="J4298" t="str" cm="1">
        <f t="array" ref="J4298">_xlfn.IFS(ISBLANK(C4298),"FALTANTE",ABS((C4298-$W$5)/$X$5)&gt;1.96,"ATÍPICO",ABS((C4298-$W$5)/$X$5)&lt;=1.96,"NO ATÍPICO")</f>
        <v>NO ATÍPICO</v>
      </c>
      <c r="K4298" t="str" cm="1">
        <f t="array" ref="K4298">_xlfn.IFS(ISBLANK(I4298),"FALTANTE",ABS((I4298-$W$8)/$X$8)&gt;1.92,"ATÍPICO",ABS((I4298-$W$8)/$X$8)&lt;=1.92,"NO ATÍPICO")</f>
        <v>NO ATÍPICO</v>
      </c>
      <c r="L4298">
        <f t="shared" si="286"/>
        <v>969577</v>
      </c>
      <c r="M4298" t="str">
        <f t="shared" si="286"/>
        <v>ASALARIADO</v>
      </c>
      <c r="N4298">
        <f t="shared" si="287"/>
        <v>44</v>
      </c>
      <c r="O4298" s="19" t="str">
        <f t="shared" si="288"/>
        <v>900k–1200k</v>
      </c>
      <c r="P4298" s="19" t="str">
        <f t="shared" si="289"/>
        <v>36-45</v>
      </c>
    </row>
    <row r="4299" spans="1:16" x14ac:dyDescent="0.25">
      <c r="A4299">
        <v>4298</v>
      </c>
      <c r="B4299" t="s">
        <v>9</v>
      </c>
      <c r="C4299">
        <v>543582</v>
      </c>
      <c r="D4299" t="s">
        <v>10</v>
      </c>
      <c r="E4299" t="s">
        <v>16</v>
      </c>
      <c r="F4299" t="s">
        <v>12</v>
      </c>
      <c r="G4299" t="s">
        <v>13</v>
      </c>
      <c r="H4299" t="s">
        <v>13</v>
      </c>
      <c r="I4299">
        <v>49</v>
      </c>
      <c r="J4299" t="str" cm="1">
        <f t="array" ref="J4299">_xlfn.IFS(ISBLANK(C4299),"FALTANTE",ABS((C4299-$W$5)/$X$5)&gt;1.96,"ATÍPICO",ABS((C4299-$W$5)/$X$5)&lt;=1.96,"NO ATÍPICO")</f>
        <v>NO ATÍPICO</v>
      </c>
      <c r="K4299" t="str" cm="1">
        <f t="array" ref="K4299">_xlfn.IFS(ISBLANK(I4299),"FALTANTE",ABS((I4299-$W$8)/$X$8)&gt;1.92,"ATÍPICO",ABS((I4299-$W$8)/$X$8)&lt;=1.92,"NO ATÍPICO")</f>
        <v>NO ATÍPICO</v>
      </c>
      <c r="L4299">
        <f t="shared" si="286"/>
        <v>543582</v>
      </c>
      <c r="M4299" t="str">
        <f t="shared" si="286"/>
        <v>ASALARIADO</v>
      </c>
      <c r="N4299">
        <f t="shared" si="287"/>
        <v>49</v>
      </c>
      <c r="O4299" s="19" t="str">
        <f t="shared" si="288"/>
        <v>300k–600k</v>
      </c>
      <c r="P4299" s="19" t="str">
        <f t="shared" si="289"/>
        <v>46-55</v>
      </c>
    </row>
    <row r="4300" spans="1:16" x14ac:dyDescent="0.25">
      <c r="A4300">
        <v>4299</v>
      </c>
      <c r="B4300" t="s">
        <v>15</v>
      </c>
      <c r="C4300">
        <v>1478656</v>
      </c>
      <c r="D4300" t="s">
        <v>14</v>
      </c>
      <c r="E4300" t="s">
        <v>11</v>
      </c>
      <c r="F4300" t="s">
        <v>12</v>
      </c>
      <c r="G4300" t="s">
        <v>13</v>
      </c>
      <c r="H4300" t="s">
        <v>13</v>
      </c>
      <c r="I4300">
        <v>64</v>
      </c>
      <c r="J4300" t="str" cm="1">
        <f t="array" ref="J4300">_xlfn.IFS(ISBLANK(C4300),"FALTANTE",ABS((C4300-$W$5)/$X$5)&gt;1.96,"ATÍPICO",ABS((C4300-$W$5)/$X$5)&lt;=1.96,"NO ATÍPICO")</f>
        <v>NO ATÍPICO</v>
      </c>
      <c r="K4300" t="str" cm="1">
        <f t="array" ref="K4300">_xlfn.IFS(ISBLANK(I4300),"FALTANTE",ABS((I4300-$W$8)/$X$8)&gt;1.92,"ATÍPICO",ABS((I4300-$W$8)/$X$8)&lt;=1.92,"NO ATÍPICO")</f>
        <v>NO ATÍPICO</v>
      </c>
      <c r="L4300">
        <f t="shared" si="286"/>
        <v>1478656</v>
      </c>
      <c r="M4300" t="str">
        <f t="shared" si="286"/>
        <v>PENSIONADOS EN SU PROPIO SISTEMA</v>
      </c>
      <c r="N4300">
        <f t="shared" si="287"/>
        <v>64</v>
      </c>
      <c r="O4300" s="19" t="str">
        <f t="shared" si="288"/>
        <v>1200k+</v>
      </c>
      <c r="P4300" s="19" t="str">
        <f t="shared" si="289"/>
        <v>56+</v>
      </c>
    </row>
    <row r="4301" spans="1:16" x14ac:dyDescent="0.25">
      <c r="A4301">
        <v>4300</v>
      </c>
      <c r="B4301" t="s">
        <v>9</v>
      </c>
      <c r="C4301">
        <v>278030</v>
      </c>
      <c r="D4301" t="s">
        <v>19</v>
      </c>
      <c r="E4301" t="s">
        <v>16</v>
      </c>
      <c r="F4301" t="s">
        <v>12</v>
      </c>
      <c r="G4301" t="s">
        <v>13</v>
      </c>
      <c r="H4301" t="s">
        <v>13</v>
      </c>
      <c r="I4301">
        <v>50</v>
      </c>
      <c r="J4301" t="str" cm="1">
        <f t="array" ref="J4301">_xlfn.IFS(ISBLANK(C4301),"FALTANTE",ABS((C4301-$W$5)/$X$5)&gt;1.96,"ATÍPICO",ABS((C4301-$W$5)/$X$5)&lt;=1.96,"NO ATÍPICO")</f>
        <v>NO ATÍPICO</v>
      </c>
      <c r="K4301" t="str" cm="1">
        <f t="array" ref="K4301">_xlfn.IFS(ISBLANK(I4301),"FALTANTE",ABS((I4301-$W$8)/$X$8)&gt;1.92,"ATÍPICO",ABS((I4301-$W$8)/$X$8)&lt;=1.92,"NO ATÍPICO")</f>
        <v>NO ATÍPICO</v>
      </c>
      <c r="L4301">
        <f t="shared" si="286"/>
        <v>278030</v>
      </c>
      <c r="M4301" t="str">
        <f t="shared" si="286"/>
        <v>CONVENIOS ESPECIALES DE TRABAJADORES INDEPENDIENTES</v>
      </c>
      <c r="N4301">
        <f t="shared" si="287"/>
        <v>50</v>
      </c>
      <c r="O4301" s="19" t="str">
        <f t="shared" si="288"/>
        <v>0–300k</v>
      </c>
      <c r="P4301" s="19" t="str">
        <f t="shared" si="289"/>
        <v>46-55</v>
      </c>
    </row>
    <row r="4302" spans="1:16" x14ac:dyDescent="0.25">
      <c r="A4302">
        <v>4301</v>
      </c>
      <c r="B4302" t="s">
        <v>9</v>
      </c>
      <c r="C4302">
        <v>512466.67</v>
      </c>
      <c r="D4302" t="s">
        <v>10</v>
      </c>
      <c r="E4302" t="s">
        <v>16</v>
      </c>
      <c r="F4302" t="s">
        <v>12</v>
      </c>
      <c r="G4302" t="s">
        <v>13</v>
      </c>
      <c r="H4302" t="s">
        <v>12</v>
      </c>
      <c r="I4302">
        <v>35</v>
      </c>
      <c r="J4302" t="str" cm="1">
        <f t="array" ref="J4302">_xlfn.IFS(ISBLANK(C4302),"FALTANTE",ABS((C4302-$W$5)/$X$5)&gt;1.96,"ATÍPICO",ABS((C4302-$W$5)/$X$5)&lt;=1.96,"NO ATÍPICO")</f>
        <v>NO ATÍPICO</v>
      </c>
      <c r="K4302" t="str" cm="1">
        <f t="array" ref="K4302">_xlfn.IFS(ISBLANK(I4302),"FALTANTE",ABS((I4302-$W$8)/$X$8)&gt;1.92,"ATÍPICO",ABS((I4302-$W$8)/$X$8)&lt;=1.92,"NO ATÍPICO")</f>
        <v>NO ATÍPICO</v>
      </c>
      <c r="L4302">
        <f t="shared" si="286"/>
        <v>512466.67</v>
      </c>
      <c r="M4302" t="str">
        <f t="shared" si="286"/>
        <v>ASALARIADO</v>
      </c>
      <c r="N4302">
        <f t="shared" si="287"/>
        <v>35</v>
      </c>
      <c r="O4302" s="19" t="str">
        <f t="shared" si="288"/>
        <v>300k–600k</v>
      </c>
      <c r="P4302" s="19" t="str">
        <f t="shared" si="289"/>
        <v>26-35</v>
      </c>
    </row>
    <row r="4303" spans="1:16" x14ac:dyDescent="0.25">
      <c r="A4303">
        <v>4302</v>
      </c>
      <c r="B4303" t="s">
        <v>9</v>
      </c>
      <c r="C4303">
        <v>310124</v>
      </c>
      <c r="D4303" t="s">
        <v>17</v>
      </c>
      <c r="E4303" t="s">
        <v>16</v>
      </c>
      <c r="F4303" t="s">
        <v>12</v>
      </c>
      <c r="G4303" t="s">
        <v>13</v>
      </c>
      <c r="H4303" t="s">
        <v>13</v>
      </c>
      <c r="I4303">
        <v>55</v>
      </c>
      <c r="J4303" t="str" cm="1">
        <f t="array" ref="J4303">_xlfn.IFS(ISBLANK(C4303),"FALTANTE",ABS((C4303-$W$5)/$X$5)&gt;1.96,"ATÍPICO",ABS((C4303-$W$5)/$X$5)&lt;=1.96,"NO ATÍPICO")</f>
        <v>NO ATÍPICO</v>
      </c>
      <c r="K4303" t="str" cm="1">
        <f t="array" ref="K4303">_xlfn.IFS(ISBLANK(I4303),"FALTANTE",ABS((I4303-$W$8)/$X$8)&gt;1.92,"ATÍPICO",ABS((I4303-$W$8)/$X$8)&lt;=1.92,"NO ATÍPICO")</f>
        <v>NO ATÍPICO</v>
      </c>
      <c r="L4303">
        <f t="shared" si="286"/>
        <v>310124</v>
      </c>
      <c r="M4303" t="str">
        <f t="shared" si="286"/>
        <v>ASEGURADO VOLUNTARIO</v>
      </c>
      <c r="N4303">
        <f t="shared" si="287"/>
        <v>55</v>
      </c>
      <c r="O4303" s="19" t="str">
        <f t="shared" si="288"/>
        <v>300k–600k</v>
      </c>
      <c r="P4303" s="19" t="str">
        <f t="shared" si="289"/>
        <v>46-55</v>
      </c>
    </row>
    <row r="4304" spans="1:16" x14ac:dyDescent="0.25">
      <c r="A4304">
        <v>4303</v>
      </c>
      <c r="B4304" t="s">
        <v>9</v>
      </c>
      <c r="C4304">
        <v>525436.96</v>
      </c>
      <c r="D4304" t="s">
        <v>10</v>
      </c>
      <c r="E4304" t="s">
        <v>16</v>
      </c>
      <c r="F4304" t="s">
        <v>12</v>
      </c>
      <c r="G4304" t="s">
        <v>13</v>
      </c>
      <c r="H4304" t="s">
        <v>13</v>
      </c>
      <c r="I4304">
        <v>33</v>
      </c>
      <c r="J4304" t="str" cm="1">
        <f t="array" ref="J4304">_xlfn.IFS(ISBLANK(C4304),"FALTANTE",ABS((C4304-$W$5)/$X$5)&gt;1.96,"ATÍPICO",ABS((C4304-$W$5)/$X$5)&lt;=1.96,"NO ATÍPICO")</f>
        <v>NO ATÍPICO</v>
      </c>
      <c r="K4304" t="str" cm="1">
        <f t="array" ref="K4304">_xlfn.IFS(ISBLANK(I4304),"FALTANTE",ABS((I4304-$W$8)/$X$8)&gt;1.92,"ATÍPICO",ABS((I4304-$W$8)/$X$8)&lt;=1.92,"NO ATÍPICO")</f>
        <v>NO ATÍPICO</v>
      </c>
      <c r="L4304">
        <f t="shared" si="286"/>
        <v>525436.96</v>
      </c>
      <c r="M4304" t="str">
        <f t="shared" si="286"/>
        <v>ASALARIADO</v>
      </c>
      <c r="N4304">
        <f t="shared" si="287"/>
        <v>33</v>
      </c>
      <c r="O4304" s="19" t="str">
        <f t="shared" si="288"/>
        <v>300k–600k</v>
      </c>
      <c r="P4304" s="19" t="str">
        <f t="shared" si="289"/>
        <v>26-35</v>
      </c>
    </row>
    <row r="4305" spans="1:16" x14ac:dyDescent="0.25">
      <c r="A4305">
        <v>4304</v>
      </c>
      <c r="B4305" t="s">
        <v>9</v>
      </c>
      <c r="C4305">
        <v>406608</v>
      </c>
      <c r="D4305" t="s">
        <v>10</v>
      </c>
      <c r="E4305" t="s">
        <v>16</v>
      </c>
      <c r="F4305" t="s">
        <v>12</v>
      </c>
      <c r="G4305" t="s">
        <v>12</v>
      </c>
      <c r="H4305" t="s">
        <v>13</v>
      </c>
      <c r="I4305">
        <v>52</v>
      </c>
      <c r="J4305" t="str" cm="1">
        <f t="array" ref="J4305">_xlfn.IFS(ISBLANK(C4305),"FALTANTE",ABS((C4305-$W$5)/$X$5)&gt;1.96,"ATÍPICO",ABS((C4305-$W$5)/$X$5)&lt;=1.96,"NO ATÍPICO")</f>
        <v>NO ATÍPICO</v>
      </c>
      <c r="K4305" t="str" cm="1">
        <f t="array" ref="K4305">_xlfn.IFS(ISBLANK(I4305),"FALTANTE",ABS((I4305-$W$8)/$X$8)&gt;1.92,"ATÍPICO",ABS((I4305-$W$8)/$X$8)&lt;=1.92,"NO ATÍPICO")</f>
        <v>NO ATÍPICO</v>
      </c>
      <c r="L4305">
        <f t="shared" si="286"/>
        <v>406608</v>
      </c>
      <c r="M4305" t="str">
        <f t="shared" si="286"/>
        <v>ASALARIADO</v>
      </c>
      <c r="N4305">
        <f t="shared" si="287"/>
        <v>52</v>
      </c>
      <c r="O4305" s="19" t="str">
        <f t="shared" si="288"/>
        <v>300k–600k</v>
      </c>
      <c r="P4305" s="19" t="str">
        <f t="shared" si="289"/>
        <v>46-55</v>
      </c>
    </row>
    <row r="4306" spans="1:16" x14ac:dyDescent="0.25">
      <c r="A4306">
        <v>4305</v>
      </c>
      <c r="B4306" t="s">
        <v>9</v>
      </c>
      <c r="C4306">
        <v>400000</v>
      </c>
      <c r="D4306" t="s">
        <v>10</v>
      </c>
      <c r="E4306" t="s">
        <v>16</v>
      </c>
      <c r="F4306" t="s">
        <v>12</v>
      </c>
      <c r="G4306" t="s">
        <v>12</v>
      </c>
      <c r="H4306" t="s">
        <v>13</v>
      </c>
      <c r="I4306">
        <v>41</v>
      </c>
      <c r="J4306" t="str" cm="1">
        <f t="array" ref="J4306">_xlfn.IFS(ISBLANK(C4306),"FALTANTE",ABS((C4306-$W$5)/$X$5)&gt;1.96,"ATÍPICO",ABS((C4306-$W$5)/$X$5)&lt;=1.96,"NO ATÍPICO")</f>
        <v>NO ATÍPICO</v>
      </c>
      <c r="K4306" t="str" cm="1">
        <f t="array" ref="K4306">_xlfn.IFS(ISBLANK(I4306),"FALTANTE",ABS((I4306-$W$8)/$X$8)&gt;1.92,"ATÍPICO",ABS((I4306-$W$8)/$X$8)&lt;=1.92,"NO ATÍPICO")</f>
        <v>NO ATÍPICO</v>
      </c>
      <c r="L4306">
        <f t="shared" si="286"/>
        <v>400000</v>
      </c>
      <c r="M4306" t="str">
        <f t="shared" si="286"/>
        <v>ASALARIADO</v>
      </c>
      <c r="N4306">
        <f t="shared" si="287"/>
        <v>41</v>
      </c>
      <c r="O4306" s="19" t="str">
        <f t="shared" si="288"/>
        <v>300k–600k</v>
      </c>
      <c r="P4306" s="19" t="str">
        <f t="shared" si="289"/>
        <v>36-45</v>
      </c>
    </row>
    <row r="4307" spans="1:16" x14ac:dyDescent="0.25">
      <c r="A4307">
        <v>4306</v>
      </c>
      <c r="B4307" t="s">
        <v>15</v>
      </c>
      <c r="C4307">
        <v>400398.51</v>
      </c>
      <c r="D4307" t="s">
        <v>10</v>
      </c>
      <c r="E4307" t="s">
        <v>16</v>
      </c>
      <c r="F4307" t="s">
        <v>12</v>
      </c>
      <c r="G4307" t="s">
        <v>13</v>
      </c>
      <c r="H4307" t="s">
        <v>13</v>
      </c>
      <c r="I4307">
        <v>26</v>
      </c>
      <c r="J4307" t="str" cm="1">
        <f t="array" ref="J4307">_xlfn.IFS(ISBLANK(C4307),"FALTANTE",ABS((C4307-$W$5)/$X$5)&gt;1.96,"ATÍPICO",ABS((C4307-$W$5)/$X$5)&lt;=1.96,"NO ATÍPICO")</f>
        <v>NO ATÍPICO</v>
      </c>
      <c r="K4307" t="str" cm="1">
        <f t="array" ref="K4307">_xlfn.IFS(ISBLANK(I4307),"FALTANTE",ABS((I4307-$W$8)/$X$8)&gt;1.92,"ATÍPICO",ABS((I4307-$W$8)/$X$8)&lt;=1.92,"NO ATÍPICO")</f>
        <v>NO ATÍPICO</v>
      </c>
      <c r="L4307">
        <f t="shared" si="286"/>
        <v>400398.51</v>
      </c>
      <c r="M4307" t="str">
        <f t="shared" si="286"/>
        <v>ASALARIADO</v>
      </c>
      <c r="N4307">
        <f t="shared" si="287"/>
        <v>26</v>
      </c>
      <c r="O4307" s="19" t="str">
        <f t="shared" si="288"/>
        <v>300k–600k</v>
      </c>
      <c r="P4307" s="19" t="str">
        <f t="shared" si="289"/>
        <v>26-35</v>
      </c>
    </row>
    <row r="4308" spans="1:16" x14ac:dyDescent="0.25">
      <c r="A4308">
        <v>4307</v>
      </c>
      <c r="B4308" t="s">
        <v>9</v>
      </c>
      <c r="C4308">
        <v>891182.29</v>
      </c>
      <c r="D4308" t="s">
        <v>10</v>
      </c>
      <c r="E4308" t="s">
        <v>11</v>
      </c>
      <c r="F4308" t="s">
        <v>12</v>
      </c>
      <c r="G4308" t="s">
        <v>13</v>
      </c>
      <c r="H4308" t="s">
        <v>13</v>
      </c>
      <c r="I4308">
        <v>40</v>
      </c>
      <c r="J4308" t="str" cm="1">
        <f t="array" ref="J4308">_xlfn.IFS(ISBLANK(C4308),"FALTANTE",ABS((C4308-$W$5)/$X$5)&gt;1.96,"ATÍPICO",ABS((C4308-$W$5)/$X$5)&lt;=1.96,"NO ATÍPICO")</f>
        <v>NO ATÍPICO</v>
      </c>
      <c r="K4308" t="str" cm="1">
        <f t="array" ref="K4308">_xlfn.IFS(ISBLANK(I4308),"FALTANTE",ABS((I4308-$W$8)/$X$8)&gt;1.92,"ATÍPICO",ABS((I4308-$W$8)/$X$8)&lt;=1.92,"NO ATÍPICO")</f>
        <v>NO ATÍPICO</v>
      </c>
      <c r="L4308">
        <f t="shared" si="286"/>
        <v>891182.29</v>
      </c>
      <c r="M4308" t="str">
        <f t="shared" si="286"/>
        <v>ASALARIADO</v>
      </c>
      <c r="N4308">
        <f t="shared" si="287"/>
        <v>40</v>
      </c>
      <c r="O4308" s="19" t="str">
        <f t="shared" si="288"/>
        <v>600k–900k</v>
      </c>
      <c r="P4308" s="19" t="str">
        <f t="shared" si="289"/>
        <v>36-45</v>
      </c>
    </row>
    <row r="4309" spans="1:16" x14ac:dyDescent="0.25">
      <c r="A4309">
        <v>4308</v>
      </c>
      <c r="B4309" t="s">
        <v>15</v>
      </c>
      <c r="C4309">
        <v>375988</v>
      </c>
      <c r="D4309" t="s">
        <v>19</v>
      </c>
      <c r="E4309" t="s">
        <v>16</v>
      </c>
      <c r="F4309" t="s">
        <v>12</v>
      </c>
      <c r="G4309" t="s">
        <v>13</v>
      </c>
      <c r="H4309" t="s">
        <v>13</v>
      </c>
      <c r="I4309">
        <v>58</v>
      </c>
      <c r="J4309" t="str" cm="1">
        <f t="array" ref="J4309">_xlfn.IFS(ISBLANK(C4309),"FALTANTE",ABS((C4309-$W$5)/$X$5)&gt;1.96,"ATÍPICO",ABS((C4309-$W$5)/$X$5)&lt;=1.96,"NO ATÍPICO")</f>
        <v>NO ATÍPICO</v>
      </c>
      <c r="K4309" t="str" cm="1">
        <f t="array" ref="K4309">_xlfn.IFS(ISBLANK(I4309),"FALTANTE",ABS((I4309-$W$8)/$X$8)&gt;1.92,"ATÍPICO",ABS((I4309-$W$8)/$X$8)&lt;=1.92,"NO ATÍPICO")</f>
        <v>NO ATÍPICO</v>
      </c>
      <c r="L4309">
        <f t="shared" si="286"/>
        <v>375988</v>
      </c>
      <c r="M4309" t="str">
        <f t="shared" si="286"/>
        <v>CONVENIOS ESPECIALES DE TRABAJADORES INDEPENDIENTES</v>
      </c>
      <c r="N4309">
        <f t="shared" si="287"/>
        <v>58</v>
      </c>
      <c r="O4309" s="19" t="str">
        <f t="shared" si="288"/>
        <v>300k–600k</v>
      </c>
      <c r="P4309" s="19" t="str">
        <f t="shared" si="289"/>
        <v>56+</v>
      </c>
    </row>
    <row r="4310" spans="1:16" x14ac:dyDescent="0.25">
      <c r="A4310">
        <v>4309</v>
      </c>
      <c r="B4310" t="s">
        <v>15</v>
      </c>
      <c r="C4310">
        <v>1108329</v>
      </c>
      <c r="D4310" t="s">
        <v>10</v>
      </c>
      <c r="E4310" t="s">
        <v>11</v>
      </c>
      <c r="F4310" t="s">
        <v>12</v>
      </c>
      <c r="G4310" t="s">
        <v>13</v>
      </c>
      <c r="H4310" t="s">
        <v>12</v>
      </c>
      <c r="I4310">
        <v>34</v>
      </c>
      <c r="J4310" t="str" cm="1">
        <f t="array" ref="J4310">_xlfn.IFS(ISBLANK(C4310),"FALTANTE",ABS((C4310-$W$5)/$X$5)&gt;1.96,"ATÍPICO",ABS((C4310-$W$5)/$X$5)&lt;=1.96,"NO ATÍPICO")</f>
        <v>NO ATÍPICO</v>
      </c>
      <c r="K4310" t="str" cm="1">
        <f t="array" ref="K4310">_xlfn.IFS(ISBLANK(I4310),"FALTANTE",ABS((I4310-$W$8)/$X$8)&gt;1.92,"ATÍPICO",ABS((I4310-$W$8)/$X$8)&lt;=1.92,"NO ATÍPICO")</f>
        <v>NO ATÍPICO</v>
      </c>
      <c r="L4310">
        <f t="shared" si="286"/>
        <v>1108329</v>
      </c>
      <c r="M4310" t="str">
        <f t="shared" si="286"/>
        <v>ASALARIADO</v>
      </c>
      <c r="N4310">
        <f t="shared" si="287"/>
        <v>34</v>
      </c>
      <c r="O4310" s="19" t="str">
        <f t="shared" si="288"/>
        <v>900k–1200k</v>
      </c>
      <c r="P4310" s="19" t="str">
        <f t="shared" si="289"/>
        <v>26-35</v>
      </c>
    </row>
    <row r="4311" spans="1:16" x14ac:dyDescent="0.25">
      <c r="A4311">
        <v>4310</v>
      </c>
      <c r="B4311" t="s">
        <v>15</v>
      </c>
      <c r="C4311">
        <v>1474575.5</v>
      </c>
      <c r="D4311" t="s">
        <v>10</v>
      </c>
      <c r="E4311" t="s">
        <v>11</v>
      </c>
      <c r="F4311" t="s">
        <v>12</v>
      </c>
      <c r="G4311" t="s">
        <v>13</v>
      </c>
      <c r="H4311" t="s">
        <v>13</v>
      </c>
      <c r="I4311">
        <v>46</v>
      </c>
      <c r="J4311" t="str" cm="1">
        <f t="array" ref="J4311">_xlfn.IFS(ISBLANK(C4311),"FALTANTE",ABS((C4311-$W$5)/$X$5)&gt;1.96,"ATÍPICO",ABS((C4311-$W$5)/$X$5)&lt;=1.96,"NO ATÍPICO")</f>
        <v>NO ATÍPICO</v>
      </c>
      <c r="K4311" t="str" cm="1">
        <f t="array" ref="K4311">_xlfn.IFS(ISBLANK(I4311),"FALTANTE",ABS((I4311-$W$8)/$X$8)&gt;1.92,"ATÍPICO",ABS((I4311-$W$8)/$X$8)&lt;=1.92,"NO ATÍPICO")</f>
        <v>NO ATÍPICO</v>
      </c>
      <c r="L4311">
        <f t="shared" si="286"/>
        <v>1474575.5</v>
      </c>
      <c r="M4311" t="str">
        <f t="shared" si="286"/>
        <v>ASALARIADO</v>
      </c>
      <c r="N4311">
        <f t="shared" si="287"/>
        <v>46</v>
      </c>
      <c r="O4311" s="19" t="str">
        <f t="shared" si="288"/>
        <v>1200k+</v>
      </c>
      <c r="P4311" s="19" t="str">
        <f t="shared" si="289"/>
        <v>46-55</v>
      </c>
    </row>
    <row r="4312" spans="1:16" x14ac:dyDescent="0.25">
      <c r="A4312">
        <v>4311</v>
      </c>
      <c r="B4312" t="s">
        <v>15</v>
      </c>
      <c r="C4312">
        <v>363711.95</v>
      </c>
      <c r="D4312" t="s">
        <v>10</v>
      </c>
      <c r="E4312" t="s">
        <v>16</v>
      </c>
      <c r="F4312" t="s">
        <v>12</v>
      </c>
      <c r="G4312" t="s">
        <v>13</v>
      </c>
      <c r="H4312" t="s">
        <v>13</v>
      </c>
      <c r="I4312">
        <v>30</v>
      </c>
      <c r="J4312" t="str" cm="1">
        <f t="array" ref="J4312">_xlfn.IFS(ISBLANK(C4312),"FALTANTE",ABS((C4312-$W$5)/$X$5)&gt;1.96,"ATÍPICO",ABS((C4312-$W$5)/$X$5)&lt;=1.96,"NO ATÍPICO")</f>
        <v>NO ATÍPICO</v>
      </c>
      <c r="K4312" t="str" cm="1">
        <f t="array" ref="K4312">_xlfn.IFS(ISBLANK(I4312),"FALTANTE",ABS((I4312-$W$8)/$X$8)&gt;1.92,"ATÍPICO",ABS((I4312-$W$8)/$X$8)&lt;=1.92,"NO ATÍPICO")</f>
        <v>NO ATÍPICO</v>
      </c>
      <c r="L4312">
        <f t="shared" si="286"/>
        <v>363711.95</v>
      </c>
      <c r="M4312" t="str">
        <f t="shared" si="286"/>
        <v>ASALARIADO</v>
      </c>
      <c r="N4312">
        <f t="shared" si="287"/>
        <v>30</v>
      </c>
      <c r="O4312" s="19" t="str">
        <f t="shared" si="288"/>
        <v>300k–600k</v>
      </c>
      <c r="P4312" s="19" t="str">
        <f t="shared" si="289"/>
        <v>26-35</v>
      </c>
    </row>
    <row r="4313" spans="1:16" x14ac:dyDescent="0.25">
      <c r="A4313">
        <v>4312</v>
      </c>
      <c r="B4313" t="s">
        <v>15</v>
      </c>
      <c r="C4313">
        <v>490637</v>
      </c>
      <c r="D4313" t="s">
        <v>14</v>
      </c>
      <c r="E4313" t="s">
        <v>11</v>
      </c>
      <c r="F4313" t="s">
        <v>12</v>
      </c>
      <c r="G4313" t="s">
        <v>13</v>
      </c>
      <c r="H4313" t="s">
        <v>13</v>
      </c>
      <c r="I4313">
        <v>71</v>
      </c>
      <c r="J4313" t="str" cm="1">
        <f t="array" ref="J4313">_xlfn.IFS(ISBLANK(C4313),"FALTANTE",ABS((C4313-$W$5)/$X$5)&gt;1.96,"ATÍPICO",ABS((C4313-$W$5)/$X$5)&lt;=1.96,"NO ATÍPICO")</f>
        <v>NO ATÍPICO</v>
      </c>
      <c r="K4313" t="str" cm="1">
        <f t="array" ref="K4313">_xlfn.IFS(ISBLANK(I4313),"FALTANTE",ABS((I4313-$W$8)/$X$8)&gt;1.92,"ATÍPICO",ABS((I4313-$W$8)/$X$8)&lt;=1.92,"NO ATÍPICO")</f>
        <v>ATÍPICO</v>
      </c>
      <c r="L4313">
        <f t="shared" si="286"/>
        <v>490637</v>
      </c>
      <c r="M4313" t="str">
        <f t="shared" si="286"/>
        <v>PENSIONADOS EN SU PROPIO SISTEMA</v>
      </c>
      <c r="N4313">
        <f t="shared" si="287"/>
        <v>71</v>
      </c>
      <c r="O4313" s="19" t="str">
        <f t="shared" si="288"/>
        <v>300k–600k</v>
      </c>
      <c r="P4313" s="19" t="str">
        <f t="shared" si="289"/>
        <v>56+</v>
      </c>
    </row>
    <row r="4314" spans="1:16" x14ac:dyDescent="0.25">
      <c r="A4314">
        <v>4313</v>
      </c>
      <c r="B4314" t="s">
        <v>15</v>
      </c>
      <c r="C4314">
        <v>279111</v>
      </c>
      <c r="D4314" t="s">
        <v>18</v>
      </c>
      <c r="E4314" t="s">
        <v>16</v>
      </c>
      <c r="F4314" t="s">
        <v>12</v>
      </c>
      <c r="G4314" t="s">
        <v>13</v>
      </c>
      <c r="H4314" t="s">
        <v>13</v>
      </c>
      <c r="I4314">
        <v>26</v>
      </c>
      <c r="J4314" t="str" cm="1">
        <f t="array" ref="J4314">_xlfn.IFS(ISBLANK(C4314),"FALTANTE",ABS((C4314-$W$5)/$X$5)&gt;1.96,"ATÍPICO",ABS((C4314-$W$5)/$X$5)&lt;=1.96,"NO ATÍPICO")</f>
        <v>NO ATÍPICO</v>
      </c>
      <c r="K4314" t="str" cm="1">
        <f t="array" ref="K4314">_xlfn.IFS(ISBLANK(I4314),"FALTANTE",ABS((I4314-$W$8)/$X$8)&gt;1.92,"ATÍPICO",ABS((I4314-$W$8)/$X$8)&lt;=1.92,"NO ATÍPICO")</f>
        <v>NO ATÍPICO</v>
      </c>
      <c r="L4314">
        <f t="shared" si="286"/>
        <v>279111</v>
      </c>
      <c r="M4314" t="str">
        <f t="shared" si="286"/>
        <v>TRABAJADOR INDEPENDIENTE</v>
      </c>
      <c r="N4314">
        <f t="shared" si="287"/>
        <v>26</v>
      </c>
      <c r="O4314" s="19" t="str">
        <f t="shared" si="288"/>
        <v>0–300k</v>
      </c>
      <c r="P4314" s="19" t="str">
        <f t="shared" si="289"/>
        <v>26-35</v>
      </c>
    </row>
    <row r="4315" spans="1:16" x14ac:dyDescent="0.25">
      <c r="A4315">
        <v>4314</v>
      </c>
      <c r="B4315" t="s">
        <v>15</v>
      </c>
      <c r="C4315">
        <v>297050</v>
      </c>
      <c r="D4315" t="s">
        <v>17</v>
      </c>
      <c r="E4315" t="s">
        <v>16</v>
      </c>
      <c r="F4315" t="s">
        <v>12</v>
      </c>
      <c r="G4315" t="s">
        <v>13</v>
      </c>
      <c r="H4315" t="s">
        <v>13</v>
      </c>
      <c r="I4315">
        <v>43</v>
      </c>
      <c r="J4315" t="str" cm="1">
        <f t="array" ref="J4315">_xlfn.IFS(ISBLANK(C4315),"FALTANTE",ABS((C4315-$W$5)/$X$5)&gt;1.96,"ATÍPICO",ABS((C4315-$W$5)/$X$5)&lt;=1.96,"NO ATÍPICO")</f>
        <v>NO ATÍPICO</v>
      </c>
      <c r="K4315" t="str" cm="1">
        <f t="array" ref="K4315">_xlfn.IFS(ISBLANK(I4315),"FALTANTE",ABS((I4315-$W$8)/$X$8)&gt;1.92,"ATÍPICO",ABS((I4315-$W$8)/$X$8)&lt;=1.92,"NO ATÍPICO")</f>
        <v>NO ATÍPICO</v>
      </c>
      <c r="L4315">
        <f t="shared" si="286"/>
        <v>297050</v>
      </c>
      <c r="M4315" t="str">
        <f t="shared" si="286"/>
        <v>ASEGURADO VOLUNTARIO</v>
      </c>
      <c r="N4315">
        <f t="shared" si="287"/>
        <v>43</v>
      </c>
      <c r="O4315" s="19" t="str">
        <f t="shared" si="288"/>
        <v>0–300k</v>
      </c>
      <c r="P4315" s="19" t="str">
        <f t="shared" si="289"/>
        <v>36-45</v>
      </c>
    </row>
    <row r="4316" spans="1:16" x14ac:dyDescent="0.25">
      <c r="A4316">
        <v>4315</v>
      </c>
      <c r="B4316" t="s">
        <v>9</v>
      </c>
      <c r="C4316">
        <v>300018</v>
      </c>
      <c r="D4316" t="s">
        <v>18</v>
      </c>
      <c r="E4316" t="s">
        <v>16</v>
      </c>
      <c r="F4316" t="s">
        <v>12</v>
      </c>
      <c r="G4316" t="s">
        <v>12</v>
      </c>
      <c r="H4316" t="s">
        <v>12</v>
      </c>
      <c r="I4316">
        <v>32</v>
      </c>
      <c r="J4316" t="str" cm="1">
        <f t="array" ref="J4316">_xlfn.IFS(ISBLANK(C4316),"FALTANTE",ABS((C4316-$W$5)/$X$5)&gt;1.96,"ATÍPICO",ABS((C4316-$W$5)/$X$5)&lt;=1.96,"NO ATÍPICO")</f>
        <v>NO ATÍPICO</v>
      </c>
      <c r="K4316" t="str" cm="1">
        <f t="array" ref="K4316">_xlfn.IFS(ISBLANK(I4316),"FALTANTE",ABS((I4316-$W$8)/$X$8)&gt;1.92,"ATÍPICO",ABS((I4316-$W$8)/$X$8)&lt;=1.92,"NO ATÍPICO")</f>
        <v>NO ATÍPICO</v>
      </c>
      <c r="L4316">
        <f t="shared" si="286"/>
        <v>300018</v>
      </c>
      <c r="M4316" t="str">
        <f t="shared" si="286"/>
        <v>TRABAJADOR INDEPENDIENTE</v>
      </c>
      <c r="N4316">
        <f t="shared" si="287"/>
        <v>32</v>
      </c>
      <c r="O4316" s="19" t="str">
        <f t="shared" si="288"/>
        <v>300k–600k</v>
      </c>
      <c r="P4316" s="19" t="str">
        <f t="shared" si="289"/>
        <v>26-35</v>
      </c>
    </row>
    <row r="4317" spans="1:16" x14ac:dyDescent="0.25">
      <c r="A4317">
        <v>4316</v>
      </c>
      <c r="B4317" t="s">
        <v>15</v>
      </c>
      <c r="C4317">
        <v>297046</v>
      </c>
      <c r="D4317" t="s">
        <v>18</v>
      </c>
      <c r="E4317" t="s">
        <v>16</v>
      </c>
      <c r="F4317" t="s">
        <v>12</v>
      </c>
      <c r="G4317" t="s">
        <v>12</v>
      </c>
      <c r="H4317" t="s">
        <v>12</v>
      </c>
      <c r="I4317">
        <v>45</v>
      </c>
      <c r="J4317" t="str" cm="1">
        <f t="array" ref="J4317">_xlfn.IFS(ISBLANK(C4317),"FALTANTE",ABS((C4317-$W$5)/$X$5)&gt;1.96,"ATÍPICO",ABS((C4317-$W$5)/$X$5)&lt;=1.96,"NO ATÍPICO")</f>
        <v>NO ATÍPICO</v>
      </c>
      <c r="K4317" t="str" cm="1">
        <f t="array" ref="K4317">_xlfn.IFS(ISBLANK(I4317),"FALTANTE",ABS((I4317-$W$8)/$X$8)&gt;1.92,"ATÍPICO",ABS((I4317-$W$8)/$X$8)&lt;=1.92,"NO ATÍPICO")</f>
        <v>NO ATÍPICO</v>
      </c>
      <c r="L4317">
        <f t="shared" si="286"/>
        <v>297046</v>
      </c>
      <c r="M4317" t="str">
        <f t="shared" si="286"/>
        <v>TRABAJADOR INDEPENDIENTE</v>
      </c>
      <c r="N4317">
        <f t="shared" si="287"/>
        <v>45</v>
      </c>
      <c r="O4317" s="19" t="str">
        <f t="shared" si="288"/>
        <v>0–300k</v>
      </c>
      <c r="P4317" s="19" t="str">
        <f t="shared" si="289"/>
        <v>36-45</v>
      </c>
    </row>
    <row r="4318" spans="1:16" x14ac:dyDescent="0.25">
      <c r="A4318">
        <v>4317</v>
      </c>
      <c r="B4318" t="s">
        <v>15</v>
      </c>
      <c r="C4318">
        <v>672276</v>
      </c>
      <c r="D4318" t="s">
        <v>10</v>
      </c>
      <c r="E4318" t="s">
        <v>16</v>
      </c>
      <c r="F4318" t="s">
        <v>12</v>
      </c>
      <c r="G4318" t="s">
        <v>13</v>
      </c>
      <c r="H4318" t="s">
        <v>13</v>
      </c>
      <c r="I4318">
        <v>25</v>
      </c>
      <c r="J4318" t="str" cm="1">
        <f t="array" ref="J4318">_xlfn.IFS(ISBLANK(C4318),"FALTANTE",ABS((C4318-$W$5)/$X$5)&gt;1.96,"ATÍPICO",ABS((C4318-$W$5)/$X$5)&lt;=1.96,"NO ATÍPICO")</f>
        <v>NO ATÍPICO</v>
      </c>
      <c r="K4318" t="str" cm="1">
        <f t="array" ref="K4318">_xlfn.IFS(ISBLANK(I4318),"FALTANTE",ABS((I4318-$W$8)/$X$8)&gt;1.92,"ATÍPICO",ABS((I4318-$W$8)/$X$8)&lt;=1.92,"NO ATÍPICO")</f>
        <v>NO ATÍPICO</v>
      </c>
      <c r="L4318">
        <f t="shared" si="286"/>
        <v>672276</v>
      </c>
      <c r="M4318" t="str">
        <f t="shared" si="286"/>
        <v>ASALARIADO</v>
      </c>
      <c r="N4318">
        <f t="shared" si="287"/>
        <v>25</v>
      </c>
      <c r="O4318" s="19" t="str">
        <f t="shared" si="288"/>
        <v>600k–900k</v>
      </c>
      <c r="P4318" s="19" t="str">
        <f t="shared" si="289"/>
        <v>18-25</v>
      </c>
    </row>
    <row r="4319" spans="1:16" x14ac:dyDescent="0.25">
      <c r="A4319">
        <v>4318</v>
      </c>
      <c r="B4319" t="s">
        <v>9</v>
      </c>
      <c r="C4319">
        <v>349737.17</v>
      </c>
      <c r="D4319" t="s">
        <v>10</v>
      </c>
      <c r="E4319" t="s">
        <v>16</v>
      </c>
      <c r="F4319" t="s">
        <v>12</v>
      </c>
      <c r="G4319" t="s">
        <v>13</v>
      </c>
      <c r="H4319" t="s">
        <v>12</v>
      </c>
      <c r="I4319">
        <v>26</v>
      </c>
      <c r="J4319" t="str" cm="1">
        <f t="array" ref="J4319">_xlfn.IFS(ISBLANK(C4319),"FALTANTE",ABS((C4319-$W$5)/$X$5)&gt;1.96,"ATÍPICO",ABS((C4319-$W$5)/$X$5)&lt;=1.96,"NO ATÍPICO")</f>
        <v>NO ATÍPICO</v>
      </c>
      <c r="K4319" t="str" cm="1">
        <f t="array" ref="K4319">_xlfn.IFS(ISBLANK(I4319),"FALTANTE",ABS((I4319-$W$8)/$X$8)&gt;1.92,"ATÍPICO",ABS((I4319-$W$8)/$X$8)&lt;=1.92,"NO ATÍPICO")</f>
        <v>NO ATÍPICO</v>
      </c>
      <c r="L4319">
        <f t="shared" si="286"/>
        <v>349737.17</v>
      </c>
      <c r="M4319" t="str">
        <f t="shared" si="286"/>
        <v>ASALARIADO</v>
      </c>
      <c r="N4319">
        <f t="shared" si="287"/>
        <v>26</v>
      </c>
      <c r="O4319" s="19" t="str">
        <f t="shared" si="288"/>
        <v>300k–600k</v>
      </c>
      <c r="P4319" s="19" t="str">
        <f t="shared" si="289"/>
        <v>26-35</v>
      </c>
    </row>
    <row r="4320" spans="1:16" x14ac:dyDescent="0.25">
      <c r="A4320">
        <v>4319</v>
      </c>
      <c r="B4320" t="s">
        <v>15</v>
      </c>
      <c r="C4320">
        <v>1584055</v>
      </c>
      <c r="D4320" t="s">
        <v>10</v>
      </c>
      <c r="E4320" t="s">
        <v>11</v>
      </c>
      <c r="F4320" t="s">
        <v>12</v>
      </c>
      <c r="G4320" t="s">
        <v>13</v>
      </c>
      <c r="H4320" t="s">
        <v>13</v>
      </c>
      <c r="I4320">
        <v>39</v>
      </c>
      <c r="J4320" t="str" cm="1">
        <f t="array" ref="J4320">_xlfn.IFS(ISBLANK(C4320),"FALTANTE",ABS((C4320-$W$5)/$X$5)&gt;1.96,"ATÍPICO",ABS((C4320-$W$5)/$X$5)&lt;=1.96,"NO ATÍPICO")</f>
        <v>NO ATÍPICO</v>
      </c>
      <c r="K4320" t="str" cm="1">
        <f t="array" ref="K4320">_xlfn.IFS(ISBLANK(I4320),"FALTANTE",ABS((I4320-$W$8)/$X$8)&gt;1.92,"ATÍPICO",ABS((I4320-$W$8)/$X$8)&lt;=1.92,"NO ATÍPICO")</f>
        <v>NO ATÍPICO</v>
      </c>
      <c r="L4320">
        <f t="shared" si="286"/>
        <v>1584055</v>
      </c>
      <c r="M4320" t="str">
        <f t="shared" si="286"/>
        <v>ASALARIADO</v>
      </c>
      <c r="N4320">
        <f t="shared" si="287"/>
        <v>39</v>
      </c>
      <c r="O4320" s="19" t="str">
        <f t="shared" si="288"/>
        <v>1200k+</v>
      </c>
      <c r="P4320" s="19" t="str">
        <f t="shared" si="289"/>
        <v>36-45</v>
      </c>
    </row>
    <row r="4321" spans="1:16" x14ac:dyDescent="0.25">
      <c r="A4321">
        <v>4320</v>
      </c>
      <c r="B4321" t="s">
        <v>15</v>
      </c>
      <c r="C4321">
        <v>323296</v>
      </c>
      <c r="D4321" t="s">
        <v>17</v>
      </c>
      <c r="E4321" t="s">
        <v>16</v>
      </c>
      <c r="F4321" t="s">
        <v>12</v>
      </c>
      <c r="G4321" t="s">
        <v>13</v>
      </c>
      <c r="H4321" t="s">
        <v>13</v>
      </c>
      <c r="I4321">
        <v>62</v>
      </c>
      <c r="J4321" t="str" cm="1">
        <f t="array" ref="J4321">_xlfn.IFS(ISBLANK(C4321),"FALTANTE",ABS((C4321-$W$5)/$X$5)&gt;1.96,"ATÍPICO",ABS((C4321-$W$5)/$X$5)&lt;=1.96,"NO ATÍPICO")</f>
        <v>NO ATÍPICO</v>
      </c>
      <c r="K4321" t="str" cm="1">
        <f t="array" ref="K4321">_xlfn.IFS(ISBLANK(I4321),"FALTANTE",ABS((I4321-$W$8)/$X$8)&gt;1.92,"ATÍPICO",ABS((I4321-$W$8)/$X$8)&lt;=1.92,"NO ATÍPICO")</f>
        <v>NO ATÍPICO</v>
      </c>
      <c r="L4321">
        <f t="shared" si="286"/>
        <v>323296</v>
      </c>
      <c r="M4321" t="str">
        <f t="shared" si="286"/>
        <v>ASEGURADO VOLUNTARIO</v>
      </c>
      <c r="N4321">
        <f t="shared" si="287"/>
        <v>62</v>
      </c>
      <c r="O4321" s="19" t="str">
        <f t="shared" si="288"/>
        <v>300k–600k</v>
      </c>
      <c r="P4321" s="19" t="str">
        <f t="shared" si="289"/>
        <v>56+</v>
      </c>
    </row>
    <row r="4322" spans="1:16" x14ac:dyDescent="0.25">
      <c r="A4322">
        <v>4321</v>
      </c>
      <c r="B4322" t="s">
        <v>15</v>
      </c>
      <c r="C4322">
        <v>150000</v>
      </c>
      <c r="D4322" t="s">
        <v>10</v>
      </c>
      <c r="E4322" t="s">
        <v>16</v>
      </c>
      <c r="F4322" t="s">
        <v>12</v>
      </c>
      <c r="G4322" t="s">
        <v>12</v>
      </c>
      <c r="H4322" t="s">
        <v>13</v>
      </c>
      <c r="I4322">
        <v>62</v>
      </c>
      <c r="J4322" t="str" cm="1">
        <f t="array" ref="J4322">_xlfn.IFS(ISBLANK(C4322),"FALTANTE",ABS((C4322-$W$5)/$X$5)&gt;1.96,"ATÍPICO",ABS((C4322-$W$5)/$X$5)&lt;=1.96,"NO ATÍPICO")</f>
        <v>NO ATÍPICO</v>
      </c>
      <c r="K4322" t="str" cm="1">
        <f t="array" ref="K4322">_xlfn.IFS(ISBLANK(I4322),"FALTANTE",ABS((I4322-$W$8)/$X$8)&gt;1.92,"ATÍPICO",ABS((I4322-$W$8)/$X$8)&lt;=1.92,"NO ATÍPICO")</f>
        <v>NO ATÍPICO</v>
      </c>
      <c r="L4322">
        <f t="shared" si="286"/>
        <v>150000</v>
      </c>
      <c r="M4322" t="str">
        <f t="shared" si="286"/>
        <v>ASALARIADO</v>
      </c>
      <c r="N4322">
        <f t="shared" si="287"/>
        <v>62</v>
      </c>
      <c r="O4322" s="19" t="str">
        <f t="shared" si="288"/>
        <v>0–300k</v>
      </c>
      <c r="P4322" s="19" t="str">
        <f t="shared" si="289"/>
        <v>56+</v>
      </c>
    </row>
    <row r="4323" spans="1:16" x14ac:dyDescent="0.25">
      <c r="A4323">
        <v>4322</v>
      </c>
      <c r="B4323" t="s">
        <v>15</v>
      </c>
      <c r="C4323">
        <v>1155329</v>
      </c>
      <c r="D4323" t="s">
        <v>14</v>
      </c>
      <c r="E4323" t="s">
        <v>11</v>
      </c>
      <c r="F4323" t="s">
        <v>12</v>
      </c>
      <c r="G4323" t="s">
        <v>13</v>
      </c>
      <c r="H4323" t="s">
        <v>13</v>
      </c>
      <c r="I4323">
        <v>68</v>
      </c>
      <c r="J4323" t="str" cm="1">
        <f t="array" ref="J4323">_xlfn.IFS(ISBLANK(C4323),"FALTANTE",ABS((C4323-$W$5)/$X$5)&gt;1.96,"ATÍPICO",ABS((C4323-$W$5)/$X$5)&lt;=1.96,"NO ATÍPICO")</f>
        <v>NO ATÍPICO</v>
      </c>
      <c r="K4323" t="str" cm="1">
        <f t="array" ref="K4323">_xlfn.IFS(ISBLANK(I4323),"FALTANTE",ABS((I4323-$W$8)/$X$8)&gt;1.92,"ATÍPICO",ABS((I4323-$W$8)/$X$8)&lt;=1.92,"NO ATÍPICO")</f>
        <v>NO ATÍPICO</v>
      </c>
      <c r="L4323">
        <f t="shared" si="286"/>
        <v>1155329</v>
      </c>
      <c r="M4323" t="str">
        <f t="shared" si="286"/>
        <v>PENSIONADOS EN SU PROPIO SISTEMA</v>
      </c>
      <c r="N4323">
        <f t="shared" si="287"/>
        <v>68</v>
      </c>
      <c r="O4323" s="19" t="str">
        <f t="shared" si="288"/>
        <v>900k–1200k</v>
      </c>
      <c r="P4323" s="19" t="str">
        <f t="shared" si="289"/>
        <v>56+</v>
      </c>
    </row>
    <row r="4324" spans="1:16" x14ac:dyDescent="0.25">
      <c r="A4324">
        <v>4323</v>
      </c>
      <c r="B4324" t="s">
        <v>9</v>
      </c>
      <c r="C4324">
        <v>339164.9</v>
      </c>
      <c r="D4324" t="s">
        <v>10</v>
      </c>
      <c r="E4324" t="s">
        <v>16</v>
      </c>
      <c r="F4324" t="s">
        <v>12</v>
      </c>
      <c r="G4324" t="s">
        <v>13</v>
      </c>
      <c r="H4324" t="s">
        <v>13</v>
      </c>
      <c r="I4324">
        <v>49</v>
      </c>
      <c r="J4324" t="str" cm="1">
        <f t="array" ref="J4324">_xlfn.IFS(ISBLANK(C4324),"FALTANTE",ABS((C4324-$W$5)/$X$5)&gt;1.96,"ATÍPICO",ABS((C4324-$W$5)/$X$5)&lt;=1.96,"NO ATÍPICO")</f>
        <v>NO ATÍPICO</v>
      </c>
      <c r="K4324" t="str" cm="1">
        <f t="array" ref="K4324">_xlfn.IFS(ISBLANK(I4324),"FALTANTE",ABS((I4324-$W$8)/$X$8)&gt;1.92,"ATÍPICO",ABS((I4324-$W$8)/$X$8)&lt;=1.92,"NO ATÍPICO")</f>
        <v>NO ATÍPICO</v>
      </c>
      <c r="L4324">
        <f t="shared" si="286"/>
        <v>339164.9</v>
      </c>
      <c r="M4324" t="str">
        <f t="shared" si="286"/>
        <v>ASALARIADO</v>
      </c>
      <c r="N4324">
        <f t="shared" si="287"/>
        <v>49</v>
      </c>
      <c r="O4324" s="19" t="str">
        <f t="shared" si="288"/>
        <v>300k–600k</v>
      </c>
      <c r="P4324" s="19" t="str">
        <f t="shared" si="289"/>
        <v>46-55</v>
      </c>
    </row>
    <row r="4325" spans="1:16" x14ac:dyDescent="0.25">
      <c r="A4325">
        <v>4324</v>
      </c>
      <c r="B4325" t="s">
        <v>9</v>
      </c>
      <c r="C4325">
        <v>690000</v>
      </c>
      <c r="D4325" t="s">
        <v>10</v>
      </c>
      <c r="E4325" t="s">
        <v>16</v>
      </c>
      <c r="F4325" t="s">
        <v>12</v>
      </c>
      <c r="G4325" t="s">
        <v>13</v>
      </c>
      <c r="H4325" t="s">
        <v>13</v>
      </c>
      <c r="I4325">
        <v>24</v>
      </c>
      <c r="J4325" t="str" cm="1">
        <f t="array" ref="J4325">_xlfn.IFS(ISBLANK(C4325),"FALTANTE",ABS((C4325-$W$5)/$X$5)&gt;1.96,"ATÍPICO",ABS((C4325-$W$5)/$X$5)&lt;=1.96,"NO ATÍPICO")</f>
        <v>NO ATÍPICO</v>
      </c>
      <c r="K4325" t="str" cm="1">
        <f t="array" ref="K4325">_xlfn.IFS(ISBLANK(I4325),"FALTANTE",ABS((I4325-$W$8)/$X$8)&gt;1.92,"ATÍPICO",ABS((I4325-$W$8)/$X$8)&lt;=1.92,"NO ATÍPICO")</f>
        <v>NO ATÍPICO</v>
      </c>
      <c r="L4325">
        <f t="shared" si="286"/>
        <v>690000</v>
      </c>
      <c r="M4325" t="str">
        <f t="shared" si="286"/>
        <v>ASALARIADO</v>
      </c>
      <c r="N4325">
        <f t="shared" si="287"/>
        <v>24</v>
      </c>
      <c r="O4325" s="19" t="str">
        <f t="shared" si="288"/>
        <v>600k–900k</v>
      </c>
      <c r="P4325" s="19" t="str">
        <f t="shared" si="289"/>
        <v>18-25</v>
      </c>
    </row>
    <row r="4326" spans="1:16" x14ac:dyDescent="0.25">
      <c r="A4326">
        <v>4325</v>
      </c>
      <c r="B4326" t="s">
        <v>15</v>
      </c>
      <c r="C4326">
        <v>506617.9</v>
      </c>
      <c r="D4326" t="s">
        <v>10</v>
      </c>
      <c r="E4326" t="s">
        <v>11</v>
      </c>
      <c r="F4326" t="s">
        <v>12</v>
      </c>
      <c r="G4326" t="s">
        <v>13</v>
      </c>
      <c r="H4326" t="s">
        <v>13</v>
      </c>
      <c r="I4326">
        <v>41</v>
      </c>
      <c r="J4326" t="str" cm="1">
        <f t="array" ref="J4326">_xlfn.IFS(ISBLANK(C4326),"FALTANTE",ABS((C4326-$W$5)/$X$5)&gt;1.96,"ATÍPICO",ABS((C4326-$W$5)/$X$5)&lt;=1.96,"NO ATÍPICO")</f>
        <v>NO ATÍPICO</v>
      </c>
      <c r="K4326" t="str" cm="1">
        <f t="array" ref="K4326">_xlfn.IFS(ISBLANK(I4326),"FALTANTE",ABS((I4326-$W$8)/$X$8)&gt;1.92,"ATÍPICO",ABS((I4326-$W$8)/$X$8)&lt;=1.92,"NO ATÍPICO")</f>
        <v>NO ATÍPICO</v>
      </c>
      <c r="L4326">
        <f t="shared" si="286"/>
        <v>506617.9</v>
      </c>
      <c r="M4326" t="str">
        <f t="shared" si="286"/>
        <v>ASALARIADO</v>
      </c>
      <c r="N4326">
        <f t="shared" si="287"/>
        <v>41</v>
      </c>
      <c r="O4326" s="19" t="str">
        <f t="shared" si="288"/>
        <v>300k–600k</v>
      </c>
      <c r="P4326" s="19" t="str">
        <f t="shared" si="289"/>
        <v>36-45</v>
      </c>
    </row>
    <row r="4327" spans="1:16" x14ac:dyDescent="0.25">
      <c r="A4327">
        <v>4326</v>
      </c>
      <c r="B4327" t="s">
        <v>15</v>
      </c>
      <c r="C4327">
        <v>443270</v>
      </c>
      <c r="D4327" t="s">
        <v>10</v>
      </c>
      <c r="E4327" t="s">
        <v>16</v>
      </c>
      <c r="F4327" t="s">
        <v>12</v>
      </c>
      <c r="G4327" t="s">
        <v>13</v>
      </c>
      <c r="H4327" t="s">
        <v>13</v>
      </c>
      <c r="I4327">
        <v>43</v>
      </c>
      <c r="J4327" t="str" cm="1">
        <f t="array" ref="J4327">_xlfn.IFS(ISBLANK(C4327),"FALTANTE",ABS((C4327-$W$5)/$X$5)&gt;1.96,"ATÍPICO",ABS((C4327-$W$5)/$X$5)&lt;=1.96,"NO ATÍPICO")</f>
        <v>NO ATÍPICO</v>
      </c>
      <c r="K4327" t="str" cm="1">
        <f t="array" ref="K4327">_xlfn.IFS(ISBLANK(I4327),"FALTANTE",ABS((I4327-$W$8)/$X$8)&gt;1.92,"ATÍPICO",ABS((I4327-$W$8)/$X$8)&lt;=1.92,"NO ATÍPICO")</f>
        <v>NO ATÍPICO</v>
      </c>
      <c r="L4327">
        <f t="shared" si="286"/>
        <v>443270</v>
      </c>
      <c r="M4327" t="str">
        <f t="shared" si="286"/>
        <v>ASALARIADO</v>
      </c>
      <c r="N4327">
        <f t="shared" si="287"/>
        <v>43</v>
      </c>
      <c r="O4327" s="19" t="str">
        <f t="shared" si="288"/>
        <v>300k–600k</v>
      </c>
      <c r="P4327" s="19" t="str">
        <f t="shared" si="289"/>
        <v>36-45</v>
      </c>
    </row>
    <row r="4328" spans="1:16" x14ac:dyDescent="0.25">
      <c r="A4328">
        <v>4327</v>
      </c>
      <c r="B4328" t="s">
        <v>9</v>
      </c>
      <c r="C4328">
        <v>963090</v>
      </c>
      <c r="D4328" t="s">
        <v>10</v>
      </c>
      <c r="E4328" t="s">
        <v>11</v>
      </c>
      <c r="F4328" t="s">
        <v>12</v>
      </c>
      <c r="G4328" t="s">
        <v>13</v>
      </c>
      <c r="H4328" t="s">
        <v>13</v>
      </c>
      <c r="I4328">
        <v>50</v>
      </c>
      <c r="J4328" t="str" cm="1">
        <f t="array" ref="J4328">_xlfn.IFS(ISBLANK(C4328),"FALTANTE",ABS((C4328-$W$5)/$X$5)&gt;1.96,"ATÍPICO",ABS((C4328-$W$5)/$X$5)&lt;=1.96,"NO ATÍPICO")</f>
        <v>NO ATÍPICO</v>
      </c>
      <c r="K4328" t="str" cm="1">
        <f t="array" ref="K4328">_xlfn.IFS(ISBLANK(I4328),"FALTANTE",ABS((I4328-$W$8)/$X$8)&gt;1.92,"ATÍPICO",ABS((I4328-$W$8)/$X$8)&lt;=1.92,"NO ATÍPICO")</f>
        <v>NO ATÍPICO</v>
      </c>
      <c r="L4328">
        <f t="shared" si="286"/>
        <v>963090</v>
      </c>
      <c r="M4328" t="str">
        <f t="shared" si="286"/>
        <v>ASALARIADO</v>
      </c>
      <c r="N4328">
        <f t="shared" si="287"/>
        <v>50</v>
      </c>
      <c r="O4328" s="19" t="str">
        <f t="shared" si="288"/>
        <v>900k–1200k</v>
      </c>
      <c r="P4328" s="19" t="str">
        <f t="shared" si="289"/>
        <v>46-55</v>
      </c>
    </row>
    <row r="4329" spans="1:16" x14ac:dyDescent="0.25">
      <c r="A4329">
        <v>4328</v>
      </c>
      <c r="B4329" t="s">
        <v>15</v>
      </c>
      <c r="C4329">
        <v>512500</v>
      </c>
      <c r="D4329" t="s">
        <v>10</v>
      </c>
      <c r="E4329" t="s">
        <v>16</v>
      </c>
      <c r="F4329" t="s">
        <v>12</v>
      </c>
      <c r="G4329" t="s">
        <v>13</v>
      </c>
      <c r="H4329" t="s">
        <v>13</v>
      </c>
      <c r="I4329">
        <v>25</v>
      </c>
      <c r="J4329" t="str" cm="1">
        <f t="array" ref="J4329">_xlfn.IFS(ISBLANK(C4329),"FALTANTE",ABS((C4329-$W$5)/$X$5)&gt;1.96,"ATÍPICO",ABS((C4329-$W$5)/$X$5)&lt;=1.96,"NO ATÍPICO")</f>
        <v>NO ATÍPICO</v>
      </c>
      <c r="K4329" t="str" cm="1">
        <f t="array" ref="K4329">_xlfn.IFS(ISBLANK(I4329),"FALTANTE",ABS((I4329-$W$8)/$X$8)&gt;1.92,"ATÍPICO",ABS((I4329-$W$8)/$X$8)&lt;=1.92,"NO ATÍPICO")</f>
        <v>NO ATÍPICO</v>
      </c>
      <c r="L4329">
        <f t="shared" si="286"/>
        <v>512500</v>
      </c>
      <c r="M4329" t="str">
        <f t="shared" si="286"/>
        <v>ASALARIADO</v>
      </c>
      <c r="N4329">
        <f t="shared" si="287"/>
        <v>25</v>
      </c>
      <c r="O4329" s="19" t="str">
        <f t="shared" si="288"/>
        <v>300k–600k</v>
      </c>
      <c r="P4329" s="19" t="str">
        <f t="shared" si="289"/>
        <v>18-25</v>
      </c>
    </row>
    <row r="4330" spans="1:16" x14ac:dyDescent="0.25">
      <c r="A4330">
        <v>4329</v>
      </c>
      <c r="B4330" t="s">
        <v>9</v>
      </c>
      <c r="C4330">
        <v>2100000</v>
      </c>
      <c r="D4330" t="s">
        <v>10</v>
      </c>
      <c r="E4330" t="s">
        <v>16</v>
      </c>
      <c r="F4330" t="s">
        <v>12</v>
      </c>
      <c r="G4330" t="s">
        <v>13</v>
      </c>
      <c r="H4330" t="s">
        <v>13</v>
      </c>
      <c r="I4330">
        <v>32</v>
      </c>
      <c r="J4330" t="str" cm="1">
        <f t="array" ref="J4330">_xlfn.IFS(ISBLANK(C4330),"FALTANTE",ABS((C4330-$W$5)/$X$5)&gt;1.96,"ATÍPICO",ABS((C4330-$W$5)/$X$5)&lt;=1.96,"NO ATÍPICO")</f>
        <v>NO ATÍPICO</v>
      </c>
      <c r="K4330" t="str" cm="1">
        <f t="array" ref="K4330">_xlfn.IFS(ISBLANK(I4330),"FALTANTE",ABS((I4330-$W$8)/$X$8)&gt;1.92,"ATÍPICO",ABS((I4330-$W$8)/$X$8)&lt;=1.92,"NO ATÍPICO")</f>
        <v>NO ATÍPICO</v>
      </c>
      <c r="L4330">
        <f t="shared" si="286"/>
        <v>2100000</v>
      </c>
      <c r="M4330" t="str">
        <f t="shared" si="286"/>
        <v>ASALARIADO</v>
      </c>
      <c r="N4330">
        <f t="shared" si="287"/>
        <v>32</v>
      </c>
      <c r="O4330" s="19" t="str">
        <f t="shared" si="288"/>
        <v>1200k+</v>
      </c>
      <c r="P4330" s="19" t="str">
        <f t="shared" si="289"/>
        <v>26-35</v>
      </c>
    </row>
    <row r="4331" spans="1:16" x14ac:dyDescent="0.25">
      <c r="A4331">
        <v>4330</v>
      </c>
      <c r="B4331" t="s">
        <v>9</v>
      </c>
      <c r="C4331">
        <v>452438</v>
      </c>
      <c r="D4331" t="s">
        <v>18</v>
      </c>
      <c r="E4331" t="s">
        <v>16</v>
      </c>
      <c r="F4331" t="s">
        <v>12</v>
      </c>
      <c r="G4331" t="s">
        <v>13</v>
      </c>
      <c r="H4331" t="s">
        <v>13</v>
      </c>
      <c r="I4331">
        <v>63</v>
      </c>
      <c r="J4331" t="str" cm="1">
        <f t="array" ref="J4331">_xlfn.IFS(ISBLANK(C4331),"FALTANTE",ABS((C4331-$W$5)/$X$5)&gt;1.96,"ATÍPICO",ABS((C4331-$W$5)/$X$5)&lt;=1.96,"NO ATÍPICO")</f>
        <v>NO ATÍPICO</v>
      </c>
      <c r="K4331" t="str" cm="1">
        <f t="array" ref="K4331">_xlfn.IFS(ISBLANK(I4331),"FALTANTE",ABS((I4331-$W$8)/$X$8)&gt;1.92,"ATÍPICO",ABS((I4331-$W$8)/$X$8)&lt;=1.92,"NO ATÍPICO")</f>
        <v>NO ATÍPICO</v>
      </c>
      <c r="L4331">
        <f t="shared" si="286"/>
        <v>452438</v>
      </c>
      <c r="M4331" t="str">
        <f t="shared" si="286"/>
        <v>TRABAJADOR INDEPENDIENTE</v>
      </c>
      <c r="N4331">
        <f t="shared" si="287"/>
        <v>63</v>
      </c>
      <c r="O4331" s="19" t="str">
        <f t="shared" si="288"/>
        <v>300k–600k</v>
      </c>
      <c r="P4331" s="19" t="str">
        <f t="shared" si="289"/>
        <v>56+</v>
      </c>
    </row>
    <row r="4332" spans="1:16" x14ac:dyDescent="0.25">
      <c r="A4332">
        <v>4331</v>
      </c>
      <c r="B4332" t="s">
        <v>9</v>
      </c>
      <c r="C4332">
        <v>2190092.7000000002</v>
      </c>
      <c r="D4332" t="s">
        <v>10</v>
      </c>
      <c r="E4332" t="s">
        <v>11</v>
      </c>
      <c r="F4332" t="s">
        <v>12</v>
      </c>
      <c r="G4332" t="s">
        <v>13</v>
      </c>
      <c r="H4332" t="s">
        <v>13</v>
      </c>
      <c r="I4332">
        <v>42</v>
      </c>
      <c r="J4332" t="str" cm="1">
        <f t="array" ref="J4332">_xlfn.IFS(ISBLANK(C4332),"FALTANTE",ABS((C4332-$W$5)/$X$5)&gt;1.96,"ATÍPICO",ABS((C4332-$W$5)/$X$5)&lt;=1.96,"NO ATÍPICO")</f>
        <v>NO ATÍPICO</v>
      </c>
      <c r="K4332" t="str" cm="1">
        <f t="array" ref="K4332">_xlfn.IFS(ISBLANK(I4332),"FALTANTE",ABS((I4332-$W$8)/$X$8)&gt;1.92,"ATÍPICO",ABS((I4332-$W$8)/$X$8)&lt;=1.92,"NO ATÍPICO")</f>
        <v>NO ATÍPICO</v>
      </c>
      <c r="L4332">
        <f t="shared" si="286"/>
        <v>2190092.7000000002</v>
      </c>
      <c r="M4332" t="str">
        <f t="shared" si="286"/>
        <v>ASALARIADO</v>
      </c>
      <c r="N4332">
        <f t="shared" si="287"/>
        <v>42</v>
      </c>
      <c r="O4332" s="19" t="str">
        <f t="shared" si="288"/>
        <v>1200k+</v>
      </c>
      <c r="P4332" s="19" t="str">
        <f t="shared" si="289"/>
        <v>36-45</v>
      </c>
    </row>
    <row r="4333" spans="1:16" x14ac:dyDescent="0.25">
      <c r="A4333">
        <v>4332</v>
      </c>
      <c r="B4333" t="s">
        <v>9</v>
      </c>
      <c r="C4333">
        <v>772533.23</v>
      </c>
      <c r="D4333" t="s">
        <v>10</v>
      </c>
      <c r="E4333" t="s">
        <v>16</v>
      </c>
      <c r="F4333" t="s">
        <v>12</v>
      </c>
      <c r="G4333" t="s">
        <v>13</v>
      </c>
      <c r="H4333" t="s">
        <v>13</v>
      </c>
      <c r="I4333">
        <v>48</v>
      </c>
      <c r="J4333" t="str" cm="1">
        <f t="array" ref="J4333">_xlfn.IFS(ISBLANK(C4333),"FALTANTE",ABS((C4333-$W$5)/$X$5)&gt;1.96,"ATÍPICO",ABS((C4333-$W$5)/$X$5)&lt;=1.96,"NO ATÍPICO")</f>
        <v>NO ATÍPICO</v>
      </c>
      <c r="K4333" t="str" cm="1">
        <f t="array" ref="K4333">_xlfn.IFS(ISBLANK(I4333),"FALTANTE",ABS((I4333-$W$8)/$X$8)&gt;1.92,"ATÍPICO",ABS((I4333-$W$8)/$X$8)&lt;=1.92,"NO ATÍPICO")</f>
        <v>NO ATÍPICO</v>
      </c>
      <c r="L4333">
        <f t="shared" si="286"/>
        <v>772533.23</v>
      </c>
      <c r="M4333" t="str">
        <f t="shared" si="286"/>
        <v>ASALARIADO</v>
      </c>
      <c r="N4333">
        <f t="shared" si="287"/>
        <v>48</v>
      </c>
      <c r="O4333" s="19" t="str">
        <f t="shared" si="288"/>
        <v>600k–900k</v>
      </c>
      <c r="P4333" s="19" t="str">
        <f t="shared" si="289"/>
        <v>46-55</v>
      </c>
    </row>
    <row r="4334" spans="1:16" x14ac:dyDescent="0.25">
      <c r="A4334">
        <v>4333</v>
      </c>
      <c r="B4334" t="s">
        <v>9</v>
      </c>
      <c r="C4334">
        <v>378261</v>
      </c>
      <c r="D4334" t="s">
        <v>14</v>
      </c>
      <c r="E4334" t="s">
        <v>11</v>
      </c>
      <c r="F4334" t="s">
        <v>12</v>
      </c>
      <c r="G4334" t="s">
        <v>13</v>
      </c>
      <c r="H4334" t="s">
        <v>13</v>
      </c>
      <c r="I4334">
        <v>21</v>
      </c>
      <c r="J4334" t="str" cm="1">
        <f t="array" ref="J4334">_xlfn.IFS(ISBLANK(C4334),"FALTANTE",ABS((C4334-$W$5)/$X$5)&gt;1.96,"ATÍPICO",ABS((C4334-$W$5)/$X$5)&lt;=1.96,"NO ATÍPICO")</f>
        <v>NO ATÍPICO</v>
      </c>
      <c r="K4334" t="str" cm="1">
        <f t="array" ref="K4334">_xlfn.IFS(ISBLANK(I4334),"FALTANTE",ABS((I4334-$W$8)/$X$8)&gt;1.92,"ATÍPICO",ABS((I4334-$W$8)/$X$8)&lt;=1.92,"NO ATÍPICO")</f>
        <v>NO ATÍPICO</v>
      </c>
      <c r="L4334">
        <f t="shared" si="286"/>
        <v>378261</v>
      </c>
      <c r="M4334" t="str">
        <f t="shared" si="286"/>
        <v>PENSIONADOS EN SU PROPIO SISTEMA</v>
      </c>
      <c r="N4334">
        <f t="shared" si="287"/>
        <v>21</v>
      </c>
      <c r="O4334" s="19" t="str">
        <f t="shared" si="288"/>
        <v>300k–600k</v>
      </c>
      <c r="P4334" s="19" t="str">
        <f t="shared" si="289"/>
        <v>18-25</v>
      </c>
    </row>
    <row r="4335" spans="1:16" x14ac:dyDescent="0.25">
      <c r="A4335">
        <v>4334</v>
      </c>
      <c r="B4335" t="s">
        <v>15</v>
      </c>
      <c r="C4335">
        <v>9437618.4600000009</v>
      </c>
      <c r="D4335" t="s">
        <v>10</v>
      </c>
      <c r="E4335" t="s">
        <v>16</v>
      </c>
      <c r="F4335" t="s">
        <v>12</v>
      </c>
      <c r="G4335" t="s">
        <v>13</v>
      </c>
      <c r="H4335" t="s">
        <v>13</v>
      </c>
      <c r="I4335">
        <v>37</v>
      </c>
      <c r="J4335" t="str" cm="1">
        <f t="array" ref="J4335">_xlfn.IFS(ISBLANK(C4335),"FALTANTE",ABS((C4335-$W$5)/$X$5)&gt;1.96,"ATÍPICO",ABS((C4335-$W$5)/$X$5)&lt;=1.96,"NO ATÍPICO")</f>
        <v>ATÍPICO</v>
      </c>
      <c r="K4335" t="str" cm="1">
        <f t="array" ref="K4335">_xlfn.IFS(ISBLANK(I4335),"FALTANTE",ABS((I4335-$W$8)/$X$8)&gt;1.92,"ATÍPICO",ABS((I4335-$W$8)/$X$8)&lt;=1.92,"NO ATÍPICO")</f>
        <v>NO ATÍPICO</v>
      </c>
      <c r="L4335">
        <f t="shared" si="286"/>
        <v>9437618.4600000009</v>
      </c>
      <c r="M4335" t="str">
        <f t="shared" si="286"/>
        <v>ASALARIADO</v>
      </c>
      <c r="N4335">
        <f t="shared" si="287"/>
        <v>37</v>
      </c>
      <c r="O4335" s="19" t="str">
        <f t="shared" si="288"/>
        <v>1200k+</v>
      </c>
      <c r="P4335" s="19" t="str">
        <f t="shared" si="289"/>
        <v>36-45</v>
      </c>
    </row>
    <row r="4336" spans="1:16" x14ac:dyDescent="0.25">
      <c r="A4336">
        <v>4335</v>
      </c>
      <c r="B4336" t="s">
        <v>9</v>
      </c>
      <c r="C4336">
        <v>208220.83</v>
      </c>
      <c r="D4336" t="s">
        <v>10</v>
      </c>
      <c r="E4336" t="s">
        <v>16</v>
      </c>
      <c r="F4336" t="s">
        <v>12</v>
      </c>
      <c r="G4336" t="s">
        <v>12</v>
      </c>
      <c r="H4336" t="s">
        <v>13</v>
      </c>
      <c r="I4336">
        <v>54</v>
      </c>
      <c r="J4336" t="str" cm="1">
        <f t="array" ref="J4336">_xlfn.IFS(ISBLANK(C4336),"FALTANTE",ABS((C4336-$W$5)/$X$5)&gt;1.96,"ATÍPICO",ABS((C4336-$W$5)/$X$5)&lt;=1.96,"NO ATÍPICO")</f>
        <v>NO ATÍPICO</v>
      </c>
      <c r="K4336" t="str" cm="1">
        <f t="array" ref="K4336">_xlfn.IFS(ISBLANK(I4336),"FALTANTE",ABS((I4336-$W$8)/$X$8)&gt;1.92,"ATÍPICO",ABS((I4336-$W$8)/$X$8)&lt;=1.92,"NO ATÍPICO")</f>
        <v>NO ATÍPICO</v>
      </c>
      <c r="L4336">
        <f t="shared" si="286"/>
        <v>208220.83</v>
      </c>
      <c r="M4336" t="str">
        <f t="shared" si="286"/>
        <v>ASALARIADO</v>
      </c>
      <c r="N4336">
        <f t="shared" si="287"/>
        <v>54</v>
      </c>
      <c r="O4336" s="19" t="str">
        <f t="shared" si="288"/>
        <v>0–300k</v>
      </c>
      <c r="P4336" s="19" t="str">
        <f t="shared" si="289"/>
        <v>46-55</v>
      </c>
    </row>
    <row r="4337" spans="1:16" x14ac:dyDescent="0.25">
      <c r="A4337">
        <v>4336</v>
      </c>
      <c r="B4337" t="s">
        <v>15</v>
      </c>
      <c r="C4337">
        <v>423276.21</v>
      </c>
      <c r="D4337" t="s">
        <v>10</v>
      </c>
      <c r="E4337" t="s">
        <v>16</v>
      </c>
      <c r="F4337" t="s">
        <v>12</v>
      </c>
      <c r="G4337" t="s">
        <v>13</v>
      </c>
      <c r="H4337" t="s">
        <v>13</v>
      </c>
      <c r="I4337">
        <v>18</v>
      </c>
      <c r="J4337" t="str" cm="1">
        <f t="array" ref="J4337">_xlfn.IFS(ISBLANK(C4337),"FALTANTE",ABS((C4337-$W$5)/$X$5)&gt;1.96,"ATÍPICO",ABS((C4337-$W$5)/$X$5)&lt;=1.96,"NO ATÍPICO")</f>
        <v>NO ATÍPICO</v>
      </c>
      <c r="K4337" t="str" cm="1">
        <f t="array" ref="K4337">_xlfn.IFS(ISBLANK(I4337),"FALTANTE",ABS((I4337-$W$8)/$X$8)&gt;1.92,"ATÍPICO",ABS((I4337-$W$8)/$X$8)&lt;=1.92,"NO ATÍPICO")</f>
        <v>NO ATÍPICO</v>
      </c>
      <c r="L4337">
        <f t="shared" si="286"/>
        <v>423276.21</v>
      </c>
      <c r="M4337" t="str">
        <f t="shared" si="286"/>
        <v>ASALARIADO</v>
      </c>
      <c r="N4337">
        <f t="shared" si="287"/>
        <v>18</v>
      </c>
      <c r="O4337" s="19" t="str">
        <f t="shared" si="288"/>
        <v>300k–600k</v>
      </c>
      <c r="P4337" s="19" t="str">
        <f t="shared" si="289"/>
        <v>18-25</v>
      </c>
    </row>
    <row r="4338" spans="1:16" x14ac:dyDescent="0.25">
      <c r="A4338">
        <v>4337</v>
      </c>
      <c r="B4338" t="s">
        <v>15</v>
      </c>
      <c r="C4338">
        <v>179230</v>
      </c>
      <c r="D4338" t="s">
        <v>10</v>
      </c>
      <c r="E4338" t="s">
        <v>16</v>
      </c>
      <c r="F4338" t="s">
        <v>12</v>
      </c>
      <c r="G4338" t="s">
        <v>13</v>
      </c>
      <c r="H4338" t="s">
        <v>13</v>
      </c>
      <c r="I4338">
        <v>43</v>
      </c>
      <c r="J4338" t="str" cm="1">
        <f t="array" ref="J4338">_xlfn.IFS(ISBLANK(C4338),"FALTANTE",ABS((C4338-$W$5)/$X$5)&gt;1.96,"ATÍPICO",ABS((C4338-$W$5)/$X$5)&lt;=1.96,"NO ATÍPICO")</f>
        <v>NO ATÍPICO</v>
      </c>
      <c r="K4338" t="str" cm="1">
        <f t="array" ref="K4338">_xlfn.IFS(ISBLANK(I4338),"FALTANTE",ABS((I4338-$W$8)/$X$8)&gt;1.92,"ATÍPICO",ABS((I4338-$W$8)/$X$8)&lt;=1.92,"NO ATÍPICO")</f>
        <v>NO ATÍPICO</v>
      </c>
      <c r="L4338">
        <f t="shared" si="286"/>
        <v>179230</v>
      </c>
      <c r="M4338" t="str">
        <f t="shared" si="286"/>
        <v>ASALARIADO</v>
      </c>
      <c r="N4338">
        <f t="shared" si="287"/>
        <v>43</v>
      </c>
      <c r="O4338" s="19" t="str">
        <f t="shared" si="288"/>
        <v>0–300k</v>
      </c>
      <c r="P4338" s="19" t="str">
        <f t="shared" si="289"/>
        <v>36-45</v>
      </c>
    </row>
    <row r="4339" spans="1:16" x14ac:dyDescent="0.25">
      <c r="A4339">
        <v>4338</v>
      </c>
      <c r="B4339" t="s">
        <v>15</v>
      </c>
      <c r="C4339">
        <v>356455</v>
      </c>
      <c r="D4339" t="s">
        <v>18</v>
      </c>
      <c r="E4339" t="s">
        <v>16</v>
      </c>
      <c r="F4339" t="s">
        <v>12</v>
      </c>
      <c r="G4339" t="s">
        <v>13</v>
      </c>
      <c r="H4339" t="s">
        <v>12</v>
      </c>
      <c r="I4339">
        <v>47</v>
      </c>
      <c r="J4339" t="str" cm="1">
        <f t="array" ref="J4339">_xlfn.IFS(ISBLANK(C4339),"FALTANTE",ABS((C4339-$W$5)/$X$5)&gt;1.96,"ATÍPICO",ABS((C4339-$W$5)/$X$5)&lt;=1.96,"NO ATÍPICO")</f>
        <v>NO ATÍPICO</v>
      </c>
      <c r="K4339" t="str" cm="1">
        <f t="array" ref="K4339">_xlfn.IFS(ISBLANK(I4339),"FALTANTE",ABS((I4339-$W$8)/$X$8)&gt;1.92,"ATÍPICO",ABS((I4339-$W$8)/$X$8)&lt;=1.92,"NO ATÍPICO")</f>
        <v>NO ATÍPICO</v>
      </c>
      <c r="L4339">
        <f t="shared" si="286"/>
        <v>356455</v>
      </c>
      <c r="M4339" t="str">
        <f t="shared" si="286"/>
        <v>TRABAJADOR INDEPENDIENTE</v>
      </c>
      <c r="N4339">
        <f t="shared" si="287"/>
        <v>47</v>
      </c>
      <c r="O4339" s="19" t="str">
        <f t="shared" si="288"/>
        <v>300k–600k</v>
      </c>
      <c r="P4339" s="19" t="str">
        <f t="shared" si="289"/>
        <v>46-55</v>
      </c>
    </row>
    <row r="4340" spans="1:16" x14ac:dyDescent="0.25">
      <c r="A4340">
        <v>4339</v>
      </c>
      <c r="B4340" t="s">
        <v>15</v>
      </c>
      <c r="C4340">
        <v>729260.25</v>
      </c>
      <c r="D4340" t="s">
        <v>10</v>
      </c>
      <c r="E4340" t="s">
        <v>16</v>
      </c>
      <c r="F4340" t="s">
        <v>12</v>
      </c>
      <c r="G4340" t="s">
        <v>13</v>
      </c>
      <c r="H4340" t="s">
        <v>13</v>
      </c>
      <c r="I4340">
        <v>28</v>
      </c>
      <c r="J4340" t="str" cm="1">
        <f t="array" ref="J4340">_xlfn.IFS(ISBLANK(C4340),"FALTANTE",ABS((C4340-$W$5)/$X$5)&gt;1.96,"ATÍPICO",ABS((C4340-$W$5)/$X$5)&lt;=1.96,"NO ATÍPICO")</f>
        <v>NO ATÍPICO</v>
      </c>
      <c r="K4340" t="str" cm="1">
        <f t="array" ref="K4340">_xlfn.IFS(ISBLANK(I4340),"FALTANTE",ABS((I4340-$W$8)/$X$8)&gt;1.92,"ATÍPICO",ABS((I4340-$W$8)/$X$8)&lt;=1.92,"NO ATÍPICO")</f>
        <v>NO ATÍPICO</v>
      </c>
      <c r="L4340">
        <f t="shared" si="286"/>
        <v>729260.25</v>
      </c>
      <c r="M4340" t="str">
        <f t="shared" si="286"/>
        <v>ASALARIADO</v>
      </c>
      <c r="N4340">
        <f t="shared" si="287"/>
        <v>28</v>
      </c>
      <c r="O4340" s="19" t="str">
        <f t="shared" si="288"/>
        <v>600k–900k</v>
      </c>
      <c r="P4340" s="19" t="str">
        <f t="shared" si="289"/>
        <v>26-35</v>
      </c>
    </row>
    <row r="4341" spans="1:16" x14ac:dyDescent="0.25">
      <c r="A4341">
        <v>4340</v>
      </c>
      <c r="B4341" t="s">
        <v>9</v>
      </c>
      <c r="C4341">
        <v>514804</v>
      </c>
      <c r="D4341" t="s">
        <v>18</v>
      </c>
      <c r="E4341" t="s">
        <v>16</v>
      </c>
      <c r="F4341" t="s">
        <v>12</v>
      </c>
      <c r="G4341" t="s">
        <v>12</v>
      </c>
      <c r="H4341" t="s">
        <v>12</v>
      </c>
      <c r="I4341">
        <v>34</v>
      </c>
      <c r="J4341" t="str" cm="1">
        <f t="array" ref="J4341">_xlfn.IFS(ISBLANK(C4341),"FALTANTE",ABS((C4341-$W$5)/$X$5)&gt;1.96,"ATÍPICO",ABS((C4341-$W$5)/$X$5)&lt;=1.96,"NO ATÍPICO")</f>
        <v>NO ATÍPICO</v>
      </c>
      <c r="K4341" t="str" cm="1">
        <f t="array" ref="K4341">_xlfn.IFS(ISBLANK(I4341),"FALTANTE",ABS((I4341-$W$8)/$X$8)&gt;1.92,"ATÍPICO",ABS((I4341-$W$8)/$X$8)&lt;=1.92,"NO ATÍPICO")</f>
        <v>NO ATÍPICO</v>
      </c>
      <c r="L4341">
        <f t="shared" si="286"/>
        <v>514804</v>
      </c>
      <c r="M4341" t="str">
        <f t="shared" si="286"/>
        <v>TRABAJADOR INDEPENDIENTE</v>
      </c>
      <c r="N4341">
        <f t="shared" si="287"/>
        <v>34</v>
      </c>
      <c r="O4341" s="19" t="str">
        <f t="shared" si="288"/>
        <v>300k–600k</v>
      </c>
      <c r="P4341" s="19" t="str">
        <f t="shared" si="289"/>
        <v>26-35</v>
      </c>
    </row>
    <row r="4342" spans="1:16" x14ac:dyDescent="0.25">
      <c r="A4342">
        <v>4341</v>
      </c>
      <c r="B4342" t="s">
        <v>9</v>
      </c>
      <c r="C4342">
        <v>460000</v>
      </c>
      <c r="D4342" t="s">
        <v>10</v>
      </c>
      <c r="E4342" t="s">
        <v>16</v>
      </c>
      <c r="F4342" t="s">
        <v>12</v>
      </c>
      <c r="G4342" t="s">
        <v>13</v>
      </c>
      <c r="H4342" t="s">
        <v>12</v>
      </c>
      <c r="I4342">
        <v>25</v>
      </c>
      <c r="J4342" t="str" cm="1">
        <f t="array" ref="J4342">_xlfn.IFS(ISBLANK(C4342),"FALTANTE",ABS((C4342-$W$5)/$X$5)&gt;1.96,"ATÍPICO",ABS((C4342-$W$5)/$X$5)&lt;=1.96,"NO ATÍPICO")</f>
        <v>NO ATÍPICO</v>
      </c>
      <c r="K4342" t="str" cm="1">
        <f t="array" ref="K4342">_xlfn.IFS(ISBLANK(I4342),"FALTANTE",ABS((I4342-$W$8)/$X$8)&gt;1.92,"ATÍPICO",ABS((I4342-$W$8)/$X$8)&lt;=1.92,"NO ATÍPICO")</f>
        <v>NO ATÍPICO</v>
      </c>
      <c r="L4342">
        <f t="shared" si="286"/>
        <v>460000</v>
      </c>
      <c r="M4342" t="str">
        <f t="shared" si="286"/>
        <v>ASALARIADO</v>
      </c>
      <c r="N4342">
        <f t="shared" si="287"/>
        <v>25</v>
      </c>
      <c r="O4342" s="19" t="str">
        <f t="shared" si="288"/>
        <v>300k–600k</v>
      </c>
      <c r="P4342" s="19" t="str">
        <f t="shared" si="289"/>
        <v>18-25</v>
      </c>
    </row>
    <row r="4343" spans="1:16" x14ac:dyDescent="0.25">
      <c r="A4343">
        <v>4342</v>
      </c>
      <c r="B4343" t="s">
        <v>9</v>
      </c>
      <c r="C4343">
        <v>2012772</v>
      </c>
      <c r="D4343" t="s">
        <v>10</v>
      </c>
      <c r="E4343" t="s">
        <v>11</v>
      </c>
      <c r="F4343" t="s">
        <v>12</v>
      </c>
      <c r="G4343" t="s">
        <v>13</v>
      </c>
      <c r="H4343" t="s">
        <v>13</v>
      </c>
      <c r="I4343">
        <v>43</v>
      </c>
      <c r="J4343" t="str" cm="1">
        <f t="array" ref="J4343">_xlfn.IFS(ISBLANK(C4343),"FALTANTE",ABS((C4343-$W$5)/$X$5)&gt;1.96,"ATÍPICO",ABS((C4343-$W$5)/$X$5)&lt;=1.96,"NO ATÍPICO")</f>
        <v>NO ATÍPICO</v>
      </c>
      <c r="K4343" t="str" cm="1">
        <f t="array" ref="K4343">_xlfn.IFS(ISBLANK(I4343),"FALTANTE",ABS((I4343-$W$8)/$X$8)&gt;1.92,"ATÍPICO",ABS((I4343-$W$8)/$X$8)&lt;=1.92,"NO ATÍPICO")</f>
        <v>NO ATÍPICO</v>
      </c>
      <c r="L4343">
        <f t="shared" si="286"/>
        <v>2012772</v>
      </c>
      <c r="M4343" t="str">
        <f t="shared" si="286"/>
        <v>ASALARIADO</v>
      </c>
      <c r="N4343">
        <f t="shared" si="287"/>
        <v>43</v>
      </c>
      <c r="O4343" s="19" t="str">
        <f t="shared" si="288"/>
        <v>1200k+</v>
      </c>
      <c r="P4343" s="19" t="str">
        <f t="shared" si="289"/>
        <v>36-45</v>
      </c>
    </row>
    <row r="4344" spans="1:16" x14ac:dyDescent="0.25">
      <c r="A4344">
        <v>4343</v>
      </c>
      <c r="B4344" t="s">
        <v>15</v>
      </c>
      <c r="C4344">
        <v>504535</v>
      </c>
      <c r="D4344" t="s">
        <v>10</v>
      </c>
      <c r="E4344" t="s">
        <v>16</v>
      </c>
      <c r="F4344" t="s">
        <v>12</v>
      </c>
      <c r="G4344" t="s">
        <v>13</v>
      </c>
      <c r="H4344" t="s">
        <v>13</v>
      </c>
      <c r="I4344">
        <v>59</v>
      </c>
      <c r="J4344" t="str" cm="1">
        <f t="array" ref="J4344">_xlfn.IFS(ISBLANK(C4344),"FALTANTE",ABS((C4344-$W$5)/$X$5)&gt;1.96,"ATÍPICO",ABS((C4344-$W$5)/$X$5)&lt;=1.96,"NO ATÍPICO")</f>
        <v>NO ATÍPICO</v>
      </c>
      <c r="K4344" t="str" cm="1">
        <f t="array" ref="K4344">_xlfn.IFS(ISBLANK(I4344),"FALTANTE",ABS((I4344-$W$8)/$X$8)&gt;1.92,"ATÍPICO",ABS((I4344-$W$8)/$X$8)&lt;=1.92,"NO ATÍPICO")</f>
        <v>NO ATÍPICO</v>
      </c>
      <c r="L4344">
        <f t="shared" si="286"/>
        <v>504535</v>
      </c>
      <c r="M4344" t="str">
        <f t="shared" si="286"/>
        <v>ASALARIADO</v>
      </c>
      <c r="N4344">
        <f t="shared" si="287"/>
        <v>59</v>
      </c>
      <c r="O4344" s="19" t="str">
        <f t="shared" si="288"/>
        <v>300k–600k</v>
      </c>
      <c r="P4344" s="19" t="str">
        <f t="shared" si="289"/>
        <v>56+</v>
      </c>
    </row>
    <row r="4345" spans="1:16" x14ac:dyDescent="0.25">
      <c r="A4345">
        <v>4344</v>
      </c>
      <c r="B4345" t="s">
        <v>15</v>
      </c>
      <c r="C4345">
        <v>900088.68</v>
      </c>
      <c r="D4345" t="s">
        <v>10</v>
      </c>
      <c r="E4345" t="s">
        <v>11</v>
      </c>
      <c r="F4345" t="s">
        <v>12</v>
      </c>
      <c r="G4345" t="s">
        <v>13</v>
      </c>
      <c r="H4345" t="s">
        <v>13</v>
      </c>
      <c r="I4345">
        <v>62</v>
      </c>
      <c r="J4345" t="str" cm="1">
        <f t="array" ref="J4345">_xlfn.IFS(ISBLANK(C4345),"FALTANTE",ABS((C4345-$W$5)/$X$5)&gt;1.96,"ATÍPICO",ABS((C4345-$W$5)/$X$5)&lt;=1.96,"NO ATÍPICO")</f>
        <v>NO ATÍPICO</v>
      </c>
      <c r="K4345" t="str" cm="1">
        <f t="array" ref="K4345">_xlfn.IFS(ISBLANK(I4345),"FALTANTE",ABS((I4345-$W$8)/$X$8)&gt;1.92,"ATÍPICO",ABS((I4345-$W$8)/$X$8)&lt;=1.92,"NO ATÍPICO")</f>
        <v>NO ATÍPICO</v>
      </c>
      <c r="L4345">
        <f t="shared" si="286"/>
        <v>900088.68</v>
      </c>
      <c r="M4345" t="str">
        <f t="shared" si="286"/>
        <v>ASALARIADO</v>
      </c>
      <c r="N4345">
        <f t="shared" si="287"/>
        <v>62</v>
      </c>
      <c r="O4345" s="19" t="str">
        <f t="shared" si="288"/>
        <v>900k–1200k</v>
      </c>
      <c r="P4345" s="19" t="str">
        <f t="shared" si="289"/>
        <v>56+</v>
      </c>
    </row>
    <row r="4346" spans="1:16" x14ac:dyDescent="0.25">
      <c r="A4346">
        <v>4345</v>
      </c>
      <c r="B4346" t="s">
        <v>9</v>
      </c>
      <c r="C4346">
        <v>430000</v>
      </c>
      <c r="D4346" t="s">
        <v>10</v>
      </c>
      <c r="E4346" t="s">
        <v>16</v>
      </c>
      <c r="F4346" t="s">
        <v>12</v>
      </c>
      <c r="G4346" t="s">
        <v>13</v>
      </c>
      <c r="H4346" t="s">
        <v>13</v>
      </c>
      <c r="I4346">
        <v>21</v>
      </c>
      <c r="J4346" t="str" cm="1">
        <f t="array" ref="J4346">_xlfn.IFS(ISBLANK(C4346),"FALTANTE",ABS((C4346-$W$5)/$X$5)&gt;1.96,"ATÍPICO",ABS((C4346-$W$5)/$X$5)&lt;=1.96,"NO ATÍPICO")</f>
        <v>NO ATÍPICO</v>
      </c>
      <c r="K4346" t="str" cm="1">
        <f t="array" ref="K4346">_xlfn.IFS(ISBLANK(I4346),"FALTANTE",ABS((I4346-$W$8)/$X$8)&gt;1.92,"ATÍPICO",ABS((I4346-$W$8)/$X$8)&lt;=1.92,"NO ATÍPICO")</f>
        <v>NO ATÍPICO</v>
      </c>
      <c r="L4346">
        <f t="shared" si="286"/>
        <v>430000</v>
      </c>
      <c r="M4346" t="str">
        <f t="shared" si="286"/>
        <v>ASALARIADO</v>
      </c>
      <c r="N4346">
        <f t="shared" si="287"/>
        <v>21</v>
      </c>
      <c r="O4346" s="19" t="str">
        <f t="shared" si="288"/>
        <v>300k–600k</v>
      </c>
      <c r="P4346" s="19" t="str">
        <f t="shared" si="289"/>
        <v>18-25</v>
      </c>
    </row>
    <row r="4347" spans="1:16" x14ac:dyDescent="0.25">
      <c r="A4347">
        <v>4346</v>
      </c>
      <c r="B4347" t="s">
        <v>15</v>
      </c>
      <c r="C4347">
        <v>314416.67</v>
      </c>
      <c r="D4347" t="s">
        <v>10</v>
      </c>
      <c r="E4347" t="s">
        <v>16</v>
      </c>
      <c r="F4347" t="s">
        <v>12</v>
      </c>
      <c r="G4347" t="s">
        <v>13</v>
      </c>
      <c r="H4347" t="s">
        <v>13</v>
      </c>
      <c r="I4347">
        <v>21</v>
      </c>
      <c r="J4347" t="str" cm="1">
        <f t="array" ref="J4347">_xlfn.IFS(ISBLANK(C4347),"FALTANTE",ABS((C4347-$W$5)/$X$5)&gt;1.96,"ATÍPICO",ABS((C4347-$W$5)/$X$5)&lt;=1.96,"NO ATÍPICO")</f>
        <v>NO ATÍPICO</v>
      </c>
      <c r="K4347" t="str" cm="1">
        <f t="array" ref="K4347">_xlfn.IFS(ISBLANK(I4347),"FALTANTE",ABS((I4347-$W$8)/$X$8)&gt;1.92,"ATÍPICO",ABS((I4347-$W$8)/$X$8)&lt;=1.92,"NO ATÍPICO")</f>
        <v>NO ATÍPICO</v>
      </c>
      <c r="L4347">
        <f t="shared" si="286"/>
        <v>314416.67</v>
      </c>
      <c r="M4347" t="str">
        <f t="shared" si="286"/>
        <v>ASALARIADO</v>
      </c>
      <c r="N4347">
        <f t="shared" si="287"/>
        <v>21</v>
      </c>
      <c r="O4347" s="19" t="str">
        <f t="shared" si="288"/>
        <v>300k–600k</v>
      </c>
      <c r="P4347" s="19" t="str">
        <f t="shared" si="289"/>
        <v>18-25</v>
      </c>
    </row>
    <row r="4348" spans="1:16" x14ac:dyDescent="0.25">
      <c r="A4348">
        <v>4347</v>
      </c>
      <c r="B4348" t="s">
        <v>9</v>
      </c>
      <c r="C4348">
        <v>3057059.8</v>
      </c>
      <c r="D4348" t="s">
        <v>10</v>
      </c>
      <c r="E4348" t="s">
        <v>11</v>
      </c>
      <c r="F4348" t="s">
        <v>12</v>
      </c>
      <c r="G4348" t="s">
        <v>13</v>
      </c>
      <c r="H4348" t="s">
        <v>13</v>
      </c>
      <c r="I4348">
        <v>46</v>
      </c>
      <c r="J4348" t="str" cm="1">
        <f t="array" ref="J4348">_xlfn.IFS(ISBLANK(C4348),"FALTANTE",ABS((C4348-$W$5)/$X$5)&gt;1.96,"ATÍPICO",ABS((C4348-$W$5)/$X$5)&lt;=1.96,"NO ATÍPICO")</f>
        <v>ATÍPICO</v>
      </c>
      <c r="K4348" t="str" cm="1">
        <f t="array" ref="K4348">_xlfn.IFS(ISBLANK(I4348),"FALTANTE",ABS((I4348-$W$8)/$X$8)&gt;1.92,"ATÍPICO",ABS((I4348-$W$8)/$X$8)&lt;=1.92,"NO ATÍPICO")</f>
        <v>NO ATÍPICO</v>
      </c>
      <c r="L4348">
        <f t="shared" si="286"/>
        <v>3057059.8</v>
      </c>
      <c r="M4348" t="str">
        <f t="shared" si="286"/>
        <v>ASALARIADO</v>
      </c>
      <c r="N4348">
        <f t="shared" si="287"/>
        <v>46</v>
      </c>
      <c r="O4348" s="19" t="str">
        <f t="shared" si="288"/>
        <v>1200k+</v>
      </c>
      <c r="P4348" s="19" t="str">
        <f t="shared" si="289"/>
        <v>46-55</v>
      </c>
    </row>
    <row r="4349" spans="1:16" x14ac:dyDescent="0.25">
      <c r="A4349">
        <v>4348</v>
      </c>
      <c r="B4349" t="s">
        <v>9</v>
      </c>
      <c r="C4349">
        <v>364892</v>
      </c>
      <c r="D4349" t="s">
        <v>10</v>
      </c>
      <c r="E4349" t="s">
        <v>11</v>
      </c>
      <c r="F4349" t="s">
        <v>12</v>
      </c>
      <c r="G4349" t="s">
        <v>13</v>
      </c>
      <c r="H4349" t="s">
        <v>13</v>
      </c>
      <c r="I4349">
        <v>55</v>
      </c>
      <c r="J4349" t="str" cm="1">
        <f t="array" ref="J4349">_xlfn.IFS(ISBLANK(C4349),"FALTANTE",ABS((C4349-$W$5)/$X$5)&gt;1.96,"ATÍPICO",ABS((C4349-$W$5)/$X$5)&lt;=1.96,"NO ATÍPICO")</f>
        <v>NO ATÍPICO</v>
      </c>
      <c r="K4349" t="str" cm="1">
        <f t="array" ref="K4349">_xlfn.IFS(ISBLANK(I4349),"FALTANTE",ABS((I4349-$W$8)/$X$8)&gt;1.92,"ATÍPICO",ABS((I4349-$W$8)/$X$8)&lt;=1.92,"NO ATÍPICO")</f>
        <v>NO ATÍPICO</v>
      </c>
      <c r="L4349">
        <f t="shared" si="286"/>
        <v>364892</v>
      </c>
      <c r="M4349" t="str">
        <f t="shared" si="286"/>
        <v>ASALARIADO</v>
      </c>
      <c r="N4349">
        <f t="shared" si="287"/>
        <v>55</v>
      </c>
      <c r="O4349" s="19" t="str">
        <f t="shared" si="288"/>
        <v>300k–600k</v>
      </c>
      <c r="P4349" s="19" t="str">
        <f t="shared" si="289"/>
        <v>46-55</v>
      </c>
    </row>
    <row r="4350" spans="1:16" x14ac:dyDescent="0.25">
      <c r="A4350">
        <v>4349</v>
      </c>
      <c r="B4350" t="s">
        <v>9</v>
      </c>
      <c r="C4350">
        <v>138475</v>
      </c>
      <c r="D4350" t="s">
        <v>10</v>
      </c>
      <c r="E4350" t="s">
        <v>16</v>
      </c>
      <c r="F4350" t="s">
        <v>12</v>
      </c>
      <c r="G4350" t="s">
        <v>12</v>
      </c>
      <c r="H4350" t="s">
        <v>13</v>
      </c>
      <c r="I4350">
        <v>21</v>
      </c>
      <c r="J4350" t="str" cm="1">
        <f t="array" ref="J4350">_xlfn.IFS(ISBLANK(C4350),"FALTANTE",ABS((C4350-$W$5)/$X$5)&gt;1.96,"ATÍPICO",ABS((C4350-$W$5)/$X$5)&lt;=1.96,"NO ATÍPICO")</f>
        <v>NO ATÍPICO</v>
      </c>
      <c r="K4350" t="str" cm="1">
        <f t="array" ref="K4350">_xlfn.IFS(ISBLANK(I4350),"FALTANTE",ABS((I4350-$W$8)/$X$8)&gt;1.92,"ATÍPICO",ABS((I4350-$W$8)/$X$8)&lt;=1.92,"NO ATÍPICO")</f>
        <v>NO ATÍPICO</v>
      </c>
      <c r="L4350">
        <f t="shared" si="286"/>
        <v>138475</v>
      </c>
      <c r="M4350" t="str">
        <f t="shared" si="286"/>
        <v>ASALARIADO</v>
      </c>
      <c r="N4350">
        <f t="shared" si="287"/>
        <v>21</v>
      </c>
      <c r="O4350" s="19" t="str">
        <f t="shared" si="288"/>
        <v>0–300k</v>
      </c>
      <c r="P4350" s="19" t="str">
        <f t="shared" si="289"/>
        <v>18-25</v>
      </c>
    </row>
    <row r="4351" spans="1:16" x14ac:dyDescent="0.25">
      <c r="A4351">
        <v>4350</v>
      </c>
      <c r="B4351" t="s">
        <v>9</v>
      </c>
      <c r="C4351">
        <v>687800</v>
      </c>
      <c r="D4351" t="s">
        <v>10</v>
      </c>
      <c r="E4351" t="s">
        <v>16</v>
      </c>
      <c r="F4351" t="s">
        <v>12</v>
      </c>
      <c r="G4351" t="s">
        <v>13</v>
      </c>
      <c r="H4351" t="s">
        <v>13</v>
      </c>
      <c r="I4351">
        <v>57</v>
      </c>
      <c r="J4351" t="str" cm="1">
        <f t="array" ref="J4351">_xlfn.IFS(ISBLANK(C4351),"FALTANTE",ABS((C4351-$W$5)/$X$5)&gt;1.96,"ATÍPICO",ABS((C4351-$W$5)/$X$5)&lt;=1.96,"NO ATÍPICO")</f>
        <v>NO ATÍPICO</v>
      </c>
      <c r="K4351" t="str" cm="1">
        <f t="array" ref="K4351">_xlfn.IFS(ISBLANK(I4351),"FALTANTE",ABS((I4351-$W$8)/$X$8)&gt;1.92,"ATÍPICO",ABS((I4351-$W$8)/$X$8)&lt;=1.92,"NO ATÍPICO")</f>
        <v>NO ATÍPICO</v>
      </c>
      <c r="L4351">
        <f t="shared" si="286"/>
        <v>687800</v>
      </c>
      <c r="M4351" t="str">
        <f t="shared" si="286"/>
        <v>ASALARIADO</v>
      </c>
      <c r="N4351">
        <f t="shared" si="287"/>
        <v>57</v>
      </c>
      <c r="O4351" s="19" t="str">
        <f t="shared" si="288"/>
        <v>600k–900k</v>
      </c>
      <c r="P4351" s="19" t="str">
        <f t="shared" si="289"/>
        <v>56+</v>
      </c>
    </row>
    <row r="4352" spans="1:16" x14ac:dyDescent="0.25">
      <c r="A4352">
        <v>4351</v>
      </c>
      <c r="B4352" t="s">
        <v>9</v>
      </c>
      <c r="C4352">
        <v>728392</v>
      </c>
      <c r="D4352" t="s">
        <v>10</v>
      </c>
      <c r="E4352" t="s">
        <v>16</v>
      </c>
      <c r="F4352" t="s">
        <v>12</v>
      </c>
      <c r="G4352" t="s">
        <v>13</v>
      </c>
      <c r="H4352" t="s">
        <v>13</v>
      </c>
      <c r="I4352">
        <v>53</v>
      </c>
      <c r="J4352" t="str" cm="1">
        <f t="array" ref="J4352">_xlfn.IFS(ISBLANK(C4352),"FALTANTE",ABS((C4352-$W$5)/$X$5)&gt;1.96,"ATÍPICO",ABS((C4352-$W$5)/$X$5)&lt;=1.96,"NO ATÍPICO")</f>
        <v>NO ATÍPICO</v>
      </c>
      <c r="K4352" t="str" cm="1">
        <f t="array" ref="K4352">_xlfn.IFS(ISBLANK(I4352),"FALTANTE",ABS((I4352-$W$8)/$X$8)&gt;1.92,"ATÍPICO",ABS((I4352-$W$8)/$X$8)&lt;=1.92,"NO ATÍPICO")</f>
        <v>NO ATÍPICO</v>
      </c>
      <c r="L4352">
        <f t="shared" si="286"/>
        <v>728392</v>
      </c>
      <c r="M4352" t="str">
        <f t="shared" si="286"/>
        <v>ASALARIADO</v>
      </c>
      <c r="N4352">
        <f t="shared" si="287"/>
        <v>53</v>
      </c>
      <c r="O4352" s="19" t="str">
        <f t="shared" si="288"/>
        <v>600k–900k</v>
      </c>
      <c r="P4352" s="19" t="str">
        <f t="shared" si="289"/>
        <v>46-55</v>
      </c>
    </row>
    <row r="4353" spans="1:16" x14ac:dyDescent="0.25">
      <c r="A4353">
        <v>4352</v>
      </c>
      <c r="B4353" t="s">
        <v>15</v>
      </c>
      <c r="C4353">
        <v>2922222.6</v>
      </c>
      <c r="D4353" t="s">
        <v>10</v>
      </c>
      <c r="E4353" t="s">
        <v>11</v>
      </c>
      <c r="F4353" t="s">
        <v>12</v>
      </c>
      <c r="G4353" t="s">
        <v>13</v>
      </c>
      <c r="H4353" t="s">
        <v>13</v>
      </c>
      <c r="I4353">
        <v>57</v>
      </c>
      <c r="J4353" t="str" cm="1">
        <f t="array" ref="J4353">_xlfn.IFS(ISBLANK(C4353),"FALTANTE",ABS((C4353-$W$5)/$X$5)&gt;1.96,"ATÍPICO",ABS((C4353-$W$5)/$X$5)&lt;=1.96,"NO ATÍPICO")</f>
        <v>ATÍPICO</v>
      </c>
      <c r="K4353" t="str" cm="1">
        <f t="array" ref="K4353">_xlfn.IFS(ISBLANK(I4353),"FALTANTE",ABS((I4353-$W$8)/$X$8)&gt;1.92,"ATÍPICO",ABS((I4353-$W$8)/$X$8)&lt;=1.92,"NO ATÍPICO")</f>
        <v>NO ATÍPICO</v>
      </c>
      <c r="L4353">
        <f t="shared" si="286"/>
        <v>2922222.6</v>
      </c>
      <c r="M4353" t="str">
        <f t="shared" si="286"/>
        <v>ASALARIADO</v>
      </c>
      <c r="N4353">
        <f t="shared" si="287"/>
        <v>57</v>
      </c>
      <c r="O4353" s="19" t="str">
        <f t="shared" si="288"/>
        <v>1200k+</v>
      </c>
      <c r="P4353" s="19" t="str">
        <f t="shared" si="289"/>
        <v>56+</v>
      </c>
    </row>
    <row r="4354" spans="1:16" x14ac:dyDescent="0.25">
      <c r="A4354">
        <v>4353</v>
      </c>
      <c r="B4354" t="s">
        <v>9</v>
      </c>
      <c r="C4354">
        <v>451422</v>
      </c>
      <c r="D4354" t="s">
        <v>10</v>
      </c>
      <c r="E4354" t="s">
        <v>16</v>
      </c>
      <c r="F4354" t="s">
        <v>12</v>
      </c>
      <c r="G4354" t="s">
        <v>13</v>
      </c>
      <c r="H4354" t="s">
        <v>13</v>
      </c>
      <c r="I4354">
        <v>48</v>
      </c>
      <c r="J4354" t="str" cm="1">
        <f t="array" ref="J4354">_xlfn.IFS(ISBLANK(C4354),"FALTANTE",ABS((C4354-$W$5)/$X$5)&gt;1.96,"ATÍPICO",ABS((C4354-$W$5)/$X$5)&lt;=1.96,"NO ATÍPICO")</f>
        <v>NO ATÍPICO</v>
      </c>
      <c r="K4354" t="str" cm="1">
        <f t="array" ref="K4354">_xlfn.IFS(ISBLANK(I4354),"FALTANTE",ABS((I4354-$W$8)/$X$8)&gt;1.92,"ATÍPICO",ABS((I4354-$W$8)/$X$8)&lt;=1.92,"NO ATÍPICO")</f>
        <v>NO ATÍPICO</v>
      </c>
      <c r="L4354">
        <f t="shared" ref="L4354:M4417" si="290">C4354</f>
        <v>451422</v>
      </c>
      <c r="M4354" t="str">
        <f t="shared" si="290"/>
        <v>ASALARIADO</v>
      </c>
      <c r="N4354">
        <f t="shared" ref="N4354:N4417" si="291">I4354</f>
        <v>48</v>
      </c>
      <c r="O4354" s="19" t="str">
        <f t="shared" ref="O4354:O4417" si="292">IF(L4354&lt;=300000,"0–300k",IF(L4354&lt;=600000,"300k–600k",IF(L4354&lt;=900000,"600k–900k",IF(L4354&lt;=1200000,"900k–1200k","1200k+"))))</f>
        <v>300k–600k</v>
      </c>
      <c r="P4354" s="19" t="str">
        <f t="shared" ref="P4354:P4417" si="293">IF(N4354 &lt;=25,"18-25", IF(N4354&lt;=35,"26-35", IF(N4354 &lt;=45,"36-45", IF(N4354&lt;=55,"46-55","56+"))))</f>
        <v>46-55</v>
      </c>
    </row>
    <row r="4355" spans="1:16" x14ac:dyDescent="0.25">
      <c r="A4355">
        <v>4354</v>
      </c>
      <c r="B4355" t="s">
        <v>15</v>
      </c>
      <c r="C4355">
        <v>381331</v>
      </c>
      <c r="D4355" t="s">
        <v>10</v>
      </c>
      <c r="E4355" t="s">
        <v>16</v>
      </c>
      <c r="F4355" t="s">
        <v>12</v>
      </c>
      <c r="G4355" t="s">
        <v>12</v>
      </c>
      <c r="H4355" t="s">
        <v>13</v>
      </c>
      <c r="I4355">
        <v>33</v>
      </c>
      <c r="J4355" t="str" cm="1">
        <f t="array" ref="J4355">_xlfn.IFS(ISBLANK(C4355),"FALTANTE",ABS((C4355-$W$5)/$X$5)&gt;1.96,"ATÍPICO",ABS((C4355-$W$5)/$X$5)&lt;=1.96,"NO ATÍPICO")</f>
        <v>NO ATÍPICO</v>
      </c>
      <c r="K4355" t="str" cm="1">
        <f t="array" ref="K4355">_xlfn.IFS(ISBLANK(I4355),"FALTANTE",ABS((I4355-$W$8)/$X$8)&gt;1.92,"ATÍPICO",ABS((I4355-$W$8)/$X$8)&lt;=1.92,"NO ATÍPICO")</f>
        <v>NO ATÍPICO</v>
      </c>
      <c r="L4355">
        <f t="shared" si="290"/>
        <v>381331</v>
      </c>
      <c r="M4355" t="str">
        <f t="shared" si="290"/>
        <v>ASALARIADO</v>
      </c>
      <c r="N4355">
        <f t="shared" si="291"/>
        <v>33</v>
      </c>
      <c r="O4355" s="19" t="str">
        <f t="shared" si="292"/>
        <v>300k–600k</v>
      </c>
      <c r="P4355" s="19" t="str">
        <f t="shared" si="293"/>
        <v>26-35</v>
      </c>
    </row>
    <row r="4356" spans="1:16" x14ac:dyDescent="0.25">
      <c r="A4356">
        <v>4355</v>
      </c>
      <c r="B4356" t="s">
        <v>15</v>
      </c>
      <c r="C4356">
        <v>369600</v>
      </c>
      <c r="D4356" t="s">
        <v>10</v>
      </c>
      <c r="E4356" t="s">
        <v>16</v>
      </c>
      <c r="F4356" t="s">
        <v>12</v>
      </c>
      <c r="G4356" t="s">
        <v>13</v>
      </c>
      <c r="H4356" t="s">
        <v>13</v>
      </c>
      <c r="I4356">
        <v>32</v>
      </c>
      <c r="J4356" t="str" cm="1">
        <f t="array" ref="J4356">_xlfn.IFS(ISBLANK(C4356),"FALTANTE",ABS((C4356-$W$5)/$X$5)&gt;1.96,"ATÍPICO",ABS((C4356-$W$5)/$X$5)&lt;=1.96,"NO ATÍPICO")</f>
        <v>NO ATÍPICO</v>
      </c>
      <c r="K4356" t="str" cm="1">
        <f t="array" ref="K4356">_xlfn.IFS(ISBLANK(I4356),"FALTANTE",ABS((I4356-$W$8)/$X$8)&gt;1.92,"ATÍPICO",ABS((I4356-$W$8)/$X$8)&lt;=1.92,"NO ATÍPICO")</f>
        <v>NO ATÍPICO</v>
      </c>
      <c r="L4356">
        <f t="shared" si="290"/>
        <v>369600</v>
      </c>
      <c r="M4356" t="str">
        <f t="shared" si="290"/>
        <v>ASALARIADO</v>
      </c>
      <c r="N4356">
        <f t="shared" si="291"/>
        <v>32</v>
      </c>
      <c r="O4356" s="19" t="str">
        <f t="shared" si="292"/>
        <v>300k–600k</v>
      </c>
      <c r="P4356" s="19" t="str">
        <f t="shared" si="293"/>
        <v>26-35</v>
      </c>
    </row>
    <row r="4357" spans="1:16" x14ac:dyDescent="0.25">
      <c r="A4357">
        <v>4356</v>
      </c>
      <c r="B4357" t="s">
        <v>15</v>
      </c>
      <c r="C4357">
        <v>587278</v>
      </c>
      <c r="D4357" t="s">
        <v>14</v>
      </c>
      <c r="E4357" t="s">
        <v>11</v>
      </c>
      <c r="F4357" t="s">
        <v>12</v>
      </c>
      <c r="G4357" t="s">
        <v>13</v>
      </c>
      <c r="H4357" t="s">
        <v>13</v>
      </c>
      <c r="I4357">
        <v>68</v>
      </c>
      <c r="J4357" t="str" cm="1">
        <f t="array" ref="J4357">_xlfn.IFS(ISBLANK(C4357),"FALTANTE",ABS((C4357-$W$5)/$X$5)&gt;1.96,"ATÍPICO",ABS((C4357-$W$5)/$X$5)&lt;=1.96,"NO ATÍPICO")</f>
        <v>NO ATÍPICO</v>
      </c>
      <c r="K4357" t="str" cm="1">
        <f t="array" ref="K4357">_xlfn.IFS(ISBLANK(I4357),"FALTANTE",ABS((I4357-$W$8)/$X$8)&gt;1.92,"ATÍPICO",ABS((I4357-$W$8)/$X$8)&lt;=1.92,"NO ATÍPICO")</f>
        <v>NO ATÍPICO</v>
      </c>
      <c r="L4357">
        <f t="shared" si="290"/>
        <v>587278</v>
      </c>
      <c r="M4357" t="str">
        <f t="shared" si="290"/>
        <v>PENSIONADOS EN SU PROPIO SISTEMA</v>
      </c>
      <c r="N4357">
        <f t="shared" si="291"/>
        <v>68</v>
      </c>
      <c r="O4357" s="19" t="str">
        <f t="shared" si="292"/>
        <v>300k–600k</v>
      </c>
      <c r="P4357" s="19" t="str">
        <f t="shared" si="293"/>
        <v>56+</v>
      </c>
    </row>
    <row r="4358" spans="1:16" x14ac:dyDescent="0.25">
      <c r="A4358">
        <v>4357</v>
      </c>
      <c r="B4358" t="s">
        <v>9</v>
      </c>
      <c r="C4358">
        <v>585255</v>
      </c>
      <c r="D4358" t="s">
        <v>10</v>
      </c>
      <c r="E4358" t="s">
        <v>16</v>
      </c>
      <c r="F4358" t="s">
        <v>12</v>
      </c>
      <c r="G4358" t="s">
        <v>13</v>
      </c>
      <c r="H4358" t="s">
        <v>13</v>
      </c>
      <c r="I4358">
        <v>27</v>
      </c>
      <c r="J4358" t="str" cm="1">
        <f t="array" ref="J4358">_xlfn.IFS(ISBLANK(C4358),"FALTANTE",ABS((C4358-$W$5)/$X$5)&gt;1.96,"ATÍPICO",ABS((C4358-$W$5)/$X$5)&lt;=1.96,"NO ATÍPICO")</f>
        <v>NO ATÍPICO</v>
      </c>
      <c r="K4358" t="str" cm="1">
        <f t="array" ref="K4358">_xlfn.IFS(ISBLANK(I4358),"FALTANTE",ABS((I4358-$W$8)/$X$8)&gt;1.92,"ATÍPICO",ABS((I4358-$W$8)/$X$8)&lt;=1.92,"NO ATÍPICO")</f>
        <v>NO ATÍPICO</v>
      </c>
      <c r="L4358">
        <f t="shared" si="290"/>
        <v>585255</v>
      </c>
      <c r="M4358" t="str">
        <f t="shared" si="290"/>
        <v>ASALARIADO</v>
      </c>
      <c r="N4358">
        <f t="shared" si="291"/>
        <v>27</v>
      </c>
      <c r="O4358" s="19" t="str">
        <f t="shared" si="292"/>
        <v>300k–600k</v>
      </c>
      <c r="P4358" s="19" t="str">
        <f t="shared" si="293"/>
        <v>26-35</v>
      </c>
    </row>
    <row r="4359" spans="1:16" x14ac:dyDescent="0.25">
      <c r="A4359">
        <v>4358</v>
      </c>
      <c r="B4359" t="s">
        <v>9</v>
      </c>
      <c r="C4359">
        <v>301948</v>
      </c>
      <c r="D4359" t="s">
        <v>19</v>
      </c>
      <c r="E4359" t="s">
        <v>16</v>
      </c>
      <c r="F4359" t="s">
        <v>12</v>
      </c>
      <c r="G4359" t="s">
        <v>13</v>
      </c>
      <c r="H4359" t="s">
        <v>13</v>
      </c>
      <c r="I4359">
        <v>63</v>
      </c>
      <c r="J4359" t="str" cm="1">
        <f t="array" ref="J4359">_xlfn.IFS(ISBLANK(C4359),"FALTANTE",ABS((C4359-$W$5)/$X$5)&gt;1.96,"ATÍPICO",ABS((C4359-$W$5)/$X$5)&lt;=1.96,"NO ATÍPICO")</f>
        <v>NO ATÍPICO</v>
      </c>
      <c r="K4359" t="str" cm="1">
        <f t="array" ref="K4359">_xlfn.IFS(ISBLANK(I4359),"FALTANTE",ABS((I4359-$W$8)/$X$8)&gt;1.92,"ATÍPICO",ABS((I4359-$W$8)/$X$8)&lt;=1.92,"NO ATÍPICO")</f>
        <v>NO ATÍPICO</v>
      </c>
      <c r="L4359">
        <f t="shared" si="290"/>
        <v>301948</v>
      </c>
      <c r="M4359" t="str">
        <f t="shared" si="290"/>
        <v>CONVENIOS ESPECIALES DE TRABAJADORES INDEPENDIENTES</v>
      </c>
      <c r="N4359">
        <f t="shared" si="291"/>
        <v>63</v>
      </c>
      <c r="O4359" s="19" t="str">
        <f t="shared" si="292"/>
        <v>300k–600k</v>
      </c>
      <c r="P4359" s="19" t="str">
        <f t="shared" si="293"/>
        <v>56+</v>
      </c>
    </row>
    <row r="4360" spans="1:16" x14ac:dyDescent="0.25">
      <c r="A4360">
        <v>4359</v>
      </c>
      <c r="B4360" t="s">
        <v>9</v>
      </c>
      <c r="C4360">
        <v>1100000</v>
      </c>
      <c r="D4360" t="s">
        <v>10</v>
      </c>
      <c r="E4360" t="s">
        <v>16</v>
      </c>
      <c r="F4360" t="s">
        <v>12</v>
      </c>
      <c r="G4360" t="s">
        <v>13</v>
      </c>
      <c r="H4360" t="s">
        <v>13</v>
      </c>
      <c r="I4360">
        <v>34</v>
      </c>
      <c r="J4360" t="str" cm="1">
        <f t="array" ref="J4360">_xlfn.IFS(ISBLANK(C4360),"FALTANTE",ABS((C4360-$W$5)/$X$5)&gt;1.96,"ATÍPICO",ABS((C4360-$W$5)/$X$5)&lt;=1.96,"NO ATÍPICO")</f>
        <v>NO ATÍPICO</v>
      </c>
      <c r="K4360" t="str" cm="1">
        <f t="array" ref="K4360">_xlfn.IFS(ISBLANK(I4360),"FALTANTE",ABS((I4360-$W$8)/$X$8)&gt;1.92,"ATÍPICO",ABS((I4360-$W$8)/$X$8)&lt;=1.92,"NO ATÍPICO")</f>
        <v>NO ATÍPICO</v>
      </c>
      <c r="L4360">
        <f t="shared" si="290"/>
        <v>1100000</v>
      </c>
      <c r="M4360" t="str">
        <f t="shared" si="290"/>
        <v>ASALARIADO</v>
      </c>
      <c r="N4360">
        <f t="shared" si="291"/>
        <v>34</v>
      </c>
      <c r="O4360" s="19" t="str">
        <f t="shared" si="292"/>
        <v>900k–1200k</v>
      </c>
      <c r="P4360" s="19" t="str">
        <f t="shared" si="293"/>
        <v>26-35</v>
      </c>
    </row>
    <row r="4361" spans="1:16" x14ac:dyDescent="0.25">
      <c r="A4361">
        <v>4360</v>
      </c>
      <c r="B4361" t="s">
        <v>15</v>
      </c>
      <c r="C4361">
        <v>297046</v>
      </c>
      <c r="D4361" t="s">
        <v>17</v>
      </c>
      <c r="E4361" t="s">
        <v>16</v>
      </c>
      <c r="F4361" t="s">
        <v>12</v>
      </c>
      <c r="G4361" t="s">
        <v>13</v>
      </c>
      <c r="H4361" t="s">
        <v>12</v>
      </c>
      <c r="I4361">
        <v>24</v>
      </c>
      <c r="J4361" t="str" cm="1">
        <f t="array" ref="J4361">_xlfn.IFS(ISBLANK(C4361),"FALTANTE",ABS((C4361-$W$5)/$X$5)&gt;1.96,"ATÍPICO",ABS((C4361-$W$5)/$X$5)&lt;=1.96,"NO ATÍPICO")</f>
        <v>NO ATÍPICO</v>
      </c>
      <c r="K4361" t="str" cm="1">
        <f t="array" ref="K4361">_xlfn.IFS(ISBLANK(I4361),"FALTANTE",ABS((I4361-$W$8)/$X$8)&gt;1.92,"ATÍPICO",ABS((I4361-$W$8)/$X$8)&lt;=1.92,"NO ATÍPICO")</f>
        <v>NO ATÍPICO</v>
      </c>
      <c r="L4361">
        <f t="shared" si="290"/>
        <v>297046</v>
      </c>
      <c r="M4361" t="str">
        <f t="shared" si="290"/>
        <v>ASEGURADO VOLUNTARIO</v>
      </c>
      <c r="N4361">
        <f t="shared" si="291"/>
        <v>24</v>
      </c>
      <c r="O4361" s="19" t="str">
        <f t="shared" si="292"/>
        <v>0–300k</v>
      </c>
      <c r="P4361" s="19" t="str">
        <f t="shared" si="293"/>
        <v>18-25</v>
      </c>
    </row>
    <row r="4362" spans="1:16" x14ac:dyDescent="0.25">
      <c r="A4362">
        <v>4361</v>
      </c>
      <c r="B4362" t="s">
        <v>15</v>
      </c>
      <c r="C4362">
        <v>380000</v>
      </c>
      <c r="D4362" t="s">
        <v>10</v>
      </c>
      <c r="E4362" t="s">
        <v>16</v>
      </c>
      <c r="F4362" t="s">
        <v>12</v>
      </c>
      <c r="G4362" t="s">
        <v>13</v>
      </c>
      <c r="H4362" t="s">
        <v>12</v>
      </c>
      <c r="I4362">
        <v>44</v>
      </c>
      <c r="J4362" t="str" cm="1">
        <f t="array" ref="J4362">_xlfn.IFS(ISBLANK(C4362),"FALTANTE",ABS((C4362-$W$5)/$X$5)&gt;1.96,"ATÍPICO",ABS((C4362-$W$5)/$X$5)&lt;=1.96,"NO ATÍPICO")</f>
        <v>NO ATÍPICO</v>
      </c>
      <c r="K4362" t="str" cm="1">
        <f t="array" ref="K4362">_xlfn.IFS(ISBLANK(I4362),"FALTANTE",ABS((I4362-$W$8)/$X$8)&gt;1.92,"ATÍPICO",ABS((I4362-$W$8)/$X$8)&lt;=1.92,"NO ATÍPICO")</f>
        <v>NO ATÍPICO</v>
      </c>
      <c r="L4362">
        <f t="shared" si="290"/>
        <v>380000</v>
      </c>
      <c r="M4362" t="str">
        <f t="shared" si="290"/>
        <v>ASALARIADO</v>
      </c>
      <c r="N4362">
        <f t="shared" si="291"/>
        <v>44</v>
      </c>
      <c r="O4362" s="19" t="str">
        <f t="shared" si="292"/>
        <v>300k–600k</v>
      </c>
      <c r="P4362" s="19" t="str">
        <f t="shared" si="293"/>
        <v>36-45</v>
      </c>
    </row>
    <row r="4363" spans="1:16" x14ac:dyDescent="0.25">
      <c r="A4363">
        <v>4362</v>
      </c>
      <c r="B4363" t="s">
        <v>9</v>
      </c>
      <c r="C4363">
        <v>297046</v>
      </c>
      <c r="D4363" t="s">
        <v>18</v>
      </c>
      <c r="E4363" t="s">
        <v>16</v>
      </c>
      <c r="F4363" t="s">
        <v>12</v>
      </c>
      <c r="G4363" t="s">
        <v>13</v>
      </c>
      <c r="H4363" t="s">
        <v>12</v>
      </c>
      <c r="I4363">
        <v>25</v>
      </c>
      <c r="J4363" t="str" cm="1">
        <f t="array" ref="J4363">_xlfn.IFS(ISBLANK(C4363),"FALTANTE",ABS((C4363-$W$5)/$X$5)&gt;1.96,"ATÍPICO",ABS((C4363-$W$5)/$X$5)&lt;=1.96,"NO ATÍPICO")</f>
        <v>NO ATÍPICO</v>
      </c>
      <c r="K4363" t="str" cm="1">
        <f t="array" ref="K4363">_xlfn.IFS(ISBLANK(I4363),"FALTANTE",ABS((I4363-$W$8)/$X$8)&gt;1.92,"ATÍPICO",ABS((I4363-$W$8)/$X$8)&lt;=1.92,"NO ATÍPICO")</f>
        <v>NO ATÍPICO</v>
      </c>
      <c r="L4363">
        <f t="shared" si="290"/>
        <v>297046</v>
      </c>
      <c r="M4363" t="str">
        <f t="shared" si="290"/>
        <v>TRABAJADOR INDEPENDIENTE</v>
      </c>
      <c r="N4363">
        <f t="shared" si="291"/>
        <v>25</v>
      </c>
      <c r="O4363" s="19" t="str">
        <f t="shared" si="292"/>
        <v>0–300k</v>
      </c>
      <c r="P4363" s="19" t="str">
        <f t="shared" si="293"/>
        <v>18-25</v>
      </c>
    </row>
    <row r="4364" spans="1:16" x14ac:dyDescent="0.25">
      <c r="A4364">
        <v>4363</v>
      </c>
      <c r="B4364" t="s">
        <v>15</v>
      </c>
      <c r="C4364">
        <v>1277622</v>
      </c>
      <c r="D4364" t="s">
        <v>10</v>
      </c>
      <c r="E4364" t="s">
        <v>11</v>
      </c>
      <c r="F4364" t="s">
        <v>12</v>
      </c>
      <c r="G4364" t="s">
        <v>13</v>
      </c>
      <c r="H4364" t="s">
        <v>12</v>
      </c>
      <c r="I4364">
        <v>48</v>
      </c>
      <c r="J4364" t="str" cm="1">
        <f t="array" ref="J4364">_xlfn.IFS(ISBLANK(C4364),"FALTANTE",ABS((C4364-$W$5)/$X$5)&gt;1.96,"ATÍPICO",ABS((C4364-$W$5)/$X$5)&lt;=1.96,"NO ATÍPICO")</f>
        <v>NO ATÍPICO</v>
      </c>
      <c r="K4364" t="str" cm="1">
        <f t="array" ref="K4364">_xlfn.IFS(ISBLANK(I4364),"FALTANTE",ABS((I4364-$W$8)/$X$8)&gt;1.92,"ATÍPICO",ABS((I4364-$W$8)/$X$8)&lt;=1.92,"NO ATÍPICO")</f>
        <v>NO ATÍPICO</v>
      </c>
      <c r="L4364">
        <f t="shared" si="290"/>
        <v>1277622</v>
      </c>
      <c r="M4364" t="str">
        <f t="shared" si="290"/>
        <v>ASALARIADO</v>
      </c>
      <c r="N4364">
        <f t="shared" si="291"/>
        <v>48</v>
      </c>
      <c r="O4364" s="19" t="str">
        <f t="shared" si="292"/>
        <v>1200k+</v>
      </c>
      <c r="P4364" s="19" t="str">
        <f t="shared" si="293"/>
        <v>46-55</v>
      </c>
    </row>
    <row r="4365" spans="1:16" x14ac:dyDescent="0.25">
      <c r="A4365">
        <v>4364</v>
      </c>
      <c r="B4365" t="s">
        <v>9</v>
      </c>
      <c r="C4365">
        <v>450000</v>
      </c>
      <c r="D4365" t="s">
        <v>10</v>
      </c>
      <c r="E4365" t="s">
        <v>16</v>
      </c>
      <c r="F4365" t="s">
        <v>12</v>
      </c>
      <c r="G4365" t="s">
        <v>13</v>
      </c>
      <c r="H4365" t="s">
        <v>12</v>
      </c>
      <c r="I4365">
        <v>28</v>
      </c>
      <c r="J4365" t="str" cm="1">
        <f t="array" ref="J4365">_xlfn.IFS(ISBLANK(C4365),"FALTANTE",ABS((C4365-$W$5)/$X$5)&gt;1.96,"ATÍPICO",ABS((C4365-$W$5)/$X$5)&lt;=1.96,"NO ATÍPICO")</f>
        <v>NO ATÍPICO</v>
      </c>
      <c r="K4365" t="str" cm="1">
        <f t="array" ref="K4365">_xlfn.IFS(ISBLANK(I4365),"FALTANTE",ABS((I4365-$W$8)/$X$8)&gt;1.92,"ATÍPICO",ABS((I4365-$W$8)/$X$8)&lt;=1.92,"NO ATÍPICO")</f>
        <v>NO ATÍPICO</v>
      </c>
      <c r="L4365">
        <f t="shared" si="290"/>
        <v>450000</v>
      </c>
      <c r="M4365" t="str">
        <f t="shared" si="290"/>
        <v>ASALARIADO</v>
      </c>
      <c r="N4365">
        <f t="shared" si="291"/>
        <v>28</v>
      </c>
      <c r="O4365" s="19" t="str">
        <f t="shared" si="292"/>
        <v>300k–600k</v>
      </c>
      <c r="P4365" s="19" t="str">
        <f t="shared" si="293"/>
        <v>26-35</v>
      </c>
    </row>
    <row r="4366" spans="1:16" x14ac:dyDescent="0.25">
      <c r="A4366">
        <v>4365</v>
      </c>
      <c r="B4366" t="s">
        <v>9</v>
      </c>
      <c r="C4366">
        <v>300018</v>
      </c>
      <c r="D4366" t="s">
        <v>17</v>
      </c>
      <c r="E4366" t="s">
        <v>16</v>
      </c>
      <c r="F4366" t="s">
        <v>12</v>
      </c>
      <c r="G4366" t="s">
        <v>13</v>
      </c>
      <c r="H4366" t="s">
        <v>12</v>
      </c>
      <c r="I4366">
        <v>90</v>
      </c>
      <c r="J4366" t="str" cm="1">
        <f t="array" ref="J4366">_xlfn.IFS(ISBLANK(C4366),"FALTANTE",ABS((C4366-$W$5)/$X$5)&gt;1.96,"ATÍPICO",ABS((C4366-$W$5)/$X$5)&lt;=1.96,"NO ATÍPICO")</f>
        <v>NO ATÍPICO</v>
      </c>
      <c r="K4366" t="str" cm="1">
        <f t="array" ref="K4366">_xlfn.IFS(ISBLANK(I4366),"FALTANTE",ABS((I4366-$W$8)/$X$8)&gt;1.92,"ATÍPICO",ABS((I4366-$W$8)/$X$8)&lt;=1.92,"NO ATÍPICO")</f>
        <v>ATÍPICO</v>
      </c>
      <c r="L4366">
        <f t="shared" si="290"/>
        <v>300018</v>
      </c>
      <c r="M4366" t="str">
        <f t="shared" si="290"/>
        <v>ASEGURADO VOLUNTARIO</v>
      </c>
      <c r="N4366">
        <f t="shared" si="291"/>
        <v>90</v>
      </c>
      <c r="O4366" s="19" t="str">
        <f t="shared" si="292"/>
        <v>300k–600k</v>
      </c>
      <c r="P4366" s="19" t="str">
        <f t="shared" si="293"/>
        <v>56+</v>
      </c>
    </row>
    <row r="4367" spans="1:16" x14ac:dyDescent="0.25">
      <c r="A4367">
        <v>4366</v>
      </c>
      <c r="B4367" t="s">
        <v>9</v>
      </c>
      <c r="C4367">
        <v>969375</v>
      </c>
      <c r="D4367" t="s">
        <v>10</v>
      </c>
      <c r="E4367" t="s">
        <v>16</v>
      </c>
      <c r="F4367" t="s">
        <v>12</v>
      </c>
      <c r="G4367" t="s">
        <v>12</v>
      </c>
      <c r="H4367" t="s">
        <v>13</v>
      </c>
      <c r="I4367">
        <v>53</v>
      </c>
      <c r="J4367" t="str" cm="1">
        <f t="array" ref="J4367">_xlfn.IFS(ISBLANK(C4367),"FALTANTE",ABS((C4367-$W$5)/$X$5)&gt;1.96,"ATÍPICO",ABS((C4367-$W$5)/$X$5)&lt;=1.96,"NO ATÍPICO")</f>
        <v>NO ATÍPICO</v>
      </c>
      <c r="K4367" t="str" cm="1">
        <f t="array" ref="K4367">_xlfn.IFS(ISBLANK(I4367),"FALTANTE",ABS((I4367-$W$8)/$X$8)&gt;1.92,"ATÍPICO",ABS((I4367-$W$8)/$X$8)&lt;=1.92,"NO ATÍPICO")</f>
        <v>NO ATÍPICO</v>
      </c>
      <c r="L4367">
        <f t="shared" si="290"/>
        <v>969375</v>
      </c>
      <c r="M4367" t="str">
        <f t="shared" si="290"/>
        <v>ASALARIADO</v>
      </c>
      <c r="N4367">
        <f t="shared" si="291"/>
        <v>53</v>
      </c>
      <c r="O4367" s="19" t="str">
        <f t="shared" si="292"/>
        <v>900k–1200k</v>
      </c>
      <c r="P4367" s="19" t="str">
        <f t="shared" si="293"/>
        <v>46-55</v>
      </c>
    </row>
    <row r="4368" spans="1:16" x14ac:dyDescent="0.25">
      <c r="A4368">
        <v>4367</v>
      </c>
      <c r="B4368" t="s">
        <v>15</v>
      </c>
      <c r="C4368">
        <v>1464318</v>
      </c>
      <c r="D4368" t="s">
        <v>10</v>
      </c>
      <c r="E4368" t="s">
        <v>11</v>
      </c>
      <c r="F4368" t="s">
        <v>12</v>
      </c>
      <c r="G4368" t="s">
        <v>13</v>
      </c>
      <c r="H4368" t="s">
        <v>13</v>
      </c>
      <c r="I4368">
        <v>55</v>
      </c>
      <c r="J4368" t="str" cm="1">
        <f t="array" ref="J4368">_xlfn.IFS(ISBLANK(C4368),"FALTANTE",ABS((C4368-$W$5)/$X$5)&gt;1.96,"ATÍPICO",ABS((C4368-$W$5)/$X$5)&lt;=1.96,"NO ATÍPICO")</f>
        <v>NO ATÍPICO</v>
      </c>
      <c r="K4368" t="str" cm="1">
        <f t="array" ref="K4368">_xlfn.IFS(ISBLANK(I4368),"FALTANTE",ABS((I4368-$W$8)/$X$8)&gt;1.92,"ATÍPICO",ABS((I4368-$W$8)/$X$8)&lt;=1.92,"NO ATÍPICO")</f>
        <v>NO ATÍPICO</v>
      </c>
      <c r="L4368">
        <f t="shared" si="290"/>
        <v>1464318</v>
      </c>
      <c r="M4368" t="str">
        <f t="shared" si="290"/>
        <v>ASALARIADO</v>
      </c>
      <c r="N4368">
        <f t="shared" si="291"/>
        <v>55</v>
      </c>
      <c r="O4368" s="19" t="str">
        <f t="shared" si="292"/>
        <v>1200k+</v>
      </c>
      <c r="P4368" s="19" t="str">
        <f t="shared" si="293"/>
        <v>46-55</v>
      </c>
    </row>
    <row r="4369" spans="1:16" x14ac:dyDescent="0.25">
      <c r="A4369">
        <v>4368</v>
      </c>
      <c r="B4369" t="s">
        <v>9</v>
      </c>
      <c r="C4369">
        <v>127335.61</v>
      </c>
      <c r="D4369" t="s">
        <v>14</v>
      </c>
      <c r="E4369" t="s">
        <v>11</v>
      </c>
      <c r="F4369" t="s">
        <v>12</v>
      </c>
      <c r="G4369" t="s">
        <v>13</v>
      </c>
      <c r="H4369" t="s">
        <v>13</v>
      </c>
      <c r="I4369">
        <v>70</v>
      </c>
      <c r="J4369" t="str" cm="1">
        <f t="array" ref="J4369">_xlfn.IFS(ISBLANK(C4369),"FALTANTE",ABS((C4369-$W$5)/$X$5)&gt;1.96,"ATÍPICO",ABS((C4369-$W$5)/$X$5)&lt;=1.96,"NO ATÍPICO")</f>
        <v>NO ATÍPICO</v>
      </c>
      <c r="K4369" t="str" cm="1">
        <f t="array" ref="K4369">_xlfn.IFS(ISBLANK(I4369),"FALTANTE",ABS((I4369-$W$8)/$X$8)&gt;1.92,"ATÍPICO",ABS((I4369-$W$8)/$X$8)&lt;=1.92,"NO ATÍPICO")</f>
        <v>ATÍPICO</v>
      </c>
      <c r="L4369">
        <f t="shared" si="290"/>
        <v>127335.61</v>
      </c>
      <c r="M4369" t="str">
        <f t="shared" si="290"/>
        <v>PENSIONADOS EN SU PROPIO SISTEMA</v>
      </c>
      <c r="N4369">
        <f t="shared" si="291"/>
        <v>70</v>
      </c>
      <c r="O4369" s="19" t="str">
        <f t="shared" si="292"/>
        <v>0–300k</v>
      </c>
      <c r="P4369" s="19" t="str">
        <f t="shared" si="293"/>
        <v>56+</v>
      </c>
    </row>
    <row r="4370" spans="1:16" x14ac:dyDescent="0.25">
      <c r="A4370">
        <v>4369</v>
      </c>
      <c r="B4370" t="s">
        <v>15</v>
      </c>
      <c r="C4370">
        <v>355899.18</v>
      </c>
      <c r="D4370" t="s">
        <v>14</v>
      </c>
      <c r="E4370" t="s">
        <v>11</v>
      </c>
      <c r="F4370" t="s">
        <v>12</v>
      </c>
      <c r="G4370" t="s">
        <v>13</v>
      </c>
      <c r="H4370" t="s">
        <v>13</v>
      </c>
      <c r="I4370">
        <v>17</v>
      </c>
      <c r="J4370" t="str" cm="1">
        <f t="array" ref="J4370">_xlfn.IFS(ISBLANK(C4370),"FALTANTE",ABS((C4370-$W$5)/$X$5)&gt;1.96,"ATÍPICO",ABS((C4370-$W$5)/$X$5)&lt;=1.96,"NO ATÍPICO")</f>
        <v>NO ATÍPICO</v>
      </c>
      <c r="K4370" t="str" cm="1">
        <f t="array" ref="K4370">_xlfn.IFS(ISBLANK(I4370),"FALTANTE",ABS((I4370-$W$8)/$X$8)&gt;1.92,"ATÍPICO",ABS((I4370-$W$8)/$X$8)&lt;=1.92,"NO ATÍPICO")</f>
        <v>NO ATÍPICO</v>
      </c>
      <c r="L4370">
        <f t="shared" si="290"/>
        <v>355899.18</v>
      </c>
      <c r="M4370" t="str">
        <f t="shared" si="290"/>
        <v>PENSIONADOS EN SU PROPIO SISTEMA</v>
      </c>
      <c r="N4370">
        <f t="shared" si="291"/>
        <v>17</v>
      </c>
      <c r="O4370" s="19" t="str">
        <f t="shared" si="292"/>
        <v>300k–600k</v>
      </c>
      <c r="P4370" s="19" t="str">
        <f t="shared" si="293"/>
        <v>18-25</v>
      </c>
    </row>
    <row r="4371" spans="1:16" x14ac:dyDescent="0.25">
      <c r="A4371">
        <v>4370</v>
      </c>
      <c r="B4371" t="s">
        <v>9</v>
      </c>
      <c r="C4371">
        <v>760293.64</v>
      </c>
      <c r="D4371" t="s">
        <v>10</v>
      </c>
      <c r="E4371" t="s">
        <v>16</v>
      </c>
      <c r="F4371" t="s">
        <v>12</v>
      </c>
      <c r="G4371" t="s">
        <v>12</v>
      </c>
      <c r="H4371" t="s">
        <v>13</v>
      </c>
      <c r="I4371">
        <v>57</v>
      </c>
      <c r="J4371" t="str" cm="1">
        <f t="array" ref="J4371">_xlfn.IFS(ISBLANK(C4371),"FALTANTE",ABS((C4371-$W$5)/$X$5)&gt;1.96,"ATÍPICO",ABS((C4371-$W$5)/$X$5)&lt;=1.96,"NO ATÍPICO")</f>
        <v>NO ATÍPICO</v>
      </c>
      <c r="K4371" t="str" cm="1">
        <f t="array" ref="K4371">_xlfn.IFS(ISBLANK(I4371),"FALTANTE",ABS((I4371-$W$8)/$X$8)&gt;1.92,"ATÍPICO",ABS((I4371-$W$8)/$X$8)&lt;=1.92,"NO ATÍPICO")</f>
        <v>NO ATÍPICO</v>
      </c>
      <c r="L4371">
        <f t="shared" si="290"/>
        <v>760293.64</v>
      </c>
      <c r="M4371" t="str">
        <f t="shared" si="290"/>
        <v>ASALARIADO</v>
      </c>
      <c r="N4371">
        <f t="shared" si="291"/>
        <v>57</v>
      </c>
      <c r="O4371" s="19" t="str">
        <f t="shared" si="292"/>
        <v>600k–900k</v>
      </c>
      <c r="P4371" s="19" t="str">
        <f t="shared" si="293"/>
        <v>56+</v>
      </c>
    </row>
    <row r="4372" spans="1:16" x14ac:dyDescent="0.25">
      <c r="A4372">
        <v>4371</v>
      </c>
      <c r="B4372" t="s">
        <v>15</v>
      </c>
      <c r="C4372">
        <v>902500</v>
      </c>
      <c r="D4372" t="s">
        <v>10</v>
      </c>
      <c r="E4372" t="s">
        <v>16</v>
      </c>
      <c r="F4372" t="s">
        <v>12</v>
      </c>
      <c r="G4372" t="s">
        <v>13</v>
      </c>
      <c r="H4372" t="s">
        <v>13</v>
      </c>
      <c r="I4372">
        <v>27</v>
      </c>
      <c r="J4372" t="str" cm="1">
        <f t="array" ref="J4372">_xlfn.IFS(ISBLANK(C4372),"FALTANTE",ABS((C4372-$W$5)/$X$5)&gt;1.96,"ATÍPICO",ABS((C4372-$W$5)/$X$5)&lt;=1.96,"NO ATÍPICO")</f>
        <v>NO ATÍPICO</v>
      </c>
      <c r="K4372" t="str" cm="1">
        <f t="array" ref="K4372">_xlfn.IFS(ISBLANK(I4372),"FALTANTE",ABS((I4372-$W$8)/$X$8)&gt;1.92,"ATÍPICO",ABS((I4372-$W$8)/$X$8)&lt;=1.92,"NO ATÍPICO")</f>
        <v>NO ATÍPICO</v>
      </c>
      <c r="L4372">
        <f t="shared" si="290"/>
        <v>902500</v>
      </c>
      <c r="M4372" t="str">
        <f t="shared" si="290"/>
        <v>ASALARIADO</v>
      </c>
      <c r="N4372">
        <f t="shared" si="291"/>
        <v>27</v>
      </c>
      <c r="O4372" s="19" t="str">
        <f t="shared" si="292"/>
        <v>900k–1200k</v>
      </c>
      <c r="P4372" s="19" t="str">
        <f t="shared" si="293"/>
        <v>26-35</v>
      </c>
    </row>
    <row r="4373" spans="1:16" x14ac:dyDescent="0.25">
      <c r="A4373">
        <v>4372</v>
      </c>
      <c r="B4373" t="s">
        <v>15</v>
      </c>
      <c r="C4373">
        <v>346500</v>
      </c>
      <c r="D4373" t="s">
        <v>10</v>
      </c>
      <c r="E4373" t="s">
        <v>16</v>
      </c>
      <c r="F4373" t="s">
        <v>12</v>
      </c>
      <c r="G4373" t="s">
        <v>13</v>
      </c>
      <c r="H4373" t="s">
        <v>13</v>
      </c>
      <c r="I4373">
        <v>45</v>
      </c>
      <c r="J4373" t="str" cm="1">
        <f t="array" ref="J4373">_xlfn.IFS(ISBLANK(C4373),"FALTANTE",ABS((C4373-$W$5)/$X$5)&gt;1.96,"ATÍPICO",ABS((C4373-$W$5)/$X$5)&lt;=1.96,"NO ATÍPICO")</f>
        <v>NO ATÍPICO</v>
      </c>
      <c r="K4373" t="str" cm="1">
        <f t="array" ref="K4373">_xlfn.IFS(ISBLANK(I4373),"FALTANTE",ABS((I4373-$W$8)/$X$8)&gt;1.92,"ATÍPICO",ABS((I4373-$W$8)/$X$8)&lt;=1.92,"NO ATÍPICO")</f>
        <v>NO ATÍPICO</v>
      </c>
      <c r="L4373">
        <f t="shared" si="290"/>
        <v>346500</v>
      </c>
      <c r="M4373" t="str">
        <f t="shared" si="290"/>
        <v>ASALARIADO</v>
      </c>
      <c r="N4373">
        <f t="shared" si="291"/>
        <v>45</v>
      </c>
      <c r="O4373" s="19" t="str">
        <f t="shared" si="292"/>
        <v>300k–600k</v>
      </c>
      <c r="P4373" s="19" t="str">
        <f t="shared" si="293"/>
        <v>36-45</v>
      </c>
    </row>
    <row r="4374" spans="1:16" x14ac:dyDescent="0.25">
      <c r="A4374">
        <v>4373</v>
      </c>
      <c r="B4374" t="s">
        <v>9</v>
      </c>
      <c r="C4374">
        <v>343000</v>
      </c>
      <c r="D4374" t="s">
        <v>10</v>
      </c>
      <c r="E4374" t="s">
        <v>16</v>
      </c>
      <c r="F4374" t="s">
        <v>12</v>
      </c>
      <c r="G4374" t="s">
        <v>13</v>
      </c>
      <c r="H4374" t="s">
        <v>13</v>
      </c>
      <c r="I4374">
        <v>51</v>
      </c>
      <c r="J4374" t="str" cm="1">
        <f t="array" ref="J4374">_xlfn.IFS(ISBLANK(C4374),"FALTANTE",ABS((C4374-$W$5)/$X$5)&gt;1.96,"ATÍPICO",ABS((C4374-$W$5)/$X$5)&lt;=1.96,"NO ATÍPICO")</f>
        <v>NO ATÍPICO</v>
      </c>
      <c r="K4374" t="str" cm="1">
        <f t="array" ref="K4374">_xlfn.IFS(ISBLANK(I4374),"FALTANTE",ABS((I4374-$W$8)/$X$8)&gt;1.92,"ATÍPICO",ABS((I4374-$W$8)/$X$8)&lt;=1.92,"NO ATÍPICO")</f>
        <v>NO ATÍPICO</v>
      </c>
      <c r="L4374">
        <f t="shared" si="290"/>
        <v>343000</v>
      </c>
      <c r="M4374" t="str">
        <f t="shared" si="290"/>
        <v>ASALARIADO</v>
      </c>
      <c r="N4374">
        <f t="shared" si="291"/>
        <v>51</v>
      </c>
      <c r="O4374" s="19" t="str">
        <f t="shared" si="292"/>
        <v>300k–600k</v>
      </c>
      <c r="P4374" s="19" t="str">
        <f t="shared" si="293"/>
        <v>46-55</v>
      </c>
    </row>
    <row r="4375" spans="1:16" x14ac:dyDescent="0.25">
      <c r="A4375">
        <v>4374</v>
      </c>
      <c r="B4375" t="s">
        <v>9</v>
      </c>
      <c r="C4375">
        <v>297502</v>
      </c>
      <c r="D4375" t="s">
        <v>18</v>
      </c>
      <c r="E4375" t="s">
        <v>16</v>
      </c>
      <c r="F4375" t="s">
        <v>12</v>
      </c>
      <c r="G4375" t="s">
        <v>13</v>
      </c>
      <c r="H4375" t="s">
        <v>13</v>
      </c>
      <c r="I4375">
        <v>63</v>
      </c>
      <c r="J4375" t="str" cm="1">
        <f t="array" ref="J4375">_xlfn.IFS(ISBLANK(C4375),"FALTANTE",ABS((C4375-$W$5)/$X$5)&gt;1.96,"ATÍPICO",ABS((C4375-$W$5)/$X$5)&lt;=1.96,"NO ATÍPICO")</f>
        <v>NO ATÍPICO</v>
      </c>
      <c r="K4375" t="str" cm="1">
        <f t="array" ref="K4375">_xlfn.IFS(ISBLANK(I4375),"FALTANTE",ABS((I4375-$W$8)/$X$8)&gt;1.92,"ATÍPICO",ABS((I4375-$W$8)/$X$8)&lt;=1.92,"NO ATÍPICO")</f>
        <v>NO ATÍPICO</v>
      </c>
      <c r="L4375">
        <f t="shared" si="290"/>
        <v>297502</v>
      </c>
      <c r="M4375" t="str">
        <f t="shared" si="290"/>
        <v>TRABAJADOR INDEPENDIENTE</v>
      </c>
      <c r="N4375">
        <f t="shared" si="291"/>
        <v>63</v>
      </c>
      <c r="O4375" s="19" t="str">
        <f t="shared" si="292"/>
        <v>0–300k</v>
      </c>
      <c r="P4375" s="19" t="str">
        <f t="shared" si="293"/>
        <v>56+</v>
      </c>
    </row>
    <row r="4376" spans="1:16" x14ac:dyDescent="0.25">
      <c r="A4376">
        <v>4375</v>
      </c>
      <c r="B4376" t="s">
        <v>15</v>
      </c>
      <c r="C4376">
        <v>315617</v>
      </c>
      <c r="D4376" t="s">
        <v>17</v>
      </c>
      <c r="E4376" t="s">
        <v>16</v>
      </c>
      <c r="F4376" t="s">
        <v>12</v>
      </c>
      <c r="G4376" t="s">
        <v>12</v>
      </c>
      <c r="H4376" t="s">
        <v>13</v>
      </c>
      <c r="I4376">
        <v>60</v>
      </c>
      <c r="J4376" t="str" cm="1">
        <f t="array" ref="J4376">_xlfn.IFS(ISBLANK(C4376),"FALTANTE",ABS((C4376-$W$5)/$X$5)&gt;1.96,"ATÍPICO",ABS((C4376-$W$5)/$X$5)&lt;=1.96,"NO ATÍPICO")</f>
        <v>NO ATÍPICO</v>
      </c>
      <c r="K4376" t="str" cm="1">
        <f t="array" ref="K4376">_xlfn.IFS(ISBLANK(I4376),"FALTANTE",ABS((I4376-$W$8)/$X$8)&gt;1.92,"ATÍPICO",ABS((I4376-$W$8)/$X$8)&lt;=1.92,"NO ATÍPICO")</f>
        <v>NO ATÍPICO</v>
      </c>
      <c r="L4376">
        <f t="shared" si="290"/>
        <v>315617</v>
      </c>
      <c r="M4376" t="str">
        <f t="shared" si="290"/>
        <v>ASEGURADO VOLUNTARIO</v>
      </c>
      <c r="N4376">
        <f t="shared" si="291"/>
        <v>60</v>
      </c>
      <c r="O4376" s="19" t="str">
        <f t="shared" si="292"/>
        <v>300k–600k</v>
      </c>
      <c r="P4376" s="19" t="str">
        <f t="shared" si="293"/>
        <v>56+</v>
      </c>
    </row>
    <row r="4377" spans="1:16" x14ac:dyDescent="0.25">
      <c r="A4377">
        <v>4376</v>
      </c>
      <c r="B4377" t="s">
        <v>9</v>
      </c>
      <c r="C4377">
        <v>100000</v>
      </c>
      <c r="D4377" t="s">
        <v>10</v>
      </c>
      <c r="E4377" t="s">
        <v>16</v>
      </c>
      <c r="F4377" t="s">
        <v>12</v>
      </c>
      <c r="G4377" t="s">
        <v>13</v>
      </c>
      <c r="H4377" t="s">
        <v>12</v>
      </c>
      <c r="I4377">
        <v>37</v>
      </c>
      <c r="J4377" t="str" cm="1">
        <f t="array" ref="J4377">_xlfn.IFS(ISBLANK(C4377),"FALTANTE",ABS((C4377-$W$5)/$X$5)&gt;1.96,"ATÍPICO",ABS((C4377-$W$5)/$X$5)&lt;=1.96,"NO ATÍPICO")</f>
        <v>NO ATÍPICO</v>
      </c>
      <c r="K4377" t="str" cm="1">
        <f t="array" ref="K4377">_xlfn.IFS(ISBLANK(I4377),"FALTANTE",ABS((I4377-$W$8)/$X$8)&gt;1.92,"ATÍPICO",ABS((I4377-$W$8)/$X$8)&lt;=1.92,"NO ATÍPICO")</f>
        <v>NO ATÍPICO</v>
      </c>
      <c r="L4377">
        <f t="shared" si="290"/>
        <v>100000</v>
      </c>
      <c r="M4377" t="str">
        <f t="shared" si="290"/>
        <v>ASALARIADO</v>
      </c>
      <c r="N4377">
        <f t="shared" si="291"/>
        <v>37</v>
      </c>
      <c r="O4377" s="19" t="str">
        <f t="shared" si="292"/>
        <v>0–300k</v>
      </c>
      <c r="P4377" s="19" t="str">
        <f t="shared" si="293"/>
        <v>36-45</v>
      </c>
    </row>
    <row r="4378" spans="1:16" x14ac:dyDescent="0.25">
      <c r="A4378">
        <v>4377</v>
      </c>
      <c r="B4378" t="s">
        <v>9</v>
      </c>
      <c r="C4378">
        <v>100000</v>
      </c>
      <c r="D4378" t="s">
        <v>10</v>
      </c>
      <c r="E4378" t="s">
        <v>16</v>
      </c>
      <c r="F4378" t="s">
        <v>12</v>
      </c>
      <c r="G4378" t="s">
        <v>12</v>
      </c>
      <c r="H4378" t="s">
        <v>12</v>
      </c>
      <c r="I4378">
        <v>36</v>
      </c>
      <c r="J4378" t="str" cm="1">
        <f t="array" ref="J4378">_xlfn.IFS(ISBLANK(C4378),"FALTANTE",ABS((C4378-$W$5)/$X$5)&gt;1.96,"ATÍPICO",ABS((C4378-$W$5)/$X$5)&lt;=1.96,"NO ATÍPICO")</f>
        <v>NO ATÍPICO</v>
      </c>
      <c r="K4378" t="str" cm="1">
        <f t="array" ref="K4378">_xlfn.IFS(ISBLANK(I4378),"FALTANTE",ABS((I4378-$W$8)/$X$8)&gt;1.92,"ATÍPICO",ABS((I4378-$W$8)/$X$8)&lt;=1.92,"NO ATÍPICO")</f>
        <v>NO ATÍPICO</v>
      </c>
      <c r="L4378">
        <f t="shared" si="290"/>
        <v>100000</v>
      </c>
      <c r="M4378" t="str">
        <f t="shared" si="290"/>
        <v>ASALARIADO</v>
      </c>
      <c r="N4378">
        <f t="shared" si="291"/>
        <v>36</v>
      </c>
      <c r="O4378" s="19" t="str">
        <f t="shared" si="292"/>
        <v>0–300k</v>
      </c>
      <c r="P4378" s="19" t="str">
        <f t="shared" si="293"/>
        <v>36-45</v>
      </c>
    </row>
    <row r="4379" spans="1:16" x14ac:dyDescent="0.25">
      <c r="A4379">
        <v>4378</v>
      </c>
      <c r="B4379" t="s">
        <v>15</v>
      </c>
      <c r="C4379">
        <v>292533.03999999998</v>
      </c>
      <c r="D4379" t="s">
        <v>10</v>
      </c>
      <c r="E4379" t="s">
        <v>11</v>
      </c>
      <c r="F4379" t="s">
        <v>12</v>
      </c>
      <c r="G4379" t="s">
        <v>13</v>
      </c>
      <c r="H4379" t="s">
        <v>13</v>
      </c>
      <c r="I4379">
        <v>25</v>
      </c>
      <c r="J4379" t="str" cm="1">
        <f t="array" ref="J4379">_xlfn.IFS(ISBLANK(C4379),"FALTANTE",ABS((C4379-$W$5)/$X$5)&gt;1.96,"ATÍPICO",ABS((C4379-$W$5)/$X$5)&lt;=1.96,"NO ATÍPICO")</f>
        <v>NO ATÍPICO</v>
      </c>
      <c r="K4379" t="str" cm="1">
        <f t="array" ref="K4379">_xlfn.IFS(ISBLANK(I4379),"FALTANTE",ABS((I4379-$W$8)/$X$8)&gt;1.92,"ATÍPICO",ABS((I4379-$W$8)/$X$8)&lt;=1.92,"NO ATÍPICO")</f>
        <v>NO ATÍPICO</v>
      </c>
      <c r="L4379">
        <f t="shared" si="290"/>
        <v>292533.03999999998</v>
      </c>
      <c r="M4379" t="str">
        <f t="shared" si="290"/>
        <v>ASALARIADO</v>
      </c>
      <c r="N4379">
        <f t="shared" si="291"/>
        <v>25</v>
      </c>
      <c r="O4379" s="19" t="str">
        <f t="shared" si="292"/>
        <v>0–300k</v>
      </c>
      <c r="P4379" s="19" t="str">
        <f t="shared" si="293"/>
        <v>18-25</v>
      </c>
    </row>
    <row r="4380" spans="1:16" x14ac:dyDescent="0.25">
      <c r="A4380">
        <v>4379</v>
      </c>
      <c r="B4380" t="s">
        <v>15</v>
      </c>
      <c r="C4380">
        <v>297046</v>
      </c>
      <c r="D4380" t="s">
        <v>17</v>
      </c>
      <c r="E4380" t="s">
        <v>16</v>
      </c>
      <c r="F4380" t="s">
        <v>12</v>
      </c>
      <c r="G4380" t="s">
        <v>13</v>
      </c>
      <c r="H4380" t="s">
        <v>13</v>
      </c>
      <c r="I4380">
        <v>55</v>
      </c>
      <c r="J4380" t="str" cm="1">
        <f t="array" ref="J4380">_xlfn.IFS(ISBLANK(C4380),"FALTANTE",ABS((C4380-$W$5)/$X$5)&gt;1.96,"ATÍPICO",ABS((C4380-$W$5)/$X$5)&lt;=1.96,"NO ATÍPICO")</f>
        <v>NO ATÍPICO</v>
      </c>
      <c r="K4380" t="str" cm="1">
        <f t="array" ref="K4380">_xlfn.IFS(ISBLANK(I4380),"FALTANTE",ABS((I4380-$W$8)/$X$8)&gt;1.92,"ATÍPICO",ABS((I4380-$W$8)/$X$8)&lt;=1.92,"NO ATÍPICO")</f>
        <v>NO ATÍPICO</v>
      </c>
      <c r="L4380">
        <f t="shared" si="290"/>
        <v>297046</v>
      </c>
      <c r="M4380" t="str">
        <f t="shared" si="290"/>
        <v>ASEGURADO VOLUNTARIO</v>
      </c>
      <c r="N4380">
        <f t="shared" si="291"/>
        <v>55</v>
      </c>
      <c r="O4380" s="19" t="str">
        <f t="shared" si="292"/>
        <v>0–300k</v>
      </c>
      <c r="P4380" s="19" t="str">
        <f t="shared" si="293"/>
        <v>46-55</v>
      </c>
    </row>
    <row r="4381" spans="1:16" x14ac:dyDescent="0.25">
      <c r="A4381">
        <v>4380</v>
      </c>
      <c r="B4381" t="s">
        <v>9</v>
      </c>
      <c r="C4381">
        <v>382136</v>
      </c>
      <c r="D4381" t="s">
        <v>18</v>
      </c>
      <c r="E4381" t="s">
        <v>16</v>
      </c>
      <c r="F4381" t="s">
        <v>12</v>
      </c>
      <c r="G4381" t="s">
        <v>13</v>
      </c>
      <c r="H4381" t="s">
        <v>12</v>
      </c>
      <c r="I4381">
        <v>63</v>
      </c>
      <c r="J4381" t="str" cm="1">
        <f t="array" ref="J4381">_xlfn.IFS(ISBLANK(C4381),"FALTANTE",ABS((C4381-$W$5)/$X$5)&gt;1.96,"ATÍPICO",ABS((C4381-$W$5)/$X$5)&lt;=1.96,"NO ATÍPICO")</f>
        <v>NO ATÍPICO</v>
      </c>
      <c r="K4381" t="str" cm="1">
        <f t="array" ref="K4381">_xlfn.IFS(ISBLANK(I4381),"FALTANTE",ABS((I4381-$W$8)/$X$8)&gt;1.92,"ATÍPICO",ABS((I4381-$W$8)/$X$8)&lt;=1.92,"NO ATÍPICO")</f>
        <v>NO ATÍPICO</v>
      </c>
      <c r="L4381">
        <f t="shared" si="290"/>
        <v>382136</v>
      </c>
      <c r="M4381" t="str">
        <f t="shared" si="290"/>
        <v>TRABAJADOR INDEPENDIENTE</v>
      </c>
      <c r="N4381">
        <f t="shared" si="291"/>
        <v>63</v>
      </c>
      <c r="O4381" s="19" t="str">
        <f t="shared" si="292"/>
        <v>300k–600k</v>
      </c>
      <c r="P4381" s="19" t="str">
        <f t="shared" si="293"/>
        <v>56+</v>
      </c>
    </row>
    <row r="4382" spans="1:16" x14ac:dyDescent="0.25">
      <c r="A4382">
        <v>4381</v>
      </c>
      <c r="B4382" t="s">
        <v>9</v>
      </c>
      <c r="C4382">
        <v>48857.39</v>
      </c>
      <c r="D4382" t="s">
        <v>10</v>
      </c>
      <c r="E4382" t="s">
        <v>16</v>
      </c>
      <c r="F4382" t="s">
        <v>12</v>
      </c>
      <c r="G4382" t="s">
        <v>13</v>
      </c>
      <c r="H4382" t="s">
        <v>13</v>
      </c>
      <c r="I4382">
        <v>41</v>
      </c>
      <c r="J4382" t="str" cm="1">
        <f t="array" ref="J4382">_xlfn.IFS(ISBLANK(C4382),"FALTANTE",ABS((C4382-$W$5)/$X$5)&gt;1.96,"ATÍPICO",ABS((C4382-$W$5)/$X$5)&lt;=1.96,"NO ATÍPICO")</f>
        <v>NO ATÍPICO</v>
      </c>
      <c r="K4382" t="str" cm="1">
        <f t="array" ref="K4382">_xlfn.IFS(ISBLANK(I4382),"FALTANTE",ABS((I4382-$W$8)/$X$8)&gt;1.92,"ATÍPICO",ABS((I4382-$W$8)/$X$8)&lt;=1.92,"NO ATÍPICO")</f>
        <v>NO ATÍPICO</v>
      </c>
      <c r="L4382">
        <f t="shared" si="290"/>
        <v>48857.39</v>
      </c>
      <c r="M4382" t="str">
        <f t="shared" si="290"/>
        <v>ASALARIADO</v>
      </c>
      <c r="N4382">
        <f t="shared" si="291"/>
        <v>41</v>
      </c>
      <c r="O4382" s="19" t="str">
        <f t="shared" si="292"/>
        <v>0–300k</v>
      </c>
      <c r="P4382" s="19" t="str">
        <f t="shared" si="293"/>
        <v>36-45</v>
      </c>
    </row>
    <row r="4383" spans="1:16" x14ac:dyDescent="0.25">
      <c r="A4383">
        <v>4382</v>
      </c>
      <c r="B4383" t="s">
        <v>15</v>
      </c>
      <c r="C4383">
        <v>550000</v>
      </c>
      <c r="D4383" t="s">
        <v>10</v>
      </c>
      <c r="E4383" t="s">
        <v>16</v>
      </c>
      <c r="F4383" t="s">
        <v>12</v>
      </c>
      <c r="G4383" t="s">
        <v>13</v>
      </c>
      <c r="H4383" t="s">
        <v>13</v>
      </c>
      <c r="I4383">
        <v>27</v>
      </c>
      <c r="J4383" t="str" cm="1">
        <f t="array" ref="J4383">_xlfn.IFS(ISBLANK(C4383),"FALTANTE",ABS((C4383-$W$5)/$X$5)&gt;1.96,"ATÍPICO",ABS((C4383-$W$5)/$X$5)&lt;=1.96,"NO ATÍPICO")</f>
        <v>NO ATÍPICO</v>
      </c>
      <c r="K4383" t="str" cm="1">
        <f t="array" ref="K4383">_xlfn.IFS(ISBLANK(I4383),"FALTANTE",ABS((I4383-$W$8)/$X$8)&gt;1.92,"ATÍPICO",ABS((I4383-$W$8)/$X$8)&lt;=1.92,"NO ATÍPICO")</f>
        <v>NO ATÍPICO</v>
      </c>
      <c r="L4383">
        <f t="shared" si="290"/>
        <v>550000</v>
      </c>
      <c r="M4383" t="str">
        <f t="shared" si="290"/>
        <v>ASALARIADO</v>
      </c>
      <c r="N4383">
        <f t="shared" si="291"/>
        <v>27</v>
      </c>
      <c r="O4383" s="19" t="str">
        <f t="shared" si="292"/>
        <v>300k–600k</v>
      </c>
      <c r="P4383" s="19" t="str">
        <f t="shared" si="293"/>
        <v>26-35</v>
      </c>
    </row>
    <row r="4384" spans="1:16" x14ac:dyDescent="0.25">
      <c r="A4384">
        <v>4383</v>
      </c>
      <c r="B4384" t="s">
        <v>15</v>
      </c>
      <c r="C4384">
        <v>1843614</v>
      </c>
      <c r="D4384" t="s">
        <v>10</v>
      </c>
      <c r="E4384" t="s">
        <v>11</v>
      </c>
      <c r="F4384" t="s">
        <v>12</v>
      </c>
      <c r="G4384" t="s">
        <v>13</v>
      </c>
      <c r="H4384" t="s">
        <v>13</v>
      </c>
      <c r="I4384">
        <v>59</v>
      </c>
      <c r="J4384" t="str" cm="1">
        <f t="array" ref="J4384">_xlfn.IFS(ISBLANK(C4384),"FALTANTE",ABS((C4384-$W$5)/$X$5)&gt;1.96,"ATÍPICO",ABS((C4384-$W$5)/$X$5)&lt;=1.96,"NO ATÍPICO")</f>
        <v>NO ATÍPICO</v>
      </c>
      <c r="K4384" t="str" cm="1">
        <f t="array" ref="K4384">_xlfn.IFS(ISBLANK(I4384),"FALTANTE",ABS((I4384-$W$8)/$X$8)&gt;1.92,"ATÍPICO",ABS((I4384-$W$8)/$X$8)&lt;=1.92,"NO ATÍPICO")</f>
        <v>NO ATÍPICO</v>
      </c>
      <c r="L4384">
        <f t="shared" si="290"/>
        <v>1843614</v>
      </c>
      <c r="M4384" t="str">
        <f t="shared" si="290"/>
        <v>ASALARIADO</v>
      </c>
      <c r="N4384">
        <f t="shared" si="291"/>
        <v>59</v>
      </c>
      <c r="O4384" s="19" t="str">
        <f t="shared" si="292"/>
        <v>1200k+</v>
      </c>
      <c r="P4384" s="19" t="str">
        <f t="shared" si="293"/>
        <v>56+</v>
      </c>
    </row>
    <row r="4385" spans="1:16" x14ac:dyDescent="0.25">
      <c r="A4385">
        <v>4384</v>
      </c>
      <c r="B4385" t="s">
        <v>9</v>
      </c>
      <c r="C4385">
        <v>547158</v>
      </c>
      <c r="D4385" t="s">
        <v>10</v>
      </c>
      <c r="E4385" t="s">
        <v>11</v>
      </c>
      <c r="F4385" t="s">
        <v>12</v>
      </c>
      <c r="G4385" t="s">
        <v>13</v>
      </c>
      <c r="H4385" t="s">
        <v>12</v>
      </c>
      <c r="I4385">
        <v>22</v>
      </c>
      <c r="J4385" t="str" cm="1">
        <f t="array" ref="J4385">_xlfn.IFS(ISBLANK(C4385),"FALTANTE",ABS((C4385-$W$5)/$X$5)&gt;1.96,"ATÍPICO",ABS((C4385-$W$5)/$X$5)&lt;=1.96,"NO ATÍPICO")</f>
        <v>NO ATÍPICO</v>
      </c>
      <c r="K4385" t="str" cm="1">
        <f t="array" ref="K4385">_xlfn.IFS(ISBLANK(I4385),"FALTANTE",ABS((I4385-$W$8)/$X$8)&gt;1.92,"ATÍPICO",ABS((I4385-$W$8)/$X$8)&lt;=1.92,"NO ATÍPICO")</f>
        <v>NO ATÍPICO</v>
      </c>
      <c r="L4385">
        <f t="shared" si="290"/>
        <v>547158</v>
      </c>
      <c r="M4385" t="str">
        <f t="shared" si="290"/>
        <v>ASALARIADO</v>
      </c>
      <c r="N4385">
        <f t="shared" si="291"/>
        <v>22</v>
      </c>
      <c r="O4385" s="19" t="str">
        <f t="shared" si="292"/>
        <v>300k–600k</v>
      </c>
      <c r="P4385" s="19" t="str">
        <f t="shared" si="293"/>
        <v>18-25</v>
      </c>
    </row>
    <row r="4386" spans="1:16" x14ac:dyDescent="0.25">
      <c r="A4386">
        <v>4385</v>
      </c>
      <c r="B4386" t="s">
        <v>15</v>
      </c>
      <c r="C4386">
        <v>1482847</v>
      </c>
      <c r="D4386" t="s">
        <v>10</v>
      </c>
      <c r="E4386" t="s">
        <v>11</v>
      </c>
      <c r="F4386" t="s">
        <v>12</v>
      </c>
      <c r="G4386" t="s">
        <v>13</v>
      </c>
      <c r="H4386" t="s">
        <v>12</v>
      </c>
      <c r="I4386">
        <v>29</v>
      </c>
      <c r="J4386" t="str" cm="1">
        <f t="array" ref="J4386">_xlfn.IFS(ISBLANK(C4386),"FALTANTE",ABS((C4386-$W$5)/$X$5)&gt;1.96,"ATÍPICO",ABS((C4386-$W$5)/$X$5)&lt;=1.96,"NO ATÍPICO")</f>
        <v>NO ATÍPICO</v>
      </c>
      <c r="K4386" t="str" cm="1">
        <f t="array" ref="K4386">_xlfn.IFS(ISBLANK(I4386),"FALTANTE",ABS((I4386-$W$8)/$X$8)&gt;1.92,"ATÍPICO",ABS((I4386-$W$8)/$X$8)&lt;=1.92,"NO ATÍPICO")</f>
        <v>NO ATÍPICO</v>
      </c>
      <c r="L4386">
        <f t="shared" si="290"/>
        <v>1482847</v>
      </c>
      <c r="M4386" t="str">
        <f t="shared" si="290"/>
        <v>ASALARIADO</v>
      </c>
      <c r="N4386">
        <f t="shared" si="291"/>
        <v>29</v>
      </c>
      <c r="O4386" s="19" t="str">
        <f t="shared" si="292"/>
        <v>1200k+</v>
      </c>
      <c r="P4386" s="19" t="str">
        <f t="shared" si="293"/>
        <v>26-35</v>
      </c>
    </row>
    <row r="4387" spans="1:16" x14ac:dyDescent="0.25">
      <c r="A4387">
        <v>4386</v>
      </c>
      <c r="B4387" t="s">
        <v>15</v>
      </c>
      <c r="C4387">
        <v>927503.14</v>
      </c>
      <c r="D4387" t="s">
        <v>10</v>
      </c>
      <c r="E4387" t="s">
        <v>16</v>
      </c>
      <c r="F4387" t="s">
        <v>12</v>
      </c>
      <c r="G4387" t="s">
        <v>13</v>
      </c>
      <c r="H4387" t="s">
        <v>13</v>
      </c>
      <c r="I4387">
        <v>50</v>
      </c>
      <c r="J4387" t="str" cm="1">
        <f t="array" ref="J4387">_xlfn.IFS(ISBLANK(C4387),"FALTANTE",ABS((C4387-$W$5)/$X$5)&gt;1.96,"ATÍPICO",ABS((C4387-$W$5)/$X$5)&lt;=1.96,"NO ATÍPICO")</f>
        <v>NO ATÍPICO</v>
      </c>
      <c r="K4387" t="str" cm="1">
        <f t="array" ref="K4387">_xlfn.IFS(ISBLANK(I4387),"FALTANTE",ABS((I4387-$W$8)/$X$8)&gt;1.92,"ATÍPICO",ABS((I4387-$W$8)/$X$8)&lt;=1.92,"NO ATÍPICO")</f>
        <v>NO ATÍPICO</v>
      </c>
      <c r="L4387">
        <f t="shared" si="290"/>
        <v>927503.14</v>
      </c>
      <c r="M4387" t="str">
        <f t="shared" si="290"/>
        <v>ASALARIADO</v>
      </c>
      <c r="N4387">
        <f t="shared" si="291"/>
        <v>50</v>
      </c>
      <c r="O4387" s="19" t="str">
        <f t="shared" si="292"/>
        <v>900k–1200k</v>
      </c>
      <c r="P4387" s="19" t="str">
        <f t="shared" si="293"/>
        <v>46-55</v>
      </c>
    </row>
    <row r="4388" spans="1:16" x14ac:dyDescent="0.25">
      <c r="A4388">
        <v>4387</v>
      </c>
      <c r="B4388" t="s">
        <v>9</v>
      </c>
      <c r="C4388">
        <v>299647</v>
      </c>
      <c r="D4388" t="s">
        <v>18</v>
      </c>
      <c r="E4388" t="s">
        <v>16</v>
      </c>
      <c r="F4388" t="s">
        <v>12</v>
      </c>
      <c r="G4388" t="s">
        <v>13</v>
      </c>
      <c r="H4388" t="s">
        <v>12</v>
      </c>
      <c r="I4388">
        <v>36</v>
      </c>
      <c r="J4388" t="str" cm="1">
        <f t="array" ref="J4388">_xlfn.IFS(ISBLANK(C4388),"FALTANTE",ABS((C4388-$W$5)/$X$5)&gt;1.96,"ATÍPICO",ABS((C4388-$W$5)/$X$5)&lt;=1.96,"NO ATÍPICO")</f>
        <v>NO ATÍPICO</v>
      </c>
      <c r="K4388" t="str" cm="1">
        <f t="array" ref="K4388">_xlfn.IFS(ISBLANK(I4388),"FALTANTE",ABS((I4388-$W$8)/$X$8)&gt;1.92,"ATÍPICO",ABS((I4388-$W$8)/$X$8)&lt;=1.92,"NO ATÍPICO")</f>
        <v>NO ATÍPICO</v>
      </c>
      <c r="L4388">
        <f t="shared" si="290"/>
        <v>299647</v>
      </c>
      <c r="M4388" t="str">
        <f t="shared" si="290"/>
        <v>TRABAJADOR INDEPENDIENTE</v>
      </c>
      <c r="N4388">
        <f t="shared" si="291"/>
        <v>36</v>
      </c>
      <c r="O4388" s="19" t="str">
        <f t="shared" si="292"/>
        <v>0–300k</v>
      </c>
      <c r="P4388" s="19" t="str">
        <f t="shared" si="293"/>
        <v>36-45</v>
      </c>
    </row>
    <row r="4389" spans="1:16" x14ac:dyDescent="0.25">
      <c r="A4389">
        <v>4388</v>
      </c>
      <c r="B4389" t="s">
        <v>9</v>
      </c>
      <c r="C4389">
        <v>967077</v>
      </c>
      <c r="D4389" t="s">
        <v>10</v>
      </c>
      <c r="E4389" t="s">
        <v>11</v>
      </c>
      <c r="F4389" t="s">
        <v>12</v>
      </c>
      <c r="G4389" t="s">
        <v>13</v>
      </c>
      <c r="H4389" t="s">
        <v>13</v>
      </c>
      <c r="I4389">
        <v>53</v>
      </c>
      <c r="J4389" t="str" cm="1">
        <f t="array" ref="J4389">_xlfn.IFS(ISBLANK(C4389),"FALTANTE",ABS((C4389-$W$5)/$X$5)&gt;1.96,"ATÍPICO",ABS((C4389-$W$5)/$X$5)&lt;=1.96,"NO ATÍPICO")</f>
        <v>NO ATÍPICO</v>
      </c>
      <c r="K4389" t="str" cm="1">
        <f t="array" ref="K4389">_xlfn.IFS(ISBLANK(I4389),"FALTANTE",ABS((I4389-$W$8)/$X$8)&gt;1.92,"ATÍPICO",ABS((I4389-$W$8)/$X$8)&lt;=1.92,"NO ATÍPICO")</f>
        <v>NO ATÍPICO</v>
      </c>
      <c r="L4389">
        <f t="shared" si="290"/>
        <v>967077</v>
      </c>
      <c r="M4389" t="str">
        <f t="shared" si="290"/>
        <v>ASALARIADO</v>
      </c>
      <c r="N4389">
        <f t="shared" si="291"/>
        <v>53</v>
      </c>
      <c r="O4389" s="19" t="str">
        <f t="shared" si="292"/>
        <v>900k–1200k</v>
      </c>
      <c r="P4389" s="19" t="str">
        <f t="shared" si="293"/>
        <v>46-55</v>
      </c>
    </row>
    <row r="4390" spans="1:16" x14ac:dyDescent="0.25">
      <c r="A4390">
        <v>4389</v>
      </c>
      <c r="B4390" t="s">
        <v>9</v>
      </c>
      <c r="C4390">
        <v>326749</v>
      </c>
      <c r="D4390" t="s">
        <v>18</v>
      </c>
      <c r="E4390" t="s">
        <v>16</v>
      </c>
      <c r="F4390" t="s">
        <v>12</v>
      </c>
      <c r="G4390" t="s">
        <v>13</v>
      </c>
      <c r="H4390" t="s">
        <v>12</v>
      </c>
      <c r="I4390">
        <v>54</v>
      </c>
      <c r="J4390" t="str" cm="1">
        <f t="array" ref="J4390">_xlfn.IFS(ISBLANK(C4390),"FALTANTE",ABS((C4390-$W$5)/$X$5)&gt;1.96,"ATÍPICO",ABS((C4390-$W$5)/$X$5)&lt;=1.96,"NO ATÍPICO")</f>
        <v>NO ATÍPICO</v>
      </c>
      <c r="K4390" t="str" cm="1">
        <f t="array" ref="K4390">_xlfn.IFS(ISBLANK(I4390),"FALTANTE",ABS((I4390-$W$8)/$X$8)&gt;1.92,"ATÍPICO",ABS((I4390-$W$8)/$X$8)&lt;=1.92,"NO ATÍPICO")</f>
        <v>NO ATÍPICO</v>
      </c>
      <c r="L4390">
        <f t="shared" si="290"/>
        <v>326749</v>
      </c>
      <c r="M4390" t="str">
        <f t="shared" si="290"/>
        <v>TRABAJADOR INDEPENDIENTE</v>
      </c>
      <c r="N4390">
        <f t="shared" si="291"/>
        <v>54</v>
      </c>
      <c r="O4390" s="19" t="str">
        <f t="shared" si="292"/>
        <v>300k–600k</v>
      </c>
      <c r="P4390" s="19" t="str">
        <f t="shared" si="293"/>
        <v>46-55</v>
      </c>
    </row>
    <row r="4391" spans="1:16" x14ac:dyDescent="0.25">
      <c r="A4391">
        <v>4390</v>
      </c>
      <c r="B4391" t="s">
        <v>9</v>
      </c>
      <c r="C4391">
        <v>5122871.99</v>
      </c>
      <c r="D4391" t="s">
        <v>10</v>
      </c>
      <c r="E4391" t="s">
        <v>11</v>
      </c>
      <c r="F4391" t="s">
        <v>12</v>
      </c>
      <c r="G4391" t="s">
        <v>13</v>
      </c>
      <c r="H4391" t="s">
        <v>13</v>
      </c>
      <c r="I4391">
        <v>47</v>
      </c>
      <c r="J4391" t="str" cm="1">
        <f t="array" ref="J4391">_xlfn.IFS(ISBLANK(C4391),"FALTANTE",ABS((C4391-$W$5)/$X$5)&gt;1.96,"ATÍPICO",ABS((C4391-$W$5)/$X$5)&lt;=1.96,"NO ATÍPICO")</f>
        <v>ATÍPICO</v>
      </c>
      <c r="K4391" t="str" cm="1">
        <f t="array" ref="K4391">_xlfn.IFS(ISBLANK(I4391),"FALTANTE",ABS((I4391-$W$8)/$X$8)&gt;1.92,"ATÍPICO",ABS((I4391-$W$8)/$X$8)&lt;=1.92,"NO ATÍPICO")</f>
        <v>NO ATÍPICO</v>
      </c>
      <c r="L4391">
        <f t="shared" si="290"/>
        <v>5122871.99</v>
      </c>
      <c r="M4391" t="str">
        <f t="shared" si="290"/>
        <v>ASALARIADO</v>
      </c>
      <c r="N4391">
        <f t="shared" si="291"/>
        <v>47</v>
      </c>
      <c r="O4391" s="19" t="str">
        <f t="shared" si="292"/>
        <v>1200k+</v>
      </c>
      <c r="P4391" s="19" t="str">
        <f t="shared" si="293"/>
        <v>46-55</v>
      </c>
    </row>
    <row r="4392" spans="1:16" x14ac:dyDescent="0.25">
      <c r="A4392">
        <v>4391</v>
      </c>
      <c r="B4392" t="s">
        <v>15</v>
      </c>
      <c r="C4392">
        <v>530434.05000000005</v>
      </c>
      <c r="D4392" t="s">
        <v>10</v>
      </c>
      <c r="E4392" t="s">
        <v>16</v>
      </c>
      <c r="F4392" t="s">
        <v>12</v>
      </c>
      <c r="G4392" t="s">
        <v>13</v>
      </c>
      <c r="H4392" t="s">
        <v>13</v>
      </c>
      <c r="I4392">
        <v>25</v>
      </c>
      <c r="J4392" t="str" cm="1">
        <f t="array" ref="J4392">_xlfn.IFS(ISBLANK(C4392),"FALTANTE",ABS((C4392-$W$5)/$X$5)&gt;1.96,"ATÍPICO",ABS((C4392-$W$5)/$X$5)&lt;=1.96,"NO ATÍPICO")</f>
        <v>NO ATÍPICO</v>
      </c>
      <c r="K4392" t="str" cm="1">
        <f t="array" ref="K4392">_xlfn.IFS(ISBLANK(I4392),"FALTANTE",ABS((I4392-$W$8)/$X$8)&gt;1.92,"ATÍPICO",ABS((I4392-$W$8)/$X$8)&lt;=1.92,"NO ATÍPICO")</f>
        <v>NO ATÍPICO</v>
      </c>
      <c r="L4392">
        <f t="shared" si="290"/>
        <v>530434.05000000005</v>
      </c>
      <c r="M4392" t="str">
        <f t="shared" si="290"/>
        <v>ASALARIADO</v>
      </c>
      <c r="N4392">
        <f t="shared" si="291"/>
        <v>25</v>
      </c>
      <c r="O4392" s="19" t="str">
        <f t="shared" si="292"/>
        <v>300k–600k</v>
      </c>
      <c r="P4392" s="19" t="str">
        <f t="shared" si="293"/>
        <v>18-25</v>
      </c>
    </row>
    <row r="4393" spans="1:16" x14ac:dyDescent="0.25">
      <c r="A4393">
        <v>4392</v>
      </c>
      <c r="B4393" t="s">
        <v>9</v>
      </c>
      <c r="C4393">
        <v>182182</v>
      </c>
      <c r="D4393" t="s">
        <v>10</v>
      </c>
      <c r="E4393" t="s">
        <v>16</v>
      </c>
      <c r="F4393" t="s">
        <v>12</v>
      </c>
      <c r="G4393" t="s">
        <v>13</v>
      </c>
      <c r="H4393" t="s">
        <v>13</v>
      </c>
      <c r="I4393">
        <v>26</v>
      </c>
      <c r="J4393" t="str" cm="1">
        <f t="array" ref="J4393">_xlfn.IFS(ISBLANK(C4393),"FALTANTE",ABS((C4393-$W$5)/$X$5)&gt;1.96,"ATÍPICO",ABS((C4393-$W$5)/$X$5)&lt;=1.96,"NO ATÍPICO")</f>
        <v>NO ATÍPICO</v>
      </c>
      <c r="K4393" t="str" cm="1">
        <f t="array" ref="K4393">_xlfn.IFS(ISBLANK(I4393),"FALTANTE",ABS((I4393-$W$8)/$X$8)&gt;1.92,"ATÍPICO",ABS((I4393-$W$8)/$X$8)&lt;=1.92,"NO ATÍPICO")</f>
        <v>NO ATÍPICO</v>
      </c>
      <c r="L4393">
        <f t="shared" si="290"/>
        <v>182182</v>
      </c>
      <c r="M4393" t="str">
        <f t="shared" si="290"/>
        <v>ASALARIADO</v>
      </c>
      <c r="N4393">
        <f t="shared" si="291"/>
        <v>26</v>
      </c>
      <c r="O4393" s="19" t="str">
        <f t="shared" si="292"/>
        <v>0–300k</v>
      </c>
      <c r="P4393" s="19" t="str">
        <f t="shared" si="293"/>
        <v>26-35</v>
      </c>
    </row>
    <row r="4394" spans="1:16" x14ac:dyDescent="0.25">
      <c r="A4394">
        <v>4393</v>
      </c>
      <c r="B4394" t="s">
        <v>9</v>
      </c>
      <c r="C4394">
        <v>278030.99</v>
      </c>
      <c r="D4394" t="s">
        <v>19</v>
      </c>
      <c r="E4394" t="s">
        <v>16</v>
      </c>
      <c r="F4394" t="s">
        <v>12</v>
      </c>
      <c r="G4394" t="s">
        <v>13</v>
      </c>
      <c r="H4394" t="s">
        <v>13</v>
      </c>
      <c r="I4394">
        <v>27</v>
      </c>
      <c r="J4394" t="str" cm="1">
        <f t="array" ref="J4394">_xlfn.IFS(ISBLANK(C4394),"FALTANTE",ABS((C4394-$W$5)/$X$5)&gt;1.96,"ATÍPICO",ABS((C4394-$W$5)/$X$5)&lt;=1.96,"NO ATÍPICO")</f>
        <v>NO ATÍPICO</v>
      </c>
      <c r="K4394" t="str" cm="1">
        <f t="array" ref="K4394">_xlfn.IFS(ISBLANK(I4394),"FALTANTE",ABS((I4394-$W$8)/$X$8)&gt;1.92,"ATÍPICO",ABS((I4394-$W$8)/$X$8)&lt;=1.92,"NO ATÍPICO")</f>
        <v>NO ATÍPICO</v>
      </c>
      <c r="L4394">
        <f t="shared" si="290"/>
        <v>278030.99</v>
      </c>
      <c r="M4394" t="str">
        <f t="shared" si="290"/>
        <v>CONVENIOS ESPECIALES DE TRABAJADORES INDEPENDIENTES</v>
      </c>
      <c r="N4394">
        <f t="shared" si="291"/>
        <v>27</v>
      </c>
      <c r="O4394" s="19" t="str">
        <f t="shared" si="292"/>
        <v>0–300k</v>
      </c>
      <c r="P4394" s="19" t="str">
        <f t="shared" si="293"/>
        <v>26-35</v>
      </c>
    </row>
    <row r="4395" spans="1:16" x14ac:dyDescent="0.25">
      <c r="A4395">
        <v>4394</v>
      </c>
      <c r="B4395" t="s">
        <v>15</v>
      </c>
      <c r="C4395">
        <v>302470</v>
      </c>
      <c r="D4395" t="s">
        <v>17</v>
      </c>
      <c r="E4395" t="s">
        <v>16</v>
      </c>
      <c r="F4395" t="s">
        <v>12</v>
      </c>
      <c r="G4395" t="s">
        <v>13</v>
      </c>
      <c r="H4395" t="s">
        <v>13</v>
      </c>
      <c r="I4395">
        <v>54</v>
      </c>
      <c r="J4395" t="str" cm="1">
        <f t="array" ref="J4395">_xlfn.IFS(ISBLANK(C4395),"FALTANTE",ABS((C4395-$W$5)/$X$5)&gt;1.96,"ATÍPICO",ABS((C4395-$W$5)/$X$5)&lt;=1.96,"NO ATÍPICO")</f>
        <v>NO ATÍPICO</v>
      </c>
      <c r="K4395" t="str" cm="1">
        <f t="array" ref="K4395">_xlfn.IFS(ISBLANK(I4395),"FALTANTE",ABS((I4395-$W$8)/$X$8)&gt;1.92,"ATÍPICO",ABS((I4395-$W$8)/$X$8)&lt;=1.92,"NO ATÍPICO")</f>
        <v>NO ATÍPICO</v>
      </c>
      <c r="L4395">
        <f t="shared" si="290"/>
        <v>302470</v>
      </c>
      <c r="M4395" t="str">
        <f t="shared" si="290"/>
        <v>ASEGURADO VOLUNTARIO</v>
      </c>
      <c r="N4395">
        <f t="shared" si="291"/>
        <v>54</v>
      </c>
      <c r="O4395" s="19" t="str">
        <f t="shared" si="292"/>
        <v>300k–600k</v>
      </c>
      <c r="P4395" s="19" t="str">
        <f t="shared" si="293"/>
        <v>46-55</v>
      </c>
    </row>
    <row r="4396" spans="1:16" x14ac:dyDescent="0.25">
      <c r="A4396">
        <v>4395</v>
      </c>
      <c r="B4396" t="s">
        <v>9</v>
      </c>
      <c r="C4396">
        <v>347719.55</v>
      </c>
      <c r="D4396" t="s">
        <v>10</v>
      </c>
      <c r="E4396" t="s">
        <v>16</v>
      </c>
      <c r="F4396" t="s">
        <v>12</v>
      </c>
      <c r="G4396" t="s">
        <v>13</v>
      </c>
      <c r="H4396" t="s">
        <v>13</v>
      </c>
      <c r="I4396">
        <v>19</v>
      </c>
      <c r="J4396" t="str" cm="1">
        <f t="array" ref="J4396">_xlfn.IFS(ISBLANK(C4396),"FALTANTE",ABS((C4396-$W$5)/$X$5)&gt;1.96,"ATÍPICO",ABS((C4396-$W$5)/$X$5)&lt;=1.96,"NO ATÍPICO")</f>
        <v>NO ATÍPICO</v>
      </c>
      <c r="K4396" t="str" cm="1">
        <f t="array" ref="K4396">_xlfn.IFS(ISBLANK(I4396),"FALTANTE",ABS((I4396-$W$8)/$X$8)&gt;1.92,"ATÍPICO",ABS((I4396-$W$8)/$X$8)&lt;=1.92,"NO ATÍPICO")</f>
        <v>NO ATÍPICO</v>
      </c>
      <c r="L4396">
        <f t="shared" si="290"/>
        <v>347719.55</v>
      </c>
      <c r="M4396" t="str">
        <f t="shared" si="290"/>
        <v>ASALARIADO</v>
      </c>
      <c r="N4396">
        <f t="shared" si="291"/>
        <v>19</v>
      </c>
      <c r="O4396" s="19" t="str">
        <f t="shared" si="292"/>
        <v>300k–600k</v>
      </c>
      <c r="P4396" s="19" t="str">
        <f t="shared" si="293"/>
        <v>18-25</v>
      </c>
    </row>
    <row r="4397" spans="1:16" x14ac:dyDescent="0.25">
      <c r="A4397">
        <v>4396</v>
      </c>
      <c r="B4397" t="s">
        <v>9</v>
      </c>
      <c r="C4397">
        <v>312000</v>
      </c>
      <c r="D4397" t="s">
        <v>10</v>
      </c>
      <c r="E4397" t="s">
        <v>16</v>
      </c>
      <c r="F4397" t="s">
        <v>12</v>
      </c>
      <c r="G4397" t="s">
        <v>13</v>
      </c>
      <c r="H4397" t="s">
        <v>12</v>
      </c>
      <c r="I4397">
        <v>64</v>
      </c>
      <c r="J4397" t="str" cm="1">
        <f t="array" ref="J4397">_xlfn.IFS(ISBLANK(C4397),"FALTANTE",ABS((C4397-$W$5)/$X$5)&gt;1.96,"ATÍPICO",ABS((C4397-$W$5)/$X$5)&lt;=1.96,"NO ATÍPICO")</f>
        <v>NO ATÍPICO</v>
      </c>
      <c r="K4397" t="str" cm="1">
        <f t="array" ref="K4397">_xlfn.IFS(ISBLANK(I4397),"FALTANTE",ABS((I4397-$W$8)/$X$8)&gt;1.92,"ATÍPICO",ABS((I4397-$W$8)/$X$8)&lt;=1.92,"NO ATÍPICO")</f>
        <v>NO ATÍPICO</v>
      </c>
      <c r="L4397">
        <f t="shared" si="290"/>
        <v>312000</v>
      </c>
      <c r="M4397" t="str">
        <f t="shared" si="290"/>
        <v>ASALARIADO</v>
      </c>
      <c r="N4397">
        <f t="shared" si="291"/>
        <v>64</v>
      </c>
      <c r="O4397" s="19" t="str">
        <f t="shared" si="292"/>
        <v>300k–600k</v>
      </c>
      <c r="P4397" s="19" t="str">
        <f t="shared" si="293"/>
        <v>56+</v>
      </c>
    </row>
    <row r="4398" spans="1:16" x14ac:dyDescent="0.25">
      <c r="A4398">
        <v>4397</v>
      </c>
      <c r="B4398" t="s">
        <v>9</v>
      </c>
      <c r="C4398">
        <v>310124</v>
      </c>
      <c r="D4398" t="s">
        <v>18</v>
      </c>
      <c r="E4398" t="s">
        <v>16</v>
      </c>
      <c r="F4398" t="s">
        <v>12</v>
      </c>
      <c r="G4398" t="s">
        <v>13</v>
      </c>
      <c r="H4398" t="s">
        <v>13</v>
      </c>
      <c r="I4398">
        <v>43</v>
      </c>
      <c r="J4398" t="str" cm="1">
        <f t="array" ref="J4398">_xlfn.IFS(ISBLANK(C4398),"FALTANTE",ABS((C4398-$W$5)/$X$5)&gt;1.96,"ATÍPICO",ABS((C4398-$W$5)/$X$5)&lt;=1.96,"NO ATÍPICO")</f>
        <v>NO ATÍPICO</v>
      </c>
      <c r="K4398" t="str" cm="1">
        <f t="array" ref="K4398">_xlfn.IFS(ISBLANK(I4398),"FALTANTE",ABS((I4398-$W$8)/$X$8)&gt;1.92,"ATÍPICO",ABS((I4398-$W$8)/$X$8)&lt;=1.92,"NO ATÍPICO")</f>
        <v>NO ATÍPICO</v>
      </c>
      <c r="L4398">
        <f t="shared" si="290"/>
        <v>310124</v>
      </c>
      <c r="M4398" t="str">
        <f t="shared" si="290"/>
        <v>TRABAJADOR INDEPENDIENTE</v>
      </c>
      <c r="N4398">
        <f t="shared" si="291"/>
        <v>43</v>
      </c>
      <c r="O4398" s="19" t="str">
        <f t="shared" si="292"/>
        <v>300k–600k</v>
      </c>
      <c r="P4398" s="19" t="str">
        <f t="shared" si="293"/>
        <v>36-45</v>
      </c>
    </row>
    <row r="4399" spans="1:16" x14ac:dyDescent="0.25">
      <c r="A4399">
        <v>4398</v>
      </c>
      <c r="B4399" t="s">
        <v>15</v>
      </c>
      <c r="C4399">
        <v>297046</v>
      </c>
      <c r="D4399" t="s">
        <v>18</v>
      </c>
      <c r="E4399" t="s">
        <v>16</v>
      </c>
      <c r="F4399" t="s">
        <v>12</v>
      </c>
      <c r="G4399" t="s">
        <v>13</v>
      </c>
      <c r="H4399" t="s">
        <v>13</v>
      </c>
      <c r="I4399">
        <v>27</v>
      </c>
      <c r="J4399" t="str" cm="1">
        <f t="array" ref="J4399">_xlfn.IFS(ISBLANK(C4399),"FALTANTE",ABS((C4399-$W$5)/$X$5)&gt;1.96,"ATÍPICO",ABS((C4399-$W$5)/$X$5)&lt;=1.96,"NO ATÍPICO")</f>
        <v>NO ATÍPICO</v>
      </c>
      <c r="K4399" t="str" cm="1">
        <f t="array" ref="K4399">_xlfn.IFS(ISBLANK(I4399),"FALTANTE",ABS((I4399-$W$8)/$X$8)&gt;1.92,"ATÍPICO",ABS((I4399-$W$8)/$X$8)&lt;=1.92,"NO ATÍPICO")</f>
        <v>NO ATÍPICO</v>
      </c>
      <c r="L4399">
        <f t="shared" si="290"/>
        <v>297046</v>
      </c>
      <c r="M4399" t="str">
        <f t="shared" si="290"/>
        <v>TRABAJADOR INDEPENDIENTE</v>
      </c>
      <c r="N4399">
        <f t="shared" si="291"/>
        <v>27</v>
      </c>
      <c r="O4399" s="19" t="str">
        <f t="shared" si="292"/>
        <v>0–300k</v>
      </c>
      <c r="P4399" s="19" t="str">
        <f t="shared" si="293"/>
        <v>26-35</v>
      </c>
    </row>
    <row r="4400" spans="1:16" x14ac:dyDescent="0.25">
      <c r="A4400">
        <v>4399</v>
      </c>
      <c r="B4400" t="s">
        <v>9</v>
      </c>
      <c r="C4400">
        <v>403776</v>
      </c>
      <c r="D4400" t="s">
        <v>10</v>
      </c>
      <c r="E4400" t="s">
        <v>16</v>
      </c>
      <c r="F4400" t="s">
        <v>12</v>
      </c>
      <c r="G4400" t="s">
        <v>13</v>
      </c>
      <c r="H4400" t="s">
        <v>13</v>
      </c>
      <c r="I4400">
        <v>23</v>
      </c>
      <c r="J4400" t="str" cm="1">
        <f t="array" ref="J4400">_xlfn.IFS(ISBLANK(C4400),"FALTANTE",ABS((C4400-$W$5)/$X$5)&gt;1.96,"ATÍPICO",ABS((C4400-$W$5)/$X$5)&lt;=1.96,"NO ATÍPICO")</f>
        <v>NO ATÍPICO</v>
      </c>
      <c r="K4400" t="str" cm="1">
        <f t="array" ref="K4400">_xlfn.IFS(ISBLANK(I4400),"FALTANTE",ABS((I4400-$W$8)/$X$8)&gt;1.92,"ATÍPICO",ABS((I4400-$W$8)/$X$8)&lt;=1.92,"NO ATÍPICO")</f>
        <v>NO ATÍPICO</v>
      </c>
      <c r="L4400">
        <f t="shared" si="290"/>
        <v>403776</v>
      </c>
      <c r="M4400" t="str">
        <f t="shared" si="290"/>
        <v>ASALARIADO</v>
      </c>
      <c r="N4400">
        <f t="shared" si="291"/>
        <v>23</v>
      </c>
      <c r="O4400" s="19" t="str">
        <f t="shared" si="292"/>
        <v>300k–600k</v>
      </c>
      <c r="P4400" s="19" t="str">
        <f t="shared" si="293"/>
        <v>18-25</v>
      </c>
    </row>
    <row r="4401" spans="1:16" x14ac:dyDescent="0.25">
      <c r="A4401">
        <v>4400</v>
      </c>
      <c r="B4401" t="s">
        <v>15</v>
      </c>
      <c r="C4401">
        <v>1101203</v>
      </c>
      <c r="D4401" t="s">
        <v>10</v>
      </c>
      <c r="E4401" t="s">
        <v>11</v>
      </c>
      <c r="F4401" t="s">
        <v>12</v>
      </c>
      <c r="G4401" t="s">
        <v>13</v>
      </c>
      <c r="H4401" t="s">
        <v>13</v>
      </c>
      <c r="I4401">
        <v>28</v>
      </c>
      <c r="J4401" t="str" cm="1">
        <f t="array" ref="J4401">_xlfn.IFS(ISBLANK(C4401),"FALTANTE",ABS((C4401-$W$5)/$X$5)&gt;1.96,"ATÍPICO",ABS((C4401-$W$5)/$X$5)&lt;=1.96,"NO ATÍPICO")</f>
        <v>NO ATÍPICO</v>
      </c>
      <c r="K4401" t="str" cm="1">
        <f t="array" ref="K4401">_xlfn.IFS(ISBLANK(I4401),"FALTANTE",ABS((I4401-$W$8)/$X$8)&gt;1.92,"ATÍPICO",ABS((I4401-$W$8)/$X$8)&lt;=1.92,"NO ATÍPICO")</f>
        <v>NO ATÍPICO</v>
      </c>
      <c r="L4401">
        <f t="shared" si="290"/>
        <v>1101203</v>
      </c>
      <c r="M4401" t="str">
        <f t="shared" si="290"/>
        <v>ASALARIADO</v>
      </c>
      <c r="N4401">
        <f t="shared" si="291"/>
        <v>28</v>
      </c>
      <c r="O4401" s="19" t="str">
        <f t="shared" si="292"/>
        <v>900k–1200k</v>
      </c>
      <c r="P4401" s="19" t="str">
        <f t="shared" si="293"/>
        <v>26-35</v>
      </c>
    </row>
    <row r="4402" spans="1:16" x14ac:dyDescent="0.25">
      <c r="A4402">
        <v>4401</v>
      </c>
      <c r="B4402" t="s">
        <v>9</v>
      </c>
      <c r="C4402">
        <v>615017.5</v>
      </c>
      <c r="D4402" t="s">
        <v>10</v>
      </c>
      <c r="E4402" t="s">
        <v>11</v>
      </c>
      <c r="F4402" t="s">
        <v>12</v>
      </c>
      <c r="G4402" t="s">
        <v>13</v>
      </c>
      <c r="H4402" t="s">
        <v>13</v>
      </c>
      <c r="I4402">
        <v>44</v>
      </c>
      <c r="J4402" t="str" cm="1">
        <f t="array" ref="J4402">_xlfn.IFS(ISBLANK(C4402),"FALTANTE",ABS((C4402-$W$5)/$X$5)&gt;1.96,"ATÍPICO",ABS((C4402-$W$5)/$X$5)&lt;=1.96,"NO ATÍPICO")</f>
        <v>NO ATÍPICO</v>
      </c>
      <c r="K4402" t="str" cm="1">
        <f t="array" ref="K4402">_xlfn.IFS(ISBLANK(I4402),"FALTANTE",ABS((I4402-$W$8)/$X$8)&gt;1.92,"ATÍPICO",ABS((I4402-$W$8)/$X$8)&lt;=1.92,"NO ATÍPICO")</f>
        <v>NO ATÍPICO</v>
      </c>
      <c r="L4402">
        <f t="shared" si="290"/>
        <v>615017.5</v>
      </c>
      <c r="M4402" t="str">
        <f t="shared" si="290"/>
        <v>ASALARIADO</v>
      </c>
      <c r="N4402">
        <f t="shared" si="291"/>
        <v>44</v>
      </c>
      <c r="O4402" s="19" t="str">
        <f t="shared" si="292"/>
        <v>600k–900k</v>
      </c>
      <c r="P4402" s="19" t="str">
        <f t="shared" si="293"/>
        <v>36-45</v>
      </c>
    </row>
    <row r="4403" spans="1:16" x14ac:dyDescent="0.25">
      <c r="A4403">
        <v>4402</v>
      </c>
      <c r="B4403" t="s">
        <v>15</v>
      </c>
      <c r="C4403">
        <v>639148</v>
      </c>
      <c r="D4403" t="s">
        <v>17</v>
      </c>
      <c r="E4403" t="s">
        <v>16</v>
      </c>
      <c r="F4403" t="s">
        <v>12</v>
      </c>
      <c r="G4403" t="s">
        <v>12</v>
      </c>
      <c r="H4403" t="s">
        <v>13</v>
      </c>
      <c r="I4403">
        <v>66</v>
      </c>
      <c r="J4403" t="str" cm="1">
        <f t="array" ref="J4403">_xlfn.IFS(ISBLANK(C4403),"FALTANTE",ABS((C4403-$W$5)/$X$5)&gt;1.96,"ATÍPICO",ABS((C4403-$W$5)/$X$5)&lt;=1.96,"NO ATÍPICO")</f>
        <v>NO ATÍPICO</v>
      </c>
      <c r="K4403" t="str" cm="1">
        <f t="array" ref="K4403">_xlfn.IFS(ISBLANK(I4403),"FALTANTE",ABS((I4403-$W$8)/$X$8)&gt;1.92,"ATÍPICO",ABS((I4403-$W$8)/$X$8)&lt;=1.92,"NO ATÍPICO")</f>
        <v>NO ATÍPICO</v>
      </c>
      <c r="L4403">
        <f t="shared" si="290"/>
        <v>639148</v>
      </c>
      <c r="M4403" t="str">
        <f t="shared" si="290"/>
        <v>ASEGURADO VOLUNTARIO</v>
      </c>
      <c r="N4403">
        <f t="shared" si="291"/>
        <v>66</v>
      </c>
      <c r="O4403" s="19" t="str">
        <f t="shared" si="292"/>
        <v>600k–900k</v>
      </c>
      <c r="P4403" s="19" t="str">
        <f t="shared" si="293"/>
        <v>56+</v>
      </c>
    </row>
    <row r="4404" spans="1:16" x14ac:dyDescent="0.25">
      <c r="A4404">
        <v>4403</v>
      </c>
      <c r="B4404" t="s">
        <v>9</v>
      </c>
      <c r="C4404">
        <v>297046</v>
      </c>
      <c r="D4404" t="s">
        <v>17</v>
      </c>
      <c r="E4404" t="s">
        <v>16</v>
      </c>
      <c r="F4404" t="s">
        <v>12</v>
      </c>
      <c r="G4404" t="s">
        <v>12</v>
      </c>
      <c r="H4404" t="s">
        <v>13</v>
      </c>
      <c r="I4404">
        <v>50</v>
      </c>
      <c r="J4404" t="str" cm="1">
        <f t="array" ref="J4404">_xlfn.IFS(ISBLANK(C4404),"FALTANTE",ABS((C4404-$W$5)/$X$5)&gt;1.96,"ATÍPICO",ABS((C4404-$W$5)/$X$5)&lt;=1.96,"NO ATÍPICO")</f>
        <v>NO ATÍPICO</v>
      </c>
      <c r="K4404" t="str" cm="1">
        <f t="array" ref="K4404">_xlfn.IFS(ISBLANK(I4404),"FALTANTE",ABS((I4404-$W$8)/$X$8)&gt;1.92,"ATÍPICO",ABS((I4404-$W$8)/$X$8)&lt;=1.92,"NO ATÍPICO")</f>
        <v>NO ATÍPICO</v>
      </c>
      <c r="L4404">
        <f t="shared" si="290"/>
        <v>297046</v>
      </c>
      <c r="M4404" t="str">
        <f t="shared" si="290"/>
        <v>ASEGURADO VOLUNTARIO</v>
      </c>
      <c r="N4404">
        <f t="shared" si="291"/>
        <v>50</v>
      </c>
      <c r="O4404" s="19" t="str">
        <f t="shared" si="292"/>
        <v>0–300k</v>
      </c>
      <c r="P4404" s="19" t="str">
        <f t="shared" si="293"/>
        <v>46-55</v>
      </c>
    </row>
    <row r="4405" spans="1:16" x14ac:dyDescent="0.25">
      <c r="A4405">
        <v>4404</v>
      </c>
      <c r="B4405" t="s">
        <v>15</v>
      </c>
      <c r="C4405">
        <v>150000</v>
      </c>
      <c r="D4405" t="s">
        <v>10</v>
      </c>
      <c r="E4405" t="s">
        <v>16</v>
      </c>
      <c r="F4405" t="s">
        <v>12</v>
      </c>
      <c r="G4405" t="s">
        <v>13</v>
      </c>
      <c r="H4405" t="s">
        <v>13</v>
      </c>
      <c r="I4405">
        <v>32</v>
      </c>
      <c r="J4405" t="str" cm="1">
        <f t="array" ref="J4405">_xlfn.IFS(ISBLANK(C4405),"FALTANTE",ABS((C4405-$W$5)/$X$5)&gt;1.96,"ATÍPICO",ABS((C4405-$W$5)/$X$5)&lt;=1.96,"NO ATÍPICO")</f>
        <v>NO ATÍPICO</v>
      </c>
      <c r="K4405" t="str" cm="1">
        <f t="array" ref="K4405">_xlfn.IFS(ISBLANK(I4405),"FALTANTE",ABS((I4405-$W$8)/$X$8)&gt;1.92,"ATÍPICO",ABS((I4405-$W$8)/$X$8)&lt;=1.92,"NO ATÍPICO")</f>
        <v>NO ATÍPICO</v>
      </c>
      <c r="L4405">
        <f t="shared" si="290"/>
        <v>150000</v>
      </c>
      <c r="M4405" t="str">
        <f t="shared" si="290"/>
        <v>ASALARIADO</v>
      </c>
      <c r="N4405">
        <f t="shared" si="291"/>
        <v>32</v>
      </c>
      <c r="O4405" s="19" t="str">
        <f t="shared" si="292"/>
        <v>0–300k</v>
      </c>
      <c r="P4405" s="19" t="str">
        <f t="shared" si="293"/>
        <v>26-35</v>
      </c>
    </row>
    <row r="4406" spans="1:16" x14ac:dyDescent="0.25">
      <c r="A4406">
        <v>4405</v>
      </c>
      <c r="B4406" t="s">
        <v>9</v>
      </c>
      <c r="C4406">
        <v>360960</v>
      </c>
      <c r="D4406" t="s">
        <v>10</v>
      </c>
      <c r="E4406" t="s">
        <v>16</v>
      </c>
      <c r="F4406" t="s">
        <v>12</v>
      </c>
      <c r="G4406" t="s">
        <v>13</v>
      </c>
      <c r="H4406" t="s">
        <v>13</v>
      </c>
      <c r="I4406">
        <v>38</v>
      </c>
      <c r="J4406" t="str" cm="1">
        <f t="array" ref="J4406">_xlfn.IFS(ISBLANK(C4406),"FALTANTE",ABS((C4406-$W$5)/$X$5)&gt;1.96,"ATÍPICO",ABS((C4406-$W$5)/$X$5)&lt;=1.96,"NO ATÍPICO")</f>
        <v>NO ATÍPICO</v>
      </c>
      <c r="K4406" t="str" cm="1">
        <f t="array" ref="K4406">_xlfn.IFS(ISBLANK(I4406),"FALTANTE",ABS((I4406-$W$8)/$X$8)&gt;1.92,"ATÍPICO",ABS((I4406-$W$8)/$X$8)&lt;=1.92,"NO ATÍPICO")</f>
        <v>NO ATÍPICO</v>
      </c>
      <c r="L4406">
        <f t="shared" si="290"/>
        <v>360960</v>
      </c>
      <c r="M4406" t="str">
        <f t="shared" si="290"/>
        <v>ASALARIADO</v>
      </c>
      <c r="N4406">
        <f t="shared" si="291"/>
        <v>38</v>
      </c>
      <c r="O4406" s="19" t="str">
        <f t="shared" si="292"/>
        <v>300k–600k</v>
      </c>
      <c r="P4406" s="19" t="str">
        <f t="shared" si="293"/>
        <v>36-45</v>
      </c>
    </row>
    <row r="4407" spans="1:16" x14ac:dyDescent="0.25">
      <c r="A4407">
        <v>4406</v>
      </c>
      <c r="B4407" t="s">
        <v>15</v>
      </c>
      <c r="C4407">
        <v>338629</v>
      </c>
      <c r="D4407" t="s">
        <v>18</v>
      </c>
      <c r="E4407" t="s">
        <v>16</v>
      </c>
      <c r="F4407" t="s">
        <v>12</v>
      </c>
      <c r="G4407" t="s">
        <v>13</v>
      </c>
      <c r="H4407" t="s">
        <v>12</v>
      </c>
      <c r="I4407">
        <v>66</v>
      </c>
      <c r="J4407" t="str" cm="1">
        <f t="array" ref="J4407">_xlfn.IFS(ISBLANK(C4407),"FALTANTE",ABS((C4407-$W$5)/$X$5)&gt;1.96,"ATÍPICO",ABS((C4407-$W$5)/$X$5)&lt;=1.96,"NO ATÍPICO")</f>
        <v>NO ATÍPICO</v>
      </c>
      <c r="K4407" t="str" cm="1">
        <f t="array" ref="K4407">_xlfn.IFS(ISBLANK(I4407),"FALTANTE",ABS((I4407-$W$8)/$X$8)&gt;1.92,"ATÍPICO",ABS((I4407-$W$8)/$X$8)&lt;=1.92,"NO ATÍPICO")</f>
        <v>NO ATÍPICO</v>
      </c>
      <c r="L4407">
        <f t="shared" si="290"/>
        <v>338629</v>
      </c>
      <c r="M4407" t="str">
        <f t="shared" si="290"/>
        <v>TRABAJADOR INDEPENDIENTE</v>
      </c>
      <c r="N4407">
        <f t="shared" si="291"/>
        <v>66</v>
      </c>
      <c r="O4407" s="19" t="str">
        <f t="shared" si="292"/>
        <v>300k–600k</v>
      </c>
      <c r="P4407" s="19" t="str">
        <f t="shared" si="293"/>
        <v>56+</v>
      </c>
    </row>
    <row r="4408" spans="1:16" x14ac:dyDescent="0.25">
      <c r="A4408">
        <v>4407</v>
      </c>
      <c r="B4408" t="s">
        <v>9</v>
      </c>
      <c r="C4408">
        <v>360000</v>
      </c>
      <c r="D4408" t="s">
        <v>10</v>
      </c>
      <c r="E4408" t="s">
        <v>16</v>
      </c>
      <c r="F4408" t="s">
        <v>12</v>
      </c>
      <c r="G4408" t="s">
        <v>12</v>
      </c>
      <c r="H4408" t="s">
        <v>13</v>
      </c>
      <c r="I4408">
        <v>32</v>
      </c>
      <c r="J4408" t="str" cm="1">
        <f t="array" ref="J4408">_xlfn.IFS(ISBLANK(C4408),"FALTANTE",ABS((C4408-$W$5)/$X$5)&gt;1.96,"ATÍPICO",ABS((C4408-$W$5)/$X$5)&lt;=1.96,"NO ATÍPICO")</f>
        <v>NO ATÍPICO</v>
      </c>
      <c r="K4408" t="str" cm="1">
        <f t="array" ref="K4408">_xlfn.IFS(ISBLANK(I4408),"FALTANTE",ABS((I4408-$W$8)/$X$8)&gt;1.92,"ATÍPICO",ABS((I4408-$W$8)/$X$8)&lt;=1.92,"NO ATÍPICO")</f>
        <v>NO ATÍPICO</v>
      </c>
      <c r="L4408">
        <f t="shared" si="290"/>
        <v>360000</v>
      </c>
      <c r="M4408" t="str">
        <f t="shared" si="290"/>
        <v>ASALARIADO</v>
      </c>
      <c r="N4408">
        <f t="shared" si="291"/>
        <v>32</v>
      </c>
      <c r="O4408" s="19" t="str">
        <f t="shared" si="292"/>
        <v>300k–600k</v>
      </c>
      <c r="P4408" s="19" t="str">
        <f t="shared" si="293"/>
        <v>26-35</v>
      </c>
    </row>
    <row r="4409" spans="1:16" x14ac:dyDescent="0.25">
      <c r="A4409">
        <v>4408</v>
      </c>
      <c r="B4409" t="s">
        <v>9</v>
      </c>
      <c r="C4409">
        <v>470000</v>
      </c>
      <c r="D4409" t="s">
        <v>10</v>
      </c>
      <c r="E4409" t="s">
        <v>16</v>
      </c>
      <c r="F4409" t="s">
        <v>12</v>
      </c>
      <c r="G4409" t="s">
        <v>13</v>
      </c>
      <c r="H4409" t="s">
        <v>13</v>
      </c>
      <c r="I4409">
        <v>52</v>
      </c>
      <c r="J4409" t="str" cm="1">
        <f t="array" ref="J4409">_xlfn.IFS(ISBLANK(C4409),"FALTANTE",ABS((C4409-$W$5)/$X$5)&gt;1.96,"ATÍPICO",ABS((C4409-$W$5)/$X$5)&lt;=1.96,"NO ATÍPICO")</f>
        <v>NO ATÍPICO</v>
      </c>
      <c r="K4409" t="str" cm="1">
        <f t="array" ref="K4409">_xlfn.IFS(ISBLANK(I4409),"FALTANTE",ABS((I4409-$W$8)/$X$8)&gt;1.92,"ATÍPICO",ABS((I4409-$W$8)/$X$8)&lt;=1.92,"NO ATÍPICO")</f>
        <v>NO ATÍPICO</v>
      </c>
      <c r="L4409">
        <f t="shared" si="290"/>
        <v>470000</v>
      </c>
      <c r="M4409" t="str">
        <f t="shared" si="290"/>
        <v>ASALARIADO</v>
      </c>
      <c r="N4409">
        <f t="shared" si="291"/>
        <v>52</v>
      </c>
      <c r="O4409" s="19" t="str">
        <f t="shared" si="292"/>
        <v>300k–600k</v>
      </c>
      <c r="P4409" s="19" t="str">
        <f t="shared" si="293"/>
        <v>46-55</v>
      </c>
    </row>
    <row r="4410" spans="1:16" x14ac:dyDescent="0.25">
      <c r="A4410">
        <v>4409</v>
      </c>
      <c r="B4410" t="s">
        <v>15</v>
      </c>
      <c r="C4410">
        <v>418415</v>
      </c>
      <c r="D4410" t="s">
        <v>10</v>
      </c>
      <c r="E4410" t="s">
        <v>16</v>
      </c>
      <c r="F4410" t="s">
        <v>12</v>
      </c>
      <c r="G4410" t="s">
        <v>13</v>
      </c>
      <c r="H4410" t="s">
        <v>13</v>
      </c>
      <c r="I4410">
        <v>30</v>
      </c>
      <c r="J4410" t="str" cm="1">
        <f t="array" ref="J4410">_xlfn.IFS(ISBLANK(C4410),"FALTANTE",ABS((C4410-$W$5)/$X$5)&gt;1.96,"ATÍPICO",ABS((C4410-$W$5)/$X$5)&lt;=1.96,"NO ATÍPICO")</f>
        <v>NO ATÍPICO</v>
      </c>
      <c r="K4410" t="str" cm="1">
        <f t="array" ref="K4410">_xlfn.IFS(ISBLANK(I4410),"FALTANTE",ABS((I4410-$W$8)/$X$8)&gt;1.92,"ATÍPICO",ABS((I4410-$W$8)/$X$8)&lt;=1.92,"NO ATÍPICO")</f>
        <v>NO ATÍPICO</v>
      </c>
      <c r="L4410">
        <f t="shared" si="290"/>
        <v>418415</v>
      </c>
      <c r="M4410" t="str">
        <f t="shared" si="290"/>
        <v>ASALARIADO</v>
      </c>
      <c r="N4410">
        <f t="shared" si="291"/>
        <v>30</v>
      </c>
      <c r="O4410" s="19" t="str">
        <f t="shared" si="292"/>
        <v>300k–600k</v>
      </c>
      <c r="P4410" s="19" t="str">
        <f t="shared" si="293"/>
        <v>26-35</v>
      </c>
    </row>
    <row r="4411" spans="1:16" x14ac:dyDescent="0.25">
      <c r="A4411">
        <v>4410</v>
      </c>
      <c r="B4411" t="s">
        <v>15</v>
      </c>
      <c r="C4411">
        <v>430627.35</v>
      </c>
      <c r="D4411" t="s">
        <v>10</v>
      </c>
      <c r="E4411" t="s">
        <v>16</v>
      </c>
      <c r="F4411" t="s">
        <v>12</v>
      </c>
      <c r="G4411" t="s">
        <v>13</v>
      </c>
      <c r="H4411" t="s">
        <v>13</v>
      </c>
      <c r="I4411">
        <v>31</v>
      </c>
      <c r="J4411" t="str" cm="1">
        <f t="array" ref="J4411">_xlfn.IFS(ISBLANK(C4411),"FALTANTE",ABS((C4411-$W$5)/$X$5)&gt;1.96,"ATÍPICO",ABS((C4411-$W$5)/$X$5)&lt;=1.96,"NO ATÍPICO")</f>
        <v>NO ATÍPICO</v>
      </c>
      <c r="K4411" t="str" cm="1">
        <f t="array" ref="K4411">_xlfn.IFS(ISBLANK(I4411),"FALTANTE",ABS((I4411-$W$8)/$X$8)&gt;1.92,"ATÍPICO",ABS((I4411-$W$8)/$X$8)&lt;=1.92,"NO ATÍPICO")</f>
        <v>NO ATÍPICO</v>
      </c>
      <c r="L4411">
        <f t="shared" si="290"/>
        <v>430627.35</v>
      </c>
      <c r="M4411" t="str">
        <f t="shared" si="290"/>
        <v>ASALARIADO</v>
      </c>
      <c r="N4411">
        <f t="shared" si="291"/>
        <v>31</v>
      </c>
      <c r="O4411" s="19" t="str">
        <f t="shared" si="292"/>
        <v>300k–600k</v>
      </c>
      <c r="P4411" s="19" t="str">
        <f t="shared" si="293"/>
        <v>26-35</v>
      </c>
    </row>
    <row r="4412" spans="1:16" x14ac:dyDescent="0.25">
      <c r="A4412">
        <v>4411</v>
      </c>
      <c r="B4412" t="s">
        <v>9</v>
      </c>
      <c r="C4412">
        <v>325394.86</v>
      </c>
      <c r="D4412" t="s">
        <v>10</v>
      </c>
      <c r="E4412" t="s">
        <v>11</v>
      </c>
      <c r="F4412" t="s">
        <v>12</v>
      </c>
      <c r="G4412" t="s">
        <v>13</v>
      </c>
      <c r="H4412" t="s">
        <v>13</v>
      </c>
      <c r="I4412">
        <v>25</v>
      </c>
      <c r="J4412" t="str" cm="1">
        <f t="array" ref="J4412">_xlfn.IFS(ISBLANK(C4412),"FALTANTE",ABS((C4412-$W$5)/$X$5)&gt;1.96,"ATÍPICO",ABS((C4412-$W$5)/$X$5)&lt;=1.96,"NO ATÍPICO")</f>
        <v>NO ATÍPICO</v>
      </c>
      <c r="K4412" t="str" cm="1">
        <f t="array" ref="K4412">_xlfn.IFS(ISBLANK(I4412),"FALTANTE",ABS((I4412-$W$8)/$X$8)&gt;1.92,"ATÍPICO",ABS((I4412-$W$8)/$X$8)&lt;=1.92,"NO ATÍPICO")</f>
        <v>NO ATÍPICO</v>
      </c>
      <c r="L4412">
        <f t="shared" si="290"/>
        <v>325394.86</v>
      </c>
      <c r="M4412" t="str">
        <f t="shared" si="290"/>
        <v>ASALARIADO</v>
      </c>
      <c r="N4412">
        <f t="shared" si="291"/>
        <v>25</v>
      </c>
      <c r="O4412" s="19" t="str">
        <f t="shared" si="292"/>
        <v>300k–600k</v>
      </c>
      <c r="P4412" s="19" t="str">
        <f t="shared" si="293"/>
        <v>18-25</v>
      </c>
    </row>
    <row r="4413" spans="1:16" x14ac:dyDescent="0.25">
      <c r="A4413">
        <v>4412</v>
      </c>
      <c r="B4413" t="s">
        <v>9</v>
      </c>
      <c r="C4413">
        <v>332233.40000000002</v>
      </c>
      <c r="D4413" t="s">
        <v>10</v>
      </c>
      <c r="E4413" t="s">
        <v>16</v>
      </c>
      <c r="F4413" t="s">
        <v>12</v>
      </c>
      <c r="G4413" t="s">
        <v>13</v>
      </c>
      <c r="H4413" t="s">
        <v>13</v>
      </c>
      <c r="I4413">
        <v>30</v>
      </c>
      <c r="J4413" t="str" cm="1">
        <f t="array" ref="J4413">_xlfn.IFS(ISBLANK(C4413),"FALTANTE",ABS((C4413-$W$5)/$X$5)&gt;1.96,"ATÍPICO",ABS((C4413-$W$5)/$X$5)&lt;=1.96,"NO ATÍPICO")</f>
        <v>NO ATÍPICO</v>
      </c>
      <c r="K4413" t="str" cm="1">
        <f t="array" ref="K4413">_xlfn.IFS(ISBLANK(I4413),"FALTANTE",ABS((I4413-$W$8)/$X$8)&gt;1.92,"ATÍPICO",ABS((I4413-$W$8)/$X$8)&lt;=1.92,"NO ATÍPICO")</f>
        <v>NO ATÍPICO</v>
      </c>
      <c r="L4413">
        <f t="shared" si="290"/>
        <v>332233.40000000002</v>
      </c>
      <c r="M4413" t="str">
        <f t="shared" si="290"/>
        <v>ASALARIADO</v>
      </c>
      <c r="N4413">
        <f t="shared" si="291"/>
        <v>30</v>
      </c>
      <c r="O4413" s="19" t="str">
        <f t="shared" si="292"/>
        <v>300k–600k</v>
      </c>
      <c r="P4413" s="19" t="str">
        <f t="shared" si="293"/>
        <v>26-35</v>
      </c>
    </row>
    <row r="4414" spans="1:16" x14ac:dyDescent="0.25">
      <c r="A4414">
        <v>4413</v>
      </c>
      <c r="B4414" t="s">
        <v>15</v>
      </c>
      <c r="C4414">
        <v>377248.7</v>
      </c>
      <c r="D4414" t="s">
        <v>14</v>
      </c>
      <c r="E4414" t="s">
        <v>11</v>
      </c>
      <c r="F4414" t="s">
        <v>12</v>
      </c>
      <c r="G4414" t="s">
        <v>13</v>
      </c>
      <c r="H4414" t="s">
        <v>13</v>
      </c>
      <c r="I4414">
        <v>83</v>
      </c>
      <c r="J4414" t="str" cm="1">
        <f t="array" ref="J4414">_xlfn.IFS(ISBLANK(C4414),"FALTANTE",ABS((C4414-$W$5)/$X$5)&gt;1.96,"ATÍPICO",ABS((C4414-$W$5)/$X$5)&lt;=1.96,"NO ATÍPICO")</f>
        <v>NO ATÍPICO</v>
      </c>
      <c r="K4414" t="str" cm="1">
        <f t="array" ref="K4414">_xlfn.IFS(ISBLANK(I4414),"FALTANTE",ABS((I4414-$W$8)/$X$8)&gt;1.92,"ATÍPICO",ABS((I4414-$W$8)/$X$8)&lt;=1.92,"NO ATÍPICO")</f>
        <v>ATÍPICO</v>
      </c>
      <c r="L4414">
        <f t="shared" si="290"/>
        <v>377248.7</v>
      </c>
      <c r="M4414" t="str">
        <f t="shared" si="290"/>
        <v>PENSIONADOS EN SU PROPIO SISTEMA</v>
      </c>
      <c r="N4414">
        <f t="shared" si="291"/>
        <v>83</v>
      </c>
      <c r="O4414" s="19" t="str">
        <f t="shared" si="292"/>
        <v>300k–600k</v>
      </c>
      <c r="P4414" s="19" t="str">
        <f t="shared" si="293"/>
        <v>56+</v>
      </c>
    </row>
    <row r="4415" spans="1:16" x14ac:dyDescent="0.25">
      <c r="A4415">
        <v>4414</v>
      </c>
      <c r="B4415" t="s">
        <v>15</v>
      </c>
      <c r="C4415">
        <v>150000</v>
      </c>
      <c r="D4415" t="s">
        <v>10</v>
      </c>
      <c r="E4415" t="s">
        <v>16</v>
      </c>
      <c r="F4415" t="s">
        <v>12</v>
      </c>
      <c r="G4415" t="s">
        <v>12</v>
      </c>
      <c r="H4415" t="s">
        <v>13</v>
      </c>
      <c r="I4415">
        <v>40</v>
      </c>
      <c r="J4415" t="str" cm="1">
        <f t="array" ref="J4415">_xlfn.IFS(ISBLANK(C4415),"FALTANTE",ABS((C4415-$W$5)/$X$5)&gt;1.96,"ATÍPICO",ABS((C4415-$W$5)/$X$5)&lt;=1.96,"NO ATÍPICO")</f>
        <v>NO ATÍPICO</v>
      </c>
      <c r="K4415" t="str" cm="1">
        <f t="array" ref="K4415">_xlfn.IFS(ISBLANK(I4415),"FALTANTE",ABS((I4415-$W$8)/$X$8)&gt;1.92,"ATÍPICO",ABS((I4415-$W$8)/$X$8)&lt;=1.92,"NO ATÍPICO")</f>
        <v>NO ATÍPICO</v>
      </c>
      <c r="L4415">
        <f t="shared" si="290"/>
        <v>150000</v>
      </c>
      <c r="M4415" t="str">
        <f t="shared" si="290"/>
        <v>ASALARIADO</v>
      </c>
      <c r="N4415">
        <f t="shared" si="291"/>
        <v>40</v>
      </c>
      <c r="O4415" s="19" t="str">
        <f t="shared" si="292"/>
        <v>0–300k</v>
      </c>
      <c r="P4415" s="19" t="str">
        <f t="shared" si="293"/>
        <v>36-45</v>
      </c>
    </row>
    <row r="4416" spans="1:16" x14ac:dyDescent="0.25">
      <c r="A4416">
        <v>4415</v>
      </c>
      <c r="B4416" t="s">
        <v>9</v>
      </c>
      <c r="C4416">
        <v>310544</v>
      </c>
      <c r="D4416" t="s">
        <v>18</v>
      </c>
      <c r="E4416" t="s">
        <v>16</v>
      </c>
      <c r="F4416" t="s">
        <v>12</v>
      </c>
      <c r="G4416" t="s">
        <v>12</v>
      </c>
      <c r="H4416" t="s">
        <v>12</v>
      </c>
      <c r="I4416">
        <v>66</v>
      </c>
      <c r="J4416" t="str" cm="1">
        <f t="array" ref="J4416">_xlfn.IFS(ISBLANK(C4416),"FALTANTE",ABS((C4416-$W$5)/$X$5)&gt;1.96,"ATÍPICO",ABS((C4416-$W$5)/$X$5)&lt;=1.96,"NO ATÍPICO")</f>
        <v>NO ATÍPICO</v>
      </c>
      <c r="K4416" t="str" cm="1">
        <f t="array" ref="K4416">_xlfn.IFS(ISBLANK(I4416),"FALTANTE",ABS((I4416-$W$8)/$X$8)&gt;1.92,"ATÍPICO",ABS((I4416-$W$8)/$X$8)&lt;=1.92,"NO ATÍPICO")</f>
        <v>NO ATÍPICO</v>
      </c>
      <c r="L4416">
        <f t="shared" si="290"/>
        <v>310544</v>
      </c>
      <c r="M4416" t="str">
        <f t="shared" si="290"/>
        <v>TRABAJADOR INDEPENDIENTE</v>
      </c>
      <c r="N4416">
        <f t="shared" si="291"/>
        <v>66</v>
      </c>
      <c r="O4416" s="19" t="str">
        <f t="shared" si="292"/>
        <v>300k–600k</v>
      </c>
      <c r="P4416" s="19" t="str">
        <f t="shared" si="293"/>
        <v>56+</v>
      </c>
    </row>
    <row r="4417" spans="1:16" x14ac:dyDescent="0.25">
      <c r="A4417">
        <v>4416</v>
      </c>
      <c r="B4417" t="s">
        <v>9</v>
      </c>
      <c r="C4417">
        <v>391000</v>
      </c>
      <c r="D4417" t="s">
        <v>10</v>
      </c>
      <c r="E4417" t="s">
        <v>16</v>
      </c>
      <c r="F4417" t="s">
        <v>12</v>
      </c>
      <c r="G4417" t="s">
        <v>13</v>
      </c>
      <c r="H4417" t="s">
        <v>13</v>
      </c>
      <c r="I4417">
        <v>36</v>
      </c>
      <c r="J4417" t="str" cm="1">
        <f t="array" ref="J4417">_xlfn.IFS(ISBLANK(C4417),"FALTANTE",ABS((C4417-$W$5)/$X$5)&gt;1.96,"ATÍPICO",ABS((C4417-$W$5)/$X$5)&lt;=1.96,"NO ATÍPICO")</f>
        <v>NO ATÍPICO</v>
      </c>
      <c r="K4417" t="str" cm="1">
        <f t="array" ref="K4417">_xlfn.IFS(ISBLANK(I4417),"FALTANTE",ABS((I4417-$W$8)/$X$8)&gt;1.92,"ATÍPICO",ABS((I4417-$W$8)/$X$8)&lt;=1.92,"NO ATÍPICO")</f>
        <v>NO ATÍPICO</v>
      </c>
      <c r="L4417">
        <f t="shared" si="290"/>
        <v>391000</v>
      </c>
      <c r="M4417" t="str">
        <f t="shared" si="290"/>
        <v>ASALARIADO</v>
      </c>
      <c r="N4417">
        <f t="shared" si="291"/>
        <v>36</v>
      </c>
      <c r="O4417" s="19" t="str">
        <f t="shared" si="292"/>
        <v>300k–600k</v>
      </c>
      <c r="P4417" s="19" t="str">
        <f t="shared" si="293"/>
        <v>36-45</v>
      </c>
    </row>
    <row r="4418" spans="1:16" x14ac:dyDescent="0.25">
      <c r="A4418">
        <v>4417</v>
      </c>
      <c r="B4418" t="s">
        <v>9</v>
      </c>
      <c r="C4418">
        <v>356455</v>
      </c>
      <c r="D4418" t="s">
        <v>18</v>
      </c>
      <c r="E4418" t="s">
        <v>16</v>
      </c>
      <c r="F4418" t="s">
        <v>12</v>
      </c>
      <c r="G4418" t="s">
        <v>13</v>
      </c>
      <c r="H4418" t="s">
        <v>13</v>
      </c>
      <c r="I4418">
        <v>35</v>
      </c>
      <c r="J4418" t="str" cm="1">
        <f t="array" ref="J4418">_xlfn.IFS(ISBLANK(C4418),"FALTANTE",ABS((C4418-$W$5)/$X$5)&gt;1.96,"ATÍPICO",ABS((C4418-$W$5)/$X$5)&lt;=1.96,"NO ATÍPICO")</f>
        <v>NO ATÍPICO</v>
      </c>
      <c r="K4418" t="str" cm="1">
        <f t="array" ref="K4418">_xlfn.IFS(ISBLANK(I4418),"FALTANTE",ABS((I4418-$W$8)/$X$8)&gt;1.92,"ATÍPICO",ABS((I4418-$W$8)/$X$8)&lt;=1.92,"NO ATÍPICO")</f>
        <v>NO ATÍPICO</v>
      </c>
      <c r="L4418">
        <f t="shared" ref="L4418:M4481" si="294">C4418</f>
        <v>356455</v>
      </c>
      <c r="M4418" t="str">
        <f t="shared" si="294"/>
        <v>TRABAJADOR INDEPENDIENTE</v>
      </c>
      <c r="N4418">
        <f t="shared" ref="N4418:N4481" si="295">I4418</f>
        <v>35</v>
      </c>
      <c r="O4418" s="19" t="str">
        <f t="shared" ref="O4418:O4481" si="296">IF(L4418&lt;=300000,"0–300k",IF(L4418&lt;=600000,"300k–600k",IF(L4418&lt;=900000,"600k–900k",IF(L4418&lt;=1200000,"900k–1200k","1200k+"))))</f>
        <v>300k–600k</v>
      </c>
      <c r="P4418" s="19" t="str">
        <f t="shared" ref="P4418:P4481" si="297">IF(N4418 &lt;=25,"18-25", IF(N4418&lt;=35,"26-35", IF(N4418 &lt;=45,"36-45", IF(N4418&lt;=55,"46-55","56+"))))</f>
        <v>26-35</v>
      </c>
    </row>
    <row r="4419" spans="1:16" x14ac:dyDescent="0.25">
      <c r="A4419">
        <v>4418</v>
      </c>
      <c r="B4419" t="s">
        <v>9</v>
      </c>
      <c r="C4419">
        <v>639148</v>
      </c>
      <c r="D4419" t="s">
        <v>18</v>
      </c>
      <c r="E4419" t="s">
        <v>16</v>
      </c>
      <c r="F4419" t="s">
        <v>12</v>
      </c>
      <c r="G4419" t="s">
        <v>13</v>
      </c>
      <c r="H4419" t="s">
        <v>12</v>
      </c>
      <c r="I4419">
        <v>65</v>
      </c>
      <c r="J4419" t="str" cm="1">
        <f t="array" ref="J4419">_xlfn.IFS(ISBLANK(C4419),"FALTANTE",ABS((C4419-$W$5)/$X$5)&gt;1.96,"ATÍPICO",ABS((C4419-$W$5)/$X$5)&lt;=1.96,"NO ATÍPICO")</f>
        <v>NO ATÍPICO</v>
      </c>
      <c r="K4419" t="str" cm="1">
        <f t="array" ref="K4419">_xlfn.IFS(ISBLANK(I4419),"FALTANTE",ABS((I4419-$W$8)/$X$8)&gt;1.92,"ATÍPICO",ABS((I4419-$W$8)/$X$8)&lt;=1.92,"NO ATÍPICO")</f>
        <v>NO ATÍPICO</v>
      </c>
      <c r="L4419">
        <f t="shared" si="294"/>
        <v>639148</v>
      </c>
      <c r="M4419" t="str">
        <f t="shared" si="294"/>
        <v>TRABAJADOR INDEPENDIENTE</v>
      </c>
      <c r="N4419">
        <f t="shared" si="295"/>
        <v>65</v>
      </c>
      <c r="O4419" s="19" t="str">
        <f t="shared" si="296"/>
        <v>600k–900k</v>
      </c>
      <c r="P4419" s="19" t="str">
        <f t="shared" si="297"/>
        <v>56+</v>
      </c>
    </row>
    <row r="4420" spans="1:16" x14ac:dyDescent="0.25">
      <c r="A4420">
        <v>4419</v>
      </c>
      <c r="B4420" t="s">
        <v>15</v>
      </c>
      <c r="C4420">
        <v>53466</v>
      </c>
      <c r="D4420" t="s">
        <v>10</v>
      </c>
      <c r="E4420" t="s">
        <v>11</v>
      </c>
      <c r="F4420" t="s">
        <v>12</v>
      </c>
      <c r="G4420" t="s">
        <v>13</v>
      </c>
      <c r="H4420" t="s">
        <v>13</v>
      </c>
      <c r="I4420">
        <v>59</v>
      </c>
      <c r="J4420" t="str" cm="1">
        <f t="array" ref="J4420">_xlfn.IFS(ISBLANK(C4420),"FALTANTE",ABS((C4420-$W$5)/$X$5)&gt;1.96,"ATÍPICO",ABS((C4420-$W$5)/$X$5)&lt;=1.96,"NO ATÍPICO")</f>
        <v>NO ATÍPICO</v>
      </c>
      <c r="K4420" t="str" cm="1">
        <f t="array" ref="K4420">_xlfn.IFS(ISBLANK(I4420),"FALTANTE",ABS((I4420-$W$8)/$X$8)&gt;1.92,"ATÍPICO",ABS((I4420-$W$8)/$X$8)&lt;=1.92,"NO ATÍPICO")</f>
        <v>NO ATÍPICO</v>
      </c>
      <c r="L4420">
        <f t="shared" si="294"/>
        <v>53466</v>
      </c>
      <c r="M4420" t="str">
        <f t="shared" si="294"/>
        <v>ASALARIADO</v>
      </c>
      <c r="N4420">
        <f t="shared" si="295"/>
        <v>59</v>
      </c>
      <c r="O4420" s="19" t="str">
        <f t="shared" si="296"/>
        <v>0–300k</v>
      </c>
      <c r="P4420" s="19" t="str">
        <f t="shared" si="297"/>
        <v>56+</v>
      </c>
    </row>
    <row r="4421" spans="1:16" x14ac:dyDescent="0.25">
      <c r="A4421">
        <v>4420</v>
      </c>
      <c r="B4421" t="s">
        <v>9</v>
      </c>
      <c r="C4421">
        <v>423038.54</v>
      </c>
      <c r="D4421" t="s">
        <v>10</v>
      </c>
      <c r="E4421" t="s">
        <v>16</v>
      </c>
      <c r="F4421" t="s">
        <v>12</v>
      </c>
      <c r="G4421" t="s">
        <v>13</v>
      </c>
      <c r="H4421" t="s">
        <v>13</v>
      </c>
      <c r="I4421">
        <v>32</v>
      </c>
      <c r="J4421" t="str" cm="1">
        <f t="array" ref="J4421">_xlfn.IFS(ISBLANK(C4421),"FALTANTE",ABS((C4421-$W$5)/$X$5)&gt;1.96,"ATÍPICO",ABS((C4421-$W$5)/$X$5)&lt;=1.96,"NO ATÍPICO")</f>
        <v>NO ATÍPICO</v>
      </c>
      <c r="K4421" t="str" cm="1">
        <f t="array" ref="K4421">_xlfn.IFS(ISBLANK(I4421),"FALTANTE",ABS((I4421-$W$8)/$X$8)&gt;1.92,"ATÍPICO",ABS((I4421-$W$8)/$X$8)&lt;=1.92,"NO ATÍPICO")</f>
        <v>NO ATÍPICO</v>
      </c>
      <c r="L4421">
        <f t="shared" si="294"/>
        <v>423038.54</v>
      </c>
      <c r="M4421" t="str">
        <f t="shared" si="294"/>
        <v>ASALARIADO</v>
      </c>
      <c r="N4421">
        <f t="shared" si="295"/>
        <v>32</v>
      </c>
      <c r="O4421" s="19" t="str">
        <f t="shared" si="296"/>
        <v>300k–600k</v>
      </c>
      <c r="P4421" s="19" t="str">
        <f t="shared" si="297"/>
        <v>26-35</v>
      </c>
    </row>
    <row r="4422" spans="1:16" x14ac:dyDescent="0.25">
      <c r="A4422">
        <v>4421</v>
      </c>
      <c r="B4422" t="s">
        <v>9</v>
      </c>
      <c r="C4422">
        <v>332063.19</v>
      </c>
      <c r="D4422" t="s">
        <v>10</v>
      </c>
      <c r="E4422" t="s">
        <v>16</v>
      </c>
      <c r="F4422" t="s">
        <v>12</v>
      </c>
      <c r="G4422" t="s">
        <v>13</v>
      </c>
      <c r="H4422" t="s">
        <v>13</v>
      </c>
      <c r="I4422">
        <v>22</v>
      </c>
      <c r="J4422" t="str" cm="1">
        <f t="array" ref="J4422">_xlfn.IFS(ISBLANK(C4422),"FALTANTE",ABS((C4422-$W$5)/$X$5)&gt;1.96,"ATÍPICO",ABS((C4422-$W$5)/$X$5)&lt;=1.96,"NO ATÍPICO")</f>
        <v>NO ATÍPICO</v>
      </c>
      <c r="K4422" t="str" cm="1">
        <f t="array" ref="K4422">_xlfn.IFS(ISBLANK(I4422),"FALTANTE",ABS((I4422-$W$8)/$X$8)&gt;1.92,"ATÍPICO",ABS((I4422-$W$8)/$X$8)&lt;=1.92,"NO ATÍPICO")</f>
        <v>NO ATÍPICO</v>
      </c>
      <c r="L4422">
        <f t="shared" si="294"/>
        <v>332063.19</v>
      </c>
      <c r="M4422" t="str">
        <f t="shared" si="294"/>
        <v>ASALARIADO</v>
      </c>
      <c r="N4422">
        <f t="shared" si="295"/>
        <v>22</v>
      </c>
      <c r="O4422" s="19" t="str">
        <f t="shared" si="296"/>
        <v>300k–600k</v>
      </c>
      <c r="P4422" s="19" t="str">
        <f t="shared" si="297"/>
        <v>18-25</v>
      </c>
    </row>
    <row r="4423" spans="1:16" x14ac:dyDescent="0.25">
      <c r="A4423">
        <v>4422</v>
      </c>
      <c r="B4423" t="s">
        <v>9</v>
      </c>
      <c r="C4423">
        <v>491465.63</v>
      </c>
      <c r="D4423" t="s">
        <v>10</v>
      </c>
      <c r="E4423" t="s">
        <v>16</v>
      </c>
      <c r="F4423" t="s">
        <v>12</v>
      </c>
      <c r="G4423" t="s">
        <v>12</v>
      </c>
      <c r="H4423" t="s">
        <v>13</v>
      </c>
      <c r="I4423">
        <v>26</v>
      </c>
      <c r="J4423" t="str" cm="1">
        <f t="array" ref="J4423">_xlfn.IFS(ISBLANK(C4423),"FALTANTE",ABS((C4423-$W$5)/$X$5)&gt;1.96,"ATÍPICO",ABS((C4423-$W$5)/$X$5)&lt;=1.96,"NO ATÍPICO")</f>
        <v>NO ATÍPICO</v>
      </c>
      <c r="K4423" t="str" cm="1">
        <f t="array" ref="K4423">_xlfn.IFS(ISBLANK(I4423),"FALTANTE",ABS((I4423-$W$8)/$X$8)&gt;1.92,"ATÍPICO",ABS((I4423-$W$8)/$X$8)&lt;=1.92,"NO ATÍPICO")</f>
        <v>NO ATÍPICO</v>
      </c>
      <c r="L4423">
        <f t="shared" si="294"/>
        <v>491465.63</v>
      </c>
      <c r="M4423" t="str">
        <f t="shared" si="294"/>
        <v>ASALARIADO</v>
      </c>
      <c r="N4423">
        <f t="shared" si="295"/>
        <v>26</v>
      </c>
      <c r="O4423" s="19" t="str">
        <f t="shared" si="296"/>
        <v>300k–600k</v>
      </c>
      <c r="P4423" s="19" t="str">
        <f t="shared" si="297"/>
        <v>26-35</v>
      </c>
    </row>
    <row r="4424" spans="1:16" x14ac:dyDescent="0.25">
      <c r="A4424">
        <v>4423</v>
      </c>
      <c r="B4424" t="s">
        <v>9</v>
      </c>
      <c r="C4424">
        <v>633433</v>
      </c>
      <c r="D4424" t="s">
        <v>18</v>
      </c>
      <c r="E4424" t="s">
        <v>16</v>
      </c>
      <c r="F4424" t="s">
        <v>12</v>
      </c>
      <c r="G4424" t="s">
        <v>13</v>
      </c>
      <c r="H4424" t="s">
        <v>13</v>
      </c>
      <c r="I4424">
        <v>27</v>
      </c>
      <c r="J4424" t="str" cm="1">
        <f t="array" ref="J4424">_xlfn.IFS(ISBLANK(C4424),"FALTANTE",ABS((C4424-$W$5)/$X$5)&gt;1.96,"ATÍPICO",ABS((C4424-$W$5)/$X$5)&lt;=1.96,"NO ATÍPICO")</f>
        <v>NO ATÍPICO</v>
      </c>
      <c r="K4424" t="str" cm="1">
        <f t="array" ref="K4424">_xlfn.IFS(ISBLANK(I4424),"FALTANTE",ABS((I4424-$W$8)/$X$8)&gt;1.92,"ATÍPICO",ABS((I4424-$W$8)/$X$8)&lt;=1.92,"NO ATÍPICO")</f>
        <v>NO ATÍPICO</v>
      </c>
      <c r="L4424">
        <f t="shared" si="294"/>
        <v>633433</v>
      </c>
      <c r="M4424" t="str">
        <f t="shared" si="294"/>
        <v>TRABAJADOR INDEPENDIENTE</v>
      </c>
      <c r="N4424">
        <f t="shared" si="295"/>
        <v>27</v>
      </c>
      <c r="O4424" s="19" t="str">
        <f t="shared" si="296"/>
        <v>600k–900k</v>
      </c>
      <c r="P4424" s="19" t="str">
        <f t="shared" si="297"/>
        <v>26-35</v>
      </c>
    </row>
    <row r="4425" spans="1:16" x14ac:dyDescent="0.25">
      <c r="A4425">
        <v>4424</v>
      </c>
      <c r="B4425" t="s">
        <v>15</v>
      </c>
      <c r="C4425">
        <v>1021562</v>
      </c>
      <c r="D4425" t="s">
        <v>10</v>
      </c>
      <c r="E4425" t="s">
        <v>11</v>
      </c>
      <c r="F4425" t="s">
        <v>12</v>
      </c>
      <c r="G4425" t="s">
        <v>13</v>
      </c>
      <c r="H4425" t="s">
        <v>13</v>
      </c>
      <c r="I4425">
        <v>36</v>
      </c>
      <c r="J4425" t="str" cm="1">
        <f t="array" ref="J4425">_xlfn.IFS(ISBLANK(C4425),"FALTANTE",ABS((C4425-$W$5)/$X$5)&gt;1.96,"ATÍPICO",ABS((C4425-$W$5)/$X$5)&lt;=1.96,"NO ATÍPICO")</f>
        <v>NO ATÍPICO</v>
      </c>
      <c r="K4425" t="str" cm="1">
        <f t="array" ref="K4425">_xlfn.IFS(ISBLANK(I4425),"FALTANTE",ABS((I4425-$W$8)/$X$8)&gt;1.92,"ATÍPICO",ABS((I4425-$W$8)/$X$8)&lt;=1.92,"NO ATÍPICO")</f>
        <v>NO ATÍPICO</v>
      </c>
      <c r="L4425">
        <f t="shared" si="294"/>
        <v>1021562</v>
      </c>
      <c r="M4425" t="str">
        <f t="shared" si="294"/>
        <v>ASALARIADO</v>
      </c>
      <c r="N4425">
        <f t="shared" si="295"/>
        <v>36</v>
      </c>
      <c r="O4425" s="19" t="str">
        <f t="shared" si="296"/>
        <v>900k–1200k</v>
      </c>
      <c r="P4425" s="19" t="str">
        <f t="shared" si="297"/>
        <v>36-45</v>
      </c>
    </row>
    <row r="4426" spans="1:16" x14ac:dyDescent="0.25">
      <c r="A4426">
        <v>4425</v>
      </c>
      <c r="B4426" t="s">
        <v>9</v>
      </c>
      <c r="C4426">
        <v>307850</v>
      </c>
      <c r="D4426" t="s">
        <v>10</v>
      </c>
      <c r="E4426" t="s">
        <v>16</v>
      </c>
      <c r="F4426" t="s">
        <v>12</v>
      </c>
      <c r="G4426" t="s">
        <v>13</v>
      </c>
      <c r="H4426" t="s">
        <v>13</v>
      </c>
      <c r="I4426">
        <v>41</v>
      </c>
      <c r="J4426" t="str" cm="1">
        <f t="array" ref="J4426">_xlfn.IFS(ISBLANK(C4426),"FALTANTE",ABS((C4426-$W$5)/$X$5)&gt;1.96,"ATÍPICO",ABS((C4426-$W$5)/$X$5)&lt;=1.96,"NO ATÍPICO")</f>
        <v>NO ATÍPICO</v>
      </c>
      <c r="K4426" t="str" cm="1">
        <f t="array" ref="K4426">_xlfn.IFS(ISBLANK(I4426),"FALTANTE",ABS((I4426-$W$8)/$X$8)&gt;1.92,"ATÍPICO",ABS((I4426-$W$8)/$X$8)&lt;=1.92,"NO ATÍPICO")</f>
        <v>NO ATÍPICO</v>
      </c>
      <c r="L4426">
        <f t="shared" si="294"/>
        <v>307850</v>
      </c>
      <c r="M4426" t="str">
        <f t="shared" si="294"/>
        <v>ASALARIADO</v>
      </c>
      <c r="N4426">
        <f t="shared" si="295"/>
        <v>41</v>
      </c>
      <c r="O4426" s="19" t="str">
        <f t="shared" si="296"/>
        <v>300k–600k</v>
      </c>
      <c r="P4426" s="19" t="str">
        <f t="shared" si="297"/>
        <v>36-45</v>
      </c>
    </row>
    <row r="4427" spans="1:16" x14ac:dyDescent="0.25">
      <c r="A4427">
        <v>4426</v>
      </c>
      <c r="B4427" t="s">
        <v>9</v>
      </c>
      <c r="C4427">
        <v>337925.96</v>
      </c>
      <c r="D4427" t="s">
        <v>10</v>
      </c>
      <c r="E4427" t="s">
        <v>16</v>
      </c>
      <c r="F4427" t="s">
        <v>12</v>
      </c>
      <c r="G4427" t="s">
        <v>13</v>
      </c>
      <c r="H4427" t="s">
        <v>13</v>
      </c>
      <c r="I4427">
        <v>23</v>
      </c>
      <c r="J4427" t="str" cm="1">
        <f t="array" ref="J4427">_xlfn.IFS(ISBLANK(C4427),"FALTANTE",ABS((C4427-$W$5)/$X$5)&gt;1.96,"ATÍPICO",ABS((C4427-$W$5)/$X$5)&lt;=1.96,"NO ATÍPICO")</f>
        <v>NO ATÍPICO</v>
      </c>
      <c r="K4427" t="str" cm="1">
        <f t="array" ref="K4427">_xlfn.IFS(ISBLANK(I4427),"FALTANTE",ABS((I4427-$W$8)/$X$8)&gt;1.92,"ATÍPICO",ABS((I4427-$W$8)/$X$8)&lt;=1.92,"NO ATÍPICO")</f>
        <v>NO ATÍPICO</v>
      </c>
      <c r="L4427">
        <f t="shared" si="294"/>
        <v>337925.96</v>
      </c>
      <c r="M4427" t="str">
        <f t="shared" si="294"/>
        <v>ASALARIADO</v>
      </c>
      <c r="N4427">
        <f t="shared" si="295"/>
        <v>23</v>
      </c>
      <c r="O4427" s="19" t="str">
        <f t="shared" si="296"/>
        <v>300k–600k</v>
      </c>
      <c r="P4427" s="19" t="str">
        <f t="shared" si="297"/>
        <v>18-25</v>
      </c>
    </row>
    <row r="4428" spans="1:16" x14ac:dyDescent="0.25">
      <c r="A4428">
        <v>4427</v>
      </c>
      <c r="B4428" t="s">
        <v>9</v>
      </c>
      <c r="C4428">
        <v>884003.5</v>
      </c>
      <c r="D4428" t="s">
        <v>10</v>
      </c>
      <c r="E4428" t="s">
        <v>16</v>
      </c>
      <c r="F4428" t="s">
        <v>12</v>
      </c>
      <c r="G4428" t="s">
        <v>13</v>
      </c>
      <c r="H4428" t="s">
        <v>13</v>
      </c>
      <c r="I4428">
        <v>25</v>
      </c>
      <c r="J4428" t="str" cm="1">
        <f t="array" ref="J4428">_xlfn.IFS(ISBLANK(C4428),"FALTANTE",ABS((C4428-$W$5)/$X$5)&gt;1.96,"ATÍPICO",ABS((C4428-$W$5)/$X$5)&lt;=1.96,"NO ATÍPICO")</f>
        <v>NO ATÍPICO</v>
      </c>
      <c r="K4428" t="str" cm="1">
        <f t="array" ref="K4428">_xlfn.IFS(ISBLANK(I4428),"FALTANTE",ABS((I4428-$W$8)/$X$8)&gt;1.92,"ATÍPICO",ABS((I4428-$W$8)/$X$8)&lt;=1.92,"NO ATÍPICO")</f>
        <v>NO ATÍPICO</v>
      </c>
      <c r="L4428">
        <f t="shared" si="294"/>
        <v>884003.5</v>
      </c>
      <c r="M4428" t="str">
        <f t="shared" si="294"/>
        <v>ASALARIADO</v>
      </c>
      <c r="N4428">
        <f t="shared" si="295"/>
        <v>25</v>
      </c>
      <c r="O4428" s="19" t="str">
        <f t="shared" si="296"/>
        <v>600k–900k</v>
      </c>
      <c r="P4428" s="19" t="str">
        <f t="shared" si="297"/>
        <v>18-25</v>
      </c>
    </row>
    <row r="4429" spans="1:16" x14ac:dyDescent="0.25">
      <c r="A4429">
        <v>4428</v>
      </c>
      <c r="B4429" t="s">
        <v>9</v>
      </c>
      <c r="C4429">
        <v>514062</v>
      </c>
      <c r="D4429" t="s">
        <v>18</v>
      </c>
      <c r="E4429" t="s">
        <v>16</v>
      </c>
      <c r="F4429" t="s">
        <v>12</v>
      </c>
      <c r="G4429" t="s">
        <v>13</v>
      </c>
      <c r="H4429" t="s">
        <v>13</v>
      </c>
      <c r="I4429">
        <v>60</v>
      </c>
      <c r="J4429" t="str" cm="1">
        <f t="array" ref="J4429">_xlfn.IFS(ISBLANK(C4429),"FALTANTE",ABS((C4429-$W$5)/$X$5)&gt;1.96,"ATÍPICO",ABS((C4429-$W$5)/$X$5)&lt;=1.96,"NO ATÍPICO")</f>
        <v>NO ATÍPICO</v>
      </c>
      <c r="K4429" t="str" cm="1">
        <f t="array" ref="K4429">_xlfn.IFS(ISBLANK(I4429),"FALTANTE",ABS((I4429-$W$8)/$X$8)&gt;1.92,"ATÍPICO",ABS((I4429-$W$8)/$X$8)&lt;=1.92,"NO ATÍPICO")</f>
        <v>NO ATÍPICO</v>
      </c>
      <c r="L4429">
        <f t="shared" si="294"/>
        <v>514062</v>
      </c>
      <c r="M4429" t="str">
        <f t="shared" si="294"/>
        <v>TRABAJADOR INDEPENDIENTE</v>
      </c>
      <c r="N4429">
        <f t="shared" si="295"/>
        <v>60</v>
      </c>
      <c r="O4429" s="19" t="str">
        <f t="shared" si="296"/>
        <v>300k–600k</v>
      </c>
      <c r="P4429" s="19" t="str">
        <f t="shared" si="297"/>
        <v>56+</v>
      </c>
    </row>
    <row r="4430" spans="1:16" x14ac:dyDescent="0.25">
      <c r="A4430">
        <v>4429</v>
      </c>
      <c r="B4430" t="s">
        <v>9</v>
      </c>
      <c r="C4430">
        <v>724000</v>
      </c>
      <c r="D4430" t="s">
        <v>10</v>
      </c>
      <c r="E4430" t="s">
        <v>16</v>
      </c>
      <c r="F4430" t="s">
        <v>12</v>
      </c>
      <c r="G4430" t="s">
        <v>13</v>
      </c>
      <c r="H4430" t="s">
        <v>13</v>
      </c>
      <c r="I4430">
        <v>29</v>
      </c>
      <c r="J4430" t="str" cm="1">
        <f t="array" ref="J4430">_xlfn.IFS(ISBLANK(C4430),"FALTANTE",ABS((C4430-$W$5)/$X$5)&gt;1.96,"ATÍPICO",ABS((C4430-$W$5)/$X$5)&lt;=1.96,"NO ATÍPICO")</f>
        <v>NO ATÍPICO</v>
      </c>
      <c r="K4430" t="str" cm="1">
        <f t="array" ref="K4430">_xlfn.IFS(ISBLANK(I4430),"FALTANTE",ABS((I4430-$W$8)/$X$8)&gt;1.92,"ATÍPICO",ABS((I4430-$W$8)/$X$8)&lt;=1.92,"NO ATÍPICO")</f>
        <v>NO ATÍPICO</v>
      </c>
      <c r="L4430">
        <f t="shared" si="294"/>
        <v>724000</v>
      </c>
      <c r="M4430" t="str">
        <f t="shared" si="294"/>
        <v>ASALARIADO</v>
      </c>
      <c r="N4430">
        <f t="shared" si="295"/>
        <v>29</v>
      </c>
      <c r="O4430" s="19" t="str">
        <f t="shared" si="296"/>
        <v>600k–900k</v>
      </c>
      <c r="P4430" s="19" t="str">
        <f t="shared" si="297"/>
        <v>26-35</v>
      </c>
    </row>
    <row r="4431" spans="1:16" x14ac:dyDescent="0.25">
      <c r="A4431">
        <v>4430</v>
      </c>
      <c r="B4431" t="s">
        <v>9</v>
      </c>
      <c r="C4431">
        <v>297045</v>
      </c>
      <c r="D4431" t="s">
        <v>18</v>
      </c>
      <c r="E4431" t="s">
        <v>16</v>
      </c>
      <c r="F4431" t="s">
        <v>12</v>
      </c>
      <c r="G4431" t="s">
        <v>13</v>
      </c>
      <c r="H4431" t="s">
        <v>12</v>
      </c>
      <c r="I4431">
        <v>56</v>
      </c>
      <c r="J4431" t="str" cm="1">
        <f t="array" ref="J4431">_xlfn.IFS(ISBLANK(C4431),"FALTANTE",ABS((C4431-$W$5)/$X$5)&gt;1.96,"ATÍPICO",ABS((C4431-$W$5)/$X$5)&lt;=1.96,"NO ATÍPICO")</f>
        <v>NO ATÍPICO</v>
      </c>
      <c r="K4431" t="str" cm="1">
        <f t="array" ref="K4431">_xlfn.IFS(ISBLANK(I4431),"FALTANTE",ABS((I4431-$W$8)/$X$8)&gt;1.92,"ATÍPICO",ABS((I4431-$W$8)/$X$8)&lt;=1.92,"NO ATÍPICO")</f>
        <v>NO ATÍPICO</v>
      </c>
      <c r="L4431">
        <f t="shared" si="294"/>
        <v>297045</v>
      </c>
      <c r="M4431" t="str">
        <f t="shared" si="294"/>
        <v>TRABAJADOR INDEPENDIENTE</v>
      </c>
      <c r="N4431">
        <f t="shared" si="295"/>
        <v>56</v>
      </c>
      <c r="O4431" s="19" t="str">
        <f t="shared" si="296"/>
        <v>0–300k</v>
      </c>
      <c r="P4431" s="19" t="str">
        <f t="shared" si="297"/>
        <v>56+</v>
      </c>
    </row>
    <row r="4432" spans="1:16" x14ac:dyDescent="0.25">
      <c r="A4432">
        <v>4431</v>
      </c>
      <c r="B4432" t="s">
        <v>9</v>
      </c>
      <c r="C4432">
        <v>487739</v>
      </c>
      <c r="D4432" t="s">
        <v>18</v>
      </c>
      <c r="E4432" t="s">
        <v>16</v>
      </c>
      <c r="F4432" t="s">
        <v>12</v>
      </c>
      <c r="G4432" t="s">
        <v>13</v>
      </c>
      <c r="H4432" t="s">
        <v>12</v>
      </c>
      <c r="I4432">
        <v>45</v>
      </c>
      <c r="J4432" t="str" cm="1">
        <f t="array" ref="J4432">_xlfn.IFS(ISBLANK(C4432),"FALTANTE",ABS((C4432-$W$5)/$X$5)&gt;1.96,"ATÍPICO",ABS((C4432-$W$5)/$X$5)&lt;=1.96,"NO ATÍPICO")</f>
        <v>NO ATÍPICO</v>
      </c>
      <c r="K4432" t="str" cm="1">
        <f t="array" ref="K4432">_xlfn.IFS(ISBLANK(I4432),"FALTANTE",ABS((I4432-$W$8)/$X$8)&gt;1.92,"ATÍPICO",ABS((I4432-$W$8)/$X$8)&lt;=1.92,"NO ATÍPICO")</f>
        <v>NO ATÍPICO</v>
      </c>
      <c r="L4432">
        <f t="shared" si="294"/>
        <v>487739</v>
      </c>
      <c r="M4432" t="str">
        <f t="shared" si="294"/>
        <v>TRABAJADOR INDEPENDIENTE</v>
      </c>
      <c r="N4432">
        <f t="shared" si="295"/>
        <v>45</v>
      </c>
      <c r="O4432" s="19" t="str">
        <f t="shared" si="296"/>
        <v>300k–600k</v>
      </c>
      <c r="P4432" s="19" t="str">
        <f t="shared" si="297"/>
        <v>36-45</v>
      </c>
    </row>
    <row r="4433" spans="1:16" x14ac:dyDescent="0.25">
      <c r="A4433">
        <v>4432</v>
      </c>
      <c r="B4433" t="s">
        <v>9</v>
      </c>
      <c r="C4433">
        <v>370609.6</v>
      </c>
      <c r="D4433" t="s">
        <v>10</v>
      </c>
      <c r="E4433" t="s">
        <v>16</v>
      </c>
      <c r="F4433" t="s">
        <v>12</v>
      </c>
      <c r="G4433" t="s">
        <v>12</v>
      </c>
      <c r="H4433" t="s">
        <v>13</v>
      </c>
      <c r="I4433">
        <v>59</v>
      </c>
      <c r="J4433" t="str" cm="1">
        <f t="array" ref="J4433">_xlfn.IFS(ISBLANK(C4433),"FALTANTE",ABS((C4433-$W$5)/$X$5)&gt;1.96,"ATÍPICO",ABS((C4433-$W$5)/$X$5)&lt;=1.96,"NO ATÍPICO")</f>
        <v>NO ATÍPICO</v>
      </c>
      <c r="K4433" t="str" cm="1">
        <f t="array" ref="K4433">_xlfn.IFS(ISBLANK(I4433),"FALTANTE",ABS((I4433-$W$8)/$X$8)&gt;1.92,"ATÍPICO",ABS((I4433-$W$8)/$X$8)&lt;=1.92,"NO ATÍPICO")</f>
        <v>NO ATÍPICO</v>
      </c>
      <c r="L4433">
        <f t="shared" si="294"/>
        <v>370609.6</v>
      </c>
      <c r="M4433" t="str">
        <f t="shared" si="294"/>
        <v>ASALARIADO</v>
      </c>
      <c r="N4433">
        <f t="shared" si="295"/>
        <v>59</v>
      </c>
      <c r="O4433" s="19" t="str">
        <f t="shared" si="296"/>
        <v>300k–600k</v>
      </c>
      <c r="P4433" s="19" t="str">
        <f t="shared" si="297"/>
        <v>56+</v>
      </c>
    </row>
    <row r="4434" spans="1:16" x14ac:dyDescent="0.25">
      <c r="A4434">
        <v>4433</v>
      </c>
      <c r="B4434" t="s">
        <v>9</v>
      </c>
      <c r="C4434">
        <v>287000</v>
      </c>
      <c r="D4434" t="s">
        <v>10</v>
      </c>
      <c r="E4434" t="s">
        <v>16</v>
      </c>
      <c r="F4434" t="s">
        <v>12</v>
      </c>
      <c r="G4434" t="s">
        <v>13</v>
      </c>
      <c r="H4434" t="s">
        <v>13</v>
      </c>
      <c r="I4434">
        <v>19</v>
      </c>
      <c r="J4434" t="str" cm="1">
        <f t="array" ref="J4434">_xlfn.IFS(ISBLANK(C4434),"FALTANTE",ABS((C4434-$W$5)/$X$5)&gt;1.96,"ATÍPICO",ABS((C4434-$W$5)/$X$5)&lt;=1.96,"NO ATÍPICO")</f>
        <v>NO ATÍPICO</v>
      </c>
      <c r="K4434" t="str" cm="1">
        <f t="array" ref="K4434">_xlfn.IFS(ISBLANK(I4434),"FALTANTE",ABS((I4434-$W$8)/$X$8)&gt;1.92,"ATÍPICO",ABS((I4434-$W$8)/$X$8)&lt;=1.92,"NO ATÍPICO")</f>
        <v>NO ATÍPICO</v>
      </c>
      <c r="L4434">
        <f t="shared" si="294"/>
        <v>287000</v>
      </c>
      <c r="M4434" t="str">
        <f t="shared" si="294"/>
        <v>ASALARIADO</v>
      </c>
      <c r="N4434">
        <f t="shared" si="295"/>
        <v>19</v>
      </c>
      <c r="O4434" s="19" t="str">
        <f t="shared" si="296"/>
        <v>0–300k</v>
      </c>
      <c r="P4434" s="19" t="str">
        <f t="shared" si="297"/>
        <v>18-25</v>
      </c>
    </row>
    <row r="4435" spans="1:16" x14ac:dyDescent="0.25">
      <c r="A4435">
        <v>4434</v>
      </c>
      <c r="B4435" t="s">
        <v>15</v>
      </c>
      <c r="C4435">
        <v>501367.89</v>
      </c>
      <c r="D4435" t="s">
        <v>10</v>
      </c>
      <c r="E4435" t="s">
        <v>16</v>
      </c>
      <c r="F4435" t="s">
        <v>12</v>
      </c>
      <c r="G4435" t="s">
        <v>13</v>
      </c>
      <c r="H4435" t="s">
        <v>13</v>
      </c>
      <c r="I4435">
        <v>27</v>
      </c>
      <c r="J4435" t="str" cm="1">
        <f t="array" ref="J4435">_xlfn.IFS(ISBLANK(C4435),"FALTANTE",ABS((C4435-$W$5)/$X$5)&gt;1.96,"ATÍPICO",ABS((C4435-$W$5)/$X$5)&lt;=1.96,"NO ATÍPICO")</f>
        <v>NO ATÍPICO</v>
      </c>
      <c r="K4435" t="str" cm="1">
        <f t="array" ref="K4435">_xlfn.IFS(ISBLANK(I4435),"FALTANTE",ABS((I4435-$W$8)/$X$8)&gt;1.92,"ATÍPICO",ABS((I4435-$W$8)/$X$8)&lt;=1.92,"NO ATÍPICO")</f>
        <v>NO ATÍPICO</v>
      </c>
      <c r="L4435">
        <f t="shared" si="294"/>
        <v>501367.89</v>
      </c>
      <c r="M4435" t="str">
        <f t="shared" si="294"/>
        <v>ASALARIADO</v>
      </c>
      <c r="N4435">
        <f t="shared" si="295"/>
        <v>27</v>
      </c>
      <c r="O4435" s="19" t="str">
        <f t="shared" si="296"/>
        <v>300k–600k</v>
      </c>
      <c r="P4435" s="19" t="str">
        <f t="shared" si="297"/>
        <v>26-35</v>
      </c>
    </row>
    <row r="4436" spans="1:16" x14ac:dyDescent="0.25">
      <c r="A4436">
        <v>4435</v>
      </c>
      <c r="B4436" t="s">
        <v>9</v>
      </c>
      <c r="C4436">
        <v>644894.4</v>
      </c>
      <c r="D4436" t="s">
        <v>10</v>
      </c>
      <c r="E4436" t="s">
        <v>16</v>
      </c>
      <c r="F4436" t="s">
        <v>12</v>
      </c>
      <c r="G4436" t="s">
        <v>13</v>
      </c>
      <c r="H4436" t="s">
        <v>13</v>
      </c>
      <c r="I4436">
        <v>37</v>
      </c>
      <c r="J4436" t="str" cm="1">
        <f t="array" ref="J4436">_xlfn.IFS(ISBLANK(C4436),"FALTANTE",ABS((C4436-$W$5)/$X$5)&gt;1.96,"ATÍPICO",ABS((C4436-$W$5)/$X$5)&lt;=1.96,"NO ATÍPICO")</f>
        <v>NO ATÍPICO</v>
      </c>
      <c r="K4436" t="str" cm="1">
        <f t="array" ref="K4436">_xlfn.IFS(ISBLANK(I4436),"FALTANTE",ABS((I4436-$W$8)/$X$8)&gt;1.92,"ATÍPICO",ABS((I4436-$W$8)/$X$8)&lt;=1.92,"NO ATÍPICO")</f>
        <v>NO ATÍPICO</v>
      </c>
      <c r="L4436">
        <f t="shared" si="294"/>
        <v>644894.4</v>
      </c>
      <c r="M4436" t="str">
        <f t="shared" si="294"/>
        <v>ASALARIADO</v>
      </c>
      <c r="N4436">
        <f t="shared" si="295"/>
        <v>37</v>
      </c>
      <c r="O4436" s="19" t="str">
        <f t="shared" si="296"/>
        <v>600k–900k</v>
      </c>
      <c r="P4436" s="19" t="str">
        <f t="shared" si="297"/>
        <v>36-45</v>
      </c>
    </row>
    <row r="4437" spans="1:16" x14ac:dyDescent="0.25">
      <c r="A4437">
        <v>4436</v>
      </c>
      <c r="B4437" t="s">
        <v>15</v>
      </c>
      <c r="C4437">
        <v>278030.99</v>
      </c>
      <c r="D4437" t="s">
        <v>19</v>
      </c>
      <c r="E4437" t="s">
        <v>16</v>
      </c>
      <c r="F4437" t="s">
        <v>12</v>
      </c>
      <c r="G4437" t="s">
        <v>13</v>
      </c>
      <c r="H4437" t="s">
        <v>13</v>
      </c>
      <c r="I4437">
        <v>20</v>
      </c>
      <c r="J4437" t="str" cm="1">
        <f t="array" ref="J4437">_xlfn.IFS(ISBLANK(C4437),"FALTANTE",ABS((C4437-$W$5)/$X$5)&gt;1.96,"ATÍPICO",ABS((C4437-$W$5)/$X$5)&lt;=1.96,"NO ATÍPICO")</f>
        <v>NO ATÍPICO</v>
      </c>
      <c r="K4437" t="str" cm="1">
        <f t="array" ref="K4437">_xlfn.IFS(ISBLANK(I4437),"FALTANTE",ABS((I4437-$W$8)/$X$8)&gt;1.92,"ATÍPICO",ABS((I4437-$W$8)/$X$8)&lt;=1.92,"NO ATÍPICO")</f>
        <v>NO ATÍPICO</v>
      </c>
      <c r="L4437">
        <f t="shared" si="294"/>
        <v>278030.99</v>
      </c>
      <c r="M4437" t="str">
        <f t="shared" si="294"/>
        <v>CONVENIOS ESPECIALES DE TRABAJADORES INDEPENDIENTES</v>
      </c>
      <c r="N4437">
        <f t="shared" si="295"/>
        <v>20</v>
      </c>
      <c r="O4437" s="19" t="str">
        <f t="shared" si="296"/>
        <v>0–300k</v>
      </c>
      <c r="P4437" s="19" t="str">
        <f t="shared" si="297"/>
        <v>18-25</v>
      </c>
    </row>
    <row r="4438" spans="1:16" x14ac:dyDescent="0.25">
      <c r="A4438">
        <v>4437</v>
      </c>
      <c r="B4438" t="s">
        <v>15</v>
      </c>
      <c r="C4438">
        <v>327716</v>
      </c>
      <c r="D4438" t="s">
        <v>17</v>
      </c>
      <c r="E4438" t="s">
        <v>16</v>
      </c>
      <c r="F4438" t="s">
        <v>12</v>
      </c>
      <c r="G4438" t="s">
        <v>13</v>
      </c>
      <c r="H4438" t="s">
        <v>13</v>
      </c>
      <c r="I4438">
        <v>61</v>
      </c>
      <c r="J4438" t="str" cm="1">
        <f t="array" ref="J4438">_xlfn.IFS(ISBLANK(C4438),"FALTANTE",ABS((C4438-$W$5)/$X$5)&gt;1.96,"ATÍPICO",ABS((C4438-$W$5)/$X$5)&lt;=1.96,"NO ATÍPICO")</f>
        <v>NO ATÍPICO</v>
      </c>
      <c r="K4438" t="str" cm="1">
        <f t="array" ref="K4438">_xlfn.IFS(ISBLANK(I4438),"FALTANTE",ABS((I4438-$W$8)/$X$8)&gt;1.92,"ATÍPICO",ABS((I4438-$W$8)/$X$8)&lt;=1.92,"NO ATÍPICO")</f>
        <v>NO ATÍPICO</v>
      </c>
      <c r="L4438">
        <f t="shared" si="294"/>
        <v>327716</v>
      </c>
      <c r="M4438" t="str">
        <f t="shared" si="294"/>
        <v>ASEGURADO VOLUNTARIO</v>
      </c>
      <c r="N4438">
        <f t="shared" si="295"/>
        <v>61</v>
      </c>
      <c r="O4438" s="19" t="str">
        <f t="shared" si="296"/>
        <v>300k–600k</v>
      </c>
      <c r="P4438" s="19" t="str">
        <f t="shared" si="297"/>
        <v>56+</v>
      </c>
    </row>
    <row r="4439" spans="1:16" x14ac:dyDescent="0.25">
      <c r="A4439">
        <v>4438</v>
      </c>
      <c r="B4439" t="s">
        <v>15</v>
      </c>
      <c r="C4439">
        <v>1064074.55</v>
      </c>
      <c r="D4439" t="s">
        <v>10</v>
      </c>
      <c r="E4439" t="s">
        <v>16</v>
      </c>
      <c r="F4439" t="s">
        <v>12</v>
      </c>
      <c r="G4439" t="s">
        <v>13</v>
      </c>
      <c r="H4439" t="s">
        <v>13</v>
      </c>
      <c r="I4439">
        <v>21</v>
      </c>
      <c r="J4439" t="str" cm="1">
        <f t="array" ref="J4439">_xlfn.IFS(ISBLANK(C4439),"FALTANTE",ABS((C4439-$W$5)/$X$5)&gt;1.96,"ATÍPICO",ABS((C4439-$W$5)/$X$5)&lt;=1.96,"NO ATÍPICO")</f>
        <v>NO ATÍPICO</v>
      </c>
      <c r="K4439" t="str" cm="1">
        <f t="array" ref="K4439">_xlfn.IFS(ISBLANK(I4439),"FALTANTE",ABS((I4439-$W$8)/$X$8)&gt;1.92,"ATÍPICO",ABS((I4439-$W$8)/$X$8)&lt;=1.92,"NO ATÍPICO")</f>
        <v>NO ATÍPICO</v>
      </c>
      <c r="L4439">
        <f t="shared" si="294"/>
        <v>1064074.55</v>
      </c>
      <c r="M4439" t="str">
        <f t="shared" si="294"/>
        <v>ASALARIADO</v>
      </c>
      <c r="N4439">
        <f t="shared" si="295"/>
        <v>21</v>
      </c>
      <c r="O4439" s="19" t="str">
        <f t="shared" si="296"/>
        <v>900k–1200k</v>
      </c>
      <c r="P4439" s="19" t="str">
        <f t="shared" si="297"/>
        <v>18-25</v>
      </c>
    </row>
    <row r="4440" spans="1:16" x14ac:dyDescent="0.25">
      <c r="A4440">
        <v>4439</v>
      </c>
      <c r="B4440" t="s">
        <v>9</v>
      </c>
      <c r="C4440">
        <v>419207.05</v>
      </c>
      <c r="D4440" t="s">
        <v>10</v>
      </c>
      <c r="E4440" t="s">
        <v>16</v>
      </c>
      <c r="F4440" t="s">
        <v>12</v>
      </c>
      <c r="G4440" t="s">
        <v>13</v>
      </c>
      <c r="H4440" t="s">
        <v>13</v>
      </c>
      <c r="I4440">
        <v>48</v>
      </c>
      <c r="J4440" t="str" cm="1">
        <f t="array" ref="J4440">_xlfn.IFS(ISBLANK(C4440),"FALTANTE",ABS((C4440-$W$5)/$X$5)&gt;1.96,"ATÍPICO",ABS((C4440-$W$5)/$X$5)&lt;=1.96,"NO ATÍPICO")</f>
        <v>NO ATÍPICO</v>
      </c>
      <c r="K4440" t="str" cm="1">
        <f t="array" ref="K4440">_xlfn.IFS(ISBLANK(I4440),"FALTANTE",ABS((I4440-$W$8)/$X$8)&gt;1.92,"ATÍPICO",ABS((I4440-$W$8)/$X$8)&lt;=1.92,"NO ATÍPICO")</f>
        <v>NO ATÍPICO</v>
      </c>
      <c r="L4440">
        <f t="shared" si="294"/>
        <v>419207.05</v>
      </c>
      <c r="M4440" t="str">
        <f t="shared" si="294"/>
        <v>ASALARIADO</v>
      </c>
      <c r="N4440">
        <f t="shared" si="295"/>
        <v>48</v>
      </c>
      <c r="O4440" s="19" t="str">
        <f t="shared" si="296"/>
        <v>300k–600k</v>
      </c>
      <c r="P4440" s="19" t="str">
        <f t="shared" si="297"/>
        <v>46-55</v>
      </c>
    </row>
    <row r="4441" spans="1:16" x14ac:dyDescent="0.25">
      <c r="A4441">
        <v>4440</v>
      </c>
      <c r="B4441" t="s">
        <v>9</v>
      </c>
      <c r="C4441">
        <v>1277200</v>
      </c>
      <c r="D4441" t="s">
        <v>10</v>
      </c>
      <c r="E4441" t="s">
        <v>16</v>
      </c>
      <c r="F4441" t="s">
        <v>12</v>
      </c>
      <c r="G4441" t="s">
        <v>13</v>
      </c>
      <c r="H4441" t="s">
        <v>13</v>
      </c>
      <c r="I4441">
        <v>24</v>
      </c>
      <c r="J4441" t="str" cm="1">
        <f t="array" ref="J4441">_xlfn.IFS(ISBLANK(C4441),"FALTANTE",ABS((C4441-$W$5)/$X$5)&gt;1.96,"ATÍPICO",ABS((C4441-$W$5)/$X$5)&lt;=1.96,"NO ATÍPICO")</f>
        <v>NO ATÍPICO</v>
      </c>
      <c r="K4441" t="str" cm="1">
        <f t="array" ref="K4441">_xlfn.IFS(ISBLANK(I4441),"FALTANTE",ABS((I4441-$W$8)/$X$8)&gt;1.92,"ATÍPICO",ABS((I4441-$W$8)/$X$8)&lt;=1.92,"NO ATÍPICO")</f>
        <v>NO ATÍPICO</v>
      </c>
      <c r="L4441">
        <f t="shared" si="294"/>
        <v>1277200</v>
      </c>
      <c r="M4441" t="str">
        <f t="shared" si="294"/>
        <v>ASALARIADO</v>
      </c>
      <c r="N4441">
        <f t="shared" si="295"/>
        <v>24</v>
      </c>
      <c r="O4441" s="19" t="str">
        <f t="shared" si="296"/>
        <v>1200k+</v>
      </c>
      <c r="P4441" s="19" t="str">
        <f t="shared" si="297"/>
        <v>18-25</v>
      </c>
    </row>
    <row r="4442" spans="1:16" x14ac:dyDescent="0.25">
      <c r="A4442">
        <v>4441</v>
      </c>
      <c r="B4442" t="s">
        <v>9</v>
      </c>
      <c r="C4442">
        <v>1228919.8500000001</v>
      </c>
      <c r="D4442" t="s">
        <v>19</v>
      </c>
      <c r="E4442" t="s">
        <v>16</v>
      </c>
      <c r="F4442" t="s">
        <v>12</v>
      </c>
      <c r="G4442" t="s">
        <v>13</v>
      </c>
      <c r="H4442" t="s">
        <v>13</v>
      </c>
      <c r="I4442">
        <v>53</v>
      </c>
      <c r="J4442" t="str" cm="1">
        <f t="array" ref="J4442">_xlfn.IFS(ISBLANK(C4442),"FALTANTE",ABS((C4442-$W$5)/$X$5)&gt;1.96,"ATÍPICO",ABS((C4442-$W$5)/$X$5)&lt;=1.96,"NO ATÍPICO")</f>
        <v>NO ATÍPICO</v>
      </c>
      <c r="K4442" t="str" cm="1">
        <f t="array" ref="K4442">_xlfn.IFS(ISBLANK(I4442),"FALTANTE",ABS((I4442-$W$8)/$X$8)&gt;1.92,"ATÍPICO",ABS((I4442-$W$8)/$X$8)&lt;=1.92,"NO ATÍPICO")</f>
        <v>NO ATÍPICO</v>
      </c>
      <c r="L4442">
        <f t="shared" si="294"/>
        <v>1228919.8500000001</v>
      </c>
      <c r="M4442" t="str">
        <f t="shared" si="294"/>
        <v>CONVENIOS ESPECIALES DE TRABAJADORES INDEPENDIENTES</v>
      </c>
      <c r="N4442">
        <f t="shared" si="295"/>
        <v>53</v>
      </c>
      <c r="O4442" s="19" t="str">
        <f t="shared" si="296"/>
        <v>1200k+</v>
      </c>
      <c r="P4442" s="19" t="str">
        <f t="shared" si="297"/>
        <v>46-55</v>
      </c>
    </row>
    <row r="4443" spans="1:16" x14ac:dyDescent="0.25">
      <c r="A4443">
        <v>4442</v>
      </c>
      <c r="B4443" t="s">
        <v>9</v>
      </c>
      <c r="C4443">
        <v>1446221.81</v>
      </c>
      <c r="D4443" t="s">
        <v>10</v>
      </c>
      <c r="E4443" t="s">
        <v>11</v>
      </c>
      <c r="F4443" t="s">
        <v>12</v>
      </c>
      <c r="G4443" t="s">
        <v>13</v>
      </c>
      <c r="H4443" t="s">
        <v>13</v>
      </c>
      <c r="I4443">
        <v>60</v>
      </c>
      <c r="J4443" t="str" cm="1">
        <f t="array" ref="J4443">_xlfn.IFS(ISBLANK(C4443),"FALTANTE",ABS((C4443-$W$5)/$X$5)&gt;1.96,"ATÍPICO",ABS((C4443-$W$5)/$X$5)&lt;=1.96,"NO ATÍPICO")</f>
        <v>NO ATÍPICO</v>
      </c>
      <c r="K4443" t="str" cm="1">
        <f t="array" ref="K4443">_xlfn.IFS(ISBLANK(I4443),"FALTANTE",ABS((I4443-$W$8)/$X$8)&gt;1.92,"ATÍPICO",ABS((I4443-$W$8)/$X$8)&lt;=1.92,"NO ATÍPICO")</f>
        <v>NO ATÍPICO</v>
      </c>
      <c r="L4443">
        <f t="shared" si="294"/>
        <v>1446221.81</v>
      </c>
      <c r="M4443" t="str">
        <f t="shared" si="294"/>
        <v>ASALARIADO</v>
      </c>
      <c r="N4443">
        <f t="shared" si="295"/>
        <v>60</v>
      </c>
      <c r="O4443" s="19" t="str">
        <f t="shared" si="296"/>
        <v>1200k+</v>
      </c>
      <c r="P4443" s="19" t="str">
        <f t="shared" si="297"/>
        <v>56+</v>
      </c>
    </row>
    <row r="4444" spans="1:16" x14ac:dyDescent="0.25">
      <c r="A4444">
        <v>4443</v>
      </c>
      <c r="B4444" t="s">
        <v>9</v>
      </c>
      <c r="C4444">
        <v>270900</v>
      </c>
      <c r="D4444" t="s">
        <v>10</v>
      </c>
      <c r="E4444" t="s">
        <v>16</v>
      </c>
      <c r="F4444" t="s">
        <v>12</v>
      </c>
      <c r="G4444" t="s">
        <v>12</v>
      </c>
      <c r="H4444" t="s">
        <v>13</v>
      </c>
      <c r="I4444">
        <v>43</v>
      </c>
      <c r="J4444" t="str" cm="1">
        <f t="array" ref="J4444">_xlfn.IFS(ISBLANK(C4444),"FALTANTE",ABS((C4444-$W$5)/$X$5)&gt;1.96,"ATÍPICO",ABS((C4444-$W$5)/$X$5)&lt;=1.96,"NO ATÍPICO")</f>
        <v>NO ATÍPICO</v>
      </c>
      <c r="K4444" t="str" cm="1">
        <f t="array" ref="K4444">_xlfn.IFS(ISBLANK(I4444),"FALTANTE",ABS((I4444-$W$8)/$X$8)&gt;1.92,"ATÍPICO",ABS((I4444-$W$8)/$X$8)&lt;=1.92,"NO ATÍPICO")</f>
        <v>NO ATÍPICO</v>
      </c>
      <c r="L4444">
        <f t="shared" si="294"/>
        <v>270900</v>
      </c>
      <c r="M4444" t="str">
        <f t="shared" si="294"/>
        <v>ASALARIADO</v>
      </c>
      <c r="N4444">
        <f t="shared" si="295"/>
        <v>43</v>
      </c>
      <c r="O4444" s="19" t="str">
        <f t="shared" si="296"/>
        <v>0–300k</v>
      </c>
      <c r="P4444" s="19" t="str">
        <f t="shared" si="297"/>
        <v>36-45</v>
      </c>
    </row>
    <row r="4445" spans="1:16" x14ac:dyDescent="0.25">
      <c r="A4445">
        <v>4444</v>
      </c>
      <c r="B4445" t="s">
        <v>9</v>
      </c>
      <c r="C4445">
        <v>561517</v>
      </c>
      <c r="D4445" t="s">
        <v>10</v>
      </c>
      <c r="E4445" t="s">
        <v>11</v>
      </c>
      <c r="F4445" t="s">
        <v>12</v>
      </c>
      <c r="G4445" t="s">
        <v>13</v>
      </c>
      <c r="H4445" t="s">
        <v>13</v>
      </c>
      <c r="I4445">
        <v>42</v>
      </c>
      <c r="J4445" t="str" cm="1">
        <f t="array" ref="J4445">_xlfn.IFS(ISBLANK(C4445),"FALTANTE",ABS((C4445-$W$5)/$X$5)&gt;1.96,"ATÍPICO",ABS((C4445-$W$5)/$X$5)&lt;=1.96,"NO ATÍPICO")</f>
        <v>NO ATÍPICO</v>
      </c>
      <c r="K4445" t="str" cm="1">
        <f t="array" ref="K4445">_xlfn.IFS(ISBLANK(I4445),"FALTANTE",ABS((I4445-$W$8)/$X$8)&gt;1.92,"ATÍPICO",ABS((I4445-$W$8)/$X$8)&lt;=1.92,"NO ATÍPICO")</f>
        <v>NO ATÍPICO</v>
      </c>
      <c r="L4445">
        <f t="shared" si="294"/>
        <v>561517</v>
      </c>
      <c r="M4445" t="str">
        <f t="shared" si="294"/>
        <v>ASALARIADO</v>
      </c>
      <c r="N4445">
        <f t="shared" si="295"/>
        <v>42</v>
      </c>
      <c r="O4445" s="19" t="str">
        <f t="shared" si="296"/>
        <v>300k–600k</v>
      </c>
      <c r="P4445" s="19" t="str">
        <f t="shared" si="297"/>
        <v>36-45</v>
      </c>
    </row>
    <row r="4446" spans="1:16" x14ac:dyDescent="0.25">
      <c r="A4446">
        <v>4445</v>
      </c>
      <c r="B4446" t="s">
        <v>9</v>
      </c>
      <c r="C4446">
        <v>297046</v>
      </c>
      <c r="D4446" t="s">
        <v>18</v>
      </c>
      <c r="E4446" t="s">
        <v>16</v>
      </c>
      <c r="F4446" t="s">
        <v>12</v>
      </c>
      <c r="G4446" t="s">
        <v>13</v>
      </c>
      <c r="H4446" t="s">
        <v>12</v>
      </c>
      <c r="I4446">
        <v>26</v>
      </c>
      <c r="J4446" t="str" cm="1">
        <f t="array" ref="J4446">_xlfn.IFS(ISBLANK(C4446),"FALTANTE",ABS((C4446-$W$5)/$X$5)&gt;1.96,"ATÍPICO",ABS((C4446-$W$5)/$X$5)&lt;=1.96,"NO ATÍPICO")</f>
        <v>NO ATÍPICO</v>
      </c>
      <c r="K4446" t="str" cm="1">
        <f t="array" ref="K4446">_xlfn.IFS(ISBLANK(I4446),"FALTANTE",ABS((I4446-$W$8)/$X$8)&gt;1.92,"ATÍPICO",ABS((I4446-$W$8)/$X$8)&lt;=1.92,"NO ATÍPICO")</f>
        <v>NO ATÍPICO</v>
      </c>
      <c r="L4446">
        <f t="shared" si="294"/>
        <v>297046</v>
      </c>
      <c r="M4446" t="str">
        <f t="shared" si="294"/>
        <v>TRABAJADOR INDEPENDIENTE</v>
      </c>
      <c r="N4446">
        <f t="shared" si="295"/>
        <v>26</v>
      </c>
      <c r="O4446" s="19" t="str">
        <f t="shared" si="296"/>
        <v>0–300k</v>
      </c>
      <c r="P4446" s="19" t="str">
        <f t="shared" si="297"/>
        <v>26-35</v>
      </c>
    </row>
    <row r="4447" spans="1:16" x14ac:dyDescent="0.25">
      <c r="A4447">
        <v>4446</v>
      </c>
      <c r="B4447" t="s">
        <v>9</v>
      </c>
      <c r="C4447">
        <v>278030</v>
      </c>
      <c r="D4447" t="s">
        <v>18</v>
      </c>
      <c r="E4447" t="s">
        <v>16</v>
      </c>
      <c r="F4447" t="s">
        <v>12</v>
      </c>
      <c r="G4447" t="s">
        <v>13</v>
      </c>
      <c r="H4447" t="s">
        <v>13</v>
      </c>
      <c r="I4447">
        <v>29</v>
      </c>
      <c r="J4447" t="str" cm="1">
        <f t="array" ref="J4447">_xlfn.IFS(ISBLANK(C4447),"FALTANTE",ABS((C4447-$W$5)/$X$5)&gt;1.96,"ATÍPICO",ABS((C4447-$W$5)/$X$5)&lt;=1.96,"NO ATÍPICO")</f>
        <v>NO ATÍPICO</v>
      </c>
      <c r="K4447" t="str" cm="1">
        <f t="array" ref="K4447">_xlfn.IFS(ISBLANK(I4447),"FALTANTE",ABS((I4447-$W$8)/$X$8)&gt;1.92,"ATÍPICO",ABS((I4447-$W$8)/$X$8)&lt;=1.92,"NO ATÍPICO")</f>
        <v>NO ATÍPICO</v>
      </c>
      <c r="L4447">
        <f t="shared" si="294"/>
        <v>278030</v>
      </c>
      <c r="M4447" t="str">
        <f t="shared" si="294"/>
        <v>TRABAJADOR INDEPENDIENTE</v>
      </c>
      <c r="N4447">
        <f t="shared" si="295"/>
        <v>29</v>
      </c>
      <c r="O4447" s="19" t="str">
        <f t="shared" si="296"/>
        <v>0–300k</v>
      </c>
      <c r="P4447" s="19" t="str">
        <f t="shared" si="297"/>
        <v>26-35</v>
      </c>
    </row>
    <row r="4448" spans="1:16" x14ac:dyDescent="0.25">
      <c r="A4448">
        <v>4447</v>
      </c>
      <c r="B4448" t="s">
        <v>9</v>
      </c>
      <c r="C4448">
        <v>885877.44</v>
      </c>
      <c r="D4448" t="s">
        <v>10</v>
      </c>
      <c r="E4448" t="s">
        <v>16</v>
      </c>
      <c r="F4448" t="s">
        <v>12</v>
      </c>
      <c r="G4448" t="s">
        <v>13</v>
      </c>
      <c r="H4448" t="s">
        <v>13</v>
      </c>
      <c r="I4448">
        <v>31</v>
      </c>
      <c r="J4448" t="str" cm="1">
        <f t="array" ref="J4448">_xlfn.IFS(ISBLANK(C4448),"FALTANTE",ABS((C4448-$W$5)/$X$5)&gt;1.96,"ATÍPICO",ABS((C4448-$W$5)/$X$5)&lt;=1.96,"NO ATÍPICO")</f>
        <v>NO ATÍPICO</v>
      </c>
      <c r="K4448" t="str" cm="1">
        <f t="array" ref="K4448">_xlfn.IFS(ISBLANK(I4448),"FALTANTE",ABS((I4448-$W$8)/$X$8)&gt;1.92,"ATÍPICO",ABS((I4448-$W$8)/$X$8)&lt;=1.92,"NO ATÍPICO")</f>
        <v>NO ATÍPICO</v>
      </c>
      <c r="L4448">
        <f t="shared" si="294"/>
        <v>885877.44</v>
      </c>
      <c r="M4448" t="str">
        <f t="shared" si="294"/>
        <v>ASALARIADO</v>
      </c>
      <c r="N4448">
        <f t="shared" si="295"/>
        <v>31</v>
      </c>
      <c r="O4448" s="19" t="str">
        <f t="shared" si="296"/>
        <v>600k–900k</v>
      </c>
      <c r="P4448" s="19" t="str">
        <f t="shared" si="297"/>
        <v>26-35</v>
      </c>
    </row>
    <row r="4449" spans="1:16" x14ac:dyDescent="0.25">
      <c r="A4449">
        <v>4448</v>
      </c>
      <c r="B4449" t="s">
        <v>9</v>
      </c>
      <c r="C4449">
        <v>597978</v>
      </c>
      <c r="D4449" t="s">
        <v>10</v>
      </c>
      <c r="E4449" t="s">
        <v>16</v>
      </c>
      <c r="F4449" t="s">
        <v>12</v>
      </c>
      <c r="G4449" t="s">
        <v>13</v>
      </c>
      <c r="H4449" t="s">
        <v>13</v>
      </c>
      <c r="I4449">
        <v>41</v>
      </c>
      <c r="J4449" t="str" cm="1">
        <f t="array" ref="J4449">_xlfn.IFS(ISBLANK(C4449),"FALTANTE",ABS((C4449-$W$5)/$X$5)&gt;1.96,"ATÍPICO",ABS((C4449-$W$5)/$X$5)&lt;=1.96,"NO ATÍPICO")</f>
        <v>NO ATÍPICO</v>
      </c>
      <c r="K4449" t="str" cm="1">
        <f t="array" ref="K4449">_xlfn.IFS(ISBLANK(I4449),"FALTANTE",ABS((I4449-$W$8)/$X$8)&gt;1.92,"ATÍPICO",ABS((I4449-$W$8)/$X$8)&lt;=1.92,"NO ATÍPICO")</f>
        <v>NO ATÍPICO</v>
      </c>
      <c r="L4449">
        <f t="shared" si="294"/>
        <v>597978</v>
      </c>
      <c r="M4449" t="str">
        <f t="shared" si="294"/>
        <v>ASALARIADO</v>
      </c>
      <c r="N4449">
        <f t="shared" si="295"/>
        <v>41</v>
      </c>
      <c r="O4449" s="19" t="str">
        <f t="shared" si="296"/>
        <v>300k–600k</v>
      </c>
      <c r="P4449" s="19" t="str">
        <f t="shared" si="297"/>
        <v>36-45</v>
      </c>
    </row>
    <row r="4450" spans="1:16" x14ac:dyDescent="0.25">
      <c r="A4450">
        <v>4449</v>
      </c>
      <c r="B4450" t="s">
        <v>15</v>
      </c>
      <c r="C4450">
        <v>322634</v>
      </c>
      <c r="D4450" t="s">
        <v>17</v>
      </c>
      <c r="E4450" t="s">
        <v>16</v>
      </c>
      <c r="F4450" t="s">
        <v>12</v>
      </c>
      <c r="G4450" t="s">
        <v>13</v>
      </c>
      <c r="H4450" t="s">
        <v>13</v>
      </c>
      <c r="I4450">
        <v>79</v>
      </c>
      <c r="J4450" t="str" cm="1">
        <f t="array" ref="J4450">_xlfn.IFS(ISBLANK(C4450),"FALTANTE",ABS((C4450-$W$5)/$X$5)&gt;1.96,"ATÍPICO",ABS((C4450-$W$5)/$X$5)&lt;=1.96,"NO ATÍPICO")</f>
        <v>NO ATÍPICO</v>
      </c>
      <c r="K4450" t="str" cm="1">
        <f t="array" ref="K4450">_xlfn.IFS(ISBLANK(I4450),"FALTANTE",ABS((I4450-$W$8)/$X$8)&gt;1.92,"ATÍPICO",ABS((I4450-$W$8)/$X$8)&lt;=1.92,"NO ATÍPICO")</f>
        <v>ATÍPICO</v>
      </c>
      <c r="L4450">
        <f t="shared" si="294"/>
        <v>322634</v>
      </c>
      <c r="M4450" t="str">
        <f t="shared" si="294"/>
        <v>ASEGURADO VOLUNTARIO</v>
      </c>
      <c r="N4450">
        <f t="shared" si="295"/>
        <v>79</v>
      </c>
      <c r="O4450" s="19" t="str">
        <f t="shared" si="296"/>
        <v>300k–600k</v>
      </c>
      <c r="P4450" s="19" t="str">
        <f t="shared" si="297"/>
        <v>56+</v>
      </c>
    </row>
    <row r="4451" spans="1:16" x14ac:dyDescent="0.25">
      <c r="A4451">
        <v>4450</v>
      </c>
      <c r="B4451" t="s">
        <v>9</v>
      </c>
      <c r="C4451">
        <v>680463.53</v>
      </c>
      <c r="D4451" t="s">
        <v>10</v>
      </c>
      <c r="E4451" t="s">
        <v>16</v>
      </c>
      <c r="F4451" t="s">
        <v>12</v>
      </c>
      <c r="G4451" t="s">
        <v>13</v>
      </c>
      <c r="H4451" t="s">
        <v>13</v>
      </c>
      <c r="I4451">
        <v>21</v>
      </c>
      <c r="J4451" t="str" cm="1">
        <f t="array" ref="J4451">_xlfn.IFS(ISBLANK(C4451),"FALTANTE",ABS((C4451-$W$5)/$X$5)&gt;1.96,"ATÍPICO",ABS((C4451-$W$5)/$X$5)&lt;=1.96,"NO ATÍPICO")</f>
        <v>NO ATÍPICO</v>
      </c>
      <c r="K4451" t="str" cm="1">
        <f t="array" ref="K4451">_xlfn.IFS(ISBLANK(I4451),"FALTANTE",ABS((I4451-$W$8)/$X$8)&gt;1.92,"ATÍPICO",ABS((I4451-$W$8)/$X$8)&lt;=1.92,"NO ATÍPICO")</f>
        <v>NO ATÍPICO</v>
      </c>
      <c r="L4451">
        <f t="shared" si="294"/>
        <v>680463.53</v>
      </c>
      <c r="M4451" t="str">
        <f t="shared" si="294"/>
        <v>ASALARIADO</v>
      </c>
      <c r="N4451">
        <f t="shared" si="295"/>
        <v>21</v>
      </c>
      <c r="O4451" s="19" t="str">
        <f t="shared" si="296"/>
        <v>600k–900k</v>
      </c>
      <c r="P4451" s="19" t="str">
        <f t="shared" si="297"/>
        <v>18-25</v>
      </c>
    </row>
    <row r="4452" spans="1:16" x14ac:dyDescent="0.25">
      <c r="A4452">
        <v>4451</v>
      </c>
      <c r="B4452" t="s">
        <v>9</v>
      </c>
      <c r="C4452">
        <v>358595.15</v>
      </c>
      <c r="D4452" t="s">
        <v>10</v>
      </c>
      <c r="E4452" t="s">
        <v>16</v>
      </c>
      <c r="F4452" t="s">
        <v>12</v>
      </c>
      <c r="G4452" t="s">
        <v>13</v>
      </c>
      <c r="H4452" t="s">
        <v>13</v>
      </c>
      <c r="I4452">
        <v>21</v>
      </c>
      <c r="J4452" t="str" cm="1">
        <f t="array" ref="J4452">_xlfn.IFS(ISBLANK(C4452),"FALTANTE",ABS((C4452-$W$5)/$X$5)&gt;1.96,"ATÍPICO",ABS((C4452-$W$5)/$X$5)&lt;=1.96,"NO ATÍPICO")</f>
        <v>NO ATÍPICO</v>
      </c>
      <c r="K4452" t="str" cm="1">
        <f t="array" ref="K4452">_xlfn.IFS(ISBLANK(I4452),"FALTANTE",ABS((I4452-$W$8)/$X$8)&gt;1.92,"ATÍPICO",ABS((I4452-$W$8)/$X$8)&lt;=1.92,"NO ATÍPICO")</f>
        <v>NO ATÍPICO</v>
      </c>
      <c r="L4452">
        <f t="shared" si="294"/>
        <v>358595.15</v>
      </c>
      <c r="M4452" t="str">
        <f t="shared" si="294"/>
        <v>ASALARIADO</v>
      </c>
      <c r="N4452">
        <f t="shared" si="295"/>
        <v>21</v>
      </c>
      <c r="O4452" s="19" t="str">
        <f t="shared" si="296"/>
        <v>300k–600k</v>
      </c>
      <c r="P4452" s="19" t="str">
        <f t="shared" si="297"/>
        <v>18-25</v>
      </c>
    </row>
    <row r="4453" spans="1:16" x14ac:dyDescent="0.25">
      <c r="A4453">
        <v>4452</v>
      </c>
      <c r="B4453" t="s">
        <v>9</v>
      </c>
      <c r="C4453">
        <v>358784.06</v>
      </c>
      <c r="D4453" t="s">
        <v>10</v>
      </c>
      <c r="E4453" t="s">
        <v>16</v>
      </c>
      <c r="F4453" t="s">
        <v>12</v>
      </c>
      <c r="G4453" t="s">
        <v>12</v>
      </c>
      <c r="H4453" t="s">
        <v>13</v>
      </c>
      <c r="I4453">
        <v>40</v>
      </c>
      <c r="J4453" t="str" cm="1">
        <f t="array" ref="J4453">_xlfn.IFS(ISBLANK(C4453),"FALTANTE",ABS((C4453-$W$5)/$X$5)&gt;1.96,"ATÍPICO",ABS((C4453-$W$5)/$X$5)&lt;=1.96,"NO ATÍPICO")</f>
        <v>NO ATÍPICO</v>
      </c>
      <c r="K4453" t="str" cm="1">
        <f t="array" ref="K4453">_xlfn.IFS(ISBLANK(I4453),"FALTANTE",ABS((I4453-$W$8)/$X$8)&gt;1.92,"ATÍPICO",ABS((I4453-$W$8)/$X$8)&lt;=1.92,"NO ATÍPICO")</f>
        <v>NO ATÍPICO</v>
      </c>
      <c r="L4453">
        <f t="shared" si="294"/>
        <v>358784.06</v>
      </c>
      <c r="M4453" t="str">
        <f t="shared" si="294"/>
        <v>ASALARIADO</v>
      </c>
      <c r="N4453">
        <f t="shared" si="295"/>
        <v>40</v>
      </c>
      <c r="O4453" s="19" t="str">
        <f t="shared" si="296"/>
        <v>300k–600k</v>
      </c>
      <c r="P4453" s="19" t="str">
        <f t="shared" si="297"/>
        <v>36-45</v>
      </c>
    </row>
    <row r="4454" spans="1:16" x14ac:dyDescent="0.25">
      <c r="A4454">
        <v>4453</v>
      </c>
      <c r="B4454" t="s">
        <v>9</v>
      </c>
      <c r="C4454">
        <v>639148</v>
      </c>
      <c r="D4454" t="s">
        <v>18</v>
      </c>
      <c r="E4454" t="s">
        <v>16</v>
      </c>
      <c r="F4454" t="s">
        <v>12</v>
      </c>
      <c r="G4454" t="s">
        <v>13</v>
      </c>
      <c r="H4454" t="s">
        <v>12</v>
      </c>
      <c r="I4454">
        <v>40</v>
      </c>
      <c r="J4454" t="str" cm="1">
        <f t="array" ref="J4454">_xlfn.IFS(ISBLANK(C4454),"FALTANTE",ABS((C4454-$W$5)/$X$5)&gt;1.96,"ATÍPICO",ABS((C4454-$W$5)/$X$5)&lt;=1.96,"NO ATÍPICO")</f>
        <v>NO ATÍPICO</v>
      </c>
      <c r="K4454" t="str" cm="1">
        <f t="array" ref="K4454">_xlfn.IFS(ISBLANK(I4454),"FALTANTE",ABS((I4454-$W$8)/$X$8)&gt;1.92,"ATÍPICO",ABS((I4454-$W$8)/$X$8)&lt;=1.92,"NO ATÍPICO")</f>
        <v>NO ATÍPICO</v>
      </c>
      <c r="L4454">
        <f t="shared" si="294"/>
        <v>639148</v>
      </c>
      <c r="M4454" t="str">
        <f t="shared" si="294"/>
        <v>TRABAJADOR INDEPENDIENTE</v>
      </c>
      <c r="N4454">
        <f t="shared" si="295"/>
        <v>40</v>
      </c>
      <c r="O4454" s="19" t="str">
        <f t="shared" si="296"/>
        <v>600k–900k</v>
      </c>
      <c r="P4454" s="19" t="str">
        <f t="shared" si="297"/>
        <v>36-45</v>
      </c>
    </row>
    <row r="4455" spans="1:16" x14ac:dyDescent="0.25">
      <c r="A4455">
        <v>4454</v>
      </c>
      <c r="B4455" t="s">
        <v>15</v>
      </c>
      <c r="C4455">
        <v>1428002.29</v>
      </c>
      <c r="D4455" t="s">
        <v>14</v>
      </c>
      <c r="E4455" t="s">
        <v>11</v>
      </c>
      <c r="F4455" t="s">
        <v>12</v>
      </c>
      <c r="G4455" t="s">
        <v>13</v>
      </c>
      <c r="H4455" t="s">
        <v>13</v>
      </c>
      <c r="I4455">
        <v>69</v>
      </c>
      <c r="J4455" t="str" cm="1">
        <f t="array" ref="J4455">_xlfn.IFS(ISBLANK(C4455),"FALTANTE",ABS((C4455-$W$5)/$X$5)&gt;1.96,"ATÍPICO",ABS((C4455-$W$5)/$X$5)&lt;=1.96,"NO ATÍPICO")</f>
        <v>NO ATÍPICO</v>
      </c>
      <c r="K4455" t="str" cm="1">
        <f t="array" ref="K4455">_xlfn.IFS(ISBLANK(I4455),"FALTANTE",ABS((I4455-$W$8)/$X$8)&gt;1.92,"ATÍPICO",ABS((I4455-$W$8)/$X$8)&lt;=1.92,"NO ATÍPICO")</f>
        <v>NO ATÍPICO</v>
      </c>
      <c r="L4455">
        <f t="shared" si="294"/>
        <v>1428002.29</v>
      </c>
      <c r="M4455" t="str">
        <f t="shared" si="294"/>
        <v>PENSIONADOS EN SU PROPIO SISTEMA</v>
      </c>
      <c r="N4455">
        <f t="shared" si="295"/>
        <v>69</v>
      </c>
      <c r="O4455" s="19" t="str">
        <f t="shared" si="296"/>
        <v>1200k+</v>
      </c>
      <c r="P4455" s="19" t="str">
        <f t="shared" si="297"/>
        <v>56+</v>
      </c>
    </row>
    <row r="4456" spans="1:16" x14ac:dyDescent="0.25">
      <c r="A4456">
        <v>4455</v>
      </c>
      <c r="B4456" t="s">
        <v>9</v>
      </c>
      <c r="C4456">
        <v>297719</v>
      </c>
      <c r="D4456" t="s">
        <v>17</v>
      </c>
      <c r="E4456" t="s">
        <v>16</v>
      </c>
      <c r="F4456" t="s">
        <v>12</v>
      </c>
      <c r="G4456" t="s">
        <v>13</v>
      </c>
      <c r="H4456" t="s">
        <v>13</v>
      </c>
      <c r="I4456">
        <v>37</v>
      </c>
      <c r="J4456" t="str" cm="1">
        <f t="array" ref="J4456">_xlfn.IFS(ISBLANK(C4456),"FALTANTE",ABS((C4456-$W$5)/$X$5)&gt;1.96,"ATÍPICO",ABS((C4456-$W$5)/$X$5)&lt;=1.96,"NO ATÍPICO")</f>
        <v>NO ATÍPICO</v>
      </c>
      <c r="K4456" t="str" cm="1">
        <f t="array" ref="K4456">_xlfn.IFS(ISBLANK(I4456),"FALTANTE",ABS((I4456-$W$8)/$X$8)&gt;1.92,"ATÍPICO",ABS((I4456-$W$8)/$X$8)&lt;=1.92,"NO ATÍPICO")</f>
        <v>NO ATÍPICO</v>
      </c>
      <c r="L4456">
        <f t="shared" si="294"/>
        <v>297719</v>
      </c>
      <c r="M4456" t="str">
        <f t="shared" si="294"/>
        <v>ASEGURADO VOLUNTARIO</v>
      </c>
      <c r="N4456">
        <f t="shared" si="295"/>
        <v>37</v>
      </c>
      <c r="O4456" s="19" t="str">
        <f t="shared" si="296"/>
        <v>0–300k</v>
      </c>
      <c r="P4456" s="19" t="str">
        <f t="shared" si="297"/>
        <v>36-45</v>
      </c>
    </row>
    <row r="4457" spans="1:16" x14ac:dyDescent="0.25">
      <c r="A4457">
        <v>4456</v>
      </c>
      <c r="B4457" t="s">
        <v>15</v>
      </c>
      <c r="C4457">
        <v>1228568</v>
      </c>
      <c r="D4457" t="s">
        <v>10</v>
      </c>
      <c r="E4457" t="s">
        <v>11</v>
      </c>
      <c r="F4457" t="s">
        <v>12</v>
      </c>
      <c r="G4457" t="s">
        <v>13</v>
      </c>
      <c r="H4457" t="s">
        <v>13</v>
      </c>
      <c r="I4457">
        <v>44</v>
      </c>
      <c r="J4457" t="str" cm="1">
        <f t="array" ref="J4457">_xlfn.IFS(ISBLANK(C4457),"FALTANTE",ABS((C4457-$W$5)/$X$5)&gt;1.96,"ATÍPICO",ABS((C4457-$W$5)/$X$5)&lt;=1.96,"NO ATÍPICO")</f>
        <v>NO ATÍPICO</v>
      </c>
      <c r="K4457" t="str" cm="1">
        <f t="array" ref="K4457">_xlfn.IFS(ISBLANK(I4457),"FALTANTE",ABS((I4457-$W$8)/$X$8)&gt;1.92,"ATÍPICO",ABS((I4457-$W$8)/$X$8)&lt;=1.92,"NO ATÍPICO")</f>
        <v>NO ATÍPICO</v>
      </c>
      <c r="L4457">
        <f t="shared" si="294"/>
        <v>1228568</v>
      </c>
      <c r="M4457" t="str">
        <f t="shared" si="294"/>
        <v>ASALARIADO</v>
      </c>
      <c r="N4457">
        <f t="shared" si="295"/>
        <v>44</v>
      </c>
      <c r="O4457" s="19" t="str">
        <f t="shared" si="296"/>
        <v>1200k+</v>
      </c>
      <c r="P4457" s="19" t="str">
        <f t="shared" si="297"/>
        <v>36-45</v>
      </c>
    </row>
    <row r="4458" spans="1:16" x14ac:dyDescent="0.25">
      <c r="A4458">
        <v>4457</v>
      </c>
      <c r="B4458" t="s">
        <v>15</v>
      </c>
      <c r="C4458">
        <v>764837.91</v>
      </c>
      <c r="D4458" t="s">
        <v>14</v>
      </c>
      <c r="E4458" t="s">
        <v>11</v>
      </c>
      <c r="F4458" t="s">
        <v>12</v>
      </c>
      <c r="G4458" t="s">
        <v>13</v>
      </c>
      <c r="H4458" t="s">
        <v>13</v>
      </c>
      <c r="I4458">
        <v>82</v>
      </c>
      <c r="J4458" t="str" cm="1">
        <f t="array" ref="J4458">_xlfn.IFS(ISBLANK(C4458),"FALTANTE",ABS((C4458-$W$5)/$X$5)&gt;1.96,"ATÍPICO",ABS((C4458-$W$5)/$X$5)&lt;=1.96,"NO ATÍPICO")</f>
        <v>NO ATÍPICO</v>
      </c>
      <c r="K4458" t="str" cm="1">
        <f t="array" ref="K4458">_xlfn.IFS(ISBLANK(I4458),"FALTANTE",ABS((I4458-$W$8)/$X$8)&gt;1.92,"ATÍPICO",ABS((I4458-$W$8)/$X$8)&lt;=1.92,"NO ATÍPICO")</f>
        <v>ATÍPICO</v>
      </c>
      <c r="L4458">
        <f t="shared" si="294"/>
        <v>764837.91</v>
      </c>
      <c r="M4458" t="str">
        <f t="shared" si="294"/>
        <v>PENSIONADOS EN SU PROPIO SISTEMA</v>
      </c>
      <c r="N4458">
        <f t="shared" si="295"/>
        <v>82</v>
      </c>
      <c r="O4458" s="19" t="str">
        <f t="shared" si="296"/>
        <v>600k–900k</v>
      </c>
      <c r="P4458" s="19" t="str">
        <f t="shared" si="297"/>
        <v>56+</v>
      </c>
    </row>
    <row r="4459" spans="1:16" x14ac:dyDescent="0.25">
      <c r="A4459">
        <v>4458</v>
      </c>
      <c r="B4459" t="s">
        <v>9</v>
      </c>
      <c r="C4459">
        <v>647500</v>
      </c>
      <c r="D4459" t="s">
        <v>10</v>
      </c>
      <c r="E4459" t="s">
        <v>16</v>
      </c>
      <c r="F4459" t="s">
        <v>12</v>
      </c>
      <c r="G4459" t="s">
        <v>13</v>
      </c>
      <c r="H4459" t="s">
        <v>13</v>
      </c>
      <c r="I4459">
        <v>25</v>
      </c>
      <c r="J4459" t="str" cm="1">
        <f t="array" ref="J4459">_xlfn.IFS(ISBLANK(C4459),"FALTANTE",ABS((C4459-$W$5)/$X$5)&gt;1.96,"ATÍPICO",ABS((C4459-$W$5)/$X$5)&lt;=1.96,"NO ATÍPICO")</f>
        <v>NO ATÍPICO</v>
      </c>
      <c r="K4459" t="str" cm="1">
        <f t="array" ref="K4459">_xlfn.IFS(ISBLANK(I4459),"FALTANTE",ABS((I4459-$W$8)/$X$8)&gt;1.92,"ATÍPICO",ABS((I4459-$W$8)/$X$8)&lt;=1.92,"NO ATÍPICO")</f>
        <v>NO ATÍPICO</v>
      </c>
      <c r="L4459">
        <f t="shared" si="294"/>
        <v>647500</v>
      </c>
      <c r="M4459" t="str">
        <f t="shared" si="294"/>
        <v>ASALARIADO</v>
      </c>
      <c r="N4459">
        <f t="shared" si="295"/>
        <v>25</v>
      </c>
      <c r="O4459" s="19" t="str">
        <f t="shared" si="296"/>
        <v>600k–900k</v>
      </c>
      <c r="P4459" s="19" t="str">
        <f t="shared" si="297"/>
        <v>18-25</v>
      </c>
    </row>
    <row r="4460" spans="1:16" x14ac:dyDescent="0.25">
      <c r="A4460">
        <v>4459</v>
      </c>
      <c r="B4460" t="s">
        <v>9</v>
      </c>
      <c r="C4460">
        <v>230000</v>
      </c>
      <c r="D4460" t="s">
        <v>10</v>
      </c>
      <c r="E4460" t="s">
        <v>16</v>
      </c>
      <c r="F4460" t="s">
        <v>12</v>
      </c>
      <c r="G4460" t="s">
        <v>13</v>
      </c>
      <c r="H4460" t="s">
        <v>12</v>
      </c>
      <c r="I4460">
        <v>53</v>
      </c>
      <c r="J4460" t="str" cm="1">
        <f t="array" ref="J4460">_xlfn.IFS(ISBLANK(C4460),"FALTANTE",ABS((C4460-$W$5)/$X$5)&gt;1.96,"ATÍPICO",ABS((C4460-$W$5)/$X$5)&lt;=1.96,"NO ATÍPICO")</f>
        <v>NO ATÍPICO</v>
      </c>
      <c r="K4460" t="str" cm="1">
        <f t="array" ref="K4460">_xlfn.IFS(ISBLANK(I4460),"FALTANTE",ABS((I4460-$W$8)/$X$8)&gt;1.92,"ATÍPICO",ABS((I4460-$W$8)/$X$8)&lt;=1.92,"NO ATÍPICO")</f>
        <v>NO ATÍPICO</v>
      </c>
      <c r="L4460">
        <f t="shared" si="294"/>
        <v>230000</v>
      </c>
      <c r="M4460" t="str">
        <f t="shared" si="294"/>
        <v>ASALARIADO</v>
      </c>
      <c r="N4460">
        <f t="shared" si="295"/>
        <v>53</v>
      </c>
      <c r="O4460" s="19" t="str">
        <f t="shared" si="296"/>
        <v>0–300k</v>
      </c>
      <c r="P4460" s="19" t="str">
        <f t="shared" si="297"/>
        <v>46-55</v>
      </c>
    </row>
    <row r="4461" spans="1:16" x14ac:dyDescent="0.25">
      <c r="A4461">
        <v>4460</v>
      </c>
      <c r="B4461" t="s">
        <v>9</v>
      </c>
      <c r="C4461">
        <v>407769.25</v>
      </c>
      <c r="D4461" t="s">
        <v>10</v>
      </c>
      <c r="E4461" t="s">
        <v>16</v>
      </c>
      <c r="F4461" t="s">
        <v>12</v>
      </c>
      <c r="G4461" t="s">
        <v>13</v>
      </c>
      <c r="H4461" t="s">
        <v>13</v>
      </c>
      <c r="I4461">
        <v>29</v>
      </c>
      <c r="J4461" t="str" cm="1">
        <f t="array" ref="J4461">_xlfn.IFS(ISBLANK(C4461),"FALTANTE",ABS((C4461-$W$5)/$X$5)&gt;1.96,"ATÍPICO",ABS((C4461-$W$5)/$X$5)&lt;=1.96,"NO ATÍPICO")</f>
        <v>NO ATÍPICO</v>
      </c>
      <c r="K4461" t="str" cm="1">
        <f t="array" ref="K4461">_xlfn.IFS(ISBLANK(I4461),"FALTANTE",ABS((I4461-$W$8)/$X$8)&gt;1.92,"ATÍPICO",ABS((I4461-$W$8)/$X$8)&lt;=1.92,"NO ATÍPICO")</f>
        <v>NO ATÍPICO</v>
      </c>
      <c r="L4461">
        <f t="shared" si="294"/>
        <v>407769.25</v>
      </c>
      <c r="M4461" t="str">
        <f t="shared" si="294"/>
        <v>ASALARIADO</v>
      </c>
      <c r="N4461">
        <f t="shared" si="295"/>
        <v>29</v>
      </c>
      <c r="O4461" s="19" t="str">
        <f t="shared" si="296"/>
        <v>300k–600k</v>
      </c>
      <c r="P4461" s="19" t="str">
        <f t="shared" si="297"/>
        <v>26-35</v>
      </c>
    </row>
    <row r="4462" spans="1:16" x14ac:dyDescent="0.25">
      <c r="A4462">
        <v>4461</v>
      </c>
      <c r="B4462" t="s">
        <v>9</v>
      </c>
      <c r="C4462">
        <v>372000</v>
      </c>
      <c r="D4462" t="s">
        <v>10</v>
      </c>
      <c r="E4462" t="s">
        <v>16</v>
      </c>
      <c r="F4462" t="s">
        <v>12</v>
      </c>
      <c r="G4462" t="s">
        <v>13</v>
      </c>
      <c r="H4462" t="s">
        <v>13</v>
      </c>
      <c r="I4462">
        <v>27</v>
      </c>
      <c r="J4462" t="str" cm="1">
        <f t="array" ref="J4462">_xlfn.IFS(ISBLANK(C4462),"FALTANTE",ABS((C4462-$W$5)/$X$5)&gt;1.96,"ATÍPICO",ABS((C4462-$W$5)/$X$5)&lt;=1.96,"NO ATÍPICO")</f>
        <v>NO ATÍPICO</v>
      </c>
      <c r="K4462" t="str" cm="1">
        <f t="array" ref="K4462">_xlfn.IFS(ISBLANK(I4462),"FALTANTE",ABS((I4462-$W$8)/$X$8)&gt;1.92,"ATÍPICO",ABS((I4462-$W$8)/$X$8)&lt;=1.92,"NO ATÍPICO")</f>
        <v>NO ATÍPICO</v>
      </c>
      <c r="L4462">
        <f t="shared" si="294"/>
        <v>372000</v>
      </c>
      <c r="M4462" t="str">
        <f t="shared" si="294"/>
        <v>ASALARIADO</v>
      </c>
      <c r="N4462">
        <f t="shared" si="295"/>
        <v>27</v>
      </c>
      <c r="O4462" s="19" t="str">
        <f t="shared" si="296"/>
        <v>300k–600k</v>
      </c>
      <c r="P4462" s="19" t="str">
        <f t="shared" si="297"/>
        <v>26-35</v>
      </c>
    </row>
    <row r="4463" spans="1:16" x14ac:dyDescent="0.25">
      <c r="A4463">
        <v>4462</v>
      </c>
      <c r="B4463" t="s">
        <v>9</v>
      </c>
      <c r="C4463">
        <v>361806.78</v>
      </c>
      <c r="D4463" t="s">
        <v>10</v>
      </c>
      <c r="E4463" t="s">
        <v>16</v>
      </c>
      <c r="F4463" t="s">
        <v>12</v>
      </c>
      <c r="G4463" t="s">
        <v>13</v>
      </c>
      <c r="H4463" t="s">
        <v>13</v>
      </c>
      <c r="I4463">
        <v>22</v>
      </c>
      <c r="J4463" t="str" cm="1">
        <f t="array" ref="J4463">_xlfn.IFS(ISBLANK(C4463),"FALTANTE",ABS((C4463-$W$5)/$X$5)&gt;1.96,"ATÍPICO",ABS((C4463-$W$5)/$X$5)&lt;=1.96,"NO ATÍPICO")</f>
        <v>NO ATÍPICO</v>
      </c>
      <c r="K4463" t="str" cm="1">
        <f t="array" ref="K4463">_xlfn.IFS(ISBLANK(I4463),"FALTANTE",ABS((I4463-$W$8)/$X$8)&gt;1.92,"ATÍPICO",ABS((I4463-$W$8)/$X$8)&lt;=1.92,"NO ATÍPICO")</f>
        <v>NO ATÍPICO</v>
      </c>
      <c r="L4463">
        <f t="shared" si="294"/>
        <v>361806.78</v>
      </c>
      <c r="M4463" t="str">
        <f t="shared" si="294"/>
        <v>ASALARIADO</v>
      </c>
      <c r="N4463">
        <f t="shared" si="295"/>
        <v>22</v>
      </c>
      <c r="O4463" s="19" t="str">
        <f t="shared" si="296"/>
        <v>300k–600k</v>
      </c>
      <c r="P4463" s="19" t="str">
        <f t="shared" si="297"/>
        <v>18-25</v>
      </c>
    </row>
    <row r="4464" spans="1:16" x14ac:dyDescent="0.25">
      <c r="A4464">
        <v>4463</v>
      </c>
      <c r="B4464" t="s">
        <v>15</v>
      </c>
      <c r="C4464">
        <v>514285.71</v>
      </c>
      <c r="D4464" t="s">
        <v>10</v>
      </c>
      <c r="E4464" t="s">
        <v>16</v>
      </c>
      <c r="F4464" t="s">
        <v>12</v>
      </c>
      <c r="G4464" t="s">
        <v>13</v>
      </c>
      <c r="H4464" t="s">
        <v>13</v>
      </c>
      <c r="I4464">
        <v>39</v>
      </c>
      <c r="J4464" t="str" cm="1">
        <f t="array" ref="J4464">_xlfn.IFS(ISBLANK(C4464),"FALTANTE",ABS((C4464-$W$5)/$X$5)&gt;1.96,"ATÍPICO",ABS((C4464-$W$5)/$X$5)&lt;=1.96,"NO ATÍPICO")</f>
        <v>NO ATÍPICO</v>
      </c>
      <c r="K4464" t="str" cm="1">
        <f t="array" ref="K4464">_xlfn.IFS(ISBLANK(I4464),"FALTANTE",ABS((I4464-$W$8)/$X$8)&gt;1.92,"ATÍPICO",ABS((I4464-$W$8)/$X$8)&lt;=1.92,"NO ATÍPICO")</f>
        <v>NO ATÍPICO</v>
      </c>
      <c r="L4464">
        <f t="shared" si="294"/>
        <v>514285.71</v>
      </c>
      <c r="M4464" t="str">
        <f t="shared" si="294"/>
        <v>ASALARIADO</v>
      </c>
      <c r="N4464">
        <f t="shared" si="295"/>
        <v>39</v>
      </c>
      <c r="O4464" s="19" t="str">
        <f t="shared" si="296"/>
        <v>300k–600k</v>
      </c>
      <c r="P4464" s="19" t="str">
        <f t="shared" si="297"/>
        <v>36-45</v>
      </c>
    </row>
    <row r="4465" spans="1:16" x14ac:dyDescent="0.25">
      <c r="A4465">
        <v>4464</v>
      </c>
      <c r="B4465" t="s">
        <v>9</v>
      </c>
      <c r="C4465">
        <v>356455</v>
      </c>
      <c r="D4465" t="s">
        <v>18</v>
      </c>
      <c r="E4465" t="s">
        <v>16</v>
      </c>
      <c r="F4465" t="s">
        <v>12</v>
      </c>
      <c r="G4465" t="s">
        <v>12</v>
      </c>
      <c r="H4465" t="s">
        <v>12</v>
      </c>
      <c r="I4465">
        <v>46</v>
      </c>
      <c r="J4465" t="str" cm="1">
        <f t="array" ref="J4465">_xlfn.IFS(ISBLANK(C4465),"FALTANTE",ABS((C4465-$W$5)/$X$5)&gt;1.96,"ATÍPICO",ABS((C4465-$W$5)/$X$5)&lt;=1.96,"NO ATÍPICO")</f>
        <v>NO ATÍPICO</v>
      </c>
      <c r="K4465" t="str" cm="1">
        <f t="array" ref="K4465">_xlfn.IFS(ISBLANK(I4465),"FALTANTE",ABS((I4465-$W$8)/$X$8)&gt;1.92,"ATÍPICO",ABS((I4465-$W$8)/$X$8)&lt;=1.92,"NO ATÍPICO")</f>
        <v>NO ATÍPICO</v>
      </c>
      <c r="L4465">
        <f t="shared" si="294"/>
        <v>356455</v>
      </c>
      <c r="M4465" t="str">
        <f t="shared" si="294"/>
        <v>TRABAJADOR INDEPENDIENTE</v>
      </c>
      <c r="N4465">
        <f t="shared" si="295"/>
        <v>46</v>
      </c>
      <c r="O4465" s="19" t="str">
        <f t="shared" si="296"/>
        <v>300k–600k</v>
      </c>
      <c r="P4465" s="19" t="str">
        <f t="shared" si="297"/>
        <v>46-55</v>
      </c>
    </row>
    <row r="4466" spans="1:16" x14ac:dyDescent="0.25">
      <c r="A4466">
        <v>4465</v>
      </c>
      <c r="B4466" t="s">
        <v>15</v>
      </c>
      <c r="C4466">
        <v>278030</v>
      </c>
      <c r="D4466" t="s">
        <v>17</v>
      </c>
      <c r="E4466" t="s">
        <v>16</v>
      </c>
      <c r="F4466" t="s">
        <v>12</v>
      </c>
      <c r="G4466" t="s">
        <v>12</v>
      </c>
      <c r="H4466" t="s">
        <v>12</v>
      </c>
      <c r="I4466">
        <v>35</v>
      </c>
      <c r="J4466" t="str" cm="1">
        <f t="array" ref="J4466">_xlfn.IFS(ISBLANK(C4466),"FALTANTE",ABS((C4466-$W$5)/$X$5)&gt;1.96,"ATÍPICO",ABS((C4466-$W$5)/$X$5)&lt;=1.96,"NO ATÍPICO")</f>
        <v>NO ATÍPICO</v>
      </c>
      <c r="K4466" t="str" cm="1">
        <f t="array" ref="K4466">_xlfn.IFS(ISBLANK(I4466),"FALTANTE",ABS((I4466-$W$8)/$X$8)&gt;1.92,"ATÍPICO",ABS((I4466-$W$8)/$X$8)&lt;=1.92,"NO ATÍPICO")</f>
        <v>NO ATÍPICO</v>
      </c>
      <c r="L4466">
        <f t="shared" si="294"/>
        <v>278030</v>
      </c>
      <c r="M4466" t="str">
        <f t="shared" si="294"/>
        <v>ASEGURADO VOLUNTARIO</v>
      </c>
      <c r="N4466">
        <f t="shared" si="295"/>
        <v>35</v>
      </c>
      <c r="O4466" s="19" t="str">
        <f t="shared" si="296"/>
        <v>0–300k</v>
      </c>
      <c r="P4466" s="19" t="str">
        <f t="shared" si="297"/>
        <v>26-35</v>
      </c>
    </row>
    <row r="4467" spans="1:16" x14ac:dyDescent="0.25">
      <c r="A4467">
        <v>4466</v>
      </c>
      <c r="B4467" t="s">
        <v>9</v>
      </c>
      <c r="C4467">
        <v>949839.65</v>
      </c>
      <c r="D4467" t="s">
        <v>10</v>
      </c>
      <c r="E4467" t="s">
        <v>16</v>
      </c>
      <c r="F4467" t="s">
        <v>12</v>
      </c>
      <c r="G4467" t="s">
        <v>13</v>
      </c>
      <c r="H4467" t="s">
        <v>13</v>
      </c>
      <c r="I4467">
        <v>25</v>
      </c>
      <c r="J4467" t="str" cm="1">
        <f t="array" ref="J4467">_xlfn.IFS(ISBLANK(C4467),"FALTANTE",ABS((C4467-$W$5)/$X$5)&gt;1.96,"ATÍPICO",ABS((C4467-$W$5)/$X$5)&lt;=1.96,"NO ATÍPICO")</f>
        <v>NO ATÍPICO</v>
      </c>
      <c r="K4467" t="str" cm="1">
        <f t="array" ref="K4467">_xlfn.IFS(ISBLANK(I4467),"FALTANTE",ABS((I4467-$W$8)/$X$8)&gt;1.92,"ATÍPICO",ABS((I4467-$W$8)/$X$8)&lt;=1.92,"NO ATÍPICO")</f>
        <v>NO ATÍPICO</v>
      </c>
      <c r="L4467">
        <f t="shared" si="294"/>
        <v>949839.65</v>
      </c>
      <c r="M4467" t="str">
        <f t="shared" si="294"/>
        <v>ASALARIADO</v>
      </c>
      <c r="N4467">
        <f t="shared" si="295"/>
        <v>25</v>
      </c>
      <c r="O4467" s="19" t="str">
        <f t="shared" si="296"/>
        <v>900k–1200k</v>
      </c>
      <c r="P4467" s="19" t="str">
        <f t="shared" si="297"/>
        <v>18-25</v>
      </c>
    </row>
    <row r="4468" spans="1:16" x14ac:dyDescent="0.25">
      <c r="A4468">
        <v>4467</v>
      </c>
      <c r="B4468" t="s">
        <v>9</v>
      </c>
      <c r="C4468">
        <v>410480.22</v>
      </c>
      <c r="D4468" t="s">
        <v>10</v>
      </c>
      <c r="E4468" t="s">
        <v>16</v>
      </c>
      <c r="F4468" t="s">
        <v>12</v>
      </c>
      <c r="G4468" t="s">
        <v>13</v>
      </c>
      <c r="H4468" t="s">
        <v>13</v>
      </c>
      <c r="I4468">
        <v>38</v>
      </c>
      <c r="J4468" t="str" cm="1">
        <f t="array" ref="J4468">_xlfn.IFS(ISBLANK(C4468),"FALTANTE",ABS((C4468-$W$5)/$X$5)&gt;1.96,"ATÍPICO",ABS((C4468-$W$5)/$X$5)&lt;=1.96,"NO ATÍPICO")</f>
        <v>NO ATÍPICO</v>
      </c>
      <c r="K4468" t="str" cm="1">
        <f t="array" ref="K4468">_xlfn.IFS(ISBLANK(I4468),"FALTANTE",ABS((I4468-$W$8)/$X$8)&gt;1.92,"ATÍPICO",ABS((I4468-$W$8)/$X$8)&lt;=1.92,"NO ATÍPICO")</f>
        <v>NO ATÍPICO</v>
      </c>
      <c r="L4468">
        <f t="shared" si="294"/>
        <v>410480.22</v>
      </c>
      <c r="M4468" t="str">
        <f t="shared" si="294"/>
        <v>ASALARIADO</v>
      </c>
      <c r="N4468">
        <f t="shared" si="295"/>
        <v>38</v>
      </c>
      <c r="O4468" s="19" t="str">
        <f t="shared" si="296"/>
        <v>300k–600k</v>
      </c>
      <c r="P4468" s="19" t="str">
        <f t="shared" si="297"/>
        <v>36-45</v>
      </c>
    </row>
    <row r="4469" spans="1:16" x14ac:dyDescent="0.25">
      <c r="A4469">
        <v>4468</v>
      </c>
      <c r="B4469" t="s">
        <v>9</v>
      </c>
      <c r="C4469">
        <v>4677217.59</v>
      </c>
      <c r="D4469" t="s">
        <v>10</v>
      </c>
      <c r="E4469" t="s">
        <v>11</v>
      </c>
      <c r="F4469" t="s">
        <v>12</v>
      </c>
      <c r="G4469" t="s">
        <v>13</v>
      </c>
      <c r="H4469" t="s">
        <v>13</v>
      </c>
      <c r="I4469">
        <v>52</v>
      </c>
      <c r="J4469" t="str" cm="1">
        <f t="array" ref="J4469">_xlfn.IFS(ISBLANK(C4469),"FALTANTE",ABS((C4469-$W$5)/$X$5)&gt;1.96,"ATÍPICO",ABS((C4469-$W$5)/$X$5)&lt;=1.96,"NO ATÍPICO")</f>
        <v>ATÍPICO</v>
      </c>
      <c r="K4469" t="str" cm="1">
        <f t="array" ref="K4469">_xlfn.IFS(ISBLANK(I4469),"FALTANTE",ABS((I4469-$W$8)/$X$8)&gt;1.92,"ATÍPICO",ABS((I4469-$W$8)/$X$8)&lt;=1.92,"NO ATÍPICO")</f>
        <v>NO ATÍPICO</v>
      </c>
      <c r="L4469">
        <f t="shared" si="294"/>
        <v>4677217.59</v>
      </c>
      <c r="M4469" t="str">
        <f t="shared" si="294"/>
        <v>ASALARIADO</v>
      </c>
      <c r="N4469">
        <f t="shared" si="295"/>
        <v>52</v>
      </c>
      <c r="O4469" s="19" t="str">
        <f t="shared" si="296"/>
        <v>1200k+</v>
      </c>
      <c r="P4469" s="19" t="str">
        <f t="shared" si="297"/>
        <v>46-55</v>
      </c>
    </row>
    <row r="4470" spans="1:16" x14ac:dyDescent="0.25">
      <c r="A4470">
        <v>4469</v>
      </c>
      <c r="B4470" t="s">
        <v>9</v>
      </c>
      <c r="C4470">
        <v>466652.81</v>
      </c>
      <c r="D4470" t="s">
        <v>10</v>
      </c>
      <c r="E4470" t="s">
        <v>16</v>
      </c>
      <c r="F4470" t="s">
        <v>12</v>
      </c>
      <c r="G4470" t="s">
        <v>13</v>
      </c>
      <c r="H4470" t="s">
        <v>13</v>
      </c>
      <c r="I4470">
        <v>49</v>
      </c>
      <c r="J4470" t="str" cm="1">
        <f t="array" ref="J4470">_xlfn.IFS(ISBLANK(C4470),"FALTANTE",ABS((C4470-$W$5)/$X$5)&gt;1.96,"ATÍPICO",ABS((C4470-$W$5)/$X$5)&lt;=1.96,"NO ATÍPICO")</f>
        <v>NO ATÍPICO</v>
      </c>
      <c r="K4470" t="str" cm="1">
        <f t="array" ref="K4470">_xlfn.IFS(ISBLANK(I4470),"FALTANTE",ABS((I4470-$W$8)/$X$8)&gt;1.92,"ATÍPICO",ABS((I4470-$W$8)/$X$8)&lt;=1.92,"NO ATÍPICO")</f>
        <v>NO ATÍPICO</v>
      </c>
      <c r="L4470">
        <f t="shared" si="294"/>
        <v>466652.81</v>
      </c>
      <c r="M4470" t="str">
        <f t="shared" si="294"/>
        <v>ASALARIADO</v>
      </c>
      <c r="N4470">
        <f t="shared" si="295"/>
        <v>49</v>
      </c>
      <c r="O4470" s="19" t="str">
        <f t="shared" si="296"/>
        <v>300k–600k</v>
      </c>
      <c r="P4470" s="19" t="str">
        <f t="shared" si="297"/>
        <v>46-55</v>
      </c>
    </row>
    <row r="4471" spans="1:16" x14ac:dyDescent="0.25">
      <c r="A4471">
        <v>4470</v>
      </c>
      <c r="B4471" t="s">
        <v>9</v>
      </c>
      <c r="C4471">
        <v>400000</v>
      </c>
      <c r="D4471" t="s">
        <v>10</v>
      </c>
      <c r="E4471" t="s">
        <v>16</v>
      </c>
      <c r="F4471" t="s">
        <v>12</v>
      </c>
      <c r="G4471" t="s">
        <v>13</v>
      </c>
      <c r="H4471" t="s">
        <v>13</v>
      </c>
      <c r="I4471">
        <v>21</v>
      </c>
      <c r="J4471" t="str" cm="1">
        <f t="array" ref="J4471">_xlfn.IFS(ISBLANK(C4471),"FALTANTE",ABS((C4471-$W$5)/$X$5)&gt;1.96,"ATÍPICO",ABS((C4471-$W$5)/$X$5)&lt;=1.96,"NO ATÍPICO")</f>
        <v>NO ATÍPICO</v>
      </c>
      <c r="K4471" t="str" cm="1">
        <f t="array" ref="K4471">_xlfn.IFS(ISBLANK(I4471),"FALTANTE",ABS((I4471-$W$8)/$X$8)&gt;1.92,"ATÍPICO",ABS((I4471-$W$8)/$X$8)&lt;=1.92,"NO ATÍPICO")</f>
        <v>NO ATÍPICO</v>
      </c>
      <c r="L4471">
        <f t="shared" si="294"/>
        <v>400000</v>
      </c>
      <c r="M4471" t="str">
        <f t="shared" si="294"/>
        <v>ASALARIADO</v>
      </c>
      <c r="N4471">
        <f t="shared" si="295"/>
        <v>21</v>
      </c>
      <c r="O4471" s="19" t="str">
        <f t="shared" si="296"/>
        <v>300k–600k</v>
      </c>
      <c r="P4471" s="19" t="str">
        <f t="shared" si="297"/>
        <v>18-25</v>
      </c>
    </row>
    <row r="4472" spans="1:16" x14ac:dyDescent="0.25">
      <c r="A4472">
        <v>4471</v>
      </c>
      <c r="B4472" t="s">
        <v>15</v>
      </c>
      <c r="C4472">
        <v>365825</v>
      </c>
      <c r="D4472" t="s">
        <v>10</v>
      </c>
      <c r="E4472" t="s">
        <v>16</v>
      </c>
      <c r="F4472" t="s">
        <v>12</v>
      </c>
      <c r="G4472" t="s">
        <v>13</v>
      </c>
      <c r="H4472" t="s">
        <v>13</v>
      </c>
      <c r="I4472">
        <v>42</v>
      </c>
      <c r="J4472" t="str" cm="1">
        <f t="array" ref="J4472">_xlfn.IFS(ISBLANK(C4472),"FALTANTE",ABS((C4472-$W$5)/$X$5)&gt;1.96,"ATÍPICO",ABS((C4472-$W$5)/$X$5)&lt;=1.96,"NO ATÍPICO")</f>
        <v>NO ATÍPICO</v>
      </c>
      <c r="K4472" t="str" cm="1">
        <f t="array" ref="K4472">_xlfn.IFS(ISBLANK(I4472),"FALTANTE",ABS((I4472-$W$8)/$X$8)&gt;1.92,"ATÍPICO",ABS((I4472-$W$8)/$X$8)&lt;=1.92,"NO ATÍPICO")</f>
        <v>NO ATÍPICO</v>
      </c>
      <c r="L4472">
        <f t="shared" si="294"/>
        <v>365825</v>
      </c>
      <c r="M4472" t="str">
        <f t="shared" si="294"/>
        <v>ASALARIADO</v>
      </c>
      <c r="N4472">
        <f t="shared" si="295"/>
        <v>42</v>
      </c>
      <c r="O4472" s="19" t="str">
        <f t="shared" si="296"/>
        <v>300k–600k</v>
      </c>
      <c r="P4472" s="19" t="str">
        <f t="shared" si="297"/>
        <v>36-45</v>
      </c>
    </row>
    <row r="4473" spans="1:16" x14ac:dyDescent="0.25">
      <c r="A4473">
        <v>4472</v>
      </c>
      <c r="B4473" t="s">
        <v>9</v>
      </c>
      <c r="C4473">
        <v>615550</v>
      </c>
      <c r="D4473" t="s">
        <v>18</v>
      </c>
      <c r="E4473" t="s">
        <v>16</v>
      </c>
      <c r="F4473" t="s">
        <v>12</v>
      </c>
      <c r="G4473" t="s">
        <v>13</v>
      </c>
      <c r="H4473" t="s">
        <v>12</v>
      </c>
      <c r="I4473">
        <v>42</v>
      </c>
      <c r="J4473" t="str" cm="1">
        <f t="array" ref="J4473">_xlfn.IFS(ISBLANK(C4473),"FALTANTE",ABS((C4473-$W$5)/$X$5)&gt;1.96,"ATÍPICO",ABS((C4473-$W$5)/$X$5)&lt;=1.96,"NO ATÍPICO")</f>
        <v>NO ATÍPICO</v>
      </c>
      <c r="K4473" t="str" cm="1">
        <f t="array" ref="K4473">_xlfn.IFS(ISBLANK(I4473),"FALTANTE",ABS((I4473-$W$8)/$X$8)&gt;1.92,"ATÍPICO",ABS((I4473-$W$8)/$X$8)&lt;=1.92,"NO ATÍPICO")</f>
        <v>NO ATÍPICO</v>
      </c>
      <c r="L4473">
        <f t="shared" si="294"/>
        <v>615550</v>
      </c>
      <c r="M4473" t="str">
        <f t="shared" si="294"/>
        <v>TRABAJADOR INDEPENDIENTE</v>
      </c>
      <c r="N4473">
        <f t="shared" si="295"/>
        <v>42</v>
      </c>
      <c r="O4473" s="19" t="str">
        <f t="shared" si="296"/>
        <v>600k–900k</v>
      </c>
      <c r="P4473" s="19" t="str">
        <f t="shared" si="297"/>
        <v>36-45</v>
      </c>
    </row>
    <row r="4474" spans="1:16" x14ac:dyDescent="0.25">
      <c r="A4474">
        <v>4473</v>
      </c>
      <c r="B4474" t="s">
        <v>15</v>
      </c>
      <c r="C4474">
        <v>1124365</v>
      </c>
      <c r="D4474" t="s">
        <v>10</v>
      </c>
      <c r="E4474" t="s">
        <v>11</v>
      </c>
      <c r="F4474" t="s">
        <v>12</v>
      </c>
      <c r="G4474" t="s">
        <v>13</v>
      </c>
      <c r="H4474" t="s">
        <v>13</v>
      </c>
      <c r="I4474">
        <v>41</v>
      </c>
      <c r="J4474" t="str" cm="1">
        <f t="array" ref="J4474">_xlfn.IFS(ISBLANK(C4474),"FALTANTE",ABS((C4474-$W$5)/$X$5)&gt;1.96,"ATÍPICO",ABS((C4474-$W$5)/$X$5)&lt;=1.96,"NO ATÍPICO")</f>
        <v>NO ATÍPICO</v>
      </c>
      <c r="K4474" t="str" cm="1">
        <f t="array" ref="K4474">_xlfn.IFS(ISBLANK(I4474),"FALTANTE",ABS((I4474-$W$8)/$X$8)&gt;1.92,"ATÍPICO",ABS((I4474-$W$8)/$X$8)&lt;=1.92,"NO ATÍPICO")</f>
        <v>NO ATÍPICO</v>
      </c>
      <c r="L4474">
        <f t="shared" si="294"/>
        <v>1124365</v>
      </c>
      <c r="M4474" t="str">
        <f t="shared" si="294"/>
        <v>ASALARIADO</v>
      </c>
      <c r="N4474">
        <f t="shared" si="295"/>
        <v>41</v>
      </c>
      <c r="O4474" s="19" t="str">
        <f t="shared" si="296"/>
        <v>900k–1200k</v>
      </c>
      <c r="P4474" s="19" t="str">
        <f t="shared" si="297"/>
        <v>36-45</v>
      </c>
    </row>
    <row r="4475" spans="1:16" x14ac:dyDescent="0.25">
      <c r="A4475">
        <v>4474</v>
      </c>
      <c r="B4475" t="s">
        <v>9</v>
      </c>
      <c r="C4475">
        <v>456300.02</v>
      </c>
      <c r="D4475" t="s">
        <v>10</v>
      </c>
      <c r="E4475" t="s">
        <v>16</v>
      </c>
      <c r="F4475" t="s">
        <v>12</v>
      </c>
      <c r="G4475" t="s">
        <v>12</v>
      </c>
      <c r="H4475" t="s">
        <v>13</v>
      </c>
      <c r="I4475">
        <v>49</v>
      </c>
      <c r="J4475" t="str" cm="1">
        <f t="array" ref="J4475">_xlfn.IFS(ISBLANK(C4475),"FALTANTE",ABS((C4475-$W$5)/$X$5)&gt;1.96,"ATÍPICO",ABS((C4475-$W$5)/$X$5)&lt;=1.96,"NO ATÍPICO")</f>
        <v>NO ATÍPICO</v>
      </c>
      <c r="K4475" t="str" cm="1">
        <f t="array" ref="K4475">_xlfn.IFS(ISBLANK(I4475),"FALTANTE",ABS((I4475-$W$8)/$X$8)&gt;1.92,"ATÍPICO",ABS((I4475-$W$8)/$X$8)&lt;=1.92,"NO ATÍPICO")</f>
        <v>NO ATÍPICO</v>
      </c>
      <c r="L4475">
        <f t="shared" si="294"/>
        <v>456300.02</v>
      </c>
      <c r="M4475" t="str">
        <f t="shared" si="294"/>
        <v>ASALARIADO</v>
      </c>
      <c r="N4475">
        <f t="shared" si="295"/>
        <v>49</v>
      </c>
      <c r="O4475" s="19" t="str">
        <f t="shared" si="296"/>
        <v>300k–600k</v>
      </c>
      <c r="P4475" s="19" t="str">
        <f t="shared" si="297"/>
        <v>46-55</v>
      </c>
    </row>
    <row r="4476" spans="1:16" x14ac:dyDescent="0.25">
      <c r="A4476">
        <v>4475</v>
      </c>
      <c r="B4476" t="s">
        <v>15</v>
      </c>
      <c r="C4476">
        <v>214584.3</v>
      </c>
      <c r="D4476" t="s">
        <v>10</v>
      </c>
      <c r="E4476" t="s">
        <v>11</v>
      </c>
      <c r="F4476" t="s">
        <v>12</v>
      </c>
      <c r="G4476" t="s">
        <v>13</v>
      </c>
      <c r="H4476" t="s">
        <v>13</v>
      </c>
      <c r="I4476">
        <v>51</v>
      </c>
      <c r="J4476" t="str" cm="1">
        <f t="array" ref="J4476">_xlfn.IFS(ISBLANK(C4476),"FALTANTE",ABS((C4476-$W$5)/$X$5)&gt;1.96,"ATÍPICO",ABS((C4476-$W$5)/$X$5)&lt;=1.96,"NO ATÍPICO")</f>
        <v>NO ATÍPICO</v>
      </c>
      <c r="K4476" t="str" cm="1">
        <f t="array" ref="K4476">_xlfn.IFS(ISBLANK(I4476),"FALTANTE",ABS((I4476-$W$8)/$X$8)&gt;1.92,"ATÍPICO",ABS((I4476-$W$8)/$X$8)&lt;=1.92,"NO ATÍPICO")</f>
        <v>NO ATÍPICO</v>
      </c>
      <c r="L4476">
        <f t="shared" si="294"/>
        <v>214584.3</v>
      </c>
      <c r="M4476" t="str">
        <f t="shared" si="294"/>
        <v>ASALARIADO</v>
      </c>
      <c r="N4476">
        <f t="shared" si="295"/>
        <v>51</v>
      </c>
      <c r="O4476" s="19" t="str">
        <f t="shared" si="296"/>
        <v>0–300k</v>
      </c>
      <c r="P4476" s="19" t="str">
        <f t="shared" si="297"/>
        <v>46-55</v>
      </c>
    </row>
    <row r="4477" spans="1:16" x14ac:dyDescent="0.25">
      <c r="A4477">
        <v>4476</v>
      </c>
      <c r="B4477" t="s">
        <v>9</v>
      </c>
      <c r="C4477">
        <v>361811</v>
      </c>
      <c r="D4477" t="s">
        <v>18</v>
      </c>
      <c r="E4477" t="s">
        <v>16</v>
      </c>
      <c r="F4477" t="s">
        <v>12</v>
      </c>
      <c r="G4477" t="s">
        <v>13</v>
      </c>
      <c r="H4477" t="s">
        <v>13</v>
      </c>
      <c r="I4477">
        <v>31</v>
      </c>
      <c r="J4477" t="str" cm="1">
        <f t="array" ref="J4477">_xlfn.IFS(ISBLANK(C4477),"FALTANTE",ABS((C4477-$W$5)/$X$5)&gt;1.96,"ATÍPICO",ABS((C4477-$W$5)/$X$5)&lt;=1.96,"NO ATÍPICO")</f>
        <v>NO ATÍPICO</v>
      </c>
      <c r="K4477" t="str" cm="1">
        <f t="array" ref="K4477">_xlfn.IFS(ISBLANK(I4477),"FALTANTE",ABS((I4477-$W$8)/$X$8)&gt;1.92,"ATÍPICO",ABS((I4477-$W$8)/$X$8)&lt;=1.92,"NO ATÍPICO")</f>
        <v>NO ATÍPICO</v>
      </c>
      <c r="L4477">
        <f t="shared" si="294"/>
        <v>361811</v>
      </c>
      <c r="M4477" t="str">
        <f t="shared" si="294"/>
        <v>TRABAJADOR INDEPENDIENTE</v>
      </c>
      <c r="N4477">
        <f t="shared" si="295"/>
        <v>31</v>
      </c>
      <c r="O4477" s="19" t="str">
        <f t="shared" si="296"/>
        <v>300k–600k</v>
      </c>
      <c r="P4477" s="19" t="str">
        <f t="shared" si="297"/>
        <v>26-35</v>
      </c>
    </row>
    <row r="4478" spans="1:16" x14ac:dyDescent="0.25">
      <c r="A4478">
        <v>4477</v>
      </c>
      <c r="B4478" t="s">
        <v>9</v>
      </c>
      <c r="C4478">
        <v>382136</v>
      </c>
      <c r="D4478" t="s">
        <v>18</v>
      </c>
      <c r="E4478" t="s">
        <v>16</v>
      </c>
      <c r="F4478" t="s">
        <v>12</v>
      </c>
      <c r="G4478" t="s">
        <v>12</v>
      </c>
      <c r="H4478" t="s">
        <v>12</v>
      </c>
      <c r="I4478">
        <v>40</v>
      </c>
      <c r="J4478" t="str" cm="1">
        <f t="array" ref="J4478">_xlfn.IFS(ISBLANK(C4478),"FALTANTE",ABS((C4478-$W$5)/$X$5)&gt;1.96,"ATÍPICO",ABS((C4478-$W$5)/$X$5)&lt;=1.96,"NO ATÍPICO")</f>
        <v>NO ATÍPICO</v>
      </c>
      <c r="K4478" t="str" cm="1">
        <f t="array" ref="K4478">_xlfn.IFS(ISBLANK(I4478),"FALTANTE",ABS((I4478-$W$8)/$X$8)&gt;1.92,"ATÍPICO",ABS((I4478-$W$8)/$X$8)&lt;=1.92,"NO ATÍPICO")</f>
        <v>NO ATÍPICO</v>
      </c>
      <c r="L4478">
        <f t="shared" si="294"/>
        <v>382136</v>
      </c>
      <c r="M4478" t="str">
        <f t="shared" si="294"/>
        <v>TRABAJADOR INDEPENDIENTE</v>
      </c>
      <c r="N4478">
        <f t="shared" si="295"/>
        <v>40</v>
      </c>
      <c r="O4478" s="19" t="str">
        <f t="shared" si="296"/>
        <v>300k–600k</v>
      </c>
      <c r="P4478" s="19" t="str">
        <f t="shared" si="297"/>
        <v>36-45</v>
      </c>
    </row>
    <row r="4479" spans="1:16" x14ac:dyDescent="0.25">
      <c r="A4479">
        <v>4478</v>
      </c>
      <c r="B4479" t="s">
        <v>9</v>
      </c>
      <c r="C4479">
        <v>1491283.5</v>
      </c>
      <c r="D4479" t="s">
        <v>10</v>
      </c>
      <c r="E4479" t="s">
        <v>11</v>
      </c>
      <c r="F4479" t="s">
        <v>12</v>
      </c>
      <c r="G4479" t="s">
        <v>13</v>
      </c>
      <c r="H4479" t="s">
        <v>13</v>
      </c>
      <c r="I4479">
        <v>43</v>
      </c>
      <c r="J4479" t="str" cm="1">
        <f t="array" ref="J4479">_xlfn.IFS(ISBLANK(C4479),"FALTANTE",ABS((C4479-$W$5)/$X$5)&gt;1.96,"ATÍPICO",ABS((C4479-$W$5)/$X$5)&lt;=1.96,"NO ATÍPICO")</f>
        <v>NO ATÍPICO</v>
      </c>
      <c r="K4479" t="str" cm="1">
        <f t="array" ref="K4479">_xlfn.IFS(ISBLANK(I4479),"FALTANTE",ABS((I4479-$W$8)/$X$8)&gt;1.92,"ATÍPICO",ABS((I4479-$W$8)/$X$8)&lt;=1.92,"NO ATÍPICO")</f>
        <v>NO ATÍPICO</v>
      </c>
      <c r="L4479">
        <f t="shared" si="294"/>
        <v>1491283.5</v>
      </c>
      <c r="M4479" t="str">
        <f t="shared" si="294"/>
        <v>ASALARIADO</v>
      </c>
      <c r="N4479">
        <f t="shared" si="295"/>
        <v>43</v>
      </c>
      <c r="O4479" s="19" t="str">
        <f t="shared" si="296"/>
        <v>1200k+</v>
      </c>
      <c r="P4479" s="19" t="str">
        <f t="shared" si="297"/>
        <v>36-45</v>
      </c>
    </row>
    <row r="4480" spans="1:16" x14ac:dyDescent="0.25">
      <c r="A4480">
        <v>4479</v>
      </c>
      <c r="B4480" t="s">
        <v>9</v>
      </c>
      <c r="C4480">
        <v>618762.76</v>
      </c>
      <c r="D4480" t="s">
        <v>10</v>
      </c>
      <c r="E4480" t="s">
        <v>16</v>
      </c>
      <c r="F4480" t="s">
        <v>12</v>
      </c>
      <c r="G4480" t="s">
        <v>12</v>
      </c>
      <c r="H4480" t="s">
        <v>13</v>
      </c>
      <c r="I4480">
        <v>47</v>
      </c>
      <c r="J4480" t="str" cm="1">
        <f t="array" ref="J4480">_xlfn.IFS(ISBLANK(C4480),"FALTANTE",ABS((C4480-$W$5)/$X$5)&gt;1.96,"ATÍPICO",ABS((C4480-$W$5)/$X$5)&lt;=1.96,"NO ATÍPICO")</f>
        <v>NO ATÍPICO</v>
      </c>
      <c r="K4480" t="str" cm="1">
        <f t="array" ref="K4480">_xlfn.IFS(ISBLANK(I4480),"FALTANTE",ABS((I4480-$W$8)/$X$8)&gt;1.92,"ATÍPICO",ABS((I4480-$W$8)/$X$8)&lt;=1.92,"NO ATÍPICO")</f>
        <v>NO ATÍPICO</v>
      </c>
      <c r="L4480">
        <f t="shared" si="294"/>
        <v>618762.76</v>
      </c>
      <c r="M4480" t="str">
        <f t="shared" si="294"/>
        <v>ASALARIADO</v>
      </c>
      <c r="N4480">
        <f t="shared" si="295"/>
        <v>47</v>
      </c>
      <c r="O4480" s="19" t="str">
        <f t="shared" si="296"/>
        <v>600k–900k</v>
      </c>
      <c r="P4480" s="19" t="str">
        <f t="shared" si="297"/>
        <v>46-55</v>
      </c>
    </row>
    <row r="4481" spans="1:16" x14ac:dyDescent="0.25">
      <c r="A4481">
        <v>4480</v>
      </c>
      <c r="B4481" t="s">
        <v>15</v>
      </c>
      <c r="C4481">
        <v>60000</v>
      </c>
      <c r="D4481" t="s">
        <v>10</v>
      </c>
      <c r="E4481" t="s">
        <v>16</v>
      </c>
      <c r="F4481" t="s">
        <v>12</v>
      </c>
      <c r="G4481" t="s">
        <v>13</v>
      </c>
      <c r="H4481" t="s">
        <v>12</v>
      </c>
      <c r="I4481">
        <v>46</v>
      </c>
      <c r="J4481" t="str" cm="1">
        <f t="array" ref="J4481">_xlfn.IFS(ISBLANK(C4481),"FALTANTE",ABS((C4481-$W$5)/$X$5)&gt;1.96,"ATÍPICO",ABS((C4481-$W$5)/$X$5)&lt;=1.96,"NO ATÍPICO")</f>
        <v>NO ATÍPICO</v>
      </c>
      <c r="K4481" t="str" cm="1">
        <f t="array" ref="K4481">_xlfn.IFS(ISBLANK(I4481),"FALTANTE",ABS((I4481-$W$8)/$X$8)&gt;1.92,"ATÍPICO",ABS((I4481-$W$8)/$X$8)&lt;=1.92,"NO ATÍPICO")</f>
        <v>NO ATÍPICO</v>
      </c>
      <c r="L4481">
        <f t="shared" si="294"/>
        <v>60000</v>
      </c>
      <c r="M4481" t="str">
        <f t="shared" si="294"/>
        <v>ASALARIADO</v>
      </c>
      <c r="N4481">
        <f t="shared" si="295"/>
        <v>46</v>
      </c>
      <c r="O4481" s="19" t="str">
        <f t="shared" si="296"/>
        <v>0–300k</v>
      </c>
      <c r="P4481" s="19" t="str">
        <f t="shared" si="297"/>
        <v>46-55</v>
      </c>
    </row>
    <row r="4482" spans="1:16" x14ac:dyDescent="0.25">
      <c r="A4482">
        <v>4481</v>
      </c>
      <c r="B4482" t="s">
        <v>9</v>
      </c>
      <c r="C4482">
        <v>297046</v>
      </c>
      <c r="D4482" t="s">
        <v>17</v>
      </c>
      <c r="E4482" t="s">
        <v>16</v>
      </c>
      <c r="F4482" t="s">
        <v>12</v>
      </c>
      <c r="G4482" t="s">
        <v>13</v>
      </c>
      <c r="H4482" t="s">
        <v>13</v>
      </c>
      <c r="I4482">
        <v>32</v>
      </c>
      <c r="J4482" t="str" cm="1">
        <f t="array" ref="J4482">_xlfn.IFS(ISBLANK(C4482),"FALTANTE",ABS((C4482-$W$5)/$X$5)&gt;1.96,"ATÍPICO",ABS((C4482-$W$5)/$X$5)&lt;=1.96,"NO ATÍPICO")</f>
        <v>NO ATÍPICO</v>
      </c>
      <c r="K4482" t="str" cm="1">
        <f t="array" ref="K4482">_xlfn.IFS(ISBLANK(I4482),"FALTANTE",ABS((I4482-$W$8)/$X$8)&gt;1.92,"ATÍPICO",ABS((I4482-$W$8)/$X$8)&lt;=1.92,"NO ATÍPICO")</f>
        <v>NO ATÍPICO</v>
      </c>
      <c r="L4482">
        <f t="shared" ref="L4482:M4545" si="298">C4482</f>
        <v>297046</v>
      </c>
      <c r="M4482" t="str">
        <f t="shared" si="298"/>
        <v>ASEGURADO VOLUNTARIO</v>
      </c>
      <c r="N4482">
        <f t="shared" ref="N4482:N4545" si="299">I4482</f>
        <v>32</v>
      </c>
      <c r="O4482" s="19" t="str">
        <f t="shared" ref="O4482:O4545" si="300">IF(L4482&lt;=300000,"0–300k",IF(L4482&lt;=600000,"300k–600k",IF(L4482&lt;=900000,"600k–900k",IF(L4482&lt;=1200000,"900k–1200k","1200k+"))))</f>
        <v>0–300k</v>
      </c>
      <c r="P4482" s="19" t="str">
        <f t="shared" ref="P4482:P4545" si="301">IF(N4482 &lt;=25,"18-25", IF(N4482&lt;=35,"26-35", IF(N4482 &lt;=45,"36-45", IF(N4482&lt;=55,"46-55","56+"))))</f>
        <v>26-35</v>
      </c>
    </row>
    <row r="4483" spans="1:16" x14ac:dyDescent="0.25">
      <c r="A4483">
        <v>4482</v>
      </c>
      <c r="B4483" t="s">
        <v>15</v>
      </c>
      <c r="C4483">
        <v>320000</v>
      </c>
      <c r="D4483" t="s">
        <v>10</v>
      </c>
      <c r="E4483" t="s">
        <v>16</v>
      </c>
      <c r="F4483" t="s">
        <v>12</v>
      </c>
      <c r="G4483" t="s">
        <v>12</v>
      </c>
      <c r="H4483" t="s">
        <v>12</v>
      </c>
      <c r="I4483">
        <v>38</v>
      </c>
      <c r="J4483" t="str" cm="1">
        <f t="array" ref="J4483">_xlfn.IFS(ISBLANK(C4483),"FALTANTE",ABS((C4483-$W$5)/$X$5)&gt;1.96,"ATÍPICO",ABS((C4483-$W$5)/$X$5)&lt;=1.96,"NO ATÍPICO")</f>
        <v>NO ATÍPICO</v>
      </c>
      <c r="K4483" t="str" cm="1">
        <f t="array" ref="K4483">_xlfn.IFS(ISBLANK(I4483),"FALTANTE",ABS((I4483-$W$8)/$X$8)&gt;1.92,"ATÍPICO",ABS((I4483-$W$8)/$X$8)&lt;=1.92,"NO ATÍPICO")</f>
        <v>NO ATÍPICO</v>
      </c>
      <c r="L4483">
        <f t="shared" si="298"/>
        <v>320000</v>
      </c>
      <c r="M4483" t="str">
        <f t="shared" si="298"/>
        <v>ASALARIADO</v>
      </c>
      <c r="N4483">
        <f t="shared" si="299"/>
        <v>38</v>
      </c>
      <c r="O4483" s="19" t="str">
        <f t="shared" si="300"/>
        <v>300k–600k</v>
      </c>
      <c r="P4483" s="19" t="str">
        <f t="shared" si="301"/>
        <v>36-45</v>
      </c>
    </row>
    <row r="4484" spans="1:16" x14ac:dyDescent="0.25">
      <c r="A4484">
        <v>4483</v>
      </c>
      <c r="B4484" t="s">
        <v>9</v>
      </c>
      <c r="C4484">
        <v>1160779</v>
      </c>
      <c r="D4484" t="s">
        <v>10</v>
      </c>
      <c r="E4484" t="s">
        <v>11</v>
      </c>
      <c r="F4484" t="s">
        <v>12</v>
      </c>
      <c r="G4484" t="s">
        <v>13</v>
      </c>
      <c r="H4484" t="s">
        <v>13</v>
      </c>
      <c r="I4484">
        <v>28</v>
      </c>
      <c r="J4484" t="str" cm="1">
        <f t="array" ref="J4484">_xlfn.IFS(ISBLANK(C4484),"FALTANTE",ABS((C4484-$W$5)/$X$5)&gt;1.96,"ATÍPICO",ABS((C4484-$W$5)/$X$5)&lt;=1.96,"NO ATÍPICO")</f>
        <v>NO ATÍPICO</v>
      </c>
      <c r="K4484" t="str" cm="1">
        <f t="array" ref="K4484">_xlfn.IFS(ISBLANK(I4484),"FALTANTE",ABS((I4484-$W$8)/$X$8)&gt;1.92,"ATÍPICO",ABS((I4484-$W$8)/$X$8)&lt;=1.92,"NO ATÍPICO")</f>
        <v>NO ATÍPICO</v>
      </c>
      <c r="L4484">
        <f t="shared" si="298"/>
        <v>1160779</v>
      </c>
      <c r="M4484" t="str">
        <f t="shared" si="298"/>
        <v>ASALARIADO</v>
      </c>
      <c r="N4484">
        <f t="shared" si="299"/>
        <v>28</v>
      </c>
      <c r="O4484" s="19" t="str">
        <f t="shared" si="300"/>
        <v>900k–1200k</v>
      </c>
      <c r="P4484" s="19" t="str">
        <f t="shared" si="301"/>
        <v>26-35</v>
      </c>
    </row>
    <row r="4485" spans="1:16" x14ac:dyDescent="0.25">
      <c r="A4485">
        <v>4484</v>
      </c>
      <c r="B4485" t="s">
        <v>15</v>
      </c>
      <c r="C4485">
        <v>1034000</v>
      </c>
      <c r="D4485" t="s">
        <v>10</v>
      </c>
      <c r="E4485" t="s">
        <v>16</v>
      </c>
      <c r="F4485" t="s">
        <v>12</v>
      </c>
      <c r="G4485" t="s">
        <v>13</v>
      </c>
      <c r="H4485" t="s">
        <v>13</v>
      </c>
      <c r="I4485">
        <v>35</v>
      </c>
      <c r="J4485" t="str" cm="1">
        <f t="array" ref="J4485">_xlfn.IFS(ISBLANK(C4485),"FALTANTE",ABS((C4485-$W$5)/$X$5)&gt;1.96,"ATÍPICO",ABS((C4485-$W$5)/$X$5)&lt;=1.96,"NO ATÍPICO")</f>
        <v>NO ATÍPICO</v>
      </c>
      <c r="K4485" t="str" cm="1">
        <f t="array" ref="K4485">_xlfn.IFS(ISBLANK(I4485),"FALTANTE",ABS((I4485-$W$8)/$X$8)&gt;1.92,"ATÍPICO",ABS((I4485-$W$8)/$X$8)&lt;=1.92,"NO ATÍPICO")</f>
        <v>NO ATÍPICO</v>
      </c>
      <c r="L4485">
        <f t="shared" si="298"/>
        <v>1034000</v>
      </c>
      <c r="M4485" t="str">
        <f t="shared" si="298"/>
        <v>ASALARIADO</v>
      </c>
      <c r="N4485">
        <f t="shared" si="299"/>
        <v>35</v>
      </c>
      <c r="O4485" s="19" t="str">
        <f t="shared" si="300"/>
        <v>900k–1200k</v>
      </c>
      <c r="P4485" s="19" t="str">
        <f t="shared" si="301"/>
        <v>26-35</v>
      </c>
    </row>
    <row r="4486" spans="1:16" x14ac:dyDescent="0.25">
      <c r="A4486">
        <v>4485</v>
      </c>
      <c r="B4486" t="s">
        <v>9</v>
      </c>
      <c r="C4486">
        <v>526558</v>
      </c>
      <c r="D4486" t="s">
        <v>10</v>
      </c>
      <c r="E4486" t="s">
        <v>16</v>
      </c>
      <c r="F4486" t="s">
        <v>12</v>
      </c>
      <c r="G4486" t="s">
        <v>12</v>
      </c>
      <c r="H4486" t="s">
        <v>13</v>
      </c>
      <c r="I4486">
        <v>47</v>
      </c>
      <c r="J4486" t="str" cm="1">
        <f t="array" ref="J4486">_xlfn.IFS(ISBLANK(C4486),"FALTANTE",ABS((C4486-$W$5)/$X$5)&gt;1.96,"ATÍPICO",ABS((C4486-$W$5)/$X$5)&lt;=1.96,"NO ATÍPICO")</f>
        <v>NO ATÍPICO</v>
      </c>
      <c r="K4486" t="str" cm="1">
        <f t="array" ref="K4486">_xlfn.IFS(ISBLANK(I4486),"FALTANTE",ABS((I4486-$W$8)/$X$8)&gt;1.92,"ATÍPICO",ABS((I4486-$W$8)/$X$8)&lt;=1.92,"NO ATÍPICO")</f>
        <v>NO ATÍPICO</v>
      </c>
      <c r="L4486">
        <f t="shared" si="298"/>
        <v>526558</v>
      </c>
      <c r="M4486" t="str">
        <f t="shared" si="298"/>
        <v>ASALARIADO</v>
      </c>
      <c r="N4486">
        <f t="shared" si="299"/>
        <v>47</v>
      </c>
      <c r="O4486" s="19" t="str">
        <f t="shared" si="300"/>
        <v>300k–600k</v>
      </c>
      <c r="P4486" s="19" t="str">
        <f t="shared" si="301"/>
        <v>46-55</v>
      </c>
    </row>
    <row r="4487" spans="1:16" x14ac:dyDescent="0.25">
      <c r="A4487">
        <v>4486</v>
      </c>
      <c r="B4487" t="s">
        <v>9</v>
      </c>
      <c r="C4487">
        <v>957698</v>
      </c>
      <c r="D4487" t="s">
        <v>10</v>
      </c>
      <c r="E4487" t="s">
        <v>16</v>
      </c>
      <c r="F4487" t="s">
        <v>12</v>
      </c>
      <c r="G4487" t="s">
        <v>13</v>
      </c>
      <c r="H4487" t="s">
        <v>13</v>
      </c>
      <c r="I4487">
        <v>26</v>
      </c>
      <c r="J4487" t="str" cm="1">
        <f t="array" ref="J4487">_xlfn.IFS(ISBLANK(C4487),"FALTANTE",ABS((C4487-$W$5)/$X$5)&gt;1.96,"ATÍPICO",ABS((C4487-$W$5)/$X$5)&lt;=1.96,"NO ATÍPICO")</f>
        <v>NO ATÍPICO</v>
      </c>
      <c r="K4487" t="str" cm="1">
        <f t="array" ref="K4487">_xlfn.IFS(ISBLANK(I4487),"FALTANTE",ABS((I4487-$W$8)/$X$8)&gt;1.92,"ATÍPICO",ABS((I4487-$W$8)/$X$8)&lt;=1.92,"NO ATÍPICO")</f>
        <v>NO ATÍPICO</v>
      </c>
      <c r="L4487">
        <f t="shared" si="298"/>
        <v>957698</v>
      </c>
      <c r="M4487" t="str">
        <f t="shared" si="298"/>
        <v>ASALARIADO</v>
      </c>
      <c r="N4487">
        <f t="shared" si="299"/>
        <v>26</v>
      </c>
      <c r="O4487" s="19" t="str">
        <f t="shared" si="300"/>
        <v>900k–1200k</v>
      </c>
      <c r="P4487" s="19" t="str">
        <f t="shared" si="301"/>
        <v>26-35</v>
      </c>
    </row>
    <row r="4488" spans="1:16" x14ac:dyDescent="0.25">
      <c r="A4488">
        <v>4487</v>
      </c>
      <c r="B4488" t="s">
        <v>9</v>
      </c>
      <c r="C4488">
        <v>243270.86</v>
      </c>
      <c r="D4488" t="s">
        <v>10</v>
      </c>
      <c r="E4488" t="s">
        <v>16</v>
      </c>
      <c r="F4488" t="s">
        <v>12</v>
      </c>
      <c r="G4488" t="s">
        <v>13</v>
      </c>
      <c r="H4488" t="s">
        <v>13</v>
      </c>
      <c r="I4488">
        <v>49</v>
      </c>
      <c r="J4488" t="str" cm="1">
        <f t="array" ref="J4488">_xlfn.IFS(ISBLANK(C4488),"FALTANTE",ABS((C4488-$W$5)/$X$5)&gt;1.96,"ATÍPICO",ABS((C4488-$W$5)/$X$5)&lt;=1.96,"NO ATÍPICO")</f>
        <v>NO ATÍPICO</v>
      </c>
      <c r="K4488" t="str" cm="1">
        <f t="array" ref="K4488">_xlfn.IFS(ISBLANK(I4488),"FALTANTE",ABS((I4488-$W$8)/$X$8)&gt;1.92,"ATÍPICO",ABS((I4488-$W$8)/$X$8)&lt;=1.92,"NO ATÍPICO")</f>
        <v>NO ATÍPICO</v>
      </c>
      <c r="L4488">
        <f t="shared" si="298"/>
        <v>243270.86</v>
      </c>
      <c r="M4488" t="str">
        <f t="shared" si="298"/>
        <v>ASALARIADO</v>
      </c>
      <c r="N4488">
        <f t="shared" si="299"/>
        <v>49</v>
      </c>
      <c r="O4488" s="19" t="str">
        <f t="shared" si="300"/>
        <v>0–300k</v>
      </c>
      <c r="P4488" s="19" t="str">
        <f t="shared" si="301"/>
        <v>46-55</v>
      </c>
    </row>
    <row r="4489" spans="1:16" x14ac:dyDescent="0.25">
      <c r="A4489">
        <v>4488</v>
      </c>
      <c r="B4489" t="s">
        <v>9</v>
      </c>
      <c r="C4489">
        <v>709423.79</v>
      </c>
      <c r="D4489" t="s">
        <v>10</v>
      </c>
      <c r="E4489" t="s">
        <v>16</v>
      </c>
      <c r="F4489" t="s">
        <v>12</v>
      </c>
      <c r="G4489" t="s">
        <v>13</v>
      </c>
      <c r="H4489" t="s">
        <v>13</v>
      </c>
      <c r="I4489">
        <v>34</v>
      </c>
      <c r="J4489" t="str" cm="1">
        <f t="array" ref="J4489">_xlfn.IFS(ISBLANK(C4489),"FALTANTE",ABS((C4489-$W$5)/$X$5)&gt;1.96,"ATÍPICO",ABS((C4489-$W$5)/$X$5)&lt;=1.96,"NO ATÍPICO")</f>
        <v>NO ATÍPICO</v>
      </c>
      <c r="K4489" t="str" cm="1">
        <f t="array" ref="K4489">_xlfn.IFS(ISBLANK(I4489),"FALTANTE",ABS((I4489-$W$8)/$X$8)&gt;1.92,"ATÍPICO",ABS((I4489-$W$8)/$X$8)&lt;=1.92,"NO ATÍPICO")</f>
        <v>NO ATÍPICO</v>
      </c>
      <c r="L4489">
        <f t="shared" si="298"/>
        <v>709423.79</v>
      </c>
      <c r="M4489" t="str">
        <f t="shared" si="298"/>
        <v>ASALARIADO</v>
      </c>
      <c r="N4489">
        <f t="shared" si="299"/>
        <v>34</v>
      </c>
      <c r="O4489" s="19" t="str">
        <f t="shared" si="300"/>
        <v>600k–900k</v>
      </c>
      <c r="P4489" s="19" t="str">
        <f t="shared" si="301"/>
        <v>26-35</v>
      </c>
    </row>
    <row r="4490" spans="1:16" x14ac:dyDescent="0.25">
      <c r="A4490">
        <v>4489</v>
      </c>
      <c r="B4490" t="s">
        <v>9</v>
      </c>
      <c r="C4490">
        <v>297046</v>
      </c>
      <c r="D4490" t="s">
        <v>18</v>
      </c>
      <c r="E4490" t="s">
        <v>16</v>
      </c>
      <c r="F4490" t="s">
        <v>12</v>
      </c>
      <c r="G4490" t="s">
        <v>13</v>
      </c>
      <c r="H4490" t="s">
        <v>13</v>
      </c>
      <c r="I4490">
        <v>54</v>
      </c>
      <c r="J4490" t="str" cm="1">
        <f t="array" ref="J4490">_xlfn.IFS(ISBLANK(C4490),"FALTANTE",ABS((C4490-$W$5)/$X$5)&gt;1.96,"ATÍPICO",ABS((C4490-$W$5)/$X$5)&lt;=1.96,"NO ATÍPICO")</f>
        <v>NO ATÍPICO</v>
      </c>
      <c r="K4490" t="str" cm="1">
        <f t="array" ref="K4490">_xlfn.IFS(ISBLANK(I4490),"FALTANTE",ABS((I4490-$W$8)/$X$8)&gt;1.92,"ATÍPICO",ABS((I4490-$W$8)/$X$8)&lt;=1.92,"NO ATÍPICO")</f>
        <v>NO ATÍPICO</v>
      </c>
      <c r="L4490">
        <f t="shared" si="298"/>
        <v>297046</v>
      </c>
      <c r="M4490" t="str">
        <f t="shared" si="298"/>
        <v>TRABAJADOR INDEPENDIENTE</v>
      </c>
      <c r="N4490">
        <f t="shared" si="299"/>
        <v>54</v>
      </c>
      <c r="O4490" s="19" t="str">
        <f t="shared" si="300"/>
        <v>0–300k</v>
      </c>
      <c r="P4490" s="19" t="str">
        <f t="shared" si="301"/>
        <v>46-55</v>
      </c>
    </row>
    <row r="4491" spans="1:16" x14ac:dyDescent="0.25">
      <c r="A4491">
        <v>4490</v>
      </c>
      <c r="B4491" t="s">
        <v>15</v>
      </c>
      <c r="C4491">
        <v>297050</v>
      </c>
      <c r="D4491" t="s">
        <v>17</v>
      </c>
      <c r="E4491" t="s">
        <v>16</v>
      </c>
      <c r="F4491" t="s">
        <v>12</v>
      </c>
      <c r="G4491" t="s">
        <v>13</v>
      </c>
      <c r="H4491" t="s">
        <v>13</v>
      </c>
      <c r="I4491">
        <v>52</v>
      </c>
      <c r="J4491" t="str" cm="1">
        <f t="array" ref="J4491">_xlfn.IFS(ISBLANK(C4491),"FALTANTE",ABS((C4491-$W$5)/$X$5)&gt;1.96,"ATÍPICO",ABS((C4491-$W$5)/$X$5)&lt;=1.96,"NO ATÍPICO")</f>
        <v>NO ATÍPICO</v>
      </c>
      <c r="K4491" t="str" cm="1">
        <f t="array" ref="K4491">_xlfn.IFS(ISBLANK(I4491),"FALTANTE",ABS((I4491-$W$8)/$X$8)&gt;1.92,"ATÍPICO",ABS((I4491-$W$8)/$X$8)&lt;=1.92,"NO ATÍPICO")</f>
        <v>NO ATÍPICO</v>
      </c>
      <c r="L4491">
        <f t="shared" si="298"/>
        <v>297050</v>
      </c>
      <c r="M4491" t="str">
        <f t="shared" si="298"/>
        <v>ASEGURADO VOLUNTARIO</v>
      </c>
      <c r="N4491">
        <f t="shared" si="299"/>
        <v>52</v>
      </c>
      <c r="O4491" s="19" t="str">
        <f t="shared" si="300"/>
        <v>0–300k</v>
      </c>
      <c r="P4491" s="19" t="str">
        <f t="shared" si="301"/>
        <v>46-55</v>
      </c>
    </row>
    <row r="4492" spans="1:16" x14ac:dyDescent="0.25">
      <c r="A4492">
        <v>4491</v>
      </c>
      <c r="B4492" t="s">
        <v>9</v>
      </c>
      <c r="C4492">
        <v>299647</v>
      </c>
      <c r="D4492" t="s">
        <v>17</v>
      </c>
      <c r="E4492" t="s">
        <v>16</v>
      </c>
      <c r="F4492" t="s">
        <v>12</v>
      </c>
      <c r="G4492" t="s">
        <v>13</v>
      </c>
      <c r="H4492" t="s">
        <v>13</v>
      </c>
      <c r="I4492">
        <v>73</v>
      </c>
      <c r="J4492" t="str" cm="1">
        <f t="array" ref="J4492">_xlfn.IFS(ISBLANK(C4492),"FALTANTE",ABS((C4492-$W$5)/$X$5)&gt;1.96,"ATÍPICO",ABS((C4492-$W$5)/$X$5)&lt;=1.96,"NO ATÍPICO")</f>
        <v>NO ATÍPICO</v>
      </c>
      <c r="K4492" t="str" cm="1">
        <f t="array" ref="K4492">_xlfn.IFS(ISBLANK(I4492),"FALTANTE",ABS((I4492-$W$8)/$X$8)&gt;1.92,"ATÍPICO",ABS((I4492-$W$8)/$X$8)&lt;=1.92,"NO ATÍPICO")</f>
        <v>ATÍPICO</v>
      </c>
      <c r="L4492">
        <f t="shared" si="298"/>
        <v>299647</v>
      </c>
      <c r="M4492" t="str">
        <f t="shared" si="298"/>
        <v>ASEGURADO VOLUNTARIO</v>
      </c>
      <c r="N4492">
        <f t="shared" si="299"/>
        <v>73</v>
      </c>
      <c r="O4492" s="19" t="str">
        <f t="shared" si="300"/>
        <v>0–300k</v>
      </c>
      <c r="P4492" s="19" t="str">
        <f t="shared" si="301"/>
        <v>56+</v>
      </c>
    </row>
    <row r="4493" spans="1:16" x14ac:dyDescent="0.25">
      <c r="A4493">
        <v>4492</v>
      </c>
      <c r="B4493" t="s">
        <v>9</v>
      </c>
      <c r="C4493">
        <v>372659.25</v>
      </c>
      <c r="D4493" t="s">
        <v>10</v>
      </c>
      <c r="E4493" t="s">
        <v>16</v>
      </c>
      <c r="F4493" t="s">
        <v>12</v>
      </c>
      <c r="G4493" t="s">
        <v>12</v>
      </c>
      <c r="H4493" t="s">
        <v>13</v>
      </c>
      <c r="I4493">
        <v>48</v>
      </c>
      <c r="J4493" t="str" cm="1">
        <f t="array" ref="J4493">_xlfn.IFS(ISBLANK(C4493),"FALTANTE",ABS((C4493-$W$5)/$X$5)&gt;1.96,"ATÍPICO",ABS((C4493-$W$5)/$X$5)&lt;=1.96,"NO ATÍPICO")</f>
        <v>NO ATÍPICO</v>
      </c>
      <c r="K4493" t="str" cm="1">
        <f t="array" ref="K4493">_xlfn.IFS(ISBLANK(I4493),"FALTANTE",ABS((I4493-$W$8)/$X$8)&gt;1.92,"ATÍPICO",ABS((I4493-$W$8)/$X$8)&lt;=1.92,"NO ATÍPICO")</f>
        <v>NO ATÍPICO</v>
      </c>
      <c r="L4493">
        <f t="shared" si="298"/>
        <v>372659.25</v>
      </c>
      <c r="M4493" t="str">
        <f t="shared" si="298"/>
        <v>ASALARIADO</v>
      </c>
      <c r="N4493">
        <f t="shared" si="299"/>
        <v>48</v>
      </c>
      <c r="O4493" s="19" t="str">
        <f t="shared" si="300"/>
        <v>300k–600k</v>
      </c>
      <c r="P4493" s="19" t="str">
        <f t="shared" si="301"/>
        <v>46-55</v>
      </c>
    </row>
    <row r="4494" spans="1:16" x14ac:dyDescent="0.25">
      <c r="A4494">
        <v>4493</v>
      </c>
      <c r="B4494" t="s">
        <v>9</v>
      </c>
      <c r="C4494">
        <v>297050</v>
      </c>
      <c r="D4494" t="s">
        <v>17</v>
      </c>
      <c r="E4494" t="s">
        <v>16</v>
      </c>
      <c r="F4494" t="s">
        <v>12</v>
      </c>
      <c r="G4494" t="s">
        <v>13</v>
      </c>
      <c r="H4494" t="s">
        <v>13</v>
      </c>
      <c r="I4494">
        <v>27</v>
      </c>
      <c r="J4494" t="str" cm="1">
        <f t="array" ref="J4494">_xlfn.IFS(ISBLANK(C4494),"FALTANTE",ABS((C4494-$W$5)/$X$5)&gt;1.96,"ATÍPICO",ABS((C4494-$W$5)/$X$5)&lt;=1.96,"NO ATÍPICO")</f>
        <v>NO ATÍPICO</v>
      </c>
      <c r="K4494" t="str" cm="1">
        <f t="array" ref="K4494">_xlfn.IFS(ISBLANK(I4494),"FALTANTE",ABS((I4494-$W$8)/$X$8)&gt;1.92,"ATÍPICO",ABS((I4494-$W$8)/$X$8)&lt;=1.92,"NO ATÍPICO")</f>
        <v>NO ATÍPICO</v>
      </c>
      <c r="L4494">
        <f t="shared" si="298"/>
        <v>297050</v>
      </c>
      <c r="M4494" t="str">
        <f t="shared" si="298"/>
        <v>ASEGURADO VOLUNTARIO</v>
      </c>
      <c r="N4494">
        <f t="shared" si="299"/>
        <v>27</v>
      </c>
      <c r="O4494" s="19" t="str">
        <f t="shared" si="300"/>
        <v>0–300k</v>
      </c>
      <c r="P4494" s="19" t="str">
        <f t="shared" si="301"/>
        <v>26-35</v>
      </c>
    </row>
    <row r="4495" spans="1:16" x14ac:dyDescent="0.25">
      <c r="A4495">
        <v>4494</v>
      </c>
      <c r="B4495" t="s">
        <v>9</v>
      </c>
      <c r="C4495">
        <v>337933.18</v>
      </c>
      <c r="D4495" t="s">
        <v>10</v>
      </c>
      <c r="E4495" t="s">
        <v>11</v>
      </c>
      <c r="F4495" t="s">
        <v>12</v>
      </c>
      <c r="G4495" t="s">
        <v>13</v>
      </c>
      <c r="H4495" t="s">
        <v>13</v>
      </c>
      <c r="I4495">
        <v>24</v>
      </c>
      <c r="J4495" t="str" cm="1">
        <f t="array" ref="J4495">_xlfn.IFS(ISBLANK(C4495),"FALTANTE",ABS((C4495-$W$5)/$X$5)&gt;1.96,"ATÍPICO",ABS((C4495-$W$5)/$X$5)&lt;=1.96,"NO ATÍPICO")</f>
        <v>NO ATÍPICO</v>
      </c>
      <c r="K4495" t="str" cm="1">
        <f t="array" ref="K4495">_xlfn.IFS(ISBLANK(I4495),"FALTANTE",ABS((I4495-$W$8)/$X$8)&gt;1.92,"ATÍPICO",ABS((I4495-$W$8)/$X$8)&lt;=1.92,"NO ATÍPICO")</f>
        <v>NO ATÍPICO</v>
      </c>
      <c r="L4495">
        <f t="shared" si="298"/>
        <v>337933.18</v>
      </c>
      <c r="M4495" t="str">
        <f t="shared" si="298"/>
        <v>ASALARIADO</v>
      </c>
      <c r="N4495">
        <f t="shared" si="299"/>
        <v>24</v>
      </c>
      <c r="O4495" s="19" t="str">
        <f t="shared" si="300"/>
        <v>300k–600k</v>
      </c>
      <c r="P4495" s="19" t="str">
        <f t="shared" si="301"/>
        <v>18-25</v>
      </c>
    </row>
    <row r="4496" spans="1:16" x14ac:dyDescent="0.25">
      <c r="A4496">
        <v>4495</v>
      </c>
      <c r="B4496" t="s">
        <v>9</v>
      </c>
      <c r="C4496">
        <v>557416</v>
      </c>
      <c r="D4496" t="s">
        <v>18</v>
      </c>
      <c r="E4496" t="s">
        <v>16</v>
      </c>
      <c r="F4496" t="s">
        <v>12</v>
      </c>
      <c r="G4496" t="s">
        <v>13</v>
      </c>
      <c r="H4496" t="s">
        <v>13</v>
      </c>
      <c r="I4496">
        <v>33</v>
      </c>
      <c r="J4496" t="str" cm="1">
        <f t="array" ref="J4496">_xlfn.IFS(ISBLANK(C4496),"FALTANTE",ABS((C4496-$W$5)/$X$5)&gt;1.96,"ATÍPICO",ABS((C4496-$W$5)/$X$5)&lt;=1.96,"NO ATÍPICO")</f>
        <v>NO ATÍPICO</v>
      </c>
      <c r="K4496" t="str" cm="1">
        <f t="array" ref="K4496">_xlfn.IFS(ISBLANK(I4496),"FALTANTE",ABS((I4496-$W$8)/$X$8)&gt;1.92,"ATÍPICO",ABS((I4496-$W$8)/$X$8)&lt;=1.92,"NO ATÍPICO")</f>
        <v>NO ATÍPICO</v>
      </c>
      <c r="L4496">
        <f t="shared" si="298"/>
        <v>557416</v>
      </c>
      <c r="M4496" t="str">
        <f t="shared" si="298"/>
        <v>TRABAJADOR INDEPENDIENTE</v>
      </c>
      <c r="N4496">
        <f t="shared" si="299"/>
        <v>33</v>
      </c>
      <c r="O4496" s="19" t="str">
        <f t="shared" si="300"/>
        <v>300k–600k</v>
      </c>
      <c r="P4496" s="19" t="str">
        <f t="shared" si="301"/>
        <v>26-35</v>
      </c>
    </row>
    <row r="4497" spans="1:16" x14ac:dyDescent="0.25">
      <c r="A4497">
        <v>4496</v>
      </c>
      <c r="B4497" t="s">
        <v>15</v>
      </c>
      <c r="C4497">
        <v>316663</v>
      </c>
      <c r="D4497" t="s">
        <v>18</v>
      </c>
      <c r="E4497" t="s">
        <v>16</v>
      </c>
      <c r="F4497" t="s">
        <v>12</v>
      </c>
      <c r="G4497" t="s">
        <v>13</v>
      </c>
      <c r="H4497" t="s">
        <v>12</v>
      </c>
      <c r="I4497">
        <v>32</v>
      </c>
      <c r="J4497" t="str" cm="1">
        <f t="array" ref="J4497">_xlfn.IFS(ISBLANK(C4497),"FALTANTE",ABS((C4497-$W$5)/$X$5)&gt;1.96,"ATÍPICO",ABS((C4497-$W$5)/$X$5)&lt;=1.96,"NO ATÍPICO")</f>
        <v>NO ATÍPICO</v>
      </c>
      <c r="K4497" t="str" cm="1">
        <f t="array" ref="K4497">_xlfn.IFS(ISBLANK(I4497),"FALTANTE",ABS((I4497-$W$8)/$X$8)&gt;1.92,"ATÍPICO",ABS((I4497-$W$8)/$X$8)&lt;=1.92,"NO ATÍPICO")</f>
        <v>NO ATÍPICO</v>
      </c>
      <c r="L4497">
        <f t="shared" si="298"/>
        <v>316663</v>
      </c>
      <c r="M4497" t="str">
        <f t="shared" si="298"/>
        <v>TRABAJADOR INDEPENDIENTE</v>
      </c>
      <c r="N4497">
        <f t="shared" si="299"/>
        <v>32</v>
      </c>
      <c r="O4497" s="19" t="str">
        <f t="shared" si="300"/>
        <v>300k–600k</v>
      </c>
      <c r="P4497" s="19" t="str">
        <f t="shared" si="301"/>
        <v>26-35</v>
      </c>
    </row>
    <row r="4498" spans="1:16" x14ac:dyDescent="0.25">
      <c r="A4498">
        <v>4497</v>
      </c>
      <c r="B4498" t="s">
        <v>15</v>
      </c>
      <c r="C4498">
        <v>779424.25</v>
      </c>
      <c r="D4498" t="s">
        <v>10</v>
      </c>
      <c r="E4498" t="s">
        <v>11</v>
      </c>
      <c r="F4498" t="s">
        <v>12</v>
      </c>
      <c r="G4498" t="s">
        <v>13</v>
      </c>
      <c r="H4498" t="s">
        <v>13</v>
      </c>
      <c r="I4498">
        <v>28</v>
      </c>
      <c r="J4498" t="str" cm="1">
        <f t="array" ref="J4498">_xlfn.IFS(ISBLANK(C4498),"FALTANTE",ABS((C4498-$W$5)/$X$5)&gt;1.96,"ATÍPICO",ABS((C4498-$W$5)/$X$5)&lt;=1.96,"NO ATÍPICO")</f>
        <v>NO ATÍPICO</v>
      </c>
      <c r="K4498" t="str" cm="1">
        <f t="array" ref="K4498">_xlfn.IFS(ISBLANK(I4498),"FALTANTE",ABS((I4498-$W$8)/$X$8)&gt;1.92,"ATÍPICO",ABS((I4498-$W$8)/$X$8)&lt;=1.92,"NO ATÍPICO")</f>
        <v>NO ATÍPICO</v>
      </c>
      <c r="L4498">
        <f t="shared" si="298"/>
        <v>779424.25</v>
      </c>
      <c r="M4498" t="str">
        <f t="shared" si="298"/>
        <v>ASALARIADO</v>
      </c>
      <c r="N4498">
        <f t="shared" si="299"/>
        <v>28</v>
      </c>
      <c r="O4498" s="19" t="str">
        <f t="shared" si="300"/>
        <v>600k–900k</v>
      </c>
      <c r="P4498" s="19" t="str">
        <f t="shared" si="301"/>
        <v>26-35</v>
      </c>
    </row>
    <row r="4499" spans="1:16" x14ac:dyDescent="0.25">
      <c r="A4499">
        <v>4498</v>
      </c>
      <c r="B4499" t="s">
        <v>9</v>
      </c>
      <c r="C4499">
        <v>535842.93000000005</v>
      </c>
      <c r="D4499" t="s">
        <v>10</v>
      </c>
      <c r="E4499" t="s">
        <v>16</v>
      </c>
      <c r="F4499" t="s">
        <v>12</v>
      </c>
      <c r="G4499" t="s">
        <v>13</v>
      </c>
      <c r="H4499" t="s">
        <v>13</v>
      </c>
      <c r="I4499">
        <v>36</v>
      </c>
      <c r="J4499" t="str" cm="1">
        <f t="array" ref="J4499">_xlfn.IFS(ISBLANK(C4499),"FALTANTE",ABS((C4499-$W$5)/$X$5)&gt;1.96,"ATÍPICO",ABS((C4499-$W$5)/$X$5)&lt;=1.96,"NO ATÍPICO")</f>
        <v>NO ATÍPICO</v>
      </c>
      <c r="K4499" t="str" cm="1">
        <f t="array" ref="K4499">_xlfn.IFS(ISBLANK(I4499),"FALTANTE",ABS((I4499-$W$8)/$X$8)&gt;1.92,"ATÍPICO",ABS((I4499-$W$8)/$X$8)&lt;=1.92,"NO ATÍPICO")</f>
        <v>NO ATÍPICO</v>
      </c>
      <c r="L4499">
        <f t="shared" si="298"/>
        <v>535842.93000000005</v>
      </c>
      <c r="M4499" t="str">
        <f t="shared" si="298"/>
        <v>ASALARIADO</v>
      </c>
      <c r="N4499">
        <f t="shared" si="299"/>
        <v>36</v>
      </c>
      <c r="O4499" s="19" t="str">
        <f t="shared" si="300"/>
        <v>300k–600k</v>
      </c>
      <c r="P4499" s="19" t="str">
        <f t="shared" si="301"/>
        <v>36-45</v>
      </c>
    </row>
    <row r="4500" spans="1:16" x14ac:dyDescent="0.25">
      <c r="A4500">
        <v>4499</v>
      </c>
      <c r="B4500" t="s">
        <v>15</v>
      </c>
      <c r="C4500">
        <v>400000</v>
      </c>
      <c r="D4500" t="s">
        <v>10</v>
      </c>
      <c r="E4500" t="s">
        <v>16</v>
      </c>
      <c r="F4500" t="s">
        <v>12</v>
      </c>
      <c r="G4500" t="s">
        <v>13</v>
      </c>
      <c r="H4500" t="s">
        <v>13</v>
      </c>
      <c r="I4500">
        <v>42</v>
      </c>
      <c r="J4500" t="str" cm="1">
        <f t="array" ref="J4500">_xlfn.IFS(ISBLANK(C4500),"FALTANTE",ABS((C4500-$W$5)/$X$5)&gt;1.96,"ATÍPICO",ABS((C4500-$W$5)/$X$5)&lt;=1.96,"NO ATÍPICO")</f>
        <v>NO ATÍPICO</v>
      </c>
      <c r="K4500" t="str" cm="1">
        <f t="array" ref="K4500">_xlfn.IFS(ISBLANK(I4500),"FALTANTE",ABS((I4500-$W$8)/$X$8)&gt;1.92,"ATÍPICO",ABS((I4500-$W$8)/$X$8)&lt;=1.92,"NO ATÍPICO")</f>
        <v>NO ATÍPICO</v>
      </c>
      <c r="L4500">
        <f t="shared" si="298"/>
        <v>400000</v>
      </c>
      <c r="M4500" t="str">
        <f t="shared" si="298"/>
        <v>ASALARIADO</v>
      </c>
      <c r="N4500">
        <f t="shared" si="299"/>
        <v>42</v>
      </c>
      <c r="O4500" s="19" t="str">
        <f t="shared" si="300"/>
        <v>300k–600k</v>
      </c>
      <c r="P4500" s="19" t="str">
        <f t="shared" si="301"/>
        <v>36-45</v>
      </c>
    </row>
    <row r="4501" spans="1:16" x14ac:dyDescent="0.25">
      <c r="A4501">
        <v>4500</v>
      </c>
      <c r="B4501" t="s">
        <v>15</v>
      </c>
      <c r="C4501">
        <v>639148</v>
      </c>
      <c r="D4501" t="s">
        <v>18</v>
      </c>
      <c r="E4501" t="s">
        <v>16</v>
      </c>
      <c r="F4501" t="s">
        <v>12</v>
      </c>
      <c r="G4501" t="s">
        <v>13</v>
      </c>
      <c r="H4501" t="s">
        <v>13</v>
      </c>
      <c r="I4501">
        <v>56</v>
      </c>
      <c r="J4501" t="str" cm="1">
        <f t="array" ref="J4501">_xlfn.IFS(ISBLANK(C4501),"FALTANTE",ABS((C4501-$W$5)/$X$5)&gt;1.96,"ATÍPICO",ABS((C4501-$W$5)/$X$5)&lt;=1.96,"NO ATÍPICO")</f>
        <v>NO ATÍPICO</v>
      </c>
      <c r="K4501" t="str" cm="1">
        <f t="array" ref="K4501">_xlfn.IFS(ISBLANK(I4501),"FALTANTE",ABS((I4501-$W$8)/$X$8)&gt;1.92,"ATÍPICO",ABS((I4501-$W$8)/$X$8)&lt;=1.92,"NO ATÍPICO")</f>
        <v>NO ATÍPICO</v>
      </c>
      <c r="L4501">
        <f t="shared" si="298"/>
        <v>639148</v>
      </c>
      <c r="M4501" t="str">
        <f t="shared" si="298"/>
        <v>TRABAJADOR INDEPENDIENTE</v>
      </c>
      <c r="N4501">
        <f t="shared" si="299"/>
        <v>56</v>
      </c>
      <c r="O4501" s="19" t="str">
        <f t="shared" si="300"/>
        <v>600k–900k</v>
      </c>
      <c r="P4501" s="19" t="str">
        <f t="shared" si="301"/>
        <v>56+</v>
      </c>
    </row>
    <row r="4502" spans="1:16" x14ac:dyDescent="0.25">
      <c r="A4502">
        <v>4501</v>
      </c>
      <c r="B4502" t="s">
        <v>15</v>
      </c>
      <c r="C4502">
        <v>404459</v>
      </c>
      <c r="D4502" t="s">
        <v>18</v>
      </c>
      <c r="E4502" t="s">
        <v>16</v>
      </c>
      <c r="F4502" t="s">
        <v>12</v>
      </c>
      <c r="G4502" t="s">
        <v>13</v>
      </c>
      <c r="H4502" t="s">
        <v>12</v>
      </c>
      <c r="I4502">
        <v>29</v>
      </c>
      <c r="J4502" t="str" cm="1">
        <f t="array" ref="J4502">_xlfn.IFS(ISBLANK(C4502),"FALTANTE",ABS((C4502-$W$5)/$X$5)&gt;1.96,"ATÍPICO",ABS((C4502-$W$5)/$X$5)&lt;=1.96,"NO ATÍPICO")</f>
        <v>NO ATÍPICO</v>
      </c>
      <c r="K4502" t="str" cm="1">
        <f t="array" ref="K4502">_xlfn.IFS(ISBLANK(I4502),"FALTANTE",ABS((I4502-$W$8)/$X$8)&gt;1.92,"ATÍPICO",ABS((I4502-$W$8)/$X$8)&lt;=1.92,"NO ATÍPICO")</f>
        <v>NO ATÍPICO</v>
      </c>
      <c r="L4502">
        <f t="shared" si="298"/>
        <v>404459</v>
      </c>
      <c r="M4502" t="str">
        <f t="shared" si="298"/>
        <v>TRABAJADOR INDEPENDIENTE</v>
      </c>
      <c r="N4502">
        <f t="shared" si="299"/>
        <v>29</v>
      </c>
      <c r="O4502" s="19" t="str">
        <f t="shared" si="300"/>
        <v>300k–600k</v>
      </c>
      <c r="P4502" s="19" t="str">
        <f t="shared" si="301"/>
        <v>26-35</v>
      </c>
    </row>
    <row r="4503" spans="1:16" x14ac:dyDescent="0.25">
      <c r="A4503">
        <v>4502</v>
      </c>
      <c r="B4503" t="s">
        <v>15</v>
      </c>
      <c r="C4503">
        <v>333320</v>
      </c>
      <c r="D4503" t="s">
        <v>10</v>
      </c>
      <c r="E4503" t="s">
        <v>16</v>
      </c>
      <c r="F4503" t="s">
        <v>12</v>
      </c>
      <c r="G4503" t="s">
        <v>13</v>
      </c>
      <c r="H4503" t="s">
        <v>13</v>
      </c>
      <c r="I4503">
        <v>20</v>
      </c>
      <c r="J4503" t="str" cm="1">
        <f t="array" ref="J4503">_xlfn.IFS(ISBLANK(C4503),"FALTANTE",ABS((C4503-$W$5)/$X$5)&gt;1.96,"ATÍPICO",ABS((C4503-$W$5)/$X$5)&lt;=1.96,"NO ATÍPICO")</f>
        <v>NO ATÍPICO</v>
      </c>
      <c r="K4503" t="str" cm="1">
        <f t="array" ref="K4503">_xlfn.IFS(ISBLANK(I4503),"FALTANTE",ABS((I4503-$W$8)/$X$8)&gt;1.92,"ATÍPICO",ABS((I4503-$W$8)/$X$8)&lt;=1.92,"NO ATÍPICO")</f>
        <v>NO ATÍPICO</v>
      </c>
      <c r="L4503">
        <f t="shared" si="298"/>
        <v>333320</v>
      </c>
      <c r="M4503" t="str">
        <f t="shared" si="298"/>
        <v>ASALARIADO</v>
      </c>
      <c r="N4503">
        <f t="shared" si="299"/>
        <v>20</v>
      </c>
      <c r="O4503" s="19" t="str">
        <f t="shared" si="300"/>
        <v>300k–600k</v>
      </c>
      <c r="P4503" s="19" t="str">
        <f t="shared" si="301"/>
        <v>18-25</v>
      </c>
    </row>
    <row r="4504" spans="1:16" x14ac:dyDescent="0.25">
      <c r="A4504">
        <v>4503</v>
      </c>
      <c r="B4504" t="s">
        <v>9</v>
      </c>
      <c r="C4504">
        <v>452198.21</v>
      </c>
      <c r="D4504" t="s">
        <v>10</v>
      </c>
      <c r="E4504" t="s">
        <v>16</v>
      </c>
      <c r="F4504" t="s">
        <v>12</v>
      </c>
      <c r="G4504" t="s">
        <v>13</v>
      </c>
      <c r="H4504" t="s">
        <v>13</v>
      </c>
      <c r="I4504">
        <v>31</v>
      </c>
      <c r="J4504" t="str" cm="1">
        <f t="array" ref="J4504">_xlfn.IFS(ISBLANK(C4504),"FALTANTE",ABS((C4504-$W$5)/$X$5)&gt;1.96,"ATÍPICO",ABS((C4504-$W$5)/$X$5)&lt;=1.96,"NO ATÍPICO")</f>
        <v>NO ATÍPICO</v>
      </c>
      <c r="K4504" t="str" cm="1">
        <f t="array" ref="K4504">_xlfn.IFS(ISBLANK(I4504),"FALTANTE",ABS((I4504-$W$8)/$X$8)&gt;1.92,"ATÍPICO",ABS((I4504-$W$8)/$X$8)&lt;=1.92,"NO ATÍPICO")</f>
        <v>NO ATÍPICO</v>
      </c>
      <c r="L4504">
        <f t="shared" si="298"/>
        <v>452198.21</v>
      </c>
      <c r="M4504" t="str">
        <f t="shared" si="298"/>
        <v>ASALARIADO</v>
      </c>
      <c r="N4504">
        <f t="shared" si="299"/>
        <v>31</v>
      </c>
      <c r="O4504" s="19" t="str">
        <f t="shared" si="300"/>
        <v>300k–600k</v>
      </c>
      <c r="P4504" s="19" t="str">
        <f t="shared" si="301"/>
        <v>26-35</v>
      </c>
    </row>
    <row r="4505" spans="1:16" x14ac:dyDescent="0.25">
      <c r="A4505">
        <v>4504</v>
      </c>
      <c r="B4505" t="s">
        <v>9</v>
      </c>
      <c r="C4505">
        <v>1260076.52</v>
      </c>
      <c r="D4505" t="s">
        <v>10</v>
      </c>
      <c r="E4505" t="s">
        <v>16</v>
      </c>
      <c r="F4505" t="s">
        <v>12</v>
      </c>
      <c r="G4505" t="s">
        <v>13</v>
      </c>
      <c r="H4505" t="s">
        <v>13</v>
      </c>
      <c r="I4505">
        <v>30</v>
      </c>
      <c r="J4505" t="str" cm="1">
        <f t="array" ref="J4505">_xlfn.IFS(ISBLANK(C4505),"FALTANTE",ABS((C4505-$W$5)/$X$5)&gt;1.96,"ATÍPICO",ABS((C4505-$W$5)/$X$5)&lt;=1.96,"NO ATÍPICO")</f>
        <v>NO ATÍPICO</v>
      </c>
      <c r="K4505" t="str" cm="1">
        <f t="array" ref="K4505">_xlfn.IFS(ISBLANK(I4505),"FALTANTE",ABS((I4505-$W$8)/$X$8)&gt;1.92,"ATÍPICO",ABS((I4505-$W$8)/$X$8)&lt;=1.92,"NO ATÍPICO")</f>
        <v>NO ATÍPICO</v>
      </c>
      <c r="L4505">
        <f t="shared" si="298"/>
        <v>1260076.52</v>
      </c>
      <c r="M4505" t="str">
        <f t="shared" si="298"/>
        <v>ASALARIADO</v>
      </c>
      <c r="N4505">
        <f t="shared" si="299"/>
        <v>30</v>
      </c>
      <c r="O4505" s="19" t="str">
        <f t="shared" si="300"/>
        <v>1200k+</v>
      </c>
      <c r="P4505" s="19" t="str">
        <f t="shared" si="301"/>
        <v>26-35</v>
      </c>
    </row>
    <row r="4506" spans="1:16" x14ac:dyDescent="0.25">
      <c r="A4506">
        <v>4505</v>
      </c>
      <c r="B4506" t="s">
        <v>9</v>
      </c>
      <c r="C4506">
        <v>1045500</v>
      </c>
      <c r="D4506" t="s">
        <v>10</v>
      </c>
      <c r="E4506" t="s">
        <v>16</v>
      </c>
      <c r="F4506" t="s">
        <v>12</v>
      </c>
      <c r="G4506" t="s">
        <v>13</v>
      </c>
      <c r="H4506" t="s">
        <v>13</v>
      </c>
      <c r="I4506">
        <v>39</v>
      </c>
      <c r="J4506" t="str" cm="1">
        <f t="array" ref="J4506">_xlfn.IFS(ISBLANK(C4506),"FALTANTE",ABS((C4506-$W$5)/$X$5)&gt;1.96,"ATÍPICO",ABS((C4506-$W$5)/$X$5)&lt;=1.96,"NO ATÍPICO")</f>
        <v>NO ATÍPICO</v>
      </c>
      <c r="K4506" t="str" cm="1">
        <f t="array" ref="K4506">_xlfn.IFS(ISBLANK(I4506),"FALTANTE",ABS((I4506-$W$8)/$X$8)&gt;1.92,"ATÍPICO",ABS((I4506-$W$8)/$X$8)&lt;=1.92,"NO ATÍPICO")</f>
        <v>NO ATÍPICO</v>
      </c>
      <c r="L4506">
        <f t="shared" si="298"/>
        <v>1045500</v>
      </c>
      <c r="M4506" t="str">
        <f t="shared" si="298"/>
        <v>ASALARIADO</v>
      </c>
      <c r="N4506">
        <f t="shared" si="299"/>
        <v>39</v>
      </c>
      <c r="O4506" s="19" t="str">
        <f t="shared" si="300"/>
        <v>900k–1200k</v>
      </c>
      <c r="P4506" s="19" t="str">
        <f t="shared" si="301"/>
        <v>36-45</v>
      </c>
    </row>
    <row r="4507" spans="1:16" x14ac:dyDescent="0.25">
      <c r="A4507">
        <v>4506</v>
      </c>
      <c r="B4507" t="s">
        <v>15</v>
      </c>
      <c r="C4507">
        <v>1084830.8400000001</v>
      </c>
      <c r="D4507" t="s">
        <v>10</v>
      </c>
      <c r="E4507" t="s">
        <v>11</v>
      </c>
      <c r="F4507" t="s">
        <v>12</v>
      </c>
      <c r="G4507" t="s">
        <v>13</v>
      </c>
      <c r="H4507" t="s">
        <v>13</v>
      </c>
      <c r="I4507">
        <v>36</v>
      </c>
      <c r="J4507" t="str" cm="1">
        <f t="array" ref="J4507">_xlfn.IFS(ISBLANK(C4507),"FALTANTE",ABS((C4507-$W$5)/$X$5)&gt;1.96,"ATÍPICO",ABS((C4507-$W$5)/$X$5)&lt;=1.96,"NO ATÍPICO")</f>
        <v>NO ATÍPICO</v>
      </c>
      <c r="K4507" t="str" cm="1">
        <f t="array" ref="K4507">_xlfn.IFS(ISBLANK(I4507),"FALTANTE",ABS((I4507-$W$8)/$X$8)&gt;1.92,"ATÍPICO",ABS((I4507-$W$8)/$X$8)&lt;=1.92,"NO ATÍPICO")</f>
        <v>NO ATÍPICO</v>
      </c>
      <c r="L4507">
        <f t="shared" si="298"/>
        <v>1084830.8400000001</v>
      </c>
      <c r="M4507" t="str">
        <f t="shared" si="298"/>
        <v>ASALARIADO</v>
      </c>
      <c r="N4507">
        <f t="shared" si="299"/>
        <v>36</v>
      </c>
      <c r="O4507" s="19" t="str">
        <f t="shared" si="300"/>
        <v>900k–1200k</v>
      </c>
      <c r="P4507" s="19" t="str">
        <f t="shared" si="301"/>
        <v>36-45</v>
      </c>
    </row>
    <row r="4508" spans="1:16" x14ac:dyDescent="0.25">
      <c r="A4508">
        <v>4507</v>
      </c>
      <c r="B4508" t="s">
        <v>9</v>
      </c>
      <c r="C4508">
        <v>322474</v>
      </c>
      <c r="D4508" t="s">
        <v>17</v>
      </c>
      <c r="E4508" t="s">
        <v>16</v>
      </c>
      <c r="F4508" t="s">
        <v>12</v>
      </c>
      <c r="G4508" t="s">
        <v>13</v>
      </c>
      <c r="H4508" t="s">
        <v>13</v>
      </c>
      <c r="I4508">
        <v>64</v>
      </c>
      <c r="J4508" t="str" cm="1">
        <f t="array" ref="J4508">_xlfn.IFS(ISBLANK(C4508),"FALTANTE",ABS((C4508-$W$5)/$X$5)&gt;1.96,"ATÍPICO",ABS((C4508-$W$5)/$X$5)&lt;=1.96,"NO ATÍPICO")</f>
        <v>NO ATÍPICO</v>
      </c>
      <c r="K4508" t="str" cm="1">
        <f t="array" ref="K4508">_xlfn.IFS(ISBLANK(I4508),"FALTANTE",ABS((I4508-$W$8)/$X$8)&gt;1.92,"ATÍPICO",ABS((I4508-$W$8)/$X$8)&lt;=1.92,"NO ATÍPICO")</f>
        <v>NO ATÍPICO</v>
      </c>
      <c r="L4508">
        <f t="shared" si="298"/>
        <v>322474</v>
      </c>
      <c r="M4508" t="str">
        <f t="shared" si="298"/>
        <v>ASEGURADO VOLUNTARIO</v>
      </c>
      <c r="N4508">
        <f t="shared" si="299"/>
        <v>64</v>
      </c>
      <c r="O4508" s="19" t="str">
        <f t="shared" si="300"/>
        <v>300k–600k</v>
      </c>
      <c r="P4508" s="19" t="str">
        <f t="shared" si="301"/>
        <v>56+</v>
      </c>
    </row>
    <row r="4509" spans="1:16" x14ac:dyDescent="0.25">
      <c r="A4509">
        <v>4508</v>
      </c>
      <c r="B4509" t="s">
        <v>9</v>
      </c>
      <c r="C4509">
        <v>400000</v>
      </c>
      <c r="D4509" t="s">
        <v>10</v>
      </c>
      <c r="E4509" t="s">
        <v>16</v>
      </c>
      <c r="F4509" t="s">
        <v>12</v>
      </c>
      <c r="G4509" t="s">
        <v>13</v>
      </c>
      <c r="H4509" t="s">
        <v>12</v>
      </c>
      <c r="I4509">
        <v>46</v>
      </c>
      <c r="J4509" t="str" cm="1">
        <f t="array" ref="J4509">_xlfn.IFS(ISBLANK(C4509),"FALTANTE",ABS((C4509-$W$5)/$X$5)&gt;1.96,"ATÍPICO",ABS((C4509-$W$5)/$X$5)&lt;=1.96,"NO ATÍPICO")</f>
        <v>NO ATÍPICO</v>
      </c>
      <c r="K4509" t="str" cm="1">
        <f t="array" ref="K4509">_xlfn.IFS(ISBLANK(I4509),"FALTANTE",ABS((I4509-$W$8)/$X$8)&gt;1.92,"ATÍPICO",ABS((I4509-$W$8)/$X$8)&lt;=1.92,"NO ATÍPICO")</f>
        <v>NO ATÍPICO</v>
      </c>
      <c r="L4509">
        <f t="shared" si="298"/>
        <v>400000</v>
      </c>
      <c r="M4509" t="str">
        <f t="shared" si="298"/>
        <v>ASALARIADO</v>
      </c>
      <c r="N4509">
        <f t="shared" si="299"/>
        <v>46</v>
      </c>
      <c r="O4509" s="19" t="str">
        <f t="shared" si="300"/>
        <v>300k–600k</v>
      </c>
      <c r="P4509" s="19" t="str">
        <f t="shared" si="301"/>
        <v>46-55</v>
      </c>
    </row>
    <row r="4510" spans="1:16" x14ac:dyDescent="0.25">
      <c r="A4510">
        <v>4509</v>
      </c>
      <c r="B4510" t="s">
        <v>9</v>
      </c>
      <c r="C4510">
        <v>549600</v>
      </c>
      <c r="D4510" t="s">
        <v>18</v>
      </c>
      <c r="E4510" t="s">
        <v>16</v>
      </c>
      <c r="F4510" t="s">
        <v>12</v>
      </c>
      <c r="G4510" t="s">
        <v>13</v>
      </c>
      <c r="H4510" t="s">
        <v>13</v>
      </c>
      <c r="I4510">
        <v>57</v>
      </c>
      <c r="J4510" t="str" cm="1">
        <f t="array" ref="J4510">_xlfn.IFS(ISBLANK(C4510),"FALTANTE",ABS((C4510-$W$5)/$X$5)&gt;1.96,"ATÍPICO",ABS((C4510-$W$5)/$X$5)&lt;=1.96,"NO ATÍPICO")</f>
        <v>NO ATÍPICO</v>
      </c>
      <c r="K4510" t="str" cm="1">
        <f t="array" ref="K4510">_xlfn.IFS(ISBLANK(I4510),"FALTANTE",ABS((I4510-$W$8)/$X$8)&gt;1.92,"ATÍPICO",ABS((I4510-$W$8)/$X$8)&lt;=1.92,"NO ATÍPICO")</f>
        <v>NO ATÍPICO</v>
      </c>
      <c r="L4510">
        <f t="shared" si="298"/>
        <v>549600</v>
      </c>
      <c r="M4510" t="str">
        <f t="shared" si="298"/>
        <v>TRABAJADOR INDEPENDIENTE</v>
      </c>
      <c r="N4510">
        <f t="shared" si="299"/>
        <v>57</v>
      </c>
      <c r="O4510" s="19" t="str">
        <f t="shared" si="300"/>
        <v>300k–600k</v>
      </c>
      <c r="P4510" s="19" t="str">
        <f t="shared" si="301"/>
        <v>56+</v>
      </c>
    </row>
    <row r="4511" spans="1:16" x14ac:dyDescent="0.25">
      <c r="A4511">
        <v>4510</v>
      </c>
      <c r="B4511" t="s">
        <v>15</v>
      </c>
      <c r="C4511">
        <v>280000</v>
      </c>
      <c r="D4511" t="s">
        <v>10</v>
      </c>
      <c r="E4511" t="s">
        <v>16</v>
      </c>
      <c r="F4511" t="s">
        <v>12</v>
      </c>
      <c r="G4511" t="s">
        <v>13</v>
      </c>
      <c r="H4511" t="s">
        <v>12</v>
      </c>
      <c r="I4511">
        <v>48</v>
      </c>
      <c r="J4511" t="str" cm="1">
        <f t="array" ref="J4511">_xlfn.IFS(ISBLANK(C4511),"FALTANTE",ABS((C4511-$W$5)/$X$5)&gt;1.96,"ATÍPICO",ABS((C4511-$W$5)/$X$5)&lt;=1.96,"NO ATÍPICO")</f>
        <v>NO ATÍPICO</v>
      </c>
      <c r="K4511" t="str" cm="1">
        <f t="array" ref="K4511">_xlfn.IFS(ISBLANK(I4511),"FALTANTE",ABS((I4511-$W$8)/$X$8)&gt;1.92,"ATÍPICO",ABS((I4511-$W$8)/$X$8)&lt;=1.92,"NO ATÍPICO")</f>
        <v>NO ATÍPICO</v>
      </c>
      <c r="L4511">
        <f t="shared" si="298"/>
        <v>280000</v>
      </c>
      <c r="M4511" t="str">
        <f t="shared" si="298"/>
        <v>ASALARIADO</v>
      </c>
      <c r="N4511">
        <f t="shared" si="299"/>
        <v>48</v>
      </c>
      <c r="O4511" s="19" t="str">
        <f t="shared" si="300"/>
        <v>0–300k</v>
      </c>
      <c r="P4511" s="19" t="str">
        <f t="shared" si="301"/>
        <v>46-55</v>
      </c>
    </row>
    <row r="4512" spans="1:16" x14ac:dyDescent="0.25">
      <c r="A4512">
        <v>4511</v>
      </c>
      <c r="B4512" t="s">
        <v>15</v>
      </c>
      <c r="C4512">
        <v>114474</v>
      </c>
      <c r="D4512" t="s">
        <v>10</v>
      </c>
      <c r="E4512" t="s">
        <v>16</v>
      </c>
      <c r="F4512" t="s">
        <v>12</v>
      </c>
      <c r="G4512" t="s">
        <v>13</v>
      </c>
      <c r="H4512" t="s">
        <v>13</v>
      </c>
      <c r="I4512">
        <v>55</v>
      </c>
      <c r="J4512" t="str" cm="1">
        <f t="array" ref="J4512">_xlfn.IFS(ISBLANK(C4512),"FALTANTE",ABS((C4512-$W$5)/$X$5)&gt;1.96,"ATÍPICO",ABS((C4512-$W$5)/$X$5)&lt;=1.96,"NO ATÍPICO")</f>
        <v>NO ATÍPICO</v>
      </c>
      <c r="K4512" t="str" cm="1">
        <f t="array" ref="K4512">_xlfn.IFS(ISBLANK(I4512),"FALTANTE",ABS((I4512-$W$8)/$X$8)&gt;1.92,"ATÍPICO",ABS((I4512-$W$8)/$X$8)&lt;=1.92,"NO ATÍPICO")</f>
        <v>NO ATÍPICO</v>
      </c>
      <c r="L4512">
        <f t="shared" si="298"/>
        <v>114474</v>
      </c>
      <c r="M4512" t="str">
        <f t="shared" si="298"/>
        <v>ASALARIADO</v>
      </c>
      <c r="N4512">
        <f t="shared" si="299"/>
        <v>55</v>
      </c>
      <c r="O4512" s="19" t="str">
        <f t="shared" si="300"/>
        <v>0–300k</v>
      </c>
      <c r="P4512" s="19" t="str">
        <f t="shared" si="301"/>
        <v>46-55</v>
      </c>
    </row>
    <row r="4513" spans="1:16" x14ac:dyDescent="0.25">
      <c r="A4513">
        <v>4512</v>
      </c>
      <c r="B4513" t="s">
        <v>15</v>
      </c>
      <c r="C4513">
        <v>321509.09000000003</v>
      </c>
      <c r="D4513" t="s">
        <v>10</v>
      </c>
      <c r="E4513" t="s">
        <v>16</v>
      </c>
      <c r="F4513" t="s">
        <v>12</v>
      </c>
      <c r="G4513" t="s">
        <v>13</v>
      </c>
      <c r="H4513" t="s">
        <v>13</v>
      </c>
      <c r="I4513">
        <v>37</v>
      </c>
      <c r="J4513" t="str" cm="1">
        <f t="array" ref="J4513">_xlfn.IFS(ISBLANK(C4513),"FALTANTE",ABS((C4513-$W$5)/$X$5)&gt;1.96,"ATÍPICO",ABS((C4513-$W$5)/$X$5)&lt;=1.96,"NO ATÍPICO")</f>
        <v>NO ATÍPICO</v>
      </c>
      <c r="K4513" t="str" cm="1">
        <f t="array" ref="K4513">_xlfn.IFS(ISBLANK(I4513),"FALTANTE",ABS((I4513-$W$8)/$X$8)&gt;1.92,"ATÍPICO",ABS((I4513-$W$8)/$X$8)&lt;=1.92,"NO ATÍPICO")</f>
        <v>NO ATÍPICO</v>
      </c>
      <c r="L4513">
        <f t="shared" si="298"/>
        <v>321509.09000000003</v>
      </c>
      <c r="M4513" t="str">
        <f t="shared" si="298"/>
        <v>ASALARIADO</v>
      </c>
      <c r="N4513">
        <f t="shared" si="299"/>
        <v>37</v>
      </c>
      <c r="O4513" s="19" t="str">
        <f t="shared" si="300"/>
        <v>300k–600k</v>
      </c>
      <c r="P4513" s="19" t="str">
        <f t="shared" si="301"/>
        <v>36-45</v>
      </c>
    </row>
    <row r="4514" spans="1:16" x14ac:dyDescent="0.25">
      <c r="A4514">
        <v>4513</v>
      </c>
      <c r="B4514" t="s">
        <v>9</v>
      </c>
      <c r="C4514">
        <v>438418.45</v>
      </c>
      <c r="D4514" t="s">
        <v>10</v>
      </c>
      <c r="E4514" t="s">
        <v>16</v>
      </c>
      <c r="F4514" t="s">
        <v>12</v>
      </c>
      <c r="G4514" t="s">
        <v>13</v>
      </c>
      <c r="H4514" t="s">
        <v>13</v>
      </c>
      <c r="I4514">
        <v>43</v>
      </c>
      <c r="J4514" t="str" cm="1">
        <f t="array" ref="J4514">_xlfn.IFS(ISBLANK(C4514),"FALTANTE",ABS((C4514-$W$5)/$X$5)&gt;1.96,"ATÍPICO",ABS((C4514-$W$5)/$X$5)&lt;=1.96,"NO ATÍPICO")</f>
        <v>NO ATÍPICO</v>
      </c>
      <c r="K4514" t="str" cm="1">
        <f t="array" ref="K4514">_xlfn.IFS(ISBLANK(I4514),"FALTANTE",ABS((I4514-$W$8)/$X$8)&gt;1.92,"ATÍPICO",ABS((I4514-$W$8)/$X$8)&lt;=1.92,"NO ATÍPICO")</f>
        <v>NO ATÍPICO</v>
      </c>
      <c r="L4514">
        <f t="shared" si="298"/>
        <v>438418.45</v>
      </c>
      <c r="M4514" t="str">
        <f t="shared" si="298"/>
        <v>ASALARIADO</v>
      </c>
      <c r="N4514">
        <f t="shared" si="299"/>
        <v>43</v>
      </c>
      <c r="O4514" s="19" t="str">
        <f t="shared" si="300"/>
        <v>300k–600k</v>
      </c>
      <c r="P4514" s="19" t="str">
        <f t="shared" si="301"/>
        <v>36-45</v>
      </c>
    </row>
    <row r="4515" spans="1:16" x14ac:dyDescent="0.25">
      <c r="A4515">
        <v>4514</v>
      </c>
      <c r="B4515" t="s">
        <v>9</v>
      </c>
      <c r="C4515">
        <v>617575</v>
      </c>
      <c r="D4515" t="s">
        <v>18</v>
      </c>
      <c r="E4515" t="s">
        <v>16</v>
      </c>
      <c r="F4515" t="s">
        <v>12</v>
      </c>
      <c r="G4515" t="s">
        <v>13</v>
      </c>
      <c r="H4515" t="s">
        <v>12</v>
      </c>
      <c r="I4515">
        <v>45</v>
      </c>
      <c r="J4515" t="str" cm="1">
        <f t="array" ref="J4515">_xlfn.IFS(ISBLANK(C4515),"FALTANTE",ABS((C4515-$W$5)/$X$5)&gt;1.96,"ATÍPICO",ABS((C4515-$W$5)/$X$5)&lt;=1.96,"NO ATÍPICO")</f>
        <v>NO ATÍPICO</v>
      </c>
      <c r="K4515" t="str" cm="1">
        <f t="array" ref="K4515">_xlfn.IFS(ISBLANK(I4515),"FALTANTE",ABS((I4515-$W$8)/$X$8)&gt;1.92,"ATÍPICO",ABS((I4515-$W$8)/$X$8)&lt;=1.92,"NO ATÍPICO")</f>
        <v>NO ATÍPICO</v>
      </c>
      <c r="L4515">
        <f t="shared" si="298"/>
        <v>617575</v>
      </c>
      <c r="M4515" t="str">
        <f t="shared" si="298"/>
        <v>TRABAJADOR INDEPENDIENTE</v>
      </c>
      <c r="N4515">
        <f t="shared" si="299"/>
        <v>45</v>
      </c>
      <c r="O4515" s="19" t="str">
        <f t="shared" si="300"/>
        <v>600k–900k</v>
      </c>
      <c r="P4515" s="19" t="str">
        <f t="shared" si="301"/>
        <v>36-45</v>
      </c>
    </row>
    <row r="4516" spans="1:16" x14ac:dyDescent="0.25">
      <c r="A4516">
        <v>4515</v>
      </c>
      <c r="B4516" t="s">
        <v>15</v>
      </c>
      <c r="C4516">
        <v>542628</v>
      </c>
      <c r="D4516" t="s">
        <v>18</v>
      </c>
      <c r="E4516" t="s">
        <v>16</v>
      </c>
      <c r="F4516" t="s">
        <v>12</v>
      </c>
      <c r="G4516" t="s">
        <v>13</v>
      </c>
      <c r="H4516" t="s">
        <v>13</v>
      </c>
      <c r="I4516">
        <v>55</v>
      </c>
      <c r="J4516" t="str" cm="1">
        <f t="array" ref="J4516">_xlfn.IFS(ISBLANK(C4516),"FALTANTE",ABS((C4516-$W$5)/$X$5)&gt;1.96,"ATÍPICO",ABS((C4516-$W$5)/$X$5)&lt;=1.96,"NO ATÍPICO")</f>
        <v>NO ATÍPICO</v>
      </c>
      <c r="K4516" t="str" cm="1">
        <f t="array" ref="K4516">_xlfn.IFS(ISBLANK(I4516),"FALTANTE",ABS((I4516-$W$8)/$X$8)&gt;1.92,"ATÍPICO",ABS((I4516-$W$8)/$X$8)&lt;=1.92,"NO ATÍPICO")</f>
        <v>NO ATÍPICO</v>
      </c>
      <c r="L4516">
        <f t="shared" si="298"/>
        <v>542628</v>
      </c>
      <c r="M4516" t="str">
        <f t="shared" si="298"/>
        <v>TRABAJADOR INDEPENDIENTE</v>
      </c>
      <c r="N4516">
        <f t="shared" si="299"/>
        <v>55</v>
      </c>
      <c r="O4516" s="19" t="str">
        <f t="shared" si="300"/>
        <v>300k–600k</v>
      </c>
      <c r="P4516" s="19" t="str">
        <f t="shared" si="301"/>
        <v>46-55</v>
      </c>
    </row>
    <row r="4517" spans="1:16" x14ac:dyDescent="0.25">
      <c r="A4517">
        <v>4516</v>
      </c>
      <c r="B4517" t="s">
        <v>9</v>
      </c>
      <c r="C4517">
        <v>319070.05</v>
      </c>
      <c r="D4517" t="s">
        <v>10</v>
      </c>
      <c r="E4517" t="s">
        <v>16</v>
      </c>
      <c r="F4517" t="s">
        <v>12</v>
      </c>
      <c r="G4517" t="s">
        <v>13</v>
      </c>
      <c r="H4517" t="s">
        <v>13</v>
      </c>
      <c r="I4517">
        <v>40</v>
      </c>
      <c r="J4517" t="str" cm="1">
        <f t="array" ref="J4517">_xlfn.IFS(ISBLANK(C4517),"FALTANTE",ABS((C4517-$W$5)/$X$5)&gt;1.96,"ATÍPICO",ABS((C4517-$W$5)/$X$5)&lt;=1.96,"NO ATÍPICO")</f>
        <v>NO ATÍPICO</v>
      </c>
      <c r="K4517" t="str" cm="1">
        <f t="array" ref="K4517">_xlfn.IFS(ISBLANK(I4517),"FALTANTE",ABS((I4517-$W$8)/$X$8)&gt;1.92,"ATÍPICO",ABS((I4517-$W$8)/$X$8)&lt;=1.92,"NO ATÍPICO")</f>
        <v>NO ATÍPICO</v>
      </c>
      <c r="L4517">
        <f t="shared" si="298"/>
        <v>319070.05</v>
      </c>
      <c r="M4517" t="str">
        <f t="shared" si="298"/>
        <v>ASALARIADO</v>
      </c>
      <c r="N4517">
        <f t="shared" si="299"/>
        <v>40</v>
      </c>
      <c r="O4517" s="19" t="str">
        <f t="shared" si="300"/>
        <v>300k–600k</v>
      </c>
      <c r="P4517" s="19" t="str">
        <f t="shared" si="301"/>
        <v>36-45</v>
      </c>
    </row>
    <row r="4518" spans="1:16" x14ac:dyDescent="0.25">
      <c r="A4518">
        <v>4517</v>
      </c>
      <c r="B4518" t="s">
        <v>9</v>
      </c>
      <c r="C4518">
        <v>440000</v>
      </c>
      <c r="D4518" t="s">
        <v>10</v>
      </c>
      <c r="E4518" t="s">
        <v>16</v>
      </c>
      <c r="F4518" t="s">
        <v>12</v>
      </c>
      <c r="G4518" t="s">
        <v>13</v>
      </c>
      <c r="H4518" t="s">
        <v>12</v>
      </c>
      <c r="I4518">
        <v>58</v>
      </c>
      <c r="J4518" t="str" cm="1">
        <f t="array" ref="J4518">_xlfn.IFS(ISBLANK(C4518),"FALTANTE",ABS((C4518-$W$5)/$X$5)&gt;1.96,"ATÍPICO",ABS((C4518-$W$5)/$X$5)&lt;=1.96,"NO ATÍPICO")</f>
        <v>NO ATÍPICO</v>
      </c>
      <c r="K4518" t="str" cm="1">
        <f t="array" ref="K4518">_xlfn.IFS(ISBLANK(I4518),"FALTANTE",ABS((I4518-$W$8)/$X$8)&gt;1.92,"ATÍPICO",ABS((I4518-$W$8)/$X$8)&lt;=1.92,"NO ATÍPICO")</f>
        <v>NO ATÍPICO</v>
      </c>
      <c r="L4518">
        <f t="shared" si="298"/>
        <v>440000</v>
      </c>
      <c r="M4518" t="str">
        <f t="shared" si="298"/>
        <v>ASALARIADO</v>
      </c>
      <c r="N4518">
        <f t="shared" si="299"/>
        <v>58</v>
      </c>
      <c r="O4518" s="19" t="str">
        <f t="shared" si="300"/>
        <v>300k–600k</v>
      </c>
      <c r="P4518" s="19" t="str">
        <f t="shared" si="301"/>
        <v>56+</v>
      </c>
    </row>
    <row r="4519" spans="1:16" x14ac:dyDescent="0.25">
      <c r="A4519">
        <v>4518</v>
      </c>
      <c r="B4519" t="s">
        <v>15</v>
      </c>
      <c r="C4519">
        <v>585136.5</v>
      </c>
      <c r="D4519" t="s">
        <v>10</v>
      </c>
      <c r="E4519" t="s">
        <v>11</v>
      </c>
      <c r="F4519" t="s">
        <v>12</v>
      </c>
      <c r="G4519" t="s">
        <v>13</v>
      </c>
      <c r="H4519" t="s">
        <v>13</v>
      </c>
      <c r="I4519">
        <v>43</v>
      </c>
      <c r="J4519" t="str" cm="1">
        <f t="array" ref="J4519">_xlfn.IFS(ISBLANK(C4519),"FALTANTE",ABS((C4519-$W$5)/$X$5)&gt;1.96,"ATÍPICO",ABS((C4519-$W$5)/$X$5)&lt;=1.96,"NO ATÍPICO")</f>
        <v>NO ATÍPICO</v>
      </c>
      <c r="K4519" t="str" cm="1">
        <f t="array" ref="K4519">_xlfn.IFS(ISBLANK(I4519),"FALTANTE",ABS((I4519-$W$8)/$X$8)&gt;1.92,"ATÍPICO",ABS((I4519-$W$8)/$X$8)&lt;=1.92,"NO ATÍPICO")</f>
        <v>NO ATÍPICO</v>
      </c>
      <c r="L4519">
        <f t="shared" si="298"/>
        <v>585136.5</v>
      </c>
      <c r="M4519" t="str">
        <f t="shared" si="298"/>
        <v>ASALARIADO</v>
      </c>
      <c r="N4519">
        <f t="shared" si="299"/>
        <v>43</v>
      </c>
      <c r="O4519" s="19" t="str">
        <f t="shared" si="300"/>
        <v>300k–600k</v>
      </c>
      <c r="P4519" s="19" t="str">
        <f t="shared" si="301"/>
        <v>36-45</v>
      </c>
    </row>
    <row r="4520" spans="1:16" x14ac:dyDescent="0.25">
      <c r="A4520">
        <v>4519</v>
      </c>
      <c r="B4520" t="s">
        <v>15</v>
      </c>
      <c r="C4520">
        <v>350000</v>
      </c>
      <c r="D4520" t="s">
        <v>10</v>
      </c>
      <c r="E4520" t="s">
        <v>16</v>
      </c>
      <c r="F4520" t="s">
        <v>12</v>
      </c>
      <c r="G4520" t="s">
        <v>13</v>
      </c>
      <c r="H4520" t="s">
        <v>12</v>
      </c>
      <c r="I4520">
        <v>36</v>
      </c>
      <c r="J4520" t="str" cm="1">
        <f t="array" ref="J4520">_xlfn.IFS(ISBLANK(C4520),"FALTANTE",ABS((C4520-$W$5)/$X$5)&gt;1.96,"ATÍPICO",ABS((C4520-$W$5)/$X$5)&lt;=1.96,"NO ATÍPICO")</f>
        <v>NO ATÍPICO</v>
      </c>
      <c r="K4520" t="str" cm="1">
        <f t="array" ref="K4520">_xlfn.IFS(ISBLANK(I4520),"FALTANTE",ABS((I4520-$W$8)/$X$8)&gt;1.92,"ATÍPICO",ABS((I4520-$W$8)/$X$8)&lt;=1.92,"NO ATÍPICO")</f>
        <v>NO ATÍPICO</v>
      </c>
      <c r="L4520">
        <f t="shared" si="298"/>
        <v>350000</v>
      </c>
      <c r="M4520" t="str">
        <f t="shared" si="298"/>
        <v>ASALARIADO</v>
      </c>
      <c r="N4520">
        <f t="shared" si="299"/>
        <v>36</v>
      </c>
      <c r="O4520" s="19" t="str">
        <f t="shared" si="300"/>
        <v>300k–600k</v>
      </c>
      <c r="P4520" s="19" t="str">
        <f t="shared" si="301"/>
        <v>36-45</v>
      </c>
    </row>
    <row r="4521" spans="1:16" x14ac:dyDescent="0.25">
      <c r="A4521">
        <v>4520</v>
      </c>
      <c r="B4521" t="s">
        <v>9</v>
      </c>
      <c r="C4521">
        <v>403293</v>
      </c>
      <c r="D4521" t="s">
        <v>18</v>
      </c>
      <c r="E4521" t="s">
        <v>16</v>
      </c>
      <c r="F4521" t="s">
        <v>12</v>
      </c>
      <c r="G4521" t="s">
        <v>13</v>
      </c>
      <c r="H4521" t="s">
        <v>12</v>
      </c>
      <c r="I4521">
        <v>62</v>
      </c>
      <c r="J4521" t="str" cm="1">
        <f t="array" ref="J4521">_xlfn.IFS(ISBLANK(C4521),"FALTANTE",ABS((C4521-$W$5)/$X$5)&gt;1.96,"ATÍPICO",ABS((C4521-$W$5)/$X$5)&lt;=1.96,"NO ATÍPICO")</f>
        <v>NO ATÍPICO</v>
      </c>
      <c r="K4521" t="str" cm="1">
        <f t="array" ref="K4521">_xlfn.IFS(ISBLANK(I4521),"FALTANTE",ABS((I4521-$W$8)/$X$8)&gt;1.92,"ATÍPICO",ABS((I4521-$W$8)/$X$8)&lt;=1.92,"NO ATÍPICO")</f>
        <v>NO ATÍPICO</v>
      </c>
      <c r="L4521">
        <f t="shared" si="298"/>
        <v>403293</v>
      </c>
      <c r="M4521" t="str">
        <f t="shared" si="298"/>
        <v>TRABAJADOR INDEPENDIENTE</v>
      </c>
      <c r="N4521">
        <f t="shared" si="299"/>
        <v>62</v>
      </c>
      <c r="O4521" s="19" t="str">
        <f t="shared" si="300"/>
        <v>300k–600k</v>
      </c>
      <c r="P4521" s="19" t="str">
        <f t="shared" si="301"/>
        <v>56+</v>
      </c>
    </row>
    <row r="4522" spans="1:16" x14ac:dyDescent="0.25">
      <c r="A4522">
        <v>4521</v>
      </c>
      <c r="B4522" t="s">
        <v>9</v>
      </c>
      <c r="C4522">
        <v>323500</v>
      </c>
      <c r="D4522" t="s">
        <v>10</v>
      </c>
      <c r="E4522" t="s">
        <v>16</v>
      </c>
      <c r="F4522" t="s">
        <v>12</v>
      </c>
      <c r="G4522" t="s">
        <v>13</v>
      </c>
      <c r="H4522" t="s">
        <v>13</v>
      </c>
      <c r="I4522">
        <v>37</v>
      </c>
      <c r="J4522" t="str" cm="1">
        <f t="array" ref="J4522">_xlfn.IFS(ISBLANK(C4522),"FALTANTE",ABS((C4522-$W$5)/$X$5)&gt;1.96,"ATÍPICO",ABS((C4522-$W$5)/$X$5)&lt;=1.96,"NO ATÍPICO")</f>
        <v>NO ATÍPICO</v>
      </c>
      <c r="K4522" t="str" cm="1">
        <f t="array" ref="K4522">_xlfn.IFS(ISBLANK(I4522),"FALTANTE",ABS((I4522-$W$8)/$X$8)&gt;1.92,"ATÍPICO",ABS((I4522-$W$8)/$X$8)&lt;=1.92,"NO ATÍPICO")</f>
        <v>NO ATÍPICO</v>
      </c>
      <c r="L4522">
        <f t="shared" si="298"/>
        <v>323500</v>
      </c>
      <c r="M4522" t="str">
        <f t="shared" si="298"/>
        <v>ASALARIADO</v>
      </c>
      <c r="N4522">
        <f t="shared" si="299"/>
        <v>37</v>
      </c>
      <c r="O4522" s="19" t="str">
        <f t="shared" si="300"/>
        <v>300k–600k</v>
      </c>
      <c r="P4522" s="19" t="str">
        <f t="shared" si="301"/>
        <v>36-45</v>
      </c>
    </row>
    <row r="4523" spans="1:16" x14ac:dyDescent="0.25">
      <c r="A4523">
        <v>4522</v>
      </c>
      <c r="B4523" t="s">
        <v>9</v>
      </c>
      <c r="C4523">
        <v>78000</v>
      </c>
      <c r="D4523" t="s">
        <v>10</v>
      </c>
      <c r="E4523" t="s">
        <v>16</v>
      </c>
      <c r="F4523" t="s">
        <v>12</v>
      </c>
      <c r="G4523" t="s">
        <v>13</v>
      </c>
      <c r="H4523" t="s">
        <v>12</v>
      </c>
      <c r="I4523">
        <v>71</v>
      </c>
      <c r="J4523" t="str" cm="1">
        <f t="array" ref="J4523">_xlfn.IFS(ISBLANK(C4523),"FALTANTE",ABS((C4523-$W$5)/$X$5)&gt;1.96,"ATÍPICO",ABS((C4523-$W$5)/$X$5)&lt;=1.96,"NO ATÍPICO")</f>
        <v>NO ATÍPICO</v>
      </c>
      <c r="K4523" t="str" cm="1">
        <f t="array" ref="K4523">_xlfn.IFS(ISBLANK(I4523),"FALTANTE",ABS((I4523-$W$8)/$X$8)&gt;1.92,"ATÍPICO",ABS((I4523-$W$8)/$X$8)&lt;=1.92,"NO ATÍPICO")</f>
        <v>ATÍPICO</v>
      </c>
      <c r="L4523">
        <f t="shared" si="298"/>
        <v>78000</v>
      </c>
      <c r="M4523" t="str">
        <f t="shared" si="298"/>
        <v>ASALARIADO</v>
      </c>
      <c r="N4523">
        <f t="shared" si="299"/>
        <v>71</v>
      </c>
      <c r="O4523" s="19" t="str">
        <f t="shared" si="300"/>
        <v>0–300k</v>
      </c>
      <c r="P4523" s="19" t="str">
        <f t="shared" si="301"/>
        <v>56+</v>
      </c>
    </row>
    <row r="4524" spans="1:16" x14ac:dyDescent="0.25">
      <c r="A4524">
        <v>4523</v>
      </c>
      <c r="B4524" t="s">
        <v>15</v>
      </c>
      <c r="C4524">
        <v>857753.11</v>
      </c>
      <c r="D4524" t="s">
        <v>10</v>
      </c>
      <c r="E4524" t="s">
        <v>16</v>
      </c>
      <c r="F4524" t="s">
        <v>12</v>
      </c>
      <c r="G4524" t="s">
        <v>13</v>
      </c>
      <c r="H4524" t="s">
        <v>13</v>
      </c>
      <c r="I4524">
        <v>32</v>
      </c>
      <c r="J4524" t="str" cm="1">
        <f t="array" ref="J4524">_xlfn.IFS(ISBLANK(C4524),"FALTANTE",ABS((C4524-$W$5)/$X$5)&gt;1.96,"ATÍPICO",ABS((C4524-$W$5)/$X$5)&lt;=1.96,"NO ATÍPICO")</f>
        <v>NO ATÍPICO</v>
      </c>
      <c r="K4524" t="str" cm="1">
        <f t="array" ref="K4524">_xlfn.IFS(ISBLANK(I4524),"FALTANTE",ABS((I4524-$W$8)/$X$8)&gt;1.92,"ATÍPICO",ABS((I4524-$W$8)/$X$8)&lt;=1.92,"NO ATÍPICO")</f>
        <v>NO ATÍPICO</v>
      </c>
      <c r="L4524">
        <f t="shared" si="298"/>
        <v>857753.11</v>
      </c>
      <c r="M4524" t="str">
        <f t="shared" si="298"/>
        <v>ASALARIADO</v>
      </c>
      <c r="N4524">
        <f t="shared" si="299"/>
        <v>32</v>
      </c>
      <c r="O4524" s="19" t="str">
        <f t="shared" si="300"/>
        <v>600k–900k</v>
      </c>
      <c r="P4524" s="19" t="str">
        <f t="shared" si="301"/>
        <v>26-35</v>
      </c>
    </row>
    <row r="4525" spans="1:16" x14ac:dyDescent="0.25">
      <c r="A4525">
        <v>4524</v>
      </c>
      <c r="B4525" t="s">
        <v>9</v>
      </c>
      <c r="C4525">
        <v>509509</v>
      </c>
      <c r="D4525" t="s">
        <v>18</v>
      </c>
      <c r="E4525" t="s">
        <v>16</v>
      </c>
      <c r="F4525" t="s">
        <v>12</v>
      </c>
      <c r="G4525" t="s">
        <v>13</v>
      </c>
      <c r="H4525" t="s">
        <v>12</v>
      </c>
      <c r="I4525">
        <v>40</v>
      </c>
      <c r="J4525" t="str" cm="1">
        <f t="array" ref="J4525">_xlfn.IFS(ISBLANK(C4525),"FALTANTE",ABS((C4525-$W$5)/$X$5)&gt;1.96,"ATÍPICO",ABS((C4525-$W$5)/$X$5)&lt;=1.96,"NO ATÍPICO")</f>
        <v>NO ATÍPICO</v>
      </c>
      <c r="K4525" t="str" cm="1">
        <f t="array" ref="K4525">_xlfn.IFS(ISBLANK(I4525),"FALTANTE",ABS((I4525-$W$8)/$X$8)&gt;1.92,"ATÍPICO",ABS((I4525-$W$8)/$X$8)&lt;=1.92,"NO ATÍPICO")</f>
        <v>NO ATÍPICO</v>
      </c>
      <c r="L4525">
        <f t="shared" si="298"/>
        <v>509509</v>
      </c>
      <c r="M4525" t="str">
        <f t="shared" si="298"/>
        <v>TRABAJADOR INDEPENDIENTE</v>
      </c>
      <c r="N4525">
        <f t="shared" si="299"/>
        <v>40</v>
      </c>
      <c r="O4525" s="19" t="str">
        <f t="shared" si="300"/>
        <v>300k–600k</v>
      </c>
      <c r="P4525" s="19" t="str">
        <f t="shared" si="301"/>
        <v>36-45</v>
      </c>
    </row>
    <row r="4526" spans="1:16" x14ac:dyDescent="0.25">
      <c r="A4526">
        <v>4525</v>
      </c>
      <c r="B4526" t="s">
        <v>9</v>
      </c>
      <c r="C4526">
        <v>1523214</v>
      </c>
      <c r="D4526" t="s">
        <v>10</v>
      </c>
      <c r="E4526" t="s">
        <v>11</v>
      </c>
      <c r="F4526" t="s">
        <v>12</v>
      </c>
      <c r="G4526" t="s">
        <v>13</v>
      </c>
      <c r="H4526" t="s">
        <v>13</v>
      </c>
      <c r="I4526">
        <v>38</v>
      </c>
      <c r="J4526" t="str" cm="1">
        <f t="array" ref="J4526">_xlfn.IFS(ISBLANK(C4526),"FALTANTE",ABS((C4526-$W$5)/$X$5)&gt;1.96,"ATÍPICO",ABS((C4526-$W$5)/$X$5)&lt;=1.96,"NO ATÍPICO")</f>
        <v>NO ATÍPICO</v>
      </c>
      <c r="K4526" t="str" cm="1">
        <f t="array" ref="K4526">_xlfn.IFS(ISBLANK(I4526),"FALTANTE",ABS((I4526-$W$8)/$X$8)&gt;1.92,"ATÍPICO",ABS((I4526-$W$8)/$X$8)&lt;=1.92,"NO ATÍPICO")</f>
        <v>NO ATÍPICO</v>
      </c>
      <c r="L4526">
        <f t="shared" si="298"/>
        <v>1523214</v>
      </c>
      <c r="M4526" t="str">
        <f t="shared" si="298"/>
        <v>ASALARIADO</v>
      </c>
      <c r="N4526">
        <f t="shared" si="299"/>
        <v>38</v>
      </c>
      <c r="O4526" s="19" t="str">
        <f t="shared" si="300"/>
        <v>1200k+</v>
      </c>
      <c r="P4526" s="19" t="str">
        <f t="shared" si="301"/>
        <v>36-45</v>
      </c>
    </row>
    <row r="4527" spans="1:16" x14ac:dyDescent="0.25">
      <c r="A4527">
        <v>4526</v>
      </c>
      <c r="B4527" t="s">
        <v>9</v>
      </c>
      <c r="C4527">
        <v>810799.74</v>
      </c>
      <c r="D4527" t="s">
        <v>10</v>
      </c>
      <c r="E4527" t="s">
        <v>16</v>
      </c>
      <c r="F4527" t="s">
        <v>12</v>
      </c>
      <c r="G4527" t="s">
        <v>13</v>
      </c>
      <c r="H4527" t="s">
        <v>13</v>
      </c>
      <c r="I4527">
        <v>47</v>
      </c>
      <c r="J4527" t="str" cm="1">
        <f t="array" ref="J4527">_xlfn.IFS(ISBLANK(C4527),"FALTANTE",ABS((C4527-$W$5)/$X$5)&gt;1.96,"ATÍPICO",ABS((C4527-$W$5)/$X$5)&lt;=1.96,"NO ATÍPICO")</f>
        <v>NO ATÍPICO</v>
      </c>
      <c r="K4527" t="str" cm="1">
        <f t="array" ref="K4527">_xlfn.IFS(ISBLANK(I4527),"FALTANTE",ABS((I4527-$W$8)/$X$8)&gt;1.92,"ATÍPICO",ABS((I4527-$W$8)/$X$8)&lt;=1.92,"NO ATÍPICO")</f>
        <v>NO ATÍPICO</v>
      </c>
      <c r="L4527">
        <f t="shared" si="298"/>
        <v>810799.74</v>
      </c>
      <c r="M4527" t="str">
        <f t="shared" si="298"/>
        <v>ASALARIADO</v>
      </c>
      <c r="N4527">
        <f t="shared" si="299"/>
        <v>47</v>
      </c>
      <c r="O4527" s="19" t="str">
        <f t="shared" si="300"/>
        <v>600k–900k</v>
      </c>
      <c r="P4527" s="19" t="str">
        <f t="shared" si="301"/>
        <v>46-55</v>
      </c>
    </row>
    <row r="4528" spans="1:16" x14ac:dyDescent="0.25">
      <c r="A4528">
        <v>4527</v>
      </c>
      <c r="B4528" t="s">
        <v>15</v>
      </c>
      <c r="C4528">
        <v>1143318.2</v>
      </c>
      <c r="D4528" t="s">
        <v>10</v>
      </c>
      <c r="E4528" t="s">
        <v>11</v>
      </c>
      <c r="F4528" t="s">
        <v>12</v>
      </c>
      <c r="G4528" t="s">
        <v>13</v>
      </c>
      <c r="H4528" t="s">
        <v>13</v>
      </c>
      <c r="I4528">
        <v>59</v>
      </c>
      <c r="J4528" t="str" cm="1">
        <f t="array" ref="J4528">_xlfn.IFS(ISBLANK(C4528),"FALTANTE",ABS((C4528-$W$5)/$X$5)&gt;1.96,"ATÍPICO",ABS((C4528-$W$5)/$X$5)&lt;=1.96,"NO ATÍPICO")</f>
        <v>NO ATÍPICO</v>
      </c>
      <c r="K4528" t="str" cm="1">
        <f t="array" ref="K4528">_xlfn.IFS(ISBLANK(I4528),"FALTANTE",ABS((I4528-$W$8)/$X$8)&gt;1.92,"ATÍPICO",ABS((I4528-$W$8)/$X$8)&lt;=1.92,"NO ATÍPICO")</f>
        <v>NO ATÍPICO</v>
      </c>
      <c r="L4528">
        <f t="shared" si="298"/>
        <v>1143318.2</v>
      </c>
      <c r="M4528" t="str">
        <f t="shared" si="298"/>
        <v>ASALARIADO</v>
      </c>
      <c r="N4528">
        <f t="shared" si="299"/>
        <v>59</v>
      </c>
      <c r="O4528" s="19" t="str">
        <f t="shared" si="300"/>
        <v>900k–1200k</v>
      </c>
      <c r="P4528" s="19" t="str">
        <f t="shared" si="301"/>
        <v>56+</v>
      </c>
    </row>
    <row r="4529" spans="1:16" x14ac:dyDescent="0.25">
      <c r="A4529">
        <v>4528</v>
      </c>
      <c r="B4529" t="s">
        <v>9</v>
      </c>
      <c r="C4529">
        <v>297045</v>
      </c>
      <c r="D4529" t="s">
        <v>17</v>
      </c>
      <c r="E4529" t="s">
        <v>16</v>
      </c>
      <c r="F4529" t="s">
        <v>12</v>
      </c>
      <c r="G4529" t="s">
        <v>12</v>
      </c>
      <c r="H4529" t="s">
        <v>13</v>
      </c>
      <c r="I4529">
        <v>76</v>
      </c>
      <c r="J4529" t="str" cm="1">
        <f t="array" ref="J4529">_xlfn.IFS(ISBLANK(C4529),"FALTANTE",ABS((C4529-$W$5)/$X$5)&gt;1.96,"ATÍPICO",ABS((C4529-$W$5)/$X$5)&lt;=1.96,"NO ATÍPICO")</f>
        <v>NO ATÍPICO</v>
      </c>
      <c r="K4529" t="str" cm="1">
        <f t="array" ref="K4529">_xlfn.IFS(ISBLANK(I4529),"FALTANTE",ABS((I4529-$W$8)/$X$8)&gt;1.92,"ATÍPICO",ABS((I4529-$W$8)/$X$8)&lt;=1.92,"NO ATÍPICO")</f>
        <v>ATÍPICO</v>
      </c>
      <c r="L4529">
        <f t="shared" si="298"/>
        <v>297045</v>
      </c>
      <c r="M4529" t="str">
        <f t="shared" si="298"/>
        <v>ASEGURADO VOLUNTARIO</v>
      </c>
      <c r="N4529">
        <f t="shared" si="299"/>
        <v>76</v>
      </c>
      <c r="O4529" s="19" t="str">
        <f t="shared" si="300"/>
        <v>0–300k</v>
      </c>
      <c r="P4529" s="19" t="str">
        <f t="shared" si="301"/>
        <v>56+</v>
      </c>
    </row>
    <row r="4530" spans="1:16" x14ac:dyDescent="0.25">
      <c r="A4530">
        <v>4529</v>
      </c>
      <c r="B4530" t="s">
        <v>9</v>
      </c>
      <c r="C4530">
        <v>365464</v>
      </c>
      <c r="D4530" t="s">
        <v>10</v>
      </c>
      <c r="E4530" t="s">
        <v>11</v>
      </c>
      <c r="F4530" t="s">
        <v>12</v>
      </c>
      <c r="G4530" t="s">
        <v>13</v>
      </c>
      <c r="H4530" t="s">
        <v>13</v>
      </c>
      <c r="I4530">
        <v>31</v>
      </c>
      <c r="J4530" t="str" cm="1">
        <f t="array" ref="J4530">_xlfn.IFS(ISBLANK(C4530),"FALTANTE",ABS((C4530-$W$5)/$X$5)&gt;1.96,"ATÍPICO",ABS((C4530-$W$5)/$X$5)&lt;=1.96,"NO ATÍPICO")</f>
        <v>NO ATÍPICO</v>
      </c>
      <c r="K4530" t="str" cm="1">
        <f t="array" ref="K4530">_xlfn.IFS(ISBLANK(I4530),"FALTANTE",ABS((I4530-$W$8)/$X$8)&gt;1.92,"ATÍPICO",ABS((I4530-$W$8)/$X$8)&lt;=1.92,"NO ATÍPICO")</f>
        <v>NO ATÍPICO</v>
      </c>
      <c r="L4530">
        <f t="shared" si="298"/>
        <v>365464</v>
      </c>
      <c r="M4530" t="str">
        <f t="shared" si="298"/>
        <v>ASALARIADO</v>
      </c>
      <c r="N4530">
        <f t="shared" si="299"/>
        <v>31</v>
      </c>
      <c r="O4530" s="19" t="str">
        <f t="shared" si="300"/>
        <v>300k–600k</v>
      </c>
      <c r="P4530" s="19" t="str">
        <f t="shared" si="301"/>
        <v>26-35</v>
      </c>
    </row>
    <row r="4531" spans="1:16" x14ac:dyDescent="0.25">
      <c r="A4531">
        <v>4530</v>
      </c>
      <c r="B4531" t="s">
        <v>15</v>
      </c>
      <c r="C4531">
        <v>1957708.6</v>
      </c>
      <c r="D4531" t="s">
        <v>10</v>
      </c>
      <c r="E4531" t="s">
        <v>11</v>
      </c>
      <c r="F4531" t="s">
        <v>12</v>
      </c>
      <c r="G4531" t="s">
        <v>13</v>
      </c>
      <c r="H4531" t="s">
        <v>13</v>
      </c>
      <c r="I4531">
        <v>52</v>
      </c>
      <c r="J4531" t="str" cm="1">
        <f t="array" ref="J4531">_xlfn.IFS(ISBLANK(C4531),"FALTANTE",ABS((C4531-$W$5)/$X$5)&gt;1.96,"ATÍPICO",ABS((C4531-$W$5)/$X$5)&lt;=1.96,"NO ATÍPICO")</f>
        <v>NO ATÍPICO</v>
      </c>
      <c r="K4531" t="str" cm="1">
        <f t="array" ref="K4531">_xlfn.IFS(ISBLANK(I4531),"FALTANTE",ABS((I4531-$W$8)/$X$8)&gt;1.92,"ATÍPICO",ABS((I4531-$W$8)/$X$8)&lt;=1.92,"NO ATÍPICO")</f>
        <v>NO ATÍPICO</v>
      </c>
      <c r="L4531">
        <f t="shared" si="298"/>
        <v>1957708.6</v>
      </c>
      <c r="M4531" t="str">
        <f t="shared" si="298"/>
        <v>ASALARIADO</v>
      </c>
      <c r="N4531">
        <f t="shared" si="299"/>
        <v>52</v>
      </c>
      <c r="O4531" s="19" t="str">
        <f t="shared" si="300"/>
        <v>1200k+</v>
      </c>
      <c r="P4531" s="19" t="str">
        <f t="shared" si="301"/>
        <v>46-55</v>
      </c>
    </row>
    <row r="4532" spans="1:16" x14ac:dyDescent="0.25">
      <c r="A4532">
        <v>4531</v>
      </c>
      <c r="B4532" t="s">
        <v>9</v>
      </c>
      <c r="C4532">
        <v>600000</v>
      </c>
      <c r="D4532" t="s">
        <v>10</v>
      </c>
      <c r="E4532" t="s">
        <v>16</v>
      </c>
      <c r="F4532" t="s">
        <v>12</v>
      </c>
      <c r="G4532" t="s">
        <v>13</v>
      </c>
      <c r="H4532" t="s">
        <v>13</v>
      </c>
      <c r="I4532">
        <v>32</v>
      </c>
      <c r="J4532" t="str" cm="1">
        <f t="array" ref="J4532">_xlfn.IFS(ISBLANK(C4532),"FALTANTE",ABS((C4532-$W$5)/$X$5)&gt;1.96,"ATÍPICO",ABS((C4532-$W$5)/$X$5)&lt;=1.96,"NO ATÍPICO")</f>
        <v>NO ATÍPICO</v>
      </c>
      <c r="K4532" t="str" cm="1">
        <f t="array" ref="K4532">_xlfn.IFS(ISBLANK(I4532),"FALTANTE",ABS((I4532-$W$8)/$X$8)&gt;1.92,"ATÍPICO",ABS((I4532-$W$8)/$X$8)&lt;=1.92,"NO ATÍPICO")</f>
        <v>NO ATÍPICO</v>
      </c>
      <c r="L4532">
        <f t="shared" si="298"/>
        <v>600000</v>
      </c>
      <c r="M4532" t="str">
        <f t="shared" si="298"/>
        <v>ASALARIADO</v>
      </c>
      <c r="N4532">
        <f t="shared" si="299"/>
        <v>32</v>
      </c>
      <c r="O4532" s="19" t="str">
        <f t="shared" si="300"/>
        <v>300k–600k</v>
      </c>
      <c r="P4532" s="19" t="str">
        <f t="shared" si="301"/>
        <v>26-35</v>
      </c>
    </row>
    <row r="4533" spans="1:16" x14ac:dyDescent="0.25">
      <c r="A4533">
        <v>4532</v>
      </c>
      <c r="B4533" t="s">
        <v>9</v>
      </c>
      <c r="C4533">
        <v>161084.29999999999</v>
      </c>
      <c r="D4533" t="s">
        <v>10</v>
      </c>
      <c r="E4533" t="s">
        <v>11</v>
      </c>
      <c r="F4533" t="s">
        <v>12</v>
      </c>
      <c r="G4533" t="s">
        <v>13</v>
      </c>
      <c r="H4533" t="s">
        <v>13</v>
      </c>
      <c r="I4533">
        <v>42</v>
      </c>
      <c r="J4533" t="str" cm="1">
        <f t="array" ref="J4533">_xlfn.IFS(ISBLANK(C4533),"FALTANTE",ABS((C4533-$W$5)/$X$5)&gt;1.96,"ATÍPICO",ABS((C4533-$W$5)/$X$5)&lt;=1.96,"NO ATÍPICO")</f>
        <v>NO ATÍPICO</v>
      </c>
      <c r="K4533" t="str" cm="1">
        <f t="array" ref="K4533">_xlfn.IFS(ISBLANK(I4533),"FALTANTE",ABS((I4533-$W$8)/$X$8)&gt;1.92,"ATÍPICO",ABS((I4533-$W$8)/$X$8)&lt;=1.92,"NO ATÍPICO")</f>
        <v>NO ATÍPICO</v>
      </c>
      <c r="L4533">
        <f t="shared" si="298"/>
        <v>161084.29999999999</v>
      </c>
      <c r="M4533" t="str">
        <f t="shared" si="298"/>
        <v>ASALARIADO</v>
      </c>
      <c r="N4533">
        <f t="shared" si="299"/>
        <v>42</v>
      </c>
      <c r="O4533" s="19" t="str">
        <f t="shared" si="300"/>
        <v>0–300k</v>
      </c>
      <c r="P4533" s="19" t="str">
        <f t="shared" si="301"/>
        <v>36-45</v>
      </c>
    </row>
    <row r="4534" spans="1:16" x14ac:dyDescent="0.25">
      <c r="A4534">
        <v>4533</v>
      </c>
      <c r="B4534" t="s">
        <v>9</v>
      </c>
      <c r="C4534">
        <v>31927.439999999999</v>
      </c>
      <c r="D4534" t="s">
        <v>10</v>
      </c>
      <c r="E4534" t="s">
        <v>16</v>
      </c>
      <c r="F4534" t="s">
        <v>12</v>
      </c>
      <c r="G4534" t="s">
        <v>12</v>
      </c>
      <c r="H4534" t="s">
        <v>13</v>
      </c>
      <c r="I4534">
        <v>36</v>
      </c>
      <c r="J4534" t="str" cm="1">
        <f t="array" ref="J4534">_xlfn.IFS(ISBLANK(C4534),"FALTANTE",ABS((C4534-$W$5)/$X$5)&gt;1.96,"ATÍPICO",ABS((C4534-$W$5)/$X$5)&lt;=1.96,"NO ATÍPICO")</f>
        <v>NO ATÍPICO</v>
      </c>
      <c r="K4534" t="str" cm="1">
        <f t="array" ref="K4534">_xlfn.IFS(ISBLANK(I4534),"FALTANTE",ABS((I4534-$W$8)/$X$8)&gt;1.92,"ATÍPICO",ABS((I4534-$W$8)/$X$8)&lt;=1.92,"NO ATÍPICO")</f>
        <v>NO ATÍPICO</v>
      </c>
      <c r="L4534">
        <f t="shared" si="298"/>
        <v>31927.439999999999</v>
      </c>
      <c r="M4534" t="str">
        <f t="shared" si="298"/>
        <v>ASALARIADO</v>
      </c>
      <c r="N4534">
        <f t="shared" si="299"/>
        <v>36</v>
      </c>
      <c r="O4534" s="19" t="str">
        <f t="shared" si="300"/>
        <v>0–300k</v>
      </c>
      <c r="P4534" s="19" t="str">
        <f t="shared" si="301"/>
        <v>36-45</v>
      </c>
    </row>
    <row r="4535" spans="1:16" x14ac:dyDescent="0.25">
      <c r="A4535">
        <v>4534</v>
      </c>
      <c r="B4535" t="s">
        <v>9</v>
      </c>
      <c r="C4535">
        <v>427590.98</v>
      </c>
      <c r="D4535" t="s">
        <v>10</v>
      </c>
      <c r="E4535" t="s">
        <v>16</v>
      </c>
      <c r="F4535" t="s">
        <v>12</v>
      </c>
      <c r="G4535" t="s">
        <v>13</v>
      </c>
      <c r="H4535" t="s">
        <v>12</v>
      </c>
      <c r="I4535">
        <v>61</v>
      </c>
      <c r="J4535" t="str" cm="1">
        <f t="array" ref="J4535">_xlfn.IFS(ISBLANK(C4535),"FALTANTE",ABS((C4535-$W$5)/$X$5)&gt;1.96,"ATÍPICO",ABS((C4535-$W$5)/$X$5)&lt;=1.96,"NO ATÍPICO")</f>
        <v>NO ATÍPICO</v>
      </c>
      <c r="K4535" t="str" cm="1">
        <f t="array" ref="K4535">_xlfn.IFS(ISBLANK(I4535),"FALTANTE",ABS((I4535-$W$8)/$X$8)&gt;1.92,"ATÍPICO",ABS((I4535-$W$8)/$X$8)&lt;=1.92,"NO ATÍPICO")</f>
        <v>NO ATÍPICO</v>
      </c>
      <c r="L4535">
        <f t="shared" si="298"/>
        <v>427590.98</v>
      </c>
      <c r="M4535" t="str">
        <f t="shared" si="298"/>
        <v>ASALARIADO</v>
      </c>
      <c r="N4535">
        <f t="shared" si="299"/>
        <v>61</v>
      </c>
      <c r="O4535" s="19" t="str">
        <f t="shared" si="300"/>
        <v>300k–600k</v>
      </c>
      <c r="P4535" s="19" t="str">
        <f t="shared" si="301"/>
        <v>56+</v>
      </c>
    </row>
    <row r="4536" spans="1:16" x14ac:dyDescent="0.25">
      <c r="A4536">
        <v>4535</v>
      </c>
      <c r="B4536" t="s">
        <v>9</v>
      </c>
      <c r="C4536">
        <v>543427.36</v>
      </c>
      <c r="D4536" t="s">
        <v>10</v>
      </c>
      <c r="E4536" t="s">
        <v>16</v>
      </c>
      <c r="F4536" t="s">
        <v>12</v>
      </c>
      <c r="G4536" t="s">
        <v>13</v>
      </c>
      <c r="H4536" t="s">
        <v>13</v>
      </c>
      <c r="I4536">
        <v>27</v>
      </c>
      <c r="J4536" t="str" cm="1">
        <f t="array" ref="J4536">_xlfn.IFS(ISBLANK(C4536),"FALTANTE",ABS((C4536-$W$5)/$X$5)&gt;1.96,"ATÍPICO",ABS((C4536-$W$5)/$X$5)&lt;=1.96,"NO ATÍPICO")</f>
        <v>NO ATÍPICO</v>
      </c>
      <c r="K4536" t="str" cm="1">
        <f t="array" ref="K4536">_xlfn.IFS(ISBLANK(I4536),"FALTANTE",ABS((I4536-$W$8)/$X$8)&gt;1.92,"ATÍPICO",ABS((I4536-$W$8)/$X$8)&lt;=1.92,"NO ATÍPICO")</f>
        <v>NO ATÍPICO</v>
      </c>
      <c r="L4536">
        <f t="shared" si="298"/>
        <v>543427.36</v>
      </c>
      <c r="M4536" t="str">
        <f t="shared" si="298"/>
        <v>ASALARIADO</v>
      </c>
      <c r="N4536">
        <f t="shared" si="299"/>
        <v>27</v>
      </c>
      <c r="O4536" s="19" t="str">
        <f t="shared" si="300"/>
        <v>300k–600k</v>
      </c>
      <c r="P4536" s="19" t="str">
        <f t="shared" si="301"/>
        <v>26-35</v>
      </c>
    </row>
    <row r="4537" spans="1:16" x14ac:dyDescent="0.25">
      <c r="A4537">
        <v>4536</v>
      </c>
      <c r="B4537" t="s">
        <v>9</v>
      </c>
      <c r="C4537">
        <v>342059.63</v>
      </c>
      <c r="D4537" t="s">
        <v>10</v>
      </c>
      <c r="E4537" t="s">
        <v>16</v>
      </c>
      <c r="F4537" t="s">
        <v>12</v>
      </c>
      <c r="G4537" t="s">
        <v>13</v>
      </c>
      <c r="H4537" t="s">
        <v>13</v>
      </c>
      <c r="I4537">
        <v>49</v>
      </c>
      <c r="J4537" t="str" cm="1">
        <f t="array" ref="J4537">_xlfn.IFS(ISBLANK(C4537),"FALTANTE",ABS((C4537-$W$5)/$X$5)&gt;1.96,"ATÍPICO",ABS((C4537-$W$5)/$X$5)&lt;=1.96,"NO ATÍPICO")</f>
        <v>NO ATÍPICO</v>
      </c>
      <c r="K4537" t="str" cm="1">
        <f t="array" ref="K4537">_xlfn.IFS(ISBLANK(I4537),"FALTANTE",ABS((I4537-$W$8)/$X$8)&gt;1.92,"ATÍPICO",ABS((I4537-$W$8)/$X$8)&lt;=1.92,"NO ATÍPICO")</f>
        <v>NO ATÍPICO</v>
      </c>
      <c r="L4537">
        <f t="shared" si="298"/>
        <v>342059.63</v>
      </c>
      <c r="M4537" t="str">
        <f t="shared" si="298"/>
        <v>ASALARIADO</v>
      </c>
      <c r="N4537">
        <f t="shared" si="299"/>
        <v>49</v>
      </c>
      <c r="O4537" s="19" t="str">
        <f t="shared" si="300"/>
        <v>300k–600k</v>
      </c>
      <c r="P4537" s="19" t="str">
        <f t="shared" si="301"/>
        <v>46-55</v>
      </c>
    </row>
    <row r="4538" spans="1:16" x14ac:dyDescent="0.25">
      <c r="A4538">
        <v>4537</v>
      </c>
      <c r="B4538" t="s">
        <v>15</v>
      </c>
      <c r="C4538">
        <v>1870704.54</v>
      </c>
      <c r="D4538" t="s">
        <v>10</v>
      </c>
      <c r="E4538" t="s">
        <v>16</v>
      </c>
      <c r="F4538" t="s">
        <v>12</v>
      </c>
      <c r="G4538" t="s">
        <v>13</v>
      </c>
      <c r="H4538" t="s">
        <v>13</v>
      </c>
      <c r="I4538">
        <v>28</v>
      </c>
      <c r="J4538" t="str" cm="1">
        <f t="array" ref="J4538">_xlfn.IFS(ISBLANK(C4538),"FALTANTE",ABS((C4538-$W$5)/$X$5)&gt;1.96,"ATÍPICO",ABS((C4538-$W$5)/$X$5)&lt;=1.96,"NO ATÍPICO")</f>
        <v>NO ATÍPICO</v>
      </c>
      <c r="K4538" t="str" cm="1">
        <f t="array" ref="K4538">_xlfn.IFS(ISBLANK(I4538),"FALTANTE",ABS((I4538-$W$8)/$X$8)&gt;1.92,"ATÍPICO",ABS((I4538-$W$8)/$X$8)&lt;=1.92,"NO ATÍPICO")</f>
        <v>NO ATÍPICO</v>
      </c>
      <c r="L4538">
        <f t="shared" si="298"/>
        <v>1870704.54</v>
      </c>
      <c r="M4538" t="str">
        <f t="shared" si="298"/>
        <v>ASALARIADO</v>
      </c>
      <c r="N4538">
        <f t="shared" si="299"/>
        <v>28</v>
      </c>
      <c r="O4538" s="19" t="str">
        <f t="shared" si="300"/>
        <v>1200k+</v>
      </c>
      <c r="P4538" s="19" t="str">
        <f t="shared" si="301"/>
        <v>26-35</v>
      </c>
    </row>
    <row r="4539" spans="1:16" x14ac:dyDescent="0.25">
      <c r="A4539">
        <v>4538</v>
      </c>
      <c r="B4539" t="s">
        <v>9</v>
      </c>
      <c r="C4539">
        <v>317000</v>
      </c>
      <c r="D4539" t="s">
        <v>10</v>
      </c>
      <c r="E4539" t="s">
        <v>16</v>
      </c>
      <c r="F4539" t="s">
        <v>12</v>
      </c>
      <c r="G4539" t="s">
        <v>12</v>
      </c>
      <c r="H4539" t="s">
        <v>13</v>
      </c>
      <c r="I4539">
        <v>53</v>
      </c>
      <c r="J4539" t="str" cm="1">
        <f t="array" ref="J4539">_xlfn.IFS(ISBLANK(C4539),"FALTANTE",ABS((C4539-$W$5)/$X$5)&gt;1.96,"ATÍPICO",ABS((C4539-$W$5)/$X$5)&lt;=1.96,"NO ATÍPICO")</f>
        <v>NO ATÍPICO</v>
      </c>
      <c r="K4539" t="str" cm="1">
        <f t="array" ref="K4539">_xlfn.IFS(ISBLANK(I4539),"FALTANTE",ABS((I4539-$W$8)/$X$8)&gt;1.92,"ATÍPICO",ABS((I4539-$W$8)/$X$8)&lt;=1.92,"NO ATÍPICO")</f>
        <v>NO ATÍPICO</v>
      </c>
      <c r="L4539">
        <f t="shared" si="298"/>
        <v>317000</v>
      </c>
      <c r="M4539" t="str">
        <f t="shared" si="298"/>
        <v>ASALARIADO</v>
      </c>
      <c r="N4539">
        <f t="shared" si="299"/>
        <v>53</v>
      </c>
      <c r="O4539" s="19" t="str">
        <f t="shared" si="300"/>
        <v>300k–600k</v>
      </c>
      <c r="P4539" s="19" t="str">
        <f t="shared" si="301"/>
        <v>46-55</v>
      </c>
    </row>
    <row r="4540" spans="1:16" x14ac:dyDescent="0.25">
      <c r="A4540">
        <v>4539</v>
      </c>
      <c r="B4540" t="s">
        <v>15</v>
      </c>
      <c r="C4540">
        <v>403806.82</v>
      </c>
      <c r="D4540" t="s">
        <v>10</v>
      </c>
      <c r="E4540" t="s">
        <v>16</v>
      </c>
      <c r="F4540" t="s">
        <v>12</v>
      </c>
      <c r="G4540" t="s">
        <v>13</v>
      </c>
      <c r="H4540" t="s">
        <v>13</v>
      </c>
      <c r="I4540">
        <v>45</v>
      </c>
      <c r="J4540" t="str" cm="1">
        <f t="array" ref="J4540">_xlfn.IFS(ISBLANK(C4540),"FALTANTE",ABS((C4540-$W$5)/$X$5)&gt;1.96,"ATÍPICO",ABS((C4540-$W$5)/$X$5)&lt;=1.96,"NO ATÍPICO")</f>
        <v>NO ATÍPICO</v>
      </c>
      <c r="K4540" t="str" cm="1">
        <f t="array" ref="K4540">_xlfn.IFS(ISBLANK(I4540),"FALTANTE",ABS((I4540-$W$8)/$X$8)&gt;1.92,"ATÍPICO",ABS((I4540-$W$8)/$X$8)&lt;=1.92,"NO ATÍPICO")</f>
        <v>NO ATÍPICO</v>
      </c>
      <c r="L4540">
        <f t="shared" si="298"/>
        <v>403806.82</v>
      </c>
      <c r="M4540" t="str">
        <f t="shared" si="298"/>
        <v>ASALARIADO</v>
      </c>
      <c r="N4540">
        <f t="shared" si="299"/>
        <v>45</v>
      </c>
      <c r="O4540" s="19" t="str">
        <f t="shared" si="300"/>
        <v>300k–600k</v>
      </c>
      <c r="P4540" s="19" t="str">
        <f t="shared" si="301"/>
        <v>36-45</v>
      </c>
    </row>
    <row r="4541" spans="1:16" x14ac:dyDescent="0.25">
      <c r="A4541">
        <v>4540</v>
      </c>
      <c r="B4541" t="s">
        <v>15</v>
      </c>
      <c r="C4541">
        <v>1709089.1</v>
      </c>
      <c r="D4541" t="s">
        <v>10</v>
      </c>
      <c r="E4541" t="s">
        <v>11</v>
      </c>
      <c r="F4541" t="s">
        <v>12</v>
      </c>
      <c r="G4541" t="s">
        <v>13</v>
      </c>
      <c r="H4541" t="s">
        <v>13</v>
      </c>
      <c r="I4541">
        <v>49</v>
      </c>
      <c r="J4541" t="str" cm="1">
        <f t="array" ref="J4541">_xlfn.IFS(ISBLANK(C4541),"FALTANTE",ABS((C4541-$W$5)/$X$5)&gt;1.96,"ATÍPICO",ABS((C4541-$W$5)/$X$5)&lt;=1.96,"NO ATÍPICO")</f>
        <v>NO ATÍPICO</v>
      </c>
      <c r="K4541" t="str" cm="1">
        <f t="array" ref="K4541">_xlfn.IFS(ISBLANK(I4541),"FALTANTE",ABS((I4541-$W$8)/$X$8)&gt;1.92,"ATÍPICO",ABS((I4541-$W$8)/$X$8)&lt;=1.92,"NO ATÍPICO")</f>
        <v>NO ATÍPICO</v>
      </c>
      <c r="L4541">
        <f t="shared" si="298"/>
        <v>1709089.1</v>
      </c>
      <c r="M4541" t="str">
        <f t="shared" si="298"/>
        <v>ASALARIADO</v>
      </c>
      <c r="N4541">
        <f t="shared" si="299"/>
        <v>49</v>
      </c>
      <c r="O4541" s="19" t="str">
        <f t="shared" si="300"/>
        <v>1200k+</v>
      </c>
      <c r="P4541" s="19" t="str">
        <f t="shared" si="301"/>
        <v>46-55</v>
      </c>
    </row>
    <row r="4542" spans="1:16" x14ac:dyDescent="0.25">
      <c r="A4542">
        <v>4541</v>
      </c>
      <c r="B4542" t="s">
        <v>9</v>
      </c>
      <c r="C4542">
        <v>278030</v>
      </c>
      <c r="D4542" t="s">
        <v>19</v>
      </c>
      <c r="E4542" t="s">
        <v>16</v>
      </c>
      <c r="F4542" t="s">
        <v>12</v>
      </c>
      <c r="G4542" t="s">
        <v>13</v>
      </c>
      <c r="H4542" t="s">
        <v>13</v>
      </c>
      <c r="I4542">
        <v>43</v>
      </c>
      <c r="J4542" t="str" cm="1">
        <f t="array" ref="J4542">_xlfn.IFS(ISBLANK(C4542),"FALTANTE",ABS((C4542-$W$5)/$X$5)&gt;1.96,"ATÍPICO",ABS((C4542-$W$5)/$X$5)&lt;=1.96,"NO ATÍPICO")</f>
        <v>NO ATÍPICO</v>
      </c>
      <c r="K4542" t="str" cm="1">
        <f t="array" ref="K4542">_xlfn.IFS(ISBLANK(I4542),"FALTANTE",ABS((I4542-$W$8)/$X$8)&gt;1.92,"ATÍPICO",ABS((I4542-$W$8)/$X$8)&lt;=1.92,"NO ATÍPICO")</f>
        <v>NO ATÍPICO</v>
      </c>
      <c r="L4542">
        <f t="shared" si="298"/>
        <v>278030</v>
      </c>
      <c r="M4542" t="str">
        <f t="shared" si="298"/>
        <v>CONVENIOS ESPECIALES DE TRABAJADORES INDEPENDIENTES</v>
      </c>
      <c r="N4542">
        <f t="shared" si="299"/>
        <v>43</v>
      </c>
      <c r="O4542" s="19" t="str">
        <f t="shared" si="300"/>
        <v>0–300k</v>
      </c>
      <c r="P4542" s="19" t="str">
        <f t="shared" si="301"/>
        <v>36-45</v>
      </c>
    </row>
    <row r="4543" spans="1:16" x14ac:dyDescent="0.25">
      <c r="A4543">
        <v>4542</v>
      </c>
      <c r="B4543" t="s">
        <v>15</v>
      </c>
      <c r="C4543">
        <v>351531.84</v>
      </c>
      <c r="D4543" t="s">
        <v>10</v>
      </c>
      <c r="E4543" t="s">
        <v>16</v>
      </c>
      <c r="F4543" t="s">
        <v>12</v>
      </c>
      <c r="G4543" t="s">
        <v>13</v>
      </c>
      <c r="H4543" t="s">
        <v>13</v>
      </c>
      <c r="I4543">
        <v>35</v>
      </c>
      <c r="J4543" t="str" cm="1">
        <f t="array" ref="J4543">_xlfn.IFS(ISBLANK(C4543),"FALTANTE",ABS((C4543-$W$5)/$X$5)&gt;1.96,"ATÍPICO",ABS((C4543-$W$5)/$X$5)&lt;=1.96,"NO ATÍPICO")</f>
        <v>NO ATÍPICO</v>
      </c>
      <c r="K4543" t="str" cm="1">
        <f t="array" ref="K4543">_xlfn.IFS(ISBLANK(I4543),"FALTANTE",ABS((I4543-$W$8)/$X$8)&gt;1.92,"ATÍPICO",ABS((I4543-$W$8)/$X$8)&lt;=1.92,"NO ATÍPICO")</f>
        <v>NO ATÍPICO</v>
      </c>
      <c r="L4543">
        <f t="shared" si="298"/>
        <v>351531.84</v>
      </c>
      <c r="M4543" t="str">
        <f t="shared" si="298"/>
        <v>ASALARIADO</v>
      </c>
      <c r="N4543">
        <f t="shared" si="299"/>
        <v>35</v>
      </c>
      <c r="O4543" s="19" t="str">
        <f t="shared" si="300"/>
        <v>300k–600k</v>
      </c>
      <c r="P4543" s="19" t="str">
        <f t="shared" si="301"/>
        <v>26-35</v>
      </c>
    </row>
    <row r="4544" spans="1:16" x14ac:dyDescent="0.25">
      <c r="A4544">
        <v>4543</v>
      </c>
      <c r="B4544" t="s">
        <v>15</v>
      </c>
      <c r="C4544">
        <v>568492</v>
      </c>
      <c r="D4544" t="s">
        <v>10</v>
      </c>
      <c r="E4544" t="s">
        <v>11</v>
      </c>
      <c r="F4544" t="s">
        <v>12</v>
      </c>
      <c r="G4544" t="s">
        <v>13</v>
      </c>
      <c r="H4544" t="s">
        <v>13</v>
      </c>
      <c r="I4544">
        <v>28</v>
      </c>
      <c r="J4544" t="str" cm="1">
        <f t="array" ref="J4544">_xlfn.IFS(ISBLANK(C4544),"FALTANTE",ABS((C4544-$W$5)/$X$5)&gt;1.96,"ATÍPICO",ABS((C4544-$W$5)/$X$5)&lt;=1.96,"NO ATÍPICO")</f>
        <v>NO ATÍPICO</v>
      </c>
      <c r="K4544" t="str" cm="1">
        <f t="array" ref="K4544">_xlfn.IFS(ISBLANK(I4544),"FALTANTE",ABS((I4544-$W$8)/$X$8)&gt;1.92,"ATÍPICO",ABS((I4544-$W$8)/$X$8)&lt;=1.92,"NO ATÍPICO")</f>
        <v>NO ATÍPICO</v>
      </c>
      <c r="L4544">
        <f t="shared" si="298"/>
        <v>568492</v>
      </c>
      <c r="M4544" t="str">
        <f t="shared" si="298"/>
        <v>ASALARIADO</v>
      </c>
      <c r="N4544">
        <f t="shared" si="299"/>
        <v>28</v>
      </c>
      <c r="O4544" s="19" t="str">
        <f t="shared" si="300"/>
        <v>300k–600k</v>
      </c>
      <c r="P4544" s="19" t="str">
        <f t="shared" si="301"/>
        <v>26-35</v>
      </c>
    </row>
    <row r="4545" spans="1:16" x14ac:dyDescent="0.25">
      <c r="A4545">
        <v>4544</v>
      </c>
      <c r="B4545" t="s">
        <v>9</v>
      </c>
      <c r="C4545">
        <v>353607</v>
      </c>
      <c r="D4545" t="s">
        <v>10</v>
      </c>
      <c r="E4545" t="s">
        <v>16</v>
      </c>
      <c r="F4545" t="s">
        <v>12</v>
      </c>
      <c r="G4545" t="s">
        <v>13</v>
      </c>
      <c r="H4545" t="s">
        <v>13</v>
      </c>
      <c r="I4545">
        <v>51</v>
      </c>
      <c r="J4545" t="str" cm="1">
        <f t="array" ref="J4545">_xlfn.IFS(ISBLANK(C4545),"FALTANTE",ABS((C4545-$W$5)/$X$5)&gt;1.96,"ATÍPICO",ABS((C4545-$W$5)/$X$5)&lt;=1.96,"NO ATÍPICO")</f>
        <v>NO ATÍPICO</v>
      </c>
      <c r="K4545" t="str" cm="1">
        <f t="array" ref="K4545">_xlfn.IFS(ISBLANK(I4545),"FALTANTE",ABS((I4545-$W$8)/$X$8)&gt;1.92,"ATÍPICO",ABS((I4545-$W$8)/$X$8)&lt;=1.92,"NO ATÍPICO")</f>
        <v>NO ATÍPICO</v>
      </c>
      <c r="L4545">
        <f t="shared" si="298"/>
        <v>353607</v>
      </c>
      <c r="M4545" t="str">
        <f t="shared" si="298"/>
        <v>ASALARIADO</v>
      </c>
      <c r="N4545">
        <f t="shared" si="299"/>
        <v>51</v>
      </c>
      <c r="O4545" s="19" t="str">
        <f t="shared" si="300"/>
        <v>300k–600k</v>
      </c>
      <c r="P4545" s="19" t="str">
        <f t="shared" si="301"/>
        <v>46-55</v>
      </c>
    </row>
    <row r="4546" spans="1:16" x14ac:dyDescent="0.25">
      <c r="A4546">
        <v>4545</v>
      </c>
      <c r="B4546" t="s">
        <v>15</v>
      </c>
      <c r="C4546">
        <v>1932000</v>
      </c>
      <c r="D4546" t="s">
        <v>10</v>
      </c>
      <c r="E4546" t="s">
        <v>16</v>
      </c>
      <c r="F4546" t="s">
        <v>12</v>
      </c>
      <c r="G4546" t="s">
        <v>13</v>
      </c>
      <c r="H4546" t="s">
        <v>13</v>
      </c>
      <c r="I4546">
        <v>51</v>
      </c>
      <c r="J4546" t="str" cm="1">
        <f t="array" ref="J4546">_xlfn.IFS(ISBLANK(C4546),"FALTANTE",ABS((C4546-$W$5)/$X$5)&gt;1.96,"ATÍPICO",ABS((C4546-$W$5)/$X$5)&lt;=1.96,"NO ATÍPICO")</f>
        <v>NO ATÍPICO</v>
      </c>
      <c r="K4546" t="str" cm="1">
        <f t="array" ref="K4546">_xlfn.IFS(ISBLANK(I4546),"FALTANTE",ABS((I4546-$W$8)/$X$8)&gt;1.92,"ATÍPICO",ABS((I4546-$W$8)/$X$8)&lt;=1.92,"NO ATÍPICO")</f>
        <v>NO ATÍPICO</v>
      </c>
      <c r="L4546">
        <f t="shared" ref="L4546:M4609" si="302">C4546</f>
        <v>1932000</v>
      </c>
      <c r="M4546" t="str">
        <f t="shared" si="302"/>
        <v>ASALARIADO</v>
      </c>
      <c r="N4546">
        <f t="shared" ref="N4546:N4609" si="303">I4546</f>
        <v>51</v>
      </c>
      <c r="O4546" s="19" t="str">
        <f t="shared" ref="O4546:O4609" si="304">IF(L4546&lt;=300000,"0–300k",IF(L4546&lt;=600000,"300k–600k",IF(L4546&lt;=900000,"600k–900k",IF(L4546&lt;=1200000,"900k–1200k","1200k+"))))</f>
        <v>1200k+</v>
      </c>
      <c r="P4546" s="19" t="str">
        <f t="shared" ref="P4546:P4609" si="305">IF(N4546 &lt;=25,"18-25", IF(N4546&lt;=35,"26-35", IF(N4546 &lt;=45,"36-45", IF(N4546&lt;=55,"46-55","56+"))))</f>
        <v>46-55</v>
      </c>
    </row>
    <row r="4547" spans="1:16" x14ac:dyDescent="0.25">
      <c r="A4547">
        <v>4546</v>
      </c>
      <c r="B4547" t="s">
        <v>15</v>
      </c>
      <c r="C4547">
        <v>560498</v>
      </c>
      <c r="D4547" t="s">
        <v>18</v>
      </c>
      <c r="E4547" t="s">
        <v>16</v>
      </c>
      <c r="F4547" t="s">
        <v>12</v>
      </c>
      <c r="G4547" t="s">
        <v>13</v>
      </c>
      <c r="H4547" t="s">
        <v>12</v>
      </c>
      <c r="I4547">
        <v>51</v>
      </c>
      <c r="J4547" t="str" cm="1">
        <f t="array" ref="J4547">_xlfn.IFS(ISBLANK(C4547),"FALTANTE",ABS((C4547-$W$5)/$X$5)&gt;1.96,"ATÍPICO",ABS((C4547-$W$5)/$X$5)&lt;=1.96,"NO ATÍPICO")</f>
        <v>NO ATÍPICO</v>
      </c>
      <c r="K4547" t="str" cm="1">
        <f t="array" ref="K4547">_xlfn.IFS(ISBLANK(I4547),"FALTANTE",ABS((I4547-$W$8)/$X$8)&gt;1.92,"ATÍPICO",ABS((I4547-$W$8)/$X$8)&lt;=1.92,"NO ATÍPICO")</f>
        <v>NO ATÍPICO</v>
      </c>
      <c r="L4547">
        <f t="shared" si="302"/>
        <v>560498</v>
      </c>
      <c r="M4547" t="str">
        <f t="shared" si="302"/>
        <v>TRABAJADOR INDEPENDIENTE</v>
      </c>
      <c r="N4547">
        <f t="shared" si="303"/>
        <v>51</v>
      </c>
      <c r="O4547" s="19" t="str">
        <f t="shared" si="304"/>
        <v>300k–600k</v>
      </c>
      <c r="P4547" s="19" t="str">
        <f t="shared" si="305"/>
        <v>46-55</v>
      </c>
    </row>
    <row r="4548" spans="1:16" x14ac:dyDescent="0.25">
      <c r="A4548">
        <v>4547</v>
      </c>
      <c r="B4548" t="s">
        <v>9</v>
      </c>
      <c r="C4548">
        <v>566297</v>
      </c>
      <c r="D4548" t="s">
        <v>17</v>
      </c>
      <c r="E4548" t="s">
        <v>16</v>
      </c>
      <c r="F4548" t="s">
        <v>12</v>
      </c>
      <c r="G4548" t="s">
        <v>13</v>
      </c>
      <c r="H4548" t="s">
        <v>13</v>
      </c>
      <c r="I4548">
        <v>55</v>
      </c>
      <c r="J4548" t="str" cm="1">
        <f t="array" ref="J4548">_xlfn.IFS(ISBLANK(C4548),"FALTANTE",ABS((C4548-$W$5)/$X$5)&gt;1.96,"ATÍPICO",ABS((C4548-$W$5)/$X$5)&lt;=1.96,"NO ATÍPICO")</f>
        <v>NO ATÍPICO</v>
      </c>
      <c r="K4548" t="str" cm="1">
        <f t="array" ref="K4548">_xlfn.IFS(ISBLANK(I4548),"FALTANTE",ABS((I4548-$W$8)/$X$8)&gt;1.92,"ATÍPICO",ABS((I4548-$W$8)/$X$8)&lt;=1.92,"NO ATÍPICO")</f>
        <v>NO ATÍPICO</v>
      </c>
      <c r="L4548">
        <f t="shared" si="302"/>
        <v>566297</v>
      </c>
      <c r="M4548" t="str">
        <f t="shared" si="302"/>
        <v>ASEGURADO VOLUNTARIO</v>
      </c>
      <c r="N4548">
        <f t="shared" si="303"/>
        <v>55</v>
      </c>
      <c r="O4548" s="19" t="str">
        <f t="shared" si="304"/>
        <v>300k–600k</v>
      </c>
      <c r="P4548" s="19" t="str">
        <f t="shared" si="305"/>
        <v>46-55</v>
      </c>
    </row>
    <row r="4549" spans="1:16" x14ac:dyDescent="0.25">
      <c r="A4549">
        <v>4548</v>
      </c>
      <c r="B4549" t="s">
        <v>15</v>
      </c>
      <c r="C4549">
        <v>133037.29999999999</v>
      </c>
      <c r="D4549" t="s">
        <v>10</v>
      </c>
      <c r="E4549" t="s">
        <v>11</v>
      </c>
      <c r="F4549" t="s">
        <v>12</v>
      </c>
      <c r="G4549" t="s">
        <v>13</v>
      </c>
      <c r="H4549" t="s">
        <v>13</v>
      </c>
      <c r="I4549">
        <v>25</v>
      </c>
      <c r="J4549" t="str" cm="1">
        <f t="array" ref="J4549">_xlfn.IFS(ISBLANK(C4549),"FALTANTE",ABS((C4549-$W$5)/$X$5)&gt;1.96,"ATÍPICO",ABS((C4549-$W$5)/$X$5)&lt;=1.96,"NO ATÍPICO")</f>
        <v>NO ATÍPICO</v>
      </c>
      <c r="K4549" t="str" cm="1">
        <f t="array" ref="K4549">_xlfn.IFS(ISBLANK(I4549),"FALTANTE",ABS((I4549-$W$8)/$X$8)&gt;1.92,"ATÍPICO",ABS((I4549-$W$8)/$X$8)&lt;=1.92,"NO ATÍPICO")</f>
        <v>NO ATÍPICO</v>
      </c>
      <c r="L4549">
        <f t="shared" si="302"/>
        <v>133037.29999999999</v>
      </c>
      <c r="M4549" t="str">
        <f t="shared" si="302"/>
        <v>ASALARIADO</v>
      </c>
      <c r="N4549">
        <f t="shared" si="303"/>
        <v>25</v>
      </c>
      <c r="O4549" s="19" t="str">
        <f t="shared" si="304"/>
        <v>0–300k</v>
      </c>
      <c r="P4549" s="19" t="str">
        <f t="shared" si="305"/>
        <v>18-25</v>
      </c>
    </row>
    <row r="4550" spans="1:16" x14ac:dyDescent="0.25">
      <c r="A4550">
        <v>4549</v>
      </c>
      <c r="B4550" t="s">
        <v>9</v>
      </c>
      <c r="C4550">
        <v>1848072</v>
      </c>
      <c r="D4550" t="s">
        <v>10</v>
      </c>
      <c r="E4550" t="s">
        <v>11</v>
      </c>
      <c r="F4550" t="s">
        <v>12</v>
      </c>
      <c r="G4550" t="s">
        <v>13</v>
      </c>
      <c r="H4550" t="s">
        <v>12</v>
      </c>
      <c r="I4550">
        <v>63</v>
      </c>
      <c r="J4550" t="str" cm="1">
        <f t="array" ref="J4550">_xlfn.IFS(ISBLANK(C4550),"FALTANTE",ABS((C4550-$W$5)/$X$5)&gt;1.96,"ATÍPICO",ABS((C4550-$W$5)/$X$5)&lt;=1.96,"NO ATÍPICO")</f>
        <v>NO ATÍPICO</v>
      </c>
      <c r="K4550" t="str" cm="1">
        <f t="array" ref="K4550">_xlfn.IFS(ISBLANK(I4550),"FALTANTE",ABS((I4550-$W$8)/$X$8)&gt;1.92,"ATÍPICO",ABS((I4550-$W$8)/$X$8)&lt;=1.92,"NO ATÍPICO")</f>
        <v>NO ATÍPICO</v>
      </c>
      <c r="L4550">
        <f t="shared" si="302"/>
        <v>1848072</v>
      </c>
      <c r="M4550" t="str">
        <f t="shared" si="302"/>
        <v>ASALARIADO</v>
      </c>
      <c r="N4550">
        <f t="shared" si="303"/>
        <v>63</v>
      </c>
      <c r="O4550" s="19" t="str">
        <f t="shared" si="304"/>
        <v>1200k+</v>
      </c>
      <c r="P4550" s="19" t="str">
        <f t="shared" si="305"/>
        <v>56+</v>
      </c>
    </row>
    <row r="4551" spans="1:16" x14ac:dyDescent="0.25">
      <c r="A4551">
        <v>4550</v>
      </c>
      <c r="B4551" t="s">
        <v>9</v>
      </c>
      <c r="C4551">
        <v>1624745.95</v>
      </c>
      <c r="D4551" t="s">
        <v>10</v>
      </c>
      <c r="E4551" t="s">
        <v>16</v>
      </c>
      <c r="F4551" t="s">
        <v>12</v>
      </c>
      <c r="G4551" t="s">
        <v>13</v>
      </c>
      <c r="H4551" t="s">
        <v>13</v>
      </c>
      <c r="I4551">
        <v>38</v>
      </c>
      <c r="J4551" t="str" cm="1">
        <f t="array" ref="J4551">_xlfn.IFS(ISBLANK(C4551),"FALTANTE",ABS((C4551-$W$5)/$X$5)&gt;1.96,"ATÍPICO",ABS((C4551-$W$5)/$X$5)&lt;=1.96,"NO ATÍPICO")</f>
        <v>NO ATÍPICO</v>
      </c>
      <c r="K4551" t="str" cm="1">
        <f t="array" ref="K4551">_xlfn.IFS(ISBLANK(I4551),"FALTANTE",ABS((I4551-$W$8)/$X$8)&gt;1.92,"ATÍPICO",ABS((I4551-$W$8)/$X$8)&lt;=1.92,"NO ATÍPICO")</f>
        <v>NO ATÍPICO</v>
      </c>
      <c r="L4551">
        <f t="shared" si="302"/>
        <v>1624745.95</v>
      </c>
      <c r="M4551" t="str">
        <f t="shared" si="302"/>
        <v>ASALARIADO</v>
      </c>
      <c r="N4551">
        <f t="shared" si="303"/>
        <v>38</v>
      </c>
      <c r="O4551" s="19" t="str">
        <f t="shared" si="304"/>
        <v>1200k+</v>
      </c>
      <c r="P4551" s="19" t="str">
        <f t="shared" si="305"/>
        <v>36-45</v>
      </c>
    </row>
    <row r="4552" spans="1:16" x14ac:dyDescent="0.25">
      <c r="A4552">
        <v>4551</v>
      </c>
      <c r="B4552" t="s">
        <v>9</v>
      </c>
      <c r="C4552">
        <v>693063.36</v>
      </c>
      <c r="D4552" t="s">
        <v>10</v>
      </c>
      <c r="E4552" t="s">
        <v>16</v>
      </c>
      <c r="F4552" t="s">
        <v>12</v>
      </c>
      <c r="G4552" t="s">
        <v>13</v>
      </c>
      <c r="H4552" t="s">
        <v>13</v>
      </c>
      <c r="I4552">
        <v>45</v>
      </c>
      <c r="J4552" t="str" cm="1">
        <f t="array" ref="J4552">_xlfn.IFS(ISBLANK(C4552),"FALTANTE",ABS((C4552-$W$5)/$X$5)&gt;1.96,"ATÍPICO",ABS((C4552-$W$5)/$X$5)&lt;=1.96,"NO ATÍPICO")</f>
        <v>NO ATÍPICO</v>
      </c>
      <c r="K4552" t="str" cm="1">
        <f t="array" ref="K4552">_xlfn.IFS(ISBLANK(I4552),"FALTANTE",ABS((I4552-$W$8)/$X$8)&gt;1.92,"ATÍPICO",ABS((I4552-$W$8)/$X$8)&lt;=1.92,"NO ATÍPICO")</f>
        <v>NO ATÍPICO</v>
      </c>
      <c r="L4552">
        <f t="shared" si="302"/>
        <v>693063.36</v>
      </c>
      <c r="M4552" t="str">
        <f t="shared" si="302"/>
        <v>ASALARIADO</v>
      </c>
      <c r="N4552">
        <f t="shared" si="303"/>
        <v>45</v>
      </c>
      <c r="O4552" s="19" t="str">
        <f t="shared" si="304"/>
        <v>600k–900k</v>
      </c>
      <c r="P4552" s="19" t="str">
        <f t="shared" si="305"/>
        <v>36-45</v>
      </c>
    </row>
    <row r="4553" spans="1:16" x14ac:dyDescent="0.25">
      <c r="A4553">
        <v>4552</v>
      </c>
      <c r="B4553" t="s">
        <v>9</v>
      </c>
      <c r="C4553">
        <v>476566.67</v>
      </c>
      <c r="D4553" t="s">
        <v>10</v>
      </c>
      <c r="E4553" t="s">
        <v>16</v>
      </c>
      <c r="F4553" t="s">
        <v>12</v>
      </c>
      <c r="G4553" t="s">
        <v>13</v>
      </c>
      <c r="H4553" t="s">
        <v>13</v>
      </c>
      <c r="I4553">
        <v>33</v>
      </c>
      <c r="J4553" t="str" cm="1">
        <f t="array" ref="J4553">_xlfn.IFS(ISBLANK(C4553),"FALTANTE",ABS((C4553-$W$5)/$X$5)&gt;1.96,"ATÍPICO",ABS((C4553-$W$5)/$X$5)&lt;=1.96,"NO ATÍPICO")</f>
        <v>NO ATÍPICO</v>
      </c>
      <c r="K4553" t="str" cm="1">
        <f t="array" ref="K4553">_xlfn.IFS(ISBLANK(I4553),"FALTANTE",ABS((I4553-$W$8)/$X$8)&gt;1.92,"ATÍPICO",ABS((I4553-$W$8)/$X$8)&lt;=1.92,"NO ATÍPICO")</f>
        <v>NO ATÍPICO</v>
      </c>
      <c r="L4553">
        <f t="shared" si="302"/>
        <v>476566.67</v>
      </c>
      <c r="M4553" t="str">
        <f t="shared" si="302"/>
        <v>ASALARIADO</v>
      </c>
      <c r="N4553">
        <f t="shared" si="303"/>
        <v>33</v>
      </c>
      <c r="O4553" s="19" t="str">
        <f t="shared" si="304"/>
        <v>300k–600k</v>
      </c>
      <c r="P4553" s="19" t="str">
        <f t="shared" si="305"/>
        <v>26-35</v>
      </c>
    </row>
    <row r="4554" spans="1:16" x14ac:dyDescent="0.25">
      <c r="A4554">
        <v>4553</v>
      </c>
      <c r="B4554" t="s">
        <v>15</v>
      </c>
      <c r="C4554">
        <v>297429</v>
      </c>
      <c r="D4554" t="s">
        <v>18</v>
      </c>
      <c r="E4554" t="s">
        <v>16</v>
      </c>
      <c r="F4554" t="s">
        <v>12</v>
      </c>
      <c r="G4554" t="s">
        <v>13</v>
      </c>
      <c r="H4554" t="s">
        <v>12</v>
      </c>
      <c r="I4554">
        <v>65</v>
      </c>
      <c r="J4554" t="str" cm="1">
        <f t="array" ref="J4554">_xlfn.IFS(ISBLANK(C4554),"FALTANTE",ABS((C4554-$W$5)/$X$5)&gt;1.96,"ATÍPICO",ABS((C4554-$W$5)/$X$5)&lt;=1.96,"NO ATÍPICO")</f>
        <v>NO ATÍPICO</v>
      </c>
      <c r="K4554" t="str" cm="1">
        <f t="array" ref="K4554">_xlfn.IFS(ISBLANK(I4554),"FALTANTE",ABS((I4554-$W$8)/$X$8)&gt;1.92,"ATÍPICO",ABS((I4554-$W$8)/$X$8)&lt;=1.92,"NO ATÍPICO")</f>
        <v>NO ATÍPICO</v>
      </c>
      <c r="L4554">
        <f t="shared" si="302"/>
        <v>297429</v>
      </c>
      <c r="M4554" t="str">
        <f t="shared" si="302"/>
        <v>TRABAJADOR INDEPENDIENTE</v>
      </c>
      <c r="N4554">
        <f t="shared" si="303"/>
        <v>65</v>
      </c>
      <c r="O4554" s="19" t="str">
        <f t="shared" si="304"/>
        <v>0–300k</v>
      </c>
      <c r="P4554" s="19" t="str">
        <f t="shared" si="305"/>
        <v>56+</v>
      </c>
    </row>
    <row r="4555" spans="1:16" x14ac:dyDescent="0.25">
      <c r="A4555">
        <v>4554</v>
      </c>
      <c r="B4555" t="s">
        <v>9</v>
      </c>
      <c r="C4555">
        <v>35530</v>
      </c>
      <c r="D4555" t="s">
        <v>10</v>
      </c>
      <c r="E4555" t="s">
        <v>16</v>
      </c>
      <c r="F4555" t="s">
        <v>12</v>
      </c>
      <c r="G4555" t="s">
        <v>12</v>
      </c>
      <c r="H4555" t="s">
        <v>13</v>
      </c>
      <c r="I4555">
        <v>37</v>
      </c>
      <c r="J4555" t="str" cm="1">
        <f t="array" ref="J4555">_xlfn.IFS(ISBLANK(C4555),"FALTANTE",ABS((C4555-$W$5)/$X$5)&gt;1.96,"ATÍPICO",ABS((C4555-$W$5)/$X$5)&lt;=1.96,"NO ATÍPICO")</f>
        <v>NO ATÍPICO</v>
      </c>
      <c r="K4555" t="str" cm="1">
        <f t="array" ref="K4555">_xlfn.IFS(ISBLANK(I4555),"FALTANTE",ABS((I4555-$W$8)/$X$8)&gt;1.92,"ATÍPICO",ABS((I4555-$W$8)/$X$8)&lt;=1.92,"NO ATÍPICO")</f>
        <v>NO ATÍPICO</v>
      </c>
      <c r="L4555">
        <f t="shared" si="302"/>
        <v>35530</v>
      </c>
      <c r="M4555" t="str">
        <f t="shared" si="302"/>
        <v>ASALARIADO</v>
      </c>
      <c r="N4555">
        <f t="shared" si="303"/>
        <v>37</v>
      </c>
      <c r="O4555" s="19" t="str">
        <f t="shared" si="304"/>
        <v>0–300k</v>
      </c>
      <c r="P4555" s="19" t="str">
        <f t="shared" si="305"/>
        <v>36-45</v>
      </c>
    </row>
    <row r="4556" spans="1:16" x14ac:dyDescent="0.25">
      <c r="A4556">
        <v>4555</v>
      </c>
      <c r="B4556" t="s">
        <v>9</v>
      </c>
      <c r="C4556">
        <v>476562.94</v>
      </c>
      <c r="D4556" t="s">
        <v>10</v>
      </c>
      <c r="E4556" t="s">
        <v>16</v>
      </c>
      <c r="F4556" t="s">
        <v>12</v>
      </c>
      <c r="G4556" t="s">
        <v>12</v>
      </c>
      <c r="H4556" t="s">
        <v>13</v>
      </c>
      <c r="I4556">
        <v>32</v>
      </c>
      <c r="J4556" t="str" cm="1">
        <f t="array" ref="J4556">_xlfn.IFS(ISBLANK(C4556),"FALTANTE",ABS((C4556-$W$5)/$X$5)&gt;1.96,"ATÍPICO",ABS((C4556-$W$5)/$X$5)&lt;=1.96,"NO ATÍPICO")</f>
        <v>NO ATÍPICO</v>
      </c>
      <c r="K4556" t="str" cm="1">
        <f t="array" ref="K4556">_xlfn.IFS(ISBLANK(I4556),"FALTANTE",ABS((I4556-$W$8)/$X$8)&gt;1.92,"ATÍPICO",ABS((I4556-$W$8)/$X$8)&lt;=1.92,"NO ATÍPICO")</f>
        <v>NO ATÍPICO</v>
      </c>
      <c r="L4556">
        <f t="shared" si="302"/>
        <v>476562.94</v>
      </c>
      <c r="M4556" t="str">
        <f t="shared" si="302"/>
        <v>ASALARIADO</v>
      </c>
      <c r="N4556">
        <f t="shared" si="303"/>
        <v>32</v>
      </c>
      <c r="O4556" s="19" t="str">
        <f t="shared" si="304"/>
        <v>300k–600k</v>
      </c>
      <c r="P4556" s="19" t="str">
        <f t="shared" si="305"/>
        <v>26-35</v>
      </c>
    </row>
    <row r="4557" spans="1:16" x14ac:dyDescent="0.25">
      <c r="A4557">
        <v>4556</v>
      </c>
      <c r="B4557" t="s">
        <v>15</v>
      </c>
      <c r="C4557">
        <v>297046</v>
      </c>
      <c r="D4557" t="s">
        <v>17</v>
      </c>
      <c r="E4557" t="s">
        <v>16</v>
      </c>
      <c r="F4557" t="s">
        <v>12</v>
      </c>
      <c r="G4557" t="s">
        <v>12</v>
      </c>
      <c r="H4557" t="s">
        <v>13</v>
      </c>
      <c r="I4557">
        <v>38</v>
      </c>
      <c r="J4557" t="str" cm="1">
        <f t="array" ref="J4557">_xlfn.IFS(ISBLANK(C4557),"FALTANTE",ABS((C4557-$W$5)/$X$5)&gt;1.96,"ATÍPICO",ABS((C4557-$W$5)/$X$5)&lt;=1.96,"NO ATÍPICO")</f>
        <v>NO ATÍPICO</v>
      </c>
      <c r="K4557" t="str" cm="1">
        <f t="array" ref="K4557">_xlfn.IFS(ISBLANK(I4557),"FALTANTE",ABS((I4557-$W$8)/$X$8)&gt;1.92,"ATÍPICO",ABS((I4557-$W$8)/$X$8)&lt;=1.92,"NO ATÍPICO")</f>
        <v>NO ATÍPICO</v>
      </c>
      <c r="L4557">
        <f t="shared" si="302"/>
        <v>297046</v>
      </c>
      <c r="M4557" t="str">
        <f t="shared" si="302"/>
        <v>ASEGURADO VOLUNTARIO</v>
      </c>
      <c r="N4557">
        <f t="shared" si="303"/>
        <v>38</v>
      </c>
      <c r="O4557" s="19" t="str">
        <f t="shared" si="304"/>
        <v>0–300k</v>
      </c>
      <c r="P4557" s="19" t="str">
        <f t="shared" si="305"/>
        <v>36-45</v>
      </c>
    </row>
    <row r="4558" spans="1:16" x14ac:dyDescent="0.25">
      <c r="A4558">
        <v>4557</v>
      </c>
      <c r="B4558" t="s">
        <v>9</v>
      </c>
      <c r="C4558">
        <v>381640</v>
      </c>
      <c r="D4558" t="s">
        <v>10</v>
      </c>
      <c r="E4558" t="s">
        <v>16</v>
      </c>
      <c r="F4558" t="s">
        <v>12</v>
      </c>
      <c r="G4558" t="s">
        <v>13</v>
      </c>
      <c r="H4558" t="s">
        <v>13</v>
      </c>
      <c r="I4558">
        <v>53</v>
      </c>
      <c r="J4558" t="str" cm="1">
        <f t="array" ref="J4558">_xlfn.IFS(ISBLANK(C4558),"FALTANTE",ABS((C4558-$W$5)/$X$5)&gt;1.96,"ATÍPICO",ABS((C4558-$W$5)/$X$5)&lt;=1.96,"NO ATÍPICO")</f>
        <v>NO ATÍPICO</v>
      </c>
      <c r="K4558" t="str" cm="1">
        <f t="array" ref="K4558">_xlfn.IFS(ISBLANK(I4558),"FALTANTE",ABS((I4558-$W$8)/$X$8)&gt;1.92,"ATÍPICO",ABS((I4558-$W$8)/$X$8)&lt;=1.92,"NO ATÍPICO")</f>
        <v>NO ATÍPICO</v>
      </c>
      <c r="L4558">
        <f t="shared" si="302"/>
        <v>381640</v>
      </c>
      <c r="M4558" t="str">
        <f t="shared" si="302"/>
        <v>ASALARIADO</v>
      </c>
      <c r="N4558">
        <f t="shared" si="303"/>
        <v>53</v>
      </c>
      <c r="O4558" s="19" t="str">
        <f t="shared" si="304"/>
        <v>300k–600k</v>
      </c>
      <c r="P4558" s="19" t="str">
        <f t="shared" si="305"/>
        <v>46-55</v>
      </c>
    </row>
    <row r="4559" spans="1:16" x14ac:dyDescent="0.25">
      <c r="A4559">
        <v>4558</v>
      </c>
      <c r="B4559" t="s">
        <v>9</v>
      </c>
      <c r="C4559">
        <v>323296</v>
      </c>
      <c r="D4559" t="s">
        <v>17</v>
      </c>
      <c r="E4559" t="s">
        <v>16</v>
      </c>
      <c r="F4559" t="s">
        <v>12</v>
      </c>
      <c r="G4559" t="s">
        <v>13</v>
      </c>
      <c r="H4559" t="s">
        <v>13</v>
      </c>
      <c r="I4559">
        <v>31</v>
      </c>
      <c r="J4559" t="str" cm="1">
        <f t="array" ref="J4559">_xlfn.IFS(ISBLANK(C4559),"FALTANTE",ABS((C4559-$W$5)/$X$5)&gt;1.96,"ATÍPICO",ABS((C4559-$W$5)/$X$5)&lt;=1.96,"NO ATÍPICO")</f>
        <v>NO ATÍPICO</v>
      </c>
      <c r="K4559" t="str" cm="1">
        <f t="array" ref="K4559">_xlfn.IFS(ISBLANK(I4559),"FALTANTE",ABS((I4559-$W$8)/$X$8)&gt;1.92,"ATÍPICO",ABS((I4559-$W$8)/$X$8)&lt;=1.92,"NO ATÍPICO")</f>
        <v>NO ATÍPICO</v>
      </c>
      <c r="L4559">
        <f t="shared" si="302"/>
        <v>323296</v>
      </c>
      <c r="M4559" t="str">
        <f t="shared" si="302"/>
        <v>ASEGURADO VOLUNTARIO</v>
      </c>
      <c r="N4559">
        <f t="shared" si="303"/>
        <v>31</v>
      </c>
      <c r="O4559" s="19" t="str">
        <f t="shared" si="304"/>
        <v>300k–600k</v>
      </c>
      <c r="P4559" s="19" t="str">
        <f t="shared" si="305"/>
        <v>26-35</v>
      </c>
    </row>
    <row r="4560" spans="1:16" x14ac:dyDescent="0.25">
      <c r="A4560">
        <v>4559</v>
      </c>
      <c r="B4560" t="s">
        <v>9</v>
      </c>
      <c r="C4560">
        <v>1730544</v>
      </c>
      <c r="D4560" t="s">
        <v>10</v>
      </c>
      <c r="E4560" t="s">
        <v>16</v>
      </c>
      <c r="F4560" t="s">
        <v>12</v>
      </c>
      <c r="G4560" t="s">
        <v>13</v>
      </c>
      <c r="H4560" t="s">
        <v>13</v>
      </c>
      <c r="I4560">
        <v>31</v>
      </c>
      <c r="J4560" t="str" cm="1">
        <f t="array" ref="J4560">_xlfn.IFS(ISBLANK(C4560),"FALTANTE",ABS((C4560-$W$5)/$X$5)&gt;1.96,"ATÍPICO",ABS((C4560-$W$5)/$X$5)&lt;=1.96,"NO ATÍPICO")</f>
        <v>NO ATÍPICO</v>
      </c>
      <c r="K4560" t="str" cm="1">
        <f t="array" ref="K4560">_xlfn.IFS(ISBLANK(I4560),"FALTANTE",ABS((I4560-$W$8)/$X$8)&gt;1.92,"ATÍPICO",ABS((I4560-$W$8)/$X$8)&lt;=1.92,"NO ATÍPICO")</f>
        <v>NO ATÍPICO</v>
      </c>
      <c r="L4560">
        <f t="shared" si="302"/>
        <v>1730544</v>
      </c>
      <c r="M4560" t="str">
        <f t="shared" si="302"/>
        <v>ASALARIADO</v>
      </c>
      <c r="N4560">
        <f t="shared" si="303"/>
        <v>31</v>
      </c>
      <c r="O4560" s="19" t="str">
        <f t="shared" si="304"/>
        <v>1200k+</v>
      </c>
      <c r="P4560" s="19" t="str">
        <f t="shared" si="305"/>
        <v>26-35</v>
      </c>
    </row>
    <row r="4561" spans="1:16" x14ac:dyDescent="0.25">
      <c r="A4561">
        <v>4560</v>
      </c>
      <c r="B4561" t="s">
        <v>9</v>
      </c>
      <c r="C4561">
        <v>670740</v>
      </c>
      <c r="D4561" t="s">
        <v>10</v>
      </c>
      <c r="E4561" t="s">
        <v>16</v>
      </c>
      <c r="F4561" t="s">
        <v>12</v>
      </c>
      <c r="G4561" t="s">
        <v>13</v>
      </c>
      <c r="H4561" t="s">
        <v>13</v>
      </c>
      <c r="I4561">
        <v>27</v>
      </c>
      <c r="J4561" t="str" cm="1">
        <f t="array" ref="J4561">_xlfn.IFS(ISBLANK(C4561),"FALTANTE",ABS((C4561-$W$5)/$X$5)&gt;1.96,"ATÍPICO",ABS((C4561-$W$5)/$X$5)&lt;=1.96,"NO ATÍPICO")</f>
        <v>NO ATÍPICO</v>
      </c>
      <c r="K4561" t="str" cm="1">
        <f t="array" ref="K4561">_xlfn.IFS(ISBLANK(I4561),"FALTANTE",ABS((I4561-$W$8)/$X$8)&gt;1.92,"ATÍPICO",ABS((I4561-$W$8)/$X$8)&lt;=1.92,"NO ATÍPICO")</f>
        <v>NO ATÍPICO</v>
      </c>
      <c r="L4561">
        <f t="shared" si="302"/>
        <v>670740</v>
      </c>
      <c r="M4561" t="str">
        <f t="shared" si="302"/>
        <v>ASALARIADO</v>
      </c>
      <c r="N4561">
        <f t="shared" si="303"/>
        <v>27</v>
      </c>
      <c r="O4561" s="19" t="str">
        <f t="shared" si="304"/>
        <v>600k–900k</v>
      </c>
      <c r="P4561" s="19" t="str">
        <f t="shared" si="305"/>
        <v>26-35</v>
      </c>
    </row>
    <row r="4562" spans="1:16" x14ac:dyDescent="0.25">
      <c r="A4562">
        <v>4561</v>
      </c>
      <c r="B4562" t="s">
        <v>9</v>
      </c>
      <c r="C4562">
        <v>290000</v>
      </c>
      <c r="D4562" t="s">
        <v>10</v>
      </c>
      <c r="E4562" t="s">
        <v>16</v>
      </c>
      <c r="F4562" t="s">
        <v>12</v>
      </c>
      <c r="G4562" t="s">
        <v>12</v>
      </c>
      <c r="H4562" t="s">
        <v>13</v>
      </c>
      <c r="I4562">
        <v>42</v>
      </c>
      <c r="J4562" t="str" cm="1">
        <f t="array" ref="J4562">_xlfn.IFS(ISBLANK(C4562),"FALTANTE",ABS((C4562-$W$5)/$X$5)&gt;1.96,"ATÍPICO",ABS((C4562-$W$5)/$X$5)&lt;=1.96,"NO ATÍPICO")</f>
        <v>NO ATÍPICO</v>
      </c>
      <c r="K4562" t="str" cm="1">
        <f t="array" ref="K4562">_xlfn.IFS(ISBLANK(I4562),"FALTANTE",ABS((I4562-$W$8)/$X$8)&gt;1.92,"ATÍPICO",ABS((I4562-$W$8)/$X$8)&lt;=1.92,"NO ATÍPICO")</f>
        <v>NO ATÍPICO</v>
      </c>
      <c r="L4562">
        <f t="shared" si="302"/>
        <v>290000</v>
      </c>
      <c r="M4562" t="str">
        <f t="shared" si="302"/>
        <v>ASALARIADO</v>
      </c>
      <c r="N4562">
        <f t="shared" si="303"/>
        <v>42</v>
      </c>
      <c r="O4562" s="19" t="str">
        <f t="shared" si="304"/>
        <v>0–300k</v>
      </c>
      <c r="P4562" s="19" t="str">
        <f t="shared" si="305"/>
        <v>36-45</v>
      </c>
    </row>
    <row r="4563" spans="1:16" x14ac:dyDescent="0.25">
      <c r="A4563">
        <v>4562</v>
      </c>
      <c r="B4563" t="s">
        <v>9</v>
      </c>
      <c r="C4563">
        <v>542095.31999999995</v>
      </c>
      <c r="D4563" t="s">
        <v>14</v>
      </c>
      <c r="E4563" t="s">
        <v>11</v>
      </c>
      <c r="F4563" t="s">
        <v>12</v>
      </c>
      <c r="G4563" t="s">
        <v>13</v>
      </c>
      <c r="H4563" t="s">
        <v>13</v>
      </c>
      <c r="I4563">
        <v>64</v>
      </c>
      <c r="J4563" t="str" cm="1">
        <f t="array" ref="J4563">_xlfn.IFS(ISBLANK(C4563),"FALTANTE",ABS((C4563-$W$5)/$X$5)&gt;1.96,"ATÍPICO",ABS((C4563-$W$5)/$X$5)&lt;=1.96,"NO ATÍPICO")</f>
        <v>NO ATÍPICO</v>
      </c>
      <c r="K4563" t="str" cm="1">
        <f t="array" ref="K4563">_xlfn.IFS(ISBLANK(I4563),"FALTANTE",ABS((I4563-$W$8)/$X$8)&gt;1.92,"ATÍPICO",ABS((I4563-$W$8)/$X$8)&lt;=1.92,"NO ATÍPICO")</f>
        <v>NO ATÍPICO</v>
      </c>
      <c r="L4563">
        <f t="shared" si="302"/>
        <v>542095.31999999995</v>
      </c>
      <c r="M4563" t="str">
        <f t="shared" si="302"/>
        <v>PENSIONADOS EN SU PROPIO SISTEMA</v>
      </c>
      <c r="N4563">
        <f t="shared" si="303"/>
        <v>64</v>
      </c>
      <c r="O4563" s="19" t="str">
        <f t="shared" si="304"/>
        <v>300k–600k</v>
      </c>
      <c r="P4563" s="19" t="str">
        <f t="shared" si="305"/>
        <v>56+</v>
      </c>
    </row>
    <row r="4564" spans="1:16" x14ac:dyDescent="0.25">
      <c r="A4564">
        <v>4563</v>
      </c>
      <c r="B4564" t="s">
        <v>9</v>
      </c>
      <c r="C4564">
        <v>695574.7</v>
      </c>
      <c r="D4564" t="s">
        <v>10</v>
      </c>
      <c r="E4564" t="s">
        <v>16</v>
      </c>
      <c r="F4564" t="s">
        <v>12</v>
      </c>
      <c r="G4564" t="s">
        <v>13</v>
      </c>
      <c r="H4564" t="s">
        <v>13</v>
      </c>
      <c r="I4564">
        <v>55</v>
      </c>
      <c r="J4564" t="str" cm="1">
        <f t="array" ref="J4564">_xlfn.IFS(ISBLANK(C4564),"FALTANTE",ABS((C4564-$W$5)/$X$5)&gt;1.96,"ATÍPICO",ABS((C4564-$W$5)/$X$5)&lt;=1.96,"NO ATÍPICO")</f>
        <v>NO ATÍPICO</v>
      </c>
      <c r="K4564" t="str" cm="1">
        <f t="array" ref="K4564">_xlfn.IFS(ISBLANK(I4564),"FALTANTE",ABS((I4564-$W$8)/$X$8)&gt;1.92,"ATÍPICO",ABS((I4564-$W$8)/$X$8)&lt;=1.92,"NO ATÍPICO")</f>
        <v>NO ATÍPICO</v>
      </c>
      <c r="L4564">
        <f t="shared" si="302"/>
        <v>695574.7</v>
      </c>
      <c r="M4564" t="str">
        <f t="shared" si="302"/>
        <v>ASALARIADO</v>
      </c>
      <c r="N4564">
        <f t="shared" si="303"/>
        <v>55</v>
      </c>
      <c r="O4564" s="19" t="str">
        <f t="shared" si="304"/>
        <v>600k–900k</v>
      </c>
      <c r="P4564" s="19" t="str">
        <f t="shared" si="305"/>
        <v>46-55</v>
      </c>
    </row>
    <row r="4565" spans="1:16" x14ac:dyDescent="0.25">
      <c r="A4565">
        <v>4564</v>
      </c>
      <c r="B4565" t="s">
        <v>9</v>
      </c>
      <c r="C4565">
        <v>299784</v>
      </c>
      <c r="D4565" t="s">
        <v>18</v>
      </c>
      <c r="E4565" t="s">
        <v>16</v>
      </c>
      <c r="F4565" t="s">
        <v>12</v>
      </c>
      <c r="G4565" t="s">
        <v>13</v>
      </c>
      <c r="H4565" t="s">
        <v>13</v>
      </c>
      <c r="I4565">
        <v>39</v>
      </c>
      <c r="J4565" t="str" cm="1">
        <f t="array" ref="J4565">_xlfn.IFS(ISBLANK(C4565),"FALTANTE",ABS((C4565-$W$5)/$X$5)&gt;1.96,"ATÍPICO",ABS((C4565-$W$5)/$X$5)&lt;=1.96,"NO ATÍPICO")</f>
        <v>NO ATÍPICO</v>
      </c>
      <c r="K4565" t="str" cm="1">
        <f t="array" ref="K4565">_xlfn.IFS(ISBLANK(I4565),"FALTANTE",ABS((I4565-$W$8)/$X$8)&gt;1.92,"ATÍPICO",ABS((I4565-$W$8)/$X$8)&lt;=1.92,"NO ATÍPICO")</f>
        <v>NO ATÍPICO</v>
      </c>
      <c r="L4565">
        <f t="shared" si="302"/>
        <v>299784</v>
      </c>
      <c r="M4565" t="str">
        <f t="shared" si="302"/>
        <v>TRABAJADOR INDEPENDIENTE</v>
      </c>
      <c r="N4565">
        <f t="shared" si="303"/>
        <v>39</v>
      </c>
      <c r="O4565" s="19" t="str">
        <f t="shared" si="304"/>
        <v>0–300k</v>
      </c>
      <c r="P4565" s="19" t="str">
        <f t="shared" si="305"/>
        <v>36-45</v>
      </c>
    </row>
    <row r="4566" spans="1:16" x14ac:dyDescent="0.25">
      <c r="A4566">
        <v>4565</v>
      </c>
      <c r="B4566" t="s">
        <v>9</v>
      </c>
      <c r="C4566">
        <v>1166115</v>
      </c>
      <c r="D4566" t="s">
        <v>10</v>
      </c>
      <c r="E4566" t="s">
        <v>11</v>
      </c>
      <c r="F4566" t="s">
        <v>12</v>
      </c>
      <c r="G4566" t="s">
        <v>13</v>
      </c>
      <c r="H4566" t="s">
        <v>12</v>
      </c>
      <c r="I4566">
        <v>64</v>
      </c>
      <c r="J4566" t="str" cm="1">
        <f t="array" ref="J4566">_xlfn.IFS(ISBLANK(C4566),"FALTANTE",ABS((C4566-$W$5)/$X$5)&gt;1.96,"ATÍPICO",ABS((C4566-$W$5)/$X$5)&lt;=1.96,"NO ATÍPICO")</f>
        <v>NO ATÍPICO</v>
      </c>
      <c r="K4566" t="str" cm="1">
        <f t="array" ref="K4566">_xlfn.IFS(ISBLANK(I4566),"FALTANTE",ABS((I4566-$W$8)/$X$8)&gt;1.92,"ATÍPICO",ABS((I4566-$W$8)/$X$8)&lt;=1.92,"NO ATÍPICO")</f>
        <v>NO ATÍPICO</v>
      </c>
      <c r="L4566">
        <f t="shared" si="302"/>
        <v>1166115</v>
      </c>
      <c r="M4566" t="str">
        <f t="shared" si="302"/>
        <v>ASALARIADO</v>
      </c>
      <c r="N4566">
        <f t="shared" si="303"/>
        <v>64</v>
      </c>
      <c r="O4566" s="19" t="str">
        <f t="shared" si="304"/>
        <v>900k–1200k</v>
      </c>
      <c r="P4566" s="19" t="str">
        <f t="shared" si="305"/>
        <v>56+</v>
      </c>
    </row>
    <row r="4567" spans="1:16" x14ac:dyDescent="0.25">
      <c r="A4567">
        <v>4566</v>
      </c>
      <c r="B4567" t="s">
        <v>9</v>
      </c>
      <c r="C4567">
        <v>300018</v>
      </c>
      <c r="D4567" t="s">
        <v>18</v>
      </c>
      <c r="E4567" t="s">
        <v>16</v>
      </c>
      <c r="F4567" t="s">
        <v>12</v>
      </c>
      <c r="G4567" t="s">
        <v>13</v>
      </c>
      <c r="H4567" t="s">
        <v>12</v>
      </c>
      <c r="I4567">
        <v>51</v>
      </c>
      <c r="J4567" t="str" cm="1">
        <f t="array" ref="J4567">_xlfn.IFS(ISBLANK(C4567),"FALTANTE",ABS((C4567-$W$5)/$X$5)&gt;1.96,"ATÍPICO",ABS((C4567-$W$5)/$X$5)&lt;=1.96,"NO ATÍPICO")</f>
        <v>NO ATÍPICO</v>
      </c>
      <c r="K4567" t="str" cm="1">
        <f t="array" ref="K4567">_xlfn.IFS(ISBLANK(I4567),"FALTANTE",ABS((I4567-$W$8)/$X$8)&gt;1.92,"ATÍPICO",ABS((I4567-$W$8)/$X$8)&lt;=1.92,"NO ATÍPICO")</f>
        <v>NO ATÍPICO</v>
      </c>
      <c r="L4567">
        <f t="shared" si="302"/>
        <v>300018</v>
      </c>
      <c r="M4567" t="str">
        <f t="shared" si="302"/>
        <v>TRABAJADOR INDEPENDIENTE</v>
      </c>
      <c r="N4567">
        <f t="shared" si="303"/>
        <v>51</v>
      </c>
      <c r="O4567" s="19" t="str">
        <f t="shared" si="304"/>
        <v>300k–600k</v>
      </c>
      <c r="P4567" s="19" t="str">
        <f t="shared" si="305"/>
        <v>46-55</v>
      </c>
    </row>
    <row r="4568" spans="1:16" x14ac:dyDescent="0.25">
      <c r="A4568">
        <v>4567</v>
      </c>
      <c r="B4568" t="s">
        <v>9</v>
      </c>
      <c r="C4568">
        <v>524236.19</v>
      </c>
      <c r="D4568" t="s">
        <v>10</v>
      </c>
      <c r="E4568" t="s">
        <v>16</v>
      </c>
      <c r="F4568" t="s">
        <v>12</v>
      </c>
      <c r="G4568" t="s">
        <v>13</v>
      </c>
      <c r="H4568" t="s">
        <v>13</v>
      </c>
      <c r="I4568">
        <v>54</v>
      </c>
      <c r="J4568" t="str" cm="1">
        <f t="array" ref="J4568">_xlfn.IFS(ISBLANK(C4568),"FALTANTE",ABS((C4568-$W$5)/$X$5)&gt;1.96,"ATÍPICO",ABS((C4568-$W$5)/$X$5)&lt;=1.96,"NO ATÍPICO")</f>
        <v>NO ATÍPICO</v>
      </c>
      <c r="K4568" t="str" cm="1">
        <f t="array" ref="K4568">_xlfn.IFS(ISBLANK(I4568),"FALTANTE",ABS((I4568-$W$8)/$X$8)&gt;1.92,"ATÍPICO",ABS((I4568-$W$8)/$X$8)&lt;=1.92,"NO ATÍPICO")</f>
        <v>NO ATÍPICO</v>
      </c>
      <c r="L4568">
        <f t="shared" si="302"/>
        <v>524236.19</v>
      </c>
      <c r="M4568" t="str">
        <f t="shared" si="302"/>
        <v>ASALARIADO</v>
      </c>
      <c r="N4568">
        <f t="shared" si="303"/>
        <v>54</v>
      </c>
      <c r="O4568" s="19" t="str">
        <f t="shared" si="304"/>
        <v>300k–600k</v>
      </c>
      <c r="P4568" s="19" t="str">
        <f t="shared" si="305"/>
        <v>46-55</v>
      </c>
    </row>
    <row r="4569" spans="1:16" x14ac:dyDescent="0.25">
      <c r="A4569">
        <v>4568</v>
      </c>
      <c r="B4569" t="s">
        <v>15</v>
      </c>
      <c r="C4569">
        <v>298155</v>
      </c>
      <c r="D4569" t="s">
        <v>17</v>
      </c>
      <c r="E4569" t="s">
        <v>16</v>
      </c>
      <c r="F4569" t="s">
        <v>12</v>
      </c>
      <c r="G4569" t="s">
        <v>13</v>
      </c>
      <c r="H4569" t="s">
        <v>13</v>
      </c>
      <c r="I4569">
        <v>75</v>
      </c>
      <c r="J4569" t="str" cm="1">
        <f t="array" ref="J4569">_xlfn.IFS(ISBLANK(C4569),"FALTANTE",ABS((C4569-$W$5)/$X$5)&gt;1.96,"ATÍPICO",ABS((C4569-$W$5)/$X$5)&lt;=1.96,"NO ATÍPICO")</f>
        <v>NO ATÍPICO</v>
      </c>
      <c r="K4569" t="str" cm="1">
        <f t="array" ref="K4569">_xlfn.IFS(ISBLANK(I4569),"FALTANTE",ABS((I4569-$W$8)/$X$8)&gt;1.92,"ATÍPICO",ABS((I4569-$W$8)/$X$8)&lt;=1.92,"NO ATÍPICO")</f>
        <v>ATÍPICO</v>
      </c>
      <c r="L4569">
        <f t="shared" si="302"/>
        <v>298155</v>
      </c>
      <c r="M4569" t="str">
        <f t="shared" si="302"/>
        <v>ASEGURADO VOLUNTARIO</v>
      </c>
      <c r="N4569">
        <f t="shared" si="303"/>
        <v>75</v>
      </c>
      <c r="O4569" s="19" t="str">
        <f t="shared" si="304"/>
        <v>0–300k</v>
      </c>
      <c r="P4569" s="19" t="str">
        <f t="shared" si="305"/>
        <v>56+</v>
      </c>
    </row>
    <row r="4570" spans="1:16" x14ac:dyDescent="0.25">
      <c r="A4570">
        <v>4569</v>
      </c>
      <c r="B4570" t="s">
        <v>9</v>
      </c>
      <c r="C4570">
        <v>347501.19</v>
      </c>
      <c r="D4570" t="s">
        <v>10</v>
      </c>
      <c r="E4570" t="s">
        <v>16</v>
      </c>
      <c r="F4570" t="s">
        <v>12</v>
      </c>
      <c r="G4570" t="s">
        <v>13</v>
      </c>
      <c r="H4570" t="s">
        <v>13</v>
      </c>
      <c r="I4570">
        <v>68</v>
      </c>
      <c r="J4570" t="str" cm="1">
        <f t="array" ref="J4570">_xlfn.IFS(ISBLANK(C4570),"FALTANTE",ABS((C4570-$W$5)/$X$5)&gt;1.96,"ATÍPICO",ABS((C4570-$W$5)/$X$5)&lt;=1.96,"NO ATÍPICO")</f>
        <v>NO ATÍPICO</v>
      </c>
      <c r="K4570" t="str" cm="1">
        <f t="array" ref="K4570">_xlfn.IFS(ISBLANK(I4570),"FALTANTE",ABS((I4570-$W$8)/$X$8)&gt;1.92,"ATÍPICO",ABS((I4570-$W$8)/$X$8)&lt;=1.92,"NO ATÍPICO")</f>
        <v>NO ATÍPICO</v>
      </c>
      <c r="L4570">
        <f t="shared" si="302"/>
        <v>347501.19</v>
      </c>
      <c r="M4570" t="str">
        <f t="shared" si="302"/>
        <v>ASALARIADO</v>
      </c>
      <c r="N4570">
        <f t="shared" si="303"/>
        <v>68</v>
      </c>
      <c r="O4570" s="19" t="str">
        <f t="shared" si="304"/>
        <v>300k–600k</v>
      </c>
      <c r="P4570" s="19" t="str">
        <f t="shared" si="305"/>
        <v>56+</v>
      </c>
    </row>
    <row r="4571" spans="1:16" x14ac:dyDescent="0.25">
      <c r="A4571">
        <v>4570</v>
      </c>
      <c r="B4571" t="s">
        <v>9</v>
      </c>
      <c r="C4571">
        <v>280000</v>
      </c>
      <c r="D4571" t="s">
        <v>10</v>
      </c>
      <c r="E4571" t="s">
        <v>16</v>
      </c>
      <c r="F4571" t="s">
        <v>12</v>
      </c>
      <c r="G4571" t="s">
        <v>13</v>
      </c>
      <c r="H4571" t="s">
        <v>13</v>
      </c>
      <c r="I4571">
        <v>24</v>
      </c>
      <c r="J4571" t="str" cm="1">
        <f t="array" ref="J4571">_xlfn.IFS(ISBLANK(C4571),"FALTANTE",ABS((C4571-$W$5)/$X$5)&gt;1.96,"ATÍPICO",ABS((C4571-$W$5)/$X$5)&lt;=1.96,"NO ATÍPICO")</f>
        <v>NO ATÍPICO</v>
      </c>
      <c r="K4571" t="str" cm="1">
        <f t="array" ref="K4571">_xlfn.IFS(ISBLANK(I4571),"FALTANTE",ABS((I4571-$W$8)/$X$8)&gt;1.92,"ATÍPICO",ABS((I4571-$W$8)/$X$8)&lt;=1.92,"NO ATÍPICO")</f>
        <v>NO ATÍPICO</v>
      </c>
      <c r="L4571">
        <f t="shared" si="302"/>
        <v>280000</v>
      </c>
      <c r="M4571" t="str">
        <f t="shared" si="302"/>
        <v>ASALARIADO</v>
      </c>
      <c r="N4571">
        <f t="shared" si="303"/>
        <v>24</v>
      </c>
      <c r="O4571" s="19" t="str">
        <f t="shared" si="304"/>
        <v>0–300k</v>
      </c>
      <c r="P4571" s="19" t="str">
        <f t="shared" si="305"/>
        <v>18-25</v>
      </c>
    </row>
    <row r="4572" spans="1:16" x14ac:dyDescent="0.25">
      <c r="A4572">
        <v>4571</v>
      </c>
      <c r="B4572" t="s">
        <v>9</v>
      </c>
      <c r="C4572">
        <v>350112.18</v>
      </c>
      <c r="D4572" t="s">
        <v>10</v>
      </c>
      <c r="E4572" t="s">
        <v>16</v>
      </c>
      <c r="F4572" t="s">
        <v>12</v>
      </c>
      <c r="G4572" t="s">
        <v>13</v>
      </c>
      <c r="H4572" t="s">
        <v>13</v>
      </c>
      <c r="I4572">
        <v>29</v>
      </c>
      <c r="J4572" t="str" cm="1">
        <f t="array" ref="J4572">_xlfn.IFS(ISBLANK(C4572),"FALTANTE",ABS((C4572-$W$5)/$X$5)&gt;1.96,"ATÍPICO",ABS((C4572-$W$5)/$X$5)&lt;=1.96,"NO ATÍPICO")</f>
        <v>NO ATÍPICO</v>
      </c>
      <c r="K4572" t="str" cm="1">
        <f t="array" ref="K4572">_xlfn.IFS(ISBLANK(I4572),"FALTANTE",ABS((I4572-$W$8)/$X$8)&gt;1.92,"ATÍPICO",ABS((I4572-$W$8)/$X$8)&lt;=1.92,"NO ATÍPICO")</f>
        <v>NO ATÍPICO</v>
      </c>
      <c r="L4572">
        <f t="shared" si="302"/>
        <v>350112.18</v>
      </c>
      <c r="M4572" t="str">
        <f t="shared" si="302"/>
        <v>ASALARIADO</v>
      </c>
      <c r="N4572">
        <f t="shared" si="303"/>
        <v>29</v>
      </c>
      <c r="O4572" s="19" t="str">
        <f t="shared" si="304"/>
        <v>300k–600k</v>
      </c>
      <c r="P4572" s="19" t="str">
        <f t="shared" si="305"/>
        <v>26-35</v>
      </c>
    </row>
    <row r="4573" spans="1:16" x14ac:dyDescent="0.25">
      <c r="A4573">
        <v>4572</v>
      </c>
      <c r="B4573" t="s">
        <v>15</v>
      </c>
      <c r="C4573">
        <v>815000</v>
      </c>
      <c r="D4573" t="s">
        <v>10</v>
      </c>
      <c r="E4573" t="s">
        <v>16</v>
      </c>
      <c r="F4573" t="s">
        <v>12</v>
      </c>
      <c r="G4573" t="s">
        <v>13</v>
      </c>
      <c r="H4573" t="s">
        <v>13</v>
      </c>
      <c r="I4573">
        <v>28</v>
      </c>
      <c r="J4573" t="str" cm="1">
        <f t="array" ref="J4573">_xlfn.IFS(ISBLANK(C4573),"FALTANTE",ABS((C4573-$W$5)/$X$5)&gt;1.96,"ATÍPICO",ABS((C4573-$W$5)/$X$5)&lt;=1.96,"NO ATÍPICO")</f>
        <v>NO ATÍPICO</v>
      </c>
      <c r="K4573" t="str" cm="1">
        <f t="array" ref="K4573">_xlfn.IFS(ISBLANK(I4573),"FALTANTE",ABS((I4573-$W$8)/$X$8)&gt;1.92,"ATÍPICO",ABS((I4573-$W$8)/$X$8)&lt;=1.92,"NO ATÍPICO")</f>
        <v>NO ATÍPICO</v>
      </c>
      <c r="L4573">
        <f t="shared" si="302"/>
        <v>815000</v>
      </c>
      <c r="M4573" t="str">
        <f t="shared" si="302"/>
        <v>ASALARIADO</v>
      </c>
      <c r="N4573">
        <f t="shared" si="303"/>
        <v>28</v>
      </c>
      <c r="O4573" s="19" t="str">
        <f t="shared" si="304"/>
        <v>600k–900k</v>
      </c>
      <c r="P4573" s="19" t="str">
        <f t="shared" si="305"/>
        <v>26-35</v>
      </c>
    </row>
    <row r="4574" spans="1:16" x14ac:dyDescent="0.25">
      <c r="A4574">
        <v>4573</v>
      </c>
      <c r="B4574" t="s">
        <v>9</v>
      </c>
      <c r="C4574">
        <v>1207124</v>
      </c>
      <c r="D4574" t="s">
        <v>17</v>
      </c>
      <c r="E4574" t="s">
        <v>16</v>
      </c>
      <c r="F4574" t="s">
        <v>12</v>
      </c>
      <c r="G4574" t="s">
        <v>13</v>
      </c>
      <c r="H4574" t="s">
        <v>13</v>
      </c>
      <c r="I4574">
        <v>52</v>
      </c>
      <c r="J4574" t="str" cm="1">
        <f t="array" ref="J4574">_xlfn.IFS(ISBLANK(C4574),"FALTANTE",ABS((C4574-$W$5)/$X$5)&gt;1.96,"ATÍPICO",ABS((C4574-$W$5)/$X$5)&lt;=1.96,"NO ATÍPICO")</f>
        <v>NO ATÍPICO</v>
      </c>
      <c r="K4574" t="str" cm="1">
        <f t="array" ref="K4574">_xlfn.IFS(ISBLANK(I4574),"FALTANTE",ABS((I4574-$W$8)/$X$8)&gt;1.92,"ATÍPICO",ABS((I4574-$W$8)/$X$8)&lt;=1.92,"NO ATÍPICO")</f>
        <v>NO ATÍPICO</v>
      </c>
      <c r="L4574">
        <f t="shared" si="302"/>
        <v>1207124</v>
      </c>
      <c r="M4574" t="str">
        <f t="shared" si="302"/>
        <v>ASEGURADO VOLUNTARIO</v>
      </c>
      <c r="N4574">
        <f t="shared" si="303"/>
        <v>52</v>
      </c>
      <c r="O4574" s="19" t="str">
        <f t="shared" si="304"/>
        <v>1200k+</v>
      </c>
      <c r="P4574" s="19" t="str">
        <f t="shared" si="305"/>
        <v>46-55</v>
      </c>
    </row>
    <row r="4575" spans="1:16" x14ac:dyDescent="0.25">
      <c r="A4575">
        <v>4574</v>
      </c>
      <c r="B4575" t="s">
        <v>9</v>
      </c>
      <c r="C4575">
        <v>860750.63</v>
      </c>
      <c r="D4575" t="s">
        <v>10</v>
      </c>
      <c r="E4575" t="s">
        <v>16</v>
      </c>
      <c r="F4575" t="s">
        <v>12</v>
      </c>
      <c r="G4575" t="s">
        <v>13</v>
      </c>
      <c r="H4575" t="s">
        <v>13</v>
      </c>
      <c r="I4575">
        <v>25</v>
      </c>
      <c r="J4575" t="str" cm="1">
        <f t="array" ref="J4575">_xlfn.IFS(ISBLANK(C4575),"FALTANTE",ABS((C4575-$W$5)/$X$5)&gt;1.96,"ATÍPICO",ABS((C4575-$W$5)/$X$5)&lt;=1.96,"NO ATÍPICO")</f>
        <v>NO ATÍPICO</v>
      </c>
      <c r="K4575" t="str" cm="1">
        <f t="array" ref="K4575">_xlfn.IFS(ISBLANK(I4575),"FALTANTE",ABS((I4575-$W$8)/$X$8)&gt;1.92,"ATÍPICO",ABS((I4575-$W$8)/$X$8)&lt;=1.92,"NO ATÍPICO")</f>
        <v>NO ATÍPICO</v>
      </c>
      <c r="L4575">
        <f t="shared" si="302"/>
        <v>860750.63</v>
      </c>
      <c r="M4575" t="str">
        <f t="shared" si="302"/>
        <v>ASALARIADO</v>
      </c>
      <c r="N4575">
        <f t="shared" si="303"/>
        <v>25</v>
      </c>
      <c r="O4575" s="19" t="str">
        <f t="shared" si="304"/>
        <v>600k–900k</v>
      </c>
      <c r="P4575" s="19" t="str">
        <f t="shared" si="305"/>
        <v>18-25</v>
      </c>
    </row>
    <row r="4576" spans="1:16" x14ac:dyDescent="0.25">
      <c r="A4576">
        <v>4575</v>
      </c>
      <c r="B4576" t="s">
        <v>9</v>
      </c>
      <c r="C4576">
        <v>278030</v>
      </c>
      <c r="D4576" t="s">
        <v>18</v>
      </c>
      <c r="E4576" t="s">
        <v>16</v>
      </c>
      <c r="F4576" t="s">
        <v>12</v>
      </c>
      <c r="G4576" t="s">
        <v>13</v>
      </c>
      <c r="H4576" t="s">
        <v>13</v>
      </c>
      <c r="I4576">
        <v>35</v>
      </c>
      <c r="J4576" t="str" cm="1">
        <f t="array" ref="J4576">_xlfn.IFS(ISBLANK(C4576),"FALTANTE",ABS((C4576-$W$5)/$X$5)&gt;1.96,"ATÍPICO",ABS((C4576-$W$5)/$X$5)&lt;=1.96,"NO ATÍPICO")</f>
        <v>NO ATÍPICO</v>
      </c>
      <c r="K4576" t="str" cm="1">
        <f t="array" ref="K4576">_xlfn.IFS(ISBLANK(I4576),"FALTANTE",ABS((I4576-$W$8)/$X$8)&gt;1.92,"ATÍPICO",ABS((I4576-$W$8)/$X$8)&lt;=1.92,"NO ATÍPICO")</f>
        <v>NO ATÍPICO</v>
      </c>
      <c r="L4576">
        <f t="shared" si="302"/>
        <v>278030</v>
      </c>
      <c r="M4576" t="str">
        <f t="shared" si="302"/>
        <v>TRABAJADOR INDEPENDIENTE</v>
      </c>
      <c r="N4576">
        <f t="shared" si="303"/>
        <v>35</v>
      </c>
      <c r="O4576" s="19" t="str">
        <f t="shared" si="304"/>
        <v>0–300k</v>
      </c>
      <c r="P4576" s="19" t="str">
        <f t="shared" si="305"/>
        <v>26-35</v>
      </c>
    </row>
    <row r="4577" spans="1:16" x14ac:dyDescent="0.25">
      <c r="A4577">
        <v>4576</v>
      </c>
      <c r="B4577" t="s">
        <v>9</v>
      </c>
      <c r="C4577">
        <v>297046</v>
      </c>
      <c r="D4577" t="s">
        <v>17</v>
      </c>
      <c r="E4577" t="s">
        <v>16</v>
      </c>
      <c r="F4577" t="s">
        <v>12</v>
      </c>
      <c r="G4577" t="s">
        <v>13</v>
      </c>
      <c r="H4577" t="s">
        <v>13</v>
      </c>
      <c r="I4577">
        <v>56</v>
      </c>
      <c r="J4577" t="str" cm="1">
        <f t="array" ref="J4577">_xlfn.IFS(ISBLANK(C4577),"FALTANTE",ABS((C4577-$W$5)/$X$5)&gt;1.96,"ATÍPICO",ABS((C4577-$W$5)/$X$5)&lt;=1.96,"NO ATÍPICO")</f>
        <v>NO ATÍPICO</v>
      </c>
      <c r="K4577" t="str" cm="1">
        <f t="array" ref="K4577">_xlfn.IFS(ISBLANK(I4577),"FALTANTE",ABS((I4577-$W$8)/$X$8)&gt;1.92,"ATÍPICO",ABS((I4577-$W$8)/$X$8)&lt;=1.92,"NO ATÍPICO")</f>
        <v>NO ATÍPICO</v>
      </c>
      <c r="L4577">
        <f t="shared" si="302"/>
        <v>297046</v>
      </c>
      <c r="M4577" t="str">
        <f t="shared" si="302"/>
        <v>ASEGURADO VOLUNTARIO</v>
      </c>
      <c r="N4577">
        <f t="shared" si="303"/>
        <v>56</v>
      </c>
      <c r="O4577" s="19" t="str">
        <f t="shared" si="304"/>
        <v>0–300k</v>
      </c>
      <c r="P4577" s="19" t="str">
        <f t="shared" si="305"/>
        <v>56+</v>
      </c>
    </row>
    <row r="4578" spans="1:16" x14ac:dyDescent="0.25">
      <c r="A4578">
        <v>4577</v>
      </c>
      <c r="B4578" t="s">
        <v>15</v>
      </c>
      <c r="C4578">
        <v>391916.75</v>
      </c>
      <c r="D4578" t="s">
        <v>10</v>
      </c>
      <c r="E4578" t="s">
        <v>16</v>
      </c>
      <c r="F4578" t="s">
        <v>12</v>
      </c>
      <c r="G4578" t="s">
        <v>12</v>
      </c>
      <c r="H4578" t="s">
        <v>13</v>
      </c>
      <c r="I4578">
        <v>33</v>
      </c>
      <c r="J4578" t="str" cm="1">
        <f t="array" ref="J4578">_xlfn.IFS(ISBLANK(C4578),"FALTANTE",ABS((C4578-$W$5)/$X$5)&gt;1.96,"ATÍPICO",ABS((C4578-$W$5)/$X$5)&lt;=1.96,"NO ATÍPICO")</f>
        <v>NO ATÍPICO</v>
      </c>
      <c r="K4578" t="str" cm="1">
        <f t="array" ref="K4578">_xlfn.IFS(ISBLANK(I4578),"FALTANTE",ABS((I4578-$W$8)/$X$8)&gt;1.92,"ATÍPICO",ABS((I4578-$W$8)/$X$8)&lt;=1.92,"NO ATÍPICO")</f>
        <v>NO ATÍPICO</v>
      </c>
      <c r="L4578">
        <f t="shared" si="302"/>
        <v>391916.75</v>
      </c>
      <c r="M4578" t="str">
        <f t="shared" si="302"/>
        <v>ASALARIADO</v>
      </c>
      <c r="N4578">
        <f t="shared" si="303"/>
        <v>33</v>
      </c>
      <c r="O4578" s="19" t="str">
        <f t="shared" si="304"/>
        <v>300k–600k</v>
      </c>
      <c r="P4578" s="19" t="str">
        <f t="shared" si="305"/>
        <v>26-35</v>
      </c>
    </row>
    <row r="4579" spans="1:16" x14ac:dyDescent="0.25">
      <c r="A4579">
        <v>4578</v>
      </c>
      <c r="B4579" t="s">
        <v>9</v>
      </c>
      <c r="C4579">
        <v>442458</v>
      </c>
      <c r="D4579" t="s">
        <v>10</v>
      </c>
      <c r="E4579" t="s">
        <v>16</v>
      </c>
      <c r="F4579" t="s">
        <v>12</v>
      </c>
      <c r="G4579" t="s">
        <v>12</v>
      </c>
      <c r="H4579" t="s">
        <v>13</v>
      </c>
      <c r="I4579">
        <v>27</v>
      </c>
      <c r="J4579" t="str" cm="1">
        <f t="array" ref="J4579">_xlfn.IFS(ISBLANK(C4579),"FALTANTE",ABS((C4579-$W$5)/$X$5)&gt;1.96,"ATÍPICO",ABS((C4579-$W$5)/$X$5)&lt;=1.96,"NO ATÍPICO")</f>
        <v>NO ATÍPICO</v>
      </c>
      <c r="K4579" t="str" cm="1">
        <f t="array" ref="K4579">_xlfn.IFS(ISBLANK(I4579),"FALTANTE",ABS((I4579-$W$8)/$X$8)&gt;1.92,"ATÍPICO",ABS((I4579-$W$8)/$X$8)&lt;=1.92,"NO ATÍPICO")</f>
        <v>NO ATÍPICO</v>
      </c>
      <c r="L4579">
        <f t="shared" si="302"/>
        <v>442458</v>
      </c>
      <c r="M4579" t="str">
        <f t="shared" si="302"/>
        <v>ASALARIADO</v>
      </c>
      <c r="N4579">
        <f t="shared" si="303"/>
        <v>27</v>
      </c>
      <c r="O4579" s="19" t="str">
        <f t="shared" si="304"/>
        <v>300k–600k</v>
      </c>
      <c r="P4579" s="19" t="str">
        <f t="shared" si="305"/>
        <v>26-35</v>
      </c>
    </row>
    <row r="4580" spans="1:16" x14ac:dyDescent="0.25">
      <c r="A4580">
        <v>4579</v>
      </c>
      <c r="B4580" t="s">
        <v>9</v>
      </c>
      <c r="C4580">
        <v>639148</v>
      </c>
      <c r="D4580" t="s">
        <v>18</v>
      </c>
      <c r="E4580" t="s">
        <v>16</v>
      </c>
      <c r="F4580" t="s">
        <v>12</v>
      </c>
      <c r="G4580" t="s">
        <v>13</v>
      </c>
      <c r="H4580" t="s">
        <v>12</v>
      </c>
      <c r="I4580">
        <v>42</v>
      </c>
      <c r="J4580" t="str" cm="1">
        <f t="array" ref="J4580">_xlfn.IFS(ISBLANK(C4580),"FALTANTE",ABS((C4580-$W$5)/$X$5)&gt;1.96,"ATÍPICO",ABS((C4580-$W$5)/$X$5)&lt;=1.96,"NO ATÍPICO")</f>
        <v>NO ATÍPICO</v>
      </c>
      <c r="K4580" t="str" cm="1">
        <f t="array" ref="K4580">_xlfn.IFS(ISBLANK(I4580),"FALTANTE",ABS((I4580-$W$8)/$X$8)&gt;1.92,"ATÍPICO",ABS((I4580-$W$8)/$X$8)&lt;=1.92,"NO ATÍPICO")</f>
        <v>NO ATÍPICO</v>
      </c>
      <c r="L4580">
        <f t="shared" si="302"/>
        <v>639148</v>
      </c>
      <c r="M4580" t="str">
        <f t="shared" si="302"/>
        <v>TRABAJADOR INDEPENDIENTE</v>
      </c>
      <c r="N4580">
        <f t="shared" si="303"/>
        <v>42</v>
      </c>
      <c r="O4580" s="19" t="str">
        <f t="shared" si="304"/>
        <v>600k–900k</v>
      </c>
      <c r="P4580" s="19" t="str">
        <f t="shared" si="305"/>
        <v>36-45</v>
      </c>
    </row>
    <row r="4581" spans="1:16" x14ac:dyDescent="0.25">
      <c r="A4581">
        <v>4580</v>
      </c>
      <c r="B4581" t="s">
        <v>9</v>
      </c>
      <c r="C4581">
        <v>46091.09</v>
      </c>
      <c r="D4581" t="s">
        <v>10</v>
      </c>
      <c r="E4581" t="s">
        <v>16</v>
      </c>
      <c r="F4581" t="s">
        <v>12</v>
      </c>
      <c r="G4581" t="s">
        <v>13</v>
      </c>
      <c r="H4581" t="s">
        <v>13</v>
      </c>
      <c r="I4581">
        <v>43</v>
      </c>
      <c r="J4581" t="str" cm="1">
        <f t="array" ref="J4581">_xlfn.IFS(ISBLANK(C4581),"FALTANTE",ABS((C4581-$W$5)/$X$5)&gt;1.96,"ATÍPICO",ABS((C4581-$W$5)/$X$5)&lt;=1.96,"NO ATÍPICO")</f>
        <v>NO ATÍPICO</v>
      </c>
      <c r="K4581" t="str" cm="1">
        <f t="array" ref="K4581">_xlfn.IFS(ISBLANK(I4581),"FALTANTE",ABS((I4581-$W$8)/$X$8)&gt;1.92,"ATÍPICO",ABS((I4581-$W$8)/$X$8)&lt;=1.92,"NO ATÍPICO")</f>
        <v>NO ATÍPICO</v>
      </c>
      <c r="L4581">
        <f t="shared" si="302"/>
        <v>46091.09</v>
      </c>
      <c r="M4581" t="str">
        <f t="shared" si="302"/>
        <v>ASALARIADO</v>
      </c>
      <c r="N4581">
        <f t="shared" si="303"/>
        <v>43</v>
      </c>
      <c r="O4581" s="19" t="str">
        <f t="shared" si="304"/>
        <v>0–300k</v>
      </c>
      <c r="P4581" s="19" t="str">
        <f t="shared" si="305"/>
        <v>36-45</v>
      </c>
    </row>
    <row r="4582" spans="1:16" x14ac:dyDescent="0.25">
      <c r="A4582">
        <v>4581</v>
      </c>
      <c r="B4582" t="s">
        <v>15</v>
      </c>
      <c r="C4582">
        <v>361420</v>
      </c>
      <c r="D4582" t="s">
        <v>18</v>
      </c>
      <c r="E4582" t="s">
        <v>16</v>
      </c>
      <c r="F4582" t="s">
        <v>12</v>
      </c>
      <c r="G4582" t="s">
        <v>13</v>
      </c>
      <c r="H4582" t="s">
        <v>12</v>
      </c>
      <c r="I4582">
        <v>52</v>
      </c>
      <c r="J4582" t="str" cm="1">
        <f t="array" ref="J4582">_xlfn.IFS(ISBLANK(C4582),"FALTANTE",ABS((C4582-$W$5)/$X$5)&gt;1.96,"ATÍPICO",ABS((C4582-$W$5)/$X$5)&lt;=1.96,"NO ATÍPICO")</f>
        <v>NO ATÍPICO</v>
      </c>
      <c r="K4582" t="str" cm="1">
        <f t="array" ref="K4582">_xlfn.IFS(ISBLANK(I4582),"FALTANTE",ABS((I4582-$W$8)/$X$8)&gt;1.92,"ATÍPICO",ABS((I4582-$W$8)/$X$8)&lt;=1.92,"NO ATÍPICO")</f>
        <v>NO ATÍPICO</v>
      </c>
      <c r="L4582">
        <f t="shared" si="302"/>
        <v>361420</v>
      </c>
      <c r="M4582" t="str">
        <f t="shared" si="302"/>
        <v>TRABAJADOR INDEPENDIENTE</v>
      </c>
      <c r="N4582">
        <f t="shared" si="303"/>
        <v>52</v>
      </c>
      <c r="O4582" s="19" t="str">
        <f t="shared" si="304"/>
        <v>300k–600k</v>
      </c>
      <c r="P4582" s="19" t="str">
        <f t="shared" si="305"/>
        <v>46-55</v>
      </c>
    </row>
    <row r="4583" spans="1:16" x14ac:dyDescent="0.25">
      <c r="A4583">
        <v>4582</v>
      </c>
      <c r="B4583" t="s">
        <v>9</v>
      </c>
      <c r="C4583">
        <v>301853</v>
      </c>
      <c r="D4583" t="s">
        <v>18</v>
      </c>
      <c r="E4583" t="s">
        <v>16</v>
      </c>
      <c r="F4583" t="s">
        <v>12</v>
      </c>
      <c r="G4583" t="s">
        <v>13</v>
      </c>
      <c r="H4583" t="s">
        <v>13</v>
      </c>
      <c r="I4583">
        <v>25</v>
      </c>
      <c r="J4583" t="str" cm="1">
        <f t="array" ref="J4583">_xlfn.IFS(ISBLANK(C4583),"FALTANTE",ABS((C4583-$W$5)/$X$5)&gt;1.96,"ATÍPICO",ABS((C4583-$W$5)/$X$5)&lt;=1.96,"NO ATÍPICO")</f>
        <v>NO ATÍPICO</v>
      </c>
      <c r="K4583" t="str" cm="1">
        <f t="array" ref="K4583">_xlfn.IFS(ISBLANK(I4583),"FALTANTE",ABS((I4583-$W$8)/$X$8)&gt;1.92,"ATÍPICO",ABS((I4583-$W$8)/$X$8)&lt;=1.92,"NO ATÍPICO")</f>
        <v>NO ATÍPICO</v>
      </c>
      <c r="L4583">
        <f t="shared" si="302"/>
        <v>301853</v>
      </c>
      <c r="M4583" t="str">
        <f t="shared" si="302"/>
        <v>TRABAJADOR INDEPENDIENTE</v>
      </c>
      <c r="N4583">
        <f t="shared" si="303"/>
        <v>25</v>
      </c>
      <c r="O4583" s="19" t="str">
        <f t="shared" si="304"/>
        <v>300k–600k</v>
      </c>
      <c r="P4583" s="19" t="str">
        <f t="shared" si="305"/>
        <v>18-25</v>
      </c>
    </row>
    <row r="4584" spans="1:16" x14ac:dyDescent="0.25">
      <c r="A4584">
        <v>4583</v>
      </c>
      <c r="B4584" t="s">
        <v>9</v>
      </c>
      <c r="C4584">
        <v>263622.26</v>
      </c>
      <c r="D4584" t="s">
        <v>10</v>
      </c>
      <c r="E4584" t="s">
        <v>16</v>
      </c>
      <c r="F4584" t="s">
        <v>12</v>
      </c>
      <c r="G4584" t="s">
        <v>13</v>
      </c>
      <c r="H4584" t="s">
        <v>13</v>
      </c>
      <c r="I4584">
        <v>20</v>
      </c>
      <c r="J4584" t="str" cm="1">
        <f t="array" ref="J4584">_xlfn.IFS(ISBLANK(C4584),"FALTANTE",ABS((C4584-$W$5)/$X$5)&gt;1.96,"ATÍPICO",ABS((C4584-$W$5)/$X$5)&lt;=1.96,"NO ATÍPICO")</f>
        <v>NO ATÍPICO</v>
      </c>
      <c r="K4584" t="str" cm="1">
        <f t="array" ref="K4584">_xlfn.IFS(ISBLANK(I4584),"FALTANTE",ABS((I4584-$W$8)/$X$8)&gt;1.92,"ATÍPICO",ABS((I4584-$W$8)/$X$8)&lt;=1.92,"NO ATÍPICO")</f>
        <v>NO ATÍPICO</v>
      </c>
      <c r="L4584">
        <f t="shared" si="302"/>
        <v>263622.26</v>
      </c>
      <c r="M4584" t="str">
        <f t="shared" si="302"/>
        <v>ASALARIADO</v>
      </c>
      <c r="N4584">
        <f t="shared" si="303"/>
        <v>20</v>
      </c>
      <c r="O4584" s="19" t="str">
        <f t="shared" si="304"/>
        <v>0–300k</v>
      </c>
      <c r="P4584" s="19" t="str">
        <f t="shared" si="305"/>
        <v>18-25</v>
      </c>
    </row>
    <row r="4585" spans="1:16" x14ac:dyDescent="0.25">
      <c r="A4585">
        <v>4584</v>
      </c>
      <c r="B4585" t="s">
        <v>9</v>
      </c>
      <c r="C4585">
        <v>511600</v>
      </c>
      <c r="D4585" t="s">
        <v>10</v>
      </c>
      <c r="E4585" t="s">
        <v>16</v>
      </c>
      <c r="F4585" t="s">
        <v>12</v>
      </c>
      <c r="G4585" t="s">
        <v>13</v>
      </c>
      <c r="H4585" t="s">
        <v>13</v>
      </c>
      <c r="I4585">
        <v>22</v>
      </c>
      <c r="J4585" t="str" cm="1">
        <f t="array" ref="J4585">_xlfn.IFS(ISBLANK(C4585),"FALTANTE",ABS((C4585-$W$5)/$X$5)&gt;1.96,"ATÍPICO",ABS((C4585-$W$5)/$X$5)&lt;=1.96,"NO ATÍPICO")</f>
        <v>NO ATÍPICO</v>
      </c>
      <c r="K4585" t="str" cm="1">
        <f t="array" ref="K4585">_xlfn.IFS(ISBLANK(I4585),"FALTANTE",ABS((I4585-$W$8)/$X$8)&gt;1.92,"ATÍPICO",ABS((I4585-$W$8)/$X$8)&lt;=1.92,"NO ATÍPICO")</f>
        <v>NO ATÍPICO</v>
      </c>
      <c r="L4585">
        <f t="shared" si="302"/>
        <v>511600</v>
      </c>
      <c r="M4585" t="str">
        <f t="shared" si="302"/>
        <v>ASALARIADO</v>
      </c>
      <c r="N4585">
        <f t="shared" si="303"/>
        <v>22</v>
      </c>
      <c r="O4585" s="19" t="str">
        <f t="shared" si="304"/>
        <v>300k–600k</v>
      </c>
      <c r="P4585" s="19" t="str">
        <f t="shared" si="305"/>
        <v>18-25</v>
      </c>
    </row>
    <row r="4586" spans="1:16" x14ac:dyDescent="0.25">
      <c r="A4586">
        <v>4585</v>
      </c>
      <c r="B4586" t="s">
        <v>15</v>
      </c>
      <c r="C4586">
        <v>831771.12</v>
      </c>
      <c r="D4586" t="s">
        <v>10</v>
      </c>
      <c r="E4586" t="s">
        <v>16</v>
      </c>
      <c r="F4586" t="s">
        <v>12</v>
      </c>
      <c r="G4586" t="s">
        <v>13</v>
      </c>
      <c r="H4586" t="s">
        <v>13</v>
      </c>
      <c r="I4586">
        <v>29</v>
      </c>
      <c r="J4586" t="str" cm="1">
        <f t="array" ref="J4586">_xlfn.IFS(ISBLANK(C4586),"FALTANTE",ABS((C4586-$W$5)/$X$5)&gt;1.96,"ATÍPICO",ABS((C4586-$W$5)/$X$5)&lt;=1.96,"NO ATÍPICO")</f>
        <v>NO ATÍPICO</v>
      </c>
      <c r="K4586" t="str" cm="1">
        <f t="array" ref="K4586">_xlfn.IFS(ISBLANK(I4586),"FALTANTE",ABS((I4586-$W$8)/$X$8)&gt;1.92,"ATÍPICO",ABS((I4586-$W$8)/$X$8)&lt;=1.92,"NO ATÍPICO")</f>
        <v>NO ATÍPICO</v>
      </c>
      <c r="L4586">
        <f t="shared" si="302"/>
        <v>831771.12</v>
      </c>
      <c r="M4586" t="str">
        <f t="shared" si="302"/>
        <v>ASALARIADO</v>
      </c>
      <c r="N4586">
        <f t="shared" si="303"/>
        <v>29</v>
      </c>
      <c r="O4586" s="19" t="str">
        <f t="shared" si="304"/>
        <v>600k–900k</v>
      </c>
      <c r="P4586" s="19" t="str">
        <f t="shared" si="305"/>
        <v>26-35</v>
      </c>
    </row>
    <row r="4587" spans="1:16" x14ac:dyDescent="0.25">
      <c r="A4587">
        <v>4586</v>
      </c>
      <c r="B4587" t="s">
        <v>15</v>
      </c>
      <c r="C4587">
        <v>297045</v>
      </c>
      <c r="D4587" t="s">
        <v>17</v>
      </c>
      <c r="E4587" t="s">
        <v>16</v>
      </c>
      <c r="F4587" t="s">
        <v>12</v>
      </c>
      <c r="G4587" t="s">
        <v>13</v>
      </c>
      <c r="H4587" t="s">
        <v>13</v>
      </c>
      <c r="I4587">
        <v>20</v>
      </c>
      <c r="J4587" t="str" cm="1">
        <f t="array" ref="J4587">_xlfn.IFS(ISBLANK(C4587),"FALTANTE",ABS((C4587-$W$5)/$X$5)&gt;1.96,"ATÍPICO",ABS((C4587-$W$5)/$X$5)&lt;=1.96,"NO ATÍPICO")</f>
        <v>NO ATÍPICO</v>
      </c>
      <c r="K4587" t="str" cm="1">
        <f t="array" ref="K4587">_xlfn.IFS(ISBLANK(I4587),"FALTANTE",ABS((I4587-$W$8)/$X$8)&gt;1.92,"ATÍPICO",ABS((I4587-$W$8)/$X$8)&lt;=1.92,"NO ATÍPICO")</f>
        <v>NO ATÍPICO</v>
      </c>
      <c r="L4587">
        <f t="shared" si="302"/>
        <v>297045</v>
      </c>
      <c r="M4587" t="str">
        <f t="shared" si="302"/>
        <v>ASEGURADO VOLUNTARIO</v>
      </c>
      <c r="N4587">
        <f t="shared" si="303"/>
        <v>20</v>
      </c>
      <c r="O4587" s="19" t="str">
        <f t="shared" si="304"/>
        <v>0–300k</v>
      </c>
      <c r="P4587" s="19" t="str">
        <f t="shared" si="305"/>
        <v>18-25</v>
      </c>
    </row>
    <row r="4588" spans="1:16" x14ac:dyDescent="0.25">
      <c r="A4588">
        <v>4587</v>
      </c>
      <c r="B4588" t="s">
        <v>9</v>
      </c>
      <c r="C4588">
        <v>518519</v>
      </c>
      <c r="D4588" t="s">
        <v>18</v>
      </c>
      <c r="E4588" t="s">
        <v>16</v>
      </c>
      <c r="F4588" t="s">
        <v>12</v>
      </c>
      <c r="G4588" t="s">
        <v>13</v>
      </c>
      <c r="H4588" t="s">
        <v>12</v>
      </c>
      <c r="I4588">
        <v>43</v>
      </c>
      <c r="J4588" t="str" cm="1">
        <f t="array" ref="J4588">_xlfn.IFS(ISBLANK(C4588),"FALTANTE",ABS((C4588-$W$5)/$X$5)&gt;1.96,"ATÍPICO",ABS((C4588-$W$5)/$X$5)&lt;=1.96,"NO ATÍPICO")</f>
        <v>NO ATÍPICO</v>
      </c>
      <c r="K4588" t="str" cm="1">
        <f t="array" ref="K4588">_xlfn.IFS(ISBLANK(I4588),"FALTANTE",ABS((I4588-$W$8)/$X$8)&gt;1.92,"ATÍPICO",ABS((I4588-$W$8)/$X$8)&lt;=1.92,"NO ATÍPICO")</f>
        <v>NO ATÍPICO</v>
      </c>
      <c r="L4588">
        <f t="shared" si="302"/>
        <v>518519</v>
      </c>
      <c r="M4588" t="str">
        <f t="shared" si="302"/>
        <v>TRABAJADOR INDEPENDIENTE</v>
      </c>
      <c r="N4588">
        <f t="shared" si="303"/>
        <v>43</v>
      </c>
      <c r="O4588" s="19" t="str">
        <f t="shared" si="304"/>
        <v>300k–600k</v>
      </c>
      <c r="P4588" s="19" t="str">
        <f t="shared" si="305"/>
        <v>36-45</v>
      </c>
    </row>
    <row r="4589" spans="1:16" x14ac:dyDescent="0.25">
      <c r="A4589">
        <v>4588</v>
      </c>
      <c r="B4589" t="s">
        <v>9</v>
      </c>
      <c r="C4589">
        <v>239200</v>
      </c>
      <c r="D4589" t="s">
        <v>10</v>
      </c>
      <c r="E4589" t="s">
        <v>16</v>
      </c>
      <c r="F4589" t="s">
        <v>12</v>
      </c>
      <c r="G4589" t="s">
        <v>13</v>
      </c>
      <c r="H4589" t="s">
        <v>13</v>
      </c>
      <c r="I4589">
        <v>27</v>
      </c>
      <c r="J4589" t="str" cm="1">
        <f t="array" ref="J4589">_xlfn.IFS(ISBLANK(C4589),"FALTANTE",ABS((C4589-$W$5)/$X$5)&gt;1.96,"ATÍPICO",ABS((C4589-$W$5)/$X$5)&lt;=1.96,"NO ATÍPICO")</f>
        <v>NO ATÍPICO</v>
      </c>
      <c r="K4589" t="str" cm="1">
        <f t="array" ref="K4589">_xlfn.IFS(ISBLANK(I4589),"FALTANTE",ABS((I4589-$W$8)/$X$8)&gt;1.92,"ATÍPICO",ABS((I4589-$W$8)/$X$8)&lt;=1.92,"NO ATÍPICO")</f>
        <v>NO ATÍPICO</v>
      </c>
      <c r="L4589">
        <f t="shared" si="302"/>
        <v>239200</v>
      </c>
      <c r="M4589" t="str">
        <f t="shared" si="302"/>
        <v>ASALARIADO</v>
      </c>
      <c r="N4589">
        <f t="shared" si="303"/>
        <v>27</v>
      </c>
      <c r="O4589" s="19" t="str">
        <f t="shared" si="304"/>
        <v>0–300k</v>
      </c>
      <c r="P4589" s="19" t="str">
        <f t="shared" si="305"/>
        <v>26-35</v>
      </c>
    </row>
    <row r="4590" spans="1:16" x14ac:dyDescent="0.25">
      <c r="A4590">
        <v>4589</v>
      </c>
      <c r="B4590" t="s">
        <v>9</v>
      </c>
      <c r="C4590">
        <v>445567</v>
      </c>
      <c r="D4590" t="s">
        <v>18</v>
      </c>
      <c r="E4590" t="s">
        <v>16</v>
      </c>
      <c r="F4590" t="s">
        <v>12</v>
      </c>
      <c r="G4590" t="s">
        <v>13</v>
      </c>
      <c r="H4590" t="s">
        <v>13</v>
      </c>
      <c r="I4590">
        <v>46</v>
      </c>
      <c r="J4590" t="str" cm="1">
        <f t="array" ref="J4590">_xlfn.IFS(ISBLANK(C4590),"FALTANTE",ABS((C4590-$W$5)/$X$5)&gt;1.96,"ATÍPICO",ABS((C4590-$W$5)/$X$5)&lt;=1.96,"NO ATÍPICO")</f>
        <v>NO ATÍPICO</v>
      </c>
      <c r="K4590" t="str" cm="1">
        <f t="array" ref="K4590">_xlfn.IFS(ISBLANK(I4590),"FALTANTE",ABS((I4590-$W$8)/$X$8)&gt;1.92,"ATÍPICO",ABS((I4590-$W$8)/$X$8)&lt;=1.92,"NO ATÍPICO")</f>
        <v>NO ATÍPICO</v>
      </c>
      <c r="L4590">
        <f t="shared" si="302"/>
        <v>445567</v>
      </c>
      <c r="M4590" t="str">
        <f t="shared" si="302"/>
        <v>TRABAJADOR INDEPENDIENTE</v>
      </c>
      <c r="N4590">
        <f t="shared" si="303"/>
        <v>46</v>
      </c>
      <c r="O4590" s="19" t="str">
        <f t="shared" si="304"/>
        <v>300k–600k</v>
      </c>
      <c r="P4590" s="19" t="str">
        <f t="shared" si="305"/>
        <v>46-55</v>
      </c>
    </row>
    <row r="4591" spans="1:16" x14ac:dyDescent="0.25">
      <c r="A4591">
        <v>4590</v>
      </c>
      <c r="B4591" t="s">
        <v>15</v>
      </c>
      <c r="C4591">
        <v>211216</v>
      </c>
      <c r="D4591" t="s">
        <v>10</v>
      </c>
      <c r="E4591" t="s">
        <v>11</v>
      </c>
      <c r="F4591" t="s">
        <v>12</v>
      </c>
      <c r="G4591" t="s">
        <v>13</v>
      </c>
      <c r="H4591" t="s">
        <v>13</v>
      </c>
      <c r="I4591">
        <v>34</v>
      </c>
      <c r="J4591" t="str" cm="1">
        <f t="array" ref="J4591">_xlfn.IFS(ISBLANK(C4591),"FALTANTE",ABS((C4591-$W$5)/$X$5)&gt;1.96,"ATÍPICO",ABS((C4591-$W$5)/$X$5)&lt;=1.96,"NO ATÍPICO")</f>
        <v>NO ATÍPICO</v>
      </c>
      <c r="K4591" t="str" cm="1">
        <f t="array" ref="K4591">_xlfn.IFS(ISBLANK(I4591),"FALTANTE",ABS((I4591-$W$8)/$X$8)&gt;1.92,"ATÍPICO",ABS((I4591-$W$8)/$X$8)&lt;=1.92,"NO ATÍPICO")</f>
        <v>NO ATÍPICO</v>
      </c>
      <c r="L4591">
        <f t="shared" si="302"/>
        <v>211216</v>
      </c>
      <c r="M4591" t="str">
        <f t="shared" si="302"/>
        <v>ASALARIADO</v>
      </c>
      <c r="N4591">
        <f t="shared" si="303"/>
        <v>34</v>
      </c>
      <c r="O4591" s="19" t="str">
        <f t="shared" si="304"/>
        <v>0–300k</v>
      </c>
      <c r="P4591" s="19" t="str">
        <f t="shared" si="305"/>
        <v>26-35</v>
      </c>
    </row>
    <row r="4592" spans="1:16" x14ac:dyDescent="0.25">
      <c r="A4592">
        <v>4591</v>
      </c>
      <c r="B4592" t="s">
        <v>9</v>
      </c>
      <c r="C4592">
        <v>410000.02</v>
      </c>
      <c r="D4592" t="s">
        <v>10</v>
      </c>
      <c r="E4592" t="s">
        <v>16</v>
      </c>
      <c r="F4592" t="s">
        <v>12</v>
      </c>
      <c r="G4592" t="s">
        <v>13</v>
      </c>
      <c r="H4592" t="s">
        <v>13</v>
      </c>
      <c r="I4592">
        <v>25</v>
      </c>
      <c r="J4592" t="str" cm="1">
        <f t="array" ref="J4592">_xlfn.IFS(ISBLANK(C4592),"FALTANTE",ABS((C4592-$W$5)/$X$5)&gt;1.96,"ATÍPICO",ABS((C4592-$W$5)/$X$5)&lt;=1.96,"NO ATÍPICO")</f>
        <v>NO ATÍPICO</v>
      </c>
      <c r="K4592" t="str" cm="1">
        <f t="array" ref="K4592">_xlfn.IFS(ISBLANK(I4592),"FALTANTE",ABS((I4592-$W$8)/$X$8)&gt;1.92,"ATÍPICO",ABS((I4592-$W$8)/$X$8)&lt;=1.92,"NO ATÍPICO")</f>
        <v>NO ATÍPICO</v>
      </c>
      <c r="L4592">
        <f t="shared" si="302"/>
        <v>410000.02</v>
      </c>
      <c r="M4592" t="str">
        <f t="shared" si="302"/>
        <v>ASALARIADO</v>
      </c>
      <c r="N4592">
        <f t="shared" si="303"/>
        <v>25</v>
      </c>
      <c r="O4592" s="19" t="str">
        <f t="shared" si="304"/>
        <v>300k–600k</v>
      </c>
      <c r="P4592" s="19" t="str">
        <f t="shared" si="305"/>
        <v>18-25</v>
      </c>
    </row>
    <row r="4593" spans="1:16" x14ac:dyDescent="0.25">
      <c r="A4593">
        <v>4592</v>
      </c>
      <c r="B4593" t="s">
        <v>9</v>
      </c>
      <c r="C4593">
        <v>3325777.9</v>
      </c>
      <c r="D4593" t="s">
        <v>10</v>
      </c>
      <c r="E4593" t="s">
        <v>11</v>
      </c>
      <c r="F4593" t="s">
        <v>12</v>
      </c>
      <c r="G4593" t="s">
        <v>13</v>
      </c>
      <c r="H4593" t="s">
        <v>13</v>
      </c>
      <c r="I4593">
        <v>62</v>
      </c>
      <c r="J4593" t="str" cm="1">
        <f t="array" ref="J4593">_xlfn.IFS(ISBLANK(C4593),"FALTANTE",ABS((C4593-$W$5)/$X$5)&gt;1.96,"ATÍPICO",ABS((C4593-$W$5)/$X$5)&lt;=1.96,"NO ATÍPICO")</f>
        <v>ATÍPICO</v>
      </c>
      <c r="K4593" t="str" cm="1">
        <f t="array" ref="K4593">_xlfn.IFS(ISBLANK(I4593),"FALTANTE",ABS((I4593-$W$8)/$X$8)&gt;1.92,"ATÍPICO",ABS((I4593-$W$8)/$X$8)&lt;=1.92,"NO ATÍPICO")</f>
        <v>NO ATÍPICO</v>
      </c>
      <c r="L4593">
        <f t="shared" si="302"/>
        <v>3325777.9</v>
      </c>
      <c r="M4593" t="str">
        <f t="shared" si="302"/>
        <v>ASALARIADO</v>
      </c>
      <c r="N4593">
        <f t="shared" si="303"/>
        <v>62</v>
      </c>
      <c r="O4593" s="19" t="str">
        <f t="shared" si="304"/>
        <v>1200k+</v>
      </c>
      <c r="P4593" s="19" t="str">
        <f t="shared" si="305"/>
        <v>56+</v>
      </c>
    </row>
    <row r="4594" spans="1:16" x14ac:dyDescent="0.25">
      <c r="A4594">
        <v>4593</v>
      </c>
      <c r="B4594" t="s">
        <v>15</v>
      </c>
      <c r="C4594">
        <v>306669.62</v>
      </c>
      <c r="D4594" t="s">
        <v>10</v>
      </c>
      <c r="E4594" t="s">
        <v>11</v>
      </c>
      <c r="F4594" t="s">
        <v>12</v>
      </c>
      <c r="G4594" t="s">
        <v>12</v>
      </c>
      <c r="H4594" t="s">
        <v>13</v>
      </c>
      <c r="I4594">
        <v>49</v>
      </c>
      <c r="J4594" t="str" cm="1">
        <f t="array" ref="J4594">_xlfn.IFS(ISBLANK(C4594),"FALTANTE",ABS((C4594-$W$5)/$X$5)&gt;1.96,"ATÍPICO",ABS((C4594-$W$5)/$X$5)&lt;=1.96,"NO ATÍPICO")</f>
        <v>NO ATÍPICO</v>
      </c>
      <c r="K4594" t="str" cm="1">
        <f t="array" ref="K4594">_xlfn.IFS(ISBLANK(I4594),"FALTANTE",ABS((I4594-$W$8)/$X$8)&gt;1.92,"ATÍPICO",ABS((I4594-$W$8)/$X$8)&lt;=1.92,"NO ATÍPICO")</f>
        <v>NO ATÍPICO</v>
      </c>
      <c r="L4594">
        <f t="shared" si="302"/>
        <v>306669.62</v>
      </c>
      <c r="M4594" t="str">
        <f t="shared" si="302"/>
        <v>ASALARIADO</v>
      </c>
      <c r="N4594">
        <f t="shared" si="303"/>
        <v>49</v>
      </c>
      <c r="O4594" s="19" t="str">
        <f t="shared" si="304"/>
        <v>300k–600k</v>
      </c>
      <c r="P4594" s="19" t="str">
        <f t="shared" si="305"/>
        <v>46-55</v>
      </c>
    </row>
    <row r="4595" spans="1:16" x14ac:dyDescent="0.25">
      <c r="A4595">
        <v>4594</v>
      </c>
      <c r="B4595" t="s">
        <v>15</v>
      </c>
      <c r="C4595">
        <v>405464.55</v>
      </c>
      <c r="D4595" t="s">
        <v>10</v>
      </c>
      <c r="E4595" t="s">
        <v>16</v>
      </c>
      <c r="F4595" t="s">
        <v>12</v>
      </c>
      <c r="G4595" t="s">
        <v>13</v>
      </c>
      <c r="H4595" t="s">
        <v>13</v>
      </c>
      <c r="I4595">
        <v>35</v>
      </c>
      <c r="J4595" t="str" cm="1">
        <f t="array" ref="J4595">_xlfn.IFS(ISBLANK(C4595),"FALTANTE",ABS((C4595-$W$5)/$X$5)&gt;1.96,"ATÍPICO",ABS((C4595-$W$5)/$X$5)&lt;=1.96,"NO ATÍPICO")</f>
        <v>NO ATÍPICO</v>
      </c>
      <c r="K4595" t="str" cm="1">
        <f t="array" ref="K4595">_xlfn.IFS(ISBLANK(I4595),"FALTANTE",ABS((I4595-$W$8)/$X$8)&gt;1.92,"ATÍPICO",ABS((I4595-$W$8)/$X$8)&lt;=1.92,"NO ATÍPICO")</f>
        <v>NO ATÍPICO</v>
      </c>
      <c r="L4595">
        <f t="shared" si="302"/>
        <v>405464.55</v>
      </c>
      <c r="M4595" t="str">
        <f t="shared" si="302"/>
        <v>ASALARIADO</v>
      </c>
      <c r="N4595">
        <f t="shared" si="303"/>
        <v>35</v>
      </c>
      <c r="O4595" s="19" t="str">
        <f t="shared" si="304"/>
        <v>300k–600k</v>
      </c>
      <c r="P4595" s="19" t="str">
        <f t="shared" si="305"/>
        <v>26-35</v>
      </c>
    </row>
    <row r="4596" spans="1:16" x14ac:dyDescent="0.25">
      <c r="A4596">
        <v>4595</v>
      </c>
      <c r="B4596" t="s">
        <v>15</v>
      </c>
      <c r="C4596">
        <v>560987.56000000006</v>
      </c>
      <c r="D4596" t="s">
        <v>14</v>
      </c>
      <c r="E4596" t="s">
        <v>11</v>
      </c>
      <c r="F4596" t="s">
        <v>12</v>
      </c>
      <c r="G4596" t="s">
        <v>13</v>
      </c>
      <c r="H4596" t="s">
        <v>13</v>
      </c>
      <c r="I4596">
        <v>69</v>
      </c>
      <c r="J4596" t="str" cm="1">
        <f t="array" ref="J4596">_xlfn.IFS(ISBLANK(C4596),"FALTANTE",ABS((C4596-$W$5)/$X$5)&gt;1.96,"ATÍPICO",ABS((C4596-$W$5)/$X$5)&lt;=1.96,"NO ATÍPICO")</f>
        <v>NO ATÍPICO</v>
      </c>
      <c r="K4596" t="str" cm="1">
        <f t="array" ref="K4596">_xlfn.IFS(ISBLANK(I4596),"FALTANTE",ABS((I4596-$W$8)/$X$8)&gt;1.92,"ATÍPICO",ABS((I4596-$W$8)/$X$8)&lt;=1.92,"NO ATÍPICO")</f>
        <v>NO ATÍPICO</v>
      </c>
      <c r="L4596">
        <f t="shared" si="302"/>
        <v>560987.56000000006</v>
      </c>
      <c r="M4596" t="str">
        <f t="shared" si="302"/>
        <v>PENSIONADOS EN SU PROPIO SISTEMA</v>
      </c>
      <c r="N4596">
        <f t="shared" si="303"/>
        <v>69</v>
      </c>
      <c r="O4596" s="19" t="str">
        <f t="shared" si="304"/>
        <v>300k–600k</v>
      </c>
      <c r="P4596" s="19" t="str">
        <f t="shared" si="305"/>
        <v>56+</v>
      </c>
    </row>
    <row r="4597" spans="1:16" x14ac:dyDescent="0.25">
      <c r="A4597">
        <v>4596</v>
      </c>
      <c r="B4597" t="s">
        <v>9</v>
      </c>
      <c r="C4597">
        <v>374731.55</v>
      </c>
      <c r="D4597" t="s">
        <v>10</v>
      </c>
      <c r="E4597" t="s">
        <v>16</v>
      </c>
      <c r="F4597" t="s">
        <v>12</v>
      </c>
      <c r="G4597" t="s">
        <v>12</v>
      </c>
      <c r="H4597" t="s">
        <v>13</v>
      </c>
      <c r="I4597">
        <v>36</v>
      </c>
      <c r="J4597" t="str" cm="1">
        <f t="array" ref="J4597">_xlfn.IFS(ISBLANK(C4597),"FALTANTE",ABS((C4597-$W$5)/$X$5)&gt;1.96,"ATÍPICO",ABS((C4597-$W$5)/$X$5)&lt;=1.96,"NO ATÍPICO")</f>
        <v>NO ATÍPICO</v>
      </c>
      <c r="K4597" t="str" cm="1">
        <f t="array" ref="K4597">_xlfn.IFS(ISBLANK(I4597),"FALTANTE",ABS((I4597-$W$8)/$X$8)&gt;1.92,"ATÍPICO",ABS((I4597-$W$8)/$X$8)&lt;=1.92,"NO ATÍPICO")</f>
        <v>NO ATÍPICO</v>
      </c>
      <c r="L4597">
        <f t="shared" si="302"/>
        <v>374731.55</v>
      </c>
      <c r="M4597" t="str">
        <f t="shared" si="302"/>
        <v>ASALARIADO</v>
      </c>
      <c r="N4597">
        <f t="shared" si="303"/>
        <v>36</v>
      </c>
      <c r="O4597" s="19" t="str">
        <f t="shared" si="304"/>
        <v>300k–600k</v>
      </c>
      <c r="P4597" s="19" t="str">
        <f t="shared" si="305"/>
        <v>36-45</v>
      </c>
    </row>
    <row r="4598" spans="1:16" x14ac:dyDescent="0.25">
      <c r="A4598">
        <v>4597</v>
      </c>
      <c r="B4598" t="s">
        <v>9</v>
      </c>
      <c r="C4598">
        <v>650000</v>
      </c>
      <c r="D4598" t="s">
        <v>10</v>
      </c>
      <c r="E4598" t="s">
        <v>16</v>
      </c>
      <c r="F4598" t="s">
        <v>12</v>
      </c>
      <c r="G4598" t="s">
        <v>13</v>
      </c>
      <c r="H4598" t="s">
        <v>13</v>
      </c>
      <c r="I4598">
        <v>45</v>
      </c>
      <c r="J4598" t="str" cm="1">
        <f t="array" ref="J4598">_xlfn.IFS(ISBLANK(C4598),"FALTANTE",ABS((C4598-$W$5)/$X$5)&gt;1.96,"ATÍPICO",ABS((C4598-$W$5)/$X$5)&lt;=1.96,"NO ATÍPICO")</f>
        <v>NO ATÍPICO</v>
      </c>
      <c r="K4598" t="str" cm="1">
        <f t="array" ref="K4598">_xlfn.IFS(ISBLANK(I4598),"FALTANTE",ABS((I4598-$W$8)/$X$8)&gt;1.92,"ATÍPICO",ABS((I4598-$W$8)/$X$8)&lt;=1.92,"NO ATÍPICO")</f>
        <v>NO ATÍPICO</v>
      </c>
      <c r="L4598">
        <f t="shared" si="302"/>
        <v>650000</v>
      </c>
      <c r="M4598" t="str">
        <f t="shared" si="302"/>
        <v>ASALARIADO</v>
      </c>
      <c r="N4598">
        <f t="shared" si="303"/>
        <v>45</v>
      </c>
      <c r="O4598" s="19" t="str">
        <f t="shared" si="304"/>
        <v>600k–900k</v>
      </c>
      <c r="P4598" s="19" t="str">
        <f t="shared" si="305"/>
        <v>36-45</v>
      </c>
    </row>
    <row r="4599" spans="1:16" x14ac:dyDescent="0.25">
      <c r="A4599">
        <v>4598</v>
      </c>
      <c r="B4599" t="s">
        <v>9</v>
      </c>
      <c r="C4599">
        <v>358640</v>
      </c>
      <c r="D4599" t="s">
        <v>17</v>
      </c>
      <c r="E4599" t="s">
        <v>16</v>
      </c>
      <c r="F4599" t="s">
        <v>12</v>
      </c>
      <c r="G4599" t="s">
        <v>12</v>
      </c>
      <c r="H4599" t="s">
        <v>13</v>
      </c>
      <c r="I4599">
        <v>29</v>
      </c>
      <c r="J4599" t="str" cm="1">
        <f t="array" ref="J4599">_xlfn.IFS(ISBLANK(C4599),"FALTANTE",ABS((C4599-$W$5)/$X$5)&gt;1.96,"ATÍPICO",ABS((C4599-$W$5)/$X$5)&lt;=1.96,"NO ATÍPICO")</f>
        <v>NO ATÍPICO</v>
      </c>
      <c r="K4599" t="str" cm="1">
        <f t="array" ref="K4599">_xlfn.IFS(ISBLANK(I4599),"FALTANTE",ABS((I4599-$W$8)/$X$8)&gt;1.92,"ATÍPICO",ABS((I4599-$W$8)/$X$8)&lt;=1.92,"NO ATÍPICO")</f>
        <v>NO ATÍPICO</v>
      </c>
      <c r="L4599">
        <f t="shared" si="302"/>
        <v>358640</v>
      </c>
      <c r="M4599" t="str">
        <f t="shared" si="302"/>
        <v>ASEGURADO VOLUNTARIO</v>
      </c>
      <c r="N4599">
        <f t="shared" si="303"/>
        <v>29</v>
      </c>
      <c r="O4599" s="19" t="str">
        <f t="shared" si="304"/>
        <v>300k–600k</v>
      </c>
      <c r="P4599" s="19" t="str">
        <f t="shared" si="305"/>
        <v>26-35</v>
      </c>
    </row>
    <row r="4600" spans="1:16" x14ac:dyDescent="0.25">
      <c r="A4600">
        <v>4599</v>
      </c>
      <c r="B4600" t="s">
        <v>9</v>
      </c>
      <c r="C4600">
        <v>838786.3</v>
      </c>
      <c r="D4600" t="s">
        <v>10</v>
      </c>
      <c r="E4600" t="s">
        <v>16</v>
      </c>
      <c r="F4600" t="s">
        <v>12</v>
      </c>
      <c r="G4600" t="s">
        <v>13</v>
      </c>
      <c r="H4600" t="s">
        <v>13</v>
      </c>
      <c r="I4600">
        <v>79</v>
      </c>
      <c r="J4600" t="str" cm="1">
        <f t="array" ref="J4600">_xlfn.IFS(ISBLANK(C4600),"FALTANTE",ABS((C4600-$W$5)/$X$5)&gt;1.96,"ATÍPICO",ABS((C4600-$W$5)/$X$5)&lt;=1.96,"NO ATÍPICO")</f>
        <v>NO ATÍPICO</v>
      </c>
      <c r="K4600" t="str" cm="1">
        <f t="array" ref="K4600">_xlfn.IFS(ISBLANK(I4600),"FALTANTE",ABS((I4600-$W$8)/$X$8)&gt;1.92,"ATÍPICO",ABS((I4600-$W$8)/$X$8)&lt;=1.92,"NO ATÍPICO")</f>
        <v>ATÍPICO</v>
      </c>
      <c r="L4600">
        <f t="shared" si="302"/>
        <v>838786.3</v>
      </c>
      <c r="M4600" t="str">
        <f t="shared" si="302"/>
        <v>ASALARIADO</v>
      </c>
      <c r="N4600">
        <f t="shared" si="303"/>
        <v>79</v>
      </c>
      <c r="O4600" s="19" t="str">
        <f t="shared" si="304"/>
        <v>600k–900k</v>
      </c>
      <c r="P4600" s="19" t="str">
        <f t="shared" si="305"/>
        <v>56+</v>
      </c>
    </row>
    <row r="4601" spans="1:16" x14ac:dyDescent="0.25">
      <c r="A4601">
        <v>4600</v>
      </c>
      <c r="B4601" t="s">
        <v>9</v>
      </c>
      <c r="C4601">
        <v>34458</v>
      </c>
      <c r="D4601" t="s">
        <v>10</v>
      </c>
      <c r="E4601" t="s">
        <v>16</v>
      </c>
      <c r="F4601" t="s">
        <v>12</v>
      </c>
      <c r="G4601" t="s">
        <v>13</v>
      </c>
      <c r="H4601" t="s">
        <v>13</v>
      </c>
      <c r="I4601">
        <v>43</v>
      </c>
      <c r="J4601" t="str" cm="1">
        <f t="array" ref="J4601">_xlfn.IFS(ISBLANK(C4601),"FALTANTE",ABS((C4601-$W$5)/$X$5)&gt;1.96,"ATÍPICO",ABS((C4601-$W$5)/$X$5)&lt;=1.96,"NO ATÍPICO")</f>
        <v>NO ATÍPICO</v>
      </c>
      <c r="K4601" t="str" cm="1">
        <f t="array" ref="K4601">_xlfn.IFS(ISBLANK(I4601),"FALTANTE",ABS((I4601-$W$8)/$X$8)&gt;1.92,"ATÍPICO",ABS((I4601-$W$8)/$X$8)&lt;=1.92,"NO ATÍPICO")</f>
        <v>NO ATÍPICO</v>
      </c>
      <c r="L4601">
        <f t="shared" si="302"/>
        <v>34458</v>
      </c>
      <c r="M4601" t="str">
        <f t="shared" si="302"/>
        <v>ASALARIADO</v>
      </c>
      <c r="N4601">
        <f t="shared" si="303"/>
        <v>43</v>
      </c>
      <c r="O4601" s="19" t="str">
        <f t="shared" si="304"/>
        <v>0–300k</v>
      </c>
      <c r="P4601" s="19" t="str">
        <f t="shared" si="305"/>
        <v>36-45</v>
      </c>
    </row>
    <row r="4602" spans="1:16" x14ac:dyDescent="0.25">
      <c r="A4602">
        <v>4601</v>
      </c>
      <c r="B4602" t="s">
        <v>9</v>
      </c>
      <c r="C4602">
        <v>640000</v>
      </c>
      <c r="D4602" t="s">
        <v>10</v>
      </c>
      <c r="E4602" t="s">
        <v>16</v>
      </c>
      <c r="F4602" t="s">
        <v>12</v>
      </c>
      <c r="G4602" t="s">
        <v>12</v>
      </c>
      <c r="H4602" t="s">
        <v>13</v>
      </c>
      <c r="I4602">
        <v>44</v>
      </c>
      <c r="J4602" t="str" cm="1">
        <f t="array" ref="J4602">_xlfn.IFS(ISBLANK(C4602),"FALTANTE",ABS((C4602-$W$5)/$X$5)&gt;1.96,"ATÍPICO",ABS((C4602-$W$5)/$X$5)&lt;=1.96,"NO ATÍPICO")</f>
        <v>NO ATÍPICO</v>
      </c>
      <c r="K4602" t="str" cm="1">
        <f t="array" ref="K4602">_xlfn.IFS(ISBLANK(I4602),"FALTANTE",ABS((I4602-$W$8)/$X$8)&gt;1.92,"ATÍPICO",ABS((I4602-$W$8)/$X$8)&lt;=1.92,"NO ATÍPICO")</f>
        <v>NO ATÍPICO</v>
      </c>
      <c r="L4602">
        <f t="shared" si="302"/>
        <v>640000</v>
      </c>
      <c r="M4602" t="str">
        <f t="shared" si="302"/>
        <v>ASALARIADO</v>
      </c>
      <c r="N4602">
        <f t="shared" si="303"/>
        <v>44</v>
      </c>
      <c r="O4602" s="19" t="str">
        <f t="shared" si="304"/>
        <v>600k–900k</v>
      </c>
      <c r="P4602" s="19" t="str">
        <f t="shared" si="305"/>
        <v>36-45</v>
      </c>
    </row>
    <row r="4603" spans="1:16" x14ac:dyDescent="0.25">
      <c r="A4603">
        <v>4602</v>
      </c>
      <c r="B4603" t="s">
        <v>15</v>
      </c>
      <c r="C4603">
        <v>736259</v>
      </c>
      <c r="D4603" t="s">
        <v>14</v>
      </c>
      <c r="E4603" t="s">
        <v>11</v>
      </c>
      <c r="F4603" t="s">
        <v>12</v>
      </c>
      <c r="G4603" t="s">
        <v>13</v>
      </c>
      <c r="H4603" t="s">
        <v>13</v>
      </c>
      <c r="I4603">
        <v>82</v>
      </c>
      <c r="J4603" t="str" cm="1">
        <f t="array" ref="J4603">_xlfn.IFS(ISBLANK(C4603),"FALTANTE",ABS((C4603-$W$5)/$X$5)&gt;1.96,"ATÍPICO",ABS((C4603-$W$5)/$X$5)&lt;=1.96,"NO ATÍPICO")</f>
        <v>NO ATÍPICO</v>
      </c>
      <c r="K4603" t="str" cm="1">
        <f t="array" ref="K4603">_xlfn.IFS(ISBLANK(I4603),"FALTANTE",ABS((I4603-$W$8)/$X$8)&gt;1.92,"ATÍPICO",ABS((I4603-$W$8)/$X$8)&lt;=1.92,"NO ATÍPICO")</f>
        <v>ATÍPICO</v>
      </c>
      <c r="L4603">
        <f t="shared" si="302"/>
        <v>736259</v>
      </c>
      <c r="M4603" t="str">
        <f t="shared" si="302"/>
        <v>PENSIONADOS EN SU PROPIO SISTEMA</v>
      </c>
      <c r="N4603">
        <f t="shared" si="303"/>
        <v>82</v>
      </c>
      <c r="O4603" s="19" t="str">
        <f t="shared" si="304"/>
        <v>600k–900k</v>
      </c>
      <c r="P4603" s="19" t="str">
        <f t="shared" si="305"/>
        <v>56+</v>
      </c>
    </row>
    <row r="4604" spans="1:16" x14ac:dyDescent="0.25">
      <c r="A4604">
        <v>4603</v>
      </c>
      <c r="B4604" t="s">
        <v>9</v>
      </c>
      <c r="C4604">
        <v>366300</v>
      </c>
      <c r="D4604" t="s">
        <v>10</v>
      </c>
      <c r="E4604" t="s">
        <v>16</v>
      </c>
      <c r="F4604" t="s">
        <v>12</v>
      </c>
      <c r="G4604" t="s">
        <v>12</v>
      </c>
      <c r="H4604" t="s">
        <v>13</v>
      </c>
      <c r="I4604">
        <v>27</v>
      </c>
      <c r="J4604" t="str" cm="1">
        <f t="array" ref="J4604">_xlfn.IFS(ISBLANK(C4604),"FALTANTE",ABS((C4604-$W$5)/$X$5)&gt;1.96,"ATÍPICO",ABS((C4604-$W$5)/$X$5)&lt;=1.96,"NO ATÍPICO")</f>
        <v>NO ATÍPICO</v>
      </c>
      <c r="K4604" t="str" cm="1">
        <f t="array" ref="K4604">_xlfn.IFS(ISBLANK(I4604),"FALTANTE",ABS((I4604-$W$8)/$X$8)&gt;1.92,"ATÍPICO",ABS((I4604-$W$8)/$X$8)&lt;=1.92,"NO ATÍPICO")</f>
        <v>NO ATÍPICO</v>
      </c>
      <c r="L4604">
        <f t="shared" si="302"/>
        <v>366300</v>
      </c>
      <c r="M4604" t="str">
        <f t="shared" si="302"/>
        <v>ASALARIADO</v>
      </c>
      <c r="N4604">
        <f t="shared" si="303"/>
        <v>27</v>
      </c>
      <c r="O4604" s="19" t="str">
        <f t="shared" si="304"/>
        <v>300k–600k</v>
      </c>
      <c r="P4604" s="19" t="str">
        <f t="shared" si="305"/>
        <v>26-35</v>
      </c>
    </row>
    <row r="4605" spans="1:16" x14ac:dyDescent="0.25">
      <c r="A4605">
        <v>4604</v>
      </c>
      <c r="B4605" t="s">
        <v>15</v>
      </c>
      <c r="C4605">
        <v>989476.56</v>
      </c>
      <c r="D4605" t="s">
        <v>10</v>
      </c>
      <c r="E4605" t="s">
        <v>11</v>
      </c>
      <c r="F4605" t="s">
        <v>12</v>
      </c>
      <c r="G4605" t="s">
        <v>13</v>
      </c>
      <c r="H4605" t="s">
        <v>13</v>
      </c>
      <c r="I4605">
        <v>31</v>
      </c>
      <c r="J4605" t="str" cm="1">
        <f t="array" ref="J4605">_xlfn.IFS(ISBLANK(C4605),"FALTANTE",ABS((C4605-$W$5)/$X$5)&gt;1.96,"ATÍPICO",ABS((C4605-$W$5)/$X$5)&lt;=1.96,"NO ATÍPICO")</f>
        <v>NO ATÍPICO</v>
      </c>
      <c r="K4605" t="str" cm="1">
        <f t="array" ref="K4605">_xlfn.IFS(ISBLANK(I4605),"FALTANTE",ABS((I4605-$W$8)/$X$8)&gt;1.92,"ATÍPICO",ABS((I4605-$W$8)/$X$8)&lt;=1.92,"NO ATÍPICO")</f>
        <v>NO ATÍPICO</v>
      </c>
      <c r="L4605">
        <f t="shared" si="302"/>
        <v>989476.56</v>
      </c>
      <c r="M4605" t="str">
        <f t="shared" si="302"/>
        <v>ASALARIADO</v>
      </c>
      <c r="N4605">
        <f t="shared" si="303"/>
        <v>31</v>
      </c>
      <c r="O4605" s="19" t="str">
        <f t="shared" si="304"/>
        <v>900k–1200k</v>
      </c>
      <c r="P4605" s="19" t="str">
        <f t="shared" si="305"/>
        <v>26-35</v>
      </c>
    </row>
    <row r="4606" spans="1:16" x14ac:dyDescent="0.25">
      <c r="A4606">
        <v>4605</v>
      </c>
      <c r="B4606" t="s">
        <v>9</v>
      </c>
      <c r="C4606">
        <v>664852.56000000006</v>
      </c>
      <c r="D4606" t="s">
        <v>10</v>
      </c>
      <c r="E4606" t="s">
        <v>11</v>
      </c>
      <c r="F4606" t="s">
        <v>12</v>
      </c>
      <c r="G4606" t="s">
        <v>13</v>
      </c>
      <c r="H4606" t="s">
        <v>13</v>
      </c>
      <c r="I4606">
        <v>57</v>
      </c>
      <c r="J4606" t="str" cm="1">
        <f t="array" ref="J4606">_xlfn.IFS(ISBLANK(C4606),"FALTANTE",ABS((C4606-$W$5)/$X$5)&gt;1.96,"ATÍPICO",ABS((C4606-$W$5)/$X$5)&lt;=1.96,"NO ATÍPICO")</f>
        <v>NO ATÍPICO</v>
      </c>
      <c r="K4606" t="str" cm="1">
        <f t="array" ref="K4606">_xlfn.IFS(ISBLANK(I4606),"FALTANTE",ABS((I4606-$W$8)/$X$8)&gt;1.92,"ATÍPICO",ABS((I4606-$W$8)/$X$8)&lt;=1.92,"NO ATÍPICO")</f>
        <v>NO ATÍPICO</v>
      </c>
      <c r="L4606">
        <f t="shared" si="302"/>
        <v>664852.56000000006</v>
      </c>
      <c r="M4606" t="str">
        <f t="shared" si="302"/>
        <v>ASALARIADO</v>
      </c>
      <c r="N4606">
        <f t="shared" si="303"/>
        <v>57</v>
      </c>
      <c r="O4606" s="19" t="str">
        <f t="shared" si="304"/>
        <v>600k–900k</v>
      </c>
      <c r="P4606" s="19" t="str">
        <f t="shared" si="305"/>
        <v>56+</v>
      </c>
    </row>
    <row r="4607" spans="1:16" x14ac:dyDescent="0.25">
      <c r="A4607">
        <v>4606</v>
      </c>
      <c r="B4607" t="s">
        <v>15</v>
      </c>
      <c r="C4607">
        <v>355573.78</v>
      </c>
      <c r="D4607" t="s">
        <v>10</v>
      </c>
      <c r="E4607" t="s">
        <v>16</v>
      </c>
      <c r="F4607" t="s">
        <v>12</v>
      </c>
      <c r="G4607" t="s">
        <v>13</v>
      </c>
      <c r="H4607" t="s">
        <v>13</v>
      </c>
      <c r="I4607">
        <v>33</v>
      </c>
      <c r="J4607" t="str" cm="1">
        <f t="array" ref="J4607">_xlfn.IFS(ISBLANK(C4607),"FALTANTE",ABS((C4607-$W$5)/$X$5)&gt;1.96,"ATÍPICO",ABS((C4607-$W$5)/$X$5)&lt;=1.96,"NO ATÍPICO")</f>
        <v>NO ATÍPICO</v>
      </c>
      <c r="K4607" t="str" cm="1">
        <f t="array" ref="K4607">_xlfn.IFS(ISBLANK(I4607),"FALTANTE",ABS((I4607-$W$8)/$X$8)&gt;1.92,"ATÍPICO",ABS((I4607-$W$8)/$X$8)&lt;=1.92,"NO ATÍPICO")</f>
        <v>NO ATÍPICO</v>
      </c>
      <c r="L4607">
        <f t="shared" si="302"/>
        <v>355573.78</v>
      </c>
      <c r="M4607" t="str">
        <f t="shared" si="302"/>
        <v>ASALARIADO</v>
      </c>
      <c r="N4607">
        <f t="shared" si="303"/>
        <v>33</v>
      </c>
      <c r="O4607" s="19" t="str">
        <f t="shared" si="304"/>
        <v>300k–600k</v>
      </c>
      <c r="P4607" s="19" t="str">
        <f t="shared" si="305"/>
        <v>26-35</v>
      </c>
    </row>
    <row r="4608" spans="1:16" x14ac:dyDescent="0.25">
      <c r="A4608">
        <v>4607</v>
      </c>
      <c r="B4608" t="s">
        <v>15</v>
      </c>
      <c r="C4608">
        <v>353478.67</v>
      </c>
      <c r="D4608" t="s">
        <v>10</v>
      </c>
      <c r="E4608" t="s">
        <v>16</v>
      </c>
      <c r="F4608" t="s">
        <v>12</v>
      </c>
      <c r="G4608" t="s">
        <v>13</v>
      </c>
      <c r="H4608" t="s">
        <v>13</v>
      </c>
      <c r="I4608">
        <v>26</v>
      </c>
      <c r="J4608" t="str" cm="1">
        <f t="array" ref="J4608">_xlfn.IFS(ISBLANK(C4608),"FALTANTE",ABS((C4608-$W$5)/$X$5)&gt;1.96,"ATÍPICO",ABS((C4608-$W$5)/$X$5)&lt;=1.96,"NO ATÍPICO")</f>
        <v>NO ATÍPICO</v>
      </c>
      <c r="K4608" t="str" cm="1">
        <f t="array" ref="K4608">_xlfn.IFS(ISBLANK(I4608),"FALTANTE",ABS((I4608-$W$8)/$X$8)&gt;1.92,"ATÍPICO",ABS((I4608-$W$8)/$X$8)&lt;=1.92,"NO ATÍPICO")</f>
        <v>NO ATÍPICO</v>
      </c>
      <c r="L4608">
        <f t="shared" si="302"/>
        <v>353478.67</v>
      </c>
      <c r="M4608" t="str">
        <f t="shared" si="302"/>
        <v>ASALARIADO</v>
      </c>
      <c r="N4608">
        <f t="shared" si="303"/>
        <v>26</v>
      </c>
      <c r="O4608" s="19" t="str">
        <f t="shared" si="304"/>
        <v>300k–600k</v>
      </c>
      <c r="P4608" s="19" t="str">
        <f t="shared" si="305"/>
        <v>26-35</v>
      </c>
    </row>
    <row r="4609" spans="1:16" x14ac:dyDescent="0.25">
      <c r="A4609">
        <v>4608</v>
      </c>
      <c r="B4609" t="s">
        <v>9</v>
      </c>
      <c r="C4609">
        <v>308439</v>
      </c>
      <c r="D4609" t="s">
        <v>17</v>
      </c>
      <c r="E4609" t="s">
        <v>16</v>
      </c>
      <c r="F4609" t="s">
        <v>12</v>
      </c>
      <c r="G4609" t="s">
        <v>12</v>
      </c>
      <c r="H4609" t="s">
        <v>13</v>
      </c>
      <c r="I4609">
        <v>88</v>
      </c>
      <c r="J4609" t="str" cm="1">
        <f t="array" ref="J4609">_xlfn.IFS(ISBLANK(C4609),"FALTANTE",ABS((C4609-$W$5)/$X$5)&gt;1.96,"ATÍPICO",ABS((C4609-$W$5)/$X$5)&lt;=1.96,"NO ATÍPICO")</f>
        <v>NO ATÍPICO</v>
      </c>
      <c r="K4609" t="str" cm="1">
        <f t="array" ref="K4609">_xlfn.IFS(ISBLANK(I4609),"FALTANTE",ABS((I4609-$W$8)/$X$8)&gt;1.92,"ATÍPICO",ABS((I4609-$W$8)/$X$8)&lt;=1.92,"NO ATÍPICO")</f>
        <v>ATÍPICO</v>
      </c>
      <c r="L4609">
        <f t="shared" si="302"/>
        <v>308439</v>
      </c>
      <c r="M4609" t="str">
        <f t="shared" si="302"/>
        <v>ASEGURADO VOLUNTARIO</v>
      </c>
      <c r="N4609">
        <f t="shared" si="303"/>
        <v>88</v>
      </c>
      <c r="O4609" s="19" t="str">
        <f t="shared" si="304"/>
        <v>300k–600k</v>
      </c>
      <c r="P4609" s="19" t="str">
        <f t="shared" si="305"/>
        <v>56+</v>
      </c>
    </row>
    <row r="4610" spans="1:16" x14ac:dyDescent="0.25">
      <c r="A4610">
        <v>4609</v>
      </c>
      <c r="B4610" t="s">
        <v>9</v>
      </c>
      <c r="C4610">
        <v>278030</v>
      </c>
      <c r="D4610" t="s">
        <v>19</v>
      </c>
      <c r="E4610" t="s">
        <v>16</v>
      </c>
      <c r="F4610" t="s">
        <v>12</v>
      </c>
      <c r="G4610" t="s">
        <v>13</v>
      </c>
      <c r="H4610" t="s">
        <v>13</v>
      </c>
      <c r="I4610">
        <v>52</v>
      </c>
      <c r="J4610" t="str" cm="1">
        <f t="array" ref="J4610">_xlfn.IFS(ISBLANK(C4610),"FALTANTE",ABS((C4610-$W$5)/$X$5)&gt;1.96,"ATÍPICO",ABS((C4610-$W$5)/$X$5)&lt;=1.96,"NO ATÍPICO")</f>
        <v>NO ATÍPICO</v>
      </c>
      <c r="K4610" t="str" cm="1">
        <f t="array" ref="K4610">_xlfn.IFS(ISBLANK(I4610),"FALTANTE",ABS((I4610-$W$8)/$X$8)&gt;1.92,"ATÍPICO",ABS((I4610-$W$8)/$X$8)&lt;=1.92,"NO ATÍPICO")</f>
        <v>NO ATÍPICO</v>
      </c>
      <c r="L4610">
        <f t="shared" ref="L4610:M4673" si="306">C4610</f>
        <v>278030</v>
      </c>
      <c r="M4610" t="str">
        <f t="shared" si="306"/>
        <v>CONVENIOS ESPECIALES DE TRABAJADORES INDEPENDIENTES</v>
      </c>
      <c r="N4610">
        <f t="shared" ref="N4610:N4673" si="307">I4610</f>
        <v>52</v>
      </c>
      <c r="O4610" s="19" t="str">
        <f t="shared" ref="O4610:O4673" si="308">IF(L4610&lt;=300000,"0–300k",IF(L4610&lt;=600000,"300k–600k",IF(L4610&lt;=900000,"600k–900k",IF(L4610&lt;=1200000,"900k–1200k","1200k+"))))</f>
        <v>0–300k</v>
      </c>
      <c r="P4610" s="19" t="str">
        <f t="shared" ref="P4610:P4673" si="309">IF(N4610 &lt;=25,"18-25", IF(N4610&lt;=35,"26-35", IF(N4610 &lt;=45,"36-45", IF(N4610&lt;=55,"46-55","56+"))))</f>
        <v>46-55</v>
      </c>
    </row>
    <row r="4611" spans="1:16" x14ac:dyDescent="0.25">
      <c r="A4611">
        <v>4610</v>
      </c>
      <c r="B4611" t="s">
        <v>15</v>
      </c>
      <c r="C4611">
        <v>445567</v>
      </c>
      <c r="D4611" t="s">
        <v>17</v>
      </c>
      <c r="E4611" t="s">
        <v>16</v>
      </c>
      <c r="F4611" t="s">
        <v>13</v>
      </c>
      <c r="G4611" t="s">
        <v>13</v>
      </c>
      <c r="H4611" t="s">
        <v>13</v>
      </c>
      <c r="I4611">
        <v>78</v>
      </c>
      <c r="J4611" t="str" cm="1">
        <f t="array" ref="J4611">_xlfn.IFS(ISBLANK(C4611),"FALTANTE",ABS((C4611-$W$5)/$X$5)&gt;1.96,"ATÍPICO",ABS((C4611-$W$5)/$X$5)&lt;=1.96,"NO ATÍPICO")</f>
        <v>NO ATÍPICO</v>
      </c>
      <c r="K4611" t="str" cm="1">
        <f t="array" ref="K4611">_xlfn.IFS(ISBLANK(I4611),"FALTANTE",ABS((I4611-$W$8)/$X$8)&gt;1.92,"ATÍPICO",ABS((I4611-$W$8)/$X$8)&lt;=1.92,"NO ATÍPICO")</f>
        <v>ATÍPICO</v>
      </c>
      <c r="L4611">
        <f t="shared" si="306"/>
        <v>445567</v>
      </c>
      <c r="M4611" t="str">
        <f t="shared" si="306"/>
        <v>ASEGURADO VOLUNTARIO</v>
      </c>
      <c r="N4611">
        <f t="shared" si="307"/>
        <v>78</v>
      </c>
      <c r="O4611" s="19" t="str">
        <f t="shared" si="308"/>
        <v>300k–600k</v>
      </c>
      <c r="P4611" s="19" t="str">
        <f t="shared" si="309"/>
        <v>56+</v>
      </c>
    </row>
    <row r="4612" spans="1:16" x14ac:dyDescent="0.25">
      <c r="A4612">
        <v>4611</v>
      </c>
      <c r="B4612" t="s">
        <v>9</v>
      </c>
      <c r="C4612">
        <v>390662.05</v>
      </c>
      <c r="D4612" t="s">
        <v>10</v>
      </c>
      <c r="E4612" t="s">
        <v>16</v>
      </c>
      <c r="F4612" t="s">
        <v>12</v>
      </c>
      <c r="G4612" t="s">
        <v>13</v>
      </c>
      <c r="H4612" t="s">
        <v>12</v>
      </c>
      <c r="I4612">
        <v>35</v>
      </c>
      <c r="J4612" t="str" cm="1">
        <f t="array" ref="J4612">_xlfn.IFS(ISBLANK(C4612),"FALTANTE",ABS((C4612-$W$5)/$X$5)&gt;1.96,"ATÍPICO",ABS((C4612-$W$5)/$X$5)&lt;=1.96,"NO ATÍPICO")</f>
        <v>NO ATÍPICO</v>
      </c>
      <c r="K4612" t="str" cm="1">
        <f t="array" ref="K4612">_xlfn.IFS(ISBLANK(I4612),"FALTANTE",ABS((I4612-$W$8)/$X$8)&gt;1.92,"ATÍPICO",ABS((I4612-$W$8)/$X$8)&lt;=1.92,"NO ATÍPICO")</f>
        <v>NO ATÍPICO</v>
      </c>
      <c r="L4612">
        <f t="shared" si="306"/>
        <v>390662.05</v>
      </c>
      <c r="M4612" t="str">
        <f t="shared" si="306"/>
        <v>ASALARIADO</v>
      </c>
      <c r="N4612">
        <f t="shared" si="307"/>
        <v>35</v>
      </c>
      <c r="O4612" s="19" t="str">
        <f t="shared" si="308"/>
        <v>300k–600k</v>
      </c>
      <c r="P4612" s="19" t="str">
        <f t="shared" si="309"/>
        <v>26-35</v>
      </c>
    </row>
    <row r="4613" spans="1:16" x14ac:dyDescent="0.25">
      <c r="A4613">
        <v>4612</v>
      </c>
      <c r="B4613" t="s">
        <v>9</v>
      </c>
      <c r="C4613">
        <v>212000</v>
      </c>
      <c r="D4613" t="s">
        <v>10</v>
      </c>
      <c r="E4613" t="s">
        <v>16</v>
      </c>
      <c r="F4613" t="s">
        <v>12</v>
      </c>
      <c r="G4613" t="s">
        <v>13</v>
      </c>
      <c r="H4613" t="s">
        <v>13</v>
      </c>
      <c r="I4613">
        <v>24</v>
      </c>
      <c r="J4613" t="str" cm="1">
        <f t="array" ref="J4613">_xlfn.IFS(ISBLANK(C4613),"FALTANTE",ABS((C4613-$W$5)/$X$5)&gt;1.96,"ATÍPICO",ABS((C4613-$W$5)/$X$5)&lt;=1.96,"NO ATÍPICO")</f>
        <v>NO ATÍPICO</v>
      </c>
      <c r="K4613" t="str" cm="1">
        <f t="array" ref="K4613">_xlfn.IFS(ISBLANK(I4613),"FALTANTE",ABS((I4613-$W$8)/$X$8)&gt;1.92,"ATÍPICO",ABS((I4613-$W$8)/$X$8)&lt;=1.92,"NO ATÍPICO")</f>
        <v>NO ATÍPICO</v>
      </c>
      <c r="L4613">
        <f t="shared" si="306"/>
        <v>212000</v>
      </c>
      <c r="M4613" t="str">
        <f t="shared" si="306"/>
        <v>ASALARIADO</v>
      </c>
      <c r="N4613">
        <f t="shared" si="307"/>
        <v>24</v>
      </c>
      <c r="O4613" s="19" t="str">
        <f t="shared" si="308"/>
        <v>0–300k</v>
      </c>
      <c r="P4613" s="19" t="str">
        <f t="shared" si="309"/>
        <v>18-25</v>
      </c>
    </row>
    <row r="4614" spans="1:16" x14ac:dyDescent="0.25">
      <c r="A4614">
        <v>4613</v>
      </c>
      <c r="B4614" t="s">
        <v>15</v>
      </c>
      <c r="C4614">
        <v>308568</v>
      </c>
      <c r="D4614" t="s">
        <v>18</v>
      </c>
      <c r="E4614" t="s">
        <v>16</v>
      </c>
      <c r="F4614" t="s">
        <v>12</v>
      </c>
      <c r="G4614" t="s">
        <v>13</v>
      </c>
      <c r="H4614" t="s">
        <v>12</v>
      </c>
      <c r="I4614">
        <v>50</v>
      </c>
      <c r="J4614" t="str" cm="1">
        <f t="array" ref="J4614">_xlfn.IFS(ISBLANK(C4614),"FALTANTE",ABS((C4614-$W$5)/$X$5)&gt;1.96,"ATÍPICO",ABS((C4614-$W$5)/$X$5)&lt;=1.96,"NO ATÍPICO")</f>
        <v>NO ATÍPICO</v>
      </c>
      <c r="K4614" t="str" cm="1">
        <f t="array" ref="K4614">_xlfn.IFS(ISBLANK(I4614),"FALTANTE",ABS((I4614-$W$8)/$X$8)&gt;1.92,"ATÍPICO",ABS((I4614-$W$8)/$X$8)&lt;=1.92,"NO ATÍPICO")</f>
        <v>NO ATÍPICO</v>
      </c>
      <c r="L4614">
        <f t="shared" si="306"/>
        <v>308568</v>
      </c>
      <c r="M4614" t="str">
        <f t="shared" si="306"/>
        <v>TRABAJADOR INDEPENDIENTE</v>
      </c>
      <c r="N4614">
        <f t="shared" si="307"/>
        <v>50</v>
      </c>
      <c r="O4614" s="19" t="str">
        <f t="shared" si="308"/>
        <v>300k–600k</v>
      </c>
      <c r="P4614" s="19" t="str">
        <f t="shared" si="309"/>
        <v>46-55</v>
      </c>
    </row>
    <row r="4615" spans="1:16" x14ac:dyDescent="0.25">
      <c r="A4615">
        <v>4614</v>
      </c>
      <c r="B4615" t="s">
        <v>9</v>
      </c>
      <c r="C4615">
        <v>560465</v>
      </c>
      <c r="D4615" t="s">
        <v>18</v>
      </c>
      <c r="E4615" t="s">
        <v>16</v>
      </c>
      <c r="F4615" t="s">
        <v>12</v>
      </c>
      <c r="G4615" t="s">
        <v>13</v>
      </c>
      <c r="H4615" t="s">
        <v>12</v>
      </c>
      <c r="I4615">
        <v>34</v>
      </c>
      <c r="J4615" t="str" cm="1">
        <f t="array" ref="J4615">_xlfn.IFS(ISBLANK(C4615),"FALTANTE",ABS((C4615-$W$5)/$X$5)&gt;1.96,"ATÍPICO",ABS((C4615-$W$5)/$X$5)&lt;=1.96,"NO ATÍPICO")</f>
        <v>NO ATÍPICO</v>
      </c>
      <c r="K4615" t="str" cm="1">
        <f t="array" ref="K4615">_xlfn.IFS(ISBLANK(I4615),"FALTANTE",ABS((I4615-$W$8)/$X$8)&gt;1.92,"ATÍPICO",ABS((I4615-$W$8)/$X$8)&lt;=1.92,"NO ATÍPICO")</f>
        <v>NO ATÍPICO</v>
      </c>
      <c r="L4615">
        <f t="shared" si="306"/>
        <v>560465</v>
      </c>
      <c r="M4615" t="str">
        <f t="shared" si="306"/>
        <v>TRABAJADOR INDEPENDIENTE</v>
      </c>
      <c r="N4615">
        <f t="shared" si="307"/>
        <v>34</v>
      </c>
      <c r="O4615" s="19" t="str">
        <f t="shared" si="308"/>
        <v>300k–600k</v>
      </c>
      <c r="P4615" s="19" t="str">
        <f t="shared" si="309"/>
        <v>26-35</v>
      </c>
    </row>
    <row r="4616" spans="1:16" x14ac:dyDescent="0.25">
      <c r="A4616">
        <v>4615</v>
      </c>
      <c r="B4616" t="s">
        <v>15</v>
      </c>
      <c r="C4616">
        <v>323296</v>
      </c>
      <c r="D4616" t="s">
        <v>18</v>
      </c>
      <c r="E4616" t="s">
        <v>16</v>
      </c>
      <c r="F4616" t="s">
        <v>12</v>
      </c>
      <c r="G4616" t="s">
        <v>13</v>
      </c>
      <c r="H4616" t="s">
        <v>12</v>
      </c>
      <c r="I4616">
        <v>48</v>
      </c>
      <c r="J4616" t="str" cm="1">
        <f t="array" ref="J4616">_xlfn.IFS(ISBLANK(C4616),"FALTANTE",ABS((C4616-$W$5)/$X$5)&gt;1.96,"ATÍPICO",ABS((C4616-$W$5)/$X$5)&lt;=1.96,"NO ATÍPICO")</f>
        <v>NO ATÍPICO</v>
      </c>
      <c r="K4616" t="str" cm="1">
        <f t="array" ref="K4616">_xlfn.IFS(ISBLANK(I4616),"FALTANTE",ABS((I4616-$W$8)/$X$8)&gt;1.92,"ATÍPICO",ABS((I4616-$W$8)/$X$8)&lt;=1.92,"NO ATÍPICO")</f>
        <v>NO ATÍPICO</v>
      </c>
      <c r="L4616">
        <f t="shared" si="306"/>
        <v>323296</v>
      </c>
      <c r="M4616" t="str">
        <f t="shared" si="306"/>
        <v>TRABAJADOR INDEPENDIENTE</v>
      </c>
      <c r="N4616">
        <f t="shared" si="307"/>
        <v>48</v>
      </c>
      <c r="O4616" s="19" t="str">
        <f t="shared" si="308"/>
        <v>300k–600k</v>
      </c>
      <c r="P4616" s="19" t="str">
        <f t="shared" si="309"/>
        <v>46-55</v>
      </c>
    </row>
    <row r="4617" spans="1:16" x14ac:dyDescent="0.25">
      <c r="A4617">
        <v>4616</v>
      </c>
      <c r="B4617" t="s">
        <v>9</v>
      </c>
      <c r="C4617">
        <v>392034</v>
      </c>
      <c r="D4617" t="s">
        <v>10</v>
      </c>
      <c r="E4617" t="s">
        <v>16</v>
      </c>
      <c r="F4617" t="s">
        <v>12</v>
      </c>
      <c r="G4617" t="s">
        <v>13</v>
      </c>
      <c r="H4617" t="s">
        <v>13</v>
      </c>
      <c r="I4617">
        <v>42</v>
      </c>
      <c r="J4617" t="str" cm="1">
        <f t="array" ref="J4617">_xlfn.IFS(ISBLANK(C4617),"FALTANTE",ABS((C4617-$W$5)/$X$5)&gt;1.96,"ATÍPICO",ABS((C4617-$W$5)/$X$5)&lt;=1.96,"NO ATÍPICO")</f>
        <v>NO ATÍPICO</v>
      </c>
      <c r="K4617" t="str" cm="1">
        <f t="array" ref="K4617">_xlfn.IFS(ISBLANK(I4617),"FALTANTE",ABS((I4617-$W$8)/$X$8)&gt;1.92,"ATÍPICO",ABS((I4617-$W$8)/$X$8)&lt;=1.92,"NO ATÍPICO")</f>
        <v>NO ATÍPICO</v>
      </c>
      <c r="L4617">
        <f t="shared" si="306"/>
        <v>392034</v>
      </c>
      <c r="M4617" t="str">
        <f t="shared" si="306"/>
        <v>ASALARIADO</v>
      </c>
      <c r="N4617">
        <f t="shared" si="307"/>
        <v>42</v>
      </c>
      <c r="O4617" s="19" t="str">
        <f t="shared" si="308"/>
        <v>300k–600k</v>
      </c>
      <c r="P4617" s="19" t="str">
        <f t="shared" si="309"/>
        <v>36-45</v>
      </c>
    </row>
    <row r="4618" spans="1:16" x14ac:dyDescent="0.25">
      <c r="A4618">
        <v>4617</v>
      </c>
      <c r="B4618" t="s">
        <v>15</v>
      </c>
      <c r="C4618">
        <v>1700000</v>
      </c>
      <c r="D4618" t="s">
        <v>10</v>
      </c>
      <c r="E4618" t="s">
        <v>16</v>
      </c>
      <c r="F4618" t="s">
        <v>12</v>
      </c>
      <c r="G4618" t="s">
        <v>13</v>
      </c>
      <c r="H4618" t="s">
        <v>13</v>
      </c>
      <c r="I4618">
        <v>22</v>
      </c>
      <c r="J4618" t="str" cm="1">
        <f t="array" ref="J4618">_xlfn.IFS(ISBLANK(C4618),"FALTANTE",ABS((C4618-$W$5)/$X$5)&gt;1.96,"ATÍPICO",ABS((C4618-$W$5)/$X$5)&lt;=1.96,"NO ATÍPICO")</f>
        <v>NO ATÍPICO</v>
      </c>
      <c r="K4618" t="str" cm="1">
        <f t="array" ref="K4618">_xlfn.IFS(ISBLANK(I4618),"FALTANTE",ABS((I4618-$W$8)/$X$8)&gt;1.92,"ATÍPICO",ABS((I4618-$W$8)/$X$8)&lt;=1.92,"NO ATÍPICO")</f>
        <v>NO ATÍPICO</v>
      </c>
      <c r="L4618">
        <f t="shared" si="306"/>
        <v>1700000</v>
      </c>
      <c r="M4618" t="str">
        <f t="shared" si="306"/>
        <v>ASALARIADO</v>
      </c>
      <c r="N4618">
        <f t="shared" si="307"/>
        <v>22</v>
      </c>
      <c r="O4618" s="19" t="str">
        <f t="shared" si="308"/>
        <v>1200k+</v>
      </c>
      <c r="P4618" s="19" t="str">
        <f t="shared" si="309"/>
        <v>18-25</v>
      </c>
    </row>
    <row r="4619" spans="1:16" x14ac:dyDescent="0.25">
      <c r="A4619">
        <v>4618</v>
      </c>
      <c r="B4619" t="s">
        <v>15</v>
      </c>
      <c r="C4619">
        <v>674375</v>
      </c>
      <c r="D4619" t="s">
        <v>10</v>
      </c>
      <c r="E4619" t="s">
        <v>16</v>
      </c>
      <c r="F4619" t="s">
        <v>12</v>
      </c>
      <c r="G4619" t="s">
        <v>13</v>
      </c>
      <c r="H4619" t="s">
        <v>13</v>
      </c>
      <c r="I4619">
        <v>37</v>
      </c>
      <c r="J4619" t="str" cm="1">
        <f t="array" ref="J4619">_xlfn.IFS(ISBLANK(C4619),"FALTANTE",ABS((C4619-$W$5)/$X$5)&gt;1.96,"ATÍPICO",ABS((C4619-$W$5)/$X$5)&lt;=1.96,"NO ATÍPICO")</f>
        <v>NO ATÍPICO</v>
      </c>
      <c r="K4619" t="str" cm="1">
        <f t="array" ref="K4619">_xlfn.IFS(ISBLANK(I4619),"FALTANTE",ABS((I4619-$W$8)/$X$8)&gt;1.92,"ATÍPICO",ABS((I4619-$W$8)/$X$8)&lt;=1.92,"NO ATÍPICO")</f>
        <v>NO ATÍPICO</v>
      </c>
      <c r="L4619">
        <f t="shared" si="306"/>
        <v>674375</v>
      </c>
      <c r="M4619" t="str">
        <f t="shared" si="306"/>
        <v>ASALARIADO</v>
      </c>
      <c r="N4619">
        <f t="shared" si="307"/>
        <v>37</v>
      </c>
      <c r="O4619" s="19" t="str">
        <f t="shared" si="308"/>
        <v>600k–900k</v>
      </c>
      <c r="P4619" s="19" t="str">
        <f t="shared" si="309"/>
        <v>36-45</v>
      </c>
    </row>
    <row r="4620" spans="1:16" x14ac:dyDescent="0.25">
      <c r="A4620">
        <v>4619</v>
      </c>
      <c r="B4620" t="s">
        <v>9</v>
      </c>
      <c r="C4620">
        <v>402257.7</v>
      </c>
      <c r="D4620" t="s">
        <v>10</v>
      </c>
      <c r="E4620" t="s">
        <v>16</v>
      </c>
      <c r="F4620" t="s">
        <v>12</v>
      </c>
      <c r="G4620" t="s">
        <v>13</v>
      </c>
      <c r="H4620" t="s">
        <v>13</v>
      </c>
      <c r="I4620">
        <v>50</v>
      </c>
      <c r="J4620" t="str" cm="1">
        <f t="array" ref="J4620">_xlfn.IFS(ISBLANK(C4620),"FALTANTE",ABS((C4620-$W$5)/$X$5)&gt;1.96,"ATÍPICO",ABS((C4620-$W$5)/$X$5)&lt;=1.96,"NO ATÍPICO")</f>
        <v>NO ATÍPICO</v>
      </c>
      <c r="K4620" t="str" cm="1">
        <f t="array" ref="K4620">_xlfn.IFS(ISBLANK(I4620),"FALTANTE",ABS((I4620-$W$8)/$X$8)&gt;1.92,"ATÍPICO",ABS((I4620-$W$8)/$X$8)&lt;=1.92,"NO ATÍPICO")</f>
        <v>NO ATÍPICO</v>
      </c>
      <c r="L4620">
        <f t="shared" si="306"/>
        <v>402257.7</v>
      </c>
      <c r="M4620" t="str">
        <f t="shared" si="306"/>
        <v>ASALARIADO</v>
      </c>
      <c r="N4620">
        <f t="shared" si="307"/>
        <v>50</v>
      </c>
      <c r="O4620" s="19" t="str">
        <f t="shared" si="308"/>
        <v>300k–600k</v>
      </c>
      <c r="P4620" s="19" t="str">
        <f t="shared" si="309"/>
        <v>46-55</v>
      </c>
    </row>
    <row r="4621" spans="1:16" x14ac:dyDescent="0.25">
      <c r="A4621">
        <v>4620</v>
      </c>
      <c r="B4621" t="s">
        <v>9</v>
      </c>
      <c r="C4621">
        <v>445433</v>
      </c>
      <c r="D4621" t="s">
        <v>10</v>
      </c>
      <c r="E4621" t="s">
        <v>16</v>
      </c>
      <c r="F4621" t="s">
        <v>12</v>
      </c>
      <c r="G4621" t="s">
        <v>13</v>
      </c>
      <c r="H4621" t="s">
        <v>13</v>
      </c>
      <c r="I4621">
        <v>31</v>
      </c>
      <c r="J4621" t="str" cm="1">
        <f t="array" ref="J4621">_xlfn.IFS(ISBLANK(C4621),"FALTANTE",ABS((C4621-$W$5)/$X$5)&gt;1.96,"ATÍPICO",ABS((C4621-$W$5)/$X$5)&lt;=1.96,"NO ATÍPICO")</f>
        <v>NO ATÍPICO</v>
      </c>
      <c r="K4621" t="str" cm="1">
        <f t="array" ref="K4621">_xlfn.IFS(ISBLANK(I4621),"FALTANTE",ABS((I4621-$W$8)/$X$8)&gt;1.92,"ATÍPICO",ABS((I4621-$W$8)/$X$8)&lt;=1.92,"NO ATÍPICO")</f>
        <v>NO ATÍPICO</v>
      </c>
      <c r="L4621">
        <f t="shared" si="306"/>
        <v>445433</v>
      </c>
      <c r="M4621" t="str">
        <f t="shared" si="306"/>
        <v>ASALARIADO</v>
      </c>
      <c r="N4621">
        <f t="shared" si="307"/>
        <v>31</v>
      </c>
      <c r="O4621" s="19" t="str">
        <f t="shared" si="308"/>
        <v>300k–600k</v>
      </c>
      <c r="P4621" s="19" t="str">
        <f t="shared" si="309"/>
        <v>26-35</v>
      </c>
    </row>
    <row r="4622" spans="1:16" x14ac:dyDescent="0.25">
      <c r="A4622">
        <v>4621</v>
      </c>
      <c r="B4622" t="s">
        <v>15</v>
      </c>
      <c r="C4622">
        <v>605498</v>
      </c>
      <c r="D4622" t="s">
        <v>10</v>
      </c>
      <c r="E4622" t="s">
        <v>16</v>
      </c>
      <c r="F4622" t="s">
        <v>12</v>
      </c>
      <c r="G4622" t="s">
        <v>13</v>
      </c>
      <c r="H4622" t="s">
        <v>13</v>
      </c>
      <c r="I4622">
        <v>26</v>
      </c>
      <c r="J4622" t="str" cm="1">
        <f t="array" ref="J4622">_xlfn.IFS(ISBLANK(C4622),"FALTANTE",ABS((C4622-$W$5)/$X$5)&gt;1.96,"ATÍPICO",ABS((C4622-$W$5)/$X$5)&lt;=1.96,"NO ATÍPICO")</f>
        <v>NO ATÍPICO</v>
      </c>
      <c r="K4622" t="str" cm="1">
        <f t="array" ref="K4622">_xlfn.IFS(ISBLANK(I4622),"FALTANTE",ABS((I4622-$W$8)/$X$8)&gt;1.92,"ATÍPICO",ABS((I4622-$W$8)/$X$8)&lt;=1.92,"NO ATÍPICO")</f>
        <v>NO ATÍPICO</v>
      </c>
      <c r="L4622">
        <f t="shared" si="306"/>
        <v>605498</v>
      </c>
      <c r="M4622" t="str">
        <f t="shared" si="306"/>
        <v>ASALARIADO</v>
      </c>
      <c r="N4622">
        <f t="shared" si="307"/>
        <v>26</v>
      </c>
      <c r="O4622" s="19" t="str">
        <f t="shared" si="308"/>
        <v>600k–900k</v>
      </c>
      <c r="P4622" s="19" t="str">
        <f t="shared" si="309"/>
        <v>26-35</v>
      </c>
    </row>
    <row r="4623" spans="1:16" x14ac:dyDescent="0.25">
      <c r="A4623">
        <v>4622</v>
      </c>
      <c r="B4623" t="s">
        <v>15</v>
      </c>
      <c r="C4623">
        <v>897388</v>
      </c>
      <c r="D4623" t="s">
        <v>10</v>
      </c>
      <c r="E4623" t="s">
        <v>11</v>
      </c>
      <c r="F4623" t="s">
        <v>12</v>
      </c>
      <c r="G4623" t="s">
        <v>13</v>
      </c>
      <c r="H4623" t="s">
        <v>12</v>
      </c>
      <c r="I4623">
        <v>48</v>
      </c>
      <c r="J4623" t="str" cm="1">
        <f t="array" ref="J4623">_xlfn.IFS(ISBLANK(C4623),"FALTANTE",ABS((C4623-$W$5)/$X$5)&gt;1.96,"ATÍPICO",ABS((C4623-$W$5)/$X$5)&lt;=1.96,"NO ATÍPICO")</f>
        <v>NO ATÍPICO</v>
      </c>
      <c r="K4623" t="str" cm="1">
        <f t="array" ref="K4623">_xlfn.IFS(ISBLANK(I4623),"FALTANTE",ABS((I4623-$W$8)/$X$8)&gt;1.92,"ATÍPICO",ABS((I4623-$W$8)/$X$8)&lt;=1.92,"NO ATÍPICO")</f>
        <v>NO ATÍPICO</v>
      </c>
      <c r="L4623">
        <f t="shared" si="306"/>
        <v>897388</v>
      </c>
      <c r="M4623" t="str">
        <f t="shared" si="306"/>
        <v>ASALARIADO</v>
      </c>
      <c r="N4623">
        <f t="shared" si="307"/>
        <v>48</v>
      </c>
      <c r="O4623" s="19" t="str">
        <f t="shared" si="308"/>
        <v>600k–900k</v>
      </c>
      <c r="P4623" s="19" t="str">
        <f t="shared" si="309"/>
        <v>46-55</v>
      </c>
    </row>
    <row r="4624" spans="1:16" x14ac:dyDescent="0.25">
      <c r="A4624">
        <v>4623</v>
      </c>
      <c r="B4624" t="s">
        <v>15</v>
      </c>
      <c r="C4624">
        <v>1167986</v>
      </c>
      <c r="D4624" t="s">
        <v>10</v>
      </c>
      <c r="E4624" t="s">
        <v>11</v>
      </c>
      <c r="F4624" t="s">
        <v>12</v>
      </c>
      <c r="G4624" t="s">
        <v>13</v>
      </c>
      <c r="H4624" t="s">
        <v>12</v>
      </c>
      <c r="I4624">
        <v>61</v>
      </c>
      <c r="J4624" t="str" cm="1">
        <f t="array" ref="J4624">_xlfn.IFS(ISBLANK(C4624),"FALTANTE",ABS((C4624-$W$5)/$X$5)&gt;1.96,"ATÍPICO",ABS((C4624-$W$5)/$X$5)&lt;=1.96,"NO ATÍPICO")</f>
        <v>NO ATÍPICO</v>
      </c>
      <c r="K4624" t="str" cm="1">
        <f t="array" ref="K4624">_xlfn.IFS(ISBLANK(I4624),"FALTANTE",ABS((I4624-$W$8)/$X$8)&gt;1.92,"ATÍPICO",ABS((I4624-$W$8)/$X$8)&lt;=1.92,"NO ATÍPICO")</f>
        <v>NO ATÍPICO</v>
      </c>
      <c r="L4624">
        <f t="shared" si="306"/>
        <v>1167986</v>
      </c>
      <c r="M4624" t="str">
        <f t="shared" si="306"/>
        <v>ASALARIADO</v>
      </c>
      <c r="N4624">
        <f t="shared" si="307"/>
        <v>61</v>
      </c>
      <c r="O4624" s="19" t="str">
        <f t="shared" si="308"/>
        <v>900k–1200k</v>
      </c>
      <c r="P4624" s="19" t="str">
        <f t="shared" si="309"/>
        <v>56+</v>
      </c>
    </row>
    <row r="4625" spans="1:16" x14ac:dyDescent="0.25">
      <c r="A4625">
        <v>4624</v>
      </c>
      <c r="B4625" t="s">
        <v>9</v>
      </c>
      <c r="C4625">
        <v>509509</v>
      </c>
      <c r="D4625" t="s">
        <v>18</v>
      </c>
      <c r="E4625" t="s">
        <v>16</v>
      </c>
      <c r="F4625" t="s">
        <v>12</v>
      </c>
      <c r="G4625" t="s">
        <v>12</v>
      </c>
      <c r="H4625" t="s">
        <v>13</v>
      </c>
      <c r="I4625">
        <v>30</v>
      </c>
      <c r="J4625" t="str" cm="1">
        <f t="array" ref="J4625">_xlfn.IFS(ISBLANK(C4625),"FALTANTE",ABS((C4625-$W$5)/$X$5)&gt;1.96,"ATÍPICO",ABS((C4625-$W$5)/$X$5)&lt;=1.96,"NO ATÍPICO")</f>
        <v>NO ATÍPICO</v>
      </c>
      <c r="K4625" t="str" cm="1">
        <f t="array" ref="K4625">_xlfn.IFS(ISBLANK(I4625),"FALTANTE",ABS((I4625-$W$8)/$X$8)&gt;1.92,"ATÍPICO",ABS((I4625-$W$8)/$X$8)&lt;=1.92,"NO ATÍPICO")</f>
        <v>NO ATÍPICO</v>
      </c>
      <c r="L4625">
        <f t="shared" si="306"/>
        <v>509509</v>
      </c>
      <c r="M4625" t="str">
        <f t="shared" si="306"/>
        <v>TRABAJADOR INDEPENDIENTE</v>
      </c>
      <c r="N4625">
        <f t="shared" si="307"/>
        <v>30</v>
      </c>
      <c r="O4625" s="19" t="str">
        <f t="shared" si="308"/>
        <v>300k–600k</v>
      </c>
      <c r="P4625" s="19" t="str">
        <f t="shared" si="309"/>
        <v>26-35</v>
      </c>
    </row>
    <row r="4626" spans="1:16" x14ac:dyDescent="0.25">
      <c r="A4626">
        <v>4625</v>
      </c>
      <c r="B4626" t="s">
        <v>9</v>
      </c>
      <c r="C4626">
        <v>609986</v>
      </c>
      <c r="D4626" t="s">
        <v>10</v>
      </c>
      <c r="E4626" t="s">
        <v>16</v>
      </c>
      <c r="F4626" t="s">
        <v>12</v>
      </c>
      <c r="G4626" t="s">
        <v>13</v>
      </c>
      <c r="H4626" t="s">
        <v>13</v>
      </c>
      <c r="I4626">
        <v>26</v>
      </c>
      <c r="J4626" t="str" cm="1">
        <f t="array" ref="J4626">_xlfn.IFS(ISBLANK(C4626),"FALTANTE",ABS((C4626-$W$5)/$X$5)&gt;1.96,"ATÍPICO",ABS((C4626-$W$5)/$X$5)&lt;=1.96,"NO ATÍPICO")</f>
        <v>NO ATÍPICO</v>
      </c>
      <c r="K4626" t="str" cm="1">
        <f t="array" ref="K4626">_xlfn.IFS(ISBLANK(I4626),"FALTANTE",ABS((I4626-$W$8)/$X$8)&gt;1.92,"ATÍPICO",ABS((I4626-$W$8)/$X$8)&lt;=1.92,"NO ATÍPICO")</f>
        <v>NO ATÍPICO</v>
      </c>
      <c r="L4626">
        <f t="shared" si="306"/>
        <v>609986</v>
      </c>
      <c r="M4626" t="str">
        <f t="shared" si="306"/>
        <v>ASALARIADO</v>
      </c>
      <c r="N4626">
        <f t="shared" si="307"/>
        <v>26</v>
      </c>
      <c r="O4626" s="19" t="str">
        <f t="shared" si="308"/>
        <v>600k–900k</v>
      </c>
      <c r="P4626" s="19" t="str">
        <f t="shared" si="309"/>
        <v>26-35</v>
      </c>
    </row>
    <row r="4627" spans="1:16" x14ac:dyDescent="0.25">
      <c r="A4627">
        <v>4626</v>
      </c>
      <c r="B4627" t="s">
        <v>15</v>
      </c>
      <c r="C4627">
        <v>775258.33</v>
      </c>
      <c r="D4627" t="s">
        <v>10</v>
      </c>
      <c r="E4627" t="s">
        <v>16</v>
      </c>
      <c r="F4627" t="s">
        <v>12</v>
      </c>
      <c r="G4627" t="s">
        <v>13</v>
      </c>
      <c r="H4627" t="s">
        <v>13</v>
      </c>
      <c r="I4627">
        <v>23</v>
      </c>
      <c r="J4627" t="str" cm="1">
        <f t="array" ref="J4627">_xlfn.IFS(ISBLANK(C4627),"FALTANTE",ABS((C4627-$W$5)/$X$5)&gt;1.96,"ATÍPICO",ABS((C4627-$W$5)/$X$5)&lt;=1.96,"NO ATÍPICO")</f>
        <v>NO ATÍPICO</v>
      </c>
      <c r="K4627" t="str" cm="1">
        <f t="array" ref="K4627">_xlfn.IFS(ISBLANK(I4627),"FALTANTE",ABS((I4627-$W$8)/$X$8)&gt;1.92,"ATÍPICO",ABS((I4627-$W$8)/$X$8)&lt;=1.92,"NO ATÍPICO")</f>
        <v>NO ATÍPICO</v>
      </c>
      <c r="L4627">
        <f t="shared" si="306"/>
        <v>775258.33</v>
      </c>
      <c r="M4627" t="str">
        <f t="shared" si="306"/>
        <v>ASALARIADO</v>
      </c>
      <c r="N4627">
        <f t="shared" si="307"/>
        <v>23</v>
      </c>
      <c r="O4627" s="19" t="str">
        <f t="shared" si="308"/>
        <v>600k–900k</v>
      </c>
      <c r="P4627" s="19" t="str">
        <f t="shared" si="309"/>
        <v>18-25</v>
      </c>
    </row>
    <row r="4628" spans="1:16" x14ac:dyDescent="0.25">
      <c r="A4628">
        <v>4627</v>
      </c>
      <c r="B4628" t="s">
        <v>9</v>
      </c>
      <c r="C4628">
        <v>541379.75</v>
      </c>
      <c r="D4628" t="s">
        <v>10</v>
      </c>
      <c r="E4628" t="s">
        <v>16</v>
      </c>
      <c r="F4628" t="s">
        <v>12</v>
      </c>
      <c r="G4628" t="s">
        <v>12</v>
      </c>
      <c r="H4628" t="s">
        <v>13</v>
      </c>
      <c r="I4628">
        <v>77</v>
      </c>
      <c r="J4628" t="str" cm="1">
        <f t="array" ref="J4628">_xlfn.IFS(ISBLANK(C4628),"FALTANTE",ABS((C4628-$W$5)/$X$5)&gt;1.96,"ATÍPICO",ABS((C4628-$W$5)/$X$5)&lt;=1.96,"NO ATÍPICO")</f>
        <v>NO ATÍPICO</v>
      </c>
      <c r="K4628" t="str" cm="1">
        <f t="array" ref="K4628">_xlfn.IFS(ISBLANK(I4628),"FALTANTE",ABS((I4628-$W$8)/$X$8)&gt;1.92,"ATÍPICO",ABS((I4628-$W$8)/$X$8)&lt;=1.92,"NO ATÍPICO")</f>
        <v>ATÍPICO</v>
      </c>
      <c r="L4628">
        <f t="shared" si="306"/>
        <v>541379.75</v>
      </c>
      <c r="M4628" t="str">
        <f t="shared" si="306"/>
        <v>ASALARIADO</v>
      </c>
      <c r="N4628">
        <f t="shared" si="307"/>
        <v>77</v>
      </c>
      <c r="O4628" s="19" t="str">
        <f t="shared" si="308"/>
        <v>300k–600k</v>
      </c>
      <c r="P4628" s="19" t="str">
        <f t="shared" si="309"/>
        <v>56+</v>
      </c>
    </row>
    <row r="4629" spans="1:16" x14ac:dyDescent="0.25">
      <c r="A4629">
        <v>4628</v>
      </c>
      <c r="B4629" t="s">
        <v>15</v>
      </c>
      <c r="C4629">
        <v>426935.93</v>
      </c>
      <c r="D4629" t="s">
        <v>10</v>
      </c>
      <c r="E4629" t="s">
        <v>16</v>
      </c>
      <c r="F4629" t="s">
        <v>12</v>
      </c>
      <c r="G4629" t="s">
        <v>13</v>
      </c>
      <c r="H4629" t="s">
        <v>13</v>
      </c>
      <c r="I4629">
        <v>28</v>
      </c>
      <c r="J4629" t="str" cm="1">
        <f t="array" ref="J4629">_xlfn.IFS(ISBLANK(C4629),"FALTANTE",ABS((C4629-$W$5)/$X$5)&gt;1.96,"ATÍPICO",ABS((C4629-$W$5)/$X$5)&lt;=1.96,"NO ATÍPICO")</f>
        <v>NO ATÍPICO</v>
      </c>
      <c r="K4629" t="str" cm="1">
        <f t="array" ref="K4629">_xlfn.IFS(ISBLANK(I4629),"FALTANTE",ABS((I4629-$W$8)/$X$8)&gt;1.92,"ATÍPICO",ABS((I4629-$W$8)/$X$8)&lt;=1.92,"NO ATÍPICO")</f>
        <v>NO ATÍPICO</v>
      </c>
      <c r="L4629">
        <f t="shared" si="306"/>
        <v>426935.93</v>
      </c>
      <c r="M4629" t="str">
        <f t="shared" si="306"/>
        <v>ASALARIADO</v>
      </c>
      <c r="N4629">
        <f t="shared" si="307"/>
        <v>28</v>
      </c>
      <c r="O4629" s="19" t="str">
        <f t="shared" si="308"/>
        <v>300k–600k</v>
      </c>
      <c r="P4629" s="19" t="str">
        <f t="shared" si="309"/>
        <v>26-35</v>
      </c>
    </row>
    <row r="4630" spans="1:16" x14ac:dyDescent="0.25">
      <c r="A4630">
        <v>4629</v>
      </c>
      <c r="B4630" t="s">
        <v>9</v>
      </c>
      <c r="C4630">
        <v>13780</v>
      </c>
      <c r="D4630" t="s">
        <v>10</v>
      </c>
      <c r="E4630" t="s">
        <v>16</v>
      </c>
      <c r="F4630" t="s">
        <v>12</v>
      </c>
      <c r="G4630" t="s">
        <v>13</v>
      </c>
      <c r="H4630" t="s">
        <v>13</v>
      </c>
      <c r="I4630">
        <v>38</v>
      </c>
      <c r="J4630" t="str" cm="1">
        <f t="array" ref="J4630">_xlfn.IFS(ISBLANK(C4630),"FALTANTE",ABS((C4630-$W$5)/$X$5)&gt;1.96,"ATÍPICO",ABS((C4630-$W$5)/$X$5)&lt;=1.96,"NO ATÍPICO")</f>
        <v>NO ATÍPICO</v>
      </c>
      <c r="K4630" t="str" cm="1">
        <f t="array" ref="K4630">_xlfn.IFS(ISBLANK(I4630),"FALTANTE",ABS((I4630-$W$8)/$X$8)&gt;1.92,"ATÍPICO",ABS((I4630-$W$8)/$X$8)&lt;=1.92,"NO ATÍPICO")</f>
        <v>NO ATÍPICO</v>
      </c>
      <c r="L4630">
        <f t="shared" si="306"/>
        <v>13780</v>
      </c>
      <c r="M4630" t="str">
        <f t="shared" si="306"/>
        <v>ASALARIADO</v>
      </c>
      <c r="N4630">
        <f t="shared" si="307"/>
        <v>38</v>
      </c>
      <c r="O4630" s="19" t="str">
        <f t="shared" si="308"/>
        <v>0–300k</v>
      </c>
      <c r="P4630" s="19" t="str">
        <f t="shared" si="309"/>
        <v>36-45</v>
      </c>
    </row>
    <row r="4631" spans="1:16" x14ac:dyDescent="0.25">
      <c r="A4631">
        <v>4630</v>
      </c>
      <c r="B4631" t="s">
        <v>9</v>
      </c>
      <c r="C4631">
        <v>300018</v>
      </c>
      <c r="D4631" t="s">
        <v>18</v>
      </c>
      <c r="E4631" t="s">
        <v>16</v>
      </c>
      <c r="F4631" t="s">
        <v>12</v>
      </c>
      <c r="G4631" t="s">
        <v>13</v>
      </c>
      <c r="H4631" t="s">
        <v>12</v>
      </c>
      <c r="I4631">
        <v>53</v>
      </c>
      <c r="J4631" t="str" cm="1">
        <f t="array" ref="J4631">_xlfn.IFS(ISBLANK(C4631),"FALTANTE",ABS((C4631-$W$5)/$X$5)&gt;1.96,"ATÍPICO",ABS((C4631-$W$5)/$X$5)&lt;=1.96,"NO ATÍPICO")</f>
        <v>NO ATÍPICO</v>
      </c>
      <c r="K4631" t="str" cm="1">
        <f t="array" ref="K4631">_xlfn.IFS(ISBLANK(I4631),"FALTANTE",ABS((I4631-$W$8)/$X$8)&gt;1.92,"ATÍPICO",ABS((I4631-$W$8)/$X$8)&lt;=1.92,"NO ATÍPICO")</f>
        <v>NO ATÍPICO</v>
      </c>
      <c r="L4631">
        <f t="shared" si="306"/>
        <v>300018</v>
      </c>
      <c r="M4631" t="str">
        <f t="shared" si="306"/>
        <v>TRABAJADOR INDEPENDIENTE</v>
      </c>
      <c r="N4631">
        <f t="shared" si="307"/>
        <v>53</v>
      </c>
      <c r="O4631" s="19" t="str">
        <f t="shared" si="308"/>
        <v>300k–600k</v>
      </c>
      <c r="P4631" s="19" t="str">
        <f t="shared" si="309"/>
        <v>46-55</v>
      </c>
    </row>
    <row r="4632" spans="1:16" x14ac:dyDescent="0.25">
      <c r="A4632">
        <v>4631</v>
      </c>
      <c r="B4632" t="s">
        <v>9</v>
      </c>
      <c r="C4632">
        <v>1162023.5</v>
      </c>
      <c r="D4632" t="s">
        <v>10</v>
      </c>
      <c r="E4632" t="s">
        <v>11</v>
      </c>
      <c r="F4632" t="s">
        <v>12</v>
      </c>
      <c r="G4632" t="s">
        <v>13</v>
      </c>
      <c r="H4632" t="s">
        <v>13</v>
      </c>
      <c r="I4632">
        <v>38</v>
      </c>
      <c r="J4632" t="str" cm="1">
        <f t="array" ref="J4632">_xlfn.IFS(ISBLANK(C4632),"FALTANTE",ABS((C4632-$W$5)/$X$5)&gt;1.96,"ATÍPICO",ABS((C4632-$W$5)/$X$5)&lt;=1.96,"NO ATÍPICO")</f>
        <v>NO ATÍPICO</v>
      </c>
      <c r="K4632" t="str" cm="1">
        <f t="array" ref="K4632">_xlfn.IFS(ISBLANK(I4632),"FALTANTE",ABS((I4632-$W$8)/$X$8)&gt;1.92,"ATÍPICO",ABS((I4632-$W$8)/$X$8)&lt;=1.92,"NO ATÍPICO")</f>
        <v>NO ATÍPICO</v>
      </c>
      <c r="L4632">
        <f t="shared" si="306"/>
        <v>1162023.5</v>
      </c>
      <c r="M4632" t="str">
        <f t="shared" si="306"/>
        <v>ASALARIADO</v>
      </c>
      <c r="N4632">
        <f t="shared" si="307"/>
        <v>38</v>
      </c>
      <c r="O4632" s="19" t="str">
        <f t="shared" si="308"/>
        <v>900k–1200k</v>
      </c>
      <c r="P4632" s="19" t="str">
        <f t="shared" si="309"/>
        <v>36-45</v>
      </c>
    </row>
    <row r="4633" spans="1:16" x14ac:dyDescent="0.25">
      <c r="A4633">
        <v>4632</v>
      </c>
      <c r="B4633" t="s">
        <v>15</v>
      </c>
      <c r="C4633">
        <v>297973.5</v>
      </c>
      <c r="D4633" t="s">
        <v>10</v>
      </c>
      <c r="E4633" t="s">
        <v>11</v>
      </c>
      <c r="F4633" t="s">
        <v>12</v>
      </c>
      <c r="G4633" t="s">
        <v>13</v>
      </c>
      <c r="H4633" t="s">
        <v>13</v>
      </c>
      <c r="I4633">
        <v>25</v>
      </c>
      <c r="J4633" t="str" cm="1">
        <f t="array" ref="J4633">_xlfn.IFS(ISBLANK(C4633),"FALTANTE",ABS((C4633-$W$5)/$X$5)&gt;1.96,"ATÍPICO",ABS((C4633-$W$5)/$X$5)&lt;=1.96,"NO ATÍPICO")</f>
        <v>NO ATÍPICO</v>
      </c>
      <c r="K4633" t="str" cm="1">
        <f t="array" ref="K4633">_xlfn.IFS(ISBLANK(I4633),"FALTANTE",ABS((I4633-$W$8)/$X$8)&gt;1.92,"ATÍPICO",ABS((I4633-$W$8)/$X$8)&lt;=1.92,"NO ATÍPICO")</f>
        <v>NO ATÍPICO</v>
      </c>
      <c r="L4633">
        <f t="shared" si="306"/>
        <v>297973.5</v>
      </c>
      <c r="M4633" t="str">
        <f t="shared" si="306"/>
        <v>ASALARIADO</v>
      </c>
      <c r="N4633">
        <f t="shared" si="307"/>
        <v>25</v>
      </c>
      <c r="O4633" s="19" t="str">
        <f t="shared" si="308"/>
        <v>0–300k</v>
      </c>
      <c r="P4633" s="19" t="str">
        <f t="shared" si="309"/>
        <v>18-25</v>
      </c>
    </row>
    <row r="4634" spans="1:16" x14ac:dyDescent="0.25">
      <c r="A4634">
        <v>4633</v>
      </c>
      <c r="B4634" t="s">
        <v>9</v>
      </c>
      <c r="C4634">
        <v>311901.48</v>
      </c>
      <c r="D4634" t="s">
        <v>10</v>
      </c>
      <c r="E4634" t="s">
        <v>16</v>
      </c>
      <c r="F4634" t="s">
        <v>12</v>
      </c>
      <c r="G4634" t="s">
        <v>13</v>
      </c>
      <c r="H4634" t="s">
        <v>13</v>
      </c>
      <c r="I4634">
        <v>22</v>
      </c>
      <c r="J4634" t="str" cm="1">
        <f t="array" ref="J4634">_xlfn.IFS(ISBLANK(C4634),"FALTANTE",ABS((C4634-$W$5)/$X$5)&gt;1.96,"ATÍPICO",ABS((C4634-$W$5)/$X$5)&lt;=1.96,"NO ATÍPICO")</f>
        <v>NO ATÍPICO</v>
      </c>
      <c r="K4634" t="str" cm="1">
        <f t="array" ref="K4634">_xlfn.IFS(ISBLANK(I4634),"FALTANTE",ABS((I4634-$W$8)/$X$8)&gt;1.92,"ATÍPICO",ABS((I4634-$W$8)/$X$8)&lt;=1.92,"NO ATÍPICO")</f>
        <v>NO ATÍPICO</v>
      </c>
      <c r="L4634">
        <f t="shared" si="306"/>
        <v>311901.48</v>
      </c>
      <c r="M4634" t="str">
        <f t="shared" si="306"/>
        <v>ASALARIADO</v>
      </c>
      <c r="N4634">
        <f t="shared" si="307"/>
        <v>22</v>
      </c>
      <c r="O4634" s="19" t="str">
        <f t="shared" si="308"/>
        <v>300k–600k</v>
      </c>
      <c r="P4634" s="19" t="str">
        <f t="shared" si="309"/>
        <v>18-25</v>
      </c>
    </row>
    <row r="4635" spans="1:16" x14ac:dyDescent="0.25">
      <c r="A4635">
        <v>4634</v>
      </c>
      <c r="B4635" t="s">
        <v>9</v>
      </c>
      <c r="C4635">
        <v>493312.35</v>
      </c>
      <c r="D4635" t="s">
        <v>10</v>
      </c>
      <c r="E4635" t="s">
        <v>16</v>
      </c>
      <c r="F4635" t="s">
        <v>12</v>
      </c>
      <c r="G4635" t="s">
        <v>13</v>
      </c>
      <c r="H4635" t="s">
        <v>13</v>
      </c>
      <c r="I4635">
        <v>51</v>
      </c>
      <c r="J4635" t="str" cm="1">
        <f t="array" ref="J4635">_xlfn.IFS(ISBLANK(C4635),"FALTANTE",ABS((C4635-$W$5)/$X$5)&gt;1.96,"ATÍPICO",ABS((C4635-$W$5)/$X$5)&lt;=1.96,"NO ATÍPICO")</f>
        <v>NO ATÍPICO</v>
      </c>
      <c r="K4635" t="str" cm="1">
        <f t="array" ref="K4635">_xlfn.IFS(ISBLANK(I4635),"FALTANTE",ABS((I4635-$W$8)/$X$8)&gt;1.92,"ATÍPICO",ABS((I4635-$W$8)/$X$8)&lt;=1.92,"NO ATÍPICO")</f>
        <v>NO ATÍPICO</v>
      </c>
      <c r="L4635">
        <f t="shared" si="306"/>
        <v>493312.35</v>
      </c>
      <c r="M4635" t="str">
        <f t="shared" si="306"/>
        <v>ASALARIADO</v>
      </c>
      <c r="N4635">
        <f t="shared" si="307"/>
        <v>51</v>
      </c>
      <c r="O4635" s="19" t="str">
        <f t="shared" si="308"/>
        <v>300k–600k</v>
      </c>
      <c r="P4635" s="19" t="str">
        <f t="shared" si="309"/>
        <v>46-55</v>
      </c>
    </row>
    <row r="4636" spans="1:16" x14ac:dyDescent="0.25">
      <c r="A4636">
        <v>4635</v>
      </c>
      <c r="B4636" t="s">
        <v>15</v>
      </c>
      <c r="C4636">
        <v>1717983</v>
      </c>
      <c r="D4636" t="s">
        <v>14</v>
      </c>
      <c r="E4636" t="s">
        <v>11</v>
      </c>
      <c r="F4636" t="s">
        <v>12</v>
      </c>
      <c r="G4636" t="s">
        <v>13</v>
      </c>
      <c r="H4636" t="s">
        <v>13</v>
      </c>
      <c r="I4636">
        <v>68</v>
      </c>
      <c r="J4636" t="str" cm="1">
        <f t="array" ref="J4636">_xlfn.IFS(ISBLANK(C4636),"FALTANTE",ABS((C4636-$W$5)/$X$5)&gt;1.96,"ATÍPICO",ABS((C4636-$W$5)/$X$5)&lt;=1.96,"NO ATÍPICO")</f>
        <v>NO ATÍPICO</v>
      </c>
      <c r="K4636" t="str" cm="1">
        <f t="array" ref="K4636">_xlfn.IFS(ISBLANK(I4636),"FALTANTE",ABS((I4636-$W$8)/$X$8)&gt;1.92,"ATÍPICO",ABS((I4636-$W$8)/$X$8)&lt;=1.92,"NO ATÍPICO")</f>
        <v>NO ATÍPICO</v>
      </c>
      <c r="L4636">
        <f t="shared" si="306"/>
        <v>1717983</v>
      </c>
      <c r="M4636" t="str">
        <f t="shared" si="306"/>
        <v>PENSIONADOS EN SU PROPIO SISTEMA</v>
      </c>
      <c r="N4636">
        <f t="shared" si="307"/>
        <v>68</v>
      </c>
      <c r="O4636" s="19" t="str">
        <f t="shared" si="308"/>
        <v>1200k+</v>
      </c>
      <c r="P4636" s="19" t="str">
        <f t="shared" si="309"/>
        <v>56+</v>
      </c>
    </row>
    <row r="4637" spans="1:16" x14ac:dyDescent="0.25">
      <c r="A4637">
        <v>4636</v>
      </c>
      <c r="B4637" t="s">
        <v>15</v>
      </c>
      <c r="C4637">
        <v>343953</v>
      </c>
      <c r="D4637" t="s">
        <v>10</v>
      </c>
      <c r="E4637" t="s">
        <v>16</v>
      </c>
      <c r="F4637" t="s">
        <v>12</v>
      </c>
      <c r="G4637" t="s">
        <v>13</v>
      </c>
      <c r="H4637" t="s">
        <v>13</v>
      </c>
      <c r="I4637">
        <v>42</v>
      </c>
      <c r="J4637" t="str" cm="1">
        <f t="array" ref="J4637">_xlfn.IFS(ISBLANK(C4637),"FALTANTE",ABS((C4637-$W$5)/$X$5)&gt;1.96,"ATÍPICO",ABS((C4637-$W$5)/$X$5)&lt;=1.96,"NO ATÍPICO")</f>
        <v>NO ATÍPICO</v>
      </c>
      <c r="K4637" t="str" cm="1">
        <f t="array" ref="K4637">_xlfn.IFS(ISBLANK(I4637),"FALTANTE",ABS((I4637-$W$8)/$X$8)&gt;1.92,"ATÍPICO",ABS((I4637-$W$8)/$X$8)&lt;=1.92,"NO ATÍPICO")</f>
        <v>NO ATÍPICO</v>
      </c>
      <c r="L4637">
        <f t="shared" si="306"/>
        <v>343953</v>
      </c>
      <c r="M4637" t="str">
        <f t="shared" si="306"/>
        <v>ASALARIADO</v>
      </c>
      <c r="N4637">
        <f t="shared" si="307"/>
        <v>42</v>
      </c>
      <c r="O4637" s="19" t="str">
        <f t="shared" si="308"/>
        <v>300k–600k</v>
      </c>
      <c r="P4637" s="19" t="str">
        <f t="shared" si="309"/>
        <v>36-45</v>
      </c>
    </row>
    <row r="4638" spans="1:16" x14ac:dyDescent="0.25">
      <c r="A4638">
        <v>4637</v>
      </c>
      <c r="B4638" t="s">
        <v>9</v>
      </c>
      <c r="C4638">
        <v>2766444.9</v>
      </c>
      <c r="D4638" t="s">
        <v>10</v>
      </c>
      <c r="E4638" t="s">
        <v>16</v>
      </c>
      <c r="F4638" t="s">
        <v>12</v>
      </c>
      <c r="G4638" t="s">
        <v>13</v>
      </c>
      <c r="H4638" t="s">
        <v>13</v>
      </c>
      <c r="I4638">
        <v>37</v>
      </c>
      <c r="J4638" t="str" cm="1">
        <f t="array" ref="J4638">_xlfn.IFS(ISBLANK(C4638),"FALTANTE",ABS((C4638-$W$5)/$X$5)&gt;1.96,"ATÍPICO",ABS((C4638-$W$5)/$X$5)&lt;=1.96,"NO ATÍPICO")</f>
        <v>ATÍPICO</v>
      </c>
      <c r="K4638" t="str" cm="1">
        <f t="array" ref="K4638">_xlfn.IFS(ISBLANK(I4638),"FALTANTE",ABS((I4638-$W$8)/$X$8)&gt;1.92,"ATÍPICO",ABS((I4638-$W$8)/$X$8)&lt;=1.92,"NO ATÍPICO")</f>
        <v>NO ATÍPICO</v>
      </c>
      <c r="L4638">
        <f t="shared" si="306"/>
        <v>2766444.9</v>
      </c>
      <c r="M4638" t="str">
        <f t="shared" si="306"/>
        <v>ASALARIADO</v>
      </c>
      <c r="N4638">
        <f t="shared" si="307"/>
        <v>37</v>
      </c>
      <c r="O4638" s="19" t="str">
        <f t="shared" si="308"/>
        <v>1200k+</v>
      </c>
      <c r="P4638" s="19" t="str">
        <f t="shared" si="309"/>
        <v>36-45</v>
      </c>
    </row>
    <row r="4639" spans="1:16" x14ac:dyDescent="0.25">
      <c r="A4639">
        <v>4638</v>
      </c>
      <c r="B4639" t="s">
        <v>15</v>
      </c>
      <c r="C4639">
        <v>634886.40000000002</v>
      </c>
      <c r="D4639" t="s">
        <v>10</v>
      </c>
      <c r="E4639" t="s">
        <v>11</v>
      </c>
      <c r="F4639" t="s">
        <v>12</v>
      </c>
      <c r="G4639" t="s">
        <v>13</v>
      </c>
      <c r="H4639" t="s">
        <v>13</v>
      </c>
      <c r="I4639">
        <v>39</v>
      </c>
      <c r="J4639" t="str" cm="1">
        <f t="array" ref="J4639">_xlfn.IFS(ISBLANK(C4639),"FALTANTE",ABS((C4639-$W$5)/$X$5)&gt;1.96,"ATÍPICO",ABS((C4639-$W$5)/$X$5)&lt;=1.96,"NO ATÍPICO")</f>
        <v>NO ATÍPICO</v>
      </c>
      <c r="K4639" t="str" cm="1">
        <f t="array" ref="K4639">_xlfn.IFS(ISBLANK(I4639),"FALTANTE",ABS((I4639-$W$8)/$X$8)&gt;1.92,"ATÍPICO",ABS((I4639-$W$8)/$X$8)&lt;=1.92,"NO ATÍPICO")</f>
        <v>NO ATÍPICO</v>
      </c>
      <c r="L4639">
        <f t="shared" si="306"/>
        <v>634886.40000000002</v>
      </c>
      <c r="M4639" t="str">
        <f t="shared" si="306"/>
        <v>ASALARIADO</v>
      </c>
      <c r="N4639">
        <f t="shared" si="307"/>
        <v>39</v>
      </c>
      <c r="O4639" s="19" t="str">
        <f t="shared" si="308"/>
        <v>600k–900k</v>
      </c>
      <c r="P4639" s="19" t="str">
        <f t="shared" si="309"/>
        <v>36-45</v>
      </c>
    </row>
    <row r="4640" spans="1:16" x14ac:dyDescent="0.25">
      <c r="A4640">
        <v>4639</v>
      </c>
      <c r="B4640" t="s">
        <v>9</v>
      </c>
      <c r="C4640">
        <v>297046</v>
      </c>
      <c r="D4640" t="s">
        <v>17</v>
      </c>
      <c r="E4640" t="s">
        <v>16</v>
      </c>
      <c r="F4640" t="s">
        <v>12</v>
      </c>
      <c r="G4640" t="s">
        <v>13</v>
      </c>
      <c r="H4640" t="s">
        <v>12</v>
      </c>
      <c r="I4640">
        <v>64</v>
      </c>
      <c r="J4640" t="str" cm="1">
        <f t="array" ref="J4640">_xlfn.IFS(ISBLANK(C4640),"FALTANTE",ABS((C4640-$W$5)/$X$5)&gt;1.96,"ATÍPICO",ABS((C4640-$W$5)/$X$5)&lt;=1.96,"NO ATÍPICO")</f>
        <v>NO ATÍPICO</v>
      </c>
      <c r="K4640" t="str" cm="1">
        <f t="array" ref="K4640">_xlfn.IFS(ISBLANK(I4640),"FALTANTE",ABS((I4640-$W$8)/$X$8)&gt;1.92,"ATÍPICO",ABS((I4640-$W$8)/$X$8)&lt;=1.92,"NO ATÍPICO")</f>
        <v>NO ATÍPICO</v>
      </c>
      <c r="L4640">
        <f t="shared" si="306"/>
        <v>297046</v>
      </c>
      <c r="M4640" t="str">
        <f t="shared" si="306"/>
        <v>ASEGURADO VOLUNTARIO</v>
      </c>
      <c r="N4640">
        <f t="shared" si="307"/>
        <v>64</v>
      </c>
      <c r="O4640" s="19" t="str">
        <f t="shared" si="308"/>
        <v>0–300k</v>
      </c>
      <c r="P4640" s="19" t="str">
        <f t="shared" si="309"/>
        <v>56+</v>
      </c>
    </row>
    <row r="4641" spans="1:16" x14ac:dyDescent="0.25">
      <c r="A4641">
        <v>4640</v>
      </c>
      <c r="B4641" t="s">
        <v>15</v>
      </c>
      <c r="C4641">
        <v>1337734.1000000001</v>
      </c>
      <c r="D4641" t="s">
        <v>10</v>
      </c>
      <c r="E4641" t="s">
        <v>16</v>
      </c>
      <c r="F4641" t="s">
        <v>12</v>
      </c>
      <c r="G4641" t="s">
        <v>13</v>
      </c>
      <c r="H4641" t="s">
        <v>13</v>
      </c>
      <c r="I4641">
        <v>26</v>
      </c>
      <c r="J4641" t="str" cm="1">
        <f t="array" ref="J4641">_xlfn.IFS(ISBLANK(C4641),"FALTANTE",ABS((C4641-$W$5)/$X$5)&gt;1.96,"ATÍPICO",ABS((C4641-$W$5)/$X$5)&lt;=1.96,"NO ATÍPICO")</f>
        <v>NO ATÍPICO</v>
      </c>
      <c r="K4641" t="str" cm="1">
        <f t="array" ref="K4641">_xlfn.IFS(ISBLANK(I4641),"FALTANTE",ABS((I4641-$W$8)/$X$8)&gt;1.92,"ATÍPICO",ABS((I4641-$W$8)/$X$8)&lt;=1.92,"NO ATÍPICO")</f>
        <v>NO ATÍPICO</v>
      </c>
      <c r="L4641">
        <f t="shared" si="306"/>
        <v>1337734.1000000001</v>
      </c>
      <c r="M4641" t="str">
        <f t="shared" si="306"/>
        <v>ASALARIADO</v>
      </c>
      <c r="N4641">
        <f t="shared" si="307"/>
        <v>26</v>
      </c>
      <c r="O4641" s="19" t="str">
        <f t="shared" si="308"/>
        <v>1200k+</v>
      </c>
      <c r="P4641" s="19" t="str">
        <f t="shared" si="309"/>
        <v>26-35</v>
      </c>
    </row>
    <row r="4642" spans="1:16" x14ac:dyDescent="0.25">
      <c r="A4642">
        <v>4641</v>
      </c>
      <c r="B4642" t="s">
        <v>9</v>
      </c>
      <c r="C4642">
        <v>193905.3</v>
      </c>
      <c r="D4642" t="s">
        <v>10</v>
      </c>
      <c r="E4642" t="s">
        <v>11</v>
      </c>
      <c r="F4642" t="s">
        <v>12</v>
      </c>
      <c r="G4642" t="s">
        <v>13</v>
      </c>
      <c r="H4642" t="s">
        <v>13</v>
      </c>
      <c r="I4642">
        <v>51</v>
      </c>
      <c r="J4642" t="str" cm="1">
        <f t="array" ref="J4642">_xlfn.IFS(ISBLANK(C4642),"FALTANTE",ABS((C4642-$W$5)/$X$5)&gt;1.96,"ATÍPICO",ABS((C4642-$W$5)/$X$5)&lt;=1.96,"NO ATÍPICO")</f>
        <v>NO ATÍPICO</v>
      </c>
      <c r="K4642" t="str" cm="1">
        <f t="array" ref="K4642">_xlfn.IFS(ISBLANK(I4642),"FALTANTE",ABS((I4642-$W$8)/$X$8)&gt;1.92,"ATÍPICO",ABS((I4642-$W$8)/$X$8)&lt;=1.92,"NO ATÍPICO")</f>
        <v>NO ATÍPICO</v>
      </c>
      <c r="L4642">
        <f t="shared" si="306"/>
        <v>193905.3</v>
      </c>
      <c r="M4642" t="str">
        <f t="shared" si="306"/>
        <v>ASALARIADO</v>
      </c>
      <c r="N4642">
        <f t="shared" si="307"/>
        <v>51</v>
      </c>
      <c r="O4642" s="19" t="str">
        <f t="shared" si="308"/>
        <v>0–300k</v>
      </c>
      <c r="P4642" s="19" t="str">
        <f t="shared" si="309"/>
        <v>46-55</v>
      </c>
    </row>
    <row r="4643" spans="1:16" x14ac:dyDescent="0.25">
      <c r="A4643">
        <v>4642</v>
      </c>
      <c r="B4643" t="s">
        <v>15</v>
      </c>
      <c r="C4643">
        <v>696716</v>
      </c>
      <c r="D4643" t="s">
        <v>10</v>
      </c>
      <c r="E4643" t="s">
        <v>11</v>
      </c>
      <c r="F4643" t="s">
        <v>12</v>
      </c>
      <c r="G4643" t="s">
        <v>13</v>
      </c>
      <c r="H4643" t="s">
        <v>12</v>
      </c>
      <c r="I4643">
        <v>35</v>
      </c>
      <c r="J4643" t="str" cm="1">
        <f t="array" ref="J4643">_xlfn.IFS(ISBLANK(C4643),"FALTANTE",ABS((C4643-$W$5)/$X$5)&gt;1.96,"ATÍPICO",ABS((C4643-$W$5)/$X$5)&lt;=1.96,"NO ATÍPICO")</f>
        <v>NO ATÍPICO</v>
      </c>
      <c r="K4643" t="str" cm="1">
        <f t="array" ref="K4643">_xlfn.IFS(ISBLANK(I4643),"FALTANTE",ABS((I4643-$W$8)/$X$8)&gt;1.92,"ATÍPICO",ABS((I4643-$W$8)/$X$8)&lt;=1.92,"NO ATÍPICO")</f>
        <v>NO ATÍPICO</v>
      </c>
      <c r="L4643">
        <f t="shared" si="306"/>
        <v>696716</v>
      </c>
      <c r="M4643" t="str">
        <f t="shared" si="306"/>
        <v>ASALARIADO</v>
      </c>
      <c r="N4643">
        <f t="shared" si="307"/>
        <v>35</v>
      </c>
      <c r="O4643" s="19" t="str">
        <f t="shared" si="308"/>
        <v>600k–900k</v>
      </c>
      <c r="P4643" s="19" t="str">
        <f t="shared" si="309"/>
        <v>26-35</v>
      </c>
    </row>
    <row r="4644" spans="1:16" x14ac:dyDescent="0.25">
      <c r="A4644">
        <v>4643</v>
      </c>
      <c r="B4644" t="s">
        <v>9</v>
      </c>
      <c r="C4644">
        <v>312000</v>
      </c>
      <c r="D4644" t="s">
        <v>10</v>
      </c>
      <c r="E4644" t="s">
        <v>16</v>
      </c>
      <c r="F4644" t="s">
        <v>12</v>
      </c>
      <c r="G4644" t="s">
        <v>12</v>
      </c>
      <c r="H4644" t="s">
        <v>13</v>
      </c>
      <c r="I4644">
        <v>35</v>
      </c>
      <c r="J4644" t="str" cm="1">
        <f t="array" ref="J4644">_xlfn.IFS(ISBLANK(C4644),"FALTANTE",ABS((C4644-$W$5)/$X$5)&gt;1.96,"ATÍPICO",ABS((C4644-$W$5)/$X$5)&lt;=1.96,"NO ATÍPICO")</f>
        <v>NO ATÍPICO</v>
      </c>
      <c r="K4644" t="str" cm="1">
        <f t="array" ref="K4644">_xlfn.IFS(ISBLANK(I4644),"FALTANTE",ABS((I4644-$W$8)/$X$8)&gt;1.92,"ATÍPICO",ABS((I4644-$W$8)/$X$8)&lt;=1.92,"NO ATÍPICO")</f>
        <v>NO ATÍPICO</v>
      </c>
      <c r="L4644">
        <f t="shared" si="306"/>
        <v>312000</v>
      </c>
      <c r="M4644" t="str">
        <f t="shared" si="306"/>
        <v>ASALARIADO</v>
      </c>
      <c r="N4644">
        <f t="shared" si="307"/>
        <v>35</v>
      </c>
      <c r="O4644" s="19" t="str">
        <f t="shared" si="308"/>
        <v>300k–600k</v>
      </c>
      <c r="P4644" s="19" t="str">
        <f t="shared" si="309"/>
        <v>26-35</v>
      </c>
    </row>
    <row r="4645" spans="1:16" x14ac:dyDescent="0.25">
      <c r="A4645">
        <v>4644</v>
      </c>
      <c r="B4645" t="s">
        <v>9</v>
      </c>
      <c r="C4645">
        <v>297045</v>
      </c>
      <c r="D4645" t="s">
        <v>18</v>
      </c>
      <c r="E4645" t="s">
        <v>16</v>
      </c>
      <c r="F4645" t="s">
        <v>12</v>
      </c>
      <c r="G4645" t="s">
        <v>13</v>
      </c>
      <c r="H4645" t="s">
        <v>13</v>
      </c>
      <c r="I4645">
        <v>30</v>
      </c>
      <c r="J4645" t="str" cm="1">
        <f t="array" ref="J4645">_xlfn.IFS(ISBLANK(C4645),"FALTANTE",ABS((C4645-$W$5)/$X$5)&gt;1.96,"ATÍPICO",ABS((C4645-$W$5)/$X$5)&lt;=1.96,"NO ATÍPICO")</f>
        <v>NO ATÍPICO</v>
      </c>
      <c r="K4645" t="str" cm="1">
        <f t="array" ref="K4645">_xlfn.IFS(ISBLANK(I4645),"FALTANTE",ABS((I4645-$W$8)/$X$8)&gt;1.92,"ATÍPICO",ABS((I4645-$W$8)/$X$8)&lt;=1.92,"NO ATÍPICO")</f>
        <v>NO ATÍPICO</v>
      </c>
      <c r="L4645">
        <f t="shared" si="306"/>
        <v>297045</v>
      </c>
      <c r="M4645" t="str">
        <f t="shared" si="306"/>
        <v>TRABAJADOR INDEPENDIENTE</v>
      </c>
      <c r="N4645">
        <f t="shared" si="307"/>
        <v>30</v>
      </c>
      <c r="O4645" s="19" t="str">
        <f t="shared" si="308"/>
        <v>0–300k</v>
      </c>
      <c r="P4645" s="19" t="str">
        <f t="shared" si="309"/>
        <v>26-35</v>
      </c>
    </row>
    <row r="4646" spans="1:16" x14ac:dyDescent="0.25">
      <c r="A4646">
        <v>4645</v>
      </c>
      <c r="B4646" t="s">
        <v>15</v>
      </c>
      <c r="C4646">
        <v>295203</v>
      </c>
      <c r="D4646" t="s">
        <v>18</v>
      </c>
      <c r="E4646" t="s">
        <v>16</v>
      </c>
      <c r="F4646" t="s">
        <v>12</v>
      </c>
      <c r="G4646" t="s">
        <v>12</v>
      </c>
      <c r="H4646" t="s">
        <v>12</v>
      </c>
      <c r="I4646">
        <v>35</v>
      </c>
      <c r="J4646" t="str" cm="1">
        <f t="array" ref="J4646">_xlfn.IFS(ISBLANK(C4646),"FALTANTE",ABS((C4646-$W$5)/$X$5)&gt;1.96,"ATÍPICO",ABS((C4646-$W$5)/$X$5)&lt;=1.96,"NO ATÍPICO")</f>
        <v>NO ATÍPICO</v>
      </c>
      <c r="K4646" t="str" cm="1">
        <f t="array" ref="K4646">_xlfn.IFS(ISBLANK(I4646),"FALTANTE",ABS((I4646-$W$8)/$X$8)&gt;1.92,"ATÍPICO",ABS((I4646-$W$8)/$X$8)&lt;=1.92,"NO ATÍPICO")</f>
        <v>NO ATÍPICO</v>
      </c>
      <c r="L4646">
        <f t="shared" si="306"/>
        <v>295203</v>
      </c>
      <c r="M4646" t="str">
        <f t="shared" si="306"/>
        <v>TRABAJADOR INDEPENDIENTE</v>
      </c>
      <c r="N4646">
        <f t="shared" si="307"/>
        <v>35</v>
      </c>
      <c r="O4646" s="19" t="str">
        <f t="shared" si="308"/>
        <v>0–300k</v>
      </c>
      <c r="P4646" s="19" t="str">
        <f t="shared" si="309"/>
        <v>26-35</v>
      </c>
    </row>
    <row r="4647" spans="1:16" x14ac:dyDescent="0.25">
      <c r="A4647">
        <v>4646</v>
      </c>
      <c r="B4647" t="s">
        <v>15</v>
      </c>
      <c r="C4647">
        <v>392686</v>
      </c>
      <c r="D4647" t="s">
        <v>10</v>
      </c>
      <c r="E4647" t="s">
        <v>11</v>
      </c>
      <c r="F4647" t="s">
        <v>12</v>
      </c>
      <c r="G4647" t="s">
        <v>13</v>
      </c>
      <c r="H4647" t="s">
        <v>13</v>
      </c>
      <c r="I4647">
        <v>56</v>
      </c>
      <c r="J4647" t="str" cm="1">
        <f t="array" ref="J4647">_xlfn.IFS(ISBLANK(C4647),"FALTANTE",ABS((C4647-$W$5)/$X$5)&gt;1.96,"ATÍPICO",ABS((C4647-$W$5)/$X$5)&lt;=1.96,"NO ATÍPICO")</f>
        <v>NO ATÍPICO</v>
      </c>
      <c r="K4647" t="str" cm="1">
        <f t="array" ref="K4647">_xlfn.IFS(ISBLANK(I4647),"FALTANTE",ABS((I4647-$W$8)/$X$8)&gt;1.92,"ATÍPICO",ABS((I4647-$W$8)/$X$8)&lt;=1.92,"NO ATÍPICO")</f>
        <v>NO ATÍPICO</v>
      </c>
      <c r="L4647">
        <f t="shared" si="306"/>
        <v>392686</v>
      </c>
      <c r="M4647" t="str">
        <f t="shared" si="306"/>
        <v>ASALARIADO</v>
      </c>
      <c r="N4647">
        <f t="shared" si="307"/>
        <v>56</v>
      </c>
      <c r="O4647" s="19" t="str">
        <f t="shared" si="308"/>
        <v>300k–600k</v>
      </c>
      <c r="P4647" s="19" t="str">
        <f t="shared" si="309"/>
        <v>56+</v>
      </c>
    </row>
    <row r="4648" spans="1:16" x14ac:dyDescent="0.25">
      <c r="A4648">
        <v>4647</v>
      </c>
      <c r="B4648" t="s">
        <v>9</v>
      </c>
      <c r="C4648">
        <v>1544128</v>
      </c>
      <c r="D4648" t="s">
        <v>10</v>
      </c>
      <c r="E4648" t="s">
        <v>11</v>
      </c>
      <c r="F4648" t="s">
        <v>12</v>
      </c>
      <c r="G4648" t="s">
        <v>13</v>
      </c>
      <c r="H4648" t="s">
        <v>13</v>
      </c>
      <c r="I4648">
        <v>49</v>
      </c>
      <c r="J4648" t="str" cm="1">
        <f t="array" ref="J4648">_xlfn.IFS(ISBLANK(C4648),"FALTANTE",ABS((C4648-$W$5)/$X$5)&gt;1.96,"ATÍPICO",ABS((C4648-$W$5)/$X$5)&lt;=1.96,"NO ATÍPICO")</f>
        <v>NO ATÍPICO</v>
      </c>
      <c r="K4648" t="str" cm="1">
        <f t="array" ref="K4648">_xlfn.IFS(ISBLANK(I4648),"FALTANTE",ABS((I4648-$W$8)/$X$8)&gt;1.92,"ATÍPICO",ABS((I4648-$W$8)/$X$8)&lt;=1.92,"NO ATÍPICO")</f>
        <v>NO ATÍPICO</v>
      </c>
      <c r="L4648">
        <f t="shared" si="306"/>
        <v>1544128</v>
      </c>
      <c r="M4648" t="str">
        <f t="shared" si="306"/>
        <v>ASALARIADO</v>
      </c>
      <c r="N4648">
        <f t="shared" si="307"/>
        <v>49</v>
      </c>
      <c r="O4648" s="19" t="str">
        <f t="shared" si="308"/>
        <v>1200k+</v>
      </c>
      <c r="P4648" s="19" t="str">
        <f t="shared" si="309"/>
        <v>46-55</v>
      </c>
    </row>
    <row r="4649" spans="1:16" x14ac:dyDescent="0.25">
      <c r="A4649">
        <v>4648</v>
      </c>
      <c r="B4649" t="s">
        <v>9</v>
      </c>
      <c r="C4649">
        <v>25000</v>
      </c>
      <c r="D4649" t="s">
        <v>10</v>
      </c>
      <c r="E4649" t="s">
        <v>16</v>
      </c>
      <c r="F4649" t="s">
        <v>12</v>
      </c>
      <c r="G4649" t="s">
        <v>13</v>
      </c>
      <c r="H4649" t="s">
        <v>13</v>
      </c>
      <c r="I4649">
        <v>24</v>
      </c>
      <c r="J4649" t="str" cm="1">
        <f t="array" ref="J4649">_xlfn.IFS(ISBLANK(C4649),"FALTANTE",ABS((C4649-$W$5)/$X$5)&gt;1.96,"ATÍPICO",ABS((C4649-$W$5)/$X$5)&lt;=1.96,"NO ATÍPICO")</f>
        <v>NO ATÍPICO</v>
      </c>
      <c r="K4649" t="str" cm="1">
        <f t="array" ref="K4649">_xlfn.IFS(ISBLANK(I4649),"FALTANTE",ABS((I4649-$W$8)/$X$8)&gt;1.92,"ATÍPICO",ABS((I4649-$W$8)/$X$8)&lt;=1.92,"NO ATÍPICO")</f>
        <v>NO ATÍPICO</v>
      </c>
      <c r="L4649">
        <f t="shared" si="306"/>
        <v>25000</v>
      </c>
      <c r="M4649" t="str">
        <f t="shared" si="306"/>
        <v>ASALARIADO</v>
      </c>
      <c r="N4649">
        <f t="shared" si="307"/>
        <v>24</v>
      </c>
      <c r="O4649" s="19" t="str">
        <f t="shared" si="308"/>
        <v>0–300k</v>
      </c>
      <c r="P4649" s="19" t="str">
        <f t="shared" si="309"/>
        <v>18-25</v>
      </c>
    </row>
    <row r="4650" spans="1:16" x14ac:dyDescent="0.25">
      <c r="A4650">
        <v>4649</v>
      </c>
      <c r="B4650" t="s">
        <v>9</v>
      </c>
      <c r="C4650">
        <v>589772.12</v>
      </c>
      <c r="D4650" t="s">
        <v>10</v>
      </c>
      <c r="E4650" t="s">
        <v>16</v>
      </c>
      <c r="F4650" t="s">
        <v>12</v>
      </c>
      <c r="G4650" t="s">
        <v>13</v>
      </c>
      <c r="H4650" t="s">
        <v>13</v>
      </c>
      <c r="I4650">
        <v>23</v>
      </c>
      <c r="J4650" t="str" cm="1">
        <f t="array" ref="J4650">_xlfn.IFS(ISBLANK(C4650),"FALTANTE",ABS((C4650-$W$5)/$X$5)&gt;1.96,"ATÍPICO",ABS((C4650-$W$5)/$X$5)&lt;=1.96,"NO ATÍPICO")</f>
        <v>NO ATÍPICO</v>
      </c>
      <c r="K4650" t="str" cm="1">
        <f t="array" ref="K4650">_xlfn.IFS(ISBLANK(I4650),"FALTANTE",ABS((I4650-$W$8)/$X$8)&gt;1.92,"ATÍPICO",ABS((I4650-$W$8)/$X$8)&lt;=1.92,"NO ATÍPICO")</f>
        <v>NO ATÍPICO</v>
      </c>
      <c r="L4650">
        <f t="shared" si="306"/>
        <v>589772.12</v>
      </c>
      <c r="M4650" t="str">
        <f t="shared" si="306"/>
        <v>ASALARIADO</v>
      </c>
      <c r="N4650">
        <f t="shared" si="307"/>
        <v>23</v>
      </c>
      <c r="O4650" s="19" t="str">
        <f t="shared" si="308"/>
        <v>300k–600k</v>
      </c>
      <c r="P4650" s="19" t="str">
        <f t="shared" si="309"/>
        <v>18-25</v>
      </c>
    </row>
    <row r="4651" spans="1:16" x14ac:dyDescent="0.25">
      <c r="A4651">
        <v>4650</v>
      </c>
      <c r="B4651" t="s">
        <v>9</v>
      </c>
      <c r="C4651">
        <v>297045</v>
      </c>
      <c r="D4651" t="s">
        <v>17</v>
      </c>
      <c r="E4651" t="s">
        <v>16</v>
      </c>
      <c r="F4651" t="s">
        <v>12</v>
      </c>
      <c r="G4651" t="s">
        <v>12</v>
      </c>
      <c r="H4651" t="s">
        <v>13</v>
      </c>
      <c r="I4651">
        <v>62</v>
      </c>
      <c r="J4651" t="str" cm="1">
        <f t="array" ref="J4651">_xlfn.IFS(ISBLANK(C4651),"FALTANTE",ABS((C4651-$W$5)/$X$5)&gt;1.96,"ATÍPICO",ABS((C4651-$W$5)/$X$5)&lt;=1.96,"NO ATÍPICO")</f>
        <v>NO ATÍPICO</v>
      </c>
      <c r="K4651" t="str" cm="1">
        <f t="array" ref="K4651">_xlfn.IFS(ISBLANK(I4651),"FALTANTE",ABS((I4651-$W$8)/$X$8)&gt;1.92,"ATÍPICO",ABS((I4651-$W$8)/$X$8)&lt;=1.92,"NO ATÍPICO")</f>
        <v>NO ATÍPICO</v>
      </c>
      <c r="L4651">
        <f t="shared" si="306"/>
        <v>297045</v>
      </c>
      <c r="M4651" t="str">
        <f t="shared" si="306"/>
        <v>ASEGURADO VOLUNTARIO</v>
      </c>
      <c r="N4651">
        <f t="shared" si="307"/>
        <v>62</v>
      </c>
      <c r="O4651" s="19" t="str">
        <f t="shared" si="308"/>
        <v>0–300k</v>
      </c>
      <c r="P4651" s="19" t="str">
        <f t="shared" si="309"/>
        <v>56+</v>
      </c>
    </row>
    <row r="4652" spans="1:16" x14ac:dyDescent="0.25">
      <c r="A4652">
        <v>4651</v>
      </c>
      <c r="B4652" t="s">
        <v>9</v>
      </c>
      <c r="C4652">
        <v>640424.22</v>
      </c>
      <c r="D4652" t="s">
        <v>10</v>
      </c>
      <c r="E4652" t="s">
        <v>16</v>
      </c>
      <c r="F4652" t="s">
        <v>12</v>
      </c>
      <c r="G4652" t="s">
        <v>13</v>
      </c>
      <c r="H4652" t="s">
        <v>13</v>
      </c>
      <c r="I4652">
        <v>37</v>
      </c>
      <c r="J4652" t="str" cm="1">
        <f t="array" ref="J4652">_xlfn.IFS(ISBLANK(C4652),"FALTANTE",ABS((C4652-$W$5)/$X$5)&gt;1.96,"ATÍPICO",ABS((C4652-$W$5)/$X$5)&lt;=1.96,"NO ATÍPICO")</f>
        <v>NO ATÍPICO</v>
      </c>
      <c r="K4652" t="str" cm="1">
        <f t="array" ref="K4652">_xlfn.IFS(ISBLANK(I4652),"FALTANTE",ABS((I4652-$W$8)/$X$8)&gt;1.92,"ATÍPICO",ABS((I4652-$W$8)/$X$8)&lt;=1.92,"NO ATÍPICO")</f>
        <v>NO ATÍPICO</v>
      </c>
      <c r="L4652">
        <f t="shared" si="306"/>
        <v>640424.22</v>
      </c>
      <c r="M4652" t="str">
        <f t="shared" si="306"/>
        <v>ASALARIADO</v>
      </c>
      <c r="N4652">
        <f t="shared" si="307"/>
        <v>37</v>
      </c>
      <c r="O4652" s="19" t="str">
        <f t="shared" si="308"/>
        <v>600k–900k</v>
      </c>
      <c r="P4652" s="19" t="str">
        <f t="shared" si="309"/>
        <v>36-45</v>
      </c>
    </row>
    <row r="4653" spans="1:16" x14ac:dyDescent="0.25">
      <c r="A4653">
        <v>4652</v>
      </c>
      <c r="B4653" t="s">
        <v>9</v>
      </c>
      <c r="C4653">
        <v>332791</v>
      </c>
      <c r="D4653" t="s">
        <v>10</v>
      </c>
      <c r="E4653" t="s">
        <v>16</v>
      </c>
      <c r="F4653" t="s">
        <v>12</v>
      </c>
      <c r="G4653" t="s">
        <v>13</v>
      </c>
      <c r="H4653" t="s">
        <v>12</v>
      </c>
      <c r="I4653">
        <v>37</v>
      </c>
      <c r="J4653" t="str" cm="1">
        <f t="array" ref="J4653">_xlfn.IFS(ISBLANK(C4653),"FALTANTE",ABS((C4653-$W$5)/$X$5)&gt;1.96,"ATÍPICO",ABS((C4653-$W$5)/$X$5)&lt;=1.96,"NO ATÍPICO")</f>
        <v>NO ATÍPICO</v>
      </c>
      <c r="K4653" t="str" cm="1">
        <f t="array" ref="K4653">_xlfn.IFS(ISBLANK(I4653),"FALTANTE",ABS((I4653-$W$8)/$X$8)&gt;1.92,"ATÍPICO",ABS((I4653-$W$8)/$X$8)&lt;=1.92,"NO ATÍPICO")</f>
        <v>NO ATÍPICO</v>
      </c>
      <c r="L4653">
        <f t="shared" si="306"/>
        <v>332791</v>
      </c>
      <c r="M4653" t="str">
        <f t="shared" si="306"/>
        <v>ASALARIADO</v>
      </c>
      <c r="N4653">
        <f t="shared" si="307"/>
        <v>37</v>
      </c>
      <c r="O4653" s="19" t="str">
        <f t="shared" si="308"/>
        <v>300k–600k</v>
      </c>
      <c r="P4653" s="19" t="str">
        <f t="shared" si="309"/>
        <v>36-45</v>
      </c>
    </row>
    <row r="4654" spans="1:16" x14ac:dyDescent="0.25">
      <c r="A4654">
        <v>4653</v>
      </c>
      <c r="B4654" t="s">
        <v>9</v>
      </c>
      <c r="C4654">
        <v>297046</v>
      </c>
      <c r="D4654" t="s">
        <v>18</v>
      </c>
      <c r="E4654" t="s">
        <v>16</v>
      </c>
      <c r="F4654" t="s">
        <v>12</v>
      </c>
      <c r="G4654" t="s">
        <v>13</v>
      </c>
      <c r="H4654" t="s">
        <v>12</v>
      </c>
      <c r="I4654">
        <v>55</v>
      </c>
      <c r="J4654" t="str" cm="1">
        <f t="array" ref="J4654">_xlfn.IFS(ISBLANK(C4654),"FALTANTE",ABS((C4654-$W$5)/$X$5)&gt;1.96,"ATÍPICO",ABS((C4654-$W$5)/$X$5)&lt;=1.96,"NO ATÍPICO")</f>
        <v>NO ATÍPICO</v>
      </c>
      <c r="K4654" t="str" cm="1">
        <f t="array" ref="K4654">_xlfn.IFS(ISBLANK(I4654),"FALTANTE",ABS((I4654-$W$8)/$X$8)&gt;1.92,"ATÍPICO",ABS((I4654-$W$8)/$X$8)&lt;=1.92,"NO ATÍPICO")</f>
        <v>NO ATÍPICO</v>
      </c>
      <c r="L4654">
        <f t="shared" si="306"/>
        <v>297046</v>
      </c>
      <c r="M4654" t="str">
        <f t="shared" si="306"/>
        <v>TRABAJADOR INDEPENDIENTE</v>
      </c>
      <c r="N4654">
        <f t="shared" si="307"/>
        <v>55</v>
      </c>
      <c r="O4654" s="19" t="str">
        <f t="shared" si="308"/>
        <v>0–300k</v>
      </c>
      <c r="P4654" s="19" t="str">
        <f t="shared" si="309"/>
        <v>46-55</v>
      </c>
    </row>
    <row r="4655" spans="1:16" x14ac:dyDescent="0.25">
      <c r="A4655">
        <v>4654</v>
      </c>
      <c r="B4655" t="s">
        <v>9</v>
      </c>
      <c r="C4655">
        <v>424277</v>
      </c>
      <c r="D4655" t="s">
        <v>18</v>
      </c>
      <c r="E4655" t="s">
        <v>16</v>
      </c>
      <c r="F4655" t="s">
        <v>12</v>
      </c>
      <c r="G4655" t="s">
        <v>13</v>
      </c>
      <c r="H4655" t="s">
        <v>12</v>
      </c>
      <c r="I4655">
        <v>49</v>
      </c>
      <c r="J4655" t="str" cm="1">
        <f t="array" ref="J4655">_xlfn.IFS(ISBLANK(C4655),"FALTANTE",ABS((C4655-$W$5)/$X$5)&gt;1.96,"ATÍPICO",ABS((C4655-$W$5)/$X$5)&lt;=1.96,"NO ATÍPICO")</f>
        <v>NO ATÍPICO</v>
      </c>
      <c r="K4655" t="str" cm="1">
        <f t="array" ref="K4655">_xlfn.IFS(ISBLANK(I4655),"FALTANTE",ABS((I4655-$W$8)/$X$8)&gt;1.92,"ATÍPICO",ABS((I4655-$W$8)/$X$8)&lt;=1.92,"NO ATÍPICO")</f>
        <v>NO ATÍPICO</v>
      </c>
      <c r="L4655">
        <f t="shared" si="306"/>
        <v>424277</v>
      </c>
      <c r="M4655" t="str">
        <f t="shared" si="306"/>
        <v>TRABAJADOR INDEPENDIENTE</v>
      </c>
      <c r="N4655">
        <f t="shared" si="307"/>
        <v>49</v>
      </c>
      <c r="O4655" s="19" t="str">
        <f t="shared" si="308"/>
        <v>300k–600k</v>
      </c>
      <c r="P4655" s="19" t="str">
        <f t="shared" si="309"/>
        <v>46-55</v>
      </c>
    </row>
    <row r="4656" spans="1:16" x14ac:dyDescent="0.25">
      <c r="A4656">
        <v>4655</v>
      </c>
      <c r="B4656" t="s">
        <v>15</v>
      </c>
      <c r="C4656">
        <v>462065</v>
      </c>
      <c r="D4656" t="s">
        <v>10</v>
      </c>
      <c r="E4656" t="s">
        <v>16</v>
      </c>
      <c r="F4656" t="s">
        <v>12</v>
      </c>
      <c r="G4656" t="s">
        <v>13</v>
      </c>
      <c r="H4656" t="s">
        <v>13</v>
      </c>
      <c r="I4656">
        <v>31</v>
      </c>
      <c r="J4656" t="str" cm="1">
        <f t="array" ref="J4656">_xlfn.IFS(ISBLANK(C4656),"FALTANTE",ABS((C4656-$W$5)/$X$5)&gt;1.96,"ATÍPICO",ABS((C4656-$W$5)/$X$5)&lt;=1.96,"NO ATÍPICO")</f>
        <v>NO ATÍPICO</v>
      </c>
      <c r="K4656" t="str" cm="1">
        <f t="array" ref="K4656">_xlfn.IFS(ISBLANK(I4656),"FALTANTE",ABS((I4656-$W$8)/$X$8)&gt;1.92,"ATÍPICO",ABS((I4656-$W$8)/$X$8)&lt;=1.92,"NO ATÍPICO")</f>
        <v>NO ATÍPICO</v>
      </c>
      <c r="L4656">
        <f t="shared" si="306"/>
        <v>462065</v>
      </c>
      <c r="M4656" t="str">
        <f t="shared" si="306"/>
        <v>ASALARIADO</v>
      </c>
      <c r="N4656">
        <f t="shared" si="307"/>
        <v>31</v>
      </c>
      <c r="O4656" s="19" t="str">
        <f t="shared" si="308"/>
        <v>300k–600k</v>
      </c>
      <c r="P4656" s="19" t="str">
        <f t="shared" si="309"/>
        <v>26-35</v>
      </c>
    </row>
    <row r="4657" spans="1:16" x14ac:dyDescent="0.25">
      <c r="A4657">
        <v>4656</v>
      </c>
      <c r="B4657" t="s">
        <v>9</v>
      </c>
      <c r="C4657">
        <v>914169.91</v>
      </c>
      <c r="D4657" t="s">
        <v>10</v>
      </c>
      <c r="E4657" t="s">
        <v>16</v>
      </c>
      <c r="F4657" t="s">
        <v>12</v>
      </c>
      <c r="G4657" t="s">
        <v>13</v>
      </c>
      <c r="H4657" t="s">
        <v>13</v>
      </c>
      <c r="I4657">
        <v>40</v>
      </c>
      <c r="J4657" t="str" cm="1">
        <f t="array" ref="J4657">_xlfn.IFS(ISBLANK(C4657),"FALTANTE",ABS((C4657-$W$5)/$X$5)&gt;1.96,"ATÍPICO",ABS((C4657-$W$5)/$X$5)&lt;=1.96,"NO ATÍPICO")</f>
        <v>NO ATÍPICO</v>
      </c>
      <c r="K4657" t="str" cm="1">
        <f t="array" ref="K4657">_xlfn.IFS(ISBLANK(I4657),"FALTANTE",ABS((I4657-$W$8)/$X$8)&gt;1.92,"ATÍPICO",ABS((I4657-$W$8)/$X$8)&lt;=1.92,"NO ATÍPICO")</f>
        <v>NO ATÍPICO</v>
      </c>
      <c r="L4657">
        <f t="shared" si="306"/>
        <v>914169.91</v>
      </c>
      <c r="M4657" t="str">
        <f t="shared" si="306"/>
        <v>ASALARIADO</v>
      </c>
      <c r="N4657">
        <f t="shared" si="307"/>
        <v>40</v>
      </c>
      <c r="O4657" s="19" t="str">
        <f t="shared" si="308"/>
        <v>900k–1200k</v>
      </c>
      <c r="P4657" s="19" t="str">
        <f t="shared" si="309"/>
        <v>36-45</v>
      </c>
    </row>
    <row r="4658" spans="1:16" x14ac:dyDescent="0.25">
      <c r="A4658">
        <v>4657</v>
      </c>
      <c r="B4658" t="s">
        <v>9</v>
      </c>
      <c r="C4658">
        <v>550000</v>
      </c>
      <c r="D4658" t="s">
        <v>10</v>
      </c>
      <c r="E4658" t="s">
        <v>16</v>
      </c>
      <c r="F4658" t="s">
        <v>12</v>
      </c>
      <c r="G4658" t="s">
        <v>13</v>
      </c>
      <c r="H4658" t="s">
        <v>12</v>
      </c>
      <c r="I4658">
        <v>34</v>
      </c>
      <c r="J4658" t="str" cm="1">
        <f t="array" ref="J4658">_xlfn.IFS(ISBLANK(C4658),"FALTANTE",ABS((C4658-$W$5)/$X$5)&gt;1.96,"ATÍPICO",ABS((C4658-$W$5)/$X$5)&lt;=1.96,"NO ATÍPICO")</f>
        <v>NO ATÍPICO</v>
      </c>
      <c r="K4658" t="str" cm="1">
        <f t="array" ref="K4658">_xlfn.IFS(ISBLANK(I4658),"FALTANTE",ABS((I4658-$W$8)/$X$8)&gt;1.92,"ATÍPICO",ABS((I4658-$W$8)/$X$8)&lt;=1.92,"NO ATÍPICO")</f>
        <v>NO ATÍPICO</v>
      </c>
      <c r="L4658">
        <f t="shared" si="306"/>
        <v>550000</v>
      </c>
      <c r="M4658" t="str">
        <f t="shared" si="306"/>
        <v>ASALARIADO</v>
      </c>
      <c r="N4658">
        <f t="shared" si="307"/>
        <v>34</v>
      </c>
      <c r="O4658" s="19" t="str">
        <f t="shared" si="308"/>
        <v>300k–600k</v>
      </c>
      <c r="P4658" s="19" t="str">
        <f t="shared" si="309"/>
        <v>26-35</v>
      </c>
    </row>
    <row r="4659" spans="1:16" x14ac:dyDescent="0.25">
      <c r="A4659">
        <v>4658</v>
      </c>
      <c r="B4659" t="s">
        <v>15</v>
      </c>
      <c r="C4659">
        <v>763375.1</v>
      </c>
      <c r="D4659" t="s">
        <v>10</v>
      </c>
      <c r="E4659" t="s">
        <v>11</v>
      </c>
      <c r="F4659" t="s">
        <v>12</v>
      </c>
      <c r="G4659" t="s">
        <v>13</v>
      </c>
      <c r="H4659" t="s">
        <v>13</v>
      </c>
      <c r="I4659">
        <v>35</v>
      </c>
      <c r="J4659" t="str" cm="1">
        <f t="array" ref="J4659">_xlfn.IFS(ISBLANK(C4659),"FALTANTE",ABS((C4659-$W$5)/$X$5)&gt;1.96,"ATÍPICO",ABS((C4659-$W$5)/$X$5)&lt;=1.96,"NO ATÍPICO")</f>
        <v>NO ATÍPICO</v>
      </c>
      <c r="K4659" t="str" cm="1">
        <f t="array" ref="K4659">_xlfn.IFS(ISBLANK(I4659),"FALTANTE",ABS((I4659-$W$8)/$X$8)&gt;1.92,"ATÍPICO",ABS((I4659-$W$8)/$X$8)&lt;=1.92,"NO ATÍPICO")</f>
        <v>NO ATÍPICO</v>
      </c>
      <c r="L4659">
        <f t="shared" si="306"/>
        <v>763375.1</v>
      </c>
      <c r="M4659" t="str">
        <f t="shared" si="306"/>
        <v>ASALARIADO</v>
      </c>
      <c r="N4659">
        <f t="shared" si="307"/>
        <v>35</v>
      </c>
      <c r="O4659" s="19" t="str">
        <f t="shared" si="308"/>
        <v>600k–900k</v>
      </c>
      <c r="P4659" s="19" t="str">
        <f t="shared" si="309"/>
        <v>26-35</v>
      </c>
    </row>
    <row r="4660" spans="1:16" x14ac:dyDescent="0.25">
      <c r="A4660">
        <v>4659</v>
      </c>
      <c r="B4660" t="s">
        <v>15</v>
      </c>
      <c r="C4660">
        <v>450000</v>
      </c>
      <c r="D4660" t="s">
        <v>10</v>
      </c>
      <c r="E4660" t="s">
        <v>16</v>
      </c>
      <c r="F4660" t="s">
        <v>12</v>
      </c>
      <c r="G4660" t="s">
        <v>13</v>
      </c>
      <c r="H4660" t="s">
        <v>13</v>
      </c>
      <c r="I4660">
        <v>22</v>
      </c>
      <c r="J4660" t="str" cm="1">
        <f t="array" ref="J4660">_xlfn.IFS(ISBLANK(C4660),"FALTANTE",ABS((C4660-$W$5)/$X$5)&gt;1.96,"ATÍPICO",ABS((C4660-$W$5)/$X$5)&lt;=1.96,"NO ATÍPICO")</f>
        <v>NO ATÍPICO</v>
      </c>
      <c r="K4660" t="str" cm="1">
        <f t="array" ref="K4660">_xlfn.IFS(ISBLANK(I4660),"FALTANTE",ABS((I4660-$W$8)/$X$8)&gt;1.92,"ATÍPICO",ABS((I4660-$W$8)/$X$8)&lt;=1.92,"NO ATÍPICO")</f>
        <v>NO ATÍPICO</v>
      </c>
      <c r="L4660">
        <f t="shared" si="306"/>
        <v>450000</v>
      </c>
      <c r="M4660" t="str">
        <f t="shared" si="306"/>
        <v>ASALARIADO</v>
      </c>
      <c r="N4660">
        <f t="shared" si="307"/>
        <v>22</v>
      </c>
      <c r="O4660" s="19" t="str">
        <f t="shared" si="308"/>
        <v>300k–600k</v>
      </c>
      <c r="P4660" s="19" t="str">
        <f t="shared" si="309"/>
        <v>18-25</v>
      </c>
    </row>
    <row r="4661" spans="1:16" x14ac:dyDescent="0.25">
      <c r="A4661">
        <v>4660</v>
      </c>
      <c r="B4661" t="s">
        <v>9</v>
      </c>
      <c r="C4661">
        <v>123924</v>
      </c>
      <c r="D4661" t="s">
        <v>10</v>
      </c>
      <c r="E4661" t="s">
        <v>16</v>
      </c>
      <c r="F4661" t="s">
        <v>12</v>
      </c>
      <c r="G4661" t="s">
        <v>13</v>
      </c>
      <c r="H4661" t="s">
        <v>13</v>
      </c>
      <c r="I4661">
        <v>19</v>
      </c>
      <c r="J4661" t="str" cm="1">
        <f t="array" ref="J4661">_xlfn.IFS(ISBLANK(C4661),"FALTANTE",ABS((C4661-$W$5)/$X$5)&gt;1.96,"ATÍPICO",ABS((C4661-$W$5)/$X$5)&lt;=1.96,"NO ATÍPICO")</f>
        <v>NO ATÍPICO</v>
      </c>
      <c r="K4661" t="str" cm="1">
        <f t="array" ref="K4661">_xlfn.IFS(ISBLANK(I4661),"FALTANTE",ABS((I4661-$W$8)/$X$8)&gt;1.92,"ATÍPICO",ABS((I4661-$W$8)/$X$8)&lt;=1.92,"NO ATÍPICO")</f>
        <v>NO ATÍPICO</v>
      </c>
      <c r="L4661">
        <f t="shared" si="306"/>
        <v>123924</v>
      </c>
      <c r="M4661" t="str">
        <f t="shared" si="306"/>
        <v>ASALARIADO</v>
      </c>
      <c r="N4661">
        <f t="shared" si="307"/>
        <v>19</v>
      </c>
      <c r="O4661" s="19" t="str">
        <f t="shared" si="308"/>
        <v>0–300k</v>
      </c>
      <c r="P4661" s="19" t="str">
        <f t="shared" si="309"/>
        <v>18-25</v>
      </c>
    </row>
    <row r="4662" spans="1:16" x14ac:dyDescent="0.25">
      <c r="A4662">
        <v>4661</v>
      </c>
      <c r="B4662" t="s">
        <v>9</v>
      </c>
      <c r="C4662">
        <v>391012.95</v>
      </c>
      <c r="D4662" t="s">
        <v>10</v>
      </c>
      <c r="E4662" t="s">
        <v>16</v>
      </c>
      <c r="F4662" t="s">
        <v>12</v>
      </c>
      <c r="G4662" t="s">
        <v>13</v>
      </c>
      <c r="H4662" t="s">
        <v>13</v>
      </c>
      <c r="I4662">
        <v>21</v>
      </c>
      <c r="J4662" t="str" cm="1">
        <f t="array" ref="J4662">_xlfn.IFS(ISBLANK(C4662),"FALTANTE",ABS((C4662-$W$5)/$X$5)&gt;1.96,"ATÍPICO",ABS((C4662-$W$5)/$X$5)&lt;=1.96,"NO ATÍPICO")</f>
        <v>NO ATÍPICO</v>
      </c>
      <c r="K4662" t="str" cm="1">
        <f t="array" ref="K4662">_xlfn.IFS(ISBLANK(I4662),"FALTANTE",ABS((I4662-$W$8)/$X$8)&gt;1.92,"ATÍPICO",ABS((I4662-$W$8)/$X$8)&lt;=1.92,"NO ATÍPICO")</f>
        <v>NO ATÍPICO</v>
      </c>
      <c r="L4662">
        <f t="shared" si="306"/>
        <v>391012.95</v>
      </c>
      <c r="M4662" t="str">
        <f t="shared" si="306"/>
        <v>ASALARIADO</v>
      </c>
      <c r="N4662">
        <f t="shared" si="307"/>
        <v>21</v>
      </c>
      <c r="O4662" s="19" t="str">
        <f t="shared" si="308"/>
        <v>300k–600k</v>
      </c>
      <c r="P4662" s="19" t="str">
        <f t="shared" si="309"/>
        <v>18-25</v>
      </c>
    </row>
    <row r="4663" spans="1:16" x14ac:dyDescent="0.25">
      <c r="A4663">
        <v>4662</v>
      </c>
      <c r="B4663" t="s">
        <v>9</v>
      </c>
      <c r="C4663">
        <v>364900</v>
      </c>
      <c r="D4663" t="s">
        <v>10</v>
      </c>
      <c r="E4663" t="s">
        <v>16</v>
      </c>
      <c r="F4663" t="s">
        <v>12</v>
      </c>
      <c r="G4663" t="s">
        <v>12</v>
      </c>
      <c r="H4663" t="s">
        <v>13</v>
      </c>
      <c r="I4663">
        <v>62</v>
      </c>
      <c r="J4663" t="str" cm="1">
        <f t="array" ref="J4663">_xlfn.IFS(ISBLANK(C4663),"FALTANTE",ABS((C4663-$W$5)/$X$5)&gt;1.96,"ATÍPICO",ABS((C4663-$W$5)/$X$5)&lt;=1.96,"NO ATÍPICO")</f>
        <v>NO ATÍPICO</v>
      </c>
      <c r="K4663" t="str" cm="1">
        <f t="array" ref="K4663">_xlfn.IFS(ISBLANK(I4663),"FALTANTE",ABS((I4663-$W$8)/$X$8)&gt;1.92,"ATÍPICO",ABS((I4663-$W$8)/$X$8)&lt;=1.92,"NO ATÍPICO")</f>
        <v>NO ATÍPICO</v>
      </c>
      <c r="L4663">
        <f t="shared" si="306"/>
        <v>364900</v>
      </c>
      <c r="M4663" t="str">
        <f t="shared" si="306"/>
        <v>ASALARIADO</v>
      </c>
      <c r="N4663">
        <f t="shared" si="307"/>
        <v>62</v>
      </c>
      <c r="O4663" s="19" t="str">
        <f t="shared" si="308"/>
        <v>300k–600k</v>
      </c>
      <c r="P4663" s="19" t="str">
        <f t="shared" si="309"/>
        <v>56+</v>
      </c>
    </row>
    <row r="4664" spans="1:16" x14ac:dyDescent="0.25">
      <c r="A4664">
        <v>4663</v>
      </c>
      <c r="B4664" t="s">
        <v>9</v>
      </c>
      <c r="C4664">
        <v>796069</v>
      </c>
      <c r="D4664" t="s">
        <v>10</v>
      </c>
      <c r="E4664" t="s">
        <v>11</v>
      </c>
      <c r="F4664" t="s">
        <v>12</v>
      </c>
      <c r="G4664" t="s">
        <v>13</v>
      </c>
      <c r="H4664" t="s">
        <v>13</v>
      </c>
      <c r="I4664">
        <v>38</v>
      </c>
      <c r="J4664" t="str" cm="1">
        <f t="array" ref="J4664">_xlfn.IFS(ISBLANK(C4664),"FALTANTE",ABS((C4664-$W$5)/$X$5)&gt;1.96,"ATÍPICO",ABS((C4664-$W$5)/$X$5)&lt;=1.96,"NO ATÍPICO")</f>
        <v>NO ATÍPICO</v>
      </c>
      <c r="K4664" t="str" cm="1">
        <f t="array" ref="K4664">_xlfn.IFS(ISBLANK(I4664),"FALTANTE",ABS((I4664-$W$8)/$X$8)&gt;1.92,"ATÍPICO",ABS((I4664-$W$8)/$X$8)&lt;=1.92,"NO ATÍPICO")</f>
        <v>NO ATÍPICO</v>
      </c>
      <c r="L4664">
        <f t="shared" si="306"/>
        <v>796069</v>
      </c>
      <c r="M4664" t="str">
        <f t="shared" si="306"/>
        <v>ASALARIADO</v>
      </c>
      <c r="N4664">
        <f t="shared" si="307"/>
        <v>38</v>
      </c>
      <c r="O4664" s="19" t="str">
        <f t="shared" si="308"/>
        <v>600k–900k</v>
      </c>
      <c r="P4664" s="19" t="str">
        <f t="shared" si="309"/>
        <v>36-45</v>
      </c>
    </row>
    <row r="4665" spans="1:16" x14ac:dyDescent="0.25">
      <c r="A4665">
        <v>4664</v>
      </c>
      <c r="B4665" t="s">
        <v>9</v>
      </c>
      <c r="C4665">
        <v>962757.1</v>
      </c>
      <c r="D4665" t="s">
        <v>14</v>
      </c>
      <c r="E4665" t="s">
        <v>11</v>
      </c>
      <c r="F4665" t="s">
        <v>12</v>
      </c>
      <c r="G4665" t="s">
        <v>13</v>
      </c>
      <c r="H4665" t="s">
        <v>13</v>
      </c>
      <c r="I4665">
        <v>63</v>
      </c>
      <c r="J4665" t="str" cm="1">
        <f t="array" ref="J4665">_xlfn.IFS(ISBLANK(C4665),"FALTANTE",ABS((C4665-$W$5)/$X$5)&gt;1.96,"ATÍPICO",ABS((C4665-$W$5)/$X$5)&lt;=1.96,"NO ATÍPICO")</f>
        <v>NO ATÍPICO</v>
      </c>
      <c r="K4665" t="str" cm="1">
        <f t="array" ref="K4665">_xlfn.IFS(ISBLANK(I4665),"FALTANTE",ABS((I4665-$W$8)/$X$8)&gt;1.92,"ATÍPICO",ABS((I4665-$W$8)/$X$8)&lt;=1.92,"NO ATÍPICO")</f>
        <v>NO ATÍPICO</v>
      </c>
      <c r="L4665">
        <f t="shared" si="306"/>
        <v>962757.1</v>
      </c>
      <c r="M4665" t="str">
        <f t="shared" si="306"/>
        <v>PENSIONADOS EN SU PROPIO SISTEMA</v>
      </c>
      <c r="N4665">
        <f t="shared" si="307"/>
        <v>63</v>
      </c>
      <c r="O4665" s="19" t="str">
        <f t="shared" si="308"/>
        <v>900k–1200k</v>
      </c>
      <c r="P4665" s="19" t="str">
        <f t="shared" si="309"/>
        <v>56+</v>
      </c>
    </row>
    <row r="4666" spans="1:16" x14ac:dyDescent="0.25">
      <c r="A4666">
        <v>4665</v>
      </c>
      <c r="B4666" t="s">
        <v>9</v>
      </c>
      <c r="C4666">
        <v>1453308</v>
      </c>
      <c r="D4666" t="s">
        <v>14</v>
      </c>
      <c r="E4666" t="s">
        <v>11</v>
      </c>
      <c r="F4666" t="s">
        <v>12</v>
      </c>
      <c r="G4666" t="s">
        <v>13</v>
      </c>
      <c r="H4666" t="s">
        <v>13</v>
      </c>
      <c r="I4666">
        <v>70</v>
      </c>
      <c r="J4666" t="str" cm="1">
        <f t="array" ref="J4666">_xlfn.IFS(ISBLANK(C4666),"FALTANTE",ABS((C4666-$W$5)/$X$5)&gt;1.96,"ATÍPICO",ABS((C4666-$W$5)/$X$5)&lt;=1.96,"NO ATÍPICO")</f>
        <v>NO ATÍPICO</v>
      </c>
      <c r="K4666" t="str" cm="1">
        <f t="array" ref="K4666">_xlfn.IFS(ISBLANK(I4666),"FALTANTE",ABS((I4666-$W$8)/$X$8)&gt;1.92,"ATÍPICO",ABS((I4666-$W$8)/$X$8)&lt;=1.92,"NO ATÍPICO")</f>
        <v>ATÍPICO</v>
      </c>
      <c r="L4666">
        <f t="shared" si="306"/>
        <v>1453308</v>
      </c>
      <c r="M4666" t="str">
        <f t="shared" si="306"/>
        <v>PENSIONADOS EN SU PROPIO SISTEMA</v>
      </c>
      <c r="N4666">
        <f t="shared" si="307"/>
        <v>70</v>
      </c>
      <c r="O4666" s="19" t="str">
        <f t="shared" si="308"/>
        <v>1200k+</v>
      </c>
      <c r="P4666" s="19" t="str">
        <f t="shared" si="309"/>
        <v>56+</v>
      </c>
    </row>
    <row r="4667" spans="1:16" x14ac:dyDescent="0.25">
      <c r="A4667">
        <v>4666</v>
      </c>
      <c r="B4667" t="s">
        <v>9</v>
      </c>
      <c r="C4667">
        <v>746556.41</v>
      </c>
      <c r="D4667" t="s">
        <v>10</v>
      </c>
      <c r="E4667" t="s">
        <v>11</v>
      </c>
      <c r="F4667" t="s">
        <v>12</v>
      </c>
      <c r="G4667" t="s">
        <v>13</v>
      </c>
      <c r="H4667" t="s">
        <v>13</v>
      </c>
      <c r="I4667">
        <v>30</v>
      </c>
      <c r="J4667" t="str" cm="1">
        <f t="array" ref="J4667">_xlfn.IFS(ISBLANK(C4667),"FALTANTE",ABS((C4667-$W$5)/$X$5)&gt;1.96,"ATÍPICO",ABS((C4667-$W$5)/$X$5)&lt;=1.96,"NO ATÍPICO")</f>
        <v>NO ATÍPICO</v>
      </c>
      <c r="K4667" t="str" cm="1">
        <f t="array" ref="K4667">_xlfn.IFS(ISBLANK(I4667),"FALTANTE",ABS((I4667-$W$8)/$X$8)&gt;1.92,"ATÍPICO",ABS((I4667-$W$8)/$X$8)&lt;=1.92,"NO ATÍPICO")</f>
        <v>NO ATÍPICO</v>
      </c>
      <c r="L4667">
        <f t="shared" si="306"/>
        <v>746556.41</v>
      </c>
      <c r="M4667" t="str">
        <f t="shared" si="306"/>
        <v>ASALARIADO</v>
      </c>
      <c r="N4667">
        <f t="shared" si="307"/>
        <v>30</v>
      </c>
      <c r="O4667" s="19" t="str">
        <f t="shared" si="308"/>
        <v>600k–900k</v>
      </c>
      <c r="P4667" s="19" t="str">
        <f t="shared" si="309"/>
        <v>26-35</v>
      </c>
    </row>
    <row r="4668" spans="1:16" x14ac:dyDescent="0.25">
      <c r="A4668">
        <v>4667</v>
      </c>
      <c r="B4668" t="s">
        <v>9</v>
      </c>
      <c r="C4668">
        <v>1422542.7</v>
      </c>
      <c r="D4668" t="s">
        <v>10</v>
      </c>
      <c r="E4668" t="s">
        <v>11</v>
      </c>
      <c r="F4668" t="s">
        <v>12</v>
      </c>
      <c r="G4668" t="s">
        <v>13</v>
      </c>
      <c r="H4668" t="s">
        <v>13</v>
      </c>
      <c r="I4668">
        <v>60</v>
      </c>
      <c r="J4668" t="str" cm="1">
        <f t="array" ref="J4668">_xlfn.IFS(ISBLANK(C4668),"FALTANTE",ABS((C4668-$W$5)/$X$5)&gt;1.96,"ATÍPICO",ABS((C4668-$W$5)/$X$5)&lt;=1.96,"NO ATÍPICO")</f>
        <v>NO ATÍPICO</v>
      </c>
      <c r="K4668" t="str" cm="1">
        <f t="array" ref="K4668">_xlfn.IFS(ISBLANK(I4668),"FALTANTE",ABS((I4668-$W$8)/$X$8)&gt;1.92,"ATÍPICO",ABS((I4668-$W$8)/$X$8)&lt;=1.92,"NO ATÍPICO")</f>
        <v>NO ATÍPICO</v>
      </c>
      <c r="L4668">
        <f t="shared" si="306"/>
        <v>1422542.7</v>
      </c>
      <c r="M4668" t="str">
        <f t="shared" si="306"/>
        <v>ASALARIADO</v>
      </c>
      <c r="N4668">
        <f t="shared" si="307"/>
        <v>60</v>
      </c>
      <c r="O4668" s="19" t="str">
        <f t="shared" si="308"/>
        <v>1200k+</v>
      </c>
      <c r="P4668" s="19" t="str">
        <f t="shared" si="309"/>
        <v>56+</v>
      </c>
    </row>
    <row r="4669" spans="1:16" x14ac:dyDescent="0.25">
      <c r="A4669">
        <v>4668</v>
      </c>
      <c r="B4669" t="s">
        <v>9</v>
      </c>
      <c r="C4669">
        <v>1417996.5</v>
      </c>
      <c r="D4669" t="s">
        <v>10</v>
      </c>
      <c r="E4669" t="s">
        <v>11</v>
      </c>
      <c r="F4669" t="s">
        <v>12</v>
      </c>
      <c r="G4669" t="s">
        <v>13</v>
      </c>
      <c r="H4669" t="s">
        <v>13</v>
      </c>
      <c r="I4669">
        <v>32</v>
      </c>
      <c r="J4669" t="str" cm="1">
        <f t="array" ref="J4669">_xlfn.IFS(ISBLANK(C4669),"FALTANTE",ABS((C4669-$W$5)/$X$5)&gt;1.96,"ATÍPICO",ABS((C4669-$W$5)/$X$5)&lt;=1.96,"NO ATÍPICO")</f>
        <v>NO ATÍPICO</v>
      </c>
      <c r="K4669" t="str" cm="1">
        <f t="array" ref="K4669">_xlfn.IFS(ISBLANK(I4669),"FALTANTE",ABS((I4669-$W$8)/$X$8)&gt;1.92,"ATÍPICO",ABS((I4669-$W$8)/$X$8)&lt;=1.92,"NO ATÍPICO")</f>
        <v>NO ATÍPICO</v>
      </c>
      <c r="L4669">
        <f t="shared" si="306"/>
        <v>1417996.5</v>
      </c>
      <c r="M4669" t="str">
        <f t="shared" si="306"/>
        <v>ASALARIADO</v>
      </c>
      <c r="N4669">
        <f t="shared" si="307"/>
        <v>32</v>
      </c>
      <c r="O4669" s="19" t="str">
        <f t="shared" si="308"/>
        <v>1200k+</v>
      </c>
      <c r="P4669" s="19" t="str">
        <f t="shared" si="309"/>
        <v>26-35</v>
      </c>
    </row>
    <row r="4670" spans="1:16" x14ac:dyDescent="0.25">
      <c r="A4670">
        <v>4669</v>
      </c>
      <c r="B4670" t="s">
        <v>15</v>
      </c>
      <c r="C4670">
        <v>375882.38</v>
      </c>
      <c r="D4670" t="s">
        <v>10</v>
      </c>
      <c r="E4670" t="s">
        <v>16</v>
      </c>
      <c r="F4670" t="s">
        <v>12</v>
      </c>
      <c r="G4670" t="s">
        <v>12</v>
      </c>
      <c r="H4670" t="s">
        <v>13</v>
      </c>
      <c r="I4670">
        <v>56</v>
      </c>
      <c r="J4670" t="str" cm="1">
        <f t="array" ref="J4670">_xlfn.IFS(ISBLANK(C4670),"FALTANTE",ABS((C4670-$W$5)/$X$5)&gt;1.96,"ATÍPICO",ABS((C4670-$W$5)/$X$5)&lt;=1.96,"NO ATÍPICO")</f>
        <v>NO ATÍPICO</v>
      </c>
      <c r="K4670" t="str" cm="1">
        <f t="array" ref="K4670">_xlfn.IFS(ISBLANK(I4670),"FALTANTE",ABS((I4670-$W$8)/$X$8)&gt;1.92,"ATÍPICO",ABS((I4670-$W$8)/$X$8)&lt;=1.92,"NO ATÍPICO")</f>
        <v>NO ATÍPICO</v>
      </c>
      <c r="L4670">
        <f t="shared" si="306"/>
        <v>375882.38</v>
      </c>
      <c r="M4670" t="str">
        <f t="shared" si="306"/>
        <v>ASALARIADO</v>
      </c>
      <c r="N4670">
        <f t="shared" si="307"/>
        <v>56</v>
      </c>
      <c r="O4670" s="19" t="str">
        <f t="shared" si="308"/>
        <v>300k–600k</v>
      </c>
      <c r="P4670" s="19" t="str">
        <f t="shared" si="309"/>
        <v>56+</v>
      </c>
    </row>
    <row r="4671" spans="1:16" x14ac:dyDescent="0.25">
      <c r="A4671">
        <v>4670</v>
      </c>
      <c r="B4671" t="s">
        <v>15</v>
      </c>
      <c r="C4671">
        <v>348148</v>
      </c>
      <c r="D4671" t="s">
        <v>14</v>
      </c>
      <c r="E4671" t="s">
        <v>11</v>
      </c>
      <c r="F4671" t="s">
        <v>12</v>
      </c>
      <c r="G4671" t="s">
        <v>13</v>
      </c>
      <c r="H4671" t="s">
        <v>13</v>
      </c>
      <c r="I4671">
        <v>83</v>
      </c>
      <c r="J4671" t="str" cm="1">
        <f t="array" ref="J4671">_xlfn.IFS(ISBLANK(C4671),"FALTANTE",ABS((C4671-$W$5)/$X$5)&gt;1.96,"ATÍPICO",ABS((C4671-$W$5)/$X$5)&lt;=1.96,"NO ATÍPICO")</f>
        <v>NO ATÍPICO</v>
      </c>
      <c r="K4671" t="str" cm="1">
        <f t="array" ref="K4671">_xlfn.IFS(ISBLANK(I4671),"FALTANTE",ABS((I4671-$W$8)/$X$8)&gt;1.92,"ATÍPICO",ABS((I4671-$W$8)/$X$8)&lt;=1.92,"NO ATÍPICO")</f>
        <v>ATÍPICO</v>
      </c>
      <c r="L4671">
        <f t="shared" si="306"/>
        <v>348148</v>
      </c>
      <c r="M4671" t="str">
        <f t="shared" si="306"/>
        <v>PENSIONADOS EN SU PROPIO SISTEMA</v>
      </c>
      <c r="N4671">
        <f t="shared" si="307"/>
        <v>83</v>
      </c>
      <c r="O4671" s="19" t="str">
        <f t="shared" si="308"/>
        <v>300k–600k</v>
      </c>
      <c r="P4671" s="19" t="str">
        <f t="shared" si="309"/>
        <v>56+</v>
      </c>
    </row>
    <row r="4672" spans="1:16" x14ac:dyDescent="0.25">
      <c r="A4672">
        <v>4671</v>
      </c>
      <c r="B4672" t="s">
        <v>15</v>
      </c>
      <c r="C4672">
        <v>1564419</v>
      </c>
      <c r="D4672" t="s">
        <v>10</v>
      </c>
      <c r="E4672" t="s">
        <v>16</v>
      </c>
      <c r="F4672" t="s">
        <v>12</v>
      </c>
      <c r="G4672" t="s">
        <v>13</v>
      </c>
      <c r="H4672" t="s">
        <v>13</v>
      </c>
      <c r="I4672">
        <v>43</v>
      </c>
      <c r="J4672" t="str" cm="1">
        <f t="array" ref="J4672">_xlfn.IFS(ISBLANK(C4672),"FALTANTE",ABS((C4672-$W$5)/$X$5)&gt;1.96,"ATÍPICO",ABS((C4672-$W$5)/$X$5)&lt;=1.96,"NO ATÍPICO")</f>
        <v>NO ATÍPICO</v>
      </c>
      <c r="K4672" t="str" cm="1">
        <f t="array" ref="K4672">_xlfn.IFS(ISBLANK(I4672),"FALTANTE",ABS((I4672-$W$8)/$X$8)&gt;1.92,"ATÍPICO",ABS((I4672-$W$8)/$X$8)&lt;=1.92,"NO ATÍPICO")</f>
        <v>NO ATÍPICO</v>
      </c>
      <c r="L4672">
        <f t="shared" si="306"/>
        <v>1564419</v>
      </c>
      <c r="M4672" t="str">
        <f t="shared" si="306"/>
        <v>ASALARIADO</v>
      </c>
      <c r="N4672">
        <f t="shared" si="307"/>
        <v>43</v>
      </c>
      <c r="O4672" s="19" t="str">
        <f t="shared" si="308"/>
        <v>1200k+</v>
      </c>
      <c r="P4672" s="19" t="str">
        <f t="shared" si="309"/>
        <v>36-45</v>
      </c>
    </row>
    <row r="4673" spans="1:16" x14ac:dyDescent="0.25">
      <c r="A4673">
        <v>4672</v>
      </c>
      <c r="B4673" t="s">
        <v>9</v>
      </c>
      <c r="C4673">
        <v>298054</v>
      </c>
      <c r="D4673" t="s">
        <v>17</v>
      </c>
      <c r="E4673" t="s">
        <v>16</v>
      </c>
      <c r="F4673" t="s">
        <v>13</v>
      </c>
      <c r="G4673" t="s">
        <v>13</v>
      </c>
      <c r="H4673" t="s">
        <v>12</v>
      </c>
      <c r="I4673">
        <v>28</v>
      </c>
      <c r="J4673" t="str" cm="1">
        <f t="array" ref="J4673">_xlfn.IFS(ISBLANK(C4673),"FALTANTE",ABS((C4673-$W$5)/$X$5)&gt;1.96,"ATÍPICO",ABS((C4673-$W$5)/$X$5)&lt;=1.96,"NO ATÍPICO")</f>
        <v>NO ATÍPICO</v>
      </c>
      <c r="K4673" t="str" cm="1">
        <f t="array" ref="K4673">_xlfn.IFS(ISBLANK(I4673),"FALTANTE",ABS((I4673-$W$8)/$X$8)&gt;1.92,"ATÍPICO",ABS((I4673-$W$8)/$X$8)&lt;=1.92,"NO ATÍPICO")</f>
        <v>NO ATÍPICO</v>
      </c>
      <c r="L4673">
        <f t="shared" si="306"/>
        <v>298054</v>
      </c>
      <c r="M4673" t="str">
        <f t="shared" si="306"/>
        <v>ASEGURADO VOLUNTARIO</v>
      </c>
      <c r="N4673">
        <f t="shared" si="307"/>
        <v>28</v>
      </c>
      <c r="O4673" s="19" t="str">
        <f t="shared" si="308"/>
        <v>0–300k</v>
      </c>
      <c r="P4673" s="19" t="str">
        <f t="shared" si="309"/>
        <v>26-35</v>
      </c>
    </row>
    <row r="4674" spans="1:16" x14ac:dyDescent="0.25">
      <c r="A4674">
        <v>4673</v>
      </c>
      <c r="B4674" t="s">
        <v>9</v>
      </c>
      <c r="C4674">
        <v>535643.15</v>
      </c>
      <c r="D4674" t="s">
        <v>10</v>
      </c>
      <c r="E4674" t="s">
        <v>16</v>
      </c>
      <c r="F4674" t="s">
        <v>12</v>
      </c>
      <c r="G4674" t="s">
        <v>13</v>
      </c>
      <c r="H4674" t="s">
        <v>13</v>
      </c>
      <c r="I4674">
        <v>31</v>
      </c>
      <c r="J4674" t="str" cm="1">
        <f t="array" ref="J4674">_xlfn.IFS(ISBLANK(C4674),"FALTANTE",ABS((C4674-$W$5)/$X$5)&gt;1.96,"ATÍPICO",ABS((C4674-$W$5)/$X$5)&lt;=1.96,"NO ATÍPICO")</f>
        <v>NO ATÍPICO</v>
      </c>
      <c r="K4674" t="str" cm="1">
        <f t="array" ref="K4674">_xlfn.IFS(ISBLANK(I4674),"FALTANTE",ABS((I4674-$W$8)/$X$8)&gt;1.92,"ATÍPICO",ABS((I4674-$W$8)/$X$8)&lt;=1.92,"NO ATÍPICO")</f>
        <v>NO ATÍPICO</v>
      </c>
      <c r="L4674">
        <f t="shared" ref="L4674:M4737" si="310">C4674</f>
        <v>535643.15</v>
      </c>
      <c r="M4674" t="str">
        <f t="shared" si="310"/>
        <v>ASALARIADO</v>
      </c>
      <c r="N4674">
        <f t="shared" ref="N4674:N4737" si="311">I4674</f>
        <v>31</v>
      </c>
      <c r="O4674" s="19" t="str">
        <f t="shared" ref="O4674:O4737" si="312">IF(L4674&lt;=300000,"0–300k",IF(L4674&lt;=600000,"300k–600k",IF(L4674&lt;=900000,"600k–900k",IF(L4674&lt;=1200000,"900k–1200k","1200k+"))))</f>
        <v>300k–600k</v>
      </c>
      <c r="P4674" s="19" t="str">
        <f t="shared" ref="P4674:P4737" si="313">IF(N4674 &lt;=25,"18-25", IF(N4674&lt;=35,"26-35", IF(N4674 &lt;=45,"36-45", IF(N4674&lt;=55,"46-55","56+"))))</f>
        <v>26-35</v>
      </c>
    </row>
    <row r="4675" spans="1:16" x14ac:dyDescent="0.25">
      <c r="A4675">
        <v>4674</v>
      </c>
      <c r="B4675" t="s">
        <v>9</v>
      </c>
      <c r="C4675">
        <v>835000</v>
      </c>
      <c r="D4675" t="s">
        <v>10</v>
      </c>
      <c r="E4675" t="s">
        <v>16</v>
      </c>
      <c r="F4675" t="s">
        <v>12</v>
      </c>
      <c r="G4675" t="s">
        <v>13</v>
      </c>
      <c r="H4675" t="s">
        <v>13</v>
      </c>
      <c r="I4675">
        <v>32</v>
      </c>
      <c r="J4675" t="str" cm="1">
        <f t="array" ref="J4675">_xlfn.IFS(ISBLANK(C4675),"FALTANTE",ABS((C4675-$W$5)/$X$5)&gt;1.96,"ATÍPICO",ABS((C4675-$W$5)/$X$5)&lt;=1.96,"NO ATÍPICO")</f>
        <v>NO ATÍPICO</v>
      </c>
      <c r="K4675" t="str" cm="1">
        <f t="array" ref="K4675">_xlfn.IFS(ISBLANK(I4675),"FALTANTE",ABS((I4675-$W$8)/$X$8)&gt;1.92,"ATÍPICO",ABS((I4675-$W$8)/$X$8)&lt;=1.92,"NO ATÍPICO")</f>
        <v>NO ATÍPICO</v>
      </c>
      <c r="L4675">
        <f t="shared" si="310"/>
        <v>835000</v>
      </c>
      <c r="M4675" t="str">
        <f t="shared" si="310"/>
        <v>ASALARIADO</v>
      </c>
      <c r="N4675">
        <f t="shared" si="311"/>
        <v>32</v>
      </c>
      <c r="O4675" s="19" t="str">
        <f t="shared" si="312"/>
        <v>600k–900k</v>
      </c>
      <c r="P4675" s="19" t="str">
        <f t="shared" si="313"/>
        <v>26-35</v>
      </c>
    </row>
    <row r="4676" spans="1:16" x14ac:dyDescent="0.25">
      <c r="A4676">
        <v>4675</v>
      </c>
      <c r="B4676" t="s">
        <v>15</v>
      </c>
      <c r="C4676">
        <v>297046</v>
      </c>
      <c r="D4676" t="s">
        <v>17</v>
      </c>
      <c r="E4676" t="s">
        <v>16</v>
      </c>
      <c r="F4676" t="s">
        <v>12</v>
      </c>
      <c r="G4676" t="s">
        <v>13</v>
      </c>
      <c r="H4676" t="s">
        <v>13</v>
      </c>
      <c r="I4676">
        <v>25</v>
      </c>
      <c r="J4676" t="str" cm="1">
        <f t="array" ref="J4676">_xlfn.IFS(ISBLANK(C4676),"FALTANTE",ABS((C4676-$W$5)/$X$5)&gt;1.96,"ATÍPICO",ABS((C4676-$W$5)/$X$5)&lt;=1.96,"NO ATÍPICO")</f>
        <v>NO ATÍPICO</v>
      </c>
      <c r="K4676" t="str" cm="1">
        <f t="array" ref="K4676">_xlfn.IFS(ISBLANK(I4676),"FALTANTE",ABS((I4676-$W$8)/$X$8)&gt;1.92,"ATÍPICO",ABS((I4676-$W$8)/$X$8)&lt;=1.92,"NO ATÍPICO")</f>
        <v>NO ATÍPICO</v>
      </c>
      <c r="L4676">
        <f t="shared" si="310"/>
        <v>297046</v>
      </c>
      <c r="M4676" t="str">
        <f t="shared" si="310"/>
        <v>ASEGURADO VOLUNTARIO</v>
      </c>
      <c r="N4676">
        <f t="shared" si="311"/>
        <v>25</v>
      </c>
      <c r="O4676" s="19" t="str">
        <f t="shared" si="312"/>
        <v>0–300k</v>
      </c>
      <c r="P4676" s="19" t="str">
        <f t="shared" si="313"/>
        <v>18-25</v>
      </c>
    </row>
    <row r="4677" spans="1:16" x14ac:dyDescent="0.25">
      <c r="A4677">
        <v>4676</v>
      </c>
      <c r="B4677" t="s">
        <v>9</v>
      </c>
      <c r="C4677">
        <v>185000</v>
      </c>
      <c r="D4677" t="s">
        <v>10</v>
      </c>
      <c r="E4677" t="s">
        <v>16</v>
      </c>
      <c r="F4677" t="s">
        <v>12</v>
      </c>
      <c r="G4677" t="s">
        <v>13</v>
      </c>
      <c r="H4677" t="s">
        <v>13</v>
      </c>
      <c r="I4677">
        <v>58</v>
      </c>
      <c r="J4677" t="str" cm="1">
        <f t="array" ref="J4677">_xlfn.IFS(ISBLANK(C4677),"FALTANTE",ABS((C4677-$W$5)/$X$5)&gt;1.96,"ATÍPICO",ABS((C4677-$W$5)/$X$5)&lt;=1.96,"NO ATÍPICO")</f>
        <v>NO ATÍPICO</v>
      </c>
      <c r="K4677" t="str" cm="1">
        <f t="array" ref="K4677">_xlfn.IFS(ISBLANK(I4677),"FALTANTE",ABS((I4677-$W$8)/$X$8)&gt;1.92,"ATÍPICO",ABS((I4677-$W$8)/$X$8)&lt;=1.92,"NO ATÍPICO")</f>
        <v>NO ATÍPICO</v>
      </c>
      <c r="L4677">
        <f t="shared" si="310"/>
        <v>185000</v>
      </c>
      <c r="M4677" t="str">
        <f t="shared" si="310"/>
        <v>ASALARIADO</v>
      </c>
      <c r="N4677">
        <f t="shared" si="311"/>
        <v>58</v>
      </c>
      <c r="O4677" s="19" t="str">
        <f t="shared" si="312"/>
        <v>0–300k</v>
      </c>
      <c r="P4677" s="19" t="str">
        <f t="shared" si="313"/>
        <v>56+</v>
      </c>
    </row>
    <row r="4678" spans="1:16" x14ac:dyDescent="0.25">
      <c r="A4678">
        <v>4677</v>
      </c>
      <c r="B4678" t="s">
        <v>9</v>
      </c>
      <c r="C4678">
        <v>117100.8</v>
      </c>
      <c r="D4678" t="s">
        <v>10</v>
      </c>
      <c r="E4678" t="s">
        <v>16</v>
      </c>
      <c r="F4678" t="s">
        <v>12</v>
      </c>
      <c r="G4678" t="s">
        <v>13</v>
      </c>
      <c r="H4678" t="s">
        <v>13</v>
      </c>
      <c r="I4678">
        <v>30</v>
      </c>
      <c r="J4678" t="str" cm="1">
        <f t="array" ref="J4678">_xlfn.IFS(ISBLANK(C4678),"FALTANTE",ABS((C4678-$W$5)/$X$5)&gt;1.96,"ATÍPICO",ABS((C4678-$W$5)/$X$5)&lt;=1.96,"NO ATÍPICO")</f>
        <v>NO ATÍPICO</v>
      </c>
      <c r="K4678" t="str" cm="1">
        <f t="array" ref="K4678">_xlfn.IFS(ISBLANK(I4678),"FALTANTE",ABS((I4678-$W$8)/$X$8)&gt;1.92,"ATÍPICO",ABS((I4678-$W$8)/$X$8)&lt;=1.92,"NO ATÍPICO")</f>
        <v>NO ATÍPICO</v>
      </c>
      <c r="L4678">
        <f t="shared" si="310"/>
        <v>117100.8</v>
      </c>
      <c r="M4678" t="str">
        <f t="shared" si="310"/>
        <v>ASALARIADO</v>
      </c>
      <c r="N4678">
        <f t="shared" si="311"/>
        <v>30</v>
      </c>
      <c r="O4678" s="19" t="str">
        <f t="shared" si="312"/>
        <v>0–300k</v>
      </c>
      <c r="P4678" s="19" t="str">
        <f t="shared" si="313"/>
        <v>26-35</v>
      </c>
    </row>
    <row r="4679" spans="1:16" x14ac:dyDescent="0.25">
      <c r="A4679">
        <v>4678</v>
      </c>
      <c r="B4679" t="s">
        <v>15</v>
      </c>
      <c r="C4679">
        <v>515840</v>
      </c>
      <c r="D4679" t="s">
        <v>10</v>
      </c>
      <c r="E4679" t="s">
        <v>16</v>
      </c>
      <c r="F4679" t="s">
        <v>12</v>
      </c>
      <c r="G4679" t="s">
        <v>13</v>
      </c>
      <c r="H4679" t="s">
        <v>13</v>
      </c>
      <c r="I4679">
        <v>35</v>
      </c>
      <c r="J4679" t="str" cm="1">
        <f t="array" ref="J4679">_xlfn.IFS(ISBLANK(C4679),"FALTANTE",ABS((C4679-$W$5)/$X$5)&gt;1.96,"ATÍPICO",ABS((C4679-$W$5)/$X$5)&lt;=1.96,"NO ATÍPICO")</f>
        <v>NO ATÍPICO</v>
      </c>
      <c r="K4679" t="str" cm="1">
        <f t="array" ref="K4679">_xlfn.IFS(ISBLANK(I4679),"FALTANTE",ABS((I4679-$W$8)/$X$8)&gt;1.92,"ATÍPICO",ABS((I4679-$W$8)/$X$8)&lt;=1.92,"NO ATÍPICO")</f>
        <v>NO ATÍPICO</v>
      </c>
      <c r="L4679">
        <f t="shared" si="310"/>
        <v>515840</v>
      </c>
      <c r="M4679" t="str">
        <f t="shared" si="310"/>
        <v>ASALARIADO</v>
      </c>
      <c r="N4679">
        <f t="shared" si="311"/>
        <v>35</v>
      </c>
      <c r="O4679" s="19" t="str">
        <f t="shared" si="312"/>
        <v>300k–600k</v>
      </c>
      <c r="P4679" s="19" t="str">
        <f t="shared" si="313"/>
        <v>26-35</v>
      </c>
    </row>
    <row r="4680" spans="1:16" x14ac:dyDescent="0.25">
      <c r="A4680">
        <v>4679</v>
      </c>
      <c r="B4680" t="s">
        <v>15</v>
      </c>
      <c r="C4680">
        <v>817600</v>
      </c>
      <c r="D4680" t="s">
        <v>10</v>
      </c>
      <c r="E4680" t="s">
        <v>16</v>
      </c>
      <c r="F4680" t="s">
        <v>12</v>
      </c>
      <c r="G4680" t="s">
        <v>13</v>
      </c>
      <c r="H4680" t="s">
        <v>13</v>
      </c>
      <c r="I4680">
        <v>23</v>
      </c>
      <c r="J4680" t="str" cm="1">
        <f t="array" ref="J4680">_xlfn.IFS(ISBLANK(C4680),"FALTANTE",ABS((C4680-$W$5)/$X$5)&gt;1.96,"ATÍPICO",ABS((C4680-$W$5)/$X$5)&lt;=1.96,"NO ATÍPICO")</f>
        <v>NO ATÍPICO</v>
      </c>
      <c r="K4680" t="str" cm="1">
        <f t="array" ref="K4680">_xlfn.IFS(ISBLANK(I4680),"FALTANTE",ABS((I4680-$W$8)/$X$8)&gt;1.92,"ATÍPICO",ABS((I4680-$W$8)/$X$8)&lt;=1.92,"NO ATÍPICO")</f>
        <v>NO ATÍPICO</v>
      </c>
      <c r="L4680">
        <f t="shared" si="310"/>
        <v>817600</v>
      </c>
      <c r="M4680" t="str">
        <f t="shared" si="310"/>
        <v>ASALARIADO</v>
      </c>
      <c r="N4680">
        <f t="shared" si="311"/>
        <v>23</v>
      </c>
      <c r="O4680" s="19" t="str">
        <f t="shared" si="312"/>
        <v>600k–900k</v>
      </c>
      <c r="P4680" s="19" t="str">
        <f t="shared" si="313"/>
        <v>18-25</v>
      </c>
    </row>
    <row r="4681" spans="1:16" x14ac:dyDescent="0.25">
      <c r="A4681">
        <v>4680</v>
      </c>
      <c r="B4681" t="s">
        <v>9</v>
      </c>
      <c r="C4681">
        <v>424222</v>
      </c>
      <c r="D4681" t="s">
        <v>10</v>
      </c>
      <c r="E4681" t="s">
        <v>16</v>
      </c>
      <c r="F4681" t="s">
        <v>12</v>
      </c>
      <c r="G4681" t="s">
        <v>13</v>
      </c>
      <c r="H4681" t="s">
        <v>13</v>
      </c>
      <c r="I4681">
        <v>59</v>
      </c>
      <c r="J4681" t="str" cm="1">
        <f t="array" ref="J4681">_xlfn.IFS(ISBLANK(C4681),"FALTANTE",ABS((C4681-$W$5)/$X$5)&gt;1.96,"ATÍPICO",ABS((C4681-$W$5)/$X$5)&lt;=1.96,"NO ATÍPICO")</f>
        <v>NO ATÍPICO</v>
      </c>
      <c r="K4681" t="str" cm="1">
        <f t="array" ref="K4681">_xlfn.IFS(ISBLANK(I4681),"FALTANTE",ABS((I4681-$W$8)/$X$8)&gt;1.92,"ATÍPICO",ABS((I4681-$W$8)/$X$8)&lt;=1.92,"NO ATÍPICO")</f>
        <v>NO ATÍPICO</v>
      </c>
      <c r="L4681">
        <f t="shared" si="310"/>
        <v>424222</v>
      </c>
      <c r="M4681" t="str">
        <f t="shared" si="310"/>
        <v>ASALARIADO</v>
      </c>
      <c r="N4681">
        <f t="shared" si="311"/>
        <v>59</v>
      </c>
      <c r="O4681" s="19" t="str">
        <f t="shared" si="312"/>
        <v>300k–600k</v>
      </c>
      <c r="P4681" s="19" t="str">
        <f t="shared" si="313"/>
        <v>56+</v>
      </c>
    </row>
    <row r="4682" spans="1:16" x14ac:dyDescent="0.25">
      <c r="A4682">
        <v>4681</v>
      </c>
      <c r="B4682" t="s">
        <v>9</v>
      </c>
      <c r="C4682">
        <v>298548</v>
      </c>
      <c r="D4682" t="s">
        <v>19</v>
      </c>
      <c r="E4682" t="s">
        <v>16</v>
      </c>
      <c r="F4682" t="s">
        <v>12</v>
      </c>
      <c r="G4682" t="s">
        <v>13</v>
      </c>
      <c r="H4682" t="s">
        <v>13</v>
      </c>
      <c r="I4682">
        <v>60</v>
      </c>
      <c r="J4682" t="str" cm="1">
        <f t="array" ref="J4682">_xlfn.IFS(ISBLANK(C4682),"FALTANTE",ABS((C4682-$W$5)/$X$5)&gt;1.96,"ATÍPICO",ABS((C4682-$W$5)/$X$5)&lt;=1.96,"NO ATÍPICO")</f>
        <v>NO ATÍPICO</v>
      </c>
      <c r="K4682" t="str" cm="1">
        <f t="array" ref="K4682">_xlfn.IFS(ISBLANK(I4682),"FALTANTE",ABS((I4682-$W$8)/$X$8)&gt;1.92,"ATÍPICO",ABS((I4682-$W$8)/$X$8)&lt;=1.92,"NO ATÍPICO")</f>
        <v>NO ATÍPICO</v>
      </c>
      <c r="L4682">
        <f t="shared" si="310"/>
        <v>298548</v>
      </c>
      <c r="M4682" t="str">
        <f t="shared" si="310"/>
        <v>CONVENIOS ESPECIALES DE TRABAJADORES INDEPENDIENTES</v>
      </c>
      <c r="N4682">
        <f t="shared" si="311"/>
        <v>60</v>
      </c>
      <c r="O4682" s="19" t="str">
        <f t="shared" si="312"/>
        <v>0–300k</v>
      </c>
      <c r="P4682" s="19" t="str">
        <f t="shared" si="313"/>
        <v>56+</v>
      </c>
    </row>
    <row r="4683" spans="1:16" x14ac:dyDescent="0.25">
      <c r="A4683">
        <v>4682</v>
      </c>
      <c r="B4683" t="s">
        <v>9</v>
      </c>
      <c r="C4683">
        <v>408978.27</v>
      </c>
      <c r="D4683" t="s">
        <v>10</v>
      </c>
      <c r="E4683" t="s">
        <v>16</v>
      </c>
      <c r="F4683" t="s">
        <v>12</v>
      </c>
      <c r="G4683" t="s">
        <v>12</v>
      </c>
      <c r="H4683" t="s">
        <v>13</v>
      </c>
      <c r="I4683">
        <v>27</v>
      </c>
      <c r="J4683" t="str" cm="1">
        <f t="array" ref="J4683">_xlfn.IFS(ISBLANK(C4683),"FALTANTE",ABS((C4683-$W$5)/$X$5)&gt;1.96,"ATÍPICO",ABS((C4683-$W$5)/$X$5)&lt;=1.96,"NO ATÍPICO")</f>
        <v>NO ATÍPICO</v>
      </c>
      <c r="K4683" t="str" cm="1">
        <f t="array" ref="K4683">_xlfn.IFS(ISBLANK(I4683),"FALTANTE",ABS((I4683-$W$8)/$X$8)&gt;1.92,"ATÍPICO",ABS((I4683-$W$8)/$X$8)&lt;=1.92,"NO ATÍPICO")</f>
        <v>NO ATÍPICO</v>
      </c>
      <c r="L4683">
        <f t="shared" si="310"/>
        <v>408978.27</v>
      </c>
      <c r="M4683" t="str">
        <f t="shared" si="310"/>
        <v>ASALARIADO</v>
      </c>
      <c r="N4683">
        <f t="shared" si="311"/>
        <v>27</v>
      </c>
      <c r="O4683" s="19" t="str">
        <f t="shared" si="312"/>
        <v>300k–600k</v>
      </c>
      <c r="P4683" s="19" t="str">
        <f t="shared" si="313"/>
        <v>26-35</v>
      </c>
    </row>
    <row r="4684" spans="1:16" x14ac:dyDescent="0.25">
      <c r="A4684">
        <v>4683</v>
      </c>
      <c r="B4684" t="s">
        <v>9</v>
      </c>
      <c r="C4684">
        <v>445000</v>
      </c>
      <c r="D4684" t="s">
        <v>10</v>
      </c>
      <c r="E4684" t="s">
        <v>16</v>
      </c>
      <c r="F4684" t="s">
        <v>12</v>
      </c>
      <c r="G4684" t="s">
        <v>12</v>
      </c>
      <c r="H4684" t="s">
        <v>13</v>
      </c>
      <c r="I4684">
        <v>34</v>
      </c>
      <c r="J4684" t="str" cm="1">
        <f t="array" ref="J4684">_xlfn.IFS(ISBLANK(C4684),"FALTANTE",ABS((C4684-$W$5)/$X$5)&gt;1.96,"ATÍPICO",ABS((C4684-$W$5)/$X$5)&lt;=1.96,"NO ATÍPICO")</f>
        <v>NO ATÍPICO</v>
      </c>
      <c r="K4684" t="str" cm="1">
        <f t="array" ref="K4684">_xlfn.IFS(ISBLANK(I4684),"FALTANTE",ABS((I4684-$W$8)/$X$8)&gt;1.92,"ATÍPICO",ABS((I4684-$W$8)/$X$8)&lt;=1.92,"NO ATÍPICO")</f>
        <v>NO ATÍPICO</v>
      </c>
      <c r="L4684">
        <f t="shared" si="310"/>
        <v>445000</v>
      </c>
      <c r="M4684" t="str">
        <f t="shared" si="310"/>
        <v>ASALARIADO</v>
      </c>
      <c r="N4684">
        <f t="shared" si="311"/>
        <v>34</v>
      </c>
      <c r="O4684" s="19" t="str">
        <f t="shared" si="312"/>
        <v>300k–600k</v>
      </c>
      <c r="P4684" s="19" t="str">
        <f t="shared" si="313"/>
        <v>26-35</v>
      </c>
    </row>
    <row r="4685" spans="1:16" x14ac:dyDescent="0.25">
      <c r="A4685">
        <v>4684</v>
      </c>
      <c r="B4685" t="s">
        <v>9</v>
      </c>
      <c r="C4685">
        <v>534683</v>
      </c>
      <c r="D4685" t="s">
        <v>18</v>
      </c>
      <c r="E4685" t="s">
        <v>16</v>
      </c>
      <c r="F4685" t="s">
        <v>12</v>
      </c>
      <c r="G4685" t="s">
        <v>13</v>
      </c>
      <c r="H4685" t="s">
        <v>12</v>
      </c>
      <c r="I4685">
        <v>62</v>
      </c>
      <c r="J4685" t="str" cm="1">
        <f t="array" ref="J4685">_xlfn.IFS(ISBLANK(C4685),"FALTANTE",ABS((C4685-$W$5)/$X$5)&gt;1.96,"ATÍPICO",ABS((C4685-$W$5)/$X$5)&lt;=1.96,"NO ATÍPICO")</f>
        <v>NO ATÍPICO</v>
      </c>
      <c r="K4685" t="str" cm="1">
        <f t="array" ref="K4685">_xlfn.IFS(ISBLANK(I4685),"FALTANTE",ABS((I4685-$W$8)/$X$8)&gt;1.92,"ATÍPICO",ABS((I4685-$W$8)/$X$8)&lt;=1.92,"NO ATÍPICO")</f>
        <v>NO ATÍPICO</v>
      </c>
      <c r="L4685">
        <f t="shared" si="310"/>
        <v>534683</v>
      </c>
      <c r="M4685" t="str">
        <f t="shared" si="310"/>
        <v>TRABAJADOR INDEPENDIENTE</v>
      </c>
      <c r="N4685">
        <f t="shared" si="311"/>
        <v>62</v>
      </c>
      <c r="O4685" s="19" t="str">
        <f t="shared" si="312"/>
        <v>300k–600k</v>
      </c>
      <c r="P4685" s="19" t="str">
        <f t="shared" si="313"/>
        <v>56+</v>
      </c>
    </row>
    <row r="4686" spans="1:16" x14ac:dyDescent="0.25">
      <c r="A4686">
        <v>4685</v>
      </c>
      <c r="B4686" t="s">
        <v>15</v>
      </c>
      <c r="C4686">
        <v>544761.14</v>
      </c>
      <c r="D4686" t="s">
        <v>10</v>
      </c>
      <c r="E4686" t="s">
        <v>16</v>
      </c>
      <c r="F4686" t="s">
        <v>12</v>
      </c>
      <c r="G4686" t="s">
        <v>13</v>
      </c>
      <c r="H4686" t="s">
        <v>13</v>
      </c>
      <c r="I4686">
        <v>35</v>
      </c>
      <c r="J4686" t="str" cm="1">
        <f t="array" ref="J4686">_xlfn.IFS(ISBLANK(C4686),"FALTANTE",ABS((C4686-$W$5)/$X$5)&gt;1.96,"ATÍPICO",ABS((C4686-$W$5)/$X$5)&lt;=1.96,"NO ATÍPICO")</f>
        <v>NO ATÍPICO</v>
      </c>
      <c r="K4686" t="str" cm="1">
        <f t="array" ref="K4686">_xlfn.IFS(ISBLANK(I4686),"FALTANTE",ABS((I4686-$W$8)/$X$8)&gt;1.92,"ATÍPICO",ABS((I4686-$W$8)/$X$8)&lt;=1.92,"NO ATÍPICO")</f>
        <v>NO ATÍPICO</v>
      </c>
      <c r="L4686">
        <f t="shared" si="310"/>
        <v>544761.14</v>
      </c>
      <c r="M4686" t="str">
        <f t="shared" si="310"/>
        <v>ASALARIADO</v>
      </c>
      <c r="N4686">
        <f t="shared" si="311"/>
        <v>35</v>
      </c>
      <c r="O4686" s="19" t="str">
        <f t="shared" si="312"/>
        <v>300k–600k</v>
      </c>
      <c r="P4686" s="19" t="str">
        <f t="shared" si="313"/>
        <v>26-35</v>
      </c>
    </row>
    <row r="4687" spans="1:16" x14ac:dyDescent="0.25">
      <c r="A4687">
        <v>4686</v>
      </c>
      <c r="B4687" t="s">
        <v>15</v>
      </c>
      <c r="C4687">
        <v>360000</v>
      </c>
      <c r="D4687" t="s">
        <v>10</v>
      </c>
      <c r="E4687" t="s">
        <v>16</v>
      </c>
      <c r="F4687" t="s">
        <v>12</v>
      </c>
      <c r="G4687" t="s">
        <v>13</v>
      </c>
      <c r="H4687" t="s">
        <v>13</v>
      </c>
      <c r="I4687">
        <v>27</v>
      </c>
      <c r="J4687" t="str" cm="1">
        <f t="array" ref="J4687">_xlfn.IFS(ISBLANK(C4687),"FALTANTE",ABS((C4687-$W$5)/$X$5)&gt;1.96,"ATÍPICO",ABS((C4687-$W$5)/$X$5)&lt;=1.96,"NO ATÍPICO")</f>
        <v>NO ATÍPICO</v>
      </c>
      <c r="K4687" t="str" cm="1">
        <f t="array" ref="K4687">_xlfn.IFS(ISBLANK(I4687),"FALTANTE",ABS((I4687-$W$8)/$X$8)&gt;1.92,"ATÍPICO",ABS((I4687-$W$8)/$X$8)&lt;=1.92,"NO ATÍPICO")</f>
        <v>NO ATÍPICO</v>
      </c>
      <c r="L4687">
        <f t="shared" si="310"/>
        <v>360000</v>
      </c>
      <c r="M4687" t="str">
        <f t="shared" si="310"/>
        <v>ASALARIADO</v>
      </c>
      <c r="N4687">
        <f t="shared" si="311"/>
        <v>27</v>
      </c>
      <c r="O4687" s="19" t="str">
        <f t="shared" si="312"/>
        <v>300k–600k</v>
      </c>
      <c r="P4687" s="19" t="str">
        <f t="shared" si="313"/>
        <v>26-35</v>
      </c>
    </row>
    <row r="4688" spans="1:16" x14ac:dyDescent="0.25">
      <c r="A4688">
        <v>4687</v>
      </c>
      <c r="B4688" t="s">
        <v>9</v>
      </c>
      <c r="C4688">
        <v>339594</v>
      </c>
      <c r="D4688" t="s">
        <v>10</v>
      </c>
      <c r="E4688" t="s">
        <v>16</v>
      </c>
      <c r="F4688" t="s">
        <v>12</v>
      </c>
      <c r="G4688" t="s">
        <v>13</v>
      </c>
      <c r="H4688" t="s">
        <v>13</v>
      </c>
      <c r="I4688">
        <v>24</v>
      </c>
      <c r="J4688" t="str" cm="1">
        <f t="array" ref="J4688">_xlfn.IFS(ISBLANK(C4688),"FALTANTE",ABS((C4688-$W$5)/$X$5)&gt;1.96,"ATÍPICO",ABS((C4688-$W$5)/$X$5)&lt;=1.96,"NO ATÍPICO")</f>
        <v>NO ATÍPICO</v>
      </c>
      <c r="K4688" t="str" cm="1">
        <f t="array" ref="K4688">_xlfn.IFS(ISBLANK(I4688),"FALTANTE",ABS((I4688-$W$8)/$X$8)&gt;1.92,"ATÍPICO",ABS((I4688-$W$8)/$X$8)&lt;=1.92,"NO ATÍPICO")</f>
        <v>NO ATÍPICO</v>
      </c>
      <c r="L4688">
        <f t="shared" si="310"/>
        <v>339594</v>
      </c>
      <c r="M4688" t="str">
        <f t="shared" si="310"/>
        <v>ASALARIADO</v>
      </c>
      <c r="N4688">
        <f t="shared" si="311"/>
        <v>24</v>
      </c>
      <c r="O4688" s="19" t="str">
        <f t="shared" si="312"/>
        <v>300k–600k</v>
      </c>
      <c r="P4688" s="19" t="str">
        <f t="shared" si="313"/>
        <v>18-25</v>
      </c>
    </row>
    <row r="4689" spans="1:16" x14ac:dyDescent="0.25">
      <c r="A4689">
        <v>4688</v>
      </c>
      <c r="B4689" t="s">
        <v>15</v>
      </c>
      <c r="C4689">
        <v>608956</v>
      </c>
      <c r="D4689" t="s">
        <v>10</v>
      </c>
      <c r="E4689" t="s">
        <v>16</v>
      </c>
      <c r="F4689" t="s">
        <v>12</v>
      </c>
      <c r="G4689" t="s">
        <v>13</v>
      </c>
      <c r="H4689" t="s">
        <v>13</v>
      </c>
      <c r="I4689">
        <v>35</v>
      </c>
      <c r="J4689" t="str" cm="1">
        <f t="array" ref="J4689">_xlfn.IFS(ISBLANK(C4689),"FALTANTE",ABS((C4689-$W$5)/$X$5)&gt;1.96,"ATÍPICO",ABS((C4689-$W$5)/$X$5)&lt;=1.96,"NO ATÍPICO")</f>
        <v>NO ATÍPICO</v>
      </c>
      <c r="K4689" t="str" cm="1">
        <f t="array" ref="K4689">_xlfn.IFS(ISBLANK(I4689),"FALTANTE",ABS((I4689-$W$8)/$X$8)&gt;1.92,"ATÍPICO",ABS((I4689-$W$8)/$X$8)&lt;=1.92,"NO ATÍPICO")</f>
        <v>NO ATÍPICO</v>
      </c>
      <c r="L4689">
        <f t="shared" si="310"/>
        <v>608956</v>
      </c>
      <c r="M4689" t="str">
        <f t="shared" si="310"/>
        <v>ASALARIADO</v>
      </c>
      <c r="N4689">
        <f t="shared" si="311"/>
        <v>35</v>
      </c>
      <c r="O4689" s="19" t="str">
        <f t="shared" si="312"/>
        <v>600k–900k</v>
      </c>
      <c r="P4689" s="19" t="str">
        <f t="shared" si="313"/>
        <v>26-35</v>
      </c>
    </row>
    <row r="4690" spans="1:16" x14ac:dyDescent="0.25">
      <c r="A4690">
        <v>4689</v>
      </c>
      <c r="B4690" t="s">
        <v>15</v>
      </c>
      <c r="C4690">
        <v>149134.75</v>
      </c>
      <c r="D4690" t="s">
        <v>10</v>
      </c>
      <c r="E4690" t="s">
        <v>16</v>
      </c>
      <c r="F4690" t="s">
        <v>12</v>
      </c>
      <c r="G4690" t="s">
        <v>13</v>
      </c>
      <c r="H4690" t="s">
        <v>13</v>
      </c>
      <c r="I4690">
        <v>44</v>
      </c>
      <c r="J4690" t="str" cm="1">
        <f t="array" ref="J4690">_xlfn.IFS(ISBLANK(C4690),"FALTANTE",ABS((C4690-$W$5)/$X$5)&gt;1.96,"ATÍPICO",ABS((C4690-$W$5)/$X$5)&lt;=1.96,"NO ATÍPICO")</f>
        <v>NO ATÍPICO</v>
      </c>
      <c r="K4690" t="str" cm="1">
        <f t="array" ref="K4690">_xlfn.IFS(ISBLANK(I4690),"FALTANTE",ABS((I4690-$W$8)/$X$8)&gt;1.92,"ATÍPICO",ABS((I4690-$W$8)/$X$8)&lt;=1.92,"NO ATÍPICO")</f>
        <v>NO ATÍPICO</v>
      </c>
      <c r="L4690">
        <f t="shared" si="310"/>
        <v>149134.75</v>
      </c>
      <c r="M4690" t="str">
        <f t="shared" si="310"/>
        <v>ASALARIADO</v>
      </c>
      <c r="N4690">
        <f t="shared" si="311"/>
        <v>44</v>
      </c>
      <c r="O4690" s="19" t="str">
        <f t="shared" si="312"/>
        <v>0–300k</v>
      </c>
      <c r="P4690" s="19" t="str">
        <f t="shared" si="313"/>
        <v>36-45</v>
      </c>
    </row>
    <row r="4691" spans="1:16" x14ac:dyDescent="0.25">
      <c r="A4691">
        <v>4690</v>
      </c>
      <c r="B4691" t="s">
        <v>9</v>
      </c>
      <c r="C4691">
        <v>603283.5</v>
      </c>
      <c r="D4691" t="s">
        <v>10</v>
      </c>
      <c r="E4691" t="s">
        <v>11</v>
      </c>
      <c r="F4691" t="s">
        <v>12</v>
      </c>
      <c r="G4691" t="s">
        <v>13</v>
      </c>
      <c r="H4691" t="s">
        <v>13</v>
      </c>
      <c r="I4691">
        <v>30</v>
      </c>
      <c r="J4691" t="str" cm="1">
        <f t="array" ref="J4691">_xlfn.IFS(ISBLANK(C4691),"FALTANTE",ABS((C4691-$W$5)/$X$5)&gt;1.96,"ATÍPICO",ABS((C4691-$W$5)/$X$5)&lt;=1.96,"NO ATÍPICO")</f>
        <v>NO ATÍPICO</v>
      </c>
      <c r="K4691" t="str" cm="1">
        <f t="array" ref="K4691">_xlfn.IFS(ISBLANK(I4691),"FALTANTE",ABS((I4691-$W$8)/$X$8)&gt;1.92,"ATÍPICO",ABS((I4691-$W$8)/$X$8)&lt;=1.92,"NO ATÍPICO")</f>
        <v>NO ATÍPICO</v>
      </c>
      <c r="L4691">
        <f t="shared" si="310"/>
        <v>603283.5</v>
      </c>
      <c r="M4691" t="str">
        <f t="shared" si="310"/>
        <v>ASALARIADO</v>
      </c>
      <c r="N4691">
        <f t="shared" si="311"/>
        <v>30</v>
      </c>
      <c r="O4691" s="19" t="str">
        <f t="shared" si="312"/>
        <v>600k–900k</v>
      </c>
      <c r="P4691" s="19" t="str">
        <f t="shared" si="313"/>
        <v>26-35</v>
      </c>
    </row>
    <row r="4692" spans="1:16" x14ac:dyDescent="0.25">
      <c r="A4692">
        <v>4691</v>
      </c>
      <c r="B4692" t="s">
        <v>9</v>
      </c>
      <c r="C4692">
        <v>897359.35999999999</v>
      </c>
      <c r="D4692" t="s">
        <v>10</v>
      </c>
      <c r="E4692" t="s">
        <v>16</v>
      </c>
      <c r="F4692" t="s">
        <v>12</v>
      </c>
      <c r="G4692" t="s">
        <v>13</v>
      </c>
      <c r="H4692" t="s">
        <v>13</v>
      </c>
      <c r="I4692">
        <v>23</v>
      </c>
      <c r="J4692" t="str" cm="1">
        <f t="array" ref="J4692">_xlfn.IFS(ISBLANK(C4692),"FALTANTE",ABS((C4692-$W$5)/$X$5)&gt;1.96,"ATÍPICO",ABS((C4692-$W$5)/$X$5)&lt;=1.96,"NO ATÍPICO")</f>
        <v>NO ATÍPICO</v>
      </c>
      <c r="K4692" t="str" cm="1">
        <f t="array" ref="K4692">_xlfn.IFS(ISBLANK(I4692),"FALTANTE",ABS((I4692-$W$8)/$X$8)&gt;1.92,"ATÍPICO",ABS((I4692-$W$8)/$X$8)&lt;=1.92,"NO ATÍPICO")</f>
        <v>NO ATÍPICO</v>
      </c>
      <c r="L4692">
        <f t="shared" si="310"/>
        <v>897359.35999999999</v>
      </c>
      <c r="M4692" t="str">
        <f t="shared" si="310"/>
        <v>ASALARIADO</v>
      </c>
      <c r="N4692">
        <f t="shared" si="311"/>
        <v>23</v>
      </c>
      <c r="O4692" s="19" t="str">
        <f t="shared" si="312"/>
        <v>600k–900k</v>
      </c>
      <c r="P4692" s="19" t="str">
        <f t="shared" si="313"/>
        <v>18-25</v>
      </c>
    </row>
    <row r="4693" spans="1:16" x14ac:dyDescent="0.25">
      <c r="A4693">
        <v>4692</v>
      </c>
      <c r="B4693" t="s">
        <v>15</v>
      </c>
      <c r="C4693">
        <v>297046</v>
      </c>
      <c r="D4693" t="s">
        <v>17</v>
      </c>
      <c r="E4693" t="s">
        <v>16</v>
      </c>
      <c r="F4693" t="s">
        <v>12</v>
      </c>
      <c r="G4693" t="s">
        <v>13</v>
      </c>
      <c r="H4693" t="s">
        <v>13</v>
      </c>
      <c r="I4693">
        <v>48</v>
      </c>
      <c r="J4693" t="str" cm="1">
        <f t="array" ref="J4693">_xlfn.IFS(ISBLANK(C4693),"FALTANTE",ABS((C4693-$W$5)/$X$5)&gt;1.96,"ATÍPICO",ABS((C4693-$W$5)/$X$5)&lt;=1.96,"NO ATÍPICO")</f>
        <v>NO ATÍPICO</v>
      </c>
      <c r="K4693" t="str" cm="1">
        <f t="array" ref="K4693">_xlfn.IFS(ISBLANK(I4693),"FALTANTE",ABS((I4693-$W$8)/$X$8)&gt;1.92,"ATÍPICO",ABS((I4693-$W$8)/$X$8)&lt;=1.92,"NO ATÍPICO")</f>
        <v>NO ATÍPICO</v>
      </c>
      <c r="L4693">
        <f t="shared" si="310"/>
        <v>297046</v>
      </c>
      <c r="M4693" t="str">
        <f t="shared" si="310"/>
        <v>ASEGURADO VOLUNTARIO</v>
      </c>
      <c r="N4693">
        <f t="shared" si="311"/>
        <v>48</v>
      </c>
      <c r="O4693" s="19" t="str">
        <f t="shared" si="312"/>
        <v>0–300k</v>
      </c>
      <c r="P4693" s="19" t="str">
        <f t="shared" si="313"/>
        <v>46-55</v>
      </c>
    </row>
    <row r="4694" spans="1:16" x14ac:dyDescent="0.25">
      <c r="A4694">
        <v>4693</v>
      </c>
      <c r="B4694" t="s">
        <v>15</v>
      </c>
      <c r="C4694">
        <v>883830.32</v>
      </c>
      <c r="D4694" t="s">
        <v>10</v>
      </c>
      <c r="E4694" t="s">
        <v>11</v>
      </c>
      <c r="F4694" t="s">
        <v>12</v>
      </c>
      <c r="G4694" t="s">
        <v>13</v>
      </c>
      <c r="H4694" t="s">
        <v>13</v>
      </c>
      <c r="I4694">
        <v>40</v>
      </c>
      <c r="J4694" t="str" cm="1">
        <f t="array" ref="J4694">_xlfn.IFS(ISBLANK(C4694),"FALTANTE",ABS((C4694-$W$5)/$X$5)&gt;1.96,"ATÍPICO",ABS((C4694-$W$5)/$X$5)&lt;=1.96,"NO ATÍPICO")</f>
        <v>NO ATÍPICO</v>
      </c>
      <c r="K4694" t="str" cm="1">
        <f t="array" ref="K4694">_xlfn.IFS(ISBLANK(I4694),"FALTANTE",ABS((I4694-$W$8)/$X$8)&gt;1.92,"ATÍPICO",ABS((I4694-$W$8)/$X$8)&lt;=1.92,"NO ATÍPICO")</f>
        <v>NO ATÍPICO</v>
      </c>
      <c r="L4694">
        <f t="shared" si="310"/>
        <v>883830.32</v>
      </c>
      <c r="M4694" t="str">
        <f t="shared" si="310"/>
        <v>ASALARIADO</v>
      </c>
      <c r="N4694">
        <f t="shared" si="311"/>
        <v>40</v>
      </c>
      <c r="O4694" s="19" t="str">
        <f t="shared" si="312"/>
        <v>600k–900k</v>
      </c>
      <c r="P4694" s="19" t="str">
        <f t="shared" si="313"/>
        <v>36-45</v>
      </c>
    </row>
    <row r="4695" spans="1:16" x14ac:dyDescent="0.25">
      <c r="A4695">
        <v>4694</v>
      </c>
      <c r="B4695" t="s">
        <v>9</v>
      </c>
      <c r="C4695">
        <v>8962309</v>
      </c>
      <c r="D4695" t="s">
        <v>14</v>
      </c>
      <c r="E4695" t="s">
        <v>11</v>
      </c>
      <c r="F4695" t="s">
        <v>12</v>
      </c>
      <c r="G4695" t="s">
        <v>13</v>
      </c>
      <c r="H4695" t="s">
        <v>13</v>
      </c>
      <c r="I4695">
        <v>68</v>
      </c>
      <c r="J4695" t="str" cm="1">
        <f t="array" ref="J4695">_xlfn.IFS(ISBLANK(C4695),"FALTANTE",ABS((C4695-$W$5)/$X$5)&gt;1.96,"ATÍPICO",ABS((C4695-$W$5)/$X$5)&lt;=1.96,"NO ATÍPICO")</f>
        <v>ATÍPICO</v>
      </c>
      <c r="K4695" t="str" cm="1">
        <f t="array" ref="K4695">_xlfn.IFS(ISBLANK(I4695),"FALTANTE",ABS((I4695-$W$8)/$X$8)&gt;1.92,"ATÍPICO",ABS((I4695-$W$8)/$X$8)&lt;=1.92,"NO ATÍPICO")</f>
        <v>NO ATÍPICO</v>
      </c>
      <c r="L4695">
        <f t="shared" si="310"/>
        <v>8962309</v>
      </c>
      <c r="M4695" t="str">
        <f t="shared" si="310"/>
        <v>PENSIONADOS EN SU PROPIO SISTEMA</v>
      </c>
      <c r="N4695">
        <f t="shared" si="311"/>
        <v>68</v>
      </c>
      <c r="O4695" s="19" t="str">
        <f t="shared" si="312"/>
        <v>1200k+</v>
      </c>
      <c r="P4695" s="19" t="str">
        <f t="shared" si="313"/>
        <v>56+</v>
      </c>
    </row>
    <row r="4696" spans="1:16" x14ac:dyDescent="0.25">
      <c r="A4696">
        <v>4695</v>
      </c>
      <c r="B4696" t="s">
        <v>9</v>
      </c>
      <c r="C4696">
        <v>297046</v>
      </c>
      <c r="D4696" t="s">
        <v>17</v>
      </c>
      <c r="E4696" t="s">
        <v>16</v>
      </c>
      <c r="F4696" t="s">
        <v>12</v>
      </c>
      <c r="G4696" t="s">
        <v>13</v>
      </c>
      <c r="H4696" t="s">
        <v>12</v>
      </c>
      <c r="I4696">
        <v>54</v>
      </c>
      <c r="J4696" t="str" cm="1">
        <f t="array" ref="J4696">_xlfn.IFS(ISBLANK(C4696),"FALTANTE",ABS((C4696-$W$5)/$X$5)&gt;1.96,"ATÍPICO",ABS((C4696-$W$5)/$X$5)&lt;=1.96,"NO ATÍPICO")</f>
        <v>NO ATÍPICO</v>
      </c>
      <c r="K4696" t="str" cm="1">
        <f t="array" ref="K4696">_xlfn.IFS(ISBLANK(I4696),"FALTANTE",ABS((I4696-$W$8)/$X$8)&gt;1.92,"ATÍPICO",ABS((I4696-$W$8)/$X$8)&lt;=1.92,"NO ATÍPICO")</f>
        <v>NO ATÍPICO</v>
      </c>
      <c r="L4696">
        <f t="shared" si="310"/>
        <v>297046</v>
      </c>
      <c r="M4696" t="str">
        <f t="shared" si="310"/>
        <v>ASEGURADO VOLUNTARIO</v>
      </c>
      <c r="N4696">
        <f t="shared" si="311"/>
        <v>54</v>
      </c>
      <c r="O4696" s="19" t="str">
        <f t="shared" si="312"/>
        <v>0–300k</v>
      </c>
      <c r="P4696" s="19" t="str">
        <f t="shared" si="313"/>
        <v>46-55</v>
      </c>
    </row>
    <row r="4697" spans="1:16" x14ac:dyDescent="0.25">
      <c r="A4697">
        <v>4696</v>
      </c>
      <c r="B4697" t="s">
        <v>9</v>
      </c>
      <c r="C4697">
        <v>432301.35</v>
      </c>
      <c r="D4697" t="s">
        <v>10</v>
      </c>
      <c r="E4697" t="s">
        <v>16</v>
      </c>
      <c r="F4697" t="s">
        <v>12</v>
      </c>
      <c r="G4697" t="s">
        <v>13</v>
      </c>
      <c r="H4697" t="s">
        <v>13</v>
      </c>
      <c r="I4697">
        <v>30</v>
      </c>
      <c r="J4697" t="str" cm="1">
        <f t="array" ref="J4697">_xlfn.IFS(ISBLANK(C4697),"FALTANTE",ABS((C4697-$W$5)/$X$5)&gt;1.96,"ATÍPICO",ABS((C4697-$W$5)/$X$5)&lt;=1.96,"NO ATÍPICO")</f>
        <v>NO ATÍPICO</v>
      </c>
      <c r="K4697" t="str" cm="1">
        <f t="array" ref="K4697">_xlfn.IFS(ISBLANK(I4697),"FALTANTE",ABS((I4697-$W$8)/$X$8)&gt;1.92,"ATÍPICO",ABS((I4697-$W$8)/$X$8)&lt;=1.92,"NO ATÍPICO")</f>
        <v>NO ATÍPICO</v>
      </c>
      <c r="L4697">
        <f t="shared" si="310"/>
        <v>432301.35</v>
      </c>
      <c r="M4697" t="str">
        <f t="shared" si="310"/>
        <v>ASALARIADO</v>
      </c>
      <c r="N4697">
        <f t="shared" si="311"/>
        <v>30</v>
      </c>
      <c r="O4697" s="19" t="str">
        <f t="shared" si="312"/>
        <v>300k–600k</v>
      </c>
      <c r="P4697" s="19" t="str">
        <f t="shared" si="313"/>
        <v>26-35</v>
      </c>
    </row>
    <row r="4698" spans="1:16" x14ac:dyDescent="0.25">
      <c r="A4698">
        <v>4697</v>
      </c>
      <c r="B4698" t="s">
        <v>9</v>
      </c>
      <c r="C4698">
        <v>578941.44999999995</v>
      </c>
      <c r="D4698" t="s">
        <v>10</v>
      </c>
      <c r="E4698" t="s">
        <v>16</v>
      </c>
      <c r="F4698" t="s">
        <v>12</v>
      </c>
      <c r="G4698" t="s">
        <v>13</v>
      </c>
      <c r="H4698" t="s">
        <v>13</v>
      </c>
      <c r="I4698">
        <v>23</v>
      </c>
      <c r="J4698" t="str" cm="1">
        <f t="array" ref="J4698">_xlfn.IFS(ISBLANK(C4698),"FALTANTE",ABS((C4698-$W$5)/$X$5)&gt;1.96,"ATÍPICO",ABS((C4698-$W$5)/$X$5)&lt;=1.96,"NO ATÍPICO")</f>
        <v>NO ATÍPICO</v>
      </c>
      <c r="K4698" t="str" cm="1">
        <f t="array" ref="K4698">_xlfn.IFS(ISBLANK(I4698),"FALTANTE",ABS((I4698-$W$8)/$X$8)&gt;1.92,"ATÍPICO",ABS((I4698-$W$8)/$X$8)&lt;=1.92,"NO ATÍPICO")</f>
        <v>NO ATÍPICO</v>
      </c>
      <c r="L4698">
        <f t="shared" si="310"/>
        <v>578941.44999999995</v>
      </c>
      <c r="M4698" t="str">
        <f t="shared" si="310"/>
        <v>ASALARIADO</v>
      </c>
      <c r="N4698">
        <f t="shared" si="311"/>
        <v>23</v>
      </c>
      <c r="O4698" s="19" t="str">
        <f t="shared" si="312"/>
        <v>300k–600k</v>
      </c>
      <c r="P4698" s="19" t="str">
        <f t="shared" si="313"/>
        <v>18-25</v>
      </c>
    </row>
    <row r="4699" spans="1:16" x14ac:dyDescent="0.25">
      <c r="A4699">
        <v>4698</v>
      </c>
      <c r="B4699" t="s">
        <v>15</v>
      </c>
      <c r="C4699">
        <v>2923075.5</v>
      </c>
      <c r="D4699" t="s">
        <v>10</v>
      </c>
      <c r="E4699" t="s">
        <v>11</v>
      </c>
      <c r="F4699" t="s">
        <v>12</v>
      </c>
      <c r="G4699" t="s">
        <v>13</v>
      </c>
      <c r="H4699" t="s">
        <v>13</v>
      </c>
      <c r="I4699">
        <v>53</v>
      </c>
      <c r="J4699" t="str" cm="1">
        <f t="array" ref="J4699">_xlfn.IFS(ISBLANK(C4699),"FALTANTE",ABS((C4699-$W$5)/$X$5)&gt;1.96,"ATÍPICO",ABS((C4699-$W$5)/$X$5)&lt;=1.96,"NO ATÍPICO")</f>
        <v>ATÍPICO</v>
      </c>
      <c r="K4699" t="str" cm="1">
        <f t="array" ref="K4699">_xlfn.IFS(ISBLANK(I4699),"FALTANTE",ABS((I4699-$W$8)/$X$8)&gt;1.92,"ATÍPICO",ABS((I4699-$W$8)/$X$8)&lt;=1.92,"NO ATÍPICO")</f>
        <v>NO ATÍPICO</v>
      </c>
      <c r="L4699">
        <f t="shared" si="310"/>
        <v>2923075.5</v>
      </c>
      <c r="M4699" t="str">
        <f t="shared" si="310"/>
        <v>ASALARIADO</v>
      </c>
      <c r="N4699">
        <f t="shared" si="311"/>
        <v>53</v>
      </c>
      <c r="O4699" s="19" t="str">
        <f t="shared" si="312"/>
        <v>1200k+</v>
      </c>
      <c r="P4699" s="19" t="str">
        <f t="shared" si="313"/>
        <v>46-55</v>
      </c>
    </row>
    <row r="4700" spans="1:16" x14ac:dyDescent="0.25">
      <c r="A4700">
        <v>4699</v>
      </c>
      <c r="B4700" t="s">
        <v>15</v>
      </c>
      <c r="C4700">
        <v>540376</v>
      </c>
      <c r="D4700" t="s">
        <v>10</v>
      </c>
      <c r="E4700" t="s">
        <v>16</v>
      </c>
      <c r="F4700" t="s">
        <v>12</v>
      </c>
      <c r="G4700" t="s">
        <v>13</v>
      </c>
      <c r="H4700" t="s">
        <v>13</v>
      </c>
      <c r="I4700">
        <v>35</v>
      </c>
      <c r="J4700" t="str" cm="1">
        <f t="array" ref="J4700">_xlfn.IFS(ISBLANK(C4700),"FALTANTE",ABS((C4700-$W$5)/$X$5)&gt;1.96,"ATÍPICO",ABS((C4700-$W$5)/$X$5)&lt;=1.96,"NO ATÍPICO")</f>
        <v>NO ATÍPICO</v>
      </c>
      <c r="K4700" t="str" cm="1">
        <f t="array" ref="K4700">_xlfn.IFS(ISBLANK(I4700),"FALTANTE",ABS((I4700-$W$8)/$X$8)&gt;1.92,"ATÍPICO",ABS((I4700-$W$8)/$X$8)&lt;=1.92,"NO ATÍPICO")</f>
        <v>NO ATÍPICO</v>
      </c>
      <c r="L4700">
        <f t="shared" si="310"/>
        <v>540376</v>
      </c>
      <c r="M4700" t="str">
        <f t="shared" si="310"/>
        <v>ASALARIADO</v>
      </c>
      <c r="N4700">
        <f t="shared" si="311"/>
        <v>35</v>
      </c>
      <c r="O4700" s="19" t="str">
        <f t="shared" si="312"/>
        <v>300k–600k</v>
      </c>
      <c r="P4700" s="19" t="str">
        <f t="shared" si="313"/>
        <v>26-35</v>
      </c>
    </row>
    <row r="4701" spans="1:16" x14ac:dyDescent="0.25">
      <c r="A4701">
        <v>4700</v>
      </c>
      <c r="B4701" t="s">
        <v>15</v>
      </c>
      <c r="C4701">
        <v>1040470</v>
      </c>
      <c r="D4701" t="s">
        <v>10</v>
      </c>
      <c r="E4701" t="s">
        <v>11</v>
      </c>
      <c r="F4701" t="s">
        <v>12</v>
      </c>
      <c r="G4701" t="s">
        <v>13</v>
      </c>
      <c r="H4701" t="s">
        <v>12</v>
      </c>
      <c r="I4701">
        <v>53</v>
      </c>
      <c r="J4701" t="str" cm="1">
        <f t="array" ref="J4701">_xlfn.IFS(ISBLANK(C4701),"FALTANTE",ABS((C4701-$W$5)/$X$5)&gt;1.96,"ATÍPICO",ABS((C4701-$W$5)/$X$5)&lt;=1.96,"NO ATÍPICO")</f>
        <v>NO ATÍPICO</v>
      </c>
      <c r="K4701" t="str" cm="1">
        <f t="array" ref="K4701">_xlfn.IFS(ISBLANK(I4701),"FALTANTE",ABS((I4701-$W$8)/$X$8)&gt;1.92,"ATÍPICO",ABS((I4701-$W$8)/$X$8)&lt;=1.92,"NO ATÍPICO")</f>
        <v>NO ATÍPICO</v>
      </c>
      <c r="L4701">
        <f t="shared" si="310"/>
        <v>1040470</v>
      </c>
      <c r="M4701" t="str">
        <f t="shared" si="310"/>
        <v>ASALARIADO</v>
      </c>
      <c r="N4701">
        <f t="shared" si="311"/>
        <v>53</v>
      </c>
      <c r="O4701" s="19" t="str">
        <f t="shared" si="312"/>
        <v>900k–1200k</v>
      </c>
      <c r="P4701" s="19" t="str">
        <f t="shared" si="313"/>
        <v>46-55</v>
      </c>
    </row>
    <row r="4702" spans="1:16" x14ac:dyDescent="0.25">
      <c r="A4702">
        <v>4701</v>
      </c>
      <c r="B4702" t="s">
        <v>9</v>
      </c>
      <c r="C4702">
        <v>297046</v>
      </c>
      <c r="D4702" t="s">
        <v>18</v>
      </c>
      <c r="E4702" t="s">
        <v>16</v>
      </c>
      <c r="F4702" t="s">
        <v>12</v>
      </c>
      <c r="G4702" t="s">
        <v>13</v>
      </c>
      <c r="H4702" t="s">
        <v>13</v>
      </c>
      <c r="I4702">
        <v>21</v>
      </c>
      <c r="J4702" t="str" cm="1">
        <f t="array" ref="J4702">_xlfn.IFS(ISBLANK(C4702),"FALTANTE",ABS((C4702-$W$5)/$X$5)&gt;1.96,"ATÍPICO",ABS((C4702-$W$5)/$X$5)&lt;=1.96,"NO ATÍPICO")</f>
        <v>NO ATÍPICO</v>
      </c>
      <c r="K4702" t="str" cm="1">
        <f t="array" ref="K4702">_xlfn.IFS(ISBLANK(I4702),"FALTANTE",ABS((I4702-$W$8)/$X$8)&gt;1.92,"ATÍPICO",ABS((I4702-$W$8)/$X$8)&lt;=1.92,"NO ATÍPICO")</f>
        <v>NO ATÍPICO</v>
      </c>
      <c r="L4702">
        <f t="shared" si="310"/>
        <v>297046</v>
      </c>
      <c r="M4702" t="str">
        <f t="shared" si="310"/>
        <v>TRABAJADOR INDEPENDIENTE</v>
      </c>
      <c r="N4702">
        <f t="shared" si="311"/>
        <v>21</v>
      </c>
      <c r="O4702" s="19" t="str">
        <f t="shared" si="312"/>
        <v>0–300k</v>
      </c>
      <c r="P4702" s="19" t="str">
        <f t="shared" si="313"/>
        <v>18-25</v>
      </c>
    </row>
    <row r="4703" spans="1:16" x14ac:dyDescent="0.25">
      <c r="A4703">
        <v>4702</v>
      </c>
      <c r="B4703" t="s">
        <v>9</v>
      </c>
      <c r="C4703">
        <v>500136.83</v>
      </c>
      <c r="D4703" t="s">
        <v>10</v>
      </c>
      <c r="E4703" t="s">
        <v>16</v>
      </c>
      <c r="F4703" t="s">
        <v>12</v>
      </c>
      <c r="G4703" t="s">
        <v>13</v>
      </c>
      <c r="H4703" t="s">
        <v>13</v>
      </c>
      <c r="I4703">
        <v>35</v>
      </c>
      <c r="J4703" t="str" cm="1">
        <f t="array" ref="J4703">_xlfn.IFS(ISBLANK(C4703),"FALTANTE",ABS((C4703-$W$5)/$X$5)&gt;1.96,"ATÍPICO",ABS((C4703-$W$5)/$X$5)&lt;=1.96,"NO ATÍPICO")</f>
        <v>NO ATÍPICO</v>
      </c>
      <c r="K4703" t="str" cm="1">
        <f t="array" ref="K4703">_xlfn.IFS(ISBLANK(I4703),"FALTANTE",ABS((I4703-$W$8)/$X$8)&gt;1.92,"ATÍPICO",ABS((I4703-$W$8)/$X$8)&lt;=1.92,"NO ATÍPICO")</f>
        <v>NO ATÍPICO</v>
      </c>
      <c r="L4703">
        <f t="shared" si="310"/>
        <v>500136.83</v>
      </c>
      <c r="M4703" t="str">
        <f t="shared" si="310"/>
        <v>ASALARIADO</v>
      </c>
      <c r="N4703">
        <f t="shared" si="311"/>
        <v>35</v>
      </c>
      <c r="O4703" s="19" t="str">
        <f t="shared" si="312"/>
        <v>300k–600k</v>
      </c>
      <c r="P4703" s="19" t="str">
        <f t="shared" si="313"/>
        <v>26-35</v>
      </c>
    </row>
    <row r="4704" spans="1:16" x14ac:dyDescent="0.25">
      <c r="A4704">
        <v>4703</v>
      </c>
      <c r="B4704" t="s">
        <v>9</v>
      </c>
      <c r="C4704">
        <v>353539</v>
      </c>
      <c r="D4704" t="s">
        <v>18</v>
      </c>
      <c r="E4704" t="s">
        <v>16</v>
      </c>
      <c r="F4704" t="s">
        <v>12</v>
      </c>
      <c r="G4704" t="s">
        <v>13</v>
      </c>
      <c r="H4704" t="s">
        <v>13</v>
      </c>
      <c r="I4704">
        <v>56</v>
      </c>
      <c r="J4704" t="str" cm="1">
        <f t="array" ref="J4704">_xlfn.IFS(ISBLANK(C4704),"FALTANTE",ABS((C4704-$W$5)/$X$5)&gt;1.96,"ATÍPICO",ABS((C4704-$W$5)/$X$5)&lt;=1.96,"NO ATÍPICO")</f>
        <v>NO ATÍPICO</v>
      </c>
      <c r="K4704" t="str" cm="1">
        <f t="array" ref="K4704">_xlfn.IFS(ISBLANK(I4704),"FALTANTE",ABS((I4704-$W$8)/$X$8)&gt;1.92,"ATÍPICO",ABS((I4704-$W$8)/$X$8)&lt;=1.92,"NO ATÍPICO")</f>
        <v>NO ATÍPICO</v>
      </c>
      <c r="L4704">
        <f t="shared" si="310"/>
        <v>353539</v>
      </c>
      <c r="M4704" t="str">
        <f t="shared" si="310"/>
        <v>TRABAJADOR INDEPENDIENTE</v>
      </c>
      <c r="N4704">
        <f t="shared" si="311"/>
        <v>56</v>
      </c>
      <c r="O4704" s="19" t="str">
        <f t="shared" si="312"/>
        <v>300k–600k</v>
      </c>
      <c r="P4704" s="19" t="str">
        <f t="shared" si="313"/>
        <v>56+</v>
      </c>
    </row>
    <row r="4705" spans="1:16" x14ac:dyDescent="0.25">
      <c r="A4705">
        <v>4704</v>
      </c>
      <c r="B4705" t="s">
        <v>9</v>
      </c>
      <c r="C4705">
        <v>450677.08</v>
      </c>
      <c r="D4705" t="s">
        <v>10</v>
      </c>
      <c r="E4705" t="s">
        <v>16</v>
      </c>
      <c r="F4705" t="s">
        <v>12</v>
      </c>
      <c r="G4705" t="s">
        <v>13</v>
      </c>
      <c r="H4705" t="s">
        <v>13</v>
      </c>
      <c r="I4705">
        <v>28</v>
      </c>
      <c r="J4705" t="str" cm="1">
        <f t="array" ref="J4705">_xlfn.IFS(ISBLANK(C4705),"FALTANTE",ABS((C4705-$W$5)/$X$5)&gt;1.96,"ATÍPICO",ABS((C4705-$W$5)/$X$5)&lt;=1.96,"NO ATÍPICO")</f>
        <v>NO ATÍPICO</v>
      </c>
      <c r="K4705" t="str" cm="1">
        <f t="array" ref="K4705">_xlfn.IFS(ISBLANK(I4705),"FALTANTE",ABS((I4705-$W$8)/$X$8)&gt;1.92,"ATÍPICO",ABS((I4705-$W$8)/$X$8)&lt;=1.92,"NO ATÍPICO")</f>
        <v>NO ATÍPICO</v>
      </c>
      <c r="L4705">
        <f t="shared" si="310"/>
        <v>450677.08</v>
      </c>
      <c r="M4705" t="str">
        <f t="shared" si="310"/>
        <v>ASALARIADO</v>
      </c>
      <c r="N4705">
        <f t="shared" si="311"/>
        <v>28</v>
      </c>
      <c r="O4705" s="19" t="str">
        <f t="shared" si="312"/>
        <v>300k–600k</v>
      </c>
      <c r="P4705" s="19" t="str">
        <f t="shared" si="313"/>
        <v>26-35</v>
      </c>
    </row>
    <row r="4706" spans="1:16" x14ac:dyDescent="0.25">
      <c r="A4706">
        <v>4705</v>
      </c>
      <c r="B4706" t="s">
        <v>9</v>
      </c>
      <c r="C4706">
        <v>65449</v>
      </c>
      <c r="D4706" t="s">
        <v>10</v>
      </c>
      <c r="E4706" t="s">
        <v>16</v>
      </c>
      <c r="F4706" t="s">
        <v>12</v>
      </c>
      <c r="G4706" t="s">
        <v>12</v>
      </c>
      <c r="H4706" t="s">
        <v>13</v>
      </c>
      <c r="I4706">
        <v>59</v>
      </c>
      <c r="J4706" t="str" cm="1">
        <f t="array" ref="J4706">_xlfn.IFS(ISBLANK(C4706),"FALTANTE",ABS((C4706-$W$5)/$X$5)&gt;1.96,"ATÍPICO",ABS((C4706-$W$5)/$X$5)&lt;=1.96,"NO ATÍPICO")</f>
        <v>NO ATÍPICO</v>
      </c>
      <c r="K4706" t="str" cm="1">
        <f t="array" ref="K4706">_xlfn.IFS(ISBLANK(I4706),"FALTANTE",ABS((I4706-$W$8)/$X$8)&gt;1.92,"ATÍPICO",ABS((I4706-$W$8)/$X$8)&lt;=1.92,"NO ATÍPICO")</f>
        <v>NO ATÍPICO</v>
      </c>
      <c r="L4706">
        <f t="shared" si="310"/>
        <v>65449</v>
      </c>
      <c r="M4706" t="str">
        <f t="shared" si="310"/>
        <v>ASALARIADO</v>
      </c>
      <c r="N4706">
        <f t="shared" si="311"/>
        <v>59</v>
      </c>
      <c r="O4706" s="19" t="str">
        <f t="shared" si="312"/>
        <v>0–300k</v>
      </c>
      <c r="P4706" s="19" t="str">
        <f t="shared" si="313"/>
        <v>56+</v>
      </c>
    </row>
    <row r="4707" spans="1:16" x14ac:dyDescent="0.25">
      <c r="A4707">
        <v>4706</v>
      </c>
      <c r="B4707" t="s">
        <v>9</v>
      </c>
      <c r="C4707">
        <v>505464</v>
      </c>
      <c r="D4707" t="s">
        <v>18</v>
      </c>
      <c r="E4707" t="s">
        <v>16</v>
      </c>
      <c r="F4707" t="s">
        <v>12</v>
      </c>
      <c r="G4707" t="s">
        <v>13</v>
      </c>
      <c r="H4707" t="s">
        <v>13</v>
      </c>
      <c r="I4707">
        <v>61</v>
      </c>
      <c r="J4707" t="str" cm="1">
        <f t="array" ref="J4707">_xlfn.IFS(ISBLANK(C4707),"FALTANTE",ABS((C4707-$W$5)/$X$5)&gt;1.96,"ATÍPICO",ABS((C4707-$W$5)/$X$5)&lt;=1.96,"NO ATÍPICO")</f>
        <v>NO ATÍPICO</v>
      </c>
      <c r="K4707" t="str" cm="1">
        <f t="array" ref="K4707">_xlfn.IFS(ISBLANK(I4707),"FALTANTE",ABS((I4707-$W$8)/$X$8)&gt;1.92,"ATÍPICO",ABS((I4707-$W$8)/$X$8)&lt;=1.92,"NO ATÍPICO")</f>
        <v>NO ATÍPICO</v>
      </c>
      <c r="L4707">
        <f t="shared" si="310"/>
        <v>505464</v>
      </c>
      <c r="M4707" t="str">
        <f t="shared" si="310"/>
        <v>TRABAJADOR INDEPENDIENTE</v>
      </c>
      <c r="N4707">
        <f t="shared" si="311"/>
        <v>61</v>
      </c>
      <c r="O4707" s="19" t="str">
        <f t="shared" si="312"/>
        <v>300k–600k</v>
      </c>
      <c r="P4707" s="19" t="str">
        <f t="shared" si="313"/>
        <v>56+</v>
      </c>
    </row>
    <row r="4708" spans="1:16" x14ac:dyDescent="0.25">
      <c r="A4708">
        <v>4707</v>
      </c>
      <c r="B4708" t="s">
        <v>9</v>
      </c>
      <c r="C4708">
        <v>1594555.67</v>
      </c>
      <c r="D4708" t="s">
        <v>10</v>
      </c>
      <c r="E4708" t="s">
        <v>11</v>
      </c>
      <c r="F4708" t="s">
        <v>12</v>
      </c>
      <c r="G4708" t="s">
        <v>13</v>
      </c>
      <c r="H4708" t="s">
        <v>13</v>
      </c>
      <c r="I4708">
        <v>49</v>
      </c>
      <c r="J4708" t="str" cm="1">
        <f t="array" ref="J4708">_xlfn.IFS(ISBLANK(C4708),"FALTANTE",ABS((C4708-$W$5)/$X$5)&gt;1.96,"ATÍPICO",ABS((C4708-$W$5)/$X$5)&lt;=1.96,"NO ATÍPICO")</f>
        <v>NO ATÍPICO</v>
      </c>
      <c r="K4708" t="str" cm="1">
        <f t="array" ref="K4708">_xlfn.IFS(ISBLANK(I4708),"FALTANTE",ABS((I4708-$W$8)/$X$8)&gt;1.92,"ATÍPICO",ABS((I4708-$W$8)/$X$8)&lt;=1.92,"NO ATÍPICO")</f>
        <v>NO ATÍPICO</v>
      </c>
      <c r="L4708">
        <f t="shared" si="310"/>
        <v>1594555.67</v>
      </c>
      <c r="M4708" t="str">
        <f t="shared" si="310"/>
        <v>ASALARIADO</v>
      </c>
      <c r="N4708">
        <f t="shared" si="311"/>
        <v>49</v>
      </c>
      <c r="O4708" s="19" t="str">
        <f t="shared" si="312"/>
        <v>1200k+</v>
      </c>
      <c r="P4708" s="19" t="str">
        <f t="shared" si="313"/>
        <v>46-55</v>
      </c>
    </row>
    <row r="4709" spans="1:16" x14ac:dyDescent="0.25">
      <c r="A4709">
        <v>4708</v>
      </c>
      <c r="B4709" t="s">
        <v>15</v>
      </c>
      <c r="C4709">
        <v>359544.27</v>
      </c>
      <c r="D4709" t="s">
        <v>21</v>
      </c>
      <c r="E4709" t="s">
        <v>16</v>
      </c>
      <c r="F4709" t="s">
        <v>12</v>
      </c>
      <c r="G4709" t="s">
        <v>12</v>
      </c>
      <c r="H4709" t="s">
        <v>13</v>
      </c>
      <c r="I4709">
        <v>44</v>
      </c>
      <c r="J4709" t="str" cm="1">
        <f t="array" ref="J4709">_xlfn.IFS(ISBLANK(C4709),"FALTANTE",ABS((C4709-$W$5)/$X$5)&gt;1.96,"ATÍPICO",ABS((C4709-$W$5)/$X$5)&lt;=1.96,"NO ATÍPICO")</f>
        <v>NO ATÍPICO</v>
      </c>
      <c r="K4709" t="str" cm="1">
        <f t="array" ref="K4709">_xlfn.IFS(ISBLANK(I4709),"FALTANTE",ABS((I4709-$W$8)/$X$8)&gt;1.92,"ATÍPICO",ABS((I4709-$W$8)/$X$8)&lt;=1.92,"NO ATÍPICO")</f>
        <v>NO ATÍPICO</v>
      </c>
      <c r="L4709">
        <f t="shared" si="310"/>
        <v>359544.27</v>
      </c>
      <c r="M4709" t="str">
        <f t="shared" si="310"/>
        <v>CONVENIOS ESPECIALES DE ASEGURADOS VOLUNTARIOS</v>
      </c>
      <c r="N4709">
        <f t="shared" si="311"/>
        <v>44</v>
      </c>
      <c r="O4709" s="19" t="str">
        <f t="shared" si="312"/>
        <v>300k–600k</v>
      </c>
      <c r="P4709" s="19" t="str">
        <f t="shared" si="313"/>
        <v>36-45</v>
      </c>
    </row>
    <row r="4710" spans="1:16" x14ac:dyDescent="0.25">
      <c r="A4710">
        <v>4709</v>
      </c>
      <c r="B4710" t="s">
        <v>9</v>
      </c>
      <c r="C4710">
        <v>550000</v>
      </c>
      <c r="D4710" t="s">
        <v>10</v>
      </c>
      <c r="E4710" t="s">
        <v>16</v>
      </c>
      <c r="F4710" t="s">
        <v>12</v>
      </c>
      <c r="G4710" t="s">
        <v>13</v>
      </c>
      <c r="H4710" t="s">
        <v>13</v>
      </c>
      <c r="I4710">
        <v>39</v>
      </c>
      <c r="J4710" t="str" cm="1">
        <f t="array" ref="J4710">_xlfn.IFS(ISBLANK(C4710),"FALTANTE",ABS((C4710-$W$5)/$X$5)&gt;1.96,"ATÍPICO",ABS((C4710-$W$5)/$X$5)&lt;=1.96,"NO ATÍPICO")</f>
        <v>NO ATÍPICO</v>
      </c>
      <c r="K4710" t="str" cm="1">
        <f t="array" ref="K4710">_xlfn.IFS(ISBLANK(I4710),"FALTANTE",ABS((I4710-$W$8)/$X$8)&gt;1.92,"ATÍPICO",ABS((I4710-$W$8)/$X$8)&lt;=1.92,"NO ATÍPICO")</f>
        <v>NO ATÍPICO</v>
      </c>
      <c r="L4710">
        <f t="shared" si="310"/>
        <v>550000</v>
      </c>
      <c r="M4710" t="str">
        <f t="shared" si="310"/>
        <v>ASALARIADO</v>
      </c>
      <c r="N4710">
        <f t="shared" si="311"/>
        <v>39</v>
      </c>
      <c r="O4710" s="19" t="str">
        <f t="shared" si="312"/>
        <v>300k–600k</v>
      </c>
      <c r="P4710" s="19" t="str">
        <f t="shared" si="313"/>
        <v>36-45</v>
      </c>
    </row>
    <row r="4711" spans="1:16" x14ac:dyDescent="0.25">
      <c r="A4711">
        <v>4710</v>
      </c>
      <c r="B4711" t="s">
        <v>9</v>
      </c>
      <c r="C4711">
        <v>1482404.13</v>
      </c>
      <c r="D4711" t="s">
        <v>10</v>
      </c>
      <c r="E4711" t="s">
        <v>16</v>
      </c>
      <c r="F4711" t="s">
        <v>12</v>
      </c>
      <c r="G4711" t="s">
        <v>13</v>
      </c>
      <c r="H4711" t="s">
        <v>13</v>
      </c>
      <c r="I4711">
        <v>56</v>
      </c>
      <c r="J4711" t="str" cm="1">
        <f t="array" ref="J4711">_xlfn.IFS(ISBLANK(C4711),"FALTANTE",ABS((C4711-$W$5)/$X$5)&gt;1.96,"ATÍPICO",ABS((C4711-$W$5)/$X$5)&lt;=1.96,"NO ATÍPICO")</f>
        <v>NO ATÍPICO</v>
      </c>
      <c r="K4711" t="str" cm="1">
        <f t="array" ref="K4711">_xlfn.IFS(ISBLANK(I4711),"FALTANTE",ABS((I4711-$W$8)/$X$8)&gt;1.92,"ATÍPICO",ABS((I4711-$W$8)/$X$8)&lt;=1.92,"NO ATÍPICO")</f>
        <v>NO ATÍPICO</v>
      </c>
      <c r="L4711">
        <f t="shared" si="310"/>
        <v>1482404.13</v>
      </c>
      <c r="M4711" t="str">
        <f t="shared" si="310"/>
        <v>ASALARIADO</v>
      </c>
      <c r="N4711">
        <f t="shared" si="311"/>
        <v>56</v>
      </c>
      <c r="O4711" s="19" t="str">
        <f t="shared" si="312"/>
        <v>1200k+</v>
      </c>
      <c r="P4711" s="19" t="str">
        <f t="shared" si="313"/>
        <v>56+</v>
      </c>
    </row>
    <row r="4712" spans="1:16" x14ac:dyDescent="0.25">
      <c r="A4712">
        <v>4711</v>
      </c>
      <c r="B4712" t="s">
        <v>9</v>
      </c>
      <c r="C4712">
        <v>562232.44999999995</v>
      </c>
      <c r="D4712" t="s">
        <v>10</v>
      </c>
      <c r="E4712" t="s">
        <v>11</v>
      </c>
      <c r="F4712" t="s">
        <v>12</v>
      </c>
      <c r="G4712" t="s">
        <v>13</v>
      </c>
      <c r="H4712" t="s">
        <v>13</v>
      </c>
      <c r="I4712">
        <v>47</v>
      </c>
      <c r="J4712" t="str" cm="1">
        <f t="array" ref="J4712">_xlfn.IFS(ISBLANK(C4712),"FALTANTE",ABS((C4712-$W$5)/$X$5)&gt;1.96,"ATÍPICO",ABS((C4712-$W$5)/$X$5)&lt;=1.96,"NO ATÍPICO")</f>
        <v>NO ATÍPICO</v>
      </c>
      <c r="K4712" t="str" cm="1">
        <f t="array" ref="K4712">_xlfn.IFS(ISBLANK(I4712),"FALTANTE",ABS((I4712-$W$8)/$X$8)&gt;1.92,"ATÍPICO",ABS((I4712-$W$8)/$X$8)&lt;=1.92,"NO ATÍPICO")</f>
        <v>NO ATÍPICO</v>
      </c>
      <c r="L4712">
        <f t="shared" si="310"/>
        <v>562232.44999999995</v>
      </c>
      <c r="M4712" t="str">
        <f t="shared" si="310"/>
        <v>ASALARIADO</v>
      </c>
      <c r="N4712">
        <f t="shared" si="311"/>
        <v>47</v>
      </c>
      <c r="O4712" s="19" t="str">
        <f t="shared" si="312"/>
        <v>300k–600k</v>
      </c>
      <c r="P4712" s="19" t="str">
        <f t="shared" si="313"/>
        <v>46-55</v>
      </c>
    </row>
    <row r="4713" spans="1:16" x14ac:dyDescent="0.25">
      <c r="A4713">
        <v>4712</v>
      </c>
      <c r="B4713" t="s">
        <v>15</v>
      </c>
      <c r="C4713">
        <v>160481</v>
      </c>
      <c r="D4713" t="s">
        <v>10</v>
      </c>
      <c r="E4713" t="s">
        <v>11</v>
      </c>
      <c r="F4713" t="s">
        <v>12</v>
      </c>
      <c r="G4713" t="s">
        <v>13</v>
      </c>
      <c r="H4713" t="s">
        <v>13</v>
      </c>
      <c r="I4713">
        <v>26</v>
      </c>
      <c r="J4713" t="str" cm="1">
        <f t="array" ref="J4713">_xlfn.IFS(ISBLANK(C4713),"FALTANTE",ABS((C4713-$W$5)/$X$5)&gt;1.96,"ATÍPICO",ABS((C4713-$W$5)/$X$5)&lt;=1.96,"NO ATÍPICO")</f>
        <v>NO ATÍPICO</v>
      </c>
      <c r="K4713" t="str" cm="1">
        <f t="array" ref="K4713">_xlfn.IFS(ISBLANK(I4713),"FALTANTE",ABS((I4713-$W$8)/$X$8)&gt;1.92,"ATÍPICO",ABS((I4713-$W$8)/$X$8)&lt;=1.92,"NO ATÍPICO")</f>
        <v>NO ATÍPICO</v>
      </c>
      <c r="L4713">
        <f t="shared" si="310"/>
        <v>160481</v>
      </c>
      <c r="M4713" t="str">
        <f t="shared" si="310"/>
        <v>ASALARIADO</v>
      </c>
      <c r="N4713">
        <f t="shared" si="311"/>
        <v>26</v>
      </c>
      <c r="O4713" s="19" t="str">
        <f t="shared" si="312"/>
        <v>0–300k</v>
      </c>
      <c r="P4713" s="19" t="str">
        <f t="shared" si="313"/>
        <v>26-35</v>
      </c>
    </row>
    <row r="4714" spans="1:16" x14ac:dyDescent="0.25">
      <c r="A4714">
        <v>4713</v>
      </c>
      <c r="B4714" t="s">
        <v>15</v>
      </c>
      <c r="C4714">
        <v>239681</v>
      </c>
      <c r="D4714" t="s">
        <v>10</v>
      </c>
      <c r="E4714" t="s">
        <v>16</v>
      </c>
      <c r="F4714" t="s">
        <v>12</v>
      </c>
      <c r="G4714" t="s">
        <v>13</v>
      </c>
      <c r="H4714" t="s">
        <v>13</v>
      </c>
      <c r="I4714">
        <v>34</v>
      </c>
      <c r="J4714" t="str" cm="1">
        <f t="array" ref="J4714">_xlfn.IFS(ISBLANK(C4714),"FALTANTE",ABS((C4714-$W$5)/$X$5)&gt;1.96,"ATÍPICO",ABS((C4714-$W$5)/$X$5)&lt;=1.96,"NO ATÍPICO")</f>
        <v>NO ATÍPICO</v>
      </c>
      <c r="K4714" t="str" cm="1">
        <f t="array" ref="K4714">_xlfn.IFS(ISBLANK(I4714),"FALTANTE",ABS((I4714-$W$8)/$X$8)&gt;1.92,"ATÍPICO",ABS((I4714-$W$8)/$X$8)&lt;=1.92,"NO ATÍPICO")</f>
        <v>NO ATÍPICO</v>
      </c>
      <c r="L4714">
        <f t="shared" si="310"/>
        <v>239681</v>
      </c>
      <c r="M4714" t="str">
        <f t="shared" si="310"/>
        <v>ASALARIADO</v>
      </c>
      <c r="N4714">
        <f t="shared" si="311"/>
        <v>34</v>
      </c>
      <c r="O4714" s="19" t="str">
        <f t="shared" si="312"/>
        <v>0–300k</v>
      </c>
      <c r="P4714" s="19" t="str">
        <f t="shared" si="313"/>
        <v>26-35</v>
      </c>
    </row>
    <row r="4715" spans="1:16" x14ac:dyDescent="0.25">
      <c r="A4715">
        <v>4714</v>
      </c>
      <c r="B4715" t="s">
        <v>9</v>
      </c>
      <c r="C4715">
        <v>331398</v>
      </c>
      <c r="D4715" t="s">
        <v>10</v>
      </c>
      <c r="E4715" t="s">
        <v>16</v>
      </c>
      <c r="F4715" t="s">
        <v>12</v>
      </c>
      <c r="G4715" t="s">
        <v>13</v>
      </c>
      <c r="H4715" t="s">
        <v>13</v>
      </c>
      <c r="I4715">
        <v>30</v>
      </c>
      <c r="J4715" t="str" cm="1">
        <f t="array" ref="J4715">_xlfn.IFS(ISBLANK(C4715),"FALTANTE",ABS((C4715-$W$5)/$X$5)&gt;1.96,"ATÍPICO",ABS((C4715-$W$5)/$X$5)&lt;=1.96,"NO ATÍPICO")</f>
        <v>NO ATÍPICO</v>
      </c>
      <c r="K4715" t="str" cm="1">
        <f t="array" ref="K4715">_xlfn.IFS(ISBLANK(I4715),"FALTANTE",ABS((I4715-$W$8)/$X$8)&gt;1.92,"ATÍPICO",ABS((I4715-$W$8)/$X$8)&lt;=1.92,"NO ATÍPICO")</f>
        <v>NO ATÍPICO</v>
      </c>
      <c r="L4715">
        <f t="shared" si="310"/>
        <v>331398</v>
      </c>
      <c r="M4715" t="str">
        <f t="shared" si="310"/>
        <v>ASALARIADO</v>
      </c>
      <c r="N4715">
        <f t="shared" si="311"/>
        <v>30</v>
      </c>
      <c r="O4715" s="19" t="str">
        <f t="shared" si="312"/>
        <v>300k–600k</v>
      </c>
      <c r="P4715" s="19" t="str">
        <f t="shared" si="313"/>
        <v>26-35</v>
      </c>
    </row>
    <row r="4716" spans="1:16" x14ac:dyDescent="0.25">
      <c r="A4716">
        <v>4715</v>
      </c>
      <c r="B4716" t="s">
        <v>15</v>
      </c>
      <c r="C4716">
        <v>426396.51</v>
      </c>
      <c r="D4716" t="s">
        <v>10</v>
      </c>
      <c r="E4716" t="s">
        <v>16</v>
      </c>
      <c r="F4716" t="s">
        <v>12</v>
      </c>
      <c r="G4716" t="s">
        <v>13</v>
      </c>
      <c r="H4716" t="s">
        <v>13</v>
      </c>
      <c r="I4716">
        <v>22</v>
      </c>
      <c r="J4716" t="str" cm="1">
        <f t="array" ref="J4716">_xlfn.IFS(ISBLANK(C4716),"FALTANTE",ABS((C4716-$W$5)/$X$5)&gt;1.96,"ATÍPICO",ABS((C4716-$W$5)/$X$5)&lt;=1.96,"NO ATÍPICO")</f>
        <v>NO ATÍPICO</v>
      </c>
      <c r="K4716" t="str" cm="1">
        <f t="array" ref="K4716">_xlfn.IFS(ISBLANK(I4716),"FALTANTE",ABS((I4716-$W$8)/$X$8)&gt;1.92,"ATÍPICO",ABS((I4716-$W$8)/$X$8)&lt;=1.92,"NO ATÍPICO")</f>
        <v>NO ATÍPICO</v>
      </c>
      <c r="L4716">
        <f t="shared" si="310"/>
        <v>426396.51</v>
      </c>
      <c r="M4716" t="str">
        <f t="shared" si="310"/>
        <v>ASALARIADO</v>
      </c>
      <c r="N4716">
        <f t="shared" si="311"/>
        <v>22</v>
      </c>
      <c r="O4716" s="19" t="str">
        <f t="shared" si="312"/>
        <v>300k–600k</v>
      </c>
      <c r="P4716" s="19" t="str">
        <f t="shared" si="313"/>
        <v>18-25</v>
      </c>
    </row>
    <row r="4717" spans="1:16" x14ac:dyDescent="0.25">
      <c r="A4717">
        <v>4716</v>
      </c>
      <c r="B4717" t="s">
        <v>15</v>
      </c>
      <c r="C4717">
        <v>297046</v>
      </c>
      <c r="D4717" t="s">
        <v>17</v>
      </c>
      <c r="E4717" t="s">
        <v>16</v>
      </c>
      <c r="F4717" t="s">
        <v>12</v>
      </c>
      <c r="G4717" t="s">
        <v>12</v>
      </c>
      <c r="H4717" t="s">
        <v>13</v>
      </c>
      <c r="I4717">
        <v>27</v>
      </c>
      <c r="J4717" t="str" cm="1">
        <f t="array" ref="J4717">_xlfn.IFS(ISBLANK(C4717),"FALTANTE",ABS((C4717-$W$5)/$X$5)&gt;1.96,"ATÍPICO",ABS((C4717-$W$5)/$X$5)&lt;=1.96,"NO ATÍPICO")</f>
        <v>NO ATÍPICO</v>
      </c>
      <c r="K4717" t="str" cm="1">
        <f t="array" ref="K4717">_xlfn.IFS(ISBLANK(I4717),"FALTANTE",ABS((I4717-$W$8)/$X$8)&gt;1.92,"ATÍPICO",ABS((I4717-$W$8)/$X$8)&lt;=1.92,"NO ATÍPICO")</f>
        <v>NO ATÍPICO</v>
      </c>
      <c r="L4717">
        <f t="shared" si="310"/>
        <v>297046</v>
      </c>
      <c r="M4717" t="str">
        <f t="shared" si="310"/>
        <v>ASEGURADO VOLUNTARIO</v>
      </c>
      <c r="N4717">
        <f t="shared" si="311"/>
        <v>27</v>
      </c>
      <c r="O4717" s="19" t="str">
        <f t="shared" si="312"/>
        <v>0–300k</v>
      </c>
      <c r="P4717" s="19" t="str">
        <f t="shared" si="313"/>
        <v>26-35</v>
      </c>
    </row>
    <row r="4718" spans="1:16" x14ac:dyDescent="0.25">
      <c r="A4718">
        <v>4717</v>
      </c>
      <c r="B4718" t="s">
        <v>9</v>
      </c>
      <c r="C4718">
        <v>807660.97</v>
      </c>
      <c r="D4718" t="s">
        <v>10</v>
      </c>
      <c r="E4718" t="s">
        <v>16</v>
      </c>
      <c r="F4718" t="s">
        <v>12</v>
      </c>
      <c r="G4718" t="s">
        <v>13</v>
      </c>
      <c r="H4718" t="s">
        <v>13</v>
      </c>
      <c r="I4718">
        <v>28</v>
      </c>
      <c r="J4718" t="str" cm="1">
        <f t="array" ref="J4718">_xlfn.IFS(ISBLANK(C4718),"FALTANTE",ABS((C4718-$W$5)/$X$5)&gt;1.96,"ATÍPICO",ABS((C4718-$W$5)/$X$5)&lt;=1.96,"NO ATÍPICO")</f>
        <v>NO ATÍPICO</v>
      </c>
      <c r="K4718" t="str" cm="1">
        <f t="array" ref="K4718">_xlfn.IFS(ISBLANK(I4718),"FALTANTE",ABS((I4718-$W$8)/$X$8)&gt;1.92,"ATÍPICO",ABS((I4718-$W$8)/$X$8)&lt;=1.92,"NO ATÍPICO")</f>
        <v>NO ATÍPICO</v>
      </c>
      <c r="L4718">
        <f t="shared" si="310"/>
        <v>807660.97</v>
      </c>
      <c r="M4718" t="str">
        <f t="shared" si="310"/>
        <v>ASALARIADO</v>
      </c>
      <c r="N4718">
        <f t="shared" si="311"/>
        <v>28</v>
      </c>
      <c r="O4718" s="19" t="str">
        <f t="shared" si="312"/>
        <v>600k–900k</v>
      </c>
      <c r="P4718" s="19" t="str">
        <f t="shared" si="313"/>
        <v>26-35</v>
      </c>
    </row>
    <row r="4719" spans="1:16" x14ac:dyDescent="0.25">
      <c r="A4719">
        <v>4718</v>
      </c>
      <c r="B4719" t="s">
        <v>15</v>
      </c>
      <c r="C4719">
        <v>346508.45</v>
      </c>
      <c r="D4719" t="s">
        <v>10</v>
      </c>
      <c r="E4719" t="s">
        <v>16</v>
      </c>
      <c r="F4719" t="s">
        <v>12</v>
      </c>
      <c r="G4719" t="s">
        <v>13</v>
      </c>
      <c r="H4719" t="s">
        <v>13</v>
      </c>
      <c r="I4719">
        <v>46</v>
      </c>
      <c r="J4719" t="str" cm="1">
        <f t="array" ref="J4719">_xlfn.IFS(ISBLANK(C4719),"FALTANTE",ABS((C4719-$W$5)/$X$5)&gt;1.96,"ATÍPICO",ABS((C4719-$W$5)/$X$5)&lt;=1.96,"NO ATÍPICO")</f>
        <v>NO ATÍPICO</v>
      </c>
      <c r="K4719" t="str" cm="1">
        <f t="array" ref="K4719">_xlfn.IFS(ISBLANK(I4719),"FALTANTE",ABS((I4719-$W$8)/$X$8)&gt;1.92,"ATÍPICO",ABS((I4719-$W$8)/$X$8)&lt;=1.92,"NO ATÍPICO")</f>
        <v>NO ATÍPICO</v>
      </c>
      <c r="L4719">
        <f t="shared" si="310"/>
        <v>346508.45</v>
      </c>
      <c r="M4719" t="str">
        <f t="shared" si="310"/>
        <v>ASALARIADO</v>
      </c>
      <c r="N4719">
        <f t="shared" si="311"/>
        <v>46</v>
      </c>
      <c r="O4719" s="19" t="str">
        <f t="shared" si="312"/>
        <v>300k–600k</v>
      </c>
      <c r="P4719" s="19" t="str">
        <f t="shared" si="313"/>
        <v>46-55</v>
      </c>
    </row>
    <row r="4720" spans="1:16" x14ac:dyDescent="0.25">
      <c r="A4720">
        <v>4719</v>
      </c>
      <c r="B4720" t="s">
        <v>9</v>
      </c>
      <c r="C4720">
        <v>578500</v>
      </c>
      <c r="D4720" t="s">
        <v>10</v>
      </c>
      <c r="E4720" t="s">
        <v>16</v>
      </c>
      <c r="F4720" t="s">
        <v>12</v>
      </c>
      <c r="G4720" t="s">
        <v>12</v>
      </c>
      <c r="H4720" t="s">
        <v>13</v>
      </c>
      <c r="I4720">
        <v>56</v>
      </c>
      <c r="J4720" t="str" cm="1">
        <f t="array" ref="J4720">_xlfn.IFS(ISBLANK(C4720),"FALTANTE",ABS((C4720-$W$5)/$X$5)&gt;1.96,"ATÍPICO",ABS((C4720-$W$5)/$X$5)&lt;=1.96,"NO ATÍPICO")</f>
        <v>NO ATÍPICO</v>
      </c>
      <c r="K4720" t="str" cm="1">
        <f t="array" ref="K4720">_xlfn.IFS(ISBLANK(I4720),"FALTANTE",ABS((I4720-$W$8)/$X$8)&gt;1.92,"ATÍPICO",ABS((I4720-$W$8)/$X$8)&lt;=1.92,"NO ATÍPICO")</f>
        <v>NO ATÍPICO</v>
      </c>
      <c r="L4720">
        <f t="shared" si="310"/>
        <v>578500</v>
      </c>
      <c r="M4720" t="str">
        <f t="shared" si="310"/>
        <v>ASALARIADO</v>
      </c>
      <c r="N4720">
        <f t="shared" si="311"/>
        <v>56</v>
      </c>
      <c r="O4720" s="19" t="str">
        <f t="shared" si="312"/>
        <v>300k–600k</v>
      </c>
      <c r="P4720" s="19" t="str">
        <f t="shared" si="313"/>
        <v>56+</v>
      </c>
    </row>
    <row r="4721" spans="1:16" x14ac:dyDescent="0.25">
      <c r="A4721">
        <v>4720</v>
      </c>
      <c r="B4721" t="s">
        <v>9</v>
      </c>
      <c r="C4721">
        <v>278030</v>
      </c>
      <c r="D4721" t="s">
        <v>19</v>
      </c>
      <c r="E4721" t="s">
        <v>16</v>
      </c>
      <c r="F4721" t="s">
        <v>12</v>
      </c>
      <c r="G4721" t="s">
        <v>13</v>
      </c>
      <c r="H4721" t="s">
        <v>13</v>
      </c>
      <c r="I4721">
        <v>36</v>
      </c>
      <c r="J4721" t="str" cm="1">
        <f t="array" ref="J4721">_xlfn.IFS(ISBLANK(C4721),"FALTANTE",ABS((C4721-$W$5)/$X$5)&gt;1.96,"ATÍPICO",ABS((C4721-$W$5)/$X$5)&lt;=1.96,"NO ATÍPICO")</f>
        <v>NO ATÍPICO</v>
      </c>
      <c r="K4721" t="str" cm="1">
        <f t="array" ref="K4721">_xlfn.IFS(ISBLANK(I4721),"FALTANTE",ABS((I4721-$W$8)/$X$8)&gt;1.92,"ATÍPICO",ABS((I4721-$W$8)/$X$8)&lt;=1.92,"NO ATÍPICO")</f>
        <v>NO ATÍPICO</v>
      </c>
      <c r="L4721">
        <f t="shared" si="310"/>
        <v>278030</v>
      </c>
      <c r="M4721" t="str">
        <f t="shared" si="310"/>
        <v>CONVENIOS ESPECIALES DE TRABAJADORES INDEPENDIENTES</v>
      </c>
      <c r="N4721">
        <f t="shared" si="311"/>
        <v>36</v>
      </c>
      <c r="O4721" s="19" t="str">
        <f t="shared" si="312"/>
        <v>0–300k</v>
      </c>
      <c r="P4721" s="19" t="str">
        <f t="shared" si="313"/>
        <v>36-45</v>
      </c>
    </row>
    <row r="4722" spans="1:16" x14ac:dyDescent="0.25">
      <c r="A4722">
        <v>4721</v>
      </c>
      <c r="B4722" t="s">
        <v>9</v>
      </c>
      <c r="C4722">
        <v>439367.6</v>
      </c>
      <c r="D4722" t="s">
        <v>10</v>
      </c>
      <c r="E4722" t="s">
        <v>16</v>
      </c>
      <c r="F4722" t="s">
        <v>12</v>
      </c>
      <c r="G4722" t="s">
        <v>12</v>
      </c>
      <c r="H4722" t="s">
        <v>13</v>
      </c>
      <c r="I4722">
        <v>57</v>
      </c>
      <c r="J4722" t="str" cm="1">
        <f t="array" ref="J4722">_xlfn.IFS(ISBLANK(C4722),"FALTANTE",ABS((C4722-$W$5)/$X$5)&gt;1.96,"ATÍPICO",ABS((C4722-$W$5)/$X$5)&lt;=1.96,"NO ATÍPICO")</f>
        <v>NO ATÍPICO</v>
      </c>
      <c r="K4722" t="str" cm="1">
        <f t="array" ref="K4722">_xlfn.IFS(ISBLANK(I4722),"FALTANTE",ABS((I4722-$W$8)/$X$8)&gt;1.92,"ATÍPICO",ABS((I4722-$W$8)/$X$8)&lt;=1.92,"NO ATÍPICO")</f>
        <v>NO ATÍPICO</v>
      </c>
      <c r="L4722">
        <f t="shared" si="310"/>
        <v>439367.6</v>
      </c>
      <c r="M4722" t="str">
        <f t="shared" si="310"/>
        <v>ASALARIADO</v>
      </c>
      <c r="N4722">
        <f t="shared" si="311"/>
        <v>57</v>
      </c>
      <c r="O4722" s="19" t="str">
        <f t="shared" si="312"/>
        <v>300k–600k</v>
      </c>
      <c r="P4722" s="19" t="str">
        <f t="shared" si="313"/>
        <v>56+</v>
      </c>
    </row>
    <row r="4723" spans="1:16" x14ac:dyDescent="0.25">
      <c r="A4723">
        <v>4722</v>
      </c>
      <c r="B4723" t="s">
        <v>15</v>
      </c>
      <c r="C4723">
        <v>297046</v>
      </c>
      <c r="D4723" t="s">
        <v>17</v>
      </c>
      <c r="E4723" t="s">
        <v>16</v>
      </c>
      <c r="F4723" t="s">
        <v>12</v>
      </c>
      <c r="G4723" t="s">
        <v>13</v>
      </c>
      <c r="H4723" t="s">
        <v>13</v>
      </c>
      <c r="I4723">
        <v>41</v>
      </c>
      <c r="J4723" t="str" cm="1">
        <f t="array" ref="J4723">_xlfn.IFS(ISBLANK(C4723),"FALTANTE",ABS((C4723-$W$5)/$X$5)&gt;1.96,"ATÍPICO",ABS((C4723-$W$5)/$X$5)&lt;=1.96,"NO ATÍPICO")</f>
        <v>NO ATÍPICO</v>
      </c>
      <c r="K4723" t="str" cm="1">
        <f t="array" ref="K4723">_xlfn.IFS(ISBLANK(I4723),"FALTANTE",ABS((I4723-$W$8)/$X$8)&gt;1.92,"ATÍPICO",ABS((I4723-$W$8)/$X$8)&lt;=1.92,"NO ATÍPICO")</f>
        <v>NO ATÍPICO</v>
      </c>
      <c r="L4723">
        <f t="shared" si="310"/>
        <v>297046</v>
      </c>
      <c r="M4723" t="str">
        <f t="shared" si="310"/>
        <v>ASEGURADO VOLUNTARIO</v>
      </c>
      <c r="N4723">
        <f t="shared" si="311"/>
        <v>41</v>
      </c>
      <c r="O4723" s="19" t="str">
        <f t="shared" si="312"/>
        <v>0–300k</v>
      </c>
      <c r="P4723" s="19" t="str">
        <f t="shared" si="313"/>
        <v>36-45</v>
      </c>
    </row>
    <row r="4724" spans="1:16" x14ac:dyDescent="0.25">
      <c r="A4724">
        <v>4723</v>
      </c>
      <c r="B4724" t="s">
        <v>9</v>
      </c>
      <c r="C4724">
        <v>744485.75</v>
      </c>
      <c r="D4724" t="s">
        <v>10</v>
      </c>
      <c r="E4724" t="s">
        <v>11</v>
      </c>
      <c r="F4724" t="s">
        <v>12</v>
      </c>
      <c r="G4724" t="s">
        <v>13</v>
      </c>
      <c r="H4724" t="s">
        <v>13</v>
      </c>
      <c r="I4724">
        <v>54</v>
      </c>
      <c r="J4724" t="str" cm="1">
        <f t="array" ref="J4724">_xlfn.IFS(ISBLANK(C4724),"FALTANTE",ABS((C4724-$W$5)/$X$5)&gt;1.96,"ATÍPICO",ABS((C4724-$W$5)/$X$5)&lt;=1.96,"NO ATÍPICO")</f>
        <v>NO ATÍPICO</v>
      </c>
      <c r="K4724" t="str" cm="1">
        <f t="array" ref="K4724">_xlfn.IFS(ISBLANK(I4724),"FALTANTE",ABS((I4724-$W$8)/$X$8)&gt;1.92,"ATÍPICO",ABS((I4724-$W$8)/$X$8)&lt;=1.92,"NO ATÍPICO")</f>
        <v>NO ATÍPICO</v>
      </c>
      <c r="L4724">
        <f t="shared" si="310"/>
        <v>744485.75</v>
      </c>
      <c r="M4724" t="str">
        <f t="shared" si="310"/>
        <v>ASALARIADO</v>
      </c>
      <c r="N4724">
        <f t="shared" si="311"/>
        <v>54</v>
      </c>
      <c r="O4724" s="19" t="str">
        <f t="shared" si="312"/>
        <v>600k–900k</v>
      </c>
      <c r="P4724" s="19" t="str">
        <f t="shared" si="313"/>
        <v>46-55</v>
      </c>
    </row>
    <row r="4725" spans="1:16" x14ac:dyDescent="0.25">
      <c r="A4725">
        <v>4724</v>
      </c>
      <c r="B4725" t="s">
        <v>15</v>
      </c>
      <c r="C4725">
        <v>587429</v>
      </c>
      <c r="D4725" t="s">
        <v>10</v>
      </c>
      <c r="E4725" t="s">
        <v>16</v>
      </c>
      <c r="F4725" t="s">
        <v>12</v>
      </c>
      <c r="G4725" t="s">
        <v>13</v>
      </c>
      <c r="H4725" t="s">
        <v>13</v>
      </c>
      <c r="I4725">
        <v>43</v>
      </c>
      <c r="J4725" t="str" cm="1">
        <f t="array" ref="J4725">_xlfn.IFS(ISBLANK(C4725),"FALTANTE",ABS((C4725-$W$5)/$X$5)&gt;1.96,"ATÍPICO",ABS((C4725-$W$5)/$X$5)&lt;=1.96,"NO ATÍPICO")</f>
        <v>NO ATÍPICO</v>
      </c>
      <c r="K4725" t="str" cm="1">
        <f t="array" ref="K4725">_xlfn.IFS(ISBLANK(I4725),"FALTANTE",ABS((I4725-$W$8)/$X$8)&gt;1.92,"ATÍPICO",ABS((I4725-$W$8)/$X$8)&lt;=1.92,"NO ATÍPICO")</f>
        <v>NO ATÍPICO</v>
      </c>
      <c r="L4725">
        <f t="shared" si="310"/>
        <v>587429</v>
      </c>
      <c r="M4725" t="str">
        <f t="shared" si="310"/>
        <v>ASALARIADO</v>
      </c>
      <c r="N4725">
        <f t="shared" si="311"/>
        <v>43</v>
      </c>
      <c r="O4725" s="19" t="str">
        <f t="shared" si="312"/>
        <v>300k–600k</v>
      </c>
      <c r="P4725" s="19" t="str">
        <f t="shared" si="313"/>
        <v>36-45</v>
      </c>
    </row>
    <row r="4726" spans="1:16" x14ac:dyDescent="0.25">
      <c r="A4726">
        <v>4725</v>
      </c>
      <c r="B4726" t="s">
        <v>9</v>
      </c>
      <c r="C4726">
        <v>297045</v>
      </c>
      <c r="D4726" t="s">
        <v>18</v>
      </c>
      <c r="E4726" t="s">
        <v>16</v>
      </c>
      <c r="F4726" t="s">
        <v>12</v>
      </c>
      <c r="G4726" t="s">
        <v>13</v>
      </c>
      <c r="H4726" t="s">
        <v>13</v>
      </c>
      <c r="I4726">
        <v>45</v>
      </c>
      <c r="J4726" t="str" cm="1">
        <f t="array" ref="J4726">_xlfn.IFS(ISBLANK(C4726),"FALTANTE",ABS((C4726-$W$5)/$X$5)&gt;1.96,"ATÍPICO",ABS((C4726-$W$5)/$X$5)&lt;=1.96,"NO ATÍPICO")</f>
        <v>NO ATÍPICO</v>
      </c>
      <c r="K4726" t="str" cm="1">
        <f t="array" ref="K4726">_xlfn.IFS(ISBLANK(I4726),"FALTANTE",ABS((I4726-$W$8)/$X$8)&gt;1.92,"ATÍPICO",ABS((I4726-$W$8)/$X$8)&lt;=1.92,"NO ATÍPICO")</f>
        <v>NO ATÍPICO</v>
      </c>
      <c r="L4726">
        <f t="shared" si="310"/>
        <v>297045</v>
      </c>
      <c r="M4726" t="str">
        <f t="shared" si="310"/>
        <v>TRABAJADOR INDEPENDIENTE</v>
      </c>
      <c r="N4726">
        <f t="shared" si="311"/>
        <v>45</v>
      </c>
      <c r="O4726" s="19" t="str">
        <f t="shared" si="312"/>
        <v>0–300k</v>
      </c>
      <c r="P4726" s="19" t="str">
        <f t="shared" si="313"/>
        <v>36-45</v>
      </c>
    </row>
    <row r="4727" spans="1:16" x14ac:dyDescent="0.25">
      <c r="A4727">
        <v>4726</v>
      </c>
      <c r="B4727" t="s">
        <v>9</v>
      </c>
      <c r="C4727">
        <v>600000</v>
      </c>
      <c r="D4727" t="s">
        <v>10</v>
      </c>
      <c r="E4727" t="s">
        <v>16</v>
      </c>
      <c r="F4727" t="s">
        <v>12</v>
      </c>
      <c r="G4727" t="s">
        <v>12</v>
      </c>
      <c r="H4727" t="s">
        <v>13</v>
      </c>
      <c r="I4727">
        <v>46</v>
      </c>
      <c r="J4727" t="str" cm="1">
        <f t="array" ref="J4727">_xlfn.IFS(ISBLANK(C4727),"FALTANTE",ABS((C4727-$W$5)/$X$5)&gt;1.96,"ATÍPICO",ABS((C4727-$W$5)/$X$5)&lt;=1.96,"NO ATÍPICO")</f>
        <v>NO ATÍPICO</v>
      </c>
      <c r="K4727" t="str" cm="1">
        <f t="array" ref="K4727">_xlfn.IFS(ISBLANK(I4727),"FALTANTE",ABS((I4727-$W$8)/$X$8)&gt;1.92,"ATÍPICO",ABS((I4727-$W$8)/$X$8)&lt;=1.92,"NO ATÍPICO")</f>
        <v>NO ATÍPICO</v>
      </c>
      <c r="L4727">
        <f t="shared" si="310"/>
        <v>600000</v>
      </c>
      <c r="M4727" t="str">
        <f t="shared" si="310"/>
        <v>ASALARIADO</v>
      </c>
      <c r="N4727">
        <f t="shared" si="311"/>
        <v>46</v>
      </c>
      <c r="O4727" s="19" t="str">
        <f t="shared" si="312"/>
        <v>300k–600k</v>
      </c>
      <c r="P4727" s="19" t="str">
        <f t="shared" si="313"/>
        <v>46-55</v>
      </c>
    </row>
    <row r="4728" spans="1:16" x14ac:dyDescent="0.25">
      <c r="A4728">
        <v>4727</v>
      </c>
      <c r="B4728" t="s">
        <v>9</v>
      </c>
      <c r="C4728">
        <v>471303</v>
      </c>
      <c r="D4728" t="s">
        <v>10</v>
      </c>
      <c r="E4728" t="s">
        <v>11</v>
      </c>
      <c r="F4728" t="s">
        <v>12</v>
      </c>
      <c r="G4728" t="s">
        <v>13</v>
      </c>
      <c r="H4728" t="s">
        <v>12</v>
      </c>
      <c r="I4728">
        <v>56</v>
      </c>
      <c r="J4728" t="str" cm="1">
        <f t="array" ref="J4728">_xlfn.IFS(ISBLANK(C4728),"FALTANTE",ABS((C4728-$W$5)/$X$5)&gt;1.96,"ATÍPICO",ABS((C4728-$W$5)/$X$5)&lt;=1.96,"NO ATÍPICO")</f>
        <v>NO ATÍPICO</v>
      </c>
      <c r="K4728" t="str" cm="1">
        <f t="array" ref="K4728">_xlfn.IFS(ISBLANK(I4728),"FALTANTE",ABS((I4728-$W$8)/$X$8)&gt;1.92,"ATÍPICO",ABS((I4728-$W$8)/$X$8)&lt;=1.92,"NO ATÍPICO")</f>
        <v>NO ATÍPICO</v>
      </c>
      <c r="L4728">
        <f t="shared" si="310"/>
        <v>471303</v>
      </c>
      <c r="M4728" t="str">
        <f t="shared" si="310"/>
        <v>ASALARIADO</v>
      </c>
      <c r="N4728">
        <f t="shared" si="311"/>
        <v>56</v>
      </c>
      <c r="O4728" s="19" t="str">
        <f t="shared" si="312"/>
        <v>300k–600k</v>
      </c>
      <c r="P4728" s="19" t="str">
        <f t="shared" si="313"/>
        <v>56+</v>
      </c>
    </row>
    <row r="4729" spans="1:16" x14ac:dyDescent="0.25">
      <c r="A4729">
        <v>4728</v>
      </c>
      <c r="B4729" t="s">
        <v>9</v>
      </c>
      <c r="C4729">
        <v>584267</v>
      </c>
      <c r="D4729" t="s">
        <v>10</v>
      </c>
      <c r="E4729" t="s">
        <v>16</v>
      </c>
      <c r="F4729" t="s">
        <v>12</v>
      </c>
      <c r="G4729" t="s">
        <v>13</v>
      </c>
      <c r="H4729" t="s">
        <v>13</v>
      </c>
      <c r="I4729">
        <v>34</v>
      </c>
      <c r="J4729" t="str" cm="1">
        <f t="array" ref="J4729">_xlfn.IFS(ISBLANK(C4729),"FALTANTE",ABS((C4729-$W$5)/$X$5)&gt;1.96,"ATÍPICO",ABS((C4729-$W$5)/$X$5)&lt;=1.96,"NO ATÍPICO")</f>
        <v>NO ATÍPICO</v>
      </c>
      <c r="K4729" t="str" cm="1">
        <f t="array" ref="K4729">_xlfn.IFS(ISBLANK(I4729),"FALTANTE",ABS((I4729-$W$8)/$X$8)&gt;1.92,"ATÍPICO",ABS((I4729-$W$8)/$X$8)&lt;=1.92,"NO ATÍPICO")</f>
        <v>NO ATÍPICO</v>
      </c>
      <c r="L4729">
        <f t="shared" si="310"/>
        <v>584267</v>
      </c>
      <c r="M4729" t="str">
        <f t="shared" si="310"/>
        <v>ASALARIADO</v>
      </c>
      <c r="N4729">
        <f t="shared" si="311"/>
        <v>34</v>
      </c>
      <c r="O4729" s="19" t="str">
        <f t="shared" si="312"/>
        <v>300k–600k</v>
      </c>
      <c r="P4729" s="19" t="str">
        <f t="shared" si="313"/>
        <v>26-35</v>
      </c>
    </row>
    <row r="4730" spans="1:16" x14ac:dyDescent="0.25">
      <c r="A4730">
        <v>4729</v>
      </c>
      <c r="B4730" t="s">
        <v>15</v>
      </c>
      <c r="C4730">
        <v>455696</v>
      </c>
      <c r="D4730" t="s">
        <v>10</v>
      </c>
      <c r="E4730" t="s">
        <v>11</v>
      </c>
      <c r="F4730" t="s">
        <v>12</v>
      </c>
      <c r="G4730" t="s">
        <v>13</v>
      </c>
      <c r="H4730" t="s">
        <v>13</v>
      </c>
      <c r="I4730">
        <v>35</v>
      </c>
      <c r="J4730" t="str" cm="1">
        <f t="array" ref="J4730">_xlfn.IFS(ISBLANK(C4730),"FALTANTE",ABS((C4730-$W$5)/$X$5)&gt;1.96,"ATÍPICO",ABS((C4730-$W$5)/$X$5)&lt;=1.96,"NO ATÍPICO")</f>
        <v>NO ATÍPICO</v>
      </c>
      <c r="K4730" t="str" cm="1">
        <f t="array" ref="K4730">_xlfn.IFS(ISBLANK(I4730),"FALTANTE",ABS((I4730-$W$8)/$X$8)&gt;1.92,"ATÍPICO",ABS((I4730-$W$8)/$X$8)&lt;=1.92,"NO ATÍPICO")</f>
        <v>NO ATÍPICO</v>
      </c>
      <c r="L4730">
        <f t="shared" si="310"/>
        <v>455696</v>
      </c>
      <c r="M4730" t="str">
        <f t="shared" si="310"/>
        <v>ASALARIADO</v>
      </c>
      <c r="N4730">
        <f t="shared" si="311"/>
        <v>35</v>
      </c>
      <c r="O4730" s="19" t="str">
        <f t="shared" si="312"/>
        <v>300k–600k</v>
      </c>
      <c r="P4730" s="19" t="str">
        <f t="shared" si="313"/>
        <v>26-35</v>
      </c>
    </row>
    <row r="4731" spans="1:16" x14ac:dyDescent="0.25">
      <c r="A4731">
        <v>4730</v>
      </c>
      <c r="B4731" t="s">
        <v>9</v>
      </c>
      <c r="C4731">
        <v>508567.57</v>
      </c>
      <c r="D4731" t="s">
        <v>10</v>
      </c>
      <c r="E4731" t="s">
        <v>16</v>
      </c>
      <c r="F4731" t="s">
        <v>12</v>
      </c>
      <c r="G4731" t="s">
        <v>13</v>
      </c>
      <c r="H4731" t="s">
        <v>13</v>
      </c>
      <c r="I4731">
        <v>28</v>
      </c>
      <c r="J4731" t="str" cm="1">
        <f t="array" ref="J4731">_xlfn.IFS(ISBLANK(C4731),"FALTANTE",ABS((C4731-$W$5)/$X$5)&gt;1.96,"ATÍPICO",ABS((C4731-$W$5)/$X$5)&lt;=1.96,"NO ATÍPICO")</f>
        <v>NO ATÍPICO</v>
      </c>
      <c r="K4731" t="str" cm="1">
        <f t="array" ref="K4731">_xlfn.IFS(ISBLANK(I4731),"FALTANTE",ABS((I4731-$W$8)/$X$8)&gt;1.92,"ATÍPICO",ABS((I4731-$W$8)/$X$8)&lt;=1.92,"NO ATÍPICO")</f>
        <v>NO ATÍPICO</v>
      </c>
      <c r="L4731">
        <f t="shared" si="310"/>
        <v>508567.57</v>
      </c>
      <c r="M4731" t="str">
        <f t="shared" si="310"/>
        <v>ASALARIADO</v>
      </c>
      <c r="N4731">
        <f t="shared" si="311"/>
        <v>28</v>
      </c>
      <c r="O4731" s="19" t="str">
        <f t="shared" si="312"/>
        <v>300k–600k</v>
      </c>
      <c r="P4731" s="19" t="str">
        <f t="shared" si="313"/>
        <v>26-35</v>
      </c>
    </row>
    <row r="4732" spans="1:16" x14ac:dyDescent="0.25">
      <c r="A4732">
        <v>4731</v>
      </c>
      <c r="B4732" t="s">
        <v>9</v>
      </c>
      <c r="C4732">
        <v>780062.6</v>
      </c>
      <c r="D4732" t="s">
        <v>10</v>
      </c>
      <c r="E4732" t="s">
        <v>16</v>
      </c>
      <c r="F4732" t="s">
        <v>12</v>
      </c>
      <c r="G4732" t="s">
        <v>13</v>
      </c>
      <c r="H4732" t="s">
        <v>13</v>
      </c>
      <c r="I4732">
        <v>41</v>
      </c>
      <c r="J4732" t="str" cm="1">
        <f t="array" ref="J4732">_xlfn.IFS(ISBLANK(C4732),"FALTANTE",ABS((C4732-$W$5)/$X$5)&gt;1.96,"ATÍPICO",ABS((C4732-$W$5)/$X$5)&lt;=1.96,"NO ATÍPICO")</f>
        <v>NO ATÍPICO</v>
      </c>
      <c r="K4732" t="str" cm="1">
        <f t="array" ref="K4732">_xlfn.IFS(ISBLANK(I4732),"FALTANTE",ABS((I4732-$W$8)/$X$8)&gt;1.92,"ATÍPICO",ABS((I4732-$W$8)/$X$8)&lt;=1.92,"NO ATÍPICO")</f>
        <v>NO ATÍPICO</v>
      </c>
      <c r="L4732">
        <f t="shared" si="310"/>
        <v>780062.6</v>
      </c>
      <c r="M4732" t="str">
        <f t="shared" si="310"/>
        <v>ASALARIADO</v>
      </c>
      <c r="N4732">
        <f t="shared" si="311"/>
        <v>41</v>
      </c>
      <c r="O4732" s="19" t="str">
        <f t="shared" si="312"/>
        <v>600k–900k</v>
      </c>
      <c r="P4732" s="19" t="str">
        <f t="shared" si="313"/>
        <v>36-45</v>
      </c>
    </row>
    <row r="4733" spans="1:16" x14ac:dyDescent="0.25">
      <c r="A4733">
        <v>4732</v>
      </c>
      <c r="B4733" t="s">
        <v>15</v>
      </c>
      <c r="C4733">
        <v>299152</v>
      </c>
      <c r="D4733" t="s">
        <v>10</v>
      </c>
      <c r="E4733" t="s">
        <v>11</v>
      </c>
      <c r="F4733" t="s">
        <v>12</v>
      </c>
      <c r="G4733" t="s">
        <v>13</v>
      </c>
      <c r="H4733" t="s">
        <v>13</v>
      </c>
      <c r="I4733">
        <v>48</v>
      </c>
      <c r="J4733" t="str" cm="1">
        <f t="array" ref="J4733">_xlfn.IFS(ISBLANK(C4733),"FALTANTE",ABS((C4733-$W$5)/$X$5)&gt;1.96,"ATÍPICO",ABS((C4733-$W$5)/$X$5)&lt;=1.96,"NO ATÍPICO")</f>
        <v>NO ATÍPICO</v>
      </c>
      <c r="K4733" t="str" cm="1">
        <f t="array" ref="K4733">_xlfn.IFS(ISBLANK(I4733),"FALTANTE",ABS((I4733-$W$8)/$X$8)&gt;1.92,"ATÍPICO",ABS((I4733-$W$8)/$X$8)&lt;=1.92,"NO ATÍPICO")</f>
        <v>NO ATÍPICO</v>
      </c>
      <c r="L4733">
        <f t="shared" si="310"/>
        <v>299152</v>
      </c>
      <c r="M4733" t="str">
        <f t="shared" si="310"/>
        <v>ASALARIADO</v>
      </c>
      <c r="N4733">
        <f t="shared" si="311"/>
        <v>48</v>
      </c>
      <c r="O4733" s="19" t="str">
        <f t="shared" si="312"/>
        <v>0–300k</v>
      </c>
      <c r="P4733" s="19" t="str">
        <f t="shared" si="313"/>
        <v>46-55</v>
      </c>
    </row>
    <row r="4734" spans="1:16" x14ac:dyDescent="0.25">
      <c r="A4734">
        <v>4733</v>
      </c>
      <c r="B4734" t="s">
        <v>9</v>
      </c>
      <c r="C4734">
        <v>83752.679999999993</v>
      </c>
      <c r="D4734" t="s">
        <v>10</v>
      </c>
      <c r="E4734" t="s">
        <v>16</v>
      </c>
      <c r="F4734" t="s">
        <v>12</v>
      </c>
      <c r="G4734" t="s">
        <v>12</v>
      </c>
      <c r="H4734" t="s">
        <v>13</v>
      </c>
      <c r="I4734">
        <v>33</v>
      </c>
      <c r="J4734" t="str" cm="1">
        <f t="array" ref="J4734">_xlfn.IFS(ISBLANK(C4734),"FALTANTE",ABS((C4734-$W$5)/$X$5)&gt;1.96,"ATÍPICO",ABS((C4734-$W$5)/$X$5)&lt;=1.96,"NO ATÍPICO")</f>
        <v>NO ATÍPICO</v>
      </c>
      <c r="K4734" t="str" cm="1">
        <f t="array" ref="K4734">_xlfn.IFS(ISBLANK(I4734),"FALTANTE",ABS((I4734-$W$8)/$X$8)&gt;1.92,"ATÍPICO",ABS((I4734-$W$8)/$X$8)&lt;=1.92,"NO ATÍPICO")</f>
        <v>NO ATÍPICO</v>
      </c>
      <c r="L4734">
        <f t="shared" si="310"/>
        <v>83752.679999999993</v>
      </c>
      <c r="M4734" t="str">
        <f t="shared" si="310"/>
        <v>ASALARIADO</v>
      </c>
      <c r="N4734">
        <f t="shared" si="311"/>
        <v>33</v>
      </c>
      <c r="O4734" s="19" t="str">
        <f t="shared" si="312"/>
        <v>0–300k</v>
      </c>
      <c r="P4734" s="19" t="str">
        <f t="shared" si="313"/>
        <v>26-35</v>
      </c>
    </row>
    <row r="4735" spans="1:16" x14ac:dyDescent="0.25">
      <c r="A4735">
        <v>4734</v>
      </c>
      <c r="B4735" t="s">
        <v>15</v>
      </c>
      <c r="C4735">
        <v>566297</v>
      </c>
      <c r="D4735" t="s">
        <v>18</v>
      </c>
      <c r="E4735" t="s">
        <v>16</v>
      </c>
      <c r="F4735" t="s">
        <v>12</v>
      </c>
      <c r="G4735" t="s">
        <v>12</v>
      </c>
      <c r="H4735" t="s">
        <v>13</v>
      </c>
      <c r="I4735">
        <v>59</v>
      </c>
      <c r="J4735" t="str" cm="1">
        <f t="array" ref="J4735">_xlfn.IFS(ISBLANK(C4735),"FALTANTE",ABS((C4735-$W$5)/$X$5)&gt;1.96,"ATÍPICO",ABS((C4735-$W$5)/$X$5)&lt;=1.96,"NO ATÍPICO")</f>
        <v>NO ATÍPICO</v>
      </c>
      <c r="K4735" t="str" cm="1">
        <f t="array" ref="K4735">_xlfn.IFS(ISBLANK(I4735),"FALTANTE",ABS((I4735-$W$8)/$X$8)&gt;1.92,"ATÍPICO",ABS((I4735-$W$8)/$X$8)&lt;=1.92,"NO ATÍPICO")</f>
        <v>NO ATÍPICO</v>
      </c>
      <c r="L4735">
        <f t="shared" si="310"/>
        <v>566297</v>
      </c>
      <c r="M4735" t="str">
        <f t="shared" si="310"/>
        <v>TRABAJADOR INDEPENDIENTE</v>
      </c>
      <c r="N4735">
        <f t="shared" si="311"/>
        <v>59</v>
      </c>
      <c r="O4735" s="19" t="str">
        <f t="shared" si="312"/>
        <v>300k–600k</v>
      </c>
      <c r="P4735" s="19" t="str">
        <f t="shared" si="313"/>
        <v>56+</v>
      </c>
    </row>
    <row r="4736" spans="1:16" x14ac:dyDescent="0.25">
      <c r="A4736">
        <v>4735</v>
      </c>
      <c r="B4736" t="s">
        <v>9</v>
      </c>
      <c r="C4736">
        <v>515703.75</v>
      </c>
      <c r="D4736" t="s">
        <v>10</v>
      </c>
      <c r="E4736" t="s">
        <v>11</v>
      </c>
      <c r="F4736" t="s">
        <v>12</v>
      </c>
      <c r="G4736" t="s">
        <v>13</v>
      </c>
      <c r="H4736" t="s">
        <v>13</v>
      </c>
      <c r="I4736">
        <v>49</v>
      </c>
      <c r="J4736" t="str" cm="1">
        <f t="array" ref="J4736">_xlfn.IFS(ISBLANK(C4736),"FALTANTE",ABS((C4736-$W$5)/$X$5)&gt;1.96,"ATÍPICO",ABS((C4736-$W$5)/$X$5)&lt;=1.96,"NO ATÍPICO")</f>
        <v>NO ATÍPICO</v>
      </c>
      <c r="K4736" t="str" cm="1">
        <f t="array" ref="K4736">_xlfn.IFS(ISBLANK(I4736),"FALTANTE",ABS((I4736-$W$8)/$X$8)&gt;1.92,"ATÍPICO",ABS((I4736-$W$8)/$X$8)&lt;=1.92,"NO ATÍPICO")</f>
        <v>NO ATÍPICO</v>
      </c>
      <c r="L4736">
        <f t="shared" si="310"/>
        <v>515703.75</v>
      </c>
      <c r="M4736" t="str">
        <f t="shared" si="310"/>
        <v>ASALARIADO</v>
      </c>
      <c r="N4736">
        <f t="shared" si="311"/>
        <v>49</v>
      </c>
      <c r="O4736" s="19" t="str">
        <f t="shared" si="312"/>
        <v>300k–600k</v>
      </c>
      <c r="P4736" s="19" t="str">
        <f t="shared" si="313"/>
        <v>46-55</v>
      </c>
    </row>
    <row r="4737" spans="1:16" x14ac:dyDescent="0.25">
      <c r="A4737">
        <v>4736</v>
      </c>
      <c r="B4737" t="s">
        <v>9</v>
      </c>
      <c r="C4737">
        <v>666888.57999999996</v>
      </c>
      <c r="D4737" t="s">
        <v>10</v>
      </c>
      <c r="E4737" t="s">
        <v>16</v>
      </c>
      <c r="F4737" t="s">
        <v>12</v>
      </c>
      <c r="G4737" t="s">
        <v>13</v>
      </c>
      <c r="H4737" t="s">
        <v>13</v>
      </c>
      <c r="I4737">
        <v>57</v>
      </c>
      <c r="J4737" t="str" cm="1">
        <f t="array" ref="J4737">_xlfn.IFS(ISBLANK(C4737),"FALTANTE",ABS((C4737-$W$5)/$X$5)&gt;1.96,"ATÍPICO",ABS((C4737-$W$5)/$X$5)&lt;=1.96,"NO ATÍPICO")</f>
        <v>NO ATÍPICO</v>
      </c>
      <c r="K4737" t="str" cm="1">
        <f t="array" ref="K4737">_xlfn.IFS(ISBLANK(I4737),"FALTANTE",ABS((I4737-$W$8)/$X$8)&gt;1.92,"ATÍPICO",ABS((I4737-$W$8)/$X$8)&lt;=1.92,"NO ATÍPICO")</f>
        <v>NO ATÍPICO</v>
      </c>
      <c r="L4737">
        <f t="shared" si="310"/>
        <v>666888.57999999996</v>
      </c>
      <c r="M4737" t="str">
        <f t="shared" si="310"/>
        <v>ASALARIADO</v>
      </c>
      <c r="N4737">
        <f t="shared" si="311"/>
        <v>57</v>
      </c>
      <c r="O4737" s="19" t="str">
        <f t="shared" si="312"/>
        <v>600k–900k</v>
      </c>
      <c r="P4737" s="19" t="str">
        <f t="shared" si="313"/>
        <v>56+</v>
      </c>
    </row>
    <row r="4738" spans="1:16" x14ac:dyDescent="0.25">
      <c r="A4738">
        <v>4737</v>
      </c>
      <c r="B4738" t="s">
        <v>15</v>
      </c>
      <c r="C4738">
        <v>597692</v>
      </c>
      <c r="D4738" t="s">
        <v>10</v>
      </c>
      <c r="E4738" t="s">
        <v>16</v>
      </c>
      <c r="F4738" t="s">
        <v>12</v>
      </c>
      <c r="G4738" t="s">
        <v>13</v>
      </c>
      <c r="H4738" t="s">
        <v>13</v>
      </c>
      <c r="I4738">
        <v>40</v>
      </c>
      <c r="J4738" t="str" cm="1">
        <f t="array" ref="J4738">_xlfn.IFS(ISBLANK(C4738),"FALTANTE",ABS((C4738-$W$5)/$X$5)&gt;1.96,"ATÍPICO",ABS((C4738-$W$5)/$X$5)&lt;=1.96,"NO ATÍPICO")</f>
        <v>NO ATÍPICO</v>
      </c>
      <c r="K4738" t="str" cm="1">
        <f t="array" ref="K4738">_xlfn.IFS(ISBLANK(I4738),"FALTANTE",ABS((I4738-$W$8)/$X$8)&gt;1.92,"ATÍPICO",ABS((I4738-$W$8)/$X$8)&lt;=1.92,"NO ATÍPICO")</f>
        <v>NO ATÍPICO</v>
      </c>
      <c r="L4738">
        <f t="shared" ref="L4738:M4801" si="314">C4738</f>
        <v>597692</v>
      </c>
      <c r="M4738" t="str">
        <f t="shared" si="314"/>
        <v>ASALARIADO</v>
      </c>
      <c r="N4738">
        <f t="shared" ref="N4738:N4801" si="315">I4738</f>
        <v>40</v>
      </c>
      <c r="O4738" s="19" t="str">
        <f t="shared" ref="O4738:O4801" si="316">IF(L4738&lt;=300000,"0–300k",IF(L4738&lt;=600000,"300k–600k",IF(L4738&lt;=900000,"600k–900k",IF(L4738&lt;=1200000,"900k–1200k","1200k+"))))</f>
        <v>300k–600k</v>
      </c>
      <c r="P4738" s="19" t="str">
        <f t="shared" ref="P4738:P4801" si="317">IF(N4738 &lt;=25,"18-25", IF(N4738&lt;=35,"26-35", IF(N4738 &lt;=45,"36-45", IF(N4738&lt;=55,"46-55","56+"))))</f>
        <v>36-45</v>
      </c>
    </row>
    <row r="4739" spans="1:16" x14ac:dyDescent="0.25">
      <c r="A4739">
        <v>4738</v>
      </c>
      <c r="B4739" t="s">
        <v>9</v>
      </c>
      <c r="C4739">
        <v>377274.53</v>
      </c>
      <c r="D4739" t="s">
        <v>10</v>
      </c>
      <c r="E4739" t="s">
        <v>16</v>
      </c>
      <c r="F4739" t="s">
        <v>12</v>
      </c>
      <c r="G4739" t="s">
        <v>12</v>
      </c>
      <c r="H4739" t="s">
        <v>13</v>
      </c>
      <c r="I4739">
        <v>21</v>
      </c>
      <c r="J4739" t="str" cm="1">
        <f t="array" ref="J4739">_xlfn.IFS(ISBLANK(C4739),"FALTANTE",ABS((C4739-$W$5)/$X$5)&gt;1.96,"ATÍPICO",ABS((C4739-$W$5)/$X$5)&lt;=1.96,"NO ATÍPICO")</f>
        <v>NO ATÍPICO</v>
      </c>
      <c r="K4739" t="str" cm="1">
        <f t="array" ref="K4739">_xlfn.IFS(ISBLANK(I4739),"FALTANTE",ABS((I4739-$W$8)/$X$8)&gt;1.92,"ATÍPICO",ABS((I4739-$W$8)/$X$8)&lt;=1.92,"NO ATÍPICO")</f>
        <v>NO ATÍPICO</v>
      </c>
      <c r="L4739">
        <f t="shared" si="314"/>
        <v>377274.53</v>
      </c>
      <c r="M4739" t="str">
        <f t="shared" si="314"/>
        <v>ASALARIADO</v>
      </c>
      <c r="N4739">
        <f t="shared" si="315"/>
        <v>21</v>
      </c>
      <c r="O4739" s="19" t="str">
        <f t="shared" si="316"/>
        <v>300k–600k</v>
      </c>
      <c r="P4739" s="19" t="str">
        <f t="shared" si="317"/>
        <v>18-25</v>
      </c>
    </row>
    <row r="4740" spans="1:16" x14ac:dyDescent="0.25">
      <c r="A4740">
        <v>4739</v>
      </c>
      <c r="B4740" t="s">
        <v>9</v>
      </c>
      <c r="C4740">
        <v>426954</v>
      </c>
      <c r="D4740" t="s">
        <v>10</v>
      </c>
      <c r="E4740" t="s">
        <v>11</v>
      </c>
      <c r="F4740" t="s">
        <v>12</v>
      </c>
      <c r="G4740" t="s">
        <v>13</v>
      </c>
      <c r="H4740" t="s">
        <v>13</v>
      </c>
      <c r="I4740">
        <v>27</v>
      </c>
      <c r="J4740" t="str" cm="1">
        <f t="array" ref="J4740">_xlfn.IFS(ISBLANK(C4740),"FALTANTE",ABS((C4740-$W$5)/$X$5)&gt;1.96,"ATÍPICO",ABS((C4740-$W$5)/$X$5)&lt;=1.96,"NO ATÍPICO")</f>
        <v>NO ATÍPICO</v>
      </c>
      <c r="K4740" t="str" cm="1">
        <f t="array" ref="K4740">_xlfn.IFS(ISBLANK(I4740),"FALTANTE",ABS((I4740-$W$8)/$X$8)&gt;1.92,"ATÍPICO",ABS((I4740-$W$8)/$X$8)&lt;=1.92,"NO ATÍPICO")</f>
        <v>NO ATÍPICO</v>
      </c>
      <c r="L4740">
        <f t="shared" si="314"/>
        <v>426954</v>
      </c>
      <c r="M4740" t="str">
        <f t="shared" si="314"/>
        <v>ASALARIADO</v>
      </c>
      <c r="N4740">
        <f t="shared" si="315"/>
        <v>27</v>
      </c>
      <c r="O4740" s="19" t="str">
        <f t="shared" si="316"/>
        <v>300k–600k</v>
      </c>
      <c r="P4740" s="19" t="str">
        <f t="shared" si="317"/>
        <v>26-35</v>
      </c>
    </row>
    <row r="4741" spans="1:16" x14ac:dyDescent="0.25">
      <c r="A4741">
        <v>4740</v>
      </c>
      <c r="B4741" t="s">
        <v>9</v>
      </c>
      <c r="C4741">
        <v>406273.76</v>
      </c>
      <c r="D4741" t="s">
        <v>10</v>
      </c>
      <c r="E4741" t="s">
        <v>16</v>
      </c>
      <c r="F4741" t="s">
        <v>12</v>
      </c>
      <c r="G4741" t="s">
        <v>13</v>
      </c>
      <c r="H4741" t="s">
        <v>13</v>
      </c>
      <c r="I4741">
        <v>30</v>
      </c>
      <c r="J4741" t="str" cm="1">
        <f t="array" ref="J4741">_xlfn.IFS(ISBLANK(C4741),"FALTANTE",ABS((C4741-$W$5)/$X$5)&gt;1.96,"ATÍPICO",ABS((C4741-$W$5)/$X$5)&lt;=1.96,"NO ATÍPICO")</f>
        <v>NO ATÍPICO</v>
      </c>
      <c r="K4741" t="str" cm="1">
        <f t="array" ref="K4741">_xlfn.IFS(ISBLANK(I4741),"FALTANTE",ABS((I4741-$W$8)/$X$8)&gt;1.92,"ATÍPICO",ABS((I4741-$W$8)/$X$8)&lt;=1.92,"NO ATÍPICO")</f>
        <v>NO ATÍPICO</v>
      </c>
      <c r="L4741">
        <f t="shared" si="314"/>
        <v>406273.76</v>
      </c>
      <c r="M4741" t="str">
        <f t="shared" si="314"/>
        <v>ASALARIADO</v>
      </c>
      <c r="N4741">
        <f t="shared" si="315"/>
        <v>30</v>
      </c>
      <c r="O4741" s="19" t="str">
        <f t="shared" si="316"/>
        <v>300k–600k</v>
      </c>
      <c r="P4741" s="19" t="str">
        <f t="shared" si="317"/>
        <v>26-35</v>
      </c>
    </row>
    <row r="4742" spans="1:16" x14ac:dyDescent="0.25">
      <c r="A4742">
        <v>4741</v>
      </c>
      <c r="B4742" t="s">
        <v>15</v>
      </c>
      <c r="C4742">
        <v>278030</v>
      </c>
      <c r="D4742" t="s">
        <v>17</v>
      </c>
      <c r="E4742" t="s">
        <v>16</v>
      </c>
      <c r="F4742" t="s">
        <v>12</v>
      </c>
      <c r="G4742" t="s">
        <v>13</v>
      </c>
      <c r="H4742" t="s">
        <v>13</v>
      </c>
      <c r="I4742">
        <v>34</v>
      </c>
      <c r="J4742" t="str" cm="1">
        <f t="array" ref="J4742">_xlfn.IFS(ISBLANK(C4742),"FALTANTE",ABS((C4742-$W$5)/$X$5)&gt;1.96,"ATÍPICO",ABS((C4742-$W$5)/$X$5)&lt;=1.96,"NO ATÍPICO")</f>
        <v>NO ATÍPICO</v>
      </c>
      <c r="K4742" t="str" cm="1">
        <f t="array" ref="K4742">_xlfn.IFS(ISBLANK(I4742),"FALTANTE",ABS((I4742-$W$8)/$X$8)&gt;1.92,"ATÍPICO",ABS((I4742-$W$8)/$X$8)&lt;=1.92,"NO ATÍPICO")</f>
        <v>NO ATÍPICO</v>
      </c>
      <c r="L4742">
        <f t="shared" si="314"/>
        <v>278030</v>
      </c>
      <c r="M4742" t="str">
        <f t="shared" si="314"/>
        <v>ASEGURADO VOLUNTARIO</v>
      </c>
      <c r="N4742">
        <f t="shared" si="315"/>
        <v>34</v>
      </c>
      <c r="O4742" s="19" t="str">
        <f t="shared" si="316"/>
        <v>0–300k</v>
      </c>
      <c r="P4742" s="19" t="str">
        <f t="shared" si="317"/>
        <v>26-35</v>
      </c>
    </row>
    <row r="4743" spans="1:16" x14ac:dyDescent="0.25">
      <c r="A4743">
        <v>4742</v>
      </c>
      <c r="B4743" t="s">
        <v>9</v>
      </c>
      <c r="C4743">
        <v>478916.7</v>
      </c>
      <c r="D4743" t="s">
        <v>10</v>
      </c>
      <c r="E4743" t="s">
        <v>16</v>
      </c>
      <c r="F4743" t="s">
        <v>12</v>
      </c>
      <c r="G4743" t="s">
        <v>12</v>
      </c>
      <c r="H4743" t="s">
        <v>13</v>
      </c>
      <c r="I4743">
        <v>48</v>
      </c>
      <c r="J4743" t="str" cm="1">
        <f t="array" ref="J4743">_xlfn.IFS(ISBLANK(C4743),"FALTANTE",ABS((C4743-$W$5)/$X$5)&gt;1.96,"ATÍPICO",ABS((C4743-$W$5)/$X$5)&lt;=1.96,"NO ATÍPICO")</f>
        <v>NO ATÍPICO</v>
      </c>
      <c r="K4743" t="str" cm="1">
        <f t="array" ref="K4743">_xlfn.IFS(ISBLANK(I4743),"FALTANTE",ABS((I4743-$W$8)/$X$8)&gt;1.92,"ATÍPICO",ABS((I4743-$W$8)/$X$8)&lt;=1.92,"NO ATÍPICO")</f>
        <v>NO ATÍPICO</v>
      </c>
      <c r="L4743">
        <f t="shared" si="314"/>
        <v>478916.7</v>
      </c>
      <c r="M4743" t="str">
        <f t="shared" si="314"/>
        <v>ASALARIADO</v>
      </c>
      <c r="N4743">
        <f t="shared" si="315"/>
        <v>48</v>
      </c>
      <c r="O4743" s="19" t="str">
        <f t="shared" si="316"/>
        <v>300k–600k</v>
      </c>
      <c r="P4743" s="19" t="str">
        <f t="shared" si="317"/>
        <v>46-55</v>
      </c>
    </row>
    <row r="4744" spans="1:16" x14ac:dyDescent="0.25">
      <c r="A4744">
        <v>4743</v>
      </c>
      <c r="B4744" t="s">
        <v>9</v>
      </c>
      <c r="C4744">
        <v>713217</v>
      </c>
      <c r="D4744" t="s">
        <v>10</v>
      </c>
      <c r="E4744" t="s">
        <v>11</v>
      </c>
      <c r="F4744" t="s">
        <v>12</v>
      </c>
      <c r="G4744" t="s">
        <v>13</v>
      </c>
      <c r="H4744" t="s">
        <v>13</v>
      </c>
      <c r="I4744">
        <v>32</v>
      </c>
      <c r="J4744" t="str" cm="1">
        <f t="array" ref="J4744">_xlfn.IFS(ISBLANK(C4744),"FALTANTE",ABS((C4744-$W$5)/$X$5)&gt;1.96,"ATÍPICO",ABS((C4744-$W$5)/$X$5)&lt;=1.96,"NO ATÍPICO")</f>
        <v>NO ATÍPICO</v>
      </c>
      <c r="K4744" t="str" cm="1">
        <f t="array" ref="K4744">_xlfn.IFS(ISBLANK(I4744),"FALTANTE",ABS((I4744-$W$8)/$X$8)&gt;1.92,"ATÍPICO",ABS((I4744-$W$8)/$X$8)&lt;=1.92,"NO ATÍPICO")</f>
        <v>NO ATÍPICO</v>
      </c>
      <c r="L4744">
        <f t="shared" si="314"/>
        <v>713217</v>
      </c>
      <c r="M4744" t="str">
        <f t="shared" si="314"/>
        <v>ASALARIADO</v>
      </c>
      <c r="N4744">
        <f t="shared" si="315"/>
        <v>32</v>
      </c>
      <c r="O4744" s="19" t="str">
        <f t="shared" si="316"/>
        <v>600k–900k</v>
      </c>
      <c r="P4744" s="19" t="str">
        <f t="shared" si="317"/>
        <v>26-35</v>
      </c>
    </row>
    <row r="4745" spans="1:16" x14ac:dyDescent="0.25">
      <c r="A4745">
        <v>4744</v>
      </c>
      <c r="B4745" t="s">
        <v>9</v>
      </c>
      <c r="C4745">
        <v>380000</v>
      </c>
      <c r="D4745" t="s">
        <v>10</v>
      </c>
      <c r="E4745" t="s">
        <v>16</v>
      </c>
      <c r="F4745" t="s">
        <v>12</v>
      </c>
      <c r="G4745" t="s">
        <v>13</v>
      </c>
      <c r="H4745" t="s">
        <v>12</v>
      </c>
      <c r="I4745">
        <v>22</v>
      </c>
      <c r="J4745" t="str" cm="1">
        <f t="array" ref="J4745">_xlfn.IFS(ISBLANK(C4745),"FALTANTE",ABS((C4745-$W$5)/$X$5)&gt;1.96,"ATÍPICO",ABS((C4745-$W$5)/$X$5)&lt;=1.96,"NO ATÍPICO")</f>
        <v>NO ATÍPICO</v>
      </c>
      <c r="K4745" t="str" cm="1">
        <f t="array" ref="K4745">_xlfn.IFS(ISBLANK(I4745),"FALTANTE",ABS((I4745-$W$8)/$X$8)&gt;1.92,"ATÍPICO",ABS((I4745-$W$8)/$X$8)&lt;=1.92,"NO ATÍPICO")</f>
        <v>NO ATÍPICO</v>
      </c>
      <c r="L4745">
        <f t="shared" si="314"/>
        <v>380000</v>
      </c>
      <c r="M4745" t="str">
        <f t="shared" si="314"/>
        <v>ASALARIADO</v>
      </c>
      <c r="N4745">
        <f t="shared" si="315"/>
        <v>22</v>
      </c>
      <c r="O4745" s="19" t="str">
        <f t="shared" si="316"/>
        <v>300k–600k</v>
      </c>
      <c r="P4745" s="19" t="str">
        <f t="shared" si="317"/>
        <v>18-25</v>
      </c>
    </row>
    <row r="4746" spans="1:16" x14ac:dyDescent="0.25">
      <c r="A4746">
        <v>4745</v>
      </c>
      <c r="B4746" t="s">
        <v>9</v>
      </c>
      <c r="C4746">
        <v>371789</v>
      </c>
      <c r="D4746" t="s">
        <v>18</v>
      </c>
      <c r="E4746" t="s">
        <v>16</v>
      </c>
      <c r="F4746" t="s">
        <v>12</v>
      </c>
      <c r="G4746" t="s">
        <v>13</v>
      </c>
      <c r="H4746" t="s">
        <v>13</v>
      </c>
      <c r="I4746">
        <v>55</v>
      </c>
      <c r="J4746" t="str" cm="1">
        <f t="array" ref="J4746">_xlfn.IFS(ISBLANK(C4746),"FALTANTE",ABS((C4746-$W$5)/$X$5)&gt;1.96,"ATÍPICO",ABS((C4746-$W$5)/$X$5)&lt;=1.96,"NO ATÍPICO")</f>
        <v>NO ATÍPICO</v>
      </c>
      <c r="K4746" t="str" cm="1">
        <f t="array" ref="K4746">_xlfn.IFS(ISBLANK(I4746),"FALTANTE",ABS((I4746-$W$8)/$X$8)&gt;1.92,"ATÍPICO",ABS((I4746-$W$8)/$X$8)&lt;=1.92,"NO ATÍPICO")</f>
        <v>NO ATÍPICO</v>
      </c>
      <c r="L4746">
        <f t="shared" si="314"/>
        <v>371789</v>
      </c>
      <c r="M4746" t="str">
        <f t="shared" si="314"/>
        <v>TRABAJADOR INDEPENDIENTE</v>
      </c>
      <c r="N4746">
        <f t="shared" si="315"/>
        <v>55</v>
      </c>
      <c r="O4746" s="19" t="str">
        <f t="shared" si="316"/>
        <v>300k–600k</v>
      </c>
      <c r="P4746" s="19" t="str">
        <f t="shared" si="317"/>
        <v>46-55</v>
      </c>
    </row>
    <row r="4747" spans="1:16" x14ac:dyDescent="0.25">
      <c r="A4747">
        <v>4746</v>
      </c>
      <c r="B4747" t="s">
        <v>9</v>
      </c>
      <c r="C4747">
        <v>409656.48</v>
      </c>
      <c r="D4747" t="s">
        <v>10</v>
      </c>
      <c r="E4747" t="s">
        <v>16</v>
      </c>
      <c r="F4747" t="s">
        <v>12</v>
      </c>
      <c r="G4747" t="s">
        <v>12</v>
      </c>
      <c r="H4747" t="s">
        <v>13</v>
      </c>
      <c r="I4747">
        <v>59</v>
      </c>
      <c r="J4747" t="str" cm="1">
        <f t="array" ref="J4747">_xlfn.IFS(ISBLANK(C4747),"FALTANTE",ABS((C4747-$W$5)/$X$5)&gt;1.96,"ATÍPICO",ABS((C4747-$W$5)/$X$5)&lt;=1.96,"NO ATÍPICO")</f>
        <v>NO ATÍPICO</v>
      </c>
      <c r="K4747" t="str" cm="1">
        <f t="array" ref="K4747">_xlfn.IFS(ISBLANK(I4747),"FALTANTE",ABS((I4747-$W$8)/$X$8)&gt;1.92,"ATÍPICO",ABS((I4747-$W$8)/$X$8)&lt;=1.92,"NO ATÍPICO")</f>
        <v>NO ATÍPICO</v>
      </c>
      <c r="L4747">
        <f t="shared" si="314"/>
        <v>409656.48</v>
      </c>
      <c r="M4747" t="str">
        <f t="shared" si="314"/>
        <v>ASALARIADO</v>
      </c>
      <c r="N4747">
        <f t="shared" si="315"/>
        <v>59</v>
      </c>
      <c r="O4747" s="19" t="str">
        <f t="shared" si="316"/>
        <v>300k–600k</v>
      </c>
      <c r="P4747" s="19" t="str">
        <f t="shared" si="317"/>
        <v>56+</v>
      </c>
    </row>
    <row r="4748" spans="1:16" x14ac:dyDescent="0.25">
      <c r="A4748">
        <v>4747</v>
      </c>
      <c r="B4748" t="s">
        <v>9</v>
      </c>
      <c r="C4748">
        <v>297045</v>
      </c>
      <c r="D4748" t="s">
        <v>17</v>
      </c>
      <c r="E4748" t="s">
        <v>16</v>
      </c>
      <c r="F4748" t="s">
        <v>12</v>
      </c>
      <c r="G4748" t="s">
        <v>12</v>
      </c>
      <c r="H4748" t="s">
        <v>13</v>
      </c>
      <c r="I4748">
        <v>27</v>
      </c>
      <c r="J4748" t="str" cm="1">
        <f t="array" ref="J4748">_xlfn.IFS(ISBLANK(C4748),"FALTANTE",ABS((C4748-$W$5)/$X$5)&gt;1.96,"ATÍPICO",ABS((C4748-$W$5)/$X$5)&lt;=1.96,"NO ATÍPICO")</f>
        <v>NO ATÍPICO</v>
      </c>
      <c r="K4748" t="str" cm="1">
        <f t="array" ref="K4748">_xlfn.IFS(ISBLANK(I4748),"FALTANTE",ABS((I4748-$W$8)/$X$8)&gt;1.92,"ATÍPICO",ABS((I4748-$W$8)/$X$8)&lt;=1.92,"NO ATÍPICO")</f>
        <v>NO ATÍPICO</v>
      </c>
      <c r="L4748">
        <f t="shared" si="314"/>
        <v>297045</v>
      </c>
      <c r="M4748" t="str">
        <f t="shared" si="314"/>
        <v>ASEGURADO VOLUNTARIO</v>
      </c>
      <c r="N4748">
        <f t="shared" si="315"/>
        <v>27</v>
      </c>
      <c r="O4748" s="19" t="str">
        <f t="shared" si="316"/>
        <v>0–300k</v>
      </c>
      <c r="P4748" s="19" t="str">
        <f t="shared" si="317"/>
        <v>26-35</v>
      </c>
    </row>
    <row r="4749" spans="1:16" x14ac:dyDescent="0.25">
      <c r="A4749">
        <v>4748</v>
      </c>
      <c r="B4749" t="s">
        <v>9</v>
      </c>
      <c r="C4749">
        <v>554879.49</v>
      </c>
      <c r="D4749" t="s">
        <v>10</v>
      </c>
      <c r="E4749" t="s">
        <v>16</v>
      </c>
      <c r="F4749" t="s">
        <v>12</v>
      </c>
      <c r="G4749" t="s">
        <v>13</v>
      </c>
      <c r="H4749" t="s">
        <v>13</v>
      </c>
      <c r="I4749">
        <v>30</v>
      </c>
      <c r="J4749" t="str" cm="1">
        <f t="array" ref="J4749">_xlfn.IFS(ISBLANK(C4749),"FALTANTE",ABS((C4749-$W$5)/$X$5)&gt;1.96,"ATÍPICO",ABS((C4749-$W$5)/$X$5)&lt;=1.96,"NO ATÍPICO")</f>
        <v>NO ATÍPICO</v>
      </c>
      <c r="K4749" t="str" cm="1">
        <f t="array" ref="K4749">_xlfn.IFS(ISBLANK(I4749),"FALTANTE",ABS((I4749-$W$8)/$X$8)&gt;1.92,"ATÍPICO",ABS((I4749-$W$8)/$X$8)&lt;=1.92,"NO ATÍPICO")</f>
        <v>NO ATÍPICO</v>
      </c>
      <c r="L4749">
        <f t="shared" si="314"/>
        <v>554879.49</v>
      </c>
      <c r="M4749" t="str">
        <f t="shared" si="314"/>
        <v>ASALARIADO</v>
      </c>
      <c r="N4749">
        <f t="shared" si="315"/>
        <v>30</v>
      </c>
      <c r="O4749" s="19" t="str">
        <f t="shared" si="316"/>
        <v>300k–600k</v>
      </c>
      <c r="P4749" s="19" t="str">
        <f t="shared" si="317"/>
        <v>26-35</v>
      </c>
    </row>
    <row r="4750" spans="1:16" x14ac:dyDescent="0.25">
      <c r="A4750">
        <v>4749</v>
      </c>
      <c r="B4750" t="s">
        <v>15</v>
      </c>
      <c r="C4750">
        <v>686166</v>
      </c>
      <c r="D4750" t="s">
        <v>18</v>
      </c>
      <c r="E4750" t="s">
        <v>16</v>
      </c>
      <c r="F4750" t="s">
        <v>12</v>
      </c>
      <c r="G4750" t="s">
        <v>13</v>
      </c>
      <c r="H4750" t="s">
        <v>13</v>
      </c>
      <c r="I4750">
        <v>37</v>
      </c>
      <c r="J4750" t="str" cm="1">
        <f t="array" ref="J4750">_xlfn.IFS(ISBLANK(C4750),"FALTANTE",ABS((C4750-$W$5)/$X$5)&gt;1.96,"ATÍPICO",ABS((C4750-$W$5)/$X$5)&lt;=1.96,"NO ATÍPICO")</f>
        <v>NO ATÍPICO</v>
      </c>
      <c r="K4750" t="str" cm="1">
        <f t="array" ref="K4750">_xlfn.IFS(ISBLANK(I4750),"FALTANTE",ABS((I4750-$W$8)/$X$8)&gt;1.92,"ATÍPICO",ABS((I4750-$W$8)/$X$8)&lt;=1.92,"NO ATÍPICO")</f>
        <v>NO ATÍPICO</v>
      </c>
      <c r="L4750">
        <f t="shared" si="314"/>
        <v>686166</v>
      </c>
      <c r="M4750" t="str">
        <f t="shared" si="314"/>
        <v>TRABAJADOR INDEPENDIENTE</v>
      </c>
      <c r="N4750">
        <f t="shared" si="315"/>
        <v>37</v>
      </c>
      <c r="O4750" s="19" t="str">
        <f t="shared" si="316"/>
        <v>600k–900k</v>
      </c>
      <c r="P4750" s="19" t="str">
        <f t="shared" si="317"/>
        <v>36-45</v>
      </c>
    </row>
    <row r="4751" spans="1:16" x14ac:dyDescent="0.25">
      <c r="A4751">
        <v>4750</v>
      </c>
      <c r="B4751" t="s">
        <v>15</v>
      </c>
      <c r="C4751">
        <v>919460.32</v>
      </c>
      <c r="D4751" t="s">
        <v>10</v>
      </c>
      <c r="E4751" t="s">
        <v>11</v>
      </c>
      <c r="F4751" t="s">
        <v>12</v>
      </c>
      <c r="G4751" t="s">
        <v>13</v>
      </c>
      <c r="H4751" t="s">
        <v>13</v>
      </c>
      <c r="I4751">
        <v>57</v>
      </c>
      <c r="J4751" t="str" cm="1">
        <f t="array" ref="J4751">_xlfn.IFS(ISBLANK(C4751),"FALTANTE",ABS((C4751-$W$5)/$X$5)&gt;1.96,"ATÍPICO",ABS((C4751-$W$5)/$X$5)&lt;=1.96,"NO ATÍPICO")</f>
        <v>NO ATÍPICO</v>
      </c>
      <c r="K4751" t="str" cm="1">
        <f t="array" ref="K4751">_xlfn.IFS(ISBLANK(I4751),"FALTANTE",ABS((I4751-$W$8)/$X$8)&gt;1.92,"ATÍPICO",ABS((I4751-$W$8)/$X$8)&lt;=1.92,"NO ATÍPICO")</f>
        <v>NO ATÍPICO</v>
      </c>
      <c r="L4751">
        <f t="shared" si="314"/>
        <v>919460.32</v>
      </c>
      <c r="M4751" t="str">
        <f t="shared" si="314"/>
        <v>ASALARIADO</v>
      </c>
      <c r="N4751">
        <f t="shared" si="315"/>
        <v>57</v>
      </c>
      <c r="O4751" s="19" t="str">
        <f t="shared" si="316"/>
        <v>900k–1200k</v>
      </c>
      <c r="P4751" s="19" t="str">
        <f t="shared" si="317"/>
        <v>56+</v>
      </c>
    </row>
    <row r="4752" spans="1:16" x14ac:dyDescent="0.25">
      <c r="A4752">
        <v>4751</v>
      </c>
      <c r="B4752" t="s">
        <v>9</v>
      </c>
      <c r="C4752">
        <v>426614.9</v>
      </c>
      <c r="D4752" t="s">
        <v>10</v>
      </c>
      <c r="E4752" t="s">
        <v>16</v>
      </c>
      <c r="F4752" t="s">
        <v>12</v>
      </c>
      <c r="G4752" t="s">
        <v>13</v>
      </c>
      <c r="H4752" t="s">
        <v>13</v>
      </c>
      <c r="I4752">
        <v>33</v>
      </c>
      <c r="J4752" t="str" cm="1">
        <f t="array" ref="J4752">_xlfn.IFS(ISBLANK(C4752),"FALTANTE",ABS((C4752-$W$5)/$X$5)&gt;1.96,"ATÍPICO",ABS((C4752-$W$5)/$X$5)&lt;=1.96,"NO ATÍPICO")</f>
        <v>NO ATÍPICO</v>
      </c>
      <c r="K4752" t="str" cm="1">
        <f t="array" ref="K4752">_xlfn.IFS(ISBLANK(I4752),"FALTANTE",ABS((I4752-$W$8)/$X$8)&gt;1.92,"ATÍPICO",ABS((I4752-$W$8)/$X$8)&lt;=1.92,"NO ATÍPICO")</f>
        <v>NO ATÍPICO</v>
      </c>
      <c r="L4752">
        <f t="shared" si="314"/>
        <v>426614.9</v>
      </c>
      <c r="M4752" t="str">
        <f t="shared" si="314"/>
        <v>ASALARIADO</v>
      </c>
      <c r="N4752">
        <f t="shared" si="315"/>
        <v>33</v>
      </c>
      <c r="O4752" s="19" t="str">
        <f t="shared" si="316"/>
        <v>300k–600k</v>
      </c>
      <c r="P4752" s="19" t="str">
        <f t="shared" si="317"/>
        <v>26-35</v>
      </c>
    </row>
    <row r="4753" spans="1:16" x14ac:dyDescent="0.25">
      <c r="A4753">
        <v>4752</v>
      </c>
      <c r="B4753" t="s">
        <v>15</v>
      </c>
      <c r="C4753">
        <v>297046</v>
      </c>
      <c r="D4753" t="s">
        <v>17</v>
      </c>
      <c r="E4753" t="s">
        <v>16</v>
      </c>
      <c r="F4753" t="s">
        <v>12</v>
      </c>
      <c r="G4753" t="s">
        <v>13</v>
      </c>
      <c r="H4753" t="s">
        <v>13</v>
      </c>
      <c r="I4753">
        <v>47</v>
      </c>
      <c r="J4753" t="str" cm="1">
        <f t="array" ref="J4753">_xlfn.IFS(ISBLANK(C4753),"FALTANTE",ABS((C4753-$W$5)/$X$5)&gt;1.96,"ATÍPICO",ABS((C4753-$W$5)/$X$5)&lt;=1.96,"NO ATÍPICO")</f>
        <v>NO ATÍPICO</v>
      </c>
      <c r="K4753" t="str" cm="1">
        <f t="array" ref="K4753">_xlfn.IFS(ISBLANK(I4753),"FALTANTE",ABS((I4753-$W$8)/$X$8)&gt;1.92,"ATÍPICO",ABS((I4753-$W$8)/$X$8)&lt;=1.92,"NO ATÍPICO")</f>
        <v>NO ATÍPICO</v>
      </c>
      <c r="L4753">
        <f t="shared" si="314"/>
        <v>297046</v>
      </c>
      <c r="M4753" t="str">
        <f t="shared" si="314"/>
        <v>ASEGURADO VOLUNTARIO</v>
      </c>
      <c r="N4753">
        <f t="shared" si="315"/>
        <v>47</v>
      </c>
      <c r="O4753" s="19" t="str">
        <f t="shared" si="316"/>
        <v>0–300k</v>
      </c>
      <c r="P4753" s="19" t="str">
        <f t="shared" si="317"/>
        <v>46-55</v>
      </c>
    </row>
    <row r="4754" spans="1:16" x14ac:dyDescent="0.25">
      <c r="A4754">
        <v>4753</v>
      </c>
      <c r="B4754" t="s">
        <v>9</v>
      </c>
      <c r="C4754">
        <v>54143</v>
      </c>
      <c r="D4754" t="s">
        <v>10</v>
      </c>
      <c r="E4754" t="s">
        <v>16</v>
      </c>
      <c r="F4754" t="s">
        <v>12</v>
      </c>
      <c r="G4754" t="s">
        <v>13</v>
      </c>
      <c r="H4754" t="s">
        <v>13</v>
      </c>
      <c r="I4754">
        <v>28</v>
      </c>
      <c r="J4754" t="str" cm="1">
        <f t="array" ref="J4754">_xlfn.IFS(ISBLANK(C4754),"FALTANTE",ABS((C4754-$W$5)/$X$5)&gt;1.96,"ATÍPICO",ABS((C4754-$W$5)/$X$5)&lt;=1.96,"NO ATÍPICO")</f>
        <v>NO ATÍPICO</v>
      </c>
      <c r="K4754" t="str" cm="1">
        <f t="array" ref="K4754">_xlfn.IFS(ISBLANK(I4754),"FALTANTE",ABS((I4754-$W$8)/$X$8)&gt;1.92,"ATÍPICO",ABS((I4754-$W$8)/$X$8)&lt;=1.92,"NO ATÍPICO")</f>
        <v>NO ATÍPICO</v>
      </c>
      <c r="L4754">
        <f t="shared" si="314"/>
        <v>54143</v>
      </c>
      <c r="M4754" t="str">
        <f t="shared" si="314"/>
        <v>ASALARIADO</v>
      </c>
      <c r="N4754">
        <f t="shared" si="315"/>
        <v>28</v>
      </c>
      <c r="O4754" s="19" t="str">
        <f t="shared" si="316"/>
        <v>0–300k</v>
      </c>
      <c r="P4754" s="19" t="str">
        <f t="shared" si="317"/>
        <v>26-35</v>
      </c>
    </row>
    <row r="4755" spans="1:16" x14ac:dyDescent="0.25">
      <c r="A4755">
        <v>4754</v>
      </c>
      <c r="B4755" t="s">
        <v>9</v>
      </c>
      <c r="C4755">
        <v>289033.15000000002</v>
      </c>
      <c r="D4755" t="s">
        <v>10</v>
      </c>
      <c r="E4755" t="s">
        <v>16</v>
      </c>
      <c r="F4755" t="s">
        <v>12</v>
      </c>
      <c r="G4755" t="s">
        <v>12</v>
      </c>
      <c r="H4755" t="s">
        <v>13</v>
      </c>
      <c r="I4755">
        <v>21</v>
      </c>
      <c r="J4755" t="str" cm="1">
        <f t="array" ref="J4755">_xlfn.IFS(ISBLANK(C4755),"FALTANTE",ABS((C4755-$W$5)/$X$5)&gt;1.96,"ATÍPICO",ABS((C4755-$W$5)/$X$5)&lt;=1.96,"NO ATÍPICO")</f>
        <v>NO ATÍPICO</v>
      </c>
      <c r="K4755" t="str" cm="1">
        <f t="array" ref="K4755">_xlfn.IFS(ISBLANK(I4755),"FALTANTE",ABS((I4755-$W$8)/$X$8)&gt;1.92,"ATÍPICO",ABS((I4755-$W$8)/$X$8)&lt;=1.92,"NO ATÍPICO")</f>
        <v>NO ATÍPICO</v>
      </c>
      <c r="L4755">
        <f t="shared" si="314"/>
        <v>289033.15000000002</v>
      </c>
      <c r="M4755" t="str">
        <f t="shared" si="314"/>
        <v>ASALARIADO</v>
      </c>
      <c r="N4755">
        <f t="shared" si="315"/>
        <v>21</v>
      </c>
      <c r="O4755" s="19" t="str">
        <f t="shared" si="316"/>
        <v>0–300k</v>
      </c>
      <c r="P4755" s="19" t="str">
        <f t="shared" si="317"/>
        <v>18-25</v>
      </c>
    </row>
    <row r="4756" spans="1:16" x14ac:dyDescent="0.25">
      <c r="A4756">
        <v>4755</v>
      </c>
      <c r="B4756" t="s">
        <v>9</v>
      </c>
      <c r="C4756">
        <v>485785</v>
      </c>
      <c r="D4756" t="s">
        <v>10</v>
      </c>
      <c r="E4756" t="s">
        <v>16</v>
      </c>
      <c r="F4756" t="s">
        <v>12</v>
      </c>
      <c r="G4756" t="s">
        <v>13</v>
      </c>
      <c r="H4756" t="s">
        <v>12</v>
      </c>
      <c r="I4756">
        <v>28</v>
      </c>
      <c r="J4756" t="str" cm="1">
        <f t="array" ref="J4756">_xlfn.IFS(ISBLANK(C4756),"FALTANTE",ABS((C4756-$W$5)/$X$5)&gt;1.96,"ATÍPICO",ABS((C4756-$W$5)/$X$5)&lt;=1.96,"NO ATÍPICO")</f>
        <v>NO ATÍPICO</v>
      </c>
      <c r="K4756" t="str" cm="1">
        <f t="array" ref="K4756">_xlfn.IFS(ISBLANK(I4756),"FALTANTE",ABS((I4756-$W$8)/$X$8)&gt;1.92,"ATÍPICO",ABS((I4756-$W$8)/$X$8)&lt;=1.92,"NO ATÍPICO")</f>
        <v>NO ATÍPICO</v>
      </c>
      <c r="L4756">
        <f t="shared" si="314"/>
        <v>485785</v>
      </c>
      <c r="M4756" t="str">
        <f t="shared" si="314"/>
        <v>ASALARIADO</v>
      </c>
      <c r="N4756">
        <f t="shared" si="315"/>
        <v>28</v>
      </c>
      <c r="O4756" s="19" t="str">
        <f t="shared" si="316"/>
        <v>300k–600k</v>
      </c>
      <c r="P4756" s="19" t="str">
        <f t="shared" si="317"/>
        <v>26-35</v>
      </c>
    </row>
    <row r="4757" spans="1:16" x14ac:dyDescent="0.25">
      <c r="A4757">
        <v>4756</v>
      </c>
      <c r="B4757" t="s">
        <v>9</v>
      </c>
      <c r="C4757">
        <v>349627.57</v>
      </c>
      <c r="D4757" t="s">
        <v>10</v>
      </c>
      <c r="E4757" t="s">
        <v>16</v>
      </c>
      <c r="F4757" t="s">
        <v>12</v>
      </c>
      <c r="G4757" t="s">
        <v>13</v>
      </c>
      <c r="H4757" t="s">
        <v>13</v>
      </c>
      <c r="I4757">
        <v>21</v>
      </c>
      <c r="J4757" t="str" cm="1">
        <f t="array" ref="J4757">_xlfn.IFS(ISBLANK(C4757),"FALTANTE",ABS((C4757-$W$5)/$X$5)&gt;1.96,"ATÍPICO",ABS((C4757-$W$5)/$X$5)&lt;=1.96,"NO ATÍPICO")</f>
        <v>NO ATÍPICO</v>
      </c>
      <c r="K4757" t="str" cm="1">
        <f t="array" ref="K4757">_xlfn.IFS(ISBLANK(I4757),"FALTANTE",ABS((I4757-$W$8)/$X$8)&gt;1.92,"ATÍPICO",ABS((I4757-$W$8)/$X$8)&lt;=1.92,"NO ATÍPICO")</f>
        <v>NO ATÍPICO</v>
      </c>
      <c r="L4757">
        <f t="shared" si="314"/>
        <v>349627.57</v>
      </c>
      <c r="M4757" t="str">
        <f t="shared" si="314"/>
        <v>ASALARIADO</v>
      </c>
      <c r="N4757">
        <f t="shared" si="315"/>
        <v>21</v>
      </c>
      <c r="O4757" s="19" t="str">
        <f t="shared" si="316"/>
        <v>300k–600k</v>
      </c>
      <c r="P4757" s="19" t="str">
        <f t="shared" si="317"/>
        <v>18-25</v>
      </c>
    </row>
    <row r="4758" spans="1:16" x14ac:dyDescent="0.25">
      <c r="A4758">
        <v>4757</v>
      </c>
      <c r="B4758" t="s">
        <v>15</v>
      </c>
      <c r="C4758">
        <v>173160</v>
      </c>
      <c r="D4758" t="s">
        <v>10</v>
      </c>
      <c r="E4758" t="s">
        <v>16</v>
      </c>
      <c r="F4758" t="s">
        <v>12</v>
      </c>
      <c r="G4758" t="s">
        <v>13</v>
      </c>
      <c r="H4758" t="s">
        <v>13</v>
      </c>
      <c r="I4758">
        <v>35</v>
      </c>
      <c r="J4758" t="str" cm="1">
        <f t="array" ref="J4758">_xlfn.IFS(ISBLANK(C4758),"FALTANTE",ABS((C4758-$W$5)/$X$5)&gt;1.96,"ATÍPICO",ABS((C4758-$W$5)/$X$5)&lt;=1.96,"NO ATÍPICO")</f>
        <v>NO ATÍPICO</v>
      </c>
      <c r="K4758" t="str" cm="1">
        <f t="array" ref="K4758">_xlfn.IFS(ISBLANK(I4758),"FALTANTE",ABS((I4758-$W$8)/$X$8)&gt;1.92,"ATÍPICO",ABS((I4758-$W$8)/$X$8)&lt;=1.92,"NO ATÍPICO")</f>
        <v>NO ATÍPICO</v>
      </c>
      <c r="L4758">
        <f t="shared" si="314"/>
        <v>173160</v>
      </c>
      <c r="M4758" t="str">
        <f t="shared" si="314"/>
        <v>ASALARIADO</v>
      </c>
      <c r="N4758">
        <f t="shared" si="315"/>
        <v>35</v>
      </c>
      <c r="O4758" s="19" t="str">
        <f t="shared" si="316"/>
        <v>0–300k</v>
      </c>
      <c r="P4758" s="19" t="str">
        <f t="shared" si="317"/>
        <v>26-35</v>
      </c>
    </row>
    <row r="4759" spans="1:16" x14ac:dyDescent="0.25">
      <c r="A4759">
        <v>4758</v>
      </c>
      <c r="B4759" t="s">
        <v>15</v>
      </c>
      <c r="C4759">
        <v>40000</v>
      </c>
      <c r="D4759" t="s">
        <v>10</v>
      </c>
      <c r="E4759" t="s">
        <v>16</v>
      </c>
      <c r="F4759" t="s">
        <v>12</v>
      </c>
      <c r="G4759" t="s">
        <v>12</v>
      </c>
      <c r="H4759" t="s">
        <v>13</v>
      </c>
      <c r="I4759">
        <v>58</v>
      </c>
      <c r="J4759" t="str" cm="1">
        <f t="array" ref="J4759">_xlfn.IFS(ISBLANK(C4759),"FALTANTE",ABS((C4759-$W$5)/$X$5)&gt;1.96,"ATÍPICO",ABS((C4759-$W$5)/$X$5)&lt;=1.96,"NO ATÍPICO")</f>
        <v>NO ATÍPICO</v>
      </c>
      <c r="K4759" t="str" cm="1">
        <f t="array" ref="K4759">_xlfn.IFS(ISBLANK(I4759),"FALTANTE",ABS((I4759-$W$8)/$X$8)&gt;1.92,"ATÍPICO",ABS((I4759-$W$8)/$X$8)&lt;=1.92,"NO ATÍPICO")</f>
        <v>NO ATÍPICO</v>
      </c>
      <c r="L4759">
        <f t="shared" si="314"/>
        <v>40000</v>
      </c>
      <c r="M4759" t="str">
        <f t="shared" si="314"/>
        <v>ASALARIADO</v>
      </c>
      <c r="N4759">
        <f t="shared" si="315"/>
        <v>58</v>
      </c>
      <c r="O4759" s="19" t="str">
        <f t="shared" si="316"/>
        <v>0–300k</v>
      </c>
      <c r="P4759" s="19" t="str">
        <f t="shared" si="317"/>
        <v>56+</v>
      </c>
    </row>
    <row r="4760" spans="1:16" x14ac:dyDescent="0.25">
      <c r="A4760">
        <v>4759</v>
      </c>
      <c r="B4760" t="s">
        <v>9</v>
      </c>
      <c r="C4760">
        <v>904989</v>
      </c>
      <c r="D4760" t="s">
        <v>10</v>
      </c>
      <c r="E4760" t="s">
        <v>11</v>
      </c>
      <c r="F4760" t="s">
        <v>12</v>
      </c>
      <c r="G4760" t="s">
        <v>13</v>
      </c>
      <c r="H4760" t="s">
        <v>13</v>
      </c>
      <c r="I4760">
        <v>39</v>
      </c>
      <c r="J4760" t="str" cm="1">
        <f t="array" ref="J4760">_xlfn.IFS(ISBLANK(C4760),"FALTANTE",ABS((C4760-$W$5)/$X$5)&gt;1.96,"ATÍPICO",ABS((C4760-$W$5)/$X$5)&lt;=1.96,"NO ATÍPICO")</f>
        <v>NO ATÍPICO</v>
      </c>
      <c r="K4760" t="str" cm="1">
        <f t="array" ref="K4760">_xlfn.IFS(ISBLANK(I4760),"FALTANTE",ABS((I4760-$W$8)/$X$8)&gt;1.92,"ATÍPICO",ABS((I4760-$W$8)/$X$8)&lt;=1.92,"NO ATÍPICO")</f>
        <v>NO ATÍPICO</v>
      </c>
      <c r="L4760">
        <f t="shared" si="314"/>
        <v>904989</v>
      </c>
      <c r="M4760" t="str">
        <f t="shared" si="314"/>
        <v>ASALARIADO</v>
      </c>
      <c r="N4760">
        <f t="shared" si="315"/>
        <v>39</v>
      </c>
      <c r="O4760" s="19" t="str">
        <f t="shared" si="316"/>
        <v>900k–1200k</v>
      </c>
      <c r="P4760" s="19" t="str">
        <f t="shared" si="317"/>
        <v>36-45</v>
      </c>
    </row>
    <row r="4761" spans="1:16" x14ac:dyDescent="0.25">
      <c r="A4761">
        <v>4760</v>
      </c>
      <c r="B4761" t="s">
        <v>9</v>
      </c>
      <c r="C4761">
        <v>648302.5</v>
      </c>
      <c r="D4761" t="s">
        <v>10</v>
      </c>
      <c r="E4761" t="s">
        <v>11</v>
      </c>
      <c r="F4761" t="s">
        <v>12</v>
      </c>
      <c r="G4761" t="s">
        <v>13</v>
      </c>
      <c r="H4761" t="s">
        <v>13</v>
      </c>
      <c r="I4761">
        <v>59</v>
      </c>
      <c r="J4761" t="str" cm="1">
        <f t="array" ref="J4761">_xlfn.IFS(ISBLANK(C4761),"FALTANTE",ABS((C4761-$W$5)/$X$5)&gt;1.96,"ATÍPICO",ABS((C4761-$W$5)/$X$5)&lt;=1.96,"NO ATÍPICO")</f>
        <v>NO ATÍPICO</v>
      </c>
      <c r="K4761" t="str" cm="1">
        <f t="array" ref="K4761">_xlfn.IFS(ISBLANK(I4761),"FALTANTE",ABS((I4761-$W$8)/$X$8)&gt;1.92,"ATÍPICO",ABS((I4761-$W$8)/$X$8)&lt;=1.92,"NO ATÍPICO")</f>
        <v>NO ATÍPICO</v>
      </c>
      <c r="L4761">
        <f t="shared" si="314"/>
        <v>648302.5</v>
      </c>
      <c r="M4761" t="str">
        <f t="shared" si="314"/>
        <v>ASALARIADO</v>
      </c>
      <c r="N4761">
        <f t="shared" si="315"/>
        <v>59</v>
      </c>
      <c r="O4761" s="19" t="str">
        <f t="shared" si="316"/>
        <v>600k–900k</v>
      </c>
      <c r="P4761" s="19" t="str">
        <f t="shared" si="317"/>
        <v>56+</v>
      </c>
    </row>
    <row r="4762" spans="1:16" x14ac:dyDescent="0.25">
      <c r="A4762">
        <v>4761</v>
      </c>
      <c r="B4762" t="s">
        <v>9</v>
      </c>
      <c r="C4762">
        <v>278030</v>
      </c>
      <c r="D4762" t="s">
        <v>19</v>
      </c>
      <c r="E4762" t="s">
        <v>16</v>
      </c>
      <c r="F4762" t="s">
        <v>12</v>
      </c>
      <c r="G4762" t="s">
        <v>13</v>
      </c>
      <c r="H4762" t="s">
        <v>13</v>
      </c>
      <c r="I4762">
        <v>55</v>
      </c>
      <c r="J4762" t="str" cm="1">
        <f t="array" ref="J4762">_xlfn.IFS(ISBLANK(C4762),"FALTANTE",ABS((C4762-$W$5)/$X$5)&gt;1.96,"ATÍPICO",ABS((C4762-$W$5)/$X$5)&lt;=1.96,"NO ATÍPICO")</f>
        <v>NO ATÍPICO</v>
      </c>
      <c r="K4762" t="str" cm="1">
        <f t="array" ref="K4762">_xlfn.IFS(ISBLANK(I4762),"FALTANTE",ABS((I4762-$W$8)/$X$8)&gt;1.92,"ATÍPICO",ABS((I4762-$W$8)/$X$8)&lt;=1.92,"NO ATÍPICO")</f>
        <v>NO ATÍPICO</v>
      </c>
      <c r="L4762">
        <f t="shared" si="314"/>
        <v>278030</v>
      </c>
      <c r="M4762" t="str">
        <f t="shared" si="314"/>
        <v>CONVENIOS ESPECIALES DE TRABAJADORES INDEPENDIENTES</v>
      </c>
      <c r="N4762">
        <f t="shared" si="315"/>
        <v>55</v>
      </c>
      <c r="O4762" s="19" t="str">
        <f t="shared" si="316"/>
        <v>0–300k</v>
      </c>
      <c r="P4762" s="19" t="str">
        <f t="shared" si="317"/>
        <v>46-55</v>
      </c>
    </row>
    <row r="4763" spans="1:16" x14ac:dyDescent="0.25">
      <c r="A4763">
        <v>4762</v>
      </c>
      <c r="B4763" t="s">
        <v>15</v>
      </c>
      <c r="C4763">
        <v>639148</v>
      </c>
      <c r="D4763" t="s">
        <v>18</v>
      </c>
      <c r="E4763" t="s">
        <v>16</v>
      </c>
      <c r="F4763" t="s">
        <v>12</v>
      </c>
      <c r="G4763" t="s">
        <v>13</v>
      </c>
      <c r="H4763" t="s">
        <v>12</v>
      </c>
      <c r="I4763">
        <v>73</v>
      </c>
      <c r="J4763" t="str" cm="1">
        <f t="array" ref="J4763">_xlfn.IFS(ISBLANK(C4763),"FALTANTE",ABS((C4763-$W$5)/$X$5)&gt;1.96,"ATÍPICO",ABS((C4763-$W$5)/$X$5)&lt;=1.96,"NO ATÍPICO")</f>
        <v>NO ATÍPICO</v>
      </c>
      <c r="K4763" t="str" cm="1">
        <f t="array" ref="K4763">_xlfn.IFS(ISBLANK(I4763),"FALTANTE",ABS((I4763-$W$8)/$X$8)&gt;1.92,"ATÍPICO",ABS((I4763-$W$8)/$X$8)&lt;=1.92,"NO ATÍPICO")</f>
        <v>ATÍPICO</v>
      </c>
      <c r="L4763">
        <f t="shared" si="314"/>
        <v>639148</v>
      </c>
      <c r="M4763" t="str">
        <f t="shared" si="314"/>
        <v>TRABAJADOR INDEPENDIENTE</v>
      </c>
      <c r="N4763">
        <f t="shared" si="315"/>
        <v>73</v>
      </c>
      <c r="O4763" s="19" t="str">
        <f t="shared" si="316"/>
        <v>600k–900k</v>
      </c>
      <c r="P4763" s="19" t="str">
        <f t="shared" si="317"/>
        <v>56+</v>
      </c>
    </row>
    <row r="4764" spans="1:16" x14ac:dyDescent="0.25">
      <c r="A4764">
        <v>4763</v>
      </c>
      <c r="B4764" t="s">
        <v>9</v>
      </c>
      <c r="C4764">
        <v>488672.53</v>
      </c>
      <c r="D4764" t="s">
        <v>10</v>
      </c>
      <c r="E4764" t="s">
        <v>16</v>
      </c>
      <c r="F4764" t="s">
        <v>12</v>
      </c>
      <c r="G4764" t="s">
        <v>13</v>
      </c>
      <c r="H4764" t="s">
        <v>13</v>
      </c>
      <c r="I4764">
        <v>34</v>
      </c>
      <c r="J4764" t="str" cm="1">
        <f t="array" ref="J4764">_xlfn.IFS(ISBLANK(C4764),"FALTANTE",ABS((C4764-$W$5)/$X$5)&gt;1.96,"ATÍPICO",ABS((C4764-$W$5)/$X$5)&lt;=1.96,"NO ATÍPICO")</f>
        <v>NO ATÍPICO</v>
      </c>
      <c r="K4764" t="str" cm="1">
        <f t="array" ref="K4764">_xlfn.IFS(ISBLANK(I4764),"FALTANTE",ABS((I4764-$W$8)/$X$8)&gt;1.92,"ATÍPICO",ABS((I4764-$W$8)/$X$8)&lt;=1.92,"NO ATÍPICO")</f>
        <v>NO ATÍPICO</v>
      </c>
      <c r="L4764">
        <f t="shared" si="314"/>
        <v>488672.53</v>
      </c>
      <c r="M4764" t="str">
        <f t="shared" si="314"/>
        <v>ASALARIADO</v>
      </c>
      <c r="N4764">
        <f t="shared" si="315"/>
        <v>34</v>
      </c>
      <c r="O4764" s="19" t="str">
        <f t="shared" si="316"/>
        <v>300k–600k</v>
      </c>
      <c r="P4764" s="19" t="str">
        <f t="shared" si="317"/>
        <v>26-35</v>
      </c>
    </row>
    <row r="4765" spans="1:16" x14ac:dyDescent="0.25">
      <c r="A4765">
        <v>4764</v>
      </c>
      <c r="B4765" t="s">
        <v>9</v>
      </c>
      <c r="C4765">
        <v>278030</v>
      </c>
      <c r="D4765" t="s">
        <v>19</v>
      </c>
      <c r="E4765" t="s">
        <v>16</v>
      </c>
      <c r="F4765" t="s">
        <v>12</v>
      </c>
      <c r="G4765" t="s">
        <v>13</v>
      </c>
      <c r="H4765" t="s">
        <v>12</v>
      </c>
      <c r="I4765">
        <v>49</v>
      </c>
      <c r="J4765" t="str" cm="1">
        <f t="array" ref="J4765">_xlfn.IFS(ISBLANK(C4765),"FALTANTE",ABS((C4765-$W$5)/$X$5)&gt;1.96,"ATÍPICO",ABS((C4765-$W$5)/$X$5)&lt;=1.96,"NO ATÍPICO")</f>
        <v>NO ATÍPICO</v>
      </c>
      <c r="K4765" t="str" cm="1">
        <f t="array" ref="K4765">_xlfn.IFS(ISBLANK(I4765),"FALTANTE",ABS((I4765-$W$8)/$X$8)&gt;1.92,"ATÍPICO",ABS((I4765-$W$8)/$X$8)&lt;=1.92,"NO ATÍPICO")</f>
        <v>NO ATÍPICO</v>
      </c>
      <c r="L4765">
        <f t="shared" si="314"/>
        <v>278030</v>
      </c>
      <c r="M4765" t="str">
        <f t="shared" si="314"/>
        <v>CONVENIOS ESPECIALES DE TRABAJADORES INDEPENDIENTES</v>
      </c>
      <c r="N4765">
        <f t="shared" si="315"/>
        <v>49</v>
      </c>
      <c r="O4765" s="19" t="str">
        <f t="shared" si="316"/>
        <v>0–300k</v>
      </c>
      <c r="P4765" s="19" t="str">
        <f t="shared" si="317"/>
        <v>46-55</v>
      </c>
    </row>
    <row r="4766" spans="1:16" x14ac:dyDescent="0.25">
      <c r="A4766">
        <v>4765</v>
      </c>
      <c r="B4766" t="s">
        <v>15</v>
      </c>
      <c r="C4766">
        <v>700000</v>
      </c>
      <c r="D4766" t="s">
        <v>10</v>
      </c>
      <c r="E4766" t="s">
        <v>16</v>
      </c>
      <c r="F4766" t="s">
        <v>12</v>
      </c>
      <c r="G4766" t="s">
        <v>13</v>
      </c>
      <c r="H4766" t="s">
        <v>13</v>
      </c>
      <c r="I4766">
        <v>32</v>
      </c>
      <c r="J4766" t="str" cm="1">
        <f t="array" ref="J4766">_xlfn.IFS(ISBLANK(C4766),"FALTANTE",ABS((C4766-$W$5)/$X$5)&gt;1.96,"ATÍPICO",ABS((C4766-$W$5)/$X$5)&lt;=1.96,"NO ATÍPICO")</f>
        <v>NO ATÍPICO</v>
      </c>
      <c r="K4766" t="str" cm="1">
        <f t="array" ref="K4766">_xlfn.IFS(ISBLANK(I4766),"FALTANTE",ABS((I4766-$W$8)/$X$8)&gt;1.92,"ATÍPICO",ABS((I4766-$W$8)/$X$8)&lt;=1.92,"NO ATÍPICO")</f>
        <v>NO ATÍPICO</v>
      </c>
      <c r="L4766">
        <f t="shared" si="314"/>
        <v>700000</v>
      </c>
      <c r="M4766" t="str">
        <f t="shared" si="314"/>
        <v>ASALARIADO</v>
      </c>
      <c r="N4766">
        <f t="shared" si="315"/>
        <v>32</v>
      </c>
      <c r="O4766" s="19" t="str">
        <f t="shared" si="316"/>
        <v>600k–900k</v>
      </c>
      <c r="P4766" s="19" t="str">
        <f t="shared" si="317"/>
        <v>26-35</v>
      </c>
    </row>
    <row r="4767" spans="1:16" x14ac:dyDescent="0.25">
      <c r="A4767">
        <v>4766</v>
      </c>
      <c r="B4767" t="s">
        <v>15</v>
      </c>
      <c r="C4767">
        <v>1214806</v>
      </c>
      <c r="D4767" t="s">
        <v>10</v>
      </c>
      <c r="E4767" t="s">
        <v>11</v>
      </c>
      <c r="F4767" t="s">
        <v>12</v>
      </c>
      <c r="G4767" t="s">
        <v>13</v>
      </c>
      <c r="H4767" t="s">
        <v>13</v>
      </c>
      <c r="I4767">
        <v>32</v>
      </c>
      <c r="J4767" t="str" cm="1">
        <f t="array" ref="J4767">_xlfn.IFS(ISBLANK(C4767),"FALTANTE",ABS((C4767-$W$5)/$X$5)&gt;1.96,"ATÍPICO",ABS((C4767-$W$5)/$X$5)&lt;=1.96,"NO ATÍPICO")</f>
        <v>NO ATÍPICO</v>
      </c>
      <c r="K4767" t="str" cm="1">
        <f t="array" ref="K4767">_xlfn.IFS(ISBLANK(I4767),"FALTANTE",ABS((I4767-$W$8)/$X$8)&gt;1.92,"ATÍPICO",ABS((I4767-$W$8)/$X$8)&lt;=1.92,"NO ATÍPICO")</f>
        <v>NO ATÍPICO</v>
      </c>
      <c r="L4767">
        <f t="shared" si="314"/>
        <v>1214806</v>
      </c>
      <c r="M4767" t="str">
        <f t="shared" si="314"/>
        <v>ASALARIADO</v>
      </c>
      <c r="N4767">
        <f t="shared" si="315"/>
        <v>32</v>
      </c>
      <c r="O4767" s="19" t="str">
        <f t="shared" si="316"/>
        <v>1200k+</v>
      </c>
      <c r="P4767" s="19" t="str">
        <f t="shared" si="317"/>
        <v>26-35</v>
      </c>
    </row>
    <row r="4768" spans="1:16" x14ac:dyDescent="0.25">
      <c r="A4768">
        <v>4767</v>
      </c>
      <c r="B4768" t="s">
        <v>15</v>
      </c>
      <c r="C4768">
        <v>299784</v>
      </c>
      <c r="D4768" t="s">
        <v>18</v>
      </c>
      <c r="E4768" t="s">
        <v>16</v>
      </c>
      <c r="F4768" t="s">
        <v>12</v>
      </c>
      <c r="G4768" t="s">
        <v>12</v>
      </c>
      <c r="H4768" t="s">
        <v>12</v>
      </c>
      <c r="I4768">
        <v>32</v>
      </c>
      <c r="J4768" t="str" cm="1">
        <f t="array" ref="J4768">_xlfn.IFS(ISBLANK(C4768),"FALTANTE",ABS((C4768-$W$5)/$X$5)&gt;1.96,"ATÍPICO",ABS((C4768-$W$5)/$X$5)&lt;=1.96,"NO ATÍPICO")</f>
        <v>NO ATÍPICO</v>
      </c>
      <c r="K4768" t="str" cm="1">
        <f t="array" ref="K4768">_xlfn.IFS(ISBLANK(I4768),"FALTANTE",ABS((I4768-$W$8)/$X$8)&gt;1.92,"ATÍPICO",ABS((I4768-$W$8)/$X$8)&lt;=1.92,"NO ATÍPICO")</f>
        <v>NO ATÍPICO</v>
      </c>
      <c r="L4768">
        <f t="shared" si="314"/>
        <v>299784</v>
      </c>
      <c r="M4768" t="str">
        <f t="shared" si="314"/>
        <v>TRABAJADOR INDEPENDIENTE</v>
      </c>
      <c r="N4768">
        <f t="shared" si="315"/>
        <v>32</v>
      </c>
      <c r="O4768" s="19" t="str">
        <f t="shared" si="316"/>
        <v>0–300k</v>
      </c>
      <c r="P4768" s="19" t="str">
        <f t="shared" si="317"/>
        <v>26-35</v>
      </c>
    </row>
    <row r="4769" spans="1:16" x14ac:dyDescent="0.25">
      <c r="A4769">
        <v>4768</v>
      </c>
      <c r="B4769" t="s">
        <v>15</v>
      </c>
      <c r="C4769">
        <v>1590894.7</v>
      </c>
      <c r="D4769" t="s">
        <v>10</v>
      </c>
      <c r="E4769" t="s">
        <v>11</v>
      </c>
      <c r="F4769" t="s">
        <v>12</v>
      </c>
      <c r="G4769" t="s">
        <v>13</v>
      </c>
      <c r="H4769" t="s">
        <v>13</v>
      </c>
      <c r="I4769">
        <v>44</v>
      </c>
      <c r="J4769" t="str" cm="1">
        <f t="array" ref="J4769">_xlfn.IFS(ISBLANK(C4769),"FALTANTE",ABS((C4769-$W$5)/$X$5)&gt;1.96,"ATÍPICO",ABS((C4769-$W$5)/$X$5)&lt;=1.96,"NO ATÍPICO")</f>
        <v>NO ATÍPICO</v>
      </c>
      <c r="K4769" t="str" cm="1">
        <f t="array" ref="K4769">_xlfn.IFS(ISBLANK(I4769),"FALTANTE",ABS((I4769-$W$8)/$X$8)&gt;1.92,"ATÍPICO",ABS((I4769-$W$8)/$X$8)&lt;=1.92,"NO ATÍPICO")</f>
        <v>NO ATÍPICO</v>
      </c>
      <c r="L4769">
        <f t="shared" si="314"/>
        <v>1590894.7</v>
      </c>
      <c r="M4769" t="str">
        <f t="shared" si="314"/>
        <v>ASALARIADO</v>
      </c>
      <c r="N4769">
        <f t="shared" si="315"/>
        <v>44</v>
      </c>
      <c r="O4769" s="19" t="str">
        <f t="shared" si="316"/>
        <v>1200k+</v>
      </c>
      <c r="P4769" s="19" t="str">
        <f t="shared" si="317"/>
        <v>36-45</v>
      </c>
    </row>
    <row r="4770" spans="1:16" x14ac:dyDescent="0.25">
      <c r="A4770">
        <v>4769</v>
      </c>
      <c r="B4770" t="s">
        <v>9</v>
      </c>
      <c r="C4770">
        <v>259227</v>
      </c>
      <c r="D4770" t="s">
        <v>10</v>
      </c>
      <c r="E4770" t="s">
        <v>16</v>
      </c>
      <c r="F4770" t="s">
        <v>12</v>
      </c>
      <c r="G4770" t="s">
        <v>13</v>
      </c>
      <c r="H4770" t="s">
        <v>13</v>
      </c>
      <c r="I4770">
        <v>31</v>
      </c>
      <c r="J4770" t="str" cm="1">
        <f t="array" ref="J4770">_xlfn.IFS(ISBLANK(C4770),"FALTANTE",ABS((C4770-$W$5)/$X$5)&gt;1.96,"ATÍPICO",ABS((C4770-$W$5)/$X$5)&lt;=1.96,"NO ATÍPICO")</f>
        <v>NO ATÍPICO</v>
      </c>
      <c r="K4770" t="str" cm="1">
        <f t="array" ref="K4770">_xlfn.IFS(ISBLANK(I4770),"FALTANTE",ABS((I4770-$W$8)/$X$8)&gt;1.92,"ATÍPICO",ABS((I4770-$W$8)/$X$8)&lt;=1.92,"NO ATÍPICO")</f>
        <v>NO ATÍPICO</v>
      </c>
      <c r="L4770">
        <f t="shared" si="314"/>
        <v>259227</v>
      </c>
      <c r="M4770" t="str">
        <f t="shared" si="314"/>
        <v>ASALARIADO</v>
      </c>
      <c r="N4770">
        <f t="shared" si="315"/>
        <v>31</v>
      </c>
      <c r="O4770" s="19" t="str">
        <f t="shared" si="316"/>
        <v>0–300k</v>
      </c>
      <c r="P4770" s="19" t="str">
        <f t="shared" si="317"/>
        <v>26-35</v>
      </c>
    </row>
    <row r="4771" spans="1:16" x14ac:dyDescent="0.25">
      <c r="A4771">
        <v>4770</v>
      </c>
      <c r="B4771" t="s">
        <v>15</v>
      </c>
      <c r="C4771">
        <v>756936.6</v>
      </c>
      <c r="D4771" t="s">
        <v>10</v>
      </c>
      <c r="E4771" t="s">
        <v>11</v>
      </c>
      <c r="F4771" t="s">
        <v>12</v>
      </c>
      <c r="G4771" t="s">
        <v>13</v>
      </c>
      <c r="H4771" t="s">
        <v>13</v>
      </c>
      <c r="I4771">
        <v>48</v>
      </c>
      <c r="J4771" t="str" cm="1">
        <f t="array" ref="J4771">_xlfn.IFS(ISBLANK(C4771),"FALTANTE",ABS((C4771-$W$5)/$X$5)&gt;1.96,"ATÍPICO",ABS((C4771-$W$5)/$X$5)&lt;=1.96,"NO ATÍPICO")</f>
        <v>NO ATÍPICO</v>
      </c>
      <c r="K4771" t="str" cm="1">
        <f t="array" ref="K4771">_xlfn.IFS(ISBLANK(I4771),"FALTANTE",ABS((I4771-$W$8)/$X$8)&gt;1.92,"ATÍPICO",ABS((I4771-$W$8)/$X$8)&lt;=1.92,"NO ATÍPICO")</f>
        <v>NO ATÍPICO</v>
      </c>
      <c r="L4771">
        <f t="shared" si="314"/>
        <v>756936.6</v>
      </c>
      <c r="M4771" t="str">
        <f t="shared" si="314"/>
        <v>ASALARIADO</v>
      </c>
      <c r="N4771">
        <f t="shared" si="315"/>
        <v>48</v>
      </c>
      <c r="O4771" s="19" t="str">
        <f t="shared" si="316"/>
        <v>600k–900k</v>
      </c>
      <c r="P4771" s="19" t="str">
        <f t="shared" si="317"/>
        <v>46-55</v>
      </c>
    </row>
    <row r="4772" spans="1:16" x14ac:dyDescent="0.25">
      <c r="A4772">
        <v>4771</v>
      </c>
      <c r="B4772" t="s">
        <v>9</v>
      </c>
      <c r="C4772">
        <v>1744589.38</v>
      </c>
      <c r="D4772" t="s">
        <v>10</v>
      </c>
      <c r="E4772" t="s">
        <v>11</v>
      </c>
      <c r="F4772" t="s">
        <v>12</v>
      </c>
      <c r="G4772" t="s">
        <v>13</v>
      </c>
      <c r="H4772" t="s">
        <v>13</v>
      </c>
      <c r="I4772">
        <v>35</v>
      </c>
      <c r="J4772" t="str" cm="1">
        <f t="array" ref="J4772">_xlfn.IFS(ISBLANK(C4772),"FALTANTE",ABS((C4772-$W$5)/$X$5)&gt;1.96,"ATÍPICO",ABS((C4772-$W$5)/$X$5)&lt;=1.96,"NO ATÍPICO")</f>
        <v>NO ATÍPICO</v>
      </c>
      <c r="K4772" t="str" cm="1">
        <f t="array" ref="K4772">_xlfn.IFS(ISBLANK(I4772),"FALTANTE",ABS((I4772-$W$8)/$X$8)&gt;1.92,"ATÍPICO",ABS((I4772-$W$8)/$X$8)&lt;=1.92,"NO ATÍPICO")</f>
        <v>NO ATÍPICO</v>
      </c>
      <c r="L4772">
        <f t="shared" si="314"/>
        <v>1744589.38</v>
      </c>
      <c r="M4772" t="str">
        <f t="shared" si="314"/>
        <v>ASALARIADO</v>
      </c>
      <c r="N4772">
        <f t="shared" si="315"/>
        <v>35</v>
      </c>
      <c r="O4772" s="19" t="str">
        <f t="shared" si="316"/>
        <v>1200k+</v>
      </c>
      <c r="P4772" s="19" t="str">
        <f t="shared" si="317"/>
        <v>26-35</v>
      </c>
    </row>
    <row r="4773" spans="1:16" x14ac:dyDescent="0.25">
      <c r="A4773">
        <v>4772</v>
      </c>
      <c r="B4773" t="s">
        <v>9</v>
      </c>
      <c r="C4773">
        <v>288287</v>
      </c>
      <c r="D4773" t="s">
        <v>10</v>
      </c>
      <c r="E4773" t="s">
        <v>16</v>
      </c>
      <c r="F4773" t="s">
        <v>12</v>
      </c>
      <c r="G4773" t="s">
        <v>13</v>
      </c>
      <c r="H4773" t="s">
        <v>13</v>
      </c>
      <c r="I4773">
        <v>21</v>
      </c>
      <c r="J4773" t="str" cm="1">
        <f t="array" ref="J4773">_xlfn.IFS(ISBLANK(C4773),"FALTANTE",ABS((C4773-$W$5)/$X$5)&gt;1.96,"ATÍPICO",ABS((C4773-$W$5)/$X$5)&lt;=1.96,"NO ATÍPICO")</f>
        <v>NO ATÍPICO</v>
      </c>
      <c r="K4773" t="str" cm="1">
        <f t="array" ref="K4773">_xlfn.IFS(ISBLANK(I4773),"FALTANTE",ABS((I4773-$W$8)/$X$8)&gt;1.92,"ATÍPICO",ABS((I4773-$W$8)/$X$8)&lt;=1.92,"NO ATÍPICO")</f>
        <v>NO ATÍPICO</v>
      </c>
      <c r="L4773">
        <f t="shared" si="314"/>
        <v>288287</v>
      </c>
      <c r="M4773" t="str">
        <f t="shared" si="314"/>
        <v>ASALARIADO</v>
      </c>
      <c r="N4773">
        <f t="shared" si="315"/>
        <v>21</v>
      </c>
      <c r="O4773" s="19" t="str">
        <f t="shared" si="316"/>
        <v>0–300k</v>
      </c>
      <c r="P4773" s="19" t="str">
        <f t="shared" si="317"/>
        <v>18-25</v>
      </c>
    </row>
    <row r="4774" spans="1:16" x14ac:dyDescent="0.25">
      <c r="A4774">
        <v>4773</v>
      </c>
      <c r="B4774" t="s">
        <v>9</v>
      </c>
      <c r="C4774">
        <v>278031</v>
      </c>
      <c r="D4774" t="s">
        <v>17</v>
      </c>
      <c r="E4774" t="s">
        <v>16</v>
      </c>
      <c r="F4774" t="s">
        <v>12</v>
      </c>
      <c r="G4774" t="s">
        <v>13</v>
      </c>
      <c r="H4774" t="s">
        <v>13</v>
      </c>
      <c r="I4774">
        <v>39</v>
      </c>
      <c r="J4774" t="str" cm="1">
        <f t="array" ref="J4774">_xlfn.IFS(ISBLANK(C4774),"FALTANTE",ABS((C4774-$W$5)/$X$5)&gt;1.96,"ATÍPICO",ABS((C4774-$W$5)/$X$5)&lt;=1.96,"NO ATÍPICO")</f>
        <v>NO ATÍPICO</v>
      </c>
      <c r="K4774" t="str" cm="1">
        <f t="array" ref="K4774">_xlfn.IFS(ISBLANK(I4774),"FALTANTE",ABS((I4774-$W$8)/$X$8)&gt;1.92,"ATÍPICO",ABS((I4774-$W$8)/$X$8)&lt;=1.92,"NO ATÍPICO")</f>
        <v>NO ATÍPICO</v>
      </c>
      <c r="L4774">
        <f t="shared" si="314"/>
        <v>278031</v>
      </c>
      <c r="M4774" t="str">
        <f t="shared" si="314"/>
        <v>ASEGURADO VOLUNTARIO</v>
      </c>
      <c r="N4774">
        <f t="shared" si="315"/>
        <v>39</v>
      </c>
      <c r="O4774" s="19" t="str">
        <f t="shared" si="316"/>
        <v>0–300k</v>
      </c>
      <c r="P4774" s="19" t="str">
        <f t="shared" si="317"/>
        <v>36-45</v>
      </c>
    </row>
    <row r="4775" spans="1:16" x14ac:dyDescent="0.25">
      <c r="A4775">
        <v>4774</v>
      </c>
      <c r="B4775" t="s">
        <v>15</v>
      </c>
      <c r="C4775">
        <v>297046</v>
      </c>
      <c r="D4775" t="s">
        <v>18</v>
      </c>
      <c r="E4775" t="s">
        <v>16</v>
      </c>
      <c r="F4775" t="s">
        <v>12</v>
      </c>
      <c r="G4775" t="s">
        <v>13</v>
      </c>
      <c r="H4775" t="s">
        <v>12</v>
      </c>
      <c r="I4775">
        <v>24</v>
      </c>
      <c r="J4775" t="str" cm="1">
        <f t="array" ref="J4775">_xlfn.IFS(ISBLANK(C4775),"FALTANTE",ABS((C4775-$W$5)/$X$5)&gt;1.96,"ATÍPICO",ABS((C4775-$W$5)/$X$5)&lt;=1.96,"NO ATÍPICO")</f>
        <v>NO ATÍPICO</v>
      </c>
      <c r="K4775" t="str" cm="1">
        <f t="array" ref="K4775">_xlfn.IFS(ISBLANK(I4775),"FALTANTE",ABS((I4775-$W$8)/$X$8)&gt;1.92,"ATÍPICO",ABS((I4775-$W$8)/$X$8)&lt;=1.92,"NO ATÍPICO")</f>
        <v>NO ATÍPICO</v>
      </c>
      <c r="L4775">
        <f t="shared" si="314"/>
        <v>297046</v>
      </c>
      <c r="M4775" t="str">
        <f t="shared" si="314"/>
        <v>TRABAJADOR INDEPENDIENTE</v>
      </c>
      <c r="N4775">
        <f t="shared" si="315"/>
        <v>24</v>
      </c>
      <c r="O4775" s="19" t="str">
        <f t="shared" si="316"/>
        <v>0–300k</v>
      </c>
      <c r="P4775" s="19" t="str">
        <f t="shared" si="317"/>
        <v>18-25</v>
      </c>
    </row>
    <row r="4776" spans="1:16" x14ac:dyDescent="0.25">
      <c r="A4776">
        <v>4775</v>
      </c>
      <c r="B4776" t="s">
        <v>15</v>
      </c>
      <c r="C4776">
        <v>334110</v>
      </c>
      <c r="D4776" t="s">
        <v>10</v>
      </c>
      <c r="E4776" t="s">
        <v>16</v>
      </c>
      <c r="F4776" t="s">
        <v>12</v>
      </c>
      <c r="G4776" t="s">
        <v>13</v>
      </c>
      <c r="H4776" t="s">
        <v>12</v>
      </c>
      <c r="I4776">
        <v>31</v>
      </c>
      <c r="J4776" t="str" cm="1">
        <f t="array" ref="J4776">_xlfn.IFS(ISBLANK(C4776),"FALTANTE",ABS((C4776-$W$5)/$X$5)&gt;1.96,"ATÍPICO",ABS((C4776-$W$5)/$X$5)&lt;=1.96,"NO ATÍPICO")</f>
        <v>NO ATÍPICO</v>
      </c>
      <c r="K4776" t="str" cm="1">
        <f t="array" ref="K4776">_xlfn.IFS(ISBLANK(I4776),"FALTANTE",ABS((I4776-$W$8)/$X$8)&gt;1.92,"ATÍPICO",ABS((I4776-$W$8)/$X$8)&lt;=1.92,"NO ATÍPICO")</f>
        <v>NO ATÍPICO</v>
      </c>
      <c r="L4776">
        <f t="shared" si="314"/>
        <v>334110</v>
      </c>
      <c r="M4776" t="str">
        <f t="shared" si="314"/>
        <v>ASALARIADO</v>
      </c>
      <c r="N4776">
        <f t="shared" si="315"/>
        <v>31</v>
      </c>
      <c r="O4776" s="19" t="str">
        <f t="shared" si="316"/>
        <v>300k–600k</v>
      </c>
      <c r="P4776" s="19" t="str">
        <f t="shared" si="317"/>
        <v>26-35</v>
      </c>
    </row>
    <row r="4777" spans="1:16" x14ac:dyDescent="0.25">
      <c r="A4777">
        <v>4776</v>
      </c>
      <c r="B4777" t="s">
        <v>9</v>
      </c>
      <c r="C4777">
        <v>121288.4</v>
      </c>
      <c r="D4777" t="s">
        <v>10</v>
      </c>
      <c r="E4777" t="s">
        <v>16</v>
      </c>
      <c r="F4777" t="s">
        <v>12</v>
      </c>
      <c r="G4777" t="s">
        <v>12</v>
      </c>
      <c r="H4777" t="s">
        <v>13</v>
      </c>
      <c r="I4777">
        <v>28</v>
      </c>
      <c r="J4777" t="str" cm="1">
        <f t="array" ref="J4777">_xlfn.IFS(ISBLANK(C4777),"FALTANTE",ABS((C4777-$W$5)/$X$5)&gt;1.96,"ATÍPICO",ABS((C4777-$W$5)/$X$5)&lt;=1.96,"NO ATÍPICO")</f>
        <v>NO ATÍPICO</v>
      </c>
      <c r="K4777" t="str" cm="1">
        <f t="array" ref="K4777">_xlfn.IFS(ISBLANK(I4777),"FALTANTE",ABS((I4777-$W$8)/$X$8)&gt;1.92,"ATÍPICO",ABS((I4777-$W$8)/$X$8)&lt;=1.92,"NO ATÍPICO")</f>
        <v>NO ATÍPICO</v>
      </c>
      <c r="L4777">
        <f t="shared" si="314"/>
        <v>121288.4</v>
      </c>
      <c r="M4777" t="str">
        <f t="shared" si="314"/>
        <v>ASALARIADO</v>
      </c>
      <c r="N4777">
        <f t="shared" si="315"/>
        <v>28</v>
      </c>
      <c r="O4777" s="19" t="str">
        <f t="shared" si="316"/>
        <v>0–300k</v>
      </c>
      <c r="P4777" s="19" t="str">
        <f t="shared" si="317"/>
        <v>26-35</v>
      </c>
    </row>
    <row r="4778" spans="1:16" x14ac:dyDescent="0.25">
      <c r="A4778">
        <v>4777</v>
      </c>
      <c r="B4778" t="s">
        <v>9</v>
      </c>
      <c r="C4778">
        <v>617386</v>
      </c>
      <c r="D4778" t="s">
        <v>18</v>
      </c>
      <c r="E4778" t="s">
        <v>16</v>
      </c>
      <c r="F4778" t="s">
        <v>12</v>
      </c>
      <c r="G4778" t="s">
        <v>13</v>
      </c>
      <c r="H4778" t="s">
        <v>13</v>
      </c>
      <c r="I4778">
        <v>40</v>
      </c>
      <c r="J4778" t="str" cm="1">
        <f t="array" ref="J4778">_xlfn.IFS(ISBLANK(C4778),"FALTANTE",ABS((C4778-$W$5)/$X$5)&gt;1.96,"ATÍPICO",ABS((C4778-$W$5)/$X$5)&lt;=1.96,"NO ATÍPICO")</f>
        <v>NO ATÍPICO</v>
      </c>
      <c r="K4778" t="str" cm="1">
        <f t="array" ref="K4778">_xlfn.IFS(ISBLANK(I4778),"FALTANTE",ABS((I4778-$W$8)/$X$8)&gt;1.92,"ATÍPICO",ABS((I4778-$W$8)/$X$8)&lt;=1.92,"NO ATÍPICO")</f>
        <v>NO ATÍPICO</v>
      </c>
      <c r="L4778">
        <f t="shared" si="314"/>
        <v>617386</v>
      </c>
      <c r="M4778" t="str">
        <f t="shared" si="314"/>
        <v>TRABAJADOR INDEPENDIENTE</v>
      </c>
      <c r="N4778">
        <f t="shared" si="315"/>
        <v>40</v>
      </c>
      <c r="O4778" s="19" t="str">
        <f t="shared" si="316"/>
        <v>600k–900k</v>
      </c>
      <c r="P4778" s="19" t="str">
        <f t="shared" si="317"/>
        <v>36-45</v>
      </c>
    </row>
    <row r="4779" spans="1:16" x14ac:dyDescent="0.25">
      <c r="A4779">
        <v>4778</v>
      </c>
      <c r="B4779" t="s">
        <v>9</v>
      </c>
      <c r="C4779">
        <v>50000</v>
      </c>
      <c r="D4779" t="s">
        <v>10</v>
      </c>
      <c r="E4779" t="s">
        <v>16</v>
      </c>
      <c r="F4779" t="s">
        <v>12</v>
      </c>
      <c r="G4779" t="s">
        <v>12</v>
      </c>
      <c r="H4779" t="s">
        <v>12</v>
      </c>
      <c r="I4779">
        <v>41</v>
      </c>
      <c r="J4779" t="str" cm="1">
        <f t="array" ref="J4779">_xlfn.IFS(ISBLANK(C4779),"FALTANTE",ABS((C4779-$W$5)/$X$5)&gt;1.96,"ATÍPICO",ABS((C4779-$W$5)/$X$5)&lt;=1.96,"NO ATÍPICO")</f>
        <v>NO ATÍPICO</v>
      </c>
      <c r="K4779" t="str" cm="1">
        <f t="array" ref="K4779">_xlfn.IFS(ISBLANK(I4779),"FALTANTE",ABS((I4779-$W$8)/$X$8)&gt;1.92,"ATÍPICO",ABS((I4779-$W$8)/$X$8)&lt;=1.92,"NO ATÍPICO")</f>
        <v>NO ATÍPICO</v>
      </c>
      <c r="L4779">
        <f t="shared" si="314"/>
        <v>50000</v>
      </c>
      <c r="M4779" t="str">
        <f t="shared" si="314"/>
        <v>ASALARIADO</v>
      </c>
      <c r="N4779">
        <f t="shared" si="315"/>
        <v>41</v>
      </c>
      <c r="O4779" s="19" t="str">
        <f t="shared" si="316"/>
        <v>0–300k</v>
      </c>
      <c r="P4779" s="19" t="str">
        <f t="shared" si="317"/>
        <v>36-45</v>
      </c>
    </row>
    <row r="4780" spans="1:16" x14ac:dyDescent="0.25">
      <c r="A4780">
        <v>4779</v>
      </c>
      <c r="B4780" t="s">
        <v>15</v>
      </c>
      <c r="C4780">
        <v>179772.13</v>
      </c>
      <c r="D4780" t="s">
        <v>10</v>
      </c>
      <c r="E4780" t="s">
        <v>16</v>
      </c>
      <c r="F4780" t="s">
        <v>12</v>
      </c>
      <c r="G4780" t="s">
        <v>13</v>
      </c>
      <c r="H4780" t="s">
        <v>13</v>
      </c>
      <c r="I4780">
        <v>23</v>
      </c>
      <c r="J4780" t="str" cm="1">
        <f t="array" ref="J4780">_xlfn.IFS(ISBLANK(C4780),"FALTANTE",ABS((C4780-$W$5)/$X$5)&gt;1.96,"ATÍPICO",ABS((C4780-$W$5)/$X$5)&lt;=1.96,"NO ATÍPICO")</f>
        <v>NO ATÍPICO</v>
      </c>
      <c r="K4780" t="str" cm="1">
        <f t="array" ref="K4780">_xlfn.IFS(ISBLANK(I4780),"FALTANTE",ABS((I4780-$W$8)/$X$8)&gt;1.92,"ATÍPICO",ABS((I4780-$W$8)/$X$8)&lt;=1.92,"NO ATÍPICO")</f>
        <v>NO ATÍPICO</v>
      </c>
      <c r="L4780">
        <f t="shared" si="314"/>
        <v>179772.13</v>
      </c>
      <c r="M4780" t="str">
        <f t="shared" si="314"/>
        <v>ASALARIADO</v>
      </c>
      <c r="N4780">
        <f t="shared" si="315"/>
        <v>23</v>
      </c>
      <c r="O4780" s="19" t="str">
        <f t="shared" si="316"/>
        <v>0–300k</v>
      </c>
      <c r="P4780" s="19" t="str">
        <f t="shared" si="317"/>
        <v>18-25</v>
      </c>
    </row>
    <row r="4781" spans="1:16" x14ac:dyDescent="0.25">
      <c r="A4781">
        <v>4780</v>
      </c>
      <c r="B4781" t="s">
        <v>15</v>
      </c>
      <c r="C4781">
        <v>1602859</v>
      </c>
      <c r="D4781" t="s">
        <v>10</v>
      </c>
      <c r="E4781" t="s">
        <v>11</v>
      </c>
      <c r="F4781" t="s">
        <v>12</v>
      </c>
      <c r="G4781" t="s">
        <v>13</v>
      </c>
      <c r="H4781" t="s">
        <v>12</v>
      </c>
      <c r="I4781">
        <v>36</v>
      </c>
      <c r="J4781" t="str" cm="1">
        <f t="array" ref="J4781">_xlfn.IFS(ISBLANK(C4781),"FALTANTE",ABS((C4781-$W$5)/$X$5)&gt;1.96,"ATÍPICO",ABS((C4781-$W$5)/$X$5)&lt;=1.96,"NO ATÍPICO")</f>
        <v>NO ATÍPICO</v>
      </c>
      <c r="K4781" t="str" cm="1">
        <f t="array" ref="K4781">_xlfn.IFS(ISBLANK(I4781),"FALTANTE",ABS((I4781-$W$8)/$X$8)&gt;1.92,"ATÍPICO",ABS((I4781-$W$8)/$X$8)&lt;=1.92,"NO ATÍPICO")</f>
        <v>NO ATÍPICO</v>
      </c>
      <c r="L4781">
        <f t="shared" si="314"/>
        <v>1602859</v>
      </c>
      <c r="M4781" t="str">
        <f t="shared" si="314"/>
        <v>ASALARIADO</v>
      </c>
      <c r="N4781">
        <f t="shared" si="315"/>
        <v>36</v>
      </c>
      <c r="O4781" s="19" t="str">
        <f t="shared" si="316"/>
        <v>1200k+</v>
      </c>
      <c r="P4781" s="19" t="str">
        <f t="shared" si="317"/>
        <v>36-45</v>
      </c>
    </row>
    <row r="4782" spans="1:16" x14ac:dyDescent="0.25">
      <c r="A4782">
        <v>4781</v>
      </c>
      <c r="B4782" t="s">
        <v>15</v>
      </c>
      <c r="C4782">
        <v>410351</v>
      </c>
      <c r="D4782" t="s">
        <v>18</v>
      </c>
      <c r="E4782" t="s">
        <v>16</v>
      </c>
      <c r="F4782" t="s">
        <v>12</v>
      </c>
      <c r="G4782" t="s">
        <v>12</v>
      </c>
      <c r="H4782" t="s">
        <v>13</v>
      </c>
      <c r="I4782">
        <v>54</v>
      </c>
      <c r="J4782" t="str" cm="1">
        <f t="array" ref="J4782">_xlfn.IFS(ISBLANK(C4782),"FALTANTE",ABS((C4782-$W$5)/$X$5)&gt;1.96,"ATÍPICO",ABS((C4782-$W$5)/$X$5)&lt;=1.96,"NO ATÍPICO")</f>
        <v>NO ATÍPICO</v>
      </c>
      <c r="K4782" t="str" cm="1">
        <f t="array" ref="K4782">_xlfn.IFS(ISBLANK(I4782),"FALTANTE",ABS((I4782-$W$8)/$X$8)&gt;1.92,"ATÍPICO",ABS((I4782-$W$8)/$X$8)&lt;=1.92,"NO ATÍPICO")</f>
        <v>NO ATÍPICO</v>
      </c>
      <c r="L4782">
        <f t="shared" si="314"/>
        <v>410351</v>
      </c>
      <c r="M4782" t="str">
        <f t="shared" si="314"/>
        <v>TRABAJADOR INDEPENDIENTE</v>
      </c>
      <c r="N4782">
        <f t="shared" si="315"/>
        <v>54</v>
      </c>
      <c r="O4782" s="19" t="str">
        <f t="shared" si="316"/>
        <v>300k–600k</v>
      </c>
      <c r="P4782" s="19" t="str">
        <f t="shared" si="317"/>
        <v>46-55</v>
      </c>
    </row>
    <row r="4783" spans="1:16" x14ac:dyDescent="0.25">
      <c r="A4783">
        <v>4782</v>
      </c>
      <c r="B4783" t="s">
        <v>9</v>
      </c>
      <c r="C4783">
        <v>339953</v>
      </c>
      <c r="D4783" t="s">
        <v>10</v>
      </c>
      <c r="E4783" t="s">
        <v>16</v>
      </c>
      <c r="F4783" t="s">
        <v>12</v>
      </c>
      <c r="G4783" t="s">
        <v>13</v>
      </c>
      <c r="H4783" t="s">
        <v>13</v>
      </c>
      <c r="I4783">
        <v>33</v>
      </c>
      <c r="J4783" t="str" cm="1">
        <f t="array" ref="J4783">_xlfn.IFS(ISBLANK(C4783),"FALTANTE",ABS((C4783-$W$5)/$X$5)&gt;1.96,"ATÍPICO",ABS((C4783-$W$5)/$X$5)&lt;=1.96,"NO ATÍPICO")</f>
        <v>NO ATÍPICO</v>
      </c>
      <c r="K4783" t="str" cm="1">
        <f t="array" ref="K4783">_xlfn.IFS(ISBLANK(I4783),"FALTANTE",ABS((I4783-$W$8)/$X$8)&gt;1.92,"ATÍPICO",ABS((I4783-$W$8)/$X$8)&lt;=1.92,"NO ATÍPICO")</f>
        <v>NO ATÍPICO</v>
      </c>
      <c r="L4783">
        <f t="shared" si="314"/>
        <v>339953</v>
      </c>
      <c r="M4783" t="str">
        <f t="shared" si="314"/>
        <v>ASALARIADO</v>
      </c>
      <c r="N4783">
        <f t="shared" si="315"/>
        <v>33</v>
      </c>
      <c r="O4783" s="19" t="str">
        <f t="shared" si="316"/>
        <v>300k–600k</v>
      </c>
      <c r="P4783" s="19" t="str">
        <f t="shared" si="317"/>
        <v>26-35</v>
      </c>
    </row>
    <row r="4784" spans="1:16" x14ac:dyDescent="0.25">
      <c r="A4784">
        <v>4783</v>
      </c>
      <c r="B4784" t="s">
        <v>9</v>
      </c>
      <c r="C4784">
        <v>753198</v>
      </c>
      <c r="D4784" t="s">
        <v>10</v>
      </c>
      <c r="E4784" t="s">
        <v>11</v>
      </c>
      <c r="F4784" t="s">
        <v>12</v>
      </c>
      <c r="G4784" t="s">
        <v>13</v>
      </c>
      <c r="H4784" t="s">
        <v>13</v>
      </c>
      <c r="I4784">
        <v>51</v>
      </c>
      <c r="J4784" t="str" cm="1">
        <f t="array" ref="J4784">_xlfn.IFS(ISBLANK(C4784),"FALTANTE",ABS((C4784-$W$5)/$X$5)&gt;1.96,"ATÍPICO",ABS((C4784-$W$5)/$X$5)&lt;=1.96,"NO ATÍPICO")</f>
        <v>NO ATÍPICO</v>
      </c>
      <c r="K4784" t="str" cm="1">
        <f t="array" ref="K4784">_xlfn.IFS(ISBLANK(I4784),"FALTANTE",ABS((I4784-$W$8)/$X$8)&gt;1.92,"ATÍPICO",ABS((I4784-$W$8)/$X$8)&lt;=1.92,"NO ATÍPICO")</f>
        <v>NO ATÍPICO</v>
      </c>
      <c r="L4784">
        <f t="shared" si="314"/>
        <v>753198</v>
      </c>
      <c r="M4784" t="str">
        <f t="shared" si="314"/>
        <v>ASALARIADO</v>
      </c>
      <c r="N4784">
        <f t="shared" si="315"/>
        <v>51</v>
      </c>
      <c r="O4784" s="19" t="str">
        <f t="shared" si="316"/>
        <v>600k–900k</v>
      </c>
      <c r="P4784" s="19" t="str">
        <f t="shared" si="317"/>
        <v>46-55</v>
      </c>
    </row>
    <row r="4785" spans="1:16" x14ac:dyDescent="0.25">
      <c r="A4785">
        <v>4784</v>
      </c>
      <c r="B4785" t="s">
        <v>9</v>
      </c>
      <c r="C4785">
        <v>697743.71</v>
      </c>
      <c r="D4785" t="s">
        <v>10</v>
      </c>
      <c r="E4785" t="s">
        <v>16</v>
      </c>
      <c r="F4785" t="s">
        <v>12</v>
      </c>
      <c r="G4785" t="s">
        <v>12</v>
      </c>
      <c r="H4785" t="s">
        <v>13</v>
      </c>
      <c r="I4785">
        <v>29</v>
      </c>
      <c r="J4785" t="str" cm="1">
        <f t="array" ref="J4785">_xlfn.IFS(ISBLANK(C4785),"FALTANTE",ABS((C4785-$W$5)/$X$5)&gt;1.96,"ATÍPICO",ABS((C4785-$W$5)/$X$5)&lt;=1.96,"NO ATÍPICO")</f>
        <v>NO ATÍPICO</v>
      </c>
      <c r="K4785" t="str" cm="1">
        <f t="array" ref="K4785">_xlfn.IFS(ISBLANK(I4785),"FALTANTE",ABS((I4785-$W$8)/$X$8)&gt;1.92,"ATÍPICO",ABS((I4785-$W$8)/$X$8)&lt;=1.92,"NO ATÍPICO")</f>
        <v>NO ATÍPICO</v>
      </c>
      <c r="L4785">
        <f t="shared" si="314"/>
        <v>697743.71</v>
      </c>
      <c r="M4785" t="str">
        <f t="shared" si="314"/>
        <v>ASALARIADO</v>
      </c>
      <c r="N4785">
        <f t="shared" si="315"/>
        <v>29</v>
      </c>
      <c r="O4785" s="19" t="str">
        <f t="shared" si="316"/>
        <v>600k–900k</v>
      </c>
      <c r="P4785" s="19" t="str">
        <f t="shared" si="317"/>
        <v>26-35</v>
      </c>
    </row>
    <row r="4786" spans="1:16" x14ac:dyDescent="0.25">
      <c r="A4786">
        <v>4785</v>
      </c>
      <c r="B4786" t="s">
        <v>15</v>
      </c>
      <c r="C4786">
        <v>445739.84</v>
      </c>
      <c r="D4786" t="s">
        <v>10</v>
      </c>
      <c r="E4786" t="s">
        <v>16</v>
      </c>
      <c r="F4786" t="s">
        <v>12</v>
      </c>
      <c r="G4786" t="s">
        <v>13</v>
      </c>
      <c r="H4786" t="s">
        <v>13</v>
      </c>
      <c r="I4786">
        <v>29</v>
      </c>
      <c r="J4786" t="str" cm="1">
        <f t="array" ref="J4786">_xlfn.IFS(ISBLANK(C4786),"FALTANTE",ABS((C4786-$W$5)/$X$5)&gt;1.96,"ATÍPICO",ABS((C4786-$W$5)/$X$5)&lt;=1.96,"NO ATÍPICO")</f>
        <v>NO ATÍPICO</v>
      </c>
      <c r="K4786" t="str" cm="1">
        <f t="array" ref="K4786">_xlfn.IFS(ISBLANK(I4786),"FALTANTE",ABS((I4786-$W$8)/$X$8)&gt;1.92,"ATÍPICO",ABS((I4786-$W$8)/$X$8)&lt;=1.92,"NO ATÍPICO")</f>
        <v>NO ATÍPICO</v>
      </c>
      <c r="L4786">
        <f t="shared" si="314"/>
        <v>445739.84</v>
      </c>
      <c r="M4786" t="str">
        <f t="shared" si="314"/>
        <v>ASALARIADO</v>
      </c>
      <c r="N4786">
        <f t="shared" si="315"/>
        <v>29</v>
      </c>
      <c r="O4786" s="19" t="str">
        <f t="shared" si="316"/>
        <v>300k–600k</v>
      </c>
      <c r="P4786" s="19" t="str">
        <f t="shared" si="317"/>
        <v>26-35</v>
      </c>
    </row>
    <row r="4787" spans="1:16" x14ac:dyDescent="0.25">
      <c r="A4787">
        <v>4786</v>
      </c>
      <c r="B4787" t="s">
        <v>15</v>
      </c>
      <c r="C4787">
        <v>660555.53</v>
      </c>
      <c r="D4787" t="s">
        <v>10</v>
      </c>
      <c r="E4787" t="s">
        <v>16</v>
      </c>
      <c r="F4787" t="s">
        <v>12</v>
      </c>
      <c r="G4787" t="s">
        <v>13</v>
      </c>
      <c r="H4787" t="s">
        <v>13</v>
      </c>
      <c r="I4787">
        <v>20</v>
      </c>
      <c r="J4787" t="str" cm="1">
        <f t="array" ref="J4787">_xlfn.IFS(ISBLANK(C4787),"FALTANTE",ABS((C4787-$W$5)/$X$5)&gt;1.96,"ATÍPICO",ABS((C4787-$W$5)/$X$5)&lt;=1.96,"NO ATÍPICO")</f>
        <v>NO ATÍPICO</v>
      </c>
      <c r="K4787" t="str" cm="1">
        <f t="array" ref="K4787">_xlfn.IFS(ISBLANK(I4787),"FALTANTE",ABS((I4787-$W$8)/$X$8)&gt;1.92,"ATÍPICO",ABS((I4787-$W$8)/$X$8)&lt;=1.92,"NO ATÍPICO")</f>
        <v>NO ATÍPICO</v>
      </c>
      <c r="L4787">
        <f t="shared" si="314"/>
        <v>660555.53</v>
      </c>
      <c r="M4787" t="str">
        <f t="shared" si="314"/>
        <v>ASALARIADO</v>
      </c>
      <c r="N4787">
        <f t="shared" si="315"/>
        <v>20</v>
      </c>
      <c r="O4787" s="19" t="str">
        <f t="shared" si="316"/>
        <v>600k–900k</v>
      </c>
      <c r="P4787" s="19" t="str">
        <f t="shared" si="317"/>
        <v>18-25</v>
      </c>
    </row>
    <row r="4788" spans="1:16" x14ac:dyDescent="0.25">
      <c r="A4788">
        <v>4787</v>
      </c>
      <c r="B4788" t="s">
        <v>15</v>
      </c>
      <c r="C4788">
        <v>278030</v>
      </c>
      <c r="D4788" t="s">
        <v>19</v>
      </c>
      <c r="E4788" t="s">
        <v>16</v>
      </c>
      <c r="F4788" t="s">
        <v>12</v>
      </c>
      <c r="G4788" t="s">
        <v>13</v>
      </c>
      <c r="H4788" t="s">
        <v>13</v>
      </c>
      <c r="I4788">
        <v>60</v>
      </c>
      <c r="J4788" t="str" cm="1">
        <f t="array" ref="J4788">_xlfn.IFS(ISBLANK(C4788),"FALTANTE",ABS((C4788-$W$5)/$X$5)&gt;1.96,"ATÍPICO",ABS((C4788-$W$5)/$X$5)&lt;=1.96,"NO ATÍPICO")</f>
        <v>NO ATÍPICO</v>
      </c>
      <c r="K4788" t="str" cm="1">
        <f t="array" ref="K4788">_xlfn.IFS(ISBLANK(I4788),"FALTANTE",ABS((I4788-$W$8)/$X$8)&gt;1.92,"ATÍPICO",ABS((I4788-$W$8)/$X$8)&lt;=1.92,"NO ATÍPICO")</f>
        <v>NO ATÍPICO</v>
      </c>
      <c r="L4788">
        <f t="shared" si="314"/>
        <v>278030</v>
      </c>
      <c r="M4788" t="str">
        <f t="shared" si="314"/>
        <v>CONVENIOS ESPECIALES DE TRABAJADORES INDEPENDIENTES</v>
      </c>
      <c r="N4788">
        <f t="shared" si="315"/>
        <v>60</v>
      </c>
      <c r="O4788" s="19" t="str">
        <f t="shared" si="316"/>
        <v>0–300k</v>
      </c>
      <c r="P4788" s="19" t="str">
        <f t="shared" si="317"/>
        <v>56+</v>
      </c>
    </row>
    <row r="4789" spans="1:16" x14ac:dyDescent="0.25">
      <c r="A4789">
        <v>4788</v>
      </c>
      <c r="B4789" t="s">
        <v>9</v>
      </c>
      <c r="C4789">
        <v>666625.48</v>
      </c>
      <c r="D4789" t="s">
        <v>10</v>
      </c>
      <c r="E4789" t="s">
        <v>11</v>
      </c>
      <c r="F4789" t="s">
        <v>12</v>
      </c>
      <c r="G4789" t="s">
        <v>13</v>
      </c>
      <c r="H4789" t="s">
        <v>13</v>
      </c>
      <c r="I4789">
        <v>37</v>
      </c>
      <c r="J4789" t="str" cm="1">
        <f t="array" ref="J4789">_xlfn.IFS(ISBLANK(C4789),"FALTANTE",ABS((C4789-$W$5)/$X$5)&gt;1.96,"ATÍPICO",ABS((C4789-$W$5)/$X$5)&lt;=1.96,"NO ATÍPICO")</f>
        <v>NO ATÍPICO</v>
      </c>
      <c r="K4789" t="str" cm="1">
        <f t="array" ref="K4789">_xlfn.IFS(ISBLANK(I4789),"FALTANTE",ABS((I4789-$W$8)/$X$8)&gt;1.92,"ATÍPICO",ABS((I4789-$W$8)/$X$8)&lt;=1.92,"NO ATÍPICO")</f>
        <v>NO ATÍPICO</v>
      </c>
      <c r="L4789">
        <f t="shared" si="314"/>
        <v>666625.48</v>
      </c>
      <c r="M4789" t="str">
        <f t="shared" si="314"/>
        <v>ASALARIADO</v>
      </c>
      <c r="N4789">
        <f t="shared" si="315"/>
        <v>37</v>
      </c>
      <c r="O4789" s="19" t="str">
        <f t="shared" si="316"/>
        <v>600k–900k</v>
      </c>
      <c r="P4789" s="19" t="str">
        <f t="shared" si="317"/>
        <v>36-45</v>
      </c>
    </row>
    <row r="4790" spans="1:16" x14ac:dyDescent="0.25">
      <c r="A4790">
        <v>4789</v>
      </c>
      <c r="B4790" t="s">
        <v>9</v>
      </c>
      <c r="C4790">
        <v>1024313.1</v>
      </c>
      <c r="D4790" t="s">
        <v>10</v>
      </c>
      <c r="E4790" t="s">
        <v>16</v>
      </c>
      <c r="F4790" t="s">
        <v>12</v>
      </c>
      <c r="G4790" t="s">
        <v>13</v>
      </c>
      <c r="H4790" t="s">
        <v>13</v>
      </c>
      <c r="I4790">
        <v>26</v>
      </c>
      <c r="J4790" t="str" cm="1">
        <f t="array" ref="J4790">_xlfn.IFS(ISBLANK(C4790),"FALTANTE",ABS((C4790-$W$5)/$X$5)&gt;1.96,"ATÍPICO",ABS((C4790-$W$5)/$X$5)&lt;=1.96,"NO ATÍPICO")</f>
        <v>NO ATÍPICO</v>
      </c>
      <c r="K4790" t="str" cm="1">
        <f t="array" ref="K4790">_xlfn.IFS(ISBLANK(I4790),"FALTANTE",ABS((I4790-$W$8)/$X$8)&gt;1.92,"ATÍPICO",ABS((I4790-$W$8)/$X$8)&lt;=1.92,"NO ATÍPICO")</f>
        <v>NO ATÍPICO</v>
      </c>
      <c r="L4790">
        <f t="shared" si="314"/>
        <v>1024313.1</v>
      </c>
      <c r="M4790" t="str">
        <f t="shared" si="314"/>
        <v>ASALARIADO</v>
      </c>
      <c r="N4790">
        <f t="shared" si="315"/>
        <v>26</v>
      </c>
      <c r="O4790" s="19" t="str">
        <f t="shared" si="316"/>
        <v>900k–1200k</v>
      </c>
      <c r="P4790" s="19" t="str">
        <f t="shared" si="317"/>
        <v>26-35</v>
      </c>
    </row>
    <row r="4791" spans="1:16" x14ac:dyDescent="0.25">
      <c r="A4791">
        <v>4790</v>
      </c>
      <c r="B4791" t="s">
        <v>9</v>
      </c>
      <c r="C4791">
        <v>375000</v>
      </c>
      <c r="D4791" t="s">
        <v>10</v>
      </c>
      <c r="E4791" t="s">
        <v>16</v>
      </c>
      <c r="F4791" t="s">
        <v>12</v>
      </c>
      <c r="G4791" t="s">
        <v>13</v>
      </c>
      <c r="H4791" t="s">
        <v>13</v>
      </c>
      <c r="I4791">
        <v>60</v>
      </c>
      <c r="J4791" t="str" cm="1">
        <f t="array" ref="J4791">_xlfn.IFS(ISBLANK(C4791),"FALTANTE",ABS((C4791-$W$5)/$X$5)&gt;1.96,"ATÍPICO",ABS((C4791-$W$5)/$X$5)&lt;=1.96,"NO ATÍPICO")</f>
        <v>NO ATÍPICO</v>
      </c>
      <c r="K4791" t="str" cm="1">
        <f t="array" ref="K4791">_xlfn.IFS(ISBLANK(I4791),"FALTANTE",ABS((I4791-$W$8)/$X$8)&gt;1.92,"ATÍPICO",ABS((I4791-$W$8)/$X$8)&lt;=1.92,"NO ATÍPICO")</f>
        <v>NO ATÍPICO</v>
      </c>
      <c r="L4791">
        <f t="shared" si="314"/>
        <v>375000</v>
      </c>
      <c r="M4791" t="str">
        <f t="shared" si="314"/>
        <v>ASALARIADO</v>
      </c>
      <c r="N4791">
        <f t="shared" si="315"/>
        <v>60</v>
      </c>
      <c r="O4791" s="19" t="str">
        <f t="shared" si="316"/>
        <v>300k–600k</v>
      </c>
      <c r="P4791" s="19" t="str">
        <f t="shared" si="317"/>
        <v>56+</v>
      </c>
    </row>
    <row r="4792" spans="1:16" x14ac:dyDescent="0.25">
      <c r="A4792">
        <v>4791</v>
      </c>
      <c r="B4792" t="s">
        <v>9</v>
      </c>
      <c r="C4792">
        <v>445567</v>
      </c>
      <c r="D4792" t="s">
        <v>17</v>
      </c>
      <c r="E4792" t="s">
        <v>16</v>
      </c>
      <c r="F4792" t="s">
        <v>12</v>
      </c>
      <c r="G4792" t="s">
        <v>13</v>
      </c>
      <c r="H4792" t="s">
        <v>13</v>
      </c>
      <c r="I4792">
        <v>54</v>
      </c>
      <c r="J4792" t="str" cm="1">
        <f t="array" ref="J4792">_xlfn.IFS(ISBLANK(C4792),"FALTANTE",ABS((C4792-$W$5)/$X$5)&gt;1.96,"ATÍPICO",ABS((C4792-$W$5)/$X$5)&lt;=1.96,"NO ATÍPICO")</f>
        <v>NO ATÍPICO</v>
      </c>
      <c r="K4792" t="str" cm="1">
        <f t="array" ref="K4792">_xlfn.IFS(ISBLANK(I4792),"FALTANTE",ABS((I4792-$W$8)/$X$8)&gt;1.92,"ATÍPICO",ABS((I4792-$W$8)/$X$8)&lt;=1.92,"NO ATÍPICO")</f>
        <v>NO ATÍPICO</v>
      </c>
      <c r="L4792">
        <f t="shared" si="314"/>
        <v>445567</v>
      </c>
      <c r="M4792" t="str">
        <f t="shared" si="314"/>
        <v>ASEGURADO VOLUNTARIO</v>
      </c>
      <c r="N4792">
        <f t="shared" si="315"/>
        <v>54</v>
      </c>
      <c r="O4792" s="19" t="str">
        <f t="shared" si="316"/>
        <v>300k–600k</v>
      </c>
      <c r="P4792" s="19" t="str">
        <f t="shared" si="317"/>
        <v>46-55</v>
      </c>
    </row>
    <row r="4793" spans="1:16" x14ac:dyDescent="0.25">
      <c r="A4793">
        <v>4792</v>
      </c>
      <c r="B4793" t="s">
        <v>9</v>
      </c>
      <c r="C4793">
        <v>297139</v>
      </c>
      <c r="D4793" t="s">
        <v>17</v>
      </c>
      <c r="E4793" t="s">
        <v>16</v>
      </c>
      <c r="F4793" t="s">
        <v>12</v>
      </c>
      <c r="G4793" t="s">
        <v>13</v>
      </c>
      <c r="H4793" t="s">
        <v>13</v>
      </c>
      <c r="I4793">
        <v>56</v>
      </c>
      <c r="J4793" t="str" cm="1">
        <f t="array" ref="J4793">_xlfn.IFS(ISBLANK(C4793),"FALTANTE",ABS((C4793-$W$5)/$X$5)&gt;1.96,"ATÍPICO",ABS((C4793-$W$5)/$X$5)&lt;=1.96,"NO ATÍPICO")</f>
        <v>NO ATÍPICO</v>
      </c>
      <c r="K4793" t="str" cm="1">
        <f t="array" ref="K4793">_xlfn.IFS(ISBLANK(I4793),"FALTANTE",ABS((I4793-$W$8)/$X$8)&gt;1.92,"ATÍPICO",ABS((I4793-$W$8)/$X$8)&lt;=1.92,"NO ATÍPICO")</f>
        <v>NO ATÍPICO</v>
      </c>
      <c r="L4793">
        <f t="shared" si="314"/>
        <v>297139</v>
      </c>
      <c r="M4793" t="str">
        <f t="shared" si="314"/>
        <v>ASEGURADO VOLUNTARIO</v>
      </c>
      <c r="N4793">
        <f t="shared" si="315"/>
        <v>56</v>
      </c>
      <c r="O4793" s="19" t="str">
        <f t="shared" si="316"/>
        <v>0–300k</v>
      </c>
      <c r="P4793" s="19" t="str">
        <f t="shared" si="317"/>
        <v>56+</v>
      </c>
    </row>
    <row r="4794" spans="1:16" x14ac:dyDescent="0.25">
      <c r="A4794">
        <v>4793</v>
      </c>
      <c r="B4794" t="s">
        <v>9</v>
      </c>
      <c r="C4794">
        <v>2250000</v>
      </c>
      <c r="D4794" t="s">
        <v>10</v>
      </c>
      <c r="E4794" t="s">
        <v>16</v>
      </c>
      <c r="F4794" t="s">
        <v>12</v>
      </c>
      <c r="G4794" t="s">
        <v>13</v>
      </c>
      <c r="H4794" t="s">
        <v>13</v>
      </c>
      <c r="I4794">
        <v>54</v>
      </c>
      <c r="J4794" t="str" cm="1">
        <f t="array" ref="J4794">_xlfn.IFS(ISBLANK(C4794),"FALTANTE",ABS((C4794-$W$5)/$X$5)&gt;1.96,"ATÍPICO",ABS((C4794-$W$5)/$X$5)&lt;=1.96,"NO ATÍPICO")</f>
        <v>ATÍPICO</v>
      </c>
      <c r="K4794" t="str" cm="1">
        <f t="array" ref="K4794">_xlfn.IFS(ISBLANK(I4794),"FALTANTE",ABS((I4794-$W$8)/$X$8)&gt;1.92,"ATÍPICO",ABS((I4794-$W$8)/$X$8)&lt;=1.92,"NO ATÍPICO")</f>
        <v>NO ATÍPICO</v>
      </c>
      <c r="L4794">
        <f t="shared" si="314"/>
        <v>2250000</v>
      </c>
      <c r="M4794" t="str">
        <f t="shared" si="314"/>
        <v>ASALARIADO</v>
      </c>
      <c r="N4794">
        <f t="shared" si="315"/>
        <v>54</v>
      </c>
      <c r="O4794" s="19" t="str">
        <f t="shared" si="316"/>
        <v>1200k+</v>
      </c>
      <c r="P4794" s="19" t="str">
        <f t="shared" si="317"/>
        <v>46-55</v>
      </c>
    </row>
    <row r="4795" spans="1:16" x14ac:dyDescent="0.25">
      <c r="A4795">
        <v>4794</v>
      </c>
      <c r="B4795" t="s">
        <v>9</v>
      </c>
      <c r="C4795">
        <v>534619.65</v>
      </c>
      <c r="D4795" t="s">
        <v>10</v>
      </c>
      <c r="E4795" t="s">
        <v>16</v>
      </c>
      <c r="F4795" t="s">
        <v>12</v>
      </c>
      <c r="G4795" t="s">
        <v>13</v>
      </c>
      <c r="H4795" t="s">
        <v>13</v>
      </c>
      <c r="I4795">
        <v>25</v>
      </c>
      <c r="J4795" t="str" cm="1">
        <f t="array" ref="J4795">_xlfn.IFS(ISBLANK(C4795),"FALTANTE",ABS((C4795-$W$5)/$X$5)&gt;1.96,"ATÍPICO",ABS((C4795-$W$5)/$X$5)&lt;=1.96,"NO ATÍPICO")</f>
        <v>NO ATÍPICO</v>
      </c>
      <c r="K4795" t="str" cm="1">
        <f t="array" ref="K4795">_xlfn.IFS(ISBLANK(I4795),"FALTANTE",ABS((I4795-$W$8)/$X$8)&gt;1.92,"ATÍPICO",ABS((I4795-$W$8)/$X$8)&lt;=1.92,"NO ATÍPICO")</f>
        <v>NO ATÍPICO</v>
      </c>
      <c r="L4795">
        <f t="shared" si="314"/>
        <v>534619.65</v>
      </c>
      <c r="M4795" t="str">
        <f t="shared" si="314"/>
        <v>ASALARIADO</v>
      </c>
      <c r="N4795">
        <f t="shared" si="315"/>
        <v>25</v>
      </c>
      <c r="O4795" s="19" t="str">
        <f t="shared" si="316"/>
        <v>300k–600k</v>
      </c>
      <c r="P4795" s="19" t="str">
        <f t="shared" si="317"/>
        <v>18-25</v>
      </c>
    </row>
    <row r="4796" spans="1:16" x14ac:dyDescent="0.25">
      <c r="A4796">
        <v>4795</v>
      </c>
      <c r="B4796" t="s">
        <v>9</v>
      </c>
      <c r="C4796">
        <v>408532</v>
      </c>
      <c r="D4796" t="s">
        <v>10</v>
      </c>
      <c r="E4796" t="s">
        <v>16</v>
      </c>
      <c r="F4796" t="s">
        <v>12</v>
      </c>
      <c r="G4796" t="s">
        <v>13</v>
      </c>
      <c r="H4796" t="s">
        <v>13</v>
      </c>
      <c r="I4796">
        <v>29</v>
      </c>
      <c r="J4796" t="str" cm="1">
        <f t="array" ref="J4796">_xlfn.IFS(ISBLANK(C4796),"FALTANTE",ABS((C4796-$W$5)/$X$5)&gt;1.96,"ATÍPICO",ABS((C4796-$W$5)/$X$5)&lt;=1.96,"NO ATÍPICO")</f>
        <v>NO ATÍPICO</v>
      </c>
      <c r="K4796" t="str" cm="1">
        <f t="array" ref="K4796">_xlfn.IFS(ISBLANK(I4796),"FALTANTE",ABS((I4796-$W$8)/$X$8)&gt;1.92,"ATÍPICO",ABS((I4796-$W$8)/$X$8)&lt;=1.92,"NO ATÍPICO")</f>
        <v>NO ATÍPICO</v>
      </c>
      <c r="L4796">
        <f t="shared" si="314"/>
        <v>408532</v>
      </c>
      <c r="M4796" t="str">
        <f t="shared" si="314"/>
        <v>ASALARIADO</v>
      </c>
      <c r="N4796">
        <f t="shared" si="315"/>
        <v>29</v>
      </c>
      <c r="O4796" s="19" t="str">
        <f t="shared" si="316"/>
        <v>300k–600k</v>
      </c>
      <c r="P4796" s="19" t="str">
        <f t="shared" si="317"/>
        <v>26-35</v>
      </c>
    </row>
    <row r="4797" spans="1:16" x14ac:dyDescent="0.25">
      <c r="A4797">
        <v>4796</v>
      </c>
      <c r="B4797" t="s">
        <v>15</v>
      </c>
      <c r="C4797">
        <v>308439</v>
      </c>
      <c r="D4797" t="s">
        <v>17</v>
      </c>
      <c r="E4797" t="s">
        <v>16</v>
      </c>
      <c r="F4797" t="s">
        <v>12</v>
      </c>
      <c r="G4797" t="s">
        <v>13</v>
      </c>
      <c r="H4797" t="s">
        <v>13</v>
      </c>
      <c r="I4797">
        <v>31</v>
      </c>
      <c r="J4797" t="str" cm="1">
        <f t="array" ref="J4797">_xlfn.IFS(ISBLANK(C4797),"FALTANTE",ABS((C4797-$W$5)/$X$5)&gt;1.96,"ATÍPICO",ABS((C4797-$W$5)/$X$5)&lt;=1.96,"NO ATÍPICO")</f>
        <v>NO ATÍPICO</v>
      </c>
      <c r="K4797" t="str" cm="1">
        <f t="array" ref="K4797">_xlfn.IFS(ISBLANK(I4797),"FALTANTE",ABS((I4797-$W$8)/$X$8)&gt;1.92,"ATÍPICO",ABS((I4797-$W$8)/$X$8)&lt;=1.92,"NO ATÍPICO")</f>
        <v>NO ATÍPICO</v>
      </c>
      <c r="L4797">
        <f t="shared" si="314"/>
        <v>308439</v>
      </c>
      <c r="M4797" t="str">
        <f t="shared" si="314"/>
        <v>ASEGURADO VOLUNTARIO</v>
      </c>
      <c r="N4797">
        <f t="shared" si="315"/>
        <v>31</v>
      </c>
      <c r="O4797" s="19" t="str">
        <f t="shared" si="316"/>
        <v>300k–600k</v>
      </c>
      <c r="P4797" s="19" t="str">
        <f t="shared" si="317"/>
        <v>26-35</v>
      </c>
    </row>
    <row r="4798" spans="1:16" x14ac:dyDescent="0.25">
      <c r="A4798">
        <v>4797</v>
      </c>
      <c r="B4798" t="s">
        <v>9</v>
      </c>
      <c r="C4798">
        <v>489279</v>
      </c>
      <c r="D4798" t="s">
        <v>10</v>
      </c>
      <c r="E4798" t="s">
        <v>16</v>
      </c>
      <c r="F4798" t="s">
        <v>12</v>
      </c>
      <c r="G4798" t="s">
        <v>13</v>
      </c>
      <c r="H4798" t="s">
        <v>13</v>
      </c>
      <c r="I4798">
        <v>49</v>
      </c>
      <c r="J4798" t="str" cm="1">
        <f t="array" ref="J4798">_xlfn.IFS(ISBLANK(C4798),"FALTANTE",ABS((C4798-$W$5)/$X$5)&gt;1.96,"ATÍPICO",ABS((C4798-$W$5)/$X$5)&lt;=1.96,"NO ATÍPICO")</f>
        <v>NO ATÍPICO</v>
      </c>
      <c r="K4798" t="str" cm="1">
        <f t="array" ref="K4798">_xlfn.IFS(ISBLANK(I4798),"FALTANTE",ABS((I4798-$W$8)/$X$8)&gt;1.92,"ATÍPICO",ABS((I4798-$W$8)/$X$8)&lt;=1.92,"NO ATÍPICO")</f>
        <v>NO ATÍPICO</v>
      </c>
      <c r="L4798">
        <f t="shared" si="314"/>
        <v>489279</v>
      </c>
      <c r="M4798" t="str">
        <f t="shared" si="314"/>
        <v>ASALARIADO</v>
      </c>
      <c r="N4798">
        <f t="shared" si="315"/>
        <v>49</v>
      </c>
      <c r="O4798" s="19" t="str">
        <f t="shared" si="316"/>
        <v>300k–600k</v>
      </c>
      <c r="P4798" s="19" t="str">
        <f t="shared" si="317"/>
        <v>46-55</v>
      </c>
    </row>
    <row r="4799" spans="1:16" x14ac:dyDescent="0.25">
      <c r="A4799">
        <v>4798</v>
      </c>
      <c r="B4799" t="s">
        <v>15</v>
      </c>
      <c r="C4799">
        <v>56667</v>
      </c>
      <c r="D4799" t="s">
        <v>10</v>
      </c>
      <c r="E4799" t="s">
        <v>16</v>
      </c>
      <c r="F4799" t="s">
        <v>12</v>
      </c>
      <c r="G4799" t="s">
        <v>13</v>
      </c>
      <c r="H4799" t="s">
        <v>13</v>
      </c>
      <c r="I4799">
        <v>28</v>
      </c>
      <c r="J4799" t="str" cm="1">
        <f t="array" ref="J4799">_xlfn.IFS(ISBLANK(C4799),"FALTANTE",ABS((C4799-$W$5)/$X$5)&gt;1.96,"ATÍPICO",ABS((C4799-$W$5)/$X$5)&lt;=1.96,"NO ATÍPICO")</f>
        <v>NO ATÍPICO</v>
      </c>
      <c r="K4799" t="str" cm="1">
        <f t="array" ref="K4799">_xlfn.IFS(ISBLANK(I4799),"FALTANTE",ABS((I4799-$W$8)/$X$8)&gt;1.92,"ATÍPICO",ABS((I4799-$W$8)/$X$8)&lt;=1.92,"NO ATÍPICO")</f>
        <v>NO ATÍPICO</v>
      </c>
      <c r="L4799">
        <f t="shared" si="314"/>
        <v>56667</v>
      </c>
      <c r="M4799" t="str">
        <f t="shared" si="314"/>
        <v>ASALARIADO</v>
      </c>
      <c r="N4799">
        <f t="shared" si="315"/>
        <v>28</v>
      </c>
      <c r="O4799" s="19" t="str">
        <f t="shared" si="316"/>
        <v>0–300k</v>
      </c>
      <c r="P4799" s="19" t="str">
        <f t="shared" si="317"/>
        <v>26-35</v>
      </c>
    </row>
    <row r="4800" spans="1:16" x14ac:dyDescent="0.25">
      <c r="A4800">
        <v>4799</v>
      </c>
      <c r="B4800" t="s">
        <v>15</v>
      </c>
      <c r="C4800">
        <v>297045</v>
      </c>
      <c r="D4800" t="s">
        <v>18</v>
      </c>
      <c r="E4800" t="s">
        <v>16</v>
      </c>
      <c r="F4800" t="s">
        <v>12</v>
      </c>
      <c r="G4800" t="s">
        <v>13</v>
      </c>
      <c r="H4800" t="s">
        <v>12</v>
      </c>
      <c r="I4800">
        <v>50</v>
      </c>
      <c r="J4800" t="str" cm="1">
        <f t="array" ref="J4800">_xlfn.IFS(ISBLANK(C4800),"FALTANTE",ABS((C4800-$W$5)/$X$5)&gt;1.96,"ATÍPICO",ABS((C4800-$W$5)/$X$5)&lt;=1.96,"NO ATÍPICO")</f>
        <v>NO ATÍPICO</v>
      </c>
      <c r="K4800" t="str" cm="1">
        <f t="array" ref="K4800">_xlfn.IFS(ISBLANK(I4800),"FALTANTE",ABS((I4800-$W$8)/$X$8)&gt;1.92,"ATÍPICO",ABS((I4800-$W$8)/$X$8)&lt;=1.92,"NO ATÍPICO")</f>
        <v>NO ATÍPICO</v>
      </c>
      <c r="L4800">
        <f t="shared" si="314"/>
        <v>297045</v>
      </c>
      <c r="M4800" t="str">
        <f t="shared" si="314"/>
        <v>TRABAJADOR INDEPENDIENTE</v>
      </c>
      <c r="N4800">
        <f t="shared" si="315"/>
        <v>50</v>
      </c>
      <c r="O4800" s="19" t="str">
        <f t="shared" si="316"/>
        <v>0–300k</v>
      </c>
      <c r="P4800" s="19" t="str">
        <f t="shared" si="317"/>
        <v>46-55</v>
      </c>
    </row>
    <row r="4801" spans="1:16" x14ac:dyDescent="0.25">
      <c r="A4801">
        <v>4800</v>
      </c>
      <c r="B4801" t="s">
        <v>15</v>
      </c>
      <c r="C4801">
        <v>278030</v>
      </c>
      <c r="D4801" t="s">
        <v>19</v>
      </c>
      <c r="E4801" t="s">
        <v>16</v>
      </c>
      <c r="F4801" t="s">
        <v>12</v>
      </c>
      <c r="G4801" t="s">
        <v>13</v>
      </c>
      <c r="H4801" t="s">
        <v>13</v>
      </c>
      <c r="I4801">
        <v>55</v>
      </c>
      <c r="J4801" t="str" cm="1">
        <f t="array" ref="J4801">_xlfn.IFS(ISBLANK(C4801),"FALTANTE",ABS((C4801-$W$5)/$X$5)&gt;1.96,"ATÍPICO",ABS((C4801-$W$5)/$X$5)&lt;=1.96,"NO ATÍPICO")</f>
        <v>NO ATÍPICO</v>
      </c>
      <c r="K4801" t="str" cm="1">
        <f t="array" ref="K4801">_xlfn.IFS(ISBLANK(I4801),"FALTANTE",ABS((I4801-$W$8)/$X$8)&gt;1.92,"ATÍPICO",ABS((I4801-$W$8)/$X$8)&lt;=1.92,"NO ATÍPICO")</f>
        <v>NO ATÍPICO</v>
      </c>
      <c r="L4801">
        <f t="shared" si="314"/>
        <v>278030</v>
      </c>
      <c r="M4801" t="str">
        <f t="shared" si="314"/>
        <v>CONVENIOS ESPECIALES DE TRABAJADORES INDEPENDIENTES</v>
      </c>
      <c r="N4801">
        <f t="shared" si="315"/>
        <v>55</v>
      </c>
      <c r="O4801" s="19" t="str">
        <f t="shared" si="316"/>
        <v>0–300k</v>
      </c>
      <c r="P4801" s="19" t="str">
        <f t="shared" si="317"/>
        <v>46-55</v>
      </c>
    </row>
    <row r="4802" spans="1:16" x14ac:dyDescent="0.25">
      <c r="A4802">
        <v>4801</v>
      </c>
      <c r="B4802" t="s">
        <v>15</v>
      </c>
      <c r="C4802">
        <v>468369</v>
      </c>
      <c r="D4802" t="s">
        <v>10</v>
      </c>
      <c r="E4802" t="s">
        <v>16</v>
      </c>
      <c r="F4802" t="s">
        <v>12</v>
      </c>
      <c r="G4802" t="s">
        <v>13</v>
      </c>
      <c r="H4802" t="s">
        <v>13</v>
      </c>
      <c r="I4802">
        <v>30</v>
      </c>
      <c r="J4802" t="str" cm="1">
        <f t="array" ref="J4802">_xlfn.IFS(ISBLANK(C4802),"FALTANTE",ABS((C4802-$W$5)/$X$5)&gt;1.96,"ATÍPICO",ABS((C4802-$W$5)/$X$5)&lt;=1.96,"NO ATÍPICO")</f>
        <v>NO ATÍPICO</v>
      </c>
      <c r="K4802" t="str" cm="1">
        <f t="array" ref="K4802">_xlfn.IFS(ISBLANK(I4802),"FALTANTE",ABS((I4802-$W$8)/$X$8)&gt;1.92,"ATÍPICO",ABS((I4802-$W$8)/$X$8)&lt;=1.92,"NO ATÍPICO")</f>
        <v>NO ATÍPICO</v>
      </c>
      <c r="L4802">
        <f t="shared" ref="L4802:M4865" si="318">C4802</f>
        <v>468369</v>
      </c>
      <c r="M4802" t="str">
        <f t="shared" si="318"/>
        <v>ASALARIADO</v>
      </c>
      <c r="N4802">
        <f t="shared" ref="N4802:N4865" si="319">I4802</f>
        <v>30</v>
      </c>
      <c r="O4802" s="19" t="str">
        <f t="shared" ref="O4802:O4865" si="320">IF(L4802&lt;=300000,"0–300k",IF(L4802&lt;=600000,"300k–600k",IF(L4802&lt;=900000,"600k–900k",IF(L4802&lt;=1200000,"900k–1200k","1200k+"))))</f>
        <v>300k–600k</v>
      </c>
      <c r="P4802" s="19" t="str">
        <f t="shared" ref="P4802:P4865" si="321">IF(N4802 &lt;=25,"18-25", IF(N4802&lt;=35,"26-35", IF(N4802 &lt;=45,"36-45", IF(N4802&lt;=55,"46-55","56+"))))</f>
        <v>26-35</v>
      </c>
    </row>
    <row r="4803" spans="1:16" x14ac:dyDescent="0.25">
      <c r="A4803">
        <v>4802</v>
      </c>
      <c r="B4803" t="s">
        <v>15</v>
      </c>
      <c r="C4803">
        <v>559270.94999999995</v>
      </c>
      <c r="D4803" t="s">
        <v>10</v>
      </c>
      <c r="E4803" t="s">
        <v>16</v>
      </c>
      <c r="F4803" t="s">
        <v>12</v>
      </c>
      <c r="G4803" t="s">
        <v>13</v>
      </c>
      <c r="H4803" t="s">
        <v>13</v>
      </c>
      <c r="I4803">
        <v>30</v>
      </c>
      <c r="J4803" t="str" cm="1">
        <f t="array" ref="J4803">_xlfn.IFS(ISBLANK(C4803),"FALTANTE",ABS((C4803-$W$5)/$X$5)&gt;1.96,"ATÍPICO",ABS((C4803-$W$5)/$X$5)&lt;=1.96,"NO ATÍPICO")</f>
        <v>NO ATÍPICO</v>
      </c>
      <c r="K4803" t="str" cm="1">
        <f t="array" ref="K4803">_xlfn.IFS(ISBLANK(I4803),"FALTANTE",ABS((I4803-$W$8)/$X$8)&gt;1.92,"ATÍPICO",ABS((I4803-$W$8)/$X$8)&lt;=1.92,"NO ATÍPICO")</f>
        <v>NO ATÍPICO</v>
      </c>
      <c r="L4803">
        <f t="shared" si="318"/>
        <v>559270.94999999995</v>
      </c>
      <c r="M4803" t="str">
        <f t="shared" si="318"/>
        <v>ASALARIADO</v>
      </c>
      <c r="N4803">
        <f t="shared" si="319"/>
        <v>30</v>
      </c>
      <c r="O4803" s="19" t="str">
        <f t="shared" si="320"/>
        <v>300k–600k</v>
      </c>
      <c r="P4803" s="19" t="str">
        <f t="shared" si="321"/>
        <v>26-35</v>
      </c>
    </row>
    <row r="4804" spans="1:16" x14ac:dyDescent="0.25">
      <c r="A4804">
        <v>4803</v>
      </c>
      <c r="B4804" t="s">
        <v>9</v>
      </c>
      <c r="C4804">
        <v>352855</v>
      </c>
      <c r="D4804" t="s">
        <v>10</v>
      </c>
      <c r="E4804" t="s">
        <v>16</v>
      </c>
      <c r="F4804" t="s">
        <v>12</v>
      </c>
      <c r="G4804" t="s">
        <v>13</v>
      </c>
      <c r="H4804" t="s">
        <v>13</v>
      </c>
      <c r="I4804">
        <v>35</v>
      </c>
      <c r="J4804" t="str" cm="1">
        <f t="array" ref="J4804">_xlfn.IFS(ISBLANK(C4804),"FALTANTE",ABS((C4804-$W$5)/$X$5)&gt;1.96,"ATÍPICO",ABS((C4804-$W$5)/$X$5)&lt;=1.96,"NO ATÍPICO")</f>
        <v>NO ATÍPICO</v>
      </c>
      <c r="K4804" t="str" cm="1">
        <f t="array" ref="K4804">_xlfn.IFS(ISBLANK(I4804),"FALTANTE",ABS((I4804-$W$8)/$X$8)&gt;1.92,"ATÍPICO",ABS((I4804-$W$8)/$X$8)&lt;=1.92,"NO ATÍPICO")</f>
        <v>NO ATÍPICO</v>
      </c>
      <c r="L4804">
        <f t="shared" si="318"/>
        <v>352855</v>
      </c>
      <c r="M4804" t="str">
        <f t="shared" si="318"/>
        <v>ASALARIADO</v>
      </c>
      <c r="N4804">
        <f t="shared" si="319"/>
        <v>35</v>
      </c>
      <c r="O4804" s="19" t="str">
        <f t="shared" si="320"/>
        <v>300k–600k</v>
      </c>
      <c r="P4804" s="19" t="str">
        <f t="shared" si="321"/>
        <v>26-35</v>
      </c>
    </row>
    <row r="4805" spans="1:16" x14ac:dyDescent="0.25">
      <c r="A4805">
        <v>4804</v>
      </c>
      <c r="B4805" t="s">
        <v>9</v>
      </c>
      <c r="C4805">
        <v>685483.06</v>
      </c>
      <c r="D4805" t="s">
        <v>10</v>
      </c>
      <c r="E4805" t="s">
        <v>11</v>
      </c>
      <c r="F4805" t="s">
        <v>12</v>
      </c>
      <c r="G4805" t="s">
        <v>13</v>
      </c>
      <c r="H4805" t="s">
        <v>13</v>
      </c>
      <c r="I4805">
        <v>41</v>
      </c>
      <c r="J4805" t="str" cm="1">
        <f t="array" ref="J4805">_xlfn.IFS(ISBLANK(C4805),"FALTANTE",ABS((C4805-$W$5)/$X$5)&gt;1.96,"ATÍPICO",ABS((C4805-$W$5)/$X$5)&lt;=1.96,"NO ATÍPICO")</f>
        <v>NO ATÍPICO</v>
      </c>
      <c r="K4805" t="str" cm="1">
        <f t="array" ref="K4805">_xlfn.IFS(ISBLANK(I4805),"FALTANTE",ABS((I4805-$W$8)/$X$8)&gt;1.92,"ATÍPICO",ABS((I4805-$W$8)/$X$8)&lt;=1.92,"NO ATÍPICO")</f>
        <v>NO ATÍPICO</v>
      </c>
      <c r="L4805">
        <f t="shared" si="318"/>
        <v>685483.06</v>
      </c>
      <c r="M4805" t="str">
        <f t="shared" si="318"/>
        <v>ASALARIADO</v>
      </c>
      <c r="N4805">
        <f t="shared" si="319"/>
        <v>41</v>
      </c>
      <c r="O4805" s="19" t="str">
        <f t="shared" si="320"/>
        <v>600k–900k</v>
      </c>
      <c r="P4805" s="19" t="str">
        <f t="shared" si="321"/>
        <v>36-45</v>
      </c>
    </row>
    <row r="4806" spans="1:16" x14ac:dyDescent="0.25">
      <c r="A4806">
        <v>4805</v>
      </c>
      <c r="B4806" t="s">
        <v>9</v>
      </c>
      <c r="C4806">
        <v>105542.83</v>
      </c>
      <c r="D4806" t="s">
        <v>14</v>
      </c>
      <c r="E4806" t="s">
        <v>11</v>
      </c>
      <c r="F4806" t="s">
        <v>12</v>
      </c>
      <c r="G4806" t="s">
        <v>13</v>
      </c>
      <c r="H4806" t="s">
        <v>13</v>
      </c>
      <c r="I4806">
        <v>69</v>
      </c>
      <c r="J4806" t="str" cm="1">
        <f t="array" ref="J4806">_xlfn.IFS(ISBLANK(C4806),"FALTANTE",ABS((C4806-$W$5)/$X$5)&gt;1.96,"ATÍPICO",ABS((C4806-$W$5)/$X$5)&lt;=1.96,"NO ATÍPICO")</f>
        <v>NO ATÍPICO</v>
      </c>
      <c r="K4806" t="str" cm="1">
        <f t="array" ref="K4806">_xlfn.IFS(ISBLANK(I4806),"FALTANTE",ABS((I4806-$W$8)/$X$8)&gt;1.92,"ATÍPICO",ABS((I4806-$W$8)/$X$8)&lt;=1.92,"NO ATÍPICO")</f>
        <v>NO ATÍPICO</v>
      </c>
      <c r="L4806">
        <f t="shared" si="318"/>
        <v>105542.83</v>
      </c>
      <c r="M4806" t="str">
        <f t="shared" si="318"/>
        <v>PENSIONADOS EN SU PROPIO SISTEMA</v>
      </c>
      <c r="N4806">
        <f t="shared" si="319"/>
        <v>69</v>
      </c>
      <c r="O4806" s="19" t="str">
        <f t="shared" si="320"/>
        <v>0–300k</v>
      </c>
      <c r="P4806" s="19" t="str">
        <f t="shared" si="321"/>
        <v>56+</v>
      </c>
    </row>
    <row r="4807" spans="1:16" x14ac:dyDescent="0.25">
      <c r="A4807">
        <v>4806</v>
      </c>
      <c r="B4807" t="s">
        <v>9</v>
      </c>
      <c r="C4807">
        <v>639148</v>
      </c>
      <c r="D4807" t="s">
        <v>18</v>
      </c>
      <c r="E4807" t="s">
        <v>16</v>
      </c>
      <c r="F4807" t="s">
        <v>12</v>
      </c>
      <c r="G4807" t="s">
        <v>13</v>
      </c>
      <c r="H4807" t="s">
        <v>13</v>
      </c>
      <c r="I4807">
        <v>64</v>
      </c>
      <c r="J4807" t="str" cm="1">
        <f t="array" ref="J4807">_xlfn.IFS(ISBLANK(C4807),"FALTANTE",ABS((C4807-$W$5)/$X$5)&gt;1.96,"ATÍPICO",ABS((C4807-$W$5)/$X$5)&lt;=1.96,"NO ATÍPICO")</f>
        <v>NO ATÍPICO</v>
      </c>
      <c r="K4807" t="str" cm="1">
        <f t="array" ref="K4807">_xlfn.IFS(ISBLANK(I4807),"FALTANTE",ABS((I4807-$W$8)/$X$8)&gt;1.92,"ATÍPICO",ABS((I4807-$W$8)/$X$8)&lt;=1.92,"NO ATÍPICO")</f>
        <v>NO ATÍPICO</v>
      </c>
      <c r="L4807">
        <f t="shared" si="318"/>
        <v>639148</v>
      </c>
      <c r="M4807" t="str">
        <f t="shared" si="318"/>
        <v>TRABAJADOR INDEPENDIENTE</v>
      </c>
      <c r="N4807">
        <f t="shared" si="319"/>
        <v>64</v>
      </c>
      <c r="O4807" s="19" t="str">
        <f t="shared" si="320"/>
        <v>600k–900k</v>
      </c>
      <c r="P4807" s="19" t="str">
        <f t="shared" si="321"/>
        <v>56+</v>
      </c>
    </row>
    <row r="4808" spans="1:16" x14ac:dyDescent="0.25">
      <c r="A4808">
        <v>4807</v>
      </c>
      <c r="B4808" t="s">
        <v>9</v>
      </c>
      <c r="C4808">
        <v>80000</v>
      </c>
      <c r="D4808" t="s">
        <v>10</v>
      </c>
      <c r="E4808" t="s">
        <v>16</v>
      </c>
      <c r="F4808" t="s">
        <v>12</v>
      </c>
      <c r="G4808" t="s">
        <v>12</v>
      </c>
      <c r="H4808" t="s">
        <v>13</v>
      </c>
      <c r="I4808">
        <v>44</v>
      </c>
      <c r="J4808" t="str" cm="1">
        <f t="array" ref="J4808">_xlfn.IFS(ISBLANK(C4808),"FALTANTE",ABS((C4808-$W$5)/$X$5)&gt;1.96,"ATÍPICO",ABS((C4808-$W$5)/$X$5)&lt;=1.96,"NO ATÍPICO")</f>
        <v>NO ATÍPICO</v>
      </c>
      <c r="K4808" t="str" cm="1">
        <f t="array" ref="K4808">_xlfn.IFS(ISBLANK(I4808),"FALTANTE",ABS((I4808-$W$8)/$X$8)&gt;1.92,"ATÍPICO",ABS((I4808-$W$8)/$X$8)&lt;=1.92,"NO ATÍPICO")</f>
        <v>NO ATÍPICO</v>
      </c>
      <c r="L4808">
        <f t="shared" si="318"/>
        <v>80000</v>
      </c>
      <c r="M4808" t="str">
        <f t="shared" si="318"/>
        <v>ASALARIADO</v>
      </c>
      <c r="N4808">
        <f t="shared" si="319"/>
        <v>44</v>
      </c>
      <c r="O4808" s="19" t="str">
        <f t="shared" si="320"/>
        <v>0–300k</v>
      </c>
      <c r="P4808" s="19" t="str">
        <f t="shared" si="321"/>
        <v>36-45</v>
      </c>
    </row>
    <row r="4809" spans="1:16" x14ac:dyDescent="0.25">
      <c r="A4809">
        <v>4808</v>
      </c>
      <c r="B4809" t="s">
        <v>9</v>
      </c>
      <c r="C4809">
        <v>2624502</v>
      </c>
      <c r="D4809" t="s">
        <v>10</v>
      </c>
      <c r="E4809" t="s">
        <v>16</v>
      </c>
      <c r="F4809" t="s">
        <v>12</v>
      </c>
      <c r="G4809" t="s">
        <v>13</v>
      </c>
      <c r="H4809" t="s">
        <v>13</v>
      </c>
      <c r="I4809">
        <v>49</v>
      </c>
      <c r="J4809" t="str" cm="1">
        <f t="array" ref="J4809">_xlfn.IFS(ISBLANK(C4809),"FALTANTE",ABS((C4809-$W$5)/$X$5)&gt;1.96,"ATÍPICO",ABS((C4809-$W$5)/$X$5)&lt;=1.96,"NO ATÍPICO")</f>
        <v>ATÍPICO</v>
      </c>
      <c r="K4809" t="str" cm="1">
        <f t="array" ref="K4809">_xlfn.IFS(ISBLANK(I4809),"FALTANTE",ABS((I4809-$W$8)/$X$8)&gt;1.92,"ATÍPICO",ABS((I4809-$W$8)/$X$8)&lt;=1.92,"NO ATÍPICO")</f>
        <v>NO ATÍPICO</v>
      </c>
      <c r="L4809">
        <f t="shared" si="318"/>
        <v>2624502</v>
      </c>
      <c r="M4809" t="str">
        <f t="shared" si="318"/>
        <v>ASALARIADO</v>
      </c>
      <c r="N4809">
        <f t="shared" si="319"/>
        <v>49</v>
      </c>
      <c r="O4809" s="19" t="str">
        <f t="shared" si="320"/>
        <v>1200k+</v>
      </c>
      <c r="P4809" s="19" t="str">
        <f t="shared" si="321"/>
        <v>46-55</v>
      </c>
    </row>
    <row r="4810" spans="1:16" x14ac:dyDescent="0.25">
      <c r="A4810">
        <v>4809</v>
      </c>
      <c r="B4810" t="s">
        <v>9</v>
      </c>
      <c r="C4810">
        <v>536035.42000000004</v>
      </c>
      <c r="D4810" t="s">
        <v>10</v>
      </c>
      <c r="E4810" t="s">
        <v>16</v>
      </c>
      <c r="F4810" t="s">
        <v>12</v>
      </c>
      <c r="G4810" t="s">
        <v>13</v>
      </c>
      <c r="H4810" t="s">
        <v>13</v>
      </c>
      <c r="I4810">
        <v>61</v>
      </c>
      <c r="J4810" t="str" cm="1">
        <f t="array" ref="J4810">_xlfn.IFS(ISBLANK(C4810),"FALTANTE",ABS((C4810-$W$5)/$X$5)&gt;1.96,"ATÍPICO",ABS((C4810-$W$5)/$X$5)&lt;=1.96,"NO ATÍPICO")</f>
        <v>NO ATÍPICO</v>
      </c>
      <c r="K4810" t="str" cm="1">
        <f t="array" ref="K4810">_xlfn.IFS(ISBLANK(I4810),"FALTANTE",ABS((I4810-$W$8)/$X$8)&gt;1.92,"ATÍPICO",ABS((I4810-$W$8)/$X$8)&lt;=1.92,"NO ATÍPICO")</f>
        <v>NO ATÍPICO</v>
      </c>
      <c r="L4810">
        <f t="shared" si="318"/>
        <v>536035.42000000004</v>
      </c>
      <c r="M4810" t="str">
        <f t="shared" si="318"/>
        <v>ASALARIADO</v>
      </c>
      <c r="N4810">
        <f t="shared" si="319"/>
        <v>61</v>
      </c>
      <c r="O4810" s="19" t="str">
        <f t="shared" si="320"/>
        <v>300k–600k</v>
      </c>
      <c r="P4810" s="19" t="str">
        <f t="shared" si="321"/>
        <v>56+</v>
      </c>
    </row>
    <row r="4811" spans="1:16" x14ac:dyDescent="0.25">
      <c r="A4811">
        <v>4810</v>
      </c>
      <c r="B4811" t="s">
        <v>15</v>
      </c>
      <c r="C4811">
        <v>371041.65</v>
      </c>
      <c r="D4811" t="s">
        <v>10</v>
      </c>
      <c r="E4811" t="s">
        <v>16</v>
      </c>
      <c r="F4811" t="s">
        <v>12</v>
      </c>
      <c r="G4811" t="s">
        <v>13</v>
      </c>
      <c r="H4811" t="s">
        <v>13</v>
      </c>
      <c r="I4811">
        <v>32</v>
      </c>
      <c r="J4811" t="str" cm="1">
        <f t="array" ref="J4811">_xlfn.IFS(ISBLANK(C4811),"FALTANTE",ABS((C4811-$W$5)/$X$5)&gt;1.96,"ATÍPICO",ABS((C4811-$W$5)/$X$5)&lt;=1.96,"NO ATÍPICO")</f>
        <v>NO ATÍPICO</v>
      </c>
      <c r="K4811" t="str" cm="1">
        <f t="array" ref="K4811">_xlfn.IFS(ISBLANK(I4811),"FALTANTE",ABS((I4811-$W$8)/$X$8)&gt;1.92,"ATÍPICO",ABS((I4811-$W$8)/$X$8)&lt;=1.92,"NO ATÍPICO")</f>
        <v>NO ATÍPICO</v>
      </c>
      <c r="L4811">
        <f t="shared" si="318"/>
        <v>371041.65</v>
      </c>
      <c r="M4811" t="str">
        <f t="shared" si="318"/>
        <v>ASALARIADO</v>
      </c>
      <c r="N4811">
        <f t="shared" si="319"/>
        <v>32</v>
      </c>
      <c r="O4811" s="19" t="str">
        <f t="shared" si="320"/>
        <v>300k–600k</v>
      </c>
      <c r="P4811" s="19" t="str">
        <f t="shared" si="321"/>
        <v>26-35</v>
      </c>
    </row>
    <row r="4812" spans="1:16" x14ac:dyDescent="0.25">
      <c r="A4812">
        <v>4811</v>
      </c>
      <c r="B4812" t="s">
        <v>15</v>
      </c>
      <c r="C4812">
        <v>696716</v>
      </c>
      <c r="D4812" t="s">
        <v>10</v>
      </c>
      <c r="E4812" t="s">
        <v>11</v>
      </c>
      <c r="F4812" t="s">
        <v>12</v>
      </c>
      <c r="G4812" t="s">
        <v>13</v>
      </c>
      <c r="H4812" t="s">
        <v>12</v>
      </c>
      <c r="I4812">
        <v>42</v>
      </c>
      <c r="J4812" t="str" cm="1">
        <f t="array" ref="J4812">_xlfn.IFS(ISBLANK(C4812),"FALTANTE",ABS((C4812-$W$5)/$X$5)&gt;1.96,"ATÍPICO",ABS((C4812-$W$5)/$X$5)&lt;=1.96,"NO ATÍPICO")</f>
        <v>NO ATÍPICO</v>
      </c>
      <c r="K4812" t="str" cm="1">
        <f t="array" ref="K4812">_xlfn.IFS(ISBLANK(I4812),"FALTANTE",ABS((I4812-$W$8)/$X$8)&gt;1.92,"ATÍPICO",ABS((I4812-$W$8)/$X$8)&lt;=1.92,"NO ATÍPICO")</f>
        <v>NO ATÍPICO</v>
      </c>
      <c r="L4812">
        <f t="shared" si="318"/>
        <v>696716</v>
      </c>
      <c r="M4812" t="str">
        <f t="shared" si="318"/>
        <v>ASALARIADO</v>
      </c>
      <c r="N4812">
        <f t="shared" si="319"/>
        <v>42</v>
      </c>
      <c r="O4812" s="19" t="str">
        <f t="shared" si="320"/>
        <v>600k–900k</v>
      </c>
      <c r="P4812" s="19" t="str">
        <f t="shared" si="321"/>
        <v>36-45</v>
      </c>
    </row>
    <row r="4813" spans="1:16" x14ac:dyDescent="0.25">
      <c r="A4813">
        <v>4812</v>
      </c>
      <c r="B4813" t="s">
        <v>9</v>
      </c>
      <c r="C4813">
        <v>384348.31</v>
      </c>
      <c r="D4813" t="s">
        <v>10</v>
      </c>
      <c r="E4813" t="s">
        <v>16</v>
      </c>
      <c r="F4813" t="s">
        <v>12</v>
      </c>
      <c r="G4813" t="s">
        <v>13</v>
      </c>
      <c r="H4813" t="s">
        <v>13</v>
      </c>
      <c r="I4813">
        <v>27</v>
      </c>
      <c r="J4813" t="str" cm="1">
        <f t="array" ref="J4813">_xlfn.IFS(ISBLANK(C4813),"FALTANTE",ABS((C4813-$W$5)/$X$5)&gt;1.96,"ATÍPICO",ABS((C4813-$W$5)/$X$5)&lt;=1.96,"NO ATÍPICO")</f>
        <v>NO ATÍPICO</v>
      </c>
      <c r="K4813" t="str" cm="1">
        <f t="array" ref="K4813">_xlfn.IFS(ISBLANK(I4813),"FALTANTE",ABS((I4813-$W$8)/$X$8)&gt;1.92,"ATÍPICO",ABS((I4813-$W$8)/$X$8)&lt;=1.92,"NO ATÍPICO")</f>
        <v>NO ATÍPICO</v>
      </c>
      <c r="L4813">
        <f t="shared" si="318"/>
        <v>384348.31</v>
      </c>
      <c r="M4813" t="str">
        <f t="shared" si="318"/>
        <v>ASALARIADO</v>
      </c>
      <c r="N4813">
        <f t="shared" si="319"/>
        <v>27</v>
      </c>
      <c r="O4813" s="19" t="str">
        <f t="shared" si="320"/>
        <v>300k–600k</v>
      </c>
      <c r="P4813" s="19" t="str">
        <f t="shared" si="321"/>
        <v>26-35</v>
      </c>
    </row>
    <row r="4814" spans="1:16" x14ac:dyDescent="0.25">
      <c r="A4814">
        <v>4813</v>
      </c>
      <c r="B4814" t="s">
        <v>15</v>
      </c>
      <c r="C4814">
        <v>240000</v>
      </c>
      <c r="D4814" t="s">
        <v>10</v>
      </c>
      <c r="E4814" t="s">
        <v>16</v>
      </c>
      <c r="F4814" t="s">
        <v>12</v>
      </c>
      <c r="G4814" t="s">
        <v>12</v>
      </c>
      <c r="H4814" t="s">
        <v>13</v>
      </c>
      <c r="I4814">
        <v>27</v>
      </c>
      <c r="J4814" t="str" cm="1">
        <f t="array" ref="J4814">_xlfn.IFS(ISBLANK(C4814),"FALTANTE",ABS((C4814-$W$5)/$X$5)&gt;1.96,"ATÍPICO",ABS((C4814-$W$5)/$X$5)&lt;=1.96,"NO ATÍPICO")</f>
        <v>NO ATÍPICO</v>
      </c>
      <c r="K4814" t="str" cm="1">
        <f t="array" ref="K4814">_xlfn.IFS(ISBLANK(I4814),"FALTANTE",ABS((I4814-$W$8)/$X$8)&gt;1.92,"ATÍPICO",ABS((I4814-$W$8)/$X$8)&lt;=1.92,"NO ATÍPICO")</f>
        <v>NO ATÍPICO</v>
      </c>
      <c r="L4814">
        <f t="shared" si="318"/>
        <v>240000</v>
      </c>
      <c r="M4814" t="str">
        <f t="shared" si="318"/>
        <v>ASALARIADO</v>
      </c>
      <c r="N4814">
        <f t="shared" si="319"/>
        <v>27</v>
      </c>
      <c r="O4814" s="19" t="str">
        <f t="shared" si="320"/>
        <v>0–300k</v>
      </c>
      <c r="P4814" s="19" t="str">
        <f t="shared" si="321"/>
        <v>26-35</v>
      </c>
    </row>
    <row r="4815" spans="1:16" x14ac:dyDescent="0.25">
      <c r="A4815">
        <v>4814</v>
      </c>
      <c r="B4815" t="s">
        <v>9</v>
      </c>
      <c r="C4815">
        <v>141509.48000000001</v>
      </c>
      <c r="D4815" t="s">
        <v>14</v>
      </c>
      <c r="E4815" t="s">
        <v>11</v>
      </c>
      <c r="F4815" t="s">
        <v>12</v>
      </c>
      <c r="G4815" t="s">
        <v>13</v>
      </c>
      <c r="H4815" t="s">
        <v>13</v>
      </c>
      <c r="I4815">
        <v>82</v>
      </c>
      <c r="J4815" t="str" cm="1">
        <f t="array" ref="J4815">_xlfn.IFS(ISBLANK(C4815),"FALTANTE",ABS((C4815-$W$5)/$X$5)&gt;1.96,"ATÍPICO",ABS((C4815-$W$5)/$X$5)&lt;=1.96,"NO ATÍPICO")</f>
        <v>NO ATÍPICO</v>
      </c>
      <c r="K4815" t="str" cm="1">
        <f t="array" ref="K4815">_xlfn.IFS(ISBLANK(I4815),"FALTANTE",ABS((I4815-$W$8)/$X$8)&gt;1.92,"ATÍPICO",ABS((I4815-$W$8)/$X$8)&lt;=1.92,"NO ATÍPICO")</f>
        <v>ATÍPICO</v>
      </c>
      <c r="L4815">
        <f t="shared" si="318"/>
        <v>141509.48000000001</v>
      </c>
      <c r="M4815" t="str">
        <f t="shared" si="318"/>
        <v>PENSIONADOS EN SU PROPIO SISTEMA</v>
      </c>
      <c r="N4815">
        <f t="shared" si="319"/>
        <v>82</v>
      </c>
      <c r="O4815" s="19" t="str">
        <f t="shared" si="320"/>
        <v>0–300k</v>
      </c>
      <c r="P4815" s="19" t="str">
        <f t="shared" si="321"/>
        <v>56+</v>
      </c>
    </row>
    <row r="4816" spans="1:16" x14ac:dyDescent="0.25">
      <c r="A4816">
        <v>4815</v>
      </c>
      <c r="B4816" t="s">
        <v>15</v>
      </c>
      <c r="C4816">
        <v>2803065.68</v>
      </c>
      <c r="D4816" t="s">
        <v>10</v>
      </c>
      <c r="E4816" t="s">
        <v>11</v>
      </c>
      <c r="F4816" t="s">
        <v>12</v>
      </c>
      <c r="G4816" t="s">
        <v>13</v>
      </c>
      <c r="H4816" t="s">
        <v>13</v>
      </c>
      <c r="I4816">
        <v>49</v>
      </c>
      <c r="J4816" t="str" cm="1">
        <f t="array" ref="J4816">_xlfn.IFS(ISBLANK(C4816),"FALTANTE",ABS((C4816-$W$5)/$X$5)&gt;1.96,"ATÍPICO",ABS((C4816-$W$5)/$X$5)&lt;=1.96,"NO ATÍPICO")</f>
        <v>ATÍPICO</v>
      </c>
      <c r="K4816" t="str" cm="1">
        <f t="array" ref="K4816">_xlfn.IFS(ISBLANK(I4816),"FALTANTE",ABS((I4816-$W$8)/$X$8)&gt;1.92,"ATÍPICO",ABS((I4816-$W$8)/$X$8)&lt;=1.92,"NO ATÍPICO")</f>
        <v>NO ATÍPICO</v>
      </c>
      <c r="L4816">
        <f t="shared" si="318"/>
        <v>2803065.68</v>
      </c>
      <c r="M4816" t="str">
        <f t="shared" si="318"/>
        <v>ASALARIADO</v>
      </c>
      <c r="N4816">
        <f t="shared" si="319"/>
        <v>49</v>
      </c>
      <c r="O4816" s="19" t="str">
        <f t="shared" si="320"/>
        <v>1200k+</v>
      </c>
      <c r="P4816" s="19" t="str">
        <f t="shared" si="321"/>
        <v>46-55</v>
      </c>
    </row>
    <row r="4817" spans="1:16" x14ac:dyDescent="0.25">
      <c r="A4817">
        <v>4816</v>
      </c>
      <c r="B4817" t="s">
        <v>9</v>
      </c>
      <c r="C4817">
        <v>806339.27</v>
      </c>
      <c r="D4817" t="s">
        <v>10</v>
      </c>
      <c r="E4817" t="s">
        <v>11</v>
      </c>
      <c r="F4817" t="s">
        <v>12</v>
      </c>
      <c r="G4817" t="s">
        <v>13</v>
      </c>
      <c r="H4817" t="s">
        <v>13</v>
      </c>
      <c r="I4817">
        <v>51</v>
      </c>
      <c r="J4817" t="str" cm="1">
        <f t="array" ref="J4817">_xlfn.IFS(ISBLANK(C4817),"FALTANTE",ABS((C4817-$W$5)/$X$5)&gt;1.96,"ATÍPICO",ABS((C4817-$W$5)/$X$5)&lt;=1.96,"NO ATÍPICO")</f>
        <v>NO ATÍPICO</v>
      </c>
      <c r="K4817" t="str" cm="1">
        <f t="array" ref="K4817">_xlfn.IFS(ISBLANK(I4817),"FALTANTE",ABS((I4817-$W$8)/$X$8)&gt;1.92,"ATÍPICO",ABS((I4817-$W$8)/$X$8)&lt;=1.92,"NO ATÍPICO")</f>
        <v>NO ATÍPICO</v>
      </c>
      <c r="L4817">
        <f t="shared" si="318"/>
        <v>806339.27</v>
      </c>
      <c r="M4817" t="str">
        <f t="shared" si="318"/>
        <v>ASALARIADO</v>
      </c>
      <c r="N4817">
        <f t="shared" si="319"/>
        <v>51</v>
      </c>
      <c r="O4817" s="19" t="str">
        <f t="shared" si="320"/>
        <v>600k–900k</v>
      </c>
      <c r="P4817" s="19" t="str">
        <f t="shared" si="321"/>
        <v>46-55</v>
      </c>
    </row>
    <row r="4818" spans="1:16" x14ac:dyDescent="0.25">
      <c r="A4818">
        <v>4817</v>
      </c>
      <c r="B4818" t="s">
        <v>9</v>
      </c>
      <c r="C4818">
        <v>509509</v>
      </c>
      <c r="D4818" t="s">
        <v>18</v>
      </c>
      <c r="E4818" t="s">
        <v>16</v>
      </c>
      <c r="F4818" t="s">
        <v>12</v>
      </c>
      <c r="G4818" t="s">
        <v>13</v>
      </c>
      <c r="H4818" t="s">
        <v>12</v>
      </c>
      <c r="I4818">
        <v>58</v>
      </c>
      <c r="J4818" t="str" cm="1">
        <f t="array" ref="J4818">_xlfn.IFS(ISBLANK(C4818),"FALTANTE",ABS((C4818-$W$5)/$X$5)&gt;1.96,"ATÍPICO",ABS((C4818-$W$5)/$X$5)&lt;=1.96,"NO ATÍPICO")</f>
        <v>NO ATÍPICO</v>
      </c>
      <c r="K4818" t="str" cm="1">
        <f t="array" ref="K4818">_xlfn.IFS(ISBLANK(I4818),"FALTANTE",ABS((I4818-$W$8)/$X$8)&gt;1.92,"ATÍPICO",ABS((I4818-$W$8)/$X$8)&lt;=1.92,"NO ATÍPICO")</f>
        <v>NO ATÍPICO</v>
      </c>
      <c r="L4818">
        <f t="shared" si="318"/>
        <v>509509</v>
      </c>
      <c r="M4818" t="str">
        <f t="shared" si="318"/>
        <v>TRABAJADOR INDEPENDIENTE</v>
      </c>
      <c r="N4818">
        <f t="shared" si="319"/>
        <v>58</v>
      </c>
      <c r="O4818" s="19" t="str">
        <f t="shared" si="320"/>
        <v>300k–600k</v>
      </c>
      <c r="P4818" s="19" t="str">
        <f t="shared" si="321"/>
        <v>56+</v>
      </c>
    </row>
    <row r="4819" spans="1:16" x14ac:dyDescent="0.25">
      <c r="A4819">
        <v>4818</v>
      </c>
      <c r="B4819" t="s">
        <v>9</v>
      </c>
      <c r="C4819">
        <v>384956</v>
      </c>
      <c r="D4819" t="s">
        <v>18</v>
      </c>
      <c r="E4819" t="s">
        <v>16</v>
      </c>
      <c r="F4819" t="s">
        <v>12</v>
      </c>
      <c r="G4819" t="s">
        <v>13</v>
      </c>
      <c r="H4819" t="s">
        <v>12</v>
      </c>
      <c r="I4819">
        <v>42</v>
      </c>
      <c r="J4819" t="str" cm="1">
        <f t="array" ref="J4819">_xlfn.IFS(ISBLANK(C4819),"FALTANTE",ABS((C4819-$W$5)/$X$5)&gt;1.96,"ATÍPICO",ABS((C4819-$W$5)/$X$5)&lt;=1.96,"NO ATÍPICO")</f>
        <v>NO ATÍPICO</v>
      </c>
      <c r="K4819" t="str" cm="1">
        <f t="array" ref="K4819">_xlfn.IFS(ISBLANK(I4819),"FALTANTE",ABS((I4819-$W$8)/$X$8)&gt;1.92,"ATÍPICO",ABS((I4819-$W$8)/$X$8)&lt;=1.92,"NO ATÍPICO")</f>
        <v>NO ATÍPICO</v>
      </c>
      <c r="L4819">
        <f t="shared" si="318"/>
        <v>384956</v>
      </c>
      <c r="M4819" t="str">
        <f t="shared" si="318"/>
        <v>TRABAJADOR INDEPENDIENTE</v>
      </c>
      <c r="N4819">
        <f t="shared" si="319"/>
        <v>42</v>
      </c>
      <c r="O4819" s="19" t="str">
        <f t="shared" si="320"/>
        <v>300k–600k</v>
      </c>
      <c r="P4819" s="19" t="str">
        <f t="shared" si="321"/>
        <v>36-45</v>
      </c>
    </row>
    <row r="4820" spans="1:16" x14ac:dyDescent="0.25">
      <c r="A4820">
        <v>4819</v>
      </c>
      <c r="B4820" t="s">
        <v>15</v>
      </c>
      <c r="C4820">
        <v>1399635</v>
      </c>
      <c r="D4820" t="s">
        <v>14</v>
      </c>
      <c r="E4820" t="s">
        <v>11</v>
      </c>
      <c r="F4820" t="s">
        <v>12</v>
      </c>
      <c r="G4820" t="s">
        <v>13</v>
      </c>
      <c r="H4820" t="s">
        <v>13</v>
      </c>
      <c r="I4820">
        <v>66</v>
      </c>
      <c r="J4820" t="str" cm="1">
        <f t="array" ref="J4820">_xlfn.IFS(ISBLANK(C4820),"FALTANTE",ABS((C4820-$W$5)/$X$5)&gt;1.96,"ATÍPICO",ABS((C4820-$W$5)/$X$5)&lt;=1.96,"NO ATÍPICO")</f>
        <v>NO ATÍPICO</v>
      </c>
      <c r="K4820" t="str" cm="1">
        <f t="array" ref="K4820">_xlfn.IFS(ISBLANK(I4820),"FALTANTE",ABS((I4820-$W$8)/$X$8)&gt;1.92,"ATÍPICO",ABS((I4820-$W$8)/$X$8)&lt;=1.92,"NO ATÍPICO")</f>
        <v>NO ATÍPICO</v>
      </c>
      <c r="L4820">
        <f t="shared" si="318"/>
        <v>1399635</v>
      </c>
      <c r="M4820" t="str">
        <f t="shared" si="318"/>
        <v>PENSIONADOS EN SU PROPIO SISTEMA</v>
      </c>
      <c r="N4820">
        <f t="shared" si="319"/>
        <v>66</v>
      </c>
      <c r="O4820" s="19" t="str">
        <f t="shared" si="320"/>
        <v>1200k+</v>
      </c>
      <c r="P4820" s="19" t="str">
        <f t="shared" si="321"/>
        <v>56+</v>
      </c>
    </row>
    <row r="4821" spans="1:16" x14ac:dyDescent="0.25">
      <c r="A4821">
        <v>4820</v>
      </c>
      <c r="B4821" t="s">
        <v>9</v>
      </c>
      <c r="C4821">
        <v>336308.54</v>
      </c>
      <c r="D4821" t="s">
        <v>10</v>
      </c>
      <c r="E4821" t="s">
        <v>16</v>
      </c>
      <c r="F4821" t="s">
        <v>12</v>
      </c>
      <c r="G4821" t="s">
        <v>12</v>
      </c>
      <c r="H4821" t="s">
        <v>13</v>
      </c>
      <c r="I4821">
        <v>21</v>
      </c>
      <c r="J4821" t="str" cm="1">
        <f t="array" ref="J4821">_xlfn.IFS(ISBLANK(C4821),"FALTANTE",ABS((C4821-$W$5)/$X$5)&gt;1.96,"ATÍPICO",ABS((C4821-$W$5)/$X$5)&lt;=1.96,"NO ATÍPICO")</f>
        <v>NO ATÍPICO</v>
      </c>
      <c r="K4821" t="str" cm="1">
        <f t="array" ref="K4821">_xlfn.IFS(ISBLANK(I4821),"FALTANTE",ABS((I4821-$W$8)/$X$8)&gt;1.92,"ATÍPICO",ABS((I4821-$W$8)/$X$8)&lt;=1.92,"NO ATÍPICO")</f>
        <v>NO ATÍPICO</v>
      </c>
      <c r="L4821">
        <f t="shared" si="318"/>
        <v>336308.54</v>
      </c>
      <c r="M4821" t="str">
        <f t="shared" si="318"/>
        <v>ASALARIADO</v>
      </c>
      <c r="N4821">
        <f t="shared" si="319"/>
        <v>21</v>
      </c>
      <c r="O4821" s="19" t="str">
        <f t="shared" si="320"/>
        <v>300k–600k</v>
      </c>
      <c r="P4821" s="19" t="str">
        <f t="shared" si="321"/>
        <v>18-25</v>
      </c>
    </row>
    <row r="4822" spans="1:16" x14ac:dyDescent="0.25">
      <c r="A4822">
        <v>4821</v>
      </c>
      <c r="B4822" t="s">
        <v>9</v>
      </c>
      <c r="C4822">
        <v>388655.68</v>
      </c>
      <c r="D4822" t="s">
        <v>10</v>
      </c>
      <c r="E4822" t="s">
        <v>16</v>
      </c>
      <c r="F4822" t="s">
        <v>12</v>
      </c>
      <c r="G4822" t="s">
        <v>13</v>
      </c>
      <c r="H4822" t="s">
        <v>13</v>
      </c>
      <c r="I4822">
        <v>36</v>
      </c>
      <c r="J4822" t="str" cm="1">
        <f t="array" ref="J4822">_xlfn.IFS(ISBLANK(C4822),"FALTANTE",ABS((C4822-$W$5)/$X$5)&gt;1.96,"ATÍPICO",ABS((C4822-$W$5)/$X$5)&lt;=1.96,"NO ATÍPICO")</f>
        <v>NO ATÍPICO</v>
      </c>
      <c r="K4822" t="str" cm="1">
        <f t="array" ref="K4822">_xlfn.IFS(ISBLANK(I4822),"FALTANTE",ABS((I4822-$W$8)/$X$8)&gt;1.92,"ATÍPICO",ABS((I4822-$W$8)/$X$8)&lt;=1.92,"NO ATÍPICO")</f>
        <v>NO ATÍPICO</v>
      </c>
      <c r="L4822">
        <f t="shared" si="318"/>
        <v>388655.68</v>
      </c>
      <c r="M4822" t="str">
        <f t="shared" si="318"/>
        <v>ASALARIADO</v>
      </c>
      <c r="N4822">
        <f t="shared" si="319"/>
        <v>36</v>
      </c>
      <c r="O4822" s="19" t="str">
        <f t="shared" si="320"/>
        <v>300k–600k</v>
      </c>
      <c r="P4822" s="19" t="str">
        <f t="shared" si="321"/>
        <v>36-45</v>
      </c>
    </row>
    <row r="4823" spans="1:16" x14ac:dyDescent="0.25">
      <c r="A4823">
        <v>4822</v>
      </c>
      <c r="B4823" t="s">
        <v>9</v>
      </c>
      <c r="C4823">
        <v>458950</v>
      </c>
      <c r="D4823" t="s">
        <v>10</v>
      </c>
      <c r="E4823" t="s">
        <v>16</v>
      </c>
      <c r="F4823" t="s">
        <v>12</v>
      </c>
      <c r="G4823" t="s">
        <v>13</v>
      </c>
      <c r="H4823" t="s">
        <v>13</v>
      </c>
      <c r="I4823">
        <v>40</v>
      </c>
      <c r="J4823" t="str" cm="1">
        <f t="array" ref="J4823">_xlfn.IFS(ISBLANK(C4823),"FALTANTE",ABS((C4823-$W$5)/$X$5)&gt;1.96,"ATÍPICO",ABS((C4823-$W$5)/$X$5)&lt;=1.96,"NO ATÍPICO")</f>
        <v>NO ATÍPICO</v>
      </c>
      <c r="K4823" t="str" cm="1">
        <f t="array" ref="K4823">_xlfn.IFS(ISBLANK(I4823),"FALTANTE",ABS((I4823-$W$8)/$X$8)&gt;1.92,"ATÍPICO",ABS((I4823-$W$8)/$X$8)&lt;=1.92,"NO ATÍPICO")</f>
        <v>NO ATÍPICO</v>
      </c>
      <c r="L4823">
        <f t="shared" si="318"/>
        <v>458950</v>
      </c>
      <c r="M4823" t="str">
        <f t="shared" si="318"/>
        <v>ASALARIADO</v>
      </c>
      <c r="N4823">
        <f t="shared" si="319"/>
        <v>40</v>
      </c>
      <c r="O4823" s="19" t="str">
        <f t="shared" si="320"/>
        <v>300k–600k</v>
      </c>
      <c r="P4823" s="19" t="str">
        <f t="shared" si="321"/>
        <v>36-45</v>
      </c>
    </row>
    <row r="4824" spans="1:16" x14ac:dyDescent="0.25">
      <c r="A4824">
        <v>4823</v>
      </c>
      <c r="B4824" t="s">
        <v>9</v>
      </c>
      <c r="C4824">
        <v>205604.33</v>
      </c>
      <c r="D4824" t="s">
        <v>10</v>
      </c>
      <c r="E4824" t="s">
        <v>16</v>
      </c>
      <c r="F4824" t="s">
        <v>12</v>
      </c>
      <c r="G4824" t="s">
        <v>13</v>
      </c>
      <c r="H4824" t="s">
        <v>13</v>
      </c>
      <c r="I4824">
        <v>31</v>
      </c>
      <c r="J4824" t="str" cm="1">
        <f t="array" ref="J4824">_xlfn.IFS(ISBLANK(C4824),"FALTANTE",ABS((C4824-$W$5)/$X$5)&gt;1.96,"ATÍPICO",ABS((C4824-$W$5)/$X$5)&lt;=1.96,"NO ATÍPICO")</f>
        <v>NO ATÍPICO</v>
      </c>
      <c r="K4824" t="str" cm="1">
        <f t="array" ref="K4824">_xlfn.IFS(ISBLANK(I4824),"FALTANTE",ABS((I4824-$W$8)/$X$8)&gt;1.92,"ATÍPICO",ABS((I4824-$W$8)/$X$8)&lt;=1.92,"NO ATÍPICO")</f>
        <v>NO ATÍPICO</v>
      </c>
      <c r="L4824">
        <f t="shared" si="318"/>
        <v>205604.33</v>
      </c>
      <c r="M4824" t="str">
        <f t="shared" si="318"/>
        <v>ASALARIADO</v>
      </c>
      <c r="N4824">
        <f t="shared" si="319"/>
        <v>31</v>
      </c>
      <c r="O4824" s="19" t="str">
        <f t="shared" si="320"/>
        <v>0–300k</v>
      </c>
      <c r="P4824" s="19" t="str">
        <f t="shared" si="321"/>
        <v>26-35</v>
      </c>
    </row>
    <row r="4825" spans="1:16" x14ac:dyDescent="0.25">
      <c r="A4825">
        <v>4824</v>
      </c>
      <c r="B4825" t="s">
        <v>15</v>
      </c>
      <c r="C4825">
        <v>459530.58</v>
      </c>
      <c r="D4825" t="s">
        <v>10</v>
      </c>
      <c r="E4825" t="s">
        <v>16</v>
      </c>
      <c r="F4825" t="s">
        <v>12</v>
      </c>
      <c r="G4825" t="s">
        <v>13</v>
      </c>
      <c r="H4825" t="s">
        <v>13</v>
      </c>
      <c r="I4825">
        <v>50</v>
      </c>
      <c r="J4825" t="str" cm="1">
        <f t="array" ref="J4825">_xlfn.IFS(ISBLANK(C4825),"FALTANTE",ABS((C4825-$W$5)/$X$5)&gt;1.96,"ATÍPICO",ABS((C4825-$W$5)/$X$5)&lt;=1.96,"NO ATÍPICO")</f>
        <v>NO ATÍPICO</v>
      </c>
      <c r="K4825" t="str" cm="1">
        <f t="array" ref="K4825">_xlfn.IFS(ISBLANK(I4825),"FALTANTE",ABS((I4825-$W$8)/$X$8)&gt;1.92,"ATÍPICO",ABS((I4825-$W$8)/$X$8)&lt;=1.92,"NO ATÍPICO")</f>
        <v>NO ATÍPICO</v>
      </c>
      <c r="L4825">
        <f t="shared" si="318"/>
        <v>459530.58</v>
      </c>
      <c r="M4825" t="str">
        <f t="shared" si="318"/>
        <v>ASALARIADO</v>
      </c>
      <c r="N4825">
        <f t="shared" si="319"/>
        <v>50</v>
      </c>
      <c r="O4825" s="19" t="str">
        <f t="shared" si="320"/>
        <v>300k–600k</v>
      </c>
      <c r="P4825" s="19" t="str">
        <f t="shared" si="321"/>
        <v>46-55</v>
      </c>
    </row>
    <row r="4826" spans="1:16" x14ac:dyDescent="0.25">
      <c r="A4826">
        <v>4825</v>
      </c>
      <c r="B4826" t="s">
        <v>9</v>
      </c>
      <c r="C4826">
        <v>507184</v>
      </c>
      <c r="D4826" t="s">
        <v>10</v>
      </c>
      <c r="E4826" t="s">
        <v>11</v>
      </c>
      <c r="F4826" t="s">
        <v>12</v>
      </c>
      <c r="G4826" t="s">
        <v>13</v>
      </c>
      <c r="H4826" t="s">
        <v>12</v>
      </c>
      <c r="I4826">
        <v>60</v>
      </c>
      <c r="J4826" t="str" cm="1">
        <f t="array" ref="J4826">_xlfn.IFS(ISBLANK(C4826),"FALTANTE",ABS((C4826-$W$5)/$X$5)&gt;1.96,"ATÍPICO",ABS((C4826-$W$5)/$X$5)&lt;=1.96,"NO ATÍPICO")</f>
        <v>NO ATÍPICO</v>
      </c>
      <c r="K4826" t="str" cm="1">
        <f t="array" ref="K4826">_xlfn.IFS(ISBLANK(I4826),"FALTANTE",ABS((I4826-$W$8)/$X$8)&gt;1.92,"ATÍPICO",ABS((I4826-$W$8)/$X$8)&lt;=1.92,"NO ATÍPICO")</f>
        <v>NO ATÍPICO</v>
      </c>
      <c r="L4826">
        <f t="shared" si="318"/>
        <v>507184</v>
      </c>
      <c r="M4826" t="str">
        <f t="shared" si="318"/>
        <v>ASALARIADO</v>
      </c>
      <c r="N4826">
        <f t="shared" si="319"/>
        <v>60</v>
      </c>
      <c r="O4826" s="19" t="str">
        <f t="shared" si="320"/>
        <v>300k–600k</v>
      </c>
      <c r="P4826" s="19" t="str">
        <f t="shared" si="321"/>
        <v>56+</v>
      </c>
    </row>
    <row r="4827" spans="1:16" x14ac:dyDescent="0.25">
      <c r="A4827">
        <v>4826</v>
      </c>
      <c r="B4827" t="s">
        <v>9</v>
      </c>
      <c r="C4827">
        <v>302709.55</v>
      </c>
      <c r="D4827" t="s">
        <v>10</v>
      </c>
      <c r="E4827" t="s">
        <v>16</v>
      </c>
      <c r="F4827" t="s">
        <v>12</v>
      </c>
      <c r="G4827" t="s">
        <v>13</v>
      </c>
      <c r="H4827" t="s">
        <v>13</v>
      </c>
      <c r="I4827">
        <v>32</v>
      </c>
      <c r="J4827" t="str" cm="1">
        <f t="array" ref="J4827">_xlfn.IFS(ISBLANK(C4827),"FALTANTE",ABS((C4827-$W$5)/$X$5)&gt;1.96,"ATÍPICO",ABS((C4827-$W$5)/$X$5)&lt;=1.96,"NO ATÍPICO")</f>
        <v>NO ATÍPICO</v>
      </c>
      <c r="K4827" t="str" cm="1">
        <f t="array" ref="K4827">_xlfn.IFS(ISBLANK(I4827),"FALTANTE",ABS((I4827-$W$8)/$X$8)&gt;1.92,"ATÍPICO",ABS((I4827-$W$8)/$X$8)&lt;=1.92,"NO ATÍPICO")</f>
        <v>NO ATÍPICO</v>
      </c>
      <c r="L4827">
        <f t="shared" si="318"/>
        <v>302709.55</v>
      </c>
      <c r="M4827" t="str">
        <f t="shared" si="318"/>
        <v>ASALARIADO</v>
      </c>
      <c r="N4827">
        <f t="shared" si="319"/>
        <v>32</v>
      </c>
      <c r="O4827" s="19" t="str">
        <f t="shared" si="320"/>
        <v>300k–600k</v>
      </c>
      <c r="P4827" s="19" t="str">
        <f t="shared" si="321"/>
        <v>26-35</v>
      </c>
    </row>
    <row r="4828" spans="1:16" x14ac:dyDescent="0.25">
      <c r="A4828">
        <v>4827</v>
      </c>
      <c r="B4828" t="s">
        <v>9</v>
      </c>
      <c r="C4828">
        <v>430371</v>
      </c>
      <c r="D4828" t="s">
        <v>18</v>
      </c>
      <c r="E4828" t="s">
        <v>16</v>
      </c>
      <c r="F4828" t="s">
        <v>12</v>
      </c>
      <c r="G4828" t="s">
        <v>13</v>
      </c>
      <c r="H4828" t="s">
        <v>13</v>
      </c>
      <c r="I4828">
        <v>35</v>
      </c>
      <c r="J4828" t="str" cm="1">
        <f t="array" ref="J4828">_xlfn.IFS(ISBLANK(C4828),"FALTANTE",ABS((C4828-$W$5)/$X$5)&gt;1.96,"ATÍPICO",ABS((C4828-$W$5)/$X$5)&lt;=1.96,"NO ATÍPICO")</f>
        <v>NO ATÍPICO</v>
      </c>
      <c r="K4828" t="str" cm="1">
        <f t="array" ref="K4828">_xlfn.IFS(ISBLANK(I4828),"FALTANTE",ABS((I4828-$W$8)/$X$8)&gt;1.92,"ATÍPICO",ABS((I4828-$W$8)/$X$8)&lt;=1.92,"NO ATÍPICO")</f>
        <v>NO ATÍPICO</v>
      </c>
      <c r="L4828">
        <f t="shared" si="318"/>
        <v>430371</v>
      </c>
      <c r="M4828" t="str">
        <f t="shared" si="318"/>
        <v>TRABAJADOR INDEPENDIENTE</v>
      </c>
      <c r="N4828">
        <f t="shared" si="319"/>
        <v>35</v>
      </c>
      <c r="O4828" s="19" t="str">
        <f t="shared" si="320"/>
        <v>300k–600k</v>
      </c>
      <c r="P4828" s="19" t="str">
        <f t="shared" si="321"/>
        <v>26-35</v>
      </c>
    </row>
    <row r="4829" spans="1:16" x14ac:dyDescent="0.25">
      <c r="A4829">
        <v>4828</v>
      </c>
      <c r="B4829" t="s">
        <v>9</v>
      </c>
      <c r="C4829">
        <v>440373</v>
      </c>
      <c r="D4829" t="s">
        <v>10</v>
      </c>
      <c r="E4829" t="s">
        <v>11</v>
      </c>
      <c r="F4829" t="s">
        <v>12</v>
      </c>
      <c r="G4829" t="s">
        <v>13</v>
      </c>
      <c r="H4829" t="s">
        <v>13</v>
      </c>
      <c r="I4829">
        <v>35</v>
      </c>
      <c r="J4829" t="str" cm="1">
        <f t="array" ref="J4829">_xlfn.IFS(ISBLANK(C4829),"FALTANTE",ABS((C4829-$W$5)/$X$5)&gt;1.96,"ATÍPICO",ABS((C4829-$W$5)/$X$5)&lt;=1.96,"NO ATÍPICO")</f>
        <v>NO ATÍPICO</v>
      </c>
      <c r="K4829" t="str" cm="1">
        <f t="array" ref="K4829">_xlfn.IFS(ISBLANK(I4829),"FALTANTE",ABS((I4829-$W$8)/$X$8)&gt;1.92,"ATÍPICO",ABS((I4829-$W$8)/$X$8)&lt;=1.92,"NO ATÍPICO")</f>
        <v>NO ATÍPICO</v>
      </c>
      <c r="L4829">
        <f t="shared" si="318"/>
        <v>440373</v>
      </c>
      <c r="M4829" t="str">
        <f t="shared" si="318"/>
        <v>ASALARIADO</v>
      </c>
      <c r="N4829">
        <f t="shared" si="319"/>
        <v>35</v>
      </c>
      <c r="O4829" s="19" t="str">
        <f t="shared" si="320"/>
        <v>300k–600k</v>
      </c>
      <c r="P4829" s="19" t="str">
        <f t="shared" si="321"/>
        <v>26-35</v>
      </c>
    </row>
    <row r="4830" spans="1:16" x14ac:dyDescent="0.25">
      <c r="A4830">
        <v>4829</v>
      </c>
      <c r="B4830" t="s">
        <v>9</v>
      </c>
      <c r="C4830">
        <v>1871180.58</v>
      </c>
      <c r="D4830" t="s">
        <v>10</v>
      </c>
      <c r="E4830" t="s">
        <v>16</v>
      </c>
      <c r="F4830" t="s">
        <v>12</v>
      </c>
      <c r="G4830" t="s">
        <v>13</v>
      </c>
      <c r="H4830" t="s">
        <v>13</v>
      </c>
      <c r="I4830">
        <v>39</v>
      </c>
      <c r="J4830" t="str" cm="1">
        <f t="array" ref="J4830">_xlfn.IFS(ISBLANK(C4830),"FALTANTE",ABS((C4830-$W$5)/$X$5)&gt;1.96,"ATÍPICO",ABS((C4830-$W$5)/$X$5)&lt;=1.96,"NO ATÍPICO")</f>
        <v>NO ATÍPICO</v>
      </c>
      <c r="K4830" t="str" cm="1">
        <f t="array" ref="K4830">_xlfn.IFS(ISBLANK(I4830),"FALTANTE",ABS((I4830-$W$8)/$X$8)&gt;1.92,"ATÍPICO",ABS((I4830-$W$8)/$X$8)&lt;=1.92,"NO ATÍPICO")</f>
        <v>NO ATÍPICO</v>
      </c>
      <c r="L4830">
        <f t="shared" si="318"/>
        <v>1871180.58</v>
      </c>
      <c r="M4830" t="str">
        <f t="shared" si="318"/>
        <v>ASALARIADO</v>
      </c>
      <c r="N4830">
        <f t="shared" si="319"/>
        <v>39</v>
      </c>
      <c r="O4830" s="19" t="str">
        <f t="shared" si="320"/>
        <v>1200k+</v>
      </c>
      <c r="P4830" s="19" t="str">
        <f t="shared" si="321"/>
        <v>36-45</v>
      </c>
    </row>
    <row r="4831" spans="1:16" x14ac:dyDescent="0.25">
      <c r="A4831">
        <v>4830</v>
      </c>
      <c r="B4831" t="s">
        <v>15</v>
      </c>
      <c r="C4831">
        <v>504571</v>
      </c>
      <c r="D4831" t="s">
        <v>10</v>
      </c>
      <c r="E4831" t="s">
        <v>11</v>
      </c>
      <c r="F4831" t="s">
        <v>12</v>
      </c>
      <c r="G4831" t="s">
        <v>13</v>
      </c>
      <c r="H4831" t="s">
        <v>12</v>
      </c>
      <c r="I4831">
        <v>59</v>
      </c>
      <c r="J4831" t="str" cm="1">
        <f t="array" ref="J4831">_xlfn.IFS(ISBLANK(C4831),"FALTANTE",ABS((C4831-$W$5)/$X$5)&gt;1.96,"ATÍPICO",ABS((C4831-$W$5)/$X$5)&lt;=1.96,"NO ATÍPICO")</f>
        <v>NO ATÍPICO</v>
      </c>
      <c r="K4831" t="str" cm="1">
        <f t="array" ref="K4831">_xlfn.IFS(ISBLANK(I4831),"FALTANTE",ABS((I4831-$W$8)/$X$8)&gt;1.92,"ATÍPICO",ABS((I4831-$W$8)/$X$8)&lt;=1.92,"NO ATÍPICO")</f>
        <v>NO ATÍPICO</v>
      </c>
      <c r="L4831">
        <f t="shared" si="318"/>
        <v>504571</v>
      </c>
      <c r="M4831" t="str">
        <f t="shared" si="318"/>
        <v>ASALARIADO</v>
      </c>
      <c r="N4831">
        <f t="shared" si="319"/>
        <v>59</v>
      </c>
      <c r="O4831" s="19" t="str">
        <f t="shared" si="320"/>
        <v>300k–600k</v>
      </c>
      <c r="P4831" s="19" t="str">
        <f t="shared" si="321"/>
        <v>56+</v>
      </c>
    </row>
    <row r="4832" spans="1:16" x14ac:dyDescent="0.25">
      <c r="A4832">
        <v>4831</v>
      </c>
      <c r="B4832" t="s">
        <v>15</v>
      </c>
      <c r="C4832">
        <v>686170</v>
      </c>
      <c r="D4832" t="s">
        <v>18</v>
      </c>
      <c r="E4832" t="s">
        <v>16</v>
      </c>
      <c r="F4832" t="s">
        <v>12</v>
      </c>
      <c r="G4832" t="s">
        <v>13</v>
      </c>
      <c r="H4832" t="s">
        <v>12</v>
      </c>
      <c r="I4832">
        <v>38</v>
      </c>
      <c r="J4832" t="str" cm="1">
        <f t="array" ref="J4832">_xlfn.IFS(ISBLANK(C4832),"FALTANTE",ABS((C4832-$W$5)/$X$5)&gt;1.96,"ATÍPICO",ABS((C4832-$W$5)/$X$5)&lt;=1.96,"NO ATÍPICO")</f>
        <v>NO ATÍPICO</v>
      </c>
      <c r="K4832" t="str" cm="1">
        <f t="array" ref="K4832">_xlfn.IFS(ISBLANK(I4832),"FALTANTE",ABS((I4832-$W$8)/$X$8)&gt;1.92,"ATÍPICO",ABS((I4832-$W$8)/$X$8)&lt;=1.92,"NO ATÍPICO")</f>
        <v>NO ATÍPICO</v>
      </c>
      <c r="L4832">
        <f t="shared" si="318"/>
        <v>686170</v>
      </c>
      <c r="M4832" t="str">
        <f t="shared" si="318"/>
        <v>TRABAJADOR INDEPENDIENTE</v>
      </c>
      <c r="N4832">
        <f t="shared" si="319"/>
        <v>38</v>
      </c>
      <c r="O4832" s="19" t="str">
        <f t="shared" si="320"/>
        <v>600k–900k</v>
      </c>
      <c r="P4832" s="19" t="str">
        <f t="shared" si="321"/>
        <v>36-45</v>
      </c>
    </row>
    <row r="4833" spans="1:16" x14ac:dyDescent="0.25">
      <c r="A4833">
        <v>4832</v>
      </c>
      <c r="B4833" t="s">
        <v>15</v>
      </c>
      <c r="C4833">
        <v>1072765</v>
      </c>
      <c r="D4833" t="s">
        <v>10</v>
      </c>
      <c r="E4833" t="s">
        <v>11</v>
      </c>
      <c r="F4833" t="s">
        <v>12</v>
      </c>
      <c r="G4833" t="s">
        <v>13</v>
      </c>
      <c r="H4833" t="s">
        <v>12</v>
      </c>
      <c r="I4833">
        <v>41</v>
      </c>
      <c r="J4833" t="str" cm="1">
        <f t="array" ref="J4833">_xlfn.IFS(ISBLANK(C4833),"FALTANTE",ABS((C4833-$W$5)/$X$5)&gt;1.96,"ATÍPICO",ABS((C4833-$W$5)/$X$5)&lt;=1.96,"NO ATÍPICO")</f>
        <v>NO ATÍPICO</v>
      </c>
      <c r="K4833" t="str" cm="1">
        <f t="array" ref="K4833">_xlfn.IFS(ISBLANK(I4833),"FALTANTE",ABS((I4833-$W$8)/$X$8)&gt;1.92,"ATÍPICO",ABS((I4833-$W$8)/$X$8)&lt;=1.92,"NO ATÍPICO")</f>
        <v>NO ATÍPICO</v>
      </c>
      <c r="L4833">
        <f t="shared" si="318"/>
        <v>1072765</v>
      </c>
      <c r="M4833" t="str">
        <f t="shared" si="318"/>
        <v>ASALARIADO</v>
      </c>
      <c r="N4833">
        <f t="shared" si="319"/>
        <v>41</v>
      </c>
      <c r="O4833" s="19" t="str">
        <f t="shared" si="320"/>
        <v>900k–1200k</v>
      </c>
      <c r="P4833" s="19" t="str">
        <f t="shared" si="321"/>
        <v>36-45</v>
      </c>
    </row>
    <row r="4834" spans="1:16" x14ac:dyDescent="0.25">
      <c r="A4834">
        <v>4833</v>
      </c>
      <c r="B4834" t="s">
        <v>9</v>
      </c>
      <c r="C4834">
        <v>665586.97</v>
      </c>
      <c r="D4834" t="s">
        <v>10</v>
      </c>
      <c r="E4834" t="s">
        <v>16</v>
      </c>
      <c r="F4834" t="s">
        <v>12</v>
      </c>
      <c r="G4834" t="s">
        <v>13</v>
      </c>
      <c r="H4834" t="s">
        <v>13</v>
      </c>
      <c r="I4834">
        <v>27</v>
      </c>
      <c r="J4834" t="str" cm="1">
        <f t="array" ref="J4834">_xlfn.IFS(ISBLANK(C4834),"FALTANTE",ABS((C4834-$W$5)/$X$5)&gt;1.96,"ATÍPICO",ABS((C4834-$W$5)/$X$5)&lt;=1.96,"NO ATÍPICO")</f>
        <v>NO ATÍPICO</v>
      </c>
      <c r="K4834" t="str" cm="1">
        <f t="array" ref="K4834">_xlfn.IFS(ISBLANK(I4834),"FALTANTE",ABS((I4834-$W$8)/$X$8)&gt;1.92,"ATÍPICO",ABS((I4834-$W$8)/$X$8)&lt;=1.92,"NO ATÍPICO")</f>
        <v>NO ATÍPICO</v>
      </c>
      <c r="L4834">
        <f t="shared" si="318"/>
        <v>665586.97</v>
      </c>
      <c r="M4834" t="str">
        <f t="shared" si="318"/>
        <v>ASALARIADO</v>
      </c>
      <c r="N4834">
        <f t="shared" si="319"/>
        <v>27</v>
      </c>
      <c r="O4834" s="19" t="str">
        <f t="shared" si="320"/>
        <v>600k–900k</v>
      </c>
      <c r="P4834" s="19" t="str">
        <f t="shared" si="321"/>
        <v>26-35</v>
      </c>
    </row>
    <row r="4835" spans="1:16" x14ac:dyDescent="0.25">
      <c r="A4835">
        <v>4834</v>
      </c>
      <c r="B4835" t="s">
        <v>15</v>
      </c>
      <c r="C4835">
        <v>317915</v>
      </c>
      <c r="D4835" t="s">
        <v>10</v>
      </c>
      <c r="E4835" t="s">
        <v>16</v>
      </c>
      <c r="F4835" t="s">
        <v>12</v>
      </c>
      <c r="G4835" t="s">
        <v>12</v>
      </c>
      <c r="H4835" t="s">
        <v>13</v>
      </c>
      <c r="I4835">
        <v>54</v>
      </c>
      <c r="J4835" t="str" cm="1">
        <f t="array" ref="J4835">_xlfn.IFS(ISBLANK(C4835),"FALTANTE",ABS((C4835-$W$5)/$X$5)&gt;1.96,"ATÍPICO",ABS((C4835-$W$5)/$X$5)&lt;=1.96,"NO ATÍPICO")</f>
        <v>NO ATÍPICO</v>
      </c>
      <c r="K4835" t="str" cm="1">
        <f t="array" ref="K4835">_xlfn.IFS(ISBLANK(I4835),"FALTANTE",ABS((I4835-$W$8)/$X$8)&gt;1.92,"ATÍPICO",ABS((I4835-$W$8)/$X$8)&lt;=1.92,"NO ATÍPICO")</f>
        <v>NO ATÍPICO</v>
      </c>
      <c r="L4835">
        <f t="shared" si="318"/>
        <v>317915</v>
      </c>
      <c r="M4835" t="str">
        <f t="shared" si="318"/>
        <v>ASALARIADO</v>
      </c>
      <c r="N4835">
        <f t="shared" si="319"/>
        <v>54</v>
      </c>
      <c r="O4835" s="19" t="str">
        <f t="shared" si="320"/>
        <v>300k–600k</v>
      </c>
      <c r="P4835" s="19" t="str">
        <f t="shared" si="321"/>
        <v>46-55</v>
      </c>
    </row>
    <row r="4836" spans="1:16" x14ac:dyDescent="0.25">
      <c r="A4836">
        <v>4835</v>
      </c>
      <c r="B4836" t="s">
        <v>9</v>
      </c>
      <c r="C4836">
        <v>297046</v>
      </c>
      <c r="D4836" t="s">
        <v>17</v>
      </c>
      <c r="E4836" t="s">
        <v>16</v>
      </c>
      <c r="F4836" t="s">
        <v>12</v>
      </c>
      <c r="G4836" t="s">
        <v>13</v>
      </c>
      <c r="H4836" t="s">
        <v>13</v>
      </c>
      <c r="I4836">
        <v>51</v>
      </c>
      <c r="J4836" t="str" cm="1">
        <f t="array" ref="J4836">_xlfn.IFS(ISBLANK(C4836),"FALTANTE",ABS((C4836-$W$5)/$X$5)&gt;1.96,"ATÍPICO",ABS((C4836-$W$5)/$X$5)&lt;=1.96,"NO ATÍPICO")</f>
        <v>NO ATÍPICO</v>
      </c>
      <c r="K4836" t="str" cm="1">
        <f t="array" ref="K4836">_xlfn.IFS(ISBLANK(I4836),"FALTANTE",ABS((I4836-$W$8)/$X$8)&gt;1.92,"ATÍPICO",ABS((I4836-$W$8)/$X$8)&lt;=1.92,"NO ATÍPICO")</f>
        <v>NO ATÍPICO</v>
      </c>
      <c r="L4836">
        <f t="shared" si="318"/>
        <v>297046</v>
      </c>
      <c r="M4836" t="str">
        <f t="shared" si="318"/>
        <v>ASEGURADO VOLUNTARIO</v>
      </c>
      <c r="N4836">
        <f t="shared" si="319"/>
        <v>51</v>
      </c>
      <c r="O4836" s="19" t="str">
        <f t="shared" si="320"/>
        <v>0–300k</v>
      </c>
      <c r="P4836" s="19" t="str">
        <f t="shared" si="321"/>
        <v>46-55</v>
      </c>
    </row>
    <row r="4837" spans="1:16" x14ac:dyDescent="0.25">
      <c r="A4837">
        <v>4836</v>
      </c>
      <c r="B4837" t="s">
        <v>15</v>
      </c>
      <c r="C4837">
        <v>1182150</v>
      </c>
      <c r="D4837" t="s">
        <v>10</v>
      </c>
      <c r="E4837" t="s">
        <v>16</v>
      </c>
      <c r="F4837" t="s">
        <v>12</v>
      </c>
      <c r="G4837" t="s">
        <v>13</v>
      </c>
      <c r="H4837" t="s">
        <v>13</v>
      </c>
      <c r="I4837">
        <v>47</v>
      </c>
      <c r="J4837" t="str" cm="1">
        <f t="array" ref="J4837">_xlfn.IFS(ISBLANK(C4837),"FALTANTE",ABS((C4837-$W$5)/$X$5)&gt;1.96,"ATÍPICO",ABS((C4837-$W$5)/$X$5)&lt;=1.96,"NO ATÍPICO")</f>
        <v>NO ATÍPICO</v>
      </c>
      <c r="K4837" t="str" cm="1">
        <f t="array" ref="K4837">_xlfn.IFS(ISBLANK(I4837),"FALTANTE",ABS((I4837-$W$8)/$X$8)&gt;1.92,"ATÍPICO",ABS((I4837-$W$8)/$X$8)&lt;=1.92,"NO ATÍPICO")</f>
        <v>NO ATÍPICO</v>
      </c>
      <c r="L4837">
        <f t="shared" si="318"/>
        <v>1182150</v>
      </c>
      <c r="M4837" t="str">
        <f t="shared" si="318"/>
        <v>ASALARIADO</v>
      </c>
      <c r="N4837">
        <f t="shared" si="319"/>
        <v>47</v>
      </c>
      <c r="O4837" s="19" t="str">
        <f t="shared" si="320"/>
        <v>900k–1200k</v>
      </c>
      <c r="P4837" s="19" t="str">
        <f t="shared" si="321"/>
        <v>46-55</v>
      </c>
    </row>
    <row r="4838" spans="1:16" x14ac:dyDescent="0.25">
      <c r="A4838">
        <v>4837</v>
      </c>
      <c r="B4838" t="s">
        <v>9</v>
      </c>
      <c r="C4838">
        <v>278030</v>
      </c>
      <c r="D4838" t="s">
        <v>19</v>
      </c>
      <c r="E4838" t="s">
        <v>16</v>
      </c>
      <c r="F4838" t="s">
        <v>12</v>
      </c>
      <c r="G4838" t="s">
        <v>13</v>
      </c>
      <c r="H4838" t="s">
        <v>13</v>
      </c>
      <c r="I4838">
        <v>67</v>
      </c>
      <c r="J4838" t="str" cm="1">
        <f t="array" ref="J4838">_xlfn.IFS(ISBLANK(C4838),"FALTANTE",ABS((C4838-$W$5)/$X$5)&gt;1.96,"ATÍPICO",ABS((C4838-$W$5)/$X$5)&lt;=1.96,"NO ATÍPICO")</f>
        <v>NO ATÍPICO</v>
      </c>
      <c r="K4838" t="str" cm="1">
        <f t="array" ref="K4838">_xlfn.IFS(ISBLANK(I4838),"FALTANTE",ABS((I4838-$W$8)/$X$8)&gt;1.92,"ATÍPICO",ABS((I4838-$W$8)/$X$8)&lt;=1.92,"NO ATÍPICO")</f>
        <v>NO ATÍPICO</v>
      </c>
      <c r="L4838">
        <f t="shared" si="318"/>
        <v>278030</v>
      </c>
      <c r="M4838" t="str">
        <f t="shared" si="318"/>
        <v>CONVENIOS ESPECIALES DE TRABAJADORES INDEPENDIENTES</v>
      </c>
      <c r="N4838">
        <f t="shared" si="319"/>
        <v>67</v>
      </c>
      <c r="O4838" s="19" t="str">
        <f t="shared" si="320"/>
        <v>0–300k</v>
      </c>
      <c r="P4838" s="19" t="str">
        <f t="shared" si="321"/>
        <v>56+</v>
      </c>
    </row>
    <row r="4839" spans="1:16" x14ac:dyDescent="0.25">
      <c r="A4839">
        <v>4838</v>
      </c>
      <c r="B4839" t="s">
        <v>9</v>
      </c>
      <c r="C4839">
        <v>925292.5</v>
      </c>
      <c r="D4839" t="s">
        <v>10</v>
      </c>
      <c r="E4839" t="s">
        <v>11</v>
      </c>
      <c r="F4839" t="s">
        <v>12</v>
      </c>
      <c r="G4839" t="s">
        <v>13</v>
      </c>
      <c r="H4839" t="s">
        <v>13</v>
      </c>
      <c r="I4839">
        <v>59</v>
      </c>
      <c r="J4839" t="str" cm="1">
        <f t="array" ref="J4839">_xlfn.IFS(ISBLANK(C4839),"FALTANTE",ABS((C4839-$W$5)/$X$5)&gt;1.96,"ATÍPICO",ABS((C4839-$W$5)/$X$5)&lt;=1.96,"NO ATÍPICO")</f>
        <v>NO ATÍPICO</v>
      </c>
      <c r="K4839" t="str" cm="1">
        <f t="array" ref="K4839">_xlfn.IFS(ISBLANK(I4839),"FALTANTE",ABS((I4839-$W$8)/$X$8)&gt;1.92,"ATÍPICO",ABS((I4839-$W$8)/$X$8)&lt;=1.92,"NO ATÍPICO")</f>
        <v>NO ATÍPICO</v>
      </c>
      <c r="L4839">
        <f t="shared" si="318"/>
        <v>925292.5</v>
      </c>
      <c r="M4839" t="str">
        <f t="shared" si="318"/>
        <v>ASALARIADO</v>
      </c>
      <c r="N4839">
        <f t="shared" si="319"/>
        <v>59</v>
      </c>
      <c r="O4839" s="19" t="str">
        <f t="shared" si="320"/>
        <v>900k–1200k</v>
      </c>
      <c r="P4839" s="19" t="str">
        <f t="shared" si="321"/>
        <v>56+</v>
      </c>
    </row>
    <row r="4840" spans="1:16" x14ac:dyDescent="0.25">
      <c r="A4840">
        <v>4839</v>
      </c>
      <c r="B4840" t="s">
        <v>9</v>
      </c>
      <c r="C4840">
        <v>278030</v>
      </c>
      <c r="D4840" t="s">
        <v>18</v>
      </c>
      <c r="E4840" t="s">
        <v>16</v>
      </c>
      <c r="F4840" t="s">
        <v>12</v>
      </c>
      <c r="G4840" t="s">
        <v>13</v>
      </c>
      <c r="H4840" t="s">
        <v>13</v>
      </c>
      <c r="I4840">
        <v>46</v>
      </c>
      <c r="J4840" t="str" cm="1">
        <f t="array" ref="J4840">_xlfn.IFS(ISBLANK(C4840),"FALTANTE",ABS((C4840-$W$5)/$X$5)&gt;1.96,"ATÍPICO",ABS((C4840-$W$5)/$X$5)&lt;=1.96,"NO ATÍPICO")</f>
        <v>NO ATÍPICO</v>
      </c>
      <c r="K4840" t="str" cm="1">
        <f t="array" ref="K4840">_xlfn.IFS(ISBLANK(I4840),"FALTANTE",ABS((I4840-$W$8)/$X$8)&gt;1.92,"ATÍPICO",ABS((I4840-$W$8)/$X$8)&lt;=1.92,"NO ATÍPICO")</f>
        <v>NO ATÍPICO</v>
      </c>
      <c r="L4840">
        <f t="shared" si="318"/>
        <v>278030</v>
      </c>
      <c r="M4840" t="str">
        <f t="shared" si="318"/>
        <v>TRABAJADOR INDEPENDIENTE</v>
      </c>
      <c r="N4840">
        <f t="shared" si="319"/>
        <v>46</v>
      </c>
      <c r="O4840" s="19" t="str">
        <f t="shared" si="320"/>
        <v>0–300k</v>
      </c>
      <c r="P4840" s="19" t="str">
        <f t="shared" si="321"/>
        <v>46-55</v>
      </c>
    </row>
    <row r="4841" spans="1:16" x14ac:dyDescent="0.25">
      <c r="A4841">
        <v>4840</v>
      </c>
      <c r="B4841" t="s">
        <v>9</v>
      </c>
      <c r="C4841">
        <v>411350</v>
      </c>
      <c r="D4841" t="s">
        <v>10</v>
      </c>
      <c r="E4841" t="s">
        <v>16</v>
      </c>
      <c r="F4841" t="s">
        <v>12</v>
      </c>
      <c r="G4841" t="s">
        <v>13</v>
      </c>
      <c r="H4841" t="s">
        <v>13</v>
      </c>
      <c r="I4841">
        <v>44</v>
      </c>
      <c r="J4841" t="str" cm="1">
        <f t="array" ref="J4841">_xlfn.IFS(ISBLANK(C4841),"FALTANTE",ABS((C4841-$W$5)/$X$5)&gt;1.96,"ATÍPICO",ABS((C4841-$W$5)/$X$5)&lt;=1.96,"NO ATÍPICO")</f>
        <v>NO ATÍPICO</v>
      </c>
      <c r="K4841" t="str" cm="1">
        <f t="array" ref="K4841">_xlfn.IFS(ISBLANK(I4841),"FALTANTE",ABS((I4841-$W$8)/$X$8)&gt;1.92,"ATÍPICO",ABS((I4841-$W$8)/$X$8)&lt;=1.92,"NO ATÍPICO")</f>
        <v>NO ATÍPICO</v>
      </c>
      <c r="L4841">
        <f t="shared" si="318"/>
        <v>411350</v>
      </c>
      <c r="M4841" t="str">
        <f t="shared" si="318"/>
        <v>ASALARIADO</v>
      </c>
      <c r="N4841">
        <f t="shared" si="319"/>
        <v>44</v>
      </c>
      <c r="O4841" s="19" t="str">
        <f t="shared" si="320"/>
        <v>300k–600k</v>
      </c>
      <c r="P4841" s="19" t="str">
        <f t="shared" si="321"/>
        <v>36-45</v>
      </c>
    </row>
    <row r="4842" spans="1:16" x14ac:dyDescent="0.25">
      <c r="A4842">
        <v>4841</v>
      </c>
      <c r="B4842" t="s">
        <v>15</v>
      </c>
      <c r="C4842">
        <v>2186234</v>
      </c>
      <c r="D4842" t="s">
        <v>10</v>
      </c>
      <c r="E4842" t="s">
        <v>16</v>
      </c>
      <c r="F4842" t="s">
        <v>12</v>
      </c>
      <c r="G4842" t="s">
        <v>13</v>
      </c>
      <c r="H4842" t="s">
        <v>13</v>
      </c>
      <c r="I4842">
        <v>39</v>
      </c>
      <c r="J4842" t="str" cm="1">
        <f t="array" ref="J4842">_xlfn.IFS(ISBLANK(C4842),"FALTANTE",ABS((C4842-$W$5)/$X$5)&gt;1.96,"ATÍPICO",ABS((C4842-$W$5)/$X$5)&lt;=1.96,"NO ATÍPICO")</f>
        <v>NO ATÍPICO</v>
      </c>
      <c r="K4842" t="str" cm="1">
        <f t="array" ref="K4842">_xlfn.IFS(ISBLANK(I4842),"FALTANTE",ABS((I4842-$W$8)/$X$8)&gt;1.92,"ATÍPICO",ABS((I4842-$W$8)/$X$8)&lt;=1.92,"NO ATÍPICO")</f>
        <v>NO ATÍPICO</v>
      </c>
      <c r="L4842">
        <f t="shared" si="318"/>
        <v>2186234</v>
      </c>
      <c r="M4842" t="str">
        <f t="shared" si="318"/>
        <v>ASALARIADO</v>
      </c>
      <c r="N4842">
        <f t="shared" si="319"/>
        <v>39</v>
      </c>
      <c r="O4842" s="19" t="str">
        <f t="shared" si="320"/>
        <v>1200k+</v>
      </c>
      <c r="P4842" s="19" t="str">
        <f t="shared" si="321"/>
        <v>36-45</v>
      </c>
    </row>
    <row r="4843" spans="1:16" x14ac:dyDescent="0.25">
      <c r="A4843">
        <v>4842</v>
      </c>
      <c r="B4843" t="s">
        <v>9</v>
      </c>
      <c r="C4843">
        <v>2153787.6800000002</v>
      </c>
      <c r="D4843" t="s">
        <v>10</v>
      </c>
      <c r="E4843" t="s">
        <v>16</v>
      </c>
      <c r="F4843" t="s">
        <v>12</v>
      </c>
      <c r="G4843" t="s">
        <v>13</v>
      </c>
      <c r="H4843" t="s">
        <v>13</v>
      </c>
      <c r="I4843">
        <v>41</v>
      </c>
      <c r="J4843" t="str" cm="1">
        <f t="array" ref="J4843">_xlfn.IFS(ISBLANK(C4843),"FALTANTE",ABS((C4843-$W$5)/$X$5)&gt;1.96,"ATÍPICO",ABS((C4843-$W$5)/$X$5)&lt;=1.96,"NO ATÍPICO")</f>
        <v>NO ATÍPICO</v>
      </c>
      <c r="K4843" t="str" cm="1">
        <f t="array" ref="K4843">_xlfn.IFS(ISBLANK(I4843),"FALTANTE",ABS((I4843-$W$8)/$X$8)&gt;1.92,"ATÍPICO",ABS((I4843-$W$8)/$X$8)&lt;=1.92,"NO ATÍPICO")</f>
        <v>NO ATÍPICO</v>
      </c>
      <c r="L4843">
        <f t="shared" si="318"/>
        <v>2153787.6800000002</v>
      </c>
      <c r="M4843" t="str">
        <f t="shared" si="318"/>
        <v>ASALARIADO</v>
      </c>
      <c r="N4843">
        <f t="shared" si="319"/>
        <v>41</v>
      </c>
      <c r="O4843" s="19" t="str">
        <f t="shared" si="320"/>
        <v>1200k+</v>
      </c>
      <c r="P4843" s="19" t="str">
        <f t="shared" si="321"/>
        <v>36-45</v>
      </c>
    </row>
    <row r="4844" spans="1:16" x14ac:dyDescent="0.25">
      <c r="A4844">
        <v>4843</v>
      </c>
      <c r="B4844" t="s">
        <v>15</v>
      </c>
      <c r="C4844">
        <v>258118.56</v>
      </c>
      <c r="D4844" t="s">
        <v>10</v>
      </c>
      <c r="E4844" t="s">
        <v>16</v>
      </c>
      <c r="F4844" t="s">
        <v>12</v>
      </c>
      <c r="G4844" t="s">
        <v>13</v>
      </c>
      <c r="H4844" t="s">
        <v>13</v>
      </c>
      <c r="I4844">
        <v>21</v>
      </c>
      <c r="J4844" t="str" cm="1">
        <f t="array" ref="J4844">_xlfn.IFS(ISBLANK(C4844),"FALTANTE",ABS((C4844-$W$5)/$X$5)&gt;1.96,"ATÍPICO",ABS((C4844-$W$5)/$X$5)&lt;=1.96,"NO ATÍPICO")</f>
        <v>NO ATÍPICO</v>
      </c>
      <c r="K4844" t="str" cm="1">
        <f t="array" ref="K4844">_xlfn.IFS(ISBLANK(I4844),"FALTANTE",ABS((I4844-$W$8)/$X$8)&gt;1.92,"ATÍPICO",ABS((I4844-$W$8)/$X$8)&lt;=1.92,"NO ATÍPICO")</f>
        <v>NO ATÍPICO</v>
      </c>
      <c r="L4844">
        <f t="shared" si="318"/>
        <v>258118.56</v>
      </c>
      <c r="M4844" t="str">
        <f t="shared" si="318"/>
        <v>ASALARIADO</v>
      </c>
      <c r="N4844">
        <f t="shared" si="319"/>
        <v>21</v>
      </c>
      <c r="O4844" s="19" t="str">
        <f t="shared" si="320"/>
        <v>0–300k</v>
      </c>
      <c r="P4844" s="19" t="str">
        <f t="shared" si="321"/>
        <v>18-25</v>
      </c>
    </row>
    <row r="4845" spans="1:16" x14ac:dyDescent="0.25">
      <c r="A4845">
        <v>4844</v>
      </c>
      <c r="B4845" t="s">
        <v>9</v>
      </c>
      <c r="C4845">
        <v>420248</v>
      </c>
      <c r="D4845" t="s">
        <v>18</v>
      </c>
      <c r="E4845" t="s">
        <v>16</v>
      </c>
      <c r="F4845" t="s">
        <v>12</v>
      </c>
      <c r="G4845" t="s">
        <v>13</v>
      </c>
      <c r="H4845" t="s">
        <v>12</v>
      </c>
      <c r="I4845">
        <v>33</v>
      </c>
      <c r="J4845" t="str" cm="1">
        <f t="array" ref="J4845">_xlfn.IFS(ISBLANK(C4845),"FALTANTE",ABS((C4845-$W$5)/$X$5)&gt;1.96,"ATÍPICO",ABS((C4845-$W$5)/$X$5)&lt;=1.96,"NO ATÍPICO")</f>
        <v>NO ATÍPICO</v>
      </c>
      <c r="K4845" t="str" cm="1">
        <f t="array" ref="K4845">_xlfn.IFS(ISBLANK(I4845),"FALTANTE",ABS((I4845-$W$8)/$X$8)&gt;1.92,"ATÍPICO",ABS((I4845-$W$8)/$X$8)&lt;=1.92,"NO ATÍPICO")</f>
        <v>NO ATÍPICO</v>
      </c>
      <c r="L4845">
        <f t="shared" si="318"/>
        <v>420248</v>
      </c>
      <c r="M4845" t="str">
        <f t="shared" si="318"/>
        <v>TRABAJADOR INDEPENDIENTE</v>
      </c>
      <c r="N4845">
        <f t="shared" si="319"/>
        <v>33</v>
      </c>
      <c r="O4845" s="19" t="str">
        <f t="shared" si="320"/>
        <v>300k–600k</v>
      </c>
      <c r="P4845" s="19" t="str">
        <f t="shared" si="321"/>
        <v>26-35</v>
      </c>
    </row>
    <row r="4846" spans="1:16" x14ac:dyDescent="0.25">
      <c r="A4846">
        <v>4845</v>
      </c>
      <c r="B4846" t="s">
        <v>9</v>
      </c>
      <c r="C4846">
        <v>734210</v>
      </c>
      <c r="D4846" t="s">
        <v>10</v>
      </c>
      <c r="E4846" t="s">
        <v>16</v>
      </c>
      <c r="F4846" t="s">
        <v>12</v>
      </c>
      <c r="G4846" t="s">
        <v>13</v>
      </c>
      <c r="H4846" t="s">
        <v>13</v>
      </c>
      <c r="I4846">
        <v>54</v>
      </c>
      <c r="J4846" t="str" cm="1">
        <f t="array" ref="J4846">_xlfn.IFS(ISBLANK(C4846),"FALTANTE",ABS((C4846-$W$5)/$X$5)&gt;1.96,"ATÍPICO",ABS((C4846-$W$5)/$X$5)&lt;=1.96,"NO ATÍPICO")</f>
        <v>NO ATÍPICO</v>
      </c>
      <c r="K4846" t="str" cm="1">
        <f t="array" ref="K4846">_xlfn.IFS(ISBLANK(I4846),"FALTANTE",ABS((I4846-$W$8)/$X$8)&gt;1.92,"ATÍPICO",ABS((I4846-$W$8)/$X$8)&lt;=1.92,"NO ATÍPICO")</f>
        <v>NO ATÍPICO</v>
      </c>
      <c r="L4846">
        <f t="shared" si="318"/>
        <v>734210</v>
      </c>
      <c r="M4846" t="str">
        <f t="shared" si="318"/>
        <v>ASALARIADO</v>
      </c>
      <c r="N4846">
        <f t="shared" si="319"/>
        <v>54</v>
      </c>
      <c r="O4846" s="19" t="str">
        <f t="shared" si="320"/>
        <v>600k–900k</v>
      </c>
      <c r="P4846" s="19" t="str">
        <f t="shared" si="321"/>
        <v>46-55</v>
      </c>
    </row>
    <row r="4847" spans="1:16" x14ac:dyDescent="0.25">
      <c r="A4847">
        <v>4846</v>
      </c>
      <c r="B4847" t="s">
        <v>15</v>
      </c>
      <c r="C4847">
        <v>406011</v>
      </c>
      <c r="D4847" t="s">
        <v>10</v>
      </c>
      <c r="E4847" t="s">
        <v>16</v>
      </c>
      <c r="F4847" t="s">
        <v>12</v>
      </c>
      <c r="G4847" t="s">
        <v>13</v>
      </c>
      <c r="H4847" t="s">
        <v>13</v>
      </c>
      <c r="I4847">
        <v>33</v>
      </c>
      <c r="J4847" t="str" cm="1">
        <f t="array" ref="J4847">_xlfn.IFS(ISBLANK(C4847),"FALTANTE",ABS((C4847-$W$5)/$X$5)&gt;1.96,"ATÍPICO",ABS((C4847-$W$5)/$X$5)&lt;=1.96,"NO ATÍPICO")</f>
        <v>NO ATÍPICO</v>
      </c>
      <c r="K4847" t="str" cm="1">
        <f t="array" ref="K4847">_xlfn.IFS(ISBLANK(I4847),"FALTANTE",ABS((I4847-$W$8)/$X$8)&gt;1.92,"ATÍPICO",ABS((I4847-$W$8)/$X$8)&lt;=1.92,"NO ATÍPICO")</f>
        <v>NO ATÍPICO</v>
      </c>
      <c r="L4847">
        <f t="shared" si="318"/>
        <v>406011</v>
      </c>
      <c r="M4847" t="str">
        <f t="shared" si="318"/>
        <v>ASALARIADO</v>
      </c>
      <c r="N4847">
        <f t="shared" si="319"/>
        <v>33</v>
      </c>
      <c r="O4847" s="19" t="str">
        <f t="shared" si="320"/>
        <v>300k–600k</v>
      </c>
      <c r="P4847" s="19" t="str">
        <f t="shared" si="321"/>
        <v>26-35</v>
      </c>
    </row>
    <row r="4848" spans="1:16" x14ac:dyDescent="0.25">
      <c r="A4848">
        <v>4847</v>
      </c>
      <c r="B4848" t="s">
        <v>9</v>
      </c>
      <c r="C4848">
        <v>500000</v>
      </c>
      <c r="D4848" t="s">
        <v>10</v>
      </c>
      <c r="E4848" t="s">
        <v>16</v>
      </c>
      <c r="F4848" t="s">
        <v>12</v>
      </c>
      <c r="G4848" t="s">
        <v>13</v>
      </c>
      <c r="H4848" t="s">
        <v>13</v>
      </c>
      <c r="I4848">
        <v>40</v>
      </c>
      <c r="J4848" t="str" cm="1">
        <f t="array" ref="J4848">_xlfn.IFS(ISBLANK(C4848),"FALTANTE",ABS((C4848-$W$5)/$X$5)&gt;1.96,"ATÍPICO",ABS((C4848-$W$5)/$X$5)&lt;=1.96,"NO ATÍPICO")</f>
        <v>NO ATÍPICO</v>
      </c>
      <c r="K4848" t="str" cm="1">
        <f t="array" ref="K4848">_xlfn.IFS(ISBLANK(I4848),"FALTANTE",ABS((I4848-$W$8)/$X$8)&gt;1.92,"ATÍPICO",ABS((I4848-$W$8)/$X$8)&lt;=1.92,"NO ATÍPICO")</f>
        <v>NO ATÍPICO</v>
      </c>
      <c r="L4848">
        <f t="shared" si="318"/>
        <v>500000</v>
      </c>
      <c r="M4848" t="str">
        <f t="shared" si="318"/>
        <v>ASALARIADO</v>
      </c>
      <c r="N4848">
        <f t="shared" si="319"/>
        <v>40</v>
      </c>
      <c r="O4848" s="19" t="str">
        <f t="shared" si="320"/>
        <v>300k–600k</v>
      </c>
      <c r="P4848" s="19" t="str">
        <f t="shared" si="321"/>
        <v>36-45</v>
      </c>
    </row>
    <row r="4849" spans="1:16" x14ac:dyDescent="0.25">
      <c r="A4849">
        <v>4848</v>
      </c>
      <c r="B4849" t="s">
        <v>9</v>
      </c>
      <c r="C4849">
        <v>81932.259999999995</v>
      </c>
      <c r="D4849" t="s">
        <v>10</v>
      </c>
      <c r="E4849" t="s">
        <v>16</v>
      </c>
      <c r="F4849" t="s">
        <v>12</v>
      </c>
      <c r="G4849" t="s">
        <v>13</v>
      </c>
      <c r="H4849" t="s">
        <v>13</v>
      </c>
      <c r="I4849">
        <v>39</v>
      </c>
      <c r="J4849" t="str" cm="1">
        <f t="array" ref="J4849">_xlfn.IFS(ISBLANK(C4849),"FALTANTE",ABS((C4849-$W$5)/$X$5)&gt;1.96,"ATÍPICO",ABS((C4849-$W$5)/$X$5)&lt;=1.96,"NO ATÍPICO")</f>
        <v>NO ATÍPICO</v>
      </c>
      <c r="K4849" t="str" cm="1">
        <f t="array" ref="K4849">_xlfn.IFS(ISBLANK(I4849),"FALTANTE",ABS((I4849-$W$8)/$X$8)&gt;1.92,"ATÍPICO",ABS((I4849-$W$8)/$X$8)&lt;=1.92,"NO ATÍPICO")</f>
        <v>NO ATÍPICO</v>
      </c>
      <c r="L4849">
        <f t="shared" si="318"/>
        <v>81932.259999999995</v>
      </c>
      <c r="M4849" t="str">
        <f t="shared" si="318"/>
        <v>ASALARIADO</v>
      </c>
      <c r="N4849">
        <f t="shared" si="319"/>
        <v>39</v>
      </c>
      <c r="O4849" s="19" t="str">
        <f t="shared" si="320"/>
        <v>0–300k</v>
      </c>
      <c r="P4849" s="19" t="str">
        <f t="shared" si="321"/>
        <v>36-45</v>
      </c>
    </row>
    <row r="4850" spans="1:16" x14ac:dyDescent="0.25">
      <c r="A4850">
        <v>4849</v>
      </c>
      <c r="B4850" t="s">
        <v>9</v>
      </c>
      <c r="C4850">
        <v>316920</v>
      </c>
      <c r="D4850" t="s">
        <v>10</v>
      </c>
      <c r="E4850" t="s">
        <v>16</v>
      </c>
      <c r="F4850" t="s">
        <v>12</v>
      </c>
      <c r="G4850" t="s">
        <v>13</v>
      </c>
      <c r="H4850" t="s">
        <v>13</v>
      </c>
      <c r="I4850">
        <v>34</v>
      </c>
      <c r="J4850" t="str" cm="1">
        <f t="array" ref="J4850">_xlfn.IFS(ISBLANK(C4850),"FALTANTE",ABS((C4850-$W$5)/$X$5)&gt;1.96,"ATÍPICO",ABS((C4850-$W$5)/$X$5)&lt;=1.96,"NO ATÍPICO")</f>
        <v>NO ATÍPICO</v>
      </c>
      <c r="K4850" t="str" cm="1">
        <f t="array" ref="K4850">_xlfn.IFS(ISBLANK(I4850),"FALTANTE",ABS((I4850-$W$8)/$X$8)&gt;1.92,"ATÍPICO",ABS((I4850-$W$8)/$X$8)&lt;=1.92,"NO ATÍPICO")</f>
        <v>NO ATÍPICO</v>
      </c>
      <c r="L4850">
        <f t="shared" si="318"/>
        <v>316920</v>
      </c>
      <c r="M4850" t="str">
        <f t="shared" si="318"/>
        <v>ASALARIADO</v>
      </c>
      <c r="N4850">
        <f t="shared" si="319"/>
        <v>34</v>
      </c>
      <c r="O4850" s="19" t="str">
        <f t="shared" si="320"/>
        <v>300k–600k</v>
      </c>
      <c r="P4850" s="19" t="str">
        <f t="shared" si="321"/>
        <v>26-35</v>
      </c>
    </row>
    <row r="4851" spans="1:16" x14ac:dyDescent="0.25">
      <c r="A4851">
        <v>4850</v>
      </c>
      <c r="B4851" t="s">
        <v>9</v>
      </c>
      <c r="C4851">
        <v>417792.18</v>
      </c>
      <c r="D4851" t="s">
        <v>10</v>
      </c>
      <c r="E4851" t="s">
        <v>16</v>
      </c>
      <c r="F4851" t="s">
        <v>12</v>
      </c>
      <c r="G4851" t="s">
        <v>13</v>
      </c>
      <c r="H4851" t="s">
        <v>13</v>
      </c>
      <c r="I4851">
        <v>37</v>
      </c>
      <c r="J4851" t="str" cm="1">
        <f t="array" ref="J4851">_xlfn.IFS(ISBLANK(C4851),"FALTANTE",ABS((C4851-$W$5)/$X$5)&gt;1.96,"ATÍPICO",ABS((C4851-$W$5)/$X$5)&lt;=1.96,"NO ATÍPICO")</f>
        <v>NO ATÍPICO</v>
      </c>
      <c r="K4851" t="str" cm="1">
        <f t="array" ref="K4851">_xlfn.IFS(ISBLANK(I4851),"FALTANTE",ABS((I4851-$W$8)/$X$8)&gt;1.92,"ATÍPICO",ABS((I4851-$W$8)/$X$8)&lt;=1.92,"NO ATÍPICO")</f>
        <v>NO ATÍPICO</v>
      </c>
      <c r="L4851">
        <f t="shared" si="318"/>
        <v>417792.18</v>
      </c>
      <c r="M4851" t="str">
        <f t="shared" si="318"/>
        <v>ASALARIADO</v>
      </c>
      <c r="N4851">
        <f t="shared" si="319"/>
        <v>37</v>
      </c>
      <c r="O4851" s="19" t="str">
        <f t="shared" si="320"/>
        <v>300k–600k</v>
      </c>
      <c r="P4851" s="19" t="str">
        <f t="shared" si="321"/>
        <v>36-45</v>
      </c>
    </row>
    <row r="4852" spans="1:16" x14ac:dyDescent="0.25">
      <c r="A4852">
        <v>4851</v>
      </c>
      <c r="B4852" t="s">
        <v>15</v>
      </c>
      <c r="C4852">
        <v>297046</v>
      </c>
      <c r="D4852" t="s">
        <v>17</v>
      </c>
      <c r="E4852" t="s">
        <v>16</v>
      </c>
      <c r="F4852" t="s">
        <v>12</v>
      </c>
      <c r="G4852" t="s">
        <v>13</v>
      </c>
      <c r="H4852" t="s">
        <v>13</v>
      </c>
      <c r="I4852">
        <v>55</v>
      </c>
      <c r="J4852" t="str" cm="1">
        <f t="array" ref="J4852">_xlfn.IFS(ISBLANK(C4852),"FALTANTE",ABS((C4852-$W$5)/$X$5)&gt;1.96,"ATÍPICO",ABS((C4852-$W$5)/$X$5)&lt;=1.96,"NO ATÍPICO")</f>
        <v>NO ATÍPICO</v>
      </c>
      <c r="K4852" t="str" cm="1">
        <f t="array" ref="K4852">_xlfn.IFS(ISBLANK(I4852),"FALTANTE",ABS((I4852-$W$8)/$X$8)&gt;1.92,"ATÍPICO",ABS((I4852-$W$8)/$X$8)&lt;=1.92,"NO ATÍPICO")</f>
        <v>NO ATÍPICO</v>
      </c>
      <c r="L4852">
        <f t="shared" si="318"/>
        <v>297046</v>
      </c>
      <c r="M4852" t="str">
        <f t="shared" si="318"/>
        <v>ASEGURADO VOLUNTARIO</v>
      </c>
      <c r="N4852">
        <f t="shared" si="319"/>
        <v>55</v>
      </c>
      <c r="O4852" s="19" t="str">
        <f t="shared" si="320"/>
        <v>0–300k</v>
      </c>
      <c r="P4852" s="19" t="str">
        <f t="shared" si="321"/>
        <v>46-55</v>
      </c>
    </row>
    <row r="4853" spans="1:16" x14ac:dyDescent="0.25">
      <c r="A4853">
        <v>4852</v>
      </c>
      <c r="B4853" t="s">
        <v>9</v>
      </c>
      <c r="C4853">
        <v>371296.25</v>
      </c>
      <c r="D4853" t="s">
        <v>10</v>
      </c>
      <c r="E4853" t="s">
        <v>11</v>
      </c>
      <c r="F4853" t="s">
        <v>12</v>
      </c>
      <c r="G4853" t="s">
        <v>13</v>
      </c>
      <c r="H4853" t="s">
        <v>13</v>
      </c>
      <c r="I4853">
        <v>49</v>
      </c>
      <c r="J4853" t="str" cm="1">
        <f t="array" ref="J4853">_xlfn.IFS(ISBLANK(C4853),"FALTANTE",ABS((C4853-$W$5)/$X$5)&gt;1.96,"ATÍPICO",ABS((C4853-$W$5)/$X$5)&lt;=1.96,"NO ATÍPICO")</f>
        <v>NO ATÍPICO</v>
      </c>
      <c r="K4853" t="str" cm="1">
        <f t="array" ref="K4853">_xlfn.IFS(ISBLANK(I4853),"FALTANTE",ABS((I4853-$W$8)/$X$8)&gt;1.92,"ATÍPICO",ABS((I4853-$W$8)/$X$8)&lt;=1.92,"NO ATÍPICO")</f>
        <v>NO ATÍPICO</v>
      </c>
      <c r="L4853">
        <f t="shared" si="318"/>
        <v>371296.25</v>
      </c>
      <c r="M4853" t="str">
        <f t="shared" si="318"/>
        <v>ASALARIADO</v>
      </c>
      <c r="N4853">
        <f t="shared" si="319"/>
        <v>49</v>
      </c>
      <c r="O4853" s="19" t="str">
        <f t="shared" si="320"/>
        <v>300k–600k</v>
      </c>
      <c r="P4853" s="19" t="str">
        <f t="shared" si="321"/>
        <v>46-55</v>
      </c>
    </row>
    <row r="4854" spans="1:16" x14ac:dyDescent="0.25">
      <c r="A4854">
        <v>4853</v>
      </c>
      <c r="B4854" t="s">
        <v>9</v>
      </c>
      <c r="C4854">
        <v>639148</v>
      </c>
      <c r="D4854" t="s">
        <v>18</v>
      </c>
      <c r="E4854" t="s">
        <v>16</v>
      </c>
      <c r="F4854" t="s">
        <v>12</v>
      </c>
      <c r="G4854" t="s">
        <v>13</v>
      </c>
      <c r="H4854" t="s">
        <v>13</v>
      </c>
      <c r="I4854">
        <v>63</v>
      </c>
      <c r="J4854" t="str" cm="1">
        <f t="array" ref="J4854">_xlfn.IFS(ISBLANK(C4854),"FALTANTE",ABS((C4854-$W$5)/$X$5)&gt;1.96,"ATÍPICO",ABS((C4854-$W$5)/$X$5)&lt;=1.96,"NO ATÍPICO")</f>
        <v>NO ATÍPICO</v>
      </c>
      <c r="K4854" t="str" cm="1">
        <f t="array" ref="K4854">_xlfn.IFS(ISBLANK(I4854),"FALTANTE",ABS((I4854-$W$8)/$X$8)&gt;1.92,"ATÍPICO",ABS((I4854-$W$8)/$X$8)&lt;=1.92,"NO ATÍPICO")</f>
        <v>NO ATÍPICO</v>
      </c>
      <c r="L4854">
        <f t="shared" si="318"/>
        <v>639148</v>
      </c>
      <c r="M4854" t="str">
        <f t="shared" si="318"/>
        <v>TRABAJADOR INDEPENDIENTE</v>
      </c>
      <c r="N4854">
        <f t="shared" si="319"/>
        <v>63</v>
      </c>
      <c r="O4854" s="19" t="str">
        <f t="shared" si="320"/>
        <v>600k–900k</v>
      </c>
      <c r="P4854" s="19" t="str">
        <f t="shared" si="321"/>
        <v>56+</v>
      </c>
    </row>
    <row r="4855" spans="1:16" x14ac:dyDescent="0.25">
      <c r="A4855">
        <v>4854</v>
      </c>
      <c r="B4855" t="s">
        <v>15</v>
      </c>
      <c r="C4855">
        <v>453750</v>
      </c>
      <c r="D4855" t="s">
        <v>10</v>
      </c>
      <c r="E4855" t="s">
        <v>16</v>
      </c>
      <c r="F4855" t="s">
        <v>12</v>
      </c>
      <c r="G4855" t="s">
        <v>12</v>
      </c>
      <c r="H4855" t="s">
        <v>13</v>
      </c>
      <c r="I4855">
        <v>27</v>
      </c>
      <c r="J4855" t="str" cm="1">
        <f t="array" ref="J4855">_xlfn.IFS(ISBLANK(C4855),"FALTANTE",ABS((C4855-$W$5)/$X$5)&gt;1.96,"ATÍPICO",ABS((C4855-$W$5)/$X$5)&lt;=1.96,"NO ATÍPICO")</f>
        <v>NO ATÍPICO</v>
      </c>
      <c r="K4855" t="str" cm="1">
        <f t="array" ref="K4855">_xlfn.IFS(ISBLANK(I4855),"FALTANTE",ABS((I4855-$W$8)/$X$8)&gt;1.92,"ATÍPICO",ABS((I4855-$W$8)/$X$8)&lt;=1.92,"NO ATÍPICO")</f>
        <v>NO ATÍPICO</v>
      </c>
      <c r="L4855">
        <f t="shared" si="318"/>
        <v>453750</v>
      </c>
      <c r="M4855" t="str">
        <f t="shared" si="318"/>
        <v>ASALARIADO</v>
      </c>
      <c r="N4855">
        <f t="shared" si="319"/>
        <v>27</v>
      </c>
      <c r="O4855" s="19" t="str">
        <f t="shared" si="320"/>
        <v>300k–600k</v>
      </c>
      <c r="P4855" s="19" t="str">
        <f t="shared" si="321"/>
        <v>26-35</v>
      </c>
    </row>
    <row r="4856" spans="1:16" x14ac:dyDescent="0.25">
      <c r="A4856">
        <v>4855</v>
      </c>
      <c r="B4856" t="s">
        <v>9</v>
      </c>
      <c r="C4856">
        <v>889043.09</v>
      </c>
      <c r="D4856" t="s">
        <v>10</v>
      </c>
      <c r="E4856" t="s">
        <v>11</v>
      </c>
      <c r="F4856" t="s">
        <v>12</v>
      </c>
      <c r="G4856" t="s">
        <v>13</v>
      </c>
      <c r="H4856" t="s">
        <v>13</v>
      </c>
      <c r="I4856">
        <v>32</v>
      </c>
      <c r="J4856" t="str" cm="1">
        <f t="array" ref="J4856">_xlfn.IFS(ISBLANK(C4856),"FALTANTE",ABS((C4856-$W$5)/$X$5)&gt;1.96,"ATÍPICO",ABS((C4856-$W$5)/$X$5)&lt;=1.96,"NO ATÍPICO")</f>
        <v>NO ATÍPICO</v>
      </c>
      <c r="K4856" t="str" cm="1">
        <f t="array" ref="K4856">_xlfn.IFS(ISBLANK(I4856),"FALTANTE",ABS((I4856-$W$8)/$X$8)&gt;1.92,"ATÍPICO",ABS((I4856-$W$8)/$X$8)&lt;=1.92,"NO ATÍPICO")</f>
        <v>NO ATÍPICO</v>
      </c>
      <c r="L4856">
        <f t="shared" si="318"/>
        <v>889043.09</v>
      </c>
      <c r="M4856" t="str">
        <f t="shared" si="318"/>
        <v>ASALARIADO</v>
      </c>
      <c r="N4856">
        <f t="shared" si="319"/>
        <v>32</v>
      </c>
      <c r="O4856" s="19" t="str">
        <f t="shared" si="320"/>
        <v>600k–900k</v>
      </c>
      <c r="P4856" s="19" t="str">
        <f t="shared" si="321"/>
        <v>26-35</v>
      </c>
    </row>
    <row r="4857" spans="1:16" x14ac:dyDescent="0.25">
      <c r="A4857">
        <v>4856</v>
      </c>
      <c r="B4857" t="s">
        <v>9</v>
      </c>
      <c r="C4857">
        <v>278030</v>
      </c>
      <c r="D4857" t="s">
        <v>17</v>
      </c>
      <c r="E4857" t="s">
        <v>16</v>
      </c>
      <c r="F4857" t="s">
        <v>12</v>
      </c>
      <c r="G4857" t="s">
        <v>12</v>
      </c>
      <c r="H4857" t="s">
        <v>13</v>
      </c>
      <c r="I4857">
        <v>48</v>
      </c>
      <c r="J4857" t="str" cm="1">
        <f t="array" ref="J4857">_xlfn.IFS(ISBLANK(C4857),"FALTANTE",ABS((C4857-$W$5)/$X$5)&gt;1.96,"ATÍPICO",ABS((C4857-$W$5)/$X$5)&lt;=1.96,"NO ATÍPICO")</f>
        <v>NO ATÍPICO</v>
      </c>
      <c r="K4857" t="str" cm="1">
        <f t="array" ref="K4857">_xlfn.IFS(ISBLANK(I4857),"FALTANTE",ABS((I4857-$W$8)/$X$8)&gt;1.92,"ATÍPICO",ABS((I4857-$W$8)/$X$8)&lt;=1.92,"NO ATÍPICO")</f>
        <v>NO ATÍPICO</v>
      </c>
      <c r="L4857">
        <f t="shared" si="318"/>
        <v>278030</v>
      </c>
      <c r="M4857" t="str">
        <f t="shared" si="318"/>
        <v>ASEGURADO VOLUNTARIO</v>
      </c>
      <c r="N4857">
        <f t="shared" si="319"/>
        <v>48</v>
      </c>
      <c r="O4857" s="19" t="str">
        <f t="shared" si="320"/>
        <v>0–300k</v>
      </c>
      <c r="P4857" s="19" t="str">
        <f t="shared" si="321"/>
        <v>46-55</v>
      </c>
    </row>
    <row r="4858" spans="1:16" x14ac:dyDescent="0.25">
      <c r="A4858">
        <v>4857</v>
      </c>
      <c r="B4858" t="s">
        <v>9</v>
      </c>
      <c r="C4858">
        <v>660392</v>
      </c>
      <c r="D4858" t="s">
        <v>17</v>
      </c>
      <c r="E4858" t="s">
        <v>16</v>
      </c>
      <c r="F4858" t="s">
        <v>12</v>
      </c>
      <c r="G4858" t="s">
        <v>12</v>
      </c>
      <c r="H4858" t="s">
        <v>13</v>
      </c>
      <c r="I4858">
        <v>53</v>
      </c>
      <c r="J4858" t="str" cm="1">
        <f t="array" ref="J4858">_xlfn.IFS(ISBLANK(C4858),"FALTANTE",ABS((C4858-$W$5)/$X$5)&gt;1.96,"ATÍPICO",ABS((C4858-$W$5)/$X$5)&lt;=1.96,"NO ATÍPICO")</f>
        <v>NO ATÍPICO</v>
      </c>
      <c r="K4858" t="str" cm="1">
        <f t="array" ref="K4858">_xlfn.IFS(ISBLANK(I4858),"FALTANTE",ABS((I4858-$W$8)/$X$8)&gt;1.92,"ATÍPICO",ABS((I4858-$W$8)/$X$8)&lt;=1.92,"NO ATÍPICO")</f>
        <v>NO ATÍPICO</v>
      </c>
      <c r="L4858">
        <f t="shared" si="318"/>
        <v>660392</v>
      </c>
      <c r="M4858" t="str">
        <f t="shared" si="318"/>
        <v>ASEGURADO VOLUNTARIO</v>
      </c>
      <c r="N4858">
        <f t="shared" si="319"/>
        <v>53</v>
      </c>
      <c r="O4858" s="19" t="str">
        <f t="shared" si="320"/>
        <v>600k–900k</v>
      </c>
      <c r="P4858" s="19" t="str">
        <f t="shared" si="321"/>
        <v>46-55</v>
      </c>
    </row>
    <row r="4859" spans="1:16" x14ac:dyDescent="0.25">
      <c r="A4859">
        <v>4858</v>
      </c>
      <c r="B4859" t="s">
        <v>9</v>
      </c>
      <c r="C4859">
        <v>491840</v>
      </c>
      <c r="D4859" t="s">
        <v>14</v>
      </c>
      <c r="E4859" t="s">
        <v>11</v>
      </c>
      <c r="F4859" t="s">
        <v>12</v>
      </c>
      <c r="G4859" t="s">
        <v>13</v>
      </c>
      <c r="H4859" t="s">
        <v>13</v>
      </c>
      <c r="I4859">
        <v>72</v>
      </c>
      <c r="J4859" t="str" cm="1">
        <f t="array" ref="J4859">_xlfn.IFS(ISBLANK(C4859),"FALTANTE",ABS((C4859-$W$5)/$X$5)&gt;1.96,"ATÍPICO",ABS((C4859-$W$5)/$X$5)&lt;=1.96,"NO ATÍPICO")</f>
        <v>NO ATÍPICO</v>
      </c>
      <c r="K4859" t="str" cm="1">
        <f t="array" ref="K4859">_xlfn.IFS(ISBLANK(I4859),"FALTANTE",ABS((I4859-$W$8)/$X$8)&gt;1.92,"ATÍPICO",ABS((I4859-$W$8)/$X$8)&lt;=1.92,"NO ATÍPICO")</f>
        <v>ATÍPICO</v>
      </c>
      <c r="L4859">
        <f t="shared" si="318"/>
        <v>491840</v>
      </c>
      <c r="M4859" t="str">
        <f t="shared" si="318"/>
        <v>PENSIONADOS EN SU PROPIO SISTEMA</v>
      </c>
      <c r="N4859">
        <f t="shared" si="319"/>
        <v>72</v>
      </c>
      <c r="O4859" s="19" t="str">
        <f t="shared" si="320"/>
        <v>300k–600k</v>
      </c>
      <c r="P4859" s="19" t="str">
        <f t="shared" si="321"/>
        <v>56+</v>
      </c>
    </row>
    <row r="4860" spans="1:16" x14ac:dyDescent="0.25">
      <c r="A4860">
        <v>4859</v>
      </c>
      <c r="B4860" t="s">
        <v>9</v>
      </c>
      <c r="C4860">
        <v>1089300</v>
      </c>
      <c r="D4860" t="s">
        <v>10</v>
      </c>
      <c r="E4860" t="s">
        <v>16</v>
      </c>
      <c r="F4860" t="s">
        <v>12</v>
      </c>
      <c r="G4860" t="s">
        <v>13</v>
      </c>
      <c r="H4860" t="s">
        <v>13</v>
      </c>
      <c r="I4860">
        <v>49</v>
      </c>
      <c r="J4860" t="str" cm="1">
        <f t="array" ref="J4860">_xlfn.IFS(ISBLANK(C4860),"FALTANTE",ABS((C4860-$W$5)/$X$5)&gt;1.96,"ATÍPICO",ABS((C4860-$W$5)/$X$5)&lt;=1.96,"NO ATÍPICO")</f>
        <v>NO ATÍPICO</v>
      </c>
      <c r="K4860" t="str" cm="1">
        <f t="array" ref="K4860">_xlfn.IFS(ISBLANK(I4860),"FALTANTE",ABS((I4860-$W$8)/$X$8)&gt;1.92,"ATÍPICO",ABS((I4860-$W$8)/$X$8)&lt;=1.92,"NO ATÍPICO")</f>
        <v>NO ATÍPICO</v>
      </c>
      <c r="L4860">
        <f t="shared" si="318"/>
        <v>1089300</v>
      </c>
      <c r="M4860" t="str">
        <f t="shared" si="318"/>
        <v>ASALARIADO</v>
      </c>
      <c r="N4860">
        <f t="shared" si="319"/>
        <v>49</v>
      </c>
      <c r="O4860" s="19" t="str">
        <f t="shared" si="320"/>
        <v>900k–1200k</v>
      </c>
      <c r="P4860" s="19" t="str">
        <f t="shared" si="321"/>
        <v>46-55</v>
      </c>
    </row>
    <row r="4861" spans="1:16" x14ac:dyDescent="0.25">
      <c r="A4861">
        <v>4860</v>
      </c>
      <c r="B4861" t="s">
        <v>15</v>
      </c>
      <c r="C4861">
        <v>352830</v>
      </c>
      <c r="D4861" t="s">
        <v>10</v>
      </c>
      <c r="E4861" t="s">
        <v>16</v>
      </c>
      <c r="F4861" t="s">
        <v>12</v>
      </c>
      <c r="G4861" t="s">
        <v>13</v>
      </c>
      <c r="H4861" t="s">
        <v>13</v>
      </c>
      <c r="I4861">
        <v>22</v>
      </c>
      <c r="J4861" t="str" cm="1">
        <f t="array" ref="J4861">_xlfn.IFS(ISBLANK(C4861),"FALTANTE",ABS((C4861-$W$5)/$X$5)&gt;1.96,"ATÍPICO",ABS((C4861-$W$5)/$X$5)&lt;=1.96,"NO ATÍPICO")</f>
        <v>NO ATÍPICO</v>
      </c>
      <c r="K4861" t="str" cm="1">
        <f t="array" ref="K4861">_xlfn.IFS(ISBLANK(I4861),"FALTANTE",ABS((I4861-$W$8)/$X$8)&gt;1.92,"ATÍPICO",ABS((I4861-$W$8)/$X$8)&lt;=1.92,"NO ATÍPICO")</f>
        <v>NO ATÍPICO</v>
      </c>
      <c r="L4861">
        <f t="shared" si="318"/>
        <v>352830</v>
      </c>
      <c r="M4861" t="str">
        <f t="shared" si="318"/>
        <v>ASALARIADO</v>
      </c>
      <c r="N4861">
        <f t="shared" si="319"/>
        <v>22</v>
      </c>
      <c r="O4861" s="19" t="str">
        <f t="shared" si="320"/>
        <v>300k–600k</v>
      </c>
      <c r="P4861" s="19" t="str">
        <f t="shared" si="321"/>
        <v>18-25</v>
      </c>
    </row>
    <row r="4862" spans="1:16" x14ac:dyDescent="0.25">
      <c r="A4862">
        <v>4861</v>
      </c>
      <c r="B4862" t="s">
        <v>9</v>
      </c>
      <c r="C4862">
        <v>1417056.5</v>
      </c>
      <c r="D4862" t="s">
        <v>10</v>
      </c>
      <c r="E4862" t="s">
        <v>11</v>
      </c>
      <c r="F4862" t="s">
        <v>12</v>
      </c>
      <c r="G4862" t="s">
        <v>13</v>
      </c>
      <c r="H4862" t="s">
        <v>13</v>
      </c>
      <c r="I4862">
        <v>55</v>
      </c>
      <c r="J4862" t="str" cm="1">
        <f t="array" ref="J4862">_xlfn.IFS(ISBLANK(C4862),"FALTANTE",ABS((C4862-$W$5)/$X$5)&gt;1.96,"ATÍPICO",ABS((C4862-$W$5)/$X$5)&lt;=1.96,"NO ATÍPICO")</f>
        <v>NO ATÍPICO</v>
      </c>
      <c r="K4862" t="str" cm="1">
        <f t="array" ref="K4862">_xlfn.IFS(ISBLANK(I4862),"FALTANTE",ABS((I4862-$W$8)/$X$8)&gt;1.92,"ATÍPICO",ABS((I4862-$W$8)/$X$8)&lt;=1.92,"NO ATÍPICO")</f>
        <v>NO ATÍPICO</v>
      </c>
      <c r="L4862">
        <f t="shared" si="318"/>
        <v>1417056.5</v>
      </c>
      <c r="M4862" t="str">
        <f t="shared" si="318"/>
        <v>ASALARIADO</v>
      </c>
      <c r="N4862">
        <f t="shared" si="319"/>
        <v>55</v>
      </c>
      <c r="O4862" s="19" t="str">
        <f t="shared" si="320"/>
        <v>1200k+</v>
      </c>
      <c r="P4862" s="19" t="str">
        <f t="shared" si="321"/>
        <v>46-55</v>
      </c>
    </row>
    <row r="4863" spans="1:16" x14ac:dyDescent="0.25">
      <c r="A4863">
        <v>4862</v>
      </c>
      <c r="B4863" t="s">
        <v>15</v>
      </c>
      <c r="C4863">
        <v>974906</v>
      </c>
      <c r="D4863" t="s">
        <v>10</v>
      </c>
      <c r="E4863" t="s">
        <v>11</v>
      </c>
      <c r="F4863" t="s">
        <v>12</v>
      </c>
      <c r="G4863" t="s">
        <v>13</v>
      </c>
      <c r="H4863" t="s">
        <v>13</v>
      </c>
      <c r="I4863">
        <v>50</v>
      </c>
      <c r="J4863" t="str" cm="1">
        <f t="array" ref="J4863">_xlfn.IFS(ISBLANK(C4863),"FALTANTE",ABS((C4863-$W$5)/$X$5)&gt;1.96,"ATÍPICO",ABS((C4863-$W$5)/$X$5)&lt;=1.96,"NO ATÍPICO")</f>
        <v>NO ATÍPICO</v>
      </c>
      <c r="K4863" t="str" cm="1">
        <f t="array" ref="K4863">_xlfn.IFS(ISBLANK(I4863),"FALTANTE",ABS((I4863-$W$8)/$X$8)&gt;1.92,"ATÍPICO",ABS((I4863-$W$8)/$X$8)&lt;=1.92,"NO ATÍPICO")</f>
        <v>NO ATÍPICO</v>
      </c>
      <c r="L4863">
        <f t="shared" si="318"/>
        <v>974906</v>
      </c>
      <c r="M4863" t="str">
        <f t="shared" si="318"/>
        <v>ASALARIADO</v>
      </c>
      <c r="N4863">
        <f t="shared" si="319"/>
        <v>50</v>
      </c>
      <c r="O4863" s="19" t="str">
        <f t="shared" si="320"/>
        <v>900k–1200k</v>
      </c>
      <c r="P4863" s="19" t="str">
        <f t="shared" si="321"/>
        <v>46-55</v>
      </c>
    </row>
    <row r="4864" spans="1:16" x14ac:dyDescent="0.25">
      <c r="A4864">
        <v>4863</v>
      </c>
      <c r="B4864" t="s">
        <v>15</v>
      </c>
      <c r="C4864">
        <v>430924</v>
      </c>
      <c r="D4864" t="s">
        <v>10</v>
      </c>
      <c r="E4864" t="s">
        <v>16</v>
      </c>
      <c r="F4864" t="s">
        <v>12</v>
      </c>
      <c r="G4864" t="s">
        <v>13</v>
      </c>
      <c r="H4864" t="s">
        <v>13</v>
      </c>
      <c r="I4864">
        <v>45</v>
      </c>
      <c r="J4864" t="str" cm="1">
        <f t="array" ref="J4864">_xlfn.IFS(ISBLANK(C4864),"FALTANTE",ABS((C4864-$W$5)/$X$5)&gt;1.96,"ATÍPICO",ABS((C4864-$W$5)/$X$5)&lt;=1.96,"NO ATÍPICO")</f>
        <v>NO ATÍPICO</v>
      </c>
      <c r="K4864" t="str" cm="1">
        <f t="array" ref="K4864">_xlfn.IFS(ISBLANK(I4864),"FALTANTE",ABS((I4864-$W$8)/$X$8)&gt;1.92,"ATÍPICO",ABS((I4864-$W$8)/$X$8)&lt;=1.92,"NO ATÍPICO")</f>
        <v>NO ATÍPICO</v>
      </c>
      <c r="L4864">
        <f t="shared" si="318"/>
        <v>430924</v>
      </c>
      <c r="M4864" t="str">
        <f t="shared" si="318"/>
        <v>ASALARIADO</v>
      </c>
      <c r="N4864">
        <f t="shared" si="319"/>
        <v>45</v>
      </c>
      <c r="O4864" s="19" t="str">
        <f t="shared" si="320"/>
        <v>300k–600k</v>
      </c>
      <c r="P4864" s="19" t="str">
        <f t="shared" si="321"/>
        <v>36-45</v>
      </c>
    </row>
    <row r="4865" spans="1:16" x14ac:dyDescent="0.25">
      <c r="A4865">
        <v>4864</v>
      </c>
      <c r="B4865" t="s">
        <v>15</v>
      </c>
      <c r="C4865">
        <v>218650</v>
      </c>
      <c r="D4865" t="s">
        <v>10</v>
      </c>
      <c r="E4865" t="s">
        <v>16</v>
      </c>
      <c r="F4865" t="s">
        <v>12</v>
      </c>
      <c r="G4865" t="s">
        <v>13</v>
      </c>
      <c r="H4865" t="s">
        <v>12</v>
      </c>
      <c r="I4865">
        <v>50</v>
      </c>
      <c r="J4865" t="str" cm="1">
        <f t="array" ref="J4865">_xlfn.IFS(ISBLANK(C4865),"FALTANTE",ABS((C4865-$W$5)/$X$5)&gt;1.96,"ATÍPICO",ABS((C4865-$W$5)/$X$5)&lt;=1.96,"NO ATÍPICO")</f>
        <v>NO ATÍPICO</v>
      </c>
      <c r="K4865" t="str" cm="1">
        <f t="array" ref="K4865">_xlfn.IFS(ISBLANK(I4865),"FALTANTE",ABS((I4865-$W$8)/$X$8)&gt;1.92,"ATÍPICO",ABS((I4865-$W$8)/$X$8)&lt;=1.92,"NO ATÍPICO")</f>
        <v>NO ATÍPICO</v>
      </c>
      <c r="L4865">
        <f t="shared" si="318"/>
        <v>218650</v>
      </c>
      <c r="M4865" t="str">
        <f t="shared" si="318"/>
        <v>ASALARIADO</v>
      </c>
      <c r="N4865">
        <f t="shared" si="319"/>
        <v>50</v>
      </c>
      <c r="O4865" s="19" t="str">
        <f t="shared" si="320"/>
        <v>0–300k</v>
      </c>
      <c r="P4865" s="19" t="str">
        <f t="shared" si="321"/>
        <v>46-55</v>
      </c>
    </row>
    <row r="4866" spans="1:16" x14ac:dyDescent="0.25">
      <c r="A4866">
        <v>4865</v>
      </c>
      <c r="B4866" t="s">
        <v>9</v>
      </c>
      <c r="C4866">
        <v>459223</v>
      </c>
      <c r="D4866" t="s">
        <v>18</v>
      </c>
      <c r="E4866" t="s">
        <v>16</v>
      </c>
      <c r="F4866" t="s">
        <v>12</v>
      </c>
      <c r="G4866" t="s">
        <v>13</v>
      </c>
      <c r="H4866" t="s">
        <v>13</v>
      </c>
      <c r="I4866">
        <v>58</v>
      </c>
      <c r="J4866" t="str" cm="1">
        <f t="array" ref="J4866">_xlfn.IFS(ISBLANK(C4866),"FALTANTE",ABS((C4866-$W$5)/$X$5)&gt;1.96,"ATÍPICO",ABS((C4866-$W$5)/$X$5)&lt;=1.96,"NO ATÍPICO")</f>
        <v>NO ATÍPICO</v>
      </c>
      <c r="K4866" t="str" cm="1">
        <f t="array" ref="K4866">_xlfn.IFS(ISBLANK(I4866),"FALTANTE",ABS((I4866-$W$8)/$X$8)&gt;1.92,"ATÍPICO",ABS((I4866-$W$8)/$X$8)&lt;=1.92,"NO ATÍPICO")</f>
        <v>NO ATÍPICO</v>
      </c>
      <c r="L4866">
        <f t="shared" ref="L4866:M4929" si="322">C4866</f>
        <v>459223</v>
      </c>
      <c r="M4866" t="str">
        <f t="shared" si="322"/>
        <v>TRABAJADOR INDEPENDIENTE</v>
      </c>
      <c r="N4866">
        <f t="shared" ref="N4866:N4929" si="323">I4866</f>
        <v>58</v>
      </c>
      <c r="O4866" s="19" t="str">
        <f t="shared" ref="O4866:O4929" si="324">IF(L4866&lt;=300000,"0–300k",IF(L4866&lt;=600000,"300k–600k",IF(L4866&lt;=900000,"600k–900k",IF(L4866&lt;=1200000,"900k–1200k","1200k+"))))</f>
        <v>300k–600k</v>
      </c>
      <c r="P4866" s="19" t="str">
        <f t="shared" ref="P4866:P4929" si="325">IF(N4866 &lt;=25,"18-25", IF(N4866&lt;=35,"26-35", IF(N4866 &lt;=45,"36-45", IF(N4866&lt;=55,"46-55","56+"))))</f>
        <v>56+</v>
      </c>
    </row>
    <row r="4867" spans="1:16" x14ac:dyDescent="0.25">
      <c r="A4867">
        <v>4866</v>
      </c>
      <c r="B4867" t="s">
        <v>9</v>
      </c>
      <c r="C4867">
        <v>105750</v>
      </c>
      <c r="D4867" t="s">
        <v>10</v>
      </c>
      <c r="E4867" t="s">
        <v>16</v>
      </c>
      <c r="F4867" t="s">
        <v>12</v>
      </c>
      <c r="G4867" t="s">
        <v>13</v>
      </c>
      <c r="H4867" t="s">
        <v>13</v>
      </c>
      <c r="I4867">
        <v>38</v>
      </c>
      <c r="J4867" t="str" cm="1">
        <f t="array" ref="J4867">_xlfn.IFS(ISBLANK(C4867),"FALTANTE",ABS((C4867-$W$5)/$X$5)&gt;1.96,"ATÍPICO",ABS((C4867-$W$5)/$X$5)&lt;=1.96,"NO ATÍPICO")</f>
        <v>NO ATÍPICO</v>
      </c>
      <c r="K4867" t="str" cm="1">
        <f t="array" ref="K4867">_xlfn.IFS(ISBLANK(I4867),"FALTANTE",ABS((I4867-$W$8)/$X$8)&gt;1.92,"ATÍPICO",ABS((I4867-$W$8)/$X$8)&lt;=1.92,"NO ATÍPICO")</f>
        <v>NO ATÍPICO</v>
      </c>
      <c r="L4867">
        <f t="shared" si="322"/>
        <v>105750</v>
      </c>
      <c r="M4867" t="str">
        <f t="shared" si="322"/>
        <v>ASALARIADO</v>
      </c>
      <c r="N4867">
        <f t="shared" si="323"/>
        <v>38</v>
      </c>
      <c r="O4867" s="19" t="str">
        <f t="shared" si="324"/>
        <v>0–300k</v>
      </c>
      <c r="P4867" s="19" t="str">
        <f t="shared" si="325"/>
        <v>36-45</v>
      </c>
    </row>
    <row r="4868" spans="1:16" x14ac:dyDescent="0.25">
      <c r="A4868">
        <v>4867</v>
      </c>
      <c r="B4868" t="s">
        <v>9</v>
      </c>
      <c r="C4868">
        <v>341002</v>
      </c>
      <c r="D4868" t="s">
        <v>10</v>
      </c>
      <c r="E4868" t="s">
        <v>16</v>
      </c>
      <c r="F4868" t="s">
        <v>12</v>
      </c>
      <c r="G4868" t="s">
        <v>13</v>
      </c>
      <c r="H4868" t="s">
        <v>13</v>
      </c>
      <c r="I4868">
        <v>36</v>
      </c>
      <c r="J4868" t="str" cm="1">
        <f t="array" ref="J4868">_xlfn.IFS(ISBLANK(C4868),"FALTANTE",ABS((C4868-$W$5)/$X$5)&gt;1.96,"ATÍPICO",ABS((C4868-$W$5)/$X$5)&lt;=1.96,"NO ATÍPICO")</f>
        <v>NO ATÍPICO</v>
      </c>
      <c r="K4868" t="str" cm="1">
        <f t="array" ref="K4868">_xlfn.IFS(ISBLANK(I4868),"FALTANTE",ABS((I4868-$W$8)/$X$8)&gt;1.92,"ATÍPICO",ABS((I4868-$W$8)/$X$8)&lt;=1.92,"NO ATÍPICO")</f>
        <v>NO ATÍPICO</v>
      </c>
      <c r="L4868">
        <f t="shared" si="322"/>
        <v>341002</v>
      </c>
      <c r="M4868" t="str">
        <f t="shared" si="322"/>
        <v>ASALARIADO</v>
      </c>
      <c r="N4868">
        <f t="shared" si="323"/>
        <v>36</v>
      </c>
      <c r="O4868" s="19" t="str">
        <f t="shared" si="324"/>
        <v>300k–600k</v>
      </c>
      <c r="P4868" s="19" t="str">
        <f t="shared" si="325"/>
        <v>36-45</v>
      </c>
    </row>
    <row r="4869" spans="1:16" x14ac:dyDescent="0.25">
      <c r="A4869">
        <v>4868</v>
      </c>
      <c r="B4869" t="s">
        <v>9</v>
      </c>
      <c r="C4869">
        <v>497566.22</v>
      </c>
      <c r="D4869" t="s">
        <v>10</v>
      </c>
      <c r="E4869" t="s">
        <v>16</v>
      </c>
      <c r="F4869" t="s">
        <v>12</v>
      </c>
      <c r="G4869" t="s">
        <v>13</v>
      </c>
      <c r="H4869" t="s">
        <v>13</v>
      </c>
      <c r="I4869">
        <v>34</v>
      </c>
      <c r="J4869" t="str" cm="1">
        <f t="array" ref="J4869">_xlfn.IFS(ISBLANK(C4869),"FALTANTE",ABS((C4869-$W$5)/$X$5)&gt;1.96,"ATÍPICO",ABS((C4869-$W$5)/$X$5)&lt;=1.96,"NO ATÍPICO")</f>
        <v>NO ATÍPICO</v>
      </c>
      <c r="K4869" t="str" cm="1">
        <f t="array" ref="K4869">_xlfn.IFS(ISBLANK(I4869),"FALTANTE",ABS((I4869-$W$8)/$X$8)&gt;1.92,"ATÍPICO",ABS((I4869-$W$8)/$X$8)&lt;=1.92,"NO ATÍPICO")</f>
        <v>NO ATÍPICO</v>
      </c>
      <c r="L4869">
        <f t="shared" si="322"/>
        <v>497566.22</v>
      </c>
      <c r="M4869" t="str">
        <f t="shared" si="322"/>
        <v>ASALARIADO</v>
      </c>
      <c r="N4869">
        <f t="shared" si="323"/>
        <v>34</v>
      </c>
      <c r="O4869" s="19" t="str">
        <f t="shared" si="324"/>
        <v>300k–600k</v>
      </c>
      <c r="P4869" s="19" t="str">
        <f t="shared" si="325"/>
        <v>26-35</v>
      </c>
    </row>
    <row r="4870" spans="1:16" x14ac:dyDescent="0.25">
      <c r="A4870">
        <v>4869</v>
      </c>
      <c r="B4870" t="s">
        <v>15</v>
      </c>
      <c r="C4870">
        <v>407547.36</v>
      </c>
      <c r="D4870" t="s">
        <v>10</v>
      </c>
      <c r="E4870" t="s">
        <v>11</v>
      </c>
      <c r="F4870" t="s">
        <v>12</v>
      </c>
      <c r="G4870" t="s">
        <v>13</v>
      </c>
      <c r="H4870" t="s">
        <v>13</v>
      </c>
      <c r="I4870">
        <v>61</v>
      </c>
      <c r="J4870" t="str" cm="1">
        <f t="array" ref="J4870">_xlfn.IFS(ISBLANK(C4870),"FALTANTE",ABS((C4870-$W$5)/$X$5)&gt;1.96,"ATÍPICO",ABS((C4870-$W$5)/$X$5)&lt;=1.96,"NO ATÍPICO")</f>
        <v>NO ATÍPICO</v>
      </c>
      <c r="K4870" t="str" cm="1">
        <f t="array" ref="K4870">_xlfn.IFS(ISBLANK(I4870),"FALTANTE",ABS((I4870-$W$8)/$X$8)&gt;1.92,"ATÍPICO",ABS((I4870-$W$8)/$X$8)&lt;=1.92,"NO ATÍPICO")</f>
        <v>NO ATÍPICO</v>
      </c>
      <c r="L4870">
        <f t="shared" si="322"/>
        <v>407547.36</v>
      </c>
      <c r="M4870" t="str">
        <f t="shared" si="322"/>
        <v>ASALARIADO</v>
      </c>
      <c r="N4870">
        <f t="shared" si="323"/>
        <v>61</v>
      </c>
      <c r="O4870" s="19" t="str">
        <f t="shared" si="324"/>
        <v>300k–600k</v>
      </c>
      <c r="P4870" s="19" t="str">
        <f t="shared" si="325"/>
        <v>56+</v>
      </c>
    </row>
    <row r="4871" spans="1:16" x14ac:dyDescent="0.25">
      <c r="A4871">
        <v>4870</v>
      </c>
      <c r="B4871" t="s">
        <v>9</v>
      </c>
      <c r="C4871">
        <v>1190858.8</v>
      </c>
      <c r="D4871" t="s">
        <v>10</v>
      </c>
      <c r="E4871" t="s">
        <v>11</v>
      </c>
      <c r="F4871" t="s">
        <v>12</v>
      </c>
      <c r="G4871" t="s">
        <v>13</v>
      </c>
      <c r="H4871" t="s">
        <v>13</v>
      </c>
      <c r="I4871">
        <v>59</v>
      </c>
      <c r="J4871" t="str" cm="1">
        <f t="array" ref="J4871">_xlfn.IFS(ISBLANK(C4871),"FALTANTE",ABS((C4871-$W$5)/$X$5)&gt;1.96,"ATÍPICO",ABS((C4871-$W$5)/$X$5)&lt;=1.96,"NO ATÍPICO")</f>
        <v>NO ATÍPICO</v>
      </c>
      <c r="K4871" t="str" cm="1">
        <f t="array" ref="K4871">_xlfn.IFS(ISBLANK(I4871),"FALTANTE",ABS((I4871-$W$8)/$X$8)&gt;1.92,"ATÍPICO",ABS((I4871-$W$8)/$X$8)&lt;=1.92,"NO ATÍPICO")</f>
        <v>NO ATÍPICO</v>
      </c>
      <c r="L4871">
        <f t="shared" si="322"/>
        <v>1190858.8</v>
      </c>
      <c r="M4871" t="str">
        <f t="shared" si="322"/>
        <v>ASALARIADO</v>
      </c>
      <c r="N4871">
        <f t="shared" si="323"/>
        <v>59</v>
      </c>
      <c r="O4871" s="19" t="str">
        <f t="shared" si="324"/>
        <v>900k–1200k</v>
      </c>
      <c r="P4871" s="19" t="str">
        <f t="shared" si="325"/>
        <v>56+</v>
      </c>
    </row>
    <row r="4872" spans="1:16" x14ac:dyDescent="0.25">
      <c r="A4872">
        <v>4871</v>
      </c>
      <c r="B4872" t="s">
        <v>15</v>
      </c>
      <c r="C4872">
        <v>297139</v>
      </c>
      <c r="D4872" t="s">
        <v>18</v>
      </c>
      <c r="E4872" t="s">
        <v>16</v>
      </c>
      <c r="F4872" t="s">
        <v>12</v>
      </c>
      <c r="G4872" t="s">
        <v>12</v>
      </c>
      <c r="H4872" t="s">
        <v>12</v>
      </c>
      <c r="I4872">
        <v>63</v>
      </c>
      <c r="J4872" t="str" cm="1">
        <f t="array" ref="J4872">_xlfn.IFS(ISBLANK(C4872),"FALTANTE",ABS((C4872-$W$5)/$X$5)&gt;1.96,"ATÍPICO",ABS((C4872-$W$5)/$X$5)&lt;=1.96,"NO ATÍPICO")</f>
        <v>NO ATÍPICO</v>
      </c>
      <c r="K4872" t="str" cm="1">
        <f t="array" ref="K4872">_xlfn.IFS(ISBLANK(I4872),"FALTANTE",ABS((I4872-$W$8)/$X$8)&gt;1.92,"ATÍPICO",ABS((I4872-$W$8)/$X$8)&lt;=1.92,"NO ATÍPICO")</f>
        <v>NO ATÍPICO</v>
      </c>
      <c r="L4872">
        <f t="shared" si="322"/>
        <v>297139</v>
      </c>
      <c r="M4872" t="str">
        <f t="shared" si="322"/>
        <v>TRABAJADOR INDEPENDIENTE</v>
      </c>
      <c r="N4872">
        <f t="shared" si="323"/>
        <v>63</v>
      </c>
      <c r="O4872" s="19" t="str">
        <f t="shared" si="324"/>
        <v>0–300k</v>
      </c>
      <c r="P4872" s="19" t="str">
        <f t="shared" si="325"/>
        <v>56+</v>
      </c>
    </row>
    <row r="4873" spans="1:16" x14ac:dyDescent="0.25">
      <c r="A4873">
        <v>4872</v>
      </c>
      <c r="B4873" t="s">
        <v>15</v>
      </c>
      <c r="C4873">
        <v>199099.7</v>
      </c>
      <c r="D4873" t="s">
        <v>10</v>
      </c>
      <c r="E4873" t="s">
        <v>11</v>
      </c>
      <c r="F4873" t="s">
        <v>12</v>
      </c>
      <c r="G4873" t="s">
        <v>13</v>
      </c>
      <c r="H4873" t="s">
        <v>13</v>
      </c>
      <c r="I4873">
        <v>24</v>
      </c>
      <c r="J4873" t="str" cm="1">
        <f t="array" ref="J4873">_xlfn.IFS(ISBLANK(C4873),"FALTANTE",ABS((C4873-$W$5)/$X$5)&gt;1.96,"ATÍPICO",ABS((C4873-$W$5)/$X$5)&lt;=1.96,"NO ATÍPICO")</f>
        <v>NO ATÍPICO</v>
      </c>
      <c r="K4873" t="str" cm="1">
        <f t="array" ref="K4873">_xlfn.IFS(ISBLANK(I4873),"FALTANTE",ABS((I4873-$W$8)/$X$8)&gt;1.92,"ATÍPICO",ABS((I4873-$W$8)/$X$8)&lt;=1.92,"NO ATÍPICO")</f>
        <v>NO ATÍPICO</v>
      </c>
      <c r="L4873">
        <f t="shared" si="322"/>
        <v>199099.7</v>
      </c>
      <c r="M4873" t="str">
        <f t="shared" si="322"/>
        <v>ASALARIADO</v>
      </c>
      <c r="N4873">
        <f t="shared" si="323"/>
        <v>24</v>
      </c>
      <c r="O4873" s="19" t="str">
        <f t="shared" si="324"/>
        <v>0–300k</v>
      </c>
      <c r="P4873" s="19" t="str">
        <f t="shared" si="325"/>
        <v>18-25</v>
      </c>
    </row>
    <row r="4874" spans="1:16" x14ac:dyDescent="0.25">
      <c r="A4874">
        <v>4873</v>
      </c>
      <c r="B4874" t="s">
        <v>15</v>
      </c>
      <c r="C4874">
        <v>368050</v>
      </c>
      <c r="D4874" t="s">
        <v>10</v>
      </c>
      <c r="E4874" t="s">
        <v>16</v>
      </c>
      <c r="F4874" t="s">
        <v>12</v>
      </c>
      <c r="G4874" t="s">
        <v>13</v>
      </c>
      <c r="H4874" t="s">
        <v>13</v>
      </c>
      <c r="I4874">
        <v>42</v>
      </c>
      <c r="J4874" t="str" cm="1">
        <f t="array" ref="J4874">_xlfn.IFS(ISBLANK(C4874),"FALTANTE",ABS((C4874-$W$5)/$X$5)&gt;1.96,"ATÍPICO",ABS((C4874-$W$5)/$X$5)&lt;=1.96,"NO ATÍPICO")</f>
        <v>NO ATÍPICO</v>
      </c>
      <c r="K4874" t="str" cm="1">
        <f t="array" ref="K4874">_xlfn.IFS(ISBLANK(I4874),"FALTANTE",ABS((I4874-$W$8)/$X$8)&gt;1.92,"ATÍPICO",ABS((I4874-$W$8)/$X$8)&lt;=1.92,"NO ATÍPICO")</f>
        <v>NO ATÍPICO</v>
      </c>
      <c r="L4874">
        <f t="shared" si="322"/>
        <v>368050</v>
      </c>
      <c r="M4874" t="str">
        <f t="shared" si="322"/>
        <v>ASALARIADO</v>
      </c>
      <c r="N4874">
        <f t="shared" si="323"/>
        <v>42</v>
      </c>
      <c r="O4874" s="19" t="str">
        <f t="shared" si="324"/>
        <v>300k–600k</v>
      </c>
      <c r="P4874" s="19" t="str">
        <f t="shared" si="325"/>
        <v>36-45</v>
      </c>
    </row>
    <row r="4875" spans="1:16" x14ac:dyDescent="0.25">
      <c r="A4875">
        <v>4874</v>
      </c>
      <c r="B4875" t="s">
        <v>9</v>
      </c>
      <c r="C4875">
        <v>433136</v>
      </c>
      <c r="D4875" t="s">
        <v>10</v>
      </c>
      <c r="E4875" t="s">
        <v>16</v>
      </c>
      <c r="F4875" t="s">
        <v>12</v>
      </c>
      <c r="G4875" t="s">
        <v>13</v>
      </c>
      <c r="H4875" t="s">
        <v>13</v>
      </c>
      <c r="I4875">
        <v>50</v>
      </c>
      <c r="J4875" t="str" cm="1">
        <f t="array" ref="J4875">_xlfn.IFS(ISBLANK(C4875),"FALTANTE",ABS((C4875-$W$5)/$X$5)&gt;1.96,"ATÍPICO",ABS((C4875-$W$5)/$X$5)&lt;=1.96,"NO ATÍPICO")</f>
        <v>NO ATÍPICO</v>
      </c>
      <c r="K4875" t="str" cm="1">
        <f t="array" ref="K4875">_xlfn.IFS(ISBLANK(I4875),"FALTANTE",ABS((I4875-$W$8)/$X$8)&gt;1.92,"ATÍPICO",ABS((I4875-$W$8)/$X$8)&lt;=1.92,"NO ATÍPICO")</f>
        <v>NO ATÍPICO</v>
      </c>
      <c r="L4875">
        <f t="shared" si="322"/>
        <v>433136</v>
      </c>
      <c r="M4875" t="str">
        <f t="shared" si="322"/>
        <v>ASALARIADO</v>
      </c>
      <c r="N4875">
        <f t="shared" si="323"/>
        <v>50</v>
      </c>
      <c r="O4875" s="19" t="str">
        <f t="shared" si="324"/>
        <v>300k–600k</v>
      </c>
      <c r="P4875" s="19" t="str">
        <f t="shared" si="325"/>
        <v>46-55</v>
      </c>
    </row>
    <row r="4876" spans="1:16" x14ac:dyDescent="0.25">
      <c r="A4876">
        <v>4875</v>
      </c>
      <c r="B4876" t="s">
        <v>9</v>
      </c>
      <c r="C4876">
        <v>1295895</v>
      </c>
      <c r="D4876" t="s">
        <v>10</v>
      </c>
      <c r="E4876" t="s">
        <v>16</v>
      </c>
      <c r="F4876" t="s">
        <v>12</v>
      </c>
      <c r="G4876" t="s">
        <v>13</v>
      </c>
      <c r="H4876" t="s">
        <v>13</v>
      </c>
      <c r="I4876">
        <v>32</v>
      </c>
      <c r="J4876" t="str" cm="1">
        <f t="array" ref="J4876">_xlfn.IFS(ISBLANK(C4876),"FALTANTE",ABS((C4876-$W$5)/$X$5)&gt;1.96,"ATÍPICO",ABS((C4876-$W$5)/$X$5)&lt;=1.96,"NO ATÍPICO")</f>
        <v>NO ATÍPICO</v>
      </c>
      <c r="K4876" t="str" cm="1">
        <f t="array" ref="K4876">_xlfn.IFS(ISBLANK(I4876),"FALTANTE",ABS((I4876-$W$8)/$X$8)&gt;1.92,"ATÍPICO",ABS((I4876-$W$8)/$X$8)&lt;=1.92,"NO ATÍPICO")</f>
        <v>NO ATÍPICO</v>
      </c>
      <c r="L4876">
        <f t="shared" si="322"/>
        <v>1295895</v>
      </c>
      <c r="M4876" t="str">
        <f t="shared" si="322"/>
        <v>ASALARIADO</v>
      </c>
      <c r="N4876">
        <f t="shared" si="323"/>
        <v>32</v>
      </c>
      <c r="O4876" s="19" t="str">
        <f t="shared" si="324"/>
        <v>1200k+</v>
      </c>
      <c r="P4876" s="19" t="str">
        <f t="shared" si="325"/>
        <v>26-35</v>
      </c>
    </row>
    <row r="4877" spans="1:16" x14ac:dyDescent="0.25">
      <c r="A4877">
        <v>4876</v>
      </c>
      <c r="B4877" t="s">
        <v>9</v>
      </c>
      <c r="C4877">
        <v>898140</v>
      </c>
      <c r="D4877" t="s">
        <v>10</v>
      </c>
      <c r="E4877" t="s">
        <v>16</v>
      </c>
      <c r="F4877" t="s">
        <v>12</v>
      </c>
      <c r="G4877" t="s">
        <v>13</v>
      </c>
      <c r="H4877" t="s">
        <v>13</v>
      </c>
      <c r="I4877">
        <v>28</v>
      </c>
      <c r="J4877" t="str" cm="1">
        <f t="array" ref="J4877">_xlfn.IFS(ISBLANK(C4877),"FALTANTE",ABS((C4877-$W$5)/$X$5)&gt;1.96,"ATÍPICO",ABS((C4877-$W$5)/$X$5)&lt;=1.96,"NO ATÍPICO")</f>
        <v>NO ATÍPICO</v>
      </c>
      <c r="K4877" t="str" cm="1">
        <f t="array" ref="K4877">_xlfn.IFS(ISBLANK(I4877),"FALTANTE",ABS((I4877-$W$8)/$X$8)&gt;1.92,"ATÍPICO",ABS((I4877-$W$8)/$X$8)&lt;=1.92,"NO ATÍPICO")</f>
        <v>NO ATÍPICO</v>
      </c>
      <c r="L4877">
        <f t="shared" si="322"/>
        <v>898140</v>
      </c>
      <c r="M4877" t="str">
        <f t="shared" si="322"/>
        <v>ASALARIADO</v>
      </c>
      <c r="N4877">
        <f t="shared" si="323"/>
        <v>28</v>
      </c>
      <c r="O4877" s="19" t="str">
        <f t="shared" si="324"/>
        <v>600k–900k</v>
      </c>
      <c r="P4877" s="19" t="str">
        <f t="shared" si="325"/>
        <v>26-35</v>
      </c>
    </row>
    <row r="4878" spans="1:16" x14ac:dyDescent="0.25">
      <c r="A4878">
        <v>4877</v>
      </c>
      <c r="B4878" t="s">
        <v>9</v>
      </c>
      <c r="C4878">
        <v>532775.64</v>
      </c>
      <c r="D4878" t="s">
        <v>10</v>
      </c>
      <c r="E4878" t="s">
        <v>16</v>
      </c>
      <c r="F4878" t="s">
        <v>12</v>
      </c>
      <c r="G4878" t="s">
        <v>13</v>
      </c>
      <c r="H4878" t="s">
        <v>13</v>
      </c>
      <c r="I4878">
        <v>47</v>
      </c>
      <c r="J4878" t="str" cm="1">
        <f t="array" ref="J4878">_xlfn.IFS(ISBLANK(C4878),"FALTANTE",ABS((C4878-$W$5)/$X$5)&gt;1.96,"ATÍPICO",ABS((C4878-$W$5)/$X$5)&lt;=1.96,"NO ATÍPICO")</f>
        <v>NO ATÍPICO</v>
      </c>
      <c r="K4878" t="str" cm="1">
        <f t="array" ref="K4878">_xlfn.IFS(ISBLANK(I4878),"FALTANTE",ABS((I4878-$W$8)/$X$8)&gt;1.92,"ATÍPICO",ABS((I4878-$W$8)/$X$8)&lt;=1.92,"NO ATÍPICO")</f>
        <v>NO ATÍPICO</v>
      </c>
      <c r="L4878">
        <f t="shared" si="322"/>
        <v>532775.64</v>
      </c>
      <c r="M4878" t="str">
        <f t="shared" si="322"/>
        <v>ASALARIADO</v>
      </c>
      <c r="N4878">
        <f t="shared" si="323"/>
        <v>47</v>
      </c>
      <c r="O4878" s="19" t="str">
        <f t="shared" si="324"/>
        <v>300k–600k</v>
      </c>
      <c r="P4878" s="19" t="str">
        <f t="shared" si="325"/>
        <v>46-55</v>
      </c>
    </row>
    <row r="4879" spans="1:16" x14ac:dyDescent="0.25">
      <c r="A4879">
        <v>4878</v>
      </c>
      <c r="B4879" t="s">
        <v>15</v>
      </c>
      <c r="C4879">
        <v>635080.35</v>
      </c>
      <c r="D4879" t="s">
        <v>14</v>
      </c>
      <c r="E4879" t="s">
        <v>11</v>
      </c>
      <c r="F4879" t="s">
        <v>12</v>
      </c>
      <c r="G4879" t="s">
        <v>13</v>
      </c>
      <c r="H4879" t="s">
        <v>13</v>
      </c>
      <c r="I4879">
        <v>65</v>
      </c>
      <c r="J4879" t="str" cm="1">
        <f t="array" ref="J4879">_xlfn.IFS(ISBLANK(C4879),"FALTANTE",ABS((C4879-$W$5)/$X$5)&gt;1.96,"ATÍPICO",ABS((C4879-$W$5)/$X$5)&lt;=1.96,"NO ATÍPICO")</f>
        <v>NO ATÍPICO</v>
      </c>
      <c r="K4879" t="str" cm="1">
        <f t="array" ref="K4879">_xlfn.IFS(ISBLANK(I4879),"FALTANTE",ABS((I4879-$W$8)/$X$8)&gt;1.92,"ATÍPICO",ABS((I4879-$W$8)/$X$8)&lt;=1.92,"NO ATÍPICO")</f>
        <v>NO ATÍPICO</v>
      </c>
      <c r="L4879">
        <f t="shared" si="322"/>
        <v>635080.35</v>
      </c>
      <c r="M4879" t="str">
        <f t="shared" si="322"/>
        <v>PENSIONADOS EN SU PROPIO SISTEMA</v>
      </c>
      <c r="N4879">
        <f t="shared" si="323"/>
        <v>65</v>
      </c>
      <c r="O4879" s="19" t="str">
        <f t="shared" si="324"/>
        <v>600k–900k</v>
      </c>
      <c r="P4879" s="19" t="str">
        <f t="shared" si="325"/>
        <v>56+</v>
      </c>
    </row>
    <row r="4880" spans="1:16" x14ac:dyDescent="0.25">
      <c r="A4880">
        <v>4879</v>
      </c>
      <c r="B4880" t="s">
        <v>15</v>
      </c>
      <c r="C4880">
        <v>278030</v>
      </c>
      <c r="D4880" t="s">
        <v>19</v>
      </c>
      <c r="E4880" t="s">
        <v>16</v>
      </c>
      <c r="F4880" t="s">
        <v>12</v>
      </c>
      <c r="G4880" t="s">
        <v>13</v>
      </c>
      <c r="H4880" t="s">
        <v>13</v>
      </c>
      <c r="I4880">
        <v>59</v>
      </c>
      <c r="J4880" t="str" cm="1">
        <f t="array" ref="J4880">_xlfn.IFS(ISBLANK(C4880),"FALTANTE",ABS((C4880-$W$5)/$X$5)&gt;1.96,"ATÍPICO",ABS((C4880-$W$5)/$X$5)&lt;=1.96,"NO ATÍPICO")</f>
        <v>NO ATÍPICO</v>
      </c>
      <c r="K4880" t="str" cm="1">
        <f t="array" ref="K4880">_xlfn.IFS(ISBLANK(I4880),"FALTANTE",ABS((I4880-$W$8)/$X$8)&gt;1.92,"ATÍPICO",ABS((I4880-$W$8)/$X$8)&lt;=1.92,"NO ATÍPICO")</f>
        <v>NO ATÍPICO</v>
      </c>
      <c r="L4880">
        <f t="shared" si="322"/>
        <v>278030</v>
      </c>
      <c r="M4880" t="str">
        <f t="shared" si="322"/>
        <v>CONVENIOS ESPECIALES DE TRABAJADORES INDEPENDIENTES</v>
      </c>
      <c r="N4880">
        <f t="shared" si="323"/>
        <v>59</v>
      </c>
      <c r="O4880" s="19" t="str">
        <f t="shared" si="324"/>
        <v>0–300k</v>
      </c>
      <c r="P4880" s="19" t="str">
        <f t="shared" si="325"/>
        <v>56+</v>
      </c>
    </row>
    <row r="4881" spans="1:16" x14ac:dyDescent="0.25">
      <c r="A4881">
        <v>4880</v>
      </c>
      <c r="B4881" t="s">
        <v>9</v>
      </c>
      <c r="C4881">
        <v>3082593.2</v>
      </c>
      <c r="D4881" t="s">
        <v>10</v>
      </c>
      <c r="E4881" t="s">
        <v>11</v>
      </c>
      <c r="F4881" t="s">
        <v>12</v>
      </c>
      <c r="G4881" t="s">
        <v>13</v>
      </c>
      <c r="H4881" t="s">
        <v>13</v>
      </c>
      <c r="I4881">
        <v>55</v>
      </c>
      <c r="J4881" t="str" cm="1">
        <f t="array" ref="J4881">_xlfn.IFS(ISBLANK(C4881),"FALTANTE",ABS((C4881-$W$5)/$X$5)&gt;1.96,"ATÍPICO",ABS((C4881-$W$5)/$X$5)&lt;=1.96,"NO ATÍPICO")</f>
        <v>ATÍPICO</v>
      </c>
      <c r="K4881" t="str" cm="1">
        <f t="array" ref="K4881">_xlfn.IFS(ISBLANK(I4881),"FALTANTE",ABS((I4881-$W$8)/$X$8)&gt;1.92,"ATÍPICO",ABS((I4881-$W$8)/$X$8)&lt;=1.92,"NO ATÍPICO")</f>
        <v>NO ATÍPICO</v>
      </c>
      <c r="L4881">
        <f t="shared" si="322"/>
        <v>3082593.2</v>
      </c>
      <c r="M4881" t="str">
        <f t="shared" si="322"/>
        <v>ASALARIADO</v>
      </c>
      <c r="N4881">
        <f t="shared" si="323"/>
        <v>55</v>
      </c>
      <c r="O4881" s="19" t="str">
        <f t="shared" si="324"/>
        <v>1200k+</v>
      </c>
      <c r="P4881" s="19" t="str">
        <f t="shared" si="325"/>
        <v>46-55</v>
      </c>
    </row>
    <row r="4882" spans="1:16" x14ac:dyDescent="0.25">
      <c r="A4882">
        <v>4881</v>
      </c>
      <c r="B4882" t="s">
        <v>9</v>
      </c>
      <c r="C4882">
        <v>457783.1</v>
      </c>
      <c r="D4882" t="s">
        <v>10</v>
      </c>
      <c r="E4882" t="s">
        <v>16</v>
      </c>
      <c r="F4882" t="s">
        <v>12</v>
      </c>
      <c r="G4882" t="s">
        <v>13</v>
      </c>
      <c r="H4882" t="s">
        <v>13</v>
      </c>
      <c r="I4882">
        <v>30</v>
      </c>
      <c r="J4882" t="str" cm="1">
        <f t="array" ref="J4882">_xlfn.IFS(ISBLANK(C4882),"FALTANTE",ABS((C4882-$W$5)/$X$5)&gt;1.96,"ATÍPICO",ABS((C4882-$W$5)/$X$5)&lt;=1.96,"NO ATÍPICO")</f>
        <v>NO ATÍPICO</v>
      </c>
      <c r="K4882" t="str" cm="1">
        <f t="array" ref="K4882">_xlfn.IFS(ISBLANK(I4882),"FALTANTE",ABS((I4882-$W$8)/$X$8)&gt;1.92,"ATÍPICO",ABS((I4882-$W$8)/$X$8)&lt;=1.92,"NO ATÍPICO")</f>
        <v>NO ATÍPICO</v>
      </c>
      <c r="L4882">
        <f t="shared" si="322"/>
        <v>457783.1</v>
      </c>
      <c r="M4882" t="str">
        <f t="shared" si="322"/>
        <v>ASALARIADO</v>
      </c>
      <c r="N4882">
        <f t="shared" si="323"/>
        <v>30</v>
      </c>
      <c r="O4882" s="19" t="str">
        <f t="shared" si="324"/>
        <v>300k–600k</v>
      </c>
      <c r="P4882" s="19" t="str">
        <f t="shared" si="325"/>
        <v>26-35</v>
      </c>
    </row>
    <row r="4883" spans="1:16" x14ac:dyDescent="0.25">
      <c r="A4883">
        <v>4882</v>
      </c>
      <c r="B4883" t="s">
        <v>15</v>
      </c>
      <c r="C4883">
        <v>452286.93</v>
      </c>
      <c r="D4883" t="s">
        <v>10</v>
      </c>
      <c r="E4883" t="s">
        <v>11</v>
      </c>
      <c r="F4883" t="s">
        <v>12</v>
      </c>
      <c r="G4883" t="s">
        <v>13</v>
      </c>
      <c r="H4883" t="s">
        <v>13</v>
      </c>
      <c r="I4883">
        <v>40</v>
      </c>
      <c r="J4883" t="str" cm="1">
        <f t="array" ref="J4883">_xlfn.IFS(ISBLANK(C4883),"FALTANTE",ABS((C4883-$W$5)/$X$5)&gt;1.96,"ATÍPICO",ABS((C4883-$W$5)/$X$5)&lt;=1.96,"NO ATÍPICO")</f>
        <v>NO ATÍPICO</v>
      </c>
      <c r="K4883" t="str" cm="1">
        <f t="array" ref="K4883">_xlfn.IFS(ISBLANK(I4883),"FALTANTE",ABS((I4883-$W$8)/$X$8)&gt;1.92,"ATÍPICO",ABS((I4883-$W$8)/$X$8)&lt;=1.92,"NO ATÍPICO")</f>
        <v>NO ATÍPICO</v>
      </c>
      <c r="L4883">
        <f t="shared" si="322"/>
        <v>452286.93</v>
      </c>
      <c r="M4883" t="str">
        <f t="shared" si="322"/>
        <v>ASALARIADO</v>
      </c>
      <c r="N4883">
        <f t="shared" si="323"/>
        <v>40</v>
      </c>
      <c r="O4883" s="19" t="str">
        <f t="shared" si="324"/>
        <v>300k–600k</v>
      </c>
      <c r="P4883" s="19" t="str">
        <f t="shared" si="325"/>
        <v>36-45</v>
      </c>
    </row>
    <row r="4884" spans="1:16" x14ac:dyDescent="0.25">
      <c r="A4884">
        <v>4883</v>
      </c>
      <c r="B4884" t="s">
        <v>9</v>
      </c>
      <c r="C4884">
        <v>389877.39</v>
      </c>
      <c r="D4884" t="s">
        <v>10</v>
      </c>
      <c r="E4884" t="s">
        <v>16</v>
      </c>
      <c r="F4884" t="s">
        <v>12</v>
      </c>
      <c r="G4884" t="s">
        <v>13</v>
      </c>
      <c r="H4884" t="s">
        <v>13</v>
      </c>
      <c r="I4884">
        <v>31</v>
      </c>
      <c r="J4884" t="str" cm="1">
        <f t="array" ref="J4884">_xlfn.IFS(ISBLANK(C4884),"FALTANTE",ABS((C4884-$W$5)/$X$5)&gt;1.96,"ATÍPICO",ABS((C4884-$W$5)/$X$5)&lt;=1.96,"NO ATÍPICO")</f>
        <v>NO ATÍPICO</v>
      </c>
      <c r="K4884" t="str" cm="1">
        <f t="array" ref="K4884">_xlfn.IFS(ISBLANK(I4884),"FALTANTE",ABS((I4884-$W$8)/$X$8)&gt;1.92,"ATÍPICO",ABS((I4884-$W$8)/$X$8)&lt;=1.92,"NO ATÍPICO")</f>
        <v>NO ATÍPICO</v>
      </c>
      <c r="L4884">
        <f t="shared" si="322"/>
        <v>389877.39</v>
      </c>
      <c r="M4884" t="str">
        <f t="shared" si="322"/>
        <v>ASALARIADO</v>
      </c>
      <c r="N4884">
        <f t="shared" si="323"/>
        <v>31</v>
      </c>
      <c r="O4884" s="19" t="str">
        <f t="shared" si="324"/>
        <v>300k–600k</v>
      </c>
      <c r="P4884" s="19" t="str">
        <f t="shared" si="325"/>
        <v>26-35</v>
      </c>
    </row>
    <row r="4885" spans="1:16" x14ac:dyDescent="0.25">
      <c r="A4885">
        <v>4884</v>
      </c>
      <c r="B4885" t="s">
        <v>9</v>
      </c>
      <c r="C4885">
        <v>693332.47999999998</v>
      </c>
      <c r="D4885" t="s">
        <v>10</v>
      </c>
      <c r="E4885" t="s">
        <v>16</v>
      </c>
      <c r="F4885" t="s">
        <v>12</v>
      </c>
      <c r="G4885" t="s">
        <v>13</v>
      </c>
      <c r="H4885" t="s">
        <v>13</v>
      </c>
      <c r="I4885">
        <v>20</v>
      </c>
      <c r="J4885" t="str" cm="1">
        <f t="array" ref="J4885">_xlfn.IFS(ISBLANK(C4885),"FALTANTE",ABS((C4885-$W$5)/$X$5)&gt;1.96,"ATÍPICO",ABS((C4885-$W$5)/$X$5)&lt;=1.96,"NO ATÍPICO")</f>
        <v>NO ATÍPICO</v>
      </c>
      <c r="K4885" t="str" cm="1">
        <f t="array" ref="K4885">_xlfn.IFS(ISBLANK(I4885),"FALTANTE",ABS((I4885-$W$8)/$X$8)&gt;1.92,"ATÍPICO",ABS((I4885-$W$8)/$X$8)&lt;=1.92,"NO ATÍPICO")</f>
        <v>NO ATÍPICO</v>
      </c>
      <c r="L4885">
        <f t="shared" si="322"/>
        <v>693332.47999999998</v>
      </c>
      <c r="M4885" t="str">
        <f t="shared" si="322"/>
        <v>ASALARIADO</v>
      </c>
      <c r="N4885">
        <f t="shared" si="323"/>
        <v>20</v>
      </c>
      <c r="O4885" s="19" t="str">
        <f t="shared" si="324"/>
        <v>600k–900k</v>
      </c>
      <c r="P4885" s="19" t="str">
        <f t="shared" si="325"/>
        <v>18-25</v>
      </c>
    </row>
    <row r="4886" spans="1:16" x14ac:dyDescent="0.25">
      <c r="A4886">
        <v>4885</v>
      </c>
      <c r="B4886" t="s">
        <v>9</v>
      </c>
      <c r="C4886">
        <v>278030</v>
      </c>
      <c r="D4886" t="s">
        <v>19</v>
      </c>
      <c r="E4886" t="s">
        <v>16</v>
      </c>
      <c r="F4886" t="s">
        <v>12</v>
      </c>
      <c r="G4886" t="s">
        <v>13</v>
      </c>
      <c r="H4886" t="s">
        <v>13</v>
      </c>
      <c r="I4886">
        <v>49</v>
      </c>
      <c r="J4886" t="str" cm="1">
        <f t="array" ref="J4886">_xlfn.IFS(ISBLANK(C4886),"FALTANTE",ABS((C4886-$W$5)/$X$5)&gt;1.96,"ATÍPICO",ABS((C4886-$W$5)/$X$5)&lt;=1.96,"NO ATÍPICO")</f>
        <v>NO ATÍPICO</v>
      </c>
      <c r="K4886" t="str" cm="1">
        <f t="array" ref="K4886">_xlfn.IFS(ISBLANK(I4886),"FALTANTE",ABS((I4886-$W$8)/$X$8)&gt;1.92,"ATÍPICO",ABS((I4886-$W$8)/$X$8)&lt;=1.92,"NO ATÍPICO")</f>
        <v>NO ATÍPICO</v>
      </c>
      <c r="L4886">
        <f t="shared" si="322"/>
        <v>278030</v>
      </c>
      <c r="M4886" t="str">
        <f t="shared" si="322"/>
        <v>CONVENIOS ESPECIALES DE TRABAJADORES INDEPENDIENTES</v>
      </c>
      <c r="N4886">
        <f t="shared" si="323"/>
        <v>49</v>
      </c>
      <c r="O4886" s="19" t="str">
        <f t="shared" si="324"/>
        <v>0–300k</v>
      </c>
      <c r="P4886" s="19" t="str">
        <f t="shared" si="325"/>
        <v>46-55</v>
      </c>
    </row>
    <row r="4887" spans="1:16" x14ac:dyDescent="0.25">
      <c r="A4887">
        <v>4886</v>
      </c>
      <c r="B4887" t="s">
        <v>9</v>
      </c>
      <c r="C4887">
        <v>394319</v>
      </c>
      <c r="D4887" t="s">
        <v>10</v>
      </c>
      <c r="E4887" t="s">
        <v>16</v>
      </c>
      <c r="F4887" t="s">
        <v>12</v>
      </c>
      <c r="G4887" t="s">
        <v>13</v>
      </c>
      <c r="H4887" t="s">
        <v>13</v>
      </c>
      <c r="I4887">
        <v>34</v>
      </c>
      <c r="J4887" t="str" cm="1">
        <f t="array" ref="J4887">_xlfn.IFS(ISBLANK(C4887),"FALTANTE",ABS((C4887-$W$5)/$X$5)&gt;1.96,"ATÍPICO",ABS((C4887-$W$5)/$X$5)&lt;=1.96,"NO ATÍPICO")</f>
        <v>NO ATÍPICO</v>
      </c>
      <c r="K4887" t="str" cm="1">
        <f t="array" ref="K4887">_xlfn.IFS(ISBLANK(I4887),"FALTANTE",ABS((I4887-$W$8)/$X$8)&gt;1.92,"ATÍPICO",ABS((I4887-$W$8)/$X$8)&lt;=1.92,"NO ATÍPICO")</f>
        <v>NO ATÍPICO</v>
      </c>
      <c r="L4887">
        <f t="shared" si="322"/>
        <v>394319</v>
      </c>
      <c r="M4887" t="str">
        <f t="shared" si="322"/>
        <v>ASALARIADO</v>
      </c>
      <c r="N4887">
        <f t="shared" si="323"/>
        <v>34</v>
      </c>
      <c r="O4887" s="19" t="str">
        <f t="shared" si="324"/>
        <v>300k–600k</v>
      </c>
      <c r="P4887" s="19" t="str">
        <f t="shared" si="325"/>
        <v>26-35</v>
      </c>
    </row>
    <row r="4888" spans="1:16" x14ac:dyDescent="0.25">
      <c r="A4888">
        <v>4887</v>
      </c>
      <c r="B4888" t="s">
        <v>15</v>
      </c>
      <c r="C4888">
        <v>351823</v>
      </c>
      <c r="D4888" t="s">
        <v>10</v>
      </c>
      <c r="E4888" t="s">
        <v>11</v>
      </c>
      <c r="F4888" t="s">
        <v>12</v>
      </c>
      <c r="G4888" t="s">
        <v>13</v>
      </c>
      <c r="H4888" t="s">
        <v>13</v>
      </c>
      <c r="I4888">
        <v>27</v>
      </c>
      <c r="J4888" t="str" cm="1">
        <f t="array" ref="J4888">_xlfn.IFS(ISBLANK(C4888),"FALTANTE",ABS((C4888-$W$5)/$X$5)&gt;1.96,"ATÍPICO",ABS((C4888-$W$5)/$X$5)&lt;=1.96,"NO ATÍPICO")</f>
        <v>NO ATÍPICO</v>
      </c>
      <c r="K4888" t="str" cm="1">
        <f t="array" ref="K4888">_xlfn.IFS(ISBLANK(I4888),"FALTANTE",ABS((I4888-$W$8)/$X$8)&gt;1.92,"ATÍPICO",ABS((I4888-$W$8)/$X$8)&lt;=1.92,"NO ATÍPICO")</f>
        <v>NO ATÍPICO</v>
      </c>
      <c r="L4888">
        <f t="shared" si="322"/>
        <v>351823</v>
      </c>
      <c r="M4888" t="str">
        <f t="shared" si="322"/>
        <v>ASALARIADO</v>
      </c>
      <c r="N4888">
        <f t="shared" si="323"/>
        <v>27</v>
      </c>
      <c r="O4888" s="19" t="str">
        <f t="shared" si="324"/>
        <v>300k–600k</v>
      </c>
      <c r="P4888" s="19" t="str">
        <f t="shared" si="325"/>
        <v>26-35</v>
      </c>
    </row>
    <row r="4889" spans="1:16" x14ac:dyDescent="0.25">
      <c r="A4889">
        <v>4888</v>
      </c>
      <c r="B4889" t="s">
        <v>9</v>
      </c>
      <c r="C4889">
        <v>2326097.7000000002</v>
      </c>
      <c r="D4889" t="s">
        <v>10</v>
      </c>
      <c r="E4889" t="s">
        <v>11</v>
      </c>
      <c r="F4889" t="s">
        <v>12</v>
      </c>
      <c r="G4889" t="s">
        <v>13</v>
      </c>
      <c r="H4889" t="s">
        <v>13</v>
      </c>
      <c r="I4889">
        <v>54</v>
      </c>
      <c r="J4889" t="str" cm="1">
        <f t="array" ref="J4889">_xlfn.IFS(ISBLANK(C4889),"FALTANTE",ABS((C4889-$W$5)/$X$5)&gt;1.96,"ATÍPICO",ABS((C4889-$W$5)/$X$5)&lt;=1.96,"NO ATÍPICO")</f>
        <v>ATÍPICO</v>
      </c>
      <c r="K4889" t="str" cm="1">
        <f t="array" ref="K4889">_xlfn.IFS(ISBLANK(I4889),"FALTANTE",ABS((I4889-$W$8)/$X$8)&gt;1.92,"ATÍPICO",ABS((I4889-$W$8)/$X$8)&lt;=1.92,"NO ATÍPICO")</f>
        <v>NO ATÍPICO</v>
      </c>
      <c r="L4889">
        <f t="shared" si="322"/>
        <v>2326097.7000000002</v>
      </c>
      <c r="M4889" t="str">
        <f t="shared" si="322"/>
        <v>ASALARIADO</v>
      </c>
      <c r="N4889">
        <f t="shared" si="323"/>
        <v>54</v>
      </c>
      <c r="O4889" s="19" t="str">
        <f t="shared" si="324"/>
        <v>1200k+</v>
      </c>
      <c r="P4889" s="19" t="str">
        <f t="shared" si="325"/>
        <v>46-55</v>
      </c>
    </row>
    <row r="4890" spans="1:16" x14ac:dyDescent="0.25">
      <c r="A4890">
        <v>4889</v>
      </c>
      <c r="B4890" t="s">
        <v>9</v>
      </c>
      <c r="C4890">
        <v>267520</v>
      </c>
      <c r="D4890" t="s">
        <v>10</v>
      </c>
      <c r="E4890" t="s">
        <v>16</v>
      </c>
      <c r="F4890" t="s">
        <v>12</v>
      </c>
      <c r="G4890" t="s">
        <v>13</v>
      </c>
      <c r="H4890" t="s">
        <v>13</v>
      </c>
      <c r="I4890">
        <v>56</v>
      </c>
      <c r="J4890" t="str" cm="1">
        <f t="array" ref="J4890">_xlfn.IFS(ISBLANK(C4890),"FALTANTE",ABS((C4890-$W$5)/$X$5)&gt;1.96,"ATÍPICO",ABS((C4890-$W$5)/$X$5)&lt;=1.96,"NO ATÍPICO")</f>
        <v>NO ATÍPICO</v>
      </c>
      <c r="K4890" t="str" cm="1">
        <f t="array" ref="K4890">_xlfn.IFS(ISBLANK(I4890),"FALTANTE",ABS((I4890-$W$8)/$X$8)&gt;1.92,"ATÍPICO",ABS((I4890-$W$8)/$X$8)&lt;=1.92,"NO ATÍPICO")</f>
        <v>NO ATÍPICO</v>
      </c>
      <c r="L4890">
        <f t="shared" si="322"/>
        <v>267520</v>
      </c>
      <c r="M4890" t="str">
        <f t="shared" si="322"/>
        <v>ASALARIADO</v>
      </c>
      <c r="N4890">
        <f t="shared" si="323"/>
        <v>56</v>
      </c>
      <c r="O4890" s="19" t="str">
        <f t="shared" si="324"/>
        <v>0–300k</v>
      </c>
      <c r="P4890" s="19" t="str">
        <f t="shared" si="325"/>
        <v>56+</v>
      </c>
    </row>
    <row r="4891" spans="1:16" x14ac:dyDescent="0.25">
      <c r="A4891">
        <v>4890</v>
      </c>
      <c r="B4891" t="s">
        <v>9</v>
      </c>
      <c r="C4891">
        <v>1645618</v>
      </c>
      <c r="D4891" t="s">
        <v>10</v>
      </c>
      <c r="E4891" t="s">
        <v>16</v>
      </c>
      <c r="F4891" t="s">
        <v>12</v>
      </c>
      <c r="G4891" t="s">
        <v>13</v>
      </c>
      <c r="H4891" t="s">
        <v>13</v>
      </c>
      <c r="I4891">
        <v>28</v>
      </c>
      <c r="J4891" t="str" cm="1">
        <f t="array" ref="J4891">_xlfn.IFS(ISBLANK(C4891),"FALTANTE",ABS((C4891-$W$5)/$X$5)&gt;1.96,"ATÍPICO",ABS((C4891-$W$5)/$X$5)&lt;=1.96,"NO ATÍPICO")</f>
        <v>NO ATÍPICO</v>
      </c>
      <c r="K4891" t="str" cm="1">
        <f t="array" ref="K4891">_xlfn.IFS(ISBLANK(I4891),"FALTANTE",ABS((I4891-$W$8)/$X$8)&gt;1.92,"ATÍPICO",ABS((I4891-$W$8)/$X$8)&lt;=1.92,"NO ATÍPICO")</f>
        <v>NO ATÍPICO</v>
      </c>
      <c r="L4891">
        <f t="shared" si="322"/>
        <v>1645618</v>
      </c>
      <c r="M4891" t="str">
        <f t="shared" si="322"/>
        <v>ASALARIADO</v>
      </c>
      <c r="N4891">
        <f t="shared" si="323"/>
        <v>28</v>
      </c>
      <c r="O4891" s="19" t="str">
        <f t="shared" si="324"/>
        <v>1200k+</v>
      </c>
      <c r="P4891" s="19" t="str">
        <f t="shared" si="325"/>
        <v>26-35</v>
      </c>
    </row>
    <row r="4892" spans="1:16" x14ac:dyDescent="0.25">
      <c r="A4892">
        <v>4891</v>
      </c>
      <c r="B4892" t="s">
        <v>9</v>
      </c>
      <c r="C4892">
        <v>278030</v>
      </c>
      <c r="D4892" t="s">
        <v>19</v>
      </c>
      <c r="E4892" t="s">
        <v>16</v>
      </c>
      <c r="F4892" t="s">
        <v>12</v>
      </c>
      <c r="G4892" t="s">
        <v>13</v>
      </c>
      <c r="H4892" t="s">
        <v>13</v>
      </c>
      <c r="I4892">
        <v>58</v>
      </c>
      <c r="J4892" t="str" cm="1">
        <f t="array" ref="J4892">_xlfn.IFS(ISBLANK(C4892),"FALTANTE",ABS((C4892-$W$5)/$X$5)&gt;1.96,"ATÍPICO",ABS((C4892-$W$5)/$X$5)&lt;=1.96,"NO ATÍPICO")</f>
        <v>NO ATÍPICO</v>
      </c>
      <c r="K4892" t="str" cm="1">
        <f t="array" ref="K4892">_xlfn.IFS(ISBLANK(I4892),"FALTANTE",ABS((I4892-$W$8)/$X$8)&gt;1.92,"ATÍPICO",ABS((I4892-$W$8)/$X$8)&lt;=1.92,"NO ATÍPICO")</f>
        <v>NO ATÍPICO</v>
      </c>
      <c r="L4892">
        <f t="shared" si="322"/>
        <v>278030</v>
      </c>
      <c r="M4892" t="str">
        <f t="shared" si="322"/>
        <v>CONVENIOS ESPECIALES DE TRABAJADORES INDEPENDIENTES</v>
      </c>
      <c r="N4892">
        <f t="shared" si="323"/>
        <v>58</v>
      </c>
      <c r="O4892" s="19" t="str">
        <f t="shared" si="324"/>
        <v>0–300k</v>
      </c>
      <c r="P4892" s="19" t="str">
        <f t="shared" si="325"/>
        <v>56+</v>
      </c>
    </row>
    <row r="4893" spans="1:16" x14ac:dyDescent="0.25">
      <c r="A4893">
        <v>4892</v>
      </c>
      <c r="B4893" t="s">
        <v>9</v>
      </c>
      <c r="C4893">
        <v>38615</v>
      </c>
      <c r="D4893" t="s">
        <v>10</v>
      </c>
      <c r="E4893" t="s">
        <v>16</v>
      </c>
      <c r="F4893" t="s">
        <v>12</v>
      </c>
      <c r="G4893" t="s">
        <v>13</v>
      </c>
      <c r="H4893" t="s">
        <v>13</v>
      </c>
      <c r="I4893">
        <v>26</v>
      </c>
      <c r="J4893" t="str" cm="1">
        <f t="array" ref="J4893">_xlfn.IFS(ISBLANK(C4893),"FALTANTE",ABS((C4893-$W$5)/$X$5)&gt;1.96,"ATÍPICO",ABS((C4893-$W$5)/$X$5)&lt;=1.96,"NO ATÍPICO")</f>
        <v>NO ATÍPICO</v>
      </c>
      <c r="K4893" t="str" cm="1">
        <f t="array" ref="K4893">_xlfn.IFS(ISBLANK(I4893),"FALTANTE",ABS((I4893-$W$8)/$X$8)&gt;1.92,"ATÍPICO",ABS((I4893-$W$8)/$X$8)&lt;=1.92,"NO ATÍPICO")</f>
        <v>NO ATÍPICO</v>
      </c>
      <c r="L4893">
        <f t="shared" si="322"/>
        <v>38615</v>
      </c>
      <c r="M4893" t="str">
        <f t="shared" si="322"/>
        <v>ASALARIADO</v>
      </c>
      <c r="N4893">
        <f t="shared" si="323"/>
        <v>26</v>
      </c>
      <c r="O4893" s="19" t="str">
        <f t="shared" si="324"/>
        <v>0–300k</v>
      </c>
      <c r="P4893" s="19" t="str">
        <f t="shared" si="325"/>
        <v>26-35</v>
      </c>
    </row>
    <row r="4894" spans="1:16" x14ac:dyDescent="0.25">
      <c r="A4894">
        <v>4893</v>
      </c>
      <c r="B4894" t="s">
        <v>9</v>
      </c>
      <c r="C4894">
        <v>586357</v>
      </c>
      <c r="D4894" t="s">
        <v>14</v>
      </c>
      <c r="E4894" t="s">
        <v>11</v>
      </c>
      <c r="F4894" t="s">
        <v>12</v>
      </c>
      <c r="G4894" t="s">
        <v>13</v>
      </c>
      <c r="H4894" t="s">
        <v>13</v>
      </c>
      <c r="I4894">
        <v>91</v>
      </c>
      <c r="J4894" t="str" cm="1">
        <f t="array" ref="J4894">_xlfn.IFS(ISBLANK(C4894),"FALTANTE",ABS((C4894-$W$5)/$X$5)&gt;1.96,"ATÍPICO",ABS((C4894-$W$5)/$X$5)&lt;=1.96,"NO ATÍPICO")</f>
        <v>NO ATÍPICO</v>
      </c>
      <c r="K4894" t="str" cm="1">
        <f t="array" ref="K4894">_xlfn.IFS(ISBLANK(I4894),"FALTANTE",ABS((I4894-$W$8)/$X$8)&gt;1.92,"ATÍPICO",ABS((I4894-$W$8)/$X$8)&lt;=1.92,"NO ATÍPICO")</f>
        <v>ATÍPICO</v>
      </c>
      <c r="L4894">
        <f t="shared" si="322"/>
        <v>586357</v>
      </c>
      <c r="M4894" t="str">
        <f t="shared" si="322"/>
        <v>PENSIONADOS EN SU PROPIO SISTEMA</v>
      </c>
      <c r="N4894">
        <f t="shared" si="323"/>
        <v>91</v>
      </c>
      <c r="O4894" s="19" t="str">
        <f t="shared" si="324"/>
        <v>300k–600k</v>
      </c>
      <c r="P4894" s="19" t="str">
        <f t="shared" si="325"/>
        <v>56+</v>
      </c>
    </row>
    <row r="4895" spans="1:16" x14ac:dyDescent="0.25">
      <c r="A4895">
        <v>4894</v>
      </c>
      <c r="B4895" t="s">
        <v>9</v>
      </c>
      <c r="C4895">
        <v>633542.55000000005</v>
      </c>
      <c r="D4895" t="s">
        <v>10</v>
      </c>
      <c r="E4895" t="s">
        <v>16</v>
      </c>
      <c r="F4895" t="s">
        <v>12</v>
      </c>
      <c r="G4895" t="s">
        <v>13</v>
      </c>
      <c r="H4895" t="s">
        <v>13</v>
      </c>
      <c r="I4895">
        <v>37</v>
      </c>
      <c r="J4895" t="str" cm="1">
        <f t="array" ref="J4895">_xlfn.IFS(ISBLANK(C4895),"FALTANTE",ABS((C4895-$W$5)/$X$5)&gt;1.96,"ATÍPICO",ABS((C4895-$W$5)/$X$5)&lt;=1.96,"NO ATÍPICO")</f>
        <v>NO ATÍPICO</v>
      </c>
      <c r="K4895" t="str" cm="1">
        <f t="array" ref="K4895">_xlfn.IFS(ISBLANK(I4895),"FALTANTE",ABS((I4895-$W$8)/$X$8)&gt;1.92,"ATÍPICO",ABS((I4895-$W$8)/$X$8)&lt;=1.92,"NO ATÍPICO")</f>
        <v>NO ATÍPICO</v>
      </c>
      <c r="L4895">
        <f t="shared" si="322"/>
        <v>633542.55000000005</v>
      </c>
      <c r="M4895" t="str">
        <f t="shared" si="322"/>
        <v>ASALARIADO</v>
      </c>
      <c r="N4895">
        <f t="shared" si="323"/>
        <v>37</v>
      </c>
      <c r="O4895" s="19" t="str">
        <f t="shared" si="324"/>
        <v>600k–900k</v>
      </c>
      <c r="P4895" s="19" t="str">
        <f t="shared" si="325"/>
        <v>36-45</v>
      </c>
    </row>
    <row r="4896" spans="1:16" x14ac:dyDescent="0.25">
      <c r="A4896">
        <v>4895</v>
      </c>
      <c r="B4896" t="s">
        <v>9</v>
      </c>
      <c r="C4896">
        <v>501669</v>
      </c>
      <c r="D4896" t="s">
        <v>18</v>
      </c>
      <c r="E4896" t="s">
        <v>16</v>
      </c>
      <c r="F4896" t="s">
        <v>12</v>
      </c>
      <c r="G4896" t="s">
        <v>13</v>
      </c>
      <c r="H4896" t="s">
        <v>13</v>
      </c>
      <c r="I4896">
        <v>44</v>
      </c>
      <c r="J4896" t="str" cm="1">
        <f t="array" ref="J4896">_xlfn.IFS(ISBLANK(C4896),"FALTANTE",ABS((C4896-$W$5)/$X$5)&gt;1.96,"ATÍPICO",ABS((C4896-$W$5)/$X$5)&lt;=1.96,"NO ATÍPICO")</f>
        <v>NO ATÍPICO</v>
      </c>
      <c r="K4896" t="str" cm="1">
        <f t="array" ref="K4896">_xlfn.IFS(ISBLANK(I4896),"FALTANTE",ABS((I4896-$W$8)/$X$8)&gt;1.92,"ATÍPICO",ABS((I4896-$W$8)/$X$8)&lt;=1.92,"NO ATÍPICO")</f>
        <v>NO ATÍPICO</v>
      </c>
      <c r="L4896">
        <f t="shared" si="322"/>
        <v>501669</v>
      </c>
      <c r="M4896" t="str">
        <f t="shared" si="322"/>
        <v>TRABAJADOR INDEPENDIENTE</v>
      </c>
      <c r="N4896">
        <f t="shared" si="323"/>
        <v>44</v>
      </c>
      <c r="O4896" s="19" t="str">
        <f t="shared" si="324"/>
        <v>300k–600k</v>
      </c>
      <c r="P4896" s="19" t="str">
        <f t="shared" si="325"/>
        <v>36-45</v>
      </c>
    </row>
    <row r="4897" spans="1:16" x14ac:dyDescent="0.25">
      <c r="A4897">
        <v>4896</v>
      </c>
      <c r="B4897" t="s">
        <v>15</v>
      </c>
      <c r="C4897">
        <v>787199</v>
      </c>
      <c r="D4897" t="s">
        <v>14</v>
      </c>
      <c r="E4897" t="s">
        <v>11</v>
      </c>
      <c r="F4897" t="s">
        <v>12</v>
      </c>
      <c r="G4897" t="s">
        <v>13</v>
      </c>
      <c r="H4897" t="s">
        <v>13</v>
      </c>
      <c r="I4897">
        <v>78</v>
      </c>
      <c r="J4897" t="str" cm="1">
        <f t="array" ref="J4897">_xlfn.IFS(ISBLANK(C4897),"FALTANTE",ABS((C4897-$W$5)/$X$5)&gt;1.96,"ATÍPICO",ABS((C4897-$W$5)/$X$5)&lt;=1.96,"NO ATÍPICO")</f>
        <v>NO ATÍPICO</v>
      </c>
      <c r="K4897" t="str" cm="1">
        <f t="array" ref="K4897">_xlfn.IFS(ISBLANK(I4897),"FALTANTE",ABS((I4897-$W$8)/$X$8)&gt;1.92,"ATÍPICO",ABS((I4897-$W$8)/$X$8)&lt;=1.92,"NO ATÍPICO")</f>
        <v>ATÍPICO</v>
      </c>
      <c r="L4897">
        <f t="shared" si="322"/>
        <v>787199</v>
      </c>
      <c r="M4897" t="str">
        <f t="shared" si="322"/>
        <v>PENSIONADOS EN SU PROPIO SISTEMA</v>
      </c>
      <c r="N4897">
        <f t="shared" si="323"/>
        <v>78</v>
      </c>
      <c r="O4897" s="19" t="str">
        <f t="shared" si="324"/>
        <v>600k–900k</v>
      </c>
      <c r="P4897" s="19" t="str">
        <f t="shared" si="325"/>
        <v>56+</v>
      </c>
    </row>
    <row r="4898" spans="1:16" x14ac:dyDescent="0.25">
      <c r="A4898">
        <v>4897</v>
      </c>
      <c r="B4898" t="s">
        <v>9</v>
      </c>
      <c r="C4898">
        <v>230792.07</v>
      </c>
      <c r="D4898" t="s">
        <v>10</v>
      </c>
      <c r="E4898" t="s">
        <v>11</v>
      </c>
      <c r="F4898" t="s">
        <v>12</v>
      </c>
      <c r="G4898" t="s">
        <v>13</v>
      </c>
      <c r="H4898" t="s">
        <v>13</v>
      </c>
      <c r="I4898">
        <v>48</v>
      </c>
      <c r="J4898" t="str" cm="1">
        <f t="array" ref="J4898">_xlfn.IFS(ISBLANK(C4898),"FALTANTE",ABS((C4898-$W$5)/$X$5)&gt;1.96,"ATÍPICO",ABS((C4898-$W$5)/$X$5)&lt;=1.96,"NO ATÍPICO")</f>
        <v>NO ATÍPICO</v>
      </c>
      <c r="K4898" t="str" cm="1">
        <f t="array" ref="K4898">_xlfn.IFS(ISBLANK(I4898),"FALTANTE",ABS((I4898-$W$8)/$X$8)&gt;1.92,"ATÍPICO",ABS((I4898-$W$8)/$X$8)&lt;=1.92,"NO ATÍPICO")</f>
        <v>NO ATÍPICO</v>
      </c>
      <c r="L4898">
        <f t="shared" si="322"/>
        <v>230792.07</v>
      </c>
      <c r="M4898" t="str">
        <f t="shared" si="322"/>
        <v>ASALARIADO</v>
      </c>
      <c r="N4898">
        <f t="shared" si="323"/>
        <v>48</v>
      </c>
      <c r="O4898" s="19" t="str">
        <f t="shared" si="324"/>
        <v>0–300k</v>
      </c>
      <c r="P4898" s="19" t="str">
        <f t="shared" si="325"/>
        <v>46-55</v>
      </c>
    </row>
    <row r="4899" spans="1:16" x14ac:dyDescent="0.25">
      <c r="A4899">
        <v>4898</v>
      </c>
      <c r="B4899" t="s">
        <v>9</v>
      </c>
      <c r="C4899">
        <v>295503</v>
      </c>
      <c r="D4899" t="s">
        <v>10</v>
      </c>
      <c r="E4899" t="s">
        <v>16</v>
      </c>
      <c r="F4899" t="s">
        <v>12</v>
      </c>
      <c r="G4899" t="s">
        <v>13</v>
      </c>
      <c r="H4899" t="s">
        <v>13</v>
      </c>
      <c r="I4899">
        <v>34</v>
      </c>
      <c r="J4899" t="str" cm="1">
        <f t="array" ref="J4899">_xlfn.IFS(ISBLANK(C4899),"FALTANTE",ABS((C4899-$W$5)/$X$5)&gt;1.96,"ATÍPICO",ABS((C4899-$W$5)/$X$5)&lt;=1.96,"NO ATÍPICO")</f>
        <v>NO ATÍPICO</v>
      </c>
      <c r="K4899" t="str" cm="1">
        <f t="array" ref="K4899">_xlfn.IFS(ISBLANK(I4899),"FALTANTE",ABS((I4899-$W$8)/$X$8)&gt;1.92,"ATÍPICO",ABS((I4899-$W$8)/$X$8)&lt;=1.92,"NO ATÍPICO")</f>
        <v>NO ATÍPICO</v>
      </c>
      <c r="L4899">
        <f t="shared" si="322"/>
        <v>295503</v>
      </c>
      <c r="M4899" t="str">
        <f t="shared" si="322"/>
        <v>ASALARIADO</v>
      </c>
      <c r="N4899">
        <f t="shared" si="323"/>
        <v>34</v>
      </c>
      <c r="O4899" s="19" t="str">
        <f t="shared" si="324"/>
        <v>0–300k</v>
      </c>
      <c r="P4899" s="19" t="str">
        <f t="shared" si="325"/>
        <v>26-35</v>
      </c>
    </row>
    <row r="4900" spans="1:16" x14ac:dyDescent="0.25">
      <c r="A4900">
        <v>4899</v>
      </c>
      <c r="B4900" t="s">
        <v>9</v>
      </c>
      <c r="C4900">
        <v>1220204</v>
      </c>
      <c r="D4900" t="s">
        <v>10</v>
      </c>
      <c r="E4900" t="s">
        <v>11</v>
      </c>
      <c r="F4900" t="s">
        <v>12</v>
      </c>
      <c r="G4900" t="s">
        <v>13</v>
      </c>
      <c r="H4900" t="s">
        <v>13</v>
      </c>
      <c r="I4900">
        <v>45</v>
      </c>
      <c r="J4900" t="str" cm="1">
        <f t="array" ref="J4900">_xlfn.IFS(ISBLANK(C4900),"FALTANTE",ABS((C4900-$W$5)/$X$5)&gt;1.96,"ATÍPICO",ABS((C4900-$W$5)/$X$5)&lt;=1.96,"NO ATÍPICO")</f>
        <v>NO ATÍPICO</v>
      </c>
      <c r="K4900" t="str" cm="1">
        <f t="array" ref="K4900">_xlfn.IFS(ISBLANK(I4900),"FALTANTE",ABS((I4900-$W$8)/$X$8)&gt;1.92,"ATÍPICO",ABS((I4900-$W$8)/$X$8)&lt;=1.92,"NO ATÍPICO")</f>
        <v>NO ATÍPICO</v>
      </c>
      <c r="L4900">
        <f t="shared" si="322"/>
        <v>1220204</v>
      </c>
      <c r="M4900" t="str">
        <f t="shared" si="322"/>
        <v>ASALARIADO</v>
      </c>
      <c r="N4900">
        <f t="shared" si="323"/>
        <v>45</v>
      </c>
      <c r="O4900" s="19" t="str">
        <f t="shared" si="324"/>
        <v>1200k+</v>
      </c>
      <c r="P4900" s="19" t="str">
        <f t="shared" si="325"/>
        <v>36-45</v>
      </c>
    </row>
    <row r="4901" spans="1:16" x14ac:dyDescent="0.25">
      <c r="A4901">
        <v>4900</v>
      </c>
      <c r="B4901" t="s">
        <v>9</v>
      </c>
      <c r="C4901">
        <v>639148</v>
      </c>
      <c r="D4901" t="s">
        <v>18</v>
      </c>
      <c r="E4901" t="s">
        <v>16</v>
      </c>
      <c r="F4901" t="s">
        <v>12</v>
      </c>
      <c r="G4901" t="s">
        <v>13</v>
      </c>
      <c r="H4901" t="s">
        <v>12</v>
      </c>
      <c r="I4901">
        <v>60</v>
      </c>
      <c r="J4901" t="str" cm="1">
        <f t="array" ref="J4901">_xlfn.IFS(ISBLANK(C4901),"FALTANTE",ABS((C4901-$W$5)/$X$5)&gt;1.96,"ATÍPICO",ABS((C4901-$W$5)/$X$5)&lt;=1.96,"NO ATÍPICO")</f>
        <v>NO ATÍPICO</v>
      </c>
      <c r="K4901" t="str" cm="1">
        <f t="array" ref="K4901">_xlfn.IFS(ISBLANK(I4901),"FALTANTE",ABS((I4901-$W$8)/$X$8)&gt;1.92,"ATÍPICO",ABS((I4901-$W$8)/$X$8)&lt;=1.92,"NO ATÍPICO")</f>
        <v>NO ATÍPICO</v>
      </c>
      <c r="L4901">
        <f t="shared" si="322"/>
        <v>639148</v>
      </c>
      <c r="M4901" t="str">
        <f t="shared" si="322"/>
        <v>TRABAJADOR INDEPENDIENTE</v>
      </c>
      <c r="N4901">
        <f t="shared" si="323"/>
        <v>60</v>
      </c>
      <c r="O4901" s="19" t="str">
        <f t="shared" si="324"/>
        <v>600k–900k</v>
      </c>
      <c r="P4901" s="19" t="str">
        <f t="shared" si="325"/>
        <v>56+</v>
      </c>
    </row>
    <row r="4902" spans="1:16" x14ac:dyDescent="0.25">
      <c r="A4902">
        <v>4901</v>
      </c>
      <c r="B4902" t="s">
        <v>15</v>
      </c>
      <c r="C4902">
        <v>898639.65</v>
      </c>
      <c r="D4902" t="s">
        <v>10</v>
      </c>
      <c r="E4902" t="s">
        <v>11</v>
      </c>
      <c r="F4902" t="s">
        <v>12</v>
      </c>
      <c r="G4902" t="s">
        <v>13</v>
      </c>
      <c r="H4902" t="s">
        <v>13</v>
      </c>
      <c r="I4902">
        <v>32</v>
      </c>
      <c r="J4902" t="str" cm="1">
        <f t="array" ref="J4902">_xlfn.IFS(ISBLANK(C4902),"FALTANTE",ABS((C4902-$W$5)/$X$5)&gt;1.96,"ATÍPICO",ABS((C4902-$W$5)/$X$5)&lt;=1.96,"NO ATÍPICO")</f>
        <v>NO ATÍPICO</v>
      </c>
      <c r="K4902" t="str" cm="1">
        <f t="array" ref="K4902">_xlfn.IFS(ISBLANK(I4902),"FALTANTE",ABS((I4902-$W$8)/$X$8)&gt;1.92,"ATÍPICO",ABS((I4902-$W$8)/$X$8)&lt;=1.92,"NO ATÍPICO")</f>
        <v>NO ATÍPICO</v>
      </c>
      <c r="L4902">
        <f t="shared" si="322"/>
        <v>898639.65</v>
      </c>
      <c r="M4902" t="str">
        <f t="shared" si="322"/>
        <v>ASALARIADO</v>
      </c>
      <c r="N4902">
        <f t="shared" si="323"/>
        <v>32</v>
      </c>
      <c r="O4902" s="19" t="str">
        <f t="shared" si="324"/>
        <v>600k–900k</v>
      </c>
      <c r="P4902" s="19" t="str">
        <f t="shared" si="325"/>
        <v>26-35</v>
      </c>
    </row>
    <row r="4903" spans="1:16" x14ac:dyDescent="0.25">
      <c r="A4903">
        <v>4902</v>
      </c>
      <c r="B4903" t="s">
        <v>9</v>
      </c>
      <c r="C4903">
        <v>278030</v>
      </c>
      <c r="D4903" t="s">
        <v>19</v>
      </c>
      <c r="E4903" t="s">
        <v>16</v>
      </c>
      <c r="F4903" t="s">
        <v>12</v>
      </c>
      <c r="G4903" t="s">
        <v>13</v>
      </c>
      <c r="H4903" t="s">
        <v>13</v>
      </c>
      <c r="I4903">
        <v>53</v>
      </c>
      <c r="J4903" t="str" cm="1">
        <f t="array" ref="J4903">_xlfn.IFS(ISBLANK(C4903),"FALTANTE",ABS((C4903-$W$5)/$X$5)&gt;1.96,"ATÍPICO",ABS((C4903-$W$5)/$X$5)&lt;=1.96,"NO ATÍPICO")</f>
        <v>NO ATÍPICO</v>
      </c>
      <c r="K4903" t="str" cm="1">
        <f t="array" ref="K4903">_xlfn.IFS(ISBLANK(I4903),"FALTANTE",ABS((I4903-$W$8)/$X$8)&gt;1.92,"ATÍPICO",ABS((I4903-$W$8)/$X$8)&lt;=1.92,"NO ATÍPICO")</f>
        <v>NO ATÍPICO</v>
      </c>
      <c r="L4903">
        <f t="shared" si="322"/>
        <v>278030</v>
      </c>
      <c r="M4903" t="str">
        <f t="shared" si="322"/>
        <v>CONVENIOS ESPECIALES DE TRABAJADORES INDEPENDIENTES</v>
      </c>
      <c r="N4903">
        <f t="shared" si="323"/>
        <v>53</v>
      </c>
      <c r="O4903" s="19" t="str">
        <f t="shared" si="324"/>
        <v>0–300k</v>
      </c>
      <c r="P4903" s="19" t="str">
        <f t="shared" si="325"/>
        <v>46-55</v>
      </c>
    </row>
    <row r="4904" spans="1:16" x14ac:dyDescent="0.25">
      <c r="A4904">
        <v>4903</v>
      </c>
      <c r="B4904" t="s">
        <v>9</v>
      </c>
      <c r="C4904">
        <v>310124</v>
      </c>
      <c r="D4904" t="s">
        <v>18</v>
      </c>
      <c r="E4904" t="s">
        <v>16</v>
      </c>
      <c r="F4904" t="s">
        <v>12</v>
      </c>
      <c r="G4904" t="s">
        <v>13</v>
      </c>
      <c r="H4904" t="s">
        <v>13</v>
      </c>
      <c r="I4904">
        <v>57</v>
      </c>
      <c r="J4904" t="str" cm="1">
        <f t="array" ref="J4904">_xlfn.IFS(ISBLANK(C4904),"FALTANTE",ABS((C4904-$W$5)/$X$5)&gt;1.96,"ATÍPICO",ABS((C4904-$W$5)/$X$5)&lt;=1.96,"NO ATÍPICO")</f>
        <v>NO ATÍPICO</v>
      </c>
      <c r="K4904" t="str" cm="1">
        <f t="array" ref="K4904">_xlfn.IFS(ISBLANK(I4904),"FALTANTE",ABS((I4904-$W$8)/$X$8)&gt;1.92,"ATÍPICO",ABS((I4904-$W$8)/$X$8)&lt;=1.92,"NO ATÍPICO")</f>
        <v>NO ATÍPICO</v>
      </c>
      <c r="L4904">
        <f t="shared" si="322"/>
        <v>310124</v>
      </c>
      <c r="M4904" t="str">
        <f t="shared" si="322"/>
        <v>TRABAJADOR INDEPENDIENTE</v>
      </c>
      <c r="N4904">
        <f t="shared" si="323"/>
        <v>57</v>
      </c>
      <c r="O4904" s="19" t="str">
        <f t="shared" si="324"/>
        <v>300k–600k</v>
      </c>
      <c r="P4904" s="19" t="str">
        <f t="shared" si="325"/>
        <v>56+</v>
      </c>
    </row>
    <row r="4905" spans="1:16" x14ac:dyDescent="0.25">
      <c r="A4905">
        <v>4904</v>
      </c>
      <c r="B4905" t="s">
        <v>9</v>
      </c>
      <c r="C4905">
        <v>991376.88</v>
      </c>
      <c r="D4905" t="s">
        <v>10</v>
      </c>
      <c r="E4905" t="s">
        <v>16</v>
      </c>
      <c r="F4905" t="s">
        <v>12</v>
      </c>
      <c r="G4905" t="s">
        <v>13</v>
      </c>
      <c r="H4905" t="s">
        <v>13</v>
      </c>
      <c r="I4905">
        <v>45</v>
      </c>
      <c r="J4905" t="str" cm="1">
        <f t="array" ref="J4905">_xlfn.IFS(ISBLANK(C4905),"FALTANTE",ABS((C4905-$W$5)/$X$5)&gt;1.96,"ATÍPICO",ABS((C4905-$W$5)/$X$5)&lt;=1.96,"NO ATÍPICO")</f>
        <v>NO ATÍPICO</v>
      </c>
      <c r="K4905" t="str" cm="1">
        <f t="array" ref="K4905">_xlfn.IFS(ISBLANK(I4905),"FALTANTE",ABS((I4905-$W$8)/$X$8)&gt;1.92,"ATÍPICO",ABS((I4905-$W$8)/$X$8)&lt;=1.92,"NO ATÍPICO")</f>
        <v>NO ATÍPICO</v>
      </c>
      <c r="L4905">
        <f t="shared" si="322"/>
        <v>991376.88</v>
      </c>
      <c r="M4905" t="str">
        <f t="shared" si="322"/>
        <v>ASALARIADO</v>
      </c>
      <c r="N4905">
        <f t="shared" si="323"/>
        <v>45</v>
      </c>
      <c r="O4905" s="19" t="str">
        <f t="shared" si="324"/>
        <v>900k–1200k</v>
      </c>
      <c r="P4905" s="19" t="str">
        <f t="shared" si="325"/>
        <v>36-45</v>
      </c>
    </row>
    <row r="4906" spans="1:16" x14ac:dyDescent="0.25">
      <c r="A4906">
        <v>4905</v>
      </c>
      <c r="B4906" t="s">
        <v>9</v>
      </c>
      <c r="C4906">
        <v>308921.96000000002</v>
      </c>
      <c r="D4906" t="s">
        <v>10</v>
      </c>
      <c r="E4906" t="s">
        <v>16</v>
      </c>
      <c r="F4906" t="s">
        <v>12</v>
      </c>
      <c r="G4906" t="s">
        <v>13</v>
      </c>
      <c r="H4906" t="s">
        <v>13</v>
      </c>
      <c r="I4906">
        <v>24</v>
      </c>
      <c r="J4906" t="str" cm="1">
        <f t="array" ref="J4906">_xlfn.IFS(ISBLANK(C4906),"FALTANTE",ABS((C4906-$W$5)/$X$5)&gt;1.96,"ATÍPICO",ABS((C4906-$W$5)/$X$5)&lt;=1.96,"NO ATÍPICO")</f>
        <v>NO ATÍPICO</v>
      </c>
      <c r="K4906" t="str" cm="1">
        <f t="array" ref="K4906">_xlfn.IFS(ISBLANK(I4906),"FALTANTE",ABS((I4906-$W$8)/$X$8)&gt;1.92,"ATÍPICO",ABS((I4906-$W$8)/$X$8)&lt;=1.92,"NO ATÍPICO")</f>
        <v>NO ATÍPICO</v>
      </c>
      <c r="L4906">
        <f t="shared" si="322"/>
        <v>308921.96000000002</v>
      </c>
      <c r="M4906" t="str">
        <f t="shared" si="322"/>
        <v>ASALARIADO</v>
      </c>
      <c r="N4906">
        <f t="shared" si="323"/>
        <v>24</v>
      </c>
      <c r="O4906" s="19" t="str">
        <f t="shared" si="324"/>
        <v>300k–600k</v>
      </c>
      <c r="P4906" s="19" t="str">
        <f t="shared" si="325"/>
        <v>18-25</v>
      </c>
    </row>
    <row r="4907" spans="1:16" x14ac:dyDescent="0.25">
      <c r="A4907">
        <v>4906</v>
      </c>
      <c r="B4907" t="s">
        <v>15</v>
      </c>
      <c r="C4907">
        <v>297046</v>
      </c>
      <c r="D4907" t="s">
        <v>17</v>
      </c>
      <c r="E4907" t="s">
        <v>16</v>
      </c>
      <c r="F4907" t="s">
        <v>12</v>
      </c>
      <c r="G4907" t="s">
        <v>12</v>
      </c>
      <c r="H4907" t="s">
        <v>13</v>
      </c>
      <c r="I4907">
        <v>39</v>
      </c>
      <c r="J4907" t="str" cm="1">
        <f t="array" ref="J4907">_xlfn.IFS(ISBLANK(C4907),"FALTANTE",ABS((C4907-$W$5)/$X$5)&gt;1.96,"ATÍPICO",ABS((C4907-$W$5)/$X$5)&lt;=1.96,"NO ATÍPICO")</f>
        <v>NO ATÍPICO</v>
      </c>
      <c r="K4907" t="str" cm="1">
        <f t="array" ref="K4907">_xlfn.IFS(ISBLANK(I4907),"FALTANTE",ABS((I4907-$W$8)/$X$8)&gt;1.92,"ATÍPICO",ABS((I4907-$W$8)/$X$8)&lt;=1.92,"NO ATÍPICO")</f>
        <v>NO ATÍPICO</v>
      </c>
      <c r="L4907">
        <f t="shared" si="322"/>
        <v>297046</v>
      </c>
      <c r="M4907" t="str">
        <f t="shared" si="322"/>
        <v>ASEGURADO VOLUNTARIO</v>
      </c>
      <c r="N4907">
        <f t="shared" si="323"/>
        <v>39</v>
      </c>
      <c r="O4907" s="19" t="str">
        <f t="shared" si="324"/>
        <v>0–300k</v>
      </c>
      <c r="P4907" s="19" t="str">
        <f t="shared" si="325"/>
        <v>36-45</v>
      </c>
    </row>
    <row r="4908" spans="1:16" x14ac:dyDescent="0.25">
      <c r="A4908">
        <v>4907</v>
      </c>
      <c r="B4908" t="s">
        <v>9</v>
      </c>
      <c r="C4908">
        <v>347568.48</v>
      </c>
      <c r="D4908" t="s">
        <v>10</v>
      </c>
      <c r="E4908" t="s">
        <v>16</v>
      </c>
      <c r="F4908" t="s">
        <v>12</v>
      </c>
      <c r="G4908" t="s">
        <v>13</v>
      </c>
      <c r="H4908" t="s">
        <v>13</v>
      </c>
      <c r="I4908">
        <v>27</v>
      </c>
      <c r="J4908" t="str" cm="1">
        <f t="array" ref="J4908">_xlfn.IFS(ISBLANK(C4908),"FALTANTE",ABS((C4908-$W$5)/$X$5)&gt;1.96,"ATÍPICO",ABS((C4908-$W$5)/$X$5)&lt;=1.96,"NO ATÍPICO")</f>
        <v>NO ATÍPICO</v>
      </c>
      <c r="K4908" t="str" cm="1">
        <f t="array" ref="K4908">_xlfn.IFS(ISBLANK(I4908),"FALTANTE",ABS((I4908-$W$8)/$X$8)&gt;1.92,"ATÍPICO",ABS((I4908-$W$8)/$X$8)&lt;=1.92,"NO ATÍPICO")</f>
        <v>NO ATÍPICO</v>
      </c>
      <c r="L4908">
        <f t="shared" si="322"/>
        <v>347568.48</v>
      </c>
      <c r="M4908" t="str">
        <f t="shared" si="322"/>
        <v>ASALARIADO</v>
      </c>
      <c r="N4908">
        <f t="shared" si="323"/>
        <v>27</v>
      </c>
      <c r="O4908" s="19" t="str">
        <f t="shared" si="324"/>
        <v>300k–600k</v>
      </c>
      <c r="P4908" s="19" t="str">
        <f t="shared" si="325"/>
        <v>26-35</v>
      </c>
    </row>
    <row r="4909" spans="1:16" x14ac:dyDescent="0.25">
      <c r="A4909">
        <v>4908</v>
      </c>
      <c r="B4909" t="s">
        <v>9</v>
      </c>
      <c r="C4909">
        <v>297045</v>
      </c>
      <c r="D4909" t="s">
        <v>18</v>
      </c>
      <c r="E4909" t="s">
        <v>16</v>
      </c>
      <c r="F4909" t="s">
        <v>12</v>
      </c>
      <c r="G4909" t="s">
        <v>13</v>
      </c>
      <c r="H4909" t="s">
        <v>12</v>
      </c>
      <c r="I4909">
        <v>57</v>
      </c>
      <c r="J4909" t="str" cm="1">
        <f t="array" ref="J4909">_xlfn.IFS(ISBLANK(C4909),"FALTANTE",ABS((C4909-$W$5)/$X$5)&gt;1.96,"ATÍPICO",ABS((C4909-$W$5)/$X$5)&lt;=1.96,"NO ATÍPICO")</f>
        <v>NO ATÍPICO</v>
      </c>
      <c r="K4909" t="str" cm="1">
        <f t="array" ref="K4909">_xlfn.IFS(ISBLANK(I4909),"FALTANTE",ABS((I4909-$W$8)/$X$8)&gt;1.92,"ATÍPICO",ABS((I4909-$W$8)/$X$8)&lt;=1.92,"NO ATÍPICO")</f>
        <v>NO ATÍPICO</v>
      </c>
      <c r="L4909">
        <f t="shared" si="322"/>
        <v>297045</v>
      </c>
      <c r="M4909" t="str">
        <f t="shared" si="322"/>
        <v>TRABAJADOR INDEPENDIENTE</v>
      </c>
      <c r="N4909">
        <f t="shared" si="323"/>
        <v>57</v>
      </c>
      <c r="O4909" s="19" t="str">
        <f t="shared" si="324"/>
        <v>0–300k</v>
      </c>
      <c r="P4909" s="19" t="str">
        <f t="shared" si="325"/>
        <v>56+</v>
      </c>
    </row>
    <row r="4910" spans="1:16" x14ac:dyDescent="0.25">
      <c r="A4910">
        <v>4909</v>
      </c>
      <c r="B4910" t="s">
        <v>9</v>
      </c>
      <c r="C4910">
        <v>353906</v>
      </c>
      <c r="D4910" t="s">
        <v>18</v>
      </c>
      <c r="E4910" t="s">
        <v>16</v>
      </c>
      <c r="F4910" t="s">
        <v>12</v>
      </c>
      <c r="G4910" t="s">
        <v>13</v>
      </c>
      <c r="H4910" t="s">
        <v>13</v>
      </c>
      <c r="I4910">
        <v>42</v>
      </c>
      <c r="J4910" t="str" cm="1">
        <f t="array" ref="J4910">_xlfn.IFS(ISBLANK(C4910),"FALTANTE",ABS((C4910-$W$5)/$X$5)&gt;1.96,"ATÍPICO",ABS((C4910-$W$5)/$X$5)&lt;=1.96,"NO ATÍPICO")</f>
        <v>NO ATÍPICO</v>
      </c>
      <c r="K4910" t="str" cm="1">
        <f t="array" ref="K4910">_xlfn.IFS(ISBLANK(I4910),"FALTANTE",ABS((I4910-$W$8)/$X$8)&gt;1.92,"ATÍPICO",ABS((I4910-$W$8)/$X$8)&lt;=1.92,"NO ATÍPICO")</f>
        <v>NO ATÍPICO</v>
      </c>
      <c r="L4910">
        <f t="shared" si="322"/>
        <v>353906</v>
      </c>
      <c r="M4910" t="str">
        <f t="shared" si="322"/>
        <v>TRABAJADOR INDEPENDIENTE</v>
      </c>
      <c r="N4910">
        <f t="shared" si="323"/>
        <v>42</v>
      </c>
      <c r="O4910" s="19" t="str">
        <f t="shared" si="324"/>
        <v>300k–600k</v>
      </c>
      <c r="P4910" s="19" t="str">
        <f t="shared" si="325"/>
        <v>36-45</v>
      </c>
    </row>
    <row r="4911" spans="1:16" x14ac:dyDescent="0.25">
      <c r="A4911">
        <v>4910</v>
      </c>
      <c r="B4911" t="s">
        <v>9</v>
      </c>
      <c r="C4911">
        <v>77230</v>
      </c>
      <c r="D4911" t="s">
        <v>10</v>
      </c>
      <c r="E4911" t="s">
        <v>16</v>
      </c>
      <c r="F4911" t="s">
        <v>12</v>
      </c>
      <c r="G4911" t="s">
        <v>13</v>
      </c>
      <c r="H4911" t="s">
        <v>13</v>
      </c>
      <c r="I4911">
        <v>22</v>
      </c>
      <c r="J4911" t="str" cm="1">
        <f t="array" ref="J4911">_xlfn.IFS(ISBLANK(C4911),"FALTANTE",ABS((C4911-$W$5)/$X$5)&gt;1.96,"ATÍPICO",ABS((C4911-$W$5)/$X$5)&lt;=1.96,"NO ATÍPICO")</f>
        <v>NO ATÍPICO</v>
      </c>
      <c r="K4911" t="str" cm="1">
        <f t="array" ref="K4911">_xlfn.IFS(ISBLANK(I4911),"FALTANTE",ABS((I4911-$W$8)/$X$8)&gt;1.92,"ATÍPICO",ABS((I4911-$W$8)/$X$8)&lt;=1.92,"NO ATÍPICO")</f>
        <v>NO ATÍPICO</v>
      </c>
      <c r="L4911">
        <f t="shared" si="322"/>
        <v>77230</v>
      </c>
      <c r="M4911" t="str">
        <f t="shared" si="322"/>
        <v>ASALARIADO</v>
      </c>
      <c r="N4911">
        <f t="shared" si="323"/>
        <v>22</v>
      </c>
      <c r="O4911" s="19" t="str">
        <f t="shared" si="324"/>
        <v>0–300k</v>
      </c>
      <c r="P4911" s="19" t="str">
        <f t="shared" si="325"/>
        <v>18-25</v>
      </c>
    </row>
    <row r="4912" spans="1:16" x14ac:dyDescent="0.25">
      <c r="A4912">
        <v>4911</v>
      </c>
      <c r="B4912" t="s">
        <v>9</v>
      </c>
      <c r="C4912">
        <v>335206</v>
      </c>
      <c r="D4912" t="s">
        <v>10</v>
      </c>
      <c r="E4912" t="s">
        <v>16</v>
      </c>
      <c r="F4912" t="s">
        <v>12</v>
      </c>
      <c r="G4912" t="s">
        <v>13</v>
      </c>
      <c r="H4912" t="s">
        <v>13</v>
      </c>
      <c r="I4912">
        <v>37</v>
      </c>
      <c r="J4912" t="str" cm="1">
        <f t="array" ref="J4912">_xlfn.IFS(ISBLANK(C4912),"FALTANTE",ABS((C4912-$W$5)/$X$5)&gt;1.96,"ATÍPICO",ABS((C4912-$W$5)/$X$5)&lt;=1.96,"NO ATÍPICO")</f>
        <v>NO ATÍPICO</v>
      </c>
      <c r="K4912" t="str" cm="1">
        <f t="array" ref="K4912">_xlfn.IFS(ISBLANK(I4912),"FALTANTE",ABS((I4912-$W$8)/$X$8)&gt;1.92,"ATÍPICO",ABS((I4912-$W$8)/$X$8)&lt;=1.92,"NO ATÍPICO")</f>
        <v>NO ATÍPICO</v>
      </c>
      <c r="L4912">
        <f t="shared" si="322"/>
        <v>335206</v>
      </c>
      <c r="M4912" t="str">
        <f t="shared" si="322"/>
        <v>ASALARIADO</v>
      </c>
      <c r="N4912">
        <f t="shared" si="323"/>
        <v>37</v>
      </c>
      <c r="O4912" s="19" t="str">
        <f t="shared" si="324"/>
        <v>300k–600k</v>
      </c>
      <c r="P4912" s="19" t="str">
        <f t="shared" si="325"/>
        <v>36-45</v>
      </c>
    </row>
    <row r="4913" spans="1:16" x14ac:dyDescent="0.25">
      <c r="A4913">
        <v>4912</v>
      </c>
      <c r="B4913" t="s">
        <v>9</v>
      </c>
      <c r="C4913">
        <v>328196</v>
      </c>
      <c r="D4913" t="s">
        <v>18</v>
      </c>
      <c r="E4913" t="s">
        <v>16</v>
      </c>
      <c r="F4913" t="s">
        <v>12</v>
      </c>
      <c r="G4913" t="s">
        <v>12</v>
      </c>
      <c r="H4913" t="s">
        <v>12</v>
      </c>
      <c r="I4913">
        <v>37</v>
      </c>
      <c r="J4913" t="str" cm="1">
        <f t="array" ref="J4913">_xlfn.IFS(ISBLANK(C4913),"FALTANTE",ABS((C4913-$W$5)/$X$5)&gt;1.96,"ATÍPICO",ABS((C4913-$W$5)/$X$5)&lt;=1.96,"NO ATÍPICO")</f>
        <v>NO ATÍPICO</v>
      </c>
      <c r="K4913" t="str" cm="1">
        <f t="array" ref="K4913">_xlfn.IFS(ISBLANK(I4913),"FALTANTE",ABS((I4913-$W$8)/$X$8)&gt;1.92,"ATÍPICO",ABS((I4913-$W$8)/$X$8)&lt;=1.92,"NO ATÍPICO")</f>
        <v>NO ATÍPICO</v>
      </c>
      <c r="L4913">
        <f t="shared" si="322"/>
        <v>328196</v>
      </c>
      <c r="M4913" t="str">
        <f t="shared" si="322"/>
        <v>TRABAJADOR INDEPENDIENTE</v>
      </c>
      <c r="N4913">
        <f t="shared" si="323"/>
        <v>37</v>
      </c>
      <c r="O4913" s="19" t="str">
        <f t="shared" si="324"/>
        <v>300k–600k</v>
      </c>
      <c r="P4913" s="19" t="str">
        <f t="shared" si="325"/>
        <v>36-45</v>
      </c>
    </row>
    <row r="4914" spans="1:16" x14ac:dyDescent="0.25">
      <c r="A4914">
        <v>4913</v>
      </c>
      <c r="B4914" t="s">
        <v>15</v>
      </c>
      <c r="C4914">
        <v>1354854</v>
      </c>
      <c r="D4914" t="s">
        <v>10</v>
      </c>
      <c r="E4914" t="s">
        <v>11</v>
      </c>
      <c r="F4914" t="s">
        <v>12</v>
      </c>
      <c r="G4914" t="s">
        <v>13</v>
      </c>
      <c r="H4914" t="s">
        <v>12</v>
      </c>
      <c r="I4914">
        <v>42</v>
      </c>
      <c r="J4914" t="str" cm="1">
        <f t="array" ref="J4914">_xlfn.IFS(ISBLANK(C4914),"FALTANTE",ABS((C4914-$W$5)/$X$5)&gt;1.96,"ATÍPICO",ABS((C4914-$W$5)/$X$5)&lt;=1.96,"NO ATÍPICO")</f>
        <v>NO ATÍPICO</v>
      </c>
      <c r="K4914" t="str" cm="1">
        <f t="array" ref="K4914">_xlfn.IFS(ISBLANK(I4914),"FALTANTE",ABS((I4914-$W$8)/$X$8)&gt;1.92,"ATÍPICO",ABS((I4914-$W$8)/$X$8)&lt;=1.92,"NO ATÍPICO")</f>
        <v>NO ATÍPICO</v>
      </c>
      <c r="L4914">
        <f t="shared" si="322"/>
        <v>1354854</v>
      </c>
      <c r="M4914" t="str">
        <f t="shared" si="322"/>
        <v>ASALARIADO</v>
      </c>
      <c r="N4914">
        <f t="shared" si="323"/>
        <v>42</v>
      </c>
      <c r="O4914" s="19" t="str">
        <f t="shared" si="324"/>
        <v>1200k+</v>
      </c>
      <c r="P4914" s="19" t="str">
        <f t="shared" si="325"/>
        <v>36-45</v>
      </c>
    </row>
    <row r="4915" spans="1:16" x14ac:dyDescent="0.25">
      <c r="A4915">
        <v>4914</v>
      </c>
      <c r="B4915" t="s">
        <v>15</v>
      </c>
      <c r="C4915">
        <v>2021471.57</v>
      </c>
      <c r="D4915" t="s">
        <v>10</v>
      </c>
      <c r="E4915" t="s">
        <v>11</v>
      </c>
      <c r="F4915" t="s">
        <v>12</v>
      </c>
      <c r="G4915" t="s">
        <v>13</v>
      </c>
      <c r="H4915" t="s">
        <v>13</v>
      </c>
      <c r="I4915">
        <v>38</v>
      </c>
      <c r="J4915" t="str" cm="1">
        <f t="array" ref="J4915">_xlfn.IFS(ISBLANK(C4915),"FALTANTE",ABS((C4915-$W$5)/$X$5)&gt;1.96,"ATÍPICO",ABS((C4915-$W$5)/$X$5)&lt;=1.96,"NO ATÍPICO")</f>
        <v>NO ATÍPICO</v>
      </c>
      <c r="K4915" t="str" cm="1">
        <f t="array" ref="K4915">_xlfn.IFS(ISBLANK(I4915),"FALTANTE",ABS((I4915-$W$8)/$X$8)&gt;1.92,"ATÍPICO",ABS((I4915-$W$8)/$X$8)&lt;=1.92,"NO ATÍPICO")</f>
        <v>NO ATÍPICO</v>
      </c>
      <c r="L4915">
        <f t="shared" si="322"/>
        <v>2021471.57</v>
      </c>
      <c r="M4915" t="str">
        <f t="shared" si="322"/>
        <v>ASALARIADO</v>
      </c>
      <c r="N4915">
        <f t="shared" si="323"/>
        <v>38</v>
      </c>
      <c r="O4915" s="19" t="str">
        <f t="shared" si="324"/>
        <v>1200k+</v>
      </c>
      <c r="P4915" s="19" t="str">
        <f t="shared" si="325"/>
        <v>36-45</v>
      </c>
    </row>
    <row r="4916" spans="1:16" x14ac:dyDescent="0.25">
      <c r="A4916">
        <v>4915</v>
      </c>
      <c r="B4916" t="s">
        <v>9</v>
      </c>
      <c r="C4916">
        <v>2753365.06</v>
      </c>
      <c r="D4916" t="s">
        <v>10</v>
      </c>
      <c r="E4916" t="s">
        <v>11</v>
      </c>
      <c r="F4916" t="s">
        <v>12</v>
      </c>
      <c r="G4916" t="s">
        <v>13</v>
      </c>
      <c r="H4916" t="s">
        <v>13</v>
      </c>
      <c r="I4916">
        <v>27</v>
      </c>
      <c r="J4916" t="str" cm="1">
        <f t="array" ref="J4916">_xlfn.IFS(ISBLANK(C4916),"FALTANTE",ABS((C4916-$W$5)/$X$5)&gt;1.96,"ATÍPICO",ABS((C4916-$W$5)/$X$5)&lt;=1.96,"NO ATÍPICO")</f>
        <v>ATÍPICO</v>
      </c>
      <c r="K4916" t="str" cm="1">
        <f t="array" ref="K4916">_xlfn.IFS(ISBLANK(I4916),"FALTANTE",ABS((I4916-$W$8)/$X$8)&gt;1.92,"ATÍPICO",ABS((I4916-$W$8)/$X$8)&lt;=1.92,"NO ATÍPICO")</f>
        <v>NO ATÍPICO</v>
      </c>
      <c r="L4916">
        <f t="shared" si="322"/>
        <v>2753365.06</v>
      </c>
      <c r="M4916" t="str">
        <f t="shared" si="322"/>
        <v>ASALARIADO</v>
      </c>
      <c r="N4916">
        <f t="shared" si="323"/>
        <v>27</v>
      </c>
      <c r="O4916" s="19" t="str">
        <f t="shared" si="324"/>
        <v>1200k+</v>
      </c>
      <c r="P4916" s="19" t="str">
        <f t="shared" si="325"/>
        <v>26-35</v>
      </c>
    </row>
    <row r="4917" spans="1:16" x14ac:dyDescent="0.25">
      <c r="A4917">
        <v>4916</v>
      </c>
      <c r="B4917" t="s">
        <v>9</v>
      </c>
      <c r="C4917">
        <v>242000</v>
      </c>
      <c r="D4917" t="s">
        <v>10</v>
      </c>
      <c r="E4917" t="s">
        <v>16</v>
      </c>
      <c r="F4917" t="s">
        <v>12</v>
      </c>
      <c r="G4917" t="s">
        <v>13</v>
      </c>
      <c r="H4917" t="s">
        <v>13</v>
      </c>
      <c r="I4917">
        <v>22</v>
      </c>
      <c r="J4917" t="str" cm="1">
        <f t="array" ref="J4917">_xlfn.IFS(ISBLANK(C4917),"FALTANTE",ABS((C4917-$W$5)/$X$5)&gt;1.96,"ATÍPICO",ABS((C4917-$W$5)/$X$5)&lt;=1.96,"NO ATÍPICO")</f>
        <v>NO ATÍPICO</v>
      </c>
      <c r="K4917" t="str" cm="1">
        <f t="array" ref="K4917">_xlfn.IFS(ISBLANK(I4917),"FALTANTE",ABS((I4917-$W$8)/$X$8)&gt;1.92,"ATÍPICO",ABS((I4917-$W$8)/$X$8)&lt;=1.92,"NO ATÍPICO")</f>
        <v>NO ATÍPICO</v>
      </c>
      <c r="L4917">
        <f t="shared" si="322"/>
        <v>242000</v>
      </c>
      <c r="M4917" t="str">
        <f t="shared" si="322"/>
        <v>ASALARIADO</v>
      </c>
      <c r="N4917">
        <f t="shared" si="323"/>
        <v>22</v>
      </c>
      <c r="O4917" s="19" t="str">
        <f t="shared" si="324"/>
        <v>0–300k</v>
      </c>
      <c r="P4917" s="19" t="str">
        <f t="shared" si="325"/>
        <v>18-25</v>
      </c>
    </row>
    <row r="4918" spans="1:16" x14ac:dyDescent="0.25">
      <c r="A4918">
        <v>4917</v>
      </c>
      <c r="B4918" t="s">
        <v>15</v>
      </c>
      <c r="C4918">
        <v>278030</v>
      </c>
      <c r="D4918" t="s">
        <v>17</v>
      </c>
      <c r="E4918" t="s">
        <v>16</v>
      </c>
      <c r="F4918" t="s">
        <v>12</v>
      </c>
      <c r="G4918" t="s">
        <v>13</v>
      </c>
      <c r="H4918" t="s">
        <v>13</v>
      </c>
      <c r="I4918">
        <v>60</v>
      </c>
      <c r="J4918" t="str" cm="1">
        <f t="array" ref="J4918">_xlfn.IFS(ISBLANK(C4918),"FALTANTE",ABS((C4918-$W$5)/$X$5)&gt;1.96,"ATÍPICO",ABS((C4918-$W$5)/$X$5)&lt;=1.96,"NO ATÍPICO")</f>
        <v>NO ATÍPICO</v>
      </c>
      <c r="K4918" t="str" cm="1">
        <f t="array" ref="K4918">_xlfn.IFS(ISBLANK(I4918),"FALTANTE",ABS((I4918-$W$8)/$X$8)&gt;1.92,"ATÍPICO",ABS((I4918-$W$8)/$X$8)&lt;=1.92,"NO ATÍPICO")</f>
        <v>NO ATÍPICO</v>
      </c>
      <c r="L4918">
        <f t="shared" si="322"/>
        <v>278030</v>
      </c>
      <c r="M4918" t="str">
        <f t="shared" si="322"/>
        <v>ASEGURADO VOLUNTARIO</v>
      </c>
      <c r="N4918">
        <f t="shared" si="323"/>
        <v>60</v>
      </c>
      <c r="O4918" s="19" t="str">
        <f t="shared" si="324"/>
        <v>0–300k</v>
      </c>
      <c r="P4918" s="19" t="str">
        <f t="shared" si="325"/>
        <v>56+</v>
      </c>
    </row>
    <row r="4919" spans="1:16" x14ac:dyDescent="0.25">
      <c r="A4919">
        <v>4918</v>
      </c>
      <c r="B4919" t="s">
        <v>9</v>
      </c>
      <c r="C4919">
        <v>370681.59999999998</v>
      </c>
      <c r="D4919" t="s">
        <v>10</v>
      </c>
      <c r="E4919" t="s">
        <v>16</v>
      </c>
      <c r="F4919" t="s">
        <v>12</v>
      </c>
      <c r="G4919" t="s">
        <v>13</v>
      </c>
      <c r="H4919" t="s">
        <v>13</v>
      </c>
      <c r="I4919">
        <v>28</v>
      </c>
      <c r="J4919" t="str" cm="1">
        <f t="array" ref="J4919">_xlfn.IFS(ISBLANK(C4919),"FALTANTE",ABS((C4919-$W$5)/$X$5)&gt;1.96,"ATÍPICO",ABS((C4919-$W$5)/$X$5)&lt;=1.96,"NO ATÍPICO")</f>
        <v>NO ATÍPICO</v>
      </c>
      <c r="K4919" t="str" cm="1">
        <f t="array" ref="K4919">_xlfn.IFS(ISBLANK(I4919),"FALTANTE",ABS((I4919-$W$8)/$X$8)&gt;1.92,"ATÍPICO",ABS((I4919-$W$8)/$X$8)&lt;=1.92,"NO ATÍPICO")</f>
        <v>NO ATÍPICO</v>
      </c>
      <c r="L4919">
        <f t="shared" si="322"/>
        <v>370681.59999999998</v>
      </c>
      <c r="M4919" t="str">
        <f t="shared" si="322"/>
        <v>ASALARIADO</v>
      </c>
      <c r="N4919">
        <f t="shared" si="323"/>
        <v>28</v>
      </c>
      <c r="O4919" s="19" t="str">
        <f t="shared" si="324"/>
        <v>300k–600k</v>
      </c>
      <c r="P4919" s="19" t="str">
        <f t="shared" si="325"/>
        <v>26-35</v>
      </c>
    </row>
    <row r="4920" spans="1:16" x14ac:dyDescent="0.25">
      <c r="A4920">
        <v>4919</v>
      </c>
      <c r="B4920" t="s">
        <v>9</v>
      </c>
      <c r="C4920">
        <v>195150</v>
      </c>
      <c r="D4920" t="s">
        <v>10</v>
      </c>
      <c r="E4920" t="s">
        <v>16</v>
      </c>
      <c r="F4920" t="s">
        <v>12</v>
      </c>
      <c r="G4920" t="s">
        <v>13</v>
      </c>
      <c r="H4920" t="s">
        <v>13</v>
      </c>
      <c r="I4920">
        <v>36</v>
      </c>
      <c r="J4920" t="str" cm="1">
        <f t="array" ref="J4920">_xlfn.IFS(ISBLANK(C4920),"FALTANTE",ABS((C4920-$W$5)/$X$5)&gt;1.96,"ATÍPICO",ABS((C4920-$W$5)/$X$5)&lt;=1.96,"NO ATÍPICO")</f>
        <v>NO ATÍPICO</v>
      </c>
      <c r="K4920" t="str" cm="1">
        <f t="array" ref="K4920">_xlfn.IFS(ISBLANK(I4920),"FALTANTE",ABS((I4920-$W$8)/$X$8)&gt;1.92,"ATÍPICO",ABS((I4920-$W$8)/$X$8)&lt;=1.92,"NO ATÍPICO")</f>
        <v>NO ATÍPICO</v>
      </c>
      <c r="L4920">
        <f t="shared" si="322"/>
        <v>195150</v>
      </c>
      <c r="M4920" t="str">
        <f t="shared" si="322"/>
        <v>ASALARIADO</v>
      </c>
      <c r="N4920">
        <f t="shared" si="323"/>
        <v>36</v>
      </c>
      <c r="O4920" s="19" t="str">
        <f t="shared" si="324"/>
        <v>0–300k</v>
      </c>
      <c r="P4920" s="19" t="str">
        <f t="shared" si="325"/>
        <v>36-45</v>
      </c>
    </row>
    <row r="4921" spans="1:16" x14ac:dyDescent="0.25">
      <c r="A4921">
        <v>4920</v>
      </c>
      <c r="B4921" t="s">
        <v>9</v>
      </c>
      <c r="C4921">
        <v>404463</v>
      </c>
      <c r="D4921" t="s">
        <v>18</v>
      </c>
      <c r="E4921" t="s">
        <v>16</v>
      </c>
      <c r="F4921" t="s">
        <v>12</v>
      </c>
      <c r="G4921" t="s">
        <v>13</v>
      </c>
      <c r="H4921" t="s">
        <v>13</v>
      </c>
      <c r="I4921">
        <v>43</v>
      </c>
      <c r="J4921" t="str" cm="1">
        <f t="array" ref="J4921">_xlfn.IFS(ISBLANK(C4921),"FALTANTE",ABS((C4921-$W$5)/$X$5)&gt;1.96,"ATÍPICO",ABS((C4921-$W$5)/$X$5)&lt;=1.96,"NO ATÍPICO")</f>
        <v>NO ATÍPICO</v>
      </c>
      <c r="K4921" t="str" cm="1">
        <f t="array" ref="K4921">_xlfn.IFS(ISBLANK(I4921),"FALTANTE",ABS((I4921-$W$8)/$X$8)&gt;1.92,"ATÍPICO",ABS((I4921-$W$8)/$X$8)&lt;=1.92,"NO ATÍPICO")</f>
        <v>NO ATÍPICO</v>
      </c>
      <c r="L4921">
        <f t="shared" si="322"/>
        <v>404463</v>
      </c>
      <c r="M4921" t="str">
        <f t="shared" si="322"/>
        <v>TRABAJADOR INDEPENDIENTE</v>
      </c>
      <c r="N4921">
        <f t="shared" si="323"/>
        <v>43</v>
      </c>
      <c r="O4921" s="19" t="str">
        <f t="shared" si="324"/>
        <v>300k–600k</v>
      </c>
      <c r="P4921" s="19" t="str">
        <f t="shared" si="325"/>
        <v>36-45</v>
      </c>
    </row>
    <row r="4922" spans="1:16" x14ac:dyDescent="0.25">
      <c r="A4922">
        <v>4921</v>
      </c>
      <c r="B4922" t="s">
        <v>9</v>
      </c>
      <c r="C4922">
        <v>581349.26</v>
      </c>
      <c r="D4922" t="s">
        <v>10</v>
      </c>
      <c r="E4922" t="s">
        <v>16</v>
      </c>
      <c r="F4922" t="s">
        <v>12</v>
      </c>
      <c r="G4922" t="s">
        <v>13</v>
      </c>
      <c r="H4922" t="s">
        <v>13</v>
      </c>
      <c r="I4922">
        <v>46</v>
      </c>
      <c r="J4922" t="str" cm="1">
        <f t="array" ref="J4922">_xlfn.IFS(ISBLANK(C4922),"FALTANTE",ABS((C4922-$W$5)/$X$5)&gt;1.96,"ATÍPICO",ABS((C4922-$W$5)/$X$5)&lt;=1.96,"NO ATÍPICO")</f>
        <v>NO ATÍPICO</v>
      </c>
      <c r="K4922" t="str" cm="1">
        <f t="array" ref="K4922">_xlfn.IFS(ISBLANK(I4922),"FALTANTE",ABS((I4922-$W$8)/$X$8)&gt;1.92,"ATÍPICO",ABS((I4922-$W$8)/$X$8)&lt;=1.92,"NO ATÍPICO")</f>
        <v>NO ATÍPICO</v>
      </c>
      <c r="L4922">
        <f t="shared" si="322"/>
        <v>581349.26</v>
      </c>
      <c r="M4922" t="str">
        <f t="shared" si="322"/>
        <v>ASALARIADO</v>
      </c>
      <c r="N4922">
        <f t="shared" si="323"/>
        <v>46</v>
      </c>
      <c r="O4922" s="19" t="str">
        <f t="shared" si="324"/>
        <v>300k–600k</v>
      </c>
      <c r="P4922" s="19" t="str">
        <f t="shared" si="325"/>
        <v>46-55</v>
      </c>
    </row>
    <row r="4923" spans="1:16" x14ac:dyDescent="0.25">
      <c r="A4923">
        <v>4922</v>
      </c>
      <c r="B4923" t="s">
        <v>9</v>
      </c>
      <c r="C4923">
        <v>903746</v>
      </c>
      <c r="D4923" t="s">
        <v>10</v>
      </c>
      <c r="E4923" t="s">
        <v>16</v>
      </c>
      <c r="F4923" t="s">
        <v>12</v>
      </c>
      <c r="G4923" t="s">
        <v>13</v>
      </c>
      <c r="H4923" t="s">
        <v>13</v>
      </c>
      <c r="I4923">
        <v>32</v>
      </c>
      <c r="J4923" t="str" cm="1">
        <f t="array" ref="J4923">_xlfn.IFS(ISBLANK(C4923),"FALTANTE",ABS((C4923-$W$5)/$X$5)&gt;1.96,"ATÍPICO",ABS((C4923-$W$5)/$X$5)&lt;=1.96,"NO ATÍPICO")</f>
        <v>NO ATÍPICO</v>
      </c>
      <c r="K4923" t="str" cm="1">
        <f t="array" ref="K4923">_xlfn.IFS(ISBLANK(I4923),"FALTANTE",ABS((I4923-$W$8)/$X$8)&gt;1.92,"ATÍPICO",ABS((I4923-$W$8)/$X$8)&lt;=1.92,"NO ATÍPICO")</f>
        <v>NO ATÍPICO</v>
      </c>
      <c r="L4923">
        <f t="shared" si="322"/>
        <v>903746</v>
      </c>
      <c r="M4923" t="str">
        <f t="shared" si="322"/>
        <v>ASALARIADO</v>
      </c>
      <c r="N4923">
        <f t="shared" si="323"/>
        <v>32</v>
      </c>
      <c r="O4923" s="19" t="str">
        <f t="shared" si="324"/>
        <v>900k–1200k</v>
      </c>
      <c r="P4923" s="19" t="str">
        <f t="shared" si="325"/>
        <v>26-35</v>
      </c>
    </row>
    <row r="4924" spans="1:16" x14ac:dyDescent="0.25">
      <c r="A4924">
        <v>4923</v>
      </c>
      <c r="B4924" t="s">
        <v>9</v>
      </c>
      <c r="C4924">
        <v>278030</v>
      </c>
      <c r="D4924" t="s">
        <v>19</v>
      </c>
      <c r="E4924" t="s">
        <v>16</v>
      </c>
      <c r="F4924" t="s">
        <v>12</v>
      </c>
      <c r="G4924" t="s">
        <v>13</v>
      </c>
      <c r="H4924" t="s">
        <v>13</v>
      </c>
      <c r="I4924">
        <v>69</v>
      </c>
      <c r="J4924" t="str" cm="1">
        <f t="array" ref="J4924">_xlfn.IFS(ISBLANK(C4924),"FALTANTE",ABS((C4924-$W$5)/$X$5)&gt;1.96,"ATÍPICO",ABS((C4924-$W$5)/$X$5)&lt;=1.96,"NO ATÍPICO")</f>
        <v>NO ATÍPICO</v>
      </c>
      <c r="K4924" t="str" cm="1">
        <f t="array" ref="K4924">_xlfn.IFS(ISBLANK(I4924),"FALTANTE",ABS((I4924-$W$8)/$X$8)&gt;1.92,"ATÍPICO",ABS((I4924-$W$8)/$X$8)&lt;=1.92,"NO ATÍPICO")</f>
        <v>NO ATÍPICO</v>
      </c>
      <c r="L4924">
        <f t="shared" si="322"/>
        <v>278030</v>
      </c>
      <c r="M4924" t="str">
        <f t="shared" si="322"/>
        <v>CONVENIOS ESPECIALES DE TRABAJADORES INDEPENDIENTES</v>
      </c>
      <c r="N4924">
        <f t="shared" si="323"/>
        <v>69</v>
      </c>
      <c r="O4924" s="19" t="str">
        <f t="shared" si="324"/>
        <v>0–300k</v>
      </c>
      <c r="P4924" s="19" t="str">
        <f t="shared" si="325"/>
        <v>56+</v>
      </c>
    </row>
    <row r="4925" spans="1:16" x14ac:dyDescent="0.25">
      <c r="A4925">
        <v>4924</v>
      </c>
      <c r="B4925" t="s">
        <v>15</v>
      </c>
      <c r="C4925">
        <v>25000</v>
      </c>
      <c r="D4925" t="s">
        <v>10</v>
      </c>
      <c r="E4925" t="s">
        <v>16</v>
      </c>
      <c r="F4925" t="s">
        <v>12</v>
      </c>
      <c r="G4925" t="s">
        <v>13</v>
      </c>
      <c r="H4925" t="s">
        <v>13</v>
      </c>
      <c r="I4925">
        <v>49</v>
      </c>
      <c r="J4925" t="str" cm="1">
        <f t="array" ref="J4925">_xlfn.IFS(ISBLANK(C4925),"FALTANTE",ABS((C4925-$W$5)/$X$5)&gt;1.96,"ATÍPICO",ABS((C4925-$W$5)/$X$5)&lt;=1.96,"NO ATÍPICO")</f>
        <v>NO ATÍPICO</v>
      </c>
      <c r="K4925" t="str" cm="1">
        <f t="array" ref="K4925">_xlfn.IFS(ISBLANK(I4925),"FALTANTE",ABS((I4925-$W$8)/$X$8)&gt;1.92,"ATÍPICO",ABS((I4925-$W$8)/$X$8)&lt;=1.92,"NO ATÍPICO")</f>
        <v>NO ATÍPICO</v>
      </c>
      <c r="L4925">
        <f t="shared" si="322"/>
        <v>25000</v>
      </c>
      <c r="M4925" t="str">
        <f t="shared" si="322"/>
        <v>ASALARIADO</v>
      </c>
      <c r="N4925">
        <f t="shared" si="323"/>
        <v>49</v>
      </c>
      <c r="O4925" s="19" t="str">
        <f t="shared" si="324"/>
        <v>0–300k</v>
      </c>
      <c r="P4925" s="19" t="str">
        <f t="shared" si="325"/>
        <v>46-55</v>
      </c>
    </row>
    <row r="4926" spans="1:16" x14ac:dyDescent="0.25">
      <c r="A4926">
        <v>4925</v>
      </c>
      <c r="B4926" t="s">
        <v>9</v>
      </c>
      <c r="C4926">
        <v>1558990</v>
      </c>
      <c r="D4926" t="s">
        <v>10</v>
      </c>
      <c r="E4926" t="s">
        <v>11</v>
      </c>
      <c r="F4926" t="s">
        <v>12</v>
      </c>
      <c r="G4926" t="s">
        <v>13</v>
      </c>
      <c r="H4926" t="s">
        <v>13</v>
      </c>
      <c r="I4926">
        <v>43</v>
      </c>
      <c r="J4926" t="str" cm="1">
        <f t="array" ref="J4926">_xlfn.IFS(ISBLANK(C4926),"FALTANTE",ABS((C4926-$W$5)/$X$5)&gt;1.96,"ATÍPICO",ABS((C4926-$W$5)/$X$5)&lt;=1.96,"NO ATÍPICO")</f>
        <v>NO ATÍPICO</v>
      </c>
      <c r="K4926" t="str" cm="1">
        <f t="array" ref="K4926">_xlfn.IFS(ISBLANK(I4926),"FALTANTE",ABS((I4926-$W$8)/$X$8)&gt;1.92,"ATÍPICO",ABS((I4926-$W$8)/$X$8)&lt;=1.92,"NO ATÍPICO")</f>
        <v>NO ATÍPICO</v>
      </c>
      <c r="L4926">
        <f t="shared" si="322"/>
        <v>1558990</v>
      </c>
      <c r="M4926" t="str">
        <f t="shared" si="322"/>
        <v>ASALARIADO</v>
      </c>
      <c r="N4926">
        <f t="shared" si="323"/>
        <v>43</v>
      </c>
      <c r="O4926" s="19" t="str">
        <f t="shared" si="324"/>
        <v>1200k+</v>
      </c>
      <c r="P4926" s="19" t="str">
        <f t="shared" si="325"/>
        <v>36-45</v>
      </c>
    </row>
    <row r="4927" spans="1:16" x14ac:dyDescent="0.25">
      <c r="A4927">
        <v>4926</v>
      </c>
      <c r="B4927" t="s">
        <v>9</v>
      </c>
      <c r="C4927">
        <v>1177435.8899999999</v>
      </c>
      <c r="D4927" t="s">
        <v>10</v>
      </c>
      <c r="E4927" t="s">
        <v>16</v>
      </c>
      <c r="F4927" t="s">
        <v>12</v>
      </c>
      <c r="G4927" t="s">
        <v>13</v>
      </c>
      <c r="H4927" t="s">
        <v>13</v>
      </c>
      <c r="I4927">
        <v>28</v>
      </c>
      <c r="J4927" t="str" cm="1">
        <f t="array" ref="J4927">_xlfn.IFS(ISBLANK(C4927),"FALTANTE",ABS((C4927-$W$5)/$X$5)&gt;1.96,"ATÍPICO",ABS((C4927-$W$5)/$X$5)&lt;=1.96,"NO ATÍPICO")</f>
        <v>NO ATÍPICO</v>
      </c>
      <c r="K4927" t="str" cm="1">
        <f t="array" ref="K4927">_xlfn.IFS(ISBLANK(I4927),"FALTANTE",ABS((I4927-$W$8)/$X$8)&gt;1.92,"ATÍPICO",ABS((I4927-$W$8)/$X$8)&lt;=1.92,"NO ATÍPICO")</f>
        <v>NO ATÍPICO</v>
      </c>
      <c r="L4927">
        <f t="shared" si="322"/>
        <v>1177435.8899999999</v>
      </c>
      <c r="M4927" t="str">
        <f t="shared" si="322"/>
        <v>ASALARIADO</v>
      </c>
      <c r="N4927">
        <f t="shared" si="323"/>
        <v>28</v>
      </c>
      <c r="O4927" s="19" t="str">
        <f t="shared" si="324"/>
        <v>900k–1200k</v>
      </c>
      <c r="P4927" s="19" t="str">
        <f t="shared" si="325"/>
        <v>26-35</v>
      </c>
    </row>
    <row r="4928" spans="1:16" x14ac:dyDescent="0.25">
      <c r="A4928">
        <v>4927</v>
      </c>
      <c r="B4928" t="s">
        <v>15</v>
      </c>
      <c r="C4928">
        <v>199760.73</v>
      </c>
      <c r="D4928" t="s">
        <v>10</v>
      </c>
      <c r="E4928" t="s">
        <v>16</v>
      </c>
      <c r="F4928" t="s">
        <v>12</v>
      </c>
      <c r="G4928" t="s">
        <v>13</v>
      </c>
      <c r="H4928" t="s">
        <v>13</v>
      </c>
      <c r="I4928">
        <v>46</v>
      </c>
      <c r="J4928" t="str" cm="1">
        <f t="array" ref="J4928">_xlfn.IFS(ISBLANK(C4928),"FALTANTE",ABS((C4928-$W$5)/$X$5)&gt;1.96,"ATÍPICO",ABS((C4928-$W$5)/$X$5)&lt;=1.96,"NO ATÍPICO")</f>
        <v>NO ATÍPICO</v>
      </c>
      <c r="K4928" t="str" cm="1">
        <f t="array" ref="K4928">_xlfn.IFS(ISBLANK(I4928),"FALTANTE",ABS((I4928-$W$8)/$X$8)&gt;1.92,"ATÍPICO",ABS((I4928-$W$8)/$X$8)&lt;=1.92,"NO ATÍPICO")</f>
        <v>NO ATÍPICO</v>
      </c>
      <c r="L4928">
        <f t="shared" si="322"/>
        <v>199760.73</v>
      </c>
      <c r="M4928" t="str">
        <f t="shared" si="322"/>
        <v>ASALARIADO</v>
      </c>
      <c r="N4928">
        <f t="shared" si="323"/>
        <v>46</v>
      </c>
      <c r="O4928" s="19" t="str">
        <f t="shared" si="324"/>
        <v>0–300k</v>
      </c>
      <c r="P4928" s="19" t="str">
        <f t="shared" si="325"/>
        <v>46-55</v>
      </c>
    </row>
    <row r="4929" spans="1:16" x14ac:dyDescent="0.25">
      <c r="A4929">
        <v>4928</v>
      </c>
      <c r="B4929" t="s">
        <v>9</v>
      </c>
      <c r="C4929">
        <v>827454</v>
      </c>
      <c r="D4929" t="s">
        <v>10</v>
      </c>
      <c r="E4929" t="s">
        <v>16</v>
      </c>
      <c r="F4929" t="s">
        <v>12</v>
      </c>
      <c r="G4929" t="s">
        <v>13</v>
      </c>
      <c r="H4929" t="s">
        <v>13</v>
      </c>
      <c r="I4929">
        <v>22</v>
      </c>
      <c r="J4929" t="str" cm="1">
        <f t="array" ref="J4929">_xlfn.IFS(ISBLANK(C4929),"FALTANTE",ABS((C4929-$W$5)/$X$5)&gt;1.96,"ATÍPICO",ABS((C4929-$W$5)/$X$5)&lt;=1.96,"NO ATÍPICO")</f>
        <v>NO ATÍPICO</v>
      </c>
      <c r="K4929" t="str" cm="1">
        <f t="array" ref="K4929">_xlfn.IFS(ISBLANK(I4929),"FALTANTE",ABS((I4929-$W$8)/$X$8)&gt;1.92,"ATÍPICO",ABS((I4929-$W$8)/$X$8)&lt;=1.92,"NO ATÍPICO")</f>
        <v>NO ATÍPICO</v>
      </c>
      <c r="L4929">
        <f t="shared" si="322"/>
        <v>827454</v>
      </c>
      <c r="M4929" t="str">
        <f t="shared" si="322"/>
        <v>ASALARIADO</v>
      </c>
      <c r="N4929">
        <f t="shared" si="323"/>
        <v>22</v>
      </c>
      <c r="O4929" s="19" t="str">
        <f t="shared" si="324"/>
        <v>600k–900k</v>
      </c>
      <c r="P4929" s="19" t="str">
        <f t="shared" si="325"/>
        <v>18-25</v>
      </c>
    </row>
    <row r="4930" spans="1:16" x14ac:dyDescent="0.25">
      <c r="A4930">
        <v>4929</v>
      </c>
      <c r="B4930" t="s">
        <v>9</v>
      </c>
      <c r="C4930">
        <v>297045</v>
      </c>
      <c r="D4930" t="s">
        <v>17</v>
      </c>
      <c r="E4930" t="s">
        <v>16</v>
      </c>
      <c r="F4930" t="s">
        <v>12</v>
      </c>
      <c r="G4930" t="s">
        <v>13</v>
      </c>
      <c r="H4930" t="s">
        <v>13</v>
      </c>
      <c r="I4930">
        <v>59</v>
      </c>
      <c r="J4930" t="str" cm="1">
        <f t="array" ref="J4930">_xlfn.IFS(ISBLANK(C4930),"FALTANTE",ABS((C4930-$W$5)/$X$5)&gt;1.96,"ATÍPICO",ABS((C4930-$W$5)/$X$5)&lt;=1.96,"NO ATÍPICO")</f>
        <v>NO ATÍPICO</v>
      </c>
      <c r="K4930" t="str" cm="1">
        <f t="array" ref="K4930">_xlfn.IFS(ISBLANK(I4930),"FALTANTE",ABS((I4930-$W$8)/$X$8)&gt;1.92,"ATÍPICO",ABS((I4930-$W$8)/$X$8)&lt;=1.92,"NO ATÍPICO")</f>
        <v>NO ATÍPICO</v>
      </c>
      <c r="L4930">
        <f t="shared" ref="L4930:M4993" si="326">C4930</f>
        <v>297045</v>
      </c>
      <c r="M4930" t="str">
        <f t="shared" si="326"/>
        <v>ASEGURADO VOLUNTARIO</v>
      </c>
      <c r="N4930">
        <f t="shared" ref="N4930:N4993" si="327">I4930</f>
        <v>59</v>
      </c>
      <c r="O4930" s="19" t="str">
        <f t="shared" ref="O4930:O4993" si="328">IF(L4930&lt;=300000,"0–300k",IF(L4930&lt;=600000,"300k–600k",IF(L4930&lt;=900000,"600k–900k",IF(L4930&lt;=1200000,"900k–1200k","1200k+"))))</f>
        <v>0–300k</v>
      </c>
      <c r="P4930" s="19" t="str">
        <f t="shared" ref="P4930:P4993" si="329">IF(N4930 &lt;=25,"18-25", IF(N4930&lt;=35,"26-35", IF(N4930 &lt;=45,"36-45", IF(N4930&lt;=55,"46-55","56+"))))</f>
        <v>56+</v>
      </c>
    </row>
    <row r="4931" spans="1:16" x14ac:dyDescent="0.25">
      <c r="A4931">
        <v>4930</v>
      </c>
      <c r="B4931" t="s">
        <v>9</v>
      </c>
      <c r="C4931">
        <v>842792.5</v>
      </c>
      <c r="D4931" t="s">
        <v>10</v>
      </c>
      <c r="E4931" t="s">
        <v>11</v>
      </c>
      <c r="F4931" t="s">
        <v>12</v>
      </c>
      <c r="G4931" t="s">
        <v>13</v>
      </c>
      <c r="H4931" t="s">
        <v>13</v>
      </c>
      <c r="I4931">
        <v>33</v>
      </c>
      <c r="J4931" t="str" cm="1">
        <f t="array" ref="J4931">_xlfn.IFS(ISBLANK(C4931),"FALTANTE",ABS((C4931-$W$5)/$X$5)&gt;1.96,"ATÍPICO",ABS((C4931-$W$5)/$X$5)&lt;=1.96,"NO ATÍPICO")</f>
        <v>NO ATÍPICO</v>
      </c>
      <c r="K4931" t="str" cm="1">
        <f t="array" ref="K4931">_xlfn.IFS(ISBLANK(I4931),"FALTANTE",ABS((I4931-$W$8)/$X$8)&gt;1.92,"ATÍPICO",ABS((I4931-$W$8)/$X$8)&lt;=1.92,"NO ATÍPICO")</f>
        <v>NO ATÍPICO</v>
      </c>
      <c r="L4931">
        <f t="shared" si="326"/>
        <v>842792.5</v>
      </c>
      <c r="M4931" t="str">
        <f t="shared" si="326"/>
        <v>ASALARIADO</v>
      </c>
      <c r="N4931">
        <f t="shared" si="327"/>
        <v>33</v>
      </c>
      <c r="O4931" s="19" t="str">
        <f t="shared" si="328"/>
        <v>600k–900k</v>
      </c>
      <c r="P4931" s="19" t="str">
        <f t="shared" si="329"/>
        <v>26-35</v>
      </c>
    </row>
    <row r="4932" spans="1:16" x14ac:dyDescent="0.25">
      <c r="A4932">
        <v>4931</v>
      </c>
      <c r="B4932" t="s">
        <v>15</v>
      </c>
      <c r="C4932">
        <v>297046</v>
      </c>
      <c r="D4932" t="s">
        <v>17</v>
      </c>
      <c r="E4932" t="s">
        <v>16</v>
      </c>
      <c r="F4932" t="s">
        <v>12</v>
      </c>
      <c r="G4932" t="s">
        <v>12</v>
      </c>
      <c r="H4932" t="s">
        <v>13</v>
      </c>
      <c r="I4932">
        <v>33</v>
      </c>
      <c r="J4932" t="str" cm="1">
        <f t="array" ref="J4932">_xlfn.IFS(ISBLANK(C4932),"FALTANTE",ABS((C4932-$W$5)/$X$5)&gt;1.96,"ATÍPICO",ABS((C4932-$W$5)/$X$5)&lt;=1.96,"NO ATÍPICO")</f>
        <v>NO ATÍPICO</v>
      </c>
      <c r="K4932" t="str" cm="1">
        <f t="array" ref="K4932">_xlfn.IFS(ISBLANK(I4932),"FALTANTE",ABS((I4932-$W$8)/$X$8)&gt;1.92,"ATÍPICO",ABS((I4932-$W$8)/$X$8)&lt;=1.92,"NO ATÍPICO")</f>
        <v>NO ATÍPICO</v>
      </c>
      <c r="L4932">
        <f t="shared" si="326"/>
        <v>297046</v>
      </c>
      <c r="M4932" t="str">
        <f t="shared" si="326"/>
        <v>ASEGURADO VOLUNTARIO</v>
      </c>
      <c r="N4932">
        <f t="shared" si="327"/>
        <v>33</v>
      </c>
      <c r="O4932" s="19" t="str">
        <f t="shared" si="328"/>
        <v>0–300k</v>
      </c>
      <c r="P4932" s="19" t="str">
        <f t="shared" si="329"/>
        <v>26-35</v>
      </c>
    </row>
    <row r="4933" spans="1:16" x14ac:dyDescent="0.25">
      <c r="A4933">
        <v>4932</v>
      </c>
      <c r="B4933" t="s">
        <v>9</v>
      </c>
      <c r="C4933">
        <v>268990.86</v>
      </c>
      <c r="D4933" t="s">
        <v>10</v>
      </c>
      <c r="E4933" t="s">
        <v>16</v>
      </c>
      <c r="F4933" t="s">
        <v>12</v>
      </c>
      <c r="G4933" t="s">
        <v>13</v>
      </c>
      <c r="H4933" t="s">
        <v>13</v>
      </c>
      <c r="I4933">
        <v>26</v>
      </c>
      <c r="J4933" t="str" cm="1">
        <f t="array" ref="J4933">_xlfn.IFS(ISBLANK(C4933),"FALTANTE",ABS((C4933-$W$5)/$X$5)&gt;1.96,"ATÍPICO",ABS((C4933-$W$5)/$X$5)&lt;=1.96,"NO ATÍPICO")</f>
        <v>NO ATÍPICO</v>
      </c>
      <c r="K4933" t="str" cm="1">
        <f t="array" ref="K4933">_xlfn.IFS(ISBLANK(I4933),"FALTANTE",ABS((I4933-$W$8)/$X$8)&gt;1.92,"ATÍPICO",ABS((I4933-$W$8)/$X$8)&lt;=1.92,"NO ATÍPICO")</f>
        <v>NO ATÍPICO</v>
      </c>
      <c r="L4933">
        <f t="shared" si="326"/>
        <v>268990.86</v>
      </c>
      <c r="M4933" t="str">
        <f t="shared" si="326"/>
        <v>ASALARIADO</v>
      </c>
      <c r="N4933">
        <f t="shared" si="327"/>
        <v>26</v>
      </c>
      <c r="O4933" s="19" t="str">
        <f t="shared" si="328"/>
        <v>0–300k</v>
      </c>
      <c r="P4933" s="19" t="str">
        <f t="shared" si="329"/>
        <v>26-35</v>
      </c>
    </row>
    <row r="4934" spans="1:16" x14ac:dyDescent="0.25">
      <c r="A4934">
        <v>4933</v>
      </c>
      <c r="B4934" t="s">
        <v>15</v>
      </c>
      <c r="C4934">
        <v>953508</v>
      </c>
      <c r="D4934" t="s">
        <v>14</v>
      </c>
      <c r="E4934" t="s">
        <v>11</v>
      </c>
      <c r="F4934" t="s">
        <v>12</v>
      </c>
      <c r="G4934" t="s">
        <v>13</v>
      </c>
      <c r="H4934" t="s">
        <v>13</v>
      </c>
      <c r="I4934">
        <v>70</v>
      </c>
      <c r="J4934" t="str" cm="1">
        <f t="array" ref="J4934">_xlfn.IFS(ISBLANK(C4934),"FALTANTE",ABS((C4934-$W$5)/$X$5)&gt;1.96,"ATÍPICO",ABS((C4934-$W$5)/$X$5)&lt;=1.96,"NO ATÍPICO")</f>
        <v>NO ATÍPICO</v>
      </c>
      <c r="K4934" t="str" cm="1">
        <f t="array" ref="K4934">_xlfn.IFS(ISBLANK(I4934),"FALTANTE",ABS((I4934-$W$8)/$X$8)&gt;1.92,"ATÍPICO",ABS((I4934-$W$8)/$X$8)&lt;=1.92,"NO ATÍPICO")</f>
        <v>ATÍPICO</v>
      </c>
      <c r="L4934">
        <f t="shared" si="326"/>
        <v>953508</v>
      </c>
      <c r="M4934" t="str">
        <f t="shared" si="326"/>
        <v>PENSIONADOS EN SU PROPIO SISTEMA</v>
      </c>
      <c r="N4934">
        <f t="shared" si="327"/>
        <v>70</v>
      </c>
      <c r="O4934" s="19" t="str">
        <f t="shared" si="328"/>
        <v>900k–1200k</v>
      </c>
      <c r="P4934" s="19" t="str">
        <f t="shared" si="329"/>
        <v>56+</v>
      </c>
    </row>
    <row r="4935" spans="1:16" x14ac:dyDescent="0.25">
      <c r="A4935">
        <v>4934</v>
      </c>
      <c r="B4935" t="s">
        <v>15</v>
      </c>
      <c r="C4935">
        <v>292120</v>
      </c>
      <c r="D4935" t="s">
        <v>10</v>
      </c>
      <c r="E4935" t="s">
        <v>16</v>
      </c>
      <c r="F4935" t="s">
        <v>12</v>
      </c>
      <c r="G4935" t="s">
        <v>13</v>
      </c>
      <c r="H4935" t="s">
        <v>13</v>
      </c>
      <c r="I4935">
        <v>26</v>
      </c>
      <c r="J4935" t="str" cm="1">
        <f t="array" ref="J4935">_xlfn.IFS(ISBLANK(C4935),"FALTANTE",ABS((C4935-$W$5)/$X$5)&gt;1.96,"ATÍPICO",ABS((C4935-$W$5)/$X$5)&lt;=1.96,"NO ATÍPICO")</f>
        <v>NO ATÍPICO</v>
      </c>
      <c r="K4935" t="str" cm="1">
        <f t="array" ref="K4935">_xlfn.IFS(ISBLANK(I4935),"FALTANTE",ABS((I4935-$W$8)/$X$8)&gt;1.92,"ATÍPICO",ABS((I4935-$W$8)/$X$8)&lt;=1.92,"NO ATÍPICO")</f>
        <v>NO ATÍPICO</v>
      </c>
      <c r="L4935">
        <f t="shared" si="326"/>
        <v>292120</v>
      </c>
      <c r="M4935" t="str">
        <f t="shared" si="326"/>
        <v>ASALARIADO</v>
      </c>
      <c r="N4935">
        <f t="shared" si="327"/>
        <v>26</v>
      </c>
      <c r="O4935" s="19" t="str">
        <f t="shared" si="328"/>
        <v>0–300k</v>
      </c>
      <c r="P4935" s="19" t="str">
        <f t="shared" si="329"/>
        <v>26-35</v>
      </c>
    </row>
    <row r="4936" spans="1:16" x14ac:dyDescent="0.25">
      <c r="A4936">
        <v>4935</v>
      </c>
      <c r="B4936" t="s">
        <v>15</v>
      </c>
      <c r="C4936">
        <v>2417560.34</v>
      </c>
      <c r="D4936" t="s">
        <v>10</v>
      </c>
      <c r="E4936" t="s">
        <v>11</v>
      </c>
      <c r="F4936" t="s">
        <v>12</v>
      </c>
      <c r="G4936" t="s">
        <v>13</v>
      </c>
      <c r="H4936" t="s">
        <v>13</v>
      </c>
      <c r="I4936">
        <v>53</v>
      </c>
      <c r="J4936" t="str" cm="1">
        <f t="array" ref="J4936">_xlfn.IFS(ISBLANK(C4936),"FALTANTE",ABS((C4936-$W$5)/$X$5)&gt;1.96,"ATÍPICO",ABS((C4936-$W$5)/$X$5)&lt;=1.96,"NO ATÍPICO")</f>
        <v>ATÍPICO</v>
      </c>
      <c r="K4936" t="str" cm="1">
        <f t="array" ref="K4936">_xlfn.IFS(ISBLANK(I4936),"FALTANTE",ABS((I4936-$W$8)/$X$8)&gt;1.92,"ATÍPICO",ABS((I4936-$W$8)/$X$8)&lt;=1.92,"NO ATÍPICO")</f>
        <v>NO ATÍPICO</v>
      </c>
      <c r="L4936">
        <f t="shared" si="326"/>
        <v>2417560.34</v>
      </c>
      <c r="M4936" t="str">
        <f t="shared" si="326"/>
        <v>ASALARIADO</v>
      </c>
      <c r="N4936">
        <f t="shared" si="327"/>
        <v>53</v>
      </c>
      <c r="O4936" s="19" t="str">
        <f t="shared" si="328"/>
        <v>1200k+</v>
      </c>
      <c r="P4936" s="19" t="str">
        <f t="shared" si="329"/>
        <v>46-55</v>
      </c>
    </row>
    <row r="4937" spans="1:16" x14ac:dyDescent="0.25">
      <c r="A4937">
        <v>4936</v>
      </c>
      <c r="B4937" t="s">
        <v>15</v>
      </c>
      <c r="C4937">
        <v>5000</v>
      </c>
      <c r="D4937" t="s">
        <v>10</v>
      </c>
      <c r="E4937" t="s">
        <v>16</v>
      </c>
      <c r="F4937" t="s">
        <v>12</v>
      </c>
      <c r="G4937" t="s">
        <v>13</v>
      </c>
      <c r="H4937" t="s">
        <v>13</v>
      </c>
      <c r="I4937">
        <v>39</v>
      </c>
      <c r="J4937" t="str" cm="1">
        <f t="array" ref="J4937">_xlfn.IFS(ISBLANK(C4937),"FALTANTE",ABS((C4937-$W$5)/$X$5)&gt;1.96,"ATÍPICO",ABS((C4937-$W$5)/$X$5)&lt;=1.96,"NO ATÍPICO")</f>
        <v>NO ATÍPICO</v>
      </c>
      <c r="K4937" t="str" cm="1">
        <f t="array" ref="K4937">_xlfn.IFS(ISBLANK(I4937),"FALTANTE",ABS((I4937-$W$8)/$X$8)&gt;1.92,"ATÍPICO",ABS((I4937-$W$8)/$X$8)&lt;=1.92,"NO ATÍPICO")</f>
        <v>NO ATÍPICO</v>
      </c>
      <c r="L4937">
        <f t="shared" si="326"/>
        <v>5000</v>
      </c>
      <c r="M4937" t="str">
        <f t="shared" si="326"/>
        <v>ASALARIADO</v>
      </c>
      <c r="N4937">
        <f t="shared" si="327"/>
        <v>39</v>
      </c>
      <c r="O4937" s="19" t="str">
        <f t="shared" si="328"/>
        <v>0–300k</v>
      </c>
      <c r="P4937" s="19" t="str">
        <f t="shared" si="329"/>
        <v>36-45</v>
      </c>
    </row>
    <row r="4938" spans="1:16" x14ac:dyDescent="0.25">
      <c r="A4938">
        <v>4937</v>
      </c>
      <c r="B4938" t="s">
        <v>9</v>
      </c>
      <c r="C4938">
        <v>631606.25</v>
      </c>
      <c r="D4938" t="s">
        <v>10</v>
      </c>
      <c r="E4938" t="s">
        <v>16</v>
      </c>
      <c r="F4938" t="s">
        <v>12</v>
      </c>
      <c r="G4938" t="s">
        <v>12</v>
      </c>
      <c r="H4938" t="s">
        <v>13</v>
      </c>
      <c r="I4938">
        <v>20</v>
      </c>
      <c r="J4938" t="str" cm="1">
        <f t="array" ref="J4938">_xlfn.IFS(ISBLANK(C4938),"FALTANTE",ABS((C4938-$W$5)/$X$5)&gt;1.96,"ATÍPICO",ABS((C4938-$W$5)/$X$5)&lt;=1.96,"NO ATÍPICO")</f>
        <v>NO ATÍPICO</v>
      </c>
      <c r="K4938" t="str" cm="1">
        <f t="array" ref="K4938">_xlfn.IFS(ISBLANK(I4938),"FALTANTE",ABS((I4938-$W$8)/$X$8)&gt;1.92,"ATÍPICO",ABS((I4938-$W$8)/$X$8)&lt;=1.92,"NO ATÍPICO")</f>
        <v>NO ATÍPICO</v>
      </c>
      <c r="L4938">
        <f t="shared" si="326"/>
        <v>631606.25</v>
      </c>
      <c r="M4938" t="str">
        <f t="shared" si="326"/>
        <v>ASALARIADO</v>
      </c>
      <c r="N4938">
        <f t="shared" si="327"/>
        <v>20</v>
      </c>
      <c r="O4938" s="19" t="str">
        <f t="shared" si="328"/>
        <v>600k–900k</v>
      </c>
      <c r="P4938" s="19" t="str">
        <f t="shared" si="329"/>
        <v>18-25</v>
      </c>
    </row>
    <row r="4939" spans="1:16" x14ac:dyDescent="0.25">
      <c r="A4939">
        <v>4938</v>
      </c>
      <c r="B4939" t="s">
        <v>9</v>
      </c>
      <c r="C4939">
        <v>299441</v>
      </c>
      <c r="D4939" t="s">
        <v>18</v>
      </c>
      <c r="E4939" t="s">
        <v>16</v>
      </c>
      <c r="F4939" t="s">
        <v>12</v>
      </c>
      <c r="G4939" t="s">
        <v>13</v>
      </c>
      <c r="H4939" t="s">
        <v>13</v>
      </c>
      <c r="I4939">
        <v>31</v>
      </c>
      <c r="J4939" t="str" cm="1">
        <f t="array" ref="J4939">_xlfn.IFS(ISBLANK(C4939),"FALTANTE",ABS((C4939-$W$5)/$X$5)&gt;1.96,"ATÍPICO",ABS((C4939-$W$5)/$X$5)&lt;=1.96,"NO ATÍPICO")</f>
        <v>NO ATÍPICO</v>
      </c>
      <c r="K4939" t="str" cm="1">
        <f t="array" ref="K4939">_xlfn.IFS(ISBLANK(I4939),"FALTANTE",ABS((I4939-$W$8)/$X$8)&gt;1.92,"ATÍPICO",ABS((I4939-$W$8)/$X$8)&lt;=1.92,"NO ATÍPICO")</f>
        <v>NO ATÍPICO</v>
      </c>
      <c r="L4939">
        <f t="shared" si="326"/>
        <v>299441</v>
      </c>
      <c r="M4939" t="str">
        <f t="shared" si="326"/>
        <v>TRABAJADOR INDEPENDIENTE</v>
      </c>
      <c r="N4939">
        <f t="shared" si="327"/>
        <v>31</v>
      </c>
      <c r="O4939" s="19" t="str">
        <f t="shared" si="328"/>
        <v>0–300k</v>
      </c>
      <c r="P4939" s="19" t="str">
        <f t="shared" si="329"/>
        <v>26-35</v>
      </c>
    </row>
    <row r="4940" spans="1:16" x14ac:dyDescent="0.25">
      <c r="A4940">
        <v>4939</v>
      </c>
      <c r="B4940" t="s">
        <v>15</v>
      </c>
      <c r="C4940">
        <v>233740</v>
      </c>
      <c r="D4940" t="s">
        <v>10</v>
      </c>
      <c r="E4940" t="s">
        <v>16</v>
      </c>
      <c r="F4940" t="s">
        <v>12</v>
      </c>
      <c r="G4940" t="s">
        <v>13</v>
      </c>
      <c r="H4940" t="s">
        <v>13</v>
      </c>
      <c r="I4940">
        <v>18</v>
      </c>
      <c r="J4940" t="str" cm="1">
        <f t="array" ref="J4940">_xlfn.IFS(ISBLANK(C4940),"FALTANTE",ABS((C4940-$W$5)/$X$5)&gt;1.96,"ATÍPICO",ABS((C4940-$W$5)/$X$5)&lt;=1.96,"NO ATÍPICO")</f>
        <v>NO ATÍPICO</v>
      </c>
      <c r="K4940" t="str" cm="1">
        <f t="array" ref="K4940">_xlfn.IFS(ISBLANK(I4940),"FALTANTE",ABS((I4940-$W$8)/$X$8)&gt;1.92,"ATÍPICO",ABS((I4940-$W$8)/$X$8)&lt;=1.92,"NO ATÍPICO")</f>
        <v>NO ATÍPICO</v>
      </c>
      <c r="L4940">
        <f t="shared" si="326"/>
        <v>233740</v>
      </c>
      <c r="M4940" t="str">
        <f t="shared" si="326"/>
        <v>ASALARIADO</v>
      </c>
      <c r="N4940">
        <f t="shared" si="327"/>
        <v>18</v>
      </c>
      <c r="O4940" s="19" t="str">
        <f t="shared" si="328"/>
        <v>0–300k</v>
      </c>
      <c r="P4940" s="19" t="str">
        <f t="shared" si="329"/>
        <v>18-25</v>
      </c>
    </row>
    <row r="4941" spans="1:16" x14ac:dyDescent="0.25">
      <c r="A4941">
        <v>4940</v>
      </c>
      <c r="B4941" t="s">
        <v>9</v>
      </c>
      <c r="C4941">
        <v>297046</v>
      </c>
      <c r="D4941" t="s">
        <v>17</v>
      </c>
      <c r="E4941" t="s">
        <v>16</v>
      </c>
      <c r="F4941" t="s">
        <v>12</v>
      </c>
      <c r="G4941" t="s">
        <v>13</v>
      </c>
      <c r="H4941" t="s">
        <v>13</v>
      </c>
      <c r="I4941">
        <v>40</v>
      </c>
      <c r="J4941" t="str" cm="1">
        <f t="array" ref="J4941">_xlfn.IFS(ISBLANK(C4941),"FALTANTE",ABS((C4941-$W$5)/$X$5)&gt;1.96,"ATÍPICO",ABS((C4941-$W$5)/$X$5)&lt;=1.96,"NO ATÍPICO")</f>
        <v>NO ATÍPICO</v>
      </c>
      <c r="K4941" t="str" cm="1">
        <f t="array" ref="K4941">_xlfn.IFS(ISBLANK(I4941),"FALTANTE",ABS((I4941-$W$8)/$X$8)&gt;1.92,"ATÍPICO",ABS((I4941-$W$8)/$X$8)&lt;=1.92,"NO ATÍPICO")</f>
        <v>NO ATÍPICO</v>
      </c>
      <c r="L4941">
        <f t="shared" si="326"/>
        <v>297046</v>
      </c>
      <c r="M4941" t="str">
        <f t="shared" si="326"/>
        <v>ASEGURADO VOLUNTARIO</v>
      </c>
      <c r="N4941">
        <f t="shared" si="327"/>
        <v>40</v>
      </c>
      <c r="O4941" s="19" t="str">
        <f t="shared" si="328"/>
        <v>0–300k</v>
      </c>
      <c r="P4941" s="19" t="str">
        <f t="shared" si="329"/>
        <v>36-45</v>
      </c>
    </row>
    <row r="4942" spans="1:16" x14ac:dyDescent="0.25">
      <c r="A4942">
        <v>4941</v>
      </c>
      <c r="B4942" t="s">
        <v>15</v>
      </c>
      <c r="C4942">
        <v>278030</v>
      </c>
      <c r="D4942" t="s">
        <v>17</v>
      </c>
      <c r="E4942" t="s">
        <v>16</v>
      </c>
      <c r="F4942" t="s">
        <v>12</v>
      </c>
      <c r="G4942" t="s">
        <v>13</v>
      </c>
      <c r="H4942" t="s">
        <v>13</v>
      </c>
      <c r="I4942">
        <v>50</v>
      </c>
      <c r="J4942" t="str" cm="1">
        <f t="array" ref="J4942">_xlfn.IFS(ISBLANK(C4942),"FALTANTE",ABS((C4942-$W$5)/$X$5)&gt;1.96,"ATÍPICO",ABS((C4942-$W$5)/$X$5)&lt;=1.96,"NO ATÍPICO")</f>
        <v>NO ATÍPICO</v>
      </c>
      <c r="K4942" t="str" cm="1">
        <f t="array" ref="K4942">_xlfn.IFS(ISBLANK(I4942),"FALTANTE",ABS((I4942-$W$8)/$X$8)&gt;1.92,"ATÍPICO",ABS((I4942-$W$8)/$X$8)&lt;=1.92,"NO ATÍPICO")</f>
        <v>NO ATÍPICO</v>
      </c>
      <c r="L4942">
        <f t="shared" si="326"/>
        <v>278030</v>
      </c>
      <c r="M4942" t="str">
        <f t="shared" si="326"/>
        <v>ASEGURADO VOLUNTARIO</v>
      </c>
      <c r="N4942">
        <f t="shared" si="327"/>
        <v>50</v>
      </c>
      <c r="O4942" s="19" t="str">
        <f t="shared" si="328"/>
        <v>0–300k</v>
      </c>
      <c r="P4942" s="19" t="str">
        <f t="shared" si="329"/>
        <v>46-55</v>
      </c>
    </row>
    <row r="4943" spans="1:16" x14ac:dyDescent="0.25">
      <c r="A4943">
        <v>4942</v>
      </c>
      <c r="B4943" t="s">
        <v>9</v>
      </c>
      <c r="C4943">
        <v>3670341.6</v>
      </c>
      <c r="D4943" t="s">
        <v>10</v>
      </c>
      <c r="E4943" t="s">
        <v>16</v>
      </c>
      <c r="F4943" t="s">
        <v>12</v>
      </c>
      <c r="G4943" t="s">
        <v>13</v>
      </c>
      <c r="H4943" t="s">
        <v>13</v>
      </c>
      <c r="I4943">
        <v>42</v>
      </c>
      <c r="J4943" t="str" cm="1">
        <f t="array" ref="J4943">_xlfn.IFS(ISBLANK(C4943),"FALTANTE",ABS((C4943-$W$5)/$X$5)&gt;1.96,"ATÍPICO",ABS((C4943-$W$5)/$X$5)&lt;=1.96,"NO ATÍPICO")</f>
        <v>ATÍPICO</v>
      </c>
      <c r="K4943" t="str" cm="1">
        <f t="array" ref="K4943">_xlfn.IFS(ISBLANK(I4943),"FALTANTE",ABS((I4943-$W$8)/$X$8)&gt;1.92,"ATÍPICO",ABS((I4943-$W$8)/$X$8)&lt;=1.92,"NO ATÍPICO")</f>
        <v>NO ATÍPICO</v>
      </c>
      <c r="L4943">
        <f t="shared" si="326"/>
        <v>3670341.6</v>
      </c>
      <c r="M4943" t="str">
        <f t="shared" si="326"/>
        <v>ASALARIADO</v>
      </c>
      <c r="N4943">
        <f t="shared" si="327"/>
        <v>42</v>
      </c>
      <c r="O4943" s="19" t="str">
        <f t="shared" si="328"/>
        <v>1200k+</v>
      </c>
      <c r="P4943" s="19" t="str">
        <f t="shared" si="329"/>
        <v>36-45</v>
      </c>
    </row>
    <row r="4944" spans="1:16" x14ac:dyDescent="0.25">
      <c r="A4944">
        <v>4943</v>
      </c>
      <c r="B4944" t="s">
        <v>9</v>
      </c>
      <c r="C4944">
        <v>350050.88</v>
      </c>
      <c r="D4944" t="s">
        <v>10</v>
      </c>
      <c r="E4944" t="s">
        <v>16</v>
      </c>
      <c r="F4944" t="s">
        <v>12</v>
      </c>
      <c r="G4944" t="s">
        <v>13</v>
      </c>
      <c r="H4944" t="s">
        <v>13</v>
      </c>
      <c r="I4944">
        <v>26</v>
      </c>
      <c r="J4944" t="str" cm="1">
        <f t="array" ref="J4944">_xlfn.IFS(ISBLANK(C4944),"FALTANTE",ABS((C4944-$W$5)/$X$5)&gt;1.96,"ATÍPICO",ABS((C4944-$W$5)/$X$5)&lt;=1.96,"NO ATÍPICO")</f>
        <v>NO ATÍPICO</v>
      </c>
      <c r="K4944" t="str" cm="1">
        <f t="array" ref="K4944">_xlfn.IFS(ISBLANK(I4944),"FALTANTE",ABS((I4944-$W$8)/$X$8)&gt;1.92,"ATÍPICO",ABS((I4944-$W$8)/$X$8)&lt;=1.92,"NO ATÍPICO")</f>
        <v>NO ATÍPICO</v>
      </c>
      <c r="L4944">
        <f t="shared" si="326"/>
        <v>350050.88</v>
      </c>
      <c r="M4944" t="str">
        <f t="shared" si="326"/>
        <v>ASALARIADO</v>
      </c>
      <c r="N4944">
        <f t="shared" si="327"/>
        <v>26</v>
      </c>
      <c r="O4944" s="19" t="str">
        <f t="shared" si="328"/>
        <v>300k–600k</v>
      </c>
      <c r="P4944" s="19" t="str">
        <f t="shared" si="329"/>
        <v>26-35</v>
      </c>
    </row>
    <row r="4945" spans="1:16" x14ac:dyDescent="0.25">
      <c r="A4945">
        <v>4944</v>
      </c>
      <c r="B4945" t="s">
        <v>9</v>
      </c>
      <c r="C4945">
        <v>1225741</v>
      </c>
      <c r="D4945" t="s">
        <v>10</v>
      </c>
      <c r="E4945" t="s">
        <v>16</v>
      </c>
      <c r="F4945" t="s">
        <v>12</v>
      </c>
      <c r="G4945" t="s">
        <v>13</v>
      </c>
      <c r="H4945" t="s">
        <v>13</v>
      </c>
      <c r="I4945">
        <v>57</v>
      </c>
      <c r="J4945" t="str" cm="1">
        <f t="array" ref="J4945">_xlfn.IFS(ISBLANK(C4945),"FALTANTE",ABS((C4945-$W$5)/$X$5)&gt;1.96,"ATÍPICO",ABS((C4945-$W$5)/$X$5)&lt;=1.96,"NO ATÍPICO")</f>
        <v>NO ATÍPICO</v>
      </c>
      <c r="K4945" t="str" cm="1">
        <f t="array" ref="K4945">_xlfn.IFS(ISBLANK(I4945),"FALTANTE",ABS((I4945-$W$8)/$X$8)&gt;1.92,"ATÍPICO",ABS((I4945-$W$8)/$X$8)&lt;=1.92,"NO ATÍPICO")</f>
        <v>NO ATÍPICO</v>
      </c>
      <c r="L4945">
        <f t="shared" si="326"/>
        <v>1225741</v>
      </c>
      <c r="M4945" t="str">
        <f t="shared" si="326"/>
        <v>ASALARIADO</v>
      </c>
      <c r="N4945">
        <f t="shared" si="327"/>
        <v>57</v>
      </c>
      <c r="O4945" s="19" t="str">
        <f t="shared" si="328"/>
        <v>1200k+</v>
      </c>
      <c r="P4945" s="19" t="str">
        <f t="shared" si="329"/>
        <v>56+</v>
      </c>
    </row>
    <row r="4946" spans="1:16" x14ac:dyDescent="0.25">
      <c r="A4946">
        <v>4945</v>
      </c>
      <c r="B4946" t="s">
        <v>15</v>
      </c>
      <c r="C4946">
        <v>297045</v>
      </c>
      <c r="D4946" t="s">
        <v>17</v>
      </c>
      <c r="E4946" t="s">
        <v>16</v>
      </c>
      <c r="F4946" t="s">
        <v>12</v>
      </c>
      <c r="G4946" t="s">
        <v>13</v>
      </c>
      <c r="H4946" t="s">
        <v>13</v>
      </c>
      <c r="I4946">
        <v>35</v>
      </c>
      <c r="J4946" t="str" cm="1">
        <f t="array" ref="J4946">_xlfn.IFS(ISBLANK(C4946),"FALTANTE",ABS((C4946-$W$5)/$X$5)&gt;1.96,"ATÍPICO",ABS((C4946-$W$5)/$X$5)&lt;=1.96,"NO ATÍPICO")</f>
        <v>NO ATÍPICO</v>
      </c>
      <c r="K4946" t="str" cm="1">
        <f t="array" ref="K4946">_xlfn.IFS(ISBLANK(I4946),"FALTANTE",ABS((I4946-$W$8)/$X$8)&gt;1.92,"ATÍPICO",ABS((I4946-$W$8)/$X$8)&lt;=1.92,"NO ATÍPICO")</f>
        <v>NO ATÍPICO</v>
      </c>
      <c r="L4946">
        <f t="shared" si="326"/>
        <v>297045</v>
      </c>
      <c r="M4946" t="str">
        <f t="shared" si="326"/>
        <v>ASEGURADO VOLUNTARIO</v>
      </c>
      <c r="N4946">
        <f t="shared" si="327"/>
        <v>35</v>
      </c>
      <c r="O4946" s="19" t="str">
        <f t="shared" si="328"/>
        <v>0–300k</v>
      </c>
      <c r="P4946" s="19" t="str">
        <f t="shared" si="329"/>
        <v>26-35</v>
      </c>
    </row>
    <row r="4947" spans="1:16" x14ac:dyDescent="0.25">
      <c r="A4947">
        <v>4946</v>
      </c>
      <c r="B4947" t="s">
        <v>9</v>
      </c>
      <c r="C4947">
        <v>278030</v>
      </c>
      <c r="D4947" t="s">
        <v>19</v>
      </c>
      <c r="E4947" t="s">
        <v>16</v>
      </c>
      <c r="F4947" t="s">
        <v>12</v>
      </c>
      <c r="G4947" t="s">
        <v>13</v>
      </c>
      <c r="H4947" t="s">
        <v>13</v>
      </c>
      <c r="I4947">
        <v>37</v>
      </c>
      <c r="J4947" t="str" cm="1">
        <f t="array" ref="J4947">_xlfn.IFS(ISBLANK(C4947),"FALTANTE",ABS((C4947-$W$5)/$X$5)&gt;1.96,"ATÍPICO",ABS((C4947-$W$5)/$X$5)&lt;=1.96,"NO ATÍPICO")</f>
        <v>NO ATÍPICO</v>
      </c>
      <c r="K4947" t="str" cm="1">
        <f t="array" ref="K4947">_xlfn.IFS(ISBLANK(I4947),"FALTANTE",ABS((I4947-$W$8)/$X$8)&gt;1.92,"ATÍPICO",ABS((I4947-$W$8)/$X$8)&lt;=1.92,"NO ATÍPICO")</f>
        <v>NO ATÍPICO</v>
      </c>
      <c r="L4947">
        <f t="shared" si="326"/>
        <v>278030</v>
      </c>
      <c r="M4947" t="str">
        <f t="shared" si="326"/>
        <v>CONVENIOS ESPECIALES DE TRABAJADORES INDEPENDIENTES</v>
      </c>
      <c r="N4947">
        <f t="shared" si="327"/>
        <v>37</v>
      </c>
      <c r="O4947" s="19" t="str">
        <f t="shared" si="328"/>
        <v>0–300k</v>
      </c>
      <c r="P4947" s="19" t="str">
        <f t="shared" si="329"/>
        <v>36-45</v>
      </c>
    </row>
    <row r="4948" spans="1:16" x14ac:dyDescent="0.25">
      <c r="A4948">
        <v>4947</v>
      </c>
      <c r="B4948" t="s">
        <v>15</v>
      </c>
      <c r="C4948">
        <v>1158417</v>
      </c>
      <c r="D4948" t="s">
        <v>10</v>
      </c>
      <c r="E4948" t="s">
        <v>11</v>
      </c>
      <c r="F4948" t="s">
        <v>12</v>
      </c>
      <c r="G4948" t="s">
        <v>13</v>
      </c>
      <c r="H4948" t="s">
        <v>13</v>
      </c>
      <c r="I4948">
        <v>39</v>
      </c>
      <c r="J4948" t="str" cm="1">
        <f t="array" ref="J4948">_xlfn.IFS(ISBLANK(C4948),"FALTANTE",ABS((C4948-$W$5)/$X$5)&gt;1.96,"ATÍPICO",ABS((C4948-$W$5)/$X$5)&lt;=1.96,"NO ATÍPICO")</f>
        <v>NO ATÍPICO</v>
      </c>
      <c r="K4948" t="str" cm="1">
        <f t="array" ref="K4948">_xlfn.IFS(ISBLANK(I4948),"FALTANTE",ABS((I4948-$W$8)/$X$8)&gt;1.92,"ATÍPICO",ABS((I4948-$W$8)/$X$8)&lt;=1.92,"NO ATÍPICO")</f>
        <v>NO ATÍPICO</v>
      </c>
      <c r="L4948">
        <f t="shared" si="326"/>
        <v>1158417</v>
      </c>
      <c r="M4948" t="str">
        <f t="shared" si="326"/>
        <v>ASALARIADO</v>
      </c>
      <c r="N4948">
        <f t="shared" si="327"/>
        <v>39</v>
      </c>
      <c r="O4948" s="19" t="str">
        <f t="shared" si="328"/>
        <v>900k–1200k</v>
      </c>
      <c r="P4948" s="19" t="str">
        <f t="shared" si="329"/>
        <v>36-45</v>
      </c>
    </row>
    <row r="4949" spans="1:16" x14ac:dyDescent="0.25">
      <c r="A4949">
        <v>4948</v>
      </c>
      <c r="B4949" t="s">
        <v>15</v>
      </c>
      <c r="C4949">
        <v>297046</v>
      </c>
      <c r="D4949" t="s">
        <v>17</v>
      </c>
      <c r="E4949" t="s">
        <v>16</v>
      </c>
      <c r="F4949" t="s">
        <v>12</v>
      </c>
      <c r="G4949" t="s">
        <v>13</v>
      </c>
      <c r="H4949" t="s">
        <v>13</v>
      </c>
      <c r="I4949">
        <v>24</v>
      </c>
      <c r="J4949" t="str" cm="1">
        <f t="array" ref="J4949">_xlfn.IFS(ISBLANK(C4949),"FALTANTE",ABS((C4949-$W$5)/$X$5)&gt;1.96,"ATÍPICO",ABS((C4949-$W$5)/$X$5)&lt;=1.96,"NO ATÍPICO")</f>
        <v>NO ATÍPICO</v>
      </c>
      <c r="K4949" t="str" cm="1">
        <f t="array" ref="K4949">_xlfn.IFS(ISBLANK(I4949),"FALTANTE",ABS((I4949-$W$8)/$X$8)&gt;1.92,"ATÍPICO",ABS((I4949-$W$8)/$X$8)&lt;=1.92,"NO ATÍPICO")</f>
        <v>NO ATÍPICO</v>
      </c>
      <c r="L4949">
        <f t="shared" si="326"/>
        <v>297046</v>
      </c>
      <c r="M4949" t="str">
        <f t="shared" si="326"/>
        <v>ASEGURADO VOLUNTARIO</v>
      </c>
      <c r="N4949">
        <f t="shared" si="327"/>
        <v>24</v>
      </c>
      <c r="O4949" s="19" t="str">
        <f t="shared" si="328"/>
        <v>0–300k</v>
      </c>
      <c r="P4949" s="19" t="str">
        <f t="shared" si="329"/>
        <v>18-25</v>
      </c>
    </row>
    <row r="4950" spans="1:16" x14ac:dyDescent="0.25">
      <c r="A4950">
        <v>4949</v>
      </c>
      <c r="B4950" t="s">
        <v>9</v>
      </c>
      <c r="C4950">
        <v>1376386</v>
      </c>
      <c r="D4950" t="s">
        <v>14</v>
      </c>
      <c r="E4950" t="s">
        <v>11</v>
      </c>
      <c r="F4950" t="s">
        <v>12</v>
      </c>
      <c r="G4950" t="s">
        <v>13</v>
      </c>
      <c r="H4950" t="s">
        <v>13</v>
      </c>
      <c r="I4950">
        <v>67</v>
      </c>
      <c r="J4950" t="str" cm="1">
        <f t="array" ref="J4950">_xlfn.IFS(ISBLANK(C4950),"FALTANTE",ABS((C4950-$W$5)/$X$5)&gt;1.96,"ATÍPICO",ABS((C4950-$W$5)/$X$5)&lt;=1.96,"NO ATÍPICO")</f>
        <v>NO ATÍPICO</v>
      </c>
      <c r="K4950" t="str" cm="1">
        <f t="array" ref="K4950">_xlfn.IFS(ISBLANK(I4950),"FALTANTE",ABS((I4950-$W$8)/$X$8)&gt;1.92,"ATÍPICO",ABS((I4950-$W$8)/$X$8)&lt;=1.92,"NO ATÍPICO")</f>
        <v>NO ATÍPICO</v>
      </c>
      <c r="L4950">
        <f t="shared" si="326"/>
        <v>1376386</v>
      </c>
      <c r="M4950" t="str">
        <f t="shared" si="326"/>
        <v>PENSIONADOS EN SU PROPIO SISTEMA</v>
      </c>
      <c r="N4950">
        <f t="shared" si="327"/>
        <v>67</v>
      </c>
      <c r="O4950" s="19" t="str">
        <f t="shared" si="328"/>
        <v>1200k+</v>
      </c>
      <c r="P4950" s="19" t="str">
        <f t="shared" si="329"/>
        <v>56+</v>
      </c>
    </row>
    <row r="4951" spans="1:16" x14ac:dyDescent="0.25">
      <c r="A4951">
        <v>4950</v>
      </c>
      <c r="B4951" t="s">
        <v>9</v>
      </c>
      <c r="C4951">
        <v>4206651</v>
      </c>
      <c r="D4951" t="s">
        <v>10</v>
      </c>
      <c r="E4951" t="s">
        <v>11</v>
      </c>
      <c r="F4951" t="s">
        <v>12</v>
      </c>
      <c r="G4951" t="s">
        <v>13</v>
      </c>
      <c r="H4951" t="s">
        <v>13</v>
      </c>
      <c r="I4951">
        <v>69</v>
      </c>
      <c r="J4951" t="str" cm="1">
        <f t="array" ref="J4951">_xlfn.IFS(ISBLANK(C4951),"FALTANTE",ABS((C4951-$W$5)/$X$5)&gt;1.96,"ATÍPICO",ABS((C4951-$W$5)/$X$5)&lt;=1.96,"NO ATÍPICO")</f>
        <v>ATÍPICO</v>
      </c>
      <c r="K4951" t="str" cm="1">
        <f t="array" ref="K4951">_xlfn.IFS(ISBLANK(I4951),"FALTANTE",ABS((I4951-$W$8)/$X$8)&gt;1.92,"ATÍPICO",ABS((I4951-$W$8)/$X$8)&lt;=1.92,"NO ATÍPICO")</f>
        <v>NO ATÍPICO</v>
      </c>
      <c r="L4951">
        <f t="shared" si="326"/>
        <v>4206651</v>
      </c>
      <c r="M4951" t="str">
        <f t="shared" si="326"/>
        <v>ASALARIADO</v>
      </c>
      <c r="N4951">
        <f t="shared" si="327"/>
        <v>69</v>
      </c>
      <c r="O4951" s="19" t="str">
        <f t="shared" si="328"/>
        <v>1200k+</v>
      </c>
      <c r="P4951" s="19" t="str">
        <f t="shared" si="329"/>
        <v>56+</v>
      </c>
    </row>
    <row r="4952" spans="1:16" x14ac:dyDescent="0.25">
      <c r="A4952">
        <v>4951</v>
      </c>
      <c r="B4952" t="s">
        <v>9</v>
      </c>
      <c r="C4952">
        <v>545415</v>
      </c>
      <c r="D4952" t="s">
        <v>10</v>
      </c>
      <c r="E4952" t="s">
        <v>16</v>
      </c>
      <c r="F4952" t="s">
        <v>12</v>
      </c>
      <c r="G4952" t="s">
        <v>13</v>
      </c>
      <c r="H4952" t="s">
        <v>13</v>
      </c>
      <c r="I4952">
        <v>20</v>
      </c>
      <c r="J4952" t="str" cm="1">
        <f t="array" ref="J4952">_xlfn.IFS(ISBLANK(C4952),"FALTANTE",ABS((C4952-$W$5)/$X$5)&gt;1.96,"ATÍPICO",ABS((C4952-$W$5)/$X$5)&lt;=1.96,"NO ATÍPICO")</f>
        <v>NO ATÍPICO</v>
      </c>
      <c r="K4952" t="str" cm="1">
        <f t="array" ref="K4952">_xlfn.IFS(ISBLANK(I4952),"FALTANTE",ABS((I4952-$W$8)/$X$8)&gt;1.92,"ATÍPICO",ABS((I4952-$W$8)/$X$8)&lt;=1.92,"NO ATÍPICO")</f>
        <v>NO ATÍPICO</v>
      </c>
      <c r="L4952">
        <f t="shared" si="326"/>
        <v>545415</v>
      </c>
      <c r="M4952" t="str">
        <f t="shared" si="326"/>
        <v>ASALARIADO</v>
      </c>
      <c r="N4952">
        <f t="shared" si="327"/>
        <v>20</v>
      </c>
      <c r="O4952" s="19" t="str">
        <f t="shared" si="328"/>
        <v>300k–600k</v>
      </c>
      <c r="P4952" s="19" t="str">
        <f t="shared" si="329"/>
        <v>18-25</v>
      </c>
    </row>
    <row r="4953" spans="1:16" x14ac:dyDescent="0.25">
      <c r="A4953">
        <v>4952</v>
      </c>
      <c r="B4953" t="s">
        <v>15</v>
      </c>
      <c r="C4953">
        <v>330000</v>
      </c>
      <c r="D4953" t="s">
        <v>10</v>
      </c>
      <c r="E4953" t="s">
        <v>16</v>
      </c>
      <c r="F4953" t="s">
        <v>12</v>
      </c>
      <c r="G4953" t="s">
        <v>13</v>
      </c>
      <c r="H4953" t="s">
        <v>13</v>
      </c>
      <c r="I4953">
        <v>25</v>
      </c>
      <c r="J4953" t="str" cm="1">
        <f t="array" ref="J4953">_xlfn.IFS(ISBLANK(C4953),"FALTANTE",ABS((C4953-$W$5)/$X$5)&gt;1.96,"ATÍPICO",ABS((C4953-$W$5)/$X$5)&lt;=1.96,"NO ATÍPICO")</f>
        <v>NO ATÍPICO</v>
      </c>
      <c r="K4953" t="str" cm="1">
        <f t="array" ref="K4953">_xlfn.IFS(ISBLANK(I4953),"FALTANTE",ABS((I4953-$W$8)/$X$8)&gt;1.92,"ATÍPICO",ABS((I4953-$W$8)/$X$8)&lt;=1.92,"NO ATÍPICO")</f>
        <v>NO ATÍPICO</v>
      </c>
      <c r="L4953">
        <f t="shared" si="326"/>
        <v>330000</v>
      </c>
      <c r="M4953" t="str">
        <f t="shared" si="326"/>
        <v>ASALARIADO</v>
      </c>
      <c r="N4953">
        <f t="shared" si="327"/>
        <v>25</v>
      </c>
      <c r="O4953" s="19" t="str">
        <f t="shared" si="328"/>
        <v>300k–600k</v>
      </c>
      <c r="P4953" s="19" t="str">
        <f t="shared" si="329"/>
        <v>18-25</v>
      </c>
    </row>
    <row r="4954" spans="1:16" x14ac:dyDescent="0.25">
      <c r="A4954">
        <v>4953</v>
      </c>
      <c r="B4954" t="s">
        <v>9</v>
      </c>
      <c r="C4954">
        <v>297046</v>
      </c>
      <c r="D4954" t="s">
        <v>17</v>
      </c>
      <c r="E4954" t="s">
        <v>16</v>
      </c>
      <c r="F4954" t="s">
        <v>12</v>
      </c>
      <c r="G4954" t="s">
        <v>13</v>
      </c>
      <c r="H4954" t="s">
        <v>13</v>
      </c>
      <c r="I4954">
        <v>62</v>
      </c>
      <c r="J4954" t="str" cm="1">
        <f t="array" ref="J4954">_xlfn.IFS(ISBLANK(C4954),"FALTANTE",ABS((C4954-$W$5)/$X$5)&gt;1.96,"ATÍPICO",ABS((C4954-$W$5)/$X$5)&lt;=1.96,"NO ATÍPICO")</f>
        <v>NO ATÍPICO</v>
      </c>
      <c r="K4954" t="str" cm="1">
        <f t="array" ref="K4954">_xlfn.IFS(ISBLANK(I4954),"FALTANTE",ABS((I4954-$W$8)/$X$8)&gt;1.92,"ATÍPICO",ABS((I4954-$W$8)/$X$8)&lt;=1.92,"NO ATÍPICO")</f>
        <v>NO ATÍPICO</v>
      </c>
      <c r="L4954">
        <f t="shared" si="326"/>
        <v>297046</v>
      </c>
      <c r="M4954" t="str">
        <f t="shared" si="326"/>
        <v>ASEGURADO VOLUNTARIO</v>
      </c>
      <c r="N4954">
        <f t="shared" si="327"/>
        <v>62</v>
      </c>
      <c r="O4954" s="19" t="str">
        <f t="shared" si="328"/>
        <v>0–300k</v>
      </c>
      <c r="P4954" s="19" t="str">
        <f t="shared" si="329"/>
        <v>56+</v>
      </c>
    </row>
    <row r="4955" spans="1:16" x14ac:dyDescent="0.25">
      <c r="A4955">
        <v>4954</v>
      </c>
      <c r="B4955" t="s">
        <v>9</v>
      </c>
      <c r="C4955">
        <v>479252.04</v>
      </c>
      <c r="D4955" t="s">
        <v>10</v>
      </c>
      <c r="E4955" t="s">
        <v>16</v>
      </c>
      <c r="F4955" t="s">
        <v>12</v>
      </c>
      <c r="G4955" t="s">
        <v>13</v>
      </c>
      <c r="H4955" t="s">
        <v>13</v>
      </c>
      <c r="I4955">
        <v>25</v>
      </c>
      <c r="J4955" t="str" cm="1">
        <f t="array" ref="J4955">_xlfn.IFS(ISBLANK(C4955),"FALTANTE",ABS((C4955-$W$5)/$X$5)&gt;1.96,"ATÍPICO",ABS((C4955-$W$5)/$X$5)&lt;=1.96,"NO ATÍPICO")</f>
        <v>NO ATÍPICO</v>
      </c>
      <c r="K4955" t="str" cm="1">
        <f t="array" ref="K4955">_xlfn.IFS(ISBLANK(I4955),"FALTANTE",ABS((I4955-$W$8)/$X$8)&gt;1.92,"ATÍPICO",ABS((I4955-$W$8)/$X$8)&lt;=1.92,"NO ATÍPICO")</f>
        <v>NO ATÍPICO</v>
      </c>
      <c r="L4955">
        <f t="shared" si="326"/>
        <v>479252.04</v>
      </c>
      <c r="M4955" t="str">
        <f t="shared" si="326"/>
        <v>ASALARIADO</v>
      </c>
      <c r="N4955">
        <f t="shared" si="327"/>
        <v>25</v>
      </c>
      <c r="O4955" s="19" t="str">
        <f t="shared" si="328"/>
        <v>300k–600k</v>
      </c>
      <c r="P4955" s="19" t="str">
        <f t="shared" si="329"/>
        <v>18-25</v>
      </c>
    </row>
    <row r="4956" spans="1:16" x14ac:dyDescent="0.25">
      <c r="A4956">
        <v>4955</v>
      </c>
      <c r="B4956" t="s">
        <v>15</v>
      </c>
      <c r="C4956">
        <v>371690</v>
      </c>
      <c r="D4956" t="s">
        <v>10</v>
      </c>
      <c r="E4956" t="s">
        <v>16</v>
      </c>
      <c r="F4956" t="s">
        <v>12</v>
      </c>
      <c r="G4956" t="s">
        <v>13</v>
      </c>
      <c r="H4956" t="s">
        <v>13</v>
      </c>
      <c r="I4956">
        <v>48</v>
      </c>
      <c r="J4956" t="str" cm="1">
        <f t="array" ref="J4956">_xlfn.IFS(ISBLANK(C4956),"FALTANTE",ABS((C4956-$W$5)/$X$5)&gt;1.96,"ATÍPICO",ABS((C4956-$W$5)/$X$5)&lt;=1.96,"NO ATÍPICO")</f>
        <v>NO ATÍPICO</v>
      </c>
      <c r="K4956" t="str" cm="1">
        <f t="array" ref="K4956">_xlfn.IFS(ISBLANK(I4956),"FALTANTE",ABS((I4956-$W$8)/$X$8)&gt;1.92,"ATÍPICO",ABS((I4956-$W$8)/$X$8)&lt;=1.92,"NO ATÍPICO")</f>
        <v>NO ATÍPICO</v>
      </c>
      <c r="L4956">
        <f t="shared" si="326"/>
        <v>371690</v>
      </c>
      <c r="M4956" t="str">
        <f t="shared" si="326"/>
        <v>ASALARIADO</v>
      </c>
      <c r="N4956">
        <f t="shared" si="327"/>
        <v>48</v>
      </c>
      <c r="O4956" s="19" t="str">
        <f t="shared" si="328"/>
        <v>300k–600k</v>
      </c>
      <c r="P4956" s="19" t="str">
        <f t="shared" si="329"/>
        <v>46-55</v>
      </c>
    </row>
    <row r="4957" spans="1:16" x14ac:dyDescent="0.25">
      <c r="A4957">
        <v>4956</v>
      </c>
      <c r="B4957" t="s">
        <v>15</v>
      </c>
      <c r="C4957">
        <v>1200000</v>
      </c>
      <c r="D4957" t="s">
        <v>10</v>
      </c>
      <c r="E4957" t="s">
        <v>16</v>
      </c>
      <c r="F4957" t="s">
        <v>12</v>
      </c>
      <c r="G4957" t="s">
        <v>12</v>
      </c>
      <c r="H4957" t="s">
        <v>13</v>
      </c>
      <c r="I4957">
        <v>78</v>
      </c>
      <c r="J4957" t="str" cm="1">
        <f t="array" ref="J4957">_xlfn.IFS(ISBLANK(C4957),"FALTANTE",ABS((C4957-$W$5)/$X$5)&gt;1.96,"ATÍPICO",ABS((C4957-$W$5)/$X$5)&lt;=1.96,"NO ATÍPICO")</f>
        <v>NO ATÍPICO</v>
      </c>
      <c r="K4957" t="str" cm="1">
        <f t="array" ref="K4957">_xlfn.IFS(ISBLANK(I4957),"FALTANTE",ABS((I4957-$W$8)/$X$8)&gt;1.92,"ATÍPICO",ABS((I4957-$W$8)/$X$8)&lt;=1.92,"NO ATÍPICO")</f>
        <v>ATÍPICO</v>
      </c>
      <c r="L4957">
        <f t="shared" si="326"/>
        <v>1200000</v>
      </c>
      <c r="M4957" t="str">
        <f t="shared" si="326"/>
        <v>ASALARIADO</v>
      </c>
      <c r="N4957">
        <f t="shared" si="327"/>
        <v>78</v>
      </c>
      <c r="O4957" s="19" t="str">
        <f t="shared" si="328"/>
        <v>900k–1200k</v>
      </c>
      <c r="P4957" s="19" t="str">
        <f t="shared" si="329"/>
        <v>56+</v>
      </c>
    </row>
    <row r="4958" spans="1:16" x14ac:dyDescent="0.25">
      <c r="A4958">
        <v>4957</v>
      </c>
      <c r="B4958" t="s">
        <v>9</v>
      </c>
      <c r="C4958">
        <v>428960.15</v>
      </c>
      <c r="D4958" t="s">
        <v>10</v>
      </c>
      <c r="E4958" t="s">
        <v>16</v>
      </c>
      <c r="F4958" t="s">
        <v>12</v>
      </c>
      <c r="G4958" t="s">
        <v>13</v>
      </c>
      <c r="H4958" t="s">
        <v>13</v>
      </c>
      <c r="I4958">
        <v>41</v>
      </c>
      <c r="J4958" t="str" cm="1">
        <f t="array" ref="J4958">_xlfn.IFS(ISBLANK(C4958),"FALTANTE",ABS((C4958-$W$5)/$X$5)&gt;1.96,"ATÍPICO",ABS((C4958-$W$5)/$X$5)&lt;=1.96,"NO ATÍPICO")</f>
        <v>NO ATÍPICO</v>
      </c>
      <c r="K4958" t="str" cm="1">
        <f t="array" ref="K4958">_xlfn.IFS(ISBLANK(I4958),"FALTANTE",ABS((I4958-$W$8)/$X$8)&gt;1.92,"ATÍPICO",ABS((I4958-$W$8)/$X$8)&lt;=1.92,"NO ATÍPICO")</f>
        <v>NO ATÍPICO</v>
      </c>
      <c r="L4958">
        <f t="shared" si="326"/>
        <v>428960.15</v>
      </c>
      <c r="M4958" t="str">
        <f t="shared" si="326"/>
        <v>ASALARIADO</v>
      </c>
      <c r="N4958">
        <f t="shared" si="327"/>
        <v>41</v>
      </c>
      <c r="O4958" s="19" t="str">
        <f t="shared" si="328"/>
        <v>300k–600k</v>
      </c>
      <c r="P4958" s="19" t="str">
        <f t="shared" si="329"/>
        <v>36-45</v>
      </c>
    </row>
    <row r="4959" spans="1:16" x14ac:dyDescent="0.25">
      <c r="A4959">
        <v>4958</v>
      </c>
      <c r="B4959" t="s">
        <v>9</v>
      </c>
      <c r="C4959">
        <v>290000</v>
      </c>
      <c r="D4959" t="s">
        <v>10</v>
      </c>
      <c r="E4959" t="s">
        <v>16</v>
      </c>
      <c r="F4959" t="s">
        <v>12</v>
      </c>
      <c r="G4959" t="s">
        <v>12</v>
      </c>
      <c r="H4959" t="s">
        <v>13</v>
      </c>
      <c r="I4959">
        <v>37</v>
      </c>
      <c r="J4959" t="str" cm="1">
        <f t="array" ref="J4959">_xlfn.IFS(ISBLANK(C4959),"FALTANTE",ABS((C4959-$W$5)/$X$5)&gt;1.96,"ATÍPICO",ABS((C4959-$W$5)/$X$5)&lt;=1.96,"NO ATÍPICO")</f>
        <v>NO ATÍPICO</v>
      </c>
      <c r="K4959" t="str" cm="1">
        <f t="array" ref="K4959">_xlfn.IFS(ISBLANK(I4959),"FALTANTE",ABS((I4959-$W$8)/$X$8)&gt;1.92,"ATÍPICO",ABS((I4959-$W$8)/$X$8)&lt;=1.92,"NO ATÍPICO")</f>
        <v>NO ATÍPICO</v>
      </c>
      <c r="L4959">
        <f t="shared" si="326"/>
        <v>290000</v>
      </c>
      <c r="M4959" t="str">
        <f t="shared" si="326"/>
        <v>ASALARIADO</v>
      </c>
      <c r="N4959">
        <f t="shared" si="327"/>
        <v>37</v>
      </c>
      <c r="O4959" s="19" t="str">
        <f t="shared" si="328"/>
        <v>0–300k</v>
      </c>
      <c r="P4959" s="19" t="str">
        <f t="shared" si="329"/>
        <v>36-45</v>
      </c>
    </row>
    <row r="4960" spans="1:16" x14ac:dyDescent="0.25">
      <c r="A4960">
        <v>4959</v>
      </c>
      <c r="B4960" t="s">
        <v>9</v>
      </c>
      <c r="C4960">
        <v>543612.26</v>
      </c>
      <c r="D4960" t="s">
        <v>10</v>
      </c>
      <c r="E4960" t="s">
        <v>11</v>
      </c>
      <c r="F4960" t="s">
        <v>12</v>
      </c>
      <c r="G4960" t="s">
        <v>13</v>
      </c>
      <c r="H4960" t="s">
        <v>13</v>
      </c>
      <c r="I4960">
        <v>39</v>
      </c>
      <c r="J4960" t="str" cm="1">
        <f t="array" ref="J4960">_xlfn.IFS(ISBLANK(C4960),"FALTANTE",ABS((C4960-$W$5)/$X$5)&gt;1.96,"ATÍPICO",ABS((C4960-$W$5)/$X$5)&lt;=1.96,"NO ATÍPICO")</f>
        <v>NO ATÍPICO</v>
      </c>
      <c r="K4960" t="str" cm="1">
        <f t="array" ref="K4960">_xlfn.IFS(ISBLANK(I4960),"FALTANTE",ABS((I4960-$W$8)/$X$8)&gt;1.92,"ATÍPICO",ABS((I4960-$W$8)/$X$8)&lt;=1.92,"NO ATÍPICO")</f>
        <v>NO ATÍPICO</v>
      </c>
      <c r="L4960">
        <f t="shared" si="326"/>
        <v>543612.26</v>
      </c>
      <c r="M4960" t="str">
        <f t="shared" si="326"/>
        <v>ASALARIADO</v>
      </c>
      <c r="N4960">
        <f t="shared" si="327"/>
        <v>39</v>
      </c>
      <c r="O4960" s="19" t="str">
        <f t="shared" si="328"/>
        <v>300k–600k</v>
      </c>
      <c r="P4960" s="19" t="str">
        <f t="shared" si="329"/>
        <v>36-45</v>
      </c>
    </row>
    <row r="4961" spans="1:16" x14ac:dyDescent="0.25">
      <c r="A4961">
        <v>4960</v>
      </c>
      <c r="B4961" t="s">
        <v>9</v>
      </c>
      <c r="C4961">
        <v>149130</v>
      </c>
      <c r="D4961" t="s">
        <v>10</v>
      </c>
      <c r="E4961" t="s">
        <v>16</v>
      </c>
      <c r="F4961" t="s">
        <v>12</v>
      </c>
      <c r="G4961" t="s">
        <v>12</v>
      </c>
      <c r="H4961" t="s">
        <v>12</v>
      </c>
      <c r="I4961">
        <v>29</v>
      </c>
      <c r="J4961" t="str" cm="1">
        <f t="array" ref="J4961">_xlfn.IFS(ISBLANK(C4961),"FALTANTE",ABS((C4961-$W$5)/$X$5)&gt;1.96,"ATÍPICO",ABS((C4961-$W$5)/$X$5)&lt;=1.96,"NO ATÍPICO")</f>
        <v>NO ATÍPICO</v>
      </c>
      <c r="K4961" t="str" cm="1">
        <f t="array" ref="K4961">_xlfn.IFS(ISBLANK(I4961),"FALTANTE",ABS((I4961-$W$8)/$X$8)&gt;1.92,"ATÍPICO",ABS((I4961-$W$8)/$X$8)&lt;=1.92,"NO ATÍPICO")</f>
        <v>NO ATÍPICO</v>
      </c>
      <c r="L4961">
        <f t="shared" si="326"/>
        <v>149130</v>
      </c>
      <c r="M4961" t="str">
        <f t="shared" si="326"/>
        <v>ASALARIADO</v>
      </c>
      <c r="N4961">
        <f t="shared" si="327"/>
        <v>29</v>
      </c>
      <c r="O4961" s="19" t="str">
        <f t="shared" si="328"/>
        <v>0–300k</v>
      </c>
      <c r="P4961" s="19" t="str">
        <f t="shared" si="329"/>
        <v>26-35</v>
      </c>
    </row>
    <row r="4962" spans="1:16" x14ac:dyDescent="0.25">
      <c r="A4962">
        <v>4961</v>
      </c>
      <c r="B4962" t="s">
        <v>9</v>
      </c>
      <c r="C4962">
        <v>347603</v>
      </c>
      <c r="D4962" t="s">
        <v>18</v>
      </c>
      <c r="E4962" t="s">
        <v>16</v>
      </c>
      <c r="F4962" t="s">
        <v>12</v>
      </c>
      <c r="G4962" t="s">
        <v>13</v>
      </c>
      <c r="H4962" t="s">
        <v>12</v>
      </c>
      <c r="I4962">
        <v>46</v>
      </c>
      <c r="J4962" t="str" cm="1">
        <f t="array" ref="J4962">_xlfn.IFS(ISBLANK(C4962),"FALTANTE",ABS((C4962-$W$5)/$X$5)&gt;1.96,"ATÍPICO",ABS((C4962-$W$5)/$X$5)&lt;=1.96,"NO ATÍPICO")</f>
        <v>NO ATÍPICO</v>
      </c>
      <c r="K4962" t="str" cm="1">
        <f t="array" ref="K4962">_xlfn.IFS(ISBLANK(I4962),"FALTANTE",ABS((I4962-$W$8)/$X$8)&gt;1.92,"ATÍPICO",ABS((I4962-$W$8)/$X$8)&lt;=1.92,"NO ATÍPICO")</f>
        <v>NO ATÍPICO</v>
      </c>
      <c r="L4962">
        <f t="shared" si="326"/>
        <v>347603</v>
      </c>
      <c r="M4962" t="str">
        <f t="shared" si="326"/>
        <v>TRABAJADOR INDEPENDIENTE</v>
      </c>
      <c r="N4962">
        <f t="shared" si="327"/>
        <v>46</v>
      </c>
      <c r="O4962" s="19" t="str">
        <f t="shared" si="328"/>
        <v>300k–600k</v>
      </c>
      <c r="P4962" s="19" t="str">
        <f t="shared" si="329"/>
        <v>46-55</v>
      </c>
    </row>
    <row r="4963" spans="1:16" x14ac:dyDescent="0.25">
      <c r="A4963">
        <v>4962</v>
      </c>
      <c r="B4963" t="s">
        <v>9</v>
      </c>
      <c r="C4963">
        <v>1211650.6299999999</v>
      </c>
      <c r="D4963" t="s">
        <v>10</v>
      </c>
      <c r="E4963" t="s">
        <v>16</v>
      </c>
      <c r="F4963" t="s">
        <v>12</v>
      </c>
      <c r="G4963" t="s">
        <v>13</v>
      </c>
      <c r="H4963" t="s">
        <v>13</v>
      </c>
      <c r="I4963">
        <v>61</v>
      </c>
      <c r="J4963" t="str" cm="1">
        <f t="array" ref="J4963">_xlfn.IFS(ISBLANK(C4963),"FALTANTE",ABS((C4963-$W$5)/$X$5)&gt;1.96,"ATÍPICO",ABS((C4963-$W$5)/$X$5)&lt;=1.96,"NO ATÍPICO")</f>
        <v>NO ATÍPICO</v>
      </c>
      <c r="K4963" t="str" cm="1">
        <f t="array" ref="K4963">_xlfn.IFS(ISBLANK(I4963),"FALTANTE",ABS((I4963-$W$8)/$X$8)&gt;1.92,"ATÍPICO",ABS((I4963-$W$8)/$X$8)&lt;=1.92,"NO ATÍPICO")</f>
        <v>NO ATÍPICO</v>
      </c>
      <c r="L4963">
        <f t="shared" si="326"/>
        <v>1211650.6299999999</v>
      </c>
      <c r="M4963" t="str">
        <f t="shared" si="326"/>
        <v>ASALARIADO</v>
      </c>
      <c r="N4963">
        <f t="shared" si="327"/>
        <v>61</v>
      </c>
      <c r="O4963" s="19" t="str">
        <f t="shared" si="328"/>
        <v>1200k+</v>
      </c>
      <c r="P4963" s="19" t="str">
        <f t="shared" si="329"/>
        <v>56+</v>
      </c>
    </row>
    <row r="4964" spans="1:16" x14ac:dyDescent="0.25">
      <c r="A4964">
        <v>4963</v>
      </c>
      <c r="B4964" t="s">
        <v>15</v>
      </c>
      <c r="C4964">
        <v>714152</v>
      </c>
      <c r="D4964" t="s">
        <v>10</v>
      </c>
      <c r="E4964" t="s">
        <v>16</v>
      </c>
      <c r="F4964" t="s">
        <v>12</v>
      </c>
      <c r="G4964" t="s">
        <v>13</v>
      </c>
      <c r="H4964" t="s">
        <v>13</v>
      </c>
      <c r="I4964">
        <v>31</v>
      </c>
      <c r="J4964" t="str" cm="1">
        <f t="array" ref="J4964">_xlfn.IFS(ISBLANK(C4964),"FALTANTE",ABS((C4964-$W$5)/$X$5)&gt;1.96,"ATÍPICO",ABS((C4964-$W$5)/$X$5)&lt;=1.96,"NO ATÍPICO")</f>
        <v>NO ATÍPICO</v>
      </c>
      <c r="K4964" t="str" cm="1">
        <f t="array" ref="K4964">_xlfn.IFS(ISBLANK(I4964),"FALTANTE",ABS((I4964-$W$8)/$X$8)&gt;1.92,"ATÍPICO",ABS((I4964-$W$8)/$X$8)&lt;=1.92,"NO ATÍPICO")</f>
        <v>NO ATÍPICO</v>
      </c>
      <c r="L4964">
        <f t="shared" si="326"/>
        <v>714152</v>
      </c>
      <c r="M4964" t="str">
        <f t="shared" si="326"/>
        <v>ASALARIADO</v>
      </c>
      <c r="N4964">
        <f t="shared" si="327"/>
        <v>31</v>
      </c>
      <c r="O4964" s="19" t="str">
        <f t="shared" si="328"/>
        <v>600k–900k</v>
      </c>
      <c r="P4964" s="19" t="str">
        <f t="shared" si="329"/>
        <v>26-35</v>
      </c>
    </row>
    <row r="4965" spans="1:16" x14ac:dyDescent="0.25">
      <c r="A4965">
        <v>4964</v>
      </c>
      <c r="B4965" t="s">
        <v>9</v>
      </c>
      <c r="C4965">
        <v>298000</v>
      </c>
      <c r="D4965" t="s">
        <v>17</v>
      </c>
      <c r="E4965" t="s">
        <v>16</v>
      </c>
      <c r="F4965" t="s">
        <v>12</v>
      </c>
      <c r="G4965" t="s">
        <v>12</v>
      </c>
      <c r="H4965" t="s">
        <v>13</v>
      </c>
      <c r="I4965">
        <v>31</v>
      </c>
      <c r="J4965" t="str" cm="1">
        <f t="array" ref="J4965">_xlfn.IFS(ISBLANK(C4965),"FALTANTE",ABS((C4965-$W$5)/$X$5)&gt;1.96,"ATÍPICO",ABS((C4965-$W$5)/$X$5)&lt;=1.96,"NO ATÍPICO")</f>
        <v>NO ATÍPICO</v>
      </c>
      <c r="K4965" t="str" cm="1">
        <f t="array" ref="K4965">_xlfn.IFS(ISBLANK(I4965),"FALTANTE",ABS((I4965-$W$8)/$X$8)&gt;1.92,"ATÍPICO",ABS((I4965-$W$8)/$X$8)&lt;=1.92,"NO ATÍPICO")</f>
        <v>NO ATÍPICO</v>
      </c>
      <c r="L4965">
        <f t="shared" si="326"/>
        <v>298000</v>
      </c>
      <c r="M4965" t="str">
        <f t="shared" si="326"/>
        <v>ASEGURADO VOLUNTARIO</v>
      </c>
      <c r="N4965">
        <f t="shared" si="327"/>
        <v>31</v>
      </c>
      <c r="O4965" s="19" t="str">
        <f t="shared" si="328"/>
        <v>0–300k</v>
      </c>
      <c r="P4965" s="19" t="str">
        <f t="shared" si="329"/>
        <v>26-35</v>
      </c>
    </row>
    <row r="4966" spans="1:16" x14ac:dyDescent="0.25">
      <c r="A4966">
        <v>4965</v>
      </c>
      <c r="B4966" t="s">
        <v>15</v>
      </c>
      <c r="C4966">
        <v>349768</v>
      </c>
      <c r="D4966" t="s">
        <v>10</v>
      </c>
      <c r="E4966" t="s">
        <v>11</v>
      </c>
      <c r="F4966" t="s">
        <v>12</v>
      </c>
      <c r="G4966" t="s">
        <v>13</v>
      </c>
      <c r="H4966" t="s">
        <v>12</v>
      </c>
      <c r="I4966">
        <v>55</v>
      </c>
      <c r="J4966" t="str" cm="1">
        <f t="array" ref="J4966">_xlfn.IFS(ISBLANK(C4966),"FALTANTE",ABS((C4966-$W$5)/$X$5)&gt;1.96,"ATÍPICO",ABS((C4966-$W$5)/$X$5)&lt;=1.96,"NO ATÍPICO")</f>
        <v>NO ATÍPICO</v>
      </c>
      <c r="K4966" t="str" cm="1">
        <f t="array" ref="K4966">_xlfn.IFS(ISBLANK(I4966),"FALTANTE",ABS((I4966-$W$8)/$X$8)&gt;1.92,"ATÍPICO",ABS((I4966-$W$8)/$X$8)&lt;=1.92,"NO ATÍPICO")</f>
        <v>NO ATÍPICO</v>
      </c>
      <c r="L4966">
        <f t="shared" si="326"/>
        <v>349768</v>
      </c>
      <c r="M4966" t="str">
        <f t="shared" si="326"/>
        <v>ASALARIADO</v>
      </c>
      <c r="N4966">
        <f t="shared" si="327"/>
        <v>55</v>
      </c>
      <c r="O4966" s="19" t="str">
        <f t="shared" si="328"/>
        <v>300k–600k</v>
      </c>
      <c r="P4966" s="19" t="str">
        <f t="shared" si="329"/>
        <v>46-55</v>
      </c>
    </row>
    <row r="4967" spans="1:16" x14ac:dyDescent="0.25">
      <c r="A4967">
        <v>4966</v>
      </c>
      <c r="B4967" t="s">
        <v>15</v>
      </c>
      <c r="C4967">
        <v>297046</v>
      </c>
      <c r="D4967" t="s">
        <v>17</v>
      </c>
      <c r="E4967" t="s">
        <v>16</v>
      </c>
      <c r="F4967" t="s">
        <v>13</v>
      </c>
      <c r="G4967" t="s">
        <v>13</v>
      </c>
      <c r="H4967" t="s">
        <v>13</v>
      </c>
      <c r="I4967">
        <v>43</v>
      </c>
      <c r="J4967" t="str" cm="1">
        <f t="array" ref="J4967">_xlfn.IFS(ISBLANK(C4967),"FALTANTE",ABS((C4967-$W$5)/$X$5)&gt;1.96,"ATÍPICO",ABS((C4967-$W$5)/$X$5)&lt;=1.96,"NO ATÍPICO")</f>
        <v>NO ATÍPICO</v>
      </c>
      <c r="K4967" t="str" cm="1">
        <f t="array" ref="K4967">_xlfn.IFS(ISBLANK(I4967),"FALTANTE",ABS((I4967-$W$8)/$X$8)&gt;1.92,"ATÍPICO",ABS((I4967-$W$8)/$X$8)&lt;=1.92,"NO ATÍPICO")</f>
        <v>NO ATÍPICO</v>
      </c>
      <c r="L4967">
        <f t="shared" si="326"/>
        <v>297046</v>
      </c>
      <c r="M4967" t="str">
        <f t="shared" si="326"/>
        <v>ASEGURADO VOLUNTARIO</v>
      </c>
      <c r="N4967">
        <f t="shared" si="327"/>
        <v>43</v>
      </c>
      <c r="O4967" s="19" t="str">
        <f t="shared" si="328"/>
        <v>0–300k</v>
      </c>
      <c r="P4967" s="19" t="str">
        <f t="shared" si="329"/>
        <v>36-45</v>
      </c>
    </row>
    <row r="4968" spans="1:16" x14ac:dyDescent="0.25">
      <c r="A4968">
        <v>4967</v>
      </c>
      <c r="B4968" t="s">
        <v>9</v>
      </c>
      <c r="C4968">
        <v>428928.14</v>
      </c>
      <c r="D4968" t="s">
        <v>10</v>
      </c>
      <c r="E4968" t="s">
        <v>16</v>
      </c>
      <c r="F4968" t="s">
        <v>12</v>
      </c>
      <c r="G4968" t="s">
        <v>13</v>
      </c>
      <c r="H4968" t="s">
        <v>13</v>
      </c>
      <c r="I4968">
        <v>36</v>
      </c>
      <c r="J4968" t="str" cm="1">
        <f t="array" ref="J4968">_xlfn.IFS(ISBLANK(C4968),"FALTANTE",ABS((C4968-$W$5)/$X$5)&gt;1.96,"ATÍPICO",ABS((C4968-$W$5)/$X$5)&lt;=1.96,"NO ATÍPICO")</f>
        <v>NO ATÍPICO</v>
      </c>
      <c r="K4968" t="str" cm="1">
        <f t="array" ref="K4968">_xlfn.IFS(ISBLANK(I4968),"FALTANTE",ABS((I4968-$W$8)/$X$8)&gt;1.92,"ATÍPICO",ABS((I4968-$W$8)/$X$8)&lt;=1.92,"NO ATÍPICO")</f>
        <v>NO ATÍPICO</v>
      </c>
      <c r="L4968">
        <f t="shared" si="326"/>
        <v>428928.14</v>
      </c>
      <c r="M4968" t="str">
        <f t="shared" si="326"/>
        <v>ASALARIADO</v>
      </c>
      <c r="N4968">
        <f t="shared" si="327"/>
        <v>36</v>
      </c>
      <c r="O4968" s="19" t="str">
        <f t="shared" si="328"/>
        <v>300k–600k</v>
      </c>
      <c r="P4968" s="19" t="str">
        <f t="shared" si="329"/>
        <v>36-45</v>
      </c>
    </row>
    <row r="4969" spans="1:16" x14ac:dyDescent="0.25">
      <c r="A4969">
        <v>4968</v>
      </c>
      <c r="B4969" t="s">
        <v>15</v>
      </c>
      <c r="C4969">
        <v>446938.37</v>
      </c>
      <c r="D4969" t="s">
        <v>10</v>
      </c>
      <c r="E4969" t="s">
        <v>16</v>
      </c>
      <c r="F4969" t="s">
        <v>12</v>
      </c>
      <c r="G4969" t="s">
        <v>13</v>
      </c>
      <c r="H4969" t="s">
        <v>12</v>
      </c>
      <c r="I4969">
        <v>30</v>
      </c>
      <c r="J4969" t="str" cm="1">
        <f t="array" ref="J4969">_xlfn.IFS(ISBLANK(C4969),"FALTANTE",ABS((C4969-$W$5)/$X$5)&gt;1.96,"ATÍPICO",ABS((C4969-$W$5)/$X$5)&lt;=1.96,"NO ATÍPICO")</f>
        <v>NO ATÍPICO</v>
      </c>
      <c r="K4969" t="str" cm="1">
        <f t="array" ref="K4969">_xlfn.IFS(ISBLANK(I4969),"FALTANTE",ABS((I4969-$W$8)/$X$8)&gt;1.92,"ATÍPICO",ABS((I4969-$W$8)/$X$8)&lt;=1.92,"NO ATÍPICO")</f>
        <v>NO ATÍPICO</v>
      </c>
      <c r="L4969">
        <f t="shared" si="326"/>
        <v>446938.37</v>
      </c>
      <c r="M4969" t="str">
        <f t="shared" si="326"/>
        <v>ASALARIADO</v>
      </c>
      <c r="N4969">
        <f t="shared" si="327"/>
        <v>30</v>
      </c>
      <c r="O4969" s="19" t="str">
        <f t="shared" si="328"/>
        <v>300k–600k</v>
      </c>
      <c r="P4969" s="19" t="str">
        <f t="shared" si="329"/>
        <v>26-35</v>
      </c>
    </row>
    <row r="4970" spans="1:16" x14ac:dyDescent="0.25">
      <c r="A4970">
        <v>4969</v>
      </c>
      <c r="B4970" t="s">
        <v>15</v>
      </c>
      <c r="C4970">
        <v>968467.27</v>
      </c>
      <c r="D4970" t="s">
        <v>10</v>
      </c>
      <c r="E4970" t="s">
        <v>16</v>
      </c>
      <c r="F4970" t="s">
        <v>12</v>
      </c>
      <c r="G4970" t="s">
        <v>13</v>
      </c>
      <c r="H4970" t="s">
        <v>13</v>
      </c>
      <c r="I4970">
        <v>33</v>
      </c>
      <c r="J4970" t="str" cm="1">
        <f t="array" ref="J4970">_xlfn.IFS(ISBLANK(C4970),"FALTANTE",ABS((C4970-$W$5)/$X$5)&gt;1.96,"ATÍPICO",ABS((C4970-$W$5)/$X$5)&lt;=1.96,"NO ATÍPICO")</f>
        <v>NO ATÍPICO</v>
      </c>
      <c r="K4970" t="str" cm="1">
        <f t="array" ref="K4970">_xlfn.IFS(ISBLANK(I4970),"FALTANTE",ABS((I4970-$W$8)/$X$8)&gt;1.92,"ATÍPICO",ABS((I4970-$W$8)/$X$8)&lt;=1.92,"NO ATÍPICO")</f>
        <v>NO ATÍPICO</v>
      </c>
      <c r="L4970">
        <f t="shared" si="326"/>
        <v>968467.27</v>
      </c>
      <c r="M4970" t="str">
        <f t="shared" si="326"/>
        <v>ASALARIADO</v>
      </c>
      <c r="N4970">
        <f t="shared" si="327"/>
        <v>33</v>
      </c>
      <c r="O4970" s="19" t="str">
        <f t="shared" si="328"/>
        <v>900k–1200k</v>
      </c>
      <c r="P4970" s="19" t="str">
        <f t="shared" si="329"/>
        <v>26-35</v>
      </c>
    </row>
    <row r="4971" spans="1:16" x14ac:dyDescent="0.25">
      <c r="A4971">
        <v>4970</v>
      </c>
      <c r="B4971" t="s">
        <v>15</v>
      </c>
      <c r="C4971">
        <v>302470</v>
      </c>
      <c r="D4971" t="s">
        <v>18</v>
      </c>
      <c r="E4971" t="s">
        <v>16</v>
      </c>
      <c r="F4971" t="s">
        <v>12</v>
      </c>
      <c r="G4971" t="s">
        <v>13</v>
      </c>
      <c r="H4971" t="s">
        <v>13</v>
      </c>
      <c r="I4971">
        <v>23</v>
      </c>
      <c r="J4971" t="str" cm="1">
        <f t="array" ref="J4971">_xlfn.IFS(ISBLANK(C4971),"FALTANTE",ABS((C4971-$W$5)/$X$5)&gt;1.96,"ATÍPICO",ABS((C4971-$W$5)/$X$5)&lt;=1.96,"NO ATÍPICO")</f>
        <v>NO ATÍPICO</v>
      </c>
      <c r="K4971" t="str" cm="1">
        <f t="array" ref="K4971">_xlfn.IFS(ISBLANK(I4971),"FALTANTE",ABS((I4971-$W$8)/$X$8)&gt;1.92,"ATÍPICO",ABS((I4971-$W$8)/$X$8)&lt;=1.92,"NO ATÍPICO")</f>
        <v>NO ATÍPICO</v>
      </c>
      <c r="L4971">
        <f t="shared" si="326"/>
        <v>302470</v>
      </c>
      <c r="M4971" t="str">
        <f t="shared" si="326"/>
        <v>TRABAJADOR INDEPENDIENTE</v>
      </c>
      <c r="N4971">
        <f t="shared" si="327"/>
        <v>23</v>
      </c>
      <c r="O4971" s="19" t="str">
        <f t="shared" si="328"/>
        <v>300k–600k</v>
      </c>
      <c r="P4971" s="19" t="str">
        <f t="shared" si="329"/>
        <v>18-25</v>
      </c>
    </row>
    <row r="4972" spans="1:16" x14ac:dyDescent="0.25">
      <c r="A4972">
        <v>4971</v>
      </c>
      <c r="B4972" t="s">
        <v>9</v>
      </c>
      <c r="C4972">
        <v>742053.13</v>
      </c>
      <c r="D4972" t="s">
        <v>10</v>
      </c>
      <c r="E4972" t="s">
        <v>11</v>
      </c>
      <c r="F4972" t="s">
        <v>12</v>
      </c>
      <c r="G4972" t="s">
        <v>13</v>
      </c>
      <c r="H4972" t="s">
        <v>13</v>
      </c>
      <c r="I4972">
        <v>39</v>
      </c>
      <c r="J4972" t="str" cm="1">
        <f t="array" ref="J4972">_xlfn.IFS(ISBLANK(C4972),"FALTANTE",ABS((C4972-$W$5)/$X$5)&gt;1.96,"ATÍPICO",ABS((C4972-$W$5)/$X$5)&lt;=1.96,"NO ATÍPICO")</f>
        <v>NO ATÍPICO</v>
      </c>
      <c r="K4972" t="str" cm="1">
        <f t="array" ref="K4972">_xlfn.IFS(ISBLANK(I4972),"FALTANTE",ABS((I4972-$W$8)/$X$8)&gt;1.92,"ATÍPICO",ABS((I4972-$W$8)/$X$8)&lt;=1.92,"NO ATÍPICO")</f>
        <v>NO ATÍPICO</v>
      </c>
      <c r="L4972">
        <f t="shared" si="326"/>
        <v>742053.13</v>
      </c>
      <c r="M4972" t="str">
        <f t="shared" si="326"/>
        <v>ASALARIADO</v>
      </c>
      <c r="N4972">
        <f t="shared" si="327"/>
        <v>39</v>
      </c>
      <c r="O4972" s="19" t="str">
        <f t="shared" si="328"/>
        <v>600k–900k</v>
      </c>
      <c r="P4972" s="19" t="str">
        <f t="shared" si="329"/>
        <v>36-45</v>
      </c>
    </row>
    <row r="4973" spans="1:16" x14ac:dyDescent="0.25">
      <c r="A4973">
        <v>4972</v>
      </c>
      <c r="B4973" t="s">
        <v>9</v>
      </c>
      <c r="C4973">
        <v>442402.66</v>
      </c>
      <c r="D4973" t="s">
        <v>10</v>
      </c>
      <c r="E4973" t="s">
        <v>16</v>
      </c>
      <c r="F4973" t="s">
        <v>12</v>
      </c>
      <c r="G4973" t="s">
        <v>13</v>
      </c>
      <c r="H4973" t="s">
        <v>13</v>
      </c>
      <c r="I4973">
        <v>33</v>
      </c>
      <c r="J4973" t="str" cm="1">
        <f t="array" ref="J4973">_xlfn.IFS(ISBLANK(C4973),"FALTANTE",ABS((C4973-$W$5)/$X$5)&gt;1.96,"ATÍPICO",ABS((C4973-$W$5)/$X$5)&lt;=1.96,"NO ATÍPICO")</f>
        <v>NO ATÍPICO</v>
      </c>
      <c r="K4973" t="str" cm="1">
        <f t="array" ref="K4973">_xlfn.IFS(ISBLANK(I4973),"FALTANTE",ABS((I4973-$W$8)/$X$8)&gt;1.92,"ATÍPICO",ABS((I4973-$W$8)/$X$8)&lt;=1.92,"NO ATÍPICO")</f>
        <v>NO ATÍPICO</v>
      </c>
      <c r="L4973">
        <f t="shared" si="326"/>
        <v>442402.66</v>
      </c>
      <c r="M4973" t="str">
        <f t="shared" si="326"/>
        <v>ASALARIADO</v>
      </c>
      <c r="N4973">
        <f t="shared" si="327"/>
        <v>33</v>
      </c>
      <c r="O4973" s="19" t="str">
        <f t="shared" si="328"/>
        <v>300k–600k</v>
      </c>
      <c r="P4973" s="19" t="str">
        <f t="shared" si="329"/>
        <v>26-35</v>
      </c>
    </row>
    <row r="4974" spans="1:16" x14ac:dyDescent="0.25">
      <c r="A4974">
        <v>4973</v>
      </c>
      <c r="B4974" t="s">
        <v>9</v>
      </c>
      <c r="C4974">
        <v>911494.56</v>
      </c>
      <c r="D4974" t="s">
        <v>10</v>
      </c>
      <c r="E4974" t="s">
        <v>16</v>
      </c>
      <c r="F4974" t="s">
        <v>12</v>
      </c>
      <c r="G4974" t="s">
        <v>13</v>
      </c>
      <c r="H4974" t="s">
        <v>13</v>
      </c>
      <c r="I4974">
        <v>41</v>
      </c>
      <c r="J4974" t="str" cm="1">
        <f t="array" ref="J4974">_xlfn.IFS(ISBLANK(C4974),"FALTANTE",ABS((C4974-$W$5)/$X$5)&gt;1.96,"ATÍPICO",ABS((C4974-$W$5)/$X$5)&lt;=1.96,"NO ATÍPICO")</f>
        <v>NO ATÍPICO</v>
      </c>
      <c r="K4974" t="str" cm="1">
        <f t="array" ref="K4974">_xlfn.IFS(ISBLANK(I4974),"FALTANTE",ABS((I4974-$W$8)/$X$8)&gt;1.92,"ATÍPICO",ABS((I4974-$W$8)/$X$8)&lt;=1.92,"NO ATÍPICO")</f>
        <v>NO ATÍPICO</v>
      </c>
      <c r="L4974">
        <f t="shared" si="326"/>
        <v>911494.56</v>
      </c>
      <c r="M4974" t="str">
        <f t="shared" si="326"/>
        <v>ASALARIADO</v>
      </c>
      <c r="N4974">
        <f t="shared" si="327"/>
        <v>41</v>
      </c>
      <c r="O4974" s="19" t="str">
        <f t="shared" si="328"/>
        <v>900k–1200k</v>
      </c>
      <c r="P4974" s="19" t="str">
        <f t="shared" si="329"/>
        <v>36-45</v>
      </c>
    </row>
    <row r="4975" spans="1:16" x14ac:dyDescent="0.25">
      <c r="A4975">
        <v>4974</v>
      </c>
      <c r="B4975" t="s">
        <v>15</v>
      </c>
      <c r="C4975">
        <v>1000000</v>
      </c>
      <c r="D4975" t="s">
        <v>10</v>
      </c>
      <c r="E4975" t="s">
        <v>16</v>
      </c>
      <c r="F4975" t="s">
        <v>12</v>
      </c>
      <c r="G4975" t="s">
        <v>13</v>
      </c>
      <c r="H4975" t="s">
        <v>13</v>
      </c>
      <c r="I4975">
        <v>37</v>
      </c>
      <c r="J4975" t="str" cm="1">
        <f t="array" ref="J4975">_xlfn.IFS(ISBLANK(C4975),"FALTANTE",ABS((C4975-$W$5)/$X$5)&gt;1.96,"ATÍPICO",ABS((C4975-$W$5)/$X$5)&lt;=1.96,"NO ATÍPICO")</f>
        <v>NO ATÍPICO</v>
      </c>
      <c r="K4975" t="str" cm="1">
        <f t="array" ref="K4975">_xlfn.IFS(ISBLANK(I4975),"FALTANTE",ABS((I4975-$W$8)/$X$8)&gt;1.92,"ATÍPICO",ABS((I4975-$W$8)/$X$8)&lt;=1.92,"NO ATÍPICO")</f>
        <v>NO ATÍPICO</v>
      </c>
      <c r="L4975">
        <f t="shared" si="326"/>
        <v>1000000</v>
      </c>
      <c r="M4975" t="str">
        <f t="shared" si="326"/>
        <v>ASALARIADO</v>
      </c>
      <c r="N4975">
        <f t="shared" si="327"/>
        <v>37</v>
      </c>
      <c r="O4975" s="19" t="str">
        <f t="shared" si="328"/>
        <v>900k–1200k</v>
      </c>
      <c r="P4975" s="19" t="str">
        <f t="shared" si="329"/>
        <v>36-45</v>
      </c>
    </row>
    <row r="4976" spans="1:16" x14ac:dyDescent="0.25">
      <c r="A4976">
        <v>4975</v>
      </c>
      <c r="B4976" t="s">
        <v>15</v>
      </c>
      <c r="C4976">
        <v>415284</v>
      </c>
      <c r="D4976" t="s">
        <v>14</v>
      </c>
      <c r="E4976" t="s">
        <v>11</v>
      </c>
      <c r="F4976" t="s">
        <v>12</v>
      </c>
      <c r="G4976" t="s">
        <v>13</v>
      </c>
      <c r="H4976" t="s">
        <v>13</v>
      </c>
      <c r="I4976">
        <v>66</v>
      </c>
      <c r="J4976" t="str" cm="1">
        <f t="array" ref="J4976">_xlfn.IFS(ISBLANK(C4976),"FALTANTE",ABS((C4976-$W$5)/$X$5)&gt;1.96,"ATÍPICO",ABS((C4976-$W$5)/$X$5)&lt;=1.96,"NO ATÍPICO")</f>
        <v>NO ATÍPICO</v>
      </c>
      <c r="K4976" t="str" cm="1">
        <f t="array" ref="K4976">_xlfn.IFS(ISBLANK(I4976),"FALTANTE",ABS((I4976-$W$8)/$X$8)&gt;1.92,"ATÍPICO",ABS((I4976-$W$8)/$X$8)&lt;=1.92,"NO ATÍPICO")</f>
        <v>NO ATÍPICO</v>
      </c>
      <c r="L4976">
        <f t="shared" si="326"/>
        <v>415284</v>
      </c>
      <c r="M4976" t="str">
        <f t="shared" si="326"/>
        <v>PENSIONADOS EN SU PROPIO SISTEMA</v>
      </c>
      <c r="N4976">
        <f t="shared" si="327"/>
        <v>66</v>
      </c>
      <c r="O4976" s="19" t="str">
        <f t="shared" si="328"/>
        <v>300k–600k</v>
      </c>
      <c r="P4976" s="19" t="str">
        <f t="shared" si="329"/>
        <v>56+</v>
      </c>
    </row>
    <row r="4977" spans="1:16" x14ac:dyDescent="0.25">
      <c r="A4977">
        <v>4976</v>
      </c>
      <c r="B4977" t="s">
        <v>9</v>
      </c>
      <c r="C4977">
        <v>278030</v>
      </c>
      <c r="D4977" t="s">
        <v>18</v>
      </c>
      <c r="E4977" t="s">
        <v>16</v>
      </c>
      <c r="F4977" t="s">
        <v>12</v>
      </c>
      <c r="G4977" t="s">
        <v>13</v>
      </c>
      <c r="H4977" t="s">
        <v>12</v>
      </c>
      <c r="I4977">
        <v>25</v>
      </c>
      <c r="J4977" t="str" cm="1">
        <f t="array" ref="J4977">_xlfn.IFS(ISBLANK(C4977),"FALTANTE",ABS((C4977-$W$5)/$X$5)&gt;1.96,"ATÍPICO",ABS((C4977-$W$5)/$X$5)&lt;=1.96,"NO ATÍPICO")</f>
        <v>NO ATÍPICO</v>
      </c>
      <c r="K4977" t="str" cm="1">
        <f t="array" ref="K4977">_xlfn.IFS(ISBLANK(I4977),"FALTANTE",ABS((I4977-$W$8)/$X$8)&gt;1.92,"ATÍPICO",ABS((I4977-$W$8)/$X$8)&lt;=1.92,"NO ATÍPICO")</f>
        <v>NO ATÍPICO</v>
      </c>
      <c r="L4977">
        <f t="shared" si="326"/>
        <v>278030</v>
      </c>
      <c r="M4977" t="str">
        <f t="shared" si="326"/>
        <v>TRABAJADOR INDEPENDIENTE</v>
      </c>
      <c r="N4977">
        <f t="shared" si="327"/>
        <v>25</v>
      </c>
      <c r="O4977" s="19" t="str">
        <f t="shared" si="328"/>
        <v>0–300k</v>
      </c>
      <c r="P4977" s="19" t="str">
        <f t="shared" si="329"/>
        <v>18-25</v>
      </c>
    </row>
    <row r="4978" spans="1:16" x14ac:dyDescent="0.25">
      <c r="A4978">
        <v>4977</v>
      </c>
      <c r="B4978" t="s">
        <v>9</v>
      </c>
      <c r="C4978">
        <v>346518.97</v>
      </c>
      <c r="D4978" t="s">
        <v>10</v>
      </c>
      <c r="E4978" t="s">
        <v>16</v>
      </c>
      <c r="F4978" t="s">
        <v>12</v>
      </c>
      <c r="G4978" t="s">
        <v>13</v>
      </c>
      <c r="H4978" t="s">
        <v>13</v>
      </c>
      <c r="I4978">
        <v>22</v>
      </c>
      <c r="J4978" t="str" cm="1">
        <f t="array" ref="J4978">_xlfn.IFS(ISBLANK(C4978),"FALTANTE",ABS((C4978-$W$5)/$X$5)&gt;1.96,"ATÍPICO",ABS((C4978-$W$5)/$X$5)&lt;=1.96,"NO ATÍPICO")</f>
        <v>NO ATÍPICO</v>
      </c>
      <c r="K4978" t="str" cm="1">
        <f t="array" ref="K4978">_xlfn.IFS(ISBLANK(I4978),"FALTANTE",ABS((I4978-$W$8)/$X$8)&gt;1.92,"ATÍPICO",ABS((I4978-$W$8)/$X$8)&lt;=1.92,"NO ATÍPICO")</f>
        <v>NO ATÍPICO</v>
      </c>
      <c r="L4978">
        <f t="shared" si="326"/>
        <v>346518.97</v>
      </c>
      <c r="M4978" t="str">
        <f t="shared" si="326"/>
        <v>ASALARIADO</v>
      </c>
      <c r="N4978">
        <f t="shared" si="327"/>
        <v>22</v>
      </c>
      <c r="O4978" s="19" t="str">
        <f t="shared" si="328"/>
        <v>300k–600k</v>
      </c>
      <c r="P4978" s="19" t="str">
        <f t="shared" si="329"/>
        <v>18-25</v>
      </c>
    </row>
    <row r="4979" spans="1:16" x14ac:dyDescent="0.25">
      <c r="A4979">
        <v>4978</v>
      </c>
      <c r="B4979" t="s">
        <v>15</v>
      </c>
      <c r="C4979">
        <v>1261759.8799999999</v>
      </c>
      <c r="D4979" t="s">
        <v>10</v>
      </c>
      <c r="E4979" t="s">
        <v>11</v>
      </c>
      <c r="F4979" t="s">
        <v>12</v>
      </c>
      <c r="G4979" t="s">
        <v>13</v>
      </c>
      <c r="H4979" t="s">
        <v>13</v>
      </c>
      <c r="I4979">
        <v>35</v>
      </c>
      <c r="J4979" t="str" cm="1">
        <f t="array" ref="J4979">_xlfn.IFS(ISBLANK(C4979),"FALTANTE",ABS((C4979-$W$5)/$X$5)&gt;1.96,"ATÍPICO",ABS((C4979-$W$5)/$X$5)&lt;=1.96,"NO ATÍPICO")</f>
        <v>NO ATÍPICO</v>
      </c>
      <c r="K4979" t="str" cm="1">
        <f t="array" ref="K4979">_xlfn.IFS(ISBLANK(I4979),"FALTANTE",ABS((I4979-$W$8)/$X$8)&gt;1.92,"ATÍPICO",ABS((I4979-$W$8)/$X$8)&lt;=1.92,"NO ATÍPICO")</f>
        <v>NO ATÍPICO</v>
      </c>
      <c r="L4979">
        <f t="shared" si="326"/>
        <v>1261759.8799999999</v>
      </c>
      <c r="M4979" t="str">
        <f t="shared" si="326"/>
        <v>ASALARIADO</v>
      </c>
      <c r="N4979">
        <f t="shared" si="327"/>
        <v>35</v>
      </c>
      <c r="O4979" s="19" t="str">
        <f t="shared" si="328"/>
        <v>1200k+</v>
      </c>
      <c r="P4979" s="19" t="str">
        <f t="shared" si="329"/>
        <v>26-35</v>
      </c>
    </row>
    <row r="4980" spans="1:16" x14ac:dyDescent="0.25">
      <c r="A4980">
        <v>4979</v>
      </c>
      <c r="B4980" t="s">
        <v>9</v>
      </c>
      <c r="C4980">
        <v>889320.28</v>
      </c>
      <c r="D4980" t="s">
        <v>21</v>
      </c>
      <c r="E4980" t="s">
        <v>16</v>
      </c>
      <c r="F4980" t="s">
        <v>12</v>
      </c>
      <c r="G4980" t="s">
        <v>13</v>
      </c>
      <c r="H4980" t="s">
        <v>13</v>
      </c>
      <c r="I4980">
        <v>59</v>
      </c>
      <c r="J4980" t="str" cm="1">
        <f t="array" ref="J4980">_xlfn.IFS(ISBLANK(C4980),"FALTANTE",ABS((C4980-$W$5)/$X$5)&gt;1.96,"ATÍPICO",ABS((C4980-$W$5)/$X$5)&lt;=1.96,"NO ATÍPICO")</f>
        <v>NO ATÍPICO</v>
      </c>
      <c r="K4980" t="str" cm="1">
        <f t="array" ref="K4980">_xlfn.IFS(ISBLANK(I4980),"FALTANTE",ABS((I4980-$W$8)/$X$8)&gt;1.92,"ATÍPICO",ABS((I4980-$W$8)/$X$8)&lt;=1.92,"NO ATÍPICO")</f>
        <v>NO ATÍPICO</v>
      </c>
      <c r="L4980">
        <f t="shared" si="326"/>
        <v>889320.28</v>
      </c>
      <c r="M4980" t="str">
        <f t="shared" si="326"/>
        <v>CONVENIOS ESPECIALES DE ASEGURADOS VOLUNTARIOS</v>
      </c>
      <c r="N4980">
        <f t="shared" si="327"/>
        <v>59</v>
      </c>
      <c r="O4980" s="19" t="str">
        <f t="shared" si="328"/>
        <v>600k–900k</v>
      </c>
      <c r="P4980" s="19" t="str">
        <f t="shared" si="329"/>
        <v>56+</v>
      </c>
    </row>
    <row r="4981" spans="1:16" x14ac:dyDescent="0.25">
      <c r="A4981">
        <v>4980</v>
      </c>
      <c r="B4981" t="s">
        <v>9</v>
      </c>
      <c r="C4981">
        <v>297046</v>
      </c>
      <c r="D4981" t="s">
        <v>18</v>
      </c>
      <c r="E4981" t="s">
        <v>16</v>
      </c>
      <c r="F4981" t="s">
        <v>12</v>
      </c>
      <c r="G4981" t="s">
        <v>12</v>
      </c>
      <c r="H4981" t="s">
        <v>12</v>
      </c>
      <c r="I4981">
        <v>36</v>
      </c>
      <c r="J4981" t="str" cm="1">
        <f t="array" ref="J4981">_xlfn.IFS(ISBLANK(C4981),"FALTANTE",ABS((C4981-$W$5)/$X$5)&gt;1.96,"ATÍPICO",ABS((C4981-$W$5)/$X$5)&lt;=1.96,"NO ATÍPICO")</f>
        <v>NO ATÍPICO</v>
      </c>
      <c r="K4981" t="str" cm="1">
        <f t="array" ref="K4981">_xlfn.IFS(ISBLANK(I4981),"FALTANTE",ABS((I4981-$W$8)/$X$8)&gt;1.92,"ATÍPICO",ABS((I4981-$W$8)/$X$8)&lt;=1.92,"NO ATÍPICO")</f>
        <v>NO ATÍPICO</v>
      </c>
      <c r="L4981">
        <f t="shared" si="326"/>
        <v>297046</v>
      </c>
      <c r="M4981" t="str">
        <f t="shared" si="326"/>
        <v>TRABAJADOR INDEPENDIENTE</v>
      </c>
      <c r="N4981">
        <f t="shared" si="327"/>
        <v>36</v>
      </c>
      <c r="O4981" s="19" t="str">
        <f t="shared" si="328"/>
        <v>0–300k</v>
      </c>
      <c r="P4981" s="19" t="str">
        <f t="shared" si="329"/>
        <v>36-45</v>
      </c>
    </row>
    <row r="4982" spans="1:16" x14ac:dyDescent="0.25">
      <c r="A4982">
        <v>4981</v>
      </c>
      <c r="B4982" t="s">
        <v>9</v>
      </c>
      <c r="C4982">
        <v>385702</v>
      </c>
      <c r="D4982" t="s">
        <v>18</v>
      </c>
      <c r="E4982" t="s">
        <v>16</v>
      </c>
      <c r="F4982" t="s">
        <v>12</v>
      </c>
      <c r="G4982" t="s">
        <v>13</v>
      </c>
      <c r="H4982" t="s">
        <v>12</v>
      </c>
      <c r="I4982">
        <v>39</v>
      </c>
      <c r="J4982" t="str" cm="1">
        <f t="array" ref="J4982">_xlfn.IFS(ISBLANK(C4982),"FALTANTE",ABS((C4982-$W$5)/$X$5)&gt;1.96,"ATÍPICO",ABS((C4982-$W$5)/$X$5)&lt;=1.96,"NO ATÍPICO")</f>
        <v>NO ATÍPICO</v>
      </c>
      <c r="K4982" t="str" cm="1">
        <f t="array" ref="K4982">_xlfn.IFS(ISBLANK(I4982),"FALTANTE",ABS((I4982-$W$8)/$X$8)&gt;1.92,"ATÍPICO",ABS((I4982-$W$8)/$X$8)&lt;=1.92,"NO ATÍPICO")</f>
        <v>NO ATÍPICO</v>
      </c>
      <c r="L4982">
        <f t="shared" si="326"/>
        <v>385702</v>
      </c>
      <c r="M4982" t="str">
        <f t="shared" si="326"/>
        <v>TRABAJADOR INDEPENDIENTE</v>
      </c>
      <c r="N4982">
        <f t="shared" si="327"/>
        <v>39</v>
      </c>
      <c r="O4982" s="19" t="str">
        <f t="shared" si="328"/>
        <v>300k–600k</v>
      </c>
      <c r="P4982" s="19" t="str">
        <f t="shared" si="329"/>
        <v>36-45</v>
      </c>
    </row>
    <row r="4983" spans="1:16" x14ac:dyDescent="0.25">
      <c r="A4983">
        <v>4982</v>
      </c>
      <c r="B4983" t="s">
        <v>9</v>
      </c>
      <c r="C4983">
        <v>299647</v>
      </c>
      <c r="D4983" t="s">
        <v>17</v>
      </c>
      <c r="E4983" t="s">
        <v>16</v>
      </c>
      <c r="F4983" t="s">
        <v>12</v>
      </c>
      <c r="G4983" t="s">
        <v>13</v>
      </c>
      <c r="H4983" t="s">
        <v>13</v>
      </c>
      <c r="I4983">
        <v>67</v>
      </c>
      <c r="J4983" t="str" cm="1">
        <f t="array" ref="J4983">_xlfn.IFS(ISBLANK(C4983),"FALTANTE",ABS((C4983-$W$5)/$X$5)&gt;1.96,"ATÍPICO",ABS((C4983-$W$5)/$X$5)&lt;=1.96,"NO ATÍPICO")</f>
        <v>NO ATÍPICO</v>
      </c>
      <c r="K4983" t="str" cm="1">
        <f t="array" ref="K4983">_xlfn.IFS(ISBLANK(I4983),"FALTANTE",ABS((I4983-$W$8)/$X$8)&gt;1.92,"ATÍPICO",ABS((I4983-$W$8)/$X$8)&lt;=1.92,"NO ATÍPICO")</f>
        <v>NO ATÍPICO</v>
      </c>
      <c r="L4983">
        <f t="shared" si="326"/>
        <v>299647</v>
      </c>
      <c r="M4983" t="str">
        <f t="shared" si="326"/>
        <v>ASEGURADO VOLUNTARIO</v>
      </c>
      <c r="N4983">
        <f t="shared" si="327"/>
        <v>67</v>
      </c>
      <c r="O4983" s="19" t="str">
        <f t="shared" si="328"/>
        <v>0–300k</v>
      </c>
      <c r="P4983" s="19" t="str">
        <f t="shared" si="329"/>
        <v>56+</v>
      </c>
    </row>
    <row r="4984" spans="1:16" x14ac:dyDescent="0.25">
      <c r="A4984">
        <v>4983</v>
      </c>
      <c r="B4984" t="s">
        <v>15</v>
      </c>
      <c r="C4984">
        <v>324345.28000000003</v>
      </c>
      <c r="D4984" t="s">
        <v>10</v>
      </c>
      <c r="E4984" t="s">
        <v>16</v>
      </c>
      <c r="F4984" t="s">
        <v>12</v>
      </c>
      <c r="G4984" t="s">
        <v>13</v>
      </c>
      <c r="H4984" t="s">
        <v>13</v>
      </c>
      <c r="I4984">
        <v>38</v>
      </c>
      <c r="J4984" t="str" cm="1">
        <f t="array" ref="J4984">_xlfn.IFS(ISBLANK(C4984),"FALTANTE",ABS((C4984-$W$5)/$X$5)&gt;1.96,"ATÍPICO",ABS((C4984-$W$5)/$X$5)&lt;=1.96,"NO ATÍPICO")</f>
        <v>NO ATÍPICO</v>
      </c>
      <c r="K4984" t="str" cm="1">
        <f t="array" ref="K4984">_xlfn.IFS(ISBLANK(I4984),"FALTANTE",ABS((I4984-$W$8)/$X$8)&gt;1.92,"ATÍPICO",ABS((I4984-$W$8)/$X$8)&lt;=1.92,"NO ATÍPICO")</f>
        <v>NO ATÍPICO</v>
      </c>
      <c r="L4984">
        <f t="shared" si="326"/>
        <v>324345.28000000003</v>
      </c>
      <c r="M4984" t="str">
        <f t="shared" si="326"/>
        <v>ASALARIADO</v>
      </c>
      <c r="N4984">
        <f t="shared" si="327"/>
        <v>38</v>
      </c>
      <c r="O4984" s="19" t="str">
        <f t="shared" si="328"/>
        <v>300k–600k</v>
      </c>
      <c r="P4984" s="19" t="str">
        <f t="shared" si="329"/>
        <v>36-45</v>
      </c>
    </row>
    <row r="4985" spans="1:16" x14ac:dyDescent="0.25">
      <c r="A4985">
        <v>4984</v>
      </c>
      <c r="B4985" t="s">
        <v>9</v>
      </c>
      <c r="C4985">
        <v>331181</v>
      </c>
      <c r="D4985" t="s">
        <v>18</v>
      </c>
      <c r="E4985" t="s">
        <v>16</v>
      </c>
      <c r="F4985" t="s">
        <v>12</v>
      </c>
      <c r="G4985" t="s">
        <v>12</v>
      </c>
      <c r="H4985" t="s">
        <v>12</v>
      </c>
      <c r="I4985">
        <v>55</v>
      </c>
      <c r="J4985" t="str" cm="1">
        <f t="array" ref="J4985">_xlfn.IFS(ISBLANK(C4985),"FALTANTE",ABS((C4985-$W$5)/$X$5)&gt;1.96,"ATÍPICO",ABS((C4985-$W$5)/$X$5)&lt;=1.96,"NO ATÍPICO")</f>
        <v>NO ATÍPICO</v>
      </c>
      <c r="K4985" t="str" cm="1">
        <f t="array" ref="K4985">_xlfn.IFS(ISBLANK(I4985),"FALTANTE",ABS((I4985-$W$8)/$X$8)&gt;1.92,"ATÍPICO",ABS((I4985-$W$8)/$X$8)&lt;=1.92,"NO ATÍPICO")</f>
        <v>NO ATÍPICO</v>
      </c>
      <c r="L4985">
        <f t="shared" si="326"/>
        <v>331181</v>
      </c>
      <c r="M4985" t="str">
        <f t="shared" si="326"/>
        <v>TRABAJADOR INDEPENDIENTE</v>
      </c>
      <c r="N4985">
        <f t="shared" si="327"/>
        <v>55</v>
      </c>
      <c r="O4985" s="19" t="str">
        <f t="shared" si="328"/>
        <v>300k–600k</v>
      </c>
      <c r="P4985" s="19" t="str">
        <f t="shared" si="329"/>
        <v>46-55</v>
      </c>
    </row>
    <row r="4986" spans="1:16" x14ac:dyDescent="0.25">
      <c r="A4986">
        <v>4985</v>
      </c>
      <c r="B4986" t="s">
        <v>15</v>
      </c>
      <c r="C4986">
        <v>376777</v>
      </c>
      <c r="D4986" t="s">
        <v>10</v>
      </c>
      <c r="E4986" t="s">
        <v>16</v>
      </c>
      <c r="F4986" t="s">
        <v>12</v>
      </c>
      <c r="G4986" t="s">
        <v>13</v>
      </c>
      <c r="H4986" t="s">
        <v>12</v>
      </c>
      <c r="I4986">
        <v>33</v>
      </c>
      <c r="J4986" t="str" cm="1">
        <f t="array" ref="J4986">_xlfn.IFS(ISBLANK(C4986),"FALTANTE",ABS((C4986-$W$5)/$X$5)&gt;1.96,"ATÍPICO",ABS((C4986-$W$5)/$X$5)&lt;=1.96,"NO ATÍPICO")</f>
        <v>NO ATÍPICO</v>
      </c>
      <c r="K4986" t="str" cm="1">
        <f t="array" ref="K4986">_xlfn.IFS(ISBLANK(I4986),"FALTANTE",ABS((I4986-$W$8)/$X$8)&gt;1.92,"ATÍPICO",ABS((I4986-$W$8)/$X$8)&lt;=1.92,"NO ATÍPICO")</f>
        <v>NO ATÍPICO</v>
      </c>
      <c r="L4986">
        <f t="shared" si="326"/>
        <v>376777</v>
      </c>
      <c r="M4986" t="str">
        <f t="shared" si="326"/>
        <v>ASALARIADO</v>
      </c>
      <c r="N4986">
        <f t="shared" si="327"/>
        <v>33</v>
      </c>
      <c r="O4986" s="19" t="str">
        <f t="shared" si="328"/>
        <v>300k–600k</v>
      </c>
      <c r="P4986" s="19" t="str">
        <f t="shared" si="329"/>
        <v>26-35</v>
      </c>
    </row>
    <row r="4987" spans="1:16" x14ac:dyDescent="0.25">
      <c r="A4987">
        <v>4986</v>
      </c>
      <c r="B4987" t="s">
        <v>15</v>
      </c>
      <c r="C4987">
        <v>356455</v>
      </c>
      <c r="D4987" t="s">
        <v>18</v>
      </c>
      <c r="E4987" t="s">
        <v>16</v>
      </c>
      <c r="F4987" t="s">
        <v>12</v>
      </c>
      <c r="G4987" t="s">
        <v>13</v>
      </c>
      <c r="H4987" t="s">
        <v>13</v>
      </c>
      <c r="I4987">
        <v>63</v>
      </c>
      <c r="J4987" t="str" cm="1">
        <f t="array" ref="J4987">_xlfn.IFS(ISBLANK(C4987),"FALTANTE",ABS((C4987-$W$5)/$X$5)&gt;1.96,"ATÍPICO",ABS((C4987-$W$5)/$X$5)&lt;=1.96,"NO ATÍPICO")</f>
        <v>NO ATÍPICO</v>
      </c>
      <c r="K4987" t="str" cm="1">
        <f t="array" ref="K4987">_xlfn.IFS(ISBLANK(I4987),"FALTANTE",ABS((I4987-$W$8)/$X$8)&gt;1.92,"ATÍPICO",ABS((I4987-$W$8)/$X$8)&lt;=1.92,"NO ATÍPICO")</f>
        <v>NO ATÍPICO</v>
      </c>
      <c r="L4987">
        <f t="shared" si="326"/>
        <v>356455</v>
      </c>
      <c r="M4987" t="str">
        <f t="shared" si="326"/>
        <v>TRABAJADOR INDEPENDIENTE</v>
      </c>
      <c r="N4987">
        <f t="shared" si="327"/>
        <v>63</v>
      </c>
      <c r="O4987" s="19" t="str">
        <f t="shared" si="328"/>
        <v>300k–600k</v>
      </c>
      <c r="P4987" s="19" t="str">
        <f t="shared" si="329"/>
        <v>56+</v>
      </c>
    </row>
    <row r="4988" spans="1:16" x14ac:dyDescent="0.25">
      <c r="A4988">
        <v>4987</v>
      </c>
      <c r="B4988" t="s">
        <v>9</v>
      </c>
      <c r="C4988">
        <v>1912797.11</v>
      </c>
      <c r="D4988" t="s">
        <v>10</v>
      </c>
      <c r="E4988" t="s">
        <v>16</v>
      </c>
      <c r="F4988" t="s">
        <v>12</v>
      </c>
      <c r="G4988" t="s">
        <v>13</v>
      </c>
      <c r="H4988" t="s">
        <v>13</v>
      </c>
      <c r="I4988">
        <v>49</v>
      </c>
      <c r="J4988" t="str" cm="1">
        <f t="array" ref="J4988">_xlfn.IFS(ISBLANK(C4988),"FALTANTE",ABS((C4988-$W$5)/$X$5)&gt;1.96,"ATÍPICO",ABS((C4988-$W$5)/$X$5)&lt;=1.96,"NO ATÍPICO")</f>
        <v>NO ATÍPICO</v>
      </c>
      <c r="K4988" t="str" cm="1">
        <f t="array" ref="K4988">_xlfn.IFS(ISBLANK(I4988),"FALTANTE",ABS((I4988-$W$8)/$X$8)&gt;1.92,"ATÍPICO",ABS((I4988-$W$8)/$X$8)&lt;=1.92,"NO ATÍPICO")</f>
        <v>NO ATÍPICO</v>
      </c>
      <c r="L4988">
        <f t="shared" si="326"/>
        <v>1912797.11</v>
      </c>
      <c r="M4988" t="str">
        <f t="shared" si="326"/>
        <v>ASALARIADO</v>
      </c>
      <c r="N4988">
        <f t="shared" si="327"/>
        <v>49</v>
      </c>
      <c r="O4988" s="19" t="str">
        <f t="shared" si="328"/>
        <v>1200k+</v>
      </c>
      <c r="P4988" s="19" t="str">
        <f t="shared" si="329"/>
        <v>46-55</v>
      </c>
    </row>
    <row r="4989" spans="1:16" x14ac:dyDescent="0.25">
      <c r="A4989">
        <v>4988</v>
      </c>
      <c r="B4989" t="s">
        <v>15</v>
      </c>
      <c r="C4989">
        <v>1709530</v>
      </c>
      <c r="D4989" t="s">
        <v>10</v>
      </c>
      <c r="E4989" t="s">
        <v>11</v>
      </c>
      <c r="F4989" t="s">
        <v>12</v>
      </c>
      <c r="G4989" t="s">
        <v>13</v>
      </c>
      <c r="H4989" t="s">
        <v>12</v>
      </c>
      <c r="I4989">
        <v>44</v>
      </c>
      <c r="J4989" t="str" cm="1">
        <f t="array" ref="J4989">_xlfn.IFS(ISBLANK(C4989),"FALTANTE",ABS((C4989-$W$5)/$X$5)&gt;1.96,"ATÍPICO",ABS((C4989-$W$5)/$X$5)&lt;=1.96,"NO ATÍPICO")</f>
        <v>NO ATÍPICO</v>
      </c>
      <c r="K4989" t="str" cm="1">
        <f t="array" ref="K4989">_xlfn.IFS(ISBLANK(I4989),"FALTANTE",ABS((I4989-$W$8)/$X$8)&gt;1.92,"ATÍPICO",ABS((I4989-$W$8)/$X$8)&lt;=1.92,"NO ATÍPICO")</f>
        <v>NO ATÍPICO</v>
      </c>
      <c r="L4989">
        <f t="shared" si="326"/>
        <v>1709530</v>
      </c>
      <c r="M4989" t="str">
        <f t="shared" si="326"/>
        <v>ASALARIADO</v>
      </c>
      <c r="N4989">
        <f t="shared" si="327"/>
        <v>44</v>
      </c>
      <c r="O4989" s="19" t="str">
        <f t="shared" si="328"/>
        <v>1200k+</v>
      </c>
      <c r="P4989" s="19" t="str">
        <f t="shared" si="329"/>
        <v>36-45</v>
      </c>
    </row>
    <row r="4990" spans="1:16" x14ac:dyDescent="0.25">
      <c r="A4990">
        <v>4989</v>
      </c>
      <c r="B4990" t="s">
        <v>9</v>
      </c>
      <c r="C4990">
        <v>882417.74</v>
      </c>
      <c r="D4990" t="s">
        <v>10</v>
      </c>
      <c r="E4990" t="s">
        <v>16</v>
      </c>
      <c r="F4990" t="s">
        <v>12</v>
      </c>
      <c r="G4990" t="s">
        <v>13</v>
      </c>
      <c r="H4990" t="s">
        <v>13</v>
      </c>
      <c r="I4990">
        <v>38</v>
      </c>
      <c r="J4990" t="str" cm="1">
        <f t="array" ref="J4990">_xlfn.IFS(ISBLANK(C4990),"FALTANTE",ABS((C4990-$W$5)/$X$5)&gt;1.96,"ATÍPICO",ABS((C4990-$W$5)/$X$5)&lt;=1.96,"NO ATÍPICO")</f>
        <v>NO ATÍPICO</v>
      </c>
      <c r="K4990" t="str" cm="1">
        <f t="array" ref="K4990">_xlfn.IFS(ISBLANK(I4990),"FALTANTE",ABS((I4990-$W$8)/$X$8)&gt;1.92,"ATÍPICO",ABS((I4990-$W$8)/$X$8)&lt;=1.92,"NO ATÍPICO")</f>
        <v>NO ATÍPICO</v>
      </c>
      <c r="L4990">
        <f t="shared" si="326"/>
        <v>882417.74</v>
      </c>
      <c r="M4990" t="str">
        <f t="shared" si="326"/>
        <v>ASALARIADO</v>
      </c>
      <c r="N4990">
        <f t="shared" si="327"/>
        <v>38</v>
      </c>
      <c r="O4990" s="19" t="str">
        <f t="shared" si="328"/>
        <v>600k–900k</v>
      </c>
      <c r="P4990" s="19" t="str">
        <f t="shared" si="329"/>
        <v>36-45</v>
      </c>
    </row>
    <row r="4991" spans="1:16" x14ac:dyDescent="0.25">
      <c r="A4991">
        <v>4990</v>
      </c>
      <c r="B4991" t="s">
        <v>15</v>
      </c>
      <c r="C4991">
        <v>438889.6</v>
      </c>
      <c r="D4991" t="s">
        <v>10</v>
      </c>
      <c r="E4991" t="s">
        <v>16</v>
      </c>
      <c r="F4991" t="s">
        <v>12</v>
      </c>
      <c r="G4991" t="s">
        <v>13</v>
      </c>
      <c r="H4991" t="s">
        <v>13</v>
      </c>
      <c r="I4991">
        <v>31</v>
      </c>
      <c r="J4991" t="str" cm="1">
        <f t="array" ref="J4991">_xlfn.IFS(ISBLANK(C4991),"FALTANTE",ABS((C4991-$W$5)/$X$5)&gt;1.96,"ATÍPICO",ABS((C4991-$W$5)/$X$5)&lt;=1.96,"NO ATÍPICO")</f>
        <v>NO ATÍPICO</v>
      </c>
      <c r="K4991" t="str" cm="1">
        <f t="array" ref="K4991">_xlfn.IFS(ISBLANK(I4991),"FALTANTE",ABS((I4991-$W$8)/$X$8)&gt;1.92,"ATÍPICO",ABS((I4991-$W$8)/$X$8)&lt;=1.92,"NO ATÍPICO")</f>
        <v>NO ATÍPICO</v>
      </c>
      <c r="L4991">
        <f t="shared" si="326"/>
        <v>438889.6</v>
      </c>
      <c r="M4991" t="str">
        <f t="shared" si="326"/>
        <v>ASALARIADO</v>
      </c>
      <c r="N4991">
        <f t="shared" si="327"/>
        <v>31</v>
      </c>
      <c r="O4991" s="19" t="str">
        <f t="shared" si="328"/>
        <v>300k–600k</v>
      </c>
      <c r="P4991" s="19" t="str">
        <f t="shared" si="329"/>
        <v>26-35</v>
      </c>
    </row>
    <row r="4992" spans="1:16" x14ac:dyDescent="0.25">
      <c r="A4992">
        <v>4991</v>
      </c>
      <c r="B4992" t="s">
        <v>15</v>
      </c>
      <c r="C4992">
        <v>335860.17</v>
      </c>
      <c r="D4992" t="s">
        <v>10</v>
      </c>
      <c r="E4992" t="s">
        <v>11</v>
      </c>
      <c r="F4992" t="s">
        <v>12</v>
      </c>
      <c r="G4992" t="s">
        <v>13</v>
      </c>
      <c r="H4992" t="s">
        <v>13</v>
      </c>
      <c r="I4992">
        <v>35</v>
      </c>
      <c r="J4992" t="str" cm="1">
        <f t="array" ref="J4992">_xlfn.IFS(ISBLANK(C4992),"FALTANTE",ABS((C4992-$W$5)/$X$5)&gt;1.96,"ATÍPICO",ABS((C4992-$W$5)/$X$5)&lt;=1.96,"NO ATÍPICO")</f>
        <v>NO ATÍPICO</v>
      </c>
      <c r="K4992" t="str" cm="1">
        <f t="array" ref="K4992">_xlfn.IFS(ISBLANK(I4992),"FALTANTE",ABS((I4992-$W$8)/$X$8)&gt;1.92,"ATÍPICO",ABS((I4992-$W$8)/$X$8)&lt;=1.92,"NO ATÍPICO")</f>
        <v>NO ATÍPICO</v>
      </c>
      <c r="L4992">
        <f t="shared" si="326"/>
        <v>335860.17</v>
      </c>
      <c r="M4992" t="str">
        <f t="shared" si="326"/>
        <v>ASALARIADO</v>
      </c>
      <c r="N4992">
        <f t="shared" si="327"/>
        <v>35</v>
      </c>
      <c r="O4992" s="19" t="str">
        <f t="shared" si="328"/>
        <v>300k–600k</v>
      </c>
      <c r="P4992" s="19" t="str">
        <f t="shared" si="329"/>
        <v>26-35</v>
      </c>
    </row>
    <row r="4993" spans="1:16" x14ac:dyDescent="0.25">
      <c r="A4993">
        <v>4992</v>
      </c>
      <c r="B4993" t="s">
        <v>9</v>
      </c>
      <c r="C4993">
        <v>501500</v>
      </c>
      <c r="D4993" t="s">
        <v>10</v>
      </c>
      <c r="E4993" t="s">
        <v>16</v>
      </c>
      <c r="F4993" t="s">
        <v>12</v>
      </c>
      <c r="G4993" t="s">
        <v>13</v>
      </c>
      <c r="H4993" t="s">
        <v>13</v>
      </c>
      <c r="I4993">
        <v>29</v>
      </c>
      <c r="J4993" t="str" cm="1">
        <f t="array" ref="J4993">_xlfn.IFS(ISBLANK(C4993),"FALTANTE",ABS((C4993-$W$5)/$X$5)&gt;1.96,"ATÍPICO",ABS((C4993-$W$5)/$X$5)&lt;=1.96,"NO ATÍPICO")</f>
        <v>NO ATÍPICO</v>
      </c>
      <c r="K4993" t="str" cm="1">
        <f t="array" ref="K4993">_xlfn.IFS(ISBLANK(I4993),"FALTANTE",ABS((I4993-$W$8)/$X$8)&gt;1.92,"ATÍPICO",ABS((I4993-$W$8)/$X$8)&lt;=1.92,"NO ATÍPICO")</f>
        <v>NO ATÍPICO</v>
      </c>
      <c r="L4993">
        <f t="shared" si="326"/>
        <v>501500</v>
      </c>
      <c r="M4993" t="str">
        <f t="shared" si="326"/>
        <v>ASALARIADO</v>
      </c>
      <c r="N4993">
        <f t="shared" si="327"/>
        <v>29</v>
      </c>
      <c r="O4993" s="19" t="str">
        <f t="shared" si="328"/>
        <v>300k–600k</v>
      </c>
      <c r="P4993" s="19" t="str">
        <f t="shared" si="329"/>
        <v>26-35</v>
      </c>
    </row>
    <row r="4994" spans="1:16" x14ac:dyDescent="0.25">
      <c r="A4994">
        <v>4993</v>
      </c>
      <c r="B4994" t="s">
        <v>15</v>
      </c>
      <c r="C4994">
        <v>354835</v>
      </c>
      <c r="D4994" t="s">
        <v>10</v>
      </c>
      <c r="E4994" t="s">
        <v>16</v>
      </c>
      <c r="F4994" t="s">
        <v>12</v>
      </c>
      <c r="G4994" t="s">
        <v>13</v>
      </c>
      <c r="H4994" t="s">
        <v>12</v>
      </c>
      <c r="I4994">
        <v>26</v>
      </c>
      <c r="J4994" t="str" cm="1">
        <f t="array" ref="J4994">_xlfn.IFS(ISBLANK(C4994),"FALTANTE",ABS((C4994-$W$5)/$X$5)&gt;1.96,"ATÍPICO",ABS((C4994-$W$5)/$X$5)&lt;=1.96,"NO ATÍPICO")</f>
        <v>NO ATÍPICO</v>
      </c>
      <c r="K4994" t="str" cm="1">
        <f t="array" ref="K4994">_xlfn.IFS(ISBLANK(I4994),"FALTANTE",ABS((I4994-$W$8)/$X$8)&gt;1.92,"ATÍPICO",ABS((I4994-$W$8)/$X$8)&lt;=1.92,"NO ATÍPICO")</f>
        <v>NO ATÍPICO</v>
      </c>
      <c r="L4994">
        <f t="shared" ref="L4994:M5001" si="330">C4994</f>
        <v>354835</v>
      </c>
      <c r="M4994" t="str">
        <f t="shared" si="330"/>
        <v>ASALARIADO</v>
      </c>
      <c r="N4994">
        <f t="shared" ref="N4994:N5001" si="331">I4994</f>
        <v>26</v>
      </c>
      <c r="O4994" s="19" t="str">
        <f t="shared" ref="O4994:O5001" si="332">IF(L4994&lt;=300000,"0–300k",IF(L4994&lt;=600000,"300k–600k",IF(L4994&lt;=900000,"600k–900k",IF(L4994&lt;=1200000,"900k–1200k","1200k+"))))</f>
        <v>300k–600k</v>
      </c>
      <c r="P4994" s="19" t="str">
        <f t="shared" ref="P4994:P5001" si="333">IF(N4994 &lt;=25,"18-25", IF(N4994&lt;=35,"26-35", IF(N4994 &lt;=45,"36-45", IF(N4994&lt;=55,"46-55","56+"))))</f>
        <v>26-35</v>
      </c>
    </row>
    <row r="4995" spans="1:16" x14ac:dyDescent="0.25">
      <c r="A4995">
        <v>4994</v>
      </c>
      <c r="B4995" t="s">
        <v>9</v>
      </c>
      <c r="C4995">
        <v>501040.18</v>
      </c>
      <c r="D4995" t="s">
        <v>10</v>
      </c>
      <c r="E4995" t="s">
        <v>16</v>
      </c>
      <c r="F4995" t="s">
        <v>12</v>
      </c>
      <c r="G4995" t="s">
        <v>13</v>
      </c>
      <c r="H4995" t="s">
        <v>13</v>
      </c>
      <c r="I4995">
        <v>57</v>
      </c>
      <c r="J4995" t="str" cm="1">
        <f t="array" ref="J4995">_xlfn.IFS(ISBLANK(C4995),"FALTANTE",ABS((C4995-$W$5)/$X$5)&gt;1.96,"ATÍPICO",ABS((C4995-$W$5)/$X$5)&lt;=1.96,"NO ATÍPICO")</f>
        <v>NO ATÍPICO</v>
      </c>
      <c r="K4995" t="str" cm="1">
        <f t="array" ref="K4995">_xlfn.IFS(ISBLANK(I4995),"FALTANTE",ABS((I4995-$W$8)/$X$8)&gt;1.92,"ATÍPICO",ABS((I4995-$W$8)/$X$8)&lt;=1.92,"NO ATÍPICO")</f>
        <v>NO ATÍPICO</v>
      </c>
      <c r="L4995">
        <f t="shared" si="330"/>
        <v>501040.18</v>
      </c>
      <c r="M4995" t="str">
        <f t="shared" si="330"/>
        <v>ASALARIADO</v>
      </c>
      <c r="N4995">
        <f t="shared" si="331"/>
        <v>57</v>
      </c>
      <c r="O4995" s="19" t="str">
        <f t="shared" si="332"/>
        <v>300k–600k</v>
      </c>
      <c r="P4995" s="19" t="str">
        <f t="shared" si="333"/>
        <v>56+</v>
      </c>
    </row>
    <row r="4996" spans="1:16" x14ac:dyDescent="0.25">
      <c r="A4996">
        <v>4995</v>
      </c>
      <c r="B4996" t="s">
        <v>15</v>
      </c>
      <c r="C4996">
        <v>958367.36</v>
      </c>
      <c r="D4996" t="s">
        <v>10</v>
      </c>
      <c r="E4996" t="s">
        <v>11</v>
      </c>
      <c r="F4996" t="s">
        <v>12</v>
      </c>
      <c r="G4996" t="s">
        <v>13</v>
      </c>
      <c r="H4996" t="s">
        <v>13</v>
      </c>
      <c r="I4996">
        <v>38</v>
      </c>
      <c r="J4996" t="str" cm="1">
        <f t="array" ref="J4996">_xlfn.IFS(ISBLANK(C4996),"FALTANTE",ABS((C4996-$W$5)/$X$5)&gt;1.96,"ATÍPICO",ABS((C4996-$W$5)/$X$5)&lt;=1.96,"NO ATÍPICO")</f>
        <v>NO ATÍPICO</v>
      </c>
      <c r="K4996" t="str" cm="1">
        <f t="array" ref="K4996">_xlfn.IFS(ISBLANK(I4996),"FALTANTE",ABS((I4996-$W$8)/$X$8)&gt;1.92,"ATÍPICO",ABS((I4996-$W$8)/$X$8)&lt;=1.92,"NO ATÍPICO")</f>
        <v>NO ATÍPICO</v>
      </c>
      <c r="L4996">
        <f t="shared" si="330"/>
        <v>958367.36</v>
      </c>
      <c r="M4996" t="str">
        <f t="shared" si="330"/>
        <v>ASALARIADO</v>
      </c>
      <c r="N4996">
        <f t="shared" si="331"/>
        <v>38</v>
      </c>
      <c r="O4996" s="19" t="str">
        <f t="shared" si="332"/>
        <v>900k–1200k</v>
      </c>
      <c r="P4996" s="19" t="str">
        <f t="shared" si="333"/>
        <v>36-45</v>
      </c>
    </row>
    <row r="4997" spans="1:16" x14ac:dyDescent="0.25">
      <c r="A4997">
        <v>4996</v>
      </c>
      <c r="B4997" t="s">
        <v>15</v>
      </c>
      <c r="C4997">
        <v>407579</v>
      </c>
      <c r="D4997" t="s">
        <v>10</v>
      </c>
      <c r="E4997" t="s">
        <v>11</v>
      </c>
      <c r="F4997" t="s">
        <v>12</v>
      </c>
      <c r="G4997" t="s">
        <v>13</v>
      </c>
      <c r="H4997" t="s">
        <v>13</v>
      </c>
      <c r="I4997">
        <v>43</v>
      </c>
      <c r="J4997" t="str" cm="1">
        <f t="array" ref="J4997">_xlfn.IFS(ISBLANK(C4997),"FALTANTE",ABS((C4997-$W$5)/$X$5)&gt;1.96,"ATÍPICO",ABS((C4997-$W$5)/$X$5)&lt;=1.96,"NO ATÍPICO")</f>
        <v>NO ATÍPICO</v>
      </c>
      <c r="K4997" t="str" cm="1">
        <f t="array" ref="K4997">_xlfn.IFS(ISBLANK(I4997),"FALTANTE",ABS((I4997-$W$8)/$X$8)&gt;1.92,"ATÍPICO",ABS((I4997-$W$8)/$X$8)&lt;=1.92,"NO ATÍPICO")</f>
        <v>NO ATÍPICO</v>
      </c>
      <c r="L4997">
        <f t="shared" si="330"/>
        <v>407579</v>
      </c>
      <c r="M4997" t="str">
        <f t="shared" si="330"/>
        <v>ASALARIADO</v>
      </c>
      <c r="N4997">
        <f t="shared" si="331"/>
        <v>43</v>
      </c>
      <c r="O4997" s="19" t="str">
        <f t="shared" si="332"/>
        <v>300k–600k</v>
      </c>
      <c r="P4997" s="19" t="str">
        <f t="shared" si="333"/>
        <v>36-45</v>
      </c>
    </row>
    <row r="4998" spans="1:16" x14ac:dyDescent="0.25">
      <c r="A4998">
        <v>4997</v>
      </c>
      <c r="B4998" t="s">
        <v>15</v>
      </c>
      <c r="C4998">
        <v>400000</v>
      </c>
      <c r="D4998" t="s">
        <v>10</v>
      </c>
      <c r="E4998" t="s">
        <v>16</v>
      </c>
      <c r="F4998" t="s">
        <v>12</v>
      </c>
      <c r="G4998" t="s">
        <v>13</v>
      </c>
      <c r="H4998" t="s">
        <v>13</v>
      </c>
      <c r="I4998">
        <v>62</v>
      </c>
      <c r="J4998" t="str" cm="1">
        <f t="array" ref="J4998">_xlfn.IFS(ISBLANK(C4998),"FALTANTE",ABS((C4998-$W$5)/$X$5)&gt;1.96,"ATÍPICO",ABS((C4998-$W$5)/$X$5)&lt;=1.96,"NO ATÍPICO")</f>
        <v>NO ATÍPICO</v>
      </c>
      <c r="K4998" t="str" cm="1">
        <f t="array" ref="K4998">_xlfn.IFS(ISBLANK(I4998),"FALTANTE",ABS((I4998-$W$8)/$X$8)&gt;1.92,"ATÍPICO",ABS((I4998-$W$8)/$X$8)&lt;=1.92,"NO ATÍPICO")</f>
        <v>NO ATÍPICO</v>
      </c>
      <c r="L4998">
        <f t="shared" si="330"/>
        <v>400000</v>
      </c>
      <c r="M4998" t="str">
        <f t="shared" si="330"/>
        <v>ASALARIADO</v>
      </c>
      <c r="N4998">
        <f t="shared" si="331"/>
        <v>62</v>
      </c>
      <c r="O4998" s="19" t="str">
        <f t="shared" si="332"/>
        <v>300k–600k</v>
      </c>
      <c r="P4998" s="19" t="str">
        <f t="shared" si="333"/>
        <v>56+</v>
      </c>
    </row>
    <row r="4999" spans="1:16" x14ac:dyDescent="0.25">
      <c r="A4999">
        <v>4998</v>
      </c>
      <c r="B4999" t="s">
        <v>15</v>
      </c>
      <c r="C4999">
        <v>1367154</v>
      </c>
      <c r="D4999" t="s">
        <v>10</v>
      </c>
      <c r="E4999" t="s">
        <v>11</v>
      </c>
      <c r="F4999" t="s">
        <v>12</v>
      </c>
      <c r="G4999" t="s">
        <v>13</v>
      </c>
      <c r="H4999" t="s">
        <v>12</v>
      </c>
      <c r="I4999">
        <v>56</v>
      </c>
      <c r="J4999" t="str" cm="1">
        <f t="array" ref="J4999">_xlfn.IFS(ISBLANK(C4999),"FALTANTE",ABS((C4999-$W$5)/$X$5)&gt;1.96,"ATÍPICO",ABS((C4999-$W$5)/$X$5)&lt;=1.96,"NO ATÍPICO")</f>
        <v>NO ATÍPICO</v>
      </c>
      <c r="K4999" t="str" cm="1">
        <f t="array" ref="K4999">_xlfn.IFS(ISBLANK(I4999),"FALTANTE",ABS((I4999-$W$8)/$X$8)&gt;1.92,"ATÍPICO",ABS((I4999-$W$8)/$X$8)&lt;=1.92,"NO ATÍPICO")</f>
        <v>NO ATÍPICO</v>
      </c>
      <c r="L4999">
        <f t="shared" si="330"/>
        <v>1367154</v>
      </c>
      <c r="M4999" t="str">
        <f t="shared" si="330"/>
        <v>ASALARIADO</v>
      </c>
      <c r="N4999">
        <f t="shared" si="331"/>
        <v>56</v>
      </c>
      <c r="O4999" s="19" t="str">
        <f t="shared" si="332"/>
        <v>1200k+</v>
      </c>
      <c r="P4999" s="19" t="str">
        <f t="shared" si="333"/>
        <v>56+</v>
      </c>
    </row>
    <row r="5000" spans="1:16" x14ac:dyDescent="0.25">
      <c r="A5000">
        <v>4999</v>
      </c>
      <c r="B5000" t="s">
        <v>9</v>
      </c>
      <c r="C5000">
        <v>1898332.8</v>
      </c>
      <c r="D5000" t="s">
        <v>10</v>
      </c>
      <c r="E5000" t="s">
        <v>16</v>
      </c>
      <c r="F5000" t="s">
        <v>12</v>
      </c>
      <c r="G5000" t="s">
        <v>12</v>
      </c>
      <c r="H5000" t="s">
        <v>13</v>
      </c>
      <c r="I5000">
        <v>42</v>
      </c>
      <c r="J5000" t="str" cm="1">
        <f t="array" ref="J5000">_xlfn.IFS(ISBLANK(C5000),"FALTANTE",ABS((C5000-$W$5)/$X$5)&gt;1.96,"ATÍPICO",ABS((C5000-$W$5)/$X$5)&lt;=1.96,"NO ATÍPICO")</f>
        <v>NO ATÍPICO</v>
      </c>
      <c r="K5000" t="str" cm="1">
        <f t="array" ref="K5000">_xlfn.IFS(ISBLANK(I5000),"FALTANTE",ABS((I5000-$W$8)/$X$8)&gt;1.92,"ATÍPICO",ABS((I5000-$W$8)/$X$8)&lt;=1.92,"NO ATÍPICO")</f>
        <v>NO ATÍPICO</v>
      </c>
      <c r="L5000">
        <f t="shared" si="330"/>
        <v>1898332.8</v>
      </c>
      <c r="M5000" t="str">
        <f t="shared" si="330"/>
        <v>ASALARIADO</v>
      </c>
      <c r="N5000">
        <f t="shared" si="331"/>
        <v>42</v>
      </c>
      <c r="O5000" s="19" t="str">
        <f t="shared" si="332"/>
        <v>1200k+</v>
      </c>
      <c r="P5000" s="19" t="str">
        <f t="shared" si="333"/>
        <v>36-45</v>
      </c>
    </row>
    <row r="5001" spans="1:16" x14ac:dyDescent="0.25">
      <c r="A5001">
        <v>5000</v>
      </c>
      <c r="B5001" t="s">
        <v>9</v>
      </c>
      <c r="C5001">
        <v>489078.33</v>
      </c>
      <c r="D5001" t="s">
        <v>10</v>
      </c>
      <c r="E5001" t="s">
        <v>16</v>
      </c>
      <c r="F5001" t="s">
        <v>12</v>
      </c>
      <c r="G5001" t="s">
        <v>13</v>
      </c>
      <c r="H5001" t="s">
        <v>13</v>
      </c>
      <c r="I5001">
        <v>41</v>
      </c>
      <c r="J5001" t="str" cm="1">
        <f t="array" ref="J5001">_xlfn.IFS(ISBLANK(C5001),"FALTANTE",ABS((C5001-$W$5)/$X$5)&gt;1.96,"ATÍPICO",ABS((C5001-$W$5)/$X$5)&lt;=1.96,"NO ATÍPICO")</f>
        <v>NO ATÍPICO</v>
      </c>
      <c r="K5001" t="str" cm="1">
        <f t="array" ref="K5001">_xlfn.IFS(ISBLANK(I5001),"FALTANTE",ABS((I5001-$W$8)/$X$8)&gt;1.92,"ATÍPICO",ABS((I5001-$W$8)/$X$8)&lt;=1.92,"NO ATÍPICO")</f>
        <v>NO ATÍPICO</v>
      </c>
      <c r="L5001">
        <f t="shared" si="330"/>
        <v>489078.33</v>
      </c>
      <c r="M5001" t="str">
        <f t="shared" si="330"/>
        <v>ASALARIADO</v>
      </c>
      <c r="N5001">
        <f t="shared" si="331"/>
        <v>41</v>
      </c>
      <c r="O5001" s="19" t="str">
        <f t="shared" si="332"/>
        <v>300k–600k</v>
      </c>
      <c r="P5001" s="19" t="str">
        <f t="shared" si="333"/>
        <v>36-45</v>
      </c>
    </row>
  </sheetData>
  <mergeCells count="5">
    <mergeCell ref="W11:X11"/>
    <mergeCell ref="R11:S11"/>
    <mergeCell ref="R2:X2"/>
    <mergeCell ref="R6:X6"/>
    <mergeCell ref="R3:X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9FC6-8735-4369-856A-E652863A86F3}">
  <dimension ref="A1:U36"/>
  <sheetViews>
    <sheetView topLeftCell="A4" workbookViewId="0">
      <selection activeCell="O35" sqref="O35"/>
    </sheetView>
  </sheetViews>
  <sheetFormatPr baseColWidth="10" defaultRowHeight="15" x14ac:dyDescent="0.25"/>
  <sheetData>
    <row r="1" spans="1:1" x14ac:dyDescent="0.25">
      <c r="A1" s="21" t="s">
        <v>68</v>
      </c>
    </row>
    <row r="17" spans="2:21" x14ac:dyDescent="0.25">
      <c r="B17" s="18" t="s">
        <v>73</v>
      </c>
      <c r="C17" s="18"/>
      <c r="D17" s="18"/>
      <c r="E17" s="18"/>
      <c r="F17" s="18"/>
      <c r="G17" s="18"/>
      <c r="I17" s="18" t="s">
        <v>74</v>
      </c>
      <c r="J17" s="18"/>
      <c r="K17" s="18"/>
      <c r="L17" s="18"/>
      <c r="M17" s="18"/>
      <c r="N17" s="18"/>
      <c r="P17" s="18" t="s">
        <v>75</v>
      </c>
      <c r="Q17" s="18"/>
      <c r="R17" s="18"/>
      <c r="S17" s="18"/>
      <c r="T17" s="18"/>
      <c r="U17" s="18"/>
    </row>
    <row r="18" spans="2:21" x14ac:dyDescent="0.25">
      <c r="B18" s="18"/>
      <c r="C18" s="18"/>
      <c r="D18" s="18"/>
      <c r="E18" s="18"/>
      <c r="F18" s="18"/>
      <c r="G18" s="18"/>
      <c r="I18" s="18"/>
      <c r="J18" s="18"/>
      <c r="K18" s="18"/>
      <c r="L18" s="18"/>
      <c r="M18" s="18"/>
      <c r="N18" s="18"/>
      <c r="P18" s="18"/>
      <c r="Q18" s="18"/>
      <c r="R18" s="18"/>
      <c r="S18" s="18"/>
      <c r="T18" s="18"/>
      <c r="U18" s="18"/>
    </row>
    <row r="19" spans="2:21" x14ac:dyDescent="0.25">
      <c r="I19" s="11"/>
    </row>
    <row r="34" spans="2:21" ht="14.25" customHeight="1" x14ac:dyDescent="0.25">
      <c r="B34" s="18" t="s">
        <v>39</v>
      </c>
      <c r="C34" s="18"/>
      <c r="D34" s="18"/>
      <c r="E34" s="18"/>
      <c r="F34" s="18"/>
      <c r="G34" s="18"/>
      <c r="I34" s="18" t="s">
        <v>76</v>
      </c>
      <c r="J34" s="18"/>
      <c r="K34" s="18"/>
      <c r="L34" s="18"/>
      <c r="M34" s="18"/>
      <c r="N34" s="18"/>
      <c r="P34" s="18" t="s">
        <v>77</v>
      </c>
      <c r="Q34" s="18"/>
      <c r="R34" s="18"/>
      <c r="S34" s="18"/>
      <c r="T34" s="18"/>
      <c r="U34" s="18"/>
    </row>
    <row r="35" spans="2:21" x14ac:dyDescent="0.25">
      <c r="B35" s="18"/>
      <c r="C35" s="18"/>
      <c r="D35" s="18"/>
      <c r="E35" s="18"/>
      <c r="F35" s="18"/>
      <c r="G35" s="18"/>
      <c r="I35" s="18"/>
      <c r="J35" s="18"/>
      <c r="K35" s="18"/>
      <c r="L35" s="18"/>
      <c r="M35" s="18"/>
      <c r="N35" s="18"/>
      <c r="P35" s="18"/>
      <c r="Q35" s="18"/>
      <c r="R35" s="18"/>
      <c r="S35" s="18"/>
      <c r="T35" s="18"/>
      <c r="U35" s="18"/>
    </row>
    <row r="36" spans="2:21" x14ac:dyDescent="0.25">
      <c r="B36" s="18"/>
      <c r="C36" s="18"/>
      <c r="D36" s="18"/>
      <c r="E36" s="18"/>
      <c r="F36" s="18"/>
      <c r="G36" s="18"/>
    </row>
  </sheetData>
  <mergeCells count="6">
    <mergeCell ref="P34:U35"/>
    <mergeCell ref="B17:G18"/>
    <mergeCell ref="I17:N18"/>
    <mergeCell ref="P17:U18"/>
    <mergeCell ref="B34:G36"/>
    <mergeCell ref="I34:N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4144-49B5-403C-8578-F848B46F444E}">
  <dimension ref="A1:Q74"/>
  <sheetViews>
    <sheetView topLeftCell="A43" workbookViewId="0">
      <selection activeCell="C8" sqref="C8"/>
    </sheetView>
  </sheetViews>
  <sheetFormatPr baseColWidth="10" defaultRowHeight="15" x14ac:dyDescent="0.25"/>
  <cols>
    <col min="2" max="2" width="55" bestFit="1" customWidth="1"/>
  </cols>
  <sheetData>
    <row r="1" spans="1:17" x14ac:dyDescent="0.25">
      <c r="A1" s="21" t="s">
        <v>67</v>
      </c>
    </row>
    <row r="2" spans="1:17" x14ac:dyDescent="0.25">
      <c r="B2" t="s">
        <v>41</v>
      </c>
      <c r="C2" t="s">
        <v>12</v>
      </c>
      <c r="D2" t="s">
        <v>13</v>
      </c>
      <c r="N2" t="s">
        <v>51</v>
      </c>
    </row>
    <row r="3" spans="1:17" ht="15" customHeight="1" x14ac:dyDescent="0.25">
      <c r="B3" t="s">
        <v>9</v>
      </c>
      <c r="C3">
        <f>COUNTIFS(moras[SEXO],"HOMBRE",moras[INDICADOR_MOROSO],"SI")</f>
        <v>534</v>
      </c>
      <c r="D3">
        <f>COUNTIFS(moras[SEXO],"HOMBRE",moras[INDICADOR_MOROSO],"NO")</f>
        <v>2478</v>
      </c>
      <c r="N3" s="26" t="s">
        <v>82</v>
      </c>
      <c r="O3" s="26"/>
      <c r="P3" s="26"/>
      <c r="Q3" s="26"/>
    </row>
    <row r="4" spans="1:17" x14ac:dyDescent="0.25">
      <c r="B4" t="s">
        <v>15</v>
      </c>
      <c r="C4">
        <f>COUNTIFS(moras[SEXO],"MUJER",moras[INDICADOR_MOROSO],"SI")</f>
        <v>336</v>
      </c>
      <c r="D4">
        <f>COUNTIFS(moras[SEXO],"MUJER",moras[INDICADOR_MOROSO],"NO")</f>
        <v>1652</v>
      </c>
      <c r="N4" s="26"/>
      <c r="O4" s="26"/>
      <c r="P4" s="26"/>
      <c r="Q4" s="26"/>
    </row>
    <row r="5" spans="1:17" x14ac:dyDescent="0.25">
      <c r="B5" t="s">
        <v>78</v>
      </c>
      <c r="C5">
        <f>C3+C4</f>
        <v>870</v>
      </c>
      <c r="D5">
        <f>D3+D4</f>
        <v>4130</v>
      </c>
      <c r="E5">
        <f>D5+C5</f>
        <v>5000</v>
      </c>
      <c r="N5" s="26"/>
      <c r="O5" s="26"/>
      <c r="P5" s="26"/>
      <c r="Q5" s="26"/>
    </row>
    <row r="6" spans="1:17" x14ac:dyDescent="0.25">
      <c r="N6" s="26"/>
      <c r="O6" s="26"/>
      <c r="P6" s="26"/>
      <c r="Q6" s="26"/>
    </row>
    <row r="7" spans="1:17" x14ac:dyDescent="0.25">
      <c r="B7" t="s">
        <v>40</v>
      </c>
      <c r="C7" t="s">
        <v>12</v>
      </c>
      <c r="D7" t="s">
        <v>13</v>
      </c>
      <c r="N7" s="26"/>
      <c r="O7" s="26"/>
      <c r="P7" s="26"/>
      <c r="Q7" s="26"/>
    </row>
    <row r="8" spans="1:17" x14ac:dyDescent="0.25">
      <c r="B8" t="s">
        <v>9</v>
      </c>
      <c r="C8" s="24">
        <f>C3/$E$5</f>
        <v>0.10680000000000001</v>
      </c>
      <c r="D8" s="24">
        <f>D3/$E$5</f>
        <v>0.49559999999999998</v>
      </c>
      <c r="N8" s="26"/>
      <c r="O8" s="26"/>
      <c r="P8" s="26"/>
      <c r="Q8" s="26"/>
    </row>
    <row r="9" spans="1:17" x14ac:dyDescent="0.25">
      <c r="B9" t="s">
        <v>15</v>
      </c>
      <c r="C9" s="24">
        <f>C4/$E$5</f>
        <v>6.7199999999999996E-2</v>
      </c>
      <c r="D9" s="24">
        <f>D4/$E$5</f>
        <v>0.33040000000000003</v>
      </c>
      <c r="N9" s="26"/>
      <c r="O9" s="26"/>
      <c r="P9" s="26"/>
      <c r="Q9" s="26"/>
    </row>
    <row r="10" spans="1:17" x14ac:dyDescent="0.25">
      <c r="N10" s="26"/>
      <c r="O10" s="26"/>
      <c r="P10" s="26"/>
      <c r="Q10" s="26"/>
    </row>
    <row r="11" spans="1:17" x14ac:dyDescent="0.25">
      <c r="N11" s="26"/>
      <c r="O11" s="26"/>
      <c r="P11" s="26"/>
      <c r="Q11" s="26"/>
    </row>
    <row r="12" spans="1:17" x14ac:dyDescent="0.25">
      <c r="N12" s="26"/>
      <c r="O12" s="26"/>
      <c r="P12" s="26"/>
      <c r="Q12" s="26"/>
    </row>
    <row r="13" spans="1:17" x14ac:dyDescent="0.25">
      <c r="N13" s="26"/>
      <c r="O13" s="26"/>
      <c r="P13" s="26"/>
      <c r="Q13" s="26"/>
    </row>
    <row r="14" spans="1:17" ht="15.75" thickBot="1" x14ac:dyDescent="0.3">
      <c r="A14" s="13"/>
      <c r="B14" s="13"/>
      <c r="C14" s="13"/>
      <c r="D14" s="13"/>
      <c r="E14" s="13"/>
      <c r="F14" s="13"/>
      <c r="G14" s="13"/>
      <c r="H14" s="13"/>
      <c r="I14" s="13"/>
      <c r="J14" s="13"/>
      <c r="K14" s="13"/>
      <c r="L14" s="13"/>
      <c r="M14" s="13"/>
      <c r="N14" s="22"/>
      <c r="O14" s="22"/>
      <c r="P14" s="22"/>
      <c r="Q14" s="22"/>
    </row>
    <row r="16" spans="1:17" x14ac:dyDescent="0.25">
      <c r="B16" t="s">
        <v>42</v>
      </c>
      <c r="C16" t="s">
        <v>12</v>
      </c>
      <c r="D16" t="s">
        <v>13</v>
      </c>
      <c r="N16" t="s">
        <v>51</v>
      </c>
    </row>
    <row r="17" spans="1:17" x14ac:dyDescent="0.25">
      <c r="B17" t="s">
        <v>10</v>
      </c>
      <c r="C17">
        <f>COUNTIFS(moras[TIPO_ASEGURAMIENTO_IMPUTADO],"ASALARIADO",moras[INDICADOR_MOROSO],"SI")</f>
        <v>415</v>
      </c>
      <c r="D17">
        <f>COUNTIFS(moras[TIPO_ASEGURAMIENTO_IMPUTADO],"ASALARIADO",moras[INDICADOR_MOROSO],"NO")</f>
        <v>3049</v>
      </c>
      <c r="N17" s="26" t="s">
        <v>79</v>
      </c>
      <c r="O17" s="26"/>
      <c r="P17" s="26"/>
      <c r="Q17" s="26"/>
    </row>
    <row r="18" spans="1:17" x14ac:dyDescent="0.25">
      <c r="B18" t="s">
        <v>17</v>
      </c>
      <c r="C18">
        <f>COUNTIFS(moras[TIPO_ASEGURAMIENTO_IMPUTADO],"ASEGURADO VOLUNTARIO",moras[INDICADOR_MOROSO],"SI")</f>
        <v>58</v>
      </c>
      <c r="D18">
        <f>COUNTIFS(moras[TIPO_ASEGURAMIENTO_IMPUTADO],"ASEGURADO VOLUNTARIO",moras[INDICADOR_MOROSO],"NO")</f>
        <v>378</v>
      </c>
      <c r="N18" s="26"/>
      <c r="O18" s="26"/>
      <c r="P18" s="26"/>
      <c r="Q18" s="26"/>
    </row>
    <row r="19" spans="1:17" x14ac:dyDescent="0.25">
      <c r="B19" t="s">
        <v>21</v>
      </c>
      <c r="C19">
        <f>COUNTIFS(moras[TIPO_ASEGURAMIENTO_IMPUTADO],"CONVENIOS ESPECIALES DE ASEGURADOS VOLUNTARIOS",moras[INDICADOR_MOROSO],"SI")</f>
        <v>0</v>
      </c>
      <c r="D19">
        <f>COUNTIFS(moras[TIPO_ASEGURAMIENTO_IMPUTADO],"CONVENIOS ESPECIALES DE ASEGURADOS VOLUNTARIOS",moras[INDICADOR_MOROSO],"NO")</f>
        <v>31</v>
      </c>
      <c r="N19" s="26"/>
      <c r="O19" s="26"/>
      <c r="P19" s="26"/>
      <c r="Q19" s="26"/>
    </row>
    <row r="20" spans="1:17" x14ac:dyDescent="0.25">
      <c r="B20" t="s">
        <v>19</v>
      </c>
      <c r="C20">
        <f>COUNTIFS(moras[TIPO_ASEGURAMIENTO_IMPUTADO],"CONVENIOS ESPECIALES DE TRABAJADORES INDEPENDIENTES",moras[INDICADOR_MOROSO],"SI")</f>
        <v>4</v>
      </c>
      <c r="D20">
        <f>COUNTIFS(moras[TIPO_ASEGURAMIENTO_IMPUTADO],"CONVENIOS ESPECIALES DE TRABAJADORES INDEPENDIENTES",moras[INDICADOR_MOROSO],"NO")</f>
        <v>153</v>
      </c>
      <c r="N20" s="26"/>
      <c r="O20" s="26"/>
      <c r="P20" s="26"/>
      <c r="Q20" s="26"/>
    </row>
    <row r="21" spans="1:17" x14ac:dyDescent="0.25">
      <c r="B21" t="s">
        <v>14</v>
      </c>
      <c r="C21">
        <f>COUNTIFS(moras[TIPO_ASEGURAMIENTO_IMPUTADO],"PENSIONADOS EN SU PROPIO SISTEMA",moras[INDICADOR_MOROSO],"SI")</f>
        <v>0</v>
      </c>
      <c r="D21">
        <f>COUNTIFS(moras[TIPO_ASEGURAMIENTO_IMPUTADO],"PENSIONADOS EN SU PROPIO SISTEMA",moras[INDICADOR_MOROSO],"NO")</f>
        <v>212</v>
      </c>
      <c r="N21" s="26"/>
      <c r="O21" s="26"/>
      <c r="P21" s="26"/>
      <c r="Q21" s="26"/>
    </row>
    <row r="22" spans="1:17" x14ac:dyDescent="0.25">
      <c r="B22" t="s">
        <v>18</v>
      </c>
      <c r="C22">
        <f>COUNTIFS(moras[TIPO_ASEGURAMIENTO_IMPUTADO],"TRABAJADOR INDEPENDIENTE",moras[INDICADOR_MOROSO],"SI")</f>
        <v>393</v>
      </c>
      <c r="D22">
        <f>COUNTIFS(moras[TIPO_ASEGURAMIENTO_IMPUTADO],"TRABAJADOR INDEPENDIENTE",moras[INDICADOR_MOROSO],"NO")</f>
        <v>307</v>
      </c>
      <c r="N22" s="26"/>
      <c r="O22" s="26"/>
      <c r="P22" s="26"/>
      <c r="Q22" s="26"/>
    </row>
    <row r="23" spans="1:17" x14ac:dyDescent="0.25">
      <c r="B23" t="s">
        <v>43</v>
      </c>
      <c r="C23">
        <f>SUM(C17:C22)</f>
        <v>870</v>
      </c>
      <c r="D23">
        <f>SUM(D17:D22)</f>
        <v>4130</v>
      </c>
      <c r="E23">
        <f>D23+C23</f>
        <v>5000</v>
      </c>
      <c r="N23" s="26"/>
      <c r="O23" s="26"/>
      <c r="P23" s="26"/>
      <c r="Q23" s="26"/>
    </row>
    <row r="24" spans="1:17" x14ac:dyDescent="0.25">
      <c r="N24" s="26"/>
      <c r="O24" s="26"/>
      <c r="P24" s="26"/>
      <c r="Q24" s="26"/>
    </row>
    <row r="25" spans="1:17" x14ac:dyDescent="0.25">
      <c r="B25" t="s">
        <v>44</v>
      </c>
      <c r="C25" t="s">
        <v>12</v>
      </c>
      <c r="D25" t="s">
        <v>13</v>
      </c>
      <c r="N25" s="26"/>
      <c r="O25" s="26"/>
      <c r="P25" s="26"/>
      <c r="Q25" s="26"/>
    </row>
    <row r="26" spans="1:17" x14ac:dyDescent="0.25">
      <c r="B26" t="s">
        <v>10</v>
      </c>
      <c r="C26" s="23">
        <f>C17/$E$23</f>
        <v>8.3000000000000004E-2</v>
      </c>
      <c r="D26" s="24">
        <f>D17/$E$23</f>
        <v>0.60980000000000001</v>
      </c>
      <c r="N26" s="26"/>
      <c r="O26" s="26"/>
      <c r="P26" s="26"/>
      <c r="Q26" s="26"/>
    </row>
    <row r="27" spans="1:17" x14ac:dyDescent="0.25">
      <c r="B27" t="s">
        <v>17</v>
      </c>
      <c r="C27" s="24">
        <f t="shared" ref="C27:D31" si="0">C18/$E$23</f>
        <v>1.1599999999999999E-2</v>
      </c>
      <c r="D27" s="24">
        <f t="shared" si="0"/>
        <v>7.5600000000000001E-2</v>
      </c>
      <c r="N27" s="26"/>
      <c r="O27" s="26"/>
      <c r="P27" s="26"/>
      <c r="Q27" s="26"/>
    </row>
    <row r="28" spans="1:17" x14ac:dyDescent="0.25">
      <c r="B28" t="s">
        <v>21</v>
      </c>
      <c r="C28" s="12">
        <f t="shared" si="0"/>
        <v>0</v>
      </c>
      <c r="D28" s="24">
        <f t="shared" si="0"/>
        <v>6.1999999999999998E-3</v>
      </c>
      <c r="N28" s="26"/>
      <c r="O28" s="26"/>
      <c r="P28" s="26"/>
      <c r="Q28" s="26"/>
    </row>
    <row r="29" spans="1:17" x14ac:dyDescent="0.25">
      <c r="B29" t="s">
        <v>19</v>
      </c>
      <c r="C29" s="24">
        <f t="shared" si="0"/>
        <v>8.0000000000000004E-4</v>
      </c>
      <c r="D29" s="24">
        <f t="shared" si="0"/>
        <v>3.0599999999999999E-2</v>
      </c>
      <c r="N29" s="26"/>
      <c r="O29" s="26"/>
      <c r="P29" s="26"/>
      <c r="Q29" s="26"/>
    </row>
    <row r="30" spans="1:17" x14ac:dyDescent="0.25">
      <c r="B30" t="s">
        <v>14</v>
      </c>
      <c r="C30" s="25">
        <f t="shared" si="0"/>
        <v>0</v>
      </c>
      <c r="D30" s="24">
        <f t="shared" si="0"/>
        <v>4.24E-2</v>
      </c>
      <c r="N30" s="26"/>
      <c r="O30" s="26"/>
      <c r="P30" s="26"/>
      <c r="Q30" s="26"/>
    </row>
    <row r="31" spans="1:17" x14ac:dyDescent="0.25">
      <c r="B31" t="s">
        <v>18</v>
      </c>
      <c r="C31" s="24">
        <f t="shared" si="0"/>
        <v>7.8600000000000003E-2</v>
      </c>
      <c r="D31" s="24">
        <f t="shared" si="0"/>
        <v>6.1400000000000003E-2</v>
      </c>
      <c r="N31" s="26"/>
      <c r="O31" s="26"/>
      <c r="P31" s="26"/>
      <c r="Q31" s="26"/>
    </row>
    <row r="32" spans="1:17" ht="15.75" thickBot="1" x14ac:dyDescent="0.3">
      <c r="A32" s="13"/>
      <c r="B32" s="13"/>
      <c r="C32" s="13"/>
      <c r="D32" s="13"/>
      <c r="E32" s="13"/>
      <c r="F32" s="13"/>
      <c r="G32" s="13"/>
      <c r="H32" s="13"/>
      <c r="I32" s="13"/>
      <c r="J32" s="13"/>
      <c r="K32" s="13"/>
      <c r="L32" s="13"/>
      <c r="M32" s="13"/>
      <c r="N32" s="13"/>
      <c r="O32" s="13"/>
      <c r="P32" s="13"/>
      <c r="Q32" s="13"/>
    </row>
    <row r="34" spans="1:17" x14ac:dyDescent="0.25">
      <c r="B34" t="s">
        <v>45</v>
      </c>
      <c r="C34" t="s">
        <v>12</v>
      </c>
      <c r="D34" t="s">
        <v>13</v>
      </c>
      <c r="N34" t="s">
        <v>51</v>
      </c>
    </row>
    <row r="35" spans="1:17" x14ac:dyDescent="0.25">
      <c r="B35" t="s">
        <v>11</v>
      </c>
      <c r="C35">
        <f>COUNTIFS(moras[SECTOR],"SECTOR PUBLICO",moras[INDICADOR_MOROSO],"SI")</f>
        <v>166</v>
      </c>
      <c r="D35">
        <f>COUNTIFS(moras[SECTOR],"SECTOR PUBLICO",moras[INDICADOR_MOROSO],"NO")</f>
        <v>928</v>
      </c>
      <c r="N35" s="26" t="s">
        <v>81</v>
      </c>
      <c r="O35" s="26"/>
      <c r="P35" s="26"/>
      <c r="Q35" s="26"/>
    </row>
    <row r="36" spans="1:17" x14ac:dyDescent="0.25">
      <c r="B36" t="s">
        <v>16</v>
      </c>
      <c r="C36">
        <f>COUNTIFS(moras[SECTOR],"SECTOR PRIVADO",moras[INDICADOR_MOROSO],"SI")</f>
        <v>704</v>
      </c>
      <c r="D36">
        <f>COUNTIFS(moras[SECTOR],"SECTOR PRIVADO",moras[INDICADOR_MOROSO],"NO")</f>
        <v>3202</v>
      </c>
      <c r="N36" s="26"/>
      <c r="O36" s="26"/>
      <c r="P36" s="26"/>
      <c r="Q36" s="26"/>
    </row>
    <row r="37" spans="1:17" x14ac:dyDescent="0.25">
      <c r="B37" t="s">
        <v>43</v>
      </c>
      <c r="C37">
        <f>C36+C35</f>
        <v>870</v>
      </c>
      <c r="D37">
        <f>D36+D35</f>
        <v>4130</v>
      </c>
      <c r="E37">
        <f>D37+C37</f>
        <v>5000</v>
      </c>
      <c r="N37" s="26"/>
      <c r="O37" s="26"/>
      <c r="P37" s="26"/>
      <c r="Q37" s="26"/>
    </row>
    <row r="38" spans="1:17" x14ac:dyDescent="0.25">
      <c r="N38" s="26"/>
      <c r="O38" s="26"/>
      <c r="P38" s="26"/>
      <c r="Q38" s="26"/>
    </row>
    <row r="39" spans="1:17" x14ac:dyDescent="0.25">
      <c r="B39" t="s">
        <v>46</v>
      </c>
      <c r="C39" t="s">
        <v>12</v>
      </c>
      <c r="D39" t="s">
        <v>13</v>
      </c>
      <c r="N39" s="26"/>
      <c r="O39" s="26"/>
      <c r="P39" s="26"/>
      <c r="Q39" s="26"/>
    </row>
    <row r="40" spans="1:17" x14ac:dyDescent="0.25">
      <c r="B40" t="s">
        <v>11</v>
      </c>
      <c r="C40" s="24">
        <f>C35/$E$37</f>
        <v>3.32E-2</v>
      </c>
      <c r="D40" s="24">
        <f>D35/$E$37</f>
        <v>0.18559999999999999</v>
      </c>
      <c r="N40" s="26"/>
      <c r="O40" s="26"/>
      <c r="P40" s="26"/>
      <c r="Q40" s="26"/>
    </row>
    <row r="41" spans="1:17" x14ac:dyDescent="0.25">
      <c r="B41" t="s">
        <v>16</v>
      </c>
      <c r="C41" s="24">
        <f>C36/$E$37</f>
        <v>0.14080000000000001</v>
      </c>
      <c r="D41" s="24">
        <f>D36/$E$37</f>
        <v>0.64039999999999997</v>
      </c>
      <c r="N41" s="26"/>
      <c r="O41" s="26"/>
      <c r="P41" s="26"/>
      <c r="Q41" s="26"/>
    </row>
    <row r="42" spans="1:17" x14ac:dyDescent="0.25">
      <c r="N42" s="26"/>
      <c r="O42" s="26"/>
      <c r="P42" s="26"/>
      <c r="Q42" s="26"/>
    </row>
    <row r="43" spans="1:17" x14ac:dyDescent="0.25">
      <c r="N43" s="26"/>
      <c r="O43" s="26"/>
      <c r="P43" s="26"/>
      <c r="Q43" s="26"/>
    </row>
    <row r="44" spans="1:17" x14ac:dyDescent="0.25">
      <c r="N44" s="26"/>
      <c r="O44" s="26"/>
      <c r="P44" s="26"/>
      <c r="Q44" s="26"/>
    </row>
    <row r="45" spans="1:17" x14ac:dyDescent="0.25">
      <c r="N45" s="26"/>
      <c r="O45" s="26"/>
      <c r="P45" s="26"/>
      <c r="Q45" s="26"/>
    </row>
    <row r="46" spans="1:17" ht="15.75" thickBot="1" x14ac:dyDescent="0.3">
      <c r="A46" s="13"/>
      <c r="B46" s="13"/>
      <c r="C46" s="13"/>
      <c r="D46" s="13"/>
      <c r="E46" s="13"/>
      <c r="F46" s="13"/>
      <c r="G46" s="13"/>
      <c r="H46" s="13"/>
      <c r="I46" s="13"/>
      <c r="J46" s="13"/>
      <c r="K46" s="13"/>
      <c r="L46" s="13"/>
      <c r="M46" s="13"/>
      <c r="N46" s="13"/>
      <c r="O46" s="13"/>
      <c r="P46" s="13"/>
      <c r="Q46" s="13"/>
    </row>
    <row r="48" spans="1:17" x14ac:dyDescent="0.25">
      <c r="B48" t="s">
        <v>47</v>
      </c>
      <c r="C48" t="s">
        <v>12</v>
      </c>
      <c r="D48" t="s">
        <v>13</v>
      </c>
      <c r="N48" t="s">
        <v>51</v>
      </c>
    </row>
    <row r="49" spans="1:17" x14ac:dyDescent="0.25">
      <c r="B49" t="s">
        <v>12</v>
      </c>
      <c r="C49">
        <f>COUNTIFS(moras[INDICADOR_ACTIVO],"SI",moras[INDICADOR_MOROSO],"SI")</f>
        <v>852</v>
      </c>
      <c r="D49">
        <f>COUNTIFS(moras[INDICADOR_ACTIVO],"SI",moras[INDICADOR_MOROSO],"NO")</f>
        <v>4114</v>
      </c>
      <c r="N49" s="26" t="s">
        <v>80</v>
      </c>
      <c r="O49" s="26"/>
      <c r="P49" s="26"/>
      <c r="Q49" s="26"/>
    </row>
    <row r="50" spans="1:17" x14ac:dyDescent="0.25">
      <c r="B50" t="s">
        <v>13</v>
      </c>
      <c r="C50">
        <f>COUNTIFS(moras[INDICADOR_ACTIVO],"NO",moras[INDICADOR_MOROSO],"SI")</f>
        <v>18</v>
      </c>
      <c r="D50">
        <f>COUNTIFS(moras[INDICADOR_ACTIVO],"NO",moras[INDICADOR_MOROSO],"NO")</f>
        <v>16</v>
      </c>
      <c r="N50" s="26"/>
      <c r="O50" s="26"/>
      <c r="P50" s="26"/>
      <c r="Q50" s="26"/>
    </row>
    <row r="51" spans="1:17" x14ac:dyDescent="0.25">
      <c r="B51" t="s">
        <v>43</v>
      </c>
      <c r="C51">
        <f>C50+C49</f>
        <v>870</v>
      </c>
      <c r="D51">
        <f>D50+D49</f>
        <v>4130</v>
      </c>
      <c r="E51">
        <f>D51+C51</f>
        <v>5000</v>
      </c>
      <c r="N51" s="26"/>
      <c r="O51" s="26"/>
      <c r="P51" s="26"/>
      <c r="Q51" s="26"/>
    </row>
    <row r="52" spans="1:17" x14ac:dyDescent="0.25">
      <c r="N52" s="26"/>
      <c r="O52" s="26"/>
      <c r="P52" s="26"/>
      <c r="Q52" s="26"/>
    </row>
    <row r="53" spans="1:17" x14ac:dyDescent="0.25">
      <c r="B53" t="s">
        <v>48</v>
      </c>
      <c r="C53" t="s">
        <v>12</v>
      </c>
      <c r="D53" t="s">
        <v>13</v>
      </c>
      <c r="N53" s="26"/>
      <c r="O53" s="26"/>
      <c r="P53" s="26"/>
      <c r="Q53" s="26"/>
    </row>
    <row r="54" spans="1:17" x14ac:dyDescent="0.25">
      <c r="B54" t="s">
        <v>12</v>
      </c>
      <c r="C54" s="24">
        <f>C49/$E$51</f>
        <v>0.1704</v>
      </c>
      <c r="D54" s="24">
        <f>D49/$E$51</f>
        <v>0.82279999999999998</v>
      </c>
      <c r="N54" s="26"/>
      <c r="O54" s="26"/>
      <c r="P54" s="26"/>
      <c r="Q54" s="26"/>
    </row>
    <row r="55" spans="1:17" x14ac:dyDescent="0.25">
      <c r="B55" t="s">
        <v>13</v>
      </c>
      <c r="C55" s="24">
        <f>C50/$E$51</f>
        <v>3.5999999999999999E-3</v>
      </c>
      <c r="D55" s="24">
        <f>D50/$E$51</f>
        <v>3.2000000000000002E-3</v>
      </c>
      <c r="N55" s="26"/>
      <c r="O55" s="26"/>
      <c r="P55" s="26"/>
      <c r="Q55" s="26"/>
    </row>
    <row r="56" spans="1:17" x14ac:dyDescent="0.25">
      <c r="N56" s="26"/>
      <c r="O56" s="26"/>
      <c r="P56" s="26"/>
      <c r="Q56" s="26"/>
    </row>
    <row r="57" spans="1:17" x14ac:dyDescent="0.25">
      <c r="N57" s="26"/>
      <c r="O57" s="26"/>
      <c r="P57" s="26"/>
      <c r="Q57" s="26"/>
    </row>
    <row r="58" spans="1:17" x14ac:dyDescent="0.25">
      <c r="N58" s="26"/>
      <c r="O58" s="26"/>
      <c r="P58" s="26"/>
      <c r="Q58" s="26"/>
    </row>
    <row r="59" spans="1:17" x14ac:dyDescent="0.25">
      <c r="N59" s="26"/>
      <c r="O59" s="26"/>
      <c r="P59" s="26"/>
      <c r="Q59" s="26"/>
    </row>
    <row r="60" spans="1:17" ht="15.75" thickBot="1" x14ac:dyDescent="0.3">
      <c r="A60" s="13"/>
      <c r="B60" s="13"/>
      <c r="C60" s="13"/>
      <c r="D60" s="13"/>
      <c r="E60" s="13"/>
      <c r="F60" s="13"/>
      <c r="G60" s="13"/>
      <c r="H60" s="13"/>
      <c r="I60" s="13"/>
      <c r="J60" s="13"/>
      <c r="K60" s="13"/>
      <c r="L60" s="13"/>
      <c r="M60" s="13"/>
      <c r="N60" s="13"/>
      <c r="O60" s="13"/>
      <c r="P60" s="13"/>
      <c r="Q60" s="13"/>
    </row>
    <row r="62" spans="1:17" x14ac:dyDescent="0.25">
      <c r="B62" t="s">
        <v>49</v>
      </c>
      <c r="C62" t="s">
        <v>12</v>
      </c>
      <c r="D62" t="s">
        <v>13</v>
      </c>
      <c r="N62" t="s">
        <v>51</v>
      </c>
    </row>
    <row r="63" spans="1:17" x14ac:dyDescent="0.25">
      <c r="B63" t="s">
        <v>12</v>
      </c>
      <c r="C63">
        <f>COUNTIFS(moras[INDICADOR.EXTRANJERO],"SI",moras[INDICADOR_MOROSO],"SI")</f>
        <v>145</v>
      </c>
      <c r="D63">
        <f>COUNTIFS(moras[INDICADOR.EXTRANJERO],"SI",moras[INDICADOR_MOROSO],"NO")</f>
        <v>458</v>
      </c>
      <c r="N63" s="26" t="s">
        <v>83</v>
      </c>
      <c r="O63" s="26"/>
      <c r="P63" s="26"/>
      <c r="Q63" s="26"/>
    </row>
    <row r="64" spans="1:17" x14ac:dyDescent="0.25">
      <c r="B64" t="s">
        <v>13</v>
      </c>
      <c r="C64">
        <f>COUNTIFS(moras[INDICADOR.EXTRANJERO],"NO",moras[INDICADOR_MOROSO],"SI")</f>
        <v>725</v>
      </c>
      <c r="D64">
        <f>COUNTIFS(moras[INDICADOR.EXTRANJERO],"NO",moras[INDICADOR_MOROSO],"NO")</f>
        <v>3672</v>
      </c>
      <c r="N64" s="26"/>
      <c r="O64" s="26"/>
      <c r="P64" s="26"/>
      <c r="Q64" s="26"/>
    </row>
    <row r="65" spans="1:17" x14ac:dyDescent="0.25">
      <c r="B65" t="s">
        <v>43</v>
      </c>
      <c r="C65">
        <f>C64+C63</f>
        <v>870</v>
      </c>
      <c r="D65">
        <f>D64+D63</f>
        <v>4130</v>
      </c>
      <c r="E65">
        <f>D65+C65</f>
        <v>5000</v>
      </c>
      <c r="N65" s="26"/>
      <c r="O65" s="26"/>
      <c r="P65" s="26"/>
      <c r="Q65" s="26"/>
    </row>
    <row r="66" spans="1:17" x14ac:dyDescent="0.25">
      <c r="N66" s="26"/>
      <c r="O66" s="26"/>
      <c r="P66" s="26"/>
      <c r="Q66" s="26"/>
    </row>
    <row r="67" spans="1:17" x14ac:dyDescent="0.25">
      <c r="B67" t="s">
        <v>50</v>
      </c>
      <c r="C67" t="s">
        <v>12</v>
      </c>
      <c r="D67" t="s">
        <v>13</v>
      </c>
      <c r="N67" s="26"/>
      <c r="O67" s="26"/>
      <c r="P67" s="26"/>
      <c r="Q67" s="26"/>
    </row>
    <row r="68" spans="1:17" x14ac:dyDescent="0.25">
      <c r="B68" t="s">
        <v>12</v>
      </c>
      <c r="C68" s="23">
        <f>C63/$E$65</f>
        <v>2.9000000000000001E-2</v>
      </c>
      <c r="D68" s="24">
        <f>D63/$E$65</f>
        <v>9.1600000000000001E-2</v>
      </c>
      <c r="N68" s="26"/>
      <c r="O68" s="26"/>
      <c r="P68" s="26"/>
      <c r="Q68" s="26"/>
    </row>
    <row r="69" spans="1:17" x14ac:dyDescent="0.25">
      <c r="B69" t="s">
        <v>13</v>
      </c>
      <c r="C69" s="23">
        <f>C64/$E$65</f>
        <v>0.14499999999999999</v>
      </c>
      <c r="D69" s="24">
        <f>D64/$E$65</f>
        <v>0.73440000000000005</v>
      </c>
      <c r="N69" s="26"/>
      <c r="O69" s="26"/>
      <c r="P69" s="26"/>
      <c r="Q69" s="26"/>
    </row>
    <row r="70" spans="1:17" x14ac:dyDescent="0.25">
      <c r="N70" s="26"/>
      <c r="O70" s="26"/>
      <c r="P70" s="26"/>
      <c r="Q70" s="26"/>
    </row>
    <row r="71" spans="1:17" x14ac:dyDescent="0.25">
      <c r="N71" s="26"/>
      <c r="O71" s="26"/>
      <c r="P71" s="26"/>
      <c r="Q71" s="26"/>
    </row>
    <row r="72" spans="1:17" x14ac:dyDescent="0.25">
      <c r="N72" s="26"/>
      <c r="O72" s="26"/>
      <c r="P72" s="26"/>
      <c r="Q72" s="26"/>
    </row>
    <row r="73" spans="1:17" x14ac:dyDescent="0.25">
      <c r="N73" s="26"/>
      <c r="O73" s="26"/>
      <c r="P73" s="26"/>
      <c r="Q73" s="26"/>
    </row>
    <row r="74" spans="1:17" ht="15.75" thickBot="1" x14ac:dyDescent="0.3">
      <c r="A74" s="13"/>
      <c r="B74" s="13"/>
      <c r="C74" s="13"/>
      <c r="D74" s="13"/>
      <c r="E74" s="13"/>
      <c r="F74" s="13"/>
      <c r="G74" s="13"/>
      <c r="H74" s="13"/>
      <c r="I74" s="13"/>
      <c r="J74" s="13"/>
      <c r="K74" s="13"/>
      <c r="L74" s="13"/>
      <c r="M74" s="13"/>
      <c r="N74" s="13"/>
      <c r="O74" s="13"/>
      <c r="P74" s="13"/>
      <c r="Q74" s="13"/>
    </row>
  </sheetData>
  <mergeCells count="5">
    <mergeCell ref="N63:Q73"/>
    <mergeCell ref="N3:Q13"/>
    <mergeCell ref="N17:Q31"/>
    <mergeCell ref="N35:Q45"/>
    <mergeCell ref="N49:Q5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953D-69DD-485C-84F1-2BEBEFAB1BFC}">
  <dimension ref="A1:S29"/>
  <sheetViews>
    <sheetView tabSelected="1" workbookViewId="0">
      <selection activeCell="R21" sqref="R21"/>
    </sheetView>
  </sheetViews>
  <sheetFormatPr baseColWidth="10" defaultRowHeight="15" x14ac:dyDescent="0.25"/>
  <cols>
    <col min="2" max="2" width="33" bestFit="1" customWidth="1"/>
  </cols>
  <sheetData>
    <row r="1" spans="1:19" x14ac:dyDescent="0.25">
      <c r="A1" s="21" t="s">
        <v>66</v>
      </c>
    </row>
    <row r="2" spans="1:19" x14ac:dyDescent="0.25">
      <c r="B2" t="s">
        <v>54</v>
      </c>
      <c r="C2" t="s">
        <v>12</v>
      </c>
      <c r="D2" t="s">
        <v>13</v>
      </c>
      <c r="M2" t="s">
        <v>51</v>
      </c>
    </row>
    <row r="3" spans="1:19" x14ac:dyDescent="0.25">
      <c r="B3" t="s">
        <v>60</v>
      </c>
      <c r="C3">
        <f>COUNTIFS(moras[RANGO_SALARIO],"0–300k",moras[INDICADOR_MOROSO],"SI")</f>
        <v>260</v>
      </c>
      <c r="D3">
        <f>COUNTIFS(moras[RANGO_SALARIO],"0–300k",moras[INDICADOR_MOROSO],"NO")</f>
        <v>1130</v>
      </c>
      <c r="M3" s="26" t="s">
        <v>84</v>
      </c>
      <c r="N3" s="26"/>
      <c r="O3" s="26"/>
      <c r="P3" s="26"/>
      <c r="Q3" s="26"/>
    </row>
    <row r="4" spans="1:19" x14ac:dyDescent="0.25">
      <c r="B4" t="s">
        <v>61</v>
      </c>
      <c r="C4">
        <f>COUNTIFS(moras[RANGO_SALARIO],"300k–600k",moras[INDICADOR_MOROSO],"SI")</f>
        <v>427</v>
      </c>
      <c r="D4">
        <f>COUNTIFS(moras[RANGO_SALARIO],"300k–600k",moras[INDICADOR_MOROSO],"NO")</f>
        <v>1622</v>
      </c>
      <c r="M4" s="26"/>
      <c r="N4" s="26"/>
      <c r="O4" s="26"/>
      <c r="P4" s="26"/>
      <c r="Q4" s="26"/>
    </row>
    <row r="5" spans="1:19" x14ac:dyDescent="0.25">
      <c r="B5" t="s">
        <v>62</v>
      </c>
      <c r="C5">
        <f>COUNTIFS(moras[RANGO_SALARIO],"600k–900k",moras[INDICADOR_MOROSO],"SI")</f>
        <v>80</v>
      </c>
      <c r="D5">
        <f>COUNTIFS(moras[RANGO_SALARIO],"600k–900k",moras[INDICADOR_MOROSO],"NO")</f>
        <v>566</v>
      </c>
      <c r="M5" s="26"/>
      <c r="N5" s="26"/>
      <c r="O5" s="26"/>
      <c r="P5" s="26"/>
      <c r="Q5" s="26"/>
    </row>
    <row r="6" spans="1:19" x14ac:dyDescent="0.25">
      <c r="B6" t="s">
        <v>63</v>
      </c>
      <c r="C6">
        <f>COUNTIFS(moras[RANGO_SALARIO],"900k–1200k",moras[INDICADOR_MOROSO],"SI")</f>
        <v>44</v>
      </c>
      <c r="D6">
        <f>COUNTIFS(moras[RANGO_SALARIO],"900k–1200k",moras[INDICADOR_MOROSO],"NO")</f>
        <v>268</v>
      </c>
      <c r="M6" s="26"/>
      <c r="N6" s="26"/>
      <c r="O6" s="26"/>
      <c r="P6" s="26"/>
      <c r="Q6" s="26"/>
    </row>
    <row r="7" spans="1:19" x14ac:dyDescent="0.25">
      <c r="B7" t="s">
        <v>64</v>
      </c>
      <c r="C7">
        <f>COUNTIFS(moras[RANGO_SALARIO],"1200k+",moras[INDICADOR_MOROSO],"SI")</f>
        <v>59</v>
      </c>
      <c r="D7">
        <f>COUNTIFS(moras[RANGO_SALARIO],"1200k+",moras[INDICADOR_MOROSO],"NO")</f>
        <v>544</v>
      </c>
      <c r="M7" s="26"/>
      <c r="N7" s="26"/>
      <c r="O7" s="26"/>
      <c r="P7" s="26"/>
      <c r="Q7" s="26"/>
    </row>
    <row r="8" spans="1:19" x14ac:dyDescent="0.25">
      <c r="M8" s="26"/>
      <c r="N8" s="26"/>
      <c r="O8" s="26"/>
      <c r="P8" s="26"/>
      <c r="Q8" s="26"/>
    </row>
    <row r="9" spans="1:19" x14ac:dyDescent="0.25">
      <c r="M9" s="26"/>
      <c r="N9" s="26"/>
      <c r="O9" s="26"/>
      <c r="P9" s="26"/>
      <c r="Q9" s="26"/>
    </row>
    <row r="10" spans="1:19" x14ac:dyDescent="0.25">
      <c r="M10" s="26"/>
      <c r="N10" s="26"/>
      <c r="O10" s="26"/>
      <c r="P10" s="26"/>
      <c r="Q10" s="26"/>
    </row>
    <row r="11" spans="1:19" x14ac:dyDescent="0.25">
      <c r="M11" s="26"/>
      <c r="N11" s="26"/>
      <c r="O11" s="26"/>
      <c r="P11" s="26"/>
      <c r="Q11" s="26"/>
    </row>
    <row r="12" spans="1:19" x14ac:dyDescent="0.25">
      <c r="M12" s="26"/>
      <c r="N12" s="26"/>
      <c r="O12" s="26"/>
      <c r="P12" s="26"/>
      <c r="Q12" s="26"/>
    </row>
    <row r="13" spans="1:19" x14ac:dyDescent="0.25">
      <c r="M13" s="26"/>
      <c r="N13" s="26"/>
      <c r="O13" s="26"/>
      <c r="P13" s="26"/>
      <c r="Q13" s="26"/>
    </row>
    <row r="14" spans="1:19" x14ac:dyDescent="0.25">
      <c r="M14" s="26"/>
      <c r="N14" s="26"/>
      <c r="O14" s="26"/>
      <c r="P14" s="26"/>
      <c r="Q14" s="26"/>
    </row>
    <row r="15" spans="1:19" ht="15.75" thickBot="1" x14ac:dyDescent="0.3">
      <c r="A15" s="13"/>
      <c r="B15" s="13"/>
      <c r="C15" s="13"/>
      <c r="D15" s="13"/>
      <c r="E15" s="13"/>
      <c r="F15" s="13"/>
      <c r="G15" s="13"/>
      <c r="H15" s="13"/>
      <c r="I15" s="13"/>
      <c r="J15" s="13"/>
      <c r="K15" s="13"/>
      <c r="L15" s="13"/>
      <c r="M15" s="13"/>
      <c r="N15" s="13"/>
      <c r="O15" s="13"/>
      <c r="P15" s="13"/>
      <c r="Q15" s="13"/>
      <c r="R15" s="20"/>
      <c r="S15" s="20"/>
    </row>
    <row r="17" spans="2:17" x14ac:dyDescent="0.25">
      <c r="B17" t="s">
        <v>65</v>
      </c>
      <c r="C17" t="s">
        <v>12</v>
      </c>
      <c r="D17" t="s">
        <v>13</v>
      </c>
      <c r="M17" t="s">
        <v>51</v>
      </c>
    </row>
    <row r="18" spans="2:17" x14ac:dyDescent="0.25">
      <c r="B18" t="s">
        <v>55</v>
      </c>
      <c r="C18">
        <f>COUNTIFS(moras[RANGO_EDAD],"18-25",moras[INDICADOR_MOROSO],"SI")</f>
        <v>51</v>
      </c>
      <c r="D18">
        <f>COUNTIFS(moras[RANGO_EDAD],"18-25",moras[INDICADOR_MOROSO],"NO")</f>
        <v>500</v>
      </c>
      <c r="M18" s="26" t="s">
        <v>85</v>
      </c>
      <c r="N18" s="26"/>
      <c r="O18" s="26"/>
      <c r="P18" s="26"/>
      <c r="Q18" s="26"/>
    </row>
    <row r="19" spans="2:17" x14ac:dyDescent="0.25">
      <c r="B19" t="s">
        <v>56</v>
      </c>
      <c r="C19">
        <f>COUNTIFS(moras[RANGO_EDAD],"26-35",moras[INDICADOR_MOROSO],"SI")</f>
        <v>191</v>
      </c>
      <c r="D19">
        <f>COUNTIFS(moras[RANGO_EDAD],"26-35",moras[INDICADOR_MOROSO],"NO")</f>
        <v>1163</v>
      </c>
      <c r="M19" s="26"/>
      <c r="N19" s="26"/>
      <c r="O19" s="26"/>
      <c r="P19" s="26"/>
      <c r="Q19" s="26"/>
    </row>
    <row r="20" spans="2:17" x14ac:dyDescent="0.25">
      <c r="B20" t="s">
        <v>57</v>
      </c>
      <c r="C20">
        <f>COUNTIFS(moras[RANGO_EDAD],"36-45",moras[INDICADOR_MOROSO],"SI")</f>
        <v>254</v>
      </c>
      <c r="D20">
        <f>COUNTIFS(moras[RANGO_EDAD],"36-45",moras[INDICADOR_MOROSO],"NO")</f>
        <v>1002</v>
      </c>
      <c r="M20" s="26"/>
      <c r="N20" s="26"/>
      <c r="O20" s="26"/>
      <c r="P20" s="26"/>
      <c r="Q20" s="26"/>
    </row>
    <row r="21" spans="2:17" x14ac:dyDescent="0.25">
      <c r="B21" t="s">
        <v>58</v>
      </c>
      <c r="C21">
        <f>COUNTIFS(moras[RANGO_EDAD],"46-55",moras[INDICADOR_MOROSO],"SI")</f>
        <v>212</v>
      </c>
      <c r="D21">
        <f>COUNTIFS(moras[RANGO_EDAD],"46-55",moras[INDICADOR_MOROSO],"NO")</f>
        <v>700</v>
      </c>
      <c r="M21" s="26"/>
      <c r="N21" s="26"/>
      <c r="O21" s="26"/>
      <c r="P21" s="26"/>
      <c r="Q21" s="26"/>
    </row>
    <row r="22" spans="2:17" x14ac:dyDescent="0.25">
      <c r="B22" t="s">
        <v>59</v>
      </c>
      <c r="C22">
        <f>COUNTIFS(moras[RANGO_EDAD],"56+",moras[INDICADOR_MOROSO],"SI")</f>
        <v>162</v>
      </c>
      <c r="D22">
        <f>COUNTIFS(moras[RANGO_EDAD],"56+",moras[INDICADOR_MOROSO],"NO")</f>
        <v>765</v>
      </c>
      <c r="M22" s="26"/>
      <c r="N22" s="26"/>
      <c r="O22" s="26"/>
      <c r="P22" s="26"/>
      <c r="Q22" s="26"/>
    </row>
    <row r="23" spans="2:17" x14ac:dyDescent="0.25">
      <c r="M23" s="26"/>
      <c r="N23" s="26"/>
      <c r="O23" s="26"/>
      <c r="P23" s="26"/>
      <c r="Q23" s="26"/>
    </row>
    <row r="24" spans="2:17" x14ac:dyDescent="0.25">
      <c r="M24" s="26"/>
      <c r="N24" s="26"/>
      <c r="O24" s="26"/>
      <c r="P24" s="26"/>
      <c r="Q24" s="26"/>
    </row>
    <row r="25" spans="2:17" x14ac:dyDescent="0.25">
      <c r="M25" s="26"/>
      <c r="N25" s="26"/>
      <c r="O25" s="26"/>
      <c r="P25" s="26"/>
      <c r="Q25" s="26"/>
    </row>
    <row r="26" spans="2:17" x14ac:dyDescent="0.25">
      <c r="M26" s="26"/>
      <c r="N26" s="26"/>
      <c r="O26" s="26"/>
      <c r="P26" s="26"/>
      <c r="Q26" s="26"/>
    </row>
    <row r="27" spans="2:17" x14ac:dyDescent="0.25">
      <c r="M27" s="26"/>
      <c r="N27" s="26"/>
      <c r="O27" s="26"/>
      <c r="P27" s="26"/>
      <c r="Q27" s="26"/>
    </row>
    <row r="28" spans="2:17" x14ac:dyDescent="0.25">
      <c r="M28" s="26"/>
      <c r="N28" s="26"/>
      <c r="O28" s="26"/>
      <c r="P28" s="26"/>
      <c r="Q28" s="26"/>
    </row>
    <row r="29" spans="2:17" x14ac:dyDescent="0.25">
      <c r="M29" s="26"/>
      <c r="N29" s="26"/>
      <c r="O29" s="26"/>
      <c r="P29" s="26"/>
      <c r="Q29" s="26"/>
    </row>
  </sheetData>
  <mergeCells count="2">
    <mergeCell ref="M3:Q14"/>
    <mergeCell ref="M18:Q2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99C555-F175-4F2A-BF37-A957113DB4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moras</vt:lpstr>
      <vt:lpstr>Gráficos Categóricos</vt:lpstr>
      <vt:lpstr>Gráficos Categóricos-Morosos</vt:lpstr>
      <vt:lpstr>Gráficos Numéricos-Morosos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OLMAN EDUARDO CAMACHO JEREZ</dc:creator>
  <cp:lastModifiedBy>OLMAN EDUARDO CAMACHO JEREZ</cp:lastModifiedBy>
  <dcterms:created xsi:type="dcterms:W3CDTF">2025-11-30T04:34:30Z</dcterms:created>
  <dcterms:modified xsi:type="dcterms:W3CDTF">2025-11-30T20:57:42Z</dcterms:modified>
</cp:coreProperties>
</file>